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X:\Gerencial\Mensal\2026\Custos\DMA\"/>
    </mc:Choice>
  </mc:AlternateContent>
  <xr:revisionPtr revIDLastSave="0" documentId="13_ncr:1_{CF7EFBDA-D2A9-41A9-95E9-B6CB6695337A}" xr6:coauthVersionLast="47" xr6:coauthVersionMax="47" xr10:uidLastSave="{00000000-0000-0000-0000-000000000000}"/>
  <bookViews>
    <workbookView xWindow="28740" yWindow="15" windowWidth="29040" windowHeight="16440" tabRatio="793" activeTab="5" xr2:uid="{CDE8D55E-1C3A-4660-AFEE-ACABFCC45445}"/>
  </bookViews>
  <sheets>
    <sheet name="Jan" sheetId="29" r:id="rId1"/>
    <sheet name="Feb" sheetId="30" r:id="rId2"/>
    <sheet name="Mar" sheetId="31" r:id="rId3"/>
    <sheet name="Abr" sheetId="32" r:id="rId4"/>
    <sheet name="Maio" sheetId="33" r:id="rId5"/>
    <sheet name="Jun" sheetId="34" r:id="rId6"/>
  </sheets>
  <externalReferences>
    <externalReference r:id="rId7"/>
    <externalReference r:id="rId8"/>
  </externalReferences>
  <definedNames>
    <definedName name="_xlnm._FilterDatabase" localSheetId="3" hidden="1">Abr!$A$1:$T$192</definedName>
    <definedName name="_xlnm._FilterDatabase" localSheetId="1" hidden="1">Feb!$A$1:$P$193</definedName>
    <definedName name="_xlnm._FilterDatabase" localSheetId="0" hidden="1">Jan!$A$1:$P$199</definedName>
    <definedName name="_xlnm._FilterDatabase" localSheetId="5" hidden="1">Jun!$A$1:$P$167</definedName>
    <definedName name="_xlnm._FilterDatabase" localSheetId="4" hidden="1">Maio!$A$1:$P$178</definedName>
    <definedName name="_xlnm._FilterDatabase" localSheetId="2" hidden="1">Mar!$A$1:$P$189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7" i="34" l="1"/>
  <c r="A167" i="34"/>
  <c r="Q144" i="34"/>
  <c r="Q145" i="34"/>
  <c r="Q146" i="34"/>
  <c r="Q147" i="34"/>
  <c r="Q148" i="34"/>
  <c r="Q149" i="34"/>
  <c r="Q150" i="34"/>
  <c r="Q151" i="34"/>
  <c r="Q152" i="34"/>
  <c r="Q153" i="34"/>
  <c r="Q154" i="34"/>
  <c r="Q155" i="34"/>
  <c r="Q156" i="34"/>
  <c r="Q157" i="34"/>
  <c r="Q158" i="34"/>
  <c r="Q159" i="34"/>
  <c r="Q160" i="34"/>
  <c r="Q161" i="34"/>
  <c r="Q162" i="34"/>
  <c r="Q163" i="34"/>
  <c r="Q164" i="34"/>
  <c r="Q165" i="34"/>
  <c r="E165" i="34" s="1"/>
  <c r="Q166" i="34"/>
  <c r="E166" i="34" s="1"/>
  <c r="E164" i="34"/>
  <c r="E163" i="34"/>
  <c r="I163" i="34"/>
  <c r="A166" i="34"/>
  <c r="A165" i="34"/>
  <c r="A164" i="34"/>
  <c r="A163" i="34"/>
  <c r="E178" i="33"/>
  <c r="E177" i="33"/>
  <c r="E176" i="33"/>
  <c r="A178" i="33"/>
  <c r="A177" i="33"/>
  <c r="A176" i="33"/>
  <c r="E175" i="33"/>
  <c r="A175" i="33"/>
  <c r="I175" i="33"/>
  <c r="Q174" i="33"/>
  <c r="Q173" i="33"/>
  <c r="Q172" i="33"/>
  <c r="Q171" i="33"/>
  <c r="Q170" i="33"/>
  <c r="Q169" i="33"/>
  <c r="Q168" i="33"/>
  <c r="Q167" i="33"/>
  <c r="Q166" i="33"/>
  <c r="Q165" i="33"/>
  <c r="Q164" i="33"/>
  <c r="Q163" i="33"/>
  <c r="Q162" i="33"/>
  <c r="Q161" i="33"/>
  <c r="Q160" i="33"/>
  <c r="Q159" i="33"/>
  <c r="Q158" i="33"/>
  <c r="Q157" i="33"/>
  <c r="Q156" i="33"/>
  <c r="Q155" i="33"/>
  <c r="I9" i="32"/>
  <c r="E9" i="32"/>
  <c r="A9" i="32"/>
  <c r="I9" i="31"/>
  <c r="E9" i="31"/>
  <c r="A9" i="31"/>
  <c r="I9" i="30"/>
  <c r="E9" i="30"/>
  <c r="A9" i="30"/>
  <c r="I8" i="29" l="1"/>
  <c r="E8" i="29"/>
  <c r="A8" i="29"/>
  <c r="I85" i="33" l="1"/>
  <c r="E85" i="33"/>
  <c r="A85" i="33"/>
  <c r="I140" i="33"/>
  <c r="E140" i="33"/>
  <c r="A140" i="33"/>
  <c r="I124" i="33"/>
  <c r="I125" i="33"/>
  <c r="I126" i="33"/>
  <c r="I127" i="33"/>
  <c r="I128" i="33"/>
  <c r="I129" i="33"/>
  <c r="I130" i="33"/>
  <c r="I131" i="33"/>
  <c r="I132" i="33"/>
  <c r="I133" i="33"/>
  <c r="I134" i="33"/>
  <c r="I135" i="33"/>
  <c r="I136" i="33"/>
  <c r="I137" i="33"/>
  <c r="I138" i="33"/>
  <c r="I139" i="33"/>
  <c r="I141" i="33"/>
  <c r="I142" i="33"/>
  <c r="I143" i="33"/>
  <c r="I144" i="33"/>
  <c r="I145" i="33"/>
  <c r="I146" i="33"/>
  <c r="I147" i="33"/>
  <c r="I148" i="33"/>
  <c r="I149" i="33"/>
  <c r="I150" i="33"/>
  <c r="I151" i="33"/>
  <c r="I152" i="33"/>
  <c r="I153" i="33"/>
  <c r="I154" i="33"/>
  <c r="I73" i="34" l="1"/>
  <c r="E73" i="34"/>
  <c r="A73" i="34"/>
  <c r="I162" i="34"/>
  <c r="I160" i="34"/>
  <c r="I159" i="34"/>
  <c r="I158" i="34"/>
  <c r="I157" i="34"/>
  <c r="I148" i="34"/>
  <c r="I147" i="34"/>
  <c r="I145" i="34"/>
  <c r="I144" i="34"/>
  <c r="I98" i="34"/>
  <c r="I95" i="34"/>
  <c r="I94" i="34"/>
  <c r="I93" i="34"/>
  <c r="I92" i="34"/>
  <c r="I91" i="34"/>
  <c r="I90" i="34"/>
  <c r="I80" i="34"/>
  <c r="I79" i="34"/>
  <c r="I78" i="34"/>
  <c r="I77" i="34"/>
  <c r="I76" i="34"/>
  <c r="I75" i="34"/>
  <c r="I74" i="34"/>
  <c r="I72" i="34"/>
  <c r="I71" i="34"/>
  <c r="I69" i="34"/>
  <c r="I67" i="34"/>
  <c r="I61" i="34"/>
  <c r="I60" i="34"/>
  <c r="E60" i="34"/>
  <c r="A60" i="34"/>
  <c r="I8" i="34"/>
  <c r="E8" i="34"/>
  <c r="A8" i="34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I69" i="33"/>
  <c r="I70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11" i="33"/>
  <c r="I112" i="33"/>
  <c r="I113" i="33"/>
  <c r="I114" i="33"/>
  <c r="I115" i="33"/>
  <c r="I116" i="33"/>
  <c r="I117" i="33"/>
  <c r="I118" i="33"/>
  <c r="I119" i="33"/>
  <c r="I120" i="33"/>
  <c r="I121" i="33"/>
  <c r="I122" i="33"/>
  <c r="I123" i="33"/>
  <c r="I155" i="33"/>
  <c r="I156" i="33"/>
  <c r="I157" i="33"/>
  <c r="I158" i="33"/>
  <c r="I159" i="33"/>
  <c r="I160" i="33"/>
  <c r="I161" i="33"/>
  <c r="I162" i="33"/>
  <c r="I163" i="33"/>
  <c r="I164" i="33"/>
  <c r="I165" i="33"/>
  <c r="I166" i="33"/>
  <c r="I167" i="33"/>
  <c r="I168" i="33"/>
  <c r="I169" i="33"/>
  <c r="I170" i="33"/>
  <c r="I171" i="33"/>
  <c r="I172" i="33"/>
  <c r="I173" i="33"/>
  <c r="I174" i="33"/>
  <c r="E89" i="33"/>
  <c r="A89" i="33"/>
  <c r="E9" i="33"/>
  <c r="E10" i="33"/>
  <c r="E104" i="34" l="1"/>
  <c r="I104" i="34"/>
  <c r="A104" i="34"/>
  <c r="E120" i="34"/>
  <c r="I120" i="34"/>
  <c r="A120" i="34"/>
  <c r="E114" i="34"/>
  <c r="I114" i="34"/>
  <c r="A114" i="34"/>
  <c r="E113" i="34"/>
  <c r="I113" i="34"/>
  <c r="A113" i="34"/>
  <c r="E88" i="34"/>
  <c r="I88" i="34"/>
  <c r="A88" i="34"/>
  <c r="E87" i="34"/>
  <c r="I87" i="34"/>
  <c r="A87" i="34"/>
  <c r="E26" i="34"/>
  <c r="I26" i="34"/>
  <c r="A26" i="34"/>
  <c r="E80" i="33"/>
  <c r="E36" i="33"/>
  <c r="E149" i="33"/>
  <c r="A149" i="33"/>
  <c r="E146" i="33"/>
  <c r="A146" i="33"/>
  <c r="E138" i="33"/>
  <c r="A138" i="33"/>
  <c r="E137" i="33"/>
  <c r="A137" i="33"/>
  <c r="E88" i="33"/>
  <c r="A88" i="33"/>
  <c r="A80" i="33"/>
  <c r="A36" i="33"/>
  <c r="I190" i="32" l="1"/>
  <c r="E190" i="32"/>
  <c r="A190" i="32"/>
  <c r="E174" i="32"/>
  <c r="E175" i="32"/>
  <c r="E176" i="32"/>
  <c r="E177" i="32"/>
  <c r="E178" i="32"/>
  <c r="E179" i="32"/>
  <c r="E180" i="32"/>
  <c r="E181" i="32"/>
  <c r="E182" i="32"/>
  <c r="E183" i="32"/>
  <c r="E184" i="32"/>
  <c r="E185" i="32"/>
  <c r="E186" i="32"/>
  <c r="E187" i="32"/>
  <c r="E188" i="32"/>
  <c r="E189" i="32"/>
  <c r="E191" i="32"/>
  <c r="E192" i="32"/>
  <c r="I188" i="31"/>
  <c r="E188" i="31"/>
  <c r="A188" i="31"/>
  <c r="I191" i="30"/>
  <c r="E191" i="30"/>
  <c r="A191" i="30"/>
  <c r="E87" i="32" l="1"/>
  <c r="I87" i="32"/>
  <c r="I88" i="32"/>
  <c r="I89" i="32"/>
  <c r="I90" i="32"/>
  <c r="I91" i="32"/>
  <c r="I92" i="32"/>
  <c r="I93" i="32"/>
  <c r="I94" i="32"/>
  <c r="I95" i="32"/>
  <c r="I96" i="32"/>
  <c r="I97" i="32"/>
  <c r="I98" i="32"/>
  <c r="I99" i="32"/>
  <c r="I100" i="32"/>
  <c r="I101" i="32"/>
  <c r="I102" i="32"/>
  <c r="I103" i="32"/>
  <c r="I104" i="32"/>
  <c r="I105" i="32"/>
  <c r="I106" i="32"/>
  <c r="I107" i="32"/>
  <c r="I108" i="32"/>
  <c r="I109" i="32"/>
  <c r="I110" i="32"/>
  <c r="I111" i="32"/>
  <c r="I84" i="32"/>
  <c r="I85" i="32"/>
  <c r="I86" i="32"/>
  <c r="A87" i="32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63" i="31"/>
  <c r="I164" i="31"/>
  <c r="I165" i="31"/>
  <c r="I166" i="31"/>
  <c r="I167" i="31"/>
  <c r="I168" i="31"/>
  <c r="I169" i="31"/>
  <c r="I170" i="31"/>
  <c r="I171" i="31"/>
  <c r="I172" i="31"/>
  <c r="I173" i="31"/>
  <c r="I174" i="31"/>
  <c r="I175" i="31"/>
  <c r="I176" i="31"/>
  <c r="I177" i="31"/>
  <c r="I178" i="31"/>
  <c r="I179" i="31"/>
  <c r="I180" i="31"/>
  <c r="I181" i="31"/>
  <c r="I182" i="31"/>
  <c r="I183" i="31"/>
  <c r="I184" i="31"/>
  <c r="I185" i="31"/>
  <c r="I186" i="31"/>
  <c r="I187" i="31"/>
  <c r="I189" i="31"/>
  <c r="E37" i="31"/>
  <c r="A37" i="31"/>
  <c r="A36" i="31"/>
  <c r="I112" i="30"/>
  <c r="E112" i="30"/>
  <c r="A112" i="30"/>
  <c r="I90" i="30"/>
  <c r="E90" i="30"/>
  <c r="A90" i="30"/>
  <c r="E79" i="30"/>
  <c r="I37" i="30"/>
  <c r="E37" i="30"/>
  <c r="A37" i="30"/>
  <c r="I119" i="29"/>
  <c r="E119" i="29"/>
  <c r="A119" i="29"/>
  <c r="I117" i="29"/>
  <c r="E117" i="29"/>
  <c r="A117" i="29"/>
  <c r="I95" i="29"/>
  <c r="E95" i="29"/>
  <c r="A95" i="29"/>
  <c r="I36" i="29"/>
  <c r="A36" i="29"/>
  <c r="E36" i="29"/>
  <c r="E26" i="29" l="1"/>
  <c r="E128" i="34" l="1"/>
  <c r="I128" i="34"/>
  <c r="A128" i="34"/>
  <c r="E123" i="34"/>
  <c r="I123" i="34"/>
  <c r="A123" i="34"/>
  <c r="E121" i="34"/>
  <c r="I121" i="34"/>
  <c r="A121" i="34"/>
  <c r="E109" i="34"/>
  <c r="I109" i="34"/>
  <c r="A109" i="34"/>
  <c r="E93" i="34"/>
  <c r="A93" i="34"/>
  <c r="E91" i="34"/>
  <c r="A91" i="34"/>
  <c r="E28" i="34"/>
  <c r="I28" i="34"/>
  <c r="A28" i="34"/>
  <c r="I41" i="34"/>
  <c r="E156" i="34"/>
  <c r="E153" i="34"/>
  <c r="E151" i="34"/>
  <c r="E150" i="34"/>
  <c r="E149" i="34"/>
  <c r="E147" i="34"/>
  <c r="E146" i="34"/>
  <c r="E144" i="34"/>
  <c r="E143" i="34"/>
  <c r="E141" i="34"/>
  <c r="E140" i="34"/>
  <c r="E136" i="34"/>
  <c r="E134" i="34"/>
  <c r="E130" i="34"/>
  <c r="E129" i="34"/>
  <c r="E126" i="34"/>
  <c r="E124" i="34"/>
  <c r="E122" i="34"/>
  <c r="E116" i="34"/>
  <c r="E115" i="34"/>
  <c r="E112" i="34"/>
  <c r="E110" i="34"/>
  <c r="E108" i="34"/>
  <c r="E106" i="34"/>
  <c r="E102" i="34"/>
  <c r="E101" i="34"/>
  <c r="E100" i="34"/>
  <c r="E99" i="34"/>
  <c r="E98" i="34"/>
  <c r="E97" i="34"/>
  <c r="E96" i="34"/>
  <c r="E95" i="34"/>
  <c r="E94" i="34"/>
  <c r="E89" i="34"/>
  <c r="E86" i="34"/>
  <c r="E85" i="34"/>
  <c r="E84" i="34"/>
  <c r="E83" i="34"/>
  <c r="E82" i="34"/>
  <c r="E81" i="34"/>
  <c r="E80" i="34"/>
  <c r="E79" i="34"/>
  <c r="E78" i="34"/>
  <c r="E77" i="34"/>
  <c r="E76" i="34"/>
  <c r="E75" i="34"/>
  <c r="E74" i="34"/>
  <c r="E72" i="34"/>
  <c r="E71" i="34"/>
  <c r="E70" i="34"/>
  <c r="E69" i="34"/>
  <c r="E68" i="34"/>
  <c r="E66" i="34"/>
  <c r="E63" i="34"/>
  <c r="E62" i="34"/>
  <c r="E61" i="34"/>
  <c r="E59" i="34"/>
  <c r="E58" i="34"/>
  <c r="E57" i="34"/>
  <c r="E55" i="34"/>
  <c r="E53" i="34"/>
  <c r="E52" i="34"/>
  <c r="E51" i="34"/>
  <c r="E50" i="34"/>
  <c r="E49" i="34"/>
  <c r="E48" i="34"/>
  <c r="E47" i="34"/>
  <c r="E46" i="34"/>
  <c r="E45" i="34"/>
  <c r="E44" i="34"/>
  <c r="E43" i="34"/>
  <c r="E41" i="34"/>
  <c r="E40" i="34"/>
  <c r="E39" i="34"/>
  <c r="E38" i="34"/>
  <c r="E37" i="34"/>
  <c r="E35" i="34"/>
  <c r="E33" i="34"/>
  <c r="E32" i="34"/>
  <c r="E31" i="34"/>
  <c r="E29" i="34"/>
  <c r="E27" i="34"/>
  <c r="E25" i="34"/>
  <c r="E24" i="34"/>
  <c r="E23" i="34"/>
  <c r="E22" i="34"/>
  <c r="E21" i="34"/>
  <c r="E20" i="34"/>
  <c r="E19" i="34"/>
  <c r="E18" i="34"/>
  <c r="E17" i="34"/>
  <c r="E16" i="34"/>
  <c r="E15" i="34"/>
  <c r="E14" i="34"/>
  <c r="E13" i="34"/>
  <c r="E11" i="34"/>
  <c r="E10" i="34"/>
  <c r="E9" i="34"/>
  <c r="E6" i="34"/>
  <c r="E4" i="34"/>
  <c r="E3" i="34"/>
  <c r="I161" i="34"/>
  <c r="I156" i="34"/>
  <c r="I155" i="34"/>
  <c r="I154" i="34"/>
  <c r="I153" i="34"/>
  <c r="I152" i="34"/>
  <c r="I151" i="34"/>
  <c r="I150" i="34"/>
  <c r="I149" i="34"/>
  <c r="I146" i="34"/>
  <c r="I143" i="34"/>
  <c r="I142" i="34"/>
  <c r="I141" i="34"/>
  <c r="I140" i="34"/>
  <c r="I139" i="34"/>
  <c r="I138" i="34"/>
  <c r="I137" i="34"/>
  <c r="I136" i="34"/>
  <c r="I135" i="34"/>
  <c r="I134" i="34"/>
  <c r="I133" i="34"/>
  <c r="I132" i="34"/>
  <c r="I131" i="34"/>
  <c r="I130" i="34"/>
  <c r="I129" i="34"/>
  <c r="I127" i="34"/>
  <c r="I126" i="34"/>
  <c r="I125" i="34"/>
  <c r="I124" i="34"/>
  <c r="I122" i="34"/>
  <c r="I119" i="34"/>
  <c r="I117" i="34"/>
  <c r="I116" i="34"/>
  <c r="I112" i="34"/>
  <c r="I111" i="34"/>
  <c r="I110" i="34"/>
  <c r="I108" i="34"/>
  <c r="I107" i="34"/>
  <c r="I105" i="34"/>
  <c r="I103" i="34"/>
  <c r="I102" i="34"/>
  <c r="I101" i="34"/>
  <c r="I100" i="34"/>
  <c r="I99" i="34"/>
  <c r="I97" i="34"/>
  <c r="I96" i="34"/>
  <c r="I89" i="34"/>
  <c r="I86" i="34"/>
  <c r="I85" i="34"/>
  <c r="I84" i="34"/>
  <c r="I81" i="34"/>
  <c r="I70" i="34"/>
  <c r="I68" i="34"/>
  <c r="I66" i="34"/>
  <c r="I65" i="34"/>
  <c r="I64" i="34"/>
  <c r="I63" i="34"/>
  <c r="I62" i="34"/>
  <c r="I59" i="34"/>
  <c r="I58" i="34"/>
  <c r="I57" i="34"/>
  <c r="I56" i="34"/>
  <c r="I55" i="34"/>
  <c r="I54" i="34"/>
  <c r="I53" i="34"/>
  <c r="I52" i="34"/>
  <c r="I51" i="34"/>
  <c r="I50" i="34"/>
  <c r="I49" i="34"/>
  <c r="I48" i="34"/>
  <c r="I47" i="34"/>
  <c r="I46" i="34"/>
  <c r="I45" i="34"/>
  <c r="I44" i="34"/>
  <c r="I43" i="34"/>
  <c r="I42" i="34"/>
  <c r="I40" i="34"/>
  <c r="I39" i="34"/>
  <c r="I38" i="34"/>
  <c r="I37" i="34"/>
  <c r="I36" i="34"/>
  <c r="I35" i="34"/>
  <c r="I34" i="34"/>
  <c r="I33" i="34"/>
  <c r="I32" i="34"/>
  <c r="I31" i="34"/>
  <c r="I30" i="34"/>
  <c r="I29" i="34"/>
  <c r="I27" i="34"/>
  <c r="I25" i="34"/>
  <c r="I24" i="34"/>
  <c r="I23" i="34"/>
  <c r="I22" i="34"/>
  <c r="I21" i="34"/>
  <c r="I20" i="34"/>
  <c r="I19" i="34"/>
  <c r="I18" i="34"/>
  <c r="I17" i="34"/>
  <c r="I16" i="34"/>
  <c r="I15" i="34"/>
  <c r="I14" i="34"/>
  <c r="I13" i="34"/>
  <c r="I12" i="34"/>
  <c r="I11" i="34"/>
  <c r="I10" i="34"/>
  <c r="I9" i="34"/>
  <c r="I7" i="34"/>
  <c r="I6" i="34"/>
  <c r="I5" i="34"/>
  <c r="I4" i="34"/>
  <c r="I3" i="34"/>
  <c r="E2" i="34"/>
  <c r="I2" i="34"/>
  <c r="E162" i="34"/>
  <c r="A162" i="34"/>
  <c r="E161" i="34"/>
  <c r="A161" i="34"/>
  <c r="E160" i="34"/>
  <c r="A160" i="34"/>
  <c r="E159" i="34"/>
  <c r="A159" i="34"/>
  <c r="E158" i="34"/>
  <c r="A158" i="34"/>
  <c r="E157" i="34"/>
  <c r="A157" i="34"/>
  <c r="A156" i="34"/>
  <c r="E155" i="34"/>
  <c r="A155" i="34"/>
  <c r="E154" i="34"/>
  <c r="A154" i="34"/>
  <c r="A153" i="34"/>
  <c r="E152" i="34"/>
  <c r="A152" i="34"/>
  <c r="A151" i="34"/>
  <c r="A150" i="34"/>
  <c r="A149" i="34"/>
  <c r="E148" i="34"/>
  <c r="A148" i="34"/>
  <c r="A147" i="34"/>
  <c r="A146" i="34"/>
  <c r="E145" i="34"/>
  <c r="A145" i="34"/>
  <c r="A144" i="34"/>
  <c r="A143" i="34"/>
  <c r="E142" i="34"/>
  <c r="A142" i="34"/>
  <c r="A141" i="34"/>
  <c r="A140" i="34"/>
  <c r="E139" i="34"/>
  <c r="A139" i="34"/>
  <c r="E138" i="34"/>
  <c r="A138" i="34"/>
  <c r="E137" i="34"/>
  <c r="A137" i="34"/>
  <c r="A136" i="34"/>
  <c r="E135" i="34"/>
  <c r="A135" i="34"/>
  <c r="A134" i="34"/>
  <c r="E133" i="34"/>
  <c r="A133" i="34"/>
  <c r="E132" i="34"/>
  <c r="A132" i="34"/>
  <c r="E131" i="34"/>
  <c r="A131" i="34"/>
  <c r="A130" i="34"/>
  <c r="A129" i="34"/>
  <c r="E127" i="34"/>
  <c r="A127" i="34"/>
  <c r="A126" i="34"/>
  <c r="E125" i="34"/>
  <c r="A125" i="34"/>
  <c r="A124" i="34"/>
  <c r="A122" i="34"/>
  <c r="E119" i="34"/>
  <c r="A119" i="34"/>
  <c r="I118" i="34"/>
  <c r="E118" i="34"/>
  <c r="A118" i="34"/>
  <c r="E117" i="34"/>
  <c r="A117" i="34"/>
  <c r="A116" i="34"/>
  <c r="I115" i="34"/>
  <c r="A115" i="34"/>
  <c r="A112" i="34"/>
  <c r="E111" i="34"/>
  <c r="A111" i="34"/>
  <c r="A110" i="34"/>
  <c r="A108" i="34"/>
  <c r="E107" i="34"/>
  <c r="A107" i="34"/>
  <c r="I106" i="34"/>
  <c r="A106" i="34"/>
  <c r="E105" i="34"/>
  <c r="A105" i="34"/>
  <c r="E103" i="34"/>
  <c r="A103" i="34"/>
  <c r="A102" i="34"/>
  <c r="A101" i="34"/>
  <c r="A100" i="34"/>
  <c r="A99" i="34"/>
  <c r="A98" i="34"/>
  <c r="A97" i="34"/>
  <c r="A96" i="34"/>
  <c r="A95" i="34"/>
  <c r="A94" i="34"/>
  <c r="E92" i="34"/>
  <c r="A92" i="34"/>
  <c r="E90" i="34"/>
  <c r="A90" i="34"/>
  <c r="A89" i="34"/>
  <c r="A86" i="34"/>
  <c r="A85" i="34"/>
  <c r="A84" i="34"/>
  <c r="I83" i="34"/>
  <c r="A83" i="34"/>
  <c r="I82" i="34"/>
  <c r="A82" i="34"/>
  <c r="A81" i="34"/>
  <c r="A80" i="34"/>
  <c r="A79" i="34"/>
  <c r="A78" i="34"/>
  <c r="A77" i="34"/>
  <c r="A76" i="34"/>
  <c r="A75" i="34"/>
  <c r="A74" i="34"/>
  <c r="A72" i="34"/>
  <c r="A71" i="34"/>
  <c r="A70" i="34"/>
  <c r="A69" i="34"/>
  <c r="A68" i="34"/>
  <c r="E67" i="34"/>
  <c r="A67" i="34"/>
  <c r="A66" i="34"/>
  <c r="E65" i="34"/>
  <c r="A65" i="34"/>
  <c r="E64" i="34"/>
  <c r="A64" i="34"/>
  <c r="A63" i="34"/>
  <c r="A62" i="34"/>
  <c r="A61" i="34"/>
  <c r="A59" i="34"/>
  <c r="A58" i="34"/>
  <c r="A57" i="34"/>
  <c r="E56" i="34"/>
  <c r="A56" i="34"/>
  <c r="A55" i="34"/>
  <c r="E54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E42" i="34"/>
  <c r="A42" i="34"/>
  <c r="A41" i="34"/>
  <c r="A40" i="34"/>
  <c r="A39" i="34"/>
  <c r="A38" i="34"/>
  <c r="A37" i="34"/>
  <c r="E36" i="34"/>
  <c r="A36" i="34"/>
  <c r="A35" i="34"/>
  <c r="E34" i="34"/>
  <c r="A34" i="34"/>
  <c r="A33" i="34"/>
  <c r="A32" i="34"/>
  <c r="A31" i="34"/>
  <c r="E30" i="34"/>
  <c r="A30" i="34"/>
  <c r="A29" i="34"/>
  <c r="A27" i="34"/>
  <c r="A25" i="34"/>
  <c r="A24" i="34"/>
  <c r="A23" i="34"/>
  <c r="A22" i="34"/>
  <c r="A21" i="34"/>
  <c r="A20" i="34"/>
  <c r="A19" i="34"/>
  <c r="A18" i="34"/>
  <c r="A17" i="34"/>
  <c r="A16" i="34"/>
  <c r="A15" i="34"/>
  <c r="A14" i="34"/>
  <c r="A13" i="34"/>
  <c r="E12" i="34"/>
  <c r="A12" i="34"/>
  <c r="A11" i="34"/>
  <c r="A10" i="34"/>
  <c r="A9" i="34"/>
  <c r="E7" i="34"/>
  <c r="A7" i="34"/>
  <c r="A6" i="34"/>
  <c r="E5" i="34"/>
  <c r="A5" i="34"/>
  <c r="A4" i="34"/>
  <c r="A3" i="34"/>
  <c r="A2" i="34"/>
  <c r="E36" i="32" l="1"/>
  <c r="I36" i="32"/>
  <c r="A36" i="32"/>
  <c r="E158" i="32"/>
  <c r="I158" i="32"/>
  <c r="A158" i="32"/>
  <c r="E155" i="32"/>
  <c r="I155" i="32"/>
  <c r="A155" i="32"/>
  <c r="E147" i="32"/>
  <c r="I147" i="32"/>
  <c r="A147" i="32"/>
  <c r="E145" i="32"/>
  <c r="I145" i="32"/>
  <c r="A145" i="32"/>
  <c r="E159" i="31"/>
  <c r="A159" i="31"/>
  <c r="E156" i="31"/>
  <c r="A156" i="31"/>
  <c r="E149" i="31"/>
  <c r="A149" i="31"/>
  <c r="E93" i="31"/>
  <c r="A93" i="31"/>
  <c r="E161" i="30"/>
  <c r="I161" i="30"/>
  <c r="A161" i="30"/>
  <c r="E158" i="30"/>
  <c r="I158" i="30"/>
  <c r="A158" i="30"/>
  <c r="E151" i="30"/>
  <c r="I151" i="30"/>
  <c r="A151" i="30"/>
  <c r="I118" i="30"/>
  <c r="E118" i="30"/>
  <c r="A118" i="30"/>
  <c r="I116" i="30"/>
  <c r="E116" i="30"/>
  <c r="A116" i="30"/>
  <c r="E198" i="29" l="1"/>
  <c r="I198" i="29"/>
  <c r="A198" i="29"/>
  <c r="E167" i="29"/>
  <c r="I167" i="29"/>
  <c r="A167" i="29"/>
  <c r="E164" i="29"/>
  <c r="I164" i="29"/>
  <c r="A164" i="29"/>
  <c r="E157" i="29"/>
  <c r="I157" i="29"/>
  <c r="A157" i="29"/>
  <c r="E67" i="29"/>
  <c r="I67" i="29"/>
  <c r="A67" i="29"/>
  <c r="E66" i="29"/>
  <c r="I66" i="29"/>
  <c r="A66" i="29"/>
  <c r="E64" i="29"/>
  <c r="I64" i="29"/>
  <c r="A64" i="29"/>
  <c r="E63" i="29"/>
  <c r="I63" i="29"/>
  <c r="A63" i="29"/>
  <c r="E91" i="29" l="1"/>
  <c r="I159" i="29"/>
  <c r="I92" i="29"/>
  <c r="I91" i="29"/>
  <c r="I88" i="29"/>
  <c r="E86" i="30"/>
  <c r="I86" i="30"/>
  <c r="A86" i="30"/>
  <c r="E153" i="30"/>
  <c r="E82" i="30"/>
  <c r="I153" i="30"/>
  <c r="I88" i="30"/>
  <c r="I82" i="30"/>
  <c r="E149" i="32"/>
  <c r="I149" i="32"/>
  <c r="A149" i="32"/>
  <c r="E151" i="31"/>
  <c r="A151" i="31"/>
  <c r="A153" i="30"/>
  <c r="E159" i="29"/>
  <c r="A159" i="29"/>
  <c r="E90" i="31"/>
  <c r="A90" i="31"/>
  <c r="E89" i="31"/>
  <c r="A89" i="31"/>
  <c r="E88" i="30"/>
  <c r="A88" i="30"/>
  <c r="A91" i="29"/>
  <c r="E92" i="29"/>
  <c r="A92" i="29"/>
  <c r="E84" i="32"/>
  <c r="A84" i="32"/>
  <c r="E83" i="32"/>
  <c r="I83" i="32"/>
  <c r="A83" i="32"/>
  <c r="E77" i="32"/>
  <c r="I77" i="32"/>
  <c r="A77" i="32"/>
  <c r="E83" i="31"/>
  <c r="A83" i="31"/>
  <c r="A82" i="30"/>
  <c r="E88" i="29"/>
  <c r="A88" i="29"/>
  <c r="E189" i="31" l="1"/>
  <c r="E187" i="31"/>
  <c r="E186" i="31"/>
  <c r="E185" i="31"/>
  <c r="E184" i="31"/>
  <c r="E183" i="31"/>
  <c r="E182" i="31"/>
  <c r="E181" i="31"/>
  <c r="E180" i="31"/>
  <c r="E179" i="31"/>
  <c r="E178" i="31"/>
  <c r="E177" i="31"/>
  <c r="E176" i="31"/>
  <c r="E175" i="31"/>
  <c r="E174" i="31"/>
  <c r="E173" i="31"/>
  <c r="E172" i="31"/>
  <c r="E171" i="31"/>
  <c r="E170" i="31"/>
  <c r="E169" i="31"/>
  <c r="E168" i="31"/>
  <c r="E167" i="31"/>
  <c r="E166" i="31"/>
  <c r="E165" i="31"/>
  <c r="E164" i="31"/>
  <c r="E163" i="31"/>
  <c r="E162" i="31"/>
  <c r="E161" i="31"/>
  <c r="E160" i="31"/>
  <c r="E158" i="31"/>
  <c r="E157" i="31"/>
  <c r="E155" i="31"/>
  <c r="E154" i="31"/>
  <c r="E153" i="31"/>
  <c r="E152" i="31"/>
  <c r="E150" i="31"/>
  <c r="E148" i="31"/>
  <c r="E147" i="31"/>
  <c r="E146" i="31"/>
  <c r="E145" i="31"/>
  <c r="E144" i="31"/>
  <c r="E143" i="31"/>
  <c r="E142" i="31"/>
  <c r="E141" i="31"/>
  <c r="E140" i="31"/>
  <c r="E139" i="31"/>
  <c r="E138" i="31"/>
  <c r="E137" i="31"/>
  <c r="E136" i="31"/>
  <c r="E135" i="31"/>
  <c r="E134" i="31"/>
  <c r="E133" i="31"/>
  <c r="E132" i="31"/>
  <c r="E131" i="31"/>
  <c r="E130" i="31"/>
  <c r="E129" i="31"/>
  <c r="E128" i="31"/>
  <c r="E127" i="31"/>
  <c r="E126" i="31"/>
  <c r="E125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111" i="31"/>
  <c r="E110" i="31"/>
  <c r="E109" i="31"/>
  <c r="E108" i="31"/>
  <c r="E107" i="31"/>
  <c r="E106" i="31"/>
  <c r="E105" i="31"/>
  <c r="E104" i="31"/>
  <c r="E103" i="31"/>
  <c r="E102" i="31"/>
  <c r="E101" i="31"/>
  <c r="E100" i="31"/>
  <c r="E99" i="31"/>
  <c r="E98" i="31"/>
  <c r="E97" i="31"/>
  <c r="E96" i="31"/>
  <c r="E95" i="31"/>
  <c r="E94" i="31"/>
  <c r="E92" i="31"/>
  <c r="E91" i="31"/>
  <c r="E88" i="31"/>
  <c r="E87" i="31"/>
  <c r="E86" i="31"/>
  <c r="E85" i="31"/>
  <c r="E84" i="31"/>
  <c r="E82" i="31"/>
  <c r="E81" i="31"/>
  <c r="E80" i="31"/>
  <c r="E79" i="31"/>
  <c r="E78" i="31"/>
  <c r="E77" i="31"/>
  <c r="E76" i="31"/>
  <c r="E75" i="31"/>
  <c r="E74" i="31"/>
  <c r="E73" i="31"/>
  <c r="E72" i="31"/>
  <c r="E71" i="31"/>
  <c r="E70" i="31"/>
  <c r="E69" i="31"/>
  <c r="E68" i="31"/>
  <c r="E67" i="31"/>
  <c r="E66" i="31"/>
  <c r="E65" i="31"/>
  <c r="E64" i="31"/>
  <c r="E63" i="31"/>
  <c r="E62" i="31"/>
  <c r="E61" i="31"/>
  <c r="E60" i="31"/>
  <c r="E59" i="31"/>
  <c r="E58" i="31"/>
  <c r="E57" i="31"/>
  <c r="E56" i="31"/>
  <c r="E55" i="31"/>
  <c r="E54" i="31"/>
  <c r="E53" i="31"/>
  <c r="E52" i="31"/>
  <c r="E51" i="31"/>
  <c r="E50" i="31"/>
  <c r="E49" i="31"/>
  <c r="E48" i="31"/>
  <c r="E47" i="31"/>
  <c r="E46" i="31"/>
  <c r="E45" i="31"/>
  <c r="E44" i="31"/>
  <c r="E43" i="31"/>
  <c r="E42" i="31"/>
  <c r="E41" i="31"/>
  <c r="E40" i="31"/>
  <c r="E39" i="31"/>
  <c r="E38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8" i="31"/>
  <c r="E7" i="31"/>
  <c r="E6" i="31"/>
  <c r="E5" i="31"/>
  <c r="E4" i="31"/>
  <c r="E3" i="31"/>
  <c r="I192" i="32" l="1"/>
  <c r="I191" i="32"/>
  <c r="I189" i="32"/>
  <c r="I188" i="32"/>
  <c r="I187" i="32"/>
  <c r="I186" i="32"/>
  <c r="I185" i="32"/>
  <c r="I184" i="32"/>
  <c r="I183" i="32"/>
  <c r="I182" i="32"/>
  <c r="I181" i="32"/>
  <c r="I180" i="32"/>
  <c r="I179" i="32"/>
  <c r="I178" i="32"/>
  <c r="I177" i="32"/>
  <c r="I176" i="32"/>
  <c r="I175" i="32"/>
  <c r="I174" i="32"/>
  <c r="A192" i="32"/>
  <c r="A191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89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I199" i="29" l="1"/>
  <c r="I197" i="29"/>
  <c r="E199" i="29"/>
  <c r="A199" i="29"/>
  <c r="E197" i="29"/>
  <c r="A197" i="29"/>
  <c r="I3" i="32"/>
  <c r="I4" i="32"/>
  <c r="I5" i="32"/>
  <c r="I6" i="32"/>
  <c r="I7" i="32"/>
  <c r="I8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74" i="32"/>
  <c r="I75" i="32"/>
  <c r="I76" i="32"/>
  <c r="I78" i="32"/>
  <c r="I79" i="32"/>
  <c r="I80" i="32"/>
  <c r="I81" i="32"/>
  <c r="I82" i="32"/>
  <c r="I112" i="32"/>
  <c r="I113" i="32"/>
  <c r="I114" i="32"/>
  <c r="I115" i="32"/>
  <c r="I116" i="32"/>
  <c r="I117" i="32"/>
  <c r="I118" i="32"/>
  <c r="I119" i="32"/>
  <c r="I120" i="32"/>
  <c r="I121" i="32"/>
  <c r="I122" i="32"/>
  <c r="I123" i="32"/>
  <c r="I124" i="32"/>
  <c r="I125" i="32"/>
  <c r="I126" i="32"/>
  <c r="I127" i="32"/>
  <c r="I128" i="32"/>
  <c r="I129" i="32"/>
  <c r="I130" i="32"/>
  <c r="I131" i="32"/>
  <c r="I132" i="32"/>
  <c r="I133" i="32"/>
  <c r="I134" i="32"/>
  <c r="I135" i="32"/>
  <c r="I136" i="32"/>
  <c r="I137" i="32"/>
  <c r="I138" i="32"/>
  <c r="I139" i="32"/>
  <c r="I140" i="32"/>
  <c r="I141" i="32"/>
  <c r="I142" i="32"/>
  <c r="I143" i="32"/>
  <c r="I144" i="32"/>
  <c r="I146" i="32"/>
  <c r="I148" i="32"/>
  <c r="I150" i="32"/>
  <c r="I151" i="32"/>
  <c r="I152" i="32"/>
  <c r="I153" i="32"/>
  <c r="I154" i="32"/>
  <c r="I156" i="32"/>
  <c r="I157" i="32"/>
  <c r="I159" i="32"/>
  <c r="I160" i="32"/>
  <c r="I161" i="32"/>
  <c r="I162" i="32"/>
  <c r="I163" i="32"/>
  <c r="I164" i="32"/>
  <c r="I165" i="32"/>
  <c r="I166" i="32"/>
  <c r="I167" i="32"/>
  <c r="I168" i="32"/>
  <c r="I169" i="32"/>
  <c r="I170" i="32"/>
  <c r="I171" i="32"/>
  <c r="I172" i="32"/>
  <c r="I173" i="32"/>
  <c r="I2" i="32"/>
  <c r="E173" i="32"/>
  <c r="E172" i="32"/>
  <c r="E171" i="32"/>
  <c r="E170" i="32"/>
  <c r="E169" i="32"/>
  <c r="E168" i="32"/>
  <c r="E167" i="32"/>
  <c r="E166" i="32"/>
  <c r="E165" i="32"/>
  <c r="E164" i="32"/>
  <c r="E163" i="32"/>
  <c r="E162" i="32"/>
  <c r="E161" i="32"/>
  <c r="E160" i="32"/>
  <c r="E159" i="32"/>
  <c r="E157" i="32"/>
  <c r="E156" i="32"/>
  <c r="E154" i="32"/>
  <c r="E153" i="32"/>
  <c r="E152" i="32"/>
  <c r="E151" i="32"/>
  <c r="E150" i="32"/>
  <c r="E148" i="32"/>
  <c r="E146" i="32"/>
  <c r="E144" i="32"/>
  <c r="E143" i="32"/>
  <c r="E142" i="32"/>
  <c r="E141" i="32"/>
  <c r="E140" i="32"/>
  <c r="E139" i="32"/>
  <c r="E138" i="32"/>
  <c r="E137" i="32"/>
  <c r="E136" i="32"/>
  <c r="E135" i="32"/>
  <c r="E134" i="32"/>
  <c r="E133" i="32"/>
  <c r="E132" i="32"/>
  <c r="E131" i="32"/>
  <c r="E130" i="32"/>
  <c r="E129" i="32"/>
  <c r="E128" i="32"/>
  <c r="E127" i="32"/>
  <c r="E126" i="32"/>
  <c r="E125" i="32"/>
  <c r="E124" i="32"/>
  <c r="E123" i="32"/>
  <c r="E122" i="32"/>
  <c r="E121" i="32"/>
  <c r="E120" i="32"/>
  <c r="E119" i="32"/>
  <c r="E118" i="32"/>
  <c r="E117" i="32"/>
  <c r="E116" i="32"/>
  <c r="E115" i="32"/>
  <c r="E114" i="32"/>
  <c r="E113" i="32"/>
  <c r="E112" i="32"/>
  <c r="E111" i="32"/>
  <c r="E110" i="32"/>
  <c r="E109" i="32"/>
  <c r="E108" i="32"/>
  <c r="E107" i="32"/>
  <c r="E106" i="32"/>
  <c r="E105" i="32"/>
  <c r="E104" i="32"/>
  <c r="E103" i="32"/>
  <c r="E102" i="32"/>
  <c r="E101" i="32"/>
  <c r="E100" i="32"/>
  <c r="E99" i="32"/>
  <c r="E98" i="32"/>
  <c r="E97" i="32"/>
  <c r="E96" i="32"/>
  <c r="E95" i="32"/>
  <c r="E94" i="32"/>
  <c r="E93" i="32"/>
  <c r="E92" i="32"/>
  <c r="E91" i="32"/>
  <c r="E90" i="32"/>
  <c r="E89" i="32"/>
  <c r="E88" i="32"/>
  <c r="E86" i="32"/>
  <c r="E85" i="32"/>
  <c r="E82" i="32"/>
  <c r="E81" i="32"/>
  <c r="E80" i="32"/>
  <c r="E79" i="32"/>
  <c r="E78" i="32"/>
  <c r="E76" i="32"/>
  <c r="E75" i="32"/>
  <c r="E74" i="32"/>
  <c r="E73" i="32"/>
  <c r="E72" i="32"/>
  <c r="E71" i="32"/>
  <c r="E70" i="32"/>
  <c r="E69" i="32"/>
  <c r="E68" i="32"/>
  <c r="E67" i="32"/>
  <c r="E66" i="32"/>
  <c r="E65" i="32"/>
  <c r="E64" i="32"/>
  <c r="E63" i="32"/>
  <c r="E62" i="32"/>
  <c r="E61" i="32"/>
  <c r="E60" i="32"/>
  <c r="E59" i="32"/>
  <c r="E58" i="32"/>
  <c r="E57" i="32"/>
  <c r="E56" i="32"/>
  <c r="E55" i="32"/>
  <c r="E54" i="32"/>
  <c r="E53" i="32"/>
  <c r="E52" i="32"/>
  <c r="E51" i="32"/>
  <c r="E50" i="32"/>
  <c r="E49" i="32"/>
  <c r="E48" i="32"/>
  <c r="E47" i="32"/>
  <c r="E46" i="32"/>
  <c r="E45" i="32"/>
  <c r="E44" i="32"/>
  <c r="E43" i="32"/>
  <c r="E42" i="32"/>
  <c r="E41" i="32"/>
  <c r="E40" i="32"/>
  <c r="E39" i="32"/>
  <c r="E38" i="32"/>
  <c r="E37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8" i="32"/>
  <c r="E7" i="32"/>
  <c r="E6" i="32"/>
  <c r="E5" i="32"/>
  <c r="E4" i="32"/>
  <c r="E3" i="32"/>
  <c r="E193" i="30"/>
  <c r="E192" i="30"/>
  <c r="E190" i="30"/>
  <c r="E189" i="30"/>
  <c r="E188" i="30"/>
  <c r="E187" i="30"/>
  <c r="E186" i="30"/>
  <c r="E185" i="30"/>
  <c r="E184" i="30"/>
  <c r="E183" i="30"/>
  <c r="E182" i="30"/>
  <c r="E181" i="30"/>
  <c r="E180" i="30"/>
  <c r="E179" i="30"/>
  <c r="E178" i="30"/>
  <c r="E177" i="30"/>
  <c r="E176" i="30"/>
  <c r="E175" i="30"/>
  <c r="E174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0" i="30"/>
  <c r="E159" i="30"/>
  <c r="E157" i="30"/>
  <c r="E156" i="30"/>
  <c r="E155" i="30"/>
  <c r="E154" i="30"/>
  <c r="E152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E122" i="30"/>
  <c r="E121" i="30"/>
  <c r="E120" i="30"/>
  <c r="E119" i="30"/>
  <c r="E117" i="30"/>
  <c r="E115" i="30"/>
  <c r="E114" i="30"/>
  <c r="E113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89" i="30"/>
  <c r="E87" i="30"/>
  <c r="E85" i="30"/>
  <c r="E84" i="30"/>
  <c r="E83" i="30"/>
  <c r="E81" i="30"/>
  <c r="E80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E63" i="30"/>
  <c r="E62" i="30"/>
  <c r="E61" i="30"/>
  <c r="E60" i="30"/>
  <c r="E59" i="30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8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8" i="30"/>
  <c r="E7" i="30"/>
  <c r="E6" i="30"/>
  <c r="E5" i="30"/>
  <c r="E4" i="30"/>
  <c r="E3" i="30"/>
  <c r="E196" i="29"/>
  <c r="E195" i="29"/>
  <c r="E194" i="29"/>
  <c r="E193" i="29"/>
  <c r="E192" i="29"/>
  <c r="E191" i="29"/>
  <c r="E190" i="29"/>
  <c r="E189" i="29"/>
  <c r="E188" i="29"/>
  <c r="E187" i="29"/>
  <c r="E186" i="29"/>
  <c r="E185" i="29"/>
  <c r="E184" i="29"/>
  <c r="E183" i="29"/>
  <c r="E182" i="29"/>
  <c r="E181" i="29"/>
  <c r="E180" i="29"/>
  <c r="E179" i="29"/>
  <c r="E178" i="29"/>
  <c r="E177" i="29"/>
  <c r="E176" i="29"/>
  <c r="E175" i="29"/>
  <c r="E174" i="29"/>
  <c r="E173" i="29"/>
  <c r="E172" i="29"/>
  <c r="E171" i="29"/>
  <c r="E170" i="29"/>
  <c r="E169" i="29"/>
  <c r="E168" i="29"/>
  <c r="E166" i="29"/>
  <c r="E165" i="29"/>
  <c r="E163" i="29"/>
  <c r="E162" i="29"/>
  <c r="E161" i="29"/>
  <c r="E160" i="29"/>
  <c r="E158" i="29"/>
  <c r="E156" i="29"/>
  <c r="E155" i="29"/>
  <c r="E154" i="29"/>
  <c r="E153" i="29"/>
  <c r="E152" i="29"/>
  <c r="E151" i="29"/>
  <c r="E150" i="29"/>
  <c r="E149" i="29"/>
  <c r="E148" i="29"/>
  <c r="E147" i="29"/>
  <c r="E146" i="29"/>
  <c r="E145" i="29"/>
  <c r="E144" i="29"/>
  <c r="E143" i="29"/>
  <c r="E142" i="29"/>
  <c r="E141" i="29"/>
  <c r="E140" i="29"/>
  <c r="E139" i="29"/>
  <c r="E138" i="29"/>
  <c r="E137" i="29"/>
  <c r="E136" i="29"/>
  <c r="E135" i="29"/>
  <c r="E134" i="29"/>
  <c r="E133" i="29"/>
  <c r="E132" i="29"/>
  <c r="E131" i="29"/>
  <c r="E130" i="29"/>
  <c r="E129" i="29"/>
  <c r="E128" i="29"/>
  <c r="E127" i="29"/>
  <c r="E126" i="29"/>
  <c r="E125" i="29"/>
  <c r="E124" i="29"/>
  <c r="E123" i="29"/>
  <c r="E122" i="29"/>
  <c r="E121" i="29"/>
  <c r="E120" i="29"/>
  <c r="E118" i="29"/>
  <c r="E116" i="29"/>
  <c r="E115" i="29"/>
  <c r="E114" i="29"/>
  <c r="E113" i="29"/>
  <c r="E112" i="29"/>
  <c r="E111" i="29"/>
  <c r="E110" i="29"/>
  <c r="E109" i="29"/>
  <c r="E108" i="29"/>
  <c r="E107" i="29"/>
  <c r="E106" i="29"/>
  <c r="E105" i="29"/>
  <c r="E104" i="29"/>
  <c r="E103" i="29"/>
  <c r="E102" i="29"/>
  <c r="E101" i="29"/>
  <c r="E100" i="29"/>
  <c r="E99" i="29"/>
  <c r="E98" i="29"/>
  <c r="E97" i="29"/>
  <c r="E96" i="29"/>
  <c r="E94" i="29"/>
  <c r="E93" i="29"/>
  <c r="E90" i="29"/>
  <c r="E89" i="29"/>
  <c r="E87" i="29"/>
  <c r="E86" i="29"/>
  <c r="E85" i="29"/>
  <c r="E84" i="29"/>
  <c r="E83" i="29"/>
  <c r="E82" i="29"/>
  <c r="E81" i="29"/>
  <c r="E80" i="29"/>
  <c r="E79" i="29"/>
  <c r="E78" i="29"/>
  <c r="E77" i="29"/>
  <c r="E76" i="29"/>
  <c r="E75" i="29"/>
  <c r="E74" i="29"/>
  <c r="E73" i="29"/>
  <c r="E72" i="29"/>
  <c r="E71" i="29"/>
  <c r="E70" i="29"/>
  <c r="E69" i="29"/>
  <c r="E68" i="29"/>
  <c r="E65" i="29"/>
  <c r="E62" i="29"/>
  <c r="E61" i="29"/>
  <c r="E60" i="29"/>
  <c r="E59" i="29"/>
  <c r="E58" i="29"/>
  <c r="E57" i="29"/>
  <c r="E56" i="29"/>
  <c r="E55" i="29"/>
  <c r="E54" i="29"/>
  <c r="E53" i="29"/>
  <c r="E52" i="29"/>
  <c r="E51" i="29"/>
  <c r="E50" i="29"/>
  <c r="E49" i="29"/>
  <c r="E48" i="29"/>
  <c r="E47" i="29"/>
  <c r="E46" i="29"/>
  <c r="E45" i="29"/>
  <c r="E44" i="29"/>
  <c r="E43" i="29"/>
  <c r="E42" i="29"/>
  <c r="E41" i="29"/>
  <c r="E40" i="29"/>
  <c r="E39" i="29"/>
  <c r="E38" i="29"/>
  <c r="E37" i="29"/>
  <c r="E35" i="29"/>
  <c r="E34" i="29"/>
  <c r="E33" i="29"/>
  <c r="E32" i="29"/>
  <c r="E31" i="29"/>
  <c r="E30" i="29"/>
  <c r="E29" i="29"/>
  <c r="E28" i="29"/>
  <c r="E27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E7" i="29"/>
  <c r="E6" i="29"/>
  <c r="E5" i="29"/>
  <c r="E4" i="29"/>
  <c r="E3" i="29"/>
  <c r="A113" i="31" l="1"/>
  <c r="I126" i="30"/>
  <c r="A126" i="30"/>
  <c r="I177" i="29"/>
  <c r="A177" i="29"/>
  <c r="E122" i="33"/>
  <c r="A122" i="33"/>
  <c r="E98" i="33"/>
  <c r="A98" i="33"/>
  <c r="E97" i="33"/>
  <c r="A97" i="33"/>
  <c r="E73" i="33" l="1"/>
  <c r="A73" i="33"/>
  <c r="E71" i="33"/>
  <c r="A71" i="33"/>
  <c r="E59" i="33"/>
  <c r="A59" i="33"/>
  <c r="E46" i="33"/>
  <c r="A46" i="33"/>
  <c r="E20" i="33"/>
  <c r="A20" i="33"/>
  <c r="E15" i="33"/>
  <c r="A15" i="33"/>
  <c r="E13" i="33"/>
  <c r="A13" i="33"/>
  <c r="E11" i="33"/>
  <c r="A11" i="33"/>
  <c r="E4" i="33"/>
  <c r="I4" i="33"/>
  <c r="A4" i="33"/>
  <c r="E173" i="33" l="1"/>
  <c r="A173" i="33"/>
  <c r="E171" i="33"/>
  <c r="A171" i="33"/>
  <c r="E127" i="33" l="1"/>
  <c r="E79" i="33"/>
  <c r="E75" i="33"/>
  <c r="E61" i="33"/>
  <c r="E57" i="33"/>
  <c r="E43" i="33"/>
  <c r="E41" i="33"/>
  <c r="E30" i="33"/>
  <c r="E7" i="33"/>
  <c r="I7" i="33"/>
  <c r="I6" i="33"/>
  <c r="I5" i="33"/>
  <c r="I2" i="33"/>
  <c r="E174" i="33"/>
  <c r="E172" i="33"/>
  <c r="E170" i="33"/>
  <c r="E169" i="33"/>
  <c r="E168" i="33"/>
  <c r="E167" i="33"/>
  <c r="E166" i="33"/>
  <c r="E165" i="33"/>
  <c r="E164" i="33"/>
  <c r="E163" i="33"/>
  <c r="E162" i="33"/>
  <c r="E161" i="33"/>
  <c r="E160" i="33"/>
  <c r="E159" i="33"/>
  <c r="E158" i="33"/>
  <c r="E157" i="33"/>
  <c r="E156" i="33"/>
  <c r="E155" i="33"/>
  <c r="E154" i="33"/>
  <c r="E153" i="33"/>
  <c r="E152" i="33"/>
  <c r="E151" i="33"/>
  <c r="E150" i="33"/>
  <c r="E148" i="33"/>
  <c r="E147" i="33"/>
  <c r="E144" i="33"/>
  <c r="E143" i="33"/>
  <c r="E142" i="33"/>
  <c r="E141" i="33"/>
  <c r="E139" i="33"/>
  <c r="E136" i="33"/>
  <c r="E135" i="33"/>
  <c r="E134" i="33"/>
  <c r="E133" i="33"/>
  <c r="E132" i="33"/>
  <c r="E131" i="33"/>
  <c r="E130" i="33"/>
  <c r="E129" i="33"/>
  <c r="E128" i="33"/>
  <c r="E126" i="33"/>
  <c r="E125" i="33"/>
  <c r="E124" i="33"/>
  <c r="E123" i="33"/>
  <c r="E121" i="33"/>
  <c r="E120" i="33"/>
  <c r="E119" i="33"/>
  <c r="E118" i="33"/>
  <c r="E117" i="33"/>
  <c r="E116" i="33"/>
  <c r="E115" i="33"/>
  <c r="E114" i="33"/>
  <c r="E112" i="33"/>
  <c r="E111" i="33"/>
  <c r="E110" i="33"/>
  <c r="E109" i="33"/>
  <c r="E108" i="33"/>
  <c r="E107" i="33"/>
  <c r="E106" i="33"/>
  <c r="E105" i="33"/>
  <c r="E104" i="33"/>
  <c r="E103" i="33"/>
  <c r="E102" i="33"/>
  <c r="E101" i="33"/>
  <c r="E100" i="33"/>
  <c r="E99" i="33"/>
  <c r="E96" i="33"/>
  <c r="E95" i="33"/>
  <c r="E94" i="33"/>
  <c r="E93" i="33"/>
  <c r="E92" i="33"/>
  <c r="E91" i="33"/>
  <c r="E90" i="33"/>
  <c r="E87" i="33"/>
  <c r="E86" i="33"/>
  <c r="E84" i="33"/>
  <c r="E83" i="33"/>
  <c r="E82" i="33"/>
  <c r="E81" i="33"/>
  <c r="E78" i="33"/>
  <c r="E77" i="33"/>
  <c r="E76" i="33"/>
  <c r="E74" i="33"/>
  <c r="E72" i="33"/>
  <c r="E70" i="33"/>
  <c r="E69" i="33"/>
  <c r="E68" i="33"/>
  <c r="E67" i="33"/>
  <c r="E66" i="33"/>
  <c r="E65" i="33"/>
  <c r="E64" i="33"/>
  <c r="E63" i="33"/>
  <c r="E62" i="33"/>
  <c r="E60" i="33"/>
  <c r="E58" i="33"/>
  <c r="E56" i="33"/>
  <c r="E55" i="33"/>
  <c r="E54" i="33"/>
  <c r="E53" i="33"/>
  <c r="E52" i="33"/>
  <c r="E51" i="33"/>
  <c r="E50" i="33"/>
  <c r="E49" i="33"/>
  <c r="E48" i="33"/>
  <c r="E47" i="33"/>
  <c r="E45" i="33"/>
  <c r="E44" i="33"/>
  <c r="E42" i="33"/>
  <c r="E40" i="33"/>
  <c r="E39" i="33"/>
  <c r="E38" i="33"/>
  <c r="E37" i="33"/>
  <c r="E35" i="33"/>
  <c r="E34" i="33"/>
  <c r="E33" i="33"/>
  <c r="E32" i="33"/>
  <c r="E31" i="33"/>
  <c r="E29" i="33"/>
  <c r="E28" i="33"/>
  <c r="E27" i="33"/>
  <c r="E26" i="33"/>
  <c r="E25" i="33"/>
  <c r="E24" i="33"/>
  <c r="E23" i="33"/>
  <c r="E22" i="33"/>
  <c r="E21" i="33"/>
  <c r="E19" i="33"/>
  <c r="E18" i="33"/>
  <c r="E17" i="33"/>
  <c r="E16" i="33"/>
  <c r="E14" i="33"/>
  <c r="E12" i="33"/>
  <c r="E8" i="33"/>
  <c r="E6" i="33"/>
  <c r="E5" i="33"/>
  <c r="E3" i="33"/>
  <c r="A174" i="33"/>
  <c r="A172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8" i="33"/>
  <c r="A147" i="33"/>
  <c r="E145" i="33"/>
  <c r="A145" i="33"/>
  <c r="A144" i="33"/>
  <c r="A143" i="33"/>
  <c r="A142" i="33"/>
  <c r="A141" i="33"/>
  <c r="A139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1" i="33"/>
  <c r="A120" i="33"/>
  <c r="A119" i="33"/>
  <c r="A118" i="33"/>
  <c r="A117" i="33"/>
  <c r="A116" i="33"/>
  <c r="A115" i="33"/>
  <c r="A114" i="33"/>
  <c r="E113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6" i="33"/>
  <c r="A95" i="33"/>
  <c r="A94" i="33"/>
  <c r="A93" i="33"/>
  <c r="A92" i="33"/>
  <c r="A91" i="33"/>
  <c r="A90" i="33"/>
  <c r="A87" i="33"/>
  <c r="A86" i="33"/>
  <c r="A84" i="33"/>
  <c r="A83" i="33"/>
  <c r="A82" i="33"/>
  <c r="A81" i="33"/>
  <c r="A79" i="33"/>
  <c r="A78" i="33"/>
  <c r="A77" i="33"/>
  <c r="A76" i="33"/>
  <c r="A75" i="33"/>
  <c r="A74" i="33"/>
  <c r="A72" i="33"/>
  <c r="A70" i="33"/>
  <c r="A69" i="33"/>
  <c r="A68" i="33"/>
  <c r="A67" i="33"/>
  <c r="A66" i="33"/>
  <c r="A65" i="33"/>
  <c r="A64" i="33"/>
  <c r="A63" i="33"/>
  <c r="A62" i="33"/>
  <c r="A61" i="33"/>
  <c r="A60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5" i="33"/>
  <c r="A44" i="33"/>
  <c r="A43" i="33"/>
  <c r="A42" i="33"/>
  <c r="A41" i="33"/>
  <c r="A40" i="33"/>
  <c r="A39" i="33"/>
  <c r="A38" i="33"/>
  <c r="A37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19" i="33"/>
  <c r="A18" i="33"/>
  <c r="A17" i="33"/>
  <c r="A16" i="33"/>
  <c r="A14" i="33"/>
  <c r="A12" i="33"/>
  <c r="A10" i="33"/>
  <c r="A8" i="33"/>
  <c r="A7" i="33"/>
  <c r="A6" i="33"/>
  <c r="A5" i="33"/>
  <c r="I3" i="33"/>
  <c r="A3" i="33"/>
  <c r="E2" i="33"/>
  <c r="A2" i="33"/>
  <c r="R127" i="32"/>
  <c r="A157" i="32" l="1"/>
  <c r="A156" i="32"/>
  <c r="A146" i="32"/>
  <c r="A104" i="32"/>
  <c r="A95" i="32"/>
  <c r="A93" i="32"/>
  <c r="A74" i="32"/>
  <c r="A63" i="32"/>
  <c r="A24" i="32" l="1"/>
  <c r="A18" i="32"/>
  <c r="A16" i="32"/>
  <c r="A14" i="32"/>
  <c r="A4" i="32"/>
  <c r="A173" i="32" l="1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4" i="32"/>
  <c r="A153" i="32"/>
  <c r="A152" i="32"/>
  <c r="A151" i="32"/>
  <c r="A150" i="32"/>
  <c r="A148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3" i="32"/>
  <c r="A102" i="32"/>
  <c r="A101" i="32"/>
  <c r="A100" i="32"/>
  <c r="A99" i="32"/>
  <c r="A98" i="32"/>
  <c r="A97" i="32"/>
  <c r="A96" i="32"/>
  <c r="A94" i="32"/>
  <c r="A92" i="32"/>
  <c r="A91" i="32"/>
  <c r="A90" i="32"/>
  <c r="A89" i="32"/>
  <c r="A88" i="32"/>
  <c r="A86" i="32"/>
  <c r="A85" i="32"/>
  <c r="A82" i="32"/>
  <c r="A81" i="32"/>
  <c r="A80" i="32"/>
  <c r="A79" i="32"/>
  <c r="A78" i="32"/>
  <c r="A76" i="32"/>
  <c r="A75" i="32"/>
  <c r="A73" i="32"/>
  <c r="A72" i="32"/>
  <c r="A71" i="32"/>
  <c r="A70" i="32"/>
  <c r="A69" i="32"/>
  <c r="A68" i="32"/>
  <c r="A67" i="32"/>
  <c r="A66" i="32"/>
  <c r="A65" i="32"/>
  <c r="A64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5" i="32"/>
  <c r="A34" i="32"/>
  <c r="A33" i="32"/>
  <c r="A32" i="32"/>
  <c r="A31" i="32"/>
  <c r="A30" i="32"/>
  <c r="A29" i="32"/>
  <c r="A28" i="32"/>
  <c r="A27" i="32"/>
  <c r="A26" i="32"/>
  <c r="A25" i="32"/>
  <c r="A23" i="32"/>
  <c r="A22" i="32"/>
  <c r="A21" i="32"/>
  <c r="A20" i="32"/>
  <c r="A19" i="32"/>
  <c r="A17" i="32"/>
  <c r="A15" i="32"/>
  <c r="A13" i="32"/>
  <c r="A12" i="32"/>
  <c r="A11" i="32"/>
  <c r="A10" i="32"/>
  <c r="A8" i="32"/>
  <c r="A7" i="32"/>
  <c r="A6" i="32"/>
  <c r="A5" i="32"/>
  <c r="A3" i="32"/>
  <c r="A140" i="31"/>
  <c r="A139" i="31"/>
  <c r="A133" i="31"/>
  <c r="A74" i="31"/>
  <c r="A72" i="31"/>
  <c r="A58" i="31"/>
  <c r="A47" i="31"/>
  <c r="A20" i="31"/>
  <c r="A15" i="31"/>
  <c r="A13" i="31"/>
  <c r="I4" i="31"/>
  <c r="A4" i="31"/>
  <c r="A168" i="31"/>
  <c r="A167" i="31"/>
  <c r="A166" i="31"/>
  <c r="A165" i="31"/>
  <c r="A164" i="31"/>
  <c r="A163" i="31"/>
  <c r="A162" i="31"/>
  <c r="A161" i="31"/>
  <c r="A160" i="31"/>
  <c r="A158" i="31"/>
  <c r="A157" i="31"/>
  <c r="A155" i="31"/>
  <c r="A154" i="31"/>
  <c r="A153" i="31"/>
  <c r="A152" i="31"/>
  <c r="A150" i="31"/>
  <c r="A148" i="31"/>
  <c r="A147" i="31"/>
  <c r="A146" i="31"/>
  <c r="A145" i="31"/>
  <c r="A144" i="31"/>
  <c r="A143" i="31"/>
  <c r="A142" i="31"/>
  <c r="A141" i="31"/>
  <c r="A138" i="31"/>
  <c r="A137" i="31"/>
  <c r="A136" i="31"/>
  <c r="A135" i="31"/>
  <c r="A134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2" i="31"/>
  <c r="A91" i="31"/>
  <c r="A88" i="31"/>
  <c r="A87" i="31"/>
  <c r="A86" i="31"/>
  <c r="A85" i="31"/>
  <c r="A84" i="31"/>
  <c r="A82" i="31"/>
  <c r="A81" i="31"/>
  <c r="A80" i="31"/>
  <c r="A79" i="31"/>
  <c r="A78" i="31"/>
  <c r="A77" i="31"/>
  <c r="A76" i="31"/>
  <c r="A75" i="31"/>
  <c r="A73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7" i="31"/>
  <c r="A56" i="31"/>
  <c r="A55" i="31"/>
  <c r="A54" i="31"/>
  <c r="A53" i="31"/>
  <c r="A52" i="31"/>
  <c r="A51" i="31"/>
  <c r="A50" i="31"/>
  <c r="A49" i="31"/>
  <c r="A48" i="31"/>
  <c r="A46" i="31"/>
  <c r="A45" i="31"/>
  <c r="A44" i="31"/>
  <c r="A43" i="31"/>
  <c r="A42" i="31"/>
  <c r="A41" i="31"/>
  <c r="A40" i="31"/>
  <c r="A39" i="31"/>
  <c r="A38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19" i="31"/>
  <c r="A18" i="31"/>
  <c r="A17" i="31"/>
  <c r="A16" i="31"/>
  <c r="A14" i="31"/>
  <c r="A12" i="31"/>
  <c r="A11" i="31"/>
  <c r="A10" i="31"/>
  <c r="A8" i="31"/>
  <c r="A7" i="31"/>
  <c r="A6" i="31"/>
  <c r="A5" i="31"/>
  <c r="A3" i="31"/>
  <c r="I171" i="30" l="1"/>
  <c r="I164" i="30"/>
  <c r="I111" i="30"/>
  <c r="I95" i="30"/>
  <c r="I76" i="30"/>
  <c r="I98" i="29"/>
  <c r="I82" i="29"/>
  <c r="E2" i="32"/>
  <c r="A2" i="32"/>
  <c r="I11" i="31" l="1"/>
  <c r="I10" i="31"/>
  <c r="I8" i="31"/>
  <c r="I7" i="31"/>
  <c r="I6" i="31"/>
  <c r="I5" i="31"/>
  <c r="I3" i="31"/>
  <c r="I2" i="31"/>
  <c r="I130" i="29" l="1"/>
  <c r="A130" i="29"/>
  <c r="I122" i="29"/>
  <c r="A122" i="29"/>
  <c r="I118" i="29"/>
  <c r="A118" i="29"/>
  <c r="I115" i="29"/>
  <c r="A115" i="29"/>
  <c r="I104" i="29"/>
  <c r="A104" i="29"/>
  <c r="I94" i="29"/>
  <c r="A94" i="29"/>
  <c r="I81" i="29"/>
  <c r="I62" i="29"/>
  <c r="A62" i="29"/>
  <c r="I61" i="29"/>
  <c r="A61" i="29"/>
  <c r="I55" i="29"/>
  <c r="A55" i="29"/>
  <c r="I22" i="29"/>
  <c r="A22" i="29"/>
  <c r="I17" i="29"/>
  <c r="A17" i="29"/>
  <c r="I15" i="29"/>
  <c r="A15" i="29"/>
  <c r="I4" i="29"/>
  <c r="A4" i="29"/>
  <c r="A196" i="29"/>
  <c r="A195" i="29"/>
  <c r="A194" i="29"/>
  <c r="A193" i="29"/>
  <c r="A192" i="29"/>
  <c r="A191" i="29"/>
  <c r="A190" i="29"/>
  <c r="A189" i="29"/>
  <c r="A188" i="29"/>
  <c r="A187" i="29"/>
  <c r="A186" i="29"/>
  <c r="A185" i="29"/>
  <c r="A184" i="29"/>
  <c r="A183" i="29"/>
  <c r="A182" i="29"/>
  <c r="A181" i="29"/>
  <c r="A180" i="29"/>
  <c r="A179" i="29"/>
  <c r="A178" i="29"/>
  <c r="A176" i="29"/>
  <c r="A175" i="29"/>
  <c r="A174" i="29"/>
  <c r="A173" i="29"/>
  <c r="A172" i="29"/>
  <c r="A171" i="29"/>
  <c r="A170" i="29"/>
  <c r="A169" i="29"/>
  <c r="A168" i="29"/>
  <c r="A166" i="29"/>
  <c r="A165" i="29"/>
  <c r="A163" i="29"/>
  <c r="A162" i="29"/>
  <c r="A161" i="29"/>
  <c r="A160" i="29"/>
  <c r="A158" i="29"/>
  <c r="A156" i="29"/>
  <c r="A155" i="29"/>
  <c r="A154" i="29"/>
  <c r="A153" i="29"/>
  <c r="A152" i="29"/>
  <c r="A151" i="29"/>
  <c r="A150" i="29"/>
  <c r="A149" i="29"/>
  <c r="A148" i="29"/>
  <c r="A147" i="29"/>
  <c r="A146" i="29"/>
  <c r="A145" i="29"/>
  <c r="A144" i="29"/>
  <c r="A143" i="29"/>
  <c r="A142" i="29"/>
  <c r="A141" i="29"/>
  <c r="A140" i="29"/>
  <c r="A139" i="29"/>
  <c r="A138" i="29"/>
  <c r="A137" i="29"/>
  <c r="A136" i="29"/>
  <c r="A135" i="29"/>
  <c r="A134" i="29"/>
  <c r="A133" i="29"/>
  <c r="A132" i="29"/>
  <c r="A131" i="29"/>
  <c r="A129" i="29"/>
  <c r="A128" i="29"/>
  <c r="A127" i="29"/>
  <c r="A126" i="29"/>
  <c r="A125" i="29"/>
  <c r="A124" i="29"/>
  <c r="A123" i="29"/>
  <c r="A121" i="29"/>
  <c r="A120" i="29"/>
  <c r="A116" i="29"/>
  <c r="A114" i="29"/>
  <c r="A113" i="29"/>
  <c r="A112" i="29"/>
  <c r="A111" i="29"/>
  <c r="A110" i="29"/>
  <c r="A109" i="29"/>
  <c r="A108" i="29"/>
  <c r="A107" i="29"/>
  <c r="A106" i="29"/>
  <c r="A105" i="29"/>
  <c r="A103" i="29"/>
  <c r="A102" i="29"/>
  <c r="A101" i="29"/>
  <c r="A100" i="29"/>
  <c r="A99" i="29"/>
  <c r="A98" i="29"/>
  <c r="A97" i="29"/>
  <c r="A96" i="29"/>
  <c r="A93" i="29"/>
  <c r="A90" i="29"/>
  <c r="A89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5" i="29"/>
  <c r="A60" i="29"/>
  <c r="A59" i="29"/>
  <c r="A58" i="29"/>
  <c r="A57" i="29"/>
  <c r="A56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1" i="29"/>
  <c r="A20" i="29"/>
  <c r="A19" i="29"/>
  <c r="A18" i="29"/>
  <c r="A16" i="29"/>
  <c r="A14" i="29"/>
  <c r="A13" i="29"/>
  <c r="A12" i="29"/>
  <c r="A11" i="29"/>
  <c r="A10" i="29"/>
  <c r="A9" i="29"/>
  <c r="A7" i="29"/>
  <c r="A6" i="29"/>
  <c r="A5" i="29"/>
  <c r="A3" i="29"/>
  <c r="I196" i="29"/>
  <c r="I195" i="29"/>
  <c r="I194" i="29"/>
  <c r="I193" i="29"/>
  <c r="I192" i="29"/>
  <c r="I191" i="29"/>
  <c r="I190" i="29"/>
  <c r="I189" i="29"/>
  <c r="I188" i="29"/>
  <c r="I187" i="29"/>
  <c r="I186" i="29"/>
  <c r="I185" i="29"/>
  <c r="I184" i="29"/>
  <c r="I183" i="29"/>
  <c r="I182" i="29"/>
  <c r="I181" i="29"/>
  <c r="I180" i="29"/>
  <c r="I179" i="29"/>
  <c r="I178" i="29"/>
  <c r="I176" i="29"/>
  <c r="I175" i="29"/>
  <c r="I174" i="29"/>
  <c r="I173" i="29"/>
  <c r="I172" i="29"/>
  <c r="I171" i="29"/>
  <c r="I170" i="29"/>
  <c r="I169" i="29"/>
  <c r="I168" i="29"/>
  <c r="I166" i="29"/>
  <c r="I165" i="29"/>
  <c r="I163" i="29"/>
  <c r="I162" i="29"/>
  <c r="I161" i="29"/>
  <c r="I160" i="29"/>
  <c r="I158" i="29"/>
  <c r="I156" i="29"/>
  <c r="I155" i="29"/>
  <c r="I154" i="29"/>
  <c r="I153" i="29"/>
  <c r="I152" i="29"/>
  <c r="I151" i="29"/>
  <c r="I150" i="29"/>
  <c r="I149" i="29"/>
  <c r="I148" i="29"/>
  <c r="I147" i="29"/>
  <c r="I146" i="29"/>
  <c r="I145" i="29"/>
  <c r="I144" i="29"/>
  <c r="I143" i="29"/>
  <c r="I142" i="29"/>
  <c r="I141" i="29"/>
  <c r="I140" i="29"/>
  <c r="I139" i="29"/>
  <c r="I138" i="29"/>
  <c r="I137" i="29"/>
  <c r="I136" i="29"/>
  <c r="I135" i="29"/>
  <c r="I134" i="29"/>
  <c r="I133" i="29"/>
  <c r="I132" i="29"/>
  <c r="I131" i="29"/>
  <c r="I129" i="29"/>
  <c r="I128" i="29"/>
  <c r="I127" i="29"/>
  <c r="I126" i="29"/>
  <c r="I125" i="29"/>
  <c r="I124" i="29"/>
  <c r="I123" i="29"/>
  <c r="I121" i="29"/>
  <c r="I120" i="29"/>
  <c r="I116" i="29"/>
  <c r="I114" i="29"/>
  <c r="I113" i="29"/>
  <c r="I112" i="29"/>
  <c r="I111" i="29"/>
  <c r="I110" i="29"/>
  <c r="I109" i="29"/>
  <c r="I108" i="29"/>
  <c r="I107" i="29"/>
  <c r="I106" i="29"/>
  <c r="I105" i="29"/>
  <c r="I103" i="29"/>
  <c r="I102" i="29"/>
  <c r="I101" i="29"/>
  <c r="I100" i="29"/>
  <c r="I99" i="29"/>
  <c r="I97" i="29"/>
  <c r="I96" i="29"/>
  <c r="I93" i="29"/>
  <c r="I90" i="29"/>
  <c r="I89" i="29"/>
  <c r="I87" i="29"/>
  <c r="I86" i="29"/>
  <c r="I85" i="29"/>
  <c r="I84" i="29"/>
  <c r="I83" i="29"/>
  <c r="I80" i="29"/>
  <c r="I79" i="29"/>
  <c r="I78" i="29"/>
  <c r="I77" i="29"/>
  <c r="I76" i="29"/>
  <c r="I75" i="29"/>
  <c r="I74" i="29"/>
  <c r="I73" i="29"/>
  <c r="I72" i="29"/>
  <c r="I71" i="29"/>
  <c r="I70" i="29"/>
  <c r="I69" i="29"/>
  <c r="I68" i="29"/>
  <c r="I65" i="29"/>
  <c r="I60" i="29"/>
  <c r="I59" i="29"/>
  <c r="I58" i="29"/>
  <c r="I57" i="29"/>
  <c r="I56" i="29"/>
  <c r="I54" i="29"/>
  <c r="I53" i="29"/>
  <c r="I52" i="29"/>
  <c r="I51" i="29"/>
  <c r="I50" i="29"/>
  <c r="I49" i="29"/>
  <c r="I48" i="29"/>
  <c r="I47" i="29"/>
  <c r="I46" i="29"/>
  <c r="I45" i="29"/>
  <c r="I44" i="29"/>
  <c r="I43" i="29"/>
  <c r="I42" i="29"/>
  <c r="I41" i="29"/>
  <c r="I40" i="29"/>
  <c r="I39" i="29"/>
  <c r="I38" i="29"/>
  <c r="I37" i="29"/>
  <c r="I35" i="29"/>
  <c r="I34" i="29"/>
  <c r="I33" i="29"/>
  <c r="I32" i="29"/>
  <c r="I31" i="29"/>
  <c r="I30" i="29"/>
  <c r="I29" i="29"/>
  <c r="I28" i="29"/>
  <c r="I27" i="29"/>
  <c r="I26" i="29"/>
  <c r="I25" i="29"/>
  <c r="I24" i="29"/>
  <c r="I23" i="29"/>
  <c r="I21" i="29"/>
  <c r="I20" i="29"/>
  <c r="I19" i="29"/>
  <c r="I18" i="29"/>
  <c r="I16" i="29"/>
  <c r="I14" i="29"/>
  <c r="I13" i="29"/>
  <c r="I12" i="29"/>
  <c r="I11" i="29"/>
  <c r="I10" i="29"/>
  <c r="I9" i="29"/>
  <c r="I7" i="29"/>
  <c r="I6" i="29"/>
  <c r="I5" i="29"/>
  <c r="I3" i="29"/>
  <c r="I2" i="29"/>
  <c r="I154" i="30" l="1"/>
  <c r="A154" i="30"/>
  <c r="I114" i="30" l="1"/>
  <c r="A114" i="30"/>
  <c r="I89" i="30" l="1"/>
  <c r="A89" i="30"/>
  <c r="I61" i="30"/>
  <c r="A61" i="30"/>
  <c r="I60" i="30"/>
  <c r="A60" i="30"/>
  <c r="I53" i="30"/>
  <c r="A53" i="30"/>
  <c r="I193" i="30"/>
  <c r="I187" i="30"/>
  <c r="I185" i="30"/>
  <c r="I182" i="30"/>
  <c r="I180" i="30"/>
  <c r="I179" i="30"/>
  <c r="I178" i="30"/>
  <c r="I176" i="30"/>
  <c r="I175" i="30"/>
  <c r="I174" i="30"/>
  <c r="I169" i="30"/>
  <c r="I157" i="30"/>
  <c r="I152" i="30"/>
  <c r="I150" i="30"/>
  <c r="I149" i="30"/>
  <c r="I148" i="30"/>
  <c r="I147" i="30"/>
  <c r="I144" i="30"/>
  <c r="I143" i="30"/>
  <c r="I142" i="30"/>
  <c r="I141" i="30"/>
  <c r="I138" i="30"/>
  <c r="I135" i="30"/>
  <c r="I131" i="30"/>
  <c r="I127" i="30"/>
  <c r="I117" i="30"/>
  <c r="I115" i="30"/>
  <c r="I113" i="30"/>
  <c r="I109" i="30"/>
  <c r="I108" i="30"/>
  <c r="I107" i="30"/>
  <c r="I106" i="30"/>
  <c r="I105" i="30"/>
  <c r="I104" i="30"/>
  <c r="I100" i="30"/>
  <c r="I97" i="30"/>
  <c r="I94" i="30"/>
  <c r="I93" i="30"/>
  <c r="I92" i="30"/>
  <c r="I91" i="30"/>
  <c r="I87" i="30"/>
  <c r="I85" i="30"/>
  <c r="I84" i="30"/>
  <c r="I83" i="30"/>
  <c r="I80" i="30"/>
  <c r="I75" i="30"/>
  <c r="I73" i="30"/>
  <c r="I72" i="30"/>
  <c r="I71" i="30"/>
  <c r="I67" i="30"/>
  <c r="I64" i="30"/>
  <c r="I59" i="30"/>
  <c r="I57" i="30"/>
  <c r="I56" i="30"/>
  <c r="I55" i="30"/>
  <c r="I52" i="30"/>
  <c r="I51" i="30"/>
  <c r="I50" i="30"/>
  <c r="I102" i="30"/>
  <c r="A102" i="30"/>
  <c r="A22" i="30"/>
  <c r="I23" i="30"/>
  <c r="A23" i="30"/>
  <c r="I17" i="30"/>
  <c r="A17" i="30"/>
  <c r="I14" i="30"/>
  <c r="A14" i="30"/>
  <c r="I3" i="30"/>
  <c r="A3" i="30"/>
  <c r="A193" i="30"/>
  <c r="A192" i="30"/>
  <c r="A190" i="30"/>
  <c r="A189" i="30"/>
  <c r="A188" i="30"/>
  <c r="A187" i="30"/>
  <c r="A186" i="30"/>
  <c r="A185" i="30"/>
  <c r="A184" i="30"/>
  <c r="A183" i="30"/>
  <c r="A182" i="30"/>
  <c r="A181" i="30"/>
  <c r="A180" i="30"/>
  <c r="A179" i="30"/>
  <c r="A178" i="30"/>
  <c r="A177" i="30"/>
  <c r="A176" i="30"/>
  <c r="A175" i="30"/>
  <c r="A174" i="30"/>
  <c r="A173" i="30"/>
  <c r="A172" i="30"/>
  <c r="A171" i="30"/>
  <c r="A170" i="30"/>
  <c r="A169" i="30"/>
  <c r="A168" i="30"/>
  <c r="A167" i="30"/>
  <c r="A166" i="30"/>
  <c r="A165" i="30"/>
  <c r="A164" i="30"/>
  <c r="A163" i="30"/>
  <c r="A162" i="30"/>
  <c r="A160" i="30"/>
  <c r="A159" i="30"/>
  <c r="A157" i="30"/>
  <c r="A156" i="30"/>
  <c r="A155" i="30"/>
  <c r="A152" i="30"/>
  <c r="A150" i="30"/>
  <c r="A149" i="30"/>
  <c r="A148" i="30"/>
  <c r="A147" i="30"/>
  <c r="A146" i="30"/>
  <c r="A145" i="30"/>
  <c r="A144" i="30"/>
  <c r="A143" i="30"/>
  <c r="A142" i="30"/>
  <c r="A141" i="30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5" i="30"/>
  <c r="A124" i="30"/>
  <c r="A123" i="30"/>
  <c r="A122" i="30"/>
  <c r="A121" i="30"/>
  <c r="A120" i="30"/>
  <c r="A119" i="30"/>
  <c r="A117" i="30"/>
  <c r="A115" i="30"/>
  <c r="A113" i="30"/>
  <c r="A111" i="30"/>
  <c r="A110" i="30"/>
  <c r="A109" i="30"/>
  <c r="A108" i="30"/>
  <c r="A107" i="30"/>
  <c r="A106" i="30"/>
  <c r="A105" i="30"/>
  <c r="A104" i="30"/>
  <c r="A103" i="30"/>
  <c r="A101" i="30"/>
  <c r="A100" i="30"/>
  <c r="A99" i="30"/>
  <c r="A98" i="30"/>
  <c r="A97" i="30"/>
  <c r="A96" i="30"/>
  <c r="A95" i="30"/>
  <c r="A94" i="30"/>
  <c r="A93" i="30"/>
  <c r="A92" i="30"/>
  <c r="A91" i="30"/>
  <c r="A87" i="30"/>
  <c r="A85" i="30"/>
  <c r="A84" i="30"/>
  <c r="A83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59" i="30"/>
  <c r="A58" i="30"/>
  <c r="A57" i="30"/>
  <c r="A56" i="30"/>
  <c r="A55" i="30"/>
  <c r="A54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1" i="30"/>
  <c r="A20" i="30"/>
  <c r="A19" i="30"/>
  <c r="A18" i="30"/>
  <c r="A16" i="30"/>
  <c r="A15" i="30"/>
  <c r="A13" i="30"/>
  <c r="A12" i="30"/>
  <c r="A11" i="30"/>
  <c r="A10" i="30"/>
  <c r="A8" i="30"/>
  <c r="A7" i="30"/>
  <c r="A6" i="30"/>
  <c r="A5" i="30"/>
  <c r="A4" i="30"/>
  <c r="I192" i="30"/>
  <c r="I190" i="30"/>
  <c r="I189" i="30"/>
  <c r="I188" i="30"/>
  <c r="I186" i="30"/>
  <c r="I184" i="30"/>
  <c r="I183" i="30"/>
  <c r="I181" i="30"/>
  <c r="I177" i="30"/>
  <c r="I173" i="30"/>
  <c r="I172" i="30"/>
  <c r="I170" i="30"/>
  <c r="I168" i="30"/>
  <c r="I167" i="30"/>
  <c r="I166" i="30"/>
  <c r="I165" i="30"/>
  <c r="I163" i="30"/>
  <c r="I162" i="30"/>
  <c r="I160" i="30"/>
  <c r="I159" i="30"/>
  <c r="I156" i="30"/>
  <c r="I155" i="30"/>
  <c r="I146" i="30"/>
  <c r="I145" i="30"/>
  <c r="I140" i="30"/>
  <c r="I139" i="30"/>
  <c r="I137" i="30"/>
  <c r="I136" i="30"/>
  <c r="I134" i="30"/>
  <c r="I133" i="30"/>
  <c r="I132" i="30"/>
  <c r="I130" i="30"/>
  <c r="I129" i="30"/>
  <c r="I128" i="30"/>
  <c r="I125" i="30"/>
  <c r="I124" i="30"/>
  <c r="I123" i="30"/>
  <c r="I122" i="30"/>
  <c r="I121" i="30"/>
  <c r="I120" i="30"/>
  <c r="I119" i="30"/>
  <c r="I110" i="30"/>
  <c r="I103" i="30"/>
  <c r="I101" i="30"/>
  <c r="I99" i="30"/>
  <c r="I98" i="30"/>
  <c r="I96" i="30"/>
  <c r="I81" i="30"/>
  <c r="I79" i="30"/>
  <c r="I78" i="30"/>
  <c r="I77" i="30"/>
  <c r="I74" i="30"/>
  <c r="I70" i="30"/>
  <c r="I69" i="30"/>
  <c r="I68" i="30"/>
  <c r="I66" i="30"/>
  <c r="I65" i="30"/>
  <c r="I63" i="30"/>
  <c r="I62" i="30"/>
  <c r="I58" i="30"/>
  <c r="I54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2" i="30"/>
  <c r="I21" i="30"/>
  <c r="I20" i="30"/>
  <c r="I19" i="30"/>
  <c r="I18" i="30"/>
  <c r="I16" i="30"/>
  <c r="I15" i="30"/>
  <c r="I13" i="30"/>
  <c r="I12" i="30"/>
  <c r="I11" i="30"/>
  <c r="I10" i="30"/>
  <c r="I8" i="30"/>
  <c r="I7" i="30"/>
  <c r="I6" i="30"/>
  <c r="I5" i="30"/>
  <c r="I4" i="30"/>
  <c r="I2" i="30"/>
  <c r="E2" i="31" l="1"/>
  <c r="E2" i="30"/>
  <c r="A2" i="31" l="1"/>
  <c r="A2" i="30" l="1"/>
  <c r="E2" i="29" l="1"/>
  <c r="A2" i="29"/>
</calcChain>
</file>

<file path=xl/sharedStrings.xml><?xml version="1.0" encoding="utf-8"?>
<sst xmlns="http://schemas.openxmlformats.org/spreadsheetml/2006/main" count="7893" uniqueCount="585">
  <si>
    <t>BROKER</t>
  </si>
  <si>
    <t xml:space="preserve">HISTORICO </t>
  </si>
  <si>
    <t>DATA COMPETENCIA</t>
  </si>
  <si>
    <t>VALOR</t>
  </si>
  <si>
    <t>FORNECEDOR</t>
  </si>
  <si>
    <t>DATA LANCAMENTO</t>
  </si>
  <si>
    <t>Conta Contabil</t>
  </si>
  <si>
    <t>-</t>
  </si>
  <si>
    <t xml:space="preserve">CUSTO DMA </t>
  </si>
  <si>
    <t>HISTORICO</t>
  </si>
  <si>
    <t>TRADER</t>
  </si>
  <si>
    <t>ESPAÇO</t>
  </si>
  <si>
    <t>MÊS</t>
  </si>
  <si>
    <t>PERCENTUAL</t>
  </si>
  <si>
    <t>CÓDIGO DO CLIENTE</t>
  </si>
  <si>
    <t xml:space="preserve">CUSTO DMA. </t>
  </si>
  <si>
    <t xml:space="preserve"> JANEIRO 26</t>
  </si>
  <si>
    <t xml:space="preserve"> FEVEREIRO 26</t>
  </si>
  <si>
    <t xml:space="preserve"> MARÇO 26</t>
  </si>
  <si>
    <t>ANTONIO MOURA ANDRADE</t>
  </si>
  <si>
    <t>ANDRE BAUM</t>
  </si>
  <si>
    <t>ALESSANDRO EZEQUIEL</t>
  </si>
  <si>
    <t>ANA FLAVIA SOARES</t>
  </si>
  <si>
    <t>ALFIO SILVA</t>
  </si>
  <si>
    <t>BEATRIZ BIDUTTE</t>
  </si>
  <si>
    <t>BRUNO FISCHER</t>
  </si>
  <si>
    <t>BERNARDO GOMES</t>
  </si>
  <si>
    <t>BRUNO MARQUES</t>
  </si>
  <si>
    <t>BRUNO SCHIAVINATO</t>
  </si>
  <si>
    <t>DANIEL COSTA</t>
  </si>
  <si>
    <t>DANILO MACARI</t>
  </si>
  <si>
    <t>DANIEL SARAIVA</t>
  </si>
  <si>
    <t>FILIPE CAVALCANTI</t>
  </si>
  <si>
    <t>FELIPE GRIGOROVSKI</t>
  </si>
  <si>
    <t>FELIPE GUERRA</t>
  </si>
  <si>
    <t>FABIO NASSAR</t>
  </si>
  <si>
    <t>FERNANDO SCARPA</t>
  </si>
  <si>
    <t>GABRIEL NASCIMENTO</t>
  </si>
  <si>
    <t>GUILHERME PACHECO</t>
  </si>
  <si>
    <t>GIOVANNE TELES</t>
  </si>
  <si>
    <t>JOAO GABRIEL LOBO</t>
  </si>
  <si>
    <t>JOAO PEDRO LEON</t>
  </si>
  <si>
    <t>KAUE CHINELLATO</t>
  </si>
  <si>
    <t>KARINE VICENTE</t>
  </si>
  <si>
    <t>LUIZ CALOBA</t>
  </si>
  <si>
    <t>LEONARDO MACEDO</t>
  </si>
  <si>
    <t>MARCIO ALBUQUERQUE</t>
  </si>
  <si>
    <t>MATEUS CRUZ</t>
  </si>
  <si>
    <t>MARCELO DREYER</t>
  </si>
  <si>
    <t>MARIANA NEVES</t>
  </si>
  <si>
    <t>MARCO RIGO</t>
  </si>
  <si>
    <t>MARIO RUOCO</t>
  </si>
  <si>
    <t>PEDRO CURY</t>
  </si>
  <si>
    <t>PEDRO PEREIRA</t>
  </si>
  <si>
    <t>PAULO VASCONCELLOS</t>
  </si>
  <si>
    <t>RAFAEL ANDRADE</t>
  </si>
  <si>
    <t>RENANN DAVID</t>
  </si>
  <si>
    <t>RAFAEL FONSECA</t>
  </si>
  <si>
    <t>RAFAEL PISTELLI</t>
  </si>
  <si>
    <t>RICARDO R ROSA</t>
  </si>
  <si>
    <t>RAPHAELA SPILBERG</t>
  </si>
  <si>
    <t>SAMIR CHELALA</t>
  </si>
  <si>
    <t>TIAGO RING</t>
  </si>
  <si>
    <t>ALISSON COSTA ARRAIS</t>
  </si>
  <si>
    <t>ALEXANDRE NEVES</t>
  </si>
  <si>
    <t>ALEXANDRE RODRIGUES</t>
  </si>
  <si>
    <t>CAETANO RUFINO RAMOS</t>
  </si>
  <si>
    <t>DANIEL NAMAN CARDOSO</t>
  </si>
  <si>
    <t>ELIAS RAYES</t>
  </si>
  <si>
    <t>FREDERIC BROWN</t>
  </si>
  <si>
    <t>FELIPE UNGER</t>
  </si>
  <si>
    <t>GABRIEL BAPTISTELA</t>
  </si>
  <si>
    <t>ISABELLA ATAIDE</t>
  </si>
  <si>
    <t>JOAO RAMALHO</t>
  </si>
  <si>
    <t>LUIZ BASQUEIRA</t>
  </si>
  <si>
    <t>PAULO GUEDES</t>
  </si>
  <si>
    <t>RUY BALIEIRO</t>
  </si>
  <si>
    <t>RODOLFO FERRARI</t>
  </si>
  <si>
    <t>RAUL LESSA</t>
  </si>
  <si>
    <t>RAFAEL MADI</t>
  </si>
  <si>
    <t>RAFAEL POPPE</t>
  </si>
  <si>
    <t>SAMUEL SOARES</t>
  </si>
  <si>
    <t>VICENTE MELLO</t>
  </si>
  <si>
    <t>RICARDO BERNSTEIN</t>
  </si>
  <si>
    <t>ANDRÉ CALDAS</t>
  </si>
  <si>
    <t>RONAN BOTELHO</t>
  </si>
  <si>
    <t>BRUNO GUEDES</t>
  </si>
  <si>
    <t>DANIEL MOTTA CAMARGO</t>
  </si>
  <si>
    <t>EDUARDO BRESSAN</t>
  </si>
  <si>
    <t>FELIPE BEDIAGA</t>
  </si>
  <si>
    <t>IVAN KRAISER</t>
  </si>
  <si>
    <t>JAMES OLIVEIRA</t>
  </si>
  <si>
    <t>JOÃO CARUSO</t>
  </si>
  <si>
    <t>LEO VAINZOF</t>
  </si>
  <si>
    <t>LEONARDO GARROUX</t>
  </si>
  <si>
    <t>LEONARDO NAKAJIMA</t>
  </si>
  <si>
    <t>LUCAS PACCOLA</t>
  </si>
  <si>
    <t>MARCEL YAGUI</t>
  </si>
  <si>
    <t>MARCELO IDE</t>
  </si>
  <si>
    <t>MATHEUS EFRAIN</t>
  </si>
  <si>
    <t>MATHEUS SOUZA</t>
  </si>
  <si>
    <t>REINALDO URBANO</t>
  </si>
  <si>
    <t>RICARDO CAIXETA</t>
  </si>
  <si>
    <t>SERGIO ALMEIDA</t>
  </si>
  <si>
    <t>BARNEY SILVA</t>
  </si>
  <si>
    <t>THIAGO ROLO</t>
  </si>
  <si>
    <t>TOMAS PEREIRA</t>
  </si>
  <si>
    <t>VINICIO HUANG</t>
  </si>
  <si>
    <t>VINICIUS CARVALHO</t>
  </si>
  <si>
    <t>VITOR ANGELIS</t>
  </si>
  <si>
    <t>WELLINGTON DIAS PEREIRA</t>
  </si>
  <si>
    <t>WILLIAM LEITE</t>
  </si>
  <si>
    <t>BRUNO HERZOG GARCIA</t>
  </si>
  <si>
    <t>DERISVALDO SANTANA DA CRUZ</t>
  </si>
  <si>
    <t>GUILHERME SILVA BRENNAND</t>
  </si>
  <si>
    <t>LUIS FREDERICO BARRETO RODRIGUES</t>
  </si>
  <si>
    <t>RODRIGO MAGALHAES MACEDO PAIM</t>
  </si>
  <si>
    <t>ANDERSON KAM (RED HILL TRADING)</t>
  </si>
  <si>
    <t>ANDRÉ BLANCO</t>
  </si>
  <si>
    <t>ALEJANDRO CHAVEZ</t>
  </si>
  <si>
    <t>ALEXANDRE SALFATIS</t>
  </si>
  <si>
    <t>ANDERSON LUEDERS</t>
  </si>
  <si>
    <t>ANDRÉ MAMED</t>
  </si>
  <si>
    <t>ANTONIO GUIMARAES</t>
  </si>
  <si>
    <t>ANDRÉ VIEIRA</t>
  </si>
  <si>
    <t>ALEXANDRE PALMAS</t>
  </si>
  <si>
    <t>ANDRE PINHEIRO</t>
  </si>
  <si>
    <t>ANDRE SOARES</t>
  </si>
  <si>
    <t>BERNARDO COSTA</t>
  </si>
  <si>
    <t>BRUNO MARTINS</t>
  </si>
  <si>
    <t xml:space="preserve">CARLOS EDUARDO MAIA </t>
  </si>
  <si>
    <t>CARLO MORATELLI</t>
  </si>
  <si>
    <t>CESAR PAIVA</t>
  </si>
  <si>
    <t>DANIEL TATSUMI</t>
  </si>
  <si>
    <t>DANILO GALVAO</t>
  </si>
  <si>
    <t>DANIEL VITOR SALOMÃO</t>
  </si>
  <si>
    <t>DANIEL STRUZBERG</t>
  </si>
  <si>
    <t>ENRIQUE BALBINO</t>
  </si>
  <si>
    <t>ERICO FAUSTINO</t>
  </si>
  <si>
    <t>ENRICO ZEITUNE PASCUCCI</t>
  </si>
  <si>
    <t>FABIO DANTAS</t>
  </si>
  <si>
    <t>FABRICIO TASCHETTO</t>
  </si>
  <si>
    <t xml:space="preserve">GABRIEL LIMA </t>
  </si>
  <si>
    <t>HENRIQUE GARCIA</t>
  </si>
  <si>
    <t xml:space="preserve">IGOR PERRUPATO MATTAR </t>
  </si>
  <si>
    <t>ISABELA TAKARA</t>
  </si>
  <si>
    <t>JOAO L F BENADUCCI</t>
  </si>
  <si>
    <t>JOSÉ PEDRO BORGES</t>
  </si>
  <si>
    <t>JOSEPH HOROVITZ</t>
  </si>
  <si>
    <t>JOÃO PAULO MINGO</t>
  </si>
  <si>
    <t>JOÃO PAULO GOIS SPECK</t>
  </si>
  <si>
    <t>JULIO SAMPAIO</t>
  </si>
  <si>
    <t>LEANDRO FIUZA</t>
  </si>
  <si>
    <t>LEONARDO PAULO MACHADO</t>
  </si>
  <si>
    <t>LUIZ LOUREIRO</t>
  </si>
  <si>
    <t>MATHEUS KWON</t>
  </si>
  <si>
    <t>MAIKO CARVALHO BARRETO</t>
  </si>
  <si>
    <t>ERNESTO MELLO</t>
  </si>
  <si>
    <t>MATHEUS HENRIQUE DUARTE DOS SANTOS</t>
  </si>
  <si>
    <t>MATEUS LANDIM</t>
  </si>
  <si>
    <t>MARCELO MARQUES</t>
  </si>
  <si>
    <t>PEDRO NUNES</t>
  </si>
  <si>
    <t>PIETRO TORTORELI</t>
  </si>
  <si>
    <t>RICARDO CATTARUZZI</t>
  </si>
  <si>
    <t>RODRIGO COELHO NETTO GAZE</t>
  </si>
  <si>
    <t>RODRIGO LIVIANU</t>
  </si>
  <si>
    <t>RODRIGO NATALI</t>
  </si>
  <si>
    <t>RODRIGO ALVES BRAGA</t>
  </si>
  <si>
    <t>RODRIGO SANTOS</t>
  </si>
  <si>
    <t>RODRIGO PILEGGI</t>
  </si>
  <si>
    <t>VICTOR RUSSO</t>
  </si>
  <si>
    <t>SADI TOMAZONI JUNIOR</t>
  </si>
  <si>
    <t>SERGIO CORDONI</t>
  </si>
  <si>
    <t>THIAGO DI BLASI</t>
  </si>
  <si>
    <t>TALES FREIRE</t>
  </si>
  <si>
    <t>THIAGO RICCIOLI BORK</t>
  </si>
  <si>
    <t>THEOFILO NETO</t>
  </si>
  <si>
    <t>THIAGO OORTMAN</t>
  </si>
  <si>
    <t>GUSTAVO BASSICHETTO</t>
  </si>
  <si>
    <t>THIAGO SANTOS</t>
  </si>
  <si>
    <t>ULISSES GORITO</t>
  </si>
  <si>
    <t>VITOR BELMIRO</t>
  </si>
  <si>
    <t>VITOR KASSAB</t>
  </si>
  <si>
    <t>VICTOR VELOSO</t>
  </si>
  <si>
    <t>WILLIAM M LEE</t>
  </si>
  <si>
    <t>YGOR QUINHONI FONTES</t>
  </si>
  <si>
    <t xml:space="preserve">YURI DE OLIVEIRA BIALOSKORSKI </t>
  </si>
  <si>
    <t>LUCAS ROSSI</t>
  </si>
  <si>
    <t>HENRIQUE PEINADO</t>
  </si>
  <si>
    <t>MARCIO UEJIMA</t>
  </si>
  <si>
    <t>aandrade</t>
  </si>
  <si>
    <t>abaum</t>
  </si>
  <si>
    <t>aezequiel</t>
  </si>
  <si>
    <t>afsoares</t>
  </si>
  <si>
    <t>asilva</t>
  </si>
  <si>
    <t>bbidutte</t>
  </si>
  <si>
    <t>bfischer</t>
  </si>
  <si>
    <t>bgomes</t>
  </si>
  <si>
    <t>bmarques</t>
  </si>
  <si>
    <t>bschiavinato</t>
  </si>
  <si>
    <t>dcosta</t>
  </si>
  <si>
    <t>dmacari</t>
  </si>
  <si>
    <t>dsaraiva</t>
  </si>
  <si>
    <t>fcavalcanti</t>
  </si>
  <si>
    <t>fgrigorovski</t>
  </si>
  <si>
    <t>fguerra</t>
  </si>
  <si>
    <t>fnassar</t>
  </si>
  <si>
    <t>fscarpa</t>
  </si>
  <si>
    <t>gnascimento</t>
  </si>
  <si>
    <t>gpacheco</t>
  </si>
  <si>
    <t>gteles</t>
  </si>
  <si>
    <t>jlobo</t>
  </si>
  <si>
    <t>jpleon</t>
  </si>
  <si>
    <t>kchinellato</t>
  </si>
  <si>
    <t>kvicente</t>
  </si>
  <si>
    <t>lcaloba</t>
  </si>
  <si>
    <t>lmacedo</t>
  </si>
  <si>
    <t>malbuquerque</t>
  </si>
  <si>
    <t>mcruz</t>
  </si>
  <si>
    <t>mdreyer</t>
  </si>
  <si>
    <t>mneves</t>
  </si>
  <si>
    <t>mrigo</t>
  </si>
  <si>
    <t>mruoco</t>
  </si>
  <si>
    <t>pcury</t>
  </si>
  <si>
    <t>ppereira</t>
  </si>
  <si>
    <t>pvasconcellos</t>
  </si>
  <si>
    <t>randrade</t>
  </si>
  <si>
    <t>rdavid</t>
  </si>
  <si>
    <t>rfonseca</t>
  </si>
  <si>
    <t>rpistelli</t>
  </si>
  <si>
    <t>rrosa</t>
  </si>
  <si>
    <t>rspilberg</t>
  </si>
  <si>
    <t>schelala</t>
  </si>
  <si>
    <t>tring</t>
  </si>
  <si>
    <t>acosta</t>
  </si>
  <si>
    <t>alneves</t>
  </si>
  <si>
    <t>alrodrigues</t>
  </si>
  <si>
    <t>cramos</t>
  </si>
  <si>
    <t>dncardoso</t>
  </si>
  <si>
    <t>erayes</t>
  </si>
  <si>
    <t>fbrown</t>
  </si>
  <si>
    <t>funger</t>
  </si>
  <si>
    <t>gbaptistela</t>
  </si>
  <si>
    <t>iataide</t>
  </si>
  <si>
    <t>jramalho</t>
  </si>
  <si>
    <t>lbasqueira</t>
  </si>
  <si>
    <t>pguedes</t>
  </si>
  <si>
    <t>rbalieiro</t>
  </si>
  <si>
    <t>rferrari</t>
  </si>
  <si>
    <t>rmadi</t>
  </si>
  <si>
    <t>rpoppe</t>
  </si>
  <si>
    <t>ssoares</t>
  </si>
  <si>
    <t>vmello</t>
  </si>
  <si>
    <t>andre.caldas@springscapital.com.br</t>
  </si>
  <si>
    <t>botelhor@apexpartners.com.br</t>
  </si>
  <si>
    <t>bruno.guedes@btgpactual.com</t>
  </si>
  <si>
    <t>daniel-c.motta@btgpactual.com</t>
  </si>
  <si>
    <t>eduardo.bressan@btgpactual.com</t>
  </si>
  <si>
    <t>felipe.bediaga@btgpactual.com</t>
  </si>
  <si>
    <t>ivan.kraiser@garininvestimentos.com.br</t>
  </si>
  <si>
    <t>james.oliveira@vinlandcap.com</t>
  </si>
  <si>
    <t>joao.caruso@vinlandcap.com</t>
  </si>
  <si>
    <t>leo.vainzof@btgpactual.com</t>
  </si>
  <si>
    <t>leonardo.garroux@portoseguro.com.br</t>
  </si>
  <si>
    <t>leonardo.nakajima@portoseguro.com.br</t>
  </si>
  <si>
    <t>lucas.paccola@vinland.com</t>
  </si>
  <si>
    <t>marcel.yagui@safra.com.br</t>
  </si>
  <si>
    <t>marcelo.ide@schroders.com</t>
  </si>
  <si>
    <t>matheus.efrain@springscapital.com.br</t>
  </si>
  <si>
    <t>msouza@ryoasset.com.br</t>
  </si>
  <si>
    <t>reinaldo.filho@portoseguro.com.br</t>
  </si>
  <si>
    <t>ricardo.caixeta@btgpactual.com</t>
  </si>
  <si>
    <t>sergio.almeida@btgpactual.com</t>
  </si>
  <si>
    <t>silvab@carbyneinvestimentos.com</t>
  </si>
  <si>
    <t>thiago.rolo@vinlandcap.com</t>
  </si>
  <si>
    <t>tomas.pereira@portoseguro.com.br</t>
  </si>
  <si>
    <t>vinicio.huang@vinlandcap.com</t>
  </si>
  <si>
    <t>vinicius.carvalho@btgpactual.com</t>
  </si>
  <si>
    <t>vitor.angelis@safra.com.br</t>
  </si>
  <si>
    <t>wellington.dias@btgpactual.com</t>
  </si>
  <si>
    <t>william.leite@patria.com</t>
  </si>
  <si>
    <t>rt_f1693433</t>
  </si>
  <si>
    <t>rt_f2398729</t>
  </si>
  <si>
    <t>rt_f3868576</t>
  </si>
  <si>
    <t>rt_f6365525</t>
  </si>
  <si>
    <t>rt_f8711703</t>
  </si>
  <si>
    <t>aether</t>
  </si>
  <si>
    <t>ablanco</t>
  </si>
  <si>
    <t>alchavez</t>
  </si>
  <si>
    <t>alesalfatis</t>
  </si>
  <si>
    <t>alueders</t>
  </si>
  <si>
    <t>andmamed</t>
  </si>
  <si>
    <t>anguimaraes</t>
  </si>
  <si>
    <t>anvieira</t>
  </si>
  <si>
    <t>apalma</t>
  </si>
  <si>
    <t>apinheiro</t>
  </si>
  <si>
    <t>arsoares</t>
  </si>
  <si>
    <t>bcosta</t>
  </si>
  <si>
    <t>brmartins</t>
  </si>
  <si>
    <t>cmaia</t>
  </si>
  <si>
    <t>cmoratelli</t>
  </si>
  <si>
    <t>cpaiva</t>
  </si>
  <si>
    <t>datatsumi</t>
  </si>
  <si>
    <t>dgalvao</t>
  </si>
  <si>
    <t>dsalomao</t>
  </si>
  <si>
    <t>dstruzberg</t>
  </si>
  <si>
    <t>ebalbino</t>
  </si>
  <si>
    <t>efaustino</t>
  </si>
  <si>
    <t>epascucci</t>
  </si>
  <si>
    <t>fabdantas</t>
  </si>
  <si>
    <t>ftaschetto</t>
  </si>
  <si>
    <t>gslima</t>
  </si>
  <si>
    <t>hogarcia</t>
  </si>
  <si>
    <t>imattar</t>
  </si>
  <si>
    <t>isatakara</t>
  </si>
  <si>
    <t>jbenaducci</t>
  </si>
  <si>
    <t>jbomfim</t>
  </si>
  <si>
    <t>jhorovitz</t>
  </si>
  <si>
    <t>jocaruso</t>
  </si>
  <si>
    <t>jpmingo</t>
  </si>
  <si>
    <t>jpspeck</t>
  </si>
  <si>
    <t>julsampaio</t>
  </si>
  <si>
    <t>lfiuza</t>
  </si>
  <si>
    <t>lmachado</t>
  </si>
  <si>
    <t>luloureiro</t>
  </si>
  <si>
    <t>makwon</t>
  </si>
  <si>
    <t>mbarreto</t>
  </si>
  <si>
    <t>melloe</t>
  </si>
  <si>
    <t>mhsantos</t>
  </si>
  <si>
    <t>mlandim</t>
  </si>
  <si>
    <t>mmarques</t>
  </si>
  <si>
    <t>pnunes</t>
  </si>
  <si>
    <t>ptortoreli</t>
  </si>
  <si>
    <t>rafaelp</t>
  </si>
  <si>
    <t>rcattaruzzi</t>
  </si>
  <si>
    <t>rgaze</t>
  </si>
  <si>
    <t>ricabernstein</t>
  </si>
  <si>
    <t>rlivianu</t>
  </si>
  <si>
    <t>rodnatali</t>
  </si>
  <si>
    <t>rodribraga</t>
  </si>
  <si>
    <t>rodsantos</t>
  </si>
  <si>
    <t>rpileggi</t>
  </si>
  <si>
    <t>russov</t>
  </si>
  <si>
    <t>sajunior</t>
  </si>
  <si>
    <t>scordoni</t>
  </si>
  <si>
    <t>tdblasi</t>
  </si>
  <si>
    <t>tfreire</t>
  </si>
  <si>
    <t>thbork</t>
  </si>
  <si>
    <t>theophiloneto</t>
  </si>
  <si>
    <t>thiagooortman</t>
  </si>
  <si>
    <t>throlo</t>
  </si>
  <si>
    <t>trokin</t>
  </si>
  <si>
    <t>trsantos</t>
  </si>
  <si>
    <t>ugorito</t>
  </si>
  <si>
    <t>vibelmiro</t>
  </si>
  <si>
    <t>vihuang</t>
  </si>
  <si>
    <t>vkassab</t>
  </si>
  <si>
    <t>vveloso</t>
  </si>
  <si>
    <t>wileite</t>
  </si>
  <si>
    <t>williamlee</t>
  </si>
  <si>
    <t>yfontes</t>
  </si>
  <si>
    <t>yoliveira</t>
  </si>
  <si>
    <t>TRADEBOOK</t>
  </si>
  <si>
    <t>TRADING TECHNOLOGIES</t>
  </si>
  <si>
    <t>BTG SOLUTIONS</t>
  </si>
  <si>
    <t>GL</t>
  </si>
  <si>
    <t>ATG</t>
  </si>
  <si>
    <t>SILICON TRADER</t>
  </si>
  <si>
    <t>BERNARDO SALGADO</t>
  </si>
  <si>
    <t>BRUNO SERRA FERNANDES</t>
  </si>
  <si>
    <t>CAIO DANTAS</t>
  </si>
  <si>
    <t>FELIPE LOPES</t>
  </si>
  <si>
    <t>GABRIEL SROUR</t>
  </si>
  <si>
    <t>JOAO VITOR LUCENA</t>
  </si>
  <si>
    <t>PABLO SALGADO</t>
  </si>
  <si>
    <t>RAFAEL GAMA</t>
  </si>
  <si>
    <t>CARLOS MENEZES</t>
  </si>
  <si>
    <t>DECIO PEREIRA</t>
  </si>
  <si>
    <t>MATEUS SCHMIDT MATTOS LOPES PEREIRA</t>
  </si>
  <si>
    <t>THOMAZ FURUKAWA</t>
  </si>
  <si>
    <t>THIAGO KADOBAYASHI</t>
  </si>
  <si>
    <t>CAOE MARTINS SILVA</t>
  </si>
  <si>
    <t>bsalgado</t>
  </si>
  <si>
    <t>bserra</t>
  </si>
  <si>
    <t>cdantas</t>
  </si>
  <si>
    <t>felopes</t>
  </si>
  <si>
    <t>gsrour</t>
  </si>
  <si>
    <t>jlucena</t>
  </si>
  <si>
    <t>psalgado</t>
  </si>
  <si>
    <t>rgama</t>
  </si>
  <si>
    <t>camenezes</t>
  </si>
  <si>
    <t>pact_bgc</t>
  </si>
  <si>
    <t>ricardo.bernstein@patria.com</t>
  </si>
  <si>
    <t>mschmidt</t>
  </si>
  <si>
    <t>tfurukawa</t>
  </si>
  <si>
    <t>tyuzo</t>
  </si>
  <si>
    <t>cmsantos</t>
  </si>
  <si>
    <t>HAMILTON DEL MONACO FILHO</t>
  </si>
  <si>
    <t>FELIPE GOMES BASILE</t>
  </si>
  <si>
    <t>FERNANDA CORVELLO BUTRICO</t>
  </si>
  <si>
    <t>FELIPE MEIRELLES RACCAH</t>
  </si>
  <si>
    <t>ALEXANDRE DA COSTA SOARES</t>
  </si>
  <si>
    <t>DANIEL TEIXEIRA SIQUEIRA GONÇALVES</t>
  </si>
  <si>
    <t>CHRISTIANO MARCONDES DE BARROS LIMA</t>
  </si>
  <si>
    <t>CARLOS BASILE</t>
  </si>
  <si>
    <t>FABIO SOARES PFAENDER</t>
  </si>
  <si>
    <t>ANTONIO AUGUSTO DAS CHAGAS CARVALHO</t>
  </si>
  <si>
    <t>FRANCISCO JOSE DIAS CARVALHO</t>
  </si>
  <si>
    <t>VINICIUS AMARAL DE MOURA</t>
  </si>
  <si>
    <t>MARYLIA CARVALHO PONCE</t>
  </si>
  <si>
    <t>RICARDO ANDRE VASCONCELOS RAMOS</t>
  </si>
  <si>
    <t>LIQUIDEZ-OTHER</t>
  </si>
  <si>
    <t>FREDERICO QUEIROZ</t>
  </si>
  <si>
    <t>GEORGE MIYA WATANABE</t>
  </si>
  <si>
    <t>LUDMILA TRECHAU</t>
  </si>
  <si>
    <t>RODRIGO NASCIMENTO</t>
  </si>
  <si>
    <t>BRUNO PEROTTONI</t>
  </si>
  <si>
    <t>GUSTAVO BEVILACQUA</t>
  </si>
  <si>
    <t>BRUNO FORESTI</t>
  </si>
  <si>
    <t>DANIEL PORTES</t>
  </si>
  <si>
    <t>IVAN RIBEIRO DE SOUSA JUNIOR</t>
  </si>
  <si>
    <t>fqueiroz</t>
  </si>
  <si>
    <t>gwatanabe</t>
  </si>
  <si>
    <t>ltrechau</t>
  </si>
  <si>
    <t>rnascimento</t>
  </si>
  <si>
    <t>bruno@brazabank.com.br</t>
  </si>
  <si>
    <t>gustavo.nascimento@brazabank.com.br</t>
  </si>
  <si>
    <t>bforesti</t>
  </si>
  <si>
    <t>ddamasio</t>
  </si>
  <si>
    <t>acost</t>
  </si>
  <si>
    <t>alnev</t>
  </si>
  <si>
    <t>alrod</t>
  </si>
  <si>
    <t>cramo</t>
  </si>
  <si>
    <t>dncar</t>
  </si>
  <si>
    <t>eraye</t>
  </si>
  <si>
    <t>fbrow</t>
  </si>
  <si>
    <t>funge</t>
  </si>
  <si>
    <t>gbapt</t>
  </si>
  <si>
    <t>iatai</t>
  </si>
  <si>
    <t>jrama</t>
  </si>
  <si>
    <t>lbasq</t>
  </si>
  <si>
    <t>pgued</t>
  </si>
  <si>
    <t>rbali</t>
  </si>
  <si>
    <t>rferr</t>
  </si>
  <si>
    <t>rless</t>
  </si>
  <si>
    <t>rpopp</t>
  </si>
  <si>
    <t>ssoar</t>
  </si>
  <si>
    <t>vmell</t>
  </si>
  <si>
    <t>rt_f4497779</t>
  </si>
  <si>
    <t>bperottoni</t>
  </si>
  <si>
    <t>more</t>
  </si>
  <si>
    <t xml:space="preserve"> ABRIL 26</t>
  </si>
  <si>
    <t>FABIO GOMES</t>
  </si>
  <si>
    <t>PEDRO ALVES</t>
  </si>
  <si>
    <t>RODOLFO CAVALHEIRO</t>
  </si>
  <si>
    <t>VINICIUS FERREIRA</t>
  </si>
  <si>
    <t>VINICIUS SÁ</t>
  </si>
  <si>
    <t>FABIO NEVES DE CARVALHO</t>
  </si>
  <si>
    <t>BERNARDO ROQUE</t>
  </si>
  <si>
    <t>LEONARDO YGREY VELMOVISKY</t>
  </si>
  <si>
    <t>JULIA AZEREDO</t>
  </si>
  <si>
    <t>fgomes</t>
  </si>
  <si>
    <t>palves</t>
  </si>
  <si>
    <t>rcavalheiro</t>
  </si>
  <si>
    <t>vferreira</t>
  </si>
  <si>
    <t>vinisa</t>
  </si>
  <si>
    <t>rt_f3163469</t>
  </si>
  <si>
    <t>bernardo.roque@irbasset.com</t>
  </si>
  <si>
    <t>leonardo.velmovitsky@irbasset.com</t>
  </si>
  <si>
    <t>juazeredo</t>
  </si>
  <si>
    <t>OFFSHORE LISTED</t>
  </si>
  <si>
    <t>CLYBAS PINTO FERRAZ NETO</t>
  </si>
  <si>
    <t>GUSTAVO D ELBOUX FERRIELLO</t>
  </si>
  <si>
    <t>BRENO MELLO DOS SANTOS</t>
  </si>
  <si>
    <t>RAFFAELE SCURTI NETTO</t>
  </si>
  <si>
    <t>RODRIGO PENTAGNA</t>
  </si>
  <si>
    <t>ALVARO LUIZ RICOTTA SOARES</t>
  </si>
  <si>
    <t>ANTÔNIO MARTINS NETO</t>
  </si>
  <si>
    <t>ANDRE FERREIRA DOS SANTOS</t>
  </si>
  <si>
    <t>ALEXANDRE BRENO STEVENS</t>
  </si>
  <si>
    <t>JOSE MAURICIO GOMES TEIXEIRA</t>
  </si>
  <si>
    <t>PAULO GUILHERME MENEZES FELIX</t>
  </si>
  <si>
    <t>EDUARDO TADEU CARAPIA UTTEMBERG</t>
  </si>
  <si>
    <t>ANTONIO AGIZ FILHO</t>
  </si>
  <si>
    <t>ANDRE LUIZ MARQUES MATTOS</t>
  </si>
  <si>
    <t>RODRIGO MOURA MARQUES</t>
  </si>
  <si>
    <t>CESAR MARIANO SCARAMBONE MENEZES</t>
  </si>
  <si>
    <t>JOSÉ VERGARA</t>
  </si>
  <si>
    <t>CLAUDIO DE SOUZA PACINI</t>
  </si>
  <si>
    <t>ENRICO BORTPLUZO CASSIANO</t>
  </si>
  <si>
    <t>REINALDO ANDRE URBANO FILHO</t>
  </si>
  <si>
    <t xml:space="preserve"> MAIO 26</t>
  </si>
  <si>
    <t>CAIO FONTES</t>
  </si>
  <si>
    <t>DANIEL SPILBERG</t>
  </si>
  <si>
    <t>UBIRATAN OLIVEIRA</t>
  </si>
  <si>
    <t>caio.fontes@btgpactual.com</t>
  </si>
  <si>
    <t>daniel.spilberg@btgpactual.com</t>
  </si>
  <si>
    <t>usoliveira</t>
  </si>
  <si>
    <t>RAFAEL HESSE</t>
  </si>
  <si>
    <t>DANIEL POMPIANI</t>
  </si>
  <si>
    <t>GUILHERME NASCIMENTO</t>
  </si>
  <si>
    <t>JOAO BESSA</t>
  </si>
  <si>
    <t>TAMARA WAJNBERG</t>
  </si>
  <si>
    <t>YURI VERGES</t>
  </si>
  <si>
    <t>ALNEVES</t>
  </si>
  <si>
    <t>GBAPTISTELA</t>
  </si>
  <si>
    <t>IATAIDE</t>
  </si>
  <si>
    <t>PGUEDES</t>
  </si>
  <si>
    <t>RHESSE</t>
  </si>
  <si>
    <t>RMADI</t>
  </si>
  <si>
    <t>CRAMOS</t>
  </si>
  <si>
    <t>VMELLO</t>
  </si>
  <si>
    <t>ERAYES</t>
  </si>
  <si>
    <t>ACOSTA</t>
  </si>
  <si>
    <t>FUNGER</t>
  </si>
  <si>
    <t>RBALIEIRO</t>
  </si>
  <si>
    <t>DPOMPIANI</t>
  </si>
  <si>
    <t>RLESSA</t>
  </si>
  <si>
    <t>DNCARDOSO</t>
  </si>
  <si>
    <t>SSOARES</t>
  </si>
  <si>
    <t>GUNASCIMENTO</t>
  </si>
  <si>
    <t>JBESSA</t>
  </si>
  <si>
    <t>TWAJNBERG</t>
  </si>
  <si>
    <t>FBROWN</t>
  </si>
  <si>
    <t>JRAMALHO</t>
  </si>
  <si>
    <t>RPOPPE</t>
  </si>
  <si>
    <t>YVERGES</t>
  </si>
  <si>
    <t>ALRODRIGUES</t>
  </si>
  <si>
    <t>LBASQUEIRA</t>
  </si>
  <si>
    <t>RFERRARI</t>
  </si>
  <si>
    <t>TRADER ID</t>
  </si>
  <si>
    <t>525</t>
  </si>
  <si>
    <t>541</t>
  </si>
  <si>
    <t>TYUZO</t>
  </si>
  <si>
    <t>VVELOSO</t>
  </si>
  <si>
    <t>APINHEIRO</t>
  </si>
  <si>
    <t>JBENADUCCI</t>
  </si>
  <si>
    <t>EPASCUCCI</t>
  </si>
  <si>
    <t>CMSANTOS</t>
  </si>
  <si>
    <t>ARSOARES</t>
  </si>
  <si>
    <t>EFAUSTINO</t>
  </si>
  <si>
    <t>JHOROVITZ</t>
  </si>
  <si>
    <t>LULOUREIRO</t>
  </si>
  <si>
    <t>TROKIN</t>
  </si>
  <si>
    <t>HOGARCIA</t>
  </si>
  <si>
    <t>LMACHADO</t>
  </si>
  <si>
    <t>ANGUIMARAES</t>
  </si>
  <si>
    <t>JPSPECK</t>
  </si>
  <si>
    <t>VKASSAB</t>
  </si>
  <si>
    <t>RAFAELP</t>
  </si>
  <si>
    <t>RODRIBRAGA</t>
  </si>
  <si>
    <t>RICABERNSTEIN</t>
  </si>
  <si>
    <t>CPAIVA</t>
  </si>
  <si>
    <t>LFIUZA</t>
  </si>
  <si>
    <t>MLANDIM</t>
  </si>
  <si>
    <t>RPILEGGI</t>
  </si>
  <si>
    <t>ALESALFATIS</t>
  </si>
  <si>
    <t>BRMARTINS</t>
  </si>
  <si>
    <t>CMAIA</t>
  </si>
  <si>
    <t>UGORITO</t>
  </si>
  <si>
    <t>SCORDONI</t>
  </si>
  <si>
    <t>JOCARUSO</t>
  </si>
  <si>
    <t>CAMENEZES</t>
  </si>
  <si>
    <t>MBARRETO</t>
  </si>
  <si>
    <t>MSCHMIDT</t>
  </si>
  <si>
    <t>RCATTARUZZI</t>
  </si>
  <si>
    <t>RGAZE</t>
  </si>
  <si>
    <t>DSTRUZBERG</t>
  </si>
  <si>
    <t>DDAMASIO</t>
  </si>
  <si>
    <t>VIBELMIRO</t>
  </si>
  <si>
    <t>VIHUANG</t>
  </si>
  <si>
    <t>SALES</t>
  </si>
  <si>
    <t xml:space="preserve"> JUNHO 26</t>
  </si>
  <si>
    <t>JOSE MATOS</t>
  </si>
  <si>
    <t>MATHEUS AUGUSTO PINTO</t>
  </si>
  <si>
    <t>VICTOR GOMES</t>
  </si>
  <si>
    <t>VINICIUS SA</t>
  </si>
  <si>
    <t>jmatos</t>
  </si>
  <si>
    <t>maugusto</t>
  </si>
  <si>
    <t>vgomes</t>
  </si>
  <si>
    <t>ANDREA LICASSIA ALMEIDA SANTOS</t>
  </si>
  <si>
    <t>CUSTO DMA -RICARDO CATTARUZZI- MAIO 26</t>
  </si>
  <si>
    <t>BANCO BNP PARIBAS BRASIL S/A</t>
  </si>
  <si>
    <t>DEUTSCHE BANK S/A</t>
  </si>
  <si>
    <t>KAPITALO INVESTIMENTOS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</si>
</sst>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(* #,##0.00_);_(* \(#,##0.00\);_(* &quot;-&quot;??_);_(@_)"/>
    <numFmt numFmtId="165" formatCode="_(&quot;R$ &quot;* #,##0.00_);_(&quot;R$ &quot;* \(#,##0.00\);_(&quot;R$ &quot;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1" fillId="0" borderId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9" borderId="0" applyNumberFormat="0" applyBorder="0" applyAlignment="0" applyProtection="0"/>
    <xf numFmtId="0" fontId="14" fillId="10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4" applyNumberFormat="0" applyAlignment="0" applyProtection="0"/>
    <xf numFmtId="0" fontId="17" fillId="13" borderId="5" applyNumberFormat="0" applyAlignment="0" applyProtection="0"/>
    <xf numFmtId="0" fontId="18" fillId="13" borderId="4" applyNumberFormat="0" applyAlignment="0" applyProtection="0"/>
    <xf numFmtId="0" fontId="19" fillId="0" borderId="6" applyNumberFormat="0" applyFill="0" applyAlignment="0" applyProtection="0"/>
    <xf numFmtId="0" fontId="20" fillId="14" borderId="7" applyNumberFormat="0" applyAlignment="0" applyProtection="0"/>
    <xf numFmtId="0" fontId="21" fillId="0" borderId="0" applyNumberFormat="0" applyFill="0" applyBorder="0" applyAlignment="0" applyProtection="0"/>
    <xf numFmtId="0" fontId="1" fillId="15" borderId="8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4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14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1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9" fontId="2" fillId="2" borderId="0" xfId="4" applyFont="1" applyFill="1" applyAlignment="1">
      <alignment vertical="center"/>
    </xf>
    <xf numFmtId="9" fontId="2" fillId="0" borderId="0" xfId="4" applyFont="1" applyAlignment="1">
      <alignment vertical="center"/>
    </xf>
    <xf numFmtId="164" fontId="2" fillId="2" borderId="0" xfId="1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2" fillId="2" borderId="0" xfId="0" applyNumberFormat="1" applyFont="1" applyFill="1" applyAlignment="1">
      <alignment vertical="center"/>
    </xf>
    <xf numFmtId="164" fontId="2" fillId="0" borderId="0" xfId="1" applyFont="1" applyFill="1" applyAlignment="1">
      <alignment vertical="center"/>
    </xf>
    <xf numFmtId="164" fontId="3" fillId="3" borderId="0" xfId="1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5" borderId="0" xfId="0" applyFont="1" applyFill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6" borderId="0" xfId="0" applyFont="1" applyFill="1" applyAlignment="1">
      <alignment vertical="center"/>
    </xf>
    <xf numFmtId="164" fontId="2" fillId="5" borderId="0" xfId="1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9" fontId="2" fillId="7" borderId="0" xfId="4" applyFont="1" applyFill="1" applyAlignment="1">
      <alignment vertical="center"/>
    </xf>
    <xf numFmtId="0" fontId="2" fillId="0" borderId="0" xfId="0" applyFont="1"/>
    <xf numFmtId="0" fontId="7" fillId="8" borderId="0" xfId="0" applyFont="1" applyFill="1" applyAlignment="1">
      <alignment vertical="center"/>
    </xf>
    <xf numFmtId="0" fontId="2" fillId="6" borderId="0" xfId="0" applyFont="1" applyFill="1"/>
    <xf numFmtId="164" fontId="2" fillId="40" borderId="0" xfId="1" applyFont="1" applyFill="1" applyAlignment="1">
      <alignment vertical="center"/>
    </xf>
  </cellXfs>
  <cellStyles count="68">
    <cellStyle name="20% - Accent1" xfId="44" builtinId="30" customBuiltin="1"/>
    <cellStyle name="20% - Accent2" xfId="48" builtinId="34" customBuiltin="1"/>
    <cellStyle name="20% - Accent3" xfId="52" builtinId="38" customBuiltin="1"/>
    <cellStyle name="20% - Accent4" xfId="56" builtinId="42" customBuiltin="1"/>
    <cellStyle name="20% - Accent5" xfId="60" builtinId="46" customBuiltin="1"/>
    <cellStyle name="20% - Accent6" xfId="64" builtinId="50" customBuiltin="1"/>
    <cellStyle name="40% - Accent1" xfId="45" builtinId="31" customBuiltin="1"/>
    <cellStyle name="40% - Accent2" xfId="49" builtinId="35" customBuiltin="1"/>
    <cellStyle name="40% - Accent3" xfId="53" builtinId="39" customBuiltin="1"/>
    <cellStyle name="40% - Accent4" xfId="57" builtinId="43" customBuiltin="1"/>
    <cellStyle name="40% - Accent5" xfId="61" builtinId="47" customBuiltin="1"/>
    <cellStyle name="40% - Accent6" xfId="65" builtinId="51" customBuiltin="1"/>
    <cellStyle name="60% - Accent1" xfId="46" builtinId="32" customBuiltin="1"/>
    <cellStyle name="60% - Accent2" xfId="50" builtinId="36" customBuiltin="1"/>
    <cellStyle name="60% - Accent3" xfId="54" builtinId="40" customBuiltin="1"/>
    <cellStyle name="60% - Accent4" xfId="58" builtinId="44" customBuiltin="1"/>
    <cellStyle name="60% - Accent5" xfId="62" builtinId="48" customBuiltin="1"/>
    <cellStyle name="60% - Accent6" xfId="66" builtinId="52" customBuiltin="1"/>
    <cellStyle name="Accent1" xfId="43" builtinId="29" customBuiltin="1"/>
    <cellStyle name="Accent2" xfId="47" builtinId="33" customBuiltin="1"/>
    <cellStyle name="Accent3" xfId="51" builtinId="37" customBuiltin="1"/>
    <cellStyle name="Accent4" xfId="55" builtinId="41" customBuiltin="1"/>
    <cellStyle name="Accent5" xfId="59" builtinId="45" customBuiltin="1"/>
    <cellStyle name="Accent6" xfId="63" builtinId="49" customBuiltin="1"/>
    <cellStyle name="Bad" xfId="32" builtinId="27" customBuiltin="1"/>
    <cellStyle name="Calculation" xfId="36" builtinId="22" customBuiltin="1"/>
    <cellStyle name="Check Cell" xfId="38" builtinId="23" customBuiltin="1"/>
    <cellStyle name="Comma" xfId="1" builtinId="3"/>
    <cellStyle name="Comma 2" xfId="13" xr:uid="{55A7EA8F-A097-4AFA-8A9E-976E3767E83E}"/>
    <cellStyle name="Comma 3" xfId="22" xr:uid="{59A05644-5990-4566-9580-FDB55408C327}"/>
    <cellStyle name="Comma 4" xfId="67" xr:uid="{3D63C3B7-8ED2-4D5C-8194-A1444505EE1A}"/>
    <cellStyle name="Currency 2" xfId="14" xr:uid="{D26DCD67-0FFC-4F00-99E9-965BF4FAEE1A}"/>
    <cellStyle name="Explanatory Text" xfId="41" builtinId="53" customBuiltin="1"/>
    <cellStyle name="Good" xfId="31" builtinId="26" customBuiltin="1"/>
    <cellStyle name="Header" xfId="3" xr:uid="{4FEC865C-2BAD-45C0-B1BE-C3B0C341694E}"/>
    <cellStyle name="Heading 1" xfId="27" builtinId="16" customBuiltin="1"/>
    <cellStyle name="Heading 2" xfId="28" builtinId="17" customBuiltin="1"/>
    <cellStyle name="Heading 3" xfId="29" builtinId="18" customBuiltin="1"/>
    <cellStyle name="Heading 4" xfId="30" builtinId="19" customBuiltin="1"/>
    <cellStyle name="Input" xfId="34" builtinId="20" customBuiltin="1"/>
    <cellStyle name="Linked Cell" xfId="37" builtinId="24" customBuiltin="1"/>
    <cellStyle name="Neutral" xfId="33" builtinId="28" customBuiltin="1"/>
    <cellStyle name="Normal" xfId="0" builtinId="0"/>
    <cellStyle name="Normal 10" xfId="15" xr:uid="{95CD2B19-BDC6-4637-BC6A-8BCE25FF3DE6}"/>
    <cellStyle name="Normal 2" xfId="2" xr:uid="{F5F3AD3E-8F74-4C1F-A678-5E3B14989BAD}"/>
    <cellStyle name="Normal 2 2" xfId="16" xr:uid="{F6EA7B0C-78CB-4D70-B933-63A007FA5BE5}"/>
    <cellStyle name="Normal 2 3" xfId="5" xr:uid="{2889D7C3-788D-4790-81DB-3774C6F45064}"/>
    <cellStyle name="Normal 3" xfId="11" xr:uid="{144E8E0B-922E-4F71-ADC4-8B811E3C6E97}"/>
    <cellStyle name="Normal 3 2" xfId="24" xr:uid="{BFF98D4C-F02F-4177-8CF2-BA30CA3B7400}"/>
    <cellStyle name="Normal 4" xfId="9" xr:uid="{56061EF3-A617-45D5-821B-D03C493999D9}"/>
    <cellStyle name="Normal 5" xfId="10" xr:uid="{DAC30CB3-8CC7-4A0D-8F53-8D75F2904C15}"/>
    <cellStyle name="Normal 6" xfId="21" xr:uid="{31BEFDE0-607C-4A56-8709-5F15F1A4EC80}"/>
    <cellStyle name="Normal 7" xfId="20" xr:uid="{69FF91B1-20D3-4453-A80A-53CBC8B334FE}"/>
    <cellStyle name="Note" xfId="40" builtinId="10" customBuiltin="1"/>
    <cellStyle name="Output" xfId="35" builtinId="21" customBuiltin="1"/>
    <cellStyle name="Percent" xfId="4" builtinId="5"/>
    <cellStyle name="Percent 2" xfId="23" xr:uid="{794575D8-EDE9-4E31-8D4F-ACB50AE5E6FB}"/>
    <cellStyle name="Porcentagem 3 2" xfId="8" xr:uid="{A7A0D180-B7FD-4B14-B2FD-5BBCD7142F8D}"/>
    <cellStyle name="Separador de milhares 2" xfId="17" xr:uid="{D5831A61-15FC-4A87-880F-2F1A9C870D6A}"/>
    <cellStyle name="Separador de milhares 2 2" xfId="6" xr:uid="{615C65BB-B2AD-4C29-B155-29D7E8A8CAE8}"/>
    <cellStyle name="Separador de milhares 3 2" xfId="7" xr:uid="{FF8D23A8-2B39-4C38-A5B9-2C5B0AA4881B}"/>
    <cellStyle name="Separador de milhares 4" xfId="18" xr:uid="{5B217C29-5D1A-4635-BAAA-89E2D80FA260}"/>
    <cellStyle name="Title" xfId="26" builtinId="15" customBuiltin="1"/>
    <cellStyle name="Total" xfId="42" builtinId="25" customBuiltin="1"/>
    <cellStyle name="Vírgula 2" xfId="12" xr:uid="{23BBB89A-7A66-4E99-9113-2193A331B9BF}"/>
    <cellStyle name="Vírgula 2 2" xfId="25" xr:uid="{713A28FE-3A6A-4371-B077-642B40C4527A}"/>
    <cellStyle name="Vírgula 3" xfId="19" xr:uid="{C3EB47BB-15E4-4E26-B5D4-3580FE083F94}"/>
    <cellStyle name="Warning Text" xfId="39" builtinId="11" customBuiltin="1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1" defaultTableStyle="TableStyleMedium2" defaultPivotStyle="PivotStyleLight16">
    <tableStyle name="Invisible" pivot="0" table="0" count="0" xr9:uid="{017B3287-ADE2-4A4B-9B9E-22F51C7D49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gccs-my.sharepoint.com/personal/giovana_collete_bgcg_com/Documents/Profile/Desktop/Giovana/Base%20de%20dados/Base%20de%20Contas.xlsx" TargetMode="External"/><Relationship Id="rId1" Type="http://schemas.openxmlformats.org/officeDocument/2006/relationships/externalLinkPath" Target="https://bgccs-my.sharepoint.com/personal/giovana_collete_bgcg_com/Documents/Profile/Desktop/Giovana/Base%20de%20dados/Base%20de%20Conta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iovana.collete\AppData\Local\Microsoft\Windows\INetCache\Content.Outlook\LQFIA5XG\Custo%20TT%20-%20media%20maio%20e%20junho.xlsx" TargetMode="External"/><Relationship Id="rId1" Type="http://schemas.openxmlformats.org/officeDocument/2006/relationships/externalLinkPath" Target="file:///C:\Users\giovana.collete\AppData\Local\Microsoft\Windows\INetCache\Content.Outlook\LQFIA5XG\Custo%20TT%20-%20media%20maio%20e%20junh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de Clientes"/>
      <sheetName val="Produto"/>
      <sheetName val="Ptax"/>
    </sheetNames>
    <sheetDataSet>
      <sheetData sheetId="0">
        <row r="1">
          <cell r="B1" t="str">
            <v>Conta</v>
          </cell>
          <cell r="C1" t="str">
            <v>Nome da Conta</v>
          </cell>
          <cell r="D1" t="str">
            <v>Apelido</v>
          </cell>
          <cell r="E1" t="str">
            <v>Grupo da Conta</v>
          </cell>
        </row>
        <row r="2">
          <cell r="B2">
            <v>11111</v>
          </cell>
          <cell r="C2" t="str">
            <v>BGC LIQUIDEZ DTVM LTDA</v>
          </cell>
          <cell r="D2" t="str">
            <v>BGC LIQUIDEZ DTVM LTDA</v>
          </cell>
          <cell r="E2" t="str">
            <v>BGC LIQUIDEZ DTVM LTDA</v>
          </cell>
        </row>
        <row r="3">
          <cell r="B3">
            <v>122015</v>
          </cell>
          <cell r="C3" t="str">
            <v>BB GESTAO DE RECURSOS DTVM LTDA</v>
          </cell>
          <cell r="D3" t="str">
            <v>BB GESTAO DE RECURSOS DTVM LTDA</v>
          </cell>
          <cell r="E3" t="str">
            <v>BB GESTAO DE RECURSOS DTVM LTDA</v>
          </cell>
        </row>
        <row r="4">
          <cell r="B4">
            <v>122016</v>
          </cell>
          <cell r="C4" t="str">
            <v>BB GESTAO DE RECURSOS DTVM LTDA</v>
          </cell>
          <cell r="D4" t="str">
            <v>BB GESTAO DE RECURSOS DTVM LTDA</v>
          </cell>
          <cell r="E4" t="str">
            <v>BB GESTAO DE RECURSOS DTVM LTDA</v>
          </cell>
        </row>
        <row r="5">
          <cell r="B5">
            <v>122017</v>
          </cell>
          <cell r="C5" t="str">
            <v>BB GESTAO DE RECURSOS DTVM LTDA</v>
          </cell>
          <cell r="D5" t="str">
            <v>BB GESTAO DE RECURSOS DTVM LTDA</v>
          </cell>
          <cell r="E5" t="str">
            <v>BB GESTAO DE RECURSOS DTVM LTDA</v>
          </cell>
        </row>
        <row r="6">
          <cell r="B6">
            <v>122018</v>
          </cell>
          <cell r="C6" t="str">
            <v>BB GESTAO DE RECURSOS DTVM LTDA</v>
          </cell>
          <cell r="D6" t="str">
            <v>BB GESTAO DE RECURSOS DTVM LTDA</v>
          </cell>
          <cell r="E6" t="str">
            <v>BB GESTAO DE RECURSOS DTVM LTDA</v>
          </cell>
        </row>
        <row r="7">
          <cell r="B7">
            <v>122022</v>
          </cell>
          <cell r="C7" t="str">
            <v>BB GESTAO DE RECURSOS DTVM LTDA</v>
          </cell>
          <cell r="D7" t="str">
            <v>BB GESTAO DE RECURSOS DTVM LTDA</v>
          </cell>
          <cell r="E7" t="str">
            <v>BB GESTAO DE RECURSOS DTVM LTDA</v>
          </cell>
        </row>
        <row r="8">
          <cell r="B8">
            <v>122023</v>
          </cell>
          <cell r="C8" t="str">
            <v>BB GESTAO DE RECURSOS DTVM LTDA</v>
          </cell>
          <cell r="D8" t="str">
            <v>BB GESTAO DE RECURSOS DTVM LTDA</v>
          </cell>
          <cell r="E8" t="str">
            <v>BB GESTAO DE RECURSOS DTVM LTDA</v>
          </cell>
        </row>
        <row r="9">
          <cell r="B9">
            <v>122024</v>
          </cell>
          <cell r="C9" t="str">
            <v>BB GESTAO DE RECURSOS DTVM LTDA</v>
          </cell>
          <cell r="D9" t="str">
            <v>BB GESTAO DE RECURSOS DTVM LTDA</v>
          </cell>
          <cell r="E9" t="str">
            <v>BB GESTAO DE RECURSOS DTVM LTDA</v>
          </cell>
        </row>
        <row r="10">
          <cell r="B10">
            <v>122025</v>
          </cell>
          <cell r="C10" t="str">
            <v>BB GESTAO DE RECURSOS DTVM LTDA</v>
          </cell>
          <cell r="D10" t="str">
            <v>BB GESTAO DE RECURSOS DTVM LTDA</v>
          </cell>
          <cell r="E10" t="str">
            <v>BB GESTAO DE RECURSOS DTVM LTDA</v>
          </cell>
        </row>
        <row r="11">
          <cell r="B11">
            <v>122026</v>
          </cell>
          <cell r="C11" t="str">
            <v>BB GESTAO DE RECURSOS DTVM LTDA</v>
          </cell>
          <cell r="D11" t="str">
            <v>BB GESTAO DE RECURSOS DTVM LTDA</v>
          </cell>
          <cell r="E11" t="str">
            <v>BB GESTAO DE RECURSOS DTVM LTDA</v>
          </cell>
        </row>
        <row r="12">
          <cell r="B12">
            <v>122027</v>
          </cell>
          <cell r="C12" t="str">
            <v>BB GESTAO DE RECURSOS DTVM LTDA</v>
          </cell>
          <cell r="D12" t="str">
            <v>BB GESTAO DE RECURSOS DTVM LTDA</v>
          </cell>
          <cell r="E12" t="str">
            <v>BB GESTAO DE RECURSOS DTVM LTDA</v>
          </cell>
        </row>
        <row r="13">
          <cell r="B13">
            <v>122028</v>
          </cell>
          <cell r="C13" t="str">
            <v>BB GESTAO DE RECURSOS DTVM LTDA</v>
          </cell>
          <cell r="D13" t="str">
            <v>BB GESTAO DE RECURSOS DTVM LTDA</v>
          </cell>
          <cell r="E13" t="str">
            <v>BB GESTAO DE RECURSOS DTVM LTDA</v>
          </cell>
        </row>
        <row r="14">
          <cell r="B14">
            <v>122031</v>
          </cell>
          <cell r="C14" t="str">
            <v>BB GESTAO DE RECURSOS DTVM LTDA</v>
          </cell>
          <cell r="D14" t="str">
            <v>BB GESTAO DE RECURSOS DTVM LTDA</v>
          </cell>
          <cell r="E14" t="str">
            <v>BB GESTAO DE RECURSOS DTVM LTDA</v>
          </cell>
        </row>
        <row r="15">
          <cell r="B15">
            <v>122034</v>
          </cell>
          <cell r="C15" t="str">
            <v>BB GESTAO DE RECURSOS DTVM LTDA</v>
          </cell>
          <cell r="D15" t="str">
            <v>BB GESTAO DE RECURSOS DTVM LTDA</v>
          </cell>
          <cell r="E15" t="str">
            <v>BB GESTAO DE RECURSOS DTVM LTDA</v>
          </cell>
        </row>
        <row r="16">
          <cell r="B16">
            <v>122036</v>
          </cell>
          <cell r="C16" t="str">
            <v>BB GESTAO DE RECURSOS DTVM LTDA</v>
          </cell>
          <cell r="D16" t="str">
            <v>BB GESTAO DE RECURSOS DTVM LTDA</v>
          </cell>
          <cell r="E16" t="str">
            <v>BB GESTAO DE RECURSOS DTVM LTDA</v>
          </cell>
        </row>
        <row r="17">
          <cell r="B17">
            <v>122037</v>
          </cell>
          <cell r="C17" t="str">
            <v>BB GESTAO DE RECURSOS DTVM LTDA</v>
          </cell>
          <cell r="D17" t="str">
            <v>BB GESTAO DE RECURSOS DTVM LTDA</v>
          </cell>
          <cell r="E17" t="str">
            <v>BB GESTAO DE RECURSOS DTVM LTDA</v>
          </cell>
        </row>
        <row r="18">
          <cell r="B18">
            <v>122038</v>
          </cell>
          <cell r="C18" t="str">
            <v>BB GESTAO DE RECURSOS DTVM LTDA</v>
          </cell>
          <cell r="D18" t="str">
            <v>BB GESTAO DE RECURSOS DTVM LTDA</v>
          </cell>
          <cell r="E18" t="str">
            <v>BB GESTAO DE RECURSOS DTVM LTDA</v>
          </cell>
        </row>
        <row r="19">
          <cell r="B19">
            <v>122039</v>
          </cell>
          <cell r="C19" t="str">
            <v>BB GESTAO DE RECURSOS DTVM LTDA</v>
          </cell>
          <cell r="D19" t="str">
            <v>BB GESTAO DE RECURSOS DTVM LTDA</v>
          </cell>
          <cell r="E19" t="str">
            <v>BB GESTAO DE RECURSOS DTVM LTDA</v>
          </cell>
        </row>
        <row r="20">
          <cell r="B20">
            <v>122041</v>
          </cell>
          <cell r="C20" t="str">
            <v>BB GESTAO DE RECURSOS DTVM LTDA</v>
          </cell>
          <cell r="D20" t="str">
            <v>BB GESTAO DE RECURSOS DTVM LTDA</v>
          </cell>
          <cell r="E20" t="str">
            <v>BB GESTAO DE RECURSOS DTVM LTDA</v>
          </cell>
        </row>
        <row r="21">
          <cell r="B21">
            <v>122044</v>
          </cell>
          <cell r="C21" t="str">
            <v>BB GESTAO DE RECURSOS DTVM LTDA</v>
          </cell>
          <cell r="D21" t="str">
            <v>BB GESTAO DE RECURSOS DTVM LTDA</v>
          </cell>
          <cell r="E21" t="str">
            <v>BB GESTAO DE RECURSOS DTVM LTDA</v>
          </cell>
        </row>
        <row r="22">
          <cell r="B22">
            <v>122046</v>
          </cell>
          <cell r="C22" t="str">
            <v>BB GESTAO DE RECURSOS DTVM LTDA</v>
          </cell>
          <cell r="D22" t="str">
            <v>BB GESTAO DE RECURSOS DTVM LTDA</v>
          </cell>
          <cell r="E22" t="str">
            <v>BB GESTAO DE RECURSOS DTVM LTDA</v>
          </cell>
        </row>
        <row r="23">
          <cell r="B23">
            <v>122049</v>
          </cell>
          <cell r="C23" t="str">
            <v>BB GESTAO DE RECURSOS DTVM LTDA</v>
          </cell>
          <cell r="D23" t="str">
            <v>BB GESTAO DE RECURSOS DTVM LTDA</v>
          </cell>
          <cell r="E23" t="str">
            <v>BB GESTAO DE RECURSOS DTVM LTDA</v>
          </cell>
        </row>
        <row r="24">
          <cell r="B24">
            <v>122050</v>
          </cell>
          <cell r="C24" t="str">
            <v>BB GESTAO DE RECURSOS DTVM LTDA</v>
          </cell>
          <cell r="D24" t="str">
            <v>BB GESTAO DE RECURSOS DTVM LTDA</v>
          </cell>
          <cell r="E24" t="str">
            <v>BB GESTAO DE RECURSOS DTVM LTDA</v>
          </cell>
        </row>
        <row r="25">
          <cell r="B25">
            <v>122051</v>
          </cell>
          <cell r="C25" t="str">
            <v>BB GESTAO DE RECURSOS DTVM LTDA</v>
          </cell>
          <cell r="D25" t="str">
            <v>BB GESTAO DE RECURSOS DTVM LTDA</v>
          </cell>
          <cell r="E25" t="str">
            <v>BB GESTAO DE RECURSOS DTVM LTDA</v>
          </cell>
        </row>
        <row r="26">
          <cell r="B26">
            <v>122053</v>
          </cell>
          <cell r="C26" t="str">
            <v>BB GESTAO DE RECURSOS DTVM LTDA</v>
          </cell>
          <cell r="D26" t="str">
            <v>BB GESTAO DE RECURSOS DTVM LTDA</v>
          </cell>
          <cell r="E26" t="str">
            <v>BB GESTAO DE RECURSOS DTVM LTDA</v>
          </cell>
        </row>
        <row r="27">
          <cell r="B27">
            <v>122054</v>
          </cell>
          <cell r="C27" t="str">
            <v>BB GESTAO DE RECURSOS DTVM LTDA</v>
          </cell>
          <cell r="D27" t="str">
            <v>BB GESTAO DE RECURSOS DTVM LTDA</v>
          </cell>
          <cell r="E27" t="str">
            <v>BB GESTAO DE RECURSOS DTVM LTDA</v>
          </cell>
        </row>
        <row r="28">
          <cell r="B28">
            <v>122055</v>
          </cell>
          <cell r="C28" t="str">
            <v>BB GESTAO DE RECURSOS DTVM LTDA</v>
          </cell>
          <cell r="D28" t="str">
            <v>BB GESTAO DE RECURSOS DTVM LTDA</v>
          </cell>
          <cell r="E28" t="str">
            <v>BB GESTAO DE RECURSOS DTVM LTDA</v>
          </cell>
        </row>
        <row r="29">
          <cell r="B29">
            <v>122056</v>
          </cell>
          <cell r="C29" t="str">
            <v>BB GESTAO DE RECURSOS DTVM LTDA</v>
          </cell>
          <cell r="D29" t="str">
            <v>BB GESTAO DE RECURSOS DTVM LTDA</v>
          </cell>
          <cell r="E29" t="str">
            <v>BB GESTAO DE RECURSOS DTVM LTDA</v>
          </cell>
        </row>
        <row r="30">
          <cell r="B30">
            <v>122057</v>
          </cell>
          <cell r="C30" t="str">
            <v>BB GESTAO DE RECURSOS DTVM LTDA</v>
          </cell>
          <cell r="D30" t="str">
            <v>BB GESTAO DE RECURSOS DTVM LTDA</v>
          </cell>
          <cell r="E30" t="str">
            <v>BB GESTAO DE RECURSOS DTVM LTDA</v>
          </cell>
        </row>
        <row r="31">
          <cell r="B31">
            <v>122059</v>
          </cell>
          <cell r="C31" t="str">
            <v>BB GESTAO DE RECURSOS DTVM LTDA</v>
          </cell>
          <cell r="D31" t="str">
            <v>BB GESTAO DE RECURSOS DTVM LTDA</v>
          </cell>
          <cell r="E31" t="str">
            <v>BB GESTAO DE RECURSOS DTVM LTDA</v>
          </cell>
        </row>
        <row r="32">
          <cell r="B32">
            <v>122060</v>
          </cell>
          <cell r="C32" t="str">
            <v>BB GESTAO DE RECURSOS DTVM LTDA</v>
          </cell>
          <cell r="D32" t="str">
            <v>BB GESTAO DE RECURSOS DTVM LTDA</v>
          </cell>
          <cell r="E32" t="str">
            <v>BB GESTAO DE RECURSOS DTVM LTDA</v>
          </cell>
        </row>
        <row r="33">
          <cell r="B33">
            <v>122063</v>
          </cell>
          <cell r="C33" t="str">
            <v>BB GESTAO DE RECURSOS DTVM LTDA</v>
          </cell>
          <cell r="D33" t="str">
            <v>BB GESTAO DE RECURSOS DTVM LTDA</v>
          </cell>
          <cell r="E33" t="str">
            <v>BB GESTAO DE RECURSOS DTVM LTDA</v>
          </cell>
        </row>
        <row r="34">
          <cell r="B34">
            <v>122068</v>
          </cell>
          <cell r="C34" t="str">
            <v>BB GESTAO DE RECURSOS DTVM LTDA</v>
          </cell>
          <cell r="D34" t="str">
            <v>BB GESTAO DE RECURSOS DTVM LTDA</v>
          </cell>
          <cell r="E34" t="str">
            <v>BB GESTAO DE RECURSOS DTVM LTDA</v>
          </cell>
        </row>
        <row r="35">
          <cell r="B35">
            <v>122069</v>
          </cell>
          <cell r="C35" t="str">
            <v>BB GESTAO DE RECURSOS DTVM LTDA</v>
          </cell>
          <cell r="D35" t="str">
            <v>BB GESTAO DE RECURSOS DTVM LTDA</v>
          </cell>
          <cell r="E35" t="str">
            <v>BB GESTAO DE RECURSOS DTVM LTDA</v>
          </cell>
        </row>
        <row r="36">
          <cell r="B36">
            <v>122071</v>
          </cell>
          <cell r="C36" t="str">
            <v>BB GESTAO DE RECURSOS DTVM LTDA</v>
          </cell>
          <cell r="D36" t="str">
            <v>BB GESTAO DE RECURSOS DTVM LTDA</v>
          </cell>
          <cell r="E36" t="str">
            <v>BB GESTAO DE RECURSOS DTVM LTDA</v>
          </cell>
        </row>
        <row r="37">
          <cell r="B37">
            <v>122072</v>
          </cell>
          <cell r="C37" t="str">
            <v>BB GESTAO DE RECURSOS DTVM LTDA</v>
          </cell>
          <cell r="D37" t="str">
            <v>BB GESTAO DE RECURSOS DTVM LTDA</v>
          </cell>
          <cell r="E37" t="str">
            <v>BB GESTAO DE RECURSOS DTVM LTDA</v>
          </cell>
        </row>
        <row r="38">
          <cell r="B38">
            <v>122073</v>
          </cell>
          <cell r="C38" t="str">
            <v>BB GESTAO DE RECURSOS DTVM LTDA</v>
          </cell>
          <cell r="D38" t="str">
            <v>BB GESTAO DE RECURSOS DTVM LTDA</v>
          </cell>
          <cell r="E38" t="str">
            <v>BB GESTAO DE RECURSOS DTVM LTDA</v>
          </cell>
        </row>
        <row r="39">
          <cell r="B39">
            <v>122074</v>
          </cell>
          <cell r="C39" t="str">
            <v>BB GESTAO DE RECURSOS DTVM LTDA</v>
          </cell>
          <cell r="D39" t="str">
            <v>BB GESTAO DE RECURSOS DTVM LTDA</v>
          </cell>
          <cell r="E39" t="str">
            <v>BB GESTAO DE RECURSOS DTVM LTDA</v>
          </cell>
        </row>
        <row r="40">
          <cell r="B40">
            <v>122078</v>
          </cell>
          <cell r="C40" t="str">
            <v>BB GESTAO DE RECURSOS DTVM LTDA</v>
          </cell>
          <cell r="D40" t="str">
            <v>BB GESTAO DE RECURSOS DTVM LTDA</v>
          </cell>
          <cell r="E40" t="str">
            <v>BB GESTAO DE RECURSOS DTVM LTDA</v>
          </cell>
        </row>
        <row r="41">
          <cell r="B41">
            <v>122079</v>
          </cell>
          <cell r="C41" t="str">
            <v>BB GESTAO DE RECURSOS DTVM LTDA</v>
          </cell>
          <cell r="D41" t="str">
            <v>BB GESTAO DE RECURSOS DTVM LTDA</v>
          </cell>
          <cell r="E41" t="str">
            <v>BB GESTAO DE RECURSOS DTVM LTDA</v>
          </cell>
        </row>
        <row r="42">
          <cell r="B42">
            <v>12208</v>
          </cell>
          <cell r="C42" t="str">
            <v>BB GESTAO DE RECURSOS DTVM LTDA</v>
          </cell>
          <cell r="D42" t="str">
            <v>BB GESTAO DE RECURSOS DTVM LTDA</v>
          </cell>
          <cell r="E42" t="str">
            <v>BB GESTAO DE RECURSOS DTVM LTDA</v>
          </cell>
        </row>
        <row r="43">
          <cell r="B43">
            <v>122080</v>
          </cell>
          <cell r="C43" t="str">
            <v>BB GESTAO DE RECURSOS DTVM LTDA</v>
          </cell>
          <cell r="D43" t="str">
            <v>BB GESTAO DE RECURSOS DTVM LTDA</v>
          </cell>
          <cell r="E43" t="str">
            <v>BB GESTAO DE RECURSOS DTVM LTDA</v>
          </cell>
        </row>
        <row r="44">
          <cell r="B44">
            <v>122087</v>
          </cell>
          <cell r="C44" t="str">
            <v>BB GESTAO DE RECURSOS DTVM LTDA</v>
          </cell>
          <cell r="D44" t="str">
            <v>BB GESTAO DE RECURSOS DTVM LTDA</v>
          </cell>
          <cell r="E44" t="str">
            <v>BB GESTAO DE RECURSOS DTVM LTDA</v>
          </cell>
        </row>
        <row r="45">
          <cell r="B45">
            <v>122095</v>
          </cell>
          <cell r="C45" t="str">
            <v>BANCO SANTANDER (BRASIL) S/A</v>
          </cell>
          <cell r="D45" t="str">
            <v>BANCO SANTANDER (BRASIL) S/A</v>
          </cell>
          <cell r="E45" t="str">
            <v>BANCO SANTANDER (BRASIL) S/A</v>
          </cell>
        </row>
        <row r="46">
          <cell r="B46">
            <v>12212</v>
          </cell>
          <cell r="C46" t="str">
            <v>TAVOLA CAPITAL GESTAO DE RECURSOS LTDA</v>
          </cell>
          <cell r="D46" t="str">
            <v>TAVOLA CAPITAL GESTAO DE RECURSOS LTDA</v>
          </cell>
          <cell r="E46" t="str">
            <v>TAVOLA CAPITAL GESTAO DE RECURSOS LTDA</v>
          </cell>
        </row>
        <row r="47">
          <cell r="B47">
            <v>12214</v>
          </cell>
          <cell r="C47" t="str">
            <v>CAIXA ECONOMICA FEDERAL</v>
          </cell>
          <cell r="D47" t="str">
            <v>CAIXA ECONOMICA FEDERAL</v>
          </cell>
          <cell r="E47" t="str">
            <v>CAIXA ECONOMICA FEDERAL</v>
          </cell>
        </row>
        <row r="48">
          <cell r="B48">
            <v>122148</v>
          </cell>
          <cell r="C48" t="str">
            <v>BB GESTAO DE RECURSOS DTVM LTDA</v>
          </cell>
          <cell r="D48" t="str">
            <v>BB GESTAO DE RECURSOS DTVM LTDA</v>
          </cell>
          <cell r="E48" t="str">
            <v>BB GESTAO DE RECURSOS DTVM LTDA</v>
          </cell>
        </row>
        <row r="49">
          <cell r="B49">
            <v>122150</v>
          </cell>
          <cell r="C49" t="str">
            <v>SAFRA PRIVATE FIA</v>
          </cell>
          <cell r="D49" t="str">
            <v>SAFRA PRIVATE FIA</v>
          </cell>
          <cell r="E49" t="str">
            <v>EMERALD GESTAO DE INVESTIMENTOS LTDA</v>
          </cell>
        </row>
        <row r="50">
          <cell r="B50">
            <v>122169</v>
          </cell>
          <cell r="C50" t="str">
            <v>SAFRA FMP FGTS VALE DO RIO DOCE</v>
          </cell>
          <cell r="D50" t="str">
            <v>SAFRA FMP FGTS VALE DO RIO DOCE</v>
          </cell>
          <cell r="E50" t="str">
            <v>EMERALD GESTAO DE INVESTIMENTOS LTDA</v>
          </cell>
        </row>
        <row r="51">
          <cell r="B51">
            <v>12217</v>
          </cell>
          <cell r="C51" t="str">
            <v>MORGAN STANLEY ADMINISTRADORA DE CARTEIRAS S/A</v>
          </cell>
          <cell r="D51" t="str">
            <v>MORGAN STANLEY ADMINISTRADORA DE CARTEIRAS S/A</v>
          </cell>
          <cell r="E51" t="str">
            <v>MORGAN STANLEY ADMINISTRADORA DE CARTEIRAS S/A</v>
          </cell>
        </row>
        <row r="52">
          <cell r="B52">
            <v>122171</v>
          </cell>
          <cell r="C52" t="str">
            <v>SAFRA FMP FGTS PETROBRAS</v>
          </cell>
          <cell r="D52" t="str">
            <v>SAFRA FMP FGTS PETROBRAS</v>
          </cell>
          <cell r="E52" t="str">
            <v>EMERALD GESTAO DE INVESTIMENTOS LTDA</v>
          </cell>
        </row>
        <row r="53">
          <cell r="B53">
            <v>122172</v>
          </cell>
          <cell r="C53" t="str">
            <v>SAFRA PREV ACOES FIF PREV CI EM ACOES PREV RESP LIMITADA</v>
          </cell>
          <cell r="D53" t="str">
            <v>SAFRA PREV ACOES FIF PREV CI EM ACOES PREV RESP LIMITADA</v>
          </cell>
          <cell r="E53" t="str">
            <v>TURMALINA GESTAO E ADMINISTRAÃ‡ÃƒO DE RECURSOS SA</v>
          </cell>
        </row>
        <row r="54">
          <cell r="B54">
            <v>122184</v>
          </cell>
          <cell r="C54" t="str">
            <v>FIA CAIXA INFRAESTRUTURA</v>
          </cell>
          <cell r="D54" t="str">
            <v>FIA CAIXA INFRAESTRUTURA</v>
          </cell>
          <cell r="E54" t="str">
            <v>CAIXA ECONOMICA FEDERAL</v>
          </cell>
        </row>
        <row r="55">
          <cell r="B55">
            <v>122201</v>
          </cell>
          <cell r="C55" t="str">
            <v>SHARP MULTIMANAGER BBDC FUNDO DE INVESTIMENTO MULTIMERCADO</v>
          </cell>
          <cell r="D55" t="str">
            <v>SHARP MULTIMANAGER BBDC FUNDO DE INVESTIMENTO MULTIMERCADO</v>
          </cell>
          <cell r="E55" t="str">
            <v>SHARP CAPITAL GESTORA DE RECURSOS LTDA</v>
          </cell>
        </row>
        <row r="56">
          <cell r="B56">
            <v>122210</v>
          </cell>
          <cell r="C56" t="str">
            <v>BB GESTAO DE RECURSOS DTVM LTDA</v>
          </cell>
          <cell r="D56" t="str">
            <v>BB GESTAO DE RECURSOS DTVM LTDA</v>
          </cell>
          <cell r="E56" t="str">
            <v>BB GESTAO DE RECURSOS DTVM LTDA</v>
          </cell>
        </row>
        <row r="57">
          <cell r="B57">
            <v>122213</v>
          </cell>
          <cell r="C57" t="str">
            <v>CAIXA DE PREVIDENCIA DOS FUNCS DO BANCO DO BRASIL- PREVI</v>
          </cell>
          <cell r="D57" t="str">
            <v>CAIXA DE PREVIDENCIA DOS FUNCS DO BANCO DO BRASIL- PREVI</v>
          </cell>
          <cell r="E57" t="str">
            <v>CAIXA DE PREVIDENCIA DOS FUNCS DO BANCO DO BRASIL- PREVI</v>
          </cell>
        </row>
        <row r="58">
          <cell r="B58">
            <v>122220</v>
          </cell>
          <cell r="C58" t="str">
            <v>DUO SHARP  FIA</v>
          </cell>
          <cell r="D58" t="str">
            <v>DUO SHARP  FIA</v>
          </cell>
          <cell r="E58" t="str">
            <v>SHARP CAPITAL GESTORA DE RECURSOS LTDA</v>
          </cell>
        </row>
        <row r="59">
          <cell r="B59">
            <v>12223</v>
          </cell>
          <cell r="C59" t="str">
            <v>BANCO VOTORANTIM S/A</v>
          </cell>
          <cell r="D59" t="str">
            <v>BANCO VOTORANTIM S/A</v>
          </cell>
          <cell r="E59" t="str">
            <v>BANCO VOTORANTIM S/A</v>
          </cell>
        </row>
        <row r="60">
          <cell r="B60">
            <v>122233</v>
          </cell>
          <cell r="C60" t="str">
            <v>NEO MULTI ESTRATEGIA MASTER FIM</v>
          </cell>
          <cell r="D60" t="str">
            <v>NEO MULTI ESTRATEGIA MASTER FIM</v>
          </cell>
          <cell r="E60" t="str">
            <v>NEO GESTÃO DE RECURSOS LTDA</v>
          </cell>
        </row>
        <row r="61">
          <cell r="B61">
            <v>122234</v>
          </cell>
          <cell r="C61" t="str">
            <v>NEO MULTIMANAGER BBDC FIM</v>
          </cell>
          <cell r="D61" t="str">
            <v>NEO MULTIMANAGER BBDC FIM</v>
          </cell>
          <cell r="E61" t="str">
            <v>NEO GESTÃO DE RECURSOS LTDA</v>
          </cell>
        </row>
        <row r="62">
          <cell r="B62">
            <v>12224</v>
          </cell>
          <cell r="C62" t="str">
            <v>POLO CAPITAL GESTÃƒO DE RECURSOS LTDA</v>
          </cell>
          <cell r="D62" t="str">
            <v>POLO CAPITAL GESTÃƒO DE RECURSOS LTDA</v>
          </cell>
          <cell r="E62" t="str">
            <v>POLO CAPITAL GESTÃO DE RECURSOS LTDA</v>
          </cell>
        </row>
        <row r="63">
          <cell r="B63">
            <v>122338</v>
          </cell>
          <cell r="C63" t="str">
            <v>BB GESTAO DE RECURSOS DTVM LTDA</v>
          </cell>
          <cell r="D63" t="str">
            <v>BB GESTAO DE RECURSOS DTVM LTDA</v>
          </cell>
          <cell r="E63" t="str">
            <v>BB GESTAO DE RECURSOS DTVM LTDA</v>
          </cell>
        </row>
        <row r="64">
          <cell r="B64">
            <v>122342</v>
          </cell>
          <cell r="C64" t="str">
            <v>SHARP LONG SHORT FIM</v>
          </cell>
          <cell r="D64" t="str">
            <v>SHARP LONG SHORT FIM</v>
          </cell>
          <cell r="E64" t="str">
            <v>SHARP CAPITAL GESTORA DE RECURSOS LTDA</v>
          </cell>
        </row>
        <row r="65">
          <cell r="B65">
            <v>122346</v>
          </cell>
          <cell r="C65" t="str">
            <v>BB GESTAO DE RECURSOS DTVM LTDA</v>
          </cell>
          <cell r="D65" t="str">
            <v>BB GESTAO DE RECURSOS DTVM LTDA</v>
          </cell>
          <cell r="E65" t="str">
            <v>BB GESTAO DE RECURSOS DTVM LTDA</v>
          </cell>
        </row>
        <row r="66">
          <cell r="B66">
            <v>122355</v>
          </cell>
          <cell r="C66" t="str">
            <v>BB GESTAO DE RECURSOS DTVM LTDA</v>
          </cell>
          <cell r="D66" t="str">
            <v>BB GESTAO DE RECURSOS DTVM LTDA</v>
          </cell>
          <cell r="E66" t="str">
            <v>BB GESTAO DE RECURSOS DTVM LTDA</v>
          </cell>
        </row>
        <row r="67">
          <cell r="B67">
            <v>122384</v>
          </cell>
          <cell r="C67" t="str">
            <v>FUNDACAO PETROBRAS DE SEGURIDADE SOCIAL PETROS</v>
          </cell>
          <cell r="D67" t="str">
            <v>FUNDACAO PETROBRAS DE SEGURIDADE SOCIAL PETROS</v>
          </cell>
          <cell r="E67" t="str">
            <v>FUNDACAO PETROBRAS DE SEGURIDADE SOCIAL PETROS</v>
          </cell>
        </row>
        <row r="68">
          <cell r="B68">
            <v>122385</v>
          </cell>
          <cell r="C68" t="str">
            <v>BB GESTAO DE RECURSOS DTVM LTDA</v>
          </cell>
          <cell r="D68" t="str">
            <v>BB GESTAO DE RECURSOS DTVM LTDA</v>
          </cell>
          <cell r="E68" t="str">
            <v>BB GESTAO DE RECURSOS DTVM LTDA</v>
          </cell>
        </row>
        <row r="69">
          <cell r="B69">
            <v>122394</v>
          </cell>
          <cell r="C69" t="str">
            <v>TEMPO CAPITAL PRINCIPAL FIA</v>
          </cell>
          <cell r="D69" t="str">
            <v>TEMPO CAPITAL PRINCIPAL FIA</v>
          </cell>
          <cell r="E69" t="str">
            <v>TEMPO CAPITAL GESTAO DE RECURSOS LTDA</v>
          </cell>
        </row>
        <row r="70">
          <cell r="B70">
            <v>122427</v>
          </cell>
          <cell r="C70" t="str">
            <v>VENTOR HEDGE MASTER FIF MULT RL</v>
          </cell>
          <cell r="D70" t="str">
            <v>VENTOR HEDGE MASTER FIF MULT RL</v>
          </cell>
          <cell r="E70" t="str">
            <v>VENTOR INVESTIMENTOS LTDA</v>
          </cell>
        </row>
        <row r="71">
          <cell r="B71">
            <v>122552</v>
          </cell>
          <cell r="C71" t="str">
            <v>IBIUNA EQUITIES MASTER FIA</v>
          </cell>
          <cell r="D71" t="str">
            <v>IBIUNA EQUITIES MASTER FIA</v>
          </cell>
          <cell r="E71" t="str">
            <v>IBIUNA GESTAO DE RECURSOS LTDA</v>
          </cell>
        </row>
        <row r="72">
          <cell r="B72">
            <v>122558</v>
          </cell>
          <cell r="C72" t="str">
            <v>BAHIA AM II FIA</v>
          </cell>
          <cell r="D72" t="str">
            <v>BAHIA AM II FIA</v>
          </cell>
          <cell r="E72" t="str">
            <v>BAHIA AM LTDA</v>
          </cell>
        </row>
        <row r="73">
          <cell r="B73">
            <v>122566</v>
          </cell>
          <cell r="C73" t="str">
            <v>BAHIA AM VALUATION MASTER FIA</v>
          </cell>
          <cell r="D73" t="str">
            <v>BAHIA AM VALUATION MASTER FIA</v>
          </cell>
          <cell r="E73" t="str">
            <v>BAHIA AM LTDA</v>
          </cell>
        </row>
        <row r="74">
          <cell r="B74">
            <v>122570</v>
          </cell>
          <cell r="C74" t="str">
            <v>BB GESTAO DE RECURSOS DTVM LTDA</v>
          </cell>
          <cell r="D74" t="str">
            <v>BB GESTAO DE RECURSOS DTVM LTDA</v>
          </cell>
          <cell r="E74" t="str">
            <v>BB GESTAO DE RECURSOS DTVM LTDA</v>
          </cell>
        </row>
        <row r="75">
          <cell r="B75">
            <v>12262</v>
          </cell>
          <cell r="C75" t="str">
            <v>TEMPO CAPITAL GESTAO DE RECURSOS LTDA</v>
          </cell>
          <cell r="D75" t="str">
            <v>TEMPO CAPITAL GESTAO DE RECURSOS LTDA</v>
          </cell>
          <cell r="E75" t="str">
            <v>TEMPO CAPITAL GESTAO DE RECURSOS LTDA</v>
          </cell>
        </row>
        <row r="76">
          <cell r="B76">
            <v>12268</v>
          </cell>
          <cell r="C76" t="str">
            <v>KONDOR ADMINISTRADORA E GESTORA DE RECURSOS FINANCEIROS LTDA</v>
          </cell>
          <cell r="D76" t="str">
            <v>KONDOR ADMINISTRADORA E GESTORA DE RECURSOS FINANCEIROS LTDA</v>
          </cell>
          <cell r="E76" t="str">
            <v>KONDOR ADMINISTRADORA E GESTORA DE RECURSOS FINANCEIROS LTDA</v>
          </cell>
        </row>
        <row r="77">
          <cell r="B77">
            <v>122687</v>
          </cell>
          <cell r="C77" t="str">
            <v>BANCO JP MORGAN S/A</v>
          </cell>
          <cell r="D77" t="str">
            <v>BANCO JP MORGAN S/A</v>
          </cell>
          <cell r="E77" t="str">
            <v>BANCO JP MORGAN S/A</v>
          </cell>
        </row>
        <row r="78">
          <cell r="B78">
            <v>122688</v>
          </cell>
          <cell r="C78" t="str">
            <v>ATACAMA MULTIMERCADO FI</v>
          </cell>
          <cell r="D78" t="str">
            <v>ATACAMA MULTIMERCADO FI</v>
          </cell>
          <cell r="E78" t="str">
            <v>BANCO JP MORGAN S/A</v>
          </cell>
        </row>
        <row r="79">
          <cell r="B79">
            <v>122691</v>
          </cell>
          <cell r="C79" t="str">
            <v>VENTOR DOLAR HEDGE MASTER FIF MULT RL</v>
          </cell>
          <cell r="D79" t="str">
            <v>VENTOR DOLAR HEDGE MASTER FIF MULT RL</v>
          </cell>
          <cell r="E79" t="str">
            <v>VENTOR INVESTIMENTOS LTDA</v>
          </cell>
        </row>
        <row r="80">
          <cell r="B80">
            <v>122708</v>
          </cell>
          <cell r="C80" t="str">
            <v>CAIXA PETROBRAS PRE-SAL FIF EM ACOES RL</v>
          </cell>
          <cell r="D80" t="str">
            <v>CAIXA PETROBRAS PRE-SAL FIF EM ACOES RL</v>
          </cell>
          <cell r="E80" t="str">
            <v>CAIXA ECONOMICA FEDERAL</v>
          </cell>
        </row>
        <row r="81">
          <cell r="B81">
            <v>122711</v>
          </cell>
          <cell r="C81" t="str">
            <v>CAIXA PETROBRAS FIF EM AÃ‡Ã•ES RL</v>
          </cell>
          <cell r="D81" t="str">
            <v>CAIXA PETROBRAS FIF EM AÃ‡Ã•ES RL</v>
          </cell>
          <cell r="E81" t="str">
            <v>CAIXA ECONOMICA FEDERAL</v>
          </cell>
        </row>
        <row r="82">
          <cell r="B82">
            <v>122717</v>
          </cell>
          <cell r="C82" t="str">
            <v>CAIXA CONSUMO FIF EM AÃ‡Ã•ES RL</v>
          </cell>
          <cell r="D82" t="str">
            <v>CAIXA CONSUMO FIF EM AÃ‡Ã•ES RL</v>
          </cell>
          <cell r="E82" t="str">
            <v>CAIXA ECONOMICA FEDERAL</v>
          </cell>
        </row>
        <row r="83">
          <cell r="B83">
            <v>122718</v>
          </cell>
          <cell r="C83" t="str">
            <v>CAIXA DIVIDENDOS FIF AÃ‡Ã•ES RL</v>
          </cell>
          <cell r="D83" t="str">
            <v>CAIXA DIVIDENDOS FIF AÃ‡Ã•ES RL</v>
          </cell>
          <cell r="E83" t="str">
            <v>CAIXA ECONOMICA FEDERAL</v>
          </cell>
        </row>
        <row r="84">
          <cell r="B84">
            <v>122719</v>
          </cell>
          <cell r="C84" t="str">
            <v>CAIXA SUSTENTABILIDADE EMPRESARIAL ISE IS FIF EM AÃ‡Ã•ES RL</v>
          </cell>
          <cell r="D84" t="str">
            <v>CAIXA SUSTENTABILIDADE EMPRESARIAL ISE IS FIF EM AÃ‡Ã•ES RL</v>
          </cell>
          <cell r="E84" t="str">
            <v>CAIXA ECONOMICA FEDERAL</v>
          </cell>
        </row>
        <row r="85">
          <cell r="B85">
            <v>122720</v>
          </cell>
          <cell r="C85" t="str">
            <v>CAIXA VALE DO RIO DOCE FIF EM AÃ‡Ã•ES RL</v>
          </cell>
          <cell r="D85" t="str">
            <v>CAIXA VALE DO RIO DOCE FIF EM AÃ‡Ã•ES RL</v>
          </cell>
          <cell r="E85" t="str">
            <v>CAIXA ECONOMICA FEDERAL</v>
          </cell>
        </row>
        <row r="86">
          <cell r="B86">
            <v>122724</v>
          </cell>
          <cell r="C86" t="str">
            <v>CARTEIRA ATIVA II FUNDO DE INVESTIMENTO FINANCEIRO AÃ‡Ã•ES RL</v>
          </cell>
          <cell r="D86" t="str">
            <v>CARTEIRA ATIVA II FUNDO DE INVESTIMENTO FINANCEIRO AÃ‡Ã•ES RL</v>
          </cell>
          <cell r="E86" t="str">
            <v>FUNDACAO DOS ECONOMIARIOS FEDERAIS - FUNCEF</v>
          </cell>
        </row>
        <row r="87">
          <cell r="B87">
            <v>12275</v>
          </cell>
          <cell r="C87" t="str">
            <v>BAHIA AM RENDA VARIAVEL LTDA  (ANTIGO BBM I)</v>
          </cell>
          <cell r="D87" t="str">
            <v>BAHIA AM RENDA VARIAVEL LTDA  (ANTIGO BBM I)</v>
          </cell>
          <cell r="E87" t="str">
            <v>BAHIA AM LTDA</v>
          </cell>
        </row>
        <row r="88">
          <cell r="B88">
            <v>122760</v>
          </cell>
          <cell r="C88" t="str">
            <v>BB GESTAO DE RECURSOS DTVM LTDA</v>
          </cell>
          <cell r="D88" t="str">
            <v>BB GESTAO DE RECURSOS DTVM LTDA</v>
          </cell>
          <cell r="E88" t="str">
            <v>BB GESTAO DE RECURSOS DTVM LTDA</v>
          </cell>
        </row>
        <row r="89">
          <cell r="B89">
            <v>12277</v>
          </cell>
          <cell r="C89" t="str">
            <v>FRANKLIN TEMPLETON INVESTIMENTOS (BRASIL) LTDA</v>
          </cell>
          <cell r="D89" t="str">
            <v>FRANKLIN TEMPLETON INVESTIMENTOS (BRASIL) LTDA</v>
          </cell>
          <cell r="E89" t="str">
            <v>FRANKLIN TEMPLETON INVESTIMENTOS (BRASIL) LTDA</v>
          </cell>
        </row>
        <row r="90">
          <cell r="B90">
            <v>122798</v>
          </cell>
          <cell r="C90" t="str">
            <v>TAGUS TOP FI EM COTAS FIM</v>
          </cell>
          <cell r="D90" t="str">
            <v>TAGUS TOP FI EM COTAS FIM</v>
          </cell>
          <cell r="E90" t="str">
            <v>TAGUS INVESTIMENTOS LTDA</v>
          </cell>
        </row>
        <row r="91">
          <cell r="B91">
            <v>122799</v>
          </cell>
          <cell r="C91" t="str">
            <v>IBIUNA LONG SHORT ST MASTER FIF CIM RESP LIMITADA</v>
          </cell>
          <cell r="D91" t="str">
            <v>IBIUNA LONG SHORT ST MASTER FIF CIM RESP LIMITADA</v>
          </cell>
          <cell r="E91" t="str">
            <v>IBIUNA GESTAO DE RECURSOS LTDA</v>
          </cell>
        </row>
        <row r="92">
          <cell r="B92">
            <v>122824</v>
          </cell>
          <cell r="C92" t="str">
            <v>PRINCIPAL CLARITAS LONG SHORT MASTER FIM</v>
          </cell>
          <cell r="D92" t="str">
            <v>PRINCIPAL CLARITAS LONG SHORT MASTER FIM</v>
          </cell>
          <cell r="E92" t="str">
            <v>PRINCIPAL ASSET MANAGEMENT LTDA</v>
          </cell>
        </row>
        <row r="93">
          <cell r="B93">
            <v>122825</v>
          </cell>
          <cell r="C93" t="str">
            <v>SANTANDER FIC FIA MIRANTE</v>
          </cell>
          <cell r="D93" t="str">
            <v>SANTANDER FIC FIA MIRANTE</v>
          </cell>
          <cell r="E93" t="str">
            <v>BRAM - BRADESCO ASSET MANAGEMENT S/A DTVM</v>
          </cell>
        </row>
        <row r="94">
          <cell r="B94">
            <v>122833</v>
          </cell>
          <cell r="C94" t="str">
            <v>BANCO BRADESCO S/A</v>
          </cell>
          <cell r="D94" t="str">
            <v>BANCO BRADESCO S/A</v>
          </cell>
          <cell r="E94" t="str">
            <v>BANCO BRADESCO S/A</v>
          </cell>
        </row>
        <row r="95">
          <cell r="B95">
            <v>12284</v>
          </cell>
          <cell r="C95" t="str">
            <v>ARX INVESTIMENTOS LTDA</v>
          </cell>
          <cell r="D95" t="str">
            <v>ARX INVESTIMENTOS LTDA</v>
          </cell>
          <cell r="E95" t="str">
            <v>ARX INVESTIMENTOS LTDA</v>
          </cell>
        </row>
        <row r="96">
          <cell r="B96">
            <v>122879</v>
          </cell>
          <cell r="C96" t="str">
            <v>SHARP VALOR PERNAMBUCO FIA</v>
          </cell>
          <cell r="D96" t="str">
            <v>SHARP VALOR PERNAMBUCO FIA</v>
          </cell>
          <cell r="E96" t="str">
            <v>SHARP CAPITAL GESTORA DE RECURSOS LTDA</v>
          </cell>
        </row>
        <row r="97">
          <cell r="B97">
            <v>122880</v>
          </cell>
          <cell r="C97" t="str">
            <v>BANCO BTG PACTUAL S/A</v>
          </cell>
          <cell r="D97" t="str">
            <v>BANCO BTG PACTUAL S/A</v>
          </cell>
          <cell r="E97" t="str">
            <v>BANCO BTG PACTUAL S/A</v>
          </cell>
        </row>
        <row r="98">
          <cell r="B98">
            <v>122886</v>
          </cell>
          <cell r="C98" t="str">
            <v>AZ QUEST LOW VOL FIM</v>
          </cell>
          <cell r="D98" t="str">
            <v>AZ QUEST LOW VOL FIM</v>
          </cell>
          <cell r="E98" t="str">
            <v>AZ QUEST INVESTIMENTOS LTDA</v>
          </cell>
        </row>
        <row r="99">
          <cell r="B99">
            <v>1229</v>
          </cell>
          <cell r="C99" t="str">
            <v>BGC LIQUIDEZ DTVM LTDA</v>
          </cell>
          <cell r="D99" t="str">
            <v>BGC LIQUIDEZ DTVM LTDA</v>
          </cell>
          <cell r="E99" t="str">
            <v>BGC LIQUIDEZ DTVM LTDA</v>
          </cell>
        </row>
        <row r="100">
          <cell r="B100">
            <v>122902</v>
          </cell>
          <cell r="C100" t="str">
            <v>NOVUS MACRO MASTER FIM</v>
          </cell>
          <cell r="D100" t="str">
            <v>NOVUS MACRO MASTER FIM</v>
          </cell>
          <cell r="E100" t="str">
            <v>NOVUS CAPITAL GESTORA DE RECURSOS LTDA</v>
          </cell>
        </row>
        <row r="101">
          <cell r="B101">
            <v>122911</v>
          </cell>
          <cell r="C101" t="str">
            <v>BB GESTAO DE RECURSOS DTVM LTDA</v>
          </cell>
          <cell r="D101" t="str">
            <v>BB GESTAO DE RECURSOS DTVM LTDA</v>
          </cell>
          <cell r="E101" t="str">
            <v>BB GESTAO DE RECURSOS DTVM LTDA</v>
          </cell>
        </row>
        <row r="102">
          <cell r="B102">
            <v>122932</v>
          </cell>
          <cell r="C102" t="str">
            <v>BB GESTAO DE RECURSOS DTVM LTDA</v>
          </cell>
          <cell r="D102" t="str">
            <v>BB GESTAO DE RECURSOS DTVM LTDA</v>
          </cell>
          <cell r="E102" t="str">
            <v>BB GESTAO DE RECURSOS DTVM LTDA</v>
          </cell>
        </row>
        <row r="103">
          <cell r="B103">
            <v>122948</v>
          </cell>
          <cell r="C103" t="str">
            <v>BANCO SAFRA S/A</v>
          </cell>
          <cell r="D103" t="str">
            <v>BANCO SAFRA S/A</v>
          </cell>
          <cell r="E103" t="str">
            <v>BANCO SAFRA S/A</v>
          </cell>
        </row>
        <row r="104">
          <cell r="B104">
            <v>122953</v>
          </cell>
          <cell r="C104" t="str">
            <v>SAFRA PREV MULTI ESTRATEGIA MASTER FIF PREV CI EM MULT PREV</v>
          </cell>
          <cell r="D104" t="str">
            <v>SAFRA PREV MULTI ESTRATEGIA MASTER FIF PREV CI EM MULT PREV</v>
          </cell>
          <cell r="E104" t="str">
            <v>TURMALINA GESTAO E ADMINISTRAÃ‡ÃƒO DE RECURSOS SA</v>
          </cell>
        </row>
        <row r="105">
          <cell r="B105">
            <v>12296</v>
          </cell>
          <cell r="C105" t="str">
            <v>PATRIA INVESTIMENTOS LTDA</v>
          </cell>
          <cell r="D105" t="str">
            <v>PATRIA INVESTIMENTOS LTDA</v>
          </cell>
          <cell r="E105" t="str">
            <v>PATRIA INVESTIMENTOS LTDA</v>
          </cell>
        </row>
        <row r="106">
          <cell r="B106">
            <v>122971</v>
          </cell>
          <cell r="C106" t="str">
            <v>SAFRA EQUITY PORTFOLIO MASTER FIA</v>
          </cell>
          <cell r="D106" t="str">
            <v>SAFRA EQUITY PORTFOLIO MASTER FIA</v>
          </cell>
          <cell r="E106" t="str">
            <v>EMERALD GESTAO DE INVESTIMENTOS LTDA</v>
          </cell>
        </row>
        <row r="107">
          <cell r="B107">
            <v>122974</v>
          </cell>
          <cell r="C107" t="str">
            <v>POLO NORTE MASTER FIM</v>
          </cell>
          <cell r="D107" t="str">
            <v>POLO NORTE MASTER FIM</v>
          </cell>
          <cell r="E107" t="str">
            <v>POLO CAPITAL GESTÃO DE RECURSOS LTDA</v>
          </cell>
        </row>
        <row r="108">
          <cell r="B108">
            <v>123003</v>
          </cell>
          <cell r="C108" t="str">
            <v>BB GESTAO DE RECURSOS DTVM LTDA</v>
          </cell>
          <cell r="D108" t="str">
            <v>BB GESTAO DE RECURSOS DTVM LTDA</v>
          </cell>
          <cell r="E108" t="str">
            <v>BB GESTAO DE RECURSOS DTVM LTDA</v>
          </cell>
        </row>
        <row r="109">
          <cell r="B109">
            <v>123041</v>
          </cell>
          <cell r="C109" t="str">
            <v>BB GESTAO DE RECURSOS DTVM LTDA</v>
          </cell>
          <cell r="D109" t="str">
            <v>BB GESTAO DE RECURSOS DTVM LTDA</v>
          </cell>
          <cell r="E109" t="str">
            <v>BB GESTAO DE RECURSOS DTVM LTDA</v>
          </cell>
        </row>
        <row r="110">
          <cell r="B110">
            <v>12306</v>
          </cell>
          <cell r="C110" t="str">
            <v>UNA CAPITAL LTDA</v>
          </cell>
          <cell r="D110" t="str">
            <v>UNA CAPITAL LTDA</v>
          </cell>
          <cell r="E110" t="str">
            <v>UNA CAPITAL LTDA</v>
          </cell>
        </row>
        <row r="111">
          <cell r="B111">
            <v>123074</v>
          </cell>
          <cell r="C111" t="str">
            <v>SANTANDER FI GUARUJA MULTIMERCADO CP IE</v>
          </cell>
          <cell r="D111" t="str">
            <v>SANTANDER FI GUARUJA MULTIMERCADO CP IE</v>
          </cell>
          <cell r="E111" t="str">
            <v>BANCO SANTANDER (BRASIL) S/A</v>
          </cell>
        </row>
        <row r="112">
          <cell r="B112">
            <v>123075</v>
          </cell>
          <cell r="C112" t="str">
            <v>SANTANDER FI AMAZONAS MULT CP IE</v>
          </cell>
          <cell r="D112" t="str">
            <v>SANTANDER FI AMAZONAS MULT CP IE</v>
          </cell>
          <cell r="E112" t="str">
            <v>BANCO SANTANDER (BRASIL) S/A</v>
          </cell>
        </row>
        <row r="113">
          <cell r="B113">
            <v>123109</v>
          </cell>
          <cell r="C113" t="str">
            <v>ASCESE FIA</v>
          </cell>
          <cell r="D113" t="str">
            <v>ASCESE FIA</v>
          </cell>
          <cell r="E113" t="str">
            <v>DYNAMO ADMINISTRACAO DE RECURSOS LTDA</v>
          </cell>
        </row>
        <row r="114">
          <cell r="B114">
            <v>12312</v>
          </cell>
          <cell r="C114" t="str">
            <v>BANCO SANTANDER (BRASIL) S/A</v>
          </cell>
          <cell r="D114" t="str">
            <v>BANCO SANTANDER (BRASIL) S/A</v>
          </cell>
          <cell r="E114" t="str">
            <v>BANCO SANTANDER (BRASIL) S/A</v>
          </cell>
        </row>
        <row r="115">
          <cell r="B115">
            <v>12313</v>
          </cell>
          <cell r="C115" t="str">
            <v>KINITRO CAPITAL GESTAO DE RECURSOS DE TERCEIROS LTDA</v>
          </cell>
          <cell r="D115" t="str">
            <v>KINITRO CAPITAL GESTAO DE RECURSOS DE TERCEIROS LTDA</v>
          </cell>
          <cell r="E115" t="str">
            <v>KINITRO CAPITAL GESTAO DE RECURSOS DE TERCEIROS LTDA</v>
          </cell>
        </row>
        <row r="116">
          <cell r="B116">
            <v>12315</v>
          </cell>
          <cell r="C116" t="str">
            <v>RIO BRAVO INVESTIMENTOS LTDA</v>
          </cell>
          <cell r="D116" t="str">
            <v>RIO BRAVO INVESTIMENTOS LTDA</v>
          </cell>
          <cell r="E116" t="str">
            <v>RIO BRAVO INVESTIMENTOS LTDA</v>
          </cell>
        </row>
        <row r="117">
          <cell r="B117">
            <v>123218</v>
          </cell>
          <cell r="C117" t="str">
            <v>SANTANDER FI GUARUJA MULTIMERCADO CP IE</v>
          </cell>
          <cell r="D117" t="str">
            <v>SANTANDER FI GUARUJA MULTIMERCADO CP IE</v>
          </cell>
          <cell r="E117" t="str">
            <v>SANTANDER BRASIL GESTAO DE RECURSOS LTDA</v>
          </cell>
        </row>
        <row r="118">
          <cell r="B118">
            <v>123219</v>
          </cell>
          <cell r="C118" t="str">
            <v>SANTANDER FI GUARUJA MULTIMERCADO CP IE</v>
          </cell>
          <cell r="D118" t="str">
            <v>SANTANDER FI GUARUJA MULTIMERCADO CP IE</v>
          </cell>
          <cell r="E118" t="str">
            <v>SANTANDER BRASIL GESTAO DE RECURSOS LTDA</v>
          </cell>
        </row>
        <row r="119">
          <cell r="B119">
            <v>123220</v>
          </cell>
          <cell r="C119" t="str">
            <v>SANTANDER FI GUARUJA MULTIMERCADO CP IE</v>
          </cell>
          <cell r="D119" t="str">
            <v>SANTANDER FI GUARUJA MULTIMERCADO CP IE</v>
          </cell>
          <cell r="E119" t="str">
            <v>SANTANDER BRASIL GESTAO DE RECURSOS LTDA</v>
          </cell>
        </row>
        <row r="120">
          <cell r="B120">
            <v>123221</v>
          </cell>
          <cell r="C120" t="str">
            <v>SANTANDER FI GUARUJA MULTIMERCADO CP IE</v>
          </cell>
          <cell r="D120" t="str">
            <v>SANTANDER FI GUARUJA MULTIMERCADO CP IE</v>
          </cell>
          <cell r="E120" t="str">
            <v>SANTANDER BRASIL GESTAO DE RECURSOS LTDA</v>
          </cell>
        </row>
        <row r="121">
          <cell r="B121">
            <v>123222</v>
          </cell>
          <cell r="C121" t="str">
            <v>SANTANDER FI GUARUJA MULTIMERCADO CP IE</v>
          </cell>
          <cell r="D121" t="str">
            <v>SANTANDER FI GUARUJA MULTIMERCADO CP IE</v>
          </cell>
          <cell r="E121" t="str">
            <v>SANTANDER BRASIL GESTAO DE RECURSOS LTDA</v>
          </cell>
        </row>
        <row r="122">
          <cell r="B122">
            <v>123223</v>
          </cell>
          <cell r="C122" t="str">
            <v>SANTANDER FI AMAZONAS MULT CP IE</v>
          </cell>
          <cell r="D122" t="str">
            <v>SANTANDER FI AMAZONAS MULT CP IE</v>
          </cell>
          <cell r="E122" t="str">
            <v>SANTANDER BRASIL GESTAO DE RECURSOS LTDA</v>
          </cell>
        </row>
        <row r="123">
          <cell r="B123">
            <v>123224</v>
          </cell>
          <cell r="C123" t="str">
            <v>SANTANDER FI AMAZONAS MULT CP IE</v>
          </cell>
          <cell r="D123" t="str">
            <v>SANTANDER FI AMAZONAS MULT CP IE</v>
          </cell>
          <cell r="E123" t="str">
            <v>SANTANDER BRASIL GESTAO DE RECURSOS LTDA</v>
          </cell>
        </row>
        <row r="124">
          <cell r="B124">
            <v>12325</v>
          </cell>
          <cell r="C124" t="str">
            <v>CREDIT SUISSE (BRASIL) S/A CTVM</v>
          </cell>
          <cell r="D124" t="str">
            <v>CREDIT SUISSE (BRASIL) S/A CTVM</v>
          </cell>
          <cell r="E124" t="str">
            <v>CREDIT SUISSE (BRASIL) S/A CTVM</v>
          </cell>
        </row>
        <row r="125">
          <cell r="B125">
            <v>123266</v>
          </cell>
          <cell r="C125" t="str">
            <v>NUCLEOS IV BANCO DO BRASIL FIF AÃ‡Ã•ES RL</v>
          </cell>
          <cell r="D125" t="str">
            <v>NUCLEOS IV BANCO DO BRASIL FIF AÃ‡Ã•ES RL</v>
          </cell>
          <cell r="E125" t="str">
            <v>BB GESTAO DE RECURSOS DTVM LTDA</v>
          </cell>
        </row>
        <row r="126">
          <cell r="B126">
            <v>123272</v>
          </cell>
          <cell r="C126" t="str">
            <v>SHARP EQUITY VALUE MASTER FIA</v>
          </cell>
          <cell r="D126" t="str">
            <v>SHARP EQUITY VALUE MASTER FIA</v>
          </cell>
          <cell r="E126" t="str">
            <v>SHARP CAPITAL GESTORA DE RECURSOS LTDA</v>
          </cell>
        </row>
        <row r="127">
          <cell r="B127">
            <v>123283</v>
          </cell>
          <cell r="C127" t="str">
            <v>SHARP ARPOADOR IBRX ATIVO FIA</v>
          </cell>
          <cell r="D127" t="str">
            <v>SHARP ARPOADOR IBRX ATIVO FIA</v>
          </cell>
          <cell r="E127" t="str">
            <v>SHARP CAPITAL GESTORA DE RECURSOS LTDA</v>
          </cell>
        </row>
        <row r="128">
          <cell r="B128">
            <v>123288</v>
          </cell>
          <cell r="C128" t="str">
            <v>SHARP EQUITY VALUE INSTITUCIONAL FIA</v>
          </cell>
          <cell r="D128" t="str">
            <v>SHARP EQUITY VALUE INSTITUCIONAL FIA</v>
          </cell>
          <cell r="E128" t="str">
            <v>SHARP CAPITAL GESTORA DE RECURSOS LTDA</v>
          </cell>
        </row>
        <row r="129">
          <cell r="B129">
            <v>12332</v>
          </cell>
          <cell r="C129" t="str">
            <v>CENTRUS -FUNDAÃ‡ÃƒO BANCO CENTRAL DE PREVIDENCIA PRIVADA</v>
          </cell>
          <cell r="D129" t="str">
            <v>CENTRUS -FUNDAÃ‡ÃƒO BANCO CENTRAL DE PREVIDENCIA PRIVADA</v>
          </cell>
          <cell r="E129" t="str">
            <v>CENTRUS -FUNDAÇÃO BANCO CENTRAL DE PREVIDENCIA PRIVADA</v>
          </cell>
        </row>
        <row r="130">
          <cell r="B130">
            <v>123326</v>
          </cell>
          <cell r="C130" t="str">
            <v>VENTOR IMA-B HEDGE FIF MULT RL</v>
          </cell>
          <cell r="D130" t="str">
            <v>VENTOR IMA-B HEDGE FIF MULT RL</v>
          </cell>
          <cell r="E130" t="str">
            <v>VENTOR INVESTIMENTOS LTDA</v>
          </cell>
        </row>
        <row r="131">
          <cell r="B131">
            <v>123331</v>
          </cell>
          <cell r="C131" t="str">
            <v>RPS TOTAL RETURN MASTER FIM</v>
          </cell>
          <cell r="D131" t="str">
            <v>RPS TOTAL RETURN MASTER FIM</v>
          </cell>
          <cell r="E131" t="str">
            <v>RPS CAPITAL ADMINISTRADORA DE RECURSOS LTDA</v>
          </cell>
        </row>
        <row r="132">
          <cell r="B132">
            <v>12339</v>
          </cell>
          <cell r="C132" t="str">
            <v>RPS CAPITAL ADMINISTRADORA DE RECURSOS LTDA</v>
          </cell>
          <cell r="D132" t="str">
            <v>RPS CAPITAL ADMINISTRADORA DE RECURSOS LTDA</v>
          </cell>
          <cell r="E132" t="str">
            <v>RPS CAPITAL ADMINISTRADORA DE RECURSOS LTDA</v>
          </cell>
        </row>
        <row r="133">
          <cell r="B133">
            <v>123451</v>
          </cell>
          <cell r="C133" t="str">
            <v>BB GESTAO DE RECURSOS DTVM LTDA</v>
          </cell>
          <cell r="D133" t="str">
            <v>BB GESTAO DE RECURSOS DTVM LTDA</v>
          </cell>
          <cell r="E133" t="str">
            <v>BB GESTAO DE RECURSOS DTVM LTDA</v>
          </cell>
        </row>
        <row r="134">
          <cell r="B134">
            <v>123478</v>
          </cell>
          <cell r="C134" t="str">
            <v>BB GESTAO DE RECURSOS DTVM LTDA</v>
          </cell>
          <cell r="D134" t="str">
            <v>BB GESTAO DE RECURSOS DTVM LTDA</v>
          </cell>
          <cell r="E134" t="str">
            <v>BB GESTAO DE RECURSOS DTVM LTDA</v>
          </cell>
        </row>
        <row r="135">
          <cell r="B135">
            <v>123482</v>
          </cell>
          <cell r="C135" t="str">
            <v>BB GESTAO DE RECURSOS DTVM LTDA</v>
          </cell>
          <cell r="D135" t="str">
            <v>BB GESTAO DE RECURSOS DTVM LTDA</v>
          </cell>
          <cell r="E135" t="str">
            <v>BB GESTAO DE RECURSOS DTVM LTDA</v>
          </cell>
        </row>
        <row r="136">
          <cell r="B136">
            <v>123487</v>
          </cell>
          <cell r="C136" t="str">
            <v>BB GESTAO DE RECURSOS DTVM LTDA</v>
          </cell>
          <cell r="D136" t="str">
            <v>BB GESTAO DE RECURSOS DTVM LTDA</v>
          </cell>
          <cell r="E136" t="str">
            <v>BB GESTAO DE RECURSOS DTVM LTDA</v>
          </cell>
        </row>
        <row r="137">
          <cell r="B137">
            <v>27646</v>
          </cell>
          <cell r="C137" t="str">
            <v>GOLDMAN SACHS &amp; CO</v>
          </cell>
          <cell r="D137" t="str">
            <v>GOLDMAN SACHS &amp; CO</v>
          </cell>
          <cell r="E137" t="str">
            <v>GOLDMAN SACHS DO BRASIL BANCO MULTIPLO S/A</v>
          </cell>
        </row>
        <row r="138">
          <cell r="B138">
            <v>123566</v>
          </cell>
          <cell r="C138" t="str">
            <v>ARX MACRO MASTER FIF MULT RESP LTDA</v>
          </cell>
          <cell r="D138" t="str">
            <v>ARX MACRO MASTER FIF MULT RESP LTDA</v>
          </cell>
          <cell r="E138" t="str">
            <v>ARX INVESTIMENTOS LTDA</v>
          </cell>
        </row>
        <row r="139">
          <cell r="B139">
            <v>123645</v>
          </cell>
          <cell r="C139" t="str">
            <v>NEXT FIM CP</v>
          </cell>
          <cell r="D139" t="str">
            <v>NEXT FIM CP</v>
          </cell>
          <cell r="E139" t="str">
            <v>MANDATTO GESTAO DE INVESTIMENTOS LTDA</v>
          </cell>
        </row>
        <row r="140">
          <cell r="B140">
            <v>123653</v>
          </cell>
          <cell r="C140" t="str">
            <v>CLUBE DE INVESTIMENTO DOS EMPREGADOS DA VALE INVESTVALE</v>
          </cell>
          <cell r="D140" t="str">
            <v>CLUBE DE INVESTIMENTO DOS EMPREGADOS DA VALE INVESTVALE</v>
          </cell>
          <cell r="E140" t="str">
            <v>ARX INVESTIMENTOS LTDA</v>
          </cell>
        </row>
        <row r="141">
          <cell r="B141">
            <v>123663</v>
          </cell>
          <cell r="C141" t="str">
            <v>ORI CAPITAL I FIA</v>
          </cell>
          <cell r="D141" t="str">
            <v>ORI CAPITAL I FIA</v>
          </cell>
          <cell r="E141" t="str">
            <v>ORI CAPITAL LTDA</v>
          </cell>
        </row>
        <row r="142">
          <cell r="B142">
            <v>12367</v>
          </cell>
          <cell r="C142" t="str">
            <v>ORI CAPITAL LTDA</v>
          </cell>
          <cell r="D142" t="str">
            <v>ORI CAPITAL LTDA</v>
          </cell>
          <cell r="E142" t="str">
            <v>ORI CAPITAL LTDA</v>
          </cell>
        </row>
        <row r="143">
          <cell r="B143">
            <v>123687</v>
          </cell>
          <cell r="C143" t="str">
            <v>ARX EXTRA MASTER FIM</v>
          </cell>
          <cell r="D143" t="str">
            <v>ARX EXTRA MASTER FIM</v>
          </cell>
          <cell r="E143" t="str">
            <v>ARX INVESTIMENTOS LTDA</v>
          </cell>
        </row>
        <row r="144">
          <cell r="B144">
            <v>123696</v>
          </cell>
          <cell r="C144" t="str">
            <v>STUDIO MASTER II FIA</v>
          </cell>
          <cell r="D144" t="str">
            <v>STUDIO MASTER II FIA</v>
          </cell>
          <cell r="E144" t="str">
            <v>STUDIO INVESTIMENTOS ADMINISTRADORA DE RECURSOS LTDA</v>
          </cell>
        </row>
        <row r="145">
          <cell r="B145">
            <v>123697</v>
          </cell>
          <cell r="C145" t="str">
            <v>STUDIO MASTER FIA</v>
          </cell>
          <cell r="D145" t="str">
            <v>STUDIO MASTER FIA</v>
          </cell>
          <cell r="E145" t="str">
            <v>STUDIO INVESTIMENTOS ADMINISTRADORA DE RECURSOS LTDA</v>
          </cell>
        </row>
        <row r="146">
          <cell r="B146">
            <v>123699</v>
          </cell>
          <cell r="C146" t="str">
            <v>BAHIA AM CICLOTRON MASTER FIM CP IE</v>
          </cell>
          <cell r="D146" t="str">
            <v>BAHIA AM CICLOTRON MASTER FIM CP IE</v>
          </cell>
          <cell r="E146" t="str">
            <v>BAHIA AM LTDA</v>
          </cell>
        </row>
        <row r="147">
          <cell r="B147">
            <v>12370</v>
          </cell>
          <cell r="C147" t="str">
            <v>GAUSS CAPITAL GESTORA DE RECURSOS LTDA</v>
          </cell>
          <cell r="D147" t="str">
            <v>GAUSS CAPITAL GESTORA DE RECURSOS LTDA</v>
          </cell>
          <cell r="E147" t="str">
            <v>ASA ASSET GESTAO EM INVESTIMENTOS LTDA</v>
          </cell>
        </row>
        <row r="148">
          <cell r="B148">
            <v>123726</v>
          </cell>
          <cell r="C148" t="str">
            <v>IRB BRASIL RESSEGUROS S.A.</v>
          </cell>
          <cell r="D148" t="str">
            <v>IRB BRASIL RESSEGUROS S.A.</v>
          </cell>
          <cell r="E148" t="str">
            <v>IRB BRASIL RESSEGUROS S.A.</v>
          </cell>
        </row>
        <row r="149">
          <cell r="B149">
            <v>12374</v>
          </cell>
          <cell r="C149" t="str">
            <v>STUDIO INVESTIMENTOS ADMINISTRADORA DE RECURSOS LTDA</v>
          </cell>
          <cell r="D149" t="str">
            <v>STUDIO INVESTIMENTOS ADMINISTRADORA DE RECURSOS LTDA</v>
          </cell>
          <cell r="E149" t="str">
            <v>STUDIO INVESTIMENTOS ADMINISTRADORA DE RECURSOS LTDA</v>
          </cell>
        </row>
        <row r="150">
          <cell r="B150">
            <v>123744</v>
          </cell>
          <cell r="C150" t="str">
            <v>KONDOR MASTER FIF CL MULT RL</v>
          </cell>
          <cell r="D150" t="str">
            <v>KONDOR MASTER FIF CL MULT RL</v>
          </cell>
          <cell r="E150" t="str">
            <v>KONDOR ADMINISTRADORA E GESTORA DE RECURSOS FINANCEIROS LTDA</v>
          </cell>
        </row>
        <row r="151">
          <cell r="B151">
            <v>123746</v>
          </cell>
          <cell r="C151" t="str">
            <v>ALASKA BLACK MASTER FIA BDR NIVEL I</v>
          </cell>
          <cell r="D151" t="str">
            <v>ALASKA BLACK MASTER FIA BDR NIVEL I</v>
          </cell>
          <cell r="E151" t="str">
            <v>ALASKA INVESTIMENTOS LTDA</v>
          </cell>
        </row>
        <row r="152">
          <cell r="B152">
            <v>123751</v>
          </cell>
          <cell r="C152" t="str">
            <v>BAHIA AM LONG BIASED MASTER FIM</v>
          </cell>
          <cell r="D152" t="str">
            <v>BAHIA AM LONG BIASED MASTER FIM</v>
          </cell>
          <cell r="E152" t="str">
            <v>BAHIA AM LTDA</v>
          </cell>
        </row>
        <row r="153">
          <cell r="B153">
            <v>123753</v>
          </cell>
          <cell r="C153" t="str">
            <v>FRG FUNDO DE INVESTIMENTO EM ACOES SHARP</v>
          </cell>
          <cell r="D153" t="str">
            <v>FRG FUNDO DE INVESTIMENTO EM ACOES SHARP</v>
          </cell>
          <cell r="E153" t="str">
            <v>SHARP CAPITAL GESTORA DE RECURSOS LTDA</v>
          </cell>
        </row>
        <row r="154">
          <cell r="B154">
            <v>12376</v>
          </cell>
          <cell r="C154" t="str">
            <v>ALASKA INVESTIMENTOS LTDA</v>
          </cell>
          <cell r="D154" t="str">
            <v>ALASKA INVESTIMENTOS LTDA</v>
          </cell>
          <cell r="E154" t="str">
            <v>ALASKA INVESTIMENTOS LTDA</v>
          </cell>
        </row>
        <row r="155">
          <cell r="B155">
            <v>123764</v>
          </cell>
          <cell r="C155" t="str">
            <v>SPX APACHE FUNDO DE INVESTIMENTO FINANCEIRO DE AÃ‡Ã•ES RL</v>
          </cell>
          <cell r="D155" t="str">
            <v>SPX APACHE FUNDO DE INVESTIMENTO FINANCEIRO DE AÃ‡Ã•ES RL</v>
          </cell>
          <cell r="E155" t="str">
            <v>SPX GESTAO DE RECURSOS LTDA</v>
          </cell>
        </row>
        <row r="156">
          <cell r="B156">
            <v>123787</v>
          </cell>
          <cell r="C156" t="str">
            <v>BANCO VOTORANTIM S/A</v>
          </cell>
          <cell r="D156" t="str">
            <v>BANCO VOTORANTIM S/A</v>
          </cell>
          <cell r="E156" t="str">
            <v>BANCO VOTORANTIM S/A</v>
          </cell>
        </row>
        <row r="157">
          <cell r="B157">
            <v>123788</v>
          </cell>
          <cell r="C157" t="str">
            <v>BANCO VOTORANTIM S/A</v>
          </cell>
          <cell r="D157" t="str">
            <v>BANCO VOTORANTIM S/A</v>
          </cell>
          <cell r="E157" t="str">
            <v>BANCO VOTORANTIM S/A</v>
          </cell>
        </row>
        <row r="158">
          <cell r="B158">
            <v>123789</v>
          </cell>
          <cell r="C158" t="str">
            <v>BANCO VOTORANTIM S/A</v>
          </cell>
          <cell r="D158" t="str">
            <v>BANCO VOTORANTIM S/A</v>
          </cell>
          <cell r="E158" t="str">
            <v>BANCO VOTORANTIM S/A</v>
          </cell>
        </row>
        <row r="159">
          <cell r="B159">
            <v>123821</v>
          </cell>
          <cell r="C159" t="str">
            <v>KR BH FIF CI MULT CP RL</v>
          </cell>
          <cell r="D159" t="str">
            <v>KR BH FIF CI MULT CP RL</v>
          </cell>
          <cell r="E159" t="str">
            <v>KONDOR ADMINISTRADORA E GESTORA DE RECURSOS FINANCEIROS LTDA</v>
          </cell>
        </row>
        <row r="160">
          <cell r="B160">
            <v>123839</v>
          </cell>
          <cell r="C160" t="str">
            <v>BNP PARIBAS FINANCIAL MARKETS</v>
          </cell>
          <cell r="D160" t="str">
            <v>BNP PARIBAS FINANCIAL MARKETS</v>
          </cell>
          <cell r="E160" t="str">
            <v>BANCO BNP PARIBAS BRASIL S/A</v>
          </cell>
        </row>
        <row r="161">
          <cell r="B161">
            <v>123844</v>
          </cell>
          <cell r="C161" t="str">
            <v>NEO PROVECTUS II FUNDO DE INVESTIMENTO MULTIMERCADO</v>
          </cell>
          <cell r="D161" t="str">
            <v>NEO PROVECTUS II FUNDO DE INVESTIMENTO MULTIMERCADO</v>
          </cell>
          <cell r="E161" t="str">
            <v>NEO GESTÃO DE RECURSOS LTDA</v>
          </cell>
        </row>
        <row r="162">
          <cell r="B162">
            <v>125371</v>
          </cell>
          <cell r="C162" t="str">
            <v>SUL AMERICA FAMILIA PREVIDENCIA FIA</v>
          </cell>
          <cell r="D162" t="str">
            <v>SUL AMERICA FAMILIA PREVIDENCIA FIA</v>
          </cell>
          <cell r="E162" t="str">
            <v>SUL AMERICA INVESTIMENTOS GESTORA DE RECURSOS S/A</v>
          </cell>
        </row>
        <row r="163">
          <cell r="B163">
            <v>123869</v>
          </cell>
          <cell r="C163" t="str">
            <v>IT NOW IBOVESPA FUNDO DE INDICE</v>
          </cell>
          <cell r="D163" t="str">
            <v>IT NOW IBOVESPA FUNDO DE INDICE</v>
          </cell>
          <cell r="E163" t="str">
            <v>ITAU UNIBANCO ASSET - TACO</v>
          </cell>
        </row>
        <row r="164">
          <cell r="B164">
            <v>123870</v>
          </cell>
          <cell r="C164" t="str">
            <v>ITAU DUNAMIS MASTER FIA</v>
          </cell>
          <cell r="D164" t="str">
            <v>ITAU DUNAMIS MASTER FIA</v>
          </cell>
          <cell r="E164" t="str">
            <v>ITAU UNIBANCO ASSET - TACO</v>
          </cell>
        </row>
        <row r="165">
          <cell r="B165">
            <v>123875</v>
          </cell>
          <cell r="C165" t="str">
            <v>CREDIT SUISSE (BRASIL) S/A CTVM</v>
          </cell>
          <cell r="D165" t="str">
            <v>CREDIT SUISSE (BRASIL) S/A CTVM</v>
          </cell>
          <cell r="E165" t="str">
            <v>CREDIT SUISSE (BRASIL) S/A CTVM</v>
          </cell>
        </row>
        <row r="166">
          <cell r="B166">
            <v>123876</v>
          </cell>
          <cell r="C166" t="str">
            <v>CREDIT SUISSE (BRASIL) S/A CTVM</v>
          </cell>
          <cell r="D166" t="str">
            <v>CREDIT SUISSE (BRASIL) S/A CTVM</v>
          </cell>
          <cell r="E166" t="str">
            <v>CREDIT SUISSE (BRASIL) S/A CTVM</v>
          </cell>
        </row>
        <row r="167">
          <cell r="B167">
            <v>123887</v>
          </cell>
          <cell r="C167" t="str">
            <v>RPS EQUITY HEDGE MASTER FIM</v>
          </cell>
          <cell r="D167" t="str">
            <v>RPS EQUITY HEDGE MASTER FIM</v>
          </cell>
          <cell r="E167" t="str">
            <v>RPS CAPITAL ADMINISTRADORA DE RECURSOS LTDA</v>
          </cell>
        </row>
        <row r="168">
          <cell r="B168">
            <v>123888</v>
          </cell>
          <cell r="C168" t="str">
            <v>BB GESTAO DE RECURSOS DTVM LTDA</v>
          </cell>
          <cell r="D168" t="str">
            <v>BB GESTAO DE RECURSOS DTVM LTDA</v>
          </cell>
          <cell r="E168" t="str">
            <v>BB GESTAO DE RECURSOS DTVM LTDA</v>
          </cell>
        </row>
        <row r="169">
          <cell r="B169">
            <v>123889</v>
          </cell>
          <cell r="C169" t="str">
            <v>BB GESTAO DE RECURSOS DTVM LTDA</v>
          </cell>
          <cell r="D169" t="str">
            <v>BB GESTAO DE RECURSOS DTVM LTDA</v>
          </cell>
          <cell r="E169" t="str">
            <v>BB GESTAO DE RECURSOS DTVM LTDA</v>
          </cell>
        </row>
        <row r="170">
          <cell r="B170">
            <v>123898</v>
          </cell>
          <cell r="C170" t="str">
            <v>TELOS IBOVESPA FIA</v>
          </cell>
          <cell r="D170" t="str">
            <v>TELOS IBOVESPA FIA</v>
          </cell>
          <cell r="E170" t="str">
            <v>BB GESTAO DE RECURSOS DTVM LTDA</v>
          </cell>
        </row>
        <row r="171">
          <cell r="B171">
            <v>123899</v>
          </cell>
          <cell r="C171" t="str">
            <v>ITAU VERTICE IBOVESPA EQUITIES FIA</v>
          </cell>
          <cell r="D171" t="str">
            <v>ITAU VERTICE IBOVESPA EQUITIES FIA</v>
          </cell>
          <cell r="E171" t="str">
            <v>ITAU UNIBANCO ASSET - TACO</v>
          </cell>
        </row>
        <row r="172">
          <cell r="B172">
            <v>123901</v>
          </cell>
          <cell r="C172" t="str">
            <v>ITAU FLEXPREV S&amp;P/ BOVESPA LOW VOLATILITYTM FIA</v>
          </cell>
          <cell r="D172" t="str">
            <v>ITAU FLEXPREV S&amp;P/ BOVESPA LOW VOLATILITYTM FIA</v>
          </cell>
          <cell r="E172" t="str">
            <v>ITAU UNIBANCO ASSET - TACO</v>
          </cell>
        </row>
        <row r="173">
          <cell r="B173">
            <v>123902</v>
          </cell>
          <cell r="C173" t="str">
            <v>ITAU IBOVESPA ATIVO MASTER FIA</v>
          </cell>
          <cell r="D173" t="str">
            <v>ITAU IBOVESPA ATIVO MASTER FIA</v>
          </cell>
          <cell r="E173" t="str">
            <v>ITAU UNIBANCO ASSET - TACO</v>
          </cell>
        </row>
        <row r="174">
          <cell r="B174">
            <v>123904</v>
          </cell>
          <cell r="C174" t="str">
            <v>ITAU LONG AND SHORT PLUS MULTIMERCADO FI</v>
          </cell>
          <cell r="D174" t="str">
            <v>ITAU LONG AND SHORT PLUS MULTIMERCADO FI</v>
          </cell>
          <cell r="E174" t="str">
            <v>ITAU UNIBANCO ASSET - TACO</v>
          </cell>
        </row>
        <row r="175">
          <cell r="B175">
            <v>123912</v>
          </cell>
          <cell r="C175" t="str">
            <v>ITAU ACOES PETROBRAS FI</v>
          </cell>
          <cell r="D175" t="str">
            <v>ITAU ACOES PETROBRAS FI</v>
          </cell>
          <cell r="E175" t="str">
            <v>ITAU UNIBANCO ASSET - TACO</v>
          </cell>
        </row>
        <row r="176">
          <cell r="B176">
            <v>123913</v>
          </cell>
          <cell r="C176" t="str">
            <v>IT NOW IFNC FUNDO DE INDICE</v>
          </cell>
          <cell r="D176" t="str">
            <v>IT NOW IFNC FUNDO DE INDICE</v>
          </cell>
          <cell r="E176" t="str">
            <v>ITAU UNIBANCO ASSET - TACO</v>
          </cell>
        </row>
        <row r="177">
          <cell r="B177">
            <v>123914</v>
          </cell>
          <cell r="C177" t="str">
            <v>IT NOW IDIV FUNDO DE INDICE</v>
          </cell>
          <cell r="D177" t="str">
            <v>IT NOW IDIV FUNDO DE INDICE</v>
          </cell>
          <cell r="E177" t="str">
            <v>ITAU UNIBANCO ASSET - TACO</v>
          </cell>
        </row>
        <row r="178">
          <cell r="B178">
            <v>123915</v>
          </cell>
          <cell r="C178" t="str">
            <v>IT NOW IGCT FUNDO DE INDICE INVESTIMENTO SUSTENTAVEL</v>
          </cell>
          <cell r="D178" t="str">
            <v>IT NOW IGCT FUNDO DE INDICE INVESTIMENTO SUSTENTAVEL</v>
          </cell>
          <cell r="E178" t="str">
            <v>ITAU UNIBANCO ASSET - TACO</v>
          </cell>
        </row>
        <row r="179">
          <cell r="B179">
            <v>123916</v>
          </cell>
          <cell r="C179" t="str">
            <v>IT NOW ISE FUNDO DE INDICE</v>
          </cell>
          <cell r="D179" t="str">
            <v>IT NOW ISE FUNDO DE INDICE</v>
          </cell>
          <cell r="E179" t="str">
            <v>ITAU UNIBANCO ASSET - TACO</v>
          </cell>
        </row>
        <row r="180">
          <cell r="B180">
            <v>123917</v>
          </cell>
          <cell r="C180" t="str">
            <v>ITAU HEDGE PLUS MULTIMERCADO FI</v>
          </cell>
          <cell r="D180" t="str">
            <v>ITAU HEDGE PLUS MULTIMERCADO FI</v>
          </cell>
          <cell r="E180" t="str">
            <v>ITAU UNIBANCO ASSET - TACO</v>
          </cell>
        </row>
        <row r="181">
          <cell r="B181">
            <v>123918</v>
          </cell>
          <cell r="C181" t="str">
            <v>RT EQUINOX FIF EM AÃ‡Ã•ES RESP LIMITADA</v>
          </cell>
          <cell r="D181" t="str">
            <v>RT EQUINOX FIF EM AÃ‡Ã•ES RESP LIMITADA</v>
          </cell>
          <cell r="E181" t="str">
            <v>ITAU UNIBANCO ASSET - TACO</v>
          </cell>
        </row>
        <row r="182">
          <cell r="B182">
            <v>123919</v>
          </cell>
          <cell r="C182" t="str">
            <v>ITAU PRIVATE ACOES PETROBRAS FI</v>
          </cell>
          <cell r="D182" t="str">
            <v>ITAU PRIVATE ACOES PETROBRAS FI</v>
          </cell>
          <cell r="E182" t="str">
            <v>ITAU UNIBANCO ASSET - TACO</v>
          </cell>
        </row>
        <row r="183">
          <cell r="B183">
            <v>12392</v>
          </cell>
          <cell r="C183" t="str">
            <v>ARGUCIACAPITAL GESTAO DE RECURSOS LTDA</v>
          </cell>
          <cell r="D183" t="str">
            <v>ARGUCIACAPITAL GESTAO DE RECURSOS LTDA</v>
          </cell>
          <cell r="E183" t="str">
            <v>ARGUCIA CAPITAL GESTAO DE RECURSOS LTDA</v>
          </cell>
        </row>
        <row r="184">
          <cell r="B184">
            <v>123922</v>
          </cell>
          <cell r="C184" t="str">
            <v>ITAU FLEXPREV AÃ‡Ã•ES FI</v>
          </cell>
          <cell r="D184" t="str">
            <v>ITAU FLEXPREV AÃ‡Ã•ES FI</v>
          </cell>
          <cell r="E184" t="str">
            <v>ITAU UNIBANCO ASSET - TACO</v>
          </cell>
        </row>
        <row r="185">
          <cell r="B185">
            <v>123923</v>
          </cell>
          <cell r="C185" t="str">
            <v>ITAU ACOES VALE FI</v>
          </cell>
          <cell r="D185" t="str">
            <v>ITAU ACOES VALE FI</v>
          </cell>
          <cell r="E185" t="str">
            <v>ITAU UNIBANCO ASSET - TACO</v>
          </cell>
        </row>
        <row r="186">
          <cell r="B186">
            <v>123924</v>
          </cell>
          <cell r="C186" t="str">
            <v>ITAU FTSE RAFI BRASIL 50 CAPPED INDEX FIA</v>
          </cell>
          <cell r="D186" t="str">
            <v>ITAU FTSE RAFI BRASIL 50 CAPPED INDEX FIA</v>
          </cell>
          <cell r="E186" t="str">
            <v>ITAU UNIBANCO ASSET - TACO</v>
          </cell>
        </row>
        <row r="187">
          <cell r="B187">
            <v>123925</v>
          </cell>
          <cell r="C187" t="str">
            <v>ITAU INDEX AÃ‡Ã•ES IBRX FI</v>
          </cell>
          <cell r="D187" t="str">
            <v>ITAU INDEX AÃ‡Ã•ES IBRX FI</v>
          </cell>
          <cell r="E187" t="str">
            <v>ITAU UNIBANCO ASSET - TACO</v>
          </cell>
        </row>
        <row r="188">
          <cell r="B188">
            <v>123926</v>
          </cell>
          <cell r="C188" t="str">
            <v>ITAU EXCELENCIA SOCIAL AÃ‡Ã•ES FI</v>
          </cell>
          <cell r="D188" t="str">
            <v>ITAU EXCELENCIA SOCIAL AÃ‡Ã•ES FI</v>
          </cell>
          <cell r="E188" t="str">
            <v>ITAU UNIBANCO ASSET - TACO</v>
          </cell>
        </row>
        <row r="189">
          <cell r="B189">
            <v>123927</v>
          </cell>
          <cell r="C189" t="str">
            <v>ITAU ESTRATEGIA S&amp;P500 FIA</v>
          </cell>
          <cell r="D189" t="str">
            <v>ITAU ESTRATEGIA S&amp;P500 FIA</v>
          </cell>
          <cell r="E189" t="str">
            <v>ITAU UNIBANCO ASSET - TACO</v>
          </cell>
        </row>
        <row r="190">
          <cell r="B190">
            <v>123928</v>
          </cell>
          <cell r="C190" t="str">
            <v>IT NOW PIBB IBRX 50 FUNDO DE INDICE</v>
          </cell>
          <cell r="D190" t="str">
            <v>IT NOW PIBB IBRX 50 FUNDO DE INDICE</v>
          </cell>
          <cell r="E190" t="str">
            <v>ITAU UNIBANCO ASSET - TACO</v>
          </cell>
        </row>
        <row r="191">
          <cell r="B191">
            <v>123929</v>
          </cell>
          <cell r="C191" t="str">
            <v>ITAU GOVERNANCA CORPORATIVA AÃ‡Ã•ES FI</v>
          </cell>
          <cell r="D191" t="str">
            <v>ITAU GOVERNANCA CORPORATIVA AÃ‡Ã•ES FI</v>
          </cell>
          <cell r="E191" t="str">
            <v>ITAU UNIBANCO ASSET - TACO</v>
          </cell>
        </row>
        <row r="192">
          <cell r="B192">
            <v>123931</v>
          </cell>
          <cell r="C192" t="str">
            <v>IT NOW IMAT FUNDO DE INDICE</v>
          </cell>
          <cell r="D192" t="str">
            <v>IT NOW IMAT FUNDO DE INDICE</v>
          </cell>
          <cell r="E192" t="str">
            <v>ITAU UNIBANCO ASSET - TACO</v>
          </cell>
        </row>
        <row r="193">
          <cell r="B193">
            <v>123932</v>
          </cell>
          <cell r="C193" t="str">
            <v>ITAU HEDGE MULTIMERCADO FI</v>
          </cell>
          <cell r="D193" t="str">
            <v>ITAU HEDGE MULTIMERCADO FI</v>
          </cell>
          <cell r="E193" t="str">
            <v>ITAU UNIBANCO ASSET - TACO</v>
          </cell>
        </row>
        <row r="194">
          <cell r="B194">
            <v>123934</v>
          </cell>
          <cell r="C194" t="str">
            <v>ITAU INDEX ACOES IBOVESPA FI</v>
          </cell>
          <cell r="D194" t="str">
            <v>ITAU INDEX ACOES IBOVESPA FI</v>
          </cell>
          <cell r="E194" t="str">
            <v>ITAU UNIBANCO ASSET - TACO</v>
          </cell>
        </row>
        <row r="195">
          <cell r="B195">
            <v>123935</v>
          </cell>
          <cell r="C195" t="str">
            <v>ITAU FLEXPREV ACOES DIVIDENDOS INDEXADO FI</v>
          </cell>
          <cell r="D195" t="str">
            <v>ITAU FLEXPREV ACOES DIVIDENDOS INDEXADO FI</v>
          </cell>
          <cell r="E195" t="str">
            <v>ITAU UNIBANCO ASSET - TACO</v>
          </cell>
        </row>
        <row r="196">
          <cell r="B196">
            <v>123936</v>
          </cell>
          <cell r="C196" t="str">
            <v>ITAU MULTIMERCADO ESTRATEGIA S&amp;500 US FI</v>
          </cell>
          <cell r="D196" t="str">
            <v>ITAU MULTIMERCADO ESTRATEGIA S&amp;500 US FI</v>
          </cell>
          <cell r="E196" t="str">
            <v>ITAU UNIBANCO ASSET - TACO</v>
          </cell>
        </row>
        <row r="197">
          <cell r="B197">
            <v>123937</v>
          </cell>
          <cell r="C197" t="str">
            <v>ITAU AÃ‡Ã•ES DIVIDENDOS FI</v>
          </cell>
          <cell r="D197" t="str">
            <v>ITAU AÃ‡Ã•ES DIVIDENDOS FI</v>
          </cell>
          <cell r="E197" t="str">
            <v>ITAU UNIBANCO ASSET - TACO</v>
          </cell>
        </row>
        <row r="198">
          <cell r="B198">
            <v>123938</v>
          </cell>
          <cell r="C198" t="str">
            <v>ITAU INDEX ACOES IBOVESPA I FIA</v>
          </cell>
          <cell r="D198" t="str">
            <v>ITAU INDEX ACOES IBOVESPA I FIA</v>
          </cell>
          <cell r="E198" t="str">
            <v>ITAU UNIBANCO ASSET - TACO</v>
          </cell>
        </row>
        <row r="199">
          <cell r="B199">
            <v>123940</v>
          </cell>
          <cell r="C199" t="str">
            <v>ITAU MACRO PREV VERTICE MULTIMERCADO FI</v>
          </cell>
          <cell r="D199" t="str">
            <v>ITAU MACRO PREV VERTICE MULTIMERCADO FI</v>
          </cell>
          <cell r="E199" t="str">
            <v>ITAU UNIBANCO ASSET - TACO</v>
          </cell>
        </row>
        <row r="200">
          <cell r="B200">
            <v>12395</v>
          </cell>
          <cell r="C200" t="str">
            <v>AZ QUEST INVESTIMENTOS LTDA</v>
          </cell>
          <cell r="D200" t="str">
            <v>AZ QUEST INVESTIMENTOS LTDA</v>
          </cell>
          <cell r="E200" t="str">
            <v>AZ QUEST INVESTIMENTOS LTDA</v>
          </cell>
        </row>
        <row r="201">
          <cell r="B201">
            <v>123955</v>
          </cell>
          <cell r="C201" t="str">
            <v>BANCO DE INVESTIMENTOS UBS (BRASIL) S.A.</v>
          </cell>
          <cell r="D201" t="str">
            <v>BANCO DE INVESTIMENTOS UBS (BRASIL) S.A.</v>
          </cell>
          <cell r="E201" t="str">
            <v>BANCO DE INVESTIMENTO CREDIT SUISSE (BRASIL) S/A</v>
          </cell>
        </row>
        <row r="202">
          <cell r="B202">
            <v>123956</v>
          </cell>
          <cell r="C202" t="str">
            <v>BNP PARIBAS EQD BRAZIL FUND CLASSE DE INVESTIMENTO MULTI CP</v>
          </cell>
          <cell r="D202" t="str">
            <v>BNP PARIBAS EQD BRAZIL FUND CLASSE DE INVESTIMENTO MULTI CP</v>
          </cell>
          <cell r="E202" t="str">
            <v>BANCO BNP PARIBAS BRASIL S/A</v>
          </cell>
        </row>
        <row r="203">
          <cell r="B203">
            <v>12396</v>
          </cell>
          <cell r="C203" t="str">
            <v>CERES FUNDACAO DE SEGURIDADE SOCIAL</v>
          </cell>
          <cell r="D203" t="str">
            <v>CERES FUNDACAO DE SEGURIDADE SOCIAL</v>
          </cell>
          <cell r="E203" t="str">
            <v>CERES FUNDACAO DE SEGURIDADE SOCIAL</v>
          </cell>
        </row>
        <row r="204">
          <cell r="B204">
            <v>123965</v>
          </cell>
          <cell r="C204" t="str">
            <v>BRAM FIA LONG ONLY</v>
          </cell>
          <cell r="D204" t="str">
            <v>BRAM FIA LONG ONLY</v>
          </cell>
          <cell r="E204" t="str">
            <v>BRAM - BRADESCO ASSET MANAGEMENT S/A DTVM</v>
          </cell>
        </row>
        <row r="205">
          <cell r="B205">
            <v>12397</v>
          </cell>
          <cell r="C205" t="str">
            <v>AGUILA CAPITAL ADM E GESTAO DE CAPITAIS LTDA</v>
          </cell>
          <cell r="D205" t="str">
            <v>AGUILA CAPITAL ADM E GESTAO DE CAPITAIS LTDA</v>
          </cell>
          <cell r="E205" t="str">
            <v>AGUILA CAPITAL ADM E GESTAO DE CAPITAIS LTDA</v>
          </cell>
        </row>
        <row r="206">
          <cell r="B206">
            <v>12398</v>
          </cell>
          <cell r="C206" t="str">
            <v>OCTANTE GESTAO DE RECURSOS LTDA</v>
          </cell>
          <cell r="D206" t="str">
            <v>OCTANTE GESTAO DE RECURSOS LTDA</v>
          </cell>
          <cell r="E206" t="str">
            <v>OCTANTE GESTAO DE RECURSOS LTDA</v>
          </cell>
        </row>
        <row r="207">
          <cell r="B207">
            <v>124000</v>
          </cell>
          <cell r="C207" t="str">
            <v>AZ QUEST MASTER TOTAL RETURN FIM</v>
          </cell>
          <cell r="D207" t="str">
            <v>AZ QUEST MASTER TOTAL RETURN FIM</v>
          </cell>
          <cell r="E207" t="str">
            <v>AZ QUEST INVESTIMENTOS LTDA</v>
          </cell>
        </row>
        <row r="208">
          <cell r="B208">
            <v>124002</v>
          </cell>
          <cell r="C208" t="str">
            <v>AZ QUEST SMALL MID CAPS MASTER FIA</v>
          </cell>
          <cell r="D208" t="str">
            <v>AZ QUEST SMALL MID CAPS MASTER FIA</v>
          </cell>
          <cell r="E208" t="str">
            <v>AZ QUEST INVESTIMENTOS LTDA</v>
          </cell>
        </row>
        <row r="209">
          <cell r="B209">
            <v>124003</v>
          </cell>
          <cell r="C209" t="str">
            <v>AZ QUEST MASTER FIM</v>
          </cell>
          <cell r="D209" t="str">
            <v>AZ QUEST MASTER FIM</v>
          </cell>
          <cell r="E209" t="str">
            <v>AZ QUEST INVESTIMENTOS LTDA</v>
          </cell>
        </row>
        <row r="210">
          <cell r="B210">
            <v>124004</v>
          </cell>
          <cell r="C210" t="str">
            <v>AZ QUEST MASTER FIA</v>
          </cell>
          <cell r="D210" t="str">
            <v>AZ QUEST MASTER FIA</v>
          </cell>
          <cell r="E210" t="str">
            <v>AZ QUEST INVESTIMENTOS LTDA</v>
          </cell>
        </row>
        <row r="211">
          <cell r="B211">
            <v>124006</v>
          </cell>
          <cell r="C211" t="str">
            <v>AZ QUEST TOP MASTER FIA</v>
          </cell>
          <cell r="D211" t="str">
            <v>AZ QUEST TOP MASTER FIA</v>
          </cell>
          <cell r="E211" t="str">
            <v>AZ QUEST INVESTIMENTOS LTDA</v>
          </cell>
        </row>
        <row r="212">
          <cell r="B212">
            <v>124007</v>
          </cell>
          <cell r="C212" t="str">
            <v>FI AGROCIENCIA ACOES</v>
          </cell>
          <cell r="D212" t="str">
            <v>FI AGROCIENCIA ACOES</v>
          </cell>
          <cell r="E212" t="str">
            <v>CERES FUNDACAO DE SEGURIDADE SOCIAL</v>
          </cell>
        </row>
        <row r="213">
          <cell r="B213">
            <v>124014</v>
          </cell>
          <cell r="C213" t="str">
            <v>BANCO SANTANDER (BRASIL) S/A</v>
          </cell>
          <cell r="D213" t="str">
            <v>BANCO SANTANDER (BRASIL) S/A</v>
          </cell>
          <cell r="E213" t="str">
            <v>BANCO SANTANDER (BRASIL) S/A</v>
          </cell>
        </row>
        <row r="214">
          <cell r="B214">
            <v>124015</v>
          </cell>
          <cell r="C214" t="str">
            <v>BANCO SANTANDER (BRASIL) S/A</v>
          </cell>
          <cell r="D214" t="str">
            <v>BANCO SANTANDER (BRASIL) S/A</v>
          </cell>
          <cell r="E214" t="str">
            <v>BANCO SANTANDER (BRASIL) S/A</v>
          </cell>
        </row>
        <row r="215">
          <cell r="B215">
            <v>124016</v>
          </cell>
          <cell r="C215" t="str">
            <v>BANCO SANTANDER (BRASIL) S/A</v>
          </cell>
          <cell r="D215" t="str">
            <v>BANCO SANTANDER (BRASIL) S/A</v>
          </cell>
          <cell r="E215" t="str">
            <v>BANCO SANTANDER (BRASIL) S/A</v>
          </cell>
        </row>
        <row r="216">
          <cell r="B216">
            <v>124017</v>
          </cell>
          <cell r="C216" t="str">
            <v>BANCO SANTANDER (BRASIL) S/A</v>
          </cell>
          <cell r="D216" t="str">
            <v>BANCO SANTANDER (BRASIL) S/A</v>
          </cell>
          <cell r="E216" t="str">
            <v>BANCO SANTANDER (BRASIL) S/A</v>
          </cell>
        </row>
        <row r="217">
          <cell r="B217">
            <v>124018</v>
          </cell>
          <cell r="C217" t="str">
            <v>SANTANDER FI GUARUJA MULTIMERCADO CP IE</v>
          </cell>
          <cell r="D217" t="str">
            <v>SANTANDER FI GUARUJA MULTIMERCADO CP IE</v>
          </cell>
          <cell r="E217" t="str">
            <v>SANTANDER BRASIL GESTAO DE RECURSOS LTDA</v>
          </cell>
        </row>
        <row r="218">
          <cell r="B218">
            <v>124019</v>
          </cell>
          <cell r="C218" t="str">
            <v>SANTANDER FI GUARUJA MULTIMERCADO CP IE</v>
          </cell>
          <cell r="D218" t="str">
            <v>SANTANDER FI GUARUJA MULTIMERCADO CP IE</v>
          </cell>
          <cell r="E218" t="str">
            <v>SANTANDER BRASIL GESTAO DE RECURSOS LTDA</v>
          </cell>
        </row>
        <row r="219">
          <cell r="B219">
            <v>12402</v>
          </cell>
          <cell r="C219" t="str">
            <v>TRUXT INVESTIMENTOS LTDA</v>
          </cell>
          <cell r="D219" t="str">
            <v>TRUXT INVESTIMENTOS LTDA</v>
          </cell>
          <cell r="E219" t="str">
            <v>TRUXT INVESTIMENTOS LTDA</v>
          </cell>
        </row>
        <row r="220">
          <cell r="B220">
            <v>124020</v>
          </cell>
          <cell r="C220" t="str">
            <v>SANTANDER FI GUARUJA MULTIMERCADO CP IE</v>
          </cell>
          <cell r="D220" t="str">
            <v>SANTANDER FI GUARUJA MULTIMERCADO CP IE</v>
          </cell>
          <cell r="E220" t="str">
            <v>SANTANDER BRASIL GESTAO DE RECURSOS LTDA</v>
          </cell>
        </row>
        <row r="221">
          <cell r="B221">
            <v>124021</v>
          </cell>
          <cell r="C221" t="str">
            <v>SANTANDER FI GUARUJA MULTIMERCADO CP IE</v>
          </cell>
          <cell r="D221" t="str">
            <v>SANTANDER FI GUARUJA MULTIMERCADO CP IE</v>
          </cell>
          <cell r="E221" t="str">
            <v>SANTANDER BRASIL GESTAO DE RECURSOS LTDA</v>
          </cell>
        </row>
        <row r="222">
          <cell r="B222">
            <v>124023</v>
          </cell>
          <cell r="C222" t="str">
            <v>SOLANA EQUITY HEDGE FIM</v>
          </cell>
          <cell r="D222" t="str">
            <v>SOLANA EQUITY HEDGE FIM</v>
          </cell>
          <cell r="E222" t="str">
            <v>SOLANA GESTORA DE RECURSOS LTDA</v>
          </cell>
        </row>
        <row r="223">
          <cell r="B223">
            <v>124027</v>
          </cell>
          <cell r="C223" t="str">
            <v>BB GESTAO DE RECURSOS DTVM LTDA</v>
          </cell>
          <cell r="D223" t="str">
            <v>BB GESTAO DE RECURSOS DTVM LTDA</v>
          </cell>
          <cell r="E223" t="str">
            <v>BB GESTAO DE RECURSOS DTVM LTDA</v>
          </cell>
        </row>
        <row r="224">
          <cell r="B224">
            <v>124028</v>
          </cell>
          <cell r="C224" t="str">
            <v>ALASKA BLACK INSTITUCIONAL FIA</v>
          </cell>
          <cell r="D224" t="str">
            <v>ALASKA BLACK INSTITUCIONAL FIA</v>
          </cell>
          <cell r="E224" t="str">
            <v>ALASKA INVESTIMENTOS LTDA</v>
          </cell>
        </row>
        <row r="225">
          <cell r="B225">
            <v>124030</v>
          </cell>
          <cell r="C225" t="str">
            <v>ADAK FIA IE</v>
          </cell>
          <cell r="D225" t="str">
            <v>ADAK FIA IE</v>
          </cell>
          <cell r="E225" t="str">
            <v>ALASKA INVESTIMENTOS LTDA</v>
          </cell>
        </row>
        <row r="226">
          <cell r="B226">
            <v>124031</v>
          </cell>
          <cell r="C226" t="str">
            <v>ATKA FIA IE</v>
          </cell>
          <cell r="D226" t="str">
            <v>ATKA FIA IE</v>
          </cell>
          <cell r="E226" t="str">
            <v>ALASKA INVESTIMENTOS LTDA</v>
          </cell>
        </row>
        <row r="227">
          <cell r="B227">
            <v>122775</v>
          </cell>
          <cell r="C227" t="str">
            <v>ASHMORE BRASIL LONG SHORT MASTER FIM</v>
          </cell>
          <cell r="D227" t="str">
            <v>ASHMORE BRASIL LONG SHORT MASTER FIM</v>
          </cell>
          <cell r="E227" t="str">
            <v>ASHMORE BRASIL GESTORA DE RECURSOS LTDA</v>
          </cell>
        </row>
        <row r="228">
          <cell r="B228">
            <v>12405</v>
          </cell>
          <cell r="C228" t="str">
            <v>ARTESANAL INVESTIMENTOS LTDA</v>
          </cell>
          <cell r="D228" t="str">
            <v>ARTESANAL INVESTIMENTOS LTDA</v>
          </cell>
          <cell r="E228" t="str">
            <v>ARTESANAL INVESTIMENTOS LTDA</v>
          </cell>
        </row>
        <row r="229">
          <cell r="B229">
            <v>124052</v>
          </cell>
          <cell r="C229" t="str">
            <v>BB GESTAO DE RECURSOS DTVM LTDA</v>
          </cell>
          <cell r="D229" t="str">
            <v>BB GESTAO DE RECURSOS DTVM LTDA</v>
          </cell>
          <cell r="E229" t="str">
            <v>BB GESTAO DE RECURSOS DTVM LTDA</v>
          </cell>
        </row>
        <row r="230">
          <cell r="B230">
            <v>124054</v>
          </cell>
          <cell r="C230" t="str">
            <v>FUNDACAO PETROBRAS DE SEGURIDADE SOCIAL PETROS</v>
          </cell>
          <cell r="D230" t="str">
            <v>FUNDACAO PETROBRAS DE SEGURIDADE SOCIAL PETROS</v>
          </cell>
          <cell r="E230" t="str">
            <v>FUNDACAO PETROBRAS DE SEGURIDADE SOCIAL PETROS</v>
          </cell>
        </row>
        <row r="231">
          <cell r="B231">
            <v>124055</v>
          </cell>
          <cell r="C231" t="str">
            <v>FUNDACAO PETROBRAS DE SEGURIDADE SOCIAL PETROS</v>
          </cell>
          <cell r="D231" t="str">
            <v>FUNDACAO PETROBRAS DE SEGURIDADE SOCIAL PETROS</v>
          </cell>
          <cell r="E231" t="str">
            <v>FUNDACAO PETROBRAS DE SEGURIDADE SOCIAL PETROS</v>
          </cell>
        </row>
        <row r="232">
          <cell r="B232">
            <v>124056</v>
          </cell>
          <cell r="C232" t="str">
            <v>FUNDACAO PETROBRAS DE SEGURIDADE SOCIAL PETROS</v>
          </cell>
          <cell r="D232" t="str">
            <v>FUNDACAO PETROBRAS DE SEGURIDADE SOCIAL PETROS</v>
          </cell>
          <cell r="E232" t="str">
            <v>FUNDACAO PETROBRAS DE SEGURIDADE SOCIAL PETROS</v>
          </cell>
        </row>
        <row r="233">
          <cell r="B233">
            <v>124057</v>
          </cell>
          <cell r="C233" t="str">
            <v>FUNDACAO PETROBRAS DE SEGURIDADE SOCIAL PETROS</v>
          </cell>
          <cell r="D233" t="str">
            <v>FUNDACAO PETROBRAS DE SEGURIDADE SOCIAL PETROS</v>
          </cell>
          <cell r="E233" t="str">
            <v>FUNDACAO PETROBRAS DE SEGURIDADE SOCIAL PETROS</v>
          </cell>
        </row>
        <row r="234">
          <cell r="B234">
            <v>124058</v>
          </cell>
          <cell r="C234" t="str">
            <v>FUNDACAO PETROBRAS DE SEGURIDADE SOCIAL PETROS</v>
          </cell>
          <cell r="D234" t="str">
            <v>FUNDACAO PETROBRAS DE SEGURIDADE SOCIAL PETROS</v>
          </cell>
          <cell r="E234" t="str">
            <v>FUNDACAO PETROBRAS DE SEGURIDADE SOCIAL PETROS</v>
          </cell>
        </row>
        <row r="235">
          <cell r="B235">
            <v>124059</v>
          </cell>
          <cell r="C235" t="str">
            <v>FUNDACAO PETROBRAS DE SEGURIDADE SOCIAL PETROS</v>
          </cell>
          <cell r="D235" t="str">
            <v>FUNDACAO PETROBRAS DE SEGURIDADE SOCIAL PETROS</v>
          </cell>
          <cell r="E235" t="str">
            <v>FUNDACAO PETROBRAS DE SEGURIDADE SOCIAL PETROS</v>
          </cell>
        </row>
        <row r="236">
          <cell r="B236">
            <v>124060</v>
          </cell>
          <cell r="C236" t="str">
            <v>FUNDACAO PETROBRAS DE SEGURIDADE SOCIAL PETROS</v>
          </cell>
          <cell r="D236" t="str">
            <v>FUNDACAO PETROBRAS DE SEGURIDADE SOCIAL PETROS</v>
          </cell>
          <cell r="E236" t="str">
            <v>FUNDACAO PETROBRAS DE SEGURIDADE SOCIAL PETROS</v>
          </cell>
        </row>
        <row r="237">
          <cell r="B237">
            <v>124061</v>
          </cell>
          <cell r="C237" t="str">
            <v>FUNDACAO PETROBRAS DE SEGURIDADE SOCIAL PETROS</v>
          </cell>
          <cell r="D237" t="str">
            <v>FUNDACAO PETROBRAS DE SEGURIDADE SOCIAL PETROS</v>
          </cell>
          <cell r="E237" t="str">
            <v>FUNDACAO PETROBRAS DE SEGURIDADE SOCIAL PETROS</v>
          </cell>
        </row>
        <row r="238">
          <cell r="B238">
            <v>12407</v>
          </cell>
          <cell r="C238" t="str">
            <v>CAIXA DE PREVIDENCIA DOS FUNCS DO BANCO DO BRASIL- PREVI</v>
          </cell>
          <cell r="D238" t="str">
            <v>CAIXA DE PREVIDENCIA DOS FUNCS DO BANCO DO BRASIL- PREVI</v>
          </cell>
          <cell r="E238" t="str">
            <v>CAIXA DE PREVIDENCIA DOS FUNCS DO BANCO DO BRASIL- PREVI</v>
          </cell>
        </row>
        <row r="239">
          <cell r="B239">
            <v>124072</v>
          </cell>
          <cell r="C239" t="str">
            <v>BAHIA AM MUTA MASTER FUNDO DE INVESTIMENTO MULTIMERCADO</v>
          </cell>
          <cell r="D239" t="str">
            <v>BAHIA AM MUTA MASTER FUNDO DE INVESTIMENTO MULTIMERCADO</v>
          </cell>
          <cell r="E239" t="str">
            <v>BAHIA AM LTDA</v>
          </cell>
        </row>
        <row r="240">
          <cell r="B240">
            <v>124074</v>
          </cell>
          <cell r="C240" t="str">
            <v>BRADESCO FIM LONG AND SHORT</v>
          </cell>
          <cell r="D240" t="str">
            <v>BRADESCO FIM LONG AND SHORT</v>
          </cell>
          <cell r="E240" t="str">
            <v>BRAM - BRADESCO ASSET MANAGEMENT S/A DTVM</v>
          </cell>
        </row>
        <row r="241">
          <cell r="B241">
            <v>124076</v>
          </cell>
          <cell r="C241" t="str">
            <v>BRADESCO FIA BRADESCO</v>
          </cell>
          <cell r="D241" t="str">
            <v>BRADESCO FIA BRADESCO</v>
          </cell>
          <cell r="E241" t="str">
            <v>BRAM - BRADESCO ASSET MANAGEMENT S/A DTVM</v>
          </cell>
        </row>
        <row r="242">
          <cell r="B242">
            <v>124082</v>
          </cell>
          <cell r="C242" t="str">
            <v>BRADESCO FIF CLASSE DE INVESTIMENTO EM ACOES PETROBRAS RL</v>
          </cell>
          <cell r="D242" t="str">
            <v>BRADESCO FIF CLASSE DE INVESTIMENTO EM ACOES PETROBRAS RL</v>
          </cell>
          <cell r="E242" t="str">
            <v>BRAM - BRADESCO ASSET MANAGEMENT S/A DTVM</v>
          </cell>
        </row>
        <row r="243">
          <cell r="B243">
            <v>124084</v>
          </cell>
          <cell r="C243" t="str">
            <v>BRADESCO H FIF CLASSE DE INVESTIMENTO EM ACOES PETROBRAS RL</v>
          </cell>
          <cell r="D243" t="str">
            <v>BRADESCO H FIF CLASSE DE INVESTIMENTO EM ACOES PETROBRAS RL</v>
          </cell>
          <cell r="E243" t="str">
            <v>BRAM - BRADESCO ASSET MANAGEMENT S/A DTVM</v>
          </cell>
        </row>
        <row r="244">
          <cell r="B244">
            <v>124088</v>
          </cell>
          <cell r="C244" t="str">
            <v>BRADESCO FIA MASTER SMALL CAP</v>
          </cell>
          <cell r="D244" t="str">
            <v>BRADESCO FIA MASTER SMALL CAP</v>
          </cell>
          <cell r="E244" t="str">
            <v>BRAM - BRADESCO ASSET MANAGEMENT S/A DTVM</v>
          </cell>
        </row>
        <row r="245">
          <cell r="B245">
            <v>124091</v>
          </cell>
          <cell r="C245" t="str">
            <v>BRAM H INSTITUCIONAL FI FINANCEIRO CIA RL</v>
          </cell>
          <cell r="D245" t="str">
            <v>BRAM H INSTITUCIONAL FI FINANCEIRO CIA RL</v>
          </cell>
          <cell r="E245" t="str">
            <v>BRAM - BRADESCO ASSET MANAGEMENT S/A DTVM</v>
          </cell>
        </row>
        <row r="246">
          <cell r="B246">
            <v>124095</v>
          </cell>
          <cell r="C246" t="str">
            <v>BRADESCO FIA SALUBRE</v>
          </cell>
          <cell r="D246" t="str">
            <v>BRADESCO FIA SALUBRE</v>
          </cell>
          <cell r="E246" t="str">
            <v>BRAM - BRADESCO ASSET MANAGEMENT S/A DTVM</v>
          </cell>
        </row>
        <row r="247">
          <cell r="B247">
            <v>124097</v>
          </cell>
          <cell r="C247" t="str">
            <v>BRADESCO FIA DIVIDENDOS</v>
          </cell>
          <cell r="D247" t="str">
            <v>BRADESCO FIA DIVIDENDOS</v>
          </cell>
          <cell r="E247" t="str">
            <v>BRAM - BRADESCO ASSET MANAGEMENT S/A DTVM</v>
          </cell>
        </row>
        <row r="248">
          <cell r="B248">
            <v>124098</v>
          </cell>
          <cell r="C248" t="str">
            <v>BRAM H FIA DIVIDENDOS</v>
          </cell>
          <cell r="D248" t="str">
            <v>BRAM H FIA DIVIDENDOS</v>
          </cell>
          <cell r="E248" t="str">
            <v>BRAM - BRADESCO ASSET MANAGEMENT S/A DTVM</v>
          </cell>
        </row>
        <row r="249">
          <cell r="B249">
            <v>124100</v>
          </cell>
          <cell r="C249" t="str">
            <v>BRAM H FIA PASSIVO IBRX</v>
          </cell>
          <cell r="D249" t="str">
            <v>BRAM H FIA PASSIVO IBRX</v>
          </cell>
          <cell r="E249" t="str">
            <v>BRAM - BRADESCO ASSET MANAGEMENT S/A DTVM</v>
          </cell>
        </row>
        <row r="250">
          <cell r="B250">
            <v>124102</v>
          </cell>
          <cell r="C250" t="str">
            <v>BRAM FIA SMALL CAPS</v>
          </cell>
          <cell r="D250" t="str">
            <v>BRAM FIA SMALL CAPS</v>
          </cell>
          <cell r="E250" t="str">
            <v>BRAM - BRADESCO ASSET MANAGEMENT S/A DTVM</v>
          </cell>
        </row>
        <row r="251">
          <cell r="B251">
            <v>124115</v>
          </cell>
          <cell r="C251" t="str">
            <v>BRADESCO FIA IBOVESPA PLUS</v>
          </cell>
          <cell r="D251" t="str">
            <v>BRADESCO FIA IBOVESPA PLUS</v>
          </cell>
          <cell r="E251" t="str">
            <v>BRAM - BRADESCO ASSET MANAGEMENT S/A DTVM</v>
          </cell>
        </row>
        <row r="252">
          <cell r="B252">
            <v>124121</v>
          </cell>
          <cell r="C252" t="str">
            <v>BRADESCO FIA INSTITUCIONAL IBRX ATIVO</v>
          </cell>
          <cell r="D252" t="str">
            <v>BRADESCO FIA INSTITUCIONAL IBRX ATIVO</v>
          </cell>
          <cell r="E252" t="str">
            <v>BRAM - BRADESCO ASSET MANAGEMENT S/A DTVM</v>
          </cell>
        </row>
        <row r="253">
          <cell r="B253">
            <v>12413</v>
          </cell>
          <cell r="C253" t="str">
            <v>KAPITALO INVESTIMENTOS LTDA</v>
          </cell>
          <cell r="D253" t="str">
            <v>KAPITALO INVESTIMENTOS LTDA</v>
          </cell>
          <cell r="E253" t="str">
            <v>KAPITALO INVESTIMENTOS LTDA</v>
          </cell>
        </row>
        <row r="254">
          <cell r="B254">
            <v>124138</v>
          </cell>
          <cell r="C254" t="str">
            <v>ALASKA POLAND FIA BDR NIVEL I IE</v>
          </cell>
          <cell r="D254" t="str">
            <v>ALASKA POLAND FIA BDR NIVEL I IE</v>
          </cell>
          <cell r="E254" t="str">
            <v>ALASKA INVESTIMENTOS LTDA</v>
          </cell>
        </row>
        <row r="255">
          <cell r="B255">
            <v>12414</v>
          </cell>
          <cell r="C255" t="str">
            <v>GARIN INVESTIMENTOS LTDA</v>
          </cell>
          <cell r="D255" t="str">
            <v>GARIN INVESTIMENTOS LTDA</v>
          </cell>
          <cell r="E255" t="str">
            <v>GARIN INVESTIMENTOS LTDA</v>
          </cell>
        </row>
        <row r="256">
          <cell r="B256">
            <v>12415</v>
          </cell>
          <cell r="C256" t="str">
            <v>ESH CAPITAL INVESTIMENTOS LTDA.</v>
          </cell>
          <cell r="D256" t="str">
            <v>ESH CAPITAL INVESTIMENTOS LTDA.</v>
          </cell>
          <cell r="E256" t="str">
            <v>ESH CAPITAL INVESTIMENTOS LTDA.</v>
          </cell>
        </row>
        <row r="257">
          <cell r="B257">
            <v>12416</v>
          </cell>
          <cell r="C257" t="str">
            <v>MONGERAL AEGON INVESTIMENTOS LTDA</v>
          </cell>
          <cell r="D257" t="str">
            <v>MONGERAL AEGON INVESTIMENTOS LTDA</v>
          </cell>
          <cell r="E257" t="str">
            <v>MONGERAL AEGON INVESTIMENTOS LTDA</v>
          </cell>
        </row>
        <row r="258">
          <cell r="B258">
            <v>12417</v>
          </cell>
          <cell r="C258" t="str">
            <v>OITI FIM CP IE</v>
          </cell>
          <cell r="D258" t="str">
            <v>OITI FIM CP IE</v>
          </cell>
          <cell r="E258" t="str">
            <v>ITAU UNIBANCO S/A</v>
          </cell>
        </row>
        <row r="259">
          <cell r="B259">
            <v>124181</v>
          </cell>
          <cell r="C259" t="str">
            <v>BRAM FIA IBRX 50</v>
          </cell>
          <cell r="D259" t="str">
            <v>BRAM FIA IBRX 50</v>
          </cell>
          <cell r="E259" t="str">
            <v>BRAM - BRADESCO ASSET MANAGEMENT S/A DTVM</v>
          </cell>
        </row>
        <row r="260">
          <cell r="B260">
            <v>124188</v>
          </cell>
          <cell r="C260" t="str">
            <v>BRADESCO BA FIA VALE</v>
          </cell>
          <cell r="D260" t="str">
            <v>BRADESCO BA FIA VALE</v>
          </cell>
          <cell r="E260" t="str">
            <v>BRAM - BRADESCO ASSET MANAGEMENT S/A DTVM</v>
          </cell>
        </row>
        <row r="261">
          <cell r="B261">
            <v>12419</v>
          </cell>
          <cell r="C261" t="str">
            <v>BANCO ALFA DE INVESTIMENTO S/A</v>
          </cell>
          <cell r="D261" t="str">
            <v>BANCO ALFA DE INVESTIMENTO S/A</v>
          </cell>
          <cell r="E261" t="str">
            <v>BANCO ALFA DE INVESTIMENTO S/A</v>
          </cell>
        </row>
        <row r="262">
          <cell r="B262">
            <v>124193</v>
          </cell>
          <cell r="C262" t="str">
            <v>BRAM FIA IBOVESPA</v>
          </cell>
          <cell r="D262" t="str">
            <v>BRAM FIA IBOVESPA</v>
          </cell>
          <cell r="E262" t="str">
            <v>BRAM - BRADESCO ASSET MANAGEMENT S/A DTVM</v>
          </cell>
        </row>
        <row r="263">
          <cell r="B263">
            <v>124194</v>
          </cell>
          <cell r="C263" t="str">
            <v>BRAM MACRO 22 FI FINANCEIRO - CI MULT - RESP LIMITADA</v>
          </cell>
          <cell r="D263" t="str">
            <v>BRAM MACRO 22 FI FINANCEIRO - CI MULT - RESP LIMITADA</v>
          </cell>
          <cell r="E263" t="str">
            <v>BRAM - BRADESCO ASSET MANAGEMENT S/A DTVM</v>
          </cell>
        </row>
        <row r="264">
          <cell r="B264">
            <v>124195</v>
          </cell>
          <cell r="C264" t="str">
            <v>BRADESCO FIA BB SEGURIDADE</v>
          </cell>
          <cell r="D264" t="str">
            <v>BRADESCO FIA BB SEGURIDADE</v>
          </cell>
          <cell r="E264" t="str">
            <v>BRAM - BRADESCO ASSET MANAGEMENT S/A DTVM</v>
          </cell>
        </row>
        <row r="265">
          <cell r="B265">
            <v>124202</v>
          </cell>
          <cell r="C265" t="str">
            <v>BRADESCO FIA BDR NIVEL I</v>
          </cell>
          <cell r="D265" t="str">
            <v>BRADESCO FIA BDR NIVEL I</v>
          </cell>
          <cell r="E265" t="str">
            <v>BRAM - BRADESCO ASSET MANAGEMENT S/A DTVM</v>
          </cell>
        </row>
        <row r="266">
          <cell r="B266">
            <v>124206</v>
          </cell>
          <cell r="C266" t="str">
            <v>BRADESCO FIA - PETROBRAS 2010</v>
          </cell>
          <cell r="D266" t="str">
            <v>BRADESCO FIA - PETROBRAS 2010</v>
          </cell>
          <cell r="E266" t="str">
            <v>BRAM - BRADESCO ASSET MANAGEMENT S/A DTVM</v>
          </cell>
        </row>
        <row r="267">
          <cell r="B267">
            <v>124217</v>
          </cell>
          <cell r="C267" t="str">
            <v>BRADESCO H FIF CIA VALE DO RIO DOCE RL</v>
          </cell>
          <cell r="D267" t="str">
            <v>BRADESCO H FIF CIA VALE DO RIO DOCE RL</v>
          </cell>
          <cell r="E267" t="str">
            <v>BRAM - BRADESCO ASSET MANAGEMENT S/A DTVM</v>
          </cell>
        </row>
        <row r="268">
          <cell r="B268">
            <v>124218</v>
          </cell>
          <cell r="C268" t="str">
            <v>BB GESTAO DE RECURSOS DTVM LTDA</v>
          </cell>
          <cell r="D268" t="str">
            <v>BB GESTAO DE RECURSOS DTVM LTDA</v>
          </cell>
          <cell r="E268" t="str">
            <v>BB GESTAO DE RECURSOS DTVM LTDA</v>
          </cell>
        </row>
        <row r="269">
          <cell r="B269">
            <v>12422</v>
          </cell>
          <cell r="C269" t="str">
            <v>TAGUS INVESTIMENTOS LTDA</v>
          </cell>
          <cell r="D269" t="str">
            <v>TAGUS INVESTIMENTOS LTDA</v>
          </cell>
          <cell r="E269" t="str">
            <v>TAGUS INVESTIMENTOS LTDA</v>
          </cell>
        </row>
        <row r="270">
          <cell r="B270">
            <v>124222</v>
          </cell>
          <cell r="C270" t="str">
            <v>BRADESCO INSTITUCIONAL FIA NIVEL I</v>
          </cell>
          <cell r="D270" t="str">
            <v>BRADESCO INSTITUCIONAL FIA NIVEL I</v>
          </cell>
          <cell r="E270" t="str">
            <v>BRAM - BRADESCO ASSET MANAGEMENT S/A DTVM</v>
          </cell>
        </row>
        <row r="271">
          <cell r="B271">
            <v>124233</v>
          </cell>
          <cell r="C271" t="str">
            <v>BB GESTAO DE RECURSOS DTVM LTDA</v>
          </cell>
          <cell r="D271" t="str">
            <v>BB GESTAO DE RECURSOS DTVM LTDA</v>
          </cell>
          <cell r="E271" t="str">
            <v>BB GESTAO DE RECURSOS DTVM LTDA</v>
          </cell>
        </row>
        <row r="272">
          <cell r="B272">
            <v>124243</v>
          </cell>
          <cell r="C272" t="str">
            <v>ITAU MASTER SHORT IBOVESPA 2X FIM</v>
          </cell>
          <cell r="D272" t="str">
            <v>ITAU MASTER SHORT IBOVESPA 2X FIM</v>
          </cell>
          <cell r="E272" t="str">
            <v>ITAU UNIBANCO ASSET - TACO</v>
          </cell>
        </row>
        <row r="273">
          <cell r="B273">
            <v>124247</v>
          </cell>
          <cell r="C273" t="str">
            <v>BRADESCO FIA MASTER IBRX</v>
          </cell>
          <cell r="D273" t="str">
            <v>BRADESCO FIA MASTER IBRX</v>
          </cell>
          <cell r="E273" t="str">
            <v>BRAM - BRADESCO ASSET MANAGEMENT S/A DTVM</v>
          </cell>
        </row>
        <row r="274">
          <cell r="B274">
            <v>12425</v>
          </cell>
          <cell r="C274" t="str">
            <v>JGP GESTAO DE RECURSOS LTDA</v>
          </cell>
          <cell r="D274" t="str">
            <v>JGP GESTAO DE RECURSOS LTDA</v>
          </cell>
          <cell r="E274" t="str">
            <v>JGP GESTAO PATRIMONIAL LTDA</v>
          </cell>
        </row>
        <row r="275">
          <cell r="B275">
            <v>124251</v>
          </cell>
          <cell r="C275" t="str">
            <v>BRADESCO FIM CP IE - RV LOCAL</v>
          </cell>
          <cell r="D275" t="str">
            <v>BRADESCO FIM CP IE - RV LOCAL</v>
          </cell>
          <cell r="E275" t="str">
            <v>BRAM - BRADESCO ASSET MANAGEMENT S/A DTVM</v>
          </cell>
        </row>
        <row r="276">
          <cell r="B276">
            <v>124252</v>
          </cell>
          <cell r="C276" t="str">
            <v>BRADESCO FIA IBRX MULTIPATROCINADO</v>
          </cell>
          <cell r="D276" t="str">
            <v>BRADESCO FIA IBRX MULTIPATROCINADO</v>
          </cell>
          <cell r="E276" t="str">
            <v>BRAM - BRADESCO ASSET MANAGEMENT S/A DTVM</v>
          </cell>
        </row>
        <row r="277">
          <cell r="B277">
            <v>124257</v>
          </cell>
          <cell r="C277" t="str">
            <v>BRADESCO FIM FUNDAÃ‡ÃƒO AMAZONAS SUSTENTAVEL - FAS</v>
          </cell>
          <cell r="D277" t="str">
            <v>BRADESCO FIM FUNDAÃ‡ÃƒO AMAZONAS SUSTENTAVEL - FAS</v>
          </cell>
          <cell r="E277" t="str">
            <v>BRAM - BRADESCO ASSET MANAGEMENT S/A DTVM</v>
          </cell>
        </row>
        <row r="278">
          <cell r="B278">
            <v>124258</v>
          </cell>
          <cell r="C278" t="str">
            <v>BRAM FIA IBRX ATIVO</v>
          </cell>
          <cell r="D278" t="str">
            <v>BRAM FIA IBRX ATIVO</v>
          </cell>
          <cell r="E278" t="str">
            <v>BRAM - BRADESCO ASSET MANAGEMENT S/A DTVM</v>
          </cell>
        </row>
        <row r="279">
          <cell r="B279">
            <v>12426</v>
          </cell>
          <cell r="C279" t="str">
            <v>SQUADRA INVESTIMENTOS GESTÃƒO DE RECURSOS LTDA</v>
          </cell>
          <cell r="D279" t="str">
            <v>SQUADRA INVESTIMENTOS GESTÃƒO DE RECURSOS LTDA</v>
          </cell>
          <cell r="E279" t="str">
            <v>SQUADRA INVESTIMENTOS GESTÃƒO DE RECURSOS LTDA</v>
          </cell>
        </row>
        <row r="280">
          <cell r="B280">
            <v>12427</v>
          </cell>
          <cell r="C280" t="str">
            <v>FORPUS CAPITAL GESTÃƒO DE RECURSOS LTDA</v>
          </cell>
          <cell r="D280" t="str">
            <v>FORPUS CAPITAL GESTÃƒO DE RECURSOS LTDA</v>
          </cell>
          <cell r="E280" t="str">
            <v>FORPUS CAPITAL GESTÃƒO DE RECURSOS LTDA</v>
          </cell>
        </row>
        <row r="281">
          <cell r="B281">
            <v>124272</v>
          </cell>
          <cell r="C281" t="str">
            <v>BRAM FIM ABSOLUTO 42</v>
          </cell>
          <cell r="D281" t="str">
            <v>BRAM FIM ABSOLUTO 42</v>
          </cell>
          <cell r="E281" t="str">
            <v>BRAM - BRADESCO ASSET MANAGEMENT S/A DTVM</v>
          </cell>
        </row>
        <row r="282">
          <cell r="B282">
            <v>124283</v>
          </cell>
          <cell r="C282" t="str">
            <v>BRADESCO FIA MASTER PREVIDENCIA</v>
          </cell>
          <cell r="D282" t="str">
            <v>BRADESCO FIA MASTER PREVIDENCIA</v>
          </cell>
          <cell r="E282" t="str">
            <v>BRAM - BRADESCO ASSET MANAGEMENT S/A DTVM</v>
          </cell>
        </row>
        <row r="283">
          <cell r="B283">
            <v>124286</v>
          </cell>
          <cell r="C283" t="str">
            <v>BRADESCO FIA IS SUSTENTABILIDADE EMPRESARIAL</v>
          </cell>
          <cell r="D283" t="str">
            <v>BRADESCO FIA IS SUSTENTABILIDADE EMPRESARIAL</v>
          </cell>
          <cell r="E283" t="str">
            <v>BRAM - BRADESCO ASSET MANAGEMENT S/A DTVM</v>
          </cell>
        </row>
        <row r="284">
          <cell r="B284">
            <v>12429</v>
          </cell>
          <cell r="C284" t="str">
            <v>KAPITALO INVESTIMENTOS LTDA</v>
          </cell>
          <cell r="D284" t="str">
            <v>KAPITALO INVESTIMENTOS LTDA</v>
          </cell>
          <cell r="E284" t="str">
            <v>KAPITALO INVESTIMENTOS LTDA</v>
          </cell>
        </row>
        <row r="285">
          <cell r="B285">
            <v>124290</v>
          </cell>
          <cell r="C285" t="str">
            <v>BRADESCO H FIA IBOVESPA</v>
          </cell>
          <cell r="D285" t="str">
            <v>BRADESCO H FIA IBOVESPA</v>
          </cell>
          <cell r="E285" t="str">
            <v>BRAM - BRADESCO ASSET MANAGEMENT S/A DTVM</v>
          </cell>
        </row>
        <row r="286">
          <cell r="B286">
            <v>124292</v>
          </cell>
          <cell r="C286" t="str">
            <v>BRADESCO FIA MASTER DIVIDENDOS</v>
          </cell>
          <cell r="D286" t="str">
            <v>BRADESCO FIA MASTER DIVIDENDOS</v>
          </cell>
          <cell r="E286" t="str">
            <v>BRAM - BRADESCO ASSET MANAGEMENT S/A DTVM</v>
          </cell>
        </row>
        <row r="287">
          <cell r="B287">
            <v>124298</v>
          </cell>
          <cell r="C287" t="str">
            <v>BRAM LONG BIASED FUNDO DE INVESTIMENTO EM AÃ‡Ã•ES</v>
          </cell>
          <cell r="D287" t="str">
            <v>BRAM LONG BIASED FUNDO DE INVESTIMENTO EM AÃ‡Ã•ES</v>
          </cell>
          <cell r="E287" t="str">
            <v>BRAM - BRADESCO ASSET MANAGEMENT S/A DTVM</v>
          </cell>
        </row>
        <row r="288">
          <cell r="B288">
            <v>124300</v>
          </cell>
          <cell r="C288" t="str">
            <v>BRAM FIA IBOVESPA ATIVO</v>
          </cell>
          <cell r="D288" t="str">
            <v>BRAM FIA IBOVESPA ATIVO</v>
          </cell>
          <cell r="E288" t="str">
            <v>BRAM - BRADESCO ASSET MANAGEMENT S/A DTVM</v>
          </cell>
        </row>
        <row r="289">
          <cell r="B289">
            <v>124302</v>
          </cell>
          <cell r="C289" t="str">
            <v>BRADESCO FIA SMALL CAP PLUS</v>
          </cell>
          <cell r="D289" t="str">
            <v>BRADESCO FIA SMALL CAP PLUS</v>
          </cell>
          <cell r="E289" t="str">
            <v>BRAM - BRADESCO ASSET MANAGEMENT S/A DTVM</v>
          </cell>
        </row>
        <row r="290">
          <cell r="B290">
            <v>124319</v>
          </cell>
          <cell r="C290" t="str">
            <v>BRADESCO FIF CLASSE DE INVESTIMENTO EM AÃ‡Ã•ES ZINCO RL</v>
          </cell>
          <cell r="D290" t="str">
            <v>BRADESCO FIF CLASSE DE INVESTIMENTO EM AÃ‡Ã•ES ZINCO RL</v>
          </cell>
          <cell r="E290" t="str">
            <v>BRAM - BRADESCO ASSET MANAGEMENT S/A DTVM</v>
          </cell>
        </row>
        <row r="291">
          <cell r="B291">
            <v>124323</v>
          </cell>
          <cell r="C291" t="str">
            <v>BRADESCO FIA VALE</v>
          </cell>
          <cell r="D291" t="str">
            <v>BRADESCO FIA VALE</v>
          </cell>
          <cell r="E291" t="str">
            <v>BRAM - BRADESCO ASSET MANAGEMENT S/A DTVM</v>
          </cell>
        </row>
        <row r="292">
          <cell r="B292">
            <v>124329</v>
          </cell>
          <cell r="C292" t="str">
            <v>BRAM FIA</v>
          </cell>
          <cell r="D292" t="str">
            <v>BRAM FIA</v>
          </cell>
          <cell r="E292" t="str">
            <v>BRAM - BRADESCO ASSET MANAGEMENT S/A DTVM</v>
          </cell>
        </row>
        <row r="293">
          <cell r="B293">
            <v>124339</v>
          </cell>
          <cell r="C293" t="str">
            <v>NORGES BANK</v>
          </cell>
          <cell r="D293" t="str">
            <v>NORGES BANK</v>
          </cell>
          <cell r="E293" t="str">
            <v>BC GESTAO DE RECURSOS LTDA</v>
          </cell>
        </row>
        <row r="294">
          <cell r="B294">
            <v>124359</v>
          </cell>
          <cell r="C294" t="str">
            <v>BB GESTAO DE RECURSOS DTVM LTDA</v>
          </cell>
          <cell r="D294" t="str">
            <v>BB GESTAO DE RECURSOS DTVM LTDA</v>
          </cell>
          <cell r="E294" t="str">
            <v>BB GESTAO DE RECURSOS DTVM LTDA</v>
          </cell>
        </row>
        <row r="295">
          <cell r="B295">
            <v>124362</v>
          </cell>
          <cell r="C295" t="str">
            <v>WARM FIA</v>
          </cell>
          <cell r="D295" t="str">
            <v>WARM FIA</v>
          </cell>
          <cell r="E295" t="str">
            <v>UNA CAPITAL LTDA</v>
          </cell>
        </row>
        <row r="296">
          <cell r="B296">
            <v>124367</v>
          </cell>
          <cell r="C296" t="str">
            <v>NEO NAVITAS MASTER FIA</v>
          </cell>
          <cell r="D296" t="str">
            <v>NEO NAVITAS MASTER FIA</v>
          </cell>
          <cell r="E296" t="str">
            <v>NEO GESTÃO DE RECURSOS LTDA</v>
          </cell>
        </row>
        <row r="297">
          <cell r="B297">
            <v>124368</v>
          </cell>
          <cell r="C297" t="str">
            <v>KAPITALO MASTER I FIM</v>
          </cell>
          <cell r="D297" t="str">
            <v>KAPITALO MASTER I FIM</v>
          </cell>
          <cell r="E297" t="str">
            <v>KAPITALO INVESTIMENTOS LTDA</v>
          </cell>
        </row>
        <row r="298">
          <cell r="B298">
            <v>124369</v>
          </cell>
          <cell r="C298" t="str">
            <v>KAPITALO MASTER II FIM</v>
          </cell>
          <cell r="D298" t="str">
            <v>KAPITALO MASTER II FIM</v>
          </cell>
          <cell r="E298" t="str">
            <v>KAPITALO INVESTIMENTOS LTDA</v>
          </cell>
        </row>
        <row r="299">
          <cell r="B299">
            <v>124370</v>
          </cell>
          <cell r="C299" t="str">
            <v>KAPITALO ESTRATEGIAS MASTER FIM</v>
          </cell>
          <cell r="D299" t="str">
            <v>KAPITALO ESTRATEGIAS MASTER FIM</v>
          </cell>
          <cell r="E299" t="str">
            <v>KAPITALO INVESTIMENTOS LTDA</v>
          </cell>
        </row>
        <row r="300">
          <cell r="B300">
            <v>124371</v>
          </cell>
          <cell r="C300" t="str">
            <v>TRUXT VALOR MASTER FIF ACOES RESP LTDA</v>
          </cell>
          <cell r="D300" t="str">
            <v>TRUXT VALOR MASTER FIF ACOES RESP LTDA</v>
          </cell>
          <cell r="E300" t="str">
            <v>TRUXT INVESTIMENTOS LTDA</v>
          </cell>
        </row>
        <row r="301">
          <cell r="B301">
            <v>124372</v>
          </cell>
          <cell r="C301" t="str">
            <v>TRUXT VALOR MASTER INSTITUCIONAL FIA</v>
          </cell>
          <cell r="D301" t="str">
            <v>TRUXT VALOR MASTER INSTITUCIONAL FIA</v>
          </cell>
          <cell r="E301" t="str">
            <v>TRUXT INVESTIMENTOS LTDA</v>
          </cell>
        </row>
        <row r="302">
          <cell r="B302">
            <v>124373</v>
          </cell>
          <cell r="C302" t="str">
            <v>TRUXT MACRO MASTER FIM</v>
          </cell>
          <cell r="D302" t="str">
            <v>TRUXT MACRO MASTER FIM</v>
          </cell>
          <cell r="E302" t="str">
            <v>TRUXT INVESTIMENTOS LTDA</v>
          </cell>
        </row>
        <row r="303">
          <cell r="B303">
            <v>124374</v>
          </cell>
          <cell r="C303" t="str">
            <v>TRUXT LONG SHORT MASTER FIM</v>
          </cell>
          <cell r="D303" t="str">
            <v>TRUXT LONG SHORT MASTER FIM</v>
          </cell>
          <cell r="E303" t="str">
            <v>TRUXT INVESTIMENTOS LTDA</v>
          </cell>
        </row>
        <row r="304">
          <cell r="B304">
            <v>124375</v>
          </cell>
          <cell r="C304" t="str">
            <v>TRUXT LONG BIAS MASTER FIM</v>
          </cell>
          <cell r="D304" t="str">
            <v>TRUXT LONG BIAS MASTER FIM</v>
          </cell>
          <cell r="E304" t="str">
            <v>TRUXT INVESTIMENTOS LTDA</v>
          </cell>
        </row>
        <row r="305">
          <cell r="B305">
            <v>124380</v>
          </cell>
          <cell r="C305" t="str">
            <v>GAUSS MASTER FIM</v>
          </cell>
          <cell r="D305" t="str">
            <v>GAUSS MASTER FIM</v>
          </cell>
          <cell r="E305" t="str">
            <v>ASA ASSET GESTAO EM INVESTIMENTOS LTDA</v>
          </cell>
        </row>
        <row r="306">
          <cell r="B306">
            <v>124382</v>
          </cell>
          <cell r="C306" t="str">
            <v>GAUSS FIFE FUNDO DE INVESTIMENTO MULTIMERCADO</v>
          </cell>
          <cell r="D306" t="str">
            <v>GAUSS FIFE FUNDO DE INVESTIMENTO MULTIMERCADO</v>
          </cell>
          <cell r="E306" t="str">
            <v>ASA ASSET GESTAO EM INVESTIMENTOS LTDA</v>
          </cell>
        </row>
        <row r="307">
          <cell r="B307">
            <v>124384</v>
          </cell>
          <cell r="C307" t="str">
            <v>GARIN SPECIAL FIF MULT</v>
          </cell>
          <cell r="D307" t="str">
            <v>GARIN SPECIAL FIF MULT</v>
          </cell>
          <cell r="E307" t="str">
            <v>GARIN INVESTIMENTOS LTDA</v>
          </cell>
        </row>
        <row r="308">
          <cell r="B308">
            <v>124416</v>
          </cell>
          <cell r="C308" t="str">
            <v>BB GESTAO DE RECURSOS DTVM LTDA</v>
          </cell>
          <cell r="D308" t="str">
            <v>BB GESTAO DE RECURSOS DTVM LTDA</v>
          </cell>
          <cell r="E308" t="str">
            <v>BB GESTAO DE RECURSOS DTVM LTDA</v>
          </cell>
        </row>
        <row r="309">
          <cell r="B309">
            <v>124419</v>
          </cell>
          <cell r="C309" t="str">
            <v>RPS FIA SELECTION MASTER</v>
          </cell>
          <cell r="D309" t="str">
            <v>RPS FIA SELECTION MASTER</v>
          </cell>
          <cell r="E309" t="str">
            <v>RPS CAPITAL ADMINISTRADORA DE RECURSOS LTDA</v>
          </cell>
        </row>
        <row r="310">
          <cell r="B310">
            <v>124423</v>
          </cell>
          <cell r="C310" t="str">
            <v>TRUXT INVESTMENTS- EQUITY LONG ONLY MASTER FUND LLC</v>
          </cell>
          <cell r="D310" t="str">
            <v>TRUXT INVESTMENTS- EQUITY LONG ONLY MASTER FUND LLC</v>
          </cell>
          <cell r="E310" t="str">
            <v>TRUXT INVESTIMENTOS LTDA</v>
          </cell>
        </row>
        <row r="311">
          <cell r="B311">
            <v>124432</v>
          </cell>
          <cell r="C311" t="str">
            <v>ITAÃš PREVIDÃŠNCIA IBRX FIF EM AÃ‡Ã•ES RL</v>
          </cell>
          <cell r="D311" t="str">
            <v>ITAÃš PREVIDÃŠNCIA IBRX FIF EM AÃ‡Ã•ES RL</v>
          </cell>
          <cell r="E311" t="str">
            <v>ITAU UNIBANCO ASSET - TACO</v>
          </cell>
        </row>
        <row r="312">
          <cell r="B312">
            <v>124454</v>
          </cell>
          <cell r="C312" t="str">
            <v>URCA FIM CP</v>
          </cell>
          <cell r="D312" t="str">
            <v>URCA FIM CP</v>
          </cell>
          <cell r="E312" t="str">
            <v>SANTANDER BRASIL GESTAO DE RECURSOS LTDA</v>
          </cell>
        </row>
        <row r="313">
          <cell r="B313">
            <v>124459</v>
          </cell>
          <cell r="C313" t="str">
            <v>SAFRA GALILEO MASTER FIM</v>
          </cell>
          <cell r="D313" t="str">
            <v>SAFRA GALILEO MASTER FIM</v>
          </cell>
          <cell r="E313" t="str">
            <v>EMERALD GESTAO DE INVESTIMENTOS LTDA</v>
          </cell>
        </row>
        <row r="314">
          <cell r="B314">
            <v>124462</v>
          </cell>
          <cell r="C314" t="str">
            <v>OITI FIM CP IE</v>
          </cell>
          <cell r="D314" t="str">
            <v>OITI FIM CP IE</v>
          </cell>
          <cell r="E314" t="str">
            <v>ITAU UNIBANCO S/A</v>
          </cell>
        </row>
        <row r="315">
          <cell r="B315">
            <v>124465</v>
          </cell>
          <cell r="C315" t="str">
            <v>TORO BRAVO FUNDO DE INVESTIMENTO MULTIMERCADO</v>
          </cell>
          <cell r="D315" t="str">
            <v>TORO BRAVO FUNDO DE INVESTIMENTO MULTIMERCADO</v>
          </cell>
          <cell r="E315" t="str">
            <v>AGUILA CAPITAL ADM E GESTAO DE CAPITAIS LTDA</v>
          </cell>
        </row>
        <row r="316">
          <cell r="B316">
            <v>124468</v>
          </cell>
          <cell r="C316" t="str">
            <v>BB GESTAO DE RECURSOS DTVM LTDA</v>
          </cell>
          <cell r="D316" t="str">
            <v>BB GESTAO DE RECURSOS DTVM LTDA</v>
          </cell>
          <cell r="E316" t="str">
            <v>BB GESTAO DE RECURSOS DTVM LTDA</v>
          </cell>
        </row>
        <row r="317">
          <cell r="B317">
            <v>124475</v>
          </cell>
          <cell r="C317" t="str">
            <v>MANTARO LB MASTER FIM</v>
          </cell>
          <cell r="D317" t="str">
            <v>MANTARO LB MASTER FIM</v>
          </cell>
          <cell r="E317" t="str">
            <v>MANTARO CAPITAL LTDA</v>
          </cell>
        </row>
        <row r="318">
          <cell r="B318">
            <v>124477</v>
          </cell>
          <cell r="C318" t="str">
            <v>ITAU MOMENTO II AÃ‡Ã•ES FI</v>
          </cell>
          <cell r="D318" t="str">
            <v>ITAU MOMENTO II AÃ‡Ã•ES FI</v>
          </cell>
          <cell r="E318" t="str">
            <v>ITAU UNIBANCO ASSET - TACO</v>
          </cell>
        </row>
        <row r="319">
          <cell r="B319">
            <v>124478</v>
          </cell>
          <cell r="C319" t="str">
            <v>ITAU PHOENIX AÃ‡OES FI</v>
          </cell>
          <cell r="D319" t="str">
            <v>ITAU PHOENIX AÃ‡OES FI</v>
          </cell>
          <cell r="E319" t="str">
            <v>ITAU UNIBANCO ASSET - TACO</v>
          </cell>
        </row>
        <row r="320">
          <cell r="B320">
            <v>124504</v>
          </cell>
          <cell r="C320" t="str">
            <v>AZ QUEST LOW VOL FIM</v>
          </cell>
          <cell r="D320" t="str">
            <v>AZ QUEST LOW VOL FIM</v>
          </cell>
          <cell r="E320" t="str">
            <v>AZ QUEST INVESTIMENTOS LTDA</v>
          </cell>
        </row>
        <row r="321">
          <cell r="B321">
            <v>124505</v>
          </cell>
          <cell r="C321" t="str">
            <v>AZ QUEST TERMO FIF RF</v>
          </cell>
          <cell r="D321" t="str">
            <v>AZ QUEST TERMO FIF RF</v>
          </cell>
          <cell r="E321" t="str">
            <v>AZ QUEST INVESTIMENTOS LTDA</v>
          </cell>
        </row>
        <row r="322">
          <cell r="B322">
            <v>124513</v>
          </cell>
          <cell r="C322" t="str">
            <v>ARGUCIA QUARK FIF MULT RL</v>
          </cell>
          <cell r="D322" t="str">
            <v>ARGUCIA QUARK FIF MULT RL</v>
          </cell>
          <cell r="E322" t="str">
            <v>ARGUCIA CAPITAL GESTAO DE RECURSOS LTDA</v>
          </cell>
        </row>
        <row r="323">
          <cell r="B323">
            <v>124533</v>
          </cell>
          <cell r="C323" t="str">
            <v>TAGUS FUNDAMENTAL FIA</v>
          </cell>
          <cell r="D323" t="str">
            <v>TAGUS FUNDAMENTAL FIA</v>
          </cell>
          <cell r="E323" t="str">
            <v>TAGUS INVESTIMENTOS LTDA</v>
          </cell>
        </row>
        <row r="324">
          <cell r="B324">
            <v>124536</v>
          </cell>
          <cell r="C324" t="str">
            <v>TAGUS TOP II FIF RENDA FIXA</v>
          </cell>
          <cell r="D324" t="str">
            <v>TAGUS TOP II FIF RENDA FIXA</v>
          </cell>
          <cell r="E324" t="str">
            <v>TAGUS INVESTIMENTOS LTDA</v>
          </cell>
        </row>
        <row r="325">
          <cell r="B325">
            <v>124538</v>
          </cell>
          <cell r="C325" t="str">
            <v>VENTOR AÃ‡Ã•ES FIF EM AÃ‡Ã•ES RL</v>
          </cell>
          <cell r="D325" t="str">
            <v>VENTOR AÃ‡Ã•ES FIF EM AÃ‡Ã•ES RL</v>
          </cell>
          <cell r="E325" t="str">
            <v>VENTOR INVESTIMENTOS LTDA</v>
          </cell>
        </row>
        <row r="326">
          <cell r="B326">
            <v>124560</v>
          </cell>
          <cell r="C326" t="str">
            <v>VINLAND MACRO PLUS MASTER FIM IE</v>
          </cell>
          <cell r="D326" t="str">
            <v>VINLAND MACRO PLUS MASTER FIM IE</v>
          </cell>
          <cell r="E326" t="str">
            <v>VINLAND CAPITAL MANAGEMENT GESTORA DE RECURSOS LTDA</v>
          </cell>
        </row>
        <row r="327">
          <cell r="B327">
            <v>124561</v>
          </cell>
          <cell r="C327" t="str">
            <v>VINLAND LONG BIAS MASTER FIM</v>
          </cell>
          <cell r="D327" t="str">
            <v>VINLAND LONG BIAS MASTER FIM</v>
          </cell>
          <cell r="E327" t="str">
            <v>VINLAND CAPITAL MANAGEMENT GESTORA DE RECURSOS LTDA</v>
          </cell>
        </row>
        <row r="328">
          <cell r="B328">
            <v>124562</v>
          </cell>
          <cell r="C328" t="str">
            <v>VINLAND MACRO MASTER FIM</v>
          </cell>
          <cell r="D328" t="str">
            <v>VINLAND MACRO MASTER FIM</v>
          </cell>
          <cell r="E328" t="str">
            <v>VINLAND CAPITAL MANAGEMENT GESTORA DE RECURSOS LTDA</v>
          </cell>
        </row>
        <row r="329">
          <cell r="B329">
            <v>124569</v>
          </cell>
          <cell r="C329" t="str">
            <v>NOVUS INSTITUCIONAL MASTER FIM</v>
          </cell>
          <cell r="D329" t="str">
            <v>NOVUS INSTITUCIONAL MASTER FIM</v>
          </cell>
          <cell r="E329" t="str">
            <v>NOVUS CAPITAL GESTORA DE RECURSOS LTDA</v>
          </cell>
        </row>
        <row r="330">
          <cell r="B330">
            <v>124572</v>
          </cell>
          <cell r="C330" t="str">
            <v>BRAM MACRO MULTIESTRATEGIA FIM</v>
          </cell>
          <cell r="D330" t="str">
            <v>BRAM MACRO MULTIESTRATEGIA FIM</v>
          </cell>
          <cell r="E330" t="str">
            <v>BRAM - BRADESCO ASSET MANAGEMENT S/A DTVM</v>
          </cell>
        </row>
        <row r="331">
          <cell r="B331">
            <v>124573</v>
          </cell>
          <cell r="C331" t="str">
            <v>BRADESCO FIM LONG SHORT</v>
          </cell>
          <cell r="D331" t="str">
            <v>BRADESCO FIM LONG SHORT</v>
          </cell>
          <cell r="E331" t="str">
            <v>BRAM - BRADESCO ASSET MANAGEMENT S/A DTVM</v>
          </cell>
        </row>
        <row r="332">
          <cell r="B332">
            <v>124574</v>
          </cell>
          <cell r="C332" t="str">
            <v>KAPITALO TARKUS MASTER FIA</v>
          </cell>
          <cell r="D332" t="str">
            <v>KAPITALO TARKUS MASTER FIA</v>
          </cell>
          <cell r="E332" t="str">
            <v>KAPITALO INVESTIMENTOS LTDA</v>
          </cell>
        </row>
        <row r="333">
          <cell r="B333">
            <v>124575</v>
          </cell>
          <cell r="C333" t="str">
            <v>FUNDACAO PETROBRAS DE SEGURIDADE SOCIAL PETROS</v>
          </cell>
          <cell r="D333" t="str">
            <v>FUNDACAO PETROBRAS DE SEGURIDADE SOCIAL PETROS</v>
          </cell>
          <cell r="E333" t="str">
            <v>FUNDACAO PETROBRAS DE SEGURIDADE SOCIAL PETROS</v>
          </cell>
        </row>
        <row r="334">
          <cell r="B334">
            <v>124576</v>
          </cell>
          <cell r="C334" t="str">
            <v>FUNDACAO PETROBRAS DE SEGURIDADE SOCIAL PETROS</v>
          </cell>
          <cell r="D334" t="str">
            <v>FUNDACAO PETROBRAS DE SEGURIDADE SOCIAL PETROS</v>
          </cell>
          <cell r="E334" t="str">
            <v>FUNDACAO PETROBRAS DE SEGURIDADE SOCIAL PETROS</v>
          </cell>
        </row>
        <row r="335">
          <cell r="B335">
            <v>124583</v>
          </cell>
          <cell r="C335" t="str">
            <v>SQUADRA MASTER LONG-BIASED FIA</v>
          </cell>
          <cell r="D335" t="str">
            <v>SQUADRA MASTER LONG-BIASED FIA</v>
          </cell>
          <cell r="E335" t="str">
            <v>SQUADRA INVESTIMENTOS GESTÃƒO DE RECURSOS LTDA</v>
          </cell>
        </row>
        <row r="336">
          <cell r="B336">
            <v>124584</v>
          </cell>
          <cell r="C336" t="str">
            <v>SQUADRA MASTER LONG-ONLY FIA</v>
          </cell>
          <cell r="D336" t="str">
            <v>SQUADRA MASTER LONG-ONLY FIA</v>
          </cell>
          <cell r="E336" t="str">
            <v>SQUADRA INVESTIMENTOS GESTÃƒO DE RECURSOS LTDA</v>
          </cell>
        </row>
        <row r="337">
          <cell r="B337">
            <v>124586</v>
          </cell>
          <cell r="C337" t="str">
            <v>SULAMERICA IBIUNA LONG BIASED PREV FIF MULT RESP LTDA</v>
          </cell>
          <cell r="D337" t="str">
            <v>SULAMERICA IBIUNA LONG BIASED PREV FIF MULT RESP LTDA</v>
          </cell>
          <cell r="E337" t="str">
            <v>IBIUNA GESTAO DE RECURSOS LTDA</v>
          </cell>
        </row>
        <row r="338">
          <cell r="B338">
            <v>124595</v>
          </cell>
          <cell r="C338" t="str">
            <v>WM RF IMA GERAL FI</v>
          </cell>
          <cell r="D338" t="str">
            <v>WM RF IMA GERAL FI</v>
          </cell>
          <cell r="E338" t="str">
            <v>ITAU UNIBANCO ASSET - TACO</v>
          </cell>
        </row>
        <row r="339">
          <cell r="B339">
            <v>124597</v>
          </cell>
          <cell r="C339" t="str">
            <v>WM SMALL CAP FIA</v>
          </cell>
          <cell r="D339" t="str">
            <v>WM SMALL CAP FIA</v>
          </cell>
          <cell r="E339" t="str">
            <v>ITAU UNIBANCO ASSET - TACO</v>
          </cell>
        </row>
        <row r="340">
          <cell r="B340">
            <v>124598</v>
          </cell>
          <cell r="C340" t="str">
            <v>ITAU AÃ‡Ã•ES PETROBRAS I FI</v>
          </cell>
          <cell r="D340" t="str">
            <v>ITAU AÃ‡Ã•ES PETROBRAS I FI</v>
          </cell>
          <cell r="E340" t="str">
            <v>ITAU UNIBANCO ASSET - TACO</v>
          </cell>
        </row>
        <row r="341">
          <cell r="B341">
            <v>124600</v>
          </cell>
          <cell r="C341" t="str">
            <v>BB GESTAO DE RECURSOS DTVM LTDA</v>
          </cell>
          <cell r="D341" t="str">
            <v>BB GESTAO DE RECURSOS DTVM LTDA</v>
          </cell>
          <cell r="E341" t="str">
            <v>BB GESTAO DE RECURSOS DTVM LTDA</v>
          </cell>
        </row>
        <row r="342">
          <cell r="B342">
            <v>124601</v>
          </cell>
          <cell r="C342" t="str">
            <v>CENTAURO I FIF CIA RL</v>
          </cell>
          <cell r="D342" t="str">
            <v>CENTAURO I FIF CIA RL</v>
          </cell>
          <cell r="E342" t="str">
            <v>STONEX INVESTIMENTOS LTDA</v>
          </cell>
        </row>
        <row r="343">
          <cell r="B343">
            <v>124607</v>
          </cell>
          <cell r="C343" t="str">
            <v>FORPUS AÃ‡Ã•ES MASTER FIA</v>
          </cell>
          <cell r="D343" t="str">
            <v>FORPUS AÃ‡Ã•ES MASTER FIA</v>
          </cell>
          <cell r="E343" t="str">
            <v>FORPUS CAPITAL GESTÃƒO DE RECURSOS LTDA</v>
          </cell>
        </row>
        <row r="344">
          <cell r="B344">
            <v>124610</v>
          </cell>
          <cell r="C344" t="str">
            <v>BB GESTAO DE RECURSOS DTVM LTDA</v>
          </cell>
          <cell r="D344" t="str">
            <v>BB GESTAO DE RECURSOS DTVM LTDA</v>
          </cell>
          <cell r="E344" t="str">
            <v>BB GESTAO DE RECURSOS DTVM LTDA</v>
          </cell>
        </row>
        <row r="345">
          <cell r="B345">
            <v>124615</v>
          </cell>
          <cell r="C345" t="str">
            <v>LIBRA FIM CP IE</v>
          </cell>
          <cell r="D345" t="str">
            <v>LIBRA FIM CP IE</v>
          </cell>
          <cell r="E345" t="str">
            <v>EMERALD GESTAO DE INVESTIMENTOS LTDA</v>
          </cell>
        </row>
        <row r="346">
          <cell r="B346">
            <v>124619</v>
          </cell>
          <cell r="C346" t="str">
            <v>KAPITALO ALPHA GLOBAL MASTER FIM</v>
          </cell>
          <cell r="D346" t="str">
            <v>KAPITALO ALPHA GLOBAL MASTER FIM</v>
          </cell>
          <cell r="E346" t="str">
            <v>KAPITALO INVESTIMENTOS LTDA</v>
          </cell>
        </row>
        <row r="347">
          <cell r="B347">
            <v>132</v>
          </cell>
          <cell r="C347" t="str">
            <v>BGC LIQUIDEZ DTVM LTDA - GFI</v>
          </cell>
          <cell r="D347" t="str">
            <v>BGC LIQUIDEZ DTVM LTDA - GFI</v>
          </cell>
          <cell r="E347" t="str">
            <v>BGC LIQUIDEZ DTVM LTDA - GFI</v>
          </cell>
        </row>
        <row r="348">
          <cell r="B348">
            <v>14430</v>
          </cell>
          <cell r="C348" t="str">
            <v>DRYS CAPITAL LTDA</v>
          </cell>
          <cell r="D348" t="str">
            <v>DRYS CAPITAL LTDA</v>
          </cell>
          <cell r="E348" t="str">
            <v>DRYS CAPITAL LTDA</v>
          </cell>
        </row>
        <row r="349">
          <cell r="B349">
            <v>144310</v>
          </cell>
          <cell r="C349" t="str">
            <v>BW GESTAO DE INVESTIMENTOS LTDA</v>
          </cell>
          <cell r="D349" t="str">
            <v>BW GESTAO DE INVESTIMENTOS LTDA</v>
          </cell>
          <cell r="E349" t="str">
            <v>BW GESTAO DE INVESTIMENTOS LTDA</v>
          </cell>
        </row>
        <row r="350">
          <cell r="B350">
            <v>14439</v>
          </cell>
          <cell r="C350" t="str">
            <v>QUANTITAS GESTAO DE RECURSOS LTDA</v>
          </cell>
          <cell r="D350" t="str">
            <v>QUANTITAS GESTAO DE RECURSOS LTDA</v>
          </cell>
          <cell r="E350" t="str">
            <v>QUANTITAS GESTAO DE RECURSOS LTDA</v>
          </cell>
        </row>
        <row r="351">
          <cell r="B351">
            <v>144430</v>
          </cell>
          <cell r="C351" t="str">
            <v>GAP GESTORA DE RECURSOS LTDA</v>
          </cell>
          <cell r="D351" t="str">
            <v>GAP GESTORA DE RECURSOS LTDA</v>
          </cell>
          <cell r="E351" t="str">
            <v>GAP GESTORA DE RECURSOS LTDA</v>
          </cell>
        </row>
        <row r="352">
          <cell r="B352">
            <v>15501</v>
          </cell>
          <cell r="C352" t="str">
            <v>BANCO BTG PACTUAL S/A</v>
          </cell>
          <cell r="D352" t="str">
            <v>BANCO BTG PACTUAL S/A</v>
          </cell>
          <cell r="E352" t="str">
            <v>BANCO BTG PACTUAL S/A</v>
          </cell>
        </row>
        <row r="353">
          <cell r="B353">
            <v>16530</v>
          </cell>
          <cell r="C353" t="str">
            <v>BTG PACTUAL ASSET MANAGEMENT SA DTVM</v>
          </cell>
          <cell r="D353" t="str">
            <v>BTG PACTUAL ASSET MANAGEMENT SA DTVM</v>
          </cell>
          <cell r="E353" t="str">
            <v>BTG PACTUAL ASSET MANAGEMENT SA DTVM</v>
          </cell>
        </row>
        <row r="354">
          <cell r="B354">
            <v>16703</v>
          </cell>
          <cell r="C354" t="str">
            <v>BRADESCO PIONEIRO FIF CL MULT CRED PRIV RL</v>
          </cell>
          <cell r="D354" t="str">
            <v>BRADESCO PIONEIRO FIF CL MULT CRED PRIV RL</v>
          </cell>
          <cell r="E354" t="str">
            <v>BANCO BRADESCO S/A</v>
          </cell>
        </row>
        <row r="355">
          <cell r="B355">
            <v>43058</v>
          </cell>
          <cell r="C355" t="str">
            <v>BANCO FIBRA S/A</v>
          </cell>
          <cell r="D355" t="str">
            <v>BANCO FIBRA S/A</v>
          </cell>
          <cell r="E355" t="str">
            <v>BANCO FIBRA S/A</v>
          </cell>
        </row>
        <row r="356">
          <cell r="B356">
            <v>43059</v>
          </cell>
          <cell r="C356" t="str">
            <v>BANCO FIBRA S/A</v>
          </cell>
          <cell r="D356" t="str">
            <v>BANCO FIBRA S/A</v>
          </cell>
          <cell r="E356" t="str">
            <v>BANCO FIBRA S/A</v>
          </cell>
        </row>
        <row r="357">
          <cell r="B357">
            <v>623</v>
          </cell>
          <cell r="C357" t="str">
            <v>BANCO BRADESCO S/A</v>
          </cell>
          <cell r="D357" t="str">
            <v>BANCO BRADESCO S/A</v>
          </cell>
          <cell r="E357" t="str">
            <v>BANCO BRADESCO S/A</v>
          </cell>
        </row>
        <row r="358">
          <cell r="B358">
            <v>63226</v>
          </cell>
          <cell r="C358" t="str">
            <v>INTER STRATEGIE FUNDO DE INVESTIMENTO MULTIMERCADO</v>
          </cell>
          <cell r="D358" t="str">
            <v>INTER STRATEGIE FUNDO DE INVESTIMENTO MULTIMERCADO</v>
          </cell>
          <cell r="E358" t="str">
            <v>SAFRA ASSET MANAGEMENT LTDA</v>
          </cell>
        </row>
        <row r="359">
          <cell r="B359">
            <v>79144</v>
          </cell>
          <cell r="C359" t="str">
            <v>EQUITAS MASTER SELECTION FIF DE AÃ‡Ã•ES RL</v>
          </cell>
          <cell r="D359" t="str">
            <v>EQUITAS MASTER SELECTION FIF DE AÃ‡Ã•ES RL</v>
          </cell>
          <cell r="E359" t="str">
            <v>DRYS CAPITAL LTDA</v>
          </cell>
        </row>
        <row r="360">
          <cell r="B360">
            <v>80769</v>
          </cell>
          <cell r="C360" t="str">
            <v>BANCO XP S.A</v>
          </cell>
          <cell r="D360" t="str">
            <v>BANCO XP S.A</v>
          </cell>
          <cell r="E360" t="str">
            <v>BANCO XP S/A</v>
          </cell>
        </row>
        <row r="361">
          <cell r="B361">
            <v>79354</v>
          </cell>
          <cell r="C361" t="str">
            <v>FUNDO DE INVESTIMENTO FINANCEIRO MULTIMERCADO LS</v>
          </cell>
          <cell r="D361" t="str">
            <v>FUNDO DE INVESTIMENTO FINANCEIRO MULTIMERCADO LS</v>
          </cell>
          <cell r="E361" t="str">
            <v>BANCO BTG PACTUAL S/A</v>
          </cell>
        </row>
        <row r="362">
          <cell r="B362">
            <v>79372</v>
          </cell>
          <cell r="C362" t="str">
            <v>ICATU VANGUARDA GESTÃƒO DE RECURSOS LTDA</v>
          </cell>
          <cell r="D362" t="str">
            <v>ICATU VANGUARDA GESTÃƒO DE RECURSOS LTDA</v>
          </cell>
          <cell r="E362" t="str">
            <v>ICATU VANGUARDA GESTAO DE RECURSOS LTDA</v>
          </cell>
        </row>
        <row r="363">
          <cell r="B363">
            <v>79375</v>
          </cell>
          <cell r="C363" t="str">
            <v>GAVEA INVESTIMENTOS LTDA</v>
          </cell>
          <cell r="D363" t="str">
            <v>GAVEA INVESTIMENTOS LTDA</v>
          </cell>
          <cell r="E363" t="str">
            <v>GAVEA INVESTIMENTOS LTDA</v>
          </cell>
        </row>
        <row r="364">
          <cell r="B364">
            <v>79386</v>
          </cell>
          <cell r="C364" t="str">
            <v>CAIEIRAS FIM IE CP</v>
          </cell>
          <cell r="D364" t="str">
            <v>CAIEIRAS FIM IE CP</v>
          </cell>
          <cell r="E364" t="str">
            <v>MORGAN STANLEY ADMINISTRADORA DE CARTEIRAS S/A</v>
          </cell>
        </row>
        <row r="365">
          <cell r="B365">
            <v>79409</v>
          </cell>
          <cell r="C365" t="str">
            <v>CITIGROUP GLOBAL MARKETS LIMITED</v>
          </cell>
          <cell r="D365" t="str">
            <v>CITIGROUP GLOBAL MARKETS LIMITED</v>
          </cell>
          <cell r="E365" t="str">
            <v>BANCO CITIBANK S/A</v>
          </cell>
        </row>
        <row r="366">
          <cell r="B366">
            <v>79452</v>
          </cell>
          <cell r="C366" t="str">
            <v>JGP GESTAO DE RECURSOS LTDA</v>
          </cell>
          <cell r="D366" t="str">
            <v>JGP GESTAO DE RECURSOS LTDA</v>
          </cell>
          <cell r="E366" t="str">
            <v>JGP GESTAO PATRIMONIAL LTDA</v>
          </cell>
        </row>
        <row r="367">
          <cell r="B367">
            <v>79505</v>
          </cell>
          <cell r="C367" t="str">
            <v>BANK OF AMERICA N.A (BANA)</v>
          </cell>
          <cell r="D367" t="str">
            <v>BANK OF AMERICA N.A (BANA)</v>
          </cell>
          <cell r="E367" t="str">
            <v>BANK OF AMERICA MERRILL LYNCH BANCO MULTIPLO S/A</v>
          </cell>
        </row>
        <row r="368">
          <cell r="B368">
            <v>79552</v>
          </cell>
          <cell r="C368" t="str">
            <v>BR PARTNERS BANCO DE INVESTIMENTOS SA</v>
          </cell>
          <cell r="D368" t="str">
            <v>BR PARTNERS BANCO DE INVESTIMENTOS SA</v>
          </cell>
          <cell r="E368" t="str">
            <v>BR PARTNERS BANCO DE INVESTIMENTOS S/A</v>
          </cell>
        </row>
        <row r="369">
          <cell r="B369">
            <v>79581</v>
          </cell>
          <cell r="C369" t="str">
            <v>OURIBANK S.A. BANCO MULTIPLO</v>
          </cell>
          <cell r="D369" t="str">
            <v>OURIBANK S.A. BANCO MULTIPLO</v>
          </cell>
          <cell r="E369" t="str">
            <v>OURIBANK S.A. BANCO MULTIPLO</v>
          </cell>
        </row>
        <row r="370">
          <cell r="B370">
            <v>79593</v>
          </cell>
          <cell r="C370" t="str">
            <v>IBIUNA HEDGE FIM</v>
          </cell>
          <cell r="D370" t="str">
            <v>IBIUNA HEDGE FIM</v>
          </cell>
          <cell r="E370" t="str">
            <v>IBIUNA GESTAO DE RECURSOS LTDA</v>
          </cell>
        </row>
        <row r="371">
          <cell r="B371">
            <v>79594</v>
          </cell>
          <cell r="C371" t="str">
            <v>IBIUNA HEDGE ST MASTER FIM</v>
          </cell>
          <cell r="D371" t="str">
            <v>IBIUNA HEDGE ST MASTER FIM</v>
          </cell>
          <cell r="E371" t="str">
            <v>IBIUNA GESTAO DE RECURSOS LTDA</v>
          </cell>
        </row>
        <row r="372">
          <cell r="B372">
            <v>79595</v>
          </cell>
          <cell r="C372" t="str">
            <v>SANTANDER FI GUARUJA MULTIMERCADO CP IE</v>
          </cell>
          <cell r="D372" t="str">
            <v>SANTANDER FI GUARUJA MULTIMERCADO CP IE</v>
          </cell>
          <cell r="E372" t="str">
            <v>SANTANDER BRASIL GESTAO DE RECURSOS LTDA</v>
          </cell>
        </row>
        <row r="373">
          <cell r="B373">
            <v>79704</v>
          </cell>
          <cell r="C373" t="str">
            <v>DAYCOVAL ASSET MANAGEMENT ADMINISTRACAO DE RECURSOS LTDA</v>
          </cell>
          <cell r="D373" t="str">
            <v>DAYCOVAL ASSET MANAGEMENT ADMINISTRACAO DE RECURSOS LTDA</v>
          </cell>
          <cell r="E373" t="str">
            <v>DAYCOVAL ASSET MANAGEMENT ADMINISTRACAO DE RECURSOS LTDA</v>
          </cell>
        </row>
        <row r="374">
          <cell r="B374">
            <v>79705</v>
          </cell>
          <cell r="C374" t="str">
            <v>DAYCOVAL ASSET MANAGEMENT ADMINISTRACAO DE RECURSOS LTDA</v>
          </cell>
          <cell r="D374" t="str">
            <v>DAYCOVAL ASSET MANAGEMENT ADMINISTRACAO DE RECURSOS LTDA</v>
          </cell>
          <cell r="E374" t="str">
            <v>DAYCOVAL ASSET MANAGEMENT ADMINISTRACAO DE RECURSOS LTDA</v>
          </cell>
        </row>
        <row r="375">
          <cell r="B375">
            <v>79773</v>
          </cell>
          <cell r="C375" t="str">
            <v>VERDE ASSET MANAGEMENT S/A</v>
          </cell>
          <cell r="D375" t="str">
            <v>VERDE ASSET MANAGEMENT S/A</v>
          </cell>
          <cell r="E375" t="str">
            <v>VERDE ASSET MANAGEMENT S/A</v>
          </cell>
        </row>
        <row r="376">
          <cell r="B376">
            <v>79774</v>
          </cell>
          <cell r="C376" t="str">
            <v>VERDE ASSET MANAGEMENT S/A</v>
          </cell>
          <cell r="D376" t="str">
            <v>VERDE ASSET MANAGEMENT S/A</v>
          </cell>
          <cell r="E376" t="str">
            <v>VERDE ASSET MANAGEMENT S/A</v>
          </cell>
        </row>
        <row r="377">
          <cell r="B377">
            <v>79797</v>
          </cell>
          <cell r="C377" t="str">
            <v>OITI FIM CP IE</v>
          </cell>
          <cell r="D377" t="str">
            <v>OITI FIM CP IE</v>
          </cell>
          <cell r="E377" t="str">
            <v>ITAU UNIBANCO S/A</v>
          </cell>
        </row>
        <row r="378">
          <cell r="B378">
            <v>79798</v>
          </cell>
          <cell r="C378" t="str">
            <v>OITI FIM CP IE</v>
          </cell>
          <cell r="D378" t="str">
            <v>OITI FIM CP IE</v>
          </cell>
          <cell r="E378" t="str">
            <v>ITAU UNIBANCO S/A</v>
          </cell>
        </row>
        <row r="379">
          <cell r="B379">
            <v>79799</v>
          </cell>
          <cell r="C379" t="str">
            <v>OITI FIM CP IE</v>
          </cell>
          <cell r="D379" t="str">
            <v>OITI FIM CP IE</v>
          </cell>
          <cell r="E379" t="str">
            <v>ITAU UNIBANCO S/A</v>
          </cell>
        </row>
        <row r="380">
          <cell r="B380">
            <v>79800</v>
          </cell>
          <cell r="C380" t="str">
            <v>OITI FIM CP IE</v>
          </cell>
          <cell r="D380" t="str">
            <v>OITI FIM CP IE</v>
          </cell>
          <cell r="E380" t="str">
            <v>ITAU UNIBANCO S/A</v>
          </cell>
        </row>
        <row r="381">
          <cell r="B381">
            <v>79801</v>
          </cell>
          <cell r="C381" t="str">
            <v>OITI FIM CP IE</v>
          </cell>
          <cell r="D381" t="str">
            <v>OITI FIM CP IE</v>
          </cell>
          <cell r="E381" t="str">
            <v>ITAU UNIBANCO S/A</v>
          </cell>
        </row>
        <row r="382">
          <cell r="B382">
            <v>79802</v>
          </cell>
          <cell r="C382" t="str">
            <v>OITI FIM CP IE</v>
          </cell>
          <cell r="D382" t="str">
            <v>OITI FIM CP IE</v>
          </cell>
          <cell r="E382" t="str">
            <v>ITAU UNIBANCO S/A</v>
          </cell>
        </row>
        <row r="383">
          <cell r="B383">
            <v>79803</v>
          </cell>
          <cell r="C383" t="str">
            <v>OITI FIM CP IE</v>
          </cell>
          <cell r="D383" t="str">
            <v>OITI FIM CP IE</v>
          </cell>
          <cell r="E383" t="str">
            <v>ITAU UNIBANCO S/A</v>
          </cell>
        </row>
        <row r="384">
          <cell r="B384">
            <v>79804</v>
          </cell>
          <cell r="C384" t="str">
            <v>OITI FIM CP IE</v>
          </cell>
          <cell r="D384" t="str">
            <v>OITI FIM CP IE</v>
          </cell>
          <cell r="E384" t="str">
            <v>ITAU UNIBANCO S/A</v>
          </cell>
        </row>
        <row r="385">
          <cell r="B385">
            <v>79805</v>
          </cell>
          <cell r="C385" t="str">
            <v>OITI FIM CP IE</v>
          </cell>
          <cell r="D385" t="str">
            <v>OITI FIM CP IE</v>
          </cell>
          <cell r="E385" t="str">
            <v>ITAU UNIBANCO S/A</v>
          </cell>
        </row>
        <row r="386">
          <cell r="B386">
            <v>79806</v>
          </cell>
          <cell r="C386" t="str">
            <v>OITI FIM CP IE</v>
          </cell>
          <cell r="D386" t="str">
            <v>OITI FIM CP IE</v>
          </cell>
          <cell r="E386" t="str">
            <v>ITAU UNIBANCO S/A</v>
          </cell>
        </row>
        <row r="387">
          <cell r="B387">
            <v>79842</v>
          </cell>
          <cell r="C387" t="str">
            <v>FAMILY FIF CI MULT CP RL</v>
          </cell>
          <cell r="D387" t="str">
            <v>FAMILY FIF CI MULT CP RL</v>
          </cell>
          <cell r="E387" t="str">
            <v>VINCI GESTORA DE RECURSOS LTDA</v>
          </cell>
        </row>
        <row r="388">
          <cell r="B388">
            <v>79844</v>
          </cell>
          <cell r="C388" t="str">
            <v>FIM CP DP IE</v>
          </cell>
          <cell r="D388" t="str">
            <v>FIM CP DP IE</v>
          </cell>
          <cell r="E388" t="str">
            <v>VINCI GESTORA DE RECURSOS LTDA</v>
          </cell>
        </row>
        <row r="389">
          <cell r="B389" t="str">
            <v>M33264668000103</v>
          </cell>
          <cell r="D389" t="str">
            <v>BANCO XP S.A</v>
          </cell>
          <cell r="E389" t="str">
            <v>BANCO XP S/A</v>
          </cell>
        </row>
        <row r="390">
          <cell r="B390">
            <v>79913</v>
          </cell>
          <cell r="C390" t="str">
            <v>FIM CP ZAMARADI IE</v>
          </cell>
          <cell r="D390" t="str">
            <v>FIM CP ZAMARADI IE</v>
          </cell>
          <cell r="E390" t="str">
            <v>VINCI GESTORA DE RECURSOS LTDA</v>
          </cell>
        </row>
        <row r="391">
          <cell r="B391">
            <v>79931</v>
          </cell>
          <cell r="C391" t="str">
            <v>SPX GESTAO DE RECURSOS LTDA</v>
          </cell>
          <cell r="D391" t="str">
            <v>SPX GESTAO DE RECURSOS LTDA</v>
          </cell>
          <cell r="E391" t="str">
            <v>SPX GESTAO DE RECURSOS LTDA</v>
          </cell>
        </row>
        <row r="392">
          <cell r="B392">
            <v>79933</v>
          </cell>
          <cell r="C392" t="str">
            <v>KONDOR ADMINISTRADORA E GESTORA DE RECURSOS FINANCEIROS LTDA</v>
          </cell>
          <cell r="D392" t="str">
            <v>KONDOR ADMINISTRADORA E GESTORA DE RECURSOS FINANCEIROS LTDA</v>
          </cell>
          <cell r="E392" t="str">
            <v>KONDOR ADMINISTRADORA E GESTORA DE RECURSOS FINANCEIROS LTDA</v>
          </cell>
        </row>
        <row r="393">
          <cell r="B393">
            <v>125371</v>
          </cell>
          <cell r="C393" t="str">
            <v>SUL AMERICA FAMILIA PREVIDENCIA FIA</v>
          </cell>
          <cell r="D393" t="str">
            <v>SUL AMERICA FAMILIA PREVIDENCIA FIA</v>
          </cell>
          <cell r="E393" t="str">
            <v>SUL AMERICA INVESTIMENTOS GESTORA DE RECURSOS S/A</v>
          </cell>
        </row>
        <row r="394">
          <cell r="B394">
            <v>79973</v>
          </cell>
          <cell r="C394" t="str">
            <v>ADAMCAPITAL GESTAO DE RECURSOS LTDA</v>
          </cell>
          <cell r="D394" t="str">
            <v>ADAMCAPITAL GESTAO DE RECURSOS LTDA</v>
          </cell>
          <cell r="E394" t="str">
            <v>ADAMCAPITAL GESTAO DE RECURSOS LTDA</v>
          </cell>
        </row>
        <row r="395">
          <cell r="B395">
            <v>79978</v>
          </cell>
          <cell r="C395" t="str">
            <v>CREDIT SUISSE (BRASIL) S/A CTVM</v>
          </cell>
          <cell r="D395" t="str">
            <v>CREDIT SUISSE (BRASIL) S/A CTVM</v>
          </cell>
          <cell r="E395" t="str">
            <v>CREDIT SUISSE (BRASIL) S/A CTVM</v>
          </cell>
        </row>
        <row r="396">
          <cell r="B396">
            <v>80042</v>
          </cell>
          <cell r="C396" t="str">
            <v>R&amp;C HEDGE FIM</v>
          </cell>
          <cell r="D396" t="str">
            <v>R&amp;C HEDGE FIM</v>
          </cell>
          <cell r="E396" t="str">
            <v>MATERA RC GESTÃƒO DE RECURSOS LTDA</v>
          </cell>
        </row>
        <row r="397">
          <cell r="B397">
            <v>80053</v>
          </cell>
          <cell r="C397" t="str">
            <v>SOLANA GESTORA DE RECURSOS LTDA</v>
          </cell>
          <cell r="D397" t="str">
            <v>SOLANA GESTORA DE RECURSOS LTDA</v>
          </cell>
          <cell r="E397" t="str">
            <v>SOLANA GESTORA DE RECURSOS LTDA</v>
          </cell>
        </row>
        <row r="398">
          <cell r="B398">
            <v>80056</v>
          </cell>
          <cell r="C398" t="str">
            <v>SOLANA LONG AND SHORT FIM</v>
          </cell>
          <cell r="D398" t="str">
            <v>SOLANA LONG AND SHORT FIM</v>
          </cell>
          <cell r="E398" t="str">
            <v>SOLANA GESTORA DE RECURSOS LTDA</v>
          </cell>
        </row>
        <row r="399">
          <cell r="B399">
            <v>122776</v>
          </cell>
          <cell r="C399" t="str">
            <v>ASHMORE BRASIL AÃ‡OES MASTER FIA</v>
          </cell>
          <cell r="D399" t="str">
            <v>ASHMORE BRASIL AÃ‡OES MASTER FIA</v>
          </cell>
          <cell r="E399" t="str">
            <v>ASHMORE BRASIL GESTORA DE RECURSOS LTDA</v>
          </cell>
        </row>
        <row r="400">
          <cell r="B400">
            <v>80066</v>
          </cell>
          <cell r="C400" t="str">
            <v>BAHIA AM RENDA VARIAVEL LTDA  (ANTIGO BBM I)</v>
          </cell>
          <cell r="D400" t="str">
            <v>BAHIA AM RENDA VARIAVEL LTDA  (ANTIGO BBM I)</v>
          </cell>
          <cell r="E400" t="str">
            <v>BAHIA AM LTDA</v>
          </cell>
        </row>
        <row r="401">
          <cell r="B401">
            <v>80067</v>
          </cell>
          <cell r="C401" t="str">
            <v>BAHIA AM RENDA FIXA LTDA ( ANTIGO BBM II)</v>
          </cell>
          <cell r="D401" t="str">
            <v>BAHIA AM RENDA FIXA LTDA ( ANTIGO BBM II)</v>
          </cell>
          <cell r="E401" t="str">
            <v>BAHIA AM LTDA</v>
          </cell>
        </row>
        <row r="402">
          <cell r="B402">
            <v>80071</v>
          </cell>
          <cell r="C402" t="str">
            <v>SEARA ALIMENTOS LTDA</v>
          </cell>
          <cell r="D402" t="str">
            <v>SEARA ALIMENTOS LTDA</v>
          </cell>
          <cell r="E402" t="str">
            <v>SEARA ALIMENTOS LTDA</v>
          </cell>
        </row>
        <row r="403">
          <cell r="B403">
            <v>80107</v>
          </cell>
          <cell r="C403" t="str">
            <v>FUNDACAO CESP</v>
          </cell>
          <cell r="D403" t="str">
            <v>FUNDACAO CESP</v>
          </cell>
          <cell r="E403" t="str">
            <v>FUNDACAO CESP</v>
          </cell>
        </row>
        <row r="404">
          <cell r="B404">
            <v>80111</v>
          </cell>
          <cell r="C404" t="str">
            <v>IBIUNA MACRO GESTÃƒO DE RECURSOS LTDA</v>
          </cell>
          <cell r="D404" t="str">
            <v>IBIUNA MACRO GESTÃƒO DE RECURSOS LTDA</v>
          </cell>
          <cell r="E404" t="str">
            <v>IBIUNA GESTAO DE RECURSOS LTDA</v>
          </cell>
        </row>
        <row r="405">
          <cell r="B405">
            <v>80132</v>
          </cell>
          <cell r="C405" t="str">
            <v>GLOBO COMUNICACAO E PARTICIPACOES S.A</v>
          </cell>
          <cell r="D405" t="str">
            <v>GLOBO COMUNICACAO E PARTICIPACOES S.A</v>
          </cell>
          <cell r="E405" t="str">
            <v>GLOBO COMUNICACAO E PARTICIPACOES S.A</v>
          </cell>
        </row>
        <row r="406">
          <cell r="B406">
            <v>80143</v>
          </cell>
          <cell r="C406" t="str">
            <v>MANTIQUEIRA MASTER FIF MULT CP RL</v>
          </cell>
          <cell r="D406" t="str">
            <v>MANTIQUEIRA MASTER FIF MULT CP RL</v>
          </cell>
          <cell r="E406" t="str">
            <v>BW GESTAO DE INVESTIMENTOS LTDA</v>
          </cell>
        </row>
        <row r="407">
          <cell r="B407">
            <v>80215</v>
          </cell>
          <cell r="C407" t="str">
            <v>OPPORTUNITY ASSET ADMINISTRADORA DE RECURSOS TERCEIROS LTDA</v>
          </cell>
          <cell r="D407" t="str">
            <v>OPPORTUNITY ASSET ADMINISTRADORA DE RECURSOS TERCEIROS LTDA</v>
          </cell>
          <cell r="E407" t="str">
            <v>OPPORTUNITY GESTAO DE INVESTIMENTOS E RECURSOS LTDA</v>
          </cell>
        </row>
        <row r="408">
          <cell r="B408">
            <v>80217</v>
          </cell>
          <cell r="C408" t="str">
            <v>RIO BRAVO INVESTIMENTOS LTDA</v>
          </cell>
          <cell r="D408" t="str">
            <v>RIO BRAVO INVESTIMENTOS LTDA</v>
          </cell>
          <cell r="E408" t="str">
            <v>RIO BRAVO INVESTIMENTOS LTDA</v>
          </cell>
        </row>
        <row r="409">
          <cell r="B409">
            <v>80218</v>
          </cell>
          <cell r="C409" t="str">
            <v>OPPORTUNITY GESTAO DE INVESTIMENTOS E RECURSOS LTDA</v>
          </cell>
          <cell r="D409" t="str">
            <v>OPPORTUNITY GESTAO DE INVESTIMENTOS E RECURSOS LTDA</v>
          </cell>
          <cell r="E409" t="str">
            <v>OPPORTUNITY GESTAO DE INVESTIMENTOS E RECURSOS LTDA</v>
          </cell>
        </row>
        <row r="410">
          <cell r="B410">
            <v>80233</v>
          </cell>
          <cell r="C410" t="str">
            <v>BANCO ABC BRASIL S/A</v>
          </cell>
          <cell r="D410" t="str">
            <v>BANCO ABC BRASIL S/A</v>
          </cell>
          <cell r="E410" t="str">
            <v>BANCO ABC BRASIL S/A</v>
          </cell>
        </row>
        <row r="411">
          <cell r="B411">
            <v>80240</v>
          </cell>
          <cell r="C411" t="str">
            <v>KINEA INVESTIMENTOS LTDA</v>
          </cell>
          <cell r="D411" t="str">
            <v>KINEA INVESTIMENTOS LTDA</v>
          </cell>
          <cell r="E411" t="str">
            <v>KINEA INVESTIMENTOS LTDA</v>
          </cell>
        </row>
        <row r="412">
          <cell r="B412">
            <v>80244</v>
          </cell>
          <cell r="C412" t="str">
            <v>BANCO DE INVESTIMENTOS UBS (BRASIL) S.A.</v>
          </cell>
          <cell r="D412" t="str">
            <v>BANCO DE INVESTIMENTOS UBS (BRASIL) S.A.</v>
          </cell>
          <cell r="E412" t="str">
            <v>BANCO DE INVESTIMENTO CREDIT SUISSE (BRASIL) S/A</v>
          </cell>
        </row>
        <row r="413">
          <cell r="B413">
            <v>80245</v>
          </cell>
          <cell r="C413" t="str">
            <v>CREDIT SUISSE (BRASIL) S/A CTVM</v>
          </cell>
          <cell r="D413" t="str">
            <v>CREDIT SUISSE (BRASIL) S/A CTVM</v>
          </cell>
          <cell r="E413" t="str">
            <v>CREDIT SUISSE (BRASIL) S/A CTVM</v>
          </cell>
        </row>
        <row r="414">
          <cell r="B414">
            <v>80268</v>
          </cell>
          <cell r="C414" t="str">
            <v>BANCO SANTANDER (BRASIL) S/A</v>
          </cell>
          <cell r="D414" t="str">
            <v>BANCO SANTANDER (BRASIL) S/A</v>
          </cell>
          <cell r="E414" t="str">
            <v>BANCO SANTANDER (BRASIL) S/A</v>
          </cell>
        </row>
        <row r="415">
          <cell r="B415">
            <v>80300</v>
          </cell>
          <cell r="C415" t="str">
            <v>BANCO SANTANDER (BRASIL) S/A</v>
          </cell>
          <cell r="D415" t="str">
            <v>BANCO SANTANDER (BRASIL) S/A</v>
          </cell>
          <cell r="E415" t="str">
            <v>BANCO SANTANDER (BRASIL) S/A</v>
          </cell>
        </row>
        <row r="416">
          <cell r="B416">
            <v>80313</v>
          </cell>
          <cell r="C416" t="str">
            <v>FOX VALUE LONG BIASED FIA</v>
          </cell>
          <cell r="D416" t="str">
            <v>FOX VALUE LONG BIASED FIA</v>
          </cell>
          <cell r="E416" t="str">
            <v>FOX INVESTIMENTOS LTDA</v>
          </cell>
        </row>
        <row r="417">
          <cell r="B417">
            <v>80314</v>
          </cell>
          <cell r="C417" t="str">
            <v>ZARABATANA FIM CP IE</v>
          </cell>
          <cell r="D417" t="str">
            <v>ZARABATANA FIM CP IE</v>
          </cell>
          <cell r="E417" t="str">
            <v>ZARABATANA FIM CP IE</v>
          </cell>
        </row>
        <row r="418">
          <cell r="B418">
            <v>80327</v>
          </cell>
          <cell r="C418" t="str">
            <v>ITAU UNIBANCO S.A.</v>
          </cell>
          <cell r="D418" t="str">
            <v>ITAU UNIBANCO S.A.</v>
          </cell>
          <cell r="E418" t="str">
            <v>ITAU UNIBANCO S/A</v>
          </cell>
        </row>
        <row r="419">
          <cell r="B419">
            <v>80329</v>
          </cell>
          <cell r="C419" t="str">
            <v>ITAU UNIBANCO S.A.</v>
          </cell>
          <cell r="D419" t="str">
            <v>ITAU UNIBANCO S.A.</v>
          </cell>
          <cell r="E419" t="str">
            <v>ITAU UNIBANCO S/A</v>
          </cell>
        </row>
        <row r="420">
          <cell r="B420">
            <v>80330</v>
          </cell>
          <cell r="C420" t="str">
            <v>ITAU UNIBANCO S.A.</v>
          </cell>
          <cell r="D420" t="str">
            <v>ITAU UNIBANCO S.A.</v>
          </cell>
          <cell r="E420" t="str">
            <v>ITAU UNIBANCO S/A</v>
          </cell>
        </row>
        <row r="421">
          <cell r="B421">
            <v>80337</v>
          </cell>
          <cell r="C421" t="str">
            <v>OITI FIM CP IE</v>
          </cell>
          <cell r="D421" t="str">
            <v>OITI FIM CP IE</v>
          </cell>
          <cell r="E421" t="str">
            <v>ITAU UNIBANCO S/A</v>
          </cell>
        </row>
        <row r="422">
          <cell r="B422">
            <v>80338</v>
          </cell>
          <cell r="C422" t="str">
            <v>OITI FIM CP IE</v>
          </cell>
          <cell r="D422" t="str">
            <v>OITI FIM CP IE</v>
          </cell>
          <cell r="E422" t="str">
            <v>ITAU UNIBANCO S/A</v>
          </cell>
        </row>
        <row r="423">
          <cell r="B423">
            <v>80339</v>
          </cell>
          <cell r="C423" t="str">
            <v>OITI FIM CP IE</v>
          </cell>
          <cell r="D423" t="str">
            <v>OITI FIM CP IE</v>
          </cell>
          <cell r="E423" t="str">
            <v>ITAU UNIBANCO S/A</v>
          </cell>
        </row>
        <row r="424">
          <cell r="B424">
            <v>80340</v>
          </cell>
          <cell r="C424" t="str">
            <v>OITI FIM CP IE</v>
          </cell>
          <cell r="D424" t="str">
            <v>OITI FIM CP IE</v>
          </cell>
          <cell r="E424" t="str">
            <v>ITAU UNIBANCO S/A</v>
          </cell>
        </row>
        <row r="425">
          <cell r="B425">
            <v>80341</v>
          </cell>
          <cell r="C425" t="str">
            <v>OITI FIM CP IE</v>
          </cell>
          <cell r="D425" t="str">
            <v>OITI FIM CP IE</v>
          </cell>
          <cell r="E425" t="str">
            <v>ITAU UNIBANCO S/A</v>
          </cell>
        </row>
        <row r="426">
          <cell r="B426">
            <v>80342</v>
          </cell>
          <cell r="C426" t="str">
            <v>JCETA FUNDO DE INVESTIMENTO FINANCEIRO MULTIMERCADO</v>
          </cell>
          <cell r="D426" t="str">
            <v>JCETA FUNDO DE INVESTIMENTO FINANCEIRO MULTIMERCADO</v>
          </cell>
          <cell r="E426" t="str">
            <v>ARMOR GESTORA DE RECURSOS LTDA</v>
          </cell>
        </row>
        <row r="427">
          <cell r="B427">
            <v>80347</v>
          </cell>
          <cell r="C427" t="str">
            <v>CREDIT SUISSE HEDGING-GRIFFO WEALTH MANAGEMENT S/A</v>
          </cell>
          <cell r="D427" t="str">
            <v>CREDIT SUISSE HEDGING-GRIFFO WEALTH MANAGEMENT S/A</v>
          </cell>
          <cell r="E427" t="str">
            <v>CREDIT SUISSE HEDGING-GRIFFO WEALTH MANAGEMENT S/A</v>
          </cell>
        </row>
        <row r="428">
          <cell r="B428">
            <v>80355</v>
          </cell>
          <cell r="C428" t="str">
            <v>JGP GESTAO DE CREDITO LTDA</v>
          </cell>
          <cell r="D428" t="str">
            <v>JGP GESTAO DE CREDITO LTDA</v>
          </cell>
          <cell r="E428" t="str">
            <v>JGP GESTAO PATRIMONIAL LTDA</v>
          </cell>
        </row>
        <row r="429">
          <cell r="B429">
            <v>80358</v>
          </cell>
          <cell r="C429" t="str">
            <v>BINARIO DISTRIBUIDORA DE EQUIPAMENTOS ELETRONICOS LTDA</v>
          </cell>
          <cell r="D429" t="str">
            <v>BINARIO DISTRIBUIDORA DE EQUIPAMENTOS ELETRONICOS LTDA</v>
          </cell>
          <cell r="E429" t="str">
            <v>BINARIO DISTRIBUIDORA DE EQUIPAMENTOS ELETRONICOS LTDA</v>
          </cell>
        </row>
        <row r="430">
          <cell r="B430">
            <v>80359</v>
          </cell>
          <cell r="C430" t="str">
            <v>VINLAND CAPITAL MANAGEMENT GESTORA DE RECURSOS LTDA</v>
          </cell>
          <cell r="D430" t="str">
            <v>VINLAND CAPITAL MANAGEMENT GESTORA DE RECURSOS LTDA</v>
          </cell>
          <cell r="E430" t="str">
            <v>VINLAND CAPITAL MANAGEMENT GESTORA DE RECURSOS LTDA</v>
          </cell>
        </row>
        <row r="431">
          <cell r="B431">
            <v>80360</v>
          </cell>
          <cell r="C431" t="str">
            <v>VISTA CAPITAL GESTORA DE RECURSOS LTDA.</v>
          </cell>
          <cell r="D431" t="str">
            <v>VISTA CAPITAL GESTORA DE RECURSOS LTDA.</v>
          </cell>
          <cell r="E431" t="str">
            <v>VISTA CAPITAL GESTORA DE RECURSOS LTDA</v>
          </cell>
        </row>
        <row r="432">
          <cell r="B432">
            <v>80372</v>
          </cell>
          <cell r="C432" t="str">
            <v>BANCO BRADESCO S/A</v>
          </cell>
          <cell r="D432" t="str">
            <v>BANCO BRADESCO S/A</v>
          </cell>
          <cell r="E432" t="str">
            <v>BANCO BRADESCO S/A</v>
          </cell>
        </row>
        <row r="433">
          <cell r="B433">
            <v>80377</v>
          </cell>
          <cell r="C433" t="str">
            <v>OITI FIM CP IE</v>
          </cell>
          <cell r="D433" t="str">
            <v>OITI FIM CP IE</v>
          </cell>
          <cell r="E433" t="str">
            <v>ITAU UNIBANCO S/A</v>
          </cell>
        </row>
        <row r="434">
          <cell r="B434">
            <v>80378</v>
          </cell>
          <cell r="C434" t="str">
            <v>OITI FIM CP IE</v>
          </cell>
          <cell r="D434" t="str">
            <v>OITI FIM CP IE</v>
          </cell>
          <cell r="E434" t="str">
            <v>ITAU UNIBANCO S/A</v>
          </cell>
        </row>
        <row r="435">
          <cell r="B435">
            <v>80379</v>
          </cell>
          <cell r="C435" t="str">
            <v>JGP GESTAO DE RECURSOS LTDA</v>
          </cell>
          <cell r="D435" t="str">
            <v>JGP GESTAO DE RECURSOS LTDA</v>
          </cell>
          <cell r="E435" t="str">
            <v>JGP GESTAO PATRIMONIAL LTDA</v>
          </cell>
        </row>
        <row r="436">
          <cell r="B436">
            <v>80383</v>
          </cell>
          <cell r="C436" t="str">
            <v>NOVUS CAPITAL GESTORA DE RECURSOS LTDA</v>
          </cell>
          <cell r="D436" t="str">
            <v>NOVUS CAPITAL GESTORA DE RECURSOS LTDA</v>
          </cell>
          <cell r="E436" t="str">
            <v>NOVUS CAPITAL GESTORA DE RECURSOS LTDA</v>
          </cell>
        </row>
        <row r="437">
          <cell r="B437">
            <v>80386</v>
          </cell>
          <cell r="C437" t="str">
            <v>LEGACY CAPITAL GESTORA DE RECURSOS LTDA</v>
          </cell>
          <cell r="D437" t="str">
            <v>LEGACY CAPITAL GESTORA DE RECURSOS LTDA</v>
          </cell>
          <cell r="E437" t="str">
            <v>LEGACY CAPITAL GESTORA DE RECURSOS LTDA</v>
          </cell>
        </row>
        <row r="438">
          <cell r="B438">
            <v>999921</v>
          </cell>
          <cell r="C438" t="str">
            <v>BGC LIQUIDEZ DTVM LTDA</v>
          </cell>
          <cell r="D438" t="str">
            <v>BGC LIQUIDEZ DTVM LTDA</v>
          </cell>
          <cell r="E438" t="str">
            <v>BGC LIQUIDEZ DTVM LTDA</v>
          </cell>
        </row>
        <row r="439">
          <cell r="B439">
            <v>9999300</v>
          </cell>
          <cell r="C439" t="str">
            <v>BGC LIQUIDEZ DTVM LTDA</v>
          </cell>
          <cell r="D439" t="str">
            <v>BGC LIQUIDEZ DTVM LTDA</v>
          </cell>
          <cell r="E439" t="str">
            <v>BGC LIQUIDEZ DTVM LTDA</v>
          </cell>
        </row>
        <row r="440">
          <cell r="B440">
            <v>999985</v>
          </cell>
          <cell r="C440" t="str">
            <v>BGC LIQUIDEZ DTVM LTDA</v>
          </cell>
          <cell r="D440" t="str">
            <v>BGC LIQUIDEZ DTVM LTDA</v>
          </cell>
          <cell r="E440" t="str">
            <v>BGC LIQUIDEZ DTVM LTDA</v>
          </cell>
        </row>
        <row r="441">
          <cell r="B441">
            <v>79329</v>
          </cell>
          <cell r="C441" t="str">
            <v>BANCO MUFG BRASIL S.A.</v>
          </cell>
          <cell r="D441">
            <v>45</v>
          </cell>
          <cell r="E441" t="str">
            <v>BANCO MUFG BRASIL S/A</v>
          </cell>
        </row>
        <row r="442">
          <cell r="B442">
            <v>79354</v>
          </cell>
          <cell r="C442" t="str">
            <v>FUNDO DE INVESTIMENTO FINANCEIRO MULTIMERCADO LS</v>
          </cell>
          <cell r="D442">
            <v>390</v>
          </cell>
          <cell r="E442" t="str">
            <v>BANCO BTG PACTUAL S/A</v>
          </cell>
        </row>
        <row r="443">
          <cell r="B443">
            <v>79372</v>
          </cell>
          <cell r="C443" t="str">
            <v>ICATU VANGUARDA GESTÃƒO DE RECURSOS LTDA</v>
          </cell>
          <cell r="D443">
            <v>90013</v>
          </cell>
          <cell r="E443" t="str">
            <v>ICATU VANGUARDA GESTAO DE RECURSOS LTDA</v>
          </cell>
        </row>
        <row r="444">
          <cell r="B444">
            <v>79375</v>
          </cell>
          <cell r="C444" t="str">
            <v>GAVEA INVESTIMENTOS LTDA</v>
          </cell>
          <cell r="D444">
            <v>365</v>
          </cell>
          <cell r="E444" t="str">
            <v>GAVEA INVESTIMENTOS LTDA</v>
          </cell>
        </row>
        <row r="445">
          <cell r="B445">
            <v>79386</v>
          </cell>
          <cell r="C445" t="str">
            <v>CAIEIRAS FIM IE CP</v>
          </cell>
          <cell r="D445">
            <v>384</v>
          </cell>
          <cell r="E445" t="str">
            <v>MORGAN STANLEY ADMINISTRADORA DE CARTEIRAS S/A</v>
          </cell>
        </row>
        <row r="446">
          <cell r="B446">
            <v>79397</v>
          </cell>
          <cell r="C446" t="str">
            <v>FIM ICEBERG IE CP</v>
          </cell>
          <cell r="D446">
            <v>568</v>
          </cell>
          <cell r="E446" t="str">
            <v>BANK OF AMERICA MERRILL LYNCH BANCO MULTIPLO S/A</v>
          </cell>
        </row>
        <row r="447">
          <cell r="B447">
            <v>79400</v>
          </cell>
          <cell r="C447" t="str">
            <v>MERRILL LYNCH INTERNATIONAL</v>
          </cell>
          <cell r="D447">
            <v>565</v>
          </cell>
          <cell r="E447" t="str">
            <v>BANK OF AMERICA MERRILL LYNCH BANCO MULTIPLO S/A</v>
          </cell>
        </row>
        <row r="448">
          <cell r="B448">
            <v>79407</v>
          </cell>
          <cell r="C448" t="str">
            <v>BANCO MORGAN STANLEY S/A</v>
          </cell>
          <cell r="D448" t="str">
            <v>BANCO MORGAN STANLEY S/A</v>
          </cell>
          <cell r="E448" t="str">
            <v>BANCO MORGAN STANLEY S/A</v>
          </cell>
        </row>
        <row r="449">
          <cell r="B449">
            <v>79449</v>
          </cell>
          <cell r="C449" t="str">
            <v>BANCO CREDIT AGRICOLE BRASIL S/A</v>
          </cell>
          <cell r="D449">
            <v>159</v>
          </cell>
          <cell r="E449" t="str">
            <v>BANCO CREDIT AGRICOLE BRASIL S/A</v>
          </cell>
        </row>
        <row r="450">
          <cell r="B450">
            <v>79451</v>
          </cell>
          <cell r="C450" t="str">
            <v>SOCIETE GENERALE (PARIS)</v>
          </cell>
          <cell r="D450" t="str">
            <v>SOCIETE GENERALE (PARIS)</v>
          </cell>
          <cell r="E450" t="str">
            <v>BANCO SOCIETE GENERALE BRASIL S/A</v>
          </cell>
        </row>
        <row r="451">
          <cell r="B451">
            <v>79452</v>
          </cell>
          <cell r="C451" t="str">
            <v>JGP GESTAO DE RECURSOS LTDA</v>
          </cell>
          <cell r="D451">
            <v>43</v>
          </cell>
          <cell r="E451" t="str">
            <v>JGP GESTAO PATRIMONIAL LTDA</v>
          </cell>
        </row>
        <row r="452">
          <cell r="B452">
            <v>79453</v>
          </cell>
          <cell r="C452" t="str">
            <v>ITAU UNIBANCO S.A.</v>
          </cell>
          <cell r="D452">
            <v>97604</v>
          </cell>
          <cell r="E452" t="str">
            <v>ITAU UNIBANCO S/A</v>
          </cell>
        </row>
        <row r="453">
          <cell r="B453">
            <v>79455</v>
          </cell>
          <cell r="C453" t="str">
            <v>ITAU UNIBANCO S.A.</v>
          </cell>
          <cell r="D453" t="str">
            <v>51.1</v>
          </cell>
          <cell r="E453" t="str">
            <v>ITAU UNIBANCO S/A</v>
          </cell>
        </row>
        <row r="454">
          <cell r="B454">
            <v>79456</v>
          </cell>
          <cell r="C454" t="str">
            <v>ITAU UNIBANCO S.A.</v>
          </cell>
          <cell r="D454">
            <v>342</v>
          </cell>
          <cell r="E454" t="str">
            <v>ITAU UNIBANCO S/A</v>
          </cell>
        </row>
        <row r="455">
          <cell r="B455">
            <v>79459</v>
          </cell>
          <cell r="C455" t="str">
            <v>ITAU UNIBANCO S.A.</v>
          </cell>
          <cell r="D455" t="str">
            <v>51.7</v>
          </cell>
          <cell r="E455" t="str">
            <v>ITAU UNIBANCO S/A</v>
          </cell>
        </row>
        <row r="456">
          <cell r="B456">
            <v>79460</v>
          </cell>
          <cell r="C456" t="str">
            <v>ITAU UNIBANCO S.A.</v>
          </cell>
          <cell r="D456" t="str">
            <v>51.5</v>
          </cell>
          <cell r="E456" t="str">
            <v>ITAU UNIBANCO S/A</v>
          </cell>
        </row>
        <row r="457">
          <cell r="B457">
            <v>79461</v>
          </cell>
          <cell r="C457" t="str">
            <v>ITAU UNIBANCO S.A.</v>
          </cell>
          <cell r="D457">
            <v>50</v>
          </cell>
          <cell r="E457" t="str">
            <v>ITAU UNIBANCO S/A</v>
          </cell>
        </row>
        <row r="458">
          <cell r="B458">
            <v>79463</v>
          </cell>
          <cell r="C458" t="str">
            <v>ITAU UNIBANCO S.A.</v>
          </cell>
          <cell r="D458" t="str">
            <v>51.4</v>
          </cell>
          <cell r="E458" t="str">
            <v>ITAU UNIBANCO S/A</v>
          </cell>
        </row>
        <row r="459">
          <cell r="B459">
            <v>79464</v>
          </cell>
          <cell r="C459" t="str">
            <v>ITAU UNIBANCO S.A.</v>
          </cell>
          <cell r="D459" t="str">
            <v>51.3</v>
          </cell>
          <cell r="E459" t="str">
            <v>ITAU UNIBANCO S/A</v>
          </cell>
        </row>
        <row r="460">
          <cell r="B460">
            <v>79467</v>
          </cell>
          <cell r="C460" t="str">
            <v>ITAU UNIBANCO S.A.</v>
          </cell>
          <cell r="D460" t="str">
            <v>ITAU UNIBANCO S.A.</v>
          </cell>
          <cell r="E460" t="str">
            <v>ITAU UNIBANCO S/A</v>
          </cell>
        </row>
        <row r="461">
          <cell r="B461">
            <v>79468</v>
          </cell>
          <cell r="C461" t="str">
            <v>ITAU UNIBANCO S.A.</v>
          </cell>
          <cell r="D461" t="str">
            <v>ITAU UNIBANCO S.A.</v>
          </cell>
          <cell r="E461" t="str">
            <v>ITAU UNIBANCO S/A</v>
          </cell>
        </row>
        <row r="462">
          <cell r="B462">
            <v>79475</v>
          </cell>
          <cell r="C462" t="str">
            <v>CAIXA ECONOMICA FEDERAL</v>
          </cell>
          <cell r="D462">
            <v>105</v>
          </cell>
          <cell r="E462" t="str">
            <v>CAIXA ECONOMICA FEDERAL</v>
          </cell>
        </row>
        <row r="463">
          <cell r="B463">
            <v>79476</v>
          </cell>
          <cell r="C463" t="str">
            <v>CAIXA ECONOMICA FEDERAL</v>
          </cell>
          <cell r="D463" t="str">
            <v>CAIXA ECONOMICA FEDERAL</v>
          </cell>
          <cell r="E463" t="str">
            <v>CAIXA ECONOMICA FEDERAL</v>
          </cell>
        </row>
        <row r="464">
          <cell r="B464">
            <v>79504</v>
          </cell>
          <cell r="C464" t="str">
            <v>BANCO GENIAL S.A</v>
          </cell>
          <cell r="D464" t="str">
            <v>BANCO GENIAL S.A</v>
          </cell>
          <cell r="E464" t="str">
            <v>BANCO GENIAL S/A</v>
          </cell>
        </row>
        <row r="465">
          <cell r="B465">
            <v>79505</v>
          </cell>
          <cell r="C465" t="str">
            <v>BANK OF AMERICA N.A (BANA)</v>
          </cell>
          <cell r="D465">
            <v>567</v>
          </cell>
          <cell r="E465" t="str">
            <v>BANK OF AMERICA MERRILL LYNCH BANCO MULTIPLO S/A</v>
          </cell>
        </row>
        <row r="466">
          <cell r="B466">
            <v>79531</v>
          </cell>
          <cell r="C466" t="str">
            <v>BANCO CITIBANK S/A</v>
          </cell>
          <cell r="D466" t="str">
            <v>BANCO CITIBANK S/A</v>
          </cell>
          <cell r="E466" t="str">
            <v>BANCO CITIBANK S/A</v>
          </cell>
        </row>
        <row r="467">
          <cell r="B467">
            <v>900046</v>
          </cell>
          <cell r="C467" t="str">
            <v>BANCO UBS S/A</v>
          </cell>
          <cell r="D467" t="str">
            <v>BANCO UBS S/A</v>
          </cell>
          <cell r="E467" t="str">
            <v>BANCO UBS S/A</v>
          </cell>
        </row>
        <row r="468">
          <cell r="B468">
            <v>79552</v>
          </cell>
          <cell r="C468" t="str">
            <v>BR PARTNERS BANCO DE INVESTIMENTOS SA</v>
          </cell>
          <cell r="D468">
            <v>106</v>
          </cell>
          <cell r="E468" t="str">
            <v>BR PARTNERS BANCO DE INVESTIMENTOS S/A</v>
          </cell>
        </row>
        <row r="469">
          <cell r="B469">
            <v>79581</v>
          </cell>
          <cell r="C469" t="str">
            <v>OURIBANK S.A. BANCO MULTIPLO</v>
          </cell>
          <cell r="D469">
            <v>42</v>
          </cell>
          <cell r="E469" t="str">
            <v>OURIBANK S.A. BANCO MULTIPLO</v>
          </cell>
        </row>
        <row r="470">
          <cell r="B470">
            <v>79582</v>
          </cell>
          <cell r="C470" t="str">
            <v>OURIBANK S.A. BANCO MULTIPLO</v>
          </cell>
          <cell r="D470" t="str">
            <v>OURIBANK S.A. BANCO MULTIPLO</v>
          </cell>
          <cell r="E470" t="str">
            <v>OURIBANK S.A. BANCO MULTIPLO</v>
          </cell>
        </row>
        <row r="471">
          <cell r="B471">
            <v>79584</v>
          </cell>
          <cell r="C471" t="str">
            <v>RAIZEN ENERGIA S.A.</v>
          </cell>
          <cell r="D471">
            <v>307</v>
          </cell>
          <cell r="E471" t="str">
            <v>RAIZEN CENTRO SUL SA</v>
          </cell>
        </row>
        <row r="472">
          <cell r="B472">
            <v>79585</v>
          </cell>
          <cell r="C472" t="str">
            <v>RAIZEN S.A.</v>
          </cell>
          <cell r="D472">
            <v>308</v>
          </cell>
          <cell r="E472" t="str">
            <v>RAIZEN CENTRO SUL SA</v>
          </cell>
        </row>
        <row r="473">
          <cell r="B473">
            <v>27646</v>
          </cell>
          <cell r="C473" t="str">
            <v>GOLDMAN SACHS &amp; CO</v>
          </cell>
          <cell r="D473" t="str">
            <v>GOLDMAN SACHS &amp; CO</v>
          </cell>
          <cell r="E473" t="str">
            <v>GOLDMAN SACHS DO BRASIL BANCO MULTIPLO S/A</v>
          </cell>
        </row>
        <row r="474">
          <cell r="B474">
            <v>79596</v>
          </cell>
          <cell r="C474" t="str">
            <v>SANTANDER FI AMAZONAS MULT CP IE</v>
          </cell>
          <cell r="D474" t="str">
            <v>SANTANDER FI AMAZONAS MULT CP IE</v>
          </cell>
          <cell r="E474" t="str">
            <v>SANTANDER DISTRIBUIDORA DE TITULOS E VALORES MOBILIARIOS S/A</v>
          </cell>
        </row>
        <row r="475">
          <cell r="B475">
            <v>79602</v>
          </cell>
          <cell r="C475" t="str">
            <v>CITIGROUP GLOBAL MARKETS LIMITED</v>
          </cell>
          <cell r="D475">
            <v>90020</v>
          </cell>
          <cell r="E475" t="str">
            <v>BANCO CITIBANK S/A</v>
          </cell>
        </row>
        <row r="476">
          <cell r="B476">
            <v>79603</v>
          </cell>
          <cell r="C476" t="str">
            <v>CITIGROUP GLOBAL MARKETS LIMITED</v>
          </cell>
          <cell r="D476">
            <v>90021</v>
          </cell>
          <cell r="E476" t="str">
            <v>BANCO CITIBANK S/A</v>
          </cell>
        </row>
        <row r="477">
          <cell r="B477" t="str">
            <v>M0000</v>
          </cell>
          <cell r="C477" t="str">
            <v>BGC LIQUIDEZ DTVM LTDA</v>
          </cell>
          <cell r="D477" t="str">
            <v>BGC LIQUIDEZ DTVM LTDA</v>
          </cell>
          <cell r="E477" t="str">
            <v>BGC LIQUIDEZ DTVM LTDA</v>
          </cell>
        </row>
        <row r="478">
          <cell r="B478">
            <v>79609</v>
          </cell>
          <cell r="C478" t="str">
            <v>ITAU UNIBANCO S.A.</v>
          </cell>
          <cell r="D478">
            <v>99609</v>
          </cell>
          <cell r="E478" t="str">
            <v>ITAU UNIBANCO S/A</v>
          </cell>
        </row>
        <row r="479">
          <cell r="B479">
            <v>79610</v>
          </cell>
          <cell r="C479" t="str">
            <v>ITAU UNIBANCO S.A.</v>
          </cell>
          <cell r="D479" t="str">
            <v>ITAU UNIBANCO S.A.</v>
          </cell>
          <cell r="E479" t="str">
            <v>ITAU UNIBANCO S/A</v>
          </cell>
        </row>
        <row r="480">
          <cell r="B480">
            <v>79611</v>
          </cell>
          <cell r="C480" t="str">
            <v>ITAU UNIBANCO S.A.</v>
          </cell>
          <cell r="D480">
            <v>99611</v>
          </cell>
          <cell r="E480" t="str">
            <v>ITAU UNIBANCO S/A</v>
          </cell>
        </row>
        <row r="481">
          <cell r="B481">
            <v>79612</v>
          </cell>
          <cell r="C481" t="str">
            <v>BANCO SANTANDER (BRASIL) S/A</v>
          </cell>
          <cell r="D481" t="str">
            <v>BANCO SANTANDER (BRASIL) S/A</v>
          </cell>
          <cell r="E481" t="str">
            <v>BANCO SANTANDER (BRASIL) S/A</v>
          </cell>
        </row>
        <row r="482">
          <cell r="B482">
            <v>79613</v>
          </cell>
          <cell r="C482" t="str">
            <v>BANCO SANTANDER (BRASIL) S/A</v>
          </cell>
          <cell r="D482" t="str">
            <v>BANCO SANTANDER (BRASIL) S/A</v>
          </cell>
          <cell r="E482" t="str">
            <v>BANCO SANTANDER (BRASIL) S/A</v>
          </cell>
        </row>
        <row r="483">
          <cell r="B483">
            <v>79614</v>
          </cell>
          <cell r="C483" t="str">
            <v>BANCO SANTANDER (BRASIL) S/A</v>
          </cell>
          <cell r="D483" t="str">
            <v>BANCO SANTANDER (BRASIL) S/A</v>
          </cell>
          <cell r="E483" t="str">
            <v>BANCO SANTANDER (BRASIL) S/A</v>
          </cell>
        </row>
        <row r="484">
          <cell r="B484">
            <v>79615</v>
          </cell>
          <cell r="C484" t="str">
            <v>BANCO SANTANDER (BRASIL) S/A</v>
          </cell>
          <cell r="D484" t="str">
            <v>BANCO SANTANDER (BRASIL) S/A</v>
          </cell>
          <cell r="E484" t="str">
            <v>BANCO SANTANDER (BRASIL) S/A</v>
          </cell>
        </row>
        <row r="485">
          <cell r="B485">
            <v>79616</v>
          </cell>
          <cell r="C485" t="str">
            <v>BANCO SANTANDER (BRASIL) S/A</v>
          </cell>
          <cell r="D485" t="str">
            <v>BANCO SANTANDER (BRASIL) S/A</v>
          </cell>
          <cell r="E485" t="str">
            <v>BANCO SANTANDER (BRASIL) S/A</v>
          </cell>
        </row>
        <row r="486">
          <cell r="B486">
            <v>79617</v>
          </cell>
          <cell r="C486" t="str">
            <v>BANCO SANTANDER (BRASIL) S/A</v>
          </cell>
          <cell r="D486" t="str">
            <v>BANCO SANTANDER (BRASIL) S/A</v>
          </cell>
          <cell r="E486" t="str">
            <v>BANCO SANTANDER (BRASIL) S/A</v>
          </cell>
        </row>
        <row r="487">
          <cell r="B487">
            <v>79618</v>
          </cell>
          <cell r="C487" t="str">
            <v>BANCO SANTANDER (BRASIL) S/A</v>
          </cell>
          <cell r="D487" t="str">
            <v>BANCO SANTANDER (BRASIL) S/A</v>
          </cell>
          <cell r="E487" t="str">
            <v>BANCO SANTANDER (BRASIL) S/A</v>
          </cell>
        </row>
        <row r="488">
          <cell r="B488">
            <v>79619</v>
          </cell>
          <cell r="C488" t="str">
            <v>BANCO SANTANDER (BRASIL) S/A</v>
          </cell>
          <cell r="D488" t="str">
            <v>BANCO SANTANDER (BRASIL) S/A</v>
          </cell>
          <cell r="E488" t="str">
            <v>BANCO SANTANDER (BRASIL) S/A</v>
          </cell>
        </row>
        <row r="489">
          <cell r="B489">
            <v>79620</v>
          </cell>
          <cell r="C489" t="str">
            <v>BANCO SANTANDER (BRASIL) S/A</v>
          </cell>
          <cell r="D489" t="str">
            <v>BANCO SANTANDER (BRASIL) S/A</v>
          </cell>
          <cell r="E489" t="str">
            <v>BANCO SANTANDER (BRASIL) S/A</v>
          </cell>
        </row>
        <row r="490">
          <cell r="B490">
            <v>79621</v>
          </cell>
          <cell r="C490" t="str">
            <v>BANCO SANTANDER (BRASIL) S/A</v>
          </cell>
          <cell r="D490" t="str">
            <v>BANCO SANTANDER (BRASIL) S/A</v>
          </cell>
          <cell r="E490" t="str">
            <v>BANCO SANTANDER (BRASIL) S/A</v>
          </cell>
        </row>
        <row r="491">
          <cell r="B491">
            <v>79622</v>
          </cell>
          <cell r="C491" t="str">
            <v>BANCO SANTANDER (BRASIL) S/A</v>
          </cell>
          <cell r="D491" t="str">
            <v>BANCO SANTANDER (BRASIL) S/A</v>
          </cell>
          <cell r="E491" t="str">
            <v>BANCO SANTANDER (BRASIL) S/A</v>
          </cell>
        </row>
        <row r="492">
          <cell r="B492">
            <v>79623</v>
          </cell>
          <cell r="C492" t="str">
            <v>BANCO SANTANDER (BRASIL) S/A</v>
          </cell>
          <cell r="D492" t="str">
            <v>BANCO SANTANDER (BRASIL) S/A</v>
          </cell>
          <cell r="E492" t="str">
            <v>BANCO SANTANDER (BRASIL) S/A</v>
          </cell>
        </row>
        <row r="493">
          <cell r="B493">
            <v>79624</v>
          </cell>
          <cell r="C493" t="str">
            <v>BANCO SANTANDER (BRASIL) S/A</v>
          </cell>
          <cell r="D493" t="str">
            <v>BANCO SANTANDER (BRASIL) S/A</v>
          </cell>
          <cell r="E493" t="str">
            <v>BANCO SANTANDER (BRASIL) S/A</v>
          </cell>
        </row>
        <row r="494">
          <cell r="B494">
            <v>79645</v>
          </cell>
          <cell r="C494" t="str">
            <v>SANTANDER FI GUARUJA MULTIMERCADO CP IE</v>
          </cell>
          <cell r="D494">
            <v>99645</v>
          </cell>
          <cell r="E494" t="str">
            <v>BANCO SANTANDER (BRASIL) S/A</v>
          </cell>
        </row>
        <row r="495">
          <cell r="B495">
            <v>79646</v>
          </cell>
          <cell r="C495" t="str">
            <v>SANTANDER FI GUARUJA MULTIMERCADO CP IE</v>
          </cell>
          <cell r="D495" t="str">
            <v>SANTANDER FI GUARUJA MULTIMERCADO CP IE</v>
          </cell>
          <cell r="E495" t="str">
            <v>BANCO SANTANDER (BRASIL) S/A</v>
          </cell>
        </row>
        <row r="496">
          <cell r="B496">
            <v>79647</v>
          </cell>
          <cell r="C496" t="str">
            <v>SANTANDER FI GUARUJA MULTIMERCADO CP IE</v>
          </cell>
          <cell r="D496">
            <v>99647</v>
          </cell>
          <cell r="E496" t="str">
            <v>BANCO SANTANDER (BRASIL) S/A</v>
          </cell>
        </row>
        <row r="497">
          <cell r="B497">
            <v>79648</v>
          </cell>
          <cell r="C497" t="str">
            <v>SANTANDER FI GUARUJA MULTIMERCADO CP IE</v>
          </cell>
          <cell r="D497">
            <v>99648</v>
          </cell>
          <cell r="E497" t="str">
            <v>BANCO SANTANDER (BRASIL) S/A</v>
          </cell>
        </row>
        <row r="498">
          <cell r="B498">
            <v>79649</v>
          </cell>
          <cell r="C498" t="str">
            <v>SANTANDER FI GUARUJA MULTIMERCADO CP IE</v>
          </cell>
          <cell r="D498">
            <v>99649</v>
          </cell>
          <cell r="E498" t="str">
            <v>BANCO SANTANDER (BRASIL) S/A</v>
          </cell>
        </row>
        <row r="499">
          <cell r="B499">
            <v>79650</v>
          </cell>
          <cell r="C499" t="str">
            <v>SANTANDER FI AMAZONAS MULT CP IE</v>
          </cell>
          <cell r="D499">
            <v>99650</v>
          </cell>
          <cell r="E499" t="str">
            <v>BANCO SANTANDER (BRASIL) S/A</v>
          </cell>
        </row>
        <row r="500">
          <cell r="B500">
            <v>79651</v>
          </cell>
          <cell r="C500" t="str">
            <v>SANTANDER FI AMAZONAS MULT CP IE</v>
          </cell>
          <cell r="D500">
            <v>99651</v>
          </cell>
          <cell r="E500" t="str">
            <v>BANCO SANTANDER (BRASIL) S/A</v>
          </cell>
        </row>
        <row r="501">
          <cell r="B501">
            <v>79660</v>
          </cell>
          <cell r="C501" t="str">
            <v>BANCO MIZUHO DO BRASIL S/A (ANTIGO WESTLB)</v>
          </cell>
          <cell r="D501" t="str">
            <v>BANCO MIZUHO DO BRASIL S/A (ANTIGO WESTLB)</v>
          </cell>
          <cell r="E501" t="str">
            <v>BANCO MIZUHO DO BRASIL S/A</v>
          </cell>
        </row>
        <row r="502">
          <cell r="B502">
            <v>79691</v>
          </cell>
          <cell r="C502" t="str">
            <v>BANCO GENIAL S.A</v>
          </cell>
          <cell r="D502">
            <v>101</v>
          </cell>
          <cell r="E502" t="str">
            <v>BANCO GENIAL S/A</v>
          </cell>
        </row>
        <row r="503">
          <cell r="B503">
            <v>79692</v>
          </cell>
          <cell r="C503" t="str">
            <v>BANCO MODAL S/A</v>
          </cell>
          <cell r="D503" t="str">
            <v>29*</v>
          </cell>
          <cell r="E503" t="str">
            <v>BANCO MODAL S/A</v>
          </cell>
        </row>
        <row r="504">
          <cell r="B504" t="str">
            <v>M08947719000146</v>
          </cell>
          <cell r="C504" t="str">
            <v>BOGARI GESTÃƒO DE INVESTIMENTOS LTDA.</v>
          </cell>
          <cell r="D504" t="str">
            <v>BOGARI GESTAO DE INVESTIMENTOS LTDA</v>
          </cell>
          <cell r="E504" t="str">
            <v>BOGARI GESTAO DE INVESTIMENTOS LTDA</v>
          </cell>
        </row>
        <row r="505">
          <cell r="B505">
            <v>79695</v>
          </cell>
          <cell r="C505" t="str">
            <v>NOMURA GLOBAL FINANCIAL PRODUCTS INC.</v>
          </cell>
          <cell r="D505">
            <v>266</v>
          </cell>
          <cell r="E505" t="str">
            <v>NOMURA GLOBAL FINANCIAL PRODUCTS INC.</v>
          </cell>
        </row>
        <row r="506">
          <cell r="B506">
            <v>79701</v>
          </cell>
          <cell r="C506" t="str">
            <v>ITAU UNIBANCO S.A.</v>
          </cell>
          <cell r="D506" t="str">
            <v>ITAU UNIBANCO S.A.</v>
          </cell>
          <cell r="E506" t="str">
            <v>ITAU UNIBANCO S/A</v>
          </cell>
        </row>
        <row r="507">
          <cell r="B507">
            <v>79704</v>
          </cell>
          <cell r="C507" t="str">
            <v>DAYCOVAL ASSET MANAGEMENT ADMINISTRACAO DE RECURSOS LTDA</v>
          </cell>
          <cell r="D507" t="str">
            <v>DAYCOVAL ASSET MANAGEMENT ADMINISTRACAO DE RECURSOS LTDA</v>
          </cell>
          <cell r="E507" t="str">
            <v>DAYCOVAL ASSET MANAGEMENT ADMINISTRACAO DE RECURSOS LTDA</v>
          </cell>
        </row>
        <row r="508">
          <cell r="B508">
            <v>79705</v>
          </cell>
          <cell r="C508" t="str">
            <v>DAYCOVAL ASSET MANAGEMENT ADMINISTRACAO DE RECURSOS LTDA</v>
          </cell>
          <cell r="D508" t="str">
            <v>DAYCOVAL ASSET MANAGEMENT ADMINISTRACAO DE RECURSOS LTDA</v>
          </cell>
          <cell r="E508" t="str">
            <v>DAYCOVAL ASSET MANAGEMENT ADMINISTRACAO DE RECURSOS LTDA</v>
          </cell>
        </row>
        <row r="509">
          <cell r="B509">
            <v>79725</v>
          </cell>
          <cell r="C509" t="str">
            <v>BANCO MUFG BRASIL S.A.</v>
          </cell>
          <cell r="D509" t="str">
            <v>45.2</v>
          </cell>
          <cell r="E509" t="str">
            <v>BANCO MUFG BRASIL S/A</v>
          </cell>
        </row>
        <row r="510">
          <cell r="B510">
            <v>79726</v>
          </cell>
          <cell r="C510" t="str">
            <v>NOMURA GLOBAL FINANCIAL PRODUCTS INC.</v>
          </cell>
          <cell r="D510" t="str">
            <v>NOMURA GLOBAL FINANCIAL PRODUCTS INC.</v>
          </cell>
          <cell r="E510" t="str">
            <v>NOMURA GLOBAL FINANCIAL PRODUCTS INC.</v>
          </cell>
        </row>
        <row r="511">
          <cell r="B511">
            <v>79727</v>
          </cell>
          <cell r="C511" t="str">
            <v>NOMURA GLOBAL FINANCIAL PRODUCTS INC.</v>
          </cell>
          <cell r="D511" t="str">
            <v>NOMURA GLOBAL FINANCIAL PRODUCTS INC.</v>
          </cell>
          <cell r="E511" t="str">
            <v>NOMURA GLOBAL FINANCIAL PRODUCTS INC.</v>
          </cell>
        </row>
        <row r="512">
          <cell r="B512">
            <v>79744</v>
          </cell>
          <cell r="C512" t="str">
            <v>BANCO BOCOM BBM S.A</v>
          </cell>
          <cell r="D512" t="str">
            <v>21*</v>
          </cell>
          <cell r="E512" t="str">
            <v>BANCO BOCOM BBM S/A</v>
          </cell>
        </row>
        <row r="513">
          <cell r="B513">
            <v>79746</v>
          </cell>
          <cell r="C513" t="str">
            <v>BANCO PINE S/A</v>
          </cell>
          <cell r="D513">
            <v>290</v>
          </cell>
          <cell r="E513" t="str">
            <v>BANCO PINE S/A</v>
          </cell>
        </row>
        <row r="514">
          <cell r="B514">
            <v>79752</v>
          </cell>
          <cell r="C514" t="str">
            <v>CREDIT AGRICOLE CORPORATE AND INVESTMENT BANK</v>
          </cell>
          <cell r="D514" t="str">
            <v>CREDIT AGRICOLE CORPORATE AND INVESTMENT BANK</v>
          </cell>
          <cell r="E514" t="str">
            <v>BANCO CREDIT AGRICOLE BRASIL S/A</v>
          </cell>
        </row>
        <row r="515">
          <cell r="B515">
            <v>79760</v>
          </cell>
          <cell r="C515" t="str">
            <v>TAVOLA CAPITAL GESTAO DE RECURSOS LTDA</v>
          </cell>
          <cell r="D515" t="str">
            <v>TAVOLA CAPITAL GESTAO DE RECURSOS LTDA</v>
          </cell>
          <cell r="E515" t="str">
            <v>TAVOLA CAPITAL GESTAO DE RECURSOS LTDA</v>
          </cell>
        </row>
        <row r="516">
          <cell r="B516">
            <v>79773</v>
          </cell>
          <cell r="C516" t="str">
            <v>VERDE ASSET MANAGEMENT S/A</v>
          </cell>
          <cell r="D516">
            <v>273</v>
          </cell>
          <cell r="E516" t="str">
            <v>VERDE ASSET MANAGEMENT S/A</v>
          </cell>
        </row>
        <row r="517">
          <cell r="B517">
            <v>79774</v>
          </cell>
          <cell r="C517" t="str">
            <v>VERDE ASSET MANAGEMENT S/A</v>
          </cell>
          <cell r="D517">
            <v>274</v>
          </cell>
          <cell r="E517" t="str">
            <v>VERDE ASSET MANAGEMENT S/A</v>
          </cell>
        </row>
        <row r="518">
          <cell r="B518">
            <v>79776</v>
          </cell>
          <cell r="C518" t="str">
            <v>ITAU UNIBANCO S.A.</v>
          </cell>
          <cell r="D518" t="str">
            <v>ITAU UNIBANCO S.A.</v>
          </cell>
          <cell r="E518" t="str">
            <v>ITAU UNIBANCO S/A</v>
          </cell>
        </row>
        <row r="519">
          <cell r="B519">
            <v>123491</v>
          </cell>
          <cell r="C519" t="str">
            <v>GOLDMAN SACHS INTERNATIONAL - CITI</v>
          </cell>
          <cell r="D519" t="str">
            <v>GOLDMAN SACHS INTERNATIONAL - CITI</v>
          </cell>
          <cell r="E519" t="str">
            <v>GOLDMAN SACHS DO BRASIL BANCO MULTIPLO S/A</v>
          </cell>
        </row>
        <row r="520">
          <cell r="B520">
            <v>79792</v>
          </cell>
          <cell r="C520" t="str">
            <v>LESTE ADMINISTRAÃ‡ÃƒO DE RECURSOS LTDA</v>
          </cell>
          <cell r="D520" t="str">
            <v>LESTE ADMINISTRAÃ‡ÃƒO DE RECURSOS LTDA</v>
          </cell>
          <cell r="E520" t="str">
            <v>LESTE ADMINISTRAÃ‡ÃƒO DE RECURSOS LTDA</v>
          </cell>
        </row>
        <row r="521">
          <cell r="B521">
            <v>79793</v>
          </cell>
          <cell r="C521" t="str">
            <v>EMERALD GESTAO DE INVESTIMENTOS SOCIEDADE UNIPESSOAL LTDA</v>
          </cell>
          <cell r="D521">
            <v>793</v>
          </cell>
          <cell r="E521" t="str">
            <v>EMERALD GESTAO DE INVESTIMENTOS LTDA</v>
          </cell>
        </row>
        <row r="522">
          <cell r="B522">
            <v>79796</v>
          </cell>
          <cell r="C522" t="str">
            <v>OITI FIM CP IE</v>
          </cell>
          <cell r="D522">
            <v>796</v>
          </cell>
          <cell r="E522" t="str">
            <v>ITAU UNIBANCO S/A</v>
          </cell>
        </row>
        <row r="523">
          <cell r="B523">
            <v>79797</v>
          </cell>
          <cell r="C523" t="str">
            <v>OITI FIM CP IE</v>
          </cell>
          <cell r="D523">
            <v>797</v>
          </cell>
          <cell r="E523" t="str">
            <v>ITAU UNIBANCO S/A</v>
          </cell>
        </row>
        <row r="524">
          <cell r="B524">
            <v>79798</v>
          </cell>
          <cell r="C524" t="str">
            <v>OITI FIM CP IE</v>
          </cell>
          <cell r="D524">
            <v>798</v>
          </cell>
          <cell r="E524" t="str">
            <v>ITAU UNIBANCO S/A</v>
          </cell>
        </row>
        <row r="525">
          <cell r="B525">
            <v>79799</v>
          </cell>
          <cell r="C525" t="str">
            <v>OITI FIM CP IE</v>
          </cell>
          <cell r="D525">
            <v>799</v>
          </cell>
          <cell r="E525" t="str">
            <v>ITAU UNIBANCO S/A</v>
          </cell>
        </row>
        <row r="526">
          <cell r="B526">
            <v>79800</v>
          </cell>
          <cell r="C526" t="str">
            <v>OITI FIM CP IE</v>
          </cell>
          <cell r="D526">
            <v>800</v>
          </cell>
          <cell r="E526" t="str">
            <v>ITAU UNIBANCO S/A</v>
          </cell>
        </row>
        <row r="527">
          <cell r="B527">
            <v>79801</v>
          </cell>
          <cell r="C527" t="str">
            <v>OITI FIM CP IE</v>
          </cell>
          <cell r="D527">
            <v>801</v>
          </cell>
          <cell r="E527" t="str">
            <v>ITAU UNIBANCO S/A</v>
          </cell>
        </row>
        <row r="528">
          <cell r="B528">
            <v>79802</v>
          </cell>
          <cell r="C528" t="str">
            <v>OITI FIM CP IE</v>
          </cell>
          <cell r="D528">
            <v>802</v>
          </cell>
          <cell r="E528" t="str">
            <v>ITAU UNIBANCO S/A</v>
          </cell>
        </row>
        <row r="529">
          <cell r="B529">
            <v>79803</v>
          </cell>
          <cell r="C529" t="str">
            <v>OITI FIM CP IE</v>
          </cell>
          <cell r="D529">
            <v>803</v>
          </cell>
          <cell r="E529" t="str">
            <v>ITAU UNIBANCO S/A</v>
          </cell>
        </row>
        <row r="530">
          <cell r="B530">
            <v>79804</v>
          </cell>
          <cell r="C530" t="str">
            <v>OITI FIM CP IE</v>
          </cell>
          <cell r="D530">
            <v>804</v>
          </cell>
          <cell r="E530" t="str">
            <v>ITAU UNIBANCO S/A</v>
          </cell>
        </row>
        <row r="531">
          <cell r="B531">
            <v>79805</v>
          </cell>
          <cell r="C531" t="str">
            <v>OITI FIM CP IE</v>
          </cell>
          <cell r="D531">
            <v>805</v>
          </cell>
          <cell r="E531" t="str">
            <v>ITAU UNIBANCO S/A</v>
          </cell>
        </row>
        <row r="532">
          <cell r="B532">
            <v>79806</v>
          </cell>
          <cell r="C532" t="str">
            <v>OITI FIM CP IE</v>
          </cell>
          <cell r="D532">
            <v>806</v>
          </cell>
          <cell r="E532" t="str">
            <v>ITAU UNIBANCO S/A</v>
          </cell>
        </row>
        <row r="533">
          <cell r="B533">
            <v>79814</v>
          </cell>
          <cell r="C533" t="str">
            <v>BANCO NACIONAL DE DESENVOLVIMENTO ECONOMICO E SOCIAL - BNDES</v>
          </cell>
          <cell r="D533" t="str">
            <v>BANCO NACIONAL DE DESENVOLVIMENTO ECONOMICO E SOCIAL - BNDES</v>
          </cell>
          <cell r="E533" t="str">
            <v>BANCO NACIONAL DE DESENVOLVIMENTO ECONOMICO E SOCIAL - BNDES</v>
          </cell>
        </row>
        <row r="534">
          <cell r="B534">
            <v>79827</v>
          </cell>
          <cell r="C534" t="str">
            <v>LAKESIDE TRADING LLC</v>
          </cell>
          <cell r="D534">
            <v>27</v>
          </cell>
          <cell r="E534" t="str">
            <v>LAKESIDE TRADING LLC</v>
          </cell>
        </row>
        <row r="535">
          <cell r="B535">
            <v>79852</v>
          </cell>
          <cell r="C535" t="str">
            <v>SANTANDER BRASIL GESTAO DE RECURSOS LTDA</v>
          </cell>
          <cell r="D535">
            <v>58</v>
          </cell>
          <cell r="E535" t="str">
            <v>SANTANDER BRASIL GESTAO DE RECURSOS LTDA</v>
          </cell>
        </row>
        <row r="536">
          <cell r="B536">
            <v>79877</v>
          </cell>
          <cell r="C536" t="str">
            <v>MACQUARIE BANK LIMITED - BANCO CS</v>
          </cell>
          <cell r="D536">
            <v>877</v>
          </cell>
          <cell r="E536" t="str">
            <v>MACQUARIE BANK LIMITED</v>
          </cell>
        </row>
        <row r="537">
          <cell r="B537">
            <v>79888</v>
          </cell>
          <cell r="C537" t="str">
            <v>ITAU UNIBANCO S.A.</v>
          </cell>
          <cell r="D537" t="str">
            <v>ITAU UNIBANCO S.A.</v>
          </cell>
          <cell r="E537" t="str">
            <v>ITAU UNIBANCO S/A</v>
          </cell>
        </row>
        <row r="538">
          <cell r="B538">
            <v>79889</v>
          </cell>
          <cell r="C538" t="str">
            <v>ITAU UNIBANCO S.A.</v>
          </cell>
          <cell r="D538" t="str">
            <v>ITAU UNIBANCO S.A.</v>
          </cell>
          <cell r="E538" t="str">
            <v>ITAU UNIBANCO S/A</v>
          </cell>
        </row>
        <row r="539">
          <cell r="B539">
            <v>79890</v>
          </cell>
          <cell r="C539" t="str">
            <v>ITAU UNIBANCO S.A.</v>
          </cell>
          <cell r="D539" t="str">
            <v>ITAU UNIBANCO S.A.</v>
          </cell>
          <cell r="E539" t="str">
            <v>ITAU UNIBANCO S/A</v>
          </cell>
        </row>
        <row r="540">
          <cell r="B540">
            <v>79891</v>
          </cell>
          <cell r="C540" t="str">
            <v>ITAU UNIBANCO S.A.</v>
          </cell>
          <cell r="D540" t="str">
            <v>ITAU UNIBANCO S.A.</v>
          </cell>
          <cell r="E540" t="str">
            <v>ITAU UNIBANCO S/A</v>
          </cell>
        </row>
        <row r="541">
          <cell r="B541">
            <v>79892</v>
          </cell>
          <cell r="C541" t="str">
            <v>ITAU UNIBANCO S.A.</v>
          </cell>
          <cell r="D541" t="str">
            <v>ITAU UNIBANCO S.A.</v>
          </cell>
          <cell r="E541" t="str">
            <v>ITAU UNIBANCO S/A</v>
          </cell>
        </row>
        <row r="542">
          <cell r="B542">
            <v>79893</v>
          </cell>
          <cell r="C542" t="str">
            <v>ITAU UNIBANCO S.A.</v>
          </cell>
          <cell r="D542" t="str">
            <v>ITAU UNIBANCO S.A.</v>
          </cell>
          <cell r="E542" t="str">
            <v>ITAU UNIBANCO S/A</v>
          </cell>
        </row>
        <row r="543">
          <cell r="B543">
            <v>79894</v>
          </cell>
          <cell r="C543" t="str">
            <v>ITAU UNIBANCO S.A.</v>
          </cell>
          <cell r="D543" t="str">
            <v>ITAU UNIBANCO S.A.</v>
          </cell>
          <cell r="E543" t="str">
            <v>ITAU UNIBANCO S/A</v>
          </cell>
        </row>
        <row r="544">
          <cell r="B544">
            <v>79895</v>
          </cell>
          <cell r="C544" t="str">
            <v>ITAU UNIBANCO S.A.</v>
          </cell>
          <cell r="D544" t="str">
            <v>ITAU UNIBANCO S.A.</v>
          </cell>
          <cell r="E544" t="str">
            <v>ITAU UNIBANCO S/A</v>
          </cell>
        </row>
        <row r="545">
          <cell r="B545">
            <v>79896</v>
          </cell>
          <cell r="C545" t="str">
            <v>ITAU UNIBANCO S.A.</v>
          </cell>
          <cell r="D545" t="str">
            <v>ITAU UNIBANCO S.A.</v>
          </cell>
          <cell r="E545" t="str">
            <v>ITAU UNIBANCO S/A</v>
          </cell>
        </row>
        <row r="546">
          <cell r="B546">
            <v>79897</v>
          </cell>
          <cell r="C546" t="str">
            <v>ITAU UNIBANCO S.A.</v>
          </cell>
          <cell r="D546" t="str">
            <v>ITAU UNIBANCO S.A.</v>
          </cell>
          <cell r="E546" t="str">
            <v>ITAU UNIBANCO S/A</v>
          </cell>
        </row>
        <row r="547">
          <cell r="B547">
            <v>79905</v>
          </cell>
          <cell r="C547" t="str">
            <v>BANCO BRADESCO S/A</v>
          </cell>
          <cell r="D547" t="str">
            <v>BANCO BRADESCO S/A</v>
          </cell>
          <cell r="E547" t="str">
            <v>BANCO BRADESCO S/A</v>
          </cell>
        </row>
        <row r="548">
          <cell r="B548">
            <v>79918</v>
          </cell>
          <cell r="C548" t="str">
            <v>ITAU UNIBANCO S.A.</v>
          </cell>
          <cell r="D548" t="str">
            <v>ITAU UNIBANCO S.A.</v>
          </cell>
          <cell r="E548" t="str">
            <v>ITAU UNIBANCO S/A</v>
          </cell>
        </row>
        <row r="549">
          <cell r="B549">
            <v>79919</v>
          </cell>
          <cell r="C549" t="str">
            <v>ITAU UNIBANCO S.A.</v>
          </cell>
          <cell r="D549" t="str">
            <v>ITAU UNIBANCO S.A.</v>
          </cell>
          <cell r="E549" t="str">
            <v>ITAU UNIBANCO S/A</v>
          </cell>
        </row>
        <row r="550">
          <cell r="B550">
            <v>79920</v>
          </cell>
          <cell r="C550" t="str">
            <v>ITAU UNIBANCO S.A.</v>
          </cell>
          <cell r="D550" t="str">
            <v>ITAU UNIBANCO S.A.</v>
          </cell>
          <cell r="E550" t="str">
            <v>ITAU UNIBANCO S/A</v>
          </cell>
        </row>
        <row r="551">
          <cell r="B551">
            <v>79924</v>
          </cell>
          <cell r="C551" t="str">
            <v>STANDARD CHARTERED BANK (LONDRES)</v>
          </cell>
          <cell r="D551">
            <v>289</v>
          </cell>
          <cell r="E551" t="str">
            <v>STANDARD CHARTERED BANK (LONDRES)</v>
          </cell>
        </row>
        <row r="552">
          <cell r="B552">
            <v>79930</v>
          </cell>
          <cell r="C552" t="str">
            <v>ALASKA INVESTIMENTOS LTDA</v>
          </cell>
          <cell r="D552">
            <v>340</v>
          </cell>
          <cell r="E552" t="str">
            <v>ALASKA INVESTIMENTOS LTDA</v>
          </cell>
        </row>
        <row r="553">
          <cell r="B553">
            <v>79931</v>
          </cell>
          <cell r="C553" t="str">
            <v>SPX GESTAO DE RECURSOS LTDA</v>
          </cell>
          <cell r="D553">
            <v>319</v>
          </cell>
          <cell r="E553" t="str">
            <v>SPX GESTAO DE RECURSOS LTDA</v>
          </cell>
        </row>
        <row r="554">
          <cell r="B554">
            <v>79933</v>
          </cell>
          <cell r="C554" t="str">
            <v>KONDOR ADMINISTRADORA E GESTORA DE RECURSOS FINANCEIROS LTDA</v>
          </cell>
          <cell r="D554">
            <v>182</v>
          </cell>
          <cell r="E554" t="str">
            <v>KONDOR ADMINISTRADORA E GESTORA DE RECURSOS FINANCEIROS LTDA</v>
          </cell>
        </row>
        <row r="555">
          <cell r="B555">
            <v>79948</v>
          </cell>
          <cell r="C555" t="str">
            <v>BANCO BOCOM BBM S.A</v>
          </cell>
          <cell r="D555" t="str">
            <v>21.2</v>
          </cell>
          <cell r="E555" t="str">
            <v>BANCO BOCOM BBM S/A</v>
          </cell>
        </row>
        <row r="556">
          <cell r="B556">
            <v>79949</v>
          </cell>
          <cell r="C556" t="str">
            <v>BANCO BOCOM BBM S.A</v>
          </cell>
          <cell r="D556" t="str">
            <v>21.3</v>
          </cell>
          <cell r="E556" t="str">
            <v>BANCO BOCOM BBM S/A</v>
          </cell>
        </row>
        <row r="557">
          <cell r="B557">
            <v>79955</v>
          </cell>
          <cell r="C557" t="str">
            <v>SOCIETE GENERALE (PARIS)</v>
          </cell>
          <cell r="D557" t="str">
            <v>SOCIETE GENERALE (PARIS)</v>
          </cell>
          <cell r="E557" t="str">
            <v>BANCO SOCIETE GENERALE BRASIL S/A</v>
          </cell>
        </row>
        <row r="558">
          <cell r="B558">
            <v>12386</v>
          </cell>
          <cell r="C558" t="str">
            <v>SUL AMERICA INVESTIMENTOS GESTORA DE RECURSOS S/A</v>
          </cell>
          <cell r="D558" t="str">
            <v>SUL AMERICA INVESTIMENTOS GESTORA DE RECURSOS S/A</v>
          </cell>
          <cell r="E558" t="str">
            <v>SUL AMERICA INVESTIMENTOS GESTORA DE RECURSOS S/A</v>
          </cell>
        </row>
        <row r="559">
          <cell r="B559">
            <v>79963</v>
          </cell>
          <cell r="C559" t="str">
            <v>BANK OF AMERICA MERRILL LYNCH BANCO MULTIPLO S/A</v>
          </cell>
          <cell r="D559">
            <v>569</v>
          </cell>
          <cell r="E559" t="str">
            <v>BANK OF AMERICA MERRILL LYNCH BANCO MULTIPLO S/A</v>
          </cell>
        </row>
        <row r="560">
          <cell r="B560">
            <v>79964</v>
          </cell>
          <cell r="C560" t="str">
            <v>CARGILL FINANCIAL SERVICES INTERNATIONAL INC</v>
          </cell>
          <cell r="D560" t="str">
            <v>CARGILL FINANCIAL SERVICES INTERNATIONAL INC</v>
          </cell>
          <cell r="E560" t="str">
            <v>BANCO CARGILL S/A</v>
          </cell>
        </row>
        <row r="561">
          <cell r="B561">
            <v>79965</v>
          </cell>
          <cell r="C561" t="str">
            <v>BANCO HSBC S.A</v>
          </cell>
          <cell r="D561" t="str">
            <v>BANCO HSBC S.A</v>
          </cell>
          <cell r="E561" t="str">
            <v>BANCO HSBC S/A</v>
          </cell>
        </row>
        <row r="562">
          <cell r="B562">
            <v>79182</v>
          </cell>
          <cell r="C562" t="str">
            <v>PLURAL BRAZIL (DE) LLC</v>
          </cell>
          <cell r="D562" t="str">
            <v>PLURAL BRAZIL (DE) LLC</v>
          </cell>
          <cell r="E562" t="str">
            <v>PLURAL GESTÃO DE RECURSOS LTDA</v>
          </cell>
        </row>
        <row r="563">
          <cell r="B563">
            <v>79973</v>
          </cell>
          <cell r="C563" t="str">
            <v>ADAMCAPITAL GESTAO DE RECURSOS LTDA</v>
          </cell>
          <cell r="D563">
            <v>535</v>
          </cell>
          <cell r="E563" t="str">
            <v>ADAMCAPITAL GESTAO DE RECURSOS LTDA</v>
          </cell>
        </row>
        <row r="564">
          <cell r="B564">
            <v>79978</v>
          </cell>
          <cell r="C564" t="str">
            <v>CREDIT SUISSE (BRASIL) S/A CTVM</v>
          </cell>
          <cell r="D564">
            <v>521</v>
          </cell>
          <cell r="E564" t="str">
            <v>CREDIT SUISSE (BRASIL) S/A CTVM</v>
          </cell>
        </row>
        <row r="565">
          <cell r="B565">
            <v>79984</v>
          </cell>
          <cell r="C565" t="str">
            <v>ITAU UNIBANCO S.A.</v>
          </cell>
          <cell r="D565" t="str">
            <v>ITAU UNIBANCO S.A.</v>
          </cell>
          <cell r="E565" t="str">
            <v>ITAU UNIBANCO S/A</v>
          </cell>
        </row>
        <row r="566">
          <cell r="B566">
            <v>79985</v>
          </cell>
          <cell r="C566" t="str">
            <v>ITAU UNIBANCO S.A.</v>
          </cell>
          <cell r="D566" t="str">
            <v>ITAU UNIBANCO S.A.</v>
          </cell>
          <cell r="E566" t="str">
            <v>ITAU UNIBANCO S/A</v>
          </cell>
        </row>
        <row r="567">
          <cell r="B567">
            <v>79986</v>
          </cell>
          <cell r="C567" t="str">
            <v>ITAU UNIBANCO S.A.</v>
          </cell>
          <cell r="D567" t="str">
            <v>342*</v>
          </cell>
          <cell r="E567" t="str">
            <v>ITAU UNIBANCO S/A</v>
          </cell>
        </row>
        <row r="568">
          <cell r="B568">
            <v>80005</v>
          </cell>
          <cell r="C568" t="str">
            <v>DEUTSCHE BANK AG LONDON GLOBAL MARKETS</v>
          </cell>
          <cell r="D568">
            <v>265</v>
          </cell>
          <cell r="E568" t="str">
            <v>DEUTSCHE BANK S/A</v>
          </cell>
        </row>
        <row r="569">
          <cell r="B569">
            <v>80007</v>
          </cell>
          <cell r="C569" t="str">
            <v>BANCO SANTANDER (BRASIL) S/A</v>
          </cell>
          <cell r="D569" t="str">
            <v>BANCO SANTANDER (BRASIL) S/A</v>
          </cell>
          <cell r="E569" t="str">
            <v>BANCO SANTANDER (BRASIL) S/A</v>
          </cell>
        </row>
        <row r="570">
          <cell r="B570">
            <v>80013</v>
          </cell>
          <cell r="C570" t="str">
            <v>BANCO SANTANDER (BRASIL) S/A</v>
          </cell>
          <cell r="D570" t="str">
            <v>BANCO SANTANDER (BRASIL) S/A</v>
          </cell>
          <cell r="E570" t="str">
            <v>BANCO SANTANDER (BRASIL) S/A</v>
          </cell>
        </row>
        <row r="571">
          <cell r="B571">
            <v>80014</v>
          </cell>
          <cell r="C571" t="str">
            <v>BANCO SANTANDER (BRASIL) S/A</v>
          </cell>
          <cell r="D571" t="str">
            <v>BANCO SANTANDER (BRASIL) S/A</v>
          </cell>
          <cell r="E571" t="str">
            <v>BANCO SANTANDER (BRASIL) S/A</v>
          </cell>
        </row>
        <row r="572">
          <cell r="B572">
            <v>80015</v>
          </cell>
          <cell r="C572" t="str">
            <v>BANCO SANTANDER (BRASIL) S/A</v>
          </cell>
          <cell r="D572" t="str">
            <v>BANCO SANTANDER (BRASIL) S/A</v>
          </cell>
          <cell r="E572" t="str">
            <v>BANCO SANTANDER (BRASIL) S/A</v>
          </cell>
        </row>
        <row r="573">
          <cell r="B573">
            <v>80016</v>
          </cell>
          <cell r="C573" t="str">
            <v>BANCO SANTANDER (BRASIL) S/A</v>
          </cell>
          <cell r="D573" t="str">
            <v>BANCO SANTANDER (BRASIL) S/A</v>
          </cell>
          <cell r="E573" t="str">
            <v>BANCO SANTANDER (BRASIL) S/A</v>
          </cell>
        </row>
        <row r="574">
          <cell r="B574">
            <v>80017</v>
          </cell>
          <cell r="C574" t="str">
            <v>BANCO SANTANDER (BRASIL) S/A</v>
          </cell>
          <cell r="D574" t="str">
            <v>BANCO SANTANDER (BRASIL) S/A</v>
          </cell>
          <cell r="E574" t="str">
            <v>BANCO SANTANDER (BRASIL) S/A</v>
          </cell>
        </row>
        <row r="575">
          <cell r="B575">
            <v>80018</v>
          </cell>
          <cell r="C575" t="str">
            <v>BANCO SANTANDER (BRASIL) S/A</v>
          </cell>
          <cell r="D575" t="str">
            <v>BANCO SANTANDER (BRASIL) S/A</v>
          </cell>
          <cell r="E575" t="str">
            <v>BANCO SANTANDER (BRASIL) S/A</v>
          </cell>
        </row>
        <row r="576">
          <cell r="B576">
            <v>80019</v>
          </cell>
          <cell r="C576" t="str">
            <v>BANCO SANTANDER (BRASIL) S/A</v>
          </cell>
          <cell r="D576" t="str">
            <v>BANCO SANTANDER (BRASIL) S/A</v>
          </cell>
          <cell r="E576" t="str">
            <v>BANCO SANTANDER (BRASIL) S/A</v>
          </cell>
        </row>
        <row r="577">
          <cell r="B577">
            <v>80020</v>
          </cell>
          <cell r="C577" t="str">
            <v>BANCO SANTANDER (BRASIL) S/A</v>
          </cell>
          <cell r="D577" t="str">
            <v>BANCO SANTANDER (BRASIL) S/A</v>
          </cell>
          <cell r="E577" t="str">
            <v>BANCO SANTANDER (BRASIL) S/A</v>
          </cell>
        </row>
        <row r="578">
          <cell r="B578">
            <v>80021</v>
          </cell>
          <cell r="C578" t="str">
            <v>BANCO SANTANDER (BRASIL) S/A</v>
          </cell>
          <cell r="D578" t="str">
            <v>BANCO SANTANDER (BRASIL) S/A</v>
          </cell>
          <cell r="E578" t="str">
            <v>BANCO SANTANDER (BRASIL) S/A</v>
          </cell>
        </row>
        <row r="579">
          <cell r="B579">
            <v>80026</v>
          </cell>
          <cell r="C579" t="str">
            <v>BARCLAYS BANK PLC (NOVO)</v>
          </cell>
          <cell r="D579" t="str">
            <v>BARCLAYS BANK PLC (NOVO)</v>
          </cell>
          <cell r="E579" t="str">
            <v>BARCLAYS BANK PLC</v>
          </cell>
        </row>
        <row r="580">
          <cell r="B580">
            <v>80041</v>
          </cell>
          <cell r="C580" t="str">
            <v>HAITONG BANCO DE INVESTIMENTO DO BRASIL S/A</v>
          </cell>
          <cell r="D580">
            <v>94</v>
          </cell>
          <cell r="E580" t="str">
            <v>HAITONG BANCO DE INVESTIMENTO DO BRASIL S/A</v>
          </cell>
        </row>
        <row r="581">
          <cell r="B581">
            <v>80042</v>
          </cell>
          <cell r="C581" t="str">
            <v>R&amp;C HEDGE FIM</v>
          </cell>
          <cell r="D581" t="str">
            <v>R&amp;C HEDGE FIM</v>
          </cell>
          <cell r="E581" t="str">
            <v>MATERA RC GESTÃƒO DE RECURSOS LTDA</v>
          </cell>
        </row>
        <row r="582">
          <cell r="B582">
            <v>43058</v>
          </cell>
          <cell r="C582" t="str">
            <v>BANCO FIBRA S/A</v>
          </cell>
          <cell r="D582">
            <v>35</v>
          </cell>
          <cell r="E582" t="str">
            <v>BANCO FIBRA S/A</v>
          </cell>
        </row>
        <row r="583">
          <cell r="B583">
            <v>43059</v>
          </cell>
          <cell r="C583" t="str">
            <v>BANCO FIBRA S/A</v>
          </cell>
          <cell r="D583">
            <v>352</v>
          </cell>
          <cell r="E583" t="str">
            <v>BANCO FIBRA S/A</v>
          </cell>
        </row>
        <row r="584">
          <cell r="B584">
            <v>441000</v>
          </cell>
          <cell r="C584" t="str">
            <v>BANCO RABOBANK INTERNATIONAL BRASIL S/A</v>
          </cell>
          <cell r="D584">
            <v>22</v>
          </cell>
          <cell r="E584" t="str">
            <v>BANCO RABOBANK INTERNATIONAL BRASIL S/A</v>
          </cell>
        </row>
        <row r="585">
          <cell r="B585">
            <v>5208</v>
          </cell>
          <cell r="C585" t="str">
            <v>BANCO BTG PACTUAL S/A</v>
          </cell>
          <cell r="D585" t="str">
            <v>BANCO BTG PACTUAL S/A</v>
          </cell>
          <cell r="E585" t="str">
            <v>BANCO BTG PACTUAL S/A</v>
          </cell>
        </row>
        <row r="586">
          <cell r="B586">
            <v>5224</v>
          </cell>
          <cell r="C586" t="str">
            <v>BANCO FIBRA S/A</v>
          </cell>
          <cell r="D586" t="str">
            <v>BANCO FIBRA S/A</v>
          </cell>
          <cell r="E586" t="str">
            <v>BANCO FIBRA S/A</v>
          </cell>
        </row>
        <row r="587">
          <cell r="B587">
            <v>5237</v>
          </cell>
          <cell r="C587" t="str">
            <v>BANCO BRADESCO S/A</v>
          </cell>
          <cell r="D587" t="str">
            <v>BANCO BRADESCO S/A</v>
          </cell>
          <cell r="E587" t="str">
            <v>BANCO BRADESCO S/A</v>
          </cell>
        </row>
        <row r="588">
          <cell r="B588">
            <v>5246</v>
          </cell>
          <cell r="C588" t="str">
            <v>BANCO ABC BRASIL S/A</v>
          </cell>
          <cell r="D588" t="str">
            <v>BANCO ABC BRASIL S/A</v>
          </cell>
          <cell r="E588" t="str">
            <v>BANCO ABC BRASIL S/A</v>
          </cell>
        </row>
        <row r="589">
          <cell r="B589">
            <v>5320</v>
          </cell>
          <cell r="C589" t="str">
            <v>BANK OF CHINA (BRASIL) BANCO MULTIPLO S/A</v>
          </cell>
          <cell r="D589" t="str">
            <v>BANK OF CHINA (BRASIL) BANCO MULTIPLO S/A</v>
          </cell>
          <cell r="E589" t="str">
            <v>BANCO DA CHINA BRASIL S/A</v>
          </cell>
        </row>
        <row r="590">
          <cell r="B590">
            <v>54684</v>
          </cell>
          <cell r="C590" t="str">
            <v>BANCO RENDIMENTO S/A</v>
          </cell>
          <cell r="D590">
            <v>183</v>
          </cell>
          <cell r="E590" t="str">
            <v>BANCO RENDIMENTO S/A</v>
          </cell>
        </row>
        <row r="591">
          <cell r="B591">
            <v>5633</v>
          </cell>
          <cell r="C591" t="str">
            <v>BANCO RENDIMENTO S/A</v>
          </cell>
          <cell r="D591" t="str">
            <v>BANCO RENDIMENTO S/A</v>
          </cell>
          <cell r="E591" t="str">
            <v>BANCO RENDIMENTO S/A</v>
          </cell>
        </row>
        <row r="592">
          <cell r="B592">
            <v>5643</v>
          </cell>
          <cell r="C592" t="str">
            <v>BANCO PINE S/A</v>
          </cell>
          <cell r="D592" t="str">
            <v>BANCO PINE S/A</v>
          </cell>
          <cell r="E592" t="str">
            <v>BANCO PINE S/A</v>
          </cell>
        </row>
        <row r="593">
          <cell r="B593">
            <v>5655</v>
          </cell>
          <cell r="C593" t="str">
            <v>BANCO VOTORANTIM S/A</v>
          </cell>
          <cell r="D593" t="str">
            <v>BANCO VOTORANTIM S/A</v>
          </cell>
          <cell r="E593" t="str">
            <v>BANCO VOTORANTIM S/A</v>
          </cell>
        </row>
        <row r="594">
          <cell r="B594">
            <v>5656</v>
          </cell>
          <cell r="C594" t="str">
            <v>BANCO VOTORANTIM S/A</v>
          </cell>
          <cell r="D594" t="str">
            <v>BANCO VOTORANTIM S/A</v>
          </cell>
          <cell r="E594" t="str">
            <v>BANCO VOTORANTIM S/A</v>
          </cell>
        </row>
        <row r="595">
          <cell r="B595">
            <v>5746</v>
          </cell>
          <cell r="C595" t="str">
            <v>BANCO MODAL S/A</v>
          </cell>
          <cell r="D595" t="str">
            <v>BANCO MODAL S/A</v>
          </cell>
          <cell r="E595" t="str">
            <v>BANCO MODAL S/A</v>
          </cell>
        </row>
        <row r="596">
          <cell r="B596">
            <v>14378</v>
          </cell>
          <cell r="C596" t="str">
            <v>BANCO COOPERATIVO SICREDI S/A</v>
          </cell>
          <cell r="D596">
            <v>302</v>
          </cell>
          <cell r="E596" t="str">
            <v>BANCO COOPERATIVO SICREDI S/A</v>
          </cell>
        </row>
        <row r="597">
          <cell r="B597">
            <v>6370</v>
          </cell>
          <cell r="C597" t="str">
            <v>BANCO MIZUHO DO BRASIL S/A (ANTIGO WESTLB)</v>
          </cell>
          <cell r="D597" t="str">
            <v>BANCO MIZUHO DO BRASIL S/A (ANTIGO WESTLB)</v>
          </cell>
          <cell r="E597" t="str">
            <v>BANCO MIZUHO DO BRASIL S/A</v>
          </cell>
        </row>
        <row r="598">
          <cell r="B598">
            <v>6473</v>
          </cell>
          <cell r="C598" t="str">
            <v>BANCO CAIXA GERAL BRASIL SA</v>
          </cell>
          <cell r="D598" t="str">
            <v>BANCO CAIXA GERAL BRASIL SA</v>
          </cell>
          <cell r="E598" t="str">
            <v>BANCO CAIXA GERAL BRASIL S/A</v>
          </cell>
        </row>
        <row r="599">
          <cell r="B599">
            <v>6487</v>
          </cell>
          <cell r="C599" t="str">
            <v>DEUTSCHE BANK S/A BANCO ALEMÃƒO</v>
          </cell>
          <cell r="D599" t="str">
            <v>DEUTSCHE BANK S/A BANCO ALEMÃƒO</v>
          </cell>
          <cell r="E599" t="str">
            <v>DEUTSCHE BANK S/A</v>
          </cell>
        </row>
        <row r="600">
          <cell r="B600">
            <v>6755</v>
          </cell>
          <cell r="C600" t="str">
            <v>BANK OF AMERICA MERRILL LYNCH BANCO MULTIPLO S/A</v>
          </cell>
          <cell r="D600" t="str">
            <v>BANK OF AMERICA MERRILL LYNCH BANCO MULTIPLO S/A</v>
          </cell>
          <cell r="E600" t="str">
            <v>BANK OF AMERICA MERRILL LYNCH BANCO MULTIPLO S/A</v>
          </cell>
        </row>
        <row r="601">
          <cell r="B601">
            <v>70171</v>
          </cell>
          <cell r="C601" t="str">
            <v>BANCO DE INVESTIMENTOS UBS (BRASIL) S.A.</v>
          </cell>
          <cell r="D601" t="str">
            <v>BANCO DE INVESTIMENTOS UBS (BRASIL) S.A.</v>
          </cell>
          <cell r="E601" t="str">
            <v>BANCO DE INVESTIMENTO CREDIT SUISSE (BRASIL) S/A</v>
          </cell>
        </row>
        <row r="602">
          <cell r="B602">
            <v>70172</v>
          </cell>
          <cell r="C602" t="str">
            <v>BANCO DE INVESTIMENTOS UBS (BRASIL) S.A.</v>
          </cell>
          <cell r="D602">
            <v>52</v>
          </cell>
          <cell r="E602" t="str">
            <v>BANCO DE INVESTIMENTO CREDIT SUISSE (BRASIL) S/A</v>
          </cell>
        </row>
        <row r="603">
          <cell r="B603">
            <v>7222</v>
          </cell>
          <cell r="C603" t="str">
            <v>BANCO CREDIT AGRICOLE BRASIL S/A</v>
          </cell>
          <cell r="D603" t="str">
            <v>BANCO CREDIT AGRICOLE BRASIL S/A</v>
          </cell>
          <cell r="E603" t="str">
            <v>BANCO CREDIT AGRICOLE BRASIL S/A</v>
          </cell>
        </row>
        <row r="604">
          <cell r="B604">
            <v>7341</v>
          </cell>
          <cell r="C604" t="str">
            <v>ITAU UNIBANCO S.A.</v>
          </cell>
          <cell r="D604" t="str">
            <v>ITAU UNIBANCO S.A.</v>
          </cell>
          <cell r="E604" t="str">
            <v>ITAU UNIBANCO S/A</v>
          </cell>
        </row>
        <row r="605">
          <cell r="B605">
            <v>7366</v>
          </cell>
          <cell r="C605" t="str">
            <v>BANCO SOCIETE GENERALE BRASIL S/A</v>
          </cell>
          <cell r="D605" t="str">
            <v>BANCO SOCIETE GENERALE BRASIL S/A</v>
          </cell>
          <cell r="E605" t="str">
            <v>BANCO SOCIETE GENERALE BRASIL S/A</v>
          </cell>
        </row>
        <row r="606">
          <cell r="B606">
            <v>7376</v>
          </cell>
          <cell r="C606" t="str">
            <v>BANCO JP MORGAN S/A</v>
          </cell>
          <cell r="D606" t="str">
            <v>BANCO JP MORGAN S/A</v>
          </cell>
          <cell r="E606" t="str">
            <v>BANCO JP MORGAN S/A</v>
          </cell>
        </row>
        <row r="607">
          <cell r="B607">
            <v>7456</v>
          </cell>
          <cell r="C607" t="str">
            <v>BANCO MUFG BRASIL S.A.</v>
          </cell>
          <cell r="D607" t="str">
            <v>BANCO MUFG BRASIL S.A.</v>
          </cell>
          <cell r="E607" t="str">
            <v>BANCO MUFG BRASIL S/A</v>
          </cell>
        </row>
        <row r="608">
          <cell r="B608">
            <v>75380</v>
          </cell>
          <cell r="C608" t="str">
            <v>BANCO CAIXA GERAL BRASIL SA</v>
          </cell>
          <cell r="D608">
            <v>309</v>
          </cell>
          <cell r="E608" t="str">
            <v>BANCO CAIXA GERAL BRASIL S/A</v>
          </cell>
        </row>
        <row r="609">
          <cell r="B609">
            <v>75777</v>
          </cell>
          <cell r="C609" t="str">
            <v>BANK OF AMERICA MERRILL LYNCH BANCO MULTIPLO S/A</v>
          </cell>
          <cell r="D609">
            <v>561</v>
          </cell>
          <cell r="E609" t="str">
            <v>BANK OF AMERICA MERRILL LYNCH BANCO MULTIPLO S/A</v>
          </cell>
        </row>
        <row r="610">
          <cell r="B610">
            <v>75779</v>
          </cell>
          <cell r="C610" t="str">
            <v>CLASSE UNICA DO AGATA FIF MULT CP LONGO PRAZO</v>
          </cell>
          <cell r="D610">
            <v>563</v>
          </cell>
          <cell r="E610" t="str">
            <v>BANK OF AMERICA MERRILL LYNCH BANCO MULTIPLO S/A</v>
          </cell>
        </row>
        <row r="611">
          <cell r="B611">
            <v>7745</v>
          </cell>
          <cell r="C611" t="str">
            <v>BANCO CITIBANK S/A</v>
          </cell>
          <cell r="D611" t="str">
            <v>BANCO CITIBANK S/A</v>
          </cell>
          <cell r="E611" t="str">
            <v>BANCO CITIBANK S/A</v>
          </cell>
        </row>
        <row r="612">
          <cell r="B612">
            <v>7746</v>
          </cell>
          <cell r="C612" t="str">
            <v>BANCO CITIBANK S/A</v>
          </cell>
          <cell r="D612" t="str">
            <v>BANCO CITIBANK S/A</v>
          </cell>
          <cell r="E612" t="str">
            <v>BANCO CITIBANK S/A</v>
          </cell>
        </row>
        <row r="613">
          <cell r="B613">
            <v>7747</v>
          </cell>
          <cell r="C613" t="str">
            <v>BANCO RABOBANK INTERNATIONAL BRASIL S/A</v>
          </cell>
          <cell r="D613" t="str">
            <v>BANCO RABOBANK INTERNATIONAL BRASIL S/A</v>
          </cell>
          <cell r="E613" t="str">
            <v>BANCO RABOBANK INTERNATIONAL BRASIL S/A</v>
          </cell>
        </row>
        <row r="614">
          <cell r="B614">
            <v>7751</v>
          </cell>
          <cell r="C614" t="str">
            <v>SCOTIABANK BRASILS/A BANCO MULTIPLO(ANTIGO DRESDNER BANK BR)</v>
          </cell>
          <cell r="D614" t="str">
            <v>SCOTIABANK BRASILS/A BANCO MULTIPLO(ANTIGO DRESDNER BANK BR)</v>
          </cell>
          <cell r="E614" t="str">
            <v>SCOTIABANK BRASIL S/A</v>
          </cell>
        </row>
        <row r="615">
          <cell r="B615">
            <v>7752</v>
          </cell>
          <cell r="C615" t="str">
            <v>BANCO BNP PARIBAS BRASIL S/A</v>
          </cell>
          <cell r="D615" t="str">
            <v>BANCO BNP PARIBAS BRASIL S/A</v>
          </cell>
          <cell r="E615" t="str">
            <v>BANCO BNP PARIBAS BRASIL S/A</v>
          </cell>
        </row>
        <row r="616">
          <cell r="B616">
            <v>7753</v>
          </cell>
          <cell r="C616" t="str">
            <v>BANCO BS2 S.A.</v>
          </cell>
          <cell r="D616" t="str">
            <v>BANCO BS2 S.A.</v>
          </cell>
          <cell r="E616" t="str">
            <v>BANCO BS2 S/A</v>
          </cell>
        </row>
        <row r="617">
          <cell r="B617">
            <v>7860</v>
          </cell>
          <cell r="C617" t="str">
            <v>BANCO MORGAN STANLEY S/A</v>
          </cell>
          <cell r="D617" t="str">
            <v>BANCO MORGAN STANLEY S/A</v>
          </cell>
          <cell r="E617" t="str">
            <v>BANCO MORGAN STANLEY S/A</v>
          </cell>
        </row>
        <row r="618">
          <cell r="B618">
            <v>79157</v>
          </cell>
          <cell r="C618" t="str">
            <v>SOCIETE GENERALE (PARIS)</v>
          </cell>
          <cell r="D618" t="str">
            <v>60.1</v>
          </cell>
          <cell r="E618" t="str">
            <v>BANCO SOCIETE GENERALE BRASIL S/A</v>
          </cell>
        </row>
        <row r="619">
          <cell r="B619">
            <v>79241</v>
          </cell>
          <cell r="C619" t="str">
            <v>MERRILL LYNCH CAPITAL SERVICES INC</v>
          </cell>
          <cell r="D619">
            <v>564</v>
          </cell>
          <cell r="E619" t="str">
            <v>BANK OF AMERICA MERRILL LYNCH BANCO MULTIPLO S/A</v>
          </cell>
        </row>
        <row r="620">
          <cell r="B620">
            <v>79258</v>
          </cell>
          <cell r="C620" t="str">
            <v>ITAU UNIBANCO S.A.</v>
          </cell>
          <cell r="D620" t="str">
            <v>51.2</v>
          </cell>
          <cell r="E620" t="str">
            <v>ITAU UNIBANCO S/A</v>
          </cell>
        </row>
        <row r="621">
          <cell r="B621">
            <v>79308</v>
          </cell>
          <cell r="C621" t="str">
            <v>BANCO CARGILL S/A</v>
          </cell>
          <cell r="D621">
            <v>90</v>
          </cell>
          <cell r="E621" t="str">
            <v>BANCO CARGILL S/A</v>
          </cell>
        </row>
        <row r="622">
          <cell r="B622">
            <v>79309</v>
          </cell>
          <cell r="C622" t="str">
            <v>CARGILL AGRICOLA S/A</v>
          </cell>
          <cell r="D622">
            <v>91</v>
          </cell>
          <cell r="E622" t="str">
            <v>BANCO CARGILL S/A</v>
          </cell>
        </row>
        <row r="623">
          <cell r="B623">
            <v>900146</v>
          </cell>
          <cell r="C623" t="str">
            <v>BANCO UBS S/A</v>
          </cell>
          <cell r="D623" t="str">
            <v>BANCO UBS S/A</v>
          </cell>
          <cell r="E623" t="str">
            <v>BANCO UBS S/A</v>
          </cell>
        </row>
        <row r="624">
          <cell r="B624">
            <v>79587</v>
          </cell>
          <cell r="C624" t="str">
            <v>GOLDMAN SACHS INTERNATIONAL - ITAU</v>
          </cell>
          <cell r="D624" t="str">
            <v>89.3</v>
          </cell>
          <cell r="E624" t="str">
            <v>GOLDMAN SACHS DO BRASIL BANCO MULTIPLO S/A</v>
          </cell>
        </row>
        <row r="625">
          <cell r="B625">
            <v>3010</v>
          </cell>
          <cell r="C625" t="str">
            <v>BANCO SANTANDER (BRASIL) S/A</v>
          </cell>
          <cell r="D625" t="str">
            <v>BANCO SANTANDER (BRASIL) S/A</v>
          </cell>
          <cell r="E625" t="str">
            <v>BANCO SANTANDER (BRASIL) S/A</v>
          </cell>
        </row>
        <row r="626">
          <cell r="B626">
            <v>31107</v>
          </cell>
          <cell r="C626" t="str">
            <v>BANCO BOCOM BBM S.A</v>
          </cell>
          <cell r="D626" t="str">
            <v>BANCO BOCOM BBM S.A</v>
          </cell>
          <cell r="E626" t="str">
            <v>BANCO BOCOM BBM S/A</v>
          </cell>
        </row>
        <row r="627">
          <cell r="B627">
            <v>31162</v>
          </cell>
          <cell r="C627" t="str">
            <v>BANCO DE INVESTIMENTOS UBS (BRASIL) S.A.</v>
          </cell>
          <cell r="D627" t="str">
            <v>BANCO DE INVESTIMENTOS UBS (BRASIL) S.A.</v>
          </cell>
          <cell r="E627" t="str">
            <v>BANCO DE INVESTIMENTO CREDIT SUISSE (BRASIL) S/A</v>
          </cell>
        </row>
        <row r="628">
          <cell r="B628">
            <v>18658</v>
          </cell>
          <cell r="C628" t="str">
            <v>SCOTIABANK BRASILS/A BANCO MULTIPLO(ANTIGO DRESDNER BANK BR)</v>
          </cell>
          <cell r="D628">
            <v>23</v>
          </cell>
          <cell r="E628" t="str">
            <v>SCOTIABANK BRASIL S/A</v>
          </cell>
        </row>
        <row r="629">
          <cell r="B629">
            <v>18857</v>
          </cell>
          <cell r="C629" t="str">
            <v>BANCO DO BRASIL S/A</v>
          </cell>
          <cell r="D629">
            <v>241</v>
          </cell>
          <cell r="E629" t="str">
            <v>BANCO DO BRASIL S/A</v>
          </cell>
        </row>
        <row r="630">
          <cell r="B630">
            <v>188888</v>
          </cell>
          <cell r="C630" t="str">
            <v>BNP PARIBAS PROPRIETARIO FIM CP IE</v>
          </cell>
          <cell r="D630" t="str">
            <v>BNP PARIBAS PROPRIETARIO FIM CP IE</v>
          </cell>
          <cell r="E630" t="str">
            <v>BANCO BNP PARIBAS BRASIL S/A</v>
          </cell>
        </row>
        <row r="631">
          <cell r="B631">
            <v>124462</v>
          </cell>
          <cell r="C631" t="str">
            <v>OITI FIM CP IE</v>
          </cell>
          <cell r="D631" t="str">
            <v>OITI FIM CP IE</v>
          </cell>
          <cell r="E631" t="str">
            <v>ITAU UNIBANCO S/A</v>
          </cell>
        </row>
        <row r="632">
          <cell r="B632">
            <v>124465</v>
          </cell>
          <cell r="C632" t="str">
            <v>TORO BRAVO FUNDO DE INVESTIMENTO MULTIMERCADO</v>
          </cell>
          <cell r="D632" t="str">
            <v>TORO BRAVO FUNDO DE INVESTIMENTO MULTIMERCADO</v>
          </cell>
          <cell r="E632" t="str">
            <v>AGUILA CAPITAL ADM E GESTAO DE CAPITAIS LTDA</v>
          </cell>
        </row>
        <row r="633">
          <cell r="B633">
            <v>124533</v>
          </cell>
          <cell r="C633" t="str">
            <v>TAGUS FUNDAMENTAL FIA</v>
          </cell>
          <cell r="D633" t="str">
            <v>TAGUS FUNDAMENTAL FIA</v>
          </cell>
          <cell r="E633" t="str">
            <v>TAGUS INVESTIMENTOS LTDA</v>
          </cell>
        </row>
        <row r="634">
          <cell r="B634">
            <v>124536</v>
          </cell>
          <cell r="C634" t="str">
            <v>TAGUS TOP II FIF RENDA FIXA</v>
          </cell>
          <cell r="D634" t="str">
            <v>TAGUS TOP II FIF RENDA FIXA</v>
          </cell>
          <cell r="E634" t="str">
            <v>TAGUS INVESTIMENTOS LTDA</v>
          </cell>
        </row>
        <row r="635">
          <cell r="B635">
            <v>124562</v>
          </cell>
          <cell r="C635" t="str">
            <v>VINLAND MACRO MASTER FIM</v>
          </cell>
          <cell r="D635" t="str">
            <v>VINLAND MACRO MASTER FIM</v>
          </cell>
          <cell r="E635" t="str">
            <v>VINLAND CAPITAL MANAGEMENT GESTORA DE RECURSOS LTDA</v>
          </cell>
        </row>
        <row r="636">
          <cell r="B636">
            <v>124607</v>
          </cell>
          <cell r="C636" t="str">
            <v>FORPUS AÃ‡Ã•ES MASTER FIA</v>
          </cell>
          <cell r="D636" t="str">
            <v>FORPUS AÃ‡Ã•ES MASTER FIA</v>
          </cell>
          <cell r="E636" t="str">
            <v>FORPUS CAPITAL GESTÃƒO DE RECURSOS LTDA</v>
          </cell>
        </row>
        <row r="637">
          <cell r="B637">
            <v>124619</v>
          </cell>
          <cell r="C637" t="str">
            <v>KAPITALO ALPHA GLOBAL MASTER FIM</v>
          </cell>
          <cell r="D637" t="str">
            <v>KAPITALO ALPHA GLOBAL MASTER FIM</v>
          </cell>
          <cell r="E637" t="str">
            <v>KAPITALO INVESTIMENTOS LTDA</v>
          </cell>
        </row>
        <row r="638">
          <cell r="B638">
            <v>79791</v>
          </cell>
          <cell r="C638" t="str">
            <v>GOLDMAN SACHS INTERNATIONAL - CITI</v>
          </cell>
          <cell r="D638" t="str">
            <v>89.4</v>
          </cell>
          <cell r="E638" t="str">
            <v>GOLDMAN SACHS DO BRASIL BANCO MULTIPLO S/A</v>
          </cell>
        </row>
        <row r="639">
          <cell r="B639">
            <v>14334</v>
          </cell>
          <cell r="C639" t="str">
            <v>BANCO SOCIETE GENERALE BRASIL S/A</v>
          </cell>
          <cell r="D639">
            <v>60</v>
          </cell>
          <cell r="E639" t="str">
            <v>BANCO SOCIETE GENERALE BRASIL S/A</v>
          </cell>
        </row>
        <row r="640">
          <cell r="B640">
            <v>5748</v>
          </cell>
          <cell r="C640" t="str">
            <v>BANCO COOPERATIVO SICREDI S/A</v>
          </cell>
          <cell r="D640" t="str">
            <v>BANCO COOPERATIVO SICREDI S/A</v>
          </cell>
          <cell r="E640" t="str">
            <v>BANCO COOPERATIVO SICREDI S/A</v>
          </cell>
        </row>
        <row r="641">
          <cell r="B641">
            <v>946000</v>
          </cell>
          <cell r="C641" t="str">
            <v>BANCO UBS S/A</v>
          </cell>
          <cell r="D641" t="str">
            <v>BANCO UBS S/A</v>
          </cell>
          <cell r="E641" t="str">
            <v>BANCO UBS S/A</v>
          </cell>
        </row>
        <row r="642">
          <cell r="B642">
            <v>14416</v>
          </cell>
          <cell r="C642" t="str">
            <v>BANCO JP MORGAN S/A</v>
          </cell>
          <cell r="D642">
            <v>541</v>
          </cell>
          <cell r="E642" t="str">
            <v>BANCO JP MORGAN S/A</v>
          </cell>
        </row>
        <row r="643">
          <cell r="B643">
            <v>14419</v>
          </cell>
          <cell r="C643" t="str">
            <v>ATACAMA MULTIMERCADO FI</v>
          </cell>
          <cell r="D643">
            <v>542</v>
          </cell>
          <cell r="E643" t="str">
            <v>BANCO JP MORGAN S/A</v>
          </cell>
        </row>
        <row r="644">
          <cell r="B644">
            <v>14420</v>
          </cell>
          <cell r="C644" t="str">
            <v>LAWTON MULTIMERCADO EXCLUSIVO FUNDO DE INVESTIMENTO CP IE</v>
          </cell>
          <cell r="D644">
            <v>543</v>
          </cell>
          <cell r="E644" t="str">
            <v>BANCO JP MORGAN S/A</v>
          </cell>
        </row>
        <row r="645">
          <cell r="B645">
            <v>14430</v>
          </cell>
          <cell r="C645" t="str">
            <v>DRYS CAPITAL LTDA</v>
          </cell>
          <cell r="D645" t="str">
            <v>DRYS CAPITAL LTDA</v>
          </cell>
          <cell r="E645" t="str">
            <v>DRYS CAPITAL LTDA</v>
          </cell>
        </row>
        <row r="646">
          <cell r="B646">
            <v>144310</v>
          </cell>
          <cell r="C646" t="str">
            <v>BW GESTAO DE INVESTIMENTOS LTDA</v>
          </cell>
          <cell r="D646">
            <v>10</v>
          </cell>
          <cell r="E646" t="str">
            <v>BW GESTAO DE INVESTIMENTOS LTDA</v>
          </cell>
        </row>
        <row r="647">
          <cell r="B647">
            <v>14432</v>
          </cell>
          <cell r="C647" t="str">
            <v>BB GESTAO DE RECURSOS DTVM LTDA</v>
          </cell>
          <cell r="D647">
            <v>120</v>
          </cell>
          <cell r="E647" t="str">
            <v>BB GESTAO DE RECURSOS DTVM LTDA</v>
          </cell>
        </row>
        <row r="648">
          <cell r="B648">
            <v>14439</v>
          </cell>
          <cell r="C648" t="str">
            <v>QUANTITAS GESTAO DE RECURSOS LTDA</v>
          </cell>
          <cell r="D648" t="str">
            <v>QUANTITAS GESTAO DE RECURSOS LTDA</v>
          </cell>
          <cell r="E648" t="str">
            <v>QUANTITAS GESTAO DE RECURSOS LTDA</v>
          </cell>
        </row>
        <row r="649">
          <cell r="B649">
            <v>79254</v>
          </cell>
          <cell r="C649" t="str">
            <v>PLURAL CAPITAL GLOBAL MACRO FIM IE</v>
          </cell>
          <cell r="D649" t="str">
            <v>PLURAL CAPITAL GLOBAL MACRO FIM IE</v>
          </cell>
          <cell r="E649" t="str">
            <v>PLURAL GESTÃO DE RECURSOS LTDA</v>
          </cell>
        </row>
        <row r="650">
          <cell r="B650">
            <v>144430</v>
          </cell>
          <cell r="C650" t="str">
            <v>GAP GESTORA DE RECURSOS LTDA</v>
          </cell>
          <cell r="D650">
            <v>348</v>
          </cell>
          <cell r="E650" t="str">
            <v>GAP GESTORA DE RECURSOS LTDA</v>
          </cell>
        </row>
        <row r="651">
          <cell r="B651">
            <v>144510</v>
          </cell>
          <cell r="C651" t="str">
            <v>DAYCOVAL ASSET MANAGEMENT ADMINISTRACAO DE RECURSOS LTDA</v>
          </cell>
          <cell r="D651" t="str">
            <v>144510 - CTL INTER</v>
          </cell>
          <cell r="E651" t="str">
            <v>DAYCOVAL ASSET MANAGEMENT ADMINISTRACAO DE RECURSOS LTDA</v>
          </cell>
        </row>
        <row r="652">
          <cell r="B652">
            <v>1446</v>
          </cell>
          <cell r="C652" t="str">
            <v>BGC LIQUIDEZ DTVM LTDA</v>
          </cell>
          <cell r="D652" t="str">
            <v>BGC LIQUIDEZ DTVM LTDA</v>
          </cell>
          <cell r="E652" t="str">
            <v>BGC LIQUIDEZ DTVM LTDA</v>
          </cell>
        </row>
        <row r="653">
          <cell r="B653">
            <v>14479</v>
          </cell>
          <cell r="C653" t="str">
            <v>BANCO SANTANDER (BRASIL) S/A</v>
          </cell>
          <cell r="D653">
            <v>62</v>
          </cell>
          <cell r="E653" t="str">
            <v>BANCO SANTANDER (BRASIL) S/A</v>
          </cell>
        </row>
        <row r="654">
          <cell r="B654">
            <v>1448</v>
          </cell>
          <cell r="C654" t="str">
            <v>BGC LIQUIDEZ DTVM LTDA</v>
          </cell>
          <cell r="D654" t="str">
            <v>BGC LIQUIDEZ DTVM LTDA</v>
          </cell>
          <cell r="E654" t="str">
            <v>BGC LIQUIDEZ DTVM LTDA</v>
          </cell>
        </row>
        <row r="655">
          <cell r="B655">
            <v>14482</v>
          </cell>
          <cell r="C655" t="str">
            <v>BANCO SANTANDER (BRASIL) S/A</v>
          </cell>
          <cell r="D655" t="str">
            <v>BANCO SANTANDER (BRASIL) S/A</v>
          </cell>
          <cell r="E655" t="str">
            <v>BANCO SANTANDER (BRASIL) S/A</v>
          </cell>
        </row>
        <row r="656">
          <cell r="B656">
            <v>1449</v>
          </cell>
          <cell r="C656" t="str">
            <v>BGC LIQUIDEZ DTVM LTDA</v>
          </cell>
          <cell r="D656" t="str">
            <v>BGC LIQUIDEZ DTVM LTDA</v>
          </cell>
          <cell r="E656" t="str">
            <v>BGC LIQUIDEZ DTVM LTDA</v>
          </cell>
        </row>
        <row r="657">
          <cell r="B657">
            <v>14498</v>
          </cell>
          <cell r="C657" t="str">
            <v>BANCO BOCOM BBM S.A</v>
          </cell>
          <cell r="D657">
            <v>21</v>
          </cell>
          <cell r="E657" t="str">
            <v>BANCO BOCOM BBM S/A</v>
          </cell>
        </row>
        <row r="658">
          <cell r="B658">
            <v>1450</v>
          </cell>
          <cell r="C658" t="str">
            <v>BGC LIQUIDEZ DTVM LTDA</v>
          </cell>
          <cell r="D658" t="str">
            <v>BGC LIQUIDEZ DTVM LTDA</v>
          </cell>
          <cell r="E658" t="str">
            <v>BGC LIQUIDEZ DTVM LTDA</v>
          </cell>
        </row>
        <row r="659">
          <cell r="B659">
            <v>1451</v>
          </cell>
          <cell r="C659" t="str">
            <v>BGC LIQUIDEZ DTVM LTDA</v>
          </cell>
          <cell r="D659" t="str">
            <v>BGC LIQUIDEZ DTVM LTDA</v>
          </cell>
          <cell r="E659" t="str">
            <v>BGC LIQUIDEZ DTVM LTDA</v>
          </cell>
        </row>
        <row r="660">
          <cell r="B660">
            <v>1452</v>
          </cell>
          <cell r="C660" t="str">
            <v>BGC LIQUIDEZ DTVM LTDA</v>
          </cell>
          <cell r="D660" t="str">
            <v>BGC LIQUIDEZ DTVM LTDA</v>
          </cell>
          <cell r="E660" t="str">
            <v>BGC LIQUIDEZ DTVM LTDA</v>
          </cell>
        </row>
        <row r="661">
          <cell r="B661">
            <v>15110</v>
          </cell>
          <cell r="C661" t="str">
            <v>BANCO SANTANDER (BRASIL) S/A</v>
          </cell>
          <cell r="D661" t="str">
            <v>62.1</v>
          </cell>
          <cell r="E661" t="str">
            <v>BANCO SANTANDER (BRASIL) S/A</v>
          </cell>
        </row>
        <row r="662">
          <cell r="B662">
            <v>15470</v>
          </cell>
          <cell r="C662" t="str">
            <v>BANCO VOTORANTIM S/A</v>
          </cell>
          <cell r="D662" t="str">
            <v>65.6</v>
          </cell>
          <cell r="E662" t="str">
            <v>BANCO VOTORANTIM S/A</v>
          </cell>
        </row>
        <row r="663">
          <cell r="B663">
            <v>15471</v>
          </cell>
          <cell r="C663" t="str">
            <v>BANCO VOTORANTIM S/A</v>
          </cell>
          <cell r="D663">
            <v>65</v>
          </cell>
          <cell r="E663" t="str">
            <v>BANCO VOTORANTIM S/A</v>
          </cell>
        </row>
        <row r="664">
          <cell r="B664">
            <v>15472</v>
          </cell>
          <cell r="C664" t="str">
            <v>BANCO VOTORANTIM S/A</v>
          </cell>
          <cell r="D664" t="str">
            <v>65.4</v>
          </cell>
          <cell r="E664" t="str">
            <v>BANCO VOTORANTIM S/A</v>
          </cell>
        </row>
        <row r="665">
          <cell r="B665">
            <v>15474</v>
          </cell>
          <cell r="C665" t="str">
            <v>BANCO VOTORANTIM S/A</v>
          </cell>
          <cell r="D665" t="str">
            <v>65.10</v>
          </cell>
          <cell r="E665" t="str">
            <v>BANCO VOTORANTIM S/A</v>
          </cell>
        </row>
        <row r="666">
          <cell r="B666">
            <v>15475</v>
          </cell>
          <cell r="C666" t="str">
            <v>BANCO VOTORANTIM S/A</v>
          </cell>
          <cell r="D666" t="str">
            <v>65.11</v>
          </cell>
          <cell r="E666" t="str">
            <v>BANCO VOTORANTIM S/A</v>
          </cell>
        </row>
        <row r="667">
          <cell r="B667">
            <v>15476</v>
          </cell>
          <cell r="C667" t="str">
            <v>BANCO VOTORANTIM S/A</v>
          </cell>
          <cell r="D667" t="str">
            <v>65.9</v>
          </cell>
          <cell r="E667" t="str">
            <v>BANCO VOTORANTIM S/A</v>
          </cell>
        </row>
        <row r="668">
          <cell r="B668">
            <v>15501</v>
          </cell>
          <cell r="C668" t="str">
            <v>BANCO BTG PACTUAL S/A</v>
          </cell>
          <cell r="D668">
            <v>26</v>
          </cell>
          <cell r="E668" t="str">
            <v>BANCO BTG PACTUAL S/A</v>
          </cell>
        </row>
        <row r="669">
          <cell r="B669">
            <v>15781</v>
          </cell>
          <cell r="C669" t="str">
            <v>BANCO SAFRA S/A</v>
          </cell>
          <cell r="D669">
            <v>59</v>
          </cell>
          <cell r="E669" t="str">
            <v>BANCO SAFRA S/A</v>
          </cell>
        </row>
        <row r="670">
          <cell r="B670">
            <v>15870</v>
          </cell>
          <cell r="C670" t="str">
            <v>TOKIO MARINE SEGURADORA S/A</v>
          </cell>
          <cell r="D670" t="str">
            <v>TOKIO MARINE SEGURADORA S/A</v>
          </cell>
          <cell r="E670" t="str">
            <v>TOKIO MARINE SEGURADORA S/A</v>
          </cell>
        </row>
        <row r="671">
          <cell r="B671">
            <v>16530</v>
          </cell>
          <cell r="C671" t="str">
            <v>BTG PACTUAL ASSET MANAGEMENT SA DTVM</v>
          </cell>
          <cell r="D671">
            <v>201</v>
          </cell>
          <cell r="E671" t="str">
            <v>BTG PACTUAL ASSET MANAGEMENT SA DTVM</v>
          </cell>
        </row>
        <row r="672">
          <cell r="B672">
            <v>16702</v>
          </cell>
          <cell r="C672" t="str">
            <v>BANCO BRADESCO S/A</v>
          </cell>
          <cell r="D672" t="str">
            <v>BANCO BRADESCO S/A</v>
          </cell>
          <cell r="E672" t="str">
            <v>BANCO BRADESCO S/A</v>
          </cell>
        </row>
        <row r="673">
          <cell r="B673">
            <v>16703</v>
          </cell>
          <cell r="C673" t="str">
            <v>BRADESCO PIONEIRO FIF CL MULT CRED PRIV RL</v>
          </cell>
          <cell r="D673" t="str">
            <v>67*</v>
          </cell>
          <cell r="E673" t="str">
            <v>BANCO BRADESCO S/A</v>
          </cell>
        </row>
        <row r="674">
          <cell r="B674">
            <v>16705</v>
          </cell>
          <cell r="C674" t="str">
            <v>BANCO BRADESCO S/A</v>
          </cell>
          <cell r="D674">
            <v>671</v>
          </cell>
          <cell r="E674" t="str">
            <v>BANCO BRADESCO S/A</v>
          </cell>
        </row>
        <row r="675">
          <cell r="B675">
            <v>12376</v>
          </cell>
          <cell r="C675" t="str">
            <v>ALASKA INVESTIMENTOS LTDA</v>
          </cell>
          <cell r="D675" t="str">
            <v>ALASKA INVESTIMENTOS LTDA</v>
          </cell>
          <cell r="E675" t="str">
            <v>ALASKA INVESTIMENTOS LTDA</v>
          </cell>
        </row>
        <row r="676">
          <cell r="B676">
            <v>12392</v>
          </cell>
          <cell r="C676" t="str">
            <v>ARGUCIACAPITAL GESTAO DE RECURSOS LTDA</v>
          </cell>
          <cell r="D676" t="str">
            <v>ARGUCIACAPITAL GESTAO DE RECURSOS LTDA</v>
          </cell>
          <cell r="E676" t="str">
            <v>ARGUCIA CAPITAL GESTAO DE RECURSOS LTDA</v>
          </cell>
        </row>
        <row r="677">
          <cell r="B677">
            <v>12395</v>
          </cell>
          <cell r="C677" t="str">
            <v>AZ QUEST INVESTIMENTOS LTDA</v>
          </cell>
          <cell r="D677">
            <v>376</v>
          </cell>
          <cell r="E677" t="str">
            <v>AZ QUEST INVESTIMENTOS LTDA</v>
          </cell>
        </row>
        <row r="678">
          <cell r="B678">
            <v>12397</v>
          </cell>
          <cell r="C678" t="str">
            <v>AGUILA CAPITAL ADM E GESTAO DE CAPITAIS LTDA</v>
          </cell>
          <cell r="D678" t="str">
            <v>AGUILA CAPITAL ADM E GESTAO DE CAPITAIS LTDA</v>
          </cell>
          <cell r="E678" t="str">
            <v>AGUILA CAPITAL ADM E GESTAO DE CAPITAIS LTDA</v>
          </cell>
        </row>
        <row r="679">
          <cell r="B679">
            <v>12402</v>
          </cell>
          <cell r="C679" t="str">
            <v>TRUXT INVESTIMENTOS LTDA</v>
          </cell>
          <cell r="D679" t="str">
            <v>TRUXT INVESTIMENTOS LTDA</v>
          </cell>
          <cell r="E679" t="str">
            <v>TRUXT INVESTIMENTOS LTDA</v>
          </cell>
        </row>
        <row r="680">
          <cell r="B680">
            <v>124028</v>
          </cell>
          <cell r="C680" t="str">
            <v>ALASKA BLACK INSTITUCIONAL FIA</v>
          </cell>
          <cell r="D680" t="str">
            <v>ALASKA BLACK INSTITUCIONAL FIA</v>
          </cell>
          <cell r="E680" t="str">
            <v>ALASKA INVESTIMENTOS LTDA</v>
          </cell>
        </row>
        <row r="681">
          <cell r="B681">
            <v>124030</v>
          </cell>
          <cell r="C681" t="str">
            <v>ADAK FIA IE</v>
          </cell>
          <cell r="D681" t="str">
            <v>ADAK FIA IE</v>
          </cell>
          <cell r="E681" t="str">
            <v>ALASKA INVESTIMENTOS LTDA</v>
          </cell>
        </row>
        <row r="682">
          <cell r="B682">
            <v>124031</v>
          </cell>
          <cell r="C682" t="str">
            <v>ATKA FIA IE</v>
          </cell>
          <cell r="D682" t="str">
            <v>ATKA FIA IE</v>
          </cell>
          <cell r="E682" t="str">
            <v>ALASKA INVESTIMENTOS LTDA</v>
          </cell>
        </row>
        <row r="683">
          <cell r="B683">
            <v>122777</v>
          </cell>
          <cell r="C683" t="str">
            <v>ASHMORE BRASIL FIM</v>
          </cell>
          <cell r="D683" t="str">
            <v>ASHMORE BRASIL FIM</v>
          </cell>
          <cell r="E683" t="str">
            <v>ASHMORE BRASIL GESTORA DE RECURSOS LTDA</v>
          </cell>
        </row>
        <row r="684">
          <cell r="B684">
            <v>12405</v>
          </cell>
          <cell r="C684" t="str">
            <v>ARTESANAL INVESTIMENTOS LTDA</v>
          </cell>
          <cell r="D684" t="str">
            <v>ARTESANAL INVESTIMENTOS LTDA</v>
          </cell>
          <cell r="E684" t="str">
            <v>ARTESANAL INVESTIMENTOS LTDA</v>
          </cell>
        </row>
        <row r="685">
          <cell r="B685">
            <v>12412</v>
          </cell>
          <cell r="C685" t="str">
            <v>BTGP WM 3 LTDA</v>
          </cell>
          <cell r="D685" t="str">
            <v>BTGP WM 3 LTDA</v>
          </cell>
          <cell r="E685" t="str">
            <v>JGP GESTAO PATRIMONIAL LTDA</v>
          </cell>
        </row>
        <row r="686">
          <cell r="B686">
            <v>12413</v>
          </cell>
          <cell r="C686" t="str">
            <v>KAPITALO INVESTIMENTOS LTDA</v>
          </cell>
          <cell r="D686">
            <v>355</v>
          </cell>
          <cell r="E686" t="str">
            <v>KAPITALO INVESTIMENTOS LTDA</v>
          </cell>
        </row>
        <row r="687">
          <cell r="B687">
            <v>124138</v>
          </cell>
          <cell r="C687" t="str">
            <v>ALASKA POLAND FIA BDR NIVEL I IE</v>
          </cell>
          <cell r="D687" t="str">
            <v>ALASKA POLAND FIA BDR NIVEL I IE</v>
          </cell>
          <cell r="E687" t="str">
            <v>ALASKA INVESTIMENTOS LTDA</v>
          </cell>
        </row>
        <row r="688">
          <cell r="B688">
            <v>12416</v>
          </cell>
          <cell r="C688" t="str">
            <v>MONGERAL AEGON INVESTIMENTOS LTDA</v>
          </cell>
          <cell r="D688" t="str">
            <v>MONGERAL AEGON INVESTIMENTOS LTDA</v>
          </cell>
          <cell r="E688" t="str">
            <v>MONGERAL AEGON INVESTIMENTOS LTDA</v>
          </cell>
        </row>
        <row r="689">
          <cell r="B689">
            <v>12422</v>
          </cell>
          <cell r="C689" t="str">
            <v>TAGUS INVESTIMENTOS LTDA</v>
          </cell>
          <cell r="D689" t="str">
            <v>TAGUS INVESTIMENTOS LTDA</v>
          </cell>
          <cell r="E689" t="str">
            <v>TAGUS INVESTIMENTOS LTDA</v>
          </cell>
        </row>
        <row r="690">
          <cell r="B690">
            <v>124251</v>
          </cell>
          <cell r="C690" t="str">
            <v>BRADESCO FIM CP IE - RV LOCAL</v>
          </cell>
          <cell r="D690" t="str">
            <v>BRADESCO FIM CP IE - RV LOCAL</v>
          </cell>
          <cell r="E690" t="str">
            <v>BRAM - BRADESCO ASSET MANAGEMENT S/A DTVM</v>
          </cell>
        </row>
        <row r="691">
          <cell r="B691">
            <v>12426</v>
          </cell>
          <cell r="C691" t="str">
            <v>SQUADRA INVESTIMENTOS GESTÃƒO DE RECURSOS LTDA</v>
          </cell>
          <cell r="D691" t="str">
            <v>SQUADRA INVESTIMENTOS GESTÃƒO DE RECURSOS LTDA</v>
          </cell>
          <cell r="E691" t="str">
            <v>SQUADRA INVESTIMENTOS GESTÃƒO DE RECURSOS LTDA</v>
          </cell>
        </row>
        <row r="692">
          <cell r="B692">
            <v>12427</v>
          </cell>
          <cell r="C692" t="str">
            <v>FORPUS CAPITAL GESTÃƒO DE RECURSOS LTDA</v>
          </cell>
          <cell r="D692" t="str">
            <v>FORPUS CAPITAL GESTÃƒO DE RECURSOS LTDA</v>
          </cell>
          <cell r="E692" t="str">
            <v>FORPUS CAPITAL GESTÃƒO DE RECURSOS LTDA</v>
          </cell>
        </row>
        <row r="693">
          <cell r="B693">
            <v>12429</v>
          </cell>
          <cell r="C693" t="str">
            <v>KAPITALO INVESTIMENTOS LTDA</v>
          </cell>
          <cell r="D693" t="str">
            <v>KAPITALO INVESTIMENTOS LTDA</v>
          </cell>
          <cell r="E693" t="str">
            <v>KAPITALO INVESTIMENTOS LTDA</v>
          </cell>
        </row>
        <row r="694">
          <cell r="B694">
            <v>124384</v>
          </cell>
          <cell r="C694" t="str">
            <v>GARIN SPECIAL FIF MULT</v>
          </cell>
          <cell r="D694" t="str">
            <v>GARIN SPECIAL FIF MULT</v>
          </cell>
          <cell r="E694" t="str">
            <v>GARIN INVESTIMENTOS LTDA</v>
          </cell>
        </row>
        <row r="695">
          <cell r="B695">
            <v>913120</v>
          </cell>
          <cell r="C695" t="str">
            <v>BGC LIQUIDEZ DTVM LTDA</v>
          </cell>
          <cell r="D695" t="str">
            <v>BGC LIQUIDEZ DTVM LTDA</v>
          </cell>
          <cell r="E695" t="str">
            <v>BGC LIQUIDEZ DTVM LTDA</v>
          </cell>
        </row>
        <row r="696">
          <cell r="B696">
            <v>913132</v>
          </cell>
          <cell r="C696" t="str">
            <v>BGC LIQUIDEZ DTVM LTDA</v>
          </cell>
          <cell r="D696" t="str">
            <v>BGC LIQUIDEZ DTVM LTDA</v>
          </cell>
          <cell r="E696" t="str">
            <v>BGC LIQUIDEZ DTVM LTDA</v>
          </cell>
        </row>
        <row r="697">
          <cell r="B697">
            <v>913133</v>
          </cell>
          <cell r="C697" t="str">
            <v>BGC LIQUIDEZ DTVM LTDA</v>
          </cell>
          <cell r="D697" t="str">
            <v>BGC LIQUIDEZ DTVM LTDA</v>
          </cell>
          <cell r="E697" t="str">
            <v>BGC LIQUIDEZ DTVM LTDA</v>
          </cell>
        </row>
        <row r="698">
          <cell r="B698">
            <v>95005</v>
          </cell>
          <cell r="C698" t="str">
            <v>BNP PARIBAS</v>
          </cell>
          <cell r="D698" t="str">
            <v>BNP PARIBAS</v>
          </cell>
          <cell r="E698" t="str">
            <v>BANCO BNP PARIBAS BRASIL S/A</v>
          </cell>
        </row>
        <row r="699">
          <cell r="B699">
            <v>95007</v>
          </cell>
          <cell r="C699" t="str">
            <v>BANCO BNP PARIBAS BRASIL S/A</v>
          </cell>
          <cell r="D699">
            <v>97</v>
          </cell>
          <cell r="E699" t="str">
            <v>BANCO BNP PARIBAS BRASIL S/A</v>
          </cell>
        </row>
        <row r="700">
          <cell r="B700">
            <v>95009</v>
          </cell>
          <cell r="C700" t="str">
            <v>BANCO BNP PARIBAS BRASIL S/A</v>
          </cell>
          <cell r="D700" t="str">
            <v>BANCO BNP PARIBAS BRASIL S/A</v>
          </cell>
          <cell r="E700" t="str">
            <v>BANCO BNP PARIBAS BRASIL S/A</v>
          </cell>
        </row>
        <row r="701">
          <cell r="B701">
            <v>95010</v>
          </cell>
          <cell r="C701" t="str">
            <v>BANCO BNP PARIBAS BRASIL S/A</v>
          </cell>
          <cell r="D701" t="str">
            <v>BANCO BNP PARIBAS BRASIL S/A</v>
          </cell>
          <cell r="E701" t="str">
            <v>BANCO BNP PARIBAS BRASIL S/A</v>
          </cell>
        </row>
        <row r="702">
          <cell r="B702">
            <v>95011</v>
          </cell>
          <cell r="C702" t="str">
            <v>BANCO BNP PARIBAS BRASIL S/A</v>
          </cell>
          <cell r="D702" t="str">
            <v>BANCO BNP PARIBAS BRASIL S/A</v>
          </cell>
          <cell r="E702" t="str">
            <v>BANCO BNP PARIBAS BRASIL S/A</v>
          </cell>
        </row>
        <row r="703">
          <cell r="B703">
            <v>95012</v>
          </cell>
          <cell r="C703" t="str">
            <v>BANCO BNP PARIBAS BRASIL S/A</v>
          </cell>
          <cell r="D703" t="str">
            <v>BANCO BNP PARIBAS BRASIL S/A</v>
          </cell>
          <cell r="E703" t="str">
            <v>BANCO BNP PARIBAS BRASIL S/A</v>
          </cell>
        </row>
        <row r="704">
          <cell r="B704">
            <v>95014</v>
          </cell>
          <cell r="C704" t="str">
            <v>BNP PARIBAS PROPRIETARIO FIM CP IE</v>
          </cell>
          <cell r="D704">
            <v>287</v>
          </cell>
          <cell r="E704" t="str">
            <v>BANCO BNP PARIBAS BRASIL S/A</v>
          </cell>
        </row>
        <row r="705">
          <cell r="B705">
            <v>988888</v>
          </cell>
          <cell r="C705" t="str">
            <v>BGC LIQUIDEZ DTVM LTDA</v>
          </cell>
          <cell r="D705" t="str">
            <v>BGC LIQUIDEZ DTVM LTDA</v>
          </cell>
          <cell r="E705" t="str">
            <v>BGC LIQUIDEZ DTVM LTDA</v>
          </cell>
        </row>
        <row r="706">
          <cell r="B706">
            <v>999985</v>
          </cell>
          <cell r="C706" t="str">
            <v>BGC LIQUIDEZ DTVM LTDA</v>
          </cell>
          <cell r="D706" t="str">
            <v>BGC LIQUIDEZ DTVM LTDA</v>
          </cell>
          <cell r="E706" t="str">
            <v>BGC LIQUIDEZ DTVM LTDA</v>
          </cell>
        </row>
        <row r="707">
          <cell r="B707">
            <v>99999</v>
          </cell>
          <cell r="C707" t="str">
            <v>BGC LIQUIDEZ DTVM LTDA</v>
          </cell>
          <cell r="D707" t="str">
            <v>BGC LIQUIDEZ DTVM LTDA</v>
          </cell>
          <cell r="E707" t="str">
            <v>BGC LIQUIDEZ DTVM LTDA</v>
          </cell>
        </row>
        <row r="708">
          <cell r="B708">
            <v>11111</v>
          </cell>
          <cell r="C708" t="str">
            <v>BGC LIQUIDEZ DTVM LTDA</v>
          </cell>
          <cell r="D708" t="str">
            <v>BGC LIQUIDEZ DTVM LTDA</v>
          </cell>
          <cell r="E708" t="str">
            <v>BGC LIQUIDEZ DTVM LTDA</v>
          </cell>
        </row>
        <row r="709">
          <cell r="B709">
            <v>1170</v>
          </cell>
          <cell r="C709" t="str">
            <v>BGC LIQUIDEZ DTVM LTDA</v>
          </cell>
          <cell r="D709" t="str">
            <v>BGC LIQUIDEZ DTVM LTDA</v>
          </cell>
          <cell r="E709" t="str">
            <v>BGC LIQUIDEZ DTVM LTDA</v>
          </cell>
        </row>
        <row r="710">
          <cell r="B710">
            <v>12223</v>
          </cell>
          <cell r="C710" t="str">
            <v>BANCO VOTORANTIM S/A</v>
          </cell>
          <cell r="D710" t="str">
            <v>BANCO VOTORANTIM S/A</v>
          </cell>
          <cell r="E710" t="str">
            <v>BANCO VOTORANTIM S/A</v>
          </cell>
        </row>
        <row r="711">
          <cell r="B711">
            <v>12277</v>
          </cell>
          <cell r="C711" t="str">
            <v>FRANKLIN TEMPLETON INVESTIMENTOS (BRASIL) LTDA</v>
          </cell>
          <cell r="D711" t="str">
            <v>FRANKLIN TEMPLETON INVESTIMENTOS (BRASIL) LTDA</v>
          </cell>
          <cell r="E711" t="str">
            <v>FRANKLIN TEMPLETON INVESTIMENTOS (BRASIL) LTDA</v>
          </cell>
        </row>
        <row r="712">
          <cell r="B712">
            <v>122798</v>
          </cell>
          <cell r="C712" t="str">
            <v>TAGUS TOP FI EM COTAS FIM</v>
          </cell>
          <cell r="D712" t="str">
            <v>TAGUS TOP FI EM COTAS FIM</v>
          </cell>
          <cell r="E712" t="str">
            <v>TAGUS INVESTIMENTOS LTDA</v>
          </cell>
        </row>
        <row r="713">
          <cell r="B713">
            <v>12284</v>
          </cell>
          <cell r="C713" t="str">
            <v>ARX INVESTIMENTOS LTDA</v>
          </cell>
          <cell r="D713">
            <v>314</v>
          </cell>
          <cell r="E713" t="str">
            <v>ARX INVESTIMENTOS LTDA</v>
          </cell>
        </row>
        <row r="714">
          <cell r="B714">
            <v>1229</v>
          </cell>
          <cell r="C714" t="str">
            <v>BGC LIQUIDEZ DTVM LTDA</v>
          </cell>
          <cell r="D714" t="str">
            <v>BGC LIQUIDEZ DTVM LTDA</v>
          </cell>
          <cell r="E714" t="str">
            <v>BGC LIQUIDEZ DTVM LTDA</v>
          </cell>
        </row>
        <row r="715">
          <cell r="B715">
            <v>122902</v>
          </cell>
          <cell r="C715" t="str">
            <v>NOVUS MACRO MASTER FIM</v>
          </cell>
          <cell r="D715" t="str">
            <v>NOVUS MACRO MASTER FIM</v>
          </cell>
          <cell r="E715" t="str">
            <v>NOVUS CAPITAL GESTORA DE RECURSOS LTDA</v>
          </cell>
        </row>
        <row r="716">
          <cell r="B716">
            <v>12296</v>
          </cell>
          <cell r="C716" t="str">
            <v>PATRIA INVESTIMENTOS LTDA</v>
          </cell>
          <cell r="D716" t="str">
            <v>PATRIA INVESTIMENTOS LTDA</v>
          </cell>
          <cell r="E716" t="str">
            <v>PATRIA INVESTIMENTOS LTDA</v>
          </cell>
        </row>
        <row r="717">
          <cell r="B717">
            <v>12313</v>
          </cell>
          <cell r="C717" t="str">
            <v>KINITRO CAPITAL GESTAO DE RECURSOS DE TERCEIROS LTDA</v>
          </cell>
          <cell r="D717" t="str">
            <v>KINITRO CAPITAL GESTAO DE RECURSOS DE TERCEIROS LTDA</v>
          </cell>
          <cell r="E717" t="str">
            <v>KINITRO CAPITAL GESTAO DE RECURSOS DE TERCEIROS LTDA</v>
          </cell>
        </row>
        <row r="718">
          <cell r="B718">
            <v>12339</v>
          </cell>
          <cell r="C718" t="str">
            <v>RPS CAPITAL ADMINISTRADORA DE RECURSOS LTDA</v>
          </cell>
          <cell r="D718" t="str">
            <v>RPS CAPITAL ADMINISTRADORA DE RECURSOS LTDA</v>
          </cell>
          <cell r="E718" t="str">
            <v>RPS CAPITAL ADMINISTRADORA DE RECURSOS LTDA</v>
          </cell>
        </row>
        <row r="719">
          <cell r="B719">
            <v>123653</v>
          </cell>
          <cell r="C719" t="str">
            <v>CLUBE DE INVESTIMENTO DOS EMPREGADOS DA VALE INVESTVALE</v>
          </cell>
          <cell r="D719" t="str">
            <v>CLUBE DE INVESTIMENTO DOS EMPREGADOS DA VALE INVESTVALE</v>
          </cell>
          <cell r="E719" t="str">
            <v>ARX INVESTIMENTOS LTDA</v>
          </cell>
        </row>
        <row r="720">
          <cell r="B720">
            <v>123663</v>
          </cell>
          <cell r="C720" t="str">
            <v>ORI CAPITAL I FIA</v>
          </cell>
          <cell r="D720" t="str">
            <v>ORI CAPITAL I FIA</v>
          </cell>
          <cell r="E720" t="str">
            <v>ORI CAPITAL LTDA</v>
          </cell>
        </row>
        <row r="721">
          <cell r="B721">
            <v>12367</v>
          </cell>
          <cell r="C721" t="str">
            <v>ORI CAPITAL LTDA</v>
          </cell>
          <cell r="D721" t="str">
            <v>ORI CAPITAL LTDA</v>
          </cell>
          <cell r="E721" t="str">
            <v>ORI CAPITAL LTDA</v>
          </cell>
        </row>
        <row r="722">
          <cell r="B722">
            <v>123697</v>
          </cell>
          <cell r="C722" t="str">
            <v>STUDIO MASTER FIA</v>
          </cell>
          <cell r="D722" t="str">
            <v>STUDIO MASTER FIA</v>
          </cell>
          <cell r="E722" t="str">
            <v>STUDIO INVESTIMENTOS ADMINISTRADORA DE RECURSOS LTDA</v>
          </cell>
        </row>
        <row r="723">
          <cell r="B723">
            <v>12370</v>
          </cell>
          <cell r="C723" t="str">
            <v>GAUSS CAPITAL GESTORA DE RECURSOS LTDA</v>
          </cell>
          <cell r="D723" t="str">
            <v>GAUSS CAPITAL GESTORA DE RECURSOS LTDA</v>
          </cell>
          <cell r="E723" t="str">
            <v>ASA ASSET GESTAO EM INVESTIMENTOS LTDA</v>
          </cell>
        </row>
        <row r="724">
          <cell r="B724">
            <v>12374</v>
          </cell>
          <cell r="C724" t="str">
            <v>STUDIO INVESTIMENTOS ADMINISTRADORA DE RECURSOS LTDA</v>
          </cell>
          <cell r="D724" t="str">
            <v>STUDIO INVESTIMENTOS ADMINISTRADORA DE RECURSOS LTDA</v>
          </cell>
          <cell r="E724" t="str">
            <v>STUDIO INVESTIMENTOS ADMINISTRADORA DE RECURSOS LTDA</v>
          </cell>
        </row>
        <row r="725">
          <cell r="B725">
            <v>123746</v>
          </cell>
          <cell r="C725" t="str">
            <v>ALASKA BLACK MASTER FIA BDR NIVEL I</v>
          </cell>
          <cell r="D725" t="str">
            <v>ALASKA BLACK MASTER FIA BDR NIVEL I</v>
          </cell>
          <cell r="E725" t="str">
            <v>ALASKA INVESTIMENTOS LTDA</v>
          </cell>
        </row>
        <row r="726">
          <cell r="B726" t="str">
            <v>M01181521000155</v>
          </cell>
          <cell r="D726" t="str">
            <v>BANCO COOPERATIVO SICREDI S/A</v>
          </cell>
          <cell r="E726" t="str">
            <v>BANCO COOPERATIVO SICREDI S/A</v>
          </cell>
        </row>
        <row r="727">
          <cell r="B727">
            <v>80052</v>
          </cell>
          <cell r="C727" t="str">
            <v>ITAU UNIBANCO S.A.</v>
          </cell>
          <cell r="D727" t="str">
            <v>ITAU UNIBANCO S.A.</v>
          </cell>
          <cell r="E727" t="str">
            <v>ITAU UNIBANCO S/A</v>
          </cell>
        </row>
        <row r="728">
          <cell r="B728">
            <v>80053</v>
          </cell>
          <cell r="C728" t="str">
            <v>SOLANA GESTORA DE RECURSOS LTDA</v>
          </cell>
          <cell r="D728" t="str">
            <v>SOLANA GESTORA DE RECURSOS LTDA</v>
          </cell>
          <cell r="E728" t="str">
            <v>SOLANA GESTORA DE RECURSOS LTDA</v>
          </cell>
        </row>
        <row r="729">
          <cell r="B729">
            <v>80056</v>
          </cell>
          <cell r="C729" t="str">
            <v>SOLANA LONG AND SHORT FIM</v>
          </cell>
          <cell r="D729" t="str">
            <v>SOLANA LONG AND SHORT FIM</v>
          </cell>
          <cell r="E729" t="str">
            <v>SOLANA GESTORA DE RECURSOS LTDA</v>
          </cell>
        </row>
        <row r="730">
          <cell r="B730">
            <v>80058</v>
          </cell>
          <cell r="C730" t="str">
            <v>BANCO CARGILL S/A</v>
          </cell>
          <cell r="D730" t="str">
            <v>BANCO CARGILL S/A</v>
          </cell>
          <cell r="E730" t="str">
            <v>BANCO CARGILL S/A</v>
          </cell>
        </row>
        <row r="731">
          <cell r="B731">
            <v>80064</v>
          </cell>
          <cell r="C731" t="str">
            <v>KONA FIM CP IE</v>
          </cell>
          <cell r="D731">
            <v>11</v>
          </cell>
          <cell r="E731" t="str">
            <v>MORGAN STANLEY ADMINISTRADORA DE CARTEIRAS S/A</v>
          </cell>
        </row>
        <row r="732">
          <cell r="B732">
            <v>12295</v>
          </cell>
          <cell r="C732" t="str">
            <v>ASHMORE BRASIL GESTORA DE RECURSOS LTDA</v>
          </cell>
          <cell r="D732" t="str">
            <v>ASHMORE BRASIL GESTORA DE RECURSOS LTDA</v>
          </cell>
          <cell r="E732" t="str">
            <v>ASHMORE BRASIL GESTORA DE RECURSOS LTDA</v>
          </cell>
        </row>
        <row r="733">
          <cell r="B733">
            <v>80066</v>
          </cell>
          <cell r="C733" t="str">
            <v>BAHIA AM RENDA VARIAVEL LTDA  (ANTIGO BBM I)</v>
          </cell>
          <cell r="D733" t="str">
            <v>6.1</v>
          </cell>
          <cell r="E733" t="str">
            <v>BAHIA AM LTDA</v>
          </cell>
        </row>
        <row r="734">
          <cell r="B734">
            <v>80067</v>
          </cell>
          <cell r="C734" t="str">
            <v>BAHIA AM RENDA FIXA LTDA ( ANTIGO BBM II)</v>
          </cell>
          <cell r="D734" t="str">
            <v>6.2</v>
          </cell>
          <cell r="E734" t="str">
            <v>BAHIA AM LTDA</v>
          </cell>
        </row>
        <row r="735">
          <cell r="B735">
            <v>80071</v>
          </cell>
          <cell r="C735" t="str">
            <v>SEARA ALIMENTOS LTDA</v>
          </cell>
          <cell r="D735" t="str">
            <v>SEARA ALIMENTOS LTDA</v>
          </cell>
          <cell r="E735" t="str">
            <v>SEARA ALIMENTOS LTDA</v>
          </cell>
        </row>
        <row r="736">
          <cell r="B736">
            <v>80072</v>
          </cell>
          <cell r="C736" t="str">
            <v>BANCO SANTANDER (BRASIL) S/A</v>
          </cell>
          <cell r="D736" t="str">
            <v>BANCO SANTANDER (BRASIL) S/A</v>
          </cell>
          <cell r="E736" t="str">
            <v>BANCO SANTANDER (BRASIL) S/A</v>
          </cell>
        </row>
        <row r="737">
          <cell r="B737">
            <v>80073</v>
          </cell>
          <cell r="C737" t="str">
            <v>BANCO SANTANDER (BRASIL) S/A</v>
          </cell>
          <cell r="D737" t="str">
            <v>BANCO SANTANDER (BRASIL) S/A</v>
          </cell>
          <cell r="E737" t="str">
            <v>BANCO SANTANDER (BRASIL) S/A</v>
          </cell>
        </row>
        <row r="738">
          <cell r="B738">
            <v>80074</v>
          </cell>
          <cell r="C738" t="str">
            <v>BANCO SANTANDER (BRASIL) S/A</v>
          </cell>
          <cell r="D738" t="str">
            <v>BANCO SANTANDER (BRASIL) S/A</v>
          </cell>
          <cell r="E738" t="str">
            <v>BANCO SANTANDER (BRASIL) S/A</v>
          </cell>
        </row>
        <row r="739">
          <cell r="B739">
            <v>80075</v>
          </cell>
          <cell r="C739" t="str">
            <v>BANCO SANTANDER (BRASIL) S/A</v>
          </cell>
          <cell r="D739" t="str">
            <v>BANCO SANTANDER (BRASIL) S/A</v>
          </cell>
          <cell r="E739" t="str">
            <v>BANCO SANTANDER (BRASIL) S/A</v>
          </cell>
        </row>
        <row r="740">
          <cell r="B740">
            <v>80076</v>
          </cell>
          <cell r="C740" t="str">
            <v>SANTANDER FI GUARUJA MULTIMERCADO CP IE</v>
          </cell>
          <cell r="D740" t="str">
            <v>SANTANDER FI GUARUJA MULTIMERCADO CP IE</v>
          </cell>
          <cell r="E740" t="str">
            <v>BANCO SANTANDER (BRASIL) S/A</v>
          </cell>
        </row>
        <row r="741">
          <cell r="B741">
            <v>80077</v>
          </cell>
          <cell r="C741" t="str">
            <v>SANTANDER FI GUARUJA MULTIMERCADO CP IE</v>
          </cell>
          <cell r="D741" t="str">
            <v>SANTANDER FI GUARUJA MULTIMERCADO CP IE</v>
          </cell>
          <cell r="E741" t="str">
            <v>BANCO SANTANDER (BRASIL) S/A</v>
          </cell>
        </row>
        <row r="742">
          <cell r="B742">
            <v>80078</v>
          </cell>
          <cell r="C742" t="str">
            <v>SANTANDER FI GUARUJA MULTIMERCADO CP IE</v>
          </cell>
          <cell r="D742" t="str">
            <v>SANTANDER FI GUARUJA MULTIMERCADO CP IE</v>
          </cell>
          <cell r="E742" t="str">
            <v>BANCO SANTANDER (BRASIL) S/A</v>
          </cell>
        </row>
        <row r="743">
          <cell r="B743">
            <v>80079</v>
          </cell>
          <cell r="C743" t="str">
            <v>SANTANDER FI GUARUJA MULTIMERCADO CP IE</v>
          </cell>
          <cell r="D743" t="str">
            <v>SANTANDER FI GUARUJA MULTIMERCADO CP IE</v>
          </cell>
          <cell r="E743" t="str">
            <v>BANCO SANTANDER (BRASIL) S/A</v>
          </cell>
        </row>
        <row r="744">
          <cell r="B744">
            <v>80080</v>
          </cell>
          <cell r="C744" t="str">
            <v>JBS S/A</v>
          </cell>
          <cell r="D744" t="str">
            <v>JBS S/A</v>
          </cell>
          <cell r="E744" t="str">
            <v>JBS S/A</v>
          </cell>
        </row>
        <row r="745">
          <cell r="B745">
            <v>80096</v>
          </cell>
          <cell r="C745" t="str">
            <v>ALASKA BLACK INSTITUCIONAL FIA</v>
          </cell>
          <cell r="D745" t="str">
            <v>ALASKA BLACK INSTITUCIONAL FIA</v>
          </cell>
          <cell r="E745" t="str">
            <v>ALASKA INVESTIMENTOS LTDA</v>
          </cell>
        </row>
        <row r="746">
          <cell r="B746">
            <v>80101</v>
          </cell>
          <cell r="C746" t="str">
            <v>RAIZEN ENERGIA S.A.</v>
          </cell>
          <cell r="D746" t="str">
            <v>RAIZEN ENERGIA S.A.</v>
          </cell>
          <cell r="E746" t="str">
            <v>RAIZEN CENTRO SUL SA</v>
          </cell>
        </row>
        <row r="747">
          <cell r="B747">
            <v>80105</v>
          </cell>
          <cell r="C747" t="str">
            <v>POLO CAPITAL GESTÃƒO DE RECURSOS LTDA</v>
          </cell>
          <cell r="D747" t="str">
            <v>POLO CAPITAL GESTÃƒO DE RECURSOS LTDA</v>
          </cell>
          <cell r="E747" t="str">
            <v>POLO CAPITAL GESTÃO DE RECURSOS LTDA</v>
          </cell>
        </row>
        <row r="748">
          <cell r="B748">
            <v>80106</v>
          </cell>
          <cell r="C748" t="str">
            <v>ITAU UNIBANCO S.A.</v>
          </cell>
          <cell r="D748" t="str">
            <v>ITAU UNIBANCO S.A.</v>
          </cell>
          <cell r="E748" t="str">
            <v>ITAU UNIBANCO S/A</v>
          </cell>
        </row>
        <row r="749">
          <cell r="B749">
            <v>80107</v>
          </cell>
          <cell r="C749" t="str">
            <v>FUNDACAO CESP</v>
          </cell>
          <cell r="D749" t="str">
            <v>FUNDACAO CESP</v>
          </cell>
          <cell r="E749" t="str">
            <v>FUNDACAO CESP</v>
          </cell>
        </row>
        <row r="750">
          <cell r="B750">
            <v>80111</v>
          </cell>
          <cell r="C750" t="str">
            <v>IBIUNA MACRO GESTÃƒO DE RECURSOS LTDA</v>
          </cell>
          <cell r="D750">
            <v>341</v>
          </cell>
          <cell r="E750" t="str">
            <v>IBIUNA GESTAO DE RECURSOS LTDA</v>
          </cell>
        </row>
        <row r="751">
          <cell r="B751">
            <v>80112</v>
          </cell>
          <cell r="C751" t="str">
            <v>BB GESTAO DE RECURSOS DTVM LTDA</v>
          </cell>
          <cell r="D751" t="str">
            <v>BB GESTAO DE RECURSOS DTVM LTDA</v>
          </cell>
          <cell r="E751" t="str">
            <v>BB GESTAO DE RECURSOS DTVM LTDA</v>
          </cell>
        </row>
        <row r="752">
          <cell r="B752">
            <v>80116</v>
          </cell>
          <cell r="C752" t="str">
            <v>OCTANTE GESTAO DE RECURSOS LTDA</v>
          </cell>
          <cell r="D752" t="str">
            <v>OCTANTE GESTAO DE RECURSOS LTDA</v>
          </cell>
          <cell r="E752" t="str">
            <v>OCTANTE GESTAO DE RECURSOS LTDA</v>
          </cell>
        </row>
        <row r="753">
          <cell r="B753">
            <v>80130</v>
          </cell>
          <cell r="C753" t="str">
            <v>BANCO SANTANDER (BRASIL) S/A</v>
          </cell>
          <cell r="D753" t="str">
            <v>BANCO SANTANDER (BRASIL) S/A</v>
          </cell>
          <cell r="E753" t="str">
            <v>BANCO SANTANDER (BRASIL) S/A</v>
          </cell>
        </row>
        <row r="754">
          <cell r="B754">
            <v>80132</v>
          </cell>
          <cell r="C754" t="str">
            <v>GLOBO COMUNICACAO E PARTICIPACOES S.A</v>
          </cell>
          <cell r="D754" t="str">
            <v>GLOBO COMUNICACAO E PARTICIPACOES S.A</v>
          </cell>
          <cell r="E754" t="str">
            <v>GLOBO COMUNICACAO E PARTICIPACOES S.A</v>
          </cell>
        </row>
        <row r="755">
          <cell r="B755">
            <v>80243</v>
          </cell>
          <cell r="C755" t="str">
            <v>BANCO SANTANDER (BRASIL) S/A</v>
          </cell>
          <cell r="D755" t="str">
            <v>BANCO SANTANDER (BRASIL) S/A</v>
          </cell>
          <cell r="E755" t="str">
            <v>BANCO SANTANDER (BRASIL) S/A</v>
          </cell>
        </row>
        <row r="756">
          <cell r="B756">
            <v>80257</v>
          </cell>
          <cell r="C756" t="str">
            <v>BANCO SANTANDER (BRASIL) S/A</v>
          </cell>
          <cell r="D756" t="str">
            <v>BANCO SANTANDER (BRASIL) S/A</v>
          </cell>
          <cell r="E756" t="str">
            <v>BANCO SANTANDER (BRASIL) S/A</v>
          </cell>
        </row>
        <row r="757">
          <cell r="B757">
            <v>80258</v>
          </cell>
          <cell r="C757" t="str">
            <v>BANCO SANTANDER (BRASIL) S/A</v>
          </cell>
          <cell r="D757" t="str">
            <v>BANCO SANTANDER (BRASIL) S/A</v>
          </cell>
          <cell r="E757" t="str">
            <v>BANCO SANTANDER (BRASIL) S/A</v>
          </cell>
        </row>
        <row r="758">
          <cell r="B758">
            <v>80259</v>
          </cell>
          <cell r="C758" t="str">
            <v>BANCO SANTANDER (BRASIL) S/A</v>
          </cell>
          <cell r="D758" t="str">
            <v>BANCO SANTANDER (BRASIL) S/A</v>
          </cell>
          <cell r="E758" t="str">
            <v>BANCO SANTANDER (BRASIL) S/A</v>
          </cell>
        </row>
        <row r="759">
          <cell r="B759">
            <v>80260</v>
          </cell>
          <cell r="C759" t="str">
            <v>BANCO SANTANDER (BRASIL) S/A</v>
          </cell>
          <cell r="D759" t="str">
            <v>BANCO SANTANDER (BRASIL) S/A</v>
          </cell>
          <cell r="E759" t="str">
            <v>BANCO SANTANDER (BRASIL) S/A</v>
          </cell>
        </row>
        <row r="760">
          <cell r="B760">
            <v>80261</v>
          </cell>
          <cell r="C760" t="str">
            <v>BANCO SANTANDER (BRASIL) S/A</v>
          </cell>
          <cell r="D760" t="str">
            <v>BANCO SANTANDER (BRASIL) S/A</v>
          </cell>
          <cell r="E760" t="str">
            <v>BANCO SANTANDER (BRASIL) S/A</v>
          </cell>
        </row>
        <row r="761">
          <cell r="B761">
            <v>80262</v>
          </cell>
          <cell r="C761" t="str">
            <v>BANCO SANTANDER (BRASIL) S/A</v>
          </cell>
          <cell r="D761" t="str">
            <v>BANCO SANTANDER (BRASIL) S/A</v>
          </cell>
          <cell r="E761" t="str">
            <v>BANCO SANTANDER (BRASIL) S/A</v>
          </cell>
        </row>
        <row r="762">
          <cell r="B762">
            <v>80263</v>
          </cell>
          <cell r="C762" t="str">
            <v>BANCO SANTANDER (BRASIL) S/A</v>
          </cell>
          <cell r="D762" t="str">
            <v>BANCO SANTANDER (BRASIL) S/A</v>
          </cell>
          <cell r="E762" t="str">
            <v>BANCO SANTANDER (BRASIL) S/A</v>
          </cell>
        </row>
        <row r="763">
          <cell r="B763">
            <v>80264</v>
          </cell>
          <cell r="C763" t="str">
            <v>BANCO SANTANDER (BRASIL) S/A</v>
          </cell>
          <cell r="D763" t="str">
            <v>BANCO SANTANDER (BRASIL) S/A</v>
          </cell>
          <cell r="E763" t="str">
            <v>BANCO SANTANDER (BRASIL) S/A</v>
          </cell>
        </row>
        <row r="764">
          <cell r="B764">
            <v>80265</v>
          </cell>
          <cell r="C764" t="str">
            <v>BANCO SANTANDER (BRASIL) S/A</v>
          </cell>
          <cell r="D764" t="str">
            <v>BANCO SANTANDER (BRASIL) S/A</v>
          </cell>
          <cell r="E764" t="str">
            <v>BANCO SANTANDER (BRASIL) S/A</v>
          </cell>
        </row>
        <row r="765">
          <cell r="B765">
            <v>80212</v>
          </cell>
          <cell r="C765" t="str">
            <v>JP MORGAN SECURITIES PLC</v>
          </cell>
          <cell r="D765" t="str">
            <v>JP MORGAN SECURITIES PLC</v>
          </cell>
          <cell r="E765" t="str">
            <v>BANCO JP MORGAN S/A</v>
          </cell>
        </row>
        <row r="766">
          <cell r="B766">
            <v>80215</v>
          </cell>
          <cell r="C766" t="str">
            <v>OPPORTUNITY ASSET ADMINISTRADORA DE RECURSOS TERCEIROS LTDA</v>
          </cell>
          <cell r="D766" t="str">
            <v>OPPORTUNITY ASSET ADMINISTRADORA DE RECURSOS TERCEIROS LTDA</v>
          </cell>
          <cell r="E766" t="str">
            <v>OPPORTUNITY GESTAO DE INVESTIMENTOS E RECURSOS LTDA</v>
          </cell>
        </row>
        <row r="767">
          <cell r="B767">
            <v>80217</v>
          </cell>
          <cell r="C767" t="str">
            <v>RIO BRAVO INVESTIMENTOS LTDA</v>
          </cell>
          <cell r="D767" t="str">
            <v>RIO BRAVO INVESTIMENTOS LTDA</v>
          </cell>
          <cell r="E767" t="str">
            <v>RIO BRAVO INVESTIMENTOS LTDA</v>
          </cell>
        </row>
        <row r="768">
          <cell r="B768">
            <v>80218</v>
          </cell>
          <cell r="C768" t="str">
            <v>OPPORTUNITY GESTAO DE INVESTIMENTOS E RECURSOS LTDA</v>
          </cell>
          <cell r="D768" t="str">
            <v>OPPORTUNITY GESTAO DE INVESTIMENTOS E RECURSOS LTDA</v>
          </cell>
          <cell r="E768" t="str">
            <v>OPPORTUNITY GESTAO DE INVESTIMENTOS E RECURSOS LTDA</v>
          </cell>
        </row>
        <row r="769">
          <cell r="B769">
            <v>80219</v>
          </cell>
          <cell r="C769" t="str">
            <v>ITAU UNIBANCO S.A.</v>
          </cell>
          <cell r="D769" t="str">
            <v>ITAU UNIBANCO S.A.</v>
          </cell>
          <cell r="E769" t="str">
            <v>ITAU UNIBANCO S/A</v>
          </cell>
        </row>
        <row r="770">
          <cell r="B770">
            <v>80220</v>
          </cell>
          <cell r="C770" t="str">
            <v>ITAU UNIBANCO S.A.</v>
          </cell>
          <cell r="D770" t="str">
            <v>ITAU UNIBANCO S.A.</v>
          </cell>
          <cell r="E770" t="str">
            <v>ITAU UNIBANCO S/A</v>
          </cell>
        </row>
        <row r="771">
          <cell r="B771">
            <v>80221</v>
          </cell>
          <cell r="C771" t="str">
            <v>ITAU UNIBANCO S.A.</v>
          </cell>
          <cell r="D771" t="str">
            <v>ITAU UNIBANCO S.A.</v>
          </cell>
          <cell r="E771" t="str">
            <v>ITAU UNIBANCO S/A</v>
          </cell>
        </row>
        <row r="772">
          <cell r="B772">
            <v>80222</v>
          </cell>
          <cell r="C772" t="str">
            <v>ITAU UNIBANCO S.A.</v>
          </cell>
          <cell r="D772" t="str">
            <v>ITAU UNIBANCO S.A.</v>
          </cell>
          <cell r="E772" t="str">
            <v>ITAU UNIBANCO S/A</v>
          </cell>
        </row>
        <row r="773">
          <cell r="B773">
            <v>80223</v>
          </cell>
          <cell r="C773" t="str">
            <v>ITAU UNIBANCO S.A.</v>
          </cell>
          <cell r="D773" t="str">
            <v>ITAU UNIBANCO S.A.</v>
          </cell>
          <cell r="E773" t="str">
            <v>ITAU UNIBANCO S/A</v>
          </cell>
        </row>
        <row r="774">
          <cell r="B774">
            <v>80224</v>
          </cell>
          <cell r="C774" t="str">
            <v>ITAU UNIBANCO S.A.</v>
          </cell>
          <cell r="D774" t="str">
            <v>ITAU UNIBANCO S.A.</v>
          </cell>
          <cell r="E774" t="str">
            <v>ITAU UNIBANCO S/A</v>
          </cell>
        </row>
        <row r="775">
          <cell r="B775">
            <v>80225</v>
          </cell>
          <cell r="C775" t="str">
            <v>ITAU UNIBANCO S.A.</v>
          </cell>
          <cell r="D775" t="str">
            <v>ITAU UNIBANCO S.A.</v>
          </cell>
          <cell r="E775" t="str">
            <v>ITAU UNIBANCO S/A</v>
          </cell>
        </row>
        <row r="776">
          <cell r="B776">
            <v>80226</v>
          </cell>
          <cell r="C776" t="str">
            <v>ITAU UNIBANCO S.A.</v>
          </cell>
          <cell r="D776" t="str">
            <v>ITAU UNIBANCO S.A.</v>
          </cell>
          <cell r="E776" t="str">
            <v>ITAU UNIBANCO S/A</v>
          </cell>
        </row>
        <row r="777">
          <cell r="B777">
            <v>80227</v>
          </cell>
          <cell r="C777" t="str">
            <v>ITAU UNIBANCO S.A.</v>
          </cell>
          <cell r="D777" t="str">
            <v>ITAU UNIBANCO S.A.</v>
          </cell>
          <cell r="E777" t="str">
            <v>ITAU UNIBANCO S/A</v>
          </cell>
        </row>
        <row r="778">
          <cell r="B778">
            <v>80233</v>
          </cell>
          <cell r="C778" t="str">
            <v>BANCO ABC BRASIL S/A</v>
          </cell>
          <cell r="D778" t="str">
            <v>175*</v>
          </cell>
          <cell r="E778" t="str">
            <v>BANCO ABC BRASIL S/A</v>
          </cell>
        </row>
        <row r="779">
          <cell r="B779">
            <v>80238</v>
          </cell>
          <cell r="C779" t="str">
            <v>ITAU UNIBANCO S.A.</v>
          </cell>
          <cell r="D779" t="str">
            <v>ITAU UNIBANCO S.A.</v>
          </cell>
          <cell r="E779" t="str">
            <v>ITAU UNIBANCO S/A</v>
          </cell>
        </row>
        <row r="780">
          <cell r="B780">
            <v>80240</v>
          </cell>
          <cell r="C780" t="str">
            <v>KINEA INVESTIMENTOS LTDA</v>
          </cell>
          <cell r="D780" t="str">
            <v>KINEA INVESTIMENTOS LTDA</v>
          </cell>
          <cell r="E780" t="str">
            <v>KINEA INVESTIMENTOS LTDA</v>
          </cell>
        </row>
        <row r="781">
          <cell r="B781">
            <v>80242</v>
          </cell>
          <cell r="C781" t="str">
            <v>CONCORDIA TI FIM LP</v>
          </cell>
          <cell r="D781" t="str">
            <v>CONCORDIA TI FIM LP</v>
          </cell>
          <cell r="E781" t="str">
            <v>CONCORDIA GESTAO DE RECURSOS LTDA</v>
          </cell>
        </row>
        <row r="782">
          <cell r="B782">
            <v>80266</v>
          </cell>
          <cell r="C782" t="str">
            <v>BANCO SANTANDER (BRASIL) S/A</v>
          </cell>
          <cell r="D782" t="str">
            <v>BANCO SANTANDER (BRASIL) S/A</v>
          </cell>
          <cell r="E782" t="str">
            <v>BANCO SANTANDER (BRASIL) S/A</v>
          </cell>
        </row>
        <row r="783">
          <cell r="B783">
            <v>80244</v>
          </cell>
          <cell r="C783" t="str">
            <v>BANCO DE INVESTIMENTOS UBS (BRASIL) S.A.</v>
          </cell>
          <cell r="D783" t="str">
            <v>BANCO DE INVESTIMENTOS UBS (BRASIL) S.A.</v>
          </cell>
          <cell r="E783" t="str">
            <v>BANCO DE INVESTIMENTO CREDIT SUISSE (BRASIL) S/A</v>
          </cell>
        </row>
        <row r="784">
          <cell r="B784">
            <v>80245</v>
          </cell>
          <cell r="C784" t="str">
            <v>CREDIT SUISSE (BRASIL) S/A CTVM</v>
          </cell>
          <cell r="D784" t="str">
            <v>CREDIT SUISSE (BRASIL) S/A CTVM</v>
          </cell>
          <cell r="E784" t="str">
            <v>CREDIT SUISSE (BRASIL) S/A CTVM</v>
          </cell>
        </row>
        <row r="785">
          <cell r="B785">
            <v>80250</v>
          </cell>
          <cell r="C785" t="str">
            <v>RIO PARTNERS BV</v>
          </cell>
          <cell r="D785" t="str">
            <v>22*</v>
          </cell>
          <cell r="E785" t="str">
            <v>BANCO BNP PARIBAS BRASIL S/A</v>
          </cell>
        </row>
        <row r="786">
          <cell r="B786">
            <v>80267</v>
          </cell>
          <cell r="C786" t="str">
            <v>BANCO SANTANDER (BRASIL) S/A</v>
          </cell>
          <cell r="D786" t="str">
            <v>BANCO SANTANDER (BRASIL) S/A</v>
          </cell>
          <cell r="E786" t="str">
            <v>BANCO SANTANDER (BRASIL) S/A</v>
          </cell>
        </row>
        <row r="787">
          <cell r="B787">
            <v>80268</v>
          </cell>
          <cell r="C787" t="str">
            <v>BANCO SANTANDER (BRASIL) S/A</v>
          </cell>
          <cell r="D787" t="str">
            <v>BANCO SANTANDER (BRASIL) S/A</v>
          </cell>
          <cell r="E787" t="str">
            <v>BANCO SANTANDER (BRASIL) S/A</v>
          </cell>
        </row>
        <row r="788">
          <cell r="B788">
            <v>80269</v>
          </cell>
          <cell r="C788" t="str">
            <v>BANCO SANTANDER (BRASIL) S/A</v>
          </cell>
          <cell r="D788" t="str">
            <v>BANCO SANTANDER (BRASIL) S/A</v>
          </cell>
          <cell r="E788" t="str">
            <v>BANCO SANTANDER (BRASIL) S/A</v>
          </cell>
        </row>
        <row r="789">
          <cell r="B789">
            <v>80270</v>
          </cell>
          <cell r="C789" t="str">
            <v>BANCO SANTANDER (BRASIL) S/A</v>
          </cell>
          <cell r="D789" t="str">
            <v>BANCO SANTANDER (BRASIL) S/A</v>
          </cell>
          <cell r="E789" t="str">
            <v>BANCO SANTANDER (BRASIL) S/A</v>
          </cell>
        </row>
        <row r="790">
          <cell r="B790">
            <v>80271</v>
          </cell>
          <cell r="C790" t="str">
            <v>BANCO SANTANDER (BRASIL) S/A</v>
          </cell>
          <cell r="D790" t="str">
            <v>BANCO SANTANDER (BRASIL) S/A</v>
          </cell>
          <cell r="E790" t="str">
            <v>BANCO SANTANDER (BRASIL) S/A</v>
          </cell>
        </row>
        <row r="791">
          <cell r="B791">
            <v>80272</v>
          </cell>
          <cell r="C791" t="str">
            <v>BANCO SANTANDER (BRASIL) S/A</v>
          </cell>
          <cell r="D791" t="str">
            <v>BANCO SANTANDER (BRASIL) S/A</v>
          </cell>
          <cell r="E791" t="str">
            <v>BANCO SANTANDER (BRASIL) S/A</v>
          </cell>
        </row>
        <row r="792">
          <cell r="B792">
            <v>80273</v>
          </cell>
          <cell r="C792" t="str">
            <v>BANCO SANTANDER (BRASIL) S/A</v>
          </cell>
          <cell r="D792" t="str">
            <v>BANCO SANTANDER (BRASIL) S/A</v>
          </cell>
          <cell r="E792" t="str">
            <v>BANCO SANTANDER (BRASIL) S/A</v>
          </cell>
        </row>
        <row r="793">
          <cell r="B793">
            <v>80274</v>
          </cell>
          <cell r="C793" t="str">
            <v>BANCO SANTANDER (BRASIL) S/A</v>
          </cell>
          <cell r="D793" t="str">
            <v>BANCO SANTANDER (BRASIL) S/A</v>
          </cell>
          <cell r="E793" t="str">
            <v>BANCO SANTANDER (BRASIL) S/A</v>
          </cell>
        </row>
        <row r="794">
          <cell r="B794">
            <v>80275</v>
          </cell>
          <cell r="C794" t="str">
            <v>BANCO SANTANDER (BRASIL) S/A</v>
          </cell>
          <cell r="D794" t="str">
            <v>BANCO SANTANDER (BRASIL) S/A</v>
          </cell>
          <cell r="E794" t="str">
            <v>BANCO SANTANDER (BRASIL) S/A</v>
          </cell>
        </row>
        <row r="795">
          <cell r="B795">
            <v>80276</v>
          </cell>
          <cell r="C795" t="str">
            <v>BANCO SANTANDER (BRASIL) S/A</v>
          </cell>
          <cell r="D795" t="str">
            <v>BANCO SANTANDER (BRASIL) S/A</v>
          </cell>
          <cell r="E795" t="str">
            <v>BANCO SANTANDER (BRASIL) S/A</v>
          </cell>
        </row>
        <row r="796">
          <cell r="B796">
            <v>80277</v>
          </cell>
          <cell r="C796" t="str">
            <v>BANCO SANTANDER (BRASIL) S/A</v>
          </cell>
          <cell r="D796" t="str">
            <v>BANCO SANTANDER (BRASIL) S/A</v>
          </cell>
          <cell r="E796" t="str">
            <v>BANCO SANTANDER (BRASIL) S/A</v>
          </cell>
        </row>
        <row r="797">
          <cell r="B797">
            <v>80278</v>
          </cell>
          <cell r="C797" t="str">
            <v>BANCO SANTANDER (BRASIL) S/A</v>
          </cell>
          <cell r="D797" t="str">
            <v>BANCO SANTANDER (BRASIL) S/A</v>
          </cell>
          <cell r="E797" t="str">
            <v>BANCO SANTANDER (BRASIL) S/A</v>
          </cell>
        </row>
        <row r="798">
          <cell r="B798">
            <v>80279</v>
          </cell>
          <cell r="C798" t="str">
            <v>BANCO SANTANDER (BRASIL) S/A</v>
          </cell>
          <cell r="D798" t="str">
            <v>BANCO SANTANDER (BRASIL) S/A</v>
          </cell>
          <cell r="E798" t="str">
            <v>BANCO SANTANDER (BRASIL) S/A</v>
          </cell>
        </row>
        <row r="799">
          <cell r="B799">
            <v>80280</v>
          </cell>
          <cell r="C799" t="str">
            <v>BANCO SANTANDER (BRASIL) S/A</v>
          </cell>
          <cell r="D799" t="str">
            <v>BANCO SANTANDER (BRASIL) S/A</v>
          </cell>
          <cell r="E799" t="str">
            <v>BANCO SANTANDER (BRASIL) S/A</v>
          </cell>
        </row>
        <row r="800">
          <cell r="B800">
            <v>80281</v>
          </cell>
          <cell r="C800" t="str">
            <v>BANCO SANTANDER (BRASIL) S/A</v>
          </cell>
          <cell r="D800" t="str">
            <v>BANCO SANTANDER (BRASIL) S/A</v>
          </cell>
          <cell r="E800" t="str">
            <v>BANCO SANTANDER (BRASIL) S/A</v>
          </cell>
        </row>
        <row r="801">
          <cell r="B801">
            <v>80282</v>
          </cell>
          <cell r="C801" t="str">
            <v>BANCO SANTANDER (BRASIL) S/A</v>
          </cell>
          <cell r="D801" t="str">
            <v>BANCO SANTANDER (BRASIL) S/A</v>
          </cell>
          <cell r="E801" t="str">
            <v>BANCO SANTANDER (BRASIL) S/A</v>
          </cell>
        </row>
        <row r="802">
          <cell r="B802">
            <v>80283</v>
          </cell>
          <cell r="C802" t="str">
            <v>BANCO SANTANDER (BRASIL) S/A</v>
          </cell>
          <cell r="D802" t="str">
            <v>BANCO SANTANDER (BRASIL) S/A</v>
          </cell>
          <cell r="E802" t="str">
            <v>BANCO SANTANDER (BRASIL) S/A</v>
          </cell>
        </row>
        <row r="803">
          <cell r="B803">
            <v>80284</v>
          </cell>
          <cell r="C803" t="str">
            <v>BANCO SANTANDER (BRASIL) S/A</v>
          </cell>
          <cell r="D803" t="str">
            <v>BANCO SANTANDER (BRASIL) S/A</v>
          </cell>
          <cell r="E803" t="str">
            <v>BANCO SANTANDER (BRASIL) S/A</v>
          </cell>
        </row>
        <row r="804">
          <cell r="B804">
            <v>80285</v>
          </cell>
          <cell r="C804" t="str">
            <v>BANCO SANTANDER (BRASIL) S/A</v>
          </cell>
          <cell r="D804">
            <v>7</v>
          </cell>
          <cell r="E804" t="str">
            <v>BANCO SANTANDER (BRASIL) S/A</v>
          </cell>
        </row>
        <row r="805">
          <cell r="B805">
            <v>80286</v>
          </cell>
          <cell r="C805" t="str">
            <v>BANCO SANTANDER (BRASIL) S/A</v>
          </cell>
          <cell r="D805" t="str">
            <v>BANCO SANTANDER (BRASIL) S/A</v>
          </cell>
          <cell r="E805" t="str">
            <v>BANCO SANTANDER (BRASIL) S/A</v>
          </cell>
        </row>
        <row r="806">
          <cell r="B806">
            <v>80287</v>
          </cell>
          <cell r="C806" t="str">
            <v>BANCO SANTANDER (BRASIL) S/A</v>
          </cell>
          <cell r="D806" t="str">
            <v>BANCO SANTANDER (BRASIL) S/A</v>
          </cell>
          <cell r="E806" t="str">
            <v>BANCO SANTANDER (BRASIL) S/A</v>
          </cell>
        </row>
        <row r="807">
          <cell r="B807">
            <v>80288</v>
          </cell>
          <cell r="C807" t="str">
            <v>BANCO SANTANDER (BRASIL) S/A</v>
          </cell>
          <cell r="D807" t="str">
            <v>BANCO SANTANDER (BRASIL) S/A</v>
          </cell>
          <cell r="E807" t="str">
            <v>BANCO SANTANDER (BRASIL) S/A</v>
          </cell>
        </row>
        <row r="808">
          <cell r="B808">
            <v>80289</v>
          </cell>
          <cell r="C808" t="str">
            <v>BANCO SANTANDER (BRASIL) S/A</v>
          </cell>
          <cell r="D808" t="str">
            <v>BANCO SANTANDER (BRASIL) S/A</v>
          </cell>
          <cell r="E808" t="str">
            <v>BANCO SANTANDER (BRASIL) S/A</v>
          </cell>
        </row>
        <row r="809">
          <cell r="B809">
            <v>80290</v>
          </cell>
          <cell r="C809" t="str">
            <v>BANCO SANTANDER (BRASIL) S/A</v>
          </cell>
          <cell r="D809" t="str">
            <v>BANCO SANTANDER (BRASIL) S/A</v>
          </cell>
          <cell r="E809" t="str">
            <v>BANCO SANTANDER (BRASIL) S/A</v>
          </cell>
        </row>
        <row r="810">
          <cell r="B810">
            <v>80291</v>
          </cell>
          <cell r="C810" t="str">
            <v>BANCO SANTANDER (BRASIL) S/A</v>
          </cell>
          <cell r="D810" t="str">
            <v>BANCO SANTANDER (BRASIL) S/A</v>
          </cell>
          <cell r="E810" t="str">
            <v>BANCO SANTANDER (BRASIL) S/A</v>
          </cell>
        </row>
        <row r="811">
          <cell r="B811">
            <v>80292</v>
          </cell>
          <cell r="C811" t="str">
            <v>BANCO SANTANDER (BRASIL) S/A</v>
          </cell>
          <cell r="D811" t="str">
            <v>BANCO SANTANDER (BRASIL) S/A</v>
          </cell>
          <cell r="E811" t="str">
            <v>BANCO SANTANDER (BRASIL) S/A</v>
          </cell>
        </row>
        <row r="812">
          <cell r="B812">
            <v>80293</v>
          </cell>
          <cell r="C812" t="str">
            <v>BANCO SANTANDER (BRASIL) S/A</v>
          </cell>
          <cell r="D812" t="str">
            <v>BANCO SANTANDER (BRASIL) S/A</v>
          </cell>
          <cell r="E812" t="str">
            <v>BANCO SANTANDER (BRASIL) S/A</v>
          </cell>
        </row>
        <row r="813">
          <cell r="B813">
            <v>80294</v>
          </cell>
          <cell r="C813" t="str">
            <v>BANCO SANTANDER (BRASIL) S/A</v>
          </cell>
          <cell r="D813" t="str">
            <v>BANCO SANTANDER (BRASIL) S/A</v>
          </cell>
          <cell r="E813" t="str">
            <v>BANCO SANTANDER (BRASIL) S/A</v>
          </cell>
        </row>
        <row r="814">
          <cell r="B814">
            <v>80295</v>
          </cell>
          <cell r="C814" t="str">
            <v>BANCO SANTANDER (BRASIL) S/A</v>
          </cell>
          <cell r="D814" t="str">
            <v>BANCO SANTANDER (BRASIL) S/A</v>
          </cell>
          <cell r="E814" t="str">
            <v>BANCO SANTANDER (BRASIL) S/A</v>
          </cell>
        </row>
        <row r="815">
          <cell r="B815">
            <v>80296</v>
          </cell>
          <cell r="C815" t="str">
            <v>BANCO SANTANDER (BRASIL) S/A</v>
          </cell>
          <cell r="D815" t="str">
            <v>BANCO SANTANDER (BRASIL) S/A</v>
          </cell>
          <cell r="E815" t="str">
            <v>BANCO SANTANDER (BRASIL) S/A</v>
          </cell>
        </row>
        <row r="816">
          <cell r="B816">
            <v>80297</v>
          </cell>
          <cell r="C816" t="str">
            <v>BANCO SANTANDER (BRASIL) S/A</v>
          </cell>
          <cell r="D816" t="str">
            <v>BANCO SANTANDER (BRASIL) S/A</v>
          </cell>
          <cell r="E816" t="str">
            <v>BANCO SANTANDER (BRASIL) S/A</v>
          </cell>
        </row>
        <row r="817">
          <cell r="B817">
            <v>80298</v>
          </cell>
          <cell r="C817" t="str">
            <v>BANCO SANTANDER (BRASIL) S/A</v>
          </cell>
          <cell r="D817" t="str">
            <v>BANCO SANTANDER (BRASIL) S/A</v>
          </cell>
          <cell r="E817" t="str">
            <v>BANCO SANTANDER (BRASIL) S/A</v>
          </cell>
        </row>
        <row r="818">
          <cell r="B818">
            <v>80299</v>
          </cell>
          <cell r="C818" t="str">
            <v>BANCO SANTANDER (BRASIL) S/A</v>
          </cell>
          <cell r="D818" t="str">
            <v>BANCO SANTANDER (BRASIL) S/A</v>
          </cell>
          <cell r="E818" t="str">
            <v>BANCO SANTANDER (BRASIL) S/A</v>
          </cell>
        </row>
        <row r="819">
          <cell r="B819">
            <v>80300</v>
          </cell>
          <cell r="C819" t="str">
            <v>BANCO SANTANDER (BRASIL) S/A</v>
          </cell>
          <cell r="D819" t="str">
            <v>BANCO SANTANDER (BRASIL) S/A</v>
          </cell>
          <cell r="E819" t="str">
            <v>BANCO SANTANDER (BRASIL) S/A</v>
          </cell>
        </row>
        <row r="820">
          <cell r="B820">
            <v>80301</v>
          </cell>
          <cell r="C820" t="str">
            <v>BANCO SANTANDER (BRASIL) S/A</v>
          </cell>
          <cell r="D820" t="str">
            <v>BANCO SANTANDER (BRASIL) S/A</v>
          </cell>
          <cell r="E820" t="str">
            <v>BANCO SANTANDER (BRASIL) S/A</v>
          </cell>
        </row>
        <row r="821">
          <cell r="B821">
            <v>80302</v>
          </cell>
          <cell r="C821" t="str">
            <v>BANCO SANTANDER (BRASIL) S/A</v>
          </cell>
          <cell r="D821" t="str">
            <v>BANCO SANTANDER (BRASIL) S/A</v>
          </cell>
          <cell r="E821" t="str">
            <v>BANCO SANTANDER (BRASIL) S/A</v>
          </cell>
        </row>
        <row r="822">
          <cell r="B822">
            <v>80303</v>
          </cell>
          <cell r="C822" t="str">
            <v>BANCO SANTANDER (BRASIL) S/A</v>
          </cell>
          <cell r="D822" t="str">
            <v>BANCO SANTANDER (BRASIL) S/A</v>
          </cell>
          <cell r="E822" t="str">
            <v>BANCO SANTANDER (BRASIL) S/A</v>
          </cell>
        </row>
        <row r="823">
          <cell r="B823">
            <v>80304</v>
          </cell>
          <cell r="C823" t="str">
            <v>BANCO SANTANDER (BRASIL) S/A</v>
          </cell>
          <cell r="D823" t="str">
            <v>BANCO SANTANDER (BRASIL) S/A</v>
          </cell>
          <cell r="E823" t="str">
            <v>BANCO SANTANDER (BRASIL) S/A</v>
          </cell>
        </row>
        <row r="824">
          <cell r="B824">
            <v>80305</v>
          </cell>
          <cell r="C824" t="str">
            <v>BANCO SANTANDER (BRASIL) S/A</v>
          </cell>
          <cell r="D824" t="str">
            <v>BANCO SANTANDER (BRASIL) S/A</v>
          </cell>
          <cell r="E824" t="str">
            <v>BANCO SANTANDER (BRASIL) S/A</v>
          </cell>
        </row>
        <row r="825">
          <cell r="B825">
            <v>80306</v>
          </cell>
          <cell r="C825" t="str">
            <v>BANCO SANTANDER (BRASIL) S/A</v>
          </cell>
          <cell r="D825" t="str">
            <v>BANCO SANTANDER (BRASIL) S/A</v>
          </cell>
          <cell r="E825" t="str">
            <v>BANCO SANTANDER (BRASIL) S/A</v>
          </cell>
        </row>
        <row r="826">
          <cell r="B826">
            <v>80307</v>
          </cell>
          <cell r="C826" t="str">
            <v>BANCO SANTANDER (BRASIL) S/A</v>
          </cell>
          <cell r="D826" t="str">
            <v>BANCO SANTANDER (BRASIL) S/A</v>
          </cell>
          <cell r="E826" t="str">
            <v>BANCO SANTANDER (BRASIL) S/A</v>
          </cell>
        </row>
        <row r="827">
          <cell r="B827">
            <v>80308</v>
          </cell>
          <cell r="C827" t="str">
            <v>BANCO SANTANDER (BRASIL) S/A</v>
          </cell>
          <cell r="D827" t="str">
            <v>BANCO SANTANDER (BRASIL) S/A</v>
          </cell>
          <cell r="E827" t="str">
            <v>BANCO SANTANDER (BRASIL) S/A</v>
          </cell>
        </row>
        <row r="828">
          <cell r="B828">
            <v>80309</v>
          </cell>
          <cell r="C828" t="str">
            <v>BANCO SANTANDER (BRASIL) S/A</v>
          </cell>
          <cell r="D828" t="str">
            <v>BANCO SANTANDER (BRASIL) S/A</v>
          </cell>
          <cell r="E828" t="str">
            <v>BANCO SANTANDER (BRASIL) S/A</v>
          </cell>
        </row>
        <row r="829">
          <cell r="B829">
            <v>80310</v>
          </cell>
          <cell r="C829" t="str">
            <v>BANCO SANTANDER (BRASIL) S/A</v>
          </cell>
          <cell r="D829" t="str">
            <v>BANCO SANTANDER (BRASIL) S/A</v>
          </cell>
          <cell r="E829" t="str">
            <v>BANCO SANTANDER (BRASIL) S/A</v>
          </cell>
        </row>
        <row r="830">
          <cell r="B830">
            <v>80311</v>
          </cell>
          <cell r="C830" t="str">
            <v>BANCO SANTANDER (BRASIL) S/A</v>
          </cell>
          <cell r="D830" t="str">
            <v>BANCO SANTANDER (BRASIL) S/A</v>
          </cell>
          <cell r="E830" t="str">
            <v>BANCO SANTANDER (BRASIL) S/A</v>
          </cell>
        </row>
        <row r="831">
          <cell r="B831">
            <v>80312</v>
          </cell>
          <cell r="C831" t="str">
            <v>BANCO SANTANDER (BRASIL) S/A</v>
          </cell>
          <cell r="D831" t="str">
            <v>BANCO SANTANDER (BRASIL) S/A</v>
          </cell>
          <cell r="E831" t="str">
            <v>BANCO SANTANDER (BRASIL) S/A</v>
          </cell>
        </row>
        <row r="832">
          <cell r="B832">
            <v>80362</v>
          </cell>
          <cell r="C832" t="str">
            <v>BANCO SANTANDER (BRASIL) S/A</v>
          </cell>
          <cell r="D832" t="str">
            <v>BANCO SANTANDER (BRASIL) S/A</v>
          </cell>
          <cell r="E832" t="str">
            <v>BANCO SANTANDER (BRASIL) S/A</v>
          </cell>
        </row>
        <row r="833">
          <cell r="B833">
            <v>80363</v>
          </cell>
          <cell r="C833" t="str">
            <v>BANCO SANTANDER (BRASIL) S/A</v>
          </cell>
          <cell r="D833" t="str">
            <v>BANCO SANTANDER (BRASIL) S/A</v>
          </cell>
          <cell r="E833" t="str">
            <v>BANCO SANTANDER (BRASIL) S/A</v>
          </cell>
        </row>
        <row r="834">
          <cell r="B834">
            <v>80364</v>
          </cell>
          <cell r="C834" t="str">
            <v>BANCO SANTANDER (BRASIL) S/A</v>
          </cell>
          <cell r="D834" t="str">
            <v>BANCO SANTANDER (BRASIL) S/A</v>
          </cell>
          <cell r="E834" t="str">
            <v>BANCO SANTANDER (BRASIL) S/A</v>
          </cell>
        </row>
        <row r="835">
          <cell r="B835">
            <v>80365</v>
          </cell>
          <cell r="C835" t="str">
            <v>BANCO SANTANDER (BRASIL) S/A</v>
          </cell>
          <cell r="D835" t="str">
            <v>BANCO SANTANDER (BRASIL) S/A</v>
          </cell>
          <cell r="E835" t="str">
            <v>BANCO SANTANDER (BRASIL) S/A</v>
          </cell>
        </row>
        <row r="836">
          <cell r="B836">
            <v>80366</v>
          </cell>
          <cell r="C836" t="str">
            <v>BANCO SANTANDER (BRASIL) S/A</v>
          </cell>
          <cell r="D836" t="str">
            <v>BANCO SANTANDER (BRASIL) S/A</v>
          </cell>
          <cell r="E836" t="str">
            <v>BANCO SANTANDER (BRASIL) S/A</v>
          </cell>
        </row>
        <row r="837">
          <cell r="B837">
            <v>80367</v>
          </cell>
          <cell r="C837" t="str">
            <v>BANCO SANTANDER (BRASIL) S/A</v>
          </cell>
          <cell r="D837" t="str">
            <v>BANCO SANTANDER (BRASIL) S/A</v>
          </cell>
          <cell r="E837" t="str">
            <v>BANCO SANTANDER (BRASIL) S/A</v>
          </cell>
        </row>
        <row r="838">
          <cell r="B838">
            <v>80368</v>
          </cell>
          <cell r="C838" t="str">
            <v>BANCO SANTANDER (BRASIL) S/A</v>
          </cell>
          <cell r="D838" t="str">
            <v>BANCO SANTANDER (BRASIL) S/A</v>
          </cell>
          <cell r="E838" t="str">
            <v>BANCO SANTANDER (BRASIL) S/A</v>
          </cell>
        </row>
        <row r="839">
          <cell r="B839">
            <v>80369</v>
          </cell>
          <cell r="C839" t="str">
            <v>BANCO SANTANDER (BRASIL) S/A</v>
          </cell>
          <cell r="D839" t="str">
            <v>BANCO SANTANDER (BRASIL) S/A</v>
          </cell>
          <cell r="E839" t="str">
            <v>BANCO SANTANDER (BRASIL) S/A</v>
          </cell>
        </row>
        <row r="840">
          <cell r="B840">
            <v>80370</v>
          </cell>
          <cell r="C840" t="str">
            <v>BANCO SANTANDER (BRASIL) S/A</v>
          </cell>
          <cell r="D840" t="str">
            <v>BANCO SANTANDER (BRASIL) S/A</v>
          </cell>
          <cell r="E840" t="str">
            <v>BANCO SANTANDER (BRASIL) S/A</v>
          </cell>
        </row>
        <row r="841">
          <cell r="B841">
            <v>80371</v>
          </cell>
          <cell r="C841" t="str">
            <v>BANCO SANTANDER (BRASIL) S/A</v>
          </cell>
          <cell r="D841" t="str">
            <v>BANCO SANTANDER (BRASIL) S/A</v>
          </cell>
          <cell r="E841" t="str">
            <v>BANCO SANTANDER (BRASIL) S/A</v>
          </cell>
        </row>
        <row r="842">
          <cell r="B842">
            <v>80313</v>
          </cell>
          <cell r="C842" t="str">
            <v>FOX VALUE LONG BIASED FIA</v>
          </cell>
          <cell r="D842" t="str">
            <v>FOX VALUE LONG BIASED FIA</v>
          </cell>
          <cell r="E842" t="str">
            <v>FOX INVESTIMENTOS LTDA</v>
          </cell>
        </row>
        <row r="843">
          <cell r="B843">
            <v>80314</v>
          </cell>
          <cell r="C843" t="str">
            <v>ZARABATANA FIM CP IE</v>
          </cell>
          <cell r="D843" t="str">
            <v>ZARABATANA FIM CP IE</v>
          </cell>
          <cell r="E843" t="str">
            <v>ZARABATANA FIM CP IE</v>
          </cell>
        </row>
        <row r="844">
          <cell r="B844">
            <v>80320</v>
          </cell>
          <cell r="C844" t="str">
            <v>BANK OF CHINA (BRASIL) BANCO MULTIPLO S/A</v>
          </cell>
          <cell r="D844" t="str">
            <v>2.1</v>
          </cell>
          <cell r="E844" t="str">
            <v>BANCO DA CHINA BRASIL S/A</v>
          </cell>
        </row>
        <row r="845">
          <cell r="B845">
            <v>80322</v>
          </cell>
          <cell r="C845" t="str">
            <v>BANK OF CHINA (BRASIL) BANCO MULTIPLO S/A</v>
          </cell>
          <cell r="D845" t="str">
            <v>2.3</v>
          </cell>
          <cell r="E845" t="str">
            <v>BANCO DA CHINA BRASIL S/A</v>
          </cell>
        </row>
        <row r="846">
          <cell r="B846">
            <v>80323</v>
          </cell>
          <cell r="C846" t="str">
            <v>BANK OF CHINA (BRASIL) BANCO MULTIPLO S/A</v>
          </cell>
          <cell r="D846" t="str">
            <v>2.4</v>
          </cell>
          <cell r="E846" t="str">
            <v>BANCO DA CHINA BRASIL S/A</v>
          </cell>
        </row>
        <row r="847">
          <cell r="B847">
            <v>80324</v>
          </cell>
          <cell r="C847" t="str">
            <v>BANK OF CHINA (BRASIL) BANCO MULTIPLO S/A</v>
          </cell>
          <cell r="D847" t="str">
            <v>2.5</v>
          </cell>
          <cell r="E847" t="str">
            <v>BANCO DA CHINA BRASIL S/A</v>
          </cell>
        </row>
        <row r="848">
          <cell r="B848">
            <v>80325</v>
          </cell>
          <cell r="C848" t="str">
            <v>BANK OF CHINA (BRASIL) BANCO MULTIPLO S/A</v>
          </cell>
          <cell r="D848" t="str">
            <v>2.6</v>
          </cell>
          <cell r="E848" t="str">
            <v>BANCO DA CHINA BRASIL S/A</v>
          </cell>
        </row>
        <row r="849">
          <cell r="B849">
            <v>80326</v>
          </cell>
          <cell r="C849" t="str">
            <v>BANK OF CHINA (BRASIL) BANCO MULTIPLO S/A</v>
          </cell>
          <cell r="D849" t="str">
            <v>2.7</v>
          </cell>
          <cell r="E849" t="str">
            <v>BANCO DA CHINA BRASIL S/A</v>
          </cell>
        </row>
        <row r="850">
          <cell r="B850">
            <v>80330</v>
          </cell>
          <cell r="C850" t="str">
            <v>ITAU UNIBANCO S.A.</v>
          </cell>
          <cell r="D850" t="str">
            <v>ITAU UNIBANCO S.A.</v>
          </cell>
          <cell r="E850" t="str">
            <v>ITAU UNIBANCO ASSET - TACO</v>
          </cell>
        </row>
        <row r="851">
          <cell r="B851">
            <v>80331</v>
          </cell>
          <cell r="C851" t="str">
            <v>ITAU UNIBANCO S.A.</v>
          </cell>
          <cell r="D851" t="str">
            <v>ITAU UNIBANCO S.A.</v>
          </cell>
          <cell r="E851" t="str">
            <v>ITAU UNIBANCO S/A</v>
          </cell>
        </row>
        <row r="852">
          <cell r="B852">
            <v>80338</v>
          </cell>
          <cell r="C852" t="str">
            <v>OITI FIM CP IE</v>
          </cell>
          <cell r="D852" t="str">
            <v>OITI FIM CP IE</v>
          </cell>
          <cell r="E852" t="str">
            <v>ITAU UNIBANCO S/A</v>
          </cell>
        </row>
        <row r="853">
          <cell r="B853">
            <v>80339</v>
          </cell>
          <cell r="C853" t="str">
            <v>OITI FIM CP IE</v>
          </cell>
          <cell r="D853" t="str">
            <v>OITI FIM CP IE</v>
          </cell>
          <cell r="E853" t="str">
            <v>ITAU UNIBANCO S/A</v>
          </cell>
        </row>
        <row r="854">
          <cell r="B854">
            <v>80340</v>
          </cell>
          <cell r="C854" t="str">
            <v>OITI FIM CP IE</v>
          </cell>
          <cell r="D854" t="str">
            <v>OITI FIM CP IE</v>
          </cell>
          <cell r="E854" t="str">
            <v>ITAU UNIBANCO S/A</v>
          </cell>
        </row>
        <row r="855">
          <cell r="B855">
            <v>80341</v>
          </cell>
          <cell r="C855" t="str">
            <v>OITI FIM CP IE</v>
          </cell>
          <cell r="D855" t="str">
            <v>OITI FIM CP IE</v>
          </cell>
          <cell r="E855" t="str">
            <v>ITAU UNIBANCO S/A</v>
          </cell>
        </row>
        <row r="856">
          <cell r="B856">
            <v>80342</v>
          </cell>
          <cell r="C856" t="str">
            <v>JCETA FUNDO DE INVESTIMENTO FINANCEIRO MULTIMERCADO</v>
          </cell>
          <cell r="D856" t="str">
            <v>JCETA FUNDO DE INVESTIMENTO FINANCEIRO MULTIMERCADO</v>
          </cell>
          <cell r="E856" t="str">
            <v>ARMOR GESTORA DE RECURSOS LTDA</v>
          </cell>
        </row>
        <row r="857">
          <cell r="B857">
            <v>80343</v>
          </cell>
          <cell r="C857" t="str">
            <v>BANCO BS2 S.A.</v>
          </cell>
          <cell r="D857" t="str">
            <v>BANCO BS2 S.A.</v>
          </cell>
          <cell r="E857" t="str">
            <v>BANCO BS2 S/A</v>
          </cell>
        </row>
        <row r="858">
          <cell r="B858">
            <v>80347</v>
          </cell>
          <cell r="C858" t="str">
            <v>CREDIT SUISSE HEDGING-GRIFFO WEALTH MANAGEMENT S/A</v>
          </cell>
          <cell r="D858" t="str">
            <v>CREDIT SUISSE HEDGING-GRIFFO WEALTH MANAGEMENT S/A</v>
          </cell>
          <cell r="E858" t="str">
            <v>CREDIT SUISSE HEDGING-GRIFFO WEALTH MANAGEMENT S/A</v>
          </cell>
        </row>
        <row r="859">
          <cell r="B859">
            <v>80348</v>
          </cell>
          <cell r="C859" t="str">
            <v>BANCO ALFA DE INVESTIMENTO S/A</v>
          </cell>
          <cell r="D859" t="str">
            <v>BANCO ALFA DE INVESTIMENTO S/A</v>
          </cell>
          <cell r="E859" t="str">
            <v>BANCO ALFA DE INVESTIMENTO S/A</v>
          </cell>
        </row>
        <row r="860">
          <cell r="B860">
            <v>80355</v>
          </cell>
          <cell r="C860" t="str">
            <v>JGP GESTAO DE CREDITO LTDA</v>
          </cell>
          <cell r="D860" t="str">
            <v>JGP GESTAO DE CREDITO LTDA</v>
          </cell>
          <cell r="E860" t="str">
            <v>JGP GESTAO PATRIMONIAL LTDA</v>
          </cell>
        </row>
        <row r="861">
          <cell r="B861">
            <v>80358</v>
          </cell>
          <cell r="C861" t="str">
            <v>BINARIO DISTRIBUIDORA DE EQUIPAMENTOS ELETRONICOS LTDA</v>
          </cell>
          <cell r="D861" t="str">
            <v>BINARIO DISTRIBUIDORA DE EQUIPAMENTOS ELETRONICOS LTDA</v>
          </cell>
          <cell r="E861" t="str">
            <v>BINARIO DISTRIBUIDORA DE EQUIPAMENTOS ELETRONICOS LTDA</v>
          </cell>
        </row>
        <row r="862">
          <cell r="B862">
            <v>80359</v>
          </cell>
          <cell r="C862" t="str">
            <v>VINLAND CAPITAL MANAGEMENT GESTORA DE RECURSOS LTDA</v>
          </cell>
          <cell r="D862" t="str">
            <v>VINLAND CAPITAL MANAGEMENT GESTORA DE RECURSOS LTDA</v>
          </cell>
          <cell r="E862" t="str">
            <v>VINLAND CAPITAL MANAGEMENT GESTORA DE RECURSOS LTDA</v>
          </cell>
        </row>
        <row r="863">
          <cell r="B863">
            <v>80360</v>
          </cell>
          <cell r="C863" t="str">
            <v>VISTA CAPITAL GESTORA DE RECURSOS LTDA.</v>
          </cell>
          <cell r="D863" t="str">
            <v>VISTA CAPITAL GESTORA DE RECURSOS LTDA.</v>
          </cell>
          <cell r="E863" t="str">
            <v>VISTA CAPITAL GESTORA DE RECURSOS LTDA</v>
          </cell>
        </row>
        <row r="864">
          <cell r="B864">
            <v>80494</v>
          </cell>
          <cell r="C864" t="str">
            <v>BANCO SANTANDER (BRASIL) S/A</v>
          </cell>
          <cell r="D864" t="str">
            <v>BANCO SANTANDER (BRASIL) S/A</v>
          </cell>
          <cell r="E864" t="str">
            <v>BANCO SANTANDER (BRASIL) S/A</v>
          </cell>
        </row>
        <row r="865">
          <cell r="B865">
            <v>125209</v>
          </cell>
          <cell r="C865" t="str">
            <v>BANCO SANTANDER (BRASIL) S/A</v>
          </cell>
          <cell r="D865" t="str">
            <v>BANCO SANTANDER (BRASIL) S/A</v>
          </cell>
          <cell r="E865" t="str">
            <v>BANCO SANTANDER (BRASIL) S/A</v>
          </cell>
        </row>
        <row r="866">
          <cell r="B866">
            <v>125210</v>
          </cell>
          <cell r="C866" t="str">
            <v>BANCO SANTANDER (BRASIL) S/A</v>
          </cell>
          <cell r="D866" t="str">
            <v>BANCO SANTANDER (BRASIL) S/A</v>
          </cell>
          <cell r="E866" t="str">
            <v>BANCO SANTANDER (BRASIL) S/A</v>
          </cell>
        </row>
        <row r="867">
          <cell r="B867">
            <v>125211</v>
          </cell>
          <cell r="C867" t="str">
            <v>BANCO SANTANDER (BRASIL) S/A</v>
          </cell>
          <cell r="D867" t="str">
            <v>BANCO SANTANDER (BRASIL) S/A</v>
          </cell>
          <cell r="E867" t="str">
            <v>BANCO SANTANDER (BRASIL) S/A</v>
          </cell>
        </row>
        <row r="868">
          <cell r="B868">
            <v>125212</v>
          </cell>
          <cell r="C868" t="str">
            <v>BANCO SANTANDER (BRASIL) S/A</v>
          </cell>
          <cell r="D868" t="str">
            <v>BANCO SANTANDER (BRASIL) S/A</v>
          </cell>
          <cell r="E868" t="str">
            <v>BANCO SANTANDER (BRASIL) S/A</v>
          </cell>
        </row>
        <row r="869">
          <cell r="B869">
            <v>125213</v>
          </cell>
          <cell r="C869" t="str">
            <v>BANCO SANTANDER (BRASIL) S/A</v>
          </cell>
          <cell r="D869" t="str">
            <v>BANCO SANTANDER (BRASIL) S/A</v>
          </cell>
          <cell r="E869" t="str">
            <v>BANCO SANTANDER (BRASIL) S/A</v>
          </cell>
        </row>
        <row r="870">
          <cell r="B870">
            <v>125214</v>
          </cell>
          <cell r="C870" t="str">
            <v>BANCO SANTANDER (BRASIL) S/A</v>
          </cell>
          <cell r="D870" t="str">
            <v>BANCO SANTANDER (BRASIL) S/A</v>
          </cell>
          <cell r="E870" t="str">
            <v>BANCO SANTANDER (BRASIL) S/A</v>
          </cell>
        </row>
        <row r="871">
          <cell r="B871">
            <v>80696</v>
          </cell>
          <cell r="C871" t="str">
            <v>BANCO SANTANDER (BRASIL) S/A</v>
          </cell>
          <cell r="D871" t="str">
            <v>BANCO SANTANDER (BRASIL) S/A</v>
          </cell>
          <cell r="E871" t="str">
            <v>BANCO SANTANDER (BRASIL) S/A</v>
          </cell>
        </row>
        <row r="872">
          <cell r="B872">
            <v>80767</v>
          </cell>
          <cell r="C872" t="str">
            <v>BANCO SANTANDER (BRASIL) S/A</v>
          </cell>
          <cell r="D872" t="str">
            <v>BANCO SANTANDER (BRASIL) S/A</v>
          </cell>
          <cell r="E872" t="str">
            <v>BANCO SANTANDER (BRASIL) S/A</v>
          </cell>
        </row>
        <row r="873">
          <cell r="B873">
            <v>80999</v>
          </cell>
          <cell r="C873" t="str">
            <v>BANCO SANTANDER (BRASIL) S/A</v>
          </cell>
          <cell r="D873" t="str">
            <v>BANCO SANTANDER (BRASIL) S/A</v>
          </cell>
          <cell r="E873" t="str">
            <v>BANCO SANTANDER (BRASIL) S/A</v>
          </cell>
        </row>
        <row r="874">
          <cell r="B874">
            <v>80374</v>
          </cell>
          <cell r="C874" t="str">
            <v>INTESA SANPAOLO BRASIL S.A - BANCO MULTIPLO</v>
          </cell>
          <cell r="D874" t="str">
            <v>INTESA SANPAOLO BRASIL S.A - BANCO MULTIPLO</v>
          </cell>
          <cell r="E874" t="str">
            <v>INTESA SANPAOLO BRASIL S.A - BANCO MULTIPLO</v>
          </cell>
        </row>
        <row r="875">
          <cell r="B875">
            <v>80375</v>
          </cell>
          <cell r="C875" t="str">
            <v>ITAU UNIBANCO S.A.</v>
          </cell>
          <cell r="D875" t="str">
            <v>ITAU UNIBANCO S.A.</v>
          </cell>
          <cell r="E875" t="str">
            <v>ITAU UNIBANCO S/A</v>
          </cell>
        </row>
        <row r="876">
          <cell r="B876">
            <v>80376</v>
          </cell>
          <cell r="C876" t="str">
            <v>ITAU UNIBANCO S.A.</v>
          </cell>
          <cell r="D876" t="str">
            <v>ITAU UNIBANCO S.A.</v>
          </cell>
          <cell r="E876" t="str">
            <v>ITAU UNIBANCO S/A</v>
          </cell>
        </row>
        <row r="877">
          <cell r="B877">
            <v>80377</v>
          </cell>
          <cell r="C877" t="str">
            <v>OITI FIM CP IE</v>
          </cell>
          <cell r="D877" t="str">
            <v>OITI FIM CP IE</v>
          </cell>
          <cell r="E877" t="str">
            <v>ITAU UNIBANCO S/A</v>
          </cell>
        </row>
        <row r="878">
          <cell r="B878">
            <v>80378</v>
          </cell>
          <cell r="C878" t="str">
            <v>OITI FIM CP IE</v>
          </cell>
          <cell r="D878" t="str">
            <v>OITI FIM CP IE</v>
          </cell>
          <cell r="E878" t="str">
            <v>ITAU UNIBANCO S/A</v>
          </cell>
        </row>
        <row r="879">
          <cell r="B879">
            <v>80379</v>
          </cell>
          <cell r="C879" t="str">
            <v>JGP GESTAO DE RECURSOS LTDA</v>
          </cell>
          <cell r="D879" t="str">
            <v>JGP GESTAO DE RECURSOS LTDA</v>
          </cell>
          <cell r="E879" t="str">
            <v>JGP GESTAO PATRIMONIAL LTDA</v>
          </cell>
        </row>
        <row r="880">
          <cell r="B880">
            <v>80383</v>
          </cell>
          <cell r="C880" t="str">
            <v>NOVUS CAPITAL GESTORA DE RECURSOS LTDA</v>
          </cell>
          <cell r="D880" t="str">
            <v>NOVUS CAPITAL GESTORA DE RECURSOS LTDA</v>
          </cell>
          <cell r="E880" t="str">
            <v>NOVUS CAPITAL GESTORA DE RECURSOS LTDA</v>
          </cell>
        </row>
        <row r="881">
          <cell r="B881">
            <v>80386</v>
          </cell>
          <cell r="C881" t="str">
            <v>LEGACY CAPITAL GESTORA DE RECURSOS LTDA</v>
          </cell>
          <cell r="D881" t="str">
            <v>LEGACY CAPITAL GESTORA DE RECURSOS LTDA</v>
          </cell>
          <cell r="E881" t="str">
            <v>LEGACY CAPITAL GESTORA DE RECURSOS LTDA</v>
          </cell>
        </row>
        <row r="882">
          <cell r="B882">
            <v>83577</v>
          </cell>
          <cell r="C882" t="str">
            <v>BANCO MIZUHO DO BRASIL S/A (ANTIGO WESTLB)</v>
          </cell>
          <cell r="D882">
            <v>77</v>
          </cell>
          <cell r="E882" t="str">
            <v>BANCO MIZUHO DO BRASIL S/A</v>
          </cell>
        </row>
        <row r="883">
          <cell r="B883">
            <v>83578</v>
          </cell>
          <cell r="C883" t="str">
            <v>BANCO MIZUHO DO BRASIL S/A (ANTIGO WESTLB)</v>
          </cell>
          <cell r="D883" t="str">
            <v>77.1</v>
          </cell>
          <cell r="E883" t="str">
            <v>BANCO MIZUHO DO BRASIL S/A</v>
          </cell>
        </row>
        <row r="884">
          <cell r="B884">
            <v>9000</v>
          </cell>
          <cell r="C884" t="str">
            <v>DEUTSCHE BANK S/A BANCO ALEMÃƒO</v>
          </cell>
          <cell r="D884">
            <v>39</v>
          </cell>
          <cell r="E884" t="str">
            <v>DEUTSCHE BANK S/A</v>
          </cell>
        </row>
        <row r="885">
          <cell r="B885">
            <v>900045</v>
          </cell>
          <cell r="C885" t="str">
            <v>CREDIT SUISSE (BRASIL) S/A CTVM</v>
          </cell>
          <cell r="D885" t="str">
            <v>CREDIT SUISSE (BRASIL) S/A CTVM</v>
          </cell>
          <cell r="E885" t="str">
            <v>CREDIT SUISSE (BRASIL) S/A CTVM</v>
          </cell>
        </row>
        <row r="886">
          <cell r="B886">
            <v>901442</v>
          </cell>
          <cell r="C886" t="str">
            <v>BGC LIQUIDEZ DTVM LTDA</v>
          </cell>
          <cell r="D886" t="str">
            <v>BGC LIQUIDEZ DTVM LTDA</v>
          </cell>
          <cell r="E886" t="str">
            <v>BGC LIQUIDEZ DTVM LTDA</v>
          </cell>
        </row>
        <row r="887">
          <cell r="B887">
            <v>901443</v>
          </cell>
          <cell r="C887" t="str">
            <v>BGC LIQUIDEZ DTVM LTDA</v>
          </cell>
          <cell r="D887" t="str">
            <v>BGC LIQUIDEZ DTVM LTDA</v>
          </cell>
          <cell r="E887" t="str">
            <v>BGC LIQUIDEZ DTVM LTDA</v>
          </cell>
        </row>
        <row r="888">
          <cell r="B888">
            <v>901448</v>
          </cell>
          <cell r="C888" t="str">
            <v>BGC LIQUIDEZ DTVM LTDA</v>
          </cell>
          <cell r="D888" t="str">
            <v>BGC LIQUIDEZ DTVM LTDA</v>
          </cell>
          <cell r="E888" t="str">
            <v>BGC LIQUIDEZ DTVM LTDA</v>
          </cell>
        </row>
        <row r="889">
          <cell r="B889">
            <v>901452</v>
          </cell>
          <cell r="C889" t="str">
            <v>BGC LIQUIDEZ DTVM LTDA</v>
          </cell>
          <cell r="D889" t="str">
            <v>BGC LIQUIDEZ DTVM LTDA</v>
          </cell>
          <cell r="E889" t="str">
            <v>BGC LIQUIDEZ DTVM LTDA</v>
          </cell>
        </row>
        <row r="890">
          <cell r="B890">
            <v>901453</v>
          </cell>
          <cell r="C890" t="str">
            <v>BGC LIQUIDEZ DTVM LTDA</v>
          </cell>
          <cell r="D890" t="str">
            <v>BGC LIQUIDEZ DTVM LTDA</v>
          </cell>
          <cell r="E890" t="str">
            <v>BGC LIQUIDEZ DTVM LTDA</v>
          </cell>
        </row>
        <row r="891">
          <cell r="B891">
            <v>901475</v>
          </cell>
          <cell r="C891" t="str">
            <v>BGC LIQUIDEZ DTVM LTDA</v>
          </cell>
          <cell r="D891" t="str">
            <v>BGC LIQUIDEZ DTVM LTDA</v>
          </cell>
          <cell r="E891" t="str">
            <v>BGC LIQUIDEZ DTVM LTDA</v>
          </cell>
        </row>
        <row r="892">
          <cell r="B892">
            <v>80389</v>
          </cell>
          <cell r="C892" t="str">
            <v>NAVI CAPITAL ADMINISTRADORA E GESTORA DE RECURSOS FINANCEIRO</v>
          </cell>
          <cell r="D892" t="str">
            <v>NAVI CAPITAL ADMINISTRADORA E GESTORA DE RECURSOS FINANCEIRO</v>
          </cell>
          <cell r="E892" t="str">
            <v>NAVI CAPITAL ADMINISTRADORA E GESTORA DE RECURSOS FINANCEIRO</v>
          </cell>
        </row>
        <row r="893">
          <cell r="B893">
            <v>80389</v>
          </cell>
          <cell r="C893" t="str">
            <v>NAVI CAPITAL ADMINISTRADORA E GESTORA DE RECURSOS FINANCEIRO</v>
          </cell>
          <cell r="D893" t="str">
            <v>NAVI CAPITAL ADMINISTRADORA E GESTORA DE RECURSOS FINANCEIRO</v>
          </cell>
          <cell r="E893" t="str">
            <v>NAVI CAPITAL ADMINISTRADORA E GESTORA DE RECURSOS FINANCEIRO</v>
          </cell>
        </row>
        <row r="894">
          <cell r="B894">
            <v>124623</v>
          </cell>
          <cell r="C894" t="str">
            <v>FP NEO TOTAL RETURN FIA</v>
          </cell>
          <cell r="D894" t="str">
            <v>FP NEO TOTAL RETURN FIA</v>
          </cell>
          <cell r="E894" t="str">
            <v>NEO GESTÃO DE RECURSOS LTDA</v>
          </cell>
        </row>
        <row r="895">
          <cell r="B895">
            <v>124624</v>
          </cell>
          <cell r="C895" t="str">
            <v>TRUXT VALOR PREVIDÃŠNCIA MASTER I FIA</v>
          </cell>
          <cell r="D895" t="str">
            <v>TRUXT VALOR PREVIDÃŠNCIA MASTER I FIA</v>
          </cell>
          <cell r="E895" t="str">
            <v>TRUXT INVESTIMENTOS LTDA</v>
          </cell>
        </row>
        <row r="896">
          <cell r="B896">
            <v>124625</v>
          </cell>
          <cell r="C896" t="str">
            <v>TRUXT PREVIDENCIA FIA</v>
          </cell>
          <cell r="D896" t="str">
            <v>TRUXT PREVIDENCIA FIA</v>
          </cell>
          <cell r="E896" t="str">
            <v>TRUXT INVESTIMENTOS LTDA</v>
          </cell>
        </row>
        <row r="897">
          <cell r="B897">
            <v>80392</v>
          </cell>
          <cell r="C897" t="str">
            <v>KAPITALO INVESTIMENTOS LTDA</v>
          </cell>
          <cell r="D897" t="str">
            <v>KAPITALO INVESTIMENTOS LTDA</v>
          </cell>
          <cell r="E897" t="str">
            <v>KAPITALO INVESTIMENTOS LTDA</v>
          </cell>
        </row>
        <row r="898">
          <cell r="B898">
            <v>80392</v>
          </cell>
          <cell r="C898" t="str">
            <v>KAPITALO INVESTIMENTOS LTDA</v>
          </cell>
          <cell r="D898" t="str">
            <v>KAPITALO INVESTIMENTOS LTDA</v>
          </cell>
          <cell r="E898" t="str">
            <v>KAPITALO INVESTIMENTOS LTDA</v>
          </cell>
        </row>
        <row r="899">
          <cell r="B899">
            <v>124629</v>
          </cell>
          <cell r="C899" t="str">
            <v>ITAU FLEXPREV OPTIMUS LONG BIAS MULTIMERCADO FI</v>
          </cell>
          <cell r="D899" t="str">
            <v>ITAU FLEXPREV OPTIMUS LONG BIAS MULTIMERCADO FI</v>
          </cell>
          <cell r="E899" t="str">
            <v>ITAU UNIBANCO ASSET - TACO</v>
          </cell>
        </row>
        <row r="900">
          <cell r="B900">
            <v>80393</v>
          </cell>
          <cell r="C900" t="str">
            <v>ITAU UNIBANCO S.A.</v>
          </cell>
          <cell r="D900" t="str">
            <v>ITAU UNIBANCO S.A.</v>
          </cell>
          <cell r="E900" t="str">
            <v>ITAU UNIBANCO S/A</v>
          </cell>
        </row>
        <row r="901">
          <cell r="B901">
            <v>124632</v>
          </cell>
          <cell r="C901" t="str">
            <v>BNP PARIBAS FINANCIAL MARKETS</v>
          </cell>
          <cell r="D901" t="str">
            <v>BNP PARIBAS FINANCIAL MARKETS</v>
          </cell>
          <cell r="E901" t="str">
            <v>BANCO BNP PARIBAS BRASIL S/A</v>
          </cell>
        </row>
        <row r="902">
          <cell r="B902">
            <v>80397</v>
          </cell>
          <cell r="C902" t="str">
            <v>DYNAMO ADMINISTRACAO DE RECURSOS LTDA</v>
          </cell>
          <cell r="D902" t="str">
            <v>DYNAMO ADMINISTRACAO DE RECURSOS LTDA</v>
          </cell>
          <cell r="E902" t="str">
            <v>DYNAMO ADMINISTRACAO DE RECURSOS LTDA</v>
          </cell>
        </row>
        <row r="903">
          <cell r="B903">
            <v>80397</v>
          </cell>
          <cell r="C903" t="str">
            <v>DYNAMO ADMINISTRACAO DE RECURSOS LTDA</v>
          </cell>
          <cell r="D903" t="str">
            <v>DYNAMO ADMINISTRACAO DE RECURSOS LTDA</v>
          </cell>
          <cell r="E903" t="str">
            <v>DYNAMO ADMINISTRACAO DE RECURSOS LTDA</v>
          </cell>
        </row>
        <row r="904">
          <cell r="B904">
            <v>80398</v>
          </cell>
          <cell r="C904" t="str">
            <v>REUSS (LUX) FCP RAIF - RIO TOCANTINS</v>
          </cell>
          <cell r="D904" t="str">
            <v>REUSS (LUX) FCP RAIF - RIO TOCANTINS</v>
          </cell>
          <cell r="E904" t="str">
            <v>TEMPO CAPITAL GESTAO DE RECURSOS LTDA</v>
          </cell>
        </row>
        <row r="905">
          <cell r="B905">
            <v>80398</v>
          </cell>
          <cell r="C905" t="str">
            <v>REUSS (LUX) FCP RAIF - RIO TOCANTINS</v>
          </cell>
          <cell r="D905" t="str">
            <v>REUSS (LUX) FCP RAIF - RIO TOCANTINS</v>
          </cell>
          <cell r="E905" t="str">
            <v>TEMPO CAPITAL GESTAO DE RECURSOS LTDA</v>
          </cell>
        </row>
        <row r="906">
          <cell r="B906">
            <v>124633</v>
          </cell>
          <cell r="C906" t="str">
            <v>DAHLIA CAPITAL GESTAO DE RECURSOS LTDA</v>
          </cell>
          <cell r="D906" t="str">
            <v>DAHLIA CAPITAL GESTAO DE RECURSOS LTDA</v>
          </cell>
          <cell r="E906" t="str">
            <v>DAHLIA CAPITAL GESTAO DE RECURSOS LTDA</v>
          </cell>
        </row>
        <row r="907">
          <cell r="B907">
            <v>124633</v>
          </cell>
          <cell r="C907" t="str">
            <v>DAHLIA CAPITAL GESTAO DE RECURSOS LTDA</v>
          </cell>
          <cell r="D907" t="str">
            <v>DAHLIA CAPITAL GESTAO DE RECURSOS LTDA</v>
          </cell>
          <cell r="E907" t="str">
            <v>DAHLIA CAPITAL GESTAO DE RECURSOS LTDA</v>
          </cell>
        </row>
        <row r="908">
          <cell r="B908">
            <v>124635</v>
          </cell>
          <cell r="C908" t="str">
            <v>NEO FUTURE MASTER FIA RL</v>
          </cell>
          <cell r="D908" t="str">
            <v>NEO FUTURE MASTER FIA RL</v>
          </cell>
          <cell r="E908" t="str">
            <v>NEO GESTÃO DE RECURSOS LTDA</v>
          </cell>
        </row>
        <row r="909">
          <cell r="B909">
            <v>124660</v>
          </cell>
          <cell r="C909" t="str">
            <v>BB GESTAO DE RECURSOS DTVM LTDA</v>
          </cell>
          <cell r="D909" t="str">
            <v>BB GESTAO DE RECURSOS DTVM LTDA</v>
          </cell>
          <cell r="E909" t="str">
            <v>BB GESTAO DE RECURSOS DTVM LTDA</v>
          </cell>
        </row>
        <row r="910">
          <cell r="B910">
            <v>124661</v>
          </cell>
          <cell r="C910" t="str">
            <v>DAHLIA TOTAL RETURN MASTER FIF MULTIMERCADO RL</v>
          </cell>
          <cell r="D910" t="str">
            <v>DAHLIA TOTAL RETURN MASTER FIF MULTIMERCADO RL</v>
          </cell>
          <cell r="E910" t="str">
            <v>DAHLIA CAPITAL GESTAO DE RECURSOS LTDA</v>
          </cell>
        </row>
        <row r="911">
          <cell r="B911">
            <v>80404</v>
          </cell>
          <cell r="C911" t="str">
            <v>BANCO ABN AMRO CLEARING S.A.</v>
          </cell>
          <cell r="D911" t="str">
            <v>BANCO ABN AMRO CLEARING S.A.</v>
          </cell>
          <cell r="E911" t="str">
            <v>BANCO ABN AMRO S/A</v>
          </cell>
        </row>
        <row r="912">
          <cell r="B912">
            <v>80406</v>
          </cell>
          <cell r="C912" t="str">
            <v>BB GESTAO DE RECURSOS DTVM LTDA</v>
          </cell>
          <cell r="D912" t="str">
            <v>BB GESTAO DE RECURSOS DTVM LTDA</v>
          </cell>
          <cell r="E912" t="str">
            <v>BB GESTAO DE RECURSOS DTVM LTDA</v>
          </cell>
        </row>
        <row r="913">
          <cell r="B913">
            <v>80406</v>
          </cell>
          <cell r="C913" t="str">
            <v>BB GESTAO DE RECURSOS DTVM LTDA</v>
          </cell>
          <cell r="D913" t="str">
            <v>BB GESTAO DE RECURSOS DTVM LTDA</v>
          </cell>
          <cell r="E913" t="str">
            <v>BB GESTAO DE RECURSOS DTVM LTDA</v>
          </cell>
        </row>
        <row r="914">
          <cell r="B914">
            <v>124664</v>
          </cell>
          <cell r="C914" t="str">
            <v>TRUXT MACRO PREVIDENCIARIO FIFE FIM</v>
          </cell>
          <cell r="D914" t="str">
            <v>TRUXT MACRO PREVIDENCIARIO FIFE FIM</v>
          </cell>
          <cell r="E914" t="str">
            <v>TRUXT INVESTIMENTOS LTDA</v>
          </cell>
        </row>
        <row r="915">
          <cell r="B915">
            <v>124681</v>
          </cell>
          <cell r="C915" t="str">
            <v>DHF FUNDO DE INVESTIMENTO FINANCEIRO</v>
          </cell>
          <cell r="D915" t="str">
            <v>DHF FUNDO DE INVESTIMENTO FINANCEIRO</v>
          </cell>
          <cell r="E915" t="str">
            <v>DYNAMO ADMINISTRACAO DE RECURSOS LTDA</v>
          </cell>
        </row>
        <row r="916">
          <cell r="B916">
            <v>124689</v>
          </cell>
          <cell r="C916" t="str">
            <v>ORI CAPITAL II FIC FIA</v>
          </cell>
          <cell r="D916" t="str">
            <v>ORI CAPITAL II FIC FIA</v>
          </cell>
          <cell r="E916" t="str">
            <v>ORI CAPITAL LTDA</v>
          </cell>
        </row>
        <row r="917">
          <cell r="B917">
            <v>124689</v>
          </cell>
          <cell r="C917" t="str">
            <v>ORI CAPITAL II FIC FIA</v>
          </cell>
          <cell r="D917" t="str">
            <v>ORI CAPITAL II FIC FIA</v>
          </cell>
          <cell r="E917" t="str">
            <v>ORI CAPITAL LTDA</v>
          </cell>
        </row>
        <row r="918">
          <cell r="B918">
            <v>124698</v>
          </cell>
          <cell r="C918" t="str">
            <v>BB GESTAO DE RECURSOS DTVM LTDA</v>
          </cell>
          <cell r="D918" t="str">
            <v>BB GESTAO DE RECURSOS DTVM LTDA</v>
          </cell>
          <cell r="E918" t="str">
            <v>BB GESTAO DE RECURSOS DTVM LTDA</v>
          </cell>
        </row>
        <row r="919">
          <cell r="B919">
            <v>124690</v>
          </cell>
          <cell r="C919" t="str">
            <v>ORI CAPITAL II MASTER FIA</v>
          </cell>
          <cell r="D919" t="str">
            <v>ORI CAPITAL II MASTER FIA</v>
          </cell>
          <cell r="E919" t="str">
            <v>ORI CAPITAL LTDA</v>
          </cell>
        </row>
        <row r="920">
          <cell r="B920">
            <v>124690</v>
          </cell>
          <cell r="C920" t="str">
            <v>ORI CAPITAL II MASTER FIA</v>
          </cell>
          <cell r="D920" t="str">
            <v>ORI CAPITAL II MASTER FIA</v>
          </cell>
          <cell r="E920" t="str">
            <v>ORI CAPITAL LTDA</v>
          </cell>
        </row>
        <row r="921">
          <cell r="B921">
            <v>80410</v>
          </cell>
          <cell r="C921" t="str">
            <v>TRAFALGAR GESTAO DE RECURSOS LTDA</v>
          </cell>
          <cell r="D921" t="str">
            <v>TRAFALGAR GESTAO DE RECURSOS LTDA</v>
          </cell>
          <cell r="E921" t="str">
            <v>TRAFALGAR GESTAO DE RECURSOS LTDA</v>
          </cell>
        </row>
        <row r="922">
          <cell r="B922">
            <v>80410</v>
          </cell>
          <cell r="C922" t="str">
            <v>TRAFALGAR GESTAO DE RECURSOS LTDA</v>
          </cell>
          <cell r="D922" t="str">
            <v>TRAFALGAR GESTAO DE RECURSOS LTDA</v>
          </cell>
          <cell r="E922" t="str">
            <v>TRAFALGAR GESTAO DE RECURSOS LTDA</v>
          </cell>
        </row>
        <row r="923">
          <cell r="B923">
            <v>12436</v>
          </cell>
          <cell r="C923" t="str">
            <v>TRAFALGAR GESTAO DE RECURSOS LTDA</v>
          </cell>
          <cell r="D923" t="str">
            <v>TRAFALGAR GESTAO DE RECURSOS LTDA</v>
          </cell>
          <cell r="E923" t="str">
            <v>TRAFALGAR GESTAO DE RECURSOS LTDA</v>
          </cell>
        </row>
        <row r="924">
          <cell r="B924">
            <v>124706</v>
          </cell>
          <cell r="C924" t="str">
            <v>BB GESTAO DE RECURSOS DTVM LTDA</v>
          </cell>
          <cell r="D924" t="str">
            <v>BB GESTAO DE RECURSOS DTVM LTDA</v>
          </cell>
          <cell r="E924" t="str">
            <v>BB GESTAO DE RECURSOS DTVM LTDA</v>
          </cell>
        </row>
        <row r="925">
          <cell r="B925">
            <v>124707</v>
          </cell>
          <cell r="C925" t="str">
            <v>BB GESTAO DE RECURSOS DTVM LTDA</v>
          </cell>
          <cell r="D925" t="str">
            <v>BB GESTAO DE RECURSOS DTVM LTDA</v>
          </cell>
          <cell r="E925" t="str">
            <v>BB GESTAO DE RECURSOS DTVM LTDA</v>
          </cell>
        </row>
        <row r="926">
          <cell r="B926">
            <v>124708</v>
          </cell>
          <cell r="C926" t="str">
            <v>BB GESTAO DE RECURSOS DTVM LTDA</v>
          </cell>
          <cell r="D926" t="str">
            <v>BB GESTAO DE RECURSOS DTVM LTDA</v>
          </cell>
          <cell r="E926" t="str">
            <v>BB GESTAO DE RECURSOS DTVM LTDA</v>
          </cell>
        </row>
        <row r="927">
          <cell r="B927">
            <v>124715</v>
          </cell>
          <cell r="C927" t="str">
            <v>BB GESTAO DE RECURSOS DTVM LTDA</v>
          </cell>
          <cell r="D927" t="str">
            <v>BB GESTAO DE RECURSOS DTVM LTDA</v>
          </cell>
          <cell r="E927" t="str">
            <v>BB GESTAO DE RECURSOS DTVM LTDA</v>
          </cell>
        </row>
        <row r="928">
          <cell r="B928">
            <v>124724</v>
          </cell>
          <cell r="C928" t="str">
            <v>BB GESTAO DE RECURSOS DTVM LTDA</v>
          </cell>
          <cell r="D928" t="str">
            <v>BB GESTAO DE RECURSOS DTVM LTDA</v>
          </cell>
          <cell r="E928" t="str">
            <v>BB GESTAO DE RECURSOS DTVM LTDA</v>
          </cell>
        </row>
        <row r="929">
          <cell r="B929">
            <v>124725</v>
          </cell>
          <cell r="C929" t="str">
            <v>BB GESTAO DE RECURSOS DTVM LTDA</v>
          </cell>
          <cell r="D929" t="str">
            <v>BB GESTAO DE RECURSOS DTVM LTDA</v>
          </cell>
          <cell r="E929" t="str">
            <v>BB GESTAO DE RECURSOS DTVM LTDA</v>
          </cell>
        </row>
        <row r="930">
          <cell r="B930">
            <v>80416</v>
          </cell>
          <cell r="C930" t="str">
            <v>OCEANA INVESTIMENTOS ADM DE CARTEIRAS DE VALORES MOB LTDA</v>
          </cell>
          <cell r="D930" t="str">
            <v>OCEANA INVESTIMENTOS ADM DE CARTEIRAS DE VALORES MOB LTDA</v>
          </cell>
          <cell r="E930" t="str">
            <v>OCEANA INVESTIMENTOS ADM DE CARTEIRAS DE VALORES MOB LTDA</v>
          </cell>
        </row>
        <row r="931">
          <cell r="B931">
            <v>80416</v>
          </cell>
          <cell r="C931" t="str">
            <v>OCEANA INVESTIMENTOS ADM DE CARTEIRAS DE VALORES MOB LTDA</v>
          </cell>
          <cell r="D931" t="str">
            <v>OCEANA INVESTIMENTOS ADM DE CARTEIRAS DE VALORES MOB LTDA</v>
          </cell>
          <cell r="E931" t="str">
            <v>OCEANA INVESTIMENTOS ADM DE CARTEIRAS DE VALORES MOB LTDA</v>
          </cell>
        </row>
        <row r="932">
          <cell r="B932">
            <v>80417</v>
          </cell>
          <cell r="C932" t="str">
            <v>ITAU UNIBANCO ASSET MANAGEMENT LTDA</v>
          </cell>
          <cell r="D932" t="str">
            <v>ITAU UNIBANCO ASSET MANAGEMENT LTDA</v>
          </cell>
          <cell r="E932" t="str">
            <v>ITAU UNIBANCO ASSET - HUNTER</v>
          </cell>
        </row>
        <row r="933">
          <cell r="B933">
            <v>80417</v>
          </cell>
          <cell r="C933" t="str">
            <v>ITAU UNIBANCO ASSET MANAGEMENT LTDA</v>
          </cell>
          <cell r="D933" t="str">
            <v>ITAU UNIBANCO ASSET MANAGEMENT LTDA</v>
          </cell>
          <cell r="E933" t="str">
            <v>ITAU UNIBANCO ASSET - HUNTER</v>
          </cell>
        </row>
        <row r="934">
          <cell r="B934">
            <v>80418</v>
          </cell>
          <cell r="C934" t="str">
            <v>ITAU UNIBANCO S.A.</v>
          </cell>
          <cell r="D934" t="str">
            <v>ITAU UNIBANCO S.A.</v>
          </cell>
          <cell r="E934" t="str">
            <v>ITAU UNIBANCO S/A</v>
          </cell>
        </row>
        <row r="935">
          <cell r="B935">
            <v>124733</v>
          </cell>
          <cell r="C935" t="str">
            <v>BB GESTAO DE RECURSOS DTVM LTDA</v>
          </cell>
          <cell r="D935" t="str">
            <v>BB GESTAO DE RECURSOS DTVM LTDA</v>
          </cell>
          <cell r="E935" t="str">
            <v>BB GESTAO DE RECURSOS DTVM LTDA</v>
          </cell>
        </row>
        <row r="936">
          <cell r="B936">
            <v>80420</v>
          </cell>
          <cell r="C936" t="str">
            <v>DYNAMO BRASIL I LLC</v>
          </cell>
          <cell r="D936" t="str">
            <v>DYNAMO BRASIL I LLC</v>
          </cell>
          <cell r="E936" t="str">
            <v>DYNAMO ADMINISTRACAO DE RECURSOS LTDA</v>
          </cell>
        </row>
        <row r="937">
          <cell r="B937">
            <v>80420</v>
          </cell>
          <cell r="C937" t="str">
            <v>DYNAMO BRASIL I LLC</v>
          </cell>
          <cell r="D937" t="str">
            <v>DYNAMO BRASIL I LLC</v>
          </cell>
          <cell r="E937" t="str">
            <v>DYNAMO ADMINISTRACAO DE RECURSOS LTDA</v>
          </cell>
        </row>
        <row r="938">
          <cell r="B938">
            <v>80422</v>
          </cell>
          <cell r="C938" t="str">
            <v>DYNAMO BRASIL III LLC</v>
          </cell>
          <cell r="D938" t="str">
            <v>DYNAMO BRASIL III LLC</v>
          </cell>
          <cell r="E938" t="str">
            <v>DYNAMO ADMINISTRACAO DE RECURSOS LTDA</v>
          </cell>
        </row>
        <row r="939">
          <cell r="B939">
            <v>80422</v>
          </cell>
          <cell r="C939" t="str">
            <v>DYNAMO BRASIL III LLC</v>
          </cell>
          <cell r="D939" t="str">
            <v>DYNAMO BRASIL III LLC</v>
          </cell>
          <cell r="E939" t="str">
            <v>DYNAMO ADMINISTRACAO DE RECURSOS LTDA</v>
          </cell>
        </row>
        <row r="940">
          <cell r="B940">
            <v>80423</v>
          </cell>
          <cell r="C940" t="str">
            <v>DYNAMO BRASIL VI LLC</v>
          </cell>
          <cell r="D940" t="str">
            <v>DYNAMO BRASIL VI LLC</v>
          </cell>
          <cell r="E940" t="str">
            <v>DYNAMO ADMINISTRACAO DE RECURSOS LTDA</v>
          </cell>
        </row>
        <row r="941">
          <cell r="B941">
            <v>80423</v>
          </cell>
          <cell r="C941" t="str">
            <v>DYNAMO BRASIL VI LLC</v>
          </cell>
          <cell r="D941" t="str">
            <v>DYNAMO BRASIL VI LLC</v>
          </cell>
          <cell r="E941" t="str">
            <v>DYNAMO ADMINISTRACAO DE RECURSOS LTDA</v>
          </cell>
        </row>
        <row r="942">
          <cell r="B942">
            <v>80424</v>
          </cell>
          <cell r="C942" t="str">
            <v>DYNAMO BRASIL V LLC</v>
          </cell>
          <cell r="D942" t="str">
            <v>DYNAMO BRASIL V LLC</v>
          </cell>
          <cell r="E942" t="str">
            <v>DYNAMO ADMINISTRACAO DE RECURSOS LTDA</v>
          </cell>
        </row>
        <row r="943">
          <cell r="B943">
            <v>80424</v>
          </cell>
          <cell r="C943" t="str">
            <v>DYNAMO BRASIL V LLC</v>
          </cell>
          <cell r="D943" t="str">
            <v>DYNAMO BRASIL V LLC</v>
          </cell>
          <cell r="E943" t="str">
            <v>DYNAMO ADMINISTRACAO DE RECURSOS LTDA</v>
          </cell>
        </row>
        <row r="944">
          <cell r="B944">
            <v>80426</v>
          </cell>
          <cell r="C944" t="str">
            <v>DYNAMO BRASIL VIII LLC</v>
          </cell>
          <cell r="D944" t="str">
            <v>DYNAMO BRASIL VIII LLC</v>
          </cell>
          <cell r="E944" t="str">
            <v>DYNAMO ADMINISTRACAO DE RECURSOS LTDA</v>
          </cell>
        </row>
        <row r="945">
          <cell r="B945">
            <v>80426</v>
          </cell>
          <cell r="C945" t="str">
            <v>DYNAMO BRASIL VIII LLC</v>
          </cell>
          <cell r="D945" t="str">
            <v>DYNAMO BRASIL VIII LLC</v>
          </cell>
          <cell r="E945" t="str">
            <v>DYNAMO ADMINISTRACAO DE RECURSOS LTDA</v>
          </cell>
        </row>
        <row r="946">
          <cell r="B946">
            <v>80427</v>
          </cell>
          <cell r="C946" t="str">
            <v>DYNAMO BRASIL IX LLC</v>
          </cell>
          <cell r="D946" t="str">
            <v>DYNAMO BRASIL IX LLC</v>
          </cell>
          <cell r="E946" t="str">
            <v>DYNAMO ADMINISTRACAO DE RECURSOS LTDA</v>
          </cell>
        </row>
        <row r="947">
          <cell r="B947">
            <v>80427</v>
          </cell>
          <cell r="C947" t="str">
            <v>DYNAMO BRASIL IX LLC</v>
          </cell>
          <cell r="D947" t="str">
            <v>DYNAMO BRASIL IX LLC</v>
          </cell>
          <cell r="E947" t="str">
            <v>DYNAMO ADMINISTRACAO DE RECURSOS LTDA</v>
          </cell>
        </row>
        <row r="948">
          <cell r="B948">
            <v>124761</v>
          </cell>
          <cell r="C948" t="str">
            <v>SAFRA PREV COPERNICO FIF PREV CI EM MULT PREV RESP LIMITADA</v>
          </cell>
          <cell r="D948" t="str">
            <v>SAFRA PREV COPERNICO FIF PREV CI EM MULT PREV RESP LIMITADA</v>
          </cell>
          <cell r="E948" t="str">
            <v>TURMALINA GESTAO E ADMINISTRAÃ‡ÃƒO DE RECURSOS SA</v>
          </cell>
        </row>
        <row r="949">
          <cell r="B949">
            <v>124764</v>
          </cell>
          <cell r="C949" t="str">
            <v>POLO FIA</v>
          </cell>
          <cell r="D949" t="str">
            <v>POLO FIA</v>
          </cell>
          <cell r="E949" t="str">
            <v>POLO CAPITAL GESTÃO DE RECURSOS LTDA</v>
          </cell>
        </row>
        <row r="950">
          <cell r="B950">
            <v>124764</v>
          </cell>
          <cell r="C950" t="str">
            <v>POLO FIA</v>
          </cell>
          <cell r="D950" t="str">
            <v>POLO FIA</v>
          </cell>
          <cell r="E950" t="str">
            <v>POLO CAPITAL GESTÃO DE RECURSOS LTDA</v>
          </cell>
        </row>
        <row r="951">
          <cell r="B951">
            <v>80435</v>
          </cell>
          <cell r="C951" t="str">
            <v>DYNAMO BRASIL XV LP</v>
          </cell>
          <cell r="D951" t="str">
            <v>DYNAMO BRASIL XV LP</v>
          </cell>
          <cell r="E951" t="str">
            <v>DYNAMO ADMINISTRACAO DE RECURSOS LTDA</v>
          </cell>
        </row>
        <row r="952">
          <cell r="B952">
            <v>80439</v>
          </cell>
          <cell r="C952" t="str">
            <v>ERIS FIM CP INVESTIMENTO NO EXTERIOR</v>
          </cell>
          <cell r="D952" t="str">
            <v>ERIS FIM CP INVESTIMENTO NO EXTERIOR</v>
          </cell>
          <cell r="E952" t="str">
            <v>BANCO J SAFRA S/A</v>
          </cell>
        </row>
        <row r="953">
          <cell r="B953">
            <v>80441</v>
          </cell>
          <cell r="C953" t="str">
            <v>ERIS FIM CP INVESTIMENTO NO EXTERIOR</v>
          </cell>
          <cell r="D953" t="str">
            <v>ERIS FIM CP INVESTIMENTO NO EXTERIOR</v>
          </cell>
          <cell r="E953" t="str">
            <v>BANCO J SAFRA S/A</v>
          </cell>
        </row>
        <row r="954">
          <cell r="B954">
            <v>80443</v>
          </cell>
          <cell r="C954" t="str">
            <v>ITAU FIA BDR NIVEL I</v>
          </cell>
          <cell r="D954" t="str">
            <v>ITAU FIA BDR NIVEL I</v>
          </cell>
          <cell r="E954" t="str">
            <v>ITAU UNIBANCO ASSET - TACO</v>
          </cell>
        </row>
        <row r="955">
          <cell r="B955">
            <v>80446</v>
          </cell>
          <cell r="C955" t="str">
            <v>BRASIL - ITAU FIA</v>
          </cell>
          <cell r="D955" t="str">
            <v>BRASIL - ITAU FIA</v>
          </cell>
          <cell r="E955" t="str">
            <v>ITAU UNIBANCO ASSET - TACO</v>
          </cell>
        </row>
        <row r="956">
          <cell r="B956">
            <v>80450</v>
          </cell>
          <cell r="C956" t="str">
            <v>VINCI GAS DIVIDENDOS FIA</v>
          </cell>
          <cell r="D956" t="str">
            <v>VINCI GAS DIVIDENDOS FIA</v>
          </cell>
          <cell r="E956" t="str">
            <v>VINCI GESTORA DE RECURSOS LTDA</v>
          </cell>
        </row>
        <row r="957">
          <cell r="B957">
            <v>80454</v>
          </cell>
          <cell r="C957" t="str">
            <v>VINCI MOSAICO INSTITUCIONAL FIA</v>
          </cell>
          <cell r="D957" t="str">
            <v>VINCI MOSAICO INSTITUCIONAL FIA</v>
          </cell>
          <cell r="E957" t="str">
            <v>VINCI GESTORA DE RECURSOS LTDA</v>
          </cell>
        </row>
        <row r="958">
          <cell r="B958">
            <v>80460</v>
          </cell>
          <cell r="C958" t="str">
            <v>CAIXA VINCI VALOR FIA</v>
          </cell>
          <cell r="D958" t="str">
            <v>CAIXA VINCI VALOR FIA</v>
          </cell>
          <cell r="E958" t="str">
            <v>VINCI GESTORA DE RECURSOS LTDA</v>
          </cell>
        </row>
        <row r="959">
          <cell r="B959">
            <v>80463</v>
          </cell>
          <cell r="C959" t="str">
            <v>CAIXA VINCI VALOR DIV FIA</v>
          </cell>
          <cell r="D959" t="str">
            <v>CAIXA VINCI VALOR DIV FIA</v>
          </cell>
          <cell r="E959" t="str">
            <v>VINCI GESTORA DE RECURSOS LTDA</v>
          </cell>
        </row>
        <row r="960">
          <cell r="B960">
            <v>124927</v>
          </cell>
          <cell r="C960" t="str">
            <v>ITAU SMALL CAP MASTER FIA</v>
          </cell>
          <cell r="D960" t="str">
            <v>ITAU SMALL CAP MASTER FIA</v>
          </cell>
          <cell r="E960" t="str">
            <v>ITAU UNIBANCO ASSET - TACO</v>
          </cell>
        </row>
        <row r="961">
          <cell r="B961">
            <v>80467</v>
          </cell>
          <cell r="C961" t="str">
            <v>EXPERTISE MULTIMERCADO FUNDO DE INVESTIMENTO CREDITO PRIVADO</v>
          </cell>
          <cell r="D961" t="str">
            <v>EXPERTISE MULTIMERCADO FUNDO DE INVESTIMENTO CREDITO PRIVADO</v>
          </cell>
          <cell r="E961" t="str">
            <v>BANCO VOTORANTIM S/A</v>
          </cell>
        </row>
        <row r="962">
          <cell r="B962">
            <v>80467</v>
          </cell>
          <cell r="C962" t="str">
            <v>EXPERTISE MULTIMERCADO FUNDO DE INVESTIMENTO CREDITO PRIVADO</v>
          </cell>
          <cell r="D962" t="str">
            <v>EXPERTISE MULTIMERCADO FUNDO DE INVESTIMENTO CREDITO PRIVADO</v>
          </cell>
          <cell r="E962" t="str">
            <v>BANCO VOTORANTIM S/A</v>
          </cell>
        </row>
        <row r="963">
          <cell r="B963">
            <v>144548</v>
          </cell>
          <cell r="C963" t="str">
            <v>ABSOLUTE GESTAO DE INVESTIMENTOS LTDA</v>
          </cell>
          <cell r="D963" t="str">
            <v>ABSOLUTE GESTAO DE INVESTIMENTOS LTDA</v>
          </cell>
          <cell r="E963" t="str">
            <v>ABSOLUTE GESTAO DE INVESTIMENTOS LTDA</v>
          </cell>
        </row>
        <row r="964">
          <cell r="B964">
            <v>144548</v>
          </cell>
          <cell r="C964" t="str">
            <v>ABSOLUTE GESTAO DE INVESTIMENTOS LTDA</v>
          </cell>
          <cell r="D964">
            <v>3</v>
          </cell>
          <cell r="E964" t="str">
            <v>ABSOLUTE GESTAO DE INVESTIMENTOS LTDA</v>
          </cell>
        </row>
        <row r="965">
          <cell r="B965">
            <v>144549</v>
          </cell>
          <cell r="C965" t="str">
            <v>TURMALINA GESTAO E ADMINISTRAÃ‡ÃƒO DE RECURSOS SA</v>
          </cell>
          <cell r="D965" t="str">
            <v>TURMALINA GESTAO E ADMINISTRAÃ‡ÃƒO DE RECURSOS SA</v>
          </cell>
          <cell r="E965" t="str">
            <v>TURMALINA GESTAO E ADMINISTRAÃ‡ÃƒO DE RECURSOS SA</v>
          </cell>
        </row>
        <row r="966">
          <cell r="B966">
            <v>144549</v>
          </cell>
          <cell r="C966" t="str">
            <v>TURMALINA GESTAO E ADMINISTRAÃ‡ÃƒO DE RECURSOS SA</v>
          </cell>
          <cell r="D966" t="str">
            <v>TURMALINA GESTAO E ADMINISTRAÃ‡ÃƒO DE RECURSOS SA</v>
          </cell>
          <cell r="E966" t="str">
            <v>TURMALINA GESTAO E ADMINISTRAÃ‡ÃƒO DE RECURSOS SA</v>
          </cell>
        </row>
        <row r="967">
          <cell r="B967">
            <v>80476</v>
          </cell>
          <cell r="C967" t="str">
            <v>IMC TRADING B.V</v>
          </cell>
          <cell r="D967" t="str">
            <v>IMC TRADING B.V</v>
          </cell>
          <cell r="E967" t="str">
            <v>IMC TRADING B.V</v>
          </cell>
        </row>
        <row r="968">
          <cell r="B968">
            <v>80476</v>
          </cell>
          <cell r="C968" t="str">
            <v>IMC TRADING B.V</v>
          </cell>
          <cell r="D968" t="str">
            <v>IMC TRADING B.V</v>
          </cell>
          <cell r="E968" t="str">
            <v>IMC TRADING B.V</v>
          </cell>
        </row>
        <row r="969">
          <cell r="B969">
            <v>80477</v>
          </cell>
          <cell r="C969" t="str">
            <v>ALASKA 100 ICATU PREV FIFE FIM</v>
          </cell>
          <cell r="D969" t="str">
            <v>ALASKA 100 ICATU PREV FIFE FIM</v>
          </cell>
          <cell r="E969" t="str">
            <v>ALASKA INVESTIMENTOS LTDA</v>
          </cell>
        </row>
        <row r="970">
          <cell r="B970">
            <v>80477</v>
          </cell>
          <cell r="C970" t="str">
            <v>ALASKA 100 ICATU PREV FIFE FIM</v>
          </cell>
          <cell r="D970" t="str">
            <v>ALASKA 100 ICATU PREV FIFE FIM</v>
          </cell>
          <cell r="E970" t="str">
            <v>ALASKA INVESTIMENTOS LTDA</v>
          </cell>
        </row>
        <row r="971">
          <cell r="B971">
            <v>80478</v>
          </cell>
          <cell r="C971" t="str">
            <v>ALASKA 70 ICATU PREV FIM</v>
          </cell>
          <cell r="D971" t="str">
            <v>ALASKA 70 ICATU PREV FIM</v>
          </cell>
          <cell r="E971" t="str">
            <v>ALASKA INVESTIMENTOS LTDA</v>
          </cell>
        </row>
        <row r="972">
          <cell r="B972">
            <v>80478</v>
          </cell>
          <cell r="C972" t="str">
            <v>ALASKA 70 ICATU PREV FIM</v>
          </cell>
          <cell r="D972" t="str">
            <v>ALASKA 70 ICATU PREV FIM</v>
          </cell>
          <cell r="E972" t="str">
            <v>ALASKA INVESTIMENTOS LTDA</v>
          </cell>
        </row>
        <row r="973">
          <cell r="B973">
            <v>124948</v>
          </cell>
          <cell r="C973" t="str">
            <v>BB GESTAO DE RECURSOS DTVM LTDA</v>
          </cell>
          <cell r="D973" t="str">
            <v>BB GESTAO DE RECURSOS DTVM LTDA</v>
          </cell>
          <cell r="E973" t="str">
            <v>BB GESTAO DE RECURSOS DTVM LTDA</v>
          </cell>
        </row>
        <row r="974">
          <cell r="B974">
            <v>122665</v>
          </cell>
          <cell r="C974" t="str">
            <v>BNP PARIBAS ACTION MASTER FIA</v>
          </cell>
          <cell r="D974" t="str">
            <v>BNP PARIBAS ACTION MASTER FIA</v>
          </cell>
          <cell r="E974" t="str">
            <v>BNP PARIBAS ASSET MANAGEMENT BRASIL LTDA</v>
          </cell>
        </row>
        <row r="975">
          <cell r="B975">
            <v>80480</v>
          </cell>
          <cell r="C975" t="str">
            <v>BNP PARIBAS ASSET MANAGEMENT BRASIL LTDA</v>
          </cell>
          <cell r="D975">
            <v>98</v>
          </cell>
          <cell r="E975" t="str">
            <v>BNP PARIBAS ASSET MANAGEMENT BRASIL LTDA</v>
          </cell>
        </row>
        <row r="976">
          <cell r="B976">
            <v>80481</v>
          </cell>
          <cell r="C976" t="str">
            <v>BNP PARIBAS ASSET MANAGEMENT BRASIL LTDA</v>
          </cell>
          <cell r="D976" t="str">
            <v>BNP PARIBAS ASSET MANAGEMENT BRASIL LTDA</v>
          </cell>
          <cell r="E976" t="str">
            <v>BNP PARIBAS ASSET MANAGEMENT BRASIL LTDA</v>
          </cell>
        </row>
        <row r="977">
          <cell r="B977">
            <v>80482</v>
          </cell>
          <cell r="C977" t="str">
            <v>BNP PARIBAS ASSET MANAGEMENT BRASIL LTDA</v>
          </cell>
          <cell r="D977" t="str">
            <v>BNP PARIBAS ASSET MANAGEMENT BRASIL LTDA</v>
          </cell>
          <cell r="E977" t="str">
            <v>BNP PARIBAS ASSET MANAGEMENT BRASIL LTDA</v>
          </cell>
        </row>
        <row r="978">
          <cell r="B978">
            <v>80492</v>
          </cell>
          <cell r="C978" t="str">
            <v>KAPITALO INVESTIMENTOS LTDA</v>
          </cell>
          <cell r="D978" t="str">
            <v>KAPITALO INVESTIMENTOS LTDA</v>
          </cell>
          <cell r="E978" t="str">
            <v>KAPITALO INVESTIMENTOS LTDA</v>
          </cell>
        </row>
        <row r="979">
          <cell r="B979">
            <v>80492</v>
          </cell>
          <cell r="C979" t="str">
            <v>KAPITALO INVESTIMENTOS LTDA</v>
          </cell>
          <cell r="D979" t="str">
            <v>KAPITALO INVESTIMENTOS LTDA</v>
          </cell>
          <cell r="E979" t="str">
            <v>KAPITALO INVESTIMENTOS LTDA</v>
          </cell>
        </row>
        <row r="980">
          <cell r="B980">
            <v>80493</v>
          </cell>
          <cell r="C980" t="str">
            <v>BANCO COOPERATIVO SICOOB S.A - BANCO SICOOB</v>
          </cell>
          <cell r="D980" t="str">
            <v>BANCO COOPERATIVO SICOOB S.A - BANCO SICOOB</v>
          </cell>
          <cell r="E980" t="str">
            <v>BANCO COOPERATIVO SICOOB S/A</v>
          </cell>
        </row>
        <row r="981">
          <cell r="B981">
            <v>122880</v>
          </cell>
          <cell r="C981" t="str">
            <v>BANCO BTG PACTUAL S/A</v>
          </cell>
          <cell r="D981" t="str">
            <v>BANCO BTG PACTUAL S/A</v>
          </cell>
          <cell r="E981" t="str">
            <v>BANCO BTG PACTUAL S/A</v>
          </cell>
        </row>
        <row r="982">
          <cell r="B982">
            <v>81071</v>
          </cell>
          <cell r="C982" t="str">
            <v>BANCO SANTANDER (BRASIL) S/A</v>
          </cell>
          <cell r="D982" t="str">
            <v>BANCO SANTANDER (BRASIL) S/A</v>
          </cell>
          <cell r="E982" t="str">
            <v>BANCO SANTANDER (BRASIL) S/A</v>
          </cell>
        </row>
        <row r="983">
          <cell r="B983">
            <v>125055</v>
          </cell>
          <cell r="C983" t="str">
            <v>FALX FIF MULT CP IE</v>
          </cell>
          <cell r="D983" t="str">
            <v>FALX FIF MULT CP IE</v>
          </cell>
          <cell r="E983" t="str">
            <v>BANCO XP S/A</v>
          </cell>
        </row>
        <row r="984">
          <cell r="B984">
            <v>80495</v>
          </cell>
          <cell r="C984" t="str">
            <v>VINLAND LONG ONLY MASTER FIA</v>
          </cell>
          <cell r="D984" t="str">
            <v>VINLAND LONG ONLY MASTER FIA</v>
          </cell>
          <cell r="E984" t="str">
            <v>VINLAND CAPITAL MANAGEMENT GESTORA DE RECURSOS LTDA</v>
          </cell>
        </row>
        <row r="985">
          <cell r="B985">
            <v>125063</v>
          </cell>
          <cell r="C985" t="str">
            <v>SHARP ESTRATEGIA STB FUNDO DE INVESTIMENTO MULTIMERCADO</v>
          </cell>
          <cell r="D985" t="str">
            <v>SHARP ESTRATEGIA STB FUNDO DE INVESTIMENTO MULTIMERCADO</v>
          </cell>
          <cell r="E985" t="str">
            <v>SHARP CAPITAL GESTORA DE RECURSOS LTDA</v>
          </cell>
        </row>
        <row r="986">
          <cell r="B986">
            <v>125065</v>
          </cell>
          <cell r="C986" t="str">
            <v>SHARP LONG BIASED MASTER FUNDO DE INVESTIMENTO DE ACOES</v>
          </cell>
          <cell r="D986" t="str">
            <v>SHARP LONG BIASED MASTER FUNDO DE INVESTIMENTO DE ACOES</v>
          </cell>
          <cell r="E986" t="str">
            <v>SHARP CAPITAL GESTORA DE RECURSOS LTDA</v>
          </cell>
        </row>
        <row r="987">
          <cell r="B987">
            <v>125066</v>
          </cell>
          <cell r="C987" t="str">
            <v>SHARP CONTINENTE FUNDO DE INVESTIMENTO EM ACOES</v>
          </cell>
          <cell r="D987" t="str">
            <v>SHARP CONTINENTE FUNDO DE INVESTIMENTO EM ACOES</v>
          </cell>
          <cell r="E987" t="str">
            <v>SHARP CAPITAL GESTORA DE RECURSOS LTDA</v>
          </cell>
        </row>
        <row r="988">
          <cell r="B988">
            <v>80499</v>
          </cell>
          <cell r="C988" t="str">
            <v>ALASKA INVESTIMENTOS LTDA</v>
          </cell>
          <cell r="D988" t="str">
            <v>ALASKA INVESTIMENTOS LTDA</v>
          </cell>
          <cell r="E988" t="str">
            <v>ALASKA INVESTIMENTOS LTDA</v>
          </cell>
        </row>
        <row r="989">
          <cell r="B989">
            <v>80499</v>
          </cell>
          <cell r="C989" t="str">
            <v>ALASKA INVESTIMENTOS LTDA</v>
          </cell>
          <cell r="D989" t="str">
            <v>ALASKA INVESTIMENTOS LTDA</v>
          </cell>
          <cell r="E989" t="str">
            <v>ALASKA INVESTIMENTOS LTDA</v>
          </cell>
        </row>
        <row r="990">
          <cell r="B990">
            <v>80503</v>
          </cell>
          <cell r="C990" t="str">
            <v>KINEA INVESTIMENTOS LTDA</v>
          </cell>
          <cell r="D990" t="str">
            <v>KINEA INVESTIMENTOS LTDA</v>
          </cell>
          <cell r="E990" t="str">
            <v>KINEA INVESTIMENTOS LTDA</v>
          </cell>
        </row>
        <row r="991">
          <cell r="B991">
            <v>125072</v>
          </cell>
          <cell r="C991" t="str">
            <v>SPX FALCON MASTER FIF EM AÃ‡Ã•ES RL</v>
          </cell>
          <cell r="D991" t="str">
            <v>SPX FALCON MASTER FIF EM AÃ‡Ã•ES RL</v>
          </cell>
          <cell r="E991" t="str">
            <v>SPX GESTAO DE RECURSOS LTDA</v>
          </cell>
        </row>
        <row r="992">
          <cell r="B992">
            <v>125075</v>
          </cell>
          <cell r="C992" t="str">
            <v>SPX PATRIOT MASTER FI FIA RESPONSABILIDADE LIMITADA</v>
          </cell>
          <cell r="D992" t="str">
            <v>SPX PATRIOT MASTER FI FIA RESPONSABILIDADE LIMITADA</v>
          </cell>
          <cell r="E992" t="str">
            <v>SPX GESTAO DE RECURSOS LTDA</v>
          </cell>
        </row>
        <row r="993">
          <cell r="B993">
            <v>125097</v>
          </cell>
          <cell r="C993" t="str">
            <v>INSTITUTO UNIBANCO</v>
          </cell>
          <cell r="D993" t="str">
            <v>INSTITUTO UNIBANCO</v>
          </cell>
          <cell r="E993" t="str">
            <v>ITAU UNIBANCO ASSET - TACO</v>
          </cell>
        </row>
        <row r="994">
          <cell r="B994">
            <v>80509</v>
          </cell>
          <cell r="C994" t="str">
            <v>ITAU UNIBANCO ASSET MANAGEMENT LTDA</v>
          </cell>
          <cell r="D994" t="str">
            <v>ITAU UNIBANCO ASSET MANAGEMENT LTDA</v>
          </cell>
          <cell r="E994" t="str">
            <v>ITAU UNIBANCO ASSET - HIGH   ALPHA</v>
          </cell>
        </row>
        <row r="995">
          <cell r="B995">
            <v>80509</v>
          </cell>
          <cell r="C995" t="str">
            <v>ITAU UNIBANCO ASSET MANAGEMENT LTDA</v>
          </cell>
          <cell r="D995" t="str">
            <v>49.1</v>
          </cell>
          <cell r="E995" t="str">
            <v>ITAU UNIBANCO ASSET - HIGH   ALPHA</v>
          </cell>
        </row>
        <row r="996">
          <cell r="B996">
            <v>80510</v>
          </cell>
          <cell r="C996" t="str">
            <v>ITAU UNIBANCO ASSET MANAGEMENT LTDA</v>
          </cell>
          <cell r="D996" t="str">
            <v>ITAU UNIBANCO ASSET MANAGEMENT LTDA</v>
          </cell>
          <cell r="E996" t="str">
            <v>ITAU UNIBANCO ASSET - TACO</v>
          </cell>
        </row>
        <row r="997">
          <cell r="B997">
            <v>80510</v>
          </cell>
          <cell r="C997" t="str">
            <v>ITAU UNIBANCO ASSET MANAGEMENT LTDA</v>
          </cell>
          <cell r="D997">
            <v>153</v>
          </cell>
          <cell r="E997" t="str">
            <v>ITAU UNIBANCO ASSET - TACO</v>
          </cell>
        </row>
        <row r="998">
          <cell r="B998">
            <v>80512</v>
          </cell>
          <cell r="C998" t="str">
            <v>MAKO GLOBAL DERIVATIVES PARTNERSHIP LLP</v>
          </cell>
          <cell r="D998" t="str">
            <v>MAKO GLOBAL DERIVATIVES PARTNERSHIP LLP</v>
          </cell>
          <cell r="E998" t="str">
            <v>MAKO GLOBAL DERIVATIVES PARTNERSHIP LLP</v>
          </cell>
        </row>
        <row r="999">
          <cell r="B999">
            <v>80512</v>
          </cell>
          <cell r="C999" t="str">
            <v>MAKO GLOBAL DERIVATIVES PARTNERSHIP LLP</v>
          </cell>
          <cell r="D999" t="str">
            <v>MAKO GLOBAL DERIVATIVES PARTNERSHIP LLP</v>
          </cell>
          <cell r="E999" t="str">
            <v>MAKO GLOBAL DERIVATIVES PARTNERSHIP LLP</v>
          </cell>
        </row>
        <row r="1000">
          <cell r="B1000">
            <v>125103</v>
          </cell>
          <cell r="C1000" t="str">
            <v>ITAU IBRX ATIVO MASTER FIA</v>
          </cell>
          <cell r="D1000" t="str">
            <v>ITAU IBRX ATIVO MASTER FIA</v>
          </cell>
          <cell r="E1000" t="str">
            <v>ITAU UNIBANCO ASSET - TACO</v>
          </cell>
        </row>
        <row r="1001">
          <cell r="B1001">
            <v>125104</v>
          </cell>
          <cell r="C1001" t="str">
            <v>ITAU FI EM PIBBS ACOES</v>
          </cell>
          <cell r="D1001" t="str">
            <v>ITAU FI EM PIBBS ACOES</v>
          </cell>
          <cell r="E1001" t="str">
            <v>ITAU UNIBANCO ASSET - TACO</v>
          </cell>
        </row>
        <row r="1002">
          <cell r="B1002">
            <v>125109</v>
          </cell>
          <cell r="C1002" t="str">
            <v>SCC FUNDO DE INVESTIMENTO MULTIMERCADO</v>
          </cell>
          <cell r="D1002" t="str">
            <v>SCC FUNDO DE INVESTIMENTO MULTIMERCADO</v>
          </cell>
          <cell r="E1002" t="str">
            <v>SHARP CAPITAL GESTORA DE RECURSOS LTDA</v>
          </cell>
        </row>
        <row r="1003">
          <cell r="B1003">
            <v>80515</v>
          </cell>
          <cell r="C1003" t="str">
            <v>SHARP CAPITAL GESTORA DE RECURSOS LTDA</v>
          </cell>
          <cell r="D1003" t="str">
            <v>SHARP CAPITAL GESTORA DE RECURSOS LTDA</v>
          </cell>
          <cell r="E1003" t="str">
            <v>SHARP CAPITAL GESTORA DE RECURSOS LTDA</v>
          </cell>
        </row>
        <row r="1004">
          <cell r="B1004">
            <v>80515</v>
          </cell>
          <cell r="C1004" t="str">
            <v>SHARP CAPITAL GESTORA DE RECURSOS LTDA</v>
          </cell>
          <cell r="D1004" t="str">
            <v>SHARP CAPITAL GESTORA DE RECURSOS LTDA</v>
          </cell>
          <cell r="E1004" t="str">
            <v>SHARP CAPITAL GESTORA DE RECURSOS LTDA</v>
          </cell>
        </row>
        <row r="1005">
          <cell r="B1005">
            <v>80516</v>
          </cell>
          <cell r="C1005" t="str">
            <v>BANCO J SAFRA S/A</v>
          </cell>
          <cell r="D1005" t="str">
            <v>BANCO J SAFRA S/A</v>
          </cell>
          <cell r="E1005" t="str">
            <v>BANCO J SAFRA S/A</v>
          </cell>
        </row>
        <row r="1006">
          <cell r="B1006">
            <v>80516</v>
          </cell>
          <cell r="C1006" t="str">
            <v>BANCO J SAFRA S/A</v>
          </cell>
          <cell r="D1006" t="str">
            <v>BANCO J SAFRA S/A</v>
          </cell>
          <cell r="E1006" t="str">
            <v>BANCO J SAFRA S/A</v>
          </cell>
        </row>
        <row r="1007">
          <cell r="B1007">
            <v>80519</v>
          </cell>
          <cell r="C1007" t="str">
            <v>BANQUE J. SAFRA SARASIN (LUXEMBOURG) S.A.</v>
          </cell>
          <cell r="D1007" t="str">
            <v>BANQUE J. SAFRA SARASIN (LUXEMBOURG) S.A.</v>
          </cell>
          <cell r="E1007" t="str">
            <v>BANCO J SAFRA S/A</v>
          </cell>
        </row>
        <row r="1008">
          <cell r="B1008">
            <v>80519</v>
          </cell>
          <cell r="C1008" t="str">
            <v>BANQUE J. SAFRA SARASIN (LUXEMBOURG) S.A.</v>
          </cell>
          <cell r="D1008" t="str">
            <v>BANQUE J. SAFRA SARASIN (LUXEMBOURG) S.A.</v>
          </cell>
          <cell r="E1008" t="str">
            <v>BANCO J SAFRA S/A</v>
          </cell>
        </row>
        <row r="1009">
          <cell r="B1009">
            <v>80520</v>
          </cell>
          <cell r="C1009" t="str">
            <v>BANK J. SAFRA SARASIN LTD</v>
          </cell>
          <cell r="D1009" t="str">
            <v>BANK J. SAFRA SARASIN LTD</v>
          </cell>
          <cell r="E1009" t="str">
            <v>BANCO J SAFRA S/A</v>
          </cell>
        </row>
        <row r="1010">
          <cell r="B1010">
            <v>80520</v>
          </cell>
          <cell r="C1010" t="str">
            <v>BANK J. SAFRA SARASIN LTD</v>
          </cell>
          <cell r="D1010" t="str">
            <v>BANK J. SAFRA SARASIN LTD</v>
          </cell>
          <cell r="E1010" t="str">
            <v>BANCO J SAFRA S/A</v>
          </cell>
        </row>
        <row r="1011">
          <cell r="B1011">
            <v>81647</v>
          </cell>
          <cell r="C1011" t="str">
            <v>BOGARI GESTAO DE INVESTIMENTOS LTDA</v>
          </cell>
          <cell r="D1011" t="str">
            <v>BOGARI GESTAO DE INVESTIMENTOS LTDA</v>
          </cell>
          <cell r="E1011" t="str">
            <v>BOGARI GESTAO DE INVESTIMENTOS LTDA</v>
          </cell>
        </row>
        <row r="1012">
          <cell r="B1012">
            <v>81647</v>
          </cell>
          <cell r="C1012" t="str">
            <v>BOGARI GESTAO DE INVESTIMENTOS LTDA</v>
          </cell>
          <cell r="D1012" t="str">
            <v>BOGARI GESTAO DE INVESTIMENTOS LTDA</v>
          </cell>
          <cell r="E1012" t="str">
            <v>BOGARI GESTAO DE INVESTIMENTOS LTDA</v>
          </cell>
        </row>
        <row r="1013">
          <cell r="B1013">
            <v>80523</v>
          </cell>
          <cell r="C1013" t="str">
            <v>BANQUE J. SAFRA SARASIN (LUXEMBOURG) S.A.</v>
          </cell>
          <cell r="D1013" t="str">
            <v>BANQUE J. SAFRA SARASIN (LUXEMBOURG) S.A.</v>
          </cell>
          <cell r="E1013" t="str">
            <v>BANCO J SAFRA S/A</v>
          </cell>
        </row>
        <row r="1014">
          <cell r="B1014">
            <v>80523</v>
          </cell>
          <cell r="C1014" t="str">
            <v>BANQUE J. SAFRA SARASIN (LUXEMBOURG) S.A.</v>
          </cell>
          <cell r="D1014" t="str">
            <v>BANQUE J. SAFRA SARASIN (LUXEMBOURG) S.A.</v>
          </cell>
          <cell r="E1014" t="str">
            <v>BANCO J SAFRA S/A</v>
          </cell>
        </row>
        <row r="1015">
          <cell r="B1015">
            <v>125124</v>
          </cell>
          <cell r="C1015" t="str">
            <v>CMT FUND XXII LIMITED (UK BRANCH)</v>
          </cell>
          <cell r="D1015" t="str">
            <v>CMT FUND XXII LIMITED (UK BRANCH)</v>
          </cell>
          <cell r="E1015" t="str">
            <v>CMT FUND XXII LIMITED (UK BRANCH)</v>
          </cell>
        </row>
        <row r="1016">
          <cell r="B1016">
            <v>125124</v>
          </cell>
          <cell r="C1016" t="str">
            <v>CMT FUND XXII LIMITED (UK BRANCH)</v>
          </cell>
          <cell r="D1016" t="str">
            <v>CMT FUND XXII LIMITED (UK BRANCH)</v>
          </cell>
          <cell r="E1016" t="str">
            <v>CMT FUND XXII LIMITED (UK BRANCH)</v>
          </cell>
        </row>
        <row r="1017">
          <cell r="B1017">
            <v>80524</v>
          </cell>
          <cell r="C1017" t="str">
            <v>KAPITALO INVESTIMENTOS LTDA</v>
          </cell>
          <cell r="D1017" t="str">
            <v>KAPITALO INVESTIMENTOS LTDA</v>
          </cell>
          <cell r="E1017" t="str">
            <v>KAPITALO INVESTIMENTOS LTDA</v>
          </cell>
        </row>
        <row r="1018">
          <cell r="B1018">
            <v>125129</v>
          </cell>
          <cell r="C1018" t="str">
            <v>ARGUCIA INCOME FIF DE AÃ‡Ã•ES RESP LIMITADA</v>
          </cell>
          <cell r="D1018" t="str">
            <v>ARGUCIA INCOME FIF DE AÃ‡Ã•ES RESP LIMITADA</v>
          </cell>
          <cell r="E1018" t="str">
            <v>ARGUCIA CAPITAL GESTAO DE RECURSOS LTDA</v>
          </cell>
        </row>
        <row r="1019">
          <cell r="B1019">
            <v>125130</v>
          </cell>
          <cell r="C1019" t="str">
            <v>ARGUCIA ENDOWMENT FIF MULT RESP LIMITADA</v>
          </cell>
          <cell r="D1019" t="str">
            <v>ARGUCIA ENDOWMENT FIF MULT RESP LIMITADA</v>
          </cell>
          <cell r="E1019" t="str">
            <v>ARGUCIA CAPITAL GESTAO DE RECURSOS LTDA</v>
          </cell>
        </row>
        <row r="1020">
          <cell r="B1020">
            <v>125131</v>
          </cell>
          <cell r="C1020" t="str">
            <v>SPARTA FIF EM ACOES RESP LIMITADA</v>
          </cell>
          <cell r="D1020" t="str">
            <v>SPARTA FIF EM ACOES RESP LIMITADA</v>
          </cell>
          <cell r="E1020" t="str">
            <v>ARGUCIA CAPITAL GESTAO DE RECURSOS LTDA</v>
          </cell>
        </row>
        <row r="1021">
          <cell r="B1021">
            <v>80526</v>
          </cell>
          <cell r="C1021" t="str">
            <v>PRINCIPAL ASSET MANAGEMENT LTDA</v>
          </cell>
          <cell r="D1021" t="str">
            <v>PRINCIPAL ASSET MANAGEMENT LTDA</v>
          </cell>
          <cell r="E1021" t="str">
            <v>PRINCIPAL ASSET MANAGEMENT LTDA</v>
          </cell>
        </row>
        <row r="1022">
          <cell r="B1022">
            <v>80527</v>
          </cell>
          <cell r="C1022" t="str">
            <v>PRINCIPAL ASSET MANAGEMENT LTDA</v>
          </cell>
          <cell r="D1022" t="str">
            <v>PRINCIPAL ASSET MANAGEMENT LTDA</v>
          </cell>
          <cell r="E1022" t="str">
            <v>PRINCIPAL ASSET MANAGEMENT LTDA</v>
          </cell>
        </row>
        <row r="1023">
          <cell r="B1023">
            <v>80528</v>
          </cell>
          <cell r="C1023" t="str">
            <v>PRINCIPAL ASSET MANAGEMENT LTDA</v>
          </cell>
          <cell r="D1023" t="str">
            <v>PRINCIPAL ASSET MANAGEMENT LTDA</v>
          </cell>
          <cell r="E1023" t="str">
            <v>PRINCIPAL ASSET MANAGEMENT LTDA</v>
          </cell>
        </row>
        <row r="1024">
          <cell r="B1024">
            <v>80529</v>
          </cell>
          <cell r="C1024" t="str">
            <v>PRINCIPAL ASSET MANAGEMENT LTDA</v>
          </cell>
          <cell r="D1024" t="str">
            <v>PRINCIPAL ASSET MANAGEMENT LTDA</v>
          </cell>
          <cell r="E1024" t="str">
            <v>PRINCIPAL ASSET MANAGEMENT LTDA</v>
          </cell>
        </row>
        <row r="1025">
          <cell r="B1025">
            <v>80530</v>
          </cell>
          <cell r="C1025" t="str">
            <v>SAFRA CONSUMO AMERICANO FIA BDR-NIVEL I PB</v>
          </cell>
          <cell r="D1025" t="str">
            <v>SAFRA CONSUMO AMERICANO FIA BDR-NIVEL I PB</v>
          </cell>
          <cell r="E1025" t="str">
            <v>SAFRA ASSET MANAGEMENT LTDA</v>
          </cell>
        </row>
        <row r="1026">
          <cell r="B1026">
            <v>80532</v>
          </cell>
          <cell r="C1026" t="str">
            <v>BANCO J SAFRA S/A</v>
          </cell>
          <cell r="D1026" t="str">
            <v>BANCO J SAFRA S/A</v>
          </cell>
          <cell r="E1026" t="str">
            <v>BANCO J SAFRA S/A</v>
          </cell>
        </row>
        <row r="1027">
          <cell r="B1027">
            <v>80532</v>
          </cell>
          <cell r="C1027" t="str">
            <v>BANCO J SAFRA S/A</v>
          </cell>
          <cell r="D1027" t="str">
            <v>BANCO J SAFRA S/A</v>
          </cell>
          <cell r="E1027" t="str">
            <v>BANCO J SAFRA S/A</v>
          </cell>
        </row>
        <row r="1028">
          <cell r="B1028">
            <v>80531</v>
          </cell>
          <cell r="C1028" t="str">
            <v>MERRILL LYNCH INTERNATIONAL</v>
          </cell>
          <cell r="D1028" t="str">
            <v>MERRILL LYNCH INTERNATIONAL</v>
          </cell>
          <cell r="E1028" t="str">
            <v>BANK OF AMERICA MERRILL LYNCH BANCO MULTIPLO S/A</v>
          </cell>
        </row>
        <row r="1029">
          <cell r="B1029">
            <v>125134</v>
          </cell>
          <cell r="C1029" t="str">
            <v>GLADIUS FIF MULTIMERCADO CREDITO PRIVADO IE</v>
          </cell>
          <cell r="D1029" t="str">
            <v>GLADIUS FIF MULTIMERCADO CREDITO PRIVADO IE</v>
          </cell>
          <cell r="E1029" t="str">
            <v>BANCO XP S/A</v>
          </cell>
        </row>
        <row r="1030">
          <cell r="B1030">
            <v>125134</v>
          </cell>
          <cell r="C1030" t="str">
            <v>GLADIUS FIF MULTIMERCADO CREDITO PRIVADO IE</v>
          </cell>
          <cell r="D1030" t="str">
            <v>GLADIUS FIF MULTIMERCADO CREDITO PRIVADO IE</v>
          </cell>
          <cell r="E1030" t="str">
            <v>BANCO XP S/A</v>
          </cell>
        </row>
        <row r="1031">
          <cell r="B1031">
            <v>125137</v>
          </cell>
          <cell r="C1031" t="str">
            <v>ARX TARGET ICATU PREVIDÃŠNCIA FUNDO DE INVESTIMENTO MULTIMERC</v>
          </cell>
          <cell r="D1031" t="str">
            <v>ARX TARGET ICATU PREVIDÃŠNCIA FUNDO DE INVESTIMENTO MULTIMERC</v>
          </cell>
          <cell r="E1031" t="str">
            <v>ARX INVESTIMENTOS LTDA</v>
          </cell>
        </row>
        <row r="1032">
          <cell r="B1032">
            <v>80533</v>
          </cell>
          <cell r="C1032" t="str">
            <v>FUNDACAO DOS ECONOMIARIOS FEDERAIS - FUNCEF</v>
          </cell>
          <cell r="D1032" t="str">
            <v>FUNDACAO DOS ECONOMIARIOS FEDERAIS - FUNCEF</v>
          </cell>
          <cell r="E1032" t="str">
            <v>FUNDACAO DOS ECONOMIARIOS FEDERAIS - FUNCEF</v>
          </cell>
        </row>
        <row r="1033">
          <cell r="B1033">
            <v>125142</v>
          </cell>
          <cell r="C1033" t="str">
            <v>MANTARO LB 2 MASTER FIA</v>
          </cell>
          <cell r="D1033" t="str">
            <v>MANTARO LB 2 MASTER FIA</v>
          </cell>
          <cell r="E1033" t="str">
            <v>MANTARO CAPITAL LTDA</v>
          </cell>
        </row>
        <row r="1034">
          <cell r="B1034">
            <v>80565</v>
          </cell>
          <cell r="C1034" t="str">
            <v>IMC TRADING B.V</v>
          </cell>
          <cell r="D1034" t="str">
            <v>IMC TRADING B.V</v>
          </cell>
          <cell r="E1034" t="str">
            <v>IMC TRADING B.V</v>
          </cell>
        </row>
        <row r="1035">
          <cell r="B1035">
            <v>80565</v>
          </cell>
          <cell r="C1035" t="str">
            <v>IMC TRADING B.V</v>
          </cell>
          <cell r="D1035" t="str">
            <v>IMC TRADING B.V</v>
          </cell>
          <cell r="E1035" t="str">
            <v>IMC TRADING B.V</v>
          </cell>
        </row>
        <row r="1036">
          <cell r="B1036">
            <v>80550</v>
          </cell>
          <cell r="C1036" t="str">
            <v>ALVORADA FIF AÃ‡Ã•ES RL</v>
          </cell>
          <cell r="D1036" t="str">
            <v>ALVORADA FIF AÃ‡Ã•ES RL</v>
          </cell>
          <cell r="E1036" t="str">
            <v>FUNDACAO DOS ECONOMIARIOS FEDERAIS - FUNCEF</v>
          </cell>
        </row>
        <row r="1037">
          <cell r="B1037">
            <v>80549</v>
          </cell>
          <cell r="C1037" t="str">
            <v>DOM BOSCO FIF AÃ‡Ã•ES RL</v>
          </cell>
          <cell r="D1037" t="str">
            <v>DOM BOSCO FIF AÃ‡Ã•ES RL</v>
          </cell>
          <cell r="E1037" t="str">
            <v>FUNDACAO DOS ECONOMIARIOS FEDERAIS - FUNCEF</v>
          </cell>
        </row>
        <row r="1038">
          <cell r="B1038">
            <v>80564</v>
          </cell>
          <cell r="C1038" t="str">
            <v>FUNDO DE INVESTIMENTO FOX SOBERANO I RENDA FIXA</v>
          </cell>
          <cell r="D1038" t="str">
            <v>FUNDO DE INVESTIMENTO FOX SOBERANO I RENDA FIXA</v>
          </cell>
          <cell r="E1038" t="str">
            <v>FUNDACAO DOS ECONOMIARIOS FEDERAIS - FUNCEF</v>
          </cell>
        </row>
        <row r="1039">
          <cell r="B1039">
            <v>80581</v>
          </cell>
          <cell r="C1039" t="str">
            <v>FUNDACAO DOS ECONOMIARIOS FEDERAIS - FUNCEF</v>
          </cell>
          <cell r="D1039" t="str">
            <v>FUNDACAO DOS ECONOMIARIOS FEDERAIS - FUNCEF</v>
          </cell>
          <cell r="E1039" t="str">
            <v>FUNDACAO DOS ECONOMIARIOS FEDERAIS - FUNCEF</v>
          </cell>
        </row>
        <row r="1040">
          <cell r="B1040">
            <v>80582</v>
          </cell>
          <cell r="C1040" t="str">
            <v>FUNDACAO DOS ECONOMIARIOS FEDERAIS - FUNCEF</v>
          </cell>
          <cell r="D1040" t="str">
            <v>FUNDACAO DOS ECONOMIARIOS FEDERAIS - FUNCEF</v>
          </cell>
          <cell r="E1040" t="str">
            <v>FUNDACAO DOS ECONOMIARIOS FEDERAIS - FUNCEF</v>
          </cell>
        </row>
        <row r="1041">
          <cell r="B1041">
            <v>80583</v>
          </cell>
          <cell r="C1041" t="str">
            <v>FUNDACAO DOS ECONOMIARIOS FEDERAIS - FUNCEF</v>
          </cell>
          <cell r="D1041" t="str">
            <v>FUNDACAO DOS ECONOMIARIOS FEDERAIS - FUNCEF</v>
          </cell>
          <cell r="E1041" t="str">
            <v>FUNDACAO DOS ECONOMIARIOS FEDERAIS - FUNCEF</v>
          </cell>
        </row>
        <row r="1042">
          <cell r="B1042">
            <v>80584</v>
          </cell>
          <cell r="C1042" t="str">
            <v>FUNDACAO DOS ECONOMIARIOS FEDERAIS - FUNCEF</v>
          </cell>
          <cell r="D1042" t="str">
            <v>FUNDACAO DOS ECONOMIARIOS FEDERAIS - FUNCEF</v>
          </cell>
          <cell r="E1042" t="str">
            <v>FUNDACAO DOS ECONOMIARIOS FEDERAIS - FUNCEF</v>
          </cell>
        </row>
        <row r="1043">
          <cell r="B1043">
            <v>80585</v>
          </cell>
          <cell r="C1043" t="str">
            <v>FUNDACAO DOS ECONOMIARIOS FEDERAIS - FUNCEF</v>
          </cell>
          <cell r="D1043" t="str">
            <v>FUNDACAO DOS ECONOMIARIOS FEDERAIS - FUNCEF</v>
          </cell>
          <cell r="E1043" t="str">
            <v>FUNDACAO DOS ECONOMIARIOS FEDERAIS - FUNCEF</v>
          </cell>
        </row>
        <row r="1044">
          <cell r="B1044">
            <v>80586</v>
          </cell>
          <cell r="C1044" t="str">
            <v>FUNDACAO DOS ECONOMIARIOS FEDERAIS - FUNCEF</v>
          </cell>
          <cell r="D1044" t="str">
            <v>FUNDACAO DOS ECONOMIARIOS FEDERAIS - FUNCEF</v>
          </cell>
          <cell r="E1044" t="str">
            <v>FUNDACAO DOS ECONOMIARIOS FEDERAIS - FUNCEF</v>
          </cell>
        </row>
        <row r="1045">
          <cell r="B1045">
            <v>80587</v>
          </cell>
          <cell r="C1045" t="str">
            <v>FUNDACAO DOS ECONOMIARIOS FEDERAIS - FUNCEF</v>
          </cell>
          <cell r="D1045" t="str">
            <v>FUNDACAO DOS ECONOMIARIOS FEDERAIS - FUNCEF</v>
          </cell>
          <cell r="E1045" t="str">
            <v>FUNDACAO DOS ECONOMIARIOS FEDERAIS - FUNCEF</v>
          </cell>
        </row>
        <row r="1046">
          <cell r="B1046">
            <v>80588</v>
          </cell>
          <cell r="C1046" t="str">
            <v>FUNDACAO DOS ECONOMIARIOS FEDERAIS - FUNCEF</v>
          </cell>
          <cell r="D1046" t="str">
            <v>FUNDACAO DOS ECONOMIARIOS FEDERAIS - FUNCEF</v>
          </cell>
          <cell r="E1046" t="str">
            <v>FUNDACAO DOS ECONOMIARIOS FEDERAIS - FUNCEF</v>
          </cell>
        </row>
        <row r="1047">
          <cell r="B1047">
            <v>80589</v>
          </cell>
          <cell r="C1047" t="str">
            <v>FUNDACAO DOS ECONOMIARIOS FEDERAIS - FUNCEF</v>
          </cell>
          <cell r="D1047" t="str">
            <v>FUNDACAO DOS ECONOMIARIOS FEDERAIS - FUNCEF</v>
          </cell>
          <cell r="E1047" t="str">
            <v>FUNDACAO DOS ECONOMIARIOS FEDERAIS - FUNCEF</v>
          </cell>
        </row>
        <row r="1048">
          <cell r="B1048">
            <v>80590</v>
          </cell>
          <cell r="C1048" t="str">
            <v>FUNDACAO DOS ECONOMIARIOS FEDERAIS - FUNCEF</v>
          </cell>
          <cell r="D1048" t="str">
            <v>FUNDACAO DOS ECONOMIARIOS FEDERAIS - FUNCEF</v>
          </cell>
          <cell r="E1048" t="str">
            <v>FUNDACAO DOS ECONOMIARIOS FEDERAIS - FUNCEF</v>
          </cell>
        </row>
        <row r="1049">
          <cell r="B1049">
            <v>80591</v>
          </cell>
          <cell r="C1049" t="str">
            <v>FUNDACAO DOS ECONOMIARIOS FEDERAIS - FUNCEF</v>
          </cell>
          <cell r="D1049" t="str">
            <v>FUNDACAO DOS ECONOMIARIOS FEDERAIS - FUNCEF</v>
          </cell>
          <cell r="E1049" t="str">
            <v>FUNDACAO DOS ECONOMIARIOS FEDERAIS - FUNCEF</v>
          </cell>
        </row>
        <row r="1050">
          <cell r="B1050">
            <v>80573</v>
          </cell>
          <cell r="C1050" t="str">
            <v>BANCO C6 S.A</v>
          </cell>
          <cell r="D1050" t="str">
            <v>BANCO C6 S.A</v>
          </cell>
          <cell r="E1050" t="str">
            <v>BANCO C6 S/A</v>
          </cell>
        </row>
        <row r="1051">
          <cell r="B1051">
            <v>80573</v>
          </cell>
          <cell r="C1051" t="str">
            <v>BANCO C6 S.A</v>
          </cell>
          <cell r="D1051" t="str">
            <v>BANCO C6 S.A</v>
          </cell>
          <cell r="E1051" t="str">
            <v>BANCO C6 S/A</v>
          </cell>
        </row>
        <row r="1052">
          <cell r="B1052">
            <v>80574</v>
          </cell>
          <cell r="C1052" t="str">
            <v>JP MORGAN SECURITIES PLC</v>
          </cell>
          <cell r="D1052" t="str">
            <v>JP MORGAN SECURITIES PLC</v>
          </cell>
          <cell r="E1052" t="str">
            <v>BANCO JP MORGAN S/A</v>
          </cell>
        </row>
        <row r="1053">
          <cell r="B1053">
            <v>80574</v>
          </cell>
          <cell r="C1053" t="str">
            <v>JP MORGAN SECURITIES PLC</v>
          </cell>
          <cell r="D1053" t="str">
            <v>JP MORGAN SECURITIES PLC</v>
          </cell>
          <cell r="E1053" t="str">
            <v>BANCO JP MORGAN S/A</v>
          </cell>
        </row>
        <row r="1054">
          <cell r="B1054">
            <v>125148</v>
          </cell>
          <cell r="C1054" t="str">
            <v>AZ QUEST B PREVIDÃŠNCIA FIFE MASTER FIM</v>
          </cell>
          <cell r="D1054" t="str">
            <v>AZ QUEST B PREVIDÃŠNCIA FIFE MASTER FIM</v>
          </cell>
          <cell r="E1054" t="str">
            <v>AZ QUEST INVESTIMENTOS LTDA</v>
          </cell>
        </row>
        <row r="1055">
          <cell r="B1055">
            <v>80576</v>
          </cell>
          <cell r="C1055" t="str">
            <v>VENTOR INVESTIMENTOS LTDA</v>
          </cell>
          <cell r="D1055">
            <v>48</v>
          </cell>
          <cell r="E1055" t="str">
            <v>VENTOR INVESTIMENTOS LTDA</v>
          </cell>
        </row>
        <row r="1056">
          <cell r="B1056">
            <v>80576</v>
          </cell>
          <cell r="C1056" t="str">
            <v>VENTOR INVESTIMENTOS LTDA</v>
          </cell>
          <cell r="D1056" t="str">
            <v>VENTOR INVESTIMENTOS LTDA</v>
          </cell>
          <cell r="E1056" t="str">
            <v>VENTOR INVESTIMENTOS LTDA</v>
          </cell>
        </row>
        <row r="1057">
          <cell r="B1057">
            <v>80592</v>
          </cell>
          <cell r="C1057" t="str">
            <v>APEX CAPITAL LTDA</v>
          </cell>
          <cell r="D1057" t="str">
            <v>APEX CAPITAL LTDA</v>
          </cell>
          <cell r="E1057" t="str">
            <v>APEX CAPITAL LTDA</v>
          </cell>
        </row>
        <row r="1058">
          <cell r="B1058">
            <v>80592</v>
          </cell>
          <cell r="C1058" t="str">
            <v>APEX CAPITAL LTDA</v>
          </cell>
          <cell r="D1058" t="str">
            <v>APEX CAPITAL LTDA</v>
          </cell>
          <cell r="E1058" t="str">
            <v>APEX CAPITAL LTDA</v>
          </cell>
        </row>
        <row r="1059">
          <cell r="B1059">
            <v>80595</v>
          </cell>
          <cell r="C1059" t="str">
            <v>APEX MASTER LONG BIASED FIM</v>
          </cell>
          <cell r="D1059" t="str">
            <v>APEX MASTER LONG BIASED FIM</v>
          </cell>
          <cell r="E1059" t="str">
            <v>APEX CAPITAL LTDA</v>
          </cell>
        </row>
        <row r="1060">
          <cell r="B1060">
            <v>80601</v>
          </cell>
          <cell r="C1060" t="str">
            <v>APEX EQUITY HEDGE FIF MULTIMERCADO RL</v>
          </cell>
          <cell r="D1060" t="str">
            <v>APEX EQUITY HEDGE FIF MULTIMERCADO RL</v>
          </cell>
          <cell r="E1060" t="str">
            <v>APEX CAPITAL LTDA</v>
          </cell>
        </row>
        <row r="1061">
          <cell r="B1061">
            <v>80607</v>
          </cell>
          <cell r="C1061" t="str">
            <v>APEX INFINITY MASTER LONG BIASED FIA</v>
          </cell>
          <cell r="D1061" t="str">
            <v>APEX INFINITY MASTER LONG BIASED FIA</v>
          </cell>
          <cell r="E1061" t="str">
            <v>APEX CAPITAL LTDA</v>
          </cell>
        </row>
        <row r="1062">
          <cell r="B1062">
            <v>80610</v>
          </cell>
          <cell r="C1062" t="str">
            <v>APEX MASTER FIA</v>
          </cell>
          <cell r="D1062" t="str">
            <v>APEX MASTER FIA</v>
          </cell>
          <cell r="E1062" t="str">
            <v>APEX CAPITAL LTDA</v>
          </cell>
        </row>
        <row r="1063">
          <cell r="B1063">
            <v>125151</v>
          </cell>
          <cell r="C1063" t="str">
            <v>FUNDACAO PETROBRAS DE SEGURIDADE SOCIAL PETROS</v>
          </cell>
          <cell r="D1063" t="str">
            <v>FUNDACAO PETROBRAS DE SEGURIDADE SOCIAL PETROS</v>
          </cell>
          <cell r="E1063" t="str">
            <v>FUNDACAO PETROBRAS DE SEGURIDADE SOCIAL PETROS</v>
          </cell>
        </row>
        <row r="1064">
          <cell r="B1064">
            <v>125152</v>
          </cell>
          <cell r="C1064" t="str">
            <v>FUNDACAO PETROBRAS DE SEGURIDADE SOCIAL PETROS</v>
          </cell>
          <cell r="D1064" t="str">
            <v>FUNDACAO PETROBRAS DE SEGURIDADE SOCIAL PETROS</v>
          </cell>
          <cell r="E1064" t="str">
            <v>FUNDACAO PETROBRAS DE SEGURIDADE SOCIAL PETROS</v>
          </cell>
        </row>
        <row r="1065">
          <cell r="B1065">
            <v>125153</v>
          </cell>
          <cell r="C1065" t="str">
            <v>FUNDACAO PETROBRAS DE SEGURIDADE SOCIAL PETROS</v>
          </cell>
          <cell r="D1065" t="str">
            <v>FUNDACAO PETROBRAS DE SEGURIDADE SOCIAL PETROS</v>
          </cell>
          <cell r="E1065" t="str">
            <v>FUNDACAO PETROBRAS DE SEGURIDADE SOCIAL PETROS</v>
          </cell>
        </row>
        <row r="1066">
          <cell r="B1066">
            <v>125156</v>
          </cell>
          <cell r="C1066" t="str">
            <v>CAIXA RIO BRAVO FUNDO DE FUNDOS DE INVESTIMENTO IMOBILIARIO</v>
          </cell>
          <cell r="D1066" t="str">
            <v>CAIXA RIO BRAVO FUNDO DE FUNDOS DE INVESTIMENTO IMOBILIARIO</v>
          </cell>
          <cell r="E1066" t="str">
            <v>RIO BRAVO INVESTIMENTOS LTDA</v>
          </cell>
        </row>
        <row r="1067">
          <cell r="B1067">
            <v>125156</v>
          </cell>
          <cell r="C1067" t="str">
            <v>CAIXA RIO BRAVO FUNDO DE FUNDOS DE INVESTIMENTO IMOBILIARIO</v>
          </cell>
          <cell r="D1067" t="str">
            <v>CAIXA RIO BRAVO FUNDO DE FUNDOS DE INVESTIMENTO IMOBILIARIO</v>
          </cell>
          <cell r="E1067" t="str">
            <v>CAIXA RIO BRAVO FUNDO DE FUNDOS DE INVESTIMENTO IMOBILIARIO</v>
          </cell>
        </row>
        <row r="1068">
          <cell r="B1068">
            <v>125157</v>
          </cell>
          <cell r="C1068" t="str">
            <v>CAIXA RIO BRAVO FII II</v>
          </cell>
          <cell r="D1068" t="str">
            <v>CAIXA RIO BRAVO FII II</v>
          </cell>
          <cell r="E1068" t="str">
            <v>RIO BRAVO INVESTIMENTOS LTDA</v>
          </cell>
        </row>
        <row r="1069">
          <cell r="B1069">
            <v>80622</v>
          </cell>
          <cell r="C1069" t="str">
            <v>CAIXA ECONOMICA FEDERAL</v>
          </cell>
          <cell r="D1069" t="str">
            <v>CAIXA ECONOMICA FEDERAL</v>
          </cell>
          <cell r="E1069" t="str">
            <v>CAIXA ECONOMICA FEDERAL</v>
          </cell>
        </row>
        <row r="1070">
          <cell r="B1070">
            <v>125161</v>
          </cell>
          <cell r="C1070" t="str">
            <v>SPECIAL SITUATION I FIM</v>
          </cell>
          <cell r="D1070" t="str">
            <v>SPECIAL SITUATION I FIM</v>
          </cell>
          <cell r="E1070" t="str">
            <v>POLO CAPITAL GESTÃO DE RECURSOS LTDA</v>
          </cell>
        </row>
        <row r="1071">
          <cell r="B1071">
            <v>125162</v>
          </cell>
          <cell r="C1071" t="str">
            <v>TOLDA FIA IE</v>
          </cell>
          <cell r="D1071" t="str">
            <v>TOLDA FIA IE</v>
          </cell>
          <cell r="E1071" t="str">
            <v>POLO CAPITAL GESTÃO DE RECURSOS LTDA</v>
          </cell>
        </row>
        <row r="1072">
          <cell r="B1072">
            <v>125163</v>
          </cell>
          <cell r="C1072" t="str">
            <v>POLO LONG BIAS I FIC DE FIF MULT RL</v>
          </cell>
          <cell r="D1072" t="str">
            <v>POLO LONG BIAS I FIC DE FIF MULT RL</v>
          </cell>
          <cell r="E1072" t="str">
            <v>POLO CAPITAL GESTÃO DE RECURSOS LTDA</v>
          </cell>
        </row>
        <row r="1073">
          <cell r="B1073">
            <v>125165</v>
          </cell>
          <cell r="C1073" t="str">
            <v>ITAU UNIBANCO ACOES MASTER FIF RL</v>
          </cell>
          <cell r="D1073" t="str">
            <v>ITAU UNIBANCO ACOES MASTER FIF RL</v>
          </cell>
          <cell r="E1073" t="str">
            <v>ITAU UNIBANCO ASSET - TACO</v>
          </cell>
        </row>
        <row r="1074">
          <cell r="B1074">
            <v>80623</v>
          </cell>
          <cell r="C1074" t="str">
            <v>DEUTSCHE BANK AKTIENGESELLSCHAFT</v>
          </cell>
          <cell r="D1074" t="str">
            <v>DEUTSCHE BANK AKTIENGESELLSCHAFT</v>
          </cell>
          <cell r="E1074" t="str">
            <v>DEUTSCHE BANK S/A</v>
          </cell>
        </row>
        <row r="1075">
          <cell r="B1075">
            <v>80625</v>
          </cell>
          <cell r="C1075" t="str">
            <v>FUNDACAO PROMON DE PREVIDENCIA SOCIAL</v>
          </cell>
          <cell r="D1075" t="str">
            <v>FUNDACAO PROMON DE PREVIDENCIA SOCIAL</v>
          </cell>
          <cell r="E1075" t="str">
            <v>FUNDACAO PROMON DE PREVIDENCIA SOCIAL</v>
          </cell>
        </row>
        <row r="1076">
          <cell r="B1076">
            <v>80626</v>
          </cell>
          <cell r="C1076" t="str">
            <v>FUNDACAO PROMON DE PREVIDENCIA SOCIAL</v>
          </cell>
          <cell r="D1076" t="str">
            <v>FUNDACAO PROMON DE PREVIDENCIA SOCIAL</v>
          </cell>
          <cell r="E1076" t="str">
            <v>FUNDACAO PROMON DE PREVIDENCIA SOCIAL</v>
          </cell>
        </row>
        <row r="1077">
          <cell r="B1077">
            <v>80625</v>
          </cell>
          <cell r="C1077" t="str">
            <v>FUNDACAO PROMON DE PREVIDENCIA SOCIAL</v>
          </cell>
          <cell r="D1077" t="str">
            <v>FUNDACAO PROMON DE PREVIDENCIA SOCIAL</v>
          </cell>
          <cell r="E1077" t="str">
            <v>FUNDACAO PROMON DE PREVIDENCIA SOCIAL</v>
          </cell>
        </row>
        <row r="1078">
          <cell r="B1078">
            <v>80626</v>
          </cell>
          <cell r="C1078" t="str">
            <v>FUNDACAO PROMON DE PREVIDENCIA SOCIAL</v>
          </cell>
          <cell r="D1078" t="str">
            <v>FUNDACAO PROMON DE PREVIDENCIA SOCIAL</v>
          </cell>
          <cell r="E1078" t="str">
            <v>FUNDACAO PROMON DE PREVIDENCIA SOCIAL</v>
          </cell>
        </row>
        <row r="1079">
          <cell r="B1079">
            <v>125168</v>
          </cell>
          <cell r="C1079" t="str">
            <v>DAHLIA 100 FIFE PREVIDENCIA FIM</v>
          </cell>
          <cell r="D1079" t="str">
            <v>DAHLIA 100 FIFE PREVIDENCIA FIM</v>
          </cell>
          <cell r="E1079" t="str">
            <v>DAHLIA CAPITAL GESTAO DE RECURSOS LTDA</v>
          </cell>
        </row>
        <row r="1080">
          <cell r="B1080">
            <v>80628</v>
          </cell>
          <cell r="C1080" t="str">
            <v>FIM CONEJO FUND</v>
          </cell>
          <cell r="D1080" t="str">
            <v>FIM CONEJO FUND</v>
          </cell>
          <cell r="E1080" t="str">
            <v>BANCO CITIBANK S/A</v>
          </cell>
        </row>
        <row r="1081">
          <cell r="B1081">
            <v>80629</v>
          </cell>
          <cell r="C1081" t="str">
            <v>FIM CANARY IE</v>
          </cell>
          <cell r="D1081" t="str">
            <v>FIM CANARY IE</v>
          </cell>
          <cell r="E1081" t="str">
            <v>BANCO CITIBANK S/A</v>
          </cell>
        </row>
        <row r="1082">
          <cell r="B1082">
            <v>125174</v>
          </cell>
          <cell r="C1082" t="str">
            <v>BB GESTAO DE RECURSOS DTVM LTDA</v>
          </cell>
          <cell r="D1082" t="str">
            <v>BB GESTAO DE RECURSOS DTVM LTDA</v>
          </cell>
          <cell r="E1082" t="str">
            <v>BB GESTAO DE RECURSOS DTVM LTDA</v>
          </cell>
        </row>
        <row r="1083">
          <cell r="B1083">
            <v>125175</v>
          </cell>
          <cell r="C1083" t="str">
            <v>DAHLIA AÃ‡Ã•ES MASTER FUNDO DE INVESTIMENTO EM AÃ‡Ã•ES</v>
          </cell>
          <cell r="D1083" t="str">
            <v>DAHLIA AÃ‡Ã•ES MASTER FUNDO DE INVESTIMENTO EM AÃ‡Ã•ES</v>
          </cell>
          <cell r="E1083" t="str">
            <v>DAHLIA CAPITAL GESTAO DE RECURSOS LTDA</v>
          </cell>
        </row>
        <row r="1084">
          <cell r="B1084">
            <v>80633</v>
          </cell>
          <cell r="C1084" t="str">
            <v>SAFRA NATIONAL BANK OF NEW YORK</v>
          </cell>
          <cell r="D1084" t="str">
            <v>SAFRA NATIONAL BANK OF NEW YORK</v>
          </cell>
          <cell r="E1084" t="str">
            <v>SAFRA NATIONAL BANK OF NEW YORK</v>
          </cell>
        </row>
        <row r="1085">
          <cell r="B1085">
            <v>80633</v>
          </cell>
          <cell r="C1085" t="str">
            <v>SAFRA NATIONAL BANK OF NEW YORK</v>
          </cell>
          <cell r="D1085" t="str">
            <v>SAFRA NATIONAL BANK OF NEW YORK</v>
          </cell>
          <cell r="E1085" t="str">
            <v>SAFRA NATIONAL BANK OF NEW YORK</v>
          </cell>
        </row>
        <row r="1086">
          <cell r="B1086">
            <v>125180</v>
          </cell>
          <cell r="C1086" t="str">
            <v>ITAU FLEXPREV DUNAMIS AÃ‡Ã•ES FI</v>
          </cell>
          <cell r="D1086" t="str">
            <v>ITAU FLEXPREV DUNAMIS AÃ‡Ã•ES FI</v>
          </cell>
          <cell r="E1086" t="str">
            <v>ITAU UNIBANCO ASSET - TACO</v>
          </cell>
        </row>
        <row r="1087">
          <cell r="B1087">
            <v>125183</v>
          </cell>
          <cell r="C1087" t="str">
            <v>CINGUCAP FUNDO DE INVESTIMENTO MULTIMERCADO CP IE</v>
          </cell>
          <cell r="D1087" t="str">
            <v>CINGUCAP FUNDO DE INVESTIMENTO MULTIMERCADO CP IE</v>
          </cell>
          <cell r="E1087" t="str">
            <v>ASA ASSET GESTAO EM INVESTIMENTOS LTDA</v>
          </cell>
        </row>
        <row r="1088">
          <cell r="B1088">
            <v>125183</v>
          </cell>
          <cell r="C1088" t="str">
            <v>CINGUCAP FUNDO DE INVESTIMENTO MULTIMERCADO CP IE</v>
          </cell>
          <cell r="D1088" t="str">
            <v>CINGUCAP FUNDO DE INVESTIMENTO MULTIMERCADO CP IE</v>
          </cell>
          <cell r="E1088" t="str">
            <v>ASA ASSET GESTAO EM INVESTIMENTOS LTDA</v>
          </cell>
        </row>
        <row r="1089">
          <cell r="B1089">
            <v>125185</v>
          </cell>
          <cell r="C1089" t="str">
            <v>FUNDACAO PETROBRAS DE SEGURIDADE SOCIAL PETROS</v>
          </cell>
          <cell r="D1089" t="str">
            <v>FUNDACAO PETROBRAS DE SEGURIDADE SOCIAL PETROS</v>
          </cell>
          <cell r="E1089" t="str">
            <v>FUNDACAO PETROBRAS DE SEGURIDADE SOCIAL PETROS</v>
          </cell>
        </row>
        <row r="1090">
          <cell r="B1090">
            <v>80637</v>
          </cell>
          <cell r="C1090" t="str">
            <v>OITI FIM CP IE</v>
          </cell>
          <cell r="D1090" t="str">
            <v>OITI FIM CP IE</v>
          </cell>
          <cell r="E1090" t="str">
            <v>ITAU UNIBANCO S/A</v>
          </cell>
        </row>
        <row r="1091">
          <cell r="B1091">
            <v>80637</v>
          </cell>
          <cell r="C1091" t="str">
            <v>OITI FIM CP IE</v>
          </cell>
          <cell r="D1091" t="str">
            <v>OITI FIM CP IE</v>
          </cell>
          <cell r="E1091" t="str">
            <v>ITAU UNIBANCO S/A</v>
          </cell>
        </row>
        <row r="1092">
          <cell r="B1092">
            <v>12547</v>
          </cell>
          <cell r="C1092" t="str">
            <v>OITI FIM CP IE</v>
          </cell>
          <cell r="D1092" t="str">
            <v>OITI FIM CP IE</v>
          </cell>
          <cell r="E1092" t="str">
            <v>ITAU UNIBANCO S/A</v>
          </cell>
        </row>
        <row r="1093">
          <cell r="B1093">
            <v>1453</v>
          </cell>
          <cell r="C1093" t="str">
            <v>BGC LIQUIDEZ DTVM LTDA</v>
          </cell>
          <cell r="D1093" t="str">
            <v>BGC LIQUIDEZ DTVM LTDA</v>
          </cell>
          <cell r="E1093" t="str">
            <v>BGC LIQUIDEZ DTVM LTDA</v>
          </cell>
        </row>
        <row r="1094">
          <cell r="B1094">
            <v>125196</v>
          </cell>
          <cell r="C1094" t="str">
            <v>BB GESTAO DE RECURSOS DTVM LTDA</v>
          </cell>
          <cell r="D1094" t="str">
            <v>BB GESTAO DE RECURSOS DTVM LTDA</v>
          </cell>
          <cell r="E1094" t="str">
            <v>BB GESTAO DE RECURSOS DTVM LTDA</v>
          </cell>
        </row>
        <row r="1095">
          <cell r="B1095">
            <v>125198</v>
          </cell>
          <cell r="C1095" t="str">
            <v>TAVOLA ABSOLUTO MASTER FIF EM ACOES</v>
          </cell>
          <cell r="D1095" t="str">
            <v>TAVOLA ABSOLUTO MASTER FIF EM ACOES</v>
          </cell>
          <cell r="E1095" t="str">
            <v>TAVOLA CAPITAL GESTAO DE RECURSOS LTDA</v>
          </cell>
        </row>
        <row r="1096">
          <cell r="B1096">
            <v>80644</v>
          </cell>
          <cell r="C1096" t="str">
            <v>MILENIO CAPITAL GESTAO DE INVESTIMENTOS LTDA</v>
          </cell>
          <cell r="D1096" t="str">
            <v>MILENIO CAPITAL GESTAO DE INVESTIMENTOS LTDA</v>
          </cell>
          <cell r="E1096" t="str">
            <v>MILENIO CAPITAL GESTAO DE INVESTIMENTOS LTDA</v>
          </cell>
        </row>
        <row r="1097">
          <cell r="B1097">
            <v>80644</v>
          </cell>
          <cell r="C1097" t="str">
            <v>MILENIO CAPITAL GESTAO DE INVESTIMENTOS LTDA</v>
          </cell>
          <cell r="D1097" t="str">
            <v>MILENIO CAPITAL GESTAO DE INVESTIMENTOS LTDA</v>
          </cell>
          <cell r="E1097" t="str">
            <v>MILENIO CAPITAL GESTAO DE INVESTIMENTOS LTDA</v>
          </cell>
        </row>
        <row r="1098">
          <cell r="B1098">
            <v>125205</v>
          </cell>
          <cell r="C1098" t="str">
            <v>TRUXT LB MASTER FIA</v>
          </cell>
          <cell r="D1098" t="str">
            <v>TRUXT LB MASTER FIA</v>
          </cell>
          <cell r="E1098" t="str">
            <v>TRUXT INVESTIMENTOS LTDA</v>
          </cell>
        </row>
        <row r="1099">
          <cell r="B1099" t="str">
            <v>M90400888000142</v>
          </cell>
          <cell r="C1099" t="str">
            <v>BANCO SANTANDER (BRASIL) S/A</v>
          </cell>
          <cell r="D1099" t="str">
            <v>BANCO SANTANDER (BRASIL) S/A</v>
          </cell>
          <cell r="E1099" t="str">
            <v>BANCO SANTANDER (BRASIL) S/A</v>
          </cell>
        </row>
        <row r="1100">
          <cell r="B1100" t="str">
            <v>M03209092000102</v>
          </cell>
          <cell r="D1100" t="str">
            <v>SANTANDER CAPITALIZACAO SA</v>
          </cell>
          <cell r="E1100" t="str">
            <v>BANCO SANTANDER (BRASIL) S/A</v>
          </cell>
        </row>
        <row r="1101">
          <cell r="B1101">
            <v>82807</v>
          </cell>
          <cell r="C1101" t="str">
            <v>BANCO SANTANDER S.A. LONDON BRANCH</v>
          </cell>
          <cell r="D1101" t="str">
            <v>BANCO SANTANDER S.A. LONDON BRANCH</v>
          </cell>
          <cell r="E1101" t="str">
            <v>BANCO SANTANDER (BRASIL) S/A</v>
          </cell>
        </row>
        <row r="1102">
          <cell r="B1102">
            <v>82807</v>
          </cell>
          <cell r="C1102" t="str">
            <v>BANCO SANTANDER S.A. LONDON BRANCH</v>
          </cell>
          <cell r="D1102" t="str">
            <v>BANCO SANTANDER S.A. LONDON BRANCH</v>
          </cell>
          <cell r="E1102" t="str">
            <v>BANCO SANTANDER (BRASIL) S/A</v>
          </cell>
        </row>
        <row r="1103">
          <cell r="B1103">
            <v>100</v>
          </cell>
          <cell r="C1103" t="str">
            <v>BANCO SANTANDER (BRASIL) S/A</v>
          </cell>
          <cell r="D1103" t="str">
            <v>BANCO SANTANDER (BRASIL) S/A</v>
          </cell>
          <cell r="E1103" t="str">
            <v>BANCO SANTANDER (BRASIL) S/A</v>
          </cell>
        </row>
        <row r="1104">
          <cell r="B1104">
            <v>101</v>
          </cell>
          <cell r="C1104" t="str">
            <v>BANCO SANTANDER (BRASIL) S/A</v>
          </cell>
          <cell r="D1104" t="str">
            <v>BANCO SANTANDER (BRASIL) S/A</v>
          </cell>
          <cell r="E1104" t="str">
            <v>BANCO SANTANDER (BRASIL) S/A</v>
          </cell>
        </row>
        <row r="1105">
          <cell r="B1105">
            <v>125239</v>
          </cell>
          <cell r="C1105" t="str">
            <v>GLADIUS FIF MULTIMERCADO CREDITO PRIVADO IE</v>
          </cell>
          <cell r="D1105" t="str">
            <v>GLADIUS FIF MULTIMERCADO CREDITO PRIVADO IE</v>
          </cell>
          <cell r="E1105" t="str">
            <v>BANCO XP S/A</v>
          </cell>
        </row>
        <row r="1106">
          <cell r="B1106">
            <v>125381</v>
          </cell>
          <cell r="C1106" t="str">
            <v>GLADIUS FIF MULTIMERCADO CREDITO PRIVADO IE</v>
          </cell>
          <cell r="D1106" t="str">
            <v>GLADIUS FIF MULTIMERCADO CREDITO PRIVADO IE</v>
          </cell>
          <cell r="E1106" t="str">
            <v>BANCO XP S/A</v>
          </cell>
        </row>
        <row r="1107">
          <cell r="B1107">
            <v>80649</v>
          </cell>
          <cell r="C1107" t="str">
            <v>TAVOLA ABSOLUTO MASTER FIF MULT</v>
          </cell>
          <cell r="D1107" t="str">
            <v>TAVOLA ABSOLUTO MASTER FIF MULT</v>
          </cell>
          <cell r="E1107" t="str">
            <v>TAVOLA CAPITAL GESTAO DE RECURSOS LTDA</v>
          </cell>
        </row>
        <row r="1108">
          <cell r="B1108">
            <v>80650</v>
          </cell>
          <cell r="C1108" t="str">
            <v>BANCO SOFISA S/A</v>
          </cell>
          <cell r="D1108" t="str">
            <v>BANCO SOFISA S/A</v>
          </cell>
          <cell r="E1108" t="str">
            <v>BANCO SOFISA S/A</v>
          </cell>
        </row>
        <row r="1109">
          <cell r="B1109">
            <v>80651</v>
          </cell>
          <cell r="C1109" t="str">
            <v>ARMOR PREVIDENCIA FUNDO DE INVESTIMENTO MULTIMERCADO</v>
          </cell>
          <cell r="D1109" t="str">
            <v>ARMOR PREVIDENCIA FUNDO DE INVESTIMENTO MULTIMERCADO</v>
          </cell>
          <cell r="E1109" t="str">
            <v>ARMOR GESTORA DE RECURSOS LTDA</v>
          </cell>
        </row>
        <row r="1110">
          <cell r="B1110">
            <v>80651</v>
          </cell>
          <cell r="C1110" t="str">
            <v>ARMOR PREVIDENCIA FUNDO DE INVESTIMENTO MULTIMERCADO</v>
          </cell>
          <cell r="D1110" t="str">
            <v>ARMOR PREVIDENCIA FUNDO DE INVESTIMENTO MULTIMERCADO</v>
          </cell>
          <cell r="E1110" t="str">
            <v>ARMOR GESTORA DE RECURSOS LTDA</v>
          </cell>
        </row>
        <row r="1111">
          <cell r="B1111">
            <v>125215</v>
          </cell>
          <cell r="C1111" t="str">
            <v>JUNO FUNDO DE INVESTIMENTO MULTIMERCADO CREDITO PRIVADO</v>
          </cell>
          <cell r="D1111" t="str">
            <v>JUNO FUNDO DE INVESTIMENTO MULTIMERCADO CREDITO PRIVADO</v>
          </cell>
          <cell r="E1111" t="str">
            <v>EMERALD GESTAO DE INVESTIMENTOS LTDA</v>
          </cell>
        </row>
        <row r="1112">
          <cell r="B1112">
            <v>80654</v>
          </cell>
          <cell r="C1112" t="str">
            <v>STATE STREET BANK AND TRUST COMPANY</v>
          </cell>
          <cell r="D1112" t="str">
            <v>STATE STREET BANK AND TRUST COMPANY</v>
          </cell>
          <cell r="E1112" t="str">
            <v>STATE STREET BANK AND TRUST COMPANY</v>
          </cell>
        </row>
        <row r="1113">
          <cell r="B1113">
            <v>125236</v>
          </cell>
          <cell r="C1113" t="str">
            <v>SPX RAPTOR MASTER FI EXT MM CP</v>
          </cell>
          <cell r="D1113" t="str">
            <v>SPX RAPTOR MASTER FI EXT MM CP</v>
          </cell>
          <cell r="E1113" t="str">
            <v>SPX GESTAO DE RECURSOS LTDA</v>
          </cell>
        </row>
        <row r="1114">
          <cell r="B1114">
            <v>125237</v>
          </cell>
          <cell r="C1114" t="str">
            <v>SPX NIMITZ MASTER FI FIM RESPONSABILIDADE LIMITADA</v>
          </cell>
          <cell r="D1114" t="str">
            <v>SPX NIMITZ MASTER FI FIM RESPONSABILIDADE LIMITADA</v>
          </cell>
          <cell r="E1114" t="str">
            <v>SPX GESTAO DE RECURSOS LTDA</v>
          </cell>
        </row>
        <row r="1115">
          <cell r="B1115">
            <v>125733</v>
          </cell>
          <cell r="C1115" t="str">
            <v>GLADIUS FIF MULTIMERCADO CREDITO PRIVADO IE</v>
          </cell>
          <cell r="D1115" t="str">
            <v>GLADIUS FIF MULTIMERCADO CREDITO PRIVADO IE</v>
          </cell>
          <cell r="E1115" t="str">
            <v>BANCO XP S/A</v>
          </cell>
        </row>
        <row r="1116">
          <cell r="B1116">
            <v>125246</v>
          </cell>
          <cell r="C1116" t="str">
            <v>FP ARX TOTAL RETURN FIA</v>
          </cell>
          <cell r="D1116" t="str">
            <v>FP ARX TOTAL RETURN FIA</v>
          </cell>
          <cell r="E1116" t="str">
            <v>ARX INVESTIMENTOS LTDA</v>
          </cell>
        </row>
        <row r="1117">
          <cell r="B1117">
            <v>125248</v>
          </cell>
          <cell r="C1117" t="str">
            <v>ARX LONG TERM MASTER FIA</v>
          </cell>
          <cell r="D1117" t="str">
            <v>ARX LONG TERM MASTER FIA</v>
          </cell>
          <cell r="E1117" t="str">
            <v>ARX INVESTIMENTOS LTDA</v>
          </cell>
        </row>
        <row r="1118">
          <cell r="B1118">
            <v>125259</v>
          </cell>
          <cell r="C1118" t="str">
            <v>R2 FUNDO DE INVESTIMENTO FINANCEIRO EM ACOES</v>
          </cell>
          <cell r="D1118" t="str">
            <v>R2 FUNDO DE INVESTIMENTO FINANCEIRO EM ACOES</v>
          </cell>
          <cell r="E1118" t="str">
            <v>TAGUS INVESTIMENTOS LTDA</v>
          </cell>
        </row>
        <row r="1119">
          <cell r="B1119">
            <v>125259</v>
          </cell>
          <cell r="C1119" t="str">
            <v>R2 FUNDO DE INVESTIMENTO FINANCEIRO EM ACOES</v>
          </cell>
          <cell r="D1119" t="str">
            <v>R2 FUNDO DE INVESTIMENTO FINANCEIRO EM ACOES</v>
          </cell>
          <cell r="E1119" t="str">
            <v>TAGUS INVESTIMENTOS LTDA</v>
          </cell>
        </row>
        <row r="1120">
          <cell r="B1120">
            <v>125262</v>
          </cell>
          <cell r="C1120" t="str">
            <v>FP CARTEIRA ATIVA FIM</v>
          </cell>
          <cell r="D1120" t="str">
            <v>FP CARTEIRA ATIVA FIM</v>
          </cell>
          <cell r="E1120" t="str">
            <v>FUNDACAO PETROBRAS DE SEGURIDADE SOCIAL PETROS</v>
          </cell>
        </row>
        <row r="1121">
          <cell r="B1121">
            <v>80657</v>
          </cell>
          <cell r="C1121" t="str">
            <v>FUNDACAO DOS ECONOMIARIOS FEDERAIS - FUNCEF</v>
          </cell>
          <cell r="D1121" t="str">
            <v>FUNDACAO DOS ECONOMIARIOS FEDERAIS - FUNCEF</v>
          </cell>
          <cell r="E1121" t="str">
            <v>FUNDACAO DOS ECONOMIARIOS FEDERAIS - FUNCEF</v>
          </cell>
        </row>
        <row r="1122">
          <cell r="B1122">
            <v>125271</v>
          </cell>
          <cell r="C1122" t="str">
            <v>SAFRA MAXWELL MACRO MASTER FIM CLASSE DE INV MULT RESP LTDA</v>
          </cell>
          <cell r="D1122" t="str">
            <v>SAFRA MAXWELL MACRO MASTER FIM CLASSE DE INV MULT RESP LTDA</v>
          </cell>
          <cell r="E1122" t="str">
            <v>EMERALD GESTAO DE INVESTIMENTOS LTDA</v>
          </cell>
        </row>
        <row r="1123">
          <cell r="B1123">
            <v>80658</v>
          </cell>
          <cell r="C1123" t="str">
            <v>IMC TRADING B.V</v>
          </cell>
          <cell r="D1123" t="str">
            <v>IMC TRADING B.V</v>
          </cell>
          <cell r="E1123" t="str">
            <v>IMC TRADING B.V</v>
          </cell>
        </row>
        <row r="1124">
          <cell r="B1124">
            <v>80658</v>
          </cell>
          <cell r="C1124" t="str">
            <v>IMC TRADING B.V</v>
          </cell>
          <cell r="D1124" t="str">
            <v>IMC TRADING B.V</v>
          </cell>
          <cell r="E1124" t="str">
            <v>IMC TRADING B.V</v>
          </cell>
        </row>
        <row r="1125">
          <cell r="B1125">
            <v>80659</v>
          </cell>
          <cell r="C1125" t="str">
            <v>IMC TRADING B.V</v>
          </cell>
          <cell r="D1125" t="str">
            <v>IMC TRADING B.V</v>
          </cell>
          <cell r="E1125" t="str">
            <v>IMC TRADING B.V</v>
          </cell>
        </row>
        <row r="1126">
          <cell r="B1126">
            <v>80659</v>
          </cell>
          <cell r="C1126" t="str">
            <v>IMC TRADING B.V</v>
          </cell>
          <cell r="D1126" t="str">
            <v>IMC TRADING B.V</v>
          </cell>
          <cell r="E1126" t="str">
            <v>IMC TRADING B.V</v>
          </cell>
        </row>
        <row r="1127">
          <cell r="B1127">
            <v>125275</v>
          </cell>
          <cell r="C1127" t="str">
            <v>BB GESTAO DE RECURSOS DTVM LTDA</v>
          </cell>
          <cell r="D1127" t="str">
            <v>BB GESTAO DE RECURSOS DTVM LTDA</v>
          </cell>
          <cell r="E1127" t="str">
            <v>BB GESTAO DE RECURSOS DTVM LTDA</v>
          </cell>
        </row>
        <row r="1128">
          <cell r="B1128">
            <v>125277</v>
          </cell>
          <cell r="C1128" t="str">
            <v>BTG PACTUAL ABSOLUTO LS MASTERFUNDO IF EM ACOES</v>
          </cell>
          <cell r="D1128" t="str">
            <v>BTG PACTUAL ABSOLUTO LS MASTERFUNDO IF EM ACOES</v>
          </cell>
          <cell r="E1128" t="str">
            <v>BTG PACTUAL ASSET MANAGEMENT SA DTVM</v>
          </cell>
        </row>
        <row r="1129">
          <cell r="B1129">
            <v>125279</v>
          </cell>
          <cell r="C1129" t="str">
            <v>BTG PACTUAL ABSOLUTO PREVIDENCIA FIF EM ACOES</v>
          </cell>
          <cell r="D1129" t="str">
            <v>BTG PACTUAL ABSOLUTO PREVIDENCIA FIF EM ACOES</v>
          </cell>
          <cell r="E1129" t="str">
            <v>BTG PACTUAL ASSET MANAGEMENT SA DTVM</v>
          </cell>
        </row>
        <row r="1130">
          <cell r="B1130">
            <v>125280</v>
          </cell>
          <cell r="C1130" t="str">
            <v>BTG PACTUAL ANDROMEDA FIF DE ACOES</v>
          </cell>
          <cell r="D1130" t="str">
            <v>BTG PACTUAL ANDROMEDA FIF DE ACOES</v>
          </cell>
          <cell r="E1130" t="str">
            <v>BTG PACTUAL ASSET MANAGEMENT SA DTVM</v>
          </cell>
        </row>
        <row r="1131">
          <cell r="B1131">
            <v>125281</v>
          </cell>
          <cell r="C1131" t="str">
            <v>BTG PACTUAL ARF EQUITIES FIF EM ACOES</v>
          </cell>
          <cell r="D1131" t="str">
            <v>BTG PACTUAL ARF EQUITIES FIF EM ACOES</v>
          </cell>
          <cell r="E1131" t="str">
            <v>BTG PACTUAL ASSET MANAGEMENT SA DTVM</v>
          </cell>
        </row>
        <row r="1132">
          <cell r="B1132">
            <v>125282</v>
          </cell>
          <cell r="C1132" t="str">
            <v>BTG PACTUAL DISCOVERY FIF MULTIMERCADO</v>
          </cell>
          <cell r="D1132" t="str">
            <v>BTG PACTUAL DISCOVERY FIF MULTIMERCADO</v>
          </cell>
          <cell r="E1132" t="str">
            <v>BTG PACTUAL ASSET MANAGEMENT SA DTVM</v>
          </cell>
        </row>
        <row r="1133">
          <cell r="B1133">
            <v>125283</v>
          </cell>
          <cell r="C1133" t="str">
            <v>BTG PACTUAL HEDGE FIF RENDA FIXA</v>
          </cell>
          <cell r="D1133" t="str">
            <v>BTG PACTUAL HEDGE FIF RENDA FIXA</v>
          </cell>
          <cell r="E1133" t="str">
            <v>BTG PACTUAL ASSET MANAGEMENT SA DTVM</v>
          </cell>
        </row>
        <row r="1134">
          <cell r="B1134">
            <v>125284</v>
          </cell>
          <cell r="C1134" t="str">
            <v>BTG PACTUAL REFERENCE IBOVESPA INDEXADO FIF DE AÃ‡Ã•ES</v>
          </cell>
          <cell r="D1134" t="str">
            <v>BTG PACTUAL REFERENCE IBOVESPA INDEXADO FIF DE AÃ‡Ã•ES</v>
          </cell>
          <cell r="E1134" t="str">
            <v>BTG PACTUAL ASSET MANAGEMENT SA DTVM</v>
          </cell>
        </row>
        <row r="1135">
          <cell r="B1135">
            <v>125287</v>
          </cell>
          <cell r="C1135" t="str">
            <v>BTG PACTUAL MULTSTRATEGIES ADVANCED FIF MULT RESP LTDA</v>
          </cell>
          <cell r="D1135" t="str">
            <v>BTG PACTUAL MULTSTRATEGIES ADVANCED FIF MULT RESP LTDA</v>
          </cell>
          <cell r="E1135" t="str">
            <v>BTG PACTUAL ASSET MANAGEMENT SA DTVM</v>
          </cell>
        </row>
        <row r="1136">
          <cell r="B1136">
            <v>125286</v>
          </cell>
          <cell r="C1136" t="str">
            <v>BTG PACTUAL MULTISTRATEGIES ADVANCED PLUS FIF MULT RL</v>
          </cell>
          <cell r="D1136" t="str">
            <v>BTG PACTUAL MULTISTRATEGIES ADVANCED PLUS FIF MULT RL</v>
          </cell>
          <cell r="E1136" t="str">
            <v>BTG PACTUAL ASSET MANAGEMENT SA DTVM</v>
          </cell>
        </row>
        <row r="1137">
          <cell r="B1137">
            <v>125285</v>
          </cell>
          <cell r="C1137" t="str">
            <v>BTG PACTUAL MULTIMANAGER BBDC FIM</v>
          </cell>
          <cell r="D1137" t="str">
            <v>BTG PACTUAL MULTIMANAGER BBDC FIM</v>
          </cell>
          <cell r="E1137" t="str">
            <v>BTG PACTUAL ASSET MANAGEMENT SA DTVM</v>
          </cell>
        </row>
        <row r="1138">
          <cell r="B1138">
            <v>125291</v>
          </cell>
          <cell r="C1138" t="str">
            <v>BTG PACTUAL ABSOLUTO INSTITUCIONAL MASTER FIF EM ACOES</v>
          </cell>
          <cell r="D1138" t="str">
            <v>BTG PACTUAL ABSOLUTO INSTITUCIONAL MASTER FIF EM ACOES</v>
          </cell>
          <cell r="E1138" t="str">
            <v>BTG PACTUAL ASSET MANAGEMENT SA DTVM</v>
          </cell>
        </row>
        <row r="1139">
          <cell r="B1139">
            <v>125298</v>
          </cell>
          <cell r="C1139" t="str">
            <v>RT DEFIANT FIF MULT RL</v>
          </cell>
          <cell r="D1139" t="str">
            <v>RT DEFIANT FIF MULT RL</v>
          </cell>
          <cell r="E1139" t="str">
            <v>ITAU UNIBANCO ASSET - TACO</v>
          </cell>
        </row>
        <row r="1140">
          <cell r="B1140">
            <v>125301</v>
          </cell>
          <cell r="C1140" t="str">
            <v>CENTRUS -FUNDAÃ‡ÃƒO BANCO CENTRAL DE PREVIDENCIA PRIVADA</v>
          </cell>
          <cell r="D1140" t="str">
            <v>CENTRUS -FUNDAÃ‡ÃƒO BANCO CENTRAL DE PREVIDENCIA PRIVADA</v>
          </cell>
          <cell r="E1140" t="str">
            <v>CENTRUS -FUNDAÇÃO BANCO CENTRAL DE PREVIDENCIA PRIVADA</v>
          </cell>
        </row>
        <row r="1141">
          <cell r="B1141">
            <v>125304</v>
          </cell>
          <cell r="C1141" t="str">
            <v>SAFRA KEPLER FIF CI MULT RL</v>
          </cell>
          <cell r="D1141" t="str">
            <v>SAFRA KEPLER FIF CI MULT RL</v>
          </cell>
          <cell r="E1141" t="str">
            <v>EMERALD GESTAO DE INVESTIMENTOS LTDA</v>
          </cell>
        </row>
        <row r="1142">
          <cell r="B1142">
            <v>125303</v>
          </cell>
          <cell r="C1142" t="str">
            <v>SAFRA KEPLER EQUITY HEDGE FIF CL DE INVESTIMENTO MULT RL</v>
          </cell>
          <cell r="D1142" t="str">
            <v>SAFRA KEPLER EQUITY HEDGE FIF CL DE INVESTIMENTO MULT RL</v>
          </cell>
          <cell r="E1142" t="str">
            <v>EMERALD GESTAO DE INVESTIMENTOS LTDA</v>
          </cell>
        </row>
        <row r="1143">
          <cell r="B1143">
            <v>125305</v>
          </cell>
          <cell r="C1143" t="str">
            <v>ITAU CAIXA ACOES FUNDO DE INVESTIMENTO</v>
          </cell>
          <cell r="D1143" t="str">
            <v>ITAU CAIXA ACOES FUNDO DE INVESTIMENTO</v>
          </cell>
          <cell r="E1143" t="str">
            <v>ITAU UNIBANCO ASSET - TACO</v>
          </cell>
        </row>
        <row r="1144">
          <cell r="B1144">
            <v>80667</v>
          </cell>
          <cell r="C1144" t="str">
            <v>ACE CAPITAL GESTORA DE RECURSOS LTDA</v>
          </cell>
          <cell r="D1144" t="str">
            <v>ACE CAPITAL GESTORA DE RECURSOS LTDA</v>
          </cell>
          <cell r="E1144" t="str">
            <v>ACE CAPITAL GESTORA DE RECURSOS LTDA</v>
          </cell>
        </row>
        <row r="1145">
          <cell r="B1145">
            <v>80667</v>
          </cell>
          <cell r="C1145" t="str">
            <v>ACE CAPITAL GESTORA DE RECURSOS LTDA</v>
          </cell>
          <cell r="D1145" t="str">
            <v>ACE CAPITAL GESTORA DE RECURSOS LTDA</v>
          </cell>
          <cell r="E1145" t="str">
            <v>ACE CAPITAL GESTORA DE RECURSOS LTDA</v>
          </cell>
        </row>
        <row r="1146">
          <cell r="B1146">
            <v>80669</v>
          </cell>
          <cell r="C1146" t="str">
            <v>OCEANA EQUITY HEDGE MASTER FIF MULT RESPONSABILIDADE LIMITAD</v>
          </cell>
          <cell r="D1146" t="str">
            <v>OCEANA EQUITY HEDGE MASTER FIF MULT RESPONSABILIDADE LIMITAD</v>
          </cell>
          <cell r="E1146" t="str">
            <v>OCEANA INVESTIMENTOS ADM DE CARTEIRAS DE VALORES MOB LTDA</v>
          </cell>
        </row>
        <row r="1147">
          <cell r="B1147">
            <v>80670</v>
          </cell>
          <cell r="C1147" t="str">
            <v>OCEANA LB MASTER FIFA RESPONSABILIDADE LIMITADA</v>
          </cell>
          <cell r="D1147" t="str">
            <v>OCEANA LB MASTER FIFA RESPONSABILIDADE LIMITADA</v>
          </cell>
          <cell r="E1147" t="str">
            <v>OCEANA INVESTIMENTOS ADM DE CARTEIRAS DE VALORES MOB LTDA</v>
          </cell>
        </row>
        <row r="1148">
          <cell r="B1148">
            <v>80671</v>
          </cell>
          <cell r="C1148" t="str">
            <v>OCEANA LONG BIASED MASTER FIF MULT RESPONSABILIDADE LIMITADA</v>
          </cell>
          <cell r="D1148" t="str">
            <v>OCEANA LONG BIASED MASTER FIF MULT RESPONSABILIDADE LIMITADA</v>
          </cell>
          <cell r="E1148" t="str">
            <v>OCEANA INVESTIMENTOS ADM DE CARTEIRAS DE VALORES MOB LTDA</v>
          </cell>
        </row>
        <row r="1149">
          <cell r="B1149">
            <v>80681</v>
          </cell>
          <cell r="C1149" t="str">
            <v>CREDIT SUISSE (BRASIL) S/A CTVM</v>
          </cell>
          <cell r="D1149" t="str">
            <v>CREDIT SUISSE (BRASIL) S/A CTVM</v>
          </cell>
          <cell r="E1149" t="str">
            <v>CREDIT SUISSE (BRASIL) S/A CTVM</v>
          </cell>
        </row>
        <row r="1150">
          <cell r="B1150">
            <v>80681</v>
          </cell>
          <cell r="C1150" t="str">
            <v>CREDIT SUISSE (BRASIL) S/A CTVM</v>
          </cell>
          <cell r="D1150" t="str">
            <v>CREDIT SUISSE (BRASIL) S/A CTVM</v>
          </cell>
          <cell r="E1150" t="str">
            <v>CREDIT SUISSE (BRASIL) S/A CTVM</v>
          </cell>
        </row>
        <row r="1151">
          <cell r="B1151">
            <v>125322</v>
          </cell>
          <cell r="C1151" t="str">
            <v>BB GESTAO DE RECURSOS DTVM LTDA</v>
          </cell>
          <cell r="D1151" t="str">
            <v>BB GESTAO DE RECURSOS DTVM LTDA</v>
          </cell>
          <cell r="E1151" t="str">
            <v>BB GESTAO DE RECURSOS DTVM LTDA</v>
          </cell>
        </row>
        <row r="1152">
          <cell r="B1152">
            <v>125327</v>
          </cell>
          <cell r="C1152" t="str">
            <v>BB GESTAO DE RECURSOS DTVM LTDA</v>
          </cell>
          <cell r="D1152" t="str">
            <v>BB GESTAO DE RECURSOS DTVM LTDA</v>
          </cell>
          <cell r="E1152" t="str">
            <v>BB GESTAO DE RECURSOS DTVM LTDA</v>
          </cell>
        </row>
        <row r="1153">
          <cell r="B1153">
            <v>125330</v>
          </cell>
          <cell r="C1153" t="str">
            <v>BB GESTAO DE RECURSOS DTVM LTDA</v>
          </cell>
          <cell r="D1153" t="str">
            <v>BB GESTAO DE RECURSOS DTVM LTDA</v>
          </cell>
          <cell r="E1153" t="str">
            <v>BB GESTAO DE RECURSOS DTVM LTDA</v>
          </cell>
        </row>
        <row r="1154">
          <cell r="B1154">
            <v>80691</v>
          </cell>
          <cell r="C1154" t="str">
            <v>UJAY CAPITAL INVESTIMENTOS LTDA.</v>
          </cell>
          <cell r="D1154" t="str">
            <v>UJAY CAPITAL INVESTIMENTOS LTDA.</v>
          </cell>
          <cell r="E1154" t="str">
            <v>UJAY CAPITAL INVESTIMENTOS LTDA</v>
          </cell>
        </row>
        <row r="1155">
          <cell r="B1155">
            <v>80691</v>
          </cell>
          <cell r="C1155" t="str">
            <v>UJAY CAPITAL INVESTIMENTOS LTDA.</v>
          </cell>
          <cell r="D1155" t="str">
            <v>UJAY CAPITAL INVESTIMENTOS LTDA.</v>
          </cell>
          <cell r="E1155" t="str">
            <v>UJAY CAPITAL INVESTIMENTOS LTDA</v>
          </cell>
        </row>
        <row r="1156">
          <cell r="B1156">
            <v>80692</v>
          </cell>
          <cell r="C1156" t="str">
            <v>FUNDACAO PETROBRAS DE SEGURIDADE SOCIAL PETROS</v>
          </cell>
          <cell r="D1156" t="str">
            <v>FUNDACAO PETROBRAS DE SEGURIDADE SOCIAL PETROS</v>
          </cell>
          <cell r="E1156" t="str">
            <v>FUNDACAO PETROBRAS DE SEGURIDADE SOCIAL PETROS</v>
          </cell>
        </row>
        <row r="1157">
          <cell r="B1157">
            <v>80694</v>
          </cell>
          <cell r="C1157" t="str">
            <v>FUNDACAO PETROBRAS DE SEGURIDADE SOCIAL PETROS</v>
          </cell>
          <cell r="D1157" t="str">
            <v>FUNDACAO PETROBRAS DE SEGURIDADE SOCIAL PETROS</v>
          </cell>
          <cell r="E1157" t="str">
            <v>FUNDACAO PETROBRAS DE SEGURIDADE SOCIAL PETROS</v>
          </cell>
        </row>
        <row r="1158">
          <cell r="B1158">
            <v>80694</v>
          </cell>
          <cell r="C1158" t="str">
            <v>FUNDACAO PETROBRAS DE SEGURIDADE SOCIAL PETROS</v>
          </cell>
          <cell r="D1158" t="str">
            <v>FUNDACAO PETROBRAS DE SEGURIDADE SOCIAL PETROS</v>
          </cell>
          <cell r="E1158" t="str">
            <v>FUNDACAO PETROBRAS DE SEGURIDADE SOCIAL PETROS</v>
          </cell>
        </row>
        <row r="1159">
          <cell r="B1159">
            <v>102</v>
          </cell>
          <cell r="C1159" t="str">
            <v>BANCO SANTANDER (BRASIL) S/A</v>
          </cell>
          <cell r="D1159" t="str">
            <v>BANCO SANTANDER (BRASIL) S/A</v>
          </cell>
          <cell r="E1159" t="str">
            <v>BANCO SANTANDER (BRASIL) S/A</v>
          </cell>
        </row>
        <row r="1160">
          <cell r="B1160">
            <v>80700</v>
          </cell>
          <cell r="C1160" t="str">
            <v>IBIUNA LONG BIASED MASTER FIF CLASSE DE INV MULT RL</v>
          </cell>
          <cell r="D1160" t="str">
            <v>IBIUNA LONG BIASED MASTER FIF CLASSE DE INV MULT RL</v>
          </cell>
          <cell r="E1160" t="str">
            <v>IBIUNA GESTAO DE RECURSOS LTDA</v>
          </cell>
        </row>
        <row r="1161">
          <cell r="B1161">
            <v>80699</v>
          </cell>
          <cell r="C1161" t="str">
            <v>IBIUNA PREVIDENCIA MASTER FUNDO DE INVESTIMENTO MULTIMERCADO</v>
          </cell>
          <cell r="D1161" t="str">
            <v>IBIUNA PREVIDENCIA MASTER FUNDO DE INVESTIMENTO MULTIMERCADO</v>
          </cell>
          <cell r="E1161" t="str">
            <v>IBIUNA GESTAO DE RECURSOS LTDA</v>
          </cell>
        </row>
        <row r="1162">
          <cell r="B1162">
            <v>80698</v>
          </cell>
          <cell r="C1162" t="str">
            <v>IBIUNA PREVIDENCIA IT FIF MULT RESP LIMITADA</v>
          </cell>
          <cell r="D1162" t="str">
            <v>IBIUNA PREVIDENCIA IT FIF MULT RESP LIMITADA</v>
          </cell>
          <cell r="E1162" t="str">
            <v>IBIUNA GESTAO DE RECURSOS LTDA</v>
          </cell>
        </row>
        <row r="1163">
          <cell r="B1163">
            <v>80697</v>
          </cell>
          <cell r="C1163" t="str">
            <v>IBIUNA PREVIDENCIA FIFE FIF CI MULT RESP LIMITADA</v>
          </cell>
          <cell r="D1163" t="str">
            <v>IBIUNA PREVIDENCIA FIFE FIF CI MULT RESP LIMITADA</v>
          </cell>
          <cell r="E1163" t="str">
            <v>IBIUNA GESTAO DE RECURSOS LTDA</v>
          </cell>
        </row>
        <row r="1164">
          <cell r="B1164">
            <v>80701</v>
          </cell>
          <cell r="C1164" t="str">
            <v>JOURNEY CAPITAL ADMINISTRACAO DE RECURSOS LTDA.</v>
          </cell>
          <cell r="D1164" t="str">
            <v>JOURNEY CAPITAL ADMINISTRACAO DE RECURSOS LTDA.</v>
          </cell>
          <cell r="E1164" t="str">
            <v>JOURNEY CAPITAL ADMINISTRACAO DE RECURSOS LTDA.</v>
          </cell>
        </row>
        <row r="1165">
          <cell r="B1165">
            <v>80702</v>
          </cell>
          <cell r="C1165" t="str">
            <v>BRAIN PRÃ‰ FIXADO FI FINANCEIRO CI RF CRED PRIV RL</v>
          </cell>
          <cell r="D1165" t="str">
            <v>BRAIN PRÃ‰ FIXADO FI FINANCEIRO CI RF CRED PRIV RL</v>
          </cell>
          <cell r="E1165" t="str">
            <v>BRAINVEST ASSESSORIA FINANCEIRA E GESTÃO DE RECURSOS LTDA</v>
          </cell>
        </row>
        <row r="1166">
          <cell r="B1166">
            <v>80703</v>
          </cell>
          <cell r="C1166" t="str">
            <v>BRAINVEST ASSESSORIA FINANCEIRA E GESTAO DE RECURSOS LTDA.</v>
          </cell>
          <cell r="D1166" t="str">
            <v>BRAINVEST ASSESSORIA FINANCEIRA E GESTAO DE RECURSOS LTDA.</v>
          </cell>
          <cell r="E1166" t="str">
            <v>BRAINVEST ASSESSORIA FINANCEIRA E GESTÃO DE RECURSOS LTDA</v>
          </cell>
        </row>
        <row r="1167">
          <cell r="B1167">
            <v>80704</v>
          </cell>
          <cell r="C1167" t="str">
            <v>EMERALD GESTAO DE INVESTIMENTOS SOCIEDADE UNIPESSOAL LTDA</v>
          </cell>
          <cell r="D1167" t="str">
            <v>EMERALD GESTAO DE INVESTIMENTOS SOCIEDADE UNIPESSOAL LTDA</v>
          </cell>
          <cell r="E1167" t="str">
            <v>EMERALD GESTAO DE INVESTIMENTOS LTDA</v>
          </cell>
        </row>
        <row r="1168">
          <cell r="B1168">
            <v>80706</v>
          </cell>
          <cell r="C1168" t="str">
            <v>FUNDO DE INVESTIMENTO FINANCEIRO MULTIMERCADO LS</v>
          </cell>
          <cell r="D1168" t="str">
            <v>FUNDO DE INVESTIMENTO FINANCEIRO MULTIMERCADO LS</v>
          </cell>
          <cell r="E1168" t="str">
            <v>BANCO BTG PACTUAL S/A</v>
          </cell>
        </row>
        <row r="1169">
          <cell r="B1169">
            <v>80706</v>
          </cell>
          <cell r="C1169" t="str">
            <v>FUNDO DE INVESTIMENTO FINANCEIRO MULTIMERCADO LS</v>
          </cell>
          <cell r="D1169" t="str">
            <v>FUNDO DE INVESTIMENTO FINANCEIRO MULTIMERCADO LS</v>
          </cell>
          <cell r="E1169" t="str">
            <v>BANCO BTG PACTUAL S/A</v>
          </cell>
        </row>
        <row r="1170">
          <cell r="B1170">
            <v>80705</v>
          </cell>
          <cell r="C1170" t="str">
            <v>BANCO SOCIETE GENERALE BRASIL S/A</v>
          </cell>
          <cell r="D1170" t="str">
            <v>60.9</v>
          </cell>
          <cell r="E1170" t="str">
            <v>BANCO SOCIETE GENERALE BRASIL S/A</v>
          </cell>
        </row>
        <row r="1171">
          <cell r="B1171">
            <v>125355</v>
          </cell>
          <cell r="C1171" t="str">
            <v>OCEANA LONG BIASED PREV FIF MULT RL</v>
          </cell>
          <cell r="D1171" t="str">
            <v>OCEANA LONG BIASED PREV FIF MULT RL</v>
          </cell>
          <cell r="E1171" t="str">
            <v>OCEANA INVESTIMENTOS ADM DE CARTEIRAS DE VALORES MOB LTDA</v>
          </cell>
        </row>
        <row r="1172">
          <cell r="B1172">
            <v>80717</v>
          </cell>
          <cell r="C1172" t="str">
            <v>CYGNI FUNDO DE INVESTIMENTO FINANCEIRO CI MULT CP RL</v>
          </cell>
          <cell r="D1172" t="str">
            <v>CYGNI FUNDO DE INVESTIMENTO FINANCEIRO CI MULT CP RL</v>
          </cell>
          <cell r="E1172" t="str">
            <v>EMERALD GESTAO DE INVESTIMENTOS LTDA</v>
          </cell>
        </row>
        <row r="1173">
          <cell r="B1173">
            <v>80718</v>
          </cell>
          <cell r="C1173" t="str">
            <v>CORONA FUNDO DE INVESTIMENTO FINANCEIRO CI MULT RL</v>
          </cell>
          <cell r="D1173" t="str">
            <v>CORONA FUNDO DE INVESTIMENTO FINANCEIRO CI MULT RL</v>
          </cell>
          <cell r="E1173" t="str">
            <v>EMERALD GESTAO DE INVESTIMENTOS LTDA</v>
          </cell>
        </row>
        <row r="1174">
          <cell r="B1174">
            <v>80709</v>
          </cell>
          <cell r="C1174" t="str">
            <v>OPTIVER V.O.F.</v>
          </cell>
          <cell r="D1174" t="str">
            <v>OPTIVER V.O.F.</v>
          </cell>
          <cell r="E1174" t="str">
            <v>OPTIVER V.O.F.</v>
          </cell>
        </row>
        <row r="1175">
          <cell r="B1175">
            <v>80709</v>
          </cell>
          <cell r="C1175" t="str">
            <v>OPTIVER V.O.F.</v>
          </cell>
          <cell r="D1175" t="str">
            <v>OPTIVER V.O.F.</v>
          </cell>
          <cell r="E1175" t="str">
            <v>OPTIVER V.O.F.</v>
          </cell>
        </row>
        <row r="1176">
          <cell r="B1176">
            <v>80708</v>
          </cell>
          <cell r="C1176" t="str">
            <v>OPTIVER V.O.F.</v>
          </cell>
          <cell r="D1176" t="str">
            <v>OPTIVER V.O.F.</v>
          </cell>
          <cell r="E1176" t="str">
            <v>OPTIVER V.O.F.</v>
          </cell>
        </row>
        <row r="1177">
          <cell r="B1177">
            <v>80708</v>
          </cell>
          <cell r="C1177" t="str">
            <v>OPTIVER V.O.F.</v>
          </cell>
          <cell r="D1177" t="str">
            <v>OPTIVER V.O.F.</v>
          </cell>
          <cell r="E1177" t="str">
            <v>OPTIVER V.O.F.</v>
          </cell>
        </row>
        <row r="1178">
          <cell r="B1178">
            <v>80721</v>
          </cell>
          <cell r="C1178" t="str">
            <v>ITAU S&amp;P/B3 LOW VOLATILITYT FIF EM AÃ‡Ã•ES RL</v>
          </cell>
          <cell r="D1178" t="str">
            <v>ITAU S&amp;P/B3 LOW VOLATILITYT FIF EM AÃ‡Ã•ES RL</v>
          </cell>
          <cell r="E1178" t="str">
            <v>ITAU UNIBANCO ASSET - TACO</v>
          </cell>
        </row>
        <row r="1179">
          <cell r="B1179">
            <v>80722</v>
          </cell>
          <cell r="C1179" t="str">
            <v>SIDERIUS FUNDO DE INVESTIMENTO FINANCEIRO MULT RL</v>
          </cell>
          <cell r="D1179" t="str">
            <v>SIDERIUS FUNDO DE INVESTIMENTO FINANCEIRO MULT RL</v>
          </cell>
          <cell r="E1179" t="str">
            <v>BRAINVEST ASSESSORIA FINANCEIRA E GESTÃO DE RECURSOS LTDA</v>
          </cell>
        </row>
        <row r="1180">
          <cell r="B1180">
            <v>80722</v>
          </cell>
          <cell r="C1180" t="str">
            <v>SIDERIUS FUNDO DE INVESTIMENTO FINANCEIRO MULT RL</v>
          </cell>
          <cell r="D1180" t="str">
            <v>SIDERIUS FUNDO DE INVESTIMENTO FINANCEIRO MULT RL</v>
          </cell>
          <cell r="E1180" t="str">
            <v>BRAINVEST ASSESSORIA FINANCEIRA E GESTÃO DE RECURSOS LTDA</v>
          </cell>
        </row>
        <row r="1181">
          <cell r="B1181">
            <v>80634</v>
          </cell>
          <cell r="C1181" t="str">
            <v>SAFRA ACOES LIVRE FIC DE FIA</v>
          </cell>
          <cell r="D1181" t="str">
            <v>SAFRA ACOES LIVRE FIC DE FIA</v>
          </cell>
          <cell r="E1181" t="str">
            <v>SAFRA ASSET MANAGEMENT LTDA</v>
          </cell>
        </row>
        <row r="1182">
          <cell r="B1182">
            <v>125733</v>
          </cell>
          <cell r="C1182" t="str">
            <v>GLADIUS FIF MULTIMERCADO CREDITO PRIVADO IE</v>
          </cell>
          <cell r="D1182" t="str">
            <v>GLADIUS FIF MULTIMERCADO CREDITO PRIVADO IE</v>
          </cell>
          <cell r="E1182" t="str">
            <v>BANCO XP S/A</v>
          </cell>
        </row>
        <row r="1183">
          <cell r="B1183">
            <v>125385</v>
          </cell>
          <cell r="C1183" t="str">
            <v>SAFRA CARTEIRA PREMIUM FIF CLASSE DE INVESTIMENTO MULTI RL</v>
          </cell>
          <cell r="D1183" t="str">
            <v>SAFRA CARTEIRA PREMIUM FIF CLASSE DE INVESTIMENTO MULTI RL</v>
          </cell>
          <cell r="E1183" t="str">
            <v>SAFRA ASSET MANAGEMENT LTDA</v>
          </cell>
        </row>
        <row r="1184">
          <cell r="B1184">
            <v>125386</v>
          </cell>
          <cell r="C1184" t="str">
            <v>SAFRA GLOBAL EQUITIES FIM</v>
          </cell>
          <cell r="D1184" t="str">
            <v>SAFRA GLOBAL EQUITIES FIM</v>
          </cell>
          <cell r="E1184" t="str">
            <v>EMERALD GESTAO DE INVESTIMENTOS LTDA</v>
          </cell>
        </row>
        <row r="1185">
          <cell r="B1185">
            <v>80723</v>
          </cell>
          <cell r="C1185" t="str">
            <v>EXPLORITAS ADMINISTRAÃ‡ÃƒO FINANCEIRA LTDA.</v>
          </cell>
          <cell r="D1185" t="str">
            <v>EXPLORITAS ADMINISTRAÃ‡ÃƒO FINANCEIRA LTDA.</v>
          </cell>
          <cell r="E1185" t="str">
            <v>EXPLORITAS ADMINISTRAÃ‡ÃƒO FINANCEIRA LTDA.</v>
          </cell>
        </row>
        <row r="1186">
          <cell r="B1186">
            <v>80723</v>
          </cell>
          <cell r="C1186" t="str">
            <v>EXPLORITAS ADMINISTRAÃ‡ÃƒO FINANCEIRA LTDA.</v>
          </cell>
          <cell r="D1186" t="str">
            <v>EXPLORITAS ADMINISTRAÃ‡ÃƒO FINANCEIRA LTDA.</v>
          </cell>
          <cell r="E1186" t="str">
            <v>EXPLORITAS ADMINISTRAÃ‡ÃƒO FINANCEIRA LTDA.</v>
          </cell>
        </row>
        <row r="1187">
          <cell r="B1187">
            <v>80724</v>
          </cell>
          <cell r="C1187" t="str">
            <v>EXPLORITAS ALPHA AMERICA LATINA MASTER FIF MULT</v>
          </cell>
          <cell r="D1187" t="str">
            <v>EXPLORITAS ALPHA AMERICA LATINA MASTER FIF MULT</v>
          </cell>
          <cell r="E1187" t="str">
            <v>EXPLORITAS ADMINISTRAÃ‡ÃƒO FINANCEIRA LTDA.</v>
          </cell>
        </row>
        <row r="1188">
          <cell r="B1188">
            <v>80724</v>
          </cell>
          <cell r="C1188" t="str">
            <v>EXPLORITAS ALPHA AMERICA LATINA MASTER FIF MULT</v>
          </cell>
          <cell r="D1188" t="str">
            <v>EXPLORITAS ALPHA AMERICA LATINA MASTER FIF MULT</v>
          </cell>
          <cell r="E1188" t="str">
            <v>EXPLORITAS ADMINISTRAÃ‡ÃƒO FINANCEIRA LTDA.</v>
          </cell>
        </row>
        <row r="1189">
          <cell r="B1189">
            <v>80725</v>
          </cell>
          <cell r="C1189" t="str">
            <v>BRDR GESTORA DE VALORES MOBILIARIOS LTDA.</v>
          </cell>
          <cell r="D1189" t="str">
            <v>BRDR GESTORA DE VALORES MOBILIARIOS LTDA.</v>
          </cell>
          <cell r="E1189" t="str">
            <v>BRDR GESTORA DE VALORES MOBILIARIOS LTDA.</v>
          </cell>
        </row>
        <row r="1190">
          <cell r="B1190">
            <v>80725</v>
          </cell>
          <cell r="C1190" t="str">
            <v>BRDR GESTORA DE VALORES MOBILIARIOS LTDA.</v>
          </cell>
          <cell r="D1190" t="str">
            <v>BRDR GESTORA DE VALORES MOBILIARIOS LTDA.</v>
          </cell>
          <cell r="E1190" t="str">
            <v>BRDR GESTORA DE VALORES MOBILIARIOS LTDA.</v>
          </cell>
        </row>
        <row r="1191">
          <cell r="B1191">
            <v>80728</v>
          </cell>
          <cell r="C1191" t="str">
            <v>APEX LONG BIASED II ICATU FIF MULT PREVIDENCIÃRIO FIFE RL</v>
          </cell>
          <cell r="D1191" t="str">
            <v>APEX LONG BIASED II ICATU FIF MULT PREVIDENCIÃRIO FIFE RL</v>
          </cell>
          <cell r="E1191" t="str">
            <v>APEX CAPITAL LTDA</v>
          </cell>
        </row>
        <row r="1192">
          <cell r="B1192">
            <v>125393</v>
          </cell>
          <cell r="C1192" t="str">
            <v>OCCAM EQUITY HEDGE FIF MM RL</v>
          </cell>
          <cell r="D1192" t="str">
            <v>OCCAM EQUITY HEDGE FIF MM RL</v>
          </cell>
          <cell r="E1192" t="str">
            <v>OCCAM BRASIL GESTAO DE RECURSOS LTDA</v>
          </cell>
        </row>
        <row r="1193">
          <cell r="B1193">
            <v>125394</v>
          </cell>
          <cell r="C1193" t="str">
            <v>OCCAM FUNDO DE INVESTIMENTO DE ACOES</v>
          </cell>
          <cell r="D1193" t="str">
            <v>OCCAM FUNDO DE INVESTIMENTO DE ACOES</v>
          </cell>
          <cell r="E1193" t="str">
            <v>OCCAM BRASIL GESTAO DE RECURSOS LTDA</v>
          </cell>
        </row>
        <row r="1194">
          <cell r="B1194">
            <v>125395</v>
          </cell>
          <cell r="C1194" t="str">
            <v>OCCAM INSTITUCIONAL FIF MULTIMERCADO  RL</v>
          </cell>
          <cell r="D1194" t="str">
            <v>OCCAM INSTITUCIONAL FIF MULTIMERCADO  RL</v>
          </cell>
          <cell r="E1194" t="str">
            <v>OCCAM BRASIL GESTAO DE RECURSOS LTDA</v>
          </cell>
        </row>
        <row r="1195">
          <cell r="B1195">
            <v>125396</v>
          </cell>
          <cell r="C1195" t="str">
            <v>OCCAM LONG &amp; SHORT PLUS FIF MULTIMERCADO RESP LTDA</v>
          </cell>
          <cell r="D1195" t="str">
            <v>OCCAM LONG &amp; SHORT PLUS FIF MULTIMERCADO RESP LTDA</v>
          </cell>
          <cell r="E1195" t="str">
            <v>OCCAM BRASIL GESTAO DE RECURSOS LTDA</v>
          </cell>
        </row>
        <row r="1196">
          <cell r="B1196">
            <v>125397</v>
          </cell>
          <cell r="C1196" t="str">
            <v>OCCAM LONG BIASED FIF MULTIMERCADO RL</v>
          </cell>
          <cell r="D1196" t="str">
            <v>OCCAM LONG BIASED FIF MULTIMERCADO RL</v>
          </cell>
          <cell r="E1196" t="str">
            <v>OCCAM BRASIL GESTAO DE RECURSOS LTDA</v>
          </cell>
        </row>
        <row r="1197">
          <cell r="B1197">
            <v>125399</v>
          </cell>
          <cell r="C1197" t="str">
            <v>OCCAM RETORNO ABSOLUTO FIF MULTIMERCADO RESP LTDA</v>
          </cell>
          <cell r="D1197" t="str">
            <v>OCCAM RETORNO ABSOLUTO FIF MULTIMERCADO RESP LTDA</v>
          </cell>
          <cell r="E1197" t="str">
            <v>OCCAM BRASIL GESTAO DE RECURSOS LTDA</v>
          </cell>
        </row>
        <row r="1198">
          <cell r="B1198">
            <v>125398</v>
          </cell>
          <cell r="C1198" t="str">
            <v>OCCAM PREVIDENCIA MASTER FIM RL</v>
          </cell>
          <cell r="D1198" t="str">
            <v>OCCAM PREVIDENCIA MASTER FIM RL</v>
          </cell>
          <cell r="E1198" t="str">
            <v>OCCAM BRASIL GESTAO DE RECURSOS LTDA</v>
          </cell>
        </row>
        <row r="1199">
          <cell r="B1199">
            <v>80743</v>
          </cell>
          <cell r="C1199" t="str">
            <v>APEX LONG ONLY PREV FIFE VI FIF EM ACOES RL</v>
          </cell>
          <cell r="D1199" t="str">
            <v>APEX LONG ONLY PREV FIFE VI FIF EM ACOES RL</v>
          </cell>
          <cell r="E1199" t="str">
            <v>APEX CAPITAL LTDA</v>
          </cell>
        </row>
        <row r="1200">
          <cell r="B1200">
            <v>82406</v>
          </cell>
          <cell r="C1200" t="str">
            <v>GLADIUS FIF MULTIMERCADO CREDITO PRIVADO IE</v>
          </cell>
          <cell r="D1200" t="str">
            <v>GLADIUS FIF MULTIMERCADO CREDITO PRIVADO IE</v>
          </cell>
          <cell r="E1200" t="str">
            <v>BANCO XP S/A</v>
          </cell>
        </row>
        <row r="1201">
          <cell r="B1201">
            <v>82406</v>
          </cell>
          <cell r="C1201" t="str">
            <v>GLADIUS FIF MULTIMERCADO CREDITO PRIVADO IE</v>
          </cell>
          <cell r="D1201" t="str">
            <v>GLADIUS FIF MULTIMERCADO CREDITO PRIVADO IE</v>
          </cell>
          <cell r="E1201" t="str">
            <v>BANCO XP S/A</v>
          </cell>
        </row>
        <row r="1202">
          <cell r="B1202">
            <v>80753</v>
          </cell>
          <cell r="C1202" t="str">
            <v>MORGAN STANLEY LATAM LLC - CITIBANK</v>
          </cell>
          <cell r="D1202" t="str">
            <v>55*</v>
          </cell>
          <cell r="E1202" t="str">
            <v>BANCO MORGAN STANLEY S/A</v>
          </cell>
        </row>
        <row r="1203">
          <cell r="B1203">
            <v>80754</v>
          </cell>
          <cell r="C1203" t="str">
            <v>MORGAN STANLEY LATAM LLC - CITIBANK</v>
          </cell>
          <cell r="D1203" t="str">
            <v>MORGAN STANLEY LATAM LLC - CITIBANK</v>
          </cell>
          <cell r="E1203" t="str">
            <v>BANCO MORGAN STANLEY S/A</v>
          </cell>
        </row>
        <row r="1204">
          <cell r="B1204">
            <v>80753</v>
          </cell>
          <cell r="C1204" t="str">
            <v>MORGAN STANLEY LATAM LLC - CITIBANK</v>
          </cell>
          <cell r="D1204" t="str">
            <v>MORGAN STANLEY LATAM LLC - CITIBANK</v>
          </cell>
          <cell r="E1204" t="str">
            <v>BANCO MORGAN STANLEY S/A</v>
          </cell>
        </row>
        <row r="1205">
          <cell r="B1205">
            <v>80754</v>
          </cell>
          <cell r="C1205" t="str">
            <v>MORGAN STANLEY LATAM LLC - CITIBANK</v>
          </cell>
          <cell r="D1205" t="str">
            <v>MORGAN STANLEY LATAM LLC - CITIBANK</v>
          </cell>
          <cell r="E1205" t="str">
            <v>BANCO MORGAN STANLEY S/A</v>
          </cell>
        </row>
        <row r="1206">
          <cell r="B1206">
            <v>80758</v>
          </cell>
          <cell r="C1206" t="str">
            <v>ITAÃš FLEXPREV MOMENTO FIF EM ACOES RL</v>
          </cell>
          <cell r="D1206" t="str">
            <v>ITAÃš FLEXPREV MOMENTO FIF EM ACOES RL</v>
          </cell>
          <cell r="E1206" t="str">
            <v>ITAU UNIBANCO ASSET - TACO</v>
          </cell>
        </row>
        <row r="1207">
          <cell r="B1207">
            <v>80761</v>
          </cell>
          <cell r="C1207" t="str">
            <v>VINLAND MACRO PREV MASTER FIM</v>
          </cell>
          <cell r="D1207" t="str">
            <v>VINLAND MACRO PREV MASTER FIM</v>
          </cell>
          <cell r="E1207" t="str">
            <v>VINLAND CAPITAL MANAGEMENT GESTORA DE RECURSOS LTDA</v>
          </cell>
        </row>
        <row r="1208">
          <cell r="B1208">
            <v>80762</v>
          </cell>
          <cell r="C1208" t="str">
            <v>VINLAND LONG BIAS PREV MASTER FIM</v>
          </cell>
          <cell r="D1208" t="str">
            <v>VINLAND LONG BIAS PREV MASTER FIM</v>
          </cell>
          <cell r="E1208" t="str">
            <v>VINLAND CAPITAL MANAGEMENT GESTORA DE RECURSOS LTDA</v>
          </cell>
        </row>
        <row r="1209">
          <cell r="B1209">
            <v>103</v>
          </cell>
          <cell r="C1209" t="str">
            <v>BANCO SANTANDER (BRASIL) S/A</v>
          </cell>
          <cell r="D1209" t="str">
            <v>BANCO SANTANDER (BRASIL) S/A</v>
          </cell>
          <cell r="E1209" t="str">
            <v>BANCO SANTANDER (BRASIL) S/A</v>
          </cell>
        </row>
        <row r="1210">
          <cell r="B1210">
            <v>82407</v>
          </cell>
          <cell r="C1210" t="str">
            <v>GLADIUS FIF MULTIMERCADO CREDITO PRIVADO IE</v>
          </cell>
          <cell r="D1210" t="str">
            <v>GLADIUS FIF MULTIMERCADO CREDITO PRIVADO IE</v>
          </cell>
          <cell r="E1210" t="str">
            <v>BANCO XP S/A</v>
          </cell>
        </row>
        <row r="1211">
          <cell r="B1211">
            <v>80770</v>
          </cell>
          <cell r="C1211" t="str">
            <v>STONEX INVESTIMENTOS LTDA</v>
          </cell>
          <cell r="D1211" t="str">
            <v>STONEX INVESTIMENTOS LTDA</v>
          </cell>
          <cell r="E1211" t="str">
            <v>STONEX INVESTIMENTOS LTDA</v>
          </cell>
        </row>
        <row r="1212">
          <cell r="B1212">
            <v>80770</v>
          </cell>
          <cell r="C1212" t="str">
            <v>STONEX INVESTIMENTOS LTDA</v>
          </cell>
          <cell r="D1212" t="str">
            <v>STONEX INVESTIMENTOS LTDA</v>
          </cell>
          <cell r="E1212" t="str">
            <v>STONEX INVESTIMENTOS LTDA</v>
          </cell>
        </row>
        <row r="1213">
          <cell r="B1213">
            <v>80771</v>
          </cell>
          <cell r="C1213" t="str">
            <v>BANCO DA CHINA BRASIL S.A</v>
          </cell>
          <cell r="D1213" t="str">
            <v>BANCO DA CHINA BRASIL S.A</v>
          </cell>
          <cell r="E1213" t="str">
            <v>BANCO DA CHINA BRASIL S/A</v>
          </cell>
        </row>
        <row r="1214">
          <cell r="B1214">
            <v>125414</v>
          </cell>
          <cell r="C1214" t="str">
            <v>ARX INCOME PREVIDENCIA MASTER FIF EM ACOES RL</v>
          </cell>
          <cell r="D1214" t="str">
            <v>ARX INCOME PREVIDENCIA MASTER FIF EM ACOES RL</v>
          </cell>
          <cell r="E1214" t="str">
            <v>ARX INVESTIMENTOS LTDA</v>
          </cell>
        </row>
        <row r="1215">
          <cell r="B1215">
            <v>80772</v>
          </cell>
          <cell r="C1215" t="str">
            <v>FP IBOVESPA FUNDO DE INVESTIMENTO EM AÃ‡Ã•ES</v>
          </cell>
          <cell r="D1215" t="str">
            <v>FP IBOVESPA FUNDO DE INVESTIMENTO EM AÃ‡Ã•ES</v>
          </cell>
          <cell r="E1215" t="str">
            <v>FUNDACAO PETROBRAS DE SEGURIDADE SOCIAL PETROS</v>
          </cell>
        </row>
        <row r="1216">
          <cell r="B1216">
            <v>80772</v>
          </cell>
          <cell r="C1216" t="str">
            <v>FP IBOVESPA FUNDO DE INVESTIMENTO EM AÃ‡Ã•ES</v>
          </cell>
          <cell r="D1216" t="str">
            <v>FP IBOVESPA FUNDO DE INVESTIMENTO EM AÃ‡Ã•ES</v>
          </cell>
          <cell r="E1216" t="str">
            <v>FUNDACAO PETROBRAS DE SEGURIDADE SOCIAL PETROS</v>
          </cell>
        </row>
        <row r="1217">
          <cell r="B1217">
            <v>80777</v>
          </cell>
          <cell r="C1217" t="str">
            <v>ALASKA LONG ONLY ADVISORY XP SEGUROS FIFE FIF DE AÃ‡Ã•ES - RL</v>
          </cell>
          <cell r="D1217" t="str">
            <v>ALASKA LONG ONLY ADVISORY XP SEGUROS FIFE FIF DE AÃ‡Ã•ES - RL</v>
          </cell>
          <cell r="E1217" t="str">
            <v>ALASKA INVESTIMENTOS LTDA</v>
          </cell>
        </row>
        <row r="1218">
          <cell r="B1218">
            <v>80775</v>
          </cell>
          <cell r="C1218" t="str">
            <v>SAFARI MASTER PREV CEM FIM FIFE</v>
          </cell>
          <cell r="D1218" t="str">
            <v>SAFARI MASTER PREV CEM FIM FIFE</v>
          </cell>
          <cell r="E1218" t="str">
            <v>SAFARI CAPITAL GESTAO DE RECURSOS LTDA.</v>
          </cell>
        </row>
        <row r="1219">
          <cell r="B1219">
            <v>80775</v>
          </cell>
          <cell r="C1219" t="str">
            <v>SAFARI MASTER PREV CEM FIM FIFE</v>
          </cell>
          <cell r="D1219" t="str">
            <v>SAFARI MASTER PREV CEM FIM FIFE</v>
          </cell>
          <cell r="E1219" t="str">
            <v>SAFARI CAPITAL GESTAO DE RECURSOS LTDA.</v>
          </cell>
        </row>
        <row r="1220">
          <cell r="B1220">
            <v>80774</v>
          </cell>
          <cell r="C1220" t="str">
            <v>SAFARI MASTER PREV FUNDO DE INVESTIMENTO MULTIMERCADO</v>
          </cell>
          <cell r="D1220" t="str">
            <v>SAFARI MASTER PREV FUNDO DE INVESTIMENTO MULTIMERCADO</v>
          </cell>
          <cell r="E1220" t="str">
            <v>SAFARI CAPITAL GESTAO DE RECURSOS LTDA.</v>
          </cell>
        </row>
        <row r="1221">
          <cell r="B1221">
            <v>80774</v>
          </cell>
          <cell r="C1221" t="str">
            <v>SAFARI MASTER PREV FUNDO DE INVESTIMENTO MULTIMERCADO</v>
          </cell>
          <cell r="D1221" t="str">
            <v>SAFARI MASTER PREV FUNDO DE INVESTIMENTO MULTIMERCADO</v>
          </cell>
          <cell r="E1221" t="str">
            <v>SAFARI CAPITAL GESTAO DE RECURSOS LTDA.</v>
          </cell>
        </row>
        <row r="1222">
          <cell r="B1222">
            <v>80781</v>
          </cell>
          <cell r="C1222" t="str">
            <v>AZ QUEST TOP LONG BIASED PREV MASTER FIFE FIM</v>
          </cell>
          <cell r="D1222" t="str">
            <v>AZ QUEST TOP LONG BIASED PREV MASTER FIFE FIM</v>
          </cell>
          <cell r="E1222" t="str">
            <v>AZ QUEST INVESTIMENTOS LTDA</v>
          </cell>
        </row>
        <row r="1223">
          <cell r="B1223">
            <v>80782</v>
          </cell>
          <cell r="C1223" t="str">
            <v>AZ QUEST MULTI BRASILPREV FIFE FIM</v>
          </cell>
          <cell r="D1223" t="str">
            <v>AZ QUEST MULTI BRASILPREV FIFE FIM</v>
          </cell>
          <cell r="E1223" t="str">
            <v>AZ QUEST INVESTIMENTOS LTDA</v>
          </cell>
        </row>
        <row r="1224">
          <cell r="B1224">
            <v>80783</v>
          </cell>
          <cell r="C1224" t="str">
            <v>REAL INVESTOR ASSET MANAGEMENT LTDA</v>
          </cell>
          <cell r="D1224" t="str">
            <v>REAL INVESTOR ASSET MANAGEMENT LTDA</v>
          </cell>
          <cell r="E1224" t="str">
            <v>REAL INVESTOR ASSET MANAGEMENT LTDA</v>
          </cell>
        </row>
        <row r="1225">
          <cell r="B1225">
            <v>80783</v>
          </cell>
          <cell r="C1225" t="str">
            <v>REAL INVESTOR ASSET MANAGEMENT LTDA</v>
          </cell>
          <cell r="D1225" t="str">
            <v>REAL INVESTOR ASSET MANAGEMENT LTDA</v>
          </cell>
          <cell r="E1225" t="str">
            <v>REAL INVESTOR ASSET MANAGEMENT LTDA</v>
          </cell>
        </row>
        <row r="1226">
          <cell r="B1226">
            <v>80788</v>
          </cell>
          <cell r="C1226" t="str">
            <v>GAUSS FIFE FUNDO DE INVESTIMENTO EM ACOES</v>
          </cell>
          <cell r="D1226" t="str">
            <v>GAUSS FIFE FUNDO DE INVESTIMENTO EM ACOES</v>
          </cell>
          <cell r="E1226" t="str">
            <v>ASA ASSET GESTAO EM INVESTIMENTOS LTDA</v>
          </cell>
        </row>
        <row r="1227">
          <cell r="B1227">
            <v>80787</v>
          </cell>
          <cell r="C1227" t="str">
            <v>PANORAMA MASTER FUNDO DE INVESTIMENTO MULTIMERCADO CP</v>
          </cell>
          <cell r="D1227" t="str">
            <v>PANORAMA MASTER FUNDO DE INVESTIMENTO MULTIMERCADO CP</v>
          </cell>
          <cell r="E1227" t="str">
            <v>ASA ASSET GESTAO EM INVESTIMENTOS LTDA</v>
          </cell>
        </row>
        <row r="1228">
          <cell r="B1228">
            <v>80790</v>
          </cell>
          <cell r="C1228" t="str">
            <v>SAFRA ACOES LIVRE MASTER FIA</v>
          </cell>
          <cell r="D1228" t="str">
            <v>SAFRA ACOES LIVRE MASTER FIA</v>
          </cell>
          <cell r="E1228" t="str">
            <v>EMERALD GESTAO DE INVESTIMENTOS LTDA</v>
          </cell>
        </row>
        <row r="1229">
          <cell r="B1229">
            <v>80792</v>
          </cell>
          <cell r="C1229" t="str">
            <v>SAFRA INDEX MASTER FIF CLASSE DE INVESTIMENTO EM AÃ‡Ã•ES RL</v>
          </cell>
          <cell r="D1229" t="str">
            <v>SAFRA INDEX MASTER FIF CLASSE DE INVESTIMENTO EM AÃ‡Ã•ES RL</v>
          </cell>
          <cell r="E1229" t="str">
            <v>EMERALD GESTAO DE INVESTIMENTOS LTDA</v>
          </cell>
        </row>
        <row r="1230">
          <cell r="B1230">
            <v>80798</v>
          </cell>
          <cell r="C1230" t="str">
            <v>POLO LONG BIAS MASTER FIF MULTIMERCADO RL</v>
          </cell>
          <cell r="D1230" t="str">
            <v>POLO LONG BIAS MASTER FIF MULTIMERCADO RL</v>
          </cell>
          <cell r="E1230" t="str">
            <v>POLO CAPITAL GESTÃO DE RECURSOS LTDA</v>
          </cell>
        </row>
        <row r="1231">
          <cell r="B1231">
            <v>125431</v>
          </cell>
          <cell r="C1231" t="str">
            <v>BB GESTAO DE RECURSOS DTVM LTDA</v>
          </cell>
          <cell r="D1231" t="str">
            <v>BB GESTAO DE RECURSOS DTVM LTDA</v>
          </cell>
          <cell r="E1231" t="str">
            <v>BB GESTAO DE RECURSOS DTVM LTDA</v>
          </cell>
        </row>
        <row r="1232">
          <cell r="B1232">
            <v>80810</v>
          </cell>
          <cell r="C1232" t="str">
            <v>FIM CREDITO PRIVADO DIAMONDI - IE</v>
          </cell>
          <cell r="D1232" t="str">
            <v>FIM CREDITO PRIVADO DIAMONDI - IE</v>
          </cell>
          <cell r="E1232" t="str">
            <v>VINCI GESTORA DE RECURSOS LTDA</v>
          </cell>
        </row>
        <row r="1233">
          <cell r="B1233">
            <v>80797</v>
          </cell>
          <cell r="C1233" t="str">
            <v>NEO PROVECTUS I FUNDO DE INVESTIMENTO MULTIMERCADO</v>
          </cell>
          <cell r="D1233" t="str">
            <v>NEO PROVECTUS I FUNDO DE INVESTIMENTO MULTIMERCADO</v>
          </cell>
          <cell r="E1233" t="str">
            <v>NEO GESTÃO DE RECURSOS LTDA</v>
          </cell>
        </row>
        <row r="1234">
          <cell r="B1234">
            <v>80820</v>
          </cell>
          <cell r="C1234" t="str">
            <v>ITAU MASTER GLOBAL DINAMICO MULTIMERCADO FI</v>
          </cell>
          <cell r="D1234" t="str">
            <v>ITAU MASTER GLOBAL DINAMICO MULTIMERCADO FI</v>
          </cell>
          <cell r="E1234" t="str">
            <v>ITAU UNIBANCO ASSET - TACO</v>
          </cell>
        </row>
        <row r="1235">
          <cell r="B1235">
            <v>80825</v>
          </cell>
          <cell r="C1235" t="str">
            <v>ITAU MASTER GLOBAL DINAMICO MULTIMERCADO FI</v>
          </cell>
          <cell r="D1235" t="str">
            <v>ITAU MASTER GLOBAL DINAMICO MULTIMERCADO FI</v>
          </cell>
          <cell r="E1235" t="str">
            <v>ITAU UNIBANCO ASSET - TACO</v>
          </cell>
        </row>
        <row r="1236">
          <cell r="B1236">
            <v>125435</v>
          </cell>
          <cell r="C1236" t="str">
            <v>BB GESTAO DE RECURSOS DTVM LTDA</v>
          </cell>
          <cell r="D1236" t="str">
            <v>BB GESTAO DE RECURSOS DTVM LTDA</v>
          </cell>
          <cell r="E1236" t="str">
            <v>BB GESTAO DE RECURSOS DTVM LTDA</v>
          </cell>
        </row>
        <row r="1237">
          <cell r="B1237">
            <v>80827</v>
          </cell>
          <cell r="C1237" t="str">
            <v>OURIBANK S.A. BANCO MULTIPLO</v>
          </cell>
          <cell r="D1237" t="str">
            <v>OURIBANK S.A. BANCO MULTIPLO</v>
          </cell>
          <cell r="E1237" t="str">
            <v>OURIBANK S.A. BANCO MULTIPLO</v>
          </cell>
        </row>
        <row r="1238">
          <cell r="B1238">
            <v>80828</v>
          </cell>
          <cell r="C1238" t="str">
            <v>CAPSTONE PARTNERS GESTAO DE RECURSOS LTDA</v>
          </cell>
          <cell r="D1238" t="str">
            <v>CAPSTONE PARTNERS GESTAO DE RECURSOS LTDA</v>
          </cell>
          <cell r="E1238" t="str">
            <v>CAPSTONE PARTNERS GESTAO DE RECURSOS LTDA</v>
          </cell>
        </row>
        <row r="1239">
          <cell r="B1239">
            <v>80828</v>
          </cell>
          <cell r="C1239" t="str">
            <v>CAPSTONE PARTNERS GESTAO DE RECURSOS LTDA</v>
          </cell>
          <cell r="D1239" t="str">
            <v>CAPSTONE PARTNERS GESTAO DE RECURSOS LTDA</v>
          </cell>
          <cell r="E1239" t="str">
            <v>CAPSTONE PARTNERS GESTAO DE RECURSOS LTDA</v>
          </cell>
        </row>
        <row r="1240">
          <cell r="B1240">
            <v>80829</v>
          </cell>
          <cell r="C1240" t="str">
            <v>CAPSTONE MACRO MASTER FUNDO DE INVESTIMENTOS MULTIMERCADO</v>
          </cell>
          <cell r="D1240" t="str">
            <v>CAPSTONE MACRO MASTER FUNDO DE INVESTIMENTOS MULTIMERCADO</v>
          </cell>
          <cell r="E1240" t="str">
            <v>CAPSTONE PARTNERS GESTAO DE RECURSOS LTDA</v>
          </cell>
        </row>
        <row r="1241">
          <cell r="B1241">
            <v>80829</v>
          </cell>
          <cell r="C1241" t="str">
            <v>CAPSTONE MACRO MASTER FUNDO DE INVESTIMENTOS MULTIMERCADO</v>
          </cell>
          <cell r="D1241" t="str">
            <v>CAPSTONE MACRO MASTER FUNDO DE INVESTIMENTOS MULTIMERCADO</v>
          </cell>
          <cell r="E1241" t="str">
            <v>CAPSTONE PARTNERS GESTAO DE RECURSOS LTDA</v>
          </cell>
        </row>
        <row r="1242">
          <cell r="B1242">
            <v>80830</v>
          </cell>
          <cell r="C1242" t="str">
            <v>IT NOW SMALL CAPS FUNDO DE INDICE</v>
          </cell>
          <cell r="D1242" t="str">
            <v>IT NOW SMALL CAPS FUNDO DE INDICE</v>
          </cell>
          <cell r="E1242" t="str">
            <v>ITAU UNIBANCO ASSET - TACO</v>
          </cell>
        </row>
        <row r="1243">
          <cell r="B1243">
            <v>80830</v>
          </cell>
          <cell r="C1243" t="str">
            <v>IT NOW SMALL CAPS FUNDO DE INDICE</v>
          </cell>
          <cell r="D1243" t="str">
            <v>IT NOW SMALL CAPS FUNDO DE INDICE</v>
          </cell>
          <cell r="E1243" t="str">
            <v>ITAU UNIBANCO ASSET - TACO</v>
          </cell>
        </row>
        <row r="1244">
          <cell r="B1244">
            <v>80834</v>
          </cell>
          <cell r="C1244" t="str">
            <v>ASSET1 INVESTIMENTOS LTDA</v>
          </cell>
          <cell r="D1244" t="str">
            <v>ASSET1 INVESTIMENTOS LTDA</v>
          </cell>
          <cell r="E1244" t="str">
            <v>ASSET1 INVESTIMENTOS LTDA</v>
          </cell>
        </row>
        <row r="1245">
          <cell r="B1245">
            <v>80834</v>
          </cell>
          <cell r="C1245" t="str">
            <v>ASSET1 INVESTIMENTOS LTDA</v>
          </cell>
          <cell r="D1245" t="str">
            <v>ASSET1 INVESTIMENTOS LTDA</v>
          </cell>
          <cell r="E1245" t="str">
            <v>ASSET1 INVESTIMENTOS LTDA</v>
          </cell>
        </row>
        <row r="1246">
          <cell r="B1246">
            <v>80836</v>
          </cell>
          <cell r="C1246" t="str">
            <v>RIO BRAVO FUNDO DE FUNDOS DE INVESTIMENTO IMOBILIARIO</v>
          </cell>
          <cell r="D1246" t="str">
            <v>RIO BRAVO FUNDO DE FUNDOS DE INVESTIMENTO IMOBILIARIO</v>
          </cell>
          <cell r="E1246" t="str">
            <v>RIO BRAVO INVESTIMENTOS LTDA</v>
          </cell>
        </row>
        <row r="1247">
          <cell r="B1247">
            <v>80841</v>
          </cell>
          <cell r="C1247" t="str">
            <v>MOAT CAPITAL GESTAO DE RECURSOS LTDA</v>
          </cell>
          <cell r="D1247" t="str">
            <v>MOAT CAPITAL GESTAO DE RECURSOS LTDA</v>
          </cell>
          <cell r="E1247" t="str">
            <v>MOAT CAPITAL GESTAO DE RECURSOS LTDA</v>
          </cell>
        </row>
        <row r="1248">
          <cell r="B1248">
            <v>80841</v>
          </cell>
          <cell r="C1248" t="str">
            <v>MOAT CAPITAL GESTAO DE RECURSOS LTDA</v>
          </cell>
          <cell r="D1248" t="str">
            <v>MOAT CAPITAL GESTAO DE RECURSOS LTDA</v>
          </cell>
          <cell r="E1248" t="str">
            <v>MOAT CAPITAL GESTAO DE RECURSOS LTDA</v>
          </cell>
        </row>
        <row r="1249">
          <cell r="B1249">
            <v>80842</v>
          </cell>
          <cell r="C1249" t="str">
            <v>MOAT CAPITAL EQUITY HEDGE MASTER FIM</v>
          </cell>
          <cell r="D1249" t="str">
            <v>MOAT CAPITAL EQUITY HEDGE MASTER FIM</v>
          </cell>
          <cell r="E1249" t="str">
            <v>MOAT CAPITAL GESTAO DE RECURSOS LTDA</v>
          </cell>
        </row>
        <row r="1250">
          <cell r="B1250">
            <v>80843</v>
          </cell>
          <cell r="C1250" t="str">
            <v>MOAT CAPITAL FUNDO DE INVESTIMENTO EM ACOES MASTER</v>
          </cell>
          <cell r="D1250" t="str">
            <v>MOAT CAPITAL FUNDO DE INVESTIMENTO EM ACOES MASTER</v>
          </cell>
          <cell r="E1250" t="str">
            <v>MOAT CAPITAL GESTAO DE RECURSOS LTDA</v>
          </cell>
        </row>
        <row r="1251">
          <cell r="B1251">
            <v>80844</v>
          </cell>
          <cell r="C1251" t="str">
            <v>MOAT CAPITAL LONG BIAS FIM MASTER</v>
          </cell>
          <cell r="D1251" t="str">
            <v>MOAT CAPITAL LONG BIAS FIM MASTER</v>
          </cell>
          <cell r="E1251" t="str">
            <v>MOAT CAPITAL GESTAO DE RECURSOS LTDA</v>
          </cell>
        </row>
        <row r="1252">
          <cell r="B1252">
            <v>122394</v>
          </cell>
          <cell r="C1252" t="str">
            <v>TEMPO CAPITAL PRINCIPAL FIA</v>
          </cell>
          <cell r="D1252" t="str">
            <v>TEMPO CAPITAL PRINCIPAL FIA</v>
          </cell>
          <cell r="E1252" t="str">
            <v>TEMPO CAPITAL GESTAO DE RECURSOS LTDA</v>
          </cell>
        </row>
        <row r="1253">
          <cell r="B1253">
            <v>12262</v>
          </cell>
          <cell r="C1253" t="str">
            <v>TEMPO CAPITAL GESTAO DE RECURSOS LTDA</v>
          </cell>
          <cell r="D1253" t="str">
            <v>TEMPO CAPITAL GESTAO DE RECURSOS LTDA</v>
          </cell>
          <cell r="E1253" t="str">
            <v>TEMPO CAPITAL GESTAO DE RECURSOS LTDA</v>
          </cell>
        </row>
        <row r="1254">
          <cell r="B1254">
            <v>125443</v>
          </cell>
          <cell r="C1254" t="str">
            <v>BB GESTAO DE RECURSOS DTVM LTDA</v>
          </cell>
          <cell r="D1254" t="str">
            <v>BB GESTAO DE RECURSOS DTVM LTDA</v>
          </cell>
          <cell r="E1254" t="str">
            <v>BB GESTAO DE RECURSOS DTVM LTDA</v>
          </cell>
        </row>
        <row r="1255">
          <cell r="B1255">
            <v>80859</v>
          </cell>
          <cell r="C1255" t="str">
            <v>ALE BRASIL FUNDO DE INVESTIMENTO MULTIMERCADO CP IE</v>
          </cell>
          <cell r="D1255" t="str">
            <v>ALE BRASIL FUNDO DE INVESTIMENTO MULTIMERCADO CP IE</v>
          </cell>
          <cell r="E1255" t="str">
            <v>SOW CAPITAL GESTÃƒO DE INVESTIMENTOS LTDA</v>
          </cell>
        </row>
        <row r="1256">
          <cell r="B1256">
            <v>80859</v>
          </cell>
          <cell r="C1256" t="str">
            <v>ALE BRASIL FUNDO DE INVESTIMENTO MULTIMERCADO CP IE</v>
          </cell>
          <cell r="D1256" t="str">
            <v>ALE BRASIL FUNDO DE INVESTIMENTO MULTIMERCADO CP IE</v>
          </cell>
          <cell r="E1256" t="str">
            <v>SOW CAPITAL GESTÃƒO DE INVESTIMENTOS LTDA</v>
          </cell>
        </row>
        <row r="1257">
          <cell r="B1257">
            <v>125447</v>
          </cell>
          <cell r="C1257" t="str">
            <v>ITAU ACOES SMALL CAP INDEX FI</v>
          </cell>
          <cell r="D1257" t="str">
            <v>ITAU ACOES SMALL CAP INDEX FI</v>
          </cell>
          <cell r="E1257" t="str">
            <v>ITAU UNIBANCO ASSET - TACO</v>
          </cell>
        </row>
        <row r="1258">
          <cell r="B1258">
            <v>125448</v>
          </cell>
          <cell r="C1258" t="str">
            <v>ITAU FLEXPREV PRIVATE BOLSA MULT FI</v>
          </cell>
          <cell r="D1258" t="str">
            <v>ITAU FLEXPREV PRIVATE BOLSA MULT FI</v>
          </cell>
          <cell r="E1258" t="str">
            <v>ITAU UNIBANCO ASSET - TACO</v>
          </cell>
        </row>
        <row r="1259">
          <cell r="B1259">
            <v>80875</v>
          </cell>
          <cell r="C1259" t="str">
            <v>SAFRA PREV NEWTON FIM CP PREVIDENCIÃRIO</v>
          </cell>
          <cell r="D1259" t="str">
            <v>SAFRA PREV NEWTON FIM CP PREVIDENCIÃRIO</v>
          </cell>
          <cell r="E1259" t="str">
            <v>TURMALINA GESTAO E ADMINISTRAÃ‡ÃƒO DE RECURSOS SA</v>
          </cell>
        </row>
        <row r="1260">
          <cell r="B1260">
            <v>125450</v>
          </cell>
          <cell r="C1260" t="str">
            <v>BB GESTAO DE RECURSOS DTVM LTDA</v>
          </cell>
          <cell r="D1260" t="str">
            <v>BB GESTAO DE RECURSOS DTVM LTDA</v>
          </cell>
          <cell r="E1260" t="str">
            <v>BB GESTAO DE RECURSOS DTVM LTDA</v>
          </cell>
        </row>
        <row r="1261">
          <cell r="B1261">
            <v>125452</v>
          </cell>
          <cell r="C1261" t="str">
            <v>BB GESTAO DE RECURSOS DTVM LTDA</v>
          </cell>
          <cell r="D1261" t="str">
            <v>BB GESTAO DE RECURSOS DTVM LTDA</v>
          </cell>
          <cell r="E1261" t="str">
            <v>BB GESTAO DE RECURSOS DTVM LTDA</v>
          </cell>
        </row>
        <row r="1262">
          <cell r="B1262">
            <v>125453</v>
          </cell>
          <cell r="C1262" t="str">
            <v>BB GESTAO DE RECURSOS DTVM LTDA</v>
          </cell>
          <cell r="D1262" t="str">
            <v>BB GESTAO DE RECURSOS DTVM LTDA</v>
          </cell>
          <cell r="E1262" t="str">
            <v>BB GESTAO DE RECURSOS DTVM LTDA</v>
          </cell>
        </row>
        <row r="1263">
          <cell r="B1263">
            <v>946000</v>
          </cell>
          <cell r="C1263" t="str">
            <v>BANCO UBS S/A</v>
          </cell>
          <cell r="D1263">
            <v>46000</v>
          </cell>
          <cell r="E1263" t="str">
            <v>BANCO UBS S/A</v>
          </cell>
        </row>
        <row r="1264">
          <cell r="B1264">
            <v>900046</v>
          </cell>
          <cell r="C1264" t="str">
            <v>BANCO UBS S/A</v>
          </cell>
          <cell r="D1264" t="str">
            <v>BANCO UBS S/A</v>
          </cell>
          <cell r="E1264" t="str">
            <v>BANCO UBS S/A</v>
          </cell>
        </row>
        <row r="1265">
          <cell r="B1265">
            <v>80880</v>
          </cell>
          <cell r="C1265" t="str">
            <v>PARCITAS GESTAO DE INVESTIMENTOS LTDA</v>
          </cell>
          <cell r="D1265" t="str">
            <v>PARCITAS GESTAO DE INVESTIMENTOS LTDA</v>
          </cell>
          <cell r="E1265" t="str">
            <v>PARCITAS GESTAO DE INVESTIMENTOS LTDA</v>
          </cell>
        </row>
        <row r="1266">
          <cell r="B1266">
            <v>80880</v>
          </cell>
          <cell r="C1266" t="str">
            <v>PARCITAS GESTAO DE INVESTIMENTOS LTDA</v>
          </cell>
          <cell r="D1266" t="str">
            <v>PARCITAS GESTAO DE INVESTIMENTOS LTDA</v>
          </cell>
          <cell r="E1266" t="str">
            <v>PARCITAS GESTAO DE INVESTIMENTOS LTDA</v>
          </cell>
        </row>
        <row r="1267">
          <cell r="B1267">
            <v>80883</v>
          </cell>
          <cell r="C1267" t="str">
            <v>GENOA CAPITAL GESTORA DE RECURSOS LTDA</v>
          </cell>
          <cell r="D1267" t="str">
            <v>GENOA CAPITAL GESTORA DE RECURSOS LTDA</v>
          </cell>
          <cell r="E1267" t="str">
            <v>GENOA CAPITAL GESTORA DE RECURSOS LTDA</v>
          </cell>
        </row>
        <row r="1268">
          <cell r="B1268">
            <v>80883</v>
          </cell>
          <cell r="C1268" t="str">
            <v>GENOA CAPITAL GESTORA DE RECURSOS LTDA</v>
          </cell>
          <cell r="D1268" t="str">
            <v>GENOA CAPITAL GESTORA DE RECURSOS LTDA</v>
          </cell>
          <cell r="E1268" t="str">
            <v>GENOA CAPITAL GESTORA DE RECURSOS LTDA</v>
          </cell>
        </row>
        <row r="1269">
          <cell r="B1269">
            <v>80922</v>
          </cell>
          <cell r="C1269" t="str">
            <v>ITAU UNIBANCO S.A.</v>
          </cell>
          <cell r="D1269" t="str">
            <v>ITAU UNIBANCO S.A.</v>
          </cell>
          <cell r="E1269" t="str">
            <v>ITAU UNIBANCO S/A</v>
          </cell>
        </row>
        <row r="1270">
          <cell r="B1270">
            <v>125459</v>
          </cell>
          <cell r="C1270" t="str">
            <v>ETF BRADESCO IBOVESPA FUNDO DE INDICE</v>
          </cell>
          <cell r="D1270" t="str">
            <v>ETF BRADESCO IBOVESPA FUNDO DE INDICE</v>
          </cell>
          <cell r="E1270" t="str">
            <v>BRAM - BRADESCO ASSET MANAGEMENT S/A DTVM</v>
          </cell>
        </row>
        <row r="1271">
          <cell r="B1271">
            <v>125460</v>
          </cell>
          <cell r="C1271" t="str">
            <v>AGORA TOP 10 INDEX FUNDO DE INVESTIMENTO EM AÃ‡Ã•ES</v>
          </cell>
          <cell r="D1271" t="str">
            <v>AGORA TOP 10 INDEX FUNDO DE INVESTIMENTO EM AÃ‡Ã•ES</v>
          </cell>
          <cell r="E1271" t="str">
            <v>BRAM - BRADESCO ASSET MANAGEMENT S/A DTVM</v>
          </cell>
        </row>
        <row r="1272">
          <cell r="B1272">
            <v>125461</v>
          </cell>
          <cell r="C1272" t="str">
            <v>ÃGORA ARROJADA INDEX FUNDO DE INVESTIMENTO EM AÃ‡Ã•ES</v>
          </cell>
          <cell r="D1272" t="str">
            <v>ÃGORA ARROJADA INDEX FUNDO DE INVESTIMENTO EM AÃ‡Ã•ES</v>
          </cell>
          <cell r="E1272" t="str">
            <v>BRAM - BRADESCO ASSET MANAGEMENT S/A DTVM</v>
          </cell>
        </row>
        <row r="1273">
          <cell r="B1273">
            <v>125463</v>
          </cell>
          <cell r="C1273" t="str">
            <v>ÃGORA DIVIDENDOS INDEX FUNDO DE INVESTIMENTO EM AÃ‡Ã•ES</v>
          </cell>
          <cell r="D1273" t="str">
            <v>ÃGORA DIVIDENDOS INDEX FUNDO DE INVESTIMENTO EM AÃ‡Ã•ES</v>
          </cell>
          <cell r="E1273" t="str">
            <v>BRAM - BRADESCO ASSET MANAGEMENT S/A DTVM</v>
          </cell>
        </row>
        <row r="1274">
          <cell r="B1274">
            <v>125462</v>
          </cell>
          <cell r="C1274" t="str">
            <v>ÃGORA SMALL CAPS INDEX FUNDO DE INVESTIMENTO EM AÃ‡Ã•ES</v>
          </cell>
          <cell r="D1274" t="str">
            <v>ÃGORA SMALL CAPS INDEX FUNDO DE INVESTIMENTO EM AÃ‡Ã•ES</v>
          </cell>
          <cell r="E1274" t="str">
            <v>BRAM - BRADESCO ASSET MANAGEMENT S/A DTVM</v>
          </cell>
        </row>
        <row r="1275">
          <cell r="B1275">
            <v>125464</v>
          </cell>
          <cell r="C1275" t="str">
            <v>ITAU VERTICE PATRIMONIO FIM</v>
          </cell>
          <cell r="D1275" t="str">
            <v>ITAU VERTICE PATRIMONIO FIM</v>
          </cell>
          <cell r="E1275" t="str">
            <v>ITAU UNIBANCO ASSET - TACO</v>
          </cell>
        </row>
        <row r="1276">
          <cell r="B1276">
            <v>125465</v>
          </cell>
          <cell r="C1276" t="str">
            <v>ITAU MASTER VALE ACOES FI</v>
          </cell>
          <cell r="D1276" t="str">
            <v>ITAU MASTER VALE ACOES FI</v>
          </cell>
          <cell r="E1276" t="str">
            <v>ITAU UNIBANCO ASSET - TACO</v>
          </cell>
        </row>
        <row r="1277">
          <cell r="B1277">
            <v>125469</v>
          </cell>
          <cell r="C1277" t="str">
            <v>SAFRA RENDA FIXA FI RENDA FIXA</v>
          </cell>
          <cell r="D1277" t="str">
            <v>SAFRA RENDA FIXA FI RENDA FIXA</v>
          </cell>
          <cell r="E1277" t="str">
            <v>EMERALD GESTAO DE INVESTIMENTOS LTDA</v>
          </cell>
        </row>
        <row r="1278">
          <cell r="B1278">
            <v>125470</v>
          </cell>
          <cell r="C1278" t="str">
            <v>SAFRA ANS FIM CP</v>
          </cell>
          <cell r="D1278" t="str">
            <v>SAFRA ANS FIM CP</v>
          </cell>
          <cell r="E1278" t="str">
            <v>EMERALD GESTAO DE INVESTIMENTOS LTDA</v>
          </cell>
        </row>
        <row r="1279">
          <cell r="B1279">
            <v>900146</v>
          </cell>
          <cell r="C1279" t="str">
            <v>BANCO UBS S/A</v>
          </cell>
          <cell r="D1279" t="str">
            <v>BANCO UBS S/A</v>
          </cell>
          <cell r="E1279" t="str">
            <v>BANCO UBS S/A</v>
          </cell>
        </row>
        <row r="1280">
          <cell r="B1280">
            <v>79535</v>
          </cell>
          <cell r="C1280" t="str">
            <v>UBS AG, LONDON BRANCH NOVO</v>
          </cell>
          <cell r="D1280">
            <v>310</v>
          </cell>
          <cell r="E1280" t="str">
            <v>UBS AG, LONDON BRANCH NOVO</v>
          </cell>
        </row>
        <row r="1281">
          <cell r="B1281">
            <v>79313</v>
          </cell>
          <cell r="C1281" t="str">
            <v>UBS AG, LONDON BRANCH NOVO</v>
          </cell>
          <cell r="D1281">
            <v>343</v>
          </cell>
          <cell r="E1281" t="str">
            <v>UBS AG, LONDON BRANCH NOVO</v>
          </cell>
        </row>
        <row r="1282">
          <cell r="B1282">
            <v>125472</v>
          </cell>
          <cell r="C1282" t="str">
            <v>ITAU ASGARD ACOES FI</v>
          </cell>
          <cell r="D1282" t="str">
            <v>ITAU ASGARD ACOES FI</v>
          </cell>
          <cell r="E1282" t="str">
            <v>ITAU UNIBANCO ASSET - TACO</v>
          </cell>
        </row>
        <row r="1283">
          <cell r="B1283">
            <v>125473</v>
          </cell>
          <cell r="C1283" t="str">
            <v>ITAU ASGARD INSTITUCIONAL AÃ‡Ã•ES FI</v>
          </cell>
          <cell r="D1283" t="str">
            <v>ITAU ASGARD INSTITUCIONAL AÃ‡Ã•ES FI</v>
          </cell>
          <cell r="E1283" t="str">
            <v>ITAU UNIBANCO ASSET - TACO</v>
          </cell>
        </row>
        <row r="1284">
          <cell r="B1284">
            <v>125474</v>
          </cell>
          <cell r="C1284" t="str">
            <v>ITAU HUNTER TOTAL RETURN MULTIMERCADO FI</v>
          </cell>
          <cell r="D1284" t="str">
            <v>ITAU HUNTER TOTAL RETURN MULTIMERCADO FI</v>
          </cell>
          <cell r="E1284" t="str">
            <v>ITAU UNIBANCO ASSET - TACO</v>
          </cell>
        </row>
        <row r="1285">
          <cell r="B1285">
            <v>125477</v>
          </cell>
          <cell r="C1285" t="str">
            <v>BB GESTAO DE RECURSOS DTVM LTDA</v>
          </cell>
          <cell r="D1285" t="str">
            <v>BB GESTAO DE RECURSOS DTVM LTDA</v>
          </cell>
          <cell r="E1285" t="str">
            <v>BB GESTAO DE RECURSOS DTVM LTDA</v>
          </cell>
        </row>
        <row r="1286">
          <cell r="B1286">
            <v>125478</v>
          </cell>
          <cell r="C1286" t="str">
            <v>FUNDO DE INVESTIMENTO IMOB RIO BRAVO RENDA CORPORATIVA</v>
          </cell>
          <cell r="D1286" t="str">
            <v>FUNDO DE INVESTIMENTO IMOB RIO BRAVO RENDA CORPORATIVA</v>
          </cell>
          <cell r="E1286" t="str">
            <v>RIO BRAVO INVESTIMENTOS LTDA</v>
          </cell>
        </row>
        <row r="1287">
          <cell r="B1287">
            <v>125479</v>
          </cell>
          <cell r="C1287" t="str">
            <v>ARX INCOME MASTER FIA</v>
          </cell>
          <cell r="D1287" t="str">
            <v>ARX INCOME MASTER FIA</v>
          </cell>
          <cell r="E1287" t="str">
            <v>ARX INVESTIMENTOS LTDA</v>
          </cell>
        </row>
        <row r="1288">
          <cell r="B1288">
            <v>125480</v>
          </cell>
          <cell r="C1288" t="str">
            <v>ITAU SIRIUS FUNDO DE INVESTIMENTO EM ACOES</v>
          </cell>
          <cell r="D1288" t="str">
            <v>ITAU SIRIUS FUNDO DE INVESTIMENTO EM ACOES</v>
          </cell>
          <cell r="E1288" t="str">
            <v>ITAU UNIBANCO ASSET - TACO</v>
          </cell>
        </row>
        <row r="1289">
          <cell r="B1289">
            <v>80941</v>
          </cell>
          <cell r="C1289" t="str">
            <v>NC RENDA FIXA EXCLUSIVE FIM LP</v>
          </cell>
          <cell r="D1289" t="str">
            <v>NC RENDA FIXA EXCLUSIVE FIM LP</v>
          </cell>
          <cell r="E1289" t="str">
            <v>NC RENDA FIXA EXCLUSIVE FIM LP</v>
          </cell>
        </row>
        <row r="1290">
          <cell r="B1290">
            <v>80942</v>
          </cell>
          <cell r="C1290" t="str">
            <v>NOVUS PREV MASTER FI MULTIMERCADO</v>
          </cell>
          <cell r="D1290" t="str">
            <v>NOVUS PREV MASTER FI MULTIMERCADO</v>
          </cell>
          <cell r="E1290" t="str">
            <v>NOVUS CAPITAL GESTORA DE RECURSOS LTDA</v>
          </cell>
        </row>
        <row r="1291">
          <cell r="B1291">
            <v>80942</v>
          </cell>
          <cell r="C1291" t="str">
            <v>NOVUS PREV MASTER FI MULTIMERCADO</v>
          </cell>
          <cell r="D1291" t="str">
            <v>NOVUS PREV MASTER FI MULTIMERCADO</v>
          </cell>
          <cell r="E1291" t="str">
            <v>NOVUS CAPITAL GESTORA DE RECURSOS LTDA</v>
          </cell>
        </row>
        <row r="1292">
          <cell r="B1292">
            <v>80943</v>
          </cell>
          <cell r="C1292" t="str">
            <v>NOVUS RETORNO ABSOLUTO MASTER FIA</v>
          </cell>
          <cell r="D1292" t="str">
            <v>NOVUS RETORNO ABSOLUTO MASTER FIA</v>
          </cell>
          <cell r="E1292" t="str">
            <v>NOVUS CAPITAL GESTORA DE RECURSOS LTDA</v>
          </cell>
        </row>
        <row r="1293">
          <cell r="B1293">
            <v>80944</v>
          </cell>
          <cell r="C1293" t="str">
            <v>ASA ASSET GESTAO EM INVESTIMENTOS LTDA</v>
          </cell>
          <cell r="D1293" t="str">
            <v>ASA ASSET GESTAO EM INVESTIMENTOS LTDA</v>
          </cell>
          <cell r="E1293" t="str">
            <v>ASA ASSET GESTAO EM INVESTIMENTOS LTDA</v>
          </cell>
        </row>
        <row r="1294">
          <cell r="B1294">
            <v>80944</v>
          </cell>
          <cell r="C1294" t="str">
            <v>ASA ASSET GESTAO EM INVESTIMENTOS LTDA</v>
          </cell>
          <cell r="D1294" t="str">
            <v>ASA ASSET GESTAO EM INVESTIMENTOS LTDA</v>
          </cell>
          <cell r="E1294" t="str">
            <v>ASA ASSET GESTAO EM INVESTIMENTOS LTDA</v>
          </cell>
        </row>
        <row r="1295">
          <cell r="B1295">
            <v>125481</v>
          </cell>
          <cell r="C1295" t="str">
            <v>ITAU FLEXPREV ASGARD FIA</v>
          </cell>
          <cell r="D1295" t="str">
            <v>ITAU FLEXPREV ASGARD FIA</v>
          </cell>
          <cell r="E1295" t="str">
            <v>ITAU UNIBANCO ASSET - TACO</v>
          </cell>
        </row>
        <row r="1296">
          <cell r="B1296">
            <v>125496</v>
          </cell>
          <cell r="C1296" t="str">
            <v>TELLUS RIO BRAVO RENDA LOGÃSTICA FII DE RESPONSABILIDADE LIM</v>
          </cell>
          <cell r="D1296" t="str">
            <v>TELLUS RIO BRAVO RENDA LOGÃSTICA FII DE RESPONSABILIDADE LIM</v>
          </cell>
          <cell r="E1296" t="str">
            <v>RIO BRAVO INVESTIMENTOS LTDA</v>
          </cell>
        </row>
        <row r="1297">
          <cell r="B1297">
            <v>125496</v>
          </cell>
          <cell r="C1297" t="str">
            <v>TELLUS RIO BRAVO RENDA LOGÃSTICA FII DE RESPONSABILIDADE LIM</v>
          </cell>
          <cell r="D1297" t="str">
            <v>TELLUS RIO BRAVO RENDA LOGÃSTICA FII DE RESPONSABILIDADE LIM</v>
          </cell>
          <cell r="E1297" t="str">
            <v>TELLUS RIO BRAVO RENDA LOGÃSTICA FII DE RESPONSABILIDADE LIM</v>
          </cell>
        </row>
        <row r="1298">
          <cell r="B1298">
            <v>80946</v>
          </cell>
          <cell r="C1298" t="str">
            <v>EMPIRICUS GESTAO DE RECURSOS LTDA</v>
          </cell>
          <cell r="D1298" t="str">
            <v>EMPIRICUS GESTAO DE RECURSOS LTDA</v>
          </cell>
          <cell r="E1298" t="str">
            <v>EMPIRICUS GESTAO DE RECURSOS LTDA</v>
          </cell>
        </row>
        <row r="1299">
          <cell r="B1299">
            <v>80946</v>
          </cell>
          <cell r="C1299" t="str">
            <v>EMPIRICUS GESTAO DE RECURSOS LTDA</v>
          </cell>
          <cell r="D1299" t="str">
            <v>EMPIRICUS GESTAO DE RECURSOS LTDA</v>
          </cell>
          <cell r="E1299" t="str">
            <v>EMPIRICUS GESTAO DE RECURSOS LTDA</v>
          </cell>
        </row>
        <row r="1300">
          <cell r="B1300">
            <v>80954</v>
          </cell>
          <cell r="C1300" t="str">
            <v>ASA ASSET 2 GESTAO DE RECURSOS LTDA</v>
          </cell>
          <cell r="D1300" t="str">
            <v>ASA ASSET 2 GESTAO DE RECURSOS LTDA</v>
          </cell>
          <cell r="E1300" t="str">
            <v>ASA ASSET GESTAO EM INVESTIMENTOS LTDA</v>
          </cell>
        </row>
        <row r="1301">
          <cell r="B1301">
            <v>80954</v>
          </cell>
          <cell r="C1301" t="str">
            <v>ASA ASSET 2 GESTAO DE RECURSOS LTDA</v>
          </cell>
          <cell r="D1301" t="str">
            <v>ASA ASSET 2 GESTAO DE RECURSOS LTDA</v>
          </cell>
          <cell r="E1301" t="str">
            <v>ASA ASSET GESTAO EM INVESTIMENTOS LTDA</v>
          </cell>
        </row>
        <row r="1302">
          <cell r="B1302">
            <v>80955</v>
          </cell>
          <cell r="C1302" t="str">
            <v>REAL INVESTOR ALOCAÃ‡ÃƒO FIF MULT RL</v>
          </cell>
          <cell r="D1302" t="str">
            <v>REAL INVESTOR ALOCAÃ‡ÃƒO FIF MULT RL</v>
          </cell>
          <cell r="E1302" t="str">
            <v>REAL INVESTOR ASSET MANAGEMENT LTDA</v>
          </cell>
        </row>
        <row r="1303">
          <cell r="B1303">
            <v>80955</v>
          </cell>
          <cell r="C1303" t="str">
            <v>REAL INVESTOR ALOCAÃ‡ÃƒO FIF MULT RL</v>
          </cell>
          <cell r="D1303" t="str">
            <v>REAL INVESTOR ALOCAÃ‡ÃƒO FIF MULT RL</v>
          </cell>
          <cell r="E1303" t="str">
            <v>REAL INVESTOR ASSET MANAGEMENT LTDA</v>
          </cell>
        </row>
        <row r="1304">
          <cell r="B1304">
            <v>125498</v>
          </cell>
          <cell r="C1304" t="str">
            <v>ITAU OLIMPO FUNDO DE INVESTIMENTO EM COTAS DE FUNDOS DE INVE</v>
          </cell>
          <cell r="D1304" t="str">
            <v>ITAU OLIMPO FUNDO DE INVESTIMENTO EM COTAS DE FUNDOS DE INVE</v>
          </cell>
          <cell r="E1304" t="str">
            <v>ITAU UNIBANCO ASSET - TACO</v>
          </cell>
        </row>
        <row r="1305">
          <cell r="B1305">
            <v>125500</v>
          </cell>
          <cell r="C1305" t="str">
            <v>ITAÃš FLEXPREV PATRIMÃ”NIO FIF MULT - RESP LIMITADA</v>
          </cell>
          <cell r="D1305" t="str">
            <v>ITAÃš FLEXPREV PATRIMÃ”NIO FIF MULT - RESP LIMITADA</v>
          </cell>
          <cell r="E1305" t="str">
            <v>ITAU UNIBANCO ASSET - TACO</v>
          </cell>
        </row>
        <row r="1306">
          <cell r="B1306">
            <v>125501</v>
          </cell>
          <cell r="C1306" t="str">
            <v>TORK CAPITAL GESTAO DE RECURSOS LTDA</v>
          </cell>
          <cell r="D1306" t="str">
            <v>TORK CAPITAL GESTAO DE RECURSOS LTDA</v>
          </cell>
          <cell r="E1306" t="str">
            <v>TORK CAPITAL GESTAO DE RECURSOS LTDA</v>
          </cell>
        </row>
        <row r="1307">
          <cell r="B1307">
            <v>125501</v>
          </cell>
          <cell r="C1307" t="str">
            <v>TORK CAPITAL GESTAO DE RECURSOS LTDA</v>
          </cell>
          <cell r="D1307" t="str">
            <v>TORK CAPITAL GESTAO DE RECURSOS LTDA</v>
          </cell>
          <cell r="E1307" t="str">
            <v>TORK CAPITAL GESTAO DE RECURSOS LTDA</v>
          </cell>
        </row>
        <row r="1308">
          <cell r="B1308">
            <v>125507</v>
          </cell>
          <cell r="C1308" t="str">
            <v>FUNDO DE INVESTIMENTO IMOB RIO BRAVO RENDA VAREJO - FII</v>
          </cell>
          <cell r="D1308" t="str">
            <v>FUNDO DE INVESTIMENTO IMOB RIO BRAVO RENDA VAREJO - FII</v>
          </cell>
          <cell r="E1308" t="str">
            <v>RIO BRAVO INVESTIMENTOS LTDA</v>
          </cell>
        </row>
        <row r="1309">
          <cell r="B1309">
            <v>125508</v>
          </cell>
          <cell r="C1309" t="str">
            <v>BB GESTAO DE RECURSOS DTVM LTDA</v>
          </cell>
          <cell r="D1309" t="str">
            <v>BB GESTAO DE RECURSOS DTVM LTDA</v>
          </cell>
          <cell r="E1309" t="str">
            <v>BB GESTAO DE RECURSOS DTVM LTDA</v>
          </cell>
        </row>
        <row r="1310">
          <cell r="B1310">
            <v>80958</v>
          </cell>
          <cell r="C1310" t="str">
            <v>ITAU UNIBANCO ASSET MANAGEMENT LTDA</v>
          </cell>
          <cell r="D1310" t="str">
            <v>ITAU UNIBANCO ASSET MANAGEMENT LTDA</v>
          </cell>
          <cell r="E1310" t="str">
            <v>ITAU UNIBANCO ASSET - OPTIMUS</v>
          </cell>
        </row>
        <row r="1311">
          <cell r="B1311">
            <v>80958</v>
          </cell>
          <cell r="C1311" t="str">
            <v>ITAU UNIBANCO ASSET MANAGEMENT LTDA</v>
          </cell>
          <cell r="D1311" t="str">
            <v>ITAU UNIBANCO ASSET MANAGEMENT LTDA</v>
          </cell>
          <cell r="E1311" t="str">
            <v>ITAU UNIBANCO ASSET - OPTIMUS</v>
          </cell>
        </row>
        <row r="1312">
          <cell r="B1312">
            <v>125509</v>
          </cell>
          <cell r="C1312" t="str">
            <v>FIM A1</v>
          </cell>
          <cell r="D1312" t="str">
            <v>FIM A1</v>
          </cell>
          <cell r="E1312" t="str">
            <v>ASSET1 INVESTIMENTOS LTDA</v>
          </cell>
        </row>
        <row r="1313">
          <cell r="B1313">
            <v>125509</v>
          </cell>
          <cell r="C1313" t="str">
            <v>FIM A1</v>
          </cell>
          <cell r="D1313" t="str">
            <v>FIM A1</v>
          </cell>
          <cell r="E1313" t="str">
            <v>ASSET1 INVESTIMENTOS LTDA</v>
          </cell>
        </row>
        <row r="1314">
          <cell r="B1314">
            <v>80960</v>
          </cell>
          <cell r="C1314" t="str">
            <v>BOCOM BBM CORRETORA DE CAMBIO E VALORES MOBILIARIOS S.A.</v>
          </cell>
          <cell r="D1314" t="str">
            <v>BOCOM BBM CORRETORA DE CAMBIO E VALORES MOBILIARIOS S.A.</v>
          </cell>
          <cell r="E1314" t="str">
            <v>BANCO BOCOM BBM S/A</v>
          </cell>
        </row>
        <row r="1315">
          <cell r="B1315">
            <v>80960</v>
          </cell>
          <cell r="C1315" t="str">
            <v>BOCOM BBM CORRETORA DE CAMBIO E VALORES MOBILIARIOS S.A.</v>
          </cell>
          <cell r="D1315" t="str">
            <v>BOCOM BBM CORRETORA DE CAMBIO E VALORES MOBILIARIOS S.A.</v>
          </cell>
          <cell r="E1315" t="str">
            <v>BANCO BOCOM BBM S/A</v>
          </cell>
        </row>
        <row r="1316">
          <cell r="B1316">
            <v>80961</v>
          </cell>
          <cell r="C1316" t="str">
            <v>BANCO CITIBANK S/A</v>
          </cell>
          <cell r="D1316">
            <v>92</v>
          </cell>
          <cell r="E1316" t="str">
            <v>BANCO CITIBANK S/A</v>
          </cell>
        </row>
        <row r="1317">
          <cell r="B1317">
            <v>125512</v>
          </cell>
          <cell r="C1317" t="str">
            <v>NARVIK FIA BDR NIVEL I IE</v>
          </cell>
          <cell r="D1317" t="str">
            <v>NARVIK FIA BDR NIVEL I IE</v>
          </cell>
          <cell r="E1317" t="str">
            <v>EMERALD GESTAO DE INVESTIMENTOS LTDA</v>
          </cell>
        </row>
        <row r="1318">
          <cell r="B1318">
            <v>125511</v>
          </cell>
          <cell r="C1318" t="str">
            <v>COMSHELL CONCHA CLA DE INVESTIMENTOS EM AÃ‡Ã•ES RL</v>
          </cell>
          <cell r="D1318" t="str">
            <v>COMSHELL CONCHA CLA DE INVESTIMENTOS EM AÃ‡Ã•ES RL</v>
          </cell>
          <cell r="E1318" t="str">
            <v>EMERALD GESTAO DE INVESTIMENTOS LTDA</v>
          </cell>
        </row>
        <row r="1319">
          <cell r="B1319">
            <v>125513</v>
          </cell>
          <cell r="C1319" t="str">
            <v>SAFRA FIA BDR NIVELL I PB</v>
          </cell>
          <cell r="D1319" t="str">
            <v>SAFRA FIA BDR NIVELL I PB</v>
          </cell>
          <cell r="E1319" t="str">
            <v>EMERALD GESTAO DE INVESTIMENTOS LTDA</v>
          </cell>
        </row>
        <row r="1320">
          <cell r="B1320">
            <v>125514</v>
          </cell>
          <cell r="C1320" t="str">
            <v>SAGARANA II FIF CLASSE DE INVESTIMENTO MULTIMERCADO</v>
          </cell>
          <cell r="D1320" t="str">
            <v>SAGARANA II FIF CLASSE DE INVESTIMENTO MULTIMERCADO</v>
          </cell>
          <cell r="E1320" t="str">
            <v>EMERALD GESTAO DE INVESTIMENTOS LTDA</v>
          </cell>
        </row>
        <row r="1321">
          <cell r="B1321">
            <v>125515</v>
          </cell>
          <cell r="C1321" t="str">
            <v>ALASKA RANGE FIM</v>
          </cell>
          <cell r="D1321" t="str">
            <v>ALASKA RANGE FIM</v>
          </cell>
          <cell r="E1321" t="str">
            <v>ALASKA INVESTIMENTOS LTDA</v>
          </cell>
        </row>
        <row r="1322">
          <cell r="B1322">
            <v>125515</v>
          </cell>
          <cell r="C1322" t="str">
            <v>ALASKA RANGE FIM</v>
          </cell>
          <cell r="D1322" t="str">
            <v>ALASKA RANGE FIM</v>
          </cell>
          <cell r="E1322" t="str">
            <v>ALASKA INVESTIMENTOS LTDA</v>
          </cell>
        </row>
        <row r="1323">
          <cell r="B1323">
            <v>125516</v>
          </cell>
          <cell r="C1323" t="str">
            <v>ARMOR MASTER FUNDO DE INVESTIMENTO MULTIMERCADO CP</v>
          </cell>
          <cell r="D1323" t="str">
            <v>ARMOR MASTER FUNDO DE INVESTIMENTO MULTIMERCADO CP</v>
          </cell>
          <cell r="E1323" t="str">
            <v>ARMOR GESTORA DE RECURSOS LTDA</v>
          </cell>
        </row>
        <row r="1324">
          <cell r="B1324">
            <v>125516</v>
          </cell>
          <cell r="C1324" t="str">
            <v>ARMOR MASTER FUNDO DE INVESTIMENTO MULTIMERCADO CP</v>
          </cell>
          <cell r="D1324" t="str">
            <v>ARMOR MASTER FUNDO DE INVESTIMENTO MULTIMERCADO CP</v>
          </cell>
          <cell r="E1324" t="str">
            <v>ARMOR GESTORA DE RECURSOS LTDA</v>
          </cell>
        </row>
        <row r="1325">
          <cell r="B1325">
            <v>125517</v>
          </cell>
          <cell r="C1325" t="str">
            <v>BB GESTAO DE RECURSOS DTVM LTDA</v>
          </cell>
          <cell r="D1325" t="str">
            <v>BB GESTAO DE RECURSOS DTVM LTDA</v>
          </cell>
          <cell r="E1325" t="str">
            <v>BB GESTAO DE RECURSOS DTVM LTDA</v>
          </cell>
        </row>
        <row r="1326">
          <cell r="B1326">
            <v>125520</v>
          </cell>
          <cell r="C1326" t="str">
            <v>DYNAMO COUGAR MASTER FIA</v>
          </cell>
          <cell r="D1326" t="str">
            <v>DYNAMO COUGAR MASTER FIA</v>
          </cell>
          <cell r="E1326" t="str">
            <v>DYNAMO ADMINISTRACAO DE RECURSOS LTDA</v>
          </cell>
        </row>
        <row r="1327">
          <cell r="B1327">
            <v>125520</v>
          </cell>
          <cell r="C1327" t="str">
            <v>DYNAMO COUGAR MASTER FIA</v>
          </cell>
          <cell r="D1327" t="str">
            <v>DYNAMO COUGAR MASTER FIA</v>
          </cell>
          <cell r="E1327" t="str">
            <v>DYNAMO ADMINISTRACAO DE RECURSOS LTDA</v>
          </cell>
        </row>
        <row r="1328">
          <cell r="B1328">
            <v>125522</v>
          </cell>
          <cell r="C1328" t="str">
            <v>BB GESTAO DE RECURSOS DTVM LTDA</v>
          </cell>
          <cell r="D1328" t="str">
            <v>BB GESTAO DE RECURSOS DTVM LTDA</v>
          </cell>
          <cell r="E1328" t="str">
            <v>BB GESTAO DE RECURSOS DTVM LTDA</v>
          </cell>
        </row>
        <row r="1329">
          <cell r="B1329">
            <v>82407</v>
          </cell>
          <cell r="C1329" t="str">
            <v>GLADIUS FIF MULTIMERCADO CREDITO PRIVADO IE</v>
          </cell>
          <cell r="D1329" t="str">
            <v>GLADIUS FIF MULTIMERCADO CREDITO PRIVADO IE</v>
          </cell>
          <cell r="E1329" t="str">
            <v>BANCO XP S/A</v>
          </cell>
        </row>
        <row r="1330">
          <cell r="B1330">
            <v>125527</v>
          </cell>
          <cell r="C1330" t="str">
            <v>ITAU CENTRALIZADOR ALOCAÃ‡ÃƒO INTERNACIONAL IE FIC DE FIM</v>
          </cell>
          <cell r="D1330" t="str">
            <v>ITAU CENTRALIZADOR ALOCAÃ‡ÃƒO INTERNACIONAL IE FIC DE FIM</v>
          </cell>
          <cell r="E1330" t="str">
            <v>ITAU UNIBANCO ASSET - TACO</v>
          </cell>
        </row>
        <row r="1331">
          <cell r="B1331">
            <v>125528</v>
          </cell>
          <cell r="C1331" t="str">
            <v>GALOP CAPITAL LTDA</v>
          </cell>
          <cell r="D1331" t="str">
            <v>GALOP CAPITAL LTDA</v>
          </cell>
          <cell r="E1331" t="str">
            <v>GALOP CAPITAL LTDA</v>
          </cell>
        </row>
        <row r="1332">
          <cell r="B1332">
            <v>80971</v>
          </cell>
          <cell r="C1332" t="str">
            <v>ARMOR GESTORA DE RECURSOS LTDA</v>
          </cell>
          <cell r="D1332" t="str">
            <v>ARMOR GESTORA DE RECURSOS LTDA</v>
          </cell>
          <cell r="E1332" t="str">
            <v>ARMOR GESTORA DE RECURSOS LTDA</v>
          </cell>
        </row>
        <row r="1333">
          <cell r="B1333">
            <v>80971</v>
          </cell>
          <cell r="C1333" t="str">
            <v>ARMOR GESTORA DE RECURSOS LTDA</v>
          </cell>
          <cell r="D1333" t="str">
            <v>ARMOR GESTORA DE RECURSOS LTDA</v>
          </cell>
          <cell r="E1333" t="str">
            <v>ARMOR GESTORA DE RECURSOS LTDA</v>
          </cell>
        </row>
        <row r="1334">
          <cell r="B1334">
            <v>80975</v>
          </cell>
          <cell r="C1334" t="str">
            <v>SAFRA GALILEO PLUS MASTER FUNDO DE INVESTIMENTO MULTIMERCADO</v>
          </cell>
          <cell r="D1334" t="str">
            <v>SAFRA GALILEO PLUS MASTER FUNDO DE INVESTIMENTO MULTIMERCADO</v>
          </cell>
          <cell r="E1334" t="str">
            <v>EMERALD GESTAO DE INVESTIMENTOS LTDA</v>
          </cell>
        </row>
        <row r="1335">
          <cell r="B1335">
            <v>125532</v>
          </cell>
          <cell r="C1335" t="str">
            <v>SOLANA ACOES FIA</v>
          </cell>
          <cell r="D1335" t="str">
            <v>SOLANA ACOES FIA</v>
          </cell>
          <cell r="E1335" t="str">
            <v>SOLANA GESTORA DE RECURSOS LTDA</v>
          </cell>
        </row>
        <row r="1336">
          <cell r="B1336">
            <v>125532</v>
          </cell>
          <cell r="C1336" t="str">
            <v>SOLANA ACOES FIA</v>
          </cell>
          <cell r="D1336" t="str">
            <v>SOLANA ACOES FIA</v>
          </cell>
          <cell r="E1336" t="str">
            <v>SOLANA GESTORA DE RECURSOS LTDA</v>
          </cell>
        </row>
        <row r="1337">
          <cell r="B1337">
            <v>80976</v>
          </cell>
          <cell r="C1337" t="str">
            <v>APEX LONG BIASED IV FIM PREV FIFE</v>
          </cell>
          <cell r="D1337" t="str">
            <v>APEX LONG BIASED IV FIM PREV FIFE</v>
          </cell>
          <cell r="E1337" t="str">
            <v>APEX CAPITAL LTDA</v>
          </cell>
        </row>
        <row r="1338">
          <cell r="B1338">
            <v>125534</v>
          </cell>
          <cell r="C1338" t="str">
            <v>BB GESTAO DE RECURSOS DTVM LTDA</v>
          </cell>
          <cell r="D1338" t="str">
            <v>BB GESTAO DE RECURSOS DTVM LTDA</v>
          </cell>
          <cell r="E1338" t="str">
            <v>BB GESTAO DE RECURSOS DTVM LTDA</v>
          </cell>
        </row>
        <row r="1339">
          <cell r="B1339">
            <v>125535</v>
          </cell>
          <cell r="C1339" t="str">
            <v>BB GESTAO DE RECURSOS DTVM LTDA</v>
          </cell>
          <cell r="D1339" t="str">
            <v>BB GESTAO DE RECURSOS DTVM LTDA</v>
          </cell>
          <cell r="E1339" t="str">
            <v>BB GESTAO DE RECURSOS DTVM LTDA</v>
          </cell>
        </row>
        <row r="1340">
          <cell r="B1340">
            <v>80981</v>
          </cell>
          <cell r="C1340" t="str">
            <v>SMBCB ONSHORE FIM IE LONGO PRAZO</v>
          </cell>
          <cell r="D1340" t="str">
            <v>SMBCB ONSHORE FIM IE LONGO PRAZO</v>
          </cell>
          <cell r="E1340" t="str">
            <v>SMBCB ONSHORE FIM IE LONGO PRAZO</v>
          </cell>
        </row>
        <row r="1341">
          <cell r="B1341">
            <v>125536</v>
          </cell>
          <cell r="C1341" t="str">
            <v>BB GESTAO DE RECURSOS DTVM LTDA</v>
          </cell>
          <cell r="D1341" t="str">
            <v>BB GESTAO DE RECURSOS DTVM LTDA</v>
          </cell>
          <cell r="E1341" t="str">
            <v>BB GESTAO DE RECURSOS DTVM LTDA</v>
          </cell>
        </row>
        <row r="1342">
          <cell r="B1342">
            <v>80982</v>
          </cell>
          <cell r="C1342" t="str">
            <v>CIBRIUS FUNDO DE INVESTIMENTO MULTIMERCADO CRÃ‰DITO PRIVADO</v>
          </cell>
          <cell r="D1342" t="str">
            <v>CIBRIUS FUNDO DE INVESTIMENTO MULTIMERCADO CRÃ‰DITO PRIVADO</v>
          </cell>
          <cell r="E1342" t="str">
            <v>CIBRIUS - INSTITUTO DE PREVIDENCIA COMPLEMENTAR</v>
          </cell>
        </row>
        <row r="1343">
          <cell r="B1343">
            <v>80982</v>
          </cell>
          <cell r="C1343" t="str">
            <v>CIBRIUS FUNDO DE INVESTIMENTO MULTIMERCADO CRÃ‰DITO PRIVADO</v>
          </cell>
          <cell r="D1343" t="str">
            <v>CIBRIUS FUNDO DE INVESTIMENTO MULTIMERCADO CRÃ‰DITO PRIVADO</v>
          </cell>
          <cell r="E1343" t="str">
            <v>CIBRIUS - INSTITUTO DE PREVIDENCIA COMPLEMENTAR</v>
          </cell>
        </row>
        <row r="1344">
          <cell r="B1344">
            <v>80983</v>
          </cell>
          <cell r="C1344" t="str">
            <v>CIBRIUS FIA</v>
          </cell>
          <cell r="D1344" t="str">
            <v>CIBRIUS FIA</v>
          </cell>
          <cell r="E1344" t="str">
            <v>CIBRIUS - INSTITUTO DE PREVIDENCIA COMPLEMENTAR</v>
          </cell>
        </row>
        <row r="1345">
          <cell r="B1345">
            <v>80983</v>
          </cell>
          <cell r="C1345" t="str">
            <v>CIBRIUS FIA</v>
          </cell>
          <cell r="D1345" t="str">
            <v>CIBRIUS FIA</v>
          </cell>
          <cell r="E1345" t="str">
            <v>CIBRIUS - INSTITUTO DE PREVIDENCIA COMPLEMENTAR</v>
          </cell>
        </row>
        <row r="1346">
          <cell r="B1346">
            <v>125539</v>
          </cell>
          <cell r="C1346" t="str">
            <v>ITAU VERTICE PATRIMONIO IQ FUNDO DE INVESTIMENTO MULTIMERCAD</v>
          </cell>
          <cell r="D1346" t="str">
            <v>ITAU VERTICE PATRIMONIO IQ FUNDO DE INVESTIMENTO MULTIMERCAD</v>
          </cell>
          <cell r="E1346" t="str">
            <v>ITAU UNIBANCO ASSET - TACO</v>
          </cell>
        </row>
        <row r="1347">
          <cell r="B1347">
            <v>80990</v>
          </cell>
          <cell r="C1347" t="str">
            <v>CARGILL, INCORPORATED</v>
          </cell>
          <cell r="D1347" t="str">
            <v>CARGILL, INCORPORATED</v>
          </cell>
          <cell r="E1347" t="str">
            <v>BANCO CARGILL S/A</v>
          </cell>
        </row>
        <row r="1348">
          <cell r="B1348">
            <v>80991</v>
          </cell>
          <cell r="C1348" t="str">
            <v>UJAY CAPITAL INVESTIMENTOS LTDA.</v>
          </cell>
          <cell r="D1348" t="str">
            <v>UJAY CAPITAL INVESTIMENTOS LTDA.</v>
          </cell>
          <cell r="E1348" t="str">
            <v>UJAY CAPITAL INVESTIMENTOS LTDA</v>
          </cell>
        </row>
        <row r="1349">
          <cell r="B1349">
            <v>80992</v>
          </cell>
          <cell r="C1349" t="str">
            <v>UJAY CAPITAL INVESTIMENTOS LTDA.</v>
          </cell>
          <cell r="D1349" t="str">
            <v>UJAY CAPITAL INVESTIMENTOS LTDA.</v>
          </cell>
          <cell r="E1349" t="str">
            <v>UJAY CAPITAL INVESTIMENTOS LTDA</v>
          </cell>
        </row>
        <row r="1350">
          <cell r="B1350">
            <v>80993</v>
          </cell>
          <cell r="C1350" t="str">
            <v>UJAY CAPITAL INVESTIMENTOS LTDA.</v>
          </cell>
          <cell r="D1350" t="str">
            <v>UJAY CAPITAL INVESTIMENTOS LTDA.</v>
          </cell>
          <cell r="E1350" t="str">
            <v>UJAY CAPITAL INVESTIMENTOS LTDA</v>
          </cell>
        </row>
        <row r="1351">
          <cell r="B1351">
            <v>80995</v>
          </cell>
          <cell r="C1351" t="str">
            <v>TARUA FIC DE FIA</v>
          </cell>
          <cell r="D1351" t="str">
            <v>TARUA FIC DE FIA</v>
          </cell>
          <cell r="E1351" t="str">
            <v>TARUA CAPITAL GESTORA DE RECURSOS LTDA</v>
          </cell>
        </row>
        <row r="1352">
          <cell r="B1352">
            <v>80995</v>
          </cell>
          <cell r="C1352" t="str">
            <v>TARUA FIC DE FIA</v>
          </cell>
          <cell r="D1352" t="str">
            <v>TARUA FIC DE FIA</v>
          </cell>
          <cell r="E1352" t="str">
            <v>TARUA CAPITAL GESTORA DE RECURSOS LTDA</v>
          </cell>
        </row>
        <row r="1353">
          <cell r="B1353">
            <v>104</v>
          </cell>
          <cell r="C1353" t="str">
            <v>BANCO SANTANDER (BRASIL) S/A</v>
          </cell>
          <cell r="D1353" t="str">
            <v>BANCO SANTANDER (BRASIL) S/A</v>
          </cell>
          <cell r="E1353" t="str">
            <v>BANCO SANTANDER (BRASIL) S/A</v>
          </cell>
        </row>
        <row r="1354">
          <cell r="B1354">
            <v>81000</v>
          </cell>
          <cell r="C1354" t="str">
            <v>BRDR QUANT FUNDO DE INVESTIMENTO MULTIMERCADO</v>
          </cell>
          <cell r="D1354" t="str">
            <v>BRDR QUANT FUNDO DE INVESTIMENTO MULTIMERCADO</v>
          </cell>
          <cell r="E1354" t="str">
            <v>BRDR GESTORA DE VALORES MOBILIARIOS LTDA.</v>
          </cell>
        </row>
        <row r="1355">
          <cell r="B1355">
            <v>81000</v>
          </cell>
          <cell r="C1355" t="str">
            <v>BRDR QUANT FUNDO DE INVESTIMENTO MULTIMERCADO</v>
          </cell>
          <cell r="D1355" t="str">
            <v>BRDR QUANT FUNDO DE INVESTIMENTO MULTIMERCADO</v>
          </cell>
          <cell r="E1355" t="str">
            <v>BRDR GESTORA DE VALORES MOBILIARIOS LTDA.</v>
          </cell>
        </row>
        <row r="1356">
          <cell r="B1356">
            <v>81005</v>
          </cell>
          <cell r="C1356" t="str">
            <v>SAFRA KEPLER ADVANCED MASTER FIM</v>
          </cell>
          <cell r="D1356" t="str">
            <v>SAFRA KEPLER ADVANCED MASTER FIM</v>
          </cell>
          <cell r="E1356" t="str">
            <v>EMERALD GESTAO DE INVESTIMENTOS LTDA</v>
          </cell>
        </row>
        <row r="1357">
          <cell r="B1357">
            <v>80997</v>
          </cell>
          <cell r="C1357" t="str">
            <v>STATE STREET BRASIL S.A. - BANCO COMERCIAL</v>
          </cell>
          <cell r="D1357" t="str">
            <v>STATE STREET BRASIL S.A. - BANCO COMERCIAL</v>
          </cell>
          <cell r="E1357" t="str">
            <v>STATE STREET BANK AND TRUST COMPANY</v>
          </cell>
        </row>
        <row r="1358">
          <cell r="B1358">
            <v>81002</v>
          </cell>
          <cell r="C1358" t="str">
            <v>TARUA CAPITAL GESTORA DE RECURSOS LTDA</v>
          </cell>
          <cell r="D1358" t="str">
            <v>TARUA CAPITAL GESTORA DE RECURSOS LTDA</v>
          </cell>
          <cell r="E1358" t="str">
            <v>TARUA CAPITAL GESTORA DE RECURSOS LTDA</v>
          </cell>
        </row>
        <row r="1359">
          <cell r="B1359">
            <v>81002</v>
          </cell>
          <cell r="C1359" t="str">
            <v>TARUA CAPITAL GESTORA DE RECURSOS LTDA</v>
          </cell>
          <cell r="D1359" t="str">
            <v>TARUA CAPITAL GESTORA DE RECURSOS LTDA</v>
          </cell>
          <cell r="E1359" t="str">
            <v>TARUA CAPITAL GESTORA DE RECURSOS LTDA</v>
          </cell>
        </row>
        <row r="1360">
          <cell r="B1360">
            <v>81003</v>
          </cell>
          <cell r="C1360" t="str">
            <v>TARUA MASTER FUNDO DE INVESTIMENTO EM ACOES</v>
          </cell>
          <cell r="D1360" t="str">
            <v>TARUA MASTER FUNDO DE INVESTIMENTO EM ACOES</v>
          </cell>
          <cell r="E1360" t="str">
            <v>TARUA CAPITAL GESTORA DE RECURSOS LTDA</v>
          </cell>
        </row>
        <row r="1361">
          <cell r="B1361">
            <v>81003</v>
          </cell>
          <cell r="C1361" t="str">
            <v>TARUA MASTER FUNDO DE INVESTIMENTO EM ACOES</v>
          </cell>
          <cell r="D1361" t="str">
            <v>TARUA MASTER FUNDO DE INVESTIMENTO EM ACOES</v>
          </cell>
          <cell r="E1361" t="str">
            <v>TARUA CAPITAL GESTORA DE RECURSOS LTDA</v>
          </cell>
        </row>
        <row r="1362">
          <cell r="B1362">
            <v>81007</v>
          </cell>
          <cell r="C1362" t="str">
            <v>GALAPAGOS CAPITAL INVESTIMENTOS E PARTICIPAÃ‡OES LTDA</v>
          </cell>
          <cell r="D1362" t="str">
            <v>GALAPAGOS CAPITAL INVESTIMENTOS E PARTICIPAÃ‡OES LTDA</v>
          </cell>
          <cell r="E1362" t="str">
            <v>GALAPAGOS CAPITAL INVESTIMENTOS E PARTICIPAÇOES LTDA</v>
          </cell>
        </row>
        <row r="1363">
          <cell r="B1363">
            <v>125546</v>
          </cell>
          <cell r="C1363" t="str">
            <v>BB GESTAO DE RECURSOS DTVM LTDA</v>
          </cell>
          <cell r="D1363" t="str">
            <v>BB GESTAO DE RECURSOS DTVM LTDA</v>
          </cell>
          <cell r="E1363" t="str">
            <v>BB GESTAO DE RECURSOS DTVM LTDA</v>
          </cell>
        </row>
        <row r="1364">
          <cell r="B1364">
            <v>125547</v>
          </cell>
          <cell r="C1364" t="str">
            <v>BB GESTAO DE RECURSOS DTVM LTDA</v>
          </cell>
          <cell r="D1364" t="str">
            <v>BB GESTAO DE RECURSOS DTVM LTDA</v>
          </cell>
          <cell r="E1364" t="str">
            <v>BB GESTAO DE RECURSOS DTVM LTDA</v>
          </cell>
        </row>
        <row r="1365">
          <cell r="B1365">
            <v>125548</v>
          </cell>
          <cell r="C1365" t="str">
            <v>BB GESTAO DE RECURSOS DTVM LTDA</v>
          </cell>
          <cell r="D1365" t="str">
            <v>BB GESTAO DE RECURSOS DTVM LTDA</v>
          </cell>
          <cell r="E1365" t="str">
            <v>BB GESTAO DE RECURSOS DTVM LTDA</v>
          </cell>
        </row>
        <row r="1366">
          <cell r="B1366">
            <v>125549</v>
          </cell>
          <cell r="C1366" t="str">
            <v>BB GESTAO DE RECURSOS DTVM LTDA</v>
          </cell>
          <cell r="D1366" t="str">
            <v>BB GESTAO DE RECURSOS DTVM LTDA</v>
          </cell>
          <cell r="E1366" t="str">
            <v>BB GESTAO DE RECURSOS DTVM LTDA</v>
          </cell>
        </row>
        <row r="1367">
          <cell r="B1367">
            <v>125554</v>
          </cell>
          <cell r="C1367" t="str">
            <v>ITAÃš MOMENTO ESG AÃ‡Ã•ES FUNDO DE INVESTIMENTO</v>
          </cell>
          <cell r="D1367" t="str">
            <v>ITAÃš MOMENTO ESG AÃ‡Ã•ES FUNDO DE INVESTIMENTO</v>
          </cell>
          <cell r="E1367" t="str">
            <v>ITAU UNIBANCO ASSET - TACO</v>
          </cell>
        </row>
        <row r="1368">
          <cell r="B1368">
            <v>125555</v>
          </cell>
          <cell r="C1368" t="str">
            <v>ITAÃš MOMENTO IQ AÃ‡Ã•ES FUNDO DE INVESTIMENTO</v>
          </cell>
          <cell r="D1368" t="str">
            <v>ITAÃš MOMENTO IQ AÃ‡Ã•ES FUNDO DE INVESTIMENTO</v>
          </cell>
          <cell r="E1368" t="str">
            <v>ITAU UNIBANCO ASSET - TACO</v>
          </cell>
        </row>
        <row r="1369">
          <cell r="B1369">
            <v>81009</v>
          </cell>
          <cell r="C1369" t="str">
            <v>BANCO C6 S.A</v>
          </cell>
          <cell r="D1369" t="str">
            <v>BANCO C6 S.A</v>
          </cell>
          <cell r="E1369" t="str">
            <v>BANCO C6 S/A</v>
          </cell>
        </row>
        <row r="1370">
          <cell r="B1370">
            <v>80996</v>
          </cell>
          <cell r="C1370" t="str">
            <v>OPPORTUNITY HDF ADMINISTRADORA DE RECURSOS LTDA</v>
          </cell>
          <cell r="D1370" t="str">
            <v>OPPORTUNITY HDF ADMINISTRADORA DE RECURSOS LTDA</v>
          </cell>
          <cell r="E1370" t="str">
            <v>OPPORTUNITY GESTAO DE INVESTIMENTOS E RECURSOS LTDA</v>
          </cell>
        </row>
        <row r="1371">
          <cell r="B1371">
            <v>80996</v>
          </cell>
          <cell r="C1371" t="str">
            <v>OPPORTUNITY HDF ADMINISTRADORA DE RECURSOS LTDA</v>
          </cell>
          <cell r="D1371" t="str">
            <v>OPPORTUNITY HDF ADMINISTRADORA DE RECURSOS LTDA</v>
          </cell>
          <cell r="E1371" t="str">
            <v>OPPORTUNITY GESTAO DE INVESTIMENTOS E RECURSOS LTDA</v>
          </cell>
        </row>
        <row r="1372">
          <cell r="B1372">
            <v>125561</v>
          </cell>
          <cell r="C1372" t="str">
            <v>SAFRA ARQUIMEDES LONG BIAS MASTER FIA BDR NIVEL I</v>
          </cell>
          <cell r="D1372" t="str">
            <v>SAFRA ARQUIMEDES LONG BIAS MASTER FIA BDR NIVEL I</v>
          </cell>
          <cell r="E1372" t="str">
            <v>EMERALD GESTAO DE INVESTIMENTOS LTDA</v>
          </cell>
        </row>
        <row r="1373">
          <cell r="B1373">
            <v>125564</v>
          </cell>
          <cell r="C1373" t="str">
            <v>BB GESTAO DE RECURSOS DTVM LTDA</v>
          </cell>
          <cell r="D1373" t="str">
            <v>BB GESTAO DE RECURSOS DTVM LTDA</v>
          </cell>
          <cell r="E1373" t="str">
            <v>BB GESTAO DE RECURSOS DTVM LTDA</v>
          </cell>
        </row>
        <row r="1374">
          <cell r="B1374">
            <v>125565</v>
          </cell>
          <cell r="C1374" t="str">
            <v>V8 CAPITAL GESTAO DE INVESTIMENTOS LTDA</v>
          </cell>
          <cell r="D1374" t="str">
            <v>V8 CAPITAL GESTAO DE INVESTIMENTOS LTDA</v>
          </cell>
          <cell r="E1374" t="str">
            <v>V8 CAPITAL GESTAO DE INVESTIMENTOS LTDA</v>
          </cell>
        </row>
        <row r="1375">
          <cell r="B1375">
            <v>81012</v>
          </cell>
          <cell r="C1375" t="str">
            <v>APEX AÃ‡Ã•ES PLUS MASTER FUNDO DE INVESTIMENTO DE AÃ‡Ã•ES</v>
          </cell>
          <cell r="D1375" t="str">
            <v>APEX AÃ‡Ã•ES PLUS MASTER FUNDO DE INVESTIMENTO DE AÃ‡Ã•ES</v>
          </cell>
          <cell r="E1375" t="str">
            <v>APEX CAPITAL LTDA</v>
          </cell>
        </row>
        <row r="1376">
          <cell r="B1376">
            <v>81015</v>
          </cell>
          <cell r="C1376" t="str">
            <v>SAFRA PREV TOTAL RETURN FIA PREVIDENCIARIO</v>
          </cell>
          <cell r="D1376" t="str">
            <v>SAFRA PREV TOTAL RETURN FIA PREVIDENCIARIO</v>
          </cell>
          <cell r="E1376" t="str">
            <v>TURMALINA GESTAO E ADMINISTRAÃ‡ÃƒO DE RECURSOS SA</v>
          </cell>
        </row>
        <row r="1377">
          <cell r="B1377">
            <v>81019</v>
          </cell>
          <cell r="C1377" t="str">
            <v>VELA FUNDO DE INVESTIMENTO MULTIMERCADO</v>
          </cell>
          <cell r="D1377" t="str">
            <v>VELA FUNDO DE INVESTIMENTO MULTIMERCADO</v>
          </cell>
          <cell r="E1377" t="str">
            <v>EMERALD GESTAO DE INVESTIMENTOS LTDA</v>
          </cell>
        </row>
        <row r="1378">
          <cell r="B1378">
            <v>81020</v>
          </cell>
          <cell r="C1378" t="str">
            <v>CANIS FUNDO DE INVESTIMENTO MULTIMERCADO CREDITO PRIVADO</v>
          </cell>
          <cell r="D1378" t="str">
            <v>CANIS FUNDO DE INVESTIMENTO MULTIMERCADO CREDITO PRIVADO</v>
          </cell>
          <cell r="E1378" t="str">
            <v>EMERALD GESTAO DE INVESTIMENTOS LTDA</v>
          </cell>
        </row>
        <row r="1379">
          <cell r="B1379">
            <v>81021</v>
          </cell>
          <cell r="C1379" t="str">
            <v>ITAU UNIBANCO S.A.</v>
          </cell>
          <cell r="D1379" t="str">
            <v>ITAU UNIBANCO S.A.</v>
          </cell>
          <cell r="E1379" t="str">
            <v>ITAU UNIBANCO S/A</v>
          </cell>
        </row>
        <row r="1380">
          <cell r="B1380">
            <v>81022</v>
          </cell>
          <cell r="C1380" t="str">
            <v>DYNA III FIA IE</v>
          </cell>
          <cell r="D1380" t="str">
            <v>DYNA III FIA IE</v>
          </cell>
          <cell r="E1380" t="str">
            <v>DYNAMO ADMINISTRACAO DE RECURSOS LTDA</v>
          </cell>
        </row>
        <row r="1381">
          <cell r="B1381">
            <v>81022</v>
          </cell>
          <cell r="C1381" t="str">
            <v>DYNA III FIA IE</v>
          </cell>
          <cell r="D1381" t="str">
            <v>DYNA III FIA IE</v>
          </cell>
          <cell r="E1381" t="str">
            <v>DYNAMO ADMINISTRACAO DE RECURSOS LTDA</v>
          </cell>
        </row>
        <row r="1382">
          <cell r="B1382">
            <v>81024</v>
          </cell>
          <cell r="C1382" t="str">
            <v>JBS S/A</v>
          </cell>
          <cell r="D1382" t="str">
            <v>JBS S/A</v>
          </cell>
          <cell r="E1382" t="str">
            <v>JBS S/A</v>
          </cell>
        </row>
        <row r="1383">
          <cell r="B1383">
            <v>81024</v>
          </cell>
          <cell r="C1383" t="str">
            <v>JBS S/A</v>
          </cell>
          <cell r="D1383" t="str">
            <v>JBS S/A</v>
          </cell>
          <cell r="E1383" t="str">
            <v>JBS S/A</v>
          </cell>
        </row>
        <row r="1384">
          <cell r="B1384">
            <v>125571</v>
          </cell>
          <cell r="C1384" t="str">
            <v>REAL INVESTOR MASTER FIF EM AÃ‡Ã•ES RL</v>
          </cell>
          <cell r="D1384" t="str">
            <v>REAL INVESTOR MASTER FIF EM AÃ‡Ã•ES RL</v>
          </cell>
          <cell r="E1384" t="str">
            <v>REAL INVESTOR ASSET MANAGEMENT LTDA</v>
          </cell>
        </row>
        <row r="1385">
          <cell r="B1385">
            <v>125571</v>
          </cell>
          <cell r="C1385" t="str">
            <v>REAL INVESTOR MASTER FIF EM AÃ‡Ã•ES RL</v>
          </cell>
          <cell r="D1385" t="str">
            <v>REAL INVESTOR MASTER FIF EM AÃ‡Ã•ES RL</v>
          </cell>
          <cell r="E1385" t="str">
            <v>REAL INVESTOR ASSET MANAGEMENT LTDA</v>
          </cell>
        </row>
        <row r="1386">
          <cell r="B1386">
            <v>125573</v>
          </cell>
          <cell r="C1386" t="str">
            <v>BRAM FUNDO DE INVESTIMENTO MULTIMERCADO EQUITY HEDGE</v>
          </cell>
          <cell r="D1386" t="str">
            <v>BRAM FUNDO DE INVESTIMENTO MULTIMERCADO EQUITY HEDGE</v>
          </cell>
          <cell r="E1386" t="str">
            <v>BRAM - BRADESCO ASSET MANAGEMENT S/A DTVM</v>
          </cell>
        </row>
        <row r="1387">
          <cell r="B1387">
            <v>125574</v>
          </cell>
          <cell r="C1387" t="str">
            <v>AGORA DIVERSIFICACAO INDEX FIA</v>
          </cell>
          <cell r="D1387" t="str">
            <v>AGORA DIVERSIFICACAO INDEX FIA</v>
          </cell>
          <cell r="E1387" t="str">
            <v>BRAM - BRADESCO ASSET MANAGEMENT S/A DTVM</v>
          </cell>
        </row>
        <row r="1388">
          <cell r="B1388">
            <v>125576</v>
          </cell>
          <cell r="C1388" t="str">
            <v>MANCHESTER FIM CP IE</v>
          </cell>
          <cell r="D1388" t="str">
            <v>MANCHESTER FIM CP IE</v>
          </cell>
          <cell r="E1388" t="str">
            <v>SOW CAPITAL GESTÃƒO DE INVESTIMENTOS LTDA</v>
          </cell>
        </row>
        <row r="1389">
          <cell r="B1389">
            <v>81025</v>
          </cell>
          <cell r="C1389" t="str">
            <v>JBS S/A</v>
          </cell>
          <cell r="D1389" t="str">
            <v>JBS S/A</v>
          </cell>
          <cell r="E1389" t="str">
            <v>JBS S/A</v>
          </cell>
        </row>
        <row r="1390">
          <cell r="B1390">
            <v>81025</v>
          </cell>
          <cell r="C1390" t="str">
            <v>JBS S/A</v>
          </cell>
          <cell r="D1390" t="str">
            <v>JBS S/A</v>
          </cell>
          <cell r="E1390" t="str">
            <v>JBS S/A</v>
          </cell>
        </row>
        <row r="1391">
          <cell r="B1391">
            <v>81026</v>
          </cell>
          <cell r="C1391" t="str">
            <v>SANTANDER BRASIL GESTAO DE RECURSOS LTDA</v>
          </cell>
          <cell r="D1391" t="str">
            <v>SANTANDER BRASIL GESTAO DE RECURSOS LTDA</v>
          </cell>
          <cell r="E1391" t="str">
            <v>SANTANDER BRASIL GESTAO DE RECURSOS LTDA</v>
          </cell>
        </row>
        <row r="1392">
          <cell r="B1392">
            <v>125581</v>
          </cell>
          <cell r="C1392" t="str">
            <v>BRAM FIM QAA HEDGE</v>
          </cell>
          <cell r="D1392" t="str">
            <v>BRAM FIM QAA HEDGE</v>
          </cell>
          <cell r="E1392" t="str">
            <v>BRAM - BRADESCO ASSET MANAGEMENT S/A DTVM</v>
          </cell>
        </row>
        <row r="1393">
          <cell r="B1393">
            <v>125576</v>
          </cell>
          <cell r="C1393" t="str">
            <v>MANCHESTER FIM CP IE</v>
          </cell>
          <cell r="D1393" t="str">
            <v>MANCHESTER FIM CP IE</v>
          </cell>
          <cell r="E1393" t="str">
            <v>SOW CAPITAL GESTÃƒO DE INVESTIMENTOS LTDA</v>
          </cell>
        </row>
        <row r="1394">
          <cell r="B1394">
            <v>81035</v>
          </cell>
          <cell r="C1394" t="str">
            <v>REAL INVESTOR 70 PREVIDENCIA FIF MULT</v>
          </cell>
          <cell r="D1394" t="str">
            <v>REAL INVESTOR 70 PREVIDENCIA FIF MULT</v>
          </cell>
          <cell r="E1394" t="str">
            <v>REAL INVESTOR ASSET MANAGEMENT LTDA</v>
          </cell>
        </row>
        <row r="1395">
          <cell r="B1395">
            <v>81035</v>
          </cell>
          <cell r="C1395" t="str">
            <v>REAL INVESTOR 70 PREVIDENCIA FIF MULT</v>
          </cell>
          <cell r="D1395" t="str">
            <v>REAL INVESTOR 70 PREVIDENCIA FIF MULT</v>
          </cell>
          <cell r="E1395" t="str">
            <v>REAL INVESTOR ASSET MANAGEMENT LTDA</v>
          </cell>
        </row>
        <row r="1396">
          <cell r="B1396">
            <v>125565</v>
          </cell>
          <cell r="C1396" t="str">
            <v>V8 CAPITAL GESTAO DE INVESTIMENTOS LTDA</v>
          </cell>
          <cell r="D1396" t="str">
            <v>V8 CAPITAL GESTAO DE INVESTIMENTOS LTDA</v>
          </cell>
          <cell r="E1396" t="str">
            <v>V8 CAPITAL GESTAO DE INVESTIMENTOS LTDA</v>
          </cell>
        </row>
        <row r="1397">
          <cell r="B1397">
            <v>81038</v>
          </cell>
          <cell r="C1397" t="str">
            <v>O3 GESTAO DE RECURSOS LTDA</v>
          </cell>
          <cell r="D1397" t="str">
            <v>O3 GESTAO DE RECURSOS LTDA</v>
          </cell>
          <cell r="E1397" t="str">
            <v>O3 GESTAO DE RECURSOS LTDA</v>
          </cell>
        </row>
        <row r="1398">
          <cell r="B1398">
            <v>81038</v>
          </cell>
          <cell r="C1398" t="str">
            <v>O3 GESTAO DE RECURSOS LTDA</v>
          </cell>
          <cell r="D1398" t="str">
            <v>O3 GESTAO DE RECURSOS LTDA</v>
          </cell>
          <cell r="E1398" t="str">
            <v>O3 GESTAO DE RECURSOS LTDA</v>
          </cell>
        </row>
        <row r="1399">
          <cell r="B1399">
            <v>125588</v>
          </cell>
          <cell r="C1399" t="str">
            <v>BB GESTAO DE RECURSOS DTVM LTDA</v>
          </cell>
          <cell r="D1399" t="str">
            <v>BB GESTAO DE RECURSOS DTVM LTDA</v>
          </cell>
          <cell r="E1399" t="str">
            <v>BB GESTAO DE RECURSOS DTVM LTDA</v>
          </cell>
        </row>
        <row r="1400">
          <cell r="B1400">
            <v>125590</v>
          </cell>
          <cell r="C1400" t="str">
            <v>OCEANA LONG BIASED B PREVIDENCIA FIFE FIM</v>
          </cell>
          <cell r="D1400" t="str">
            <v>OCEANA LONG BIASED B PREVIDENCIA FIFE FIM</v>
          </cell>
          <cell r="E1400" t="str">
            <v>OCEANA INVESTIMENTOS ADM DE CARTEIRAS DE VALORES MOB LTDA</v>
          </cell>
        </row>
        <row r="1401">
          <cell r="B1401">
            <v>81039</v>
          </cell>
          <cell r="C1401" t="str">
            <v>FIA PETROS ATIVO</v>
          </cell>
          <cell r="D1401" t="str">
            <v>FIA PETROS ATIVO</v>
          </cell>
          <cell r="E1401" t="str">
            <v>FUNDACAO PETROBRAS DE SEGURIDADE SOCIAL PETROS</v>
          </cell>
        </row>
        <row r="1402">
          <cell r="B1402">
            <v>81040</v>
          </cell>
          <cell r="C1402" t="str">
            <v>FUNDOS DE INVESTIMENTO EM AÃ‡Ã•ES PETROS SELEÃ‡ÃƒO ALTA LIQUIDEZ</v>
          </cell>
          <cell r="D1402" t="str">
            <v>FUNDOS DE INVESTIMENTO EM AÃ‡Ã•ES PETROS SELEÃ‡ÃƒO ALTA LIQUIDEZ</v>
          </cell>
          <cell r="E1402" t="str">
            <v>FUNDACAO PETROBRAS DE SEGURIDADE SOCIAL PETROS</v>
          </cell>
        </row>
        <row r="1403">
          <cell r="B1403">
            <v>81041</v>
          </cell>
          <cell r="C1403" t="str">
            <v>FP ALOCACAO FIM</v>
          </cell>
          <cell r="D1403" t="str">
            <v>FP ALOCACAO FIM</v>
          </cell>
          <cell r="E1403" t="str">
            <v>FUNDACAO PETROBRAS DE SEGURIDADE SOCIAL PETROS</v>
          </cell>
        </row>
        <row r="1404">
          <cell r="B1404">
            <v>81048</v>
          </cell>
          <cell r="C1404" t="str">
            <v>ITAÃš FLEXPREV HUNTER TOTAL RETURN MULTIMERCADO FUNDO DE INVE</v>
          </cell>
          <cell r="D1404" t="str">
            <v>ITAÃš FLEXPREV HUNTER TOTAL RETURN MULTIMERCADO FUNDO DE INVE</v>
          </cell>
          <cell r="E1404" t="str">
            <v>ITAU UNIBANCO ASSET - TACO</v>
          </cell>
        </row>
        <row r="1405">
          <cell r="B1405">
            <v>125593</v>
          </cell>
          <cell r="C1405" t="str">
            <v>BB GESTAO DE RECURSOS DTVM LTDA</v>
          </cell>
          <cell r="D1405" t="str">
            <v>BB GESTAO DE RECURSOS DTVM LTDA</v>
          </cell>
          <cell r="E1405" t="str">
            <v>BB GESTAO DE RECURSOS DTVM LTDA</v>
          </cell>
        </row>
        <row r="1406">
          <cell r="B1406">
            <v>81049</v>
          </cell>
          <cell r="C1406" t="str">
            <v>EUQUEROINVESTIR GESTAO DE RECURSOS LTDA</v>
          </cell>
          <cell r="D1406" t="str">
            <v>EUQUEROINVESTIR GESTAO DE RECURSOS LTDA</v>
          </cell>
          <cell r="E1406" t="str">
            <v>EUQUEROINVESTIR GESTÃO DE RECURSOS LTDA</v>
          </cell>
        </row>
        <row r="1407">
          <cell r="B1407">
            <v>81049</v>
          </cell>
          <cell r="C1407" t="str">
            <v>EUQUEROINVESTIR GESTAO DE RECURSOS LTDA</v>
          </cell>
          <cell r="D1407" t="str">
            <v>EUQUEROINVESTIR GESTAO DE RECURSOS LTDA</v>
          </cell>
          <cell r="E1407" t="str">
            <v>EUQUEROINVESTIR GESTÃO DE RECURSOS LTDA</v>
          </cell>
        </row>
        <row r="1408">
          <cell r="B1408">
            <v>81057</v>
          </cell>
          <cell r="C1408" t="str">
            <v>BANCO FIBRA S/A</v>
          </cell>
          <cell r="D1408" t="str">
            <v>BANCO FIBRA S/A</v>
          </cell>
          <cell r="E1408" t="str">
            <v>BANCO FIBRA S/A</v>
          </cell>
        </row>
        <row r="1409">
          <cell r="B1409">
            <v>81058</v>
          </cell>
          <cell r="C1409" t="str">
            <v>BANCO FIBRA S/A</v>
          </cell>
          <cell r="D1409" t="str">
            <v>BANCO FIBRA S/A</v>
          </cell>
          <cell r="E1409" t="str">
            <v>BANCO FIBRA S/A</v>
          </cell>
        </row>
        <row r="1410">
          <cell r="B1410">
            <v>81057</v>
          </cell>
          <cell r="C1410" t="str">
            <v>BANCO FIBRA S/A</v>
          </cell>
          <cell r="D1410" t="str">
            <v>BANCO FIBRA S/A</v>
          </cell>
          <cell r="E1410" t="str">
            <v>BANCO FIBRA S/A</v>
          </cell>
        </row>
        <row r="1411">
          <cell r="B1411">
            <v>81058</v>
          </cell>
          <cell r="C1411" t="str">
            <v>BANCO FIBRA S/A</v>
          </cell>
          <cell r="D1411" t="str">
            <v>BANCO FIBRA S/A</v>
          </cell>
          <cell r="E1411" t="str">
            <v>BANCO FIBRA S/A</v>
          </cell>
        </row>
        <row r="1412">
          <cell r="B1412">
            <v>81059</v>
          </cell>
          <cell r="C1412" t="str">
            <v>VINLAND MACRO II PREV MASTER FIM</v>
          </cell>
          <cell r="D1412" t="str">
            <v>VINLAND MACRO II PREV MASTER FIM</v>
          </cell>
          <cell r="E1412" t="str">
            <v>VINLAND CAPITAL MANAGEMENT GESTORA DE RECURSOS LTDA</v>
          </cell>
        </row>
        <row r="1413">
          <cell r="B1413">
            <v>125594</v>
          </cell>
          <cell r="C1413" t="str">
            <v>SANTANDER FI STAR LONG SHORT MULTIMERCADO</v>
          </cell>
          <cell r="D1413" t="str">
            <v>SANTANDER FI STAR LONG SHORT MULTIMERCADO</v>
          </cell>
          <cell r="E1413" t="str">
            <v>SANTANDER BRASIL GESTAO DE RECURSOS LTDA</v>
          </cell>
        </row>
        <row r="1414">
          <cell r="B1414">
            <v>125595</v>
          </cell>
          <cell r="C1414" t="str">
            <v>SANTANDER MULTIMERCADO MACRO BRASIL CRESCIMENTO FI</v>
          </cell>
          <cell r="D1414" t="str">
            <v>SANTANDER MULTIMERCADO MACRO BRASIL CRESCIMENTO FI</v>
          </cell>
          <cell r="E1414" t="str">
            <v>SANTANDER BRASIL GESTAO DE RECURSOS LTDA</v>
          </cell>
        </row>
        <row r="1415">
          <cell r="B1415">
            <v>125598</v>
          </cell>
          <cell r="C1415" t="str">
            <v>SANTANDER STAR LONG SHORT DIRECIONAL MULT FI</v>
          </cell>
          <cell r="D1415" t="str">
            <v>SANTANDER STAR LONG SHORT DIRECIONAL MULT FI</v>
          </cell>
          <cell r="E1415" t="str">
            <v>SANTANDER BRASIL GESTAO DE RECURSOS LTDA</v>
          </cell>
        </row>
        <row r="1416">
          <cell r="B1416">
            <v>125599</v>
          </cell>
          <cell r="C1416" t="str">
            <v>SANTANDER HAYATE MULTIMERCADO FI</v>
          </cell>
          <cell r="D1416" t="str">
            <v>SANTANDER HAYATE MULTIMERCADO FI</v>
          </cell>
          <cell r="E1416" t="str">
            <v>SANTANDER BRASIL GESTAO DE RECURSOS LTDA</v>
          </cell>
        </row>
        <row r="1417">
          <cell r="B1417">
            <v>125601</v>
          </cell>
          <cell r="C1417" t="str">
            <v>SANTANDER SELECAO LONG BIASED MULT FI</v>
          </cell>
          <cell r="D1417" t="str">
            <v>SANTANDER SELECAO LONG BIASED MULT FI</v>
          </cell>
          <cell r="E1417" t="str">
            <v>SANTANDER BRASIL GESTAO DE RECURSOS LTDA</v>
          </cell>
        </row>
        <row r="1418">
          <cell r="B1418">
            <v>125602</v>
          </cell>
          <cell r="C1418" t="str">
            <v>SANTANDER PREV MULT SELECAO LONG BIASED FI</v>
          </cell>
          <cell r="D1418" t="str">
            <v>SANTANDER PREV MULT SELECAO LONG BIASED FI</v>
          </cell>
          <cell r="E1418" t="str">
            <v>SANTANDER BRASIL GESTAO DE RECURSOS LTDA</v>
          </cell>
        </row>
        <row r="1419">
          <cell r="B1419">
            <v>125604</v>
          </cell>
          <cell r="C1419" t="str">
            <v>SANTANDER FI VALE TOP ACOES</v>
          </cell>
          <cell r="D1419" t="str">
            <v>SANTANDER FI VALE TOP ACOES</v>
          </cell>
          <cell r="E1419" t="str">
            <v>SANTANDER BRASIL GESTAO DE RECURSOS LTDA</v>
          </cell>
        </row>
        <row r="1420">
          <cell r="B1420">
            <v>125607</v>
          </cell>
          <cell r="C1420" t="str">
            <v>SANTANDER ETHICAL ACOES SUSTENTABILIDADE FI</v>
          </cell>
          <cell r="D1420" t="str">
            <v>SANTANDER ETHICAL ACOES SUSTENTABILIDADE FI</v>
          </cell>
          <cell r="E1420" t="str">
            <v>SANTANDER BRASIL GESTAO DE RECURSOS LTDA</v>
          </cell>
        </row>
        <row r="1421">
          <cell r="B1421">
            <v>125608</v>
          </cell>
          <cell r="C1421" t="str">
            <v>SANTANDER FI COLABORADORES MAGAZINE LUIZA ACOES</v>
          </cell>
          <cell r="D1421" t="str">
            <v>SANTANDER FI COLABORADORES MAGAZINE LUIZA ACOES</v>
          </cell>
          <cell r="E1421" t="str">
            <v>SANTANDER BRASIL GESTAO DE RECURSOS LTDA</v>
          </cell>
        </row>
        <row r="1422">
          <cell r="B1422">
            <v>125609</v>
          </cell>
          <cell r="C1422" t="str">
            <v>SANTANDER ACOES DIVIDENDOS FUNDO DE INVESTIMENTO</v>
          </cell>
          <cell r="D1422" t="str">
            <v>SANTANDER ACOES DIVIDENDOS FUNDO DE INVESTIMENTO</v>
          </cell>
          <cell r="E1422" t="str">
            <v>SANTANDER BRASIL GESTAO DE RECURSOS LTDA</v>
          </cell>
        </row>
        <row r="1423">
          <cell r="B1423">
            <v>125610</v>
          </cell>
          <cell r="C1423" t="str">
            <v>SANTANDER PREV ACOES IBOVESPA ATIVO FUNDO DE INVESTIMENTO</v>
          </cell>
          <cell r="D1423" t="str">
            <v>SANTANDER PREV ACOES IBOVESPA ATIVO FUNDO DE INVESTIMENTO</v>
          </cell>
          <cell r="E1423" t="str">
            <v>SANTANDER BRASIL GESTAO DE RECURSOS LTDA</v>
          </cell>
        </row>
        <row r="1424">
          <cell r="B1424">
            <v>81062</v>
          </cell>
          <cell r="C1424" t="str">
            <v>HOD MULTIPLICA HIGH YIELD FIM CP IE</v>
          </cell>
          <cell r="D1424" t="str">
            <v>HOD MULTIPLICA HIGH YIELD FIM CP IE</v>
          </cell>
          <cell r="E1424" t="str">
            <v>MULTIPLICA CAPITAL ASSET MANAGEMENT LTDA</v>
          </cell>
        </row>
        <row r="1425">
          <cell r="B1425">
            <v>81062</v>
          </cell>
          <cell r="C1425" t="str">
            <v>HOD MULTIPLICA HIGH YIELD FIM CP IE</v>
          </cell>
          <cell r="D1425" t="str">
            <v>HOD MULTIPLICA HIGH YIELD FIM CP IE</v>
          </cell>
          <cell r="E1425" t="str">
            <v>MULTIPLICA CAPITAL ASSET MANAGEMENT LTDA</v>
          </cell>
        </row>
        <row r="1426">
          <cell r="B1426">
            <v>81061</v>
          </cell>
          <cell r="C1426" t="str">
            <v>MULTIPLICA CAPITAL ASSET MANAGEMENT LTDA</v>
          </cell>
          <cell r="D1426" t="str">
            <v>MULTIPLICA CAPITAL ASSET MANAGEMENT LTDA</v>
          </cell>
          <cell r="E1426" t="str">
            <v>MULTIPLICA CAPITAL ASSET MANAGEMENT LTDA</v>
          </cell>
        </row>
        <row r="1427">
          <cell r="B1427">
            <v>81061</v>
          </cell>
          <cell r="C1427" t="str">
            <v>MULTIPLICA CAPITAL ASSET MANAGEMENT LTDA</v>
          </cell>
          <cell r="D1427" t="str">
            <v>MULTIPLICA CAPITAL ASSET MANAGEMENT LTDA</v>
          </cell>
          <cell r="E1427" t="str">
            <v>MULTIPLICA CAPITAL ASSET MANAGEMENT LTDA</v>
          </cell>
        </row>
        <row r="1428">
          <cell r="B1428">
            <v>125611</v>
          </cell>
          <cell r="C1428" t="str">
            <v>SANTANDER FI IBOVESPA ATIVO INSTITUCIONAL ACOES</v>
          </cell>
          <cell r="D1428" t="str">
            <v>SANTANDER FI IBOVESPA ATIVO INSTITUCIONAL ACOES</v>
          </cell>
          <cell r="E1428" t="str">
            <v>SANTANDER BRASIL GESTAO DE RECURSOS LTDA</v>
          </cell>
        </row>
        <row r="1429">
          <cell r="B1429">
            <v>125612</v>
          </cell>
          <cell r="C1429" t="str">
            <v>SANTANDER FI IBOVESPA PASSIVO ACOES</v>
          </cell>
          <cell r="D1429" t="str">
            <v>SANTANDER FI IBOVESPA PASSIVO ACOES</v>
          </cell>
          <cell r="E1429" t="str">
            <v>SANTANDER BRASIL GESTAO DE RECURSOS LTDA</v>
          </cell>
        </row>
        <row r="1430">
          <cell r="B1430">
            <v>125613</v>
          </cell>
          <cell r="C1430" t="str">
            <v>SANTANDER FI IBRX ACOES</v>
          </cell>
          <cell r="D1430" t="str">
            <v>SANTANDER FI IBRX ACOES</v>
          </cell>
          <cell r="E1430" t="str">
            <v>SANTANDER BRASIL GESTAO DE RECURSOS LTDA</v>
          </cell>
        </row>
        <row r="1431">
          <cell r="B1431">
            <v>125615</v>
          </cell>
          <cell r="C1431" t="str">
            <v>SANTANDER FI PETROBRAS ACOES</v>
          </cell>
          <cell r="D1431" t="str">
            <v>SANTANDER FI PETROBRAS ACOES</v>
          </cell>
          <cell r="E1431" t="str">
            <v>SANTANDER BRASIL GESTAO DE RECURSOS LTDA</v>
          </cell>
        </row>
        <row r="1432">
          <cell r="B1432">
            <v>125616</v>
          </cell>
          <cell r="C1432" t="str">
            <v>SANTANDER FI PREV MULTIMERCADO</v>
          </cell>
          <cell r="D1432" t="str">
            <v>SANTANDER FI PREV MULTIMERCADO</v>
          </cell>
          <cell r="E1432" t="str">
            <v>SANTANDER BRASIL GESTAO DE RECURSOS LTDA</v>
          </cell>
        </row>
        <row r="1433">
          <cell r="B1433">
            <v>125617</v>
          </cell>
          <cell r="C1433" t="str">
            <v>SANTANDER PREV SELEÃ‡ÃƒO AÃ‡Ã•ES FUNDO DE INVESTIMENTO</v>
          </cell>
          <cell r="D1433" t="str">
            <v>SANTANDER PREV SELEÃ‡ÃƒO AÃ‡Ã•ES FUNDO DE INVESTIMENTO</v>
          </cell>
          <cell r="E1433" t="str">
            <v>SANTANDER BRASIL GESTAO DE RECURSOS LTDA</v>
          </cell>
        </row>
        <row r="1434">
          <cell r="B1434">
            <v>913135</v>
          </cell>
          <cell r="C1434" t="str">
            <v>BGC LIQUIDEZ DTVM LTDA</v>
          </cell>
          <cell r="D1434" t="str">
            <v>BGC LIQUIDEZ DTVM LTDA</v>
          </cell>
          <cell r="E1434" t="str">
            <v>BGC LIQUIDEZ DTVM LTDA</v>
          </cell>
        </row>
        <row r="1435">
          <cell r="B1435">
            <v>125619</v>
          </cell>
          <cell r="C1435" t="str">
            <v>SANTANDER SELEÃ‡ÃƒO AÃ‡Ã•ES FUNDO DE INVESTIMENTO</v>
          </cell>
          <cell r="D1435" t="str">
            <v>SANTANDER SELEÃ‡ÃƒO AÃ‡Ã•ES FUNDO DE INVESTIMENTO</v>
          </cell>
          <cell r="E1435" t="str">
            <v>SANTANDER BRASIL GESTAO DE RECURSOS LTDA</v>
          </cell>
        </row>
        <row r="1436">
          <cell r="B1436">
            <v>125620</v>
          </cell>
          <cell r="C1436" t="str">
            <v>SANTANDER FI PETRO TOP ACOES</v>
          </cell>
          <cell r="D1436" t="str">
            <v>SANTANDER FI PETRO TOP ACOES</v>
          </cell>
          <cell r="E1436" t="str">
            <v>SANTANDER BRASIL GESTAO DE RECURSOS LTDA</v>
          </cell>
        </row>
        <row r="1437">
          <cell r="B1437">
            <v>125621</v>
          </cell>
          <cell r="C1437" t="str">
            <v>SANTANDER MAAT MULTIMERCADO FUNDO DE INVESTIMENTO</v>
          </cell>
          <cell r="D1437" t="str">
            <v>SANTANDER MAAT MULTIMERCADO FUNDO DE INVESTIMENTO</v>
          </cell>
          <cell r="E1437" t="str">
            <v>SANTANDER BRASIL GESTAO DE RECURSOS LTDA</v>
          </cell>
        </row>
        <row r="1438">
          <cell r="B1438">
            <v>125622</v>
          </cell>
          <cell r="C1438" t="str">
            <v>SBPREV II MULTIMERCADO CP FI</v>
          </cell>
          <cell r="D1438" t="str">
            <v>SBPREV II MULTIMERCADO CP FI</v>
          </cell>
          <cell r="E1438" t="str">
            <v>SANTANDER BRASIL GESTAO DE RECURSOS LTDA</v>
          </cell>
        </row>
        <row r="1439">
          <cell r="B1439">
            <v>125623</v>
          </cell>
          <cell r="C1439" t="str">
            <v>SANTANDER VALE ACOES FI</v>
          </cell>
          <cell r="D1439" t="str">
            <v>SANTANDER VALE ACOES FI</v>
          </cell>
          <cell r="E1439" t="str">
            <v>SANTANDER BRASIL GESTAO DE RECURSOS LTDA</v>
          </cell>
        </row>
        <row r="1440">
          <cell r="B1440">
            <v>125626</v>
          </cell>
          <cell r="C1440" t="str">
            <v>SANTANDER PREV CARTEIRA CRESCIMENTO MULTIMERCADO CP FI</v>
          </cell>
          <cell r="D1440" t="str">
            <v>SANTANDER PREV CARTEIRA CRESCIMENTO MULTIMERCADO CP FI</v>
          </cell>
          <cell r="E1440" t="str">
            <v>SANTANDER BRASIL GESTAO DE RECURSOS LTDA</v>
          </cell>
        </row>
        <row r="1441">
          <cell r="B1441">
            <v>125627</v>
          </cell>
          <cell r="C1441" t="str">
            <v>SANTANDER PREV CARTEIRA EQUILÃBRIO MULTIMERCADO CP FI</v>
          </cell>
          <cell r="D1441" t="str">
            <v>SANTANDER PREV CARTEIRA EQUILÃBRIO MULTIMERCADO CP FI</v>
          </cell>
          <cell r="E1441" t="str">
            <v>SANTANDER BRASIL GESTAO DE RECURSOS LTDA</v>
          </cell>
        </row>
        <row r="1442">
          <cell r="B1442">
            <v>125628</v>
          </cell>
          <cell r="C1442" t="str">
            <v>SANTANDER PREV CARTEIRA DINÃ‚MICO MULTIMERCADO CP FI</v>
          </cell>
          <cell r="D1442" t="str">
            <v>SANTANDER PREV CARTEIRA DINÃ‚MICO MULTIMERCADO CP FI</v>
          </cell>
          <cell r="E1442" t="str">
            <v>SANTANDER BRASIL GESTAO DE RECURSOS LTDA</v>
          </cell>
        </row>
        <row r="1443">
          <cell r="B1443">
            <v>125629</v>
          </cell>
          <cell r="C1443" t="str">
            <v>SANTANDER PREV ETHICAL ACOES SUSTENTABILIDADE FI</v>
          </cell>
          <cell r="D1443" t="str">
            <v>SANTANDER PREV ETHICAL ACOES SUSTENTABILIDADE FI</v>
          </cell>
          <cell r="E1443" t="str">
            <v>SANTANDER BRASIL GESTAO DE RECURSOS LTDA</v>
          </cell>
        </row>
        <row r="1444">
          <cell r="B1444">
            <v>125631</v>
          </cell>
          <cell r="C1444" t="str">
            <v>SANTANDER FI VALE 4 ACOES</v>
          </cell>
          <cell r="D1444" t="str">
            <v>SANTANDER FI VALE 4 ACOES</v>
          </cell>
          <cell r="E1444" t="str">
            <v>SANTANDER BRASIL GESTAO DE RECURSOS LTDA</v>
          </cell>
        </row>
        <row r="1445">
          <cell r="B1445">
            <v>125632</v>
          </cell>
          <cell r="C1445" t="str">
            <v>BB GESTAO DE RECURSOS DTVM LTDA</v>
          </cell>
          <cell r="D1445" t="str">
            <v>BB GESTAO DE RECURSOS DTVM LTDA</v>
          </cell>
          <cell r="E1445" t="str">
            <v>BB GESTAO DE RECURSOS DTVM LTDA</v>
          </cell>
        </row>
        <row r="1446">
          <cell r="B1446">
            <v>913136</v>
          </cell>
          <cell r="C1446" t="str">
            <v>BGC LIQUIDEZ DTVM LTDA</v>
          </cell>
          <cell r="D1446" t="str">
            <v>BGC LIQUIDEZ DTVM LTDA</v>
          </cell>
          <cell r="E1446" t="str">
            <v>BGC LIQUIDEZ DTVM LTDA</v>
          </cell>
        </row>
        <row r="1447">
          <cell r="B1447">
            <v>81067</v>
          </cell>
          <cell r="C1447" t="str">
            <v>MALIBU INSTITUCIONAL FI RF</v>
          </cell>
          <cell r="D1447" t="str">
            <v>MALIBU INSTITUCIONAL FI RF</v>
          </cell>
          <cell r="E1447" t="str">
            <v>SAFRA ASSET MANAGEMENT LTDA</v>
          </cell>
        </row>
        <row r="1448">
          <cell r="B1448">
            <v>125634</v>
          </cell>
          <cell r="C1448" t="str">
            <v>BB GESTAO DE RECURSOS DTVM LTDA</v>
          </cell>
          <cell r="D1448" t="str">
            <v>BB GESTAO DE RECURSOS DTVM LTDA</v>
          </cell>
          <cell r="E1448" t="str">
            <v>BB GESTAO DE RECURSOS DTVM LTDA</v>
          </cell>
        </row>
        <row r="1449">
          <cell r="B1449">
            <v>125636</v>
          </cell>
          <cell r="C1449" t="str">
            <v>HOD GLOBAL 30 FIM</v>
          </cell>
          <cell r="D1449" t="str">
            <v>HOD GLOBAL 30 FIM</v>
          </cell>
          <cell r="E1449" t="str">
            <v>MULTIPLICA CAPITAL ASSET MANAGEMENT LTDA</v>
          </cell>
        </row>
        <row r="1450">
          <cell r="B1450">
            <v>125636</v>
          </cell>
          <cell r="C1450" t="str">
            <v>HOD GLOBAL 30 FIM</v>
          </cell>
          <cell r="D1450" t="str">
            <v>HOD GLOBAL 30 FIM</v>
          </cell>
          <cell r="E1450" t="str">
            <v>MULTIPLICA CAPITAL ASSET MANAGEMENT LTDA</v>
          </cell>
        </row>
        <row r="1451">
          <cell r="B1451">
            <v>125639</v>
          </cell>
          <cell r="C1451" t="str">
            <v>ASA ASSET 2 GESTAO DE RECURSOS LTDA</v>
          </cell>
          <cell r="D1451" t="str">
            <v>ASA ASSET 2 GESTAO DE RECURSOS LTDA</v>
          </cell>
          <cell r="E1451" t="str">
            <v>ASA ASSET GESTAO EM INVESTIMENTOS LTDA</v>
          </cell>
        </row>
        <row r="1452">
          <cell r="B1452">
            <v>105</v>
          </cell>
          <cell r="C1452" t="str">
            <v>BANCO SANTANDER (BRASIL) S/A</v>
          </cell>
          <cell r="D1452" t="str">
            <v>BANCO SANTANDER (BRASIL) S/A</v>
          </cell>
          <cell r="E1452" t="str">
            <v>BANCO SANTANDER (BRASIL) S/A</v>
          </cell>
        </row>
        <row r="1453">
          <cell r="B1453">
            <v>81073</v>
          </cell>
          <cell r="C1453" t="str">
            <v>BANCO MUFG BRASIL S.A.</v>
          </cell>
          <cell r="D1453" t="str">
            <v>BANCO MUFG BRASIL S.A.</v>
          </cell>
          <cell r="E1453" t="str">
            <v>BANCO MUFG BRASIL S/A</v>
          </cell>
        </row>
        <row r="1454">
          <cell r="B1454">
            <v>125647</v>
          </cell>
          <cell r="C1454" t="str">
            <v>BB GESTAO DE RECURSOS DTVM LTDA</v>
          </cell>
          <cell r="D1454" t="str">
            <v>BB GESTAO DE RECURSOS DTVM LTDA</v>
          </cell>
          <cell r="E1454" t="str">
            <v>BB GESTAO DE RECURSOS DTVM LTDA</v>
          </cell>
        </row>
        <row r="1455">
          <cell r="B1455">
            <v>81079</v>
          </cell>
          <cell r="C1455" t="str">
            <v>SYMMETRY FINANCIALS LIMITED</v>
          </cell>
          <cell r="D1455" t="str">
            <v>SYMMETRY FINANCIALS LIMITED</v>
          </cell>
          <cell r="E1455" t="str">
            <v>SYMMETRY FINANCIALS LIMITED</v>
          </cell>
        </row>
        <row r="1456">
          <cell r="B1456">
            <v>81076</v>
          </cell>
          <cell r="C1456" t="str">
            <v>GALLOWAY CAPITAL GESTORA DE RECURSOS LTDA.</v>
          </cell>
          <cell r="D1456" t="str">
            <v>GALLOWAY CAPITAL GESTORA DE RECURSOS LTDA.</v>
          </cell>
          <cell r="E1456" t="str">
            <v>GALLOWAY CAPITAL GESTORA DE RECURSOS LTDA.</v>
          </cell>
        </row>
        <row r="1457">
          <cell r="B1457">
            <v>81078</v>
          </cell>
          <cell r="C1457" t="str">
            <v>GALLOWAY LATAM BONDS BRL FIM CP IE</v>
          </cell>
          <cell r="D1457" t="str">
            <v>GALLOWAY LATAM BONDS BRL FIM CP IE</v>
          </cell>
          <cell r="E1457" t="str">
            <v>GALLOWAY CAPITAL GESTORA DE RECURSOS LTDA.</v>
          </cell>
        </row>
        <row r="1458">
          <cell r="B1458">
            <v>125654</v>
          </cell>
          <cell r="C1458" t="str">
            <v>BB GESTAO DE RECURSOS DTVM LTDA</v>
          </cell>
          <cell r="D1458" t="str">
            <v>BB GESTAO DE RECURSOS DTVM LTDA</v>
          </cell>
          <cell r="E1458" t="str">
            <v>BB GESTAO DE RECURSOS DTVM LTDA</v>
          </cell>
        </row>
        <row r="1459">
          <cell r="B1459">
            <v>81081</v>
          </cell>
          <cell r="C1459" t="str">
            <v>CITRINO GESTAO DE RECURSOS LTDA</v>
          </cell>
          <cell r="D1459" t="str">
            <v>CITRINO GESTAO DE RECURSOS LTDA</v>
          </cell>
          <cell r="E1459" t="str">
            <v>CITRINO GESTAO DE RECURSOS LTDA</v>
          </cell>
        </row>
        <row r="1460">
          <cell r="B1460">
            <v>81081</v>
          </cell>
          <cell r="C1460" t="str">
            <v>CITRINO GESTAO DE RECURSOS LTDA</v>
          </cell>
          <cell r="D1460" t="str">
            <v>CITRINO GESTAO DE RECURSOS LTDA</v>
          </cell>
          <cell r="E1460" t="str">
            <v>CITRINO GESTAO DE RECURSOS LTDA</v>
          </cell>
        </row>
        <row r="1461">
          <cell r="B1461">
            <v>81085</v>
          </cell>
          <cell r="C1461" t="str">
            <v>REAL INVESTOR GLOBAL USD MASTER FIF EM ACOES</v>
          </cell>
          <cell r="D1461" t="str">
            <v>REAL INVESTOR GLOBAL USD MASTER FIF EM ACOES</v>
          </cell>
          <cell r="E1461" t="str">
            <v>REAL INVESTOR ASSET MANAGEMENT LTDA</v>
          </cell>
        </row>
        <row r="1462">
          <cell r="B1462">
            <v>81085</v>
          </cell>
          <cell r="C1462" t="str">
            <v>REAL INVESTOR GLOBAL USD MASTER FIF EM ACOES</v>
          </cell>
          <cell r="D1462" t="str">
            <v>REAL INVESTOR GLOBAL USD MASTER FIF EM ACOES</v>
          </cell>
          <cell r="E1462" t="str">
            <v>REAL INVESTOR ASSET MANAGEMENT LTDA</v>
          </cell>
        </row>
        <row r="1463">
          <cell r="B1463">
            <v>81090</v>
          </cell>
          <cell r="C1463" t="str">
            <v>APEX EQUITY HEDGE MASTER II FUNDO DE INVESTIMENTO MULTIMERCA</v>
          </cell>
          <cell r="D1463" t="str">
            <v>APEX EQUITY HEDGE MASTER II FUNDO DE INVESTIMENTO MULTIMERCA</v>
          </cell>
          <cell r="E1463" t="str">
            <v>APEX CAPITAL LTDA</v>
          </cell>
        </row>
        <row r="1464">
          <cell r="B1464">
            <v>81097</v>
          </cell>
          <cell r="C1464" t="str">
            <v>SAFRA PREV MAXWELL FUNDO DE INVESTIMENTO MULTIMERCADO PREVID</v>
          </cell>
          <cell r="D1464" t="str">
            <v>SAFRA PREV MAXWELL FUNDO DE INVESTIMENTO MULTIMERCADO PREVID</v>
          </cell>
          <cell r="E1464" t="str">
            <v>EMERALD GESTAO DE INVESTIMENTOS LTDA</v>
          </cell>
        </row>
        <row r="1465">
          <cell r="B1465">
            <v>81108</v>
          </cell>
          <cell r="C1465" t="str">
            <v>KAPITALO MASTER I FIM</v>
          </cell>
          <cell r="D1465" t="str">
            <v>KAPITALO MASTER I FIM</v>
          </cell>
          <cell r="E1465" t="str">
            <v>KAPITALO INVESTIMENTOS LTDA</v>
          </cell>
        </row>
        <row r="1466">
          <cell r="B1466">
            <v>81108</v>
          </cell>
          <cell r="C1466" t="str">
            <v>KAPITALO MASTER I FIM</v>
          </cell>
          <cell r="D1466" t="str">
            <v>KAPITALO MASTER I FIM</v>
          </cell>
          <cell r="E1466" t="str">
            <v>KAPITALO INVESTIMENTOS LTDA</v>
          </cell>
        </row>
        <row r="1467">
          <cell r="B1467">
            <v>81109</v>
          </cell>
          <cell r="C1467" t="str">
            <v>BANCO TRAVELEX S.A.</v>
          </cell>
          <cell r="D1467" t="str">
            <v>BANCO TRAVELEX S.A.</v>
          </cell>
          <cell r="E1467" t="str">
            <v>TRAVELEX BANCO DE CAMBIO S/A</v>
          </cell>
        </row>
        <row r="1468">
          <cell r="B1468">
            <v>81110</v>
          </cell>
          <cell r="C1468" t="str">
            <v>ITAU UNIBANCO S.A.</v>
          </cell>
          <cell r="D1468" t="str">
            <v>ITAU UNIBANCO S.A.</v>
          </cell>
          <cell r="E1468" t="str">
            <v>ITAU UNIBANCO S/A</v>
          </cell>
        </row>
        <row r="1469">
          <cell r="B1469">
            <v>81119</v>
          </cell>
          <cell r="C1469" t="str">
            <v>SAFRA MAXWELL MACRO MASTER FIM CLASSE DE INV MULT RESP LTDA</v>
          </cell>
          <cell r="D1469" t="str">
            <v>SAFRA MAXWELL MACRO MASTER FIM CLASSE DE INV MULT RESP LTDA</v>
          </cell>
          <cell r="E1469" t="str">
            <v>EMERALD GESTAO DE INVESTIMENTOS LTDA</v>
          </cell>
        </row>
        <row r="1470">
          <cell r="B1470">
            <v>81123</v>
          </cell>
          <cell r="C1470" t="str">
            <v>SAFRA ETF IBOVESPA FUNDO DE INDICE - RESPONSABILIDADE LIMITA</v>
          </cell>
          <cell r="D1470" t="str">
            <v>SAFRA ETF IBOVESPA FUNDO DE INDICE - RESPONSABILIDADE LIMITA</v>
          </cell>
          <cell r="E1470" t="str">
            <v>EMERALD GESTAO DE INVESTIMENTOS LTDA</v>
          </cell>
        </row>
        <row r="1471">
          <cell r="B1471">
            <v>81124</v>
          </cell>
          <cell r="C1471" t="str">
            <v>SAFRA CASH EXCLUSIVE FI RF REFERENCIADO DI CP</v>
          </cell>
          <cell r="D1471" t="str">
            <v>SAFRA CASH EXCLUSIVE FI RF REFERENCIADO DI CP</v>
          </cell>
          <cell r="E1471" t="str">
            <v>SAFRA ASSET MANAGEMENT LTDA</v>
          </cell>
        </row>
        <row r="1472">
          <cell r="B1472">
            <v>81125</v>
          </cell>
          <cell r="C1472" t="str">
            <v>ALASKA PREVIDENCIA MASTER FIM</v>
          </cell>
          <cell r="D1472" t="str">
            <v>ALASKA PREVIDENCIA MASTER FIM</v>
          </cell>
          <cell r="E1472" t="str">
            <v>ALASKA INVESTIMENTOS LTDA</v>
          </cell>
        </row>
        <row r="1473">
          <cell r="B1473">
            <v>81127</v>
          </cell>
          <cell r="C1473" t="str">
            <v>MANAGER ABSOLUTE VERTEX PREV FIC DE FIM PREV</v>
          </cell>
          <cell r="D1473" t="str">
            <v>MANAGER ABSOLUTE VERTEX PREV FIC DE FIM PREV</v>
          </cell>
          <cell r="E1473" t="str">
            <v>TURMALINA GESTAO E ADMINISTRAÃ‡ÃƒO DE RECURSOS SA</v>
          </cell>
        </row>
        <row r="1474">
          <cell r="B1474">
            <v>81129</v>
          </cell>
          <cell r="C1474" t="str">
            <v>PETROLEO BRASILEIRO S.A - PETROBRAS</v>
          </cell>
          <cell r="D1474" t="str">
            <v>PETROLEO BRASILEIRO S.A - PETROBRAS</v>
          </cell>
          <cell r="E1474" t="str">
            <v>PETROLEO BRASILEIRO S.A - PETROBRAS</v>
          </cell>
        </row>
        <row r="1475">
          <cell r="B1475">
            <v>125679</v>
          </cell>
          <cell r="C1475" t="str">
            <v>BB GESTAO DE RECURSOS DTVM LTDA</v>
          </cell>
          <cell r="D1475" t="str">
            <v>BB GESTAO DE RECURSOS DTVM LTDA</v>
          </cell>
          <cell r="E1475" t="str">
            <v>BB GESTAO DE RECURSOS DTVM LTDA</v>
          </cell>
        </row>
        <row r="1476">
          <cell r="B1476">
            <v>125680</v>
          </cell>
          <cell r="C1476" t="str">
            <v>ITAU INFLATION EQUITY OPPORTUNITIES MULT FIF RESP LIMITADA</v>
          </cell>
          <cell r="D1476" t="str">
            <v>ITAU INFLATION EQUITY OPPORTUNITIES MULT FIF RESP LIMITADA</v>
          </cell>
          <cell r="E1476" t="str">
            <v>ITAU UNIBANCO ASSET - TACO</v>
          </cell>
        </row>
        <row r="1477">
          <cell r="B1477">
            <v>125681</v>
          </cell>
          <cell r="C1477" t="str">
            <v>ITAU FLEXPREV OPTIMUS TITAN FIF MULT RESP LTDA</v>
          </cell>
          <cell r="D1477" t="str">
            <v>ITAU FLEXPREV OPTIMUS TITAN FIF MULT RESP LTDA</v>
          </cell>
          <cell r="E1477" t="str">
            <v>ITAU UNIBANCO ASSET - TACO</v>
          </cell>
        </row>
        <row r="1478">
          <cell r="B1478">
            <v>125682</v>
          </cell>
          <cell r="C1478" t="str">
            <v>ITAÃš OPTIMUS EXTREME MULT FIF RESP LTDA</v>
          </cell>
          <cell r="D1478" t="str">
            <v>ITAÃš OPTIMUS EXTREME MULT FIF RESP LTDA</v>
          </cell>
          <cell r="E1478" t="str">
            <v>ITAU UNIBANCO ASSET - TACO</v>
          </cell>
        </row>
        <row r="1479">
          <cell r="B1479">
            <v>125683</v>
          </cell>
          <cell r="C1479" t="str">
            <v>ITAÃš OPTIMUS TITAN MULT FIF RESP LTDA</v>
          </cell>
          <cell r="D1479" t="str">
            <v>ITAÃš OPTIMUS TITAN MULT FIF RESP LTDA</v>
          </cell>
          <cell r="E1479" t="str">
            <v>ITAU UNIBANCO ASSET - TACO</v>
          </cell>
        </row>
        <row r="1480">
          <cell r="B1480">
            <v>125685</v>
          </cell>
          <cell r="C1480" t="str">
            <v>BB GESTAO DE RECURSOS DTVM LTDA</v>
          </cell>
          <cell r="D1480" t="str">
            <v>BB GESTAO DE RECURSOS DTVM LTDA</v>
          </cell>
          <cell r="E1480" t="str">
            <v>BB GESTAO DE RECURSOS DTVM LTDA</v>
          </cell>
        </row>
        <row r="1481">
          <cell r="B1481">
            <v>125686</v>
          </cell>
          <cell r="C1481" t="str">
            <v>ITAÃš OPTIMUS LONG BIAS MULTIMERCADO FUNDO DE INVESTIMENTO</v>
          </cell>
          <cell r="D1481" t="str">
            <v>ITAÃš OPTIMUS LONG BIAS MULTIMERCADO FUNDO DE INVESTIMENTO</v>
          </cell>
          <cell r="E1481" t="str">
            <v>ITAU UNIBANCO ASSET - TACO</v>
          </cell>
        </row>
        <row r="1482">
          <cell r="B1482">
            <v>125691</v>
          </cell>
          <cell r="C1482" t="str">
            <v>BB GESTAO DE RECURSOS DTVM LTDA</v>
          </cell>
          <cell r="D1482" t="str">
            <v>BB GESTAO DE RECURSOS DTVM LTDA</v>
          </cell>
          <cell r="E1482" t="str">
            <v>BB GESTAO DE RECURSOS DTVM LTDA</v>
          </cell>
        </row>
        <row r="1483">
          <cell r="B1483">
            <v>81144</v>
          </cell>
          <cell r="C1483" t="str">
            <v>RAIZEN CENTRO SUL SA</v>
          </cell>
          <cell r="D1483" t="str">
            <v>RAIZEN CENTRO SUL SA</v>
          </cell>
          <cell r="E1483" t="str">
            <v>RAIZEN CENTRO SUL SA</v>
          </cell>
        </row>
        <row r="1484">
          <cell r="B1484">
            <v>125693</v>
          </cell>
          <cell r="C1484" t="str">
            <v>ITAU MASTER GLOBAL DINAMICO MULTIMERCADO FI</v>
          </cell>
          <cell r="D1484" t="str">
            <v>ITAU MASTER GLOBAL DINAMICO MULTIMERCADO FI</v>
          </cell>
          <cell r="E1484" t="str">
            <v>ITAU UNIBANCO ASSET - TACO</v>
          </cell>
        </row>
        <row r="1485">
          <cell r="B1485">
            <v>81164</v>
          </cell>
          <cell r="C1485" t="str">
            <v>BTG PACTUAL ASSET MANAGEMENT SA DTVM</v>
          </cell>
          <cell r="D1485" t="str">
            <v>BTG PACTUAL ASSET MANAGEMENT SA DTVM</v>
          </cell>
          <cell r="E1485" t="str">
            <v>BTG PACTUAL ASSET MANAGEMENT SA DTVM</v>
          </cell>
        </row>
        <row r="1486">
          <cell r="B1486">
            <v>81164</v>
          </cell>
          <cell r="C1486" t="str">
            <v>BTG PACTUAL ASSET MANAGEMENT SA DTVM</v>
          </cell>
          <cell r="D1486" t="str">
            <v>BTG PACTUAL ASSET MANAGEMENT SA DTVM</v>
          </cell>
          <cell r="E1486" t="str">
            <v>BTG PACTUAL ASSET MANAGEMENT SA DTVM</v>
          </cell>
        </row>
        <row r="1487">
          <cell r="B1487">
            <v>81168</v>
          </cell>
          <cell r="C1487" t="str">
            <v>VARESE FIF MULTIMERCADO CP RESP LIMITADA</v>
          </cell>
          <cell r="D1487" t="str">
            <v>VARESE FIF MULTIMERCADO CP RESP LIMITADA</v>
          </cell>
          <cell r="E1487" t="str">
            <v>ITAU UNIBANCO ASSET - TACO</v>
          </cell>
        </row>
        <row r="1488">
          <cell r="B1488">
            <v>81172</v>
          </cell>
          <cell r="C1488" t="str">
            <v>CARBON ASSET MANAGEMENT LTDA</v>
          </cell>
          <cell r="D1488" t="str">
            <v>CARBON ASSET MANAGEMENT LTDA</v>
          </cell>
          <cell r="E1488" t="str">
            <v>CARBON ASSET MANAGEMENT LTDA</v>
          </cell>
        </row>
        <row r="1489">
          <cell r="B1489">
            <v>81172</v>
          </cell>
          <cell r="C1489" t="str">
            <v>CARBON ASSET MANAGEMENT LTDA</v>
          </cell>
          <cell r="D1489" t="str">
            <v>CARBON ASSET MANAGEMENT LTDA</v>
          </cell>
          <cell r="E1489" t="str">
            <v>CARBON ASSET MANAGEMENT LTDA</v>
          </cell>
        </row>
        <row r="1490">
          <cell r="B1490">
            <v>81174</v>
          </cell>
          <cell r="C1490" t="str">
            <v>NU FINANCEIRA SA - SOCIEDADE DE CRÃ‰DITO, FIN E INVESTIMENTO</v>
          </cell>
          <cell r="D1490" t="str">
            <v>NU FINANCEIRA SA - SOCIEDADE DE CRÃ‰DITO, FIN E INVESTIMENTO</v>
          </cell>
          <cell r="E1490" t="str">
            <v>NU PAGAMENTOS SOCIEDADE ANONIMA</v>
          </cell>
        </row>
        <row r="1491">
          <cell r="B1491">
            <v>81175</v>
          </cell>
          <cell r="C1491" t="str">
            <v>NU PAGAMENTOS SA - INSTITUIÃ‡ÃƒO DE PAGAMENTO</v>
          </cell>
          <cell r="D1491" t="str">
            <v>NU PAGAMENTOS SA - INSTITUIÃ‡ÃƒO DE PAGAMENTO</v>
          </cell>
          <cell r="E1491" t="str">
            <v>NU PAGAMENTOS SOCIEDADE ANONIMA</v>
          </cell>
        </row>
        <row r="1492">
          <cell r="B1492">
            <v>125715</v>
          </cell>
          <cell r="C1492" t="str">
            <v>ITAÃš FLEXPREV DUNAMIS ADVANCED AÃ‡Ã•ES FUNDO DE INVESTIMENTO</v>
          </cell>
          <cell r="D1492" t="str">
            <v>ITAÃš FLEXPREV DUNAMIS ADVANCED AÃ‡Ã•ES FUNDO DE INVESTIMENTO</v>
          </cell>
          <cell r="E1492" t="str">
            <v>ITAU UNIBANCO ASSET - TACO</v>
          </cell>
        </row>
        <row r="1493">
          <cell r="B1493">
            <v>81186</v>
          </cell>
          <cell r="C1493" t="str">
            <v>EMPIRICUS GESTAO DE RECURSOS LTDA</v>
          </cell>
          <cell r="D1493" t="str">
            <v>EMPIRICUS GESTAO DE RECURSOS LTDA</v>
          </cell>
          <cell r="E1493" t="str">
            <v>EMPIRICUS GESTAO DE RECURSOS LTDA</v>
          </cell>
        </row>
        <row r="1494">
          <cell r="B1494">
            <v>81186</v>
          </cell>
          <cell r="C1494" t="str">
            <v>EMPIRICUS GESTAO DE RECURSOS LTDA</v>
          </cell>
          <cell r="D1494" t="str">
            <v>EMPIRICUS GESTAO DE RECURSOS LTDA</v>
          </cell>
          <cell r="E1494" t="str">
            <v>EMPIRICUS GESTAO DE RECURSOS LTDA</v>
          </cell>
        </row>
        <row r="1495">
          <cell r="B1495">
            <v>125717</v>
          </cell>
          <cell r="C1495" t="str">
            <v>BB GESTAO DE RECURSOS DTVM LTDA</v>
          </cell>
          <cell r="D1495" t="str">
            <v>BB GESTAO DE RECURSOS DTVM LTDA</v>
          </cell>
          <cell r="E1495" t="str">
            <v>BB GESTAO DE RECURSOS DTVM LTDA</v>
          </cell>
        </row>
        <row r="1496">
          <cell r="B1496">
            <v>125716</v>
          </cell>
          <cell r="C1496" t="str">
            <v>BB GESTAO DE RECURSOS DTVM LTDA</v>
          </cell>
          <cell r="D1496" t="str">
            <v>BB GESTAO DE RECURSOS DTVM LTDA</v>
          </cell>
          <cell r="E1496" t="str">
            <v>BB GESTAO DE RECURSOS DTVM LTDA</v>
          </cell>
        </row>
        <row r="1497">
          <cell r="B1497">
            <v>81188</v>
          </cell>
          <cell r="C1497" t="str">
            <v>CLAVE GESTORA DE RECURSOS LTDA</v>
          </cell>
          <cell r="D1497" t="str">
            <v>CLAVE GESTORA DE RECURSOS LTDA</v>
          </cell>
          <cell r="E1497" t="str">
            <v>CLAVE GESTORA DE RECURSOS LTDA</v>
          </cell>
        </row>
        <row r="1498">
          <cell r="B1498">
            <v>81188</v>
          </cell>
          <cell r="C1498" t="str">
            <v>CLAVE GESTORA DE RECURSOS LTDA</v>
          </cell>
          <cell r="D1498" t="str">
            <v>CLAVE GESTORA DE RECURSOS LTDA</v>
          </cell>
          <cell r="E1498" t="str">
            <v>CLAVE GESTORA DE RECURSOS LTDA</v>
          </cell>
        </row>
        <row r="1499">
          <cell r="B1499">
            <v>81189</v>
          </cell>
          <cell r="C1499" t="str">
            <v>ALPHATREE CAPITAL GESTAO DE RECURSOS LTDA</v>
          </cell>
          <cell r="D1499" t="str">
            <v>ALPHATREE CAPITAL GESTAO DE RECURSOS LTDA</v>
          </cell>
          <cell r="E1499" t="str">
            <v>ALPHATREE CAPITAL GESTAO DE RECURSOS LTDA</v>
          </cell>
        </row>
        <row r="1500">
          <cell r="B1500">
            <v>81189</v>
          </cell>
          <cell r="C1500" t="str">
            <v>ALPHATREE CAPITAL GESTAO DE RECURSOS LTDA</v>
          </cell>
          <cell r="D1500" t="str">
            <v>ALPHATREE CAPITAL GESTAO DE RECURSOS LTDA</v>
          </cell>
          <cell r="E1500" t="str">
            <v>ALPHATREE CAPITAL GESTAO DE RECURSOS LTDA</v>
          </cell>
        </row>
        <row r="1501">
          <cell r="B1501">
            <v>81193</v>
          </cell>
          <cell r="C1501" t="str">
            <v>PAROS FI FINANCEIRO CI RF RL</v>
          </cell>
          <cell r="D1501" t="str">
            <v>PAROS FI FINANCEIRO CI RF RL</v>
          </cell>
          <cell r="E1501" t="str">
            <v>EMERALD GESTAO DE INVESTIMENTOS LTDA</v>
          </cell>
        </row>
        <row r="1502">
          <cell r="B1502">
            <v>81199</v>
          </cell>
          <cell r="C1502" t="str">
            <v>BANCO ORIGINAL S/A</v>
          </cell>
          <cell r="D1502" t="str">
            <v>BANCO ORIGINAL S/A</v>
          </cell>
          <cell r="E1502" t="str">
            <v>BANCO ORIGINAL S/A</v>
          </cell>
        </row>
        <row r="1503">
          <cell r="B1503">
            <v>81200</v>
          </cell>
          <cell r="C1503" t="str">
            <v>ITAU CORRETORA DE VALORES S.A.</v>
          </cell>
          <cell r="D1503" t="str">
            <v>ITAU CORRETORA DE VALORES S.A.</v>
          </cell>
          <cell r="E1503" t="str">
            <v>ITAU CV S/A</v>
          </cell>
        </row>
        <row r="1504">
          <cell r="B1504">
            <v>81200</v>
          </cell>
          <cell r="C1504" t="str">
            <v>ITAU CORRETORA DE VALORES S.A.</v>
          </cell>
          <cell r="D1504" t="str">
            <v>ITAU CORRETORA DE VALORES S.A.</v>
          </cell>
          <cell r="E1504" t="str">
            <v>ITAU CV S/A</v>
          </cell>
        </row>
        <row r="1505">
          <cell r="B1505">
            <v>125719</v>
          </cell>
          <cell r="C1505" t="str">
            <v>BB GESTAO DE RECURSOS DTVM LTDA</v>
          </cell>
          <cell r="D1505" t="str">
            <v>BB GESTAO DE RECURSOS DTVM LTDA</v>
          </cell>
          <cell r="E1505" t="str">
            <v>BB GESTAO DE RECURSOS DTVM LTDA</v>
          </cell>
        </row>
        <row r="1506">
          <cell r="B1506">
            <v>81202</v>
          </cell>
          <cell r="C1506" t="str">
            <v>RADAR GESTORA DE RECURSOS LTDA</v>
          </cell>
          <cell r="D1506" t="str">
            <v>RADAR GESTORA DE RECURSOS LTDA</v>
          </cell>
          <cell r="E1506" t="str">
            <v>RADAR GESTORA DE RECURSOS LTDA</v>
          </cell>
        </row>
        <row r="1507">
          <cell r="B1507">
            <v>81203</v>
          </cell>
          <cell r="C1507" t="str">
            <v>BR PARTNERS BANCO DE INVESTIMENTOS SA</v>
          </cell>
          <cell r="D1507" t="str">
            <v>BR PARTNERS BANCO DE INVESTIMENTOS SA</v>
          </cell>
          <cell r="E1507" t="str">
            <v>BR PARTNERS BANCO DE INVESTIMENTOS S/A</v>
          </cell>
        </row>
        <row r="1508">
          <cell r="B1508">
            <v>81203</v>
          </cell>
          <cell r="C1508" t="str">
            <v>BR PARTNERS BANCO DE INVESTIMENTOS SA</v>
          </cell>
          <cell r="D1508" t="str">
            <v>BR PARTNERS BANCO DE INVESTIMENTOS SA</v>
          </cell>
          <cell r="E1508" t="str">
            <v>BR PARTNERS BANCO DE INVESTIMENTOS S/A</v>
          </cell>
        </row>
        <row r="1509">
          <cell r="B1509">
            <v>81204</v>
          </cell>
          <cell r="C1509" t="str">
            <v>QUANTAMENTAL HEDGE MASTER FIF RENDA FR DI RL</v>
          </cell>
          <cell r="D1509" t="str">
            <v>QUANTAMENTAL HEDGE MASTER FIF RENDA FR DI RL</v>
          </cell>
          <cell r="E1509" t="str">
            <v>ITAU UNIBANCO ASSET - TACO</v>
          </cell>
        </row>
        <row r="1510">
          <cell r="B1510">
            <v>81205</v>
          </cell>
          <cell r="C1510" t="str">
            <v>ITAU MASTER GLOBAL DINAMICO ULTRA MULTIMERCADO FUNDO DE INVE</v>
          </cell>
          <cell r="D1510" t="str">
            <v>ITAU MASTER GLOBAL DINAMICO ULTRA MULTIMERCADO FUNDO DE INVE</v>
          </cell>
          <cell r="E1510" t="str">
            <v>ITAU UNIBANCO ASSET - TACO</v>
          </cell>
        </row>
        <row r="1511">
          <cell r="B1511">
            <v>81206</v>
          </cell>
          <cell r="C1511" t="str">
            <v>ITAU MASTER GLOBAL DINAMICO ULTRA MULTIMERCADO FUNDO DE INVE</v>
          </cell>
          <cell r="D1511" t="str">
            <v>ITAU MASTER GLOBAL DINAMICO ULTRA MULTIMERCADO FUNDO DE INVE</v>
          </cell>
          <cell r="E1511" t="str">
            <v>ITAU UNIBANCO S/A</v>
          </cell>
        </row>
        <row r="1512">
          <cell r="B1512">
            <v>81207</v>
          </cell>
          <cell r="C1512" t="str">
            <v>ITAU MASTER GLOBAL DINAMICO ULTRA MULTIMERCADO FUNDO DE INVE</v>
          </cell>
          <cell r="D1512" t="str">
            <v>ITAU MASTER GLOBAL DINAMICO ULTRA MULTIMERCADO FUNDO DE INVE</v>
          </cell>
          <cell r="E1512" t="str">
            <v>ITAU UNIBANCO ASSET - TACO</v>
          </cell>
        </row>
        <row r="1513">
          <cell r="B1513">
            <v>81208</v>
          </cell>
          <cell r="C1513" t="str">
            <v>ITAU MASTER GLOBAL DINAMICO ULTRA MULTIMERCADO FUNDO DE INVE</v>
          </cell>
          <cell r="D1513" t="str">
            <v>ITAU MASTER GLOBAL DINAMICO ULTRA MULTIMERCADO FUNDO DE INVE</v>
          </cell>
          <cell r="E1513" t="str">
            <v>ITAU UNIBANCO ASSET - TACO</v>
          </cell>
        </row>
        <row r="1514">
          <cell r="B1514">
            <v>81209</v>
          </cell>
          <cell r="C1514" t="str">
            <v>ITAU MASTER GLOBAL DINAMICO ULTRA MULTIMERCADO FUNDO DE INVE</v>
          </cell>
          <cell r="D1514" t="str">
            <v>ITAU MASTER GLOBAL DINAMICO ULTRA MULTIMERCADO FUNDO DE INVE</v>
          </cell>
          <cell r="E1514" t="str">
            <v>ITAU UNIBANCO ASSET - TACO</v>
          </cell>
        </row>
        <row r="1515">
          <cell r="B1515">
            <v>81213</v>
          </cell>
          <cell r="C1515" t="str">
            <v>ALPHATREE CAPITAL GESTAO DE RECURSOS LTDA</v>
          </cell>
          <cell r="D1515" t="str">
            <v>ALPHATREE CAPITAL GESTAO DE RECURSOS LTDA</v>
          </cell>
          <cell r="E1515" t="str">
            <v>ALPHATREE CAPITAL GESTAO DE RECURSOS LTDA</v>
          </cell>
        </row>
        <row r="1516">
          <cell r="B1516">
            <v>81213</v>
          </cell>
          <cell r="C1516" t="str">
            <v>ALPHATREE CAPITAL GESTAO DE RECURSOS LTDA</v>
          </cell>
          <cell r="D1516" t="str">
            <v>ALPHATREE CAPITAL GESTAO DE RECURSOS LTDA</v>
          </cell>
          <cell r="E1516" t="str">
            <v>ALPHATREE CAPITAL GESTAO DE RECURSOS LTDA</v>
          </cell>
        </row>
        <row r="1517">
          <cell r="B1517">
            <v>81214</v>
          </cell>
          <cell r="C1517" t="str">
            <v>BANCO BRADESCO S/A</v>
          </cell>
          <cell r="D1517" t="str">
            <v>BANCO BRADESCO S/A</v>
          </cell>
          <cell r="E1517" t="str">
            <v>BANCO BRADESCO S/A</v>
          </cell>
        </row>
        <row r="1518">
          <cell r="B1518">
            <v>81217</v>
          </cell>
          <cell r="C1518" t="str">
            <v>BANCO INTER S/A</v>
          </cell>
          <cell r="D1518" t="str">
            <v>BANCO INTER S/A</v>
          </cell>
          <cell r="E1518" t="str">
            <v>BANCO INTER S/A</v>
          </cell>
        </row>
        <row r="1519">
          <cell r="B1519">
            <v>81220</v>
          </cell>
          <cell r="C1519" t="str">
            <v>BRADESCO MÃSTER LONG BIASED FI FINANCEIRO CIA RL</v>
          </cell>
          <cell r="D1519" t="str">
            <v>BRADESCO MÃSTER LONG BIASED FI FINANCEIRO CIA RL</v>
          </cell>
          <cell r="E1519" t="str">
            <v>BRAM - BRADESCO ASSET MANAGEMENT S/A DTVM</v>
          </cell>
        </row>
        <row r="1520">
          <cell r="B1520">
            <v>81221</v>
          </cell>
          <cell r="C1520" t="str">
            <v>ÃGORA ESMERALDA FI FINANCEIRO CI MULT RL</v>
          </cell>
          <cell r="D1520" t="str">
            <v>ÃGORA ESMERALDA FI FINANCEIRO CI MULT RL</v>
          </cell>
          <cell r="E1520" t="str">
            <v>BRAM - BRADESCO ASSET MANAGEMENT S/A DTVM</v>
          </cell>
        </row>
        <row r="1521">
          <cell r="B1521">
            <v>81226</v>
          </cell>
          <cell r="C1521" t="str">
            <v>SEARA ALIMENTOS LTDA</v>
          </cell>
          <cell r="D1521" t="str">
            <v>SEARA ALIMENTOS LTDA</v>
          </cell>
          <cell r="E1521" t="str">
            <v>SEARA ALIMENTOS LTDA</v>
          </cell>
        </row>
        <row r="1522">
          <cell r="B1522">
            <v>81236</v>
          </cell>
          <cell r="C1522" t="str">
            <v>ITAU MASTER GLOBAL DINAMICO MULTIMERCADO FI</v>
          </cell>
          <cell r="D1522" t="str">
            <v>ITAU MASTER GLOBAL DINAMICO MULTIMERCADO FI</v>
          </cell>
          <cell r="E1522" t="str">
            <v>ITAU UNIBANCO ASSET - TACO</v>
          </cell>
        </row>
        <row r="1523">
          <cell r="B1523">
            <v>81238</v>
          </cell>
          <cell r="C1523" t="str">
            <v>KAPITALO K10 PREVIDÃŠNCIA MASTER FIF MULT RL</v>
          </cell>
          <cell r="D1523" t="str">
            <v>KAPITALO K10 PREVIDÃŠNCIA MASTER FIF MULT RL</v>
          </cell>
          <cell r="E1523" t="str">
            <v>KAPITALO INVESTIMENTOS LTDA</v>
          </cell>
        </row>
        <row r="1524">
          <cell r="B1524">
            <v>81239</v>
          </cell>
          <cell r="C1524" t="str">
            <v>KAPITALO MASTER V FUNDO DE INVESTIMENTO FINANCEIRO MULT RL</v>
          </cell>
          <cell r="D1524" t="str">
            <v>KAPITALO MASTER V FUNDO DE INVESTIMENTO FINANCEIRO MULT RL</v>
          </cell>
          <cell r="E1524" t="str">
            <v>KAPITALO INVESTIMENTOS LTDA</v>
          </cell>
        </row>
        <row r="1525">
          <cell r="B1525">
            <v>81240</v>
          </cell>
          <cell r="C1525" t="str">
            <v>SANTANDER ACOES GLOBAIS REAIS BDR ETF NIVEL I FIA</v>
          </cell>
          <cell r="D1525" t="str">
            <v>SANTANDER ACOES GLOBAIS REAIS BDR ETF NIVEL I FIA</v>
          </cell>
          <cell r="E1525" t="str">
            <v>SANTANDER BRASIL GESTAO DE RECURSOS LTDA</v>
          </cell>
        </row>
        <row r="1526">
          <cell r="B1526">
            <v>81249</v>
          </cell>
          <cell r="C1526" t="str">
            <v>HSBC BANK USA, NATIONAL ASSOCIATION (HBUS) - BNP</v>
          </cell>
          <cell r="D1526" t="str">
            <v>HSBC BANK USA, NATIONAL ASSOCIATION (HBUS) - BNP</v>
          </cell>
          <cell r="E1526" t="str">
            <v>BANCO HSBC S/A</v>
          </cell>
        </row>
        <row r="1527">
          <cell r="B1527">
            <v>81250</v>
          </cell>
          <cell r="C1527" t="str">
            <v>MORGAN STANLEY LATAM LLC - CITIBANK</v>
          </cell>
          <cell r="D1527" t="str">
            <v>MORGAN STANLEY LATAM LLC - CITIBANK</v>
          </cell>
          <cell r="E1527" t="str">
            <v>BANCO MORGAN STANLEY S/A</v>
          </cell>
        </row>
        <row r="1528">
          <cell r="B1528">
            <v>81250</v>
          </cell>
          <cell r="C1528" t="str">
            <v>MORGAN STANLEY LATAM LLC - CITIBANK</v>
          </cell>
          <cell r="D1528" t="str">
            <v>MORGAN STANLEY LATAM LLC - CITIBANK</v>
          </cell>
          <cell r="E1528" t="str">
            <v>BANCO MORGAN STANLEY S/A</v>
          </cell>
        </row>
        <row r="1529">
          <cell r="B1529">
            <v>81252</v>
          </cell>
          <cell r="C1529" t="str">
            <v>MORGAN STANLEY LATAM LLC - CITIBANK</v>
          </cell>
          <cell r="D1529" t="str">
            <v>MORGAN STANLEY LATAM LLC - CITIBANK</v>
          </cell>
          <cell r="E1529" t="str">
            <v>BANCO MORGAN STANLEY S/A</v>
          </cell>
        </row>
        <row r="1530">
          <cell r="B1530">
            <v>81252</v>
          </cell>
          <cell r="C1530" t="str">
            <v>MORGAN STANLEY LATAM LLC - CITIBANK</v>
          </cell>
          <cell r="D1530" t="str">
            <v>MORGAN STANLEY LATAM LLC - CITIBANK</v>
          </cell>
          <cell r="E1530" t="str">
            <v>BANCO MORGAN STANLEY S/A</v>
          </cell>
        </row>
        <row r="1531">
          <cell r="B1531">
            <v>81253</v>
          </cell>
          <cell r="C1531" t="str">
            <v>VERSA GESTORA DE RECURSOS LTDA</v>
          </cell>
          <cell r="D1531" t="str">
            <v>VERSA GESTORA DE RECURSOS LTDA</v>
          </cell>
          <cell r="E1531" t="str">
            <v>VERSA GESTORA DE RECURSOS LTDA</v>
          </cell>
        </row>
        <row r="1532">
          <cell r="B1532">
            <v>81256</v>
          </cell>
          <cell r="C1532" t="str">
            <v>GAUSS PANORAMA FIFE IQ CLASSE DE INVESTIMENTO MULT CP RL</v>
          </cell>
          <cell r="D1532" t="str">
            <v>GAUSS PANORAMA FIFE IQ CLASSE DE INVESTIMENTO MULT CP RL</v>
          </cell>
          <cell r="E1532" t="str">
            <v>ASA ASSET GESTAO EM INVESTIMENTOS LTDA</v>
          </cell>
        </row>
        <row r="1533">
          <cell r="B1533">
            <v>81260</v>
          </cell>
          <cell r="C1533" t="str">
            <v>CAIXA DISTRIBUIDORA DE TITULOS E VALORES MOBILIARIOS S.A.</v>
          </cell>
          <cell r="D1533" t="str">
            <v>CAIXA DISTRIBUIDORA DE TITULOS E VALORES MOBILIARIOS S.A.</v>
          </cell>
          <cell r="E1533" t="str">
            <v>CAIXA DISTRIBUIDORA DE TITULOS E VALORES MOBILIARIOS S/A</v>
          </cell>
        </row>
        <row r="1534">
          <cell r="B1534">
            <v>81260</v>
          </cell>
          <cell r="C1534" t="str">
            <v>CAIXA DISTRIBUIDORA DE TITULOS E VALORES MOBILIARIOS S.A.</v>
          </cell>
          <cell r="D1534" t="str">
            <v>105*</v>
          </cell>
          <cell r="E1534" t="str">
            <v>CAIXA DISTRIBUIDORA DE TITULOS E VALORES MOBILIARIOS S/A</v>
          </cell>
        </row>
        <row r="1535">
          <cell r="B1535">
            <v>27645</v>
          </cell>
          <cell r="C1535" t="str">
            <v>GOLDMAN SACHS DO BRASIL BANCO MULTIPLO S/A</v>
          </cell>
          <cell r="D1535" t="str">
            <v>89.1</v>
          </cell>
          <cell r="E1535" t="str">
            <v>GOLDMAN SACHS DO BRASIL BANCO MULTIPLO S/A</v>
          </cell>
        </row>
        <row r="1536">
          <cell r="B1536">
            <v>81273</v>
          </cell>
          <cell r="C1536" t="str">
            <v>VINLAND PLUS MASTER FUNDO DE INVESTIMENTO FINANCEIRO MULT RL</v>
          </cell>
          <cell r="D1536" t="str">
            <v>VINLAND PLUS MASTER FUNDO DE INVESTIMENTO FINANCEIRO MULT RL</v>
          </cell>
          <cell r="E1536" t="str">
            <v>VINLAND CAPITAL MANAGEMENT GESTORA DE RECURSOS LTDA</v>
          </cell>
        </row>
        <row r="1537">
          <cell r="B1537">
            <v>81274</v>
          </cell>
          <cell r="C1537" t="str">
            <v>ITAU MASTER GLOBAL DINAMICO ULTRA MULTIMERCADO FUNDO DE INVE</v>
          </cell>
          <cell r="D1537" t="str">
            <v>ITAU MASTER GLOBAL DINAMICO ULTRA MULTIMERCADO FUNDO DE INVE</v>
          </cell>
          <cell r="E1537" t="str">
            <v>ITAU UNIBANCO ASSET - TACO</v>
          </cell>
        </row>
        <row r="1538">
          <cell r="B1538">
            <v>81275</v>
          </cell>
          <cell r="C1538" t="str">
            <v>ITAU MASTER GLOBAL DINAMICO MULTIMERCADO FI</v>
          </cell>
          <cell r="D1538" t="str">
            <v>ITAU MASTER GLOBAL DINAMICO MULTIMERCADO FI</v>
          </cell>
          <cell r="E1538" t="str">
            <v>ITAU UNIBANCO ASSET - TACO</v>
          </cell>
        </row>
        <row r="1539">
          <cell r="B1539">
            <v>125721</v>
          </cell>
          <cell r="C1539" t="str">
            <v>BB GESTAO DE RECURSOS DTVM LTDA</v>
          </cell>
          <cell r="D1539" t="str">
            <v>BB GESTAO DE RECURSOS DTVM LTDA</v>
          </cell>
          <cell r="E1539" t="str">
            <v>BB GESTAO DE RECURSOS DTVM LTDA</v>
          </cell>
        </row>
        <row r="1540">
          <cell r="B1540">
            <v>913137</v>
          </cell>
          <cell r="C1540" t="str">
            <v>BGC LIQUIDEZ DTVM LTDA</v>
          </cell>
          <cell r="D1540" t="str">
            <v>BGC LIQUIDEZ DTVM LTDA</v>
          </cell>
          <cell r="E1540" t="str">
            <v>BGC LIQUIDEZ DTVM LTDA</v>
          </cell>
        </row>
        <row r="1541">
          <cell r="B1541">
            <v>81285</v>
          </cell>
          <cell r="C1541" t="str">
            <v>VERSA LONG BIASED FUNDO DE INVESTIMENTO MULTIMERCADO</v>
          </cell>
          <cell r="D1541" t="str">
            <v>VERSA LONG BIASED FUNDO DE INVESTIMENTO MULTIMERCADO</v>
          </cell>
          <cell r="E1541" t="str">
            <v>VERSA GESTORA DE RECURSOS LTDA</v>
          </cell>
        </row>
        <row r="1542">
          <cell r="B1542">
            <v>81286</v>
          </cell>
          <cell r="C1542" t="str">
            <v>VERSA FIT LONG BIASED FUNDO DE INVESTIMENTO MULTIMERCADO</v>
          </cell>
          <cell r="D1542" t="str">
            <v>VERSA FIT LONG BIASED FUNDO DE INVESTIMENTO MULTIMERCADO</v>
          </cell>
          <cell r="E1542" t="str">
            <v>VERSA GESTORA DE RECURSOS LTDA</v>
          </cell>
        </row>
        <row r="1543">
          <cell r="B1543">
            <v>81287</v>
          </cell>
          <cell r="C1543" t="str">
            <v>VERSA TRACKER FUNDO DE INVESTIMENTO MULTIMERCADO</v>
          </cell>
          <cell r="D1543" t="str">
            <v>VERSA TRACKER FUNDO DE INVESTIMENTO MULTIMERCADO</v>
          </cell>
          <cell r="E1543" t="str">
            <v>VERSA GESTORA DE RECURSOS LTDA</v>
          </cell>
        </row>
        <row r="1544">
          <cell r="B1544">
            <v>81288</v>
          </cell>
          <cell r="C1544" t="str">
            <v>VERSA INSTITUCIONAL FUNDO DE INVESTIMENTO EM AÃ‡Ã•ES</v>
          </cell>
          <cell r="D1544" t="str">
            <v>VERSA INSTITUCIONAL FUNDO DE INVESTIMENTO EM AÃ‡Ã•ES</v>
          </cell>
          <cell r="E1544" t="str">
            <v>VERSA GESTORA DE RECURSOS LTDA</v>
          </cell>
        </row>
        <row r="1545">
          <cell r="B1545">
            <v>81289</v>
          </cell>
          <cell r="C1545" t="str">
            <v>VERSA GENESIS FUNDO DE INVESTIMENTO EM AÃ‡Ã•ES BDR NIVEL I</v>
          </cell>
          <cell r="D1545" t="str">
            <v>VERSA GENESIS FUNDO DE INVESTIMENTO EM AÃ‡Ã•ES BDR NIVEL I</v>
          </cell>
          <cell r="E1545" t="str">
            <v>VERSA GESTORA DE RECURSOS LTDA</v>
          </cell>
        </row>
        <row r="1546">
          <cell r="B1546">
            <v>81290</v>
          </cell>
          <cell r="C1546" t="str">
            <v>BANCO BRADESCO S/A</v>
          </cell>
          <cell r="D1546" t="str">
            <v>BANCO BRADESCO S/A</v>
          </cell>
          <cell r="E1546" t="str">
            <v>BANCO BRADESCO S/A</v>
          </cell>
        </row>
        <row r="1547">
          <cell r="B1547">
            <v>81291</v>
          </cell>
          <cell r="C1547" t="str">
            <v>BB GESTAO DE RECURSOS DTVM LTDA</v>
          </cell>
          <cell r="D1547" t="str">
            <v>BB GESTAO DE RECURSOS DTVM LTDA</v>
          </cell>
          <cell r="E1547" t="str">
            <v>BB GESTAO DE RECURSOS DTVM LTDA</v>
          </cell>
        </row>
        <row r="1548">
          <cell r="B1548">
            <v>125723</v>
          </cell>
          <cell r="C1548" t="str">
            <v>BB GESTAO DE RECURSOS DTVM LTDA</v>
          </cell>
          <cell r="D1548" t="str">
            <v>BB GESTAO DE RECURSOS DTVM LTDA</v>
          </cell>
          <cell r="E1548" t="str">
            <v>BB GESTAO DE RECURSOS DTVM LTDA</v>
          </cell>
        </row>
        <row r="1549">
          <cell r="B1549">
            <v>125724</v>
          </cell>
          <cell r="C1549" t="str">
            <v>BB GESTAO DE RECURSOS DTVM LTDA</v>
          </cell>
          <cell r="D1549" t="str">
            <v>BB GESTAO DE RECURSOS DTVM LTDA</v>
          </cell>
          <cell r="E1549" t="str">
            <v>BB GESTAO DE RECURSOS DTVM LTDA</v>
          </cell>
        </row>
        <row r="1550">
          <cell r="B1550">
            <v>125725</v>
          </cell>
          <cell r="C1550" t="str">
            <v>BB GESTAO DE RECURSOS DTVM LTDA</v>
          </cell>
          <cell r="D1550" t="str">
            <v>BB GESTAO DE RECURSOS DTVM LTDA</v>
          </cell>
          <cell r="E1550" t="str">
            <v>BB GESTAO DE RECURSOS DTVM LTDA</v>
          </cell>
        </row>
        <row r="1551">
          <cell r="B1551">
            <v>125727</v>
          </cell>
          <cell r="C1551" t="str">
            <v>BB GESTAO DE RECURSOS DTVM LTDA</v>
          </cell>
          <cell r="D1551" t="str">
            <v>BB GESTAO DE RECURSOS DTVM LTDA</v>
          </cell>
          <cell r="E1551" t="str">
            <v>BB GESTAO DE RECURSOS DTVM LTDA</v>
          </cell>
        </row>
        <row r="1552">
          <cell r="B1552">
            <v>125728</v>
          </cell>
          <cell r="C1552" t="str">
            <v>BB GESTAO DE RECURSOS DTVM LTDA</v>
          </cell>
          <cell r="D1552" t="str">
            <v>BB GESTAO DE RECURSOS DTVM LTDA</v>
          </cell>
          <cell r="E1552" t="str">
            <v>BB GESTAO DE RECURSOS DTVM LTDA</v>
          </cell>
        </row>
        <row r="1553">
          <cell r="B1553">
            <v>125729</v>
          </cell>
          <cell r="C1553" t="str">
            <v>BB GESTAO DE RECURSOS DTVM LTDA</v>
          </cell>
          <cell r="D1553" t="str">
            <v>BB GESTAO DE RECURSOS DTVM LTDA</v>
          </cell>
          <cell r="E1553" t="str">
            <v>BB GESTAO DE RECURSOS DTVM LTDA</v>
          </cell>
        </row>
        <row r="1554">
          <cell r="B1554">
            <v>125730</v>
          </cell>
          <cell r="C1554" t="str">
            <v>BB GESTAO DE RECURSOS DTVM LTDA</v>
          </cell>
          <cell r="D1554" t="str">
            <v>BB GESTAO DE RECURSOS DTVM LTDA</v>
          </cell>
          <cell r="E1554" t="str">
            <v>BB GESTAO DE RECURSOS DTVM LTDA</v>
          </cell>
        </row>
        <row r="1555">
          <cell r="B1555">
            <v>81202</v>
          </cell>
          <cell r="C1555" t="str">
            <v>RADAR GESTORA DE RECURSOS LTDA</v>
          </cell>
          <cell r="D1555" t="str">
            <v>RADAR GESTORA DE RECURSOS LTDA</v>
          </cell>
          <cell r="E1555" t="str">
            <v>RADAR GESTORA DE RECURSOS LTDA</v>
          </cell>
        </row>
        <row r="1556">
          <cell r="B1556">
            <v>125731</v>
          </cell>
          <cell r="C1556" t="str">
            <v>BB GESTAO DE RECURSOS DTVM LTDA</v>
          </cell>
          <cell r="D1556" t="str">
            <v>BB GESTAO DE RECURSOS DTVM LTDA</v>
          </cell>
          <cell r="E1556" t="str">
            <v>BB GESTAO DE RECURSOS DTVM LTDA</v>
          </cell>
        </row>
        <row r="1557">
          <cell r="B1557">
            <v>125732</v>
          </cell>
          <cell r="C1557" t="str">
            <v>BB GESTAO DE RECURSOS DTVM LTDA</v>
          </cell>
          <cell r="D1557" t="str">
            <v>BB GESTAO DE RECURSOS DTVM LTDA</v>
          </cell>
          <cell r="E1557" t="str">
            <v>BB GESTAO DE RECURSOS DTVM LTDA</v>
          </cell>
        </row>
        <row r="1558">
          <cell r="B1558">
            <v>81299</v>
          </cell>
          <cell r="C1558" t="str">
            <v>BANCO BRADESCO S/A</v>
          </cell>
          <cell r="D1558" t="str">
            <v>BANCO BRADESCO S/A</v>
          </cell>
          <cell r="E1558" t="str">
            <v>BANCO BRADESCO S/A</v>
          </cell>
        </row>
        <row r="1559">
          <cell r="B1559">
            <v>81299</v>
          </cell>
          <cell r="C1559" t="str">
            <v>BANCO BRADESCO S/A</v>
          </cell>
          <cell r="D1559" t="str">
            <v>BANCO BRADESCO S/A</v>
          </cell>
          <cell r="E1559" t="str">
            <v>BANCO BRADESCO S/A</v>
          </cell>
        </row>
        <row r="1560">
          <cell r="B1560">
            <v>81305</v>
          </cell>
          <cell r="C1560" t="str">
            <v>ARMOR SWORD MASTER FUNDO DE INVESTIMENTO MULTIMERCADO</v>
          </cell>
          <cell r="D1560" t="str">
            <v>ARMOR SWORD MASTER FUNDO DE INVESTIMENTO MULTIMERCADO</v>
          </cell>
          <cell r="E1560" t="str">
            <v>ARMOR GESTORA DE RECURSOS LTDA</v>
          </cell>
        </row>
        <row r="1561">
          <cell r="B1561">
            <v>81305</v>
          </cell>
          <cell r="C1561" t="str">
            <v>ARMOR SWORD MASTER FUNDO DE INVESTIMENTO MULTIMERCADO</v>
          </cell>
          <cell r="D1561" t="str">
            <v>ARMOR SWORD MASTER FUNDO DE INVESTIMENTO MULTIMERCADO</v>
          </cell>
          <cell r="E1561" t="str">
            <v>ARMOR GESTORA DE RECURSOS LTDA</v>
          </cell>
        </row>
        <row r="1562">
          <cell r="B1562">
            <v>81311</v>
          </cell>
          <cell r="C1562" t="str">
            <v>MANTARO LB PREVIDENCIARIO FIM FIFE</v>
          </cell>
          <cell r="D1562" t="str">
            <v>MANTARO LB PREVIDENCIARIO FIM FIFE</v>
          </cell>
          <cell r="E1562" t="str">
            <v>MANTARO CAPITAL LTDA</v>
          </cell>
        </row>
        <row r="1563">
          <cell r="B1563">
            <v>81312</v>
          </cell>
          <cell r="C1563" t="str">
            <v>WEBB TRADERS B.V.</v>
          </cell>
          <cell r="D1563" t="str">
            <v>WEBB TRADERS B.V.</v>
          </cell>
          <cell r="E1563" t="str">
            <v>WEBB TRADERS B.V.</v>
          </cell>
        </row>
        <row r="1564">
          <cell r="B1564">
            <v>81312</v>
          </cell>
          <cell r="C1564" t="str">
            <v>WEBB TRADERS B.V.</v>
          </cell>
          <cell r="D1564" t="str">
            <v>WEBB TRADERS B.V.</v>
          </cell>
          <cell r="E1564" t="str">
            <v>WEBB TRADERS B.V.</v>
          </cell>
        </row>
        <row r="1565">
          <cell r="B1565">
            <v>82705</v>
          </cell>
          <cell r="C1565" t="str">
            <v>GLADIUS FIF MULTIMERCADO CREDITO PRIVADO IE</v>
          </cell>
          <cell r="D1565" t="str">
            <v>GLADIUS FIF MULTIMERCADO CREDITO PRIVADO IE</v>
          </cell>
          <cell r="E1565" t="str">
            <v>BANCO XP S/A</v>
          </cell>
        </row>
        <row r="1566">
          <cell r="B1566">
            <v>82706</v>
          </cell>
          <cell r="C1566" t="str">
            <v>GLADIUS FIF MULTIMERCADO CREDITO PRIVADO IE</v>
          </cell>
          <cell r="D1566" t="str">
            <v>GLADIUS FIF MULTIMERCADO CREDITO PRIVADO IE</v>
          </cell>
          <cell r="E1566" t="str">
            <v>BANCO XP S/A</v>
          </cell>
        </row>
        <row r="1567">
          <cell r="B1567">
            <v>81313</v>
          </cell>
          <cell r="C1567" t="str">
            <v>SAFRA ETF MULHERES NA LIDERANÃ‡A FUNDO DE INDICE DE ACOES</v>
          </cell>
          <cell r="D1567" t="str">
            <v>SAFRA ETF MULHERES NA LIDERANÃ‡A FUNDO DE INDICE DE ACOES</v>
          </cell>
          <cell r="E1567" t="str">
            <v>EMERALD GESTAO DE INVESTIMENTOS LTDA</v>
          </cell>
        </row>
        <row r="1568">
          <cell r="B1568">
            <v>81314</v>
          </cell>
          <cell r="C1568" t="str">
            <v>RT DEFIANT FIF MULT RL</v>
          </cell>
          <cell r="D1568" t="str">
            <v>RT DEFIANT FIF MULT RL</v>
          </cell>
          <cell r="E1568" t="str">
            <v>ITAU UNIBANCO ASSET - TACO</v>
          </cell>
        </row>
        <row r="1569">
          <cell r="B1569">
            <v>125734</v>
          </cell>
          <cell r="C1569" t="str">
            <v>BB GESTAO DE RECURSOS DTVM LTDA</v>
          </cell>
          <cell r="D1569" t="str">
            <v>BB GESTAO DE RECURSOS DTVM LTDA</v>
          </cell>
          <cell r="E1569" t="str">
            <v>BB GESTAO DE RECURSOS DTVM LTDA</v>
          </cell>
        </row>
        <row r="1570">
          <cell r="B1570">
            <v>125735</v>
          </cell>
          <cell r="C1570" t="str">
            <v>BB GESTAO DE RECURSOS DTVM LTDA</v>
          </cell>
          <cell r="D1570" t="str">
            <v>BB GESTAO DE RECURSOS DTVM LTDA</v>
          </cell>
          <cell r="E1570" t="str">
            <v>BB GESTAO DE RECURSOS DTVM LTDA</v>
          </cell>
        </row>
        <row r="1571">
          <cell r="B1571">
            <v>81319</v>
          </cell>
          <cell r="C1571" t="str">
            <v>PRAGMA GESTAO DE PATRIMONIO LTDA</v>
          </cell>
          <cell r="D1571" t="str">
            <v>PRAGMA GESTAO DE PATRIMONIO LTDA</v>
          </cell>
          <cell r="E1571" t="str">
            <v>PRAGMA GESTAO DE PATRIMONIO LTDA</v>
          </cell>
        </row>
        <row r="1572">
          <cell r="B1572">
            <v>81322</v>
          </cell>
          <cell r="C1572" t="str">
            <v>ITAÃš INFLATION EQUITY OPPORTUNITIES AÃ‡Ã•ES FUNDO DE INVESTIME</v>
          </cell>
          <cell r="D1572" t="str">
            <v>ITAÃš INFLATION EQUITY OPPORTUNITIES AÃ‡Ã•ES FUNDO DE INVESTIME</v>
          </cell>
          <cell r="E1572" t="str">
            <v>ITAU UNIBANCO ASSET - TACO</v>
          </cell>
        </row>
        <row r="1573">
          <cell r="B1573">
            <v>81326</v>
          </cell>
          <cell r="C1573" t="str">
            <v>WNT MASTER FUNDO DE INVESTIMENTO FINANCEIRO EM AÃ‡Ã•ES</v>
          </cell>
          <cell r="D1573" t="str">
            <v>WNT MASTER FUNDO DE INVESTIMENTO FINANCEIRO EM AÃ‡Ã•ES</v>
          </cell>
          <cell r="E1573" t="str">
            <v>WNT GESTORA DE RECURSOS LTDA</v>
          </cell>
        </row>
        <row r="1574">
          <cell r="B1574">
            <v>81339</v>
          </cell>
          <cell r="C1574" t="str">
            <v>STUDIO ICATU 49 PREV FIM</v>
          </cell>
          <cell r="D1574" t="str">
            <v>STUDIO ICATU 49 PREV FIM</v>
          </cell>
          <cell r="E1574" t="str">
            <v>STUDIO INVESTIMENTOS ADMINISTRADORA DE RECURSOS LTDA</v>
          </cell>
        </row>
        <row r="1575">
          <cell r="B1575">
            <v>81337</v>
          </cell>
          <cell r="C1575" t="str">
            <v>SI FIM CP IE</v>
          </cell>
          <cell r="D1575" t="str">
            <v>SI FIM CP IE</v>
          </cell>
          <cell r="E1575" t="str">
            <v>STUDIO INVESTIMENTOS ADMINISTRADORA DE RECURSOS LTDA</v>
          </cell>
        </row>
        <row r="1576">
          <cell r="B1576">
            <v>81340</v>
          </cell>
          <cell r="C1576" t="str">
            <v>STUDIO ICATU PREV FIFE FIM CP</v>
          </cell>
          <cell r="D1576" t="str">
            <v>STUDIO ICATU PREV FIFE FIM CP</v>
          </cell>
          <cell r="E1576" t="str">
            <v>STUDIO INVESTIMENTOS ADMINISTRADORA DE RECURSOS LTDA</v>
          </cell>
        </row>
        <row r="1577">
          <cell r="B1577">
            <v>81341</v>
          </cell>
          <cell r="C1577" t="str">
            <v>STUDIO MASTER 70 PREV FIFE FUNDO DE INVESTIMENTO MULTIMERCAD</v>
          </cell>
          <cell r="D1577" t="str">
            <v>STUDIO MASTER 70 PREV FIFE FUNDO DE INVESTIMENTO MULTIMERCAD</v>
          </cell>
          <cell r="E1577" t="str">
            <v>STUDIO INVESTIMENTOS ADMINISTRADORA DE RECURSOS LTDA</v>
          </cell>
        </row>
        <row r="1578">
          <cell r="B1578">
            <v>81349</v>
          </cell>
          <cell r="C1578" t="str">
            <v>ALPHA KEY CAPITAL MANAGEMENT INVESTIMENTOS LTDA</v>
          </cell>
          <cell r="D1578" t="str">
            <v>ALPHA KEY CAPITAL MANAGEMENT INVESTIMENTOS LTDA</v>
          </cell>
          <cell r="E1578" t="str">
            <v>ALPHA KEY CAPITAL MANAGEMENT INVESTIMENTOS LTDA</v>
          </cell>
        </row>
        <row r="1579">
          <cell r="B1579">
            <v>81349</v>
          </cell>
          <cell r="C1579" t="str">
            <v>ALPHA KEY CAPITAL MANAGEMENT INVESTIMENTOS LTDA</v>
          </cell>
          <cell r="D1579" t="str">
            <v>ALPHA KEY CAPITAL MANAGEMENT INVESTIMENTOS LTDA</v>
          </cell>
          <cell r="E1579" t="str">
            <v>ALPHA KEY CAPITAL MANAGEMENT INVESTIMENTOS LTDA</v>
          </cell>
        </row>
        <row r="1580">
          <cell r="B1580">
            <v>81344</v>
          </cell>
          <cell r="C1580" t="str">
            <v>TENAX CAPITAL LTDA</v>
          </cell>
          <cell r="D1580" t="str">
            <v>TENAX CAPITAL LTDA</v>
          </cell>
          <cell r="E1580" t="str">
            <v>TENAX CAPITAL LTDA</v>
          </cell>
        </row>
        <row r="1581">
          <cell r="B1581">
            <v>81344</v>
          </cell>
          <cell r="C1581" t="str">
            <v>TENAX CAPITAL LTDA</v>
          </cell>
          <cell r="D1581" t="str">
            <v>TENAX CAPITAL LTDA</v>
          </cell>
          <cell r="E1581" t="str">
            <v>TENAX CAPITAL LTDA</v>
          </cell>
        </row>
        <row r="1582">
          <cell r="B1582">
            <v>81345</v>
          </cell>
          <cell r="C1582" t="str">
            <v>TENAX ACOES MASTER FIA</v>
          </cell>
          <cell r="D1582" t="str">
            <v>TENAX ACOES MASTER FIA</v>
          </cell>
          <cell r="E1582" t="str">
            <v>TENAX CAPITAL LTDA</v>
          </cell>
        </row>
        <row r="1583">
          <cell r="B1583">
            <v>81346</v>
          </cell>
          <cell r="C1583" t="str">
            <v>TENAX MACRO MASTER FIM</v>
          </cell>
          <cell r="D1583" t="str">
            <v>TENAX MACRO MASTER FIM</v>
          </cell>
          <cell r="E1583" t="str">
            <v>TENAX CAPITAL LTDA</v>
          </cell>
        </row>
        <row r="1584">
          <cell r="B1584">
            <v>81347</v>
          </cell>
          <cell r="C1584" t="str">
            <v>TENAX TOTAL RETURN MASTER FIM</v>
          </cell>
          <cell r="D1584" t="str">
            <v>TENAX TOTAL RETURN MASTER FIM</v>
          </cell>
          <cell r="E1584" t="str">
            <v>TENAX CAPITAL LTDA</v>
          </cell>
        </row>
        <row r="1585">
          <cell r="B1585">
            <v>81351</v>
          </cell>
          <cell r="C1585" t="str">
            <v>CREDIT SUISSE (BRASIL) S/A CTVM</v>
          </cell>
          <cell r="D1585" t="str">
            <v>CREDIT SUISSE (BRASIL) S/A CTVM</v>
          </cell>
          <cell r="E1585" t="str">
            <v>CREDIT SUISSE (BRASIL) S/A CTVM</v>
          </cell>
        </row>
        <row r="1586">
          <cell r="B1586">
            <v>81351</v>
          </cell>
          <cell r="C1586" t="str">
            <v>CREDIT SUISSE (BRASIL) S/A CTVM</v>
          </cell>
          <cell r="D1586" t="str">
            <v>CREDIT SUISSE (BRASIL) S/A CTVM</v>
          </cell>
          <cell r="E1586" t="str">
            <v>CREDIT SUISSE (BRASIL) S/A CTVM</v>
          </cell>
        </row>
        <row r="1587">
          <cell r="B1587">
            <v>81348</v>
          </cell>
          <cell r="C1587" t="str">
            <v>HSBC BANK PLC (HBEU) - BNP</v>
          </cell>
          <cell r="D1587" t="str">
            <v>HSBC BANK PLC (HBEU) - BNP</v>
          </cell>
          <cell r="E1587" t="str">
            <v>BANCO HSBC S/A</v>
          </cell>
        </row>
        <row r="1588">
          <cell r="B1588">
            <v>913138</v>
          </cell>
          <cell r="C1588" t="str">
            <v>BGC LIQUIDEZ DTVM LTDA</v>
          </cell>
          <cell r="D1588" t="str">
            <v>BGC LIQUIDEZ DTVM LTDA</v>
          </cell>
          <cell r="E1588" t="str">
            <v>BGC LIQUIDEZ DTVM LTDA</v>
          </cell>
        </row>
        <row r="1589">
          <cell r="B1589">
            <v>81355</v>
          </cell>
          <cell r="C1589" t="str">
            <v>STUDIO MASTER V FUNDO DE INVESTIMENTO MULTIMERCADO</v>
          </cell>
          <cell r="D1589" t="str">
            <v>STUDIO MASTER V FUNDO DE INVESTIMENTO MULTIMERCADO</v>
          </cell>
          <cell r="E1589" t="str">
            <v>STUDIO INVESTIMENTOS ADMINISTRADORA DE RECURSOS LTDA</v>
          </cell>
        </row>
        <row r="1590">
          <cell r="B1590">
            <v>82707</v>
          </cell>
          <cell r="C1590" t="str">
            <v>GLADIUS FIF MULTIMERCADO CREDITO PRIVADO IE</v>
          </cell>
          <cell r="D1590" t="str">
            <v>GLADIUS FIF MULTIMERCADO CREDITO PRIVADO IE</v>
          </cell>
          <cell r="E1590" t="str">
            <v>BANCO XP S/A</v>
          </cell>
        </row>
        <row r="1591">
          <cell r="B1591">
            <v>81361</v>
          </cell>
          <cell r="C1591" t="str">
            <v>M SQUARE INVESTIMENTOS LTDA.</v>
          </cell>
          <cell r="D1591" t="str">
            <v>M SQUARE INVESTIMENTOS LTDA.</v>
          </cell>
          <cell r="E1591" t="str">
            <v>M SQUARE INVESTIMENTOS LTDA.</v>
          </cell>
        </row>
        <row r="1592">
          <cell r="B1592">
            <v>81361</v>
          </cell>
          <cell r="C1592" t="str">
            <v>M SQUARE INVESTIMENTOS LTDA.</v>
          </cell>
          <cell r="D1592" t="str">
            <v>M SQUARE INVESTIMENTOS LTDA.</v>
          </cell>
          <cell r="E1592" t="str">
            <v>M SQUARE INVESTIMENTOS LTDA.</v>
          </cell>
        </row>
        <row r="1593">
          <cell r="B1593">
            <v>81367</v>
          </cell>
          <cell r="C1593" t="str">
            <v>IBIUNA ST PREV FIFE FIM CP IE II</v>
          </cell>
          <cell r="D1593" t="str">
            <v>IBIUNA ST PREV FIFE FIM CP IE II</v>
          </cell>
          <cell r="E1593" t="str">
            <v>IBIUNA GESTAO DE RECURSOS LTDA</v>
          </cell>
        </row>
        <row r="1594">
          <cell r="B1594">
            <v>81366</v>
          </cell>
          <cell r="C1594" t="str">
            <v>IBIUNA ST PREV FIFE FIM CRÃ‰DITO PRIVADO I</v>
          </cell>
          <cell r="D1594" t="str">
            <v>IBIUNA ST PREV FIFE FIM CRÃ‰DITO PRIVADO I</v>
          </cell>
          <cell r="E1594" t="str">
            <v>IBIUNA GESTAO DE RECURSOS LTDA</v>
          </cell>
        </row>
        <row r="1595">
          <cell r="B1595">
            <v>125736</v>
          </cell>
          <cell r="C1595" t="str">
            <v>BB GESTAO DE RECURSOS DTVM LTDA</v>
          </cell>
          <cell r="D1595" t="str">
            <v>BB GESTAO DE RECURSOS DTVM LTDA</v>
          </cell>
          <cell r="E1595" t="str">
            <v>BB GESTAO DE RECURSOS DTVM LTDA</v>
          </cell>
        </row>
        <row r="1596">
          <cell r="B1596">
            <v>81370</v>
          </cell>
          <cell r="C1596" t="str">
            <v>SOCIETE GENERALE (PARIS)</v>
          </cell>
          <cell r="D1596" t="str">
            <v>SOCIETE GENERALE (PARIS)</v>
          </cell>
          <cell r="E1596" t="str">
            <v>BANCO SOCIETE GENERALE BRASIL S/A</v>
          </cell>
        </row>
        <row r="1597">
          <cell r="B1597">
            <v>81374</v>
          </cell>
          <cell r="C1597" t="str">
            <v>REAL INVESTOR MASTER FUNDO DE INVESTIMENTO MULTIMERCADO</v>
          </cell>
          <cell r="D1597" t="str">
            <v>REAL INVESTOR MASTER FUNDO DE INVESTIMENTO MULTIMERCADO</v>
          </cell>
          <cell r="E1597" t="str">
            <v>REAL INVESTOR ASSET MANAGEMENT LTDA</v>
          </cell>
        </row>
        <row r="1598">
          <cell r="B1598">
            <v>81374</v>
          </cell>
          <cell r="C1598" t="str">
            <v>REAL INVESTOR MASTER FUNDO DE INVESTIMENTO MULTIMERCADO</v>
          </cell>
          <cell r="D1598" t="str">
            <v>REAL INVESTOR MASTER FUNDO DE INVESTIMENTO MULTIMERCADO</v>
          </cell>
          <cell r="E1598" t="str">
            <v>REAL INVESTOR ASSET MANAGEMENT LTDA</v>
          </cell>
        </row>
        <row r="1599">
          <cell r="B1599">
            <v>125737</v>
          </cell>
          <cell r="C1599" t="str">
            <v>BB GESTAO DE RECURSOS DTVM LTDA</v>
          </cell>
          <cell r="D1599" t="str">
            <v>BB GESTAO DE RECURSOS DTVM LTDA</v>
          </cell>
          <cell r="E1599" t="str">
            <v>BB GESTAO DE RECURSOS DTVM LTDA</v>
          </cell>
        </row>
        <row r="1600">
          <cell r="B1600">
            <v>125738</v>
          </cell>
          <cell r="C1600" t="str">
            <v>BB GESTAO DE RECURSOS DTVM LTDA</v>
          </cell>
          <cell r="D1600" t="str">
            <v>BB GESTAO DE RECURSOS DTVM LTDA</v>
          </cell>
          <cell r="E1600" t="str">
            <v>BB GESTAO DE RECURSOS DTVM LTDA</v>
          </cell>
        </row>
        <row r="1601">
          <cell r="B1601">
            <v>81379</v>
          </cell>
          <cell r="C1601" t="str">
            <v>ITAÃš MASTER MOMENTO AÃ‡Ã•ES FUNDO DE INVESTIMENTO</v>
          </cell>
          <cell r="D1601" t="str">
            <v>ITAÃš MASTER MOMENTO AÃ‡Ã•ES FUNDO DE INVESTIMENTO</v>
          </cell>
          <cell r="E1601" t="str">
            <v>ITAU UNIBANCO ASSET - TACO</v>
          </cell>
        </row>
        <row r="1602">
          <cell r="B1602">
            <v>81380</v>
          </cell>
          <cell r="C1602" t="str">
            <v>BANCO TOPAZIO S.A.</v>
          </cell>
          <cell r="D1602" t="str">
            <v>BANCO TOPAZIO S.A.</v>
          </cell>
          <cell r="E1602" t="str">
            <v>BANCO TOPAZIO S/A</v>
          </cell>
        </row>
        <row r="1603">
          <cell r="B1603">
            <v>81381</v>
          </cell>
          <cell r="C1603" t="str">
            <v>VISTA HEDGE MASTER FIM</v>
          </cell>
          <cell r="D1603" t="str">
            <v>VISTA HEDGE MASTER FIM</v>
          </cell>
          <cell r="E1603" t="str">
            <v>VISTA CAPITAL GESTORA DE RECURSOS LTDA</v>
          </cell>
        </row>
        <row r="1604">
          <cell r="B1604">
            <v>81382</v>
          </cell>
          <cell r="C1604" t="str">
            <v>VISTA MACRO MASTER FIM</v>
          </cell>
          <cell r="D1604" t="str">
            <v>VISTA MACRO MASTER FIM</v>
          </cell>
          <cell r="E1604" t="str">
            <v>VISTA CAPITAL GESTORA DE RECURSOS LTDA</v>
          </cell>
        </row>
        <row r="1605">
          <cell r="B1605">
            <v>81381</v>
          </cell>
          <cell r="C1605" t="str">
            <v>VISTA HEDGE MASTER FIM</v>
          </cell>
          <cell r="D1605" t="str">
            <v>VISTA HEDGE MASTER FIM</v>
          </cell>
          <cell r="E1605" t="str">
            <v>VISTA CAPITAL GESTORA DE RECURSOS LTDA</v>
          </cell>
        </row>
        <row r="1606">
          <cell r="B1606">
            <v>81382</v>
          </cell>
          <cell r="C1606" t="str">
            <v>VISTA MACRO MASTER FIM</v>
          </cell>
          <cell r="D1606" t="str">
            <v>VISTA MACRO MASTER FIM</v>
          </cell>
          <cell r="E1606" t="str">
            <v>VISTA CAPITAL GESTORA DE RECURSOS LTDA</v>
          </cell>
        </row>
        <row r="1607">
          <cell r="B1607">
            <v>81384</v>
          </cell>
          <cell r="C1607" t="str">
            <v>SANTANDER PREV SELECAO 70 MULTIMERCADO FUNDO DE INVESTIMENTO</v>
          </cell>
          <cell r="D1607" t="str">
            <v>SANTANDER PREV SELECAO 70 MULTIMERCADO FUNDO DE INVESTIMENTO</v>
          </cell>
          <cell r="E1607" t="str">
            <v>SANTANDER BRASIL GESTAO DE RECURSOS LTDA</v>
          </cell>
        </row>
        <row r="1608">
          <cell r="B1608">
            <v>125739</v>
          </cell>
          <cell r="C1608" t="str">
            <v>BB GESTAO DE RECURSOS DTVM LTDA</v>
          </cell>
          <cell r="D1608" t="str">
            <v>BB GESTAO DE RECURSOS DTVM LTDA</v>
          </cell>
          <cell r="E1608" t="str">
            <v>BB GESTAO DE RECURSOS DTVM LTDA</v>
          </cell>
        </row>
        <row r="1609">
          <cell r="B1609">
            <v>81390</v>
          </cell>
          <cell r="C1609" t="str">
            <v>CREDIT AGRICOLE CORPORATE AND INVESTMENT BANK</v>
          </cell>
          <cell r="D1609" t="str">
            <v>CREDIT AGRICOLE CORPORATE AND INVESTMENT BANK</v>
          </cell>
          <cell r="E1609" t="str">
            <v>BANCO CREDIT AGRICOLE BRASIL S/A</v>
          </cell>
        </row>
        <row r="1610">
          <cell r="B1610">
            <v>125740</v>
          </cell>
          <cell r="C1610" t="str">
            <v>BB GESTAO DE RECURSOS DTVM LTDA</v>
          </cell>
          <cell r="D1610" t="str">
            <v>BB GESTAO DE RECURSOS DTVM LTDA</v>
          </cell>
          <cell r="E1610" t="str">
            <v>BB GESTAO DE RECURSOS DTVM LTDA</v>
          </cell>
        </row>
        <row r="1611">
          <cell r="B1611">
            <v>81399</v>
          </cell>
          <cell r="C1611" t="str">
            <v>POLO ENDURANCE FUNDO DE INVESTIMENTO MULTIMERCADO</v>
          </cell>
          <cell r="D1611" t="str">
            <v>POLO ENDURANCE FUNDO DE INVESTIMENTO MULTIMERCADO</v>
          </cell>
          <cell r="E1611" t="str">
            <v>POLO CAPITAL GESTÃO DE RECURSOS LTDA</v>
          </cell>
        </row>
        <row r="1612">
          <cell r="B1612">
            <v>81406</v>
          </cell>
          <cell r="C1612" t="str">
            <v>IBIUNA SYSTEMATIC MASTER FUNDO DE INVESTIMENTO MULTIMERCADO</v>
          </cell>
          <cell r="D1612" t="str">
            <v>IBIUNA SYSTEMATIC MASTER FUNDO DE INVESTIMENTO MULTIMERCADO</v>
          </cell>
          <cell r="E1612" t="str">
            <v>IBIUNA GESTAO DE RECURSOS LTDA</v>
          </cell>
        </row>
        <row r="1613">
          <cell r="B1613">
            <v>81407</v>
          </cell>
          <cell r="C1613" t="str">
            <v>KAPITALO ZETA MASTER FUNDO DE INVESTIMENTO EM AÃ‡Ã•ES</v>
          </cell>
          <cell r="D1613" t="str">
            <v>KAPITALO ZETA MASTER FUNDO DE INVESTIMENTO EM AÃ‡Ã•ES</v>
          </cell>
          <cell r="E1613" t="str">
            <v>KAPITALO INVESTIMENTOS LTDA</v>
          </cell>
        </row>
        <row r="1614">
          <cell r="B1614">
            <v>81410</v>
          </cell>
          <cell r="C1614" t="str">
            <v>ITAU UNIBANCO ASSET MANAGEMENT LTDA</v>
          </cell>
          <cell r="D1614" t="str">
            <v>ITAU UNIBANCO ASSET MANAGEMENT LTDA</v>
          </cell>
          <cell r="E1614" t="str">
            <v>ITAU UNIBANCO ASSET - ARTAX</v>
          </cell>
        </row>
        <row r="1615">
          <cell r="B1615">
            <v>81410</v>
          </cell>
          <cell r="C1615" t="str">
            <v>ITAU UNIBANCO ASSET MANAGEMENT LTDA</v>
          </cell>
          <cell r="D1615" t="str">
            <v>ITAU UNIBANCO ASSET MANAGEMENT LTDA</v>
          </cell>
          <cell r="E1615" t="str">
            <v>ITAU UNIBANCO ASSET - ARTAX</v>
          </cell>
        </row>
        <row r="1616">
          <cell r="B1616">
            <v>81432</v>
          </cell>
          <cell r="C1616" t="str">
            <v>ITAU FLEXPREV MASTER GD MULTIMERCADO FUNDO DE INVESTIMENTO</v>
          </cell>
          <cell r="D1616" t="str">
            <v>ITAU FLEXPREV MASTER GD MULTIMERCADO FUNDO DE INVESTIMENTO</v>
          </cell>
          <cell r="E1616" t="str">
            <v>ITAU UNIBANCO ASSET - TACO</v>
          </cell>
        </row>
        <row r="1617">
          <cell r="B1617">
            <v>81433</v>
          </cell>
          <cell r="C1617" t="str">
            <v>ITAU FLEXPREV MASTER GD MULTIMERCADO FUNDO DE INVESTIMENTO</v>
          </cell>
          <cell r="D1617" t="str">
            <v>ITAU FLEXPREV MASTER GD MULTIMERCADO FUNDO DE INVESTIMENTO</v>
          </cell>
          <cell r="E1617" t="str">
            <v>ITAU UNIBANCO ASSET - TACO</v>
          </cell>
        </row>
        <row r="1618">
          <cell r="B1618">
            <v>81434</v>
          </cell>
          <cell r="C1618" t="str">
            <v>ITAU FLEXPREV MASTER GD MULTIMERCADO FUNDO DE INVESTIMENTO</v>
          </cell>
          <cell r="D1618" t="str">
            <v>ITAU FLEXPREV MASTER GD MULTIMERCADO FUNDO DE INVESTIMENTO</v>
          </cell>
          <cell r="E1618" t="str">
            <v>ITAU UNIBANCO ASSET - TACO</v>
          </cell>
        </row>
        <row r="1619">
          <cell r="B1619">
            <v>81435</v>
          </cell>
          <cell r="C1619" t="str">
            <v>ITAU FLEXPREV MASTER GD MULTIMERCADO FUNDO DE INVESTIMENTO</v>
          </cell>
          <cell r="D1619" t="str">
            <v>ITAU FLEXPREV MASTER GD MULTIMERCADO FUNDO DE INVESTIMENTO</v>
          </cell>
          <cell r="E1619" t="str">
            <v>ITAU UNIBANCO ASSET - TACO</v>
          </cell>
        </row>
        <row r="1620">
          <cell r="B1620">
            <v>81436</v>
          </cell>
          <cell r="C1620" t="str">
            <v>ITAU FLEXPREV MASTER GD MULTIMERCADO FUNDO DE INVESTIMENTO</v>
          </cell>
          <cell r="D1620" t="str">
            <v>ITAU FLEXPREV MASTER GD MULTIMERCADO FUNDO DE INVESTIMENTO</v>
          </cell>
          <cell r="E1620" t="str">
            <v>ITAU UNIBANCO ASSET - TACO</v>
          </cell>
        </row>
        <row r="1621">
          <cell r="B1621">
            <v>125741</v>
          </cell>
          <cell r="C1621" t="str">
            <v>BB GESTAO DE RECURSOS DTVM LTDA</v>
          </cell>
          <cell r="D1621" t="str">
            <v>BB GESTAO DE RECURSOS DTVM LTDA</v>
          </cell>
          <cell r="E1621" t="str">
            <v>BB GESTAO DE RECURSOS DTVM LTDA</v>
          </cell>
        </row>
        <row r="1622">
          <cell r="B1622">
            <v>125742</v>
          </cell>
          <cell r="C1622" t="str">
            <v>BB GESTAO DE RECURSOS DTVM LTDA</v>
          </cell>
          <cell r="D1622" t="str">
            <v>BB GESTAO DE RECURSOS DTVM LTDA</v>
          </cell>
          <cell r="E1622" t="str">
            <v>BB GESTAO DE RECURSOS DTVM LTDA</v>
          </cell>
        </row>
        <row r="1623">
          <cell r="B1623">
            <v>125743</v>
          </cell>
          <cell r="C1623" t="str">
            <v>BB GESTAO DE RECURSOS DTVM LTDA</v>
          </cell>
          <cell r="D1623" t="str">
            <v>BB GESTAO DE RECURSOS DTVM LTDA</v>
          </cell>
          <cell r="E1623" t="str">
            <v>BB GESTAO DE RECURSOS DTVM LTDA</v>
          </cell>
        </row>
        <row r="1624">
          <cell r="B1624">
            <v>81438</v>
          </cell>
          <cell r="C1624" t="str">
            <v>PORTO SEGURO INVESTIMENTOS LTDA</v>
          </cell>
          <cell r="D1624" t="str">
            <v>PORTO SEGURO INVESTIMENTOS LTDA</v>
          </cell>
          <cell r="E1624" t="str">
            <v>PORTO SEGURO INVESTIMENTOS LTDA</v>
          </cell>
        </row>
        <row r="1625">
          <cell r="B1625">
            <v>81438</v>
          </cell>
          <cell r="C1625" t="str">
            <v>PORTO SEGURO INVESTIMENTOS LTDA</v>
          </cell>
          <cell r="D1625" t="str">
            <v>PORTO SEGURO INVESTIMENTOS LTDA</v>
          </cell>
          <cell r="E1625" t="str">
            <v>PORTO SEGURO INVESTIMENTOS LTDA</v>
          </cell>
        </row>
        <row r="1626">
          <cell r="B1626">
            <v>125744</v>
          </cell>
          <cell r="C1626" t="str">
            <v>BB GESTAO DE RECURSOS DTVM LTDA</v>
          </cell>
          <cell r="D1626" t="str">
            <v>BB GESTAO DE RECURSOS DTVM LTDA</v>
          </cell>
          <cell r="E1626" t="str">
            <v>BB GESTAO DE RECURSOS DTVM LTDA</v>
          </cell>
        </row>
        <row r="1627">
          <cell r="B1627">
            <v>81446</v>
          </cell>
          <cell r="C1627" t="str">
            <v>ITAU ACOES DIVIDENDOS - FUNDO DE INVESTIMENTO EM COTAS DE FU</v>
          </cell>
          <cell r="D1627" t="str">
            <v>ITAU ACOES DIVIDENDOS - FUNDO DE INVESTIMENTO EM COTAS DE FU</v>
          </cell>
          <cell r="E1627" t="str">
            <v>ITAU UNIBANCO ASSET - TACO</v>
          </cell>
        </row>
        <row r="1628">
          <cell r="B1628">
            <v>81447</v>
          </cell>
          <cell r="C1628" t="str">
            <v>ITAÃš AÃ‡Ã•ES DIVIDENDOS FUNDO DE INVESTIMENTO EM COTAS DE FUND</v>
          </cell>
          <cell r="D1628" t="str">
            <v>ITAÃš AÃ‡Ã•ES DIVIDENDOS FUNDO DE INVESTIMENTO EM COTAS DE FUND</v>
          </cell>
          <cell r="E1628" t="str">
            <v>ITAU UNIBANCO ASSET - TACO</v>
          </cell>
        </row>
        <row r="1629">
          <cell r="B1629">
            <v>81445</v>
          </cell>
          <cell r="C1629" t="str">
            <v>ITAÃš ACE DIVIDENDOS AÃ‡Ã•ES FUNDO DE INVESTIMENTO EM COTAS DE</v>
          </cell>
          <cell r="D1629" t="str">
            <v>ITAÃš ACE DIVIDENDOS AÃ‡Ã•ES FUNDO DE INVESTIMENTO EM COTAS DE</v>
          </cell>
          <cell r="E1629" t="str">
            <v>ITAU UNIBANCO ASSET - TACO</v>
          </cell>
        </row>
        <row r="1630">
          <cell r="B1630">
            <v>81453</v>
          </cell>
          <cell r="C1630" t="str">
            <v>SANTANDER VALENCIA GLOBAL MULTIMERCADO FIF RL</v>
          </cell>
          <cell r="D1630" t="str">
            <v>SANTANDER VALENCIA GLOBAL MULTIMERCADO FIF RL</v>
          </cell>
          <cell r="E1630" t="str">
            <v>SANTANDER BRASIL GESTAO DE RECURSOS LTDA</v>
          </cell>
        </row>
        <row r="1631">
          <cell r="B1631">
            <v>125745</v>
          </cell>
          <cell r="C1631" t="str">
            <v>BB GESTAO DE RECURSOS DTVM LTDA</v>
          </cell>
          <cell r="D1631" t="str">
            <v>BB GESTAO DE RECURSOS DTVM LTDA</v>
          </cell>
          <cell r="E1631" t="str">
            <v>BB GESTAO DE RECURSOS DTVM LTDA</v>
          </cell>
        </row>
        <row r="1632">
          <cell r="B1632">
            <v>81468</v>
          </cell>
          <cell r="C1632" t="str">
            <v>NEO ARGO LONG AND SHORT MASTER FIM</v>
          </cell>
          <cell r="D1632" t="str">
            <v>NEO ARGO LONG AND SHORT MASTER FIM</v>
          </cell>
          <cell r="E1632" t="str">
            <v>NEO GESTÃO DE RECURSOS LTDA</v>
          </cell>
        </row>
        <row r="1633">
          <cell r="B1633">
            <v>81467</v>
          </cell>
          <cell r="C1633" t="str">
            <v>NEO EQUITY HEDGE P FUNDO DE INVESTIMENTO MULTIMERCADO</v>
          </cell>
          <cell r="D1633" t="str">
            <v>NEO EQUITY HEDGE P FUNDO DE INVESTIMENTO MULTIMERCADO</v>
          </cell>
          <cell r="E1633" t="str">
            <v>NEO GESTÃO DE RECURSOS LTDA</v>
          </cell>
        </row>
        <row r="1634">
          <cell r="B1634">
            <v>81469</v>
          </cell>
          <cell r="C1634" t="str">
            <v>NEO MULTIMERCADO B PREV FIFE FIM</v>
          </cell>
          <cell r="D1634" t="str">
            <v>NEO MULTIMERCADO B PREV FIFE FIM</v>
          </cell>
          <cell r="E1634" t="str">
            <v>NEO GESTÃO DE RECURSOS LTDA</v>
          </cell>
        </row>
        <row r="1635">
          <cell r="B1635">
            <v>81470</v>
          </cell>
          <cell r="C1635" t="str">
            <v>NEO MULTIESTRATEGIA ITAU PREV MASTER FIM</v>
          </cell>
          <cell r="D1635" t="str">
            <v>NEO MULTIESTRATEGIA ITAU PREV MASTER FIM</v>
          </cell>
          <cell r="E1635" t="str">
            <v>NEO GESTÃO DE RECURSOS LTDA</v>
          </cell>
        </row>
        <row r="1636">
          <cell r="B1636">
            <v>81471</v>
          </cell>
          <cell r="C1636" t="str">
            <v>NEO NAVITAS ITAÃš PREV MASTER FUNDO DE INVESTIMENTO EM AÃ‡Ã•ES</v>
          </cell>
          <cell r="D1636" t="str">
            <v>NEO NAVITAS ITAÃš PREV MASTER FUNDO DE INVESTIMENTO EM AÃ‡Ã•ES</v>
          </cell>
          <cell r="E1636" t="str">
            <v>NEO GESTÃO DE RECURSOS LTDA</v>
          </cell>
        </row>
        <row r="1637">
          <cell r="B1637">
            <v>125746</v>
          </cell>
          <cell r="C1637" t="str">
            <v>BB GESTAO DE RECURSOS DTVM LTDA</v>
          </cell>
          <cell r="D1637" t="str">
            <v>BB GESTAO DE RECURSOS DTVM LTDA</v>
          </cell>
          <cell r="E1637" t="str">
            <v>BB GESTAO DE RECURSOS DTVM LTDA</v>
          </cell>
        </row>
        <row r="1638">
          <cell r="B1638">
            <v>81472</v>
          </cell>
          <cell r="C1638" t="str">
            <v>BANCO BRADESCO S/A</v>
          </cell>
          <cell r="D1638" t="str">
            <v>BANCO BRADESCO S/A</v>
          </cell>
          <cell r="E1638" t="str">
            <v>BANCO BRADESCO S/A</v>
          </cell>
        </row>
        <row r="1639">
          <cell r="B1639">
            <v>81475</v>
          </cell>
          <cell r="C1639" t="str">
            <v>VINLAND MACRO PREVIDENCIARIO V MASTER FIM</v>
          </cell>
          <cell r="D1639" t="str">
            <v>VINLAND MACRO PREVIDENCIARIO V MASTER FIM</v>
          </cell>
          <cell r="E1639" t="str">
            <v>VINLAND CAPITAL MANAGEMENT GESTORA DE RECURSOS LTDA</v>
          </cell>
        </row>
        <row r="1640">
          <cell r="B1640">
            <v>81475</v>
          </cell>
          <cell r="C1640" t="str">
            <v>VINLAND MACRO PREVIDENCIARIO V MASTER FIM</v>
          </cell>
          <cell r="D1640" t="str">
            <v>VINLAND MACRO PREVIDENCIARIO V MASTER FIM</v>
          </cell>
          <cell r="E1640" t="str">
            <v>VINLAND CAPITAL MANAGEMENT GESTORA DE RECURSOS LTDA</v>
          </cell>
        </row>
        <row r="1641">
          <cell r="B1641">
            <v>81485</v>
          </cell>
          <cell r="C1641" t="str">
            <v>ITAÃš ARTAX MULTIMERCADO FUNDO DE INVESTIMENTO</v>
          </cell>
          <cell r="D1641" t="str">
            <v>ITAÃš ARTAX MULTIMERCADO FUNDO DE INVESTIMENTO</v>
          </cell>
          <cell r="E1641" t="str">
            <v>ITAU UNIBANCO ASSET - TACO</v>
          </cell>
        </row>
        <row r="1642">
          <cell r="B1642">
            <v>81486</v>
          </cell>
          <cell r="C1642" t="str">
            <v>ITAÃš ARTAX ULTRA MULTIMERCADO FUNDO DE INVESTIMENTO</v>
          </cell>
          <cell r="D1642" t="str">
            <v>ITAÃš ARTAX ULTRA MULTIMERCADO FUNDO DE INVESTIMENTO</v>
          </cell>
          <cell r="E1642" t="str">
            <v>ITAU UNIBANCO ASSET - TACO</v>
          </cell>
        </row>
        <row r="1643">
          <cell r="B1643">
            <v>81487</v>
          </cell>
          <cell r="C1643" t="str">
            <v>ITAÃš FLEXPREV ARTAX MULTIMERCADO FUNDO DE INVESTIMENTO</v>
          </cell>
          <cell r="D1643" t="str">
            <v>ITAÃš FLEXPREV ARTAX MULTIMERCADO FUNDO DE INVESTIMENTO</v>
          </cell>
          <cell r="E1643" t="str">
            <v>ITAU UNIBANCO ASSET - TACO</v>
          </cell>
        </row>
        <row r="1644">
          <cell r="B1644">
            <v>81488</v>
          </cell>
          <cell r="C1644" t="str">
            <v>OCEANA LONG BIASED ADVISORY PREV MASTER FIM</v>
          </cell>
          <cell r="D1644" t="str">
            <v>OCEANA LONG BIASED ADVISORY PREV MASTER FIM</v>
          </cell>
          <cell r="E1644" t="str">
            <v>OCEANA INVESTIMENTOS ADM DE CARTEIRAS DE VALORES MOB LTDA</v>
          </cell>
        </row>
        <row r="1645">
          <cell r="B1645">
            <v>81491</v>
          </cell>
          <cell r="C1645" t="str">
            <v>PORTO SEGURO CARAVELAS FUNDO DE INVESTIMENTO MULTIMERCADO CR</v>
          </cell>
          <cell r="D1645" t="str">
            <v>PORTO SEGURO CARAVELAS FUNDO DE INVESTIMENTO MULTIMERCADO CR</v>
          </cell>
          <cell r="E1645" t="str">
            <v>PORTO SEGURO INVESTIMENTOS LTDA</v>
          </cell>
        </row>
        <row r="1646">
          <cell r="B1646">
            <v>81492</v>
          </cell>
          <cell r="C1646" t="str">
            <v>PORTO SEGURO EMPRESARIAL RENDA FIXA FUNDO DE INVESTIMENTO CR</v>
          </cell>
          <cell r="D1646" t="str">
            <v>PORTO SEGURO EMPRESARIAL RENDA FIXA FUNDO DE INVESTIMENTO CR</v>
          </cell>
          <cell r="E1646" t="str">
            <v>PORTO SEGURO INVESTIMENTOS LTDA</v>
          </cell>
        </row>
        <row r="1647">
          <cell r="B1647">
            <v>81493</v>
          </cell>
          <cell r="C1647" t="str">
            <v>PORTO SEGURO RENDA FIXA MASTER PREVIDENCIA PRIVADA FUNDO DE</v>
          </cell>
          <cell r="D1647" t="str">
            <v>PORTO SEGURO RENDA FIXA MASTER PREVIDENCIA PRIVADA FUNDO DE</v>
          </cell>
          <cell r="E1647" t="str">
            <v>PORTO SEGURO INVESTIMENTOS LTDA</v>
          </cell>
        </row>
        <row r="1648">
          <cell r="B1648">
            <v>81494</v>
          </cell>
          <cell r="C1648" t="str">
            <v>PORTO SEGURO AÃ‡Ã•ES MASTER FUNDO DE INVESTIMENTO PREVIDENCIÃR</v>
          </cell>
          <cell r="D1648" t="str">
            <v>PORTO SEGURO AÃ‡Ã•ES MASTER FUNDO DE INVESTIMENTO PREVIDENCIÃR</v>
          </cell>
          <cell r="E1648" t="str">
            <v>PORTO SEGURO INVESTIMENTOS LTDA</v>
          </cell>
        </row>
        <row r="1649">
          <cell r="B1649">
            <v>81496</v>
          </cell>
          <cell r="C1649" t="str">
            <v>PORTO SEGURO RENDA FIXA MASTER FUNDO DE INVESTIMENTO PREVIDE</v>
          </cell>
          <cell r="D1649" t="str">
            <v>PORTO SEGURO RENDA FIXA MASTER FUNDO DE INVESTIMENTO PREVIDE</v>
          </cell>
          <cell r="E1649" t="str">
            <v>PORTO SEGURO INVESTIMENTOS LTDA</v>
          </cell>
        </row>
        <row r="1650">
          <cell r="B1650">
            <v>81499</v>
          </cell>
          <cell r="C1650" t="str">
            <v>PORTO SEGURO INVESTIMENTOS LTDA</v>
          </cell>
          <cell r="D1650" t="str">
            <v>PORTO SEGURO INVESTIMENTOS LTDA</v>
          </cell>
          <cell r="E1650" t="str">
            <v>PORTO SEGURO INVESTIMENTOS LTDA</v>
          </cell>
        </row>
        <row r="1651">
          <cell r="B1651">
            <v>81500</v>
          </cell>
          <cell r="C1651" t="str">
            <v>PORTO SEGURO INVESTIMENTOS LTDA</v>
          </cell>
          <cell r="D1651" t="str">
            <v>PORTO SEGURO INVESTIMENTOS LTDA</v>
          </cell>
          <cell r="E1651" t="str">
            <v>PORTO SEGURO INVESTIMENTOS LTDA</v>
          </cell>
        </row>
        <row r="1652">
          <cell r="B1652">
            <v>81501</v>
          </cell>
          <cell r="C1652" t="str">
            <v>PORTO SEGURO INVESTIMENTOS LTDA</v>
          </cell>
          <cell r="D1652" t="str">
            <v>PORTO SEGURO INVESTIMENTOS LTDA</v>
          </cell>
          <cell r="E1652" t="str">
            <v>PORTO SEGURO INVESTIMENTOS LTDA</v>
          </cell>
        </row>
        <row r="1653">
          <cell r="B1653">
            <v>81499</v>
          </cell>
          <cell r="C1653" t="str">
            <v>PORTO SEGURO INVESTIMENTOS LTDA</v>
          </cell>
          <cell r="D1653" t="str">
            <v>PORTO SEGURO INVESTIMENTOS LTDA</v>
          </cell>
          <cell r="E1653" t="str">
            <v>PORTO SEGURO INVESTIMENTOS LTDA</v>
          </cell>
        </row>
        <row r="1654">
          <cell r="B1654">
            <v>81500</v>
          </cell>
          <cell r="C1654" t="str">
            <v>PORTO SEGURO INVESTIMENTOS LTDA</v>
          </cell>
          <cell r="D1654" t="str">
            <v>PORTO SEGURO INVESTIMENTOS LTDA</v>
          </cell>
          <cell r="E1654" t="str">
            <v>PORTO SEGURO INVESTIMENTOS LTDA</v>
          </cell>
        </row>
        <row r="1655">
          <cell r="B1655">
            <v>81501</v>
          </cell>
          <cell r="C1655" t="str">
            <v>PORTO SEGURO INVESTIMENTOS LTDA</v>
          </cell>
          <cell r="D1655" t="str">
            <v>PORTO SEGURO INVESTIMENTOS LTDA</v>
          </cell>
          <cell r="E1655" t="str">
            <v>PORTO SEGURO INVESTIMENTOS LTDA</v>
          </cell>
        </row>
        <row r="1656">
          <cell r="B1656">
            <v>81502</v>
          </cell>
          <cell r="C1656" t="str">
            <v>BANCO BRADESCO S/A</v>
          </cell>
          <cell r="D1656" t="str">
            <v>BANCO BRADESCO S/A</v>
          </cell>
          <cell r="E1656" t="str">
            <v>BANCO BRADESCO S/A</v>
          </cell>
        </row>
        <row r="1657">
          <cell r="B1657">
            <v>81503</v>
          </cell>
          <cell r="C1657" t="str">
            <v>BANCO BRADESCO S/A</v>
          </cell>
          <cell r="D1657" t="str">
            <v>BANCO BRADESCO S/A</v>
          </cell>
          <cell r="E1657" t="str">
            <v>BANCO BRADESCO S/A</v>
          </cell>
        </row>
        <row r="1658">
          <cell r="B1658">
            <v>81502</v>
          </cell>
          <cell r="C1658" t="str">
            <v>BANCO BRADESCO S/A</v>
          </cell>
          <cell r="D1658" t="str">
            <v>BANCO BRADESCO S/A</v>
          </cell>
          <cell r="E1658" t="str">
            <v>BANCO BRADESCO S/A</v>
          </cell>
        </row>
        <row r="1659">
          <cell r="B1659">
            <v>81503</v>
          </cell>
          <cell r="C1659" t="str">
            <v>BANCO BRADESCO S/A</v>
          </cell>
          <cell r="D1659" t="str">
            <v>BANCO BRADESCO S/A</v>
          </cell>
          <cell r="E1659" t="str">
            <v>BANCO BRADESCO S/A</v>
          </cell>
        </row>
        <row r="1660">
          <cell r="B1660">
            <v>81506</v>
          </cell>
          <cell r="C1660" t="str">
            <v>LATO CAPITAL LTDA</v>
          </cell>
          <cell r="D1660" t="str">
            <v>LATO CAPITAL LTDA</v>
          </cell>
          <cell r="E1660" t="str">
            <v>LATO CAPITAL LTDA</v>
          </cell>
        </row>
        <row r="1661">
          <cell r="B1661">
            <v>81507</v>
          </cell>
          <cell r="C1661" t="str">
            <v>BANCO BRADESCO S/A</v>
          </cell>
          <cell r="D1661" t="str">
            <v>BANCO BRADESCO S/A</v>
          </cell>
          <cell r="E1661" t="str">
            <v>BANCO BRADESCO S/A</v>
          </cell>
        </row>
        <row r="1662">
          <cell r="B1662">
            <v>81509</v>
          </cell>
          <cell r="C1662" t="str">
            <v>BTG PACTUAL ESG FUNDO DE ÃNDICE S&amp;P/B3 BRAZIL ESG</v>
          </cell>
          <cell r="D1662" t="str">
            <v>BTG PACTUAL ESG FUNDO DE ÃNDICE S&amp;P/B3 BRAZIL ESG</v>
          </cell>
          <cell r="E1662" t="str">
            <v>BTG PACTUAL ASSET MANAGEMENT SA DTVM</v>
          </cell>
        </row>
        <row r="1663">
          <cell r="B1663">
            <v>81510</v>
          </cell>
          <cell r="C1663" t="str">
            <v>BTG PACTUAL B3 IBOVESPA FUNDO DE ÃNDICE</v>
          </cell>
          <cell r="D1663" t="str">
            <v>BTG PACTUAL B3 IBOVESPA FUNDO DE ÃNDICE</v>
          </cell>
          <cell r="E1663" t="str">
            <v>BTG PACTUAL ASSET MANAGEMENT SA DTVM</v>
          </cell>
        </row>
        <row r="1664">
          <cell r="B1664">
            <v>81511</v>
          </cell>
          <cell r="C1664" t="str">
            <v>BTG PACTUAL ABSOLUTO LS MASTER PREV FIM</v>
          </cell>
          <cell r="D1664" t="str">
            <v>BTG PACTUAL ABSOLUTO LS MASTER PREV FIM</v>
          </cell>
          <cell r="E1664" t="str">
            <v>BTG PACTUAL ASSET MANAGEMENT SA DTVM</v>
          </cell>
        </row>
        <row r="1665">
          <cell r="B1665">
            <v>81512</v>
          </cell>
          <cell r="C1665" t="str">
            <v>BTG PACTUAL TEVA ACOES COMMODITIES BRASIL FUNDO DE INDICE</v>
          </cell>
          <cell r="D1665" t="str">
            <v>BTG PACTUAL TEVA ACOES COMMODITIES BRASIL FUNDO DE INDICE</v>
          </cell>
          <cell r="E1665" t="str">
            <v>BTG PACTUAL ASSET MANAGEMENT SA DTVM</v>
          </cell>
        </row>
        <row r="1666">
          <cell r="B1666">
            <v>81513</v>
          </cell>
          <cell r="C1666" t="str">
            <v>BTG PACTUAL REFERENCE GLOBAL TECH FIA</v>
          </cell>
          <cell r="D1666" t="str">
            <v>BTG PACTUAL REFERENCE GLOBAL TECH FIA</v>
          </cell>
          <cell r="E1666" t="str">
            <v>BTG PACTUAL ASSET MANAGEMENT SA DTVM</v>
          </cell>
        </row>
        <row r="1667">
          <cell r="B1667">
            <v>81514</v>
          </cell>
          <cell r="C1667" t="str">
            <v>CARTEIRA INSTITUCIONAL 53 FIM CP</v>
          </cell>
          <cell r="D1667" t="str">
            <v>CARTEIRA INSTITUCIONAL 53 FIM CP</v>
          </cell>
          <cell r="E1667" t="str">
            <v>ITAU UNIBANCO ASSET - TACO</v>
          </cell>
        </row>
        <row r="1668">
          <cell r="B1668">
            <v>81517</v>
          </cell>
          <cell r="C1668" t="str">
            <v>PREV SB 40 FIF CIC MULT RL</v>
          </cell>
          <cell r="D1668" t="str">
            <v>PREV SB 40 FIF CIC MULT RL</v>
          </cell>
          <cell r="E1668" t="str">
            <v>ITAU UNIBANCO ASSET - TACO</v>
          </cell>
        </row>
        <row r="1669">
          <cell r="B1669">
            <v>81518</v>
          </cell>
          <cell r="C1669" t="str">
            <v>BTG PACTUAL SEP/B3 INGENIUS FUNDO DE INDICE</v>
          </cell>
          <cell r="D1669" t="str">
            <v>BTG PACTUAL SEP/B3 INGENIUS FUNDO DE INDICE</v>
          </cell>
          <cell r="E1669" t="str">
            <v>BTG PACTUAL ASSET MANAGEMENT SA DTVM</v>
          </cell>
        </row>
        <row r="1670">
          <cell r="B1670">
            <v>81519</v>
          </cell>
          <cell r="C1670" t="str">
            <v>PREVIDENCIÃRIO SB DEZ MULTIMERCADO FI EM COTAS DE FI</v>
          </cell>
          <cell r="D1670" t="str">
            <v>PREVIDENCIÃRIO SB DEZ MULTIMERCADO FI EM COTAS DE FI</v>
          </cell>
          <cell r="E1670" t="str">
            <v>ITAU UNIBANCO ASSET - TACO</v>
          </cell>
        </row>
        <row r="1671">
          <cell r="B1671">
            <v>81520</v>
          </cell>
          <cell r="C1671" t="str">
            <v>PREV SB 20 FIF CIC MULT RL</v>
          </cell>
          <cell r="D1671" t="str">
            <v>PREV SB 20 FIF CIC MULT RL</v>
          </cell>
          <cell r="E1671" t="str">
            <v>ITAU UNIBANCO ASSET - TACO</v>
          </cell>
        </row>
        <row r="1672">
          <cell r="B1672">
            <v>81521</v>
          </cell>
          <cell r="C1672" t="str">
            <v>OCEANA LONG BIASED PREV II FIM</v>
          </cell>
          <cell r="D1672" t="str">
            <v>OCEANA LONG BIASED PREV II FIM</v>
          </cell>
          <cell r="E1672" t="str">
            <v>OCEANA INVESTIMENTOS ADM DE CARTEIRAS DE VALORES MOB LTDA</v>
          </cell>
        </row>
        <row r="1673">
          <cell r="B1673">
            <v>81522</v>
          </cell>
          <cell r="C1673" t="str">
            <v>OCEANA PREV MASTER FIFE FUNDO DE INVESTIMENTO MULTIMERCADO</v>
          </cell>
          <cell r="D1673" t="str">
            <v>OCEANA PREV MASTER FIFE FUNDO DE INVESTIMENTO MULTIMERCADO</v>
          </cell>
          <cell r="E1673" t="str">
            <v>OCEANA INVESTIMENTOS ADM DE CARTEIRAS DE VALORES MOB LTDA</v>
          </cell>
        </row>
        <row r="1674">
          <cell r="B1674">
            <v>81537</v>
          </cell>
          <cell r="C1674" t="str">
            <v>SAFRA FUNDO MÃšTUO DE PRIVATIZAÃ‡ÃƒO - FGTS ELETROBRAS</v>
          </cell>
          <cell r="D1674" t="str">
            <v>SAFRA FUNDO MÃšTUO DE PRIVATIZAÃ‡ÃƒO - FGTS ELETROBRAS</v>
          </cell>
          <cell r="E1674" t="str">
            <v>EMERALD GESTAO DE INVESTIMENTOS LTDA</v>
          </cell>
        </row>
        <row r="1675">
          <cell r="B1675">
            <v>125747</v>
          </cell>
          <cell r="C1675" t="str">
            <v>BB GESTAO DE RECURSOS DTVM LTDA</v>
          </cell>
          <cell r="D1675" t="str">
            <v>BB GESTAO DE RECURSOS DTVM LTDA</v>
          </cell>
          <cell r="E1675" t="str">
            <v>BB GESTAO DE RECURSOS DTVM LTDA</v>
          </cell>
        </row>
        <row r="1676">
          <cell r="B1676">
            <v>81541</v>
          </cell>
          <cell r="C1676" t="str">
            <v>JPMORGAN CHASE BANK, NATIONAL ASSOCIATION</v>
          </cell>
          <cell r="D1676" t="str">
            <v>JPMORGAN CHASE BANK, NATIONAL ASSOCIATION</v>
          </cell>
          <cell r="E1676" t="str">
            <v>BANCO JP MORGAN S/A</v>
          </cell>
        </row>
        <row r="1677">
          <cell r="B1677">
            <v>81541</v>
          </cell>
          <cell r="C1677" t="str">
            <v>JPMORGAN CHASE BANK, NATIONAL ASSOCIATION</v>
          </cell>
          <cell r="D1677" t="str">
            <v>JPMORGAN CHASE BANK, NATIONAL ASSOCIATION</v>
          </cell>
          <cell r="E1677" t="str">
            <v>BANCO JP MORGAN S/A</v>
          </cell>
        </row>
        <row r="1678">
          <cell r="B1678">
            <v>125748</v>
          </cell>
          <cell r="C1678" t="str">
            <v>BB GESTAO DE RECURSOS DTVM LTDA</v>
          </cell>
          <cell r="D1678" t="str">
            <v>BB GESTAO DE RECURSOS DTVM LTDA</v>
          </cell>
          <cell r="E1678" t="str">
            <v>BB GESTAO DE RECURSOS DTVM LTDA</v>
          </cell>
        </row>
        <row r="1679">
          <cell r="B1679">
            <v>81544</v>
          </cell>
          <cell r="C1679" t="str">
            <v>TRUXT VALOR B PREVIDENCIA FIFE MASTER FIA</v>
          </cell>
          <cell r="D1679" t="str">
            <v>TRUXT VALOR B PREVIDENCIA FIFE MASTER FIA</v>
          </cell>
          <cell r="E1679" t="str">
            <v>TRUXT INVESTIMENTOS LTDA</v>
          </cell>
        </row>
        <row r="1680">
          <cell r="B1680">
            <v>125749</v>
          </cell>
          <cell r="C1680" t="str">
            <v>BB GESTAO DE RECURSOS DTVM LTDA</v>
          </cell>
          <cell r="D1680" t="str">
            <v>BB GESTAO DE RECURSOS DTVM LTDA</v>
          </cell>
          <cell r="E1680" t="str">
            <v>BB GESTAO DE RECURSOS DTVM LTDA</v>
          </cell>
        </row>
        <row r="1681">
          <cell r="B1681">
            <v>81545</v>
          </cell>
          <cell r="C1681" t="str">
            <v>SV2 EQUITY LLC</v>
          </cell>
          <cell r="D1681" t="str">
            <v>SV2 EQUITY LLC</v>
          </cell>
          <cell r="E1681" t="str">
            <v>SQUADRA INVESTIMENTOS GESTÃƒO DE RECURSOS LTDA</v>
          </cell>
        </row>
        <row r="1682">
          <cell r="B1682">
            <v>81549</v>
          </cell>
          <cell r="C1682" t="str">
            <v>ITAU MASTER GLOBAL DINAMICO MULTIMERCADO FI</v>
          </cell>
          <cell r="D1682" t="str">
            <v>ITAU MASTER GLOBAL DINAMICO MULTIMERCADO FI</v>
          </cell>
          <cell r="E1682" t="str">
            <v>ITAU UNIBANCO ASSET - TACO</v>
          </cell>
        </row>
        <row r="1683">
          <cell r="B1683">
            <v>81550</v>
          </cell>
          <cell r="C1683" t="str">
            <v>MORGAN STANLEY LATAM LLC - CITIBANK</v>
          </cell>
          <cell r="D1683" t="str">
            <v>MORGAN STANLEY LATAM LLC - CITIBANK</v>
          </cell>
          <cell r="E1683" t="str">
            <v>BANCO MORGAN STANLEY S/A</v>
          </cell>
        </row>
        <row r="1684">
          <cell r="B1684">
            <v>81550</v>
          </cell>
          <cell r="C1684" t="str">
            <v>MORGAN STANLEY LATAM LLC - CITIBANK</v>
          </cell>
          <cell r="D1684" t="str">
            <v>MORGAN STANLEY LATAM LLC - CITIBANK</v>
          </cell>
          <cell r="E1684" t="str">
            <v>BANCO MORGAN STANLEY S/A</v>
          </cell>
        </row>
        <row r="1685">
          <cell r="B1685">
            <v>81551</v>
          </cell>
          <cell r="C1685" t="str">
            <v>BC GESTAO DE RECURSOS LTDA</v>
          </cell>
          <cell r="D1685" t="str">
            <v>BC GESTAO DE RECURSOS LTDA</v>
          </cell>
          <cell r="E1685" t="str">
            <v>BC GESTAO DE RECURSOS LTDA</v>
          </cell>
        </row>
        <row r="1686">
          <cell r="B1686">
            <v>81551</v>
          </cell>
          <cell r="C1686" t="str">
            <v>BC GESTAO DE RECURSOS LTDA</v>
          </cell>
          <cell r="D1686" t="str">
            <v>BC GESTAO DE RECURSOS LTDA</v>
          </cell>
          <cell r="E1686" t="str">
            <v>BC GESTAO DE RECURSOS LTDA</v>
          </cell>
        </row>
        <row r="1687">
          <cell r="B1687">
            <v>81552</v>
          </cell>
          <cell r="C1687" t="str">
            <v>BC GESTAO DE RECURSOS LTDA</v>
          </cell>
          <cell r="D1687" t="str">
            <v>BC GESTAO DE RECURSOS LTDA</v>
          </cell>
          <cell r="E1687" t="str">
            <v>BC GESTAO DE RECURSOS LTDA</v>
          </cell>
        </row>
        <row r="1688">
          <cell r="B1688">
            <v>81552</v>
          </cell>
          <cell r="C1688" t="str">
            <v>BC GESTAO DE RECURSOS LTDA</v>
          </cell>
          <cell r="D1688" t="str">
            <v>BC GESTAO DE RECURSOS LTDA</v>
          </cell>
          <cell r="E1688" t="str">
            <v>BC GESTAO DE RECURSOS LTDA</v>
          </cell>
        </row>
        <row r="1689">
          <cell r="B1689">
            <v>81554</v>
          </cell>
          <cell r="C1689" t="str">
            <v>IBIUNA LONG BIASED MASTER FUNDO DE INVESTIMENTO EM ACOES</v>
          </cell>
          <cell r="D1689" t="str">
            <v>IBIUNA LONG BIASED MASTER FUNDO DE INVESTIMENTO EM ACOES</v>
          </cell>
          <cell r="E1689" t="str">
            <v>IBIUNA GESTAO DE RECURSOS LTDA</v>
          </cell>
        </row>
        <row r="1690">
          <cell r="B1690">
            <v>81556</v>
          </cell>
          <cell r="C1690" t="str">
            <v>VISTA MACRO X FIFE FIM CP</v>
          </cell>
          <cell r="D1690" t="str">
            <v>VISTA MACRO X FIFE FIM CP</v>
          </cell>
          <cell r="E1690" t="str">
            <v>VISTA CAPITAL GESTORA DE RECURSOS LTDA</v>
          </cell>
        </row>
        <row r="1691">
          <cell r="B1691">
            <v>81556</v>
          </cell>
          <cell r="C1691" t="str">
            <v>VISTA MACRO X FIFE FIM CP</v>
          </cell>
          <cell r="D1691" t="str">
            <v>VISTA MACRO X FIFE FIM CP</v>
          </cell>
          <cell r="E1691" t="str">
            <v>VISTA CAPITAL GESTORA DE RECURSOS LTDA</v>
          </cell>
        </row>
        <row r="1692">
          <cell r="B1692">
            <v>81557</v>
          </cell>
          <cell r="C1692" t="str">
            <v>TENAX RFA YIELD FIF RENDA FIXA LP RL</v>
          </cell>
          <cell r="D1692" t="str">
            <v>TENAX RFA YIELD FIF RENDA FIXA LP RL</v>
          </cell>
          <cell r="E1692" t="str">
            <v>TENAX CAPITAL LTDA</v>
          </cell>
        </row>
        <row r="1693">
          <cell r="B1693">
            <v>81558</v>
          </cell>
          <cell r="C1693" t="str">
            <v>NEO EQUITY HEDGE ITAU P FUNDO DE INVESTIMENTO MULTIMERCADO</v>
          </cell>
          <cell r="D1693" t="str">
            <v>NEO EQUITY HEDGE ITAU P FUNDO DE INVESTIMENTO MULTIMERCADO</v>
          </cell>
          <cell r="E1693" t="str">
            <v>NEO GESTÃO DE RECURSOS LTDA</v>
          </cell>
        </row>
        <row r="1694">
          <cell r="B1694">
            <v>81561</v>
          </cell>
          <cell r="C1694" t="str">
            <v>GROUPER EQUITY LLC</v>
          </cell>
          <cell r="D1694" t="str">
            <v>GROUPER EQUITY LLC</v>
          </cell>
          <cell r="E1694" t="str">
            <v>SQUADRA INVESTIMENTOS GESTÃƒO DE RECURSOS LTDA</v>
          </cell>
        </row>
        <row r="1695">
          <cell r="B1695">
            <v>81562</v>
          </cell>
          <cell r="C1695" t="str">
            <v>CANADIAN EAGLE PORTFOLIO LLC</v>
          </cell>
          <cell r="D1695" t="str">
            <v>CANADIAN EAGLE PORTFOLIO LLC</v>
          </cell>
          <cell r="E1695" t="str">
            <v>SPX GESTAO DE RECURSOS LTDA</v>
          </cell>
        </row>
        <row r="1696">
          <cell r="B1696">
            <v>81563</v>
          </cell>
          <cell r="C1696" t="str">
            <v>SNAPPER EQUITY LLC</v>
          </cell>
          <cell r="D1696" t="str">
            <v>SNAPPER EQUITY LLC</v>
          </cell>
          <cell r="E1696" t="str">
            <v>SQUADRA INVESTIMENTOS GESTÃƒO DE RECURSOS LTDA</v>
          </cell>
        </row>
        <row r="1697">
          <cell r="B1697">
            <v>81564</v>
          </cell>
          <cell r="C1697" t="str">
            <v>SPX GESTAO DE RECURSOS LTDA</v>
          </cell>
          <cell r="D1697" t="str">
            <v>SPX GESTAO DE RECURSOS LTDA</v>
          </cell>
          <cell r="E1697" t="str">
            <v>SPX GESTAO DE RECURSOS LTDA</v>
          </cell>
        </row>
        <row r="1698">
          <cell r="B1698">
            <v>81564</v>
          </cell>
          <cell r="C1698" t="str">
            <v>SPX GESTAO DE RECURSOS LTDA</v>
          </cell>
          <cell r="D1698" t="str">
            <v>SPX GESTAO DE RECURSOS LTDA</v>
          </cell>
          <cell r="E1698" t="str">
            <v>SPX GESTAO DE RECURSOS LTDA</v>
          </cell>
        </row>
        <row r="1699">
          <cell r="B1699">
            <v>81565</v>
          </cell>
          <cell r="C1699" t="str">
            <v>SPX GESTAO DE RECURSOS LTDA</v>
          </cell>
          <cell r="D1699" t="str">
            <v>SPX GESTAO DE RECURSOS LTDA</v>
          </cell>
          <cell r="E1699" t="str">
            <v>SPX GESTAO DE RECURSOS LTDA</v>
          </cell>
        </row>
        <row r="1700">
          <cell r="B1700">
            <v>81565</v>
          </cell>
          <cell r="C1700" t="str">
            <v>SPX GESTAO DE RECURSOS LTDA</v>
          </cell>
          <cell r="D1700" t="str">
            <v>SPX GESTAO DE RECURSOS LTDA</v>
          </cell>
          <cell r="E1700" t="str">
            <v>SPX GESTAO DE RECURSOS LTDA</v>
          </cell>
        </row>
        <row r="1701">
          <cell r="B1701">
            <v>81571</v>
          </cell>
          <cell r="C1701" t="str">
            <v>CBX FIF CIA</v>
          </cell>
          <cell r="D1701" t="str">
            <v>CBX FIF CIA</v>
          </cell>
          <cell r="E1701" t="str">
            <v>EMERALD GESTAO DE INVESTIMENTOS LTDA</v>
          </cell>
        </row>
        <row r="1702">
          <cell r="B1702">
            <v>81572</v>
          </cell>
          <cell r="C1702" t="str">
            <v>GUFA FIA IE</v>
          </cell>
          <cell r="D1702" t="str">
            <v>GUFA FIA IE</v>
          </cell>
          <cell r="E1702" t="str">
            <v>EMERALD GESTAO DE INVESTIMENTOS LTDA</v>
          </cell>
        </row>
        <row r="1703">
          <cell r="B1703">
            <v>81577</v>
          </cell>
          <cell r="C1703" t="str">
            <v>SAFRA PREV MI MASTER FIF PREV CI MULTI CP PREV RESP LIMITADA</v>
          </cell>
          <cell r="D1703" t="str">
            <v>SAFRA PREV MI MASTER FIF PREV CI MULTI CP PREV RESP LIMITADA</v>
          </cell>
          <cell r="E1703" t="str">
            <v>TURMALINA GESTAO E ADMINISTRAÃ‡ÃƒO DE RECURSOS SA</v>
          </cell>
        </row>
        <row r="1704">
          <cell r="B1704">
            <v>81578</v>
          </cell>
          <cell r="C1704" t="str">
            <v>SAFRA PREV VESALIUS MASTER FIF PREV CI MUL CP PREV RESP LIMI</v>
          </cell>
          <cell r="D1704" t="str">
            <v>SAFRA PREV VESALIUS MASTER FIF PREV CI MUL CP PREV RESP LIMI</v>
          </cell>
          <cell r="E1704" t="str">
            <v>TURMALINA GESTAO E ADMINISTRAÃ‡ÃƒO DE RECURSOS SA</v>
          </cell>
        </row>
        <row r="1705">
          <cell r="B1705">
            <v>81580</v>
          </cell>
          <cell r="C1705" t="str">
            <v>SOW CAPITAL GESTÃƒO DE INVESTIMENTOS LTDA</v>
          </cell>
          <cell r="D1705" t="str">
            <v>SOW CAPITAL GESTÃƒO DE INVESTIMENTOS LTDA</v>
          </cell>
          <cell r="E1705" t="str">
            <v>SOW CAPITAL GESTÃƒO DE INVESTIMENTOS LTDA</v>
          </cell>
        </row>
        <row r="1706">
          <cell r="B1706">
            <v>81580</v>
          </cell>
          <cell r="C1706" t="str">
            <v>SOW CAPITAL GESTÃƒO DE INVESTIMENTOS LTDA</v>
          </cell>
          <cell r="D1706" t="str">
            <v>SOW CAPITAL GESTÃƒO DE INVESTIMENTOS LTDA</v>
          </cell>
          <cell r="E1706" t="str">
            <v>SOW CAPITAL GESTÃƒO DE INVESTIMENTOS LTDA</v>
          </cell>
        </row>
        <row r="1707">
          <cell r="B1707">
            <v>81581</v>
          </cell>
          <cell r="C1707" t="str">
            <v>QUADRANTE INVESTIMENTOS LTDA</v>
          </cell>
          <cell r="D1707" t="str">
            <v>QUADRANTE INVESTIMENTOS LTDA</v>
          </cell>
          <cell r="E1707" t="str">
            <v>QUADRANTE INVESTIMENTOS LTDA</v>
          </cell>
        </row>
        <row r="1708">
          <cell r="B1708">
            <v>81581</v>
          </cell>
          <cell r="C1708" t="str">
            <v>QUADRANTE INVESTIMENTOS LTDA</v>
          </cell>
          <cell r="D1708" t="str">
            <v>QUADRANTE INVESTIMENTOS LTDA</v>
          </cell>
          <cell r="E1708" t="str">
            <v>QUADRANTE INVESTIMENTOS LTDA</v>
          </cell>
        </row>
        <row r="1709">
          <cell r="B1709">
            <v>81582</v>
          </cell>
          <cell r="C1709" t="str">
            <v>CARPE DIEM BR QI FUNDO DE INVESTIMENTO MULTIMERCADO CRÃ‰DITO</v>
          </cell>
          <cell r="D1709" t="str">
            <v>CARPE DIEM BR QI FUNDO DE INVESTIMENTO MULTIMERCADO CRÃ‰DITO</v>
          </cell>
          <cell r="E1709" t="str">
            <v>QUADRANTE INVESTIMENTOS LTDA</v>
          </cell>
        </row>
        <row r="1710">
          <cell r="B1710">
            <v>81587</v>
          </cell>
          <cell r="C1710" t="str">
            <v>FUNDO DE INVESTIMENTO MULTIMERCADO CRÃ‰DITO PRIVADO FMA QI</v>
          </cell>
          <cell r="D1710" t="str">
            <v>FUNDO DE INVESTIMENTO MULTIMERCADO CRÃ‰DITO PRIVADO FMA QI</v>
          </cell>
          <cell r="E1710" t="str">
            <v>QUADRANTE INVESTIMENTOS LTDA</v>
          </cell>
        </row>
        <row r="1711">
          <cell r="B1711">
            <v>81588</v>
          </cell>
          <cell r="C1711" t="str">
            <v>GAPE QI MULTIMERCADO FUNDO DE INVESTIMENTO CRÃ‰DITO PRIVADO</v>
          </cell>
          <cell r="D1711" t="str">
            <v>GAPE QI MULTIMERCADO FUNDO DE INVESTIMENTO CRÃ‰DITO PRIVADO</v>
          </cell>
          <cell r="E1711" t="str">
            <v>QUADRANTE INVESTIMENTOS LTDA</v>
          </cell>
        </row>
        <row r="1712">
          <cell r="B1712">
            <v>81592</v>
          </cell>
          <cell r="C1712" t="str">
            <v>FUNDAÃ‡ÃƒO ELETROSUL DE PREVIDÃŠNCIA E ASSISTÃŠNCIA SOCIAL ELOS</v>
          </cell>
          <cell r="D1712" t="str">
            <v>FUNDAÃ‡ÃƒO ELETROSUL DE PREVIDÃŠNCIA E ASSISTÃŠNCIA SOCIAL ELOS</v>
          </cell>
          <cell r="E1712" t="str">
            <v>FUNDAÃ‡ÃƒO ELETROSUL DE PREVIDÃŠNCIA E ASSISTÃŠNCIA SOCIAL ELOS</v>
          </cell>
        </row>
        <row r="1713">
          <cell r="B1713">
            <v>81595</v>
          </cell>
          <cell r="C1713" t="str">
            <v>NEO MULTIMERCADO GESTÃƒO DE RECURSOS LTDA</v>
          </cell>
          <cell r="D1713" t="str">
            <v>NEO MULTIMERCADO GESTÃƒO DE RECURSOS LTDA</v>
          </cell>
          <cell r="E1713" t="str">
            <v>NEO GESTÃO DE RECURSOS LTDA</v>
          </cell>
        </row>
        <row r="1714">
          <cell r="B1714">
            <v>81595</v>
          </cell>
          <cell r="C1714" t="str">
            <v>NEO MULTIMERCADO GESTÃƒO DE RECURSOS LTDA</v>
          </cell>
          <cell r="D1714" t="str">
            <v>130.1</v>
          </cell>
          <cell r="E1714" t="str">
            <v>NEO GESTÃO DE RECURSOS LTDA</v>
          </cell>
        </row>
        <row r="1715">
          <cell r="B1715">
            <v>81596</v>
          </cell>
          <cell r="C1715" t="str">
            <v>NEO EQUITIES GESTÃƒO DE RECURSOS LTDA</v>
          </cell>
          <cell r="D1715" t="str">
            <v>NEO EQUITIES GESTÃƒO DE RECURSOS LTDA</v>
          </cell>
          <cell r="E1715" t="str">
            <v>NEO GESTÃO DE RECURSOS LTDA</v>
          </cell>
        </row>
        <row r="1716">
          <cell r="B1716">
            <v>81596</v>
          </cell>
          <cell r="C1716" t="str">
            <v>NEO EQUITIES GESTÃƒO DE RECURSOS LTDA</v>
          </cell>
          <cell r="D1716" t="str">
            <v>NEO EQUITIES GESTÃƒO DE RECURSOS LTDA</v>
          </cell>
          <cell r="E1716" t="str">
            <v>NEO GESTÃO DE RECURSOS LTDA</v>
          </cell>
        </row>
        <row r="1717">
          <cell r="B1717">
            <v>81597</v>
          </cell>
          <cell r="C1717" t="str">
            <v>GATI QI FIM CP IE</v>
          </cell>
          <cell r="D1717" t="str">
            <v>GATI QI FIM CP IE</v>
          </cell>
          <cell r="E1717" t="str">
            <v>QUADRANTE INVESTIMENTOS LTDA</v>
          </cell>
        </row>
        <row r="1718">
          <cell r="B1718">
            <v>81598</v>
          </cell>
          <cell r="C1718" t="str">
            <v>GUILE QI FUNDO DE INVESTIMENTO MULTIMERCADO CRÃ‰DITO PRIVADO</v>
          </cell>
          <cell r="D1718" t="str">
            <v>GUILE QI FUNDO DE INVESTIMENTO MULTIMERCADO CRÃ‰DITO PRIVADO</v>
          </cell>
          <cell r="E1718" t="str">
            <v>QUADRANTE INVESTIMENTOS LTDA</v>
          </cell>
        </row>
        <row r="1719">
          <cell r="B1719">
            <v>81599</v>
          </cell>
          <cell r="C1719" t="str">
            <v>JUBIA QI FUNDO DE INVESTIMENTO MULTIMERCADO CRÃ‰DITO PRIVADO</v>
          </cell>
          <cell r="D1719" t="str">
            <v>JUBIA QI FUNDO DE INVESTIMENTO MULTIMERCADO CRÃ‰DITO PRIVADO</v>
          </cell>
          <cell r="E1719" t="str">
            <v>QUADRANTE INVESTIMENTOS LTDA</v>
          </cell>
        </row>
        <row r="1720">
          <cell r="B1720">
            <v>81600</v>
          </cell>
          <cell r="C1720" t="str">
            <v>MMCP QI FUNDO DE INVESTIMENTO MULTIMERCADO CRÃ‰DITO PRIVADO</v>
          </cell>
          <cell r="D1720" t="str">
            <v>MMCP QI FUNDO DE INVESTIMENTO MULTIMERCADO CRÃ‰DITO PRIVADO</v>
          </cell>
          <cell r="E1720" t="str">
            <v>QUADRANTE INVESTIMENTOS LTDA</v>
          </cell>
        </row>
        <row r="1721">
          <cell r="B1721">
            <v>81601</v>
          </cell>
          <cell r="C1721" t="str">
            <v>NEVERGIVEUP QI MULTIMERCADO FUNDO DE INVESTIMENTO CRÃ‰DITO PR</v>
          </cell>
          <cell r="D1721" t="str">
            <v>NEVERGIVEUP QI MULTIMERCADO FUNDO DE INVESTIMENTO CRÃ‰DITO PR</v>
          </cell>
          <cell r="E1721" t="str">
            <v>QUADRANTE INVESTIMENTOS LTDA</v>
          </cell>
        </row>
        <row r="1722">
          <cell r="B1722">
            <v>81603</v>
          </cell>
          <cell r="C1722" t="str">
            <v>PHISIQ QI GRAND SLAM FUNDO DE INVESTIMENTO MULTIMERCADO CRÃ‰D</v>
          </cell>
          <cell r="D1722" t="str">
            <v>PHISIQ QI GRAND SLAM FUNDO DE INVESTIMENTO MULTIMERCADO CRÃ‰D</v>
          </cell>
          <cell r="E1722" t="str">
            <v>QUADRANTE INVESTIMENTOS LTDA</v>
          </cell>
        </row>
        <row r="1723">
          <cell r="B1723">
            <v>81604</v>
          </cell>
          <cell r="C1723" t="str">
            <v>PRIAR QI FUNDO DE INVESTIMENTO MULTIMERCADO CRÃ‰DITO PRIVADO</v>
          </cell>
          <cell r="D1723" t="str">
            <v>PRIAR QI FUNDO DE INVESTIMENTO MULTIMERCADO CRÃ‰DITO PRIVADO</v>
          </cell>
          <cell r="E1723" t="str">
            <v>QUADRANTE INVESTIMENTOS LTDA</v>
          </cell>
        </row>
        <row r="1724">
          <cell r="B1724">
            <v>81606</v>
          </cell>
          <cell r="C1724" t="str">
            <v>RMF QI FUNDO DE INVESTIMENTO MULTIMERCADO CRÃ‰DITO PRIVADO</v>
          </cell>
          <cell r="D1724" t="str">
            <v>RMF QI FUNDO DE INVESTIMENTO MULTIMERCADO CRÃ‰DITO PRIVADO</v>
          </cell>
          <cell r="E1724" t="str">
            <v>QUADRANTE INVESTIMENTOS LTDA</v>
          </cell>
        </row>
        <row r="1725">
          <cell r="B1725">
            <v>81607</v>
          </cell>
          <cell r="C1725" t="str">
            <v>TAMBAÃš QI FUNDO DE INVESTIMENTO MULTIMERCADO CRÃ‰DITO PRIVADO</v>
          </cell>
          <cell r="D1725" t="str">
            <v>TAMBAÃš QI FUNDO DE INVESTIMENTO MULTIMERCADO CRÃ‰DITO PRIVADO</v>
          </cell>
          <cell r="E1725" t="str">
            <v>QUADRANTE INVESTIMENTOS LTDA</v>
          </cell>
        </row>
        <row r="1726">
          <cell r="B1726">
            <v>125750</v>
          </cell>
          <cell r="C1726" t="str">
            <v>BB GESTAO DE RECURSOS DTVM LTDA</v>
          </cell>
          <cell r="D1726" t="str">
            <v>BB GESTAO DE RECURSOS DTVM LTDA</v>
          </cell>
          <cell r="E1726" t="str">
            <v>BB GESTAO DE RECURSOS DTVM LTDA</v>
          </cell>
        </row>
        <row r="1727">
          <cell r="B1727">
            <v>125751</v>
          </cell>
          <cell r="C1727" t="str">
            <v>BB GESTAO DE RECURSOS DTVM LTDA</v>
          </cell>
          <cell r="D1727" t="str">
            <v>BB GESTAO DE RECURSOS DTVM LTDA</v>
          </cell>
          <cell r="E1727" t="str">
            <v>BB GESTAO DE RECURSOS DTVM LTDA</v>
          </cell>
        </row>
        <row r="1728">
          <cell r="B1728">
            <v>81609</v>
          </cell>
          <cell r="C1728" t="str">
            <v>BANCO CITIBANK S/A</v>
          </cell>
          <cell r="D1728" t="str">
            <v>BANCO CITIBANK S/A</v>
          </cell>
          <cell r="E1728" t="str">
            <v>BANCO CITIBANK S/A</v>
          </cell>
        </row>
        <row r="1729">
          <cell r="B1729">
            <v>125752</v>
          </cell>
          <cell r="C1729" t="str">
            <v>BB GESTAO DE RECURSOS DTVM LTDA</v>
          </cell>
          <cell r="D1729" t="str">
            <v>BB GESTAO DE RECURSOS DTVM LTDA</v>
          </cell>
          <cell r="E1729" t="str">
            <v>BB GESTAO DE RECURSOS DTVM LTDA</v>
          </cell>
        </row>
        <row r="1730">
          <cell r="B1730">
            <v>81610</v>
          </cell>
          <cell r="C1730" t="str">
            <v>ITAU UNIBANCO ASSET MANAGEMENT LTDA</v>
          </cell>
          <cell r="D1730" t="str">
            <v>ITAU UNIBANCO ASSET MANAGEMENT LTDA</v>
          </cell>
          <cell r="E1730" t="str">
            <v>ITAU UNIBANCO ASSET - QUANT   MASTER</v>
          </cell>
        </row>
        <row r="1731">
          <cell r="B1731">
            <v>81610</v>
          </cell>
          <cell r="C1731" t="str">
            <v>ITAU UNIBANCO ASSET MANAGEMENT LTDA</v>
          </cell>
          <cell r="D1731" t="str">
            <v>ITAU UNIBANCO ASSET MANAGEMENT LTDA</v>
          </cell>
          <cell r="E1731" t="str">
            <v>ITAU UNIBANCO ASSET - QUANT   MASTER</v>
          </cell>
        </row>
        <row r="1732">
          <cell r="B1732">
            <v>81612</v>
          </cell>
          <cell r="C1732" t="str">
            <v>ESH CAPITAL INVESTIMENTOS LTDA.</v>
          </cell>
          <cell r="D1732" t="str">
            <v>ESH CAPITAL INVESTIMENTOS LTDA.</v>
          </cell>
          <cell r="E1732" t="str">
            <v>ESH CAPITAL INVESTIMENTOS LTDA.</v>
          </cell>
        </row>
        <row r="1733">
          <cell r="B1733">
            <v>81612</v>
          </cell>
          <cell r="C1733" t="str">
            <v>ESH CAPITAL INVESTIMENTOS LTDA.</v>
          </cell>
          <cell r="D1733" t="str">
            <v>ESH CAPITAL INVESTIMENTOS LTDA.</v>
          </cell>
          <cell r="E1733" t="str">
            <v>ESH CAPITAL INVESTIMENTOS LTDA.</v>
          </cell>
        </row>
        <row r="1734">
          <cell r="B1734">
            <v>125753</v>
          </cell>
          <cell r="C1734" t="str">
            <v>BB GESTAO DE RECURSOS DTVM LTDA</v>
          </cell>
          <cell r="D1734" t="str">
            <v>BB GESTAO DE RECURSOS DTVM LTDA</v>
          </cell>
          <cell r="E1734" t="str">
            <v>BB GESTAO DE RECURSOS DTVM LTDA</v>
          </cell>
        </row>
        <row r="1735">
          <cell r="B1735">
            <v>81613</v>
          </cell>
          <cell r="C1735" t="str">
            <v>SV4 EQUITY LLC</v>
          </cell>
          <cell r="D1735" t="str">
            <v>SV4 EQUITY LLC</v>
          </cell>
          <cell r="E1735" t="str">
            <v>SQUADRA INVESTIMENTOS GESTÃƒO DE RECURSOS LTDA</v>
          </cell>
        </row>
        <row r="1736">
          <cell r="B1736">
            <v>81623</v>
          </cell>
          <cell r="C1736" t="str">
            <v>BRAM ALOCACAO SISTEMATICA FIM PREMIO DE ALTO RISCO</v>
          </cell>
          <cell r="D1736" t="str">
            <v>BRAM ALOCACAO SISTEMATICA FIM PREMIO DE ALTO RISCO</v>
          </cell>
          <cell r="E1736" t="str">
            <v>BRAM - BRADESCO ASSET MANAGEMENT S/A DTVM</v>
          </cell>
        </row>
        <row r="1737">
          <cell r="B1737">
            <v>81624</v>
          </cell>
          <cell r="C1737" t="str">
            <v>TAVOLA EQUITY 15 HEDGE FIM</v>
          </cell>
          <cell r="D1737" t="str">
            <v>TAVOLA EQUITY 15 HEDGE FIM</v>
          </cell>
          <cell r="E1737" t="str">
            <v>TAVOLA CAPITAL GESTAO DE RECURSOS LTDA</v>
          </cell>
        </row>
        <row r="1738">
          <cell r="B1738">
            <v>81625</v>
          </cell>
          <cell r="C1738" t="str">
            <v>ITAU INFLATION STRATEGY MULTIMERCADO FUNDO DE INVESTIMENTO</v>
          </cell>
          <cell r="D1738" t="str">
            <v>ITAU INFLATION STRATEGY MULTIMERCADO FUNDO DE INVESTIMENTO</v>
          </cell>
          <cell r="E1738" t="str">
            <v>ITAU UNIBANCO ASSET - TACO</v>
          </cell>
        </row>
        <row r="1739">
          <cell r="B1739">
            <v>81626</v>
          </cell>
          <cell r="C1739" t="str">
            <v>ITAU FLEXPREV INFLATION EQUITY OPPORTUNITIES MULTIMERCADO FI</v>
          </cell>
          <cell r="D1739" t="str">
            <v>ITAU FLEXPREV INFLATION EQUITY OPPORTUNITIES MULTIMERCADO FI</v>
          </cell>
          <cell r="E1739" t="str">
            <v>ITAU UNIBANCO ASSET - TACO</v>
          </cell>
        </row>
        <row r="1740">
          <cell r="B1740">
            <v>81629</v>
          </cell>
          <cell r="C1740" t="str">
            <v>FUNDO DE INVESTIMENTO DE ACOES AUDAX</v>
          </cell>
          <cell r="D1740" t="str">
            <v>FUNDO DE INVESTIMENTO DE ACOES AUDAX</v>
          </cell>
          <cell r="E1740" t="str">
            <v>AGUILA CAPITAL ADM E GESTAO DE CAPITAIS LTDA</v>
          </cell>
        </row>
        <row r="1741">
          <cell r="B1741">
            <v>81629</v>
          </cell>
          <cell r="C1741" t="str">
            <v>FUNDO DE INVESTIMENTO DE ACOES AUDAX</v>
          </cell>
          <cell r="D1741" t="str">
            <v>FUNDO DE INVESTIMENTO DE ACOES AUDAX</v>
          </cell>
          <cell r="E1741" t="str">
            <v>AGUILA CAPITAL ADM E GESTAO DE CAPITAIS LTDA</v>
          </cell>
        </row>
        <row r="1742">
          <cell r="B1742">
            <v>81632</v>
          </cell>
          <cell r="C1742" t="str">
            <v>BSWM GESTAO DE RECURSOS LTDA</v>
          </cell>
          <cell r="D1742" t="str">
            <v>BSWM GESTAO DE RECURSOS LTDA</v>
          </cell>
          <cell r="E1742" t="str">
            <v>BSWM GESTÃO DE RECURSOS LTDA.</v>
          </cell>
        </row>
        <row r="1743">
          <cell r="B1743">
            <v>81632</v>
          </cell>
          <cell r="C1743" t="str">
            <v>BSWM GESTAO DE RECURSOS LTDA</v>
          </cell>
          <cell r="D1743" t="str">
            <v>BSWM GESTAO DE RECURSOS LTDA</v>
          </cell>
          <cell r="E1743" t="str">
            <v>BSWM GESTÃO DE RECURSOS LTDA.</v>
          </cell>
        </row>
        <row r="1744">
          <cell r="B1744">
            <v>81633</v>
          </cell>
          <cell r="C1744" t="str">
            <v>ITAÃš EMPRESA GOVERNANÃ‡A CORPORATIVA AÃ‡Ã•ES FI EM COTAS DE FI</v>
          </cell>
          <cell r="D1744" t="str">
            <v>ITAÃš EMPRESA GOVERNANÃ‡A CORPORATIVA AÃ‡Ã•ES FI EM COTAS DE FI</v>
          </cell>
          <cell r="E1744" t="str">
            <v>ITAU UNIBANCO ASSET - TACO</v>
          </cell>
        </row>
        <row r="1745">
          <cell r="B1745">
            <v>81634</v>
          </cell>
          <cell r="C1745" t="str">
            <v>ITAÃš VÃ‰RTICE IBOVESPA EQUITIES II FI EM COTAS DE FI EM AÃ‡Ã•ES</v>
          </cell>
          <cell r="D1745" t="str">
            <v>ITAÃš VÃ‰RTICE IBOVESPA EQUITIES II FI EM COTAS DE FI EM AÃ‡Ã•ES</v>
          </cell>
          <cell r="E1745" t="str">
            <v>ITAU UNIBANCO ASSET - TACO</v>
          </cell>
        </row>
        <row r="1746">
          <cell r="B1746">
            <v>81635</v>
          </cell>
          <cell r="C1746" t="str">
            <v>SANTANDER GLOBAL EQUITIES DOLAR MULTIMERCADO IE FI</v>
          </cell>
          <cell r="D1746" t="str">
            <v>SANTANDER GLOBAL EQUITIES DOLAR MULTIMERCADO IE FI</v>
          </cell>
          <cell r="E1746" t="str">
            <v>SANTANDER BRASIL GESTAO DE RECURSOS LTDA</v>
          </cell>
        </row>
        <row r="1747">
          <cell r="B1747">
            <v>81636</v>
          </cell>
          <cell r="C1747" t="str">
            <v>ITAÃš INFLAÃ‡ÃƒO MULTIESTRATÃ‰GIA MULTI FUNDO DE INVESTIMENTO</v>
          </cell>
          <cell r="D1747" t="str">
            <v>ITAÃš INFLAÃ‡ÃƒO MULTIESTRATÃ‰GIA MULTI FUNDO DE INVESTIMENTO</v>
          </cell>
          <cell r="E1747" t="str">
            <v>ITAU UNIBANCO ASSET - TACO</v>
          </cell>
        </row>
        <row r="1748">
          <cell r="B1748">
            <v>81637</v>
          </cell>
          <cell r="C1748" t="str">
            <v>ITAÃš ARTAX OFF PREV MULT IE FIM</v>
          </cell>
          <cell r="D1748" t="str">
            <v>ITAÃš ARTAX OFF PREV MULT IE FIM</v>
          </cell>
          <cell r="E1748" t="str">
            <v>ITAU UNIBANCO ASSET - TACO</v>
          </cell>
        </row>
        <row r="1749">
          <cell r="B1749">
            <v>125754</v>
          </cell>
          <cell r="C1749" t="str">
            <v>BB GESTAO DE RECURSOS DTVM LTDA</v>
          </cell>
          <cell r="D1749" t="str">
            <v>BB GESTAO DE RECURSOS DTVM LTDA</v>
          </cell>
          <cell r="E1749" t="str">
            <v>BB GESTAO DE RECURSOS DTVM LTDA</v>
          </cell>
        </row>
        <row r="1750">
          <cell r="B1750">
            <v>125755</v>
          </cell>
          <cell r="C1750" t="str">
            <v>BB GESTAO DE RECURSOS DTVM LTDA</v>
          </cell>
          <cell r="D1750" t="str">
            <v>BB GESTAO DE RECURSOS DTVM LTDA</v>
          </cell>
          <cell r="E1750" t="str">
            <v>BB GESTAO DE RECURSOS DTVM LTDA</v>
          </cell>
        </row>
        <row r="1751">
          <cell r="B1751">
            <v>81643</v>
          </cell>
          <cell r="C1751" t="str">
            <v>BANCO SUMITOMO MITSUI BRASILEIRO S.A</v>
          </cell>
          <cell r="D1751" t="str">
            <v>BANCO SUMITOMO MITSUI BRASILEIRO S.A</v>
          </cell>
          <cell r="E1751" t="str">
            <v>BANCO SUMITOMO MITSUI BRASILEIRO S/A</v>
          </cell>
        </row>
        <row r="1752">
          <cell r="B1752">
            <v>81644</v>
          </cell>
          <cell r="C1752" t="str">
            <v>ORI CAPITAL I MASTER FIA</v>
          </cell>
          <cell r="D1752" t="str">
            <v>ORI CAPITAL I MASTER FIA</v>
          </cell>
          <cell r="E1752" t="str">
            <v>ORI CAPITAL LTDA</v>
          </cell>
        </row>
        <row r="1753">
          <cell r="B1753">
            <v>81644</v>
          </cell>
          <cell r="C1753" t="str">
            <v>ORI CAPITAL I MASTER FIA</v>
          </cell>
          <cell r="D1753" t="str">
            <v>ORI CAPITAL I MASTER FIA</v>
          </cell>
          <cell r="E1753" t="str">
            <v>ORI CAPITAL LTDA</v>
          </cell>
        </row>
        <row r="1754">
          <cell r="B1754">
            <v>81646</v>
          </cell>
          <cell r="C1754" t="str">
            <v>JERA CAPITAL GESTÃƒO DE RECURSOS LTDA</v>
          </cell>
          <cell r="D1754" t="str">
            <v>JERA CAPITAL GESTÃƒO DE RECURSOS LTDA</v>
          </cell>
          <cell r="E1754" t="str">
            <v>JERA CAPITAL GESTÃƒO DE RECURSOS LTDA</v>
          </cell>
        </row>
        <row r="1755">
          <cell r="B1755">
            <v>81646</v>
          </cell>
          <cell r="C1755" t="str">
            <v>JERA CAPITAL GESTÃƒO DE RECURSOS LTDA</v>
          </cell>
          <cell r="D1755" t="str">
            <v>JERA CAPITAL GESTÃƒO DE RECURSOS LTDA</v>
          </cell>
          <cell r="E1755" t="str">
            <v>JERA CAPITAL GESTÃƒO DE RECURSOS LTDA</v>
          </cell>
        </row>
        <row r="1756">
          <cell r="B1756">
            <v>125119</v>
          </cell>
          <cell r="C1756" t="str">
            <v>IRB ASSET MANAGEMENT S.A</v>
          </cell>
          <cell r="D1756" t="str">
            <v>IRB ASSET MANAGEMENT S.A</v>
          </cell>
          <cell r="E1756" t="str">
            <v>IRB ASSET MANAGEMENT S/A</v>
          </cell>
        </row>
        <row r="1757">
          <cell r="B1757">
            <v>125119</v>
          </cell>
          <cell r="C1757" t="str">
            <v>IRB ASSET MANAGEMENT S.A</v>
          </cell>
          <cell r="D1757" t="str">
            <v>IRB ASSET MANAGEMENT S.A</v>
          </cell>
          <cell r="E1757" t="str">
            <v>IRB ASSET MANAGEMENT S/A</v>
          </cell>
        </row>
        <row r="1758">
          <cell r="B1758">
            <v>81648</v>
          </cell>
          <cell r="C1758" t="str">
            <v>CLAVE GESTORA DE RECURSOS LTDA</v>
          </cell>
          <cell r="D1758" t="str">
            <v>CLAVE GESTORA DE RECURSOS LTDA</v>
          </cell>
          <cell r="E1758" t="str">
            <v>CLAVE GESTORA DE RECURSOS LTDA</v>
          </cell>
        </row>
        <row r="1759">
          <cell r="B1759">
            <v>81648</v>
          </cell>
          <cell r="C1759" t="str">
            <v>CLAVE GESTORA DE RECURSOS LTDA</v>
          </cell>
          <cell r="D1759" t="str">
            <v>CLAVE GESTORA DE RECURSOS LTDA</v>
          </cell>
          <cell r="E1759" t="str">
            <v>CLAVE GESTORA DE RECURSOS LTDA</v>
          </cell>
        </row>
        <row r="1760">
          <cell r="B1760">
            <v>81653</v>
          </cell>
          <cell r="C1760" t="str">
            <v>BANCO CITIBANK S/A</v>
          </cell>
          <cell r="D1760" t="str">
            <v>BANCO CITIBANK S/A</v>
          </cell>
          <cell r="E1760" t="str">
            <v>BANCO CITIBANK S/A</v>
          </cell>
        </row>
        <row r="1761">
          <cell r="B1761">
            <v>81654</v>
          </cell>
          <cell r="C1761" t="str">
            <v>BANCO CITIBANK S/A</v>
          </cell>
          <cell r="D1761" t="str">
            <v>BANCO CITIBANK S/A</v>
          </cell>
          <cell r="E1761" t="str">
            <v>BANCO CITIBANK S/A</v>
          </cell>
        </row>
        <row r="1762">
          <cell r="B1762">
            <v>81655</v>
          </cell>
          <cell r="C1762" t="str">
            <v>BTG PACTUAL MACRO HF FIM</v>
          </cell>
          <cell r="D1762" t="str">
            <v>BTG PACTUAL MACRO HF FIM</v>
          </cell>
          <cell r="E1762" t="str">
            <v>BTG PACTUAL ASSET MANAGEMENT SA DTVM</v>
          </cell>
        </row>
        <row r="1763">
          <cell r="B1763">
            <v>81656</v>
          </cell>
          <cell r="C1763" t="str">
            <v>BTGP ABSOLUTO LS B PREV FIFE FIM CP</v>
          </cell>
          <cell r="D1763" t="str">
            <v>BTGP ABSOLUTO LS B PREV FIFE FIM CP</v>
          </cell>
          <cell r="E1763" t="str">
            <v>BTG PACTUAL ASSET MANAGEMENT SA DTVM</v>
          </cell>
        </row>
        <row r="1764">
          <cell r="B1764">
            <v>81658</v>
          </cell>
          <cell r="C1764" t="str">
            <v>ALASKA INVESTIMENTOS LTDA</v>
          </cell>
          <cell r="D1764" t="str">
            <v>ALASKA INVESTIMENTOS LTDA</v>
          </cell>
          <cell r="E1764" t="str">
            <v>ALASKA INVESTIMENTOS LTDA</v>
          </cell>
        </row>
        <row r="1765">
          <cell r="B1765">
            <v>81658</v>
          </cell>
          <cell r="C1765" t="str">
            <v>ALASKA INVESTIMENTOS LTDA</v>
          </cell>
          <cell r="D1765" t="str">
            <v>ALASKA INVESTIMENTOS LTDA</v>
          </cell>
          <cell r="E1765" t="str">
            <v>ALASKA INVESTIMENTOS LTDA</v>
          </cell>
        </row>
        <row r="1766">
          <cell r="B1766">
            <v>125757</v>
          </cell>
          <cell r="C1766" t="str">
            <v>BB GESTAO DE RECURSOS DTVM LTDA</v>
          </cell>
          <cell r="D1766" t="str">
            <v>BB GESTAO DE RECURSOS DTVM LTDA</v>
          </cell>
          <cell r="E1766" t="str">
            <v>BB GESTAO DE RECURSOS DTVM LTDA</v>
          </cell>
        </row>
        <row r="1767">
          <cell r="B1767">
            <v>81664</v>
          </cell>
          <cell r="C1767" t="str">
            <v>BANCO SUMITOMO MITSUI BRASILEIRO S.A</v>
          </cell>
          <cell r="D1767" t="str">
            <v>BANCO SUMITOMO MITSUI BRASILEIRO S.A</v>
          </cell>
          <cell r="E1767" t="str">
            <v>BANCO SUMITOMO MITSUI BRASILEIRO S/A</v>
          </cell>
        </row>
        <row r="1768">
          <cell r="B1768">
            <v>81665</v>
          </cell>
          <cell r="C1768" t="str">
            <v>BANCO SUMITOMO MITSUI BRASILEIRO S.A</v>
          </cell>
          <cell r="D1768" t="str">
            <v>BANCO SUMITOMO MITSUI BRASILEIRO S.A</v>
          </cell>
          <cell r="E1768" t="str">
            <v>BANCO SUMITOMO MITSUI BRASILEIRO S/A</v>
          </cell>
        </row>
        <row r="1769">
          <cell r="B1769">
            <v>81666</v>
          </cell>
          <cell r="C1769" t="str">
            <v>BWS SELECAO BONDS FIM CP IE</v>
          </cell>
          <cell r="D1769" t="str">
            <v>BWS SELECAO BONDS FIM CP IE</v>
          </cell>
          <cell r="E1769" t="str">
            <v>GALLOWAY CAPITAL GESTORA DE RECURSOS LTDA.</v>
          </cell>
        </row>
        <row r="1770">
          <cell r="B1770">
            <v>81684</v>
          </cell>
          <cell r="C1770" t="str">
            <v>BANCO CAIXA GERAL BRASIL SA</v>
          </cell>
          <cell r="D1770" t="str">
            <v>BANCO CAIXA GERAL BRASIL SA</v>
          </cell>
          <cell r="E1770" t="str">
            <v>BANCO CAIXA GERAL BRASIL S/A</v>
          </cell>
        </row>
        <row r="1771">
          <cell r="B1771">
            <v>81685</v>
          </cell>
          <cell r="C1771" t="str">
            <v>BANCO CAIXA GERAL BRASIL SA</v>
          </cell>
          <cell r="D1771" t="str">
            <v>BANCO CAIXA GERAL BRASIL SA</v>
          </cell>
          <cell r="E1771" t="str">
            <v>BANCO CAIXA GERAL BRASIL S/A</v>
          </cell>
        </row>
        <row r="1772">
          <cell r="B1772">
            <v>81686</v>
          </cell>
          <cell r="C1772" t="str">
            <v>IBIUNA ST PREV ITAÃš FIFE FIF MULT CP RL</v>
          </cell>
          <cell r="D1772" t="str">
            <v>IBIUNA ST PREV ITAÃš FIFE FIF MULT CP RL</v>
          </cell>
          <cell r="E1772" t="str">
            <v>IBIUNA GESTAO DE RECURSOS LTDA</v>
          </cell>
        </row>
        <row r="1773">
          <cell r="B1773">
            <v>9999603</v>
          </cell>
          <cell r="C1773" t="str">
            <v>BGC LIQUIDEZ DTVM LTDA</v>
          </cell>
          <cell r="D1773" t="str">
            <v>BGC LIQUIDEZ DTVM LTDA</v>
          </cell>
          <cell r="E1773" t="str">
            <v>BGC LIQUIDEZ DTVM LTDA</v>
          </cell>
        </row>
        <row r="1774">
          <cell r="B1774">
            <v>9999603</v>
          </cell>
          <cell r="C1774" t="str">
            <v>BGC LIQUIDEZ DTVM LTDA</v>
          </cell>
          <cell r="D1774" t="str">
            <v>BGC LIQUIDEZ DTVM LTDA</v>
          </cell>
          <cell r="E1774" t="str">
            <v>BGC LIQUIDEZ DTVM LTDA</v>
          </cell>
        </row>
        <row r="1775">
          <cell r="B1775">
            <v>81693</v>
          </cell>
          <cell r="C1775" t="str">
            <v>CREDIT SUISSE HEDGING-GRIFFO WEALTH MANAGEMENT S/A</v>
          </cell>
          <cell r="D1775" t="str">
            <v>CREDIT SUISSE HEDGING-GRIFFO WEALTH MANAGEMENT S/A</v>
          </cell>
          <cell r="E1775" t="str">
            <v>CREDIT SUISSE HEDGING-GRIFFO WEALTH MANAGEMENT S/A</v>
          </cell>
        </row>
        <row r="1776">
          <cell r="B1776">
            <v>81693</v>
          </cell>
          <cell r="C1776" t="str">
            <v>CREDIT SUISSE HEDGING-GRIFFO WEALTH MANAGEMENT S/A</v>
          </cell>
          <cell r="D1776" t="str">
            <v>CREDIT SUISSE HEDGING-GRIFFO WEALTH MANAGEMENT S/A</v>
          </cell>
          <cell r="E1776" t="str">
            <v>CREDIT SUISSE HEDGING-GRIFFO WEALTH MANAGEMENT S/A</v>
          </cell>
        </row>
        <row r="1777">
          <cell r="B1777">
            <v>81697</v>
          </cell>
          <cell r="C1777" t="str">
            <v>LOUIS DREYFUS COMPANY BRASIL S/A</v>
          </cell>
          <cell r="D1777" t="str">
            <v>LOUIS DREYFUS COMPANY BRASIL S/A</v>
          </cell>
          <cell r="E1777" t="str">
            <v>LOUIS DREYFUS COMPANY BRASIL S/A</v>
          </cell>
        </row>
        <row r="1778">
          <cell r="B1778">
            <v>81696</v>
          </cell>
          <cell r="C1778" t="str">
            <v>LOUIS DREYFUS COMPANY BRASIL S/A</v>
          </cell>
          <cell r="D1778" t="str">
            <v>LOUIS DREYFUS COMPANY BRASIL S/A</v>
          </cell>
          <cell r="E1778" t="str">
            <v>LOUIS DREYFUS COMPANY BRASIL S/A</v>
          </cell>
        </row>
        <row r="1779">
          <cell r="B1779">
            <v>81699</v>
          </cell>
          <cell r="C1779" t="str">
            <v>SAFRA PREV KEPLER ADVANCED FIM PREVIDENCIÃRIO</v>
          </cell>
          <cell r="D1779" t="str">
            <v>SAFRA PREV KEPLER ADVANCED FIM PREVIDENCIÃRIO</v>
          </cell>
          <cell r="E1779" t="str">
            <v>EMERALD GESTAO DE INVESTIMENTOS LTDA</v>
          </cell>
        </row>
        <row r="1780">
          <cell r="B1780">
            <v>81700</v>
          </cell>
          <cell r="C1780" t="str">
            <v>BANCO HSBC S.A</v>
          </cell>
          <cell r="D1780" t="str">
            <v>BANCO HSBC S.A</v>
          </cell>
          <cell r="E1780" t="str">
            <v>BANCO HSBC S/A</v>
          </cell>
        </row>
        <row r="1781">
          <cell r="B1781">
            <v>81701</v>
          </cell>
          <cell r="C1781" t="str">
            <v>BNP PARIBAS EQD BRAZIL FUND CLASSE DE INVESTIMENTO MULTI CP</v>
          </cell>
          <cell r="D1781" t="str">
            <v>BNP PARIBAS EQD BRAZIL FUND CLASSE DE INVESTIMENTO MULTI CP</v>
          </cell>
          <cell r="E1781" t="str">
            <v>BANCO BNP PARIBAS BRASIL S/A</v>
          </cell>
        </row>
        <row r="1782">
          <cell r="B1782">
            <v>81702</v>
          </cell>
          <cell r="C1782" t="str">
            <v>BNP PARIBAS FINANCIAL MARKETS</v>
          </cell>
          <cell r="D1782" t="str">
            <v>BNP PARIBAS FINANCIAL MARKETS</v>
          </cell>
          <cell r="E1782" t="str">
            <v>BANCO BNP PARIBAS BRASIL S/A</v>
          </cell>
        </row>
        <row r="1783">
          <cell r="B1783">
            <v>81703</v>
          </cell>
          <cell r="C1783" t="str">
            <v>MANTARO CAPITAL LTDA</v>
          </cell>
          <cell r="D1783" t="str">
            <v>MANTARO CAPITAL LTDA</v>
          </cell>
          <cell r="E1783" t="str">
            <v>MANTARO CAPITAL LTDA</v>
          </cell>
        </row>
        <row r="1784">
          <cell r="B1784">
            <v>81704</v>
          </cell>
          <cell r="C1784" t="str">
            <v>MANTARO EQUITY HEDGE FUNDO DE INVESTIMENTO MULTIMERCADO</v>
          </cell>
          <cell r="D1784" t="str">
            <v>MANTARO EQUITY HEDGE FUNDO DE INVESTIMENTO MULTIMERCADO</v>
          </cell>
          <cell r="E1784" t="str">
            <v>MANTARO CAPITAL LTDA</v>
          </cell>
        </row>
        <row r="1785">
          <cell r="B1785">
            <v>81705</v>
          </cell>
          <cell r="C1785" t="str">
            <v>SAFRA PREV KEPLER ADVANCED FIC FIM PREVIDENCIÃRIO</v>
          </cell>
          <cell r="D1785" t="str">
            <v>SAFRA PREV KEPLER ADVANCED FIC FIM PREVIDENCIÃRIO</v>
          </cell>
          <cell r="E1785" t="str">
            <v>TURMALINA GESTAO E ADMINISTRAÃ‡ÃƒO DE RECURSOS SA</v>
          </cell>
        </row>
        <row r="1786">
          <cell r="B1786">
            <v>81706</v>
          </cell>
          <cell r="C1786" t="str">
            <v>VINLAND MACRO PREVIDENCIARIO BB MASTER MULTIMERCADO FI</v>
          </cell>
          <cell r="D1786" t="str">
            <v>VINLAND MACRO PREVIDENCIARIO BB MASTER MULTIMERCADO FI</v>
          </cell>
          <cell r="E1786" t="str">
            <v>VINLAND CAPITAL MANAGEMENT GESTORA DE RECURSOS LTDA</v>
          </cell>
        </row>
        <row r="1787">
          <cell r="B1787">
            <v>81707</v>
          </cell>
          <cell r="C1787" t="str">
            <v>MONTE AZUL GESTAO DE RECURSOS LTDA</v>
          </cell>
          <cell r="D1787" t="str">
            <v>MONTE AZUL GESTAO DE RECURSOS LTDA</v>
          </cell>
          <cell r="E1787" t="str">
            <v>MONTE AZUL GESTAO DE RECURSOS LTDA</v>
          </cell>
        </row>
        <row r="1788">
          <cell r="B1788">
            <v>81707</v>
          </cell>
          <cell r="C1788" t="str">
            <v>MONTE AZUL GESTAO DE RECURSOS LTDA</v>
          </cell>
          <cell r="D1788" t="str">
            <v>MONTE AZUL GESTAO DE RECURSOS LTDA</v>
          </cell>
          <cell r="E1788" t="str">
            <v>MONTE AZUL GESTAO DE RECURSOS LTDA</v>
          </cell>
        </row>
        <row r="1789">
          <cell r="B1789">
            <v>81710</v>
          </cell>
          <cell r="C1789" t="str">
            <v>RYO GESTAO DE RECURSOS LTDA</v>
          </cell>
          <cell r="D1789" t="str">
            <v>RYO GESTAO DE RECURSOS LTDA</v>
          </cell>
          <cell r="E1789" t="str">
            <v>RYO GESTAO DE RECURSOS LTDA</v>
          </cell>
        </row>
        <row r="1790">
          <cell r="B1790">
            <v>81710</v>
          </cell>
          <cell r="C1790" t="str">
            <v>RYO GESTAO DE RECURSOS LTDA</v>
          </cell>
          <cell r="D1790" t="str">
            <v>RYO GESTAO DE RECURSOS LTDA</v>
          </cell>
          <cell r="E1790" t="str">
            <v>RYO GESTAO DE RECURSOS LTDA</v>
          </cell>
        </row>
        <row r="1791">
          <cell r="B1791">
            <v>81711</v>
          </cell>
          <cell r="C1791" t="str">
            <v>ENCORE GESTAO DE RECURSOS LTDA</v>
          </cell>
          <cell r="D1791" t="str">
            <v>ENCORE GESTAO DE RECURSOS LTDA</v>
          </cell>
          <cell r="E1791" t="str">
            <v>ENCORE GESTAO DE RECURSOS LTDA</v>
          </cell>
        </row>
        <row r="1792">
          <cell r="B1792">
            <v>81712</v>
          </cell>
          <cell r="C1792" t="str">
            <v>A1 HEDGE PREVIDENCIA MULTIMERCADO FI</v>
          </cell>
          <cell r="D1792" t="str">
            <v>A1 HEDGE PREVIDENCIA MULTIMERCADO FI</v>
          </cell>
          <cell r="E1792" t="str">
            <v>ASSET1 INVESTIMENTOS LTDA</v>
          </cell>
        </row>
        <row r="1793">
          <cell r="B1793">
            <v>81714</v>
          </cell>
          <cell r="C1793" t="str">
            <v>A1 HEDGE B PREVIDENCIA FIFE MASTER FIM</v>
          </cell>
          <cell r="D1793" t="str">
            <v>A1 HEDGE B PREVIDENCIA FIFE MASTER FIM</v>
          </cell>
          <cell r="E1793" t="str">
            <v>ASSET1 INVESTIMENTOS LTDA</v>
          </cell>
        </row>
        <row r="1794">
          <cell r="B1794">
            <v>81717</v>
          </cell>
          <cell r="C1794" t="str">
            <v>BNP PARIBAS FINANCIAL MARKETS</v>
          </cell>
          <cell r="D1794" t="str">
            <v>BNP PARIBAS FINANCIAL MARKETS</v>
          </cell>
          <cell r="E1794" t="str">
            <v>BANCO BNP PARIBAS BRASIL S/A</v>
          </cell>
        </row>
        <row r="1795">
          <cell r="B1795">
            <v>81718</v>
          </cell>
          <cell r="C1795" t="str">
            <v>QUANTIQUE M3 INVESTMENTS LTDA</v>
          </cell>
          <cell r="D1795" t="str">
            <v>QUANTIQUE M3 INVESTMENTS LTDA</v>
          </cell>
          <cell r="E1795" t="str">
            <v>QUANTIQUE M3 INVESTMENTS LTDA</v>
          </cell>
        </row>
        <row r="1796">
          <cell r="B1796">
            <v>81718</v>
          </cell>
          <cell r="C1796" t="str">
            <v>QUANTIQUE M3 INVESTMENTS LTDA</v>
          </cell>
          <cell r="D1796" t="str">
            <v>QUANTIQUE M3 INVESTMENTS LTDA</v>
          </cell>
          <cell r="E1796" t="str">
            <v>QUANTIQUE M3 INVESTMENTS LTDA</v>
          </cell>
        </row>
        <row r="1797">
          <cell r="B1797">
            <v>81728</v>
          </cell>
          <cell r="C1797" t="str">
            <v>QUANTIQUE QUARK MAGNON FIF MULT</v>
          </cell>
          <cell r="D1797" t="str">
            <v>QUANTIQUE QUARK MAGNON FIF MULT</v>
          </cell>
          <cell r="E1797" t="str">
            <v>QUANTIQUE M3 INVESTMENTS LTDA</v>
          </cell>
        </row>
        <row r="1798">
          <cell r="B1798">
            <v>81730</v>
          </cell>
          <cell r="C1798" t="str">
            <v>FLORENCA F2Q BS FUNDO DE INVESTIMENTO MULTIMERCADO</v>
          </cell>
          <cell r="D1798" t="str">
            <v>FLORENCA F2Q BS FUNDO DE INVESTIMENTO MULTIMERCADO</v>
          </cell>
          <cell r="E1798" t="str">
            <v>FLORENCA F2Q BS FUNDO DE INVESTIMENTO MULTIMERCADO</v>
          </cell>
        </row>
        <row r="1799">
          <cell r="B1799">
            <v>81731</v>
          </cell>
          <cell r="C1799" t="str">
            <v>VISTA MACRO B FIFE FIM CP</v>
          </cell>
          <cell r="D1799" t="str">
            <v>VISTA MACRO B FIFE FIM CP</v>
          </cell>
          <cell r="E1799" t="str">
            <v>VISTA CAPITAL GESTORA DE RECURSOS LTDA</v>
          </cell>
        </row>
        <row r="1800">
          <cell r="B1800">
            <v>81731</v>
          </cell>
          <cell r="C1800" t="str">
            <v>VISTA MACRO B FIFE FIM CP</v>
          </cell>
          <cell r="D1800" t="str">
            <v>VISTA MACRO B FIFE FIM CP</v>
          </cell>
          <cell r="E1800" t="str">
            <v>VISTA CAPITAL GESTORA DE RECURSOS LTDA</v>
          </cell>
        </row>
        <row r="1801">
          <cell r="B1801">
            <v>81733</v>
          </cell>
          <cell r="C1801" t="str">
            <v>SAFRA S&amp;P REAIS RP FIM</v>
          </cell>
          <cell r="D1801" t="str">
            <v>SAFRA S&amp;P REAIS RP FIM</v>
          </cell>
          <cell r="E1801" t="str">
            <v>BANCO J SAFRA S/A</v>
          </cell>
        </row>
        <row r="1802">
          <cell r="B1802">
            <v>81735</v>
          </cell>
          <cell r="C1802" t="str">
            <v>TATIANA FI EM COTAS DE FIM CP IE</v>
          </cell>
          <cell r="D1802" t="str">
            <v>TATIANA FI EM COTAS DE FIM CP IE</v>
          </cell>
          <cell r="E1802" t="str">
            <v>EMERALD GESTAO DE INVESTIMENTOS LTDA</v>
          </cell>
        </row>
        <row r="1803">
          <cell r="B1803">
            <v>81736</v>
          </cell>
          <cell r="C1803" t="str">
            <v>SAFRA PREV RF FIF PREVIDENCIÃRIO CI RF PREV RESP LIMITADA</v>
          </cell>
          <cell r="D1803" t="str">
            <v>SAFRA PREV RF FIF PREVIDENCIÃRIO CI RF PREV RESP LIMITADA</v>
          </cell>
          <cell r="E1803" t="str">
            <v>TURMALINA GESTAO E ADMINISTRAÃ‡ÃƒO DE RECURSOS SA</v>
          </cell>
        </row>
        <row r="1804">
          <cell r="B1804">
            <v>81738</v>
          </cell>
          <cell r="C1804" t="str">
            <v>CAIEIRAS FIM IE CP</v>
          </cell>
          <cell r="D1804" t="str">
            <v>CAIEIRAS FIM IE CP</v>
          </cell>
          <cell r="E1804" t="str">
            <v>MORGAN STANLEY ADMINISTRADORA DE CARTEIRAS S/A</v>
          </cell>
        </row>
        <row r="1805">
          <cell r="B1805">
            <v>81738</v>
          </cell>
          <cell r="C1805" t="str">
            <v>CAIEIRAS FIM IE CP</v>
          </cell>
          <cell r="D1805" t="str">
            <v>CAIEIRAS FIM IE CP</v>
          </cell>
          <cell r="E1805" t="str">
            <v>MORGAN STANLEY ADMINISTRADORA DE CARTEIRAS S/A</v>
          </cell>
        </row>
        <row r="1806">
          <cell r="B1806">
            <v>81740</v>
          </cell>
          <cell r="C1806" t="str">
            <v>C6 TECHINVEST BRASIL DIVIDENDOS FIA</v>
          </cell>
          <cell r="D1806" t="str">
            <v>C6 TECHINVEST BRASIL DIVIDENDOS FIA</v>
          </cell>
          <cell r="E1806" t="str">
            <v>CARBON ASSET MANAGEMENT LTDA</v>
          </cell>
        </row>
        <row r="1807">
          <cell r="B1807">
            <v>81741</v>
          </cell>
          <cell r="C1807" t="str">
            <v>C6 TECHINVEST MID&amp;SMALL FIA</v>
          </cell>
          <cell r="D1807" t="str">
            <v>C6 TECHINVEST MID&amp;SMALL FIA</v>
          </cell>
          <cell r="E1807" t="str">
            <v>CARBON ASSET MANAGEMENT LTDA</v>
          </cell>
        </row>
        <row r="1808">
          <cell r="B1808">
            <v>81742</v>
          </cell>
          <cell r="C1808" t="str">
            <v>C6 TECHINVEST OURO FIM</v>
          </cell>
          <cell r="D1808" t="str">
            <v>C6 TECHINVEST OURO FIM</v>
          </cell>
          <cell r="E1808" t="str">
            <v>CARBON ASSET MANAGEMENT LTDA</v>
          </cell>
        </row>
        <row r="1809">
          <cell r="B1809">
            <v>81743</v>
          </cell>
          <cell r="C1809" t="str">
            <v>CARBON MASTER FIA</v>
          </cell>
          <cell r="D1809" t="str">
            <v>CARBON MASTER FIA</v>
          </cell>
          <cell r="E1809" t="str">
            <v>CARBON ASSET MANAGEMENT LTDA</v>
          </cell>
        </row>
        <row r="1810">
          <cell r="B1810">
            <v>81745</v>
          </cell>
          <cell r="C1810" t="str">
            <v>ITAU UNIBANCO ASSET MANAGEMENT LTDA</v>
          </cell>
          <cell r="D1810" t="str">
            <v>ITAU UNIBANCO ASSET MANAGEMENT LTDA</v>
          </cell>
          <cell r="E1810" t="str">
            <v>ITAU UNIBANCO ASSET - PAPA</v>
          </cell>
        </row>
        <row r="1811">
          <cell r="B1811">
            <v>81745</v>
          </cell>
          <cell r="C1811" t="str">
            <v>ITAU UNIBANCO ASSET MANAGEMENT LTDA</v>
          </cell>
          <cell r="D1811" t="str">
            <v>ITAU UNIBANCO ASSET MANAGEMENT LTDA</v>
          </cell>
          <cell r="E1811" t="str">
            <v>ITAU UNIBANCO ASSET - PAPA</v>
          </cell>
        </row>
        <row r="1812">
          <cell r="B1812">
            <v>81747</v>
          </cell>
          <cell r="C1812" t="str">
            <v>3R GESTORA DE RECURSOS LTDA</v>
          </cell>
          <cell r="D1812" t="str">
            <v>3R GESTORA DE RECURSOS LTDA</v>
          </cell>
          <cell r="E1812" t="str">
            <v>3R GESTORA DE RECURSOS LTDA</v>
          </cell>
        </row>
        <row r="1813">
          <cell r="B1813">
            <v>81747</v>
          </cell>
          <cell r="C1813" t="str">
            <v>3R GESTORA DE RECURSOS LTDA</v>
          </cell>
          <cell r="D1813" t="str">
            <v>3R GESTORA DE RECURSOS LTDA</v>
          </cell>
          <cell r="E1813" t="str">
            <v>3R GESTORA DE RECURSOS LTDA</v>
          </cell>
        </row>
        <row r="1814">
          <cell r="B1814">
            <v>81750</v>
          </cell>
          <cell r="C1814" t="str">
            <v>RAM GESTORA DE RECURSOS LTDA</v>
          </cell>
          <cell r="D1814" t="str">
            <v>RAM GESTORA DE RECURSOS LTDA</v>
          </cell>
          <cell r="E1814" t="str">
            <v>RAM GESTORA DE RECURSOS LTDA</v>
          </cell>
        </row>
        <row r="1815">
          <cell r="B1815">
            <v>81750</v>
          </cell>
          <cell r="C1815" t="str">
            <v>RAM GESTORA DE RECURSOS LTDA</v>
          </cell>
          <cell r="D1815" t="str">
            <v>RAM GESTORA DE RECURSOS LTDA</v>
          </cell>
          <cell r="E1815" t="str">
            <v>RAM GESTORA DE RECURSOS LTDA</v>
          </cell>
        </row>
        <row r="1816">
          <cell r="B1816">
            <v>81751</v>
          </cell>
          <cell r="C1816" t="str">
            <v>ASA ASSET 2 GESTAO DE RECURSOS LTDA</v>
          </cell>
          <cell r="D1816" t="str">
            <v>ASA ASSET 2 GESTAO DE RECURSOS LTDA</v>
          </cell>
          <cell r="E1816" t="str">
            <v>ASA ASSET GESTAO EM INVESTIMENTOS LTDA</v>
          </cell>
        </row>
        <row r="1817">
          <cell r="B1817">
            <v>81751</v>
          </cell>
          <cell r="C1817" t="str">
            <v>ASA ASSET 2 GESTAO DE RECURSOS LTDA</v>
          </cell>
          <cell r="D1817" t="str">
            <v>ASA ASSET 2 GESTAO DE RECURSOS LTDA</v>
          </cell>
          <cell r="E1817" t="str">
            <v>ASA ASSET GESTAO EM INVESTIMENTOS LTDA</v>
          </cell>
        </row>
        <row r="1818">
          <cell r="B1818">
            <v>81752</v>
          </cell>
          <cell r="C1818" t="str">
            <v>ASTERALES FIM CP IE</v>
          </cell>
          <cell r="D1818" t="str">
            <v>ASTERALES FIM CP IE</v>
          </cell>
          <cell r="E1818" t="str">
            <v>RAM GESTORA DE RECURSOS LTDA</v>
          </cell>
        </row>
        <row r="1819">
          <cell r="B1819">
            <v>81752</v>
          </cell>
          <cell r="C1819" t="str">
            <v>ASTERALES FIM CP IE</v>
          </cell>
          <cell r="D1819" t="str">
            <v>ASTERALES FIM CP IE</v>
          </cell>
          <cell r="E1819" t="str">
            <v>RAM GESTORA DE RECURSOS LTDA</v>
          </cell>
        </row>
        <row r="1820">
          <cell r="B1820">
            <v>81753</v>
          </cell>
          <cell r="C1820" t="str">
            <v>DHARMA FIM</v>
          </cell>
          <cell r="D1820" t="str">
            <v>DHARMA FIM</v>
          </cell>
          <cell r="E1820" t="str">
            <v>RAM GESTORA DE RECURSOS LTDA</v>
          </cell>
        </row>
        <row r="1821">
          <cell r="B1821">
            <v>81753</v>
          </cell>
          <cell r="C1821" t="str">
            <v>DHARMA FIM</v>
          </cell>
          <cell r="D1821" t="str">
            <v>DHARMA FIM</v>
          </cell>
          <cell r="E1821" t="str">
            <v>RAM GESTORA DE RECURSOS LTDA</v>
          </cell>
        </row>
        <row r="1822">
          <cell r="B1822">
            <v>81754</v>
          </cell>
          <cell r="C1822" t="str">
            <v>EXCELSIS FIA</v>
          </cell>
          <cell r="D1822" t="str">
            <v>EXCELSIS FIA</v>
          </cell>
          <cell r="E1822" t="str">
            <v>RAM GESTORA DE RECURSOS LTDA</v>
          </cell>
        </row>
        <row r="1823">
          <cell r="B1823">
            <v>81754</v>
          </cell>
          <cell r="C1823" t="str">
            <v>EXCELSIS FIA</v>
          </cell>
          <cell r="D1823" t="str">
            <v>EXCELSIS FIA</v>
          </cell>
          <cell r="E1823" t="str">
            <v>RAM GESTORA DE RECURSOS LTDA</v>
          </cell>
        </row>
        <row r="1824">
          <cell r="B1824">
            <v>81755</v>
          </cell>
          <cell r="C1824" t="str">
            <v>ITAU ARTAX LONG BIAS MULTIMERCADO FI</v>
          </cell>
          <cell r="D1824" t="str">
            <v>ITAU ARTAX LONG BIAS MULTIMERCADO FI</v>
          </cell>
          <cell r="E1824" t="str">
            <v>ITAU UNIBANCO ASSET - TACO</v>
          </cell>
        </row>
        <row r="1825">
          <cell r="B1825">
            <v>81756</v>
          </cell>
          <cell r="C1825" t="str">
            <v>OCCAM BRASIL GESTAO DE RECURSOS LTDA</v>
          </cell>
          <cell r="D1825" t="str">
            <v>OCCAM BRASIL GESTAO DE RECURSOS LTDA</v>
          </cell>
          <cell r="E1825" t="str">
            <v>OCCAM BRASIL GESTAO DE RECURSOS LTDA</v>
          </cell>
        </row>
        <row r="1826">
          <cell r="B1826">
            <v>81756</v>
          </cell>
          <cell r="C1826" t="str">
            <v>OCCAM BRASIL GESTAO DE RECURSOS LTDA</v>
          </cell>
          <cell r="D1826" t="str">
            <v>OCCAM BRASIL GESTAO DE RECURSOS LTDA</v>
          </cell>
          <cell r="E1826" t="str">
            <v>OCCAM BRASIL GESTAO DE RECURSOS LTDA</v>
          </cell>
        </row>
        <row r="1827">
          <cell r="B1827">
            <v>81758</v>
          </cell>
          <cell r="C1827" t="str">
            <v>CLAVE ALTERNATIVOS GESTORA DE RECURSOS LTDA</v>
          </cell>
          <cell r="D1827" t="str">
            <v>CLAVE ALTERNATIVOS GESTORA DE RECURSOS LTDA</v>
          </cell>
          <cell r="E1827" t="str">
            <v>CLAVE GESTORA DE RECURSOS LTDA</v>
          </cell>
        </row>
        <row r="1828">
          <cell r="B1828">
            <v>81758</v>
          </cell>
          <cell r="C1828" t="str">
            <v>CLAVE ALTERNATIVOS GESTORA DE RECURSOS LTDA</v>
          </cell>
          <cell r="D1828" t="str">
            <v>CLAVE ALTERNATIVOS GESTORA DE RECURSOS LTDA</v>
          </cell>
          <cell r="E1828" t="str">
            <v>CLAVE GESTORA DE RECURSOS LTDA</v>
          </cell>
        </row>
        <row r="1829">
          <cell r="B1829">
            <v>81759</v>
          </cell>
          <cell r="C1829" t="str">
            <v>PLANO BASICO DE BENEFICIOS</v>
          </cell>
          <cell r="D1829" t="str">
            <v>PLANO BASICO DE BENEFICIOS</v>
          </cell>
          <cell r="E1829" t="str">
            <v>CENTRUS -FUNDAÇÃO BANCO CENTRAL DE PREVIDENCIA PRIVADA</v>
          </cell>
        </row>
        <row r="1830">
          <cell r="B1830">
            <v>81760</v>
          </cell>
          <cell r="C1830" t="str">
            <v>PLANO DE BENEFICIO DEFINIDO CENTRUS</v>
          </cell>
          <cell r="D1830" t="str">
            <v>PLANO DE BENEFICIO DEFINIDO CENTRUS</v>
          </cell>
          <cell r="E1830" t="str">
            <v>CENTRUS -FUNDAÇÃO BANCO CENTRAL DE PREVIDENCIA PRIVADA</v>
          </cell>
        </row>
        <row r="1831">
          <cell r="B1831">
            <v>81761</v>
          </cell>
          <cell r="C1831" t="str">
            <v>PLANO DE CONTRIBUICAO DEFINIDA</v>
          </cell>
          <cell r="D1831" t="str">
            <v>PLANO DE CONTRIBUICAO DEFINIDA</v>
          </cell>
          <cell r="E1831" t="str">
            <v>CENTRUS -FUNDAÇÃO BANCO CENTRAL DE PREVIDENCIA PRIVADA</v>
          </cell>
        </row>
        <row r="1832">
          <cell r="B1832">
            <v>81762</v>
          </cell>
          <cell r="C1832" t="str">
            <v>PLANO INSTITUIDO CENTRUSPREV</v>
          </cell>
          <cell r="D1832" t="str">
            <v>PLANO INSTITUIDO CENTRUSPREV</v>
          </cell>
          <cell r="E1832" t="str">
            <v>CENTRUS -FUNDAÇÃO BANCO CENTRAL DE PREVIDENCIA PRIVADA</v>
          </cell>
        </row>
        <row r="1833">
          <cell r="B1833">
            <v>81764</v>
          </cell>
          <cell r="C1833" t="str">
            <v>WESTERN ASSET MANAGEMENT COMPANY DTVM LTDA</v>
          </cell>
          <cell r="D1833" t="str">
            <v>WESTERN ASSET MANAGEMENT COMPANY DTVM LTDA</v>
          </cell>
          <cell r="E1833" t="str">
            <v>WESTERN ASSET MANAGEMENT COMPANY DTVM LTDA</v>
          </cell>
        </row>
        <row r="1834">
          <cell r="B1834">
            <v>81764</v>
          </cell>
          <cell r="C1834" t="str">
            <v>WESTERN ASSET MANAGEMENT COMPANY DTVM LTDA</v>
          </cell>
          <cell r="D1834" t="str">
            <v>WESTERN ASSET MANAGEMENT COMPANY DTVM LTDA</v>
          </cell>
          <cell r="E1834" t="str">
            <v>WESTERN ASSET MANAGEMENT COMPANY DTVM LTDA</v>
          </cell>
        </row>
        <row r="1835">
          <cell r="B1835">
            <v>14383</v>
          </cell>
          <cell r="C1835" t="str">
            <v>UBS AG, LONDON BRANCH NOVO</v>
          </cell>
          <cell r="D1835">
            <v>303</v>
          </cell>
          <cell r="E1835" t="str">
            <v>UBS AG, LONDON BRANCH NOVO</v>
          </cell>
        </row>
        <row r="1836">
          <cell r="B1836">
            <v>81766</v>
          </cell>
          <cell r="C1836" t="str">
            <v>ASA ASSET 2 GESTAO DE RECURSOS LTDA</v>
          </cell>
          <cell r="D1836" t="str">
            <v>ASA ASSET 2 GESTAO DE RECURSOS LTDA</v>
          </cell>
          <cell r="E1836" t="str">
            <v>ASA ASSET GESTAO EM INVESTIMENTOS LTDA</v>
          </cell>
        </row>
        <row r="1837">
          <cell r="B1837">
            <v>81766</v>
          </cell>
          <cell r="C1837" t="str">
            <v>ASA ASSET 2 GESTAO DE RECURSOS LTDA</v>
          </cell>
          <cell r="D1837" t="str">
            <v>ASA ASSET 2 GESTAO DE RECURSOS LTDA</v>
          </cell>
          <cell r="E1837" t="str">
            <v>ASA ASSET GESTAO EM INVESTIMENTOS LTDA</v>
          </cell>
        </row>
        <row r="1838">
          <cell r="B1838">
            <v>81767</v>
          </cell>
          <cell r="C1838" t="str">
            <v>SAFRA DISTRIBUIDORA DE TITULOS E VALORES MOBILIARIOS LTDA.</v>
          </cell>
          <cell r="D1838" t="str">
            <v>SAFRA DISTRIBUIDORA DE TITULOS E VALORES MOBILIARIOS LTDA.</v>
          </cell>
          <cell r="E1838" t="str">
            <v>SAFRA DISTRIBUIDORA DE TITULOS E VALORES MOBILIARIOS LTDA</v>
          </cell>
        </row>
        <row r="1839">
          <cell r="B1839">
            <v>81768</v>
          </cell>
          <cell r="C1839" t="str">
            <v>SAFRA DISTRIBUIDORA DE TITULOS E VALORES MOBILIARIOS LTDA.</v>
          </cell>
          <cell r="D1839" t="str">
            <v>SAFRA DISTRIBUIDORA DE TITULOS E VALORES MOBILIARIOS LTDA.</v>
          </cell>
          <cell r="E1839" t="str">
            <v>SAFRA ASSET MANAGEMENT LTDA</v>
          </cell>
        </row>
        <row r="1840">
          <cell r="B1840">
            <v>81767</v>
          </cell>
          <cell r="C1840" t="str">
            <v>SAFRA DISTRIBUIDORA DE TITULOS E VALORES MOBILIARIOS LTDA.</v>
          </cell>
          <cell r="D1840" t="str">
            <v>SAFRA DISTRIBUIDORA DE TITULOS E VALORES MOBILIARIOS LTDA.</v>
          </cell>
          <cell r="E1840" t="str">
            <v>SAFRA DISTRIBUIDORA DE TITULOS E VALORES MOBILIARIOS LTDA</v>
          </cell>
        </row>
        <row r="1841">
          <cell r="B1841">
            <v>81768</v>
          </cell>
          <cell r="C1841" t="str">
            <v>SAFRA DISTRIBUIDORA DE TITULOS E VALORES MOBILIARIOS LTDA.</v>
          </cell>
          <cell r="D1841" t="str">
            <v>SAFRA DISTRIBUIDORA DE TITULOS E VALORES MOBILIARIOS LTDA.</v>
          </cell>
          <cell r="E1841" t="str">
            <v>SAFRA ASSET MANAGEMENT LTDA</v>
          </cell>
        </row>
        <row r="1842">
          <cell r="B1842">
            <v>81771</v>
          </cell>
          <cell r="C1842" t="str">
            <v>J.P. MORGAN OVERSEAS CAPITAL LLC - BANCO J.P. MORGAN S.A.</v>
          </cell>
          <cell r="D1842" t="str">
            <v>J.P. MORGAN OVERSEAS CAPITAL LLC - BANCO J.P. MORGAN S.A.</v>
          </cell>
          <cell r="E1842" t="str">
            <v>BANCO JP MORGAN S/A</v>
          </cell>
        </row>
        <row r="1843">
          <cell r="B1843">
            <v>81771</v>
          </cell>
          <cell r="C1843" t="str">
            <v>J.P. MORGAN OVERSEAS CAPITAL LLC - BANCO J.P. MORGAN S.A.</v>
          </cell>
          <cell r="D1843">
            <v>545</v>
          </cell>
          <cell r="E1843" t="str">
            <v>BANCO JP MORGAN S/A</v>
          </cell>
        </row>
        <row r="1844">
          <cell r="B1844">
            <v>81772</v>
          </cell>
          <cell r="C1844" t="str">
            <v>LAKESIDE TRADING LLC</v>
          </cell>
          <cell r="D1844" t="str">
            <v>LAKESIDE TRADING LLC</v>
          </cell>
          <cell r="E1844" t="str">
            <v>LAKESIDE TRADING LLC</v>
          </cell>
        </row>
        <row r="1845">
          <cell r="B1845">
            <v>81773</v>
          </cell>
          <cell r="C1845" t="str">
            <v>HPB FUNDO DE INVESTIMENTO EM ACOES IE</v>
          </cell>
          <cell r="D1845" t="str">
            <v>HPB FUNDO DE INVESTIMENTO EM ACOES IE</v>
          </cell>
          <cell r="E1845" t="str">
            <v>ITAU UNIBANCO ASSET - TACO</v>
          </cell>
        </row>
        <row r="1846">
          <cell r="B1846">
            <v>81774</v>
          </cell>
          <cell r="C1846" t="str">
            <v>OITI FIM CP IE</v>
          </cell>
          <cell r="D1846" t="str">
            <v>OITI FIM CP IE</v>
          </cell>
          <cell r="E1846" t="str">
            <v>ITAU UNIBANCO S/A</v>
          </cell>
        </row>
        <row r="1847">
          <cell r="B1847">
            <v>81775</v>
          </cell>
          <cell r="C1847" t="str">
            <v>OITI FIM CP IE</v>
          </cell>
          <cell r="D1847" t="str">
            <v>OITI FIM CP IE</v>
          </cell>
          <cell r="E1847" t="str">
            <v>ITAU UNIBANCO S/A</v>
          </cell>
        </row>
        <row r="1848">
          <cell r="B1848">
            <v>81774</v>
          </cell>
          <cell r="C1848" t="str">
            <v>OITI FIM CP IE</v>
          </cell>
          <cell r="D1848" t="str">
            <v>OITI FIM CP IE</v>
          </cell>
          <cell r="E1848" t="str">
            <v>ITAU UNIBANCO S/A</v>
          </cell>
        </row>
        <row r="1849">
          <cell r="B1849">
            <v>81775</v>
          </cell>
          <cell r="C1849" t="str">
            <v>OITI FIM CP IE</v>
          </cell>
          <cell r="D1849" t="str">
            <v>OITI FIM CP IE</v>
          </cell>
          <cell r="E1849" t="str">
            <v>ITAU UNIBANCO S/A</v>
          </cell>
        </row>
        <row r="1850">
          <cell r="B1850">
            <v>81777</v>
          </cell>
          <cell r="C1850" t="str">
            <v>KAPITALO INVESTIMENTOS LTDA</v>
          </cell>
          <cell r="D1850" t="str">
            <v>KAPITALO INVESTIMENTOS LTDA</v>
          </cell>
          <cell r="E1850" t="str">
            <v>KAPITALO INVESTIMENTOS LTDA</v>
          </cell>
        </row>
        <row r="1851">
          <cell r="B1851">
            <v>81777</v>
          </cell>
          <cell r="C1851" t="str">
            <v>KAPITALO INVESTIMENTOS LTDA</v>
          </cell>
          <cell r="D1851" t="str">
            <v>KAPITALO INVESTIMENTOS LTDA</v>
          </cell>
          <cell r="E1851" t="str">
            <v>KAPITALO INVESTIMENTOS LTDA</v>
          </cell>
        </row>
        <row r="1852">
          <cell r="B1852">
            <v>81778</v>
          </cell>
          <cell r="C1852" t="str">
            <v>KAPITALO INVESTIMENTOS LTDA</v>
          </cell>
          <cell r="D1852" t="str">
            <v>KAPITALO INVESTIMENTOS LTDA</v>
          </cell>
          <cell r="E1852" t="str">
            <v>KAPITALO INVESTIMENTOS LTDA</v>
          </cell>
        </row>
        <row r="1853">
          <cell r="B1853">
            <v>81778</v>
          </cell>
          <cell r="C1853" t="str">
            <v>KAPITALO INVESTIMENTOS LTDA</v>
          </cell>
          <cell r="D1853" t="str">
            <v>KAPITALO INVESTIMENTOS LTDA</v>
          </cell>
          <cell r="E1853" t="str">
            <v>KAPITALO INVESTIMENTOS LTDA</v>
          </cell>
        </row>
        <row r="1854">
          <cell r="B1854">
            <v>81780</v>
          </cell>
          <cell r="C1854" t="str">
            <v>FUNDACAO PETROBRAS DE SEGURIDADE SOCIAL PETROS</v>
          </cell>
          <cell r="D1854" t="str">
            <v>FUNDACAO PETROBRAS DE SEGURIDADE SOCIAL PETROS</v>
          </cell>
          <cell r="E1854" t="str">
            <v>FUNDACAO PETROBRAS DE SEGURIDADE SOCIAL PETROS</v>
          </cell>
        </row>
        <row r="1855">
          <cell r="B1855">
            <v>81780</v>
          </cell>
          <cell r="C1855" t="str">
            <v>FUNDACAO PETROBRAS DE SEGURIDADE SOCIAL PETROS</v>
          </cell>
          <cell r="D1855" t="str">
            <v>FUNDACAO PETROBRAS DE SEGURIDADE SOCIAL PETROS</v>
          </cell>
          <cell r="E1855" t="str">
            <v>FUNDACAO PETROBRAS DE SEGURIDADE SOCIAL PETROS</v>
          </cell>
        </row>
        <row r="1856">
          <cell r="B1856">
            <v>81782</v>
          </cell>
          <cell r="C1856" t="str">
            <v>FUNDACAO PETROBRAS DE SEGURIDADE SOCIAL PETROS</v>
          </cell>
          <cell r="D1856" t="str">
            <v>FUNDACAO PETROBRAS DE SEGURIDADE SOCIAL PETROS</v>
          </cell>
          <cell r="E1856" t="str">
            <v>FUNDACAO PETROBRAS DE SEGURIDADE SOCIAL PETROS</v>
          </cell>
        </row>
        <row r="1857">
          <cell r="B1857">
            <v>81782</v>
          </cell>
          <cell r="C1857" t="str">
            <v>FUNDACAO PETROBRAS DE SEGURIDADE SOCIAL PETROS</v>
          </cell>
          <cell r="D1857" t="str">
            <v>FUNDACAO PETROBRAS DE SEGURIDADE SOCIAL PETROS</v>
          </cell>
          <cell r="E1857" t="str">
            <v>FUNDACAO PETROBRAS DE SEGURIDADE SOCIAL PETROS</v>
          </cell>
        </row>
        <row r="1858">
          <cell r="B1858">
            <v>81785</v>
          </cell>
          <cell r="C1858" t="str">
            <v>BNP PARIBAS FINANCIAL MARKETS</v>
          </cell>
          <cell r="D1858" t="str">
            <v>BNP PARIBAS FINANCIAL MARKETS</v>
          </cell>
          <cell r="E1858" t="str">
            <v>BANCO BNP PARIBAS BRASIL S/A</v>
          </cell>
        </row>
        <row r="1859">
          <cell r="B1859">
            <v>81787</v>
          </cell>
          <cell r="C1859" t="str">
            <v>RPS CAPITAL ABS B PREVIDÃŠNCIA FIFE FIM</v>
          </cell>
          <cell r="D1859" t="str">
            <v>RPS CAPITAL ABS B PREVIDÃŠNCIA FIFE FIM</v>
          </cell>
          <cell r="E1859" t="str">
            <v>RPS CAPITAL ADMINISTRADORA DE RECURSOS LTDA</v>
          </cell>
        </row>
        <row r="1860">
          <cell r="B1860">
            <v>81788</v>
          </cell>
          <cell r="C1860" t="str">
            <v>RPS TOTAL RETURN RV MASTER FIM</v>
          </cell>
          <cell r="D1860" t="str">
            <v>RPS TOTAL RETURN RV MASTER FIM</v>
          </cell>
          <cell r="E1860" t="str">
            <v>RPS CAPITAL ADMINISTRADORA DE RECURSOS LTDA</v>
          </cell>
        </row>
        <row r="1861">
          <cell r="B1861">
            <v>81791</v>
          </cell>
          <cell r="C1861" t="str">
            <v>RPS LONG BIAS SELECTION FUNDO DE INVESTIMENTO EM AÃ‡Ã•ES</v>
          </cell>
          <cell r="D1861" t="str">
            <v>RPS LONG BIAS SELECTION FUNDO DE INVESTIMENTO EM AÃ‡Ã•ES</v>
          </cell>
          <cell r="E1861" t="str">
            <v>RPS CAPITAL ADMINISTRADORA DE RECURSOS LTDA</v>
          </cell>
        </row>
        <row r="1862">
          <cell r="B1862">
            <v>81792</v>
          </cell>
          <cell r="C1862" t="str">
            <v>RPS PREV ABSOLUTO ICATU FI PREV MULTI MASTER</v>
          </cell>
          <cell r="D1862" t="str">
            <v>RPS PREV ABSOLUTO ICATU FI PREV MULTI MASTER</v>
          </cell>
          <cell r="E1862" t="str">
            <v>RPS CAPITAL ADMINISTRADORA DE RECURSOS LTDA</v>
          </cell>
        </row>
        <row r="1863">
          <cell r="B1863">
            <v>81794</v>
          </cell>
          <cell r="C1863" t="str">
            <v>BRAZA BANK S/A BANCO DE CAMBIO</v>
          </cell>
          <cell r="D1863" t="str">
            <v>BRAZA BANK S/A BANCO DE CAMBIO</v>
          </cell>
          <cell r="E1863" t="str">
            <v>BRAZA BANK S/A BANCO DE CAMBIO</v>
          </cell>
        </row>
        <row r="1864">
          <cell r="B1864">
            <v>81796</v>
          </cell>
          <cell r="C1864" t="str">
            <v>PLANO DE BENEFICIOS FBPREV</v>
          </cell>
          <cell r="D1864" t="str">
            <v>PLANO DE BENEFICIOS FBPREV</v>
          </cell>
          <cell r="E1864" t="str">
            <v>FUNDACAO BANRISUL DE SEGURIDADE SOCIAL</v>
          </cell>
        </row>
        <row r="1865">
          <cell r="B1865">
            <v>81797</v>
          </cell>
          <cell r="C1865" t="str">
            <v>FUNDACAO BANRISUL DE SEGURIDADE SOCIAL</v>
          </cell>
          <cell r="D1865" t="str">
            <v>FUNDACAO BANRISUL DE SEGURIDADE SOCIAL</v>
          </cell>
          <cell r="E1865" t="str">
            <v>FUNDACAO BANRISUL DE SEGURIDADE SOCIAL</v>
          </cell>
        </row>
        <row r="1866">
          <cell r="B1866">
            <v>81798</v>
          </cell>
          <cell r="C1866" t="str">
            <v>FUNDACAO BANRISUL DE SEGURIDADE SOCIAL</v>
          </cell>
          <cell r="D1866" t="str">
            <v>FUNDACAO BANRISUL DE SEGURIDADE SOCIAL</v>
          </cell>
          <cell r="E1866" t="str">
            <v>FUNDACAO BANRISUL DE SEGURIDADE SOCIAL</v>
          </cell>
        </row>
        <row r="1867">
          <cell r="B1867">
            <v>1454</v>
          </cell>
          <cell r="C1867" t="str">
            <v>BGC LIQUIDEZ DTVM LTDA</v>
          </cell>
          <cell r="D1867" t="str">
            <v>BGC LIQUIDEZ DTVM LTDA</v>
          </cell>
          <cell r="E1867" t="str">
            <v>BGC LIQUIDEZ DTVM LTDA</v>
          </cell>
        </row>
        <row r="1868">
          <cell r="B1868">
            <v>81799</v>
          </cell>
          <cell r="C1868" t="str">
            <v>PLANO DE BENEFICIOS FBPREV II</v>
          </cell>
          <cell r="D1868" t="str">
            <v>PLANO DE BENEFICIOS FBPREV II</v>
          </cell>
          <cell r="E1868" t="str">
            <v>FUNDACAO BANRISUL DE SEGURIDADE SOCIAL</v>
          </cell>
        </row>
        <row r="1869">
          <cell r="B1869">
            <v>81800</v>
          </cell>
          <cell r="C1869" t="str">
            <v>PLANO DE BENEFICIOS FBPREV II</v>
          </cell>
          <cell r="D1869" t="str">
            <v>PLANO DE BENEFICIOS FBPREV II</v>
          </cell>
          <cell r="E1869" t="str">
            <v>FUNDACAO BANRISUL DE SEGURIDADE SOCIAL</v>
          </cell>
        </row>
        <row r="1870">
          <cell r="B1870">
            <v>81801</v>
          </cell>
          <cell r="C1870" t="str">
            <v>PLANO DE BENEFICIOS FBPREV III</v>
          </cell>
          <cell r="D1870" t="str">
            <v>PLANO DE BENEFICIOS FBPREV III</v>
          </cell>
          <cell r="E1870" t="str">
            <v>FUNDACAO BANRISUL DE SEGURIDADE SOCIAL</v>
          </cell>
        </row>
        <row r="1871">
          <cell r="B1871">
            <v>81802</v>
          </cell>
          <cell r="C1871" t="str">
            <v>PLANO DE BENEFICIOS FBPREV III</v>
          </cell>
          <cell r="D1871" t="str">
            <v>PLANO DE BENEFICIOS FBPREV III</v>
          </cell>
          <cell r="E1871" t="str">
            <v>FUNDACAO BANRISUL DE SEGURIDADE SOCIAL</v>
          </cell>
        </row>
        <row r="1872">
          <cell r="B1872">
            <v>81803</v>
          </cell>
          <cell r="C1872" t="str">
            <v>PLANO DE BENEFICIOS I</v>
          </cell>
          <cell r="D1872" t="str">
            <v>PLANO DE BENEFICIOS I</v>
          </cell>
          <cell r="E1872" t="str">
            <v>FUNDACAO BANRISUL DE SEGURIDADE SOCIAL</v>
          </cell>
        </row>
        <row r="1873">
          <cell r="B1873">
            <v>81804</v>
          </cell>
          <cell r="C1873" t="str">
            <v>PLANO DE BENEFICIO SALDADO</v>
          </cell>
          <cell r="D1873" t="str">
            <v>PLANO DE BENEFICIO SALDADO</v>
          </cell>
          <cell r="E1873" t="str">
            <v>FUNDACAO BANRISUL DE SEGURIDADE SOCIAL</v>
          </cell>
        </row>
        <row r="1874">
          <cell r="B1874">
            <v>81805</v>
          </cell>
          <cell r="C1874" t="str">
            <v>PLANO DE BENEFICIO SALDADO</v>
          </cell>
          <cell r="D1874" t="str">
            <v>PLANO DE BENEFICIO SALDADO</v>
          </cell>
          <cell r="E1874" t="str">
            <v>FUNDACAO BANRISUL DE SEGURIDADE SOCIAL</v>
          </cell>
        </row>
        <row r="1875">
          <cell r="B1875">
            <v>82859</v>
          </cell>
          <cell r="C1875" t="str">
            <v>GLADIUS FIF MULTIMERCADO CREDITO PRIVADO IE</v>
          </cell>
          <cell r="D1875" t="str">
            <v>GLADIUS FIF MULTIMERCADO CREDITO PRIVADO IE</v>
          </cell>
          <cell r="E1875" t="str">
            <v>BANCO XP S/A</v>
          </cell>
        </row>
        <row r="1876">
          <cell r="B1876">
            <v>82859</v>
          </cell>
          <cell r="C1876" t="str">
            <v>GLADIUS FIF MULTIMERCADO CREDITO PRIVADO IE</v>
          </cell>
          <cell r="D1876" t="str">
            <v>GLADIUS FIF MULTIMERCADO CREDITO PRIVADO IE</v>
          </cell>
          <cell r="E1876" t="str">
            <v>BANCO XP S/A</v>
          </cell>
        </row>
        <row r="1877">
          <cell r="B1877">
            <v>81810</v>
          </cell>
          <cell r="C1877" t="str">
            <v>ITAÃš ALGARVE FEEDER AMZ FIM CP</v>
          </cell>
          <cell r="D1877" t="str">
            <v>ITAÃš ALGARVE FEEDER AMZ FIM CP</v>
          </cell>
          <cell r="E1877" t="str">
            <v>ITAU UNIBANCO ASSET - TACO</v>
          </cell>
        </row>
        <row r="1878">
          <cell r="B1878">
            <v>81813</v>
          </cell>
          <cell r="C1878" t="str">
            <v>ITAU BALANCEADO ATIVO FMP - FGTS CARTEIRA LIVRE</v>
          </cell>
          <cell r="D1878" t="str">
            <v>ITAU BALANCEADO ATIVO FMP - FGTS CARTEIRA LIVRE</v>
          </cell>
          <cell r="E1878" t="str">
            <v>ITAU UNIBANCO ASSET - TACO</v>
          </cell>
        </row>
        <row r="1879">
          <cell r="B1879">
            <v>81814</v>
          </cell>
          <cell r="C1879" t="str">
            <v>ITAÃš INSTITUCIONAL BOVV11 FIC FIA</v>
          </cell>
          <cell r="D1879" t="str">
            <v>ITAÃš INSTITUCIONAL BOVV11 FIC FIA</v>
          </cell>
          <cell r="E1879" t="str">
            <v>ITAU UNIBANCO ASSET - TACO</v>
          </cell>
        </row>
        <row r="1880">
          <cell r="B1880">
            <v>81815</v>
          </cell>
          <cell r="C1880" t="str">
            <v>ITAÃš FLEXPREV ADVANCED MM CP FI</v>
          </cell>
          <cell r="D1880" t="str">
            <v>ITAÃš FLEXPREV ADVANCED MM CP FI</v>
          </cell>
          <cell r="E1880" t="str">
            <v>ITAU UNIBANCO ASSET - TACO</v>
          </cell>
        </row>
        <row r="1881">
          <cell r="B1881">
            <v>81816</v>
          </cell>
          <cell r="C1881" t="str">
            <v>RIO OB FUNDO DE INVESTIMENTOS EM AÃ‡Ã•ES</v>
          </cell>
          <cell r="D1881" t="str">
            <v>RIO OB FUNDO DE INVESTIMENTOS EM AÃ‡Ã•ES</v>
          </cell>
          <cell r="E1881" t="str">
            <v>ITAU UNIBANCO ASSET - TACO</v>
          </cell>
        </row>
        <row r="1882">
          <cell r="B1882">
            <v>81817</v>
          </cell>
          <cell r="C1882" t="str">
            <v>ITAÃš VÃ‰RTICE BOVV11 FUNDO DE INVESTIMENTOS EM AÃ‡Ã•ES</v>
          </cell>
          <cell r="D1882" t="str">
            <v>ITAÃš VÃ‰RTICE BOVV11 FUNDO DE INVESTIMENTOS EM AÃ‡Ã•ES</v>
          </cell>
          <cell r="E1882" t="str">
            <v>ITAU UNIBANCO ASSET - TACO</v>
          </cell>
        </row>
        <row r="1883">
          <cell r="B1883">
            <v>81818</v>
          </cell>
          <cell r="C1883" t="str">
            <v>ITAÃš BITCOIN USD FUNDO DE INVESTIMENTO EM AÃ‡Ã•ES</v>
          </cell>
          <cell r="D1883" t="str">
            <v>ITAÃš BITCOIN USD FUNDO DE INVESTIMENTO EM AÃ‡Ã•ES</v>
          </cell>
          <cell r="E1883" t="str">
            <v>ITAU UNIBANCO ASSET - TACO</v>
          </cell>
        </row>
        <row r="1884">
          <cell r="B1884">
            <v>81819</v>
          </cell>
          <cell r="C1884" t="str">
            <v>MAR ASSET MANAGEMENT GESTORA DE RECURSOS LTDA</v>
          </cell>
          <cell r="D1884" t="str">
            <v>MAR ASSET MANAGEMENT GESTORA DE RECURSOS LTDA</v>
          </cell>
          <cell r="E1884" t="str">
            <v>MAR ASSET MANAGEMENT GESTORA DE RECURSOS LTDA</v>
          </cell>
        </row>
        <row r="1885">
          <cell r="B1885">
            <v>81819</v>
          </cell>
          <cell r="C1885" t="str">
            <v>MAR ASSET MANAGEMENT GESTORA DE RECURSOS LTDA</v>
          </cell>
          <cell r="D1885" t="str">
            <v>MAR ASSET MANAGEMENT GESTORA DE RECURSOS LTDA</v>
          </cell>
          <cell r="E1885" t="str">
            <v>MAR ASSET MANAGEMENT GESTORA DE RECURSOS LTDA</v>
          </cell>
        </row>
        <row r="1886">
          <cell r="B1886">
            <v>81820</v>
          </cell>
          <cell r="C1886" t="str">
            <v>SOLANA LONG BIASED FUNDO DE INVESTIMENTO EM AÃ‡Ã•ES</v>
          </cell>
          <cell r="D1886" t="str">
            <v>SOLANA LONG BIASED FUNDO DE INVESTIMENTO EM AÃ‡Ã•ES</v>
          </cell>
          <cell r="E1886" t="str">
            <v>SOLANA GESTORA DE RECURSOS LTDA</v>
          </cell>
        </row>
        <row r="1887">
          <cell r="B1887">
            <v>81825</v>
          </cell>
          <cell r="C1887" t="str">
            <v>NOVO PLANO DE CONTRIBUICAO DEFINIDA</v>
          </cell>
          <cell r="D1887" t="str">
            <v>NOVO PLANO DE CONTRIBUICAO DEFINIDA</v>
          </cell>
          <cell r="E1887" t="str">
            <v>FUNDAÃ‡ÃƒO ELETROSUL DE PREVIDÃŠNCIA E ASSISTÃŠNCIA SOCIAL ELOS</v>
          </cell>
        </row>
        <row r="1888">
          <cell r="B1888">
            <v>81826</v>
          </cell>
          <cell r="C1888" t="str">
            <v>FUNDAÃ‡ÃƒO ELETROSUL DE PREVIDÃŠNCIA E ASSISTÃŠNCIA SOCIAL ELOS</v>
          </cell>
          <cell r="D1888" t="str">
            <v>FUNDAÃ‡ÃƒO ELETROSUL DE PREVIDÃŠNCIA E ASSISTÃŠNCIA SOCIAL ELOS</v>
          </cell>
          <cell r="E1888" t="str">
            <v>FUNDAÃ‡ÃƒO ELETROSUL DE PREVIDÃŠNCIA E ASSISTÃŠNCIA SOCIAL ELOS</v>
          </cell>
        </row>
        <row r="1889">
          <cell r="B1889">
            <v>81828</v>
          </cell>
          <cell r="C1889" t="str">
            <v>PLANO BD ELOS ENGIE</v>
          </cell>
          <cell r="D1889" t="str">
            <v>PLANO BD ELOS ENGIE</v>
          </cell>
          <cell r="E1889" t="str">
            <v>FUNDAÃ‡ÃƒO ELETROSUL DE PREVIDÃŠNCIA E ASSISTÃŠNCIA SOCIAL ELOS</v>
          </cell>
        </row>
        <row r="1890">
          <cell r="B1890">
            <v>81829</v>
          </cell>
          <cell r="C1890" t="str">
            <v>PLANO DE BENEFICIO DEFINIDO ELOS ELETROSUL</v>
          </cell>
          <cell r="D1890" t="str">
            <v>PLANO DE BENEFICIO DEFINIDO ELOS ELETROSUL</v>
          </cell>
          <cell r="E1890" t="str">
            <v>FUNDAÃ‡ÃƒO ELETROSUL DE PREVIDÃŠNCIA E ASSISTÃŠNCIA SOCIAL ELOS</v>
          </cell>
        </row>
        <row r="1891">
          <cell r="B1891">
            <v>81830</v>
          </cell>
          <cell r="C1891" t="str">
            <v>PLANO DE BENEFÃCIOS PREVIDÃŠNCIARIOS N01 CD ELETROSUL</v>
          </cell>
          <cell r="D1891" t="str">
            <v>PLANO DE BENEFÃCIOS PREVIDÃŠNCIARIOS N01 CD ELETROSUL</v>
          </cell>
          <cell r="E1891" t="str">
            <v>FUNDAÃ‡ÃƒO ELETROSUL DE PREVIDÃŠNCIA E ASSISTÃŠNCIA SOCIAL ELOS</v>
          </cell>
        </row>
        <row r="1892">
          <cell r="B1892">
            <v>1455</v>
          </cell>
          <cell r="C1892" t="str">
            <v>BGC LIQUIDEZ DTVM LTDA</v>
          </cell>
          <cell r="D1892" t="str">
            <v>BGC LIQUIDEZ DTVM LTDA</v>
          </cell>
          <cell r="E1892" t="str">
            <v>BGC LIQUIDEZ DTVM LTDA</v>
          </cell>
        </row>
        <row r="1893">
          <cell r="B1893">
            <v>81846</v>
          </cell>
          <cell r="C1893" t="str">
            <v>ITAU UNIBANCO S.A.</v>
          </cell>
          <cell r="D1893" t="str">
            <v>ITAU UNIBANCO S.A.</v>
          </cell>
          <cell r="E1893" t="str">
            <v>ITAU UNIBANCO S/A</v>
          </cell>
        </row>
        <row r="1894">
          <cell r="B1894">
            <v>81846</v>
          </cell>
          <cell r="C1894" t="str">
            <v>ITAU UNIBANCO S.A.</v>
          </cell>
          <cell r="D1894" t="str">
            <v>ITAU UNIBANCO S.A.</v>
          </cell>
          <cell r="E1894" t="str">
            <v>ITAU UNIBANCO S/A</v>
          </cell>
        </row>
        <row r="1895">
          <cell r="B1895">
            <v>81847</v>
          </cell>
          <cell r="C1895" t="str">
            <v>MACQUARIE BANK LIMITED - SANTANDER</v>
          </cell>
          <cell r="D1895" t="str">
            <v>MACQUARIE BANK LIMITED - SANTANDER</v>
          </cell>
          <cell r="E1895" t="str">
            <v>MACQUARIE BANK LIMITED</v>
          </cell>
        </row>
        <row r="1896">
          <cell r="B1896">
            <v>81849</v>
          </cell>
          <cell r="C1896" t="str">
            <v>IBIUNA MACRO GESTÃƒO DE RECURSOS LTDA</v>
          </cell>
          <cell r="D1896" t="str">
            <v>IBIUNA MACRO GESTÃƒO DE RECURSOS LTDA</v>
          </cell>
          <cell r="E1896" t="str">
            <v>IBIUNA GESTAO DE RECURSOS LTDA</v>
          </cell>
        </row>
        <row r="1897">
          <cell r="B1897">
            <v>81849</v>
          </cell>
          <cell r="C1897" t="str">
            <v>IBIUNA MACRO GESTÃƒO DE RECURSOS LTDA</v>
          </cell>
          <cell r="D1897" t="str">
            <v>IBIUNA MACRO GESTÃƒO DE RECURSOS LTDA</v>
          </cell>
          <cell r="E1897" t="str">
            <v>IBIUNA GESTAO DE RECURSOS LTDA</v>
          </cell>
        </row>
        <row r="1898">
          <cell r="B1898">
            <v>81852</v>
          </cell>
          <cell r="C1898" t="str">
            <v>PLANO EXECUTIVO FEDERAL</v>
          </cell>
          <cell r="D1898" t="str">
            <v>PLANO EXECUTIVO FEDERAL</v>
          </cell>
          <cell r="E1898" t="str">
            <v>FUNPRESP EXE - FUND DE PREV COMPLEMENTAR DO SERV PUBLICO FED</v>
          </cell>
        </row>
        <row r="1899">
          <cell r="B1899">
            <v>81853</v>
          </cell>
          <cell r="C1899" t="str">
            <v>PLANO DE BENEFICIOS DO PODER LEGISLATIVO FEDERAL</v>
          </cell>
          <cell r="D1899" t="str">
            <v>PLANO DE BENEFICIOS DO PODER LEGISLATIVO FEDERAL</v>
          </cell>
          <cell r="E1899" t="str">
            <v>FUNPRESP EXE - FUND DE PREV COMPLEMENTAR DO SERV PUBLICO FED</v>
          </cell>
        </row>
        <row r="1900">
          <cell r="B1900">
            <v>81859</v>
          </cell>
          <cell r="C1900" t="str">
            <v>SAFRA IBOVESPA ALOCACAO MASTER FIA</v>
          </cell>
          <cell r="D1900" t="str">
            <v>SAFRA IBOVESPA ALOCACAO MASTER FIA</v>
          </cell>
          <cell r="E1900" t="str">
            <v>EMERALD GESTAO DE INVESTIMENTOS LTDA</v>
          </cell>
        </row>
        <row r="1901">
          <cell r="B1901">
            <v>81863</v>
          </cell>
          <cell r="C1901" t="str">
            <v>SAFRA CONSUMO AMERICANO REAIS PB FIA BDR-NÃVEL I</v>
          </cell>
          <cell r="D1901" t="str">
            <v>SAFRA CONSUMO AMERICANO REAIS PB FIA BDR-NÃVEL I</v>
          </cell>
          <cell r="E1901" t="str">
            <v>EMERALD GESTAO DE INVESTIMENTOS LTDA</v>
          </cell>
        </row>
        <row r="1902">
          <cell r="B1902">
            <v>81865</v>
          </cell>
          <cell r="C1902" t="str">
            <v>BRADESCO FUNDO DE INVESTIMENTO EM AÃ‡Ã•ES MÃSTER LONG ONLY</v>
          </cell>
          <cell r="D1902" t="str">
            <v>BRADESCO FUNDO DE INVESTIMENTO EM AÃ‡Ã•ES MÃSTER LONG ONLY</v>
          </cell>
          <cell r="E1902" t="str">
            <v>BRAM - BRADESCO ASSET MANAGEMENT S/A DTVM</v>
          </cell>
        </row>
        <row r="1903">
          <cell r="B1903">
            <v>81866</v>
          </cell>
          <cell r="C1903" t="str">
            <v>BRADESCO FUNDO DE INVESTIMENTO EM AÃ‡Ã•ES MÃSTER PREVIDÃŠNCIA I</v>
          </cell>
          <cell r="D1903" t="str">
            <v>BRADESCO FUNDO DE INVESTIMENTO EM AÃ‡Ã•ES MÃSTER PREVIDÃŠNCIA I</v>
          </cell>
          <cell r="E1903" t="str">
            <v>BRAM - BRADESCO ASSET MANAGEMENT S/A DTVM</v>
          </cell>
        </row>
        <row r="1904">
          <cell r="B1904">
            <v>81868</v>
          </cell>
          <cell r="C1904" t="str">
            <v>BRAM FUNDO DE INVESTIMENTO EM AÃ‡Ã•ES INSTITUCIONAL</v>
          </cell>
          <cell r="D1904" t="str">
            <v>BRAM FUNDO DE INVESTIMENTO EM AÃ‡Ã•ES INSTITUCIONAL</v>
          </cell>
          <cell r="E1904" t="str">
            <v>BRAM - BRADESCO ASSET MANAGEMENT S/A DTVM</v>
          </cell>
        </row>
        <row r="1905">
          <cell r="B1905">
            <v>81869</v>
          </cell>
          <cell r="C1905" t="str">
            <v>B-INDEX MORNINGSTAR BRASIL MOMENTO FUNDO DE INDICE</v>
          </cell>
          <cell r="D1905" t="str">
            <v>B-INDEX MORNINGSTAR BRASIL MOMENTO FUNDO DE INDICE</v>
          </cell>
          <cell r="E1905" t="str">
            <v>BRAM - BRADESCO ASSET MANAGEMENT S/A DTVM</v>
          </cell>
        </row>
        <row r="1906">
          <cell r="B1906">
            <v>81871</v>
          </cell>
          <cell r="C1906" t="str">
            <v>B-INDEX MORNINGSTAR BRASIL PESOS IGUAIS FUNDO DE ÃNDICE</v>
          </cell>
          <cell r="D1906" t="str">
            <v>B-INDEX MORNINGSTAR BRASIL PESOS IGUAIS FUNDO DE ÃNDICE</v>
          </cell>
          <cell r="E1906" t="str">
            <v>BRAM - BRADESCO ASSET MANAGEMENT S/A DTVM</v>
          </cell>
        </row>
        <row r="1907">
          <cell r="B1907">
            <v>81872</v>
          </cell>
          <cell r="C1907" t="str">
            <v>B-INDEX MORNINGSTAR SETORES CICLICOS BRASIL FUNDO DE INDICE</v>
          </cell>
          <cell r="D1907" t="str">
            <v>B-INDEX MORNINGSTAR SETORES CICLICOS BRASIL FUNDO DE INDICE</v>
          </cell>
          <cell r="E1907" t="str">
            <v>BRAM - BRADESCO ASSET MANAGEMENT S/A DTVM</v>
          </cell>
        </row>
        <row r="1908">
          <cell r="B1908">
            <v>81873</v>
          </cell>
          <cell r="C1908" t="str">
            <v>B-INDEX MORNINGSTAR SETORES DEFENSIVOS BRASIL FI</v>
          </cell>
          <cell r="D1908" t="str">
            <v>B-INDEX MORNINGSTAR SETORES DEFENSIVOS BRASIL FI</v>
          </cell>
          <cell r="E1908" t="str">
            <v>BRAM - BRADESCO ASSET MANAGEMENT S/A DTVM</v>
          </cell>
        </row>
        <row r="1909">
          <cell r="B1909">
            <v>81874</v>
          </cell>
          <cell r="C1909" t="str">
            <v>MILENIO CAPITAL GESTAO DE INVESTIMENTOS LTDA</v>
          </cell>
          <cell r="D1909" t="str">
            <v>MILENIO CAPITAL GESTAO DE INVESTIMENTOS LTDA</v>
          </cell>
          <cell r="E1909" t="str">
            <v>MILENIO CAPITAL GESTAO DE INVESTIMENTOS LTDA</v>
          </cell>
        </row>
        <row r="1910">
          <cell r="B1910">
            <v>81874</v>
          </cell>
          <cell r="C1910" t="str">
            <v>MILENIO CAPITAL GESTAO DE INVESTIMENTOS LTDA</v>
          </cell>
          <cell r="D1910" t="str">
            <v>MILENIO CAPITAL GESTAO DE INVESTIMENTOS LTDA</v>
          </cell>
          <cell r="E1910" t="str">
            <v>MILENIO CAPITAL GESTAO DE INVESTIMENTOS LTDA</v>
          </cell>
        </row>
        <row r="1911">
          <cell r="B1911">
            <v>81876</v>
          </cell>
          <cell r="C1911" t="str">
            <v>STK CAPITAL GESTORA DE RECURSOS LTDA</v>
          </cell>
          <cell r="D1911" t="str">
            <v>STK CAPITAL GESTORA DE RECURSOS LTDA</v>
          </cell>
          <cell r="E1911" t="str">
            <v>STK CAPITAL GESTORA DE RECURSOS LTDA</v>
          </cell>
        </row>
        <row r="1912">
          <cell r="B1912">
            <v>81881</v>
          </cell>
          <cell r="C1912" t="str">
            <v>ITAÃš FLEXPREV VÃ‰RTICE B GERAL RF FI</v>
          </cell>
          <cell r="D1912" t="str">
            <v>ITAÃš FLEXPREV VÃ‰RTICE B GERAL RF FI</v>
          </cell>
          <cell r="E1912" t="str">
            <v>ITAU UNIBANCO ASSET - TACO</v>
          </cell>
        </row>
        <row r="1913">
          <cell r="B1913">
            <v>81882</v>
          </cell>
          <cell r="C1913" t="str">
            <v>ITAÃš FLEXPREV VÃ‰RTICE IMAB5 MAIS RENDA FIXA FI</v>
          </cell>
          <cell r="D1913" t="str">
            <v>ITAÃš FLEXPREV VÃ‰RTICE IMAB5 MAIS RENDA FIXA FI</v>
          </cell>
          <cell r="E1913" t="str">
            <v>ITAU UNIBANCO ASSET - TACO</v>
          </cell>
        </row>
        <row r="1914">
          <cell r="B1914">
            <v>81880</v>
          </cell>
          <cell r="C1914" t="str">
            <v>ITAU UNIBANCO ASSET MANAGEMENT LTDA</v>
          </cell>
          <cell r="D1914" t="str">
            <v>ITAU UNIBANCO ASSET MANAGEMENT LTDA</v>
          </cell>
          <cell r="E1914" t="str">
            <v>ITAU UNIBANCO ASSET - GLOB
  DINA</v>
          </cell>
        </row>
        <row r="1915">
          <cell r="B1915">
            <v>81880</v>
          </cell>
          <cell r="C1915" t="str">
            <v>ITAU UNIBANCO ASSET MANAGEMENT LTDA</v>
          </cell>
          <cell r="D1915" t="str">
            <v>ITAU UNIBANCO ASSET MANAGEMENT LTDA</v>
          </cell>
          <cell r="E1915" t="str">
            <v>ITAU UNIBANCO ASSET - GLOB
  DINA</v>
          </cell>
        </row>
        <row r="1916">
          <cell r="B1916">
            <v>81883</v>
          </cell>
          <cell r="C1916" t="str">
            <v>ITAÃš RENDA FIXA IMA-B FI</v>
          </cell>
          <cell r="D1916" t="str">
            <v>ITAÃš RENDA FIXA IMA-B FI</v>
          </cell>
          <cell r="E1916" t="str">
            <v>ITAU UNIBANCO ASSET - TACO</v>
          </cell>
        </row>
        <row r="1917">
          <cell r="B1917">
            <v>81884</v>
          </cell>
          <cell r="C1917" t="str">
            <v>ITAU VERSO K RF FI</v>
          </cell>
          <cell r="D1917" t="str">
            <v>ITAU VERSO K RF FI</v>
          </cell>
          <cell r="E1917" t="str">
            <v>ITAU UNIBANCO ASSET - TACO</v>
          </cell>
        </row>
        <row r="1918">
          <cell r="B1918">
            <v>81885</v>
          </cell>
          <cell r="C1918" t="str">
            <v>ELETROS ITAÃšNA FUNDO DE INVESTIMENTO EM AÃ‡Ã•ES</v>
          </cell>
          <cell r="D1918" t="str">
            <v>ELETROS ITAÃšNA FUNDO DE INVESTIMENTO EM AÃ‡Ã•ES</v>
          </cell>
          <cell r="E1918" t="str">
            <v>FUNDACAO ELETROBRAS DE SEGURIDADE SOCIAL ELETROS</v>
          </cell>
        </row>
        <row r="1919">
          <cell r="B1919">
            <v>81887</v>
          </cell>
          <cell r="C1919" t="str">
            <v>PLANO DE BENEFICIOS I</v>
          </cell>
          <cell r="D1919" t="str">
            <v>PLANO DE BENEFICIOS I</v>
          </cell>
          <cell r="E1919" t="str">
            <v>FUNDACAO BANRISUL DE SEGURIDADE SOCIAL</v>
          </cell>
        </row>
        <row r="1920">
          <cell r="B1920">
            <v>81889</v>
          </cell>
          <cell r="C1920" t="str">
            <v>VECTOR TRADING LLC</v>
          </cell>
          <cell r="D1920" t="str">
            <v>VECTOR TRADING LLC</v>
          </cell>
          <cell r="E1920" t="str">
            <v>VECTOR TRADING LLC</v>
          </cell>
        </row>
        <row r="1921">
          <cell r="B1921">
            <v>81890</v>
          </cell>
          <cell r="C1921" t="str">
            <v>VECTOR TRADING LLC</v>
          </cell>
          <cell r="D1921" t="str">
            <v>VECTOR TRADING LLC</v>
          </cell>
          <cell r="E1921" t="str">
            <v>VECTOR TRADING LLC</v>
          </cell>
        </row>
        <row r="1922">
          <cell r="B1922">
            <v>81891</v>
          </cell>
          <cell r="C1922" t="str">
            <v>CS EVOLUTION MACRO STRATEGIES MASTER FIM CP</v>
          </cell>
          <cell r="D1922" t="str">
            <v>CS EVOLUTION MACRO STRATEGIES MASTER FIM CP</v>
          </cell>
          <cell r="E1922" t="str">
            <v>CREDIT SUISSE HEDGING-GRIFFO WEALTH MANAGEMENT S/A</v>
          </cell>
        </row>
        <row r="1923">
          <cell r="B1923">
            <v>81895</v>
          </cell>
          <cell r="C1923" t="str">
            <v>ITAU FLEXPREV MASTER GD MULTIMERCADO FUNDO DE INVESTIMENTO</v>
          </cell>
          <cell r="D1923" t="str">
            <v>ITAU FLEXPREV MASTER GD MULTIMERCADO FUNDO DE INVESTIMENTO</v>
          </cell>
          <cell r="E1923" t="str">
            <v>ITAU UNIBANCO ASSET - TACO</v>
          </cell>
        </row>
        <row r="1924">
          <cell r="B1924">
            <v>81896</v>
          </cell>
          <cell r="C1924" t="str">
            <v>ITAU MASTER GLOBAL DINAMICO ULTRA MULTIMERCADO FUNDO DE INVE</v>
          </cell>
          <cell r="D1924" t="str">
            <v>ITAU MASTER GLOBAL DINAMICO ULTRA MULTIMERCADO FUNDO DE INVE</v>
          </cell>
          <cell r="E1924" t="str">
            <v>ITAU UNIBANCO ASSET - TACO</v>
          </cell>
        </row>
        <row r="1925">
          <cell r="B1925">
            <v>81898</v>
          </cell>
          <cell r="C1925" t="str">
            <v>FUNDO FORTALEZA DE INVESTIMENTO IMOBILIÃRIO</v>
          </cell>
          <cell r="D1925" t="str">
            <v>FUNDO FORTALEZA DE INVESTIMENTO IMOBILIÃRIO</v>
          </cell>
          <cell r="E1925" t="str">
            <v>FUNDO FORTALEZA DE INVESTIMENTO IMOBILIÃRIO</v>
          </cell>
        </row>
        <row r="1926">
          <cell r="B1926">
            <v>81902</v>
          </cell>
          <cell r="C1926" t="str">
            <v>SAFRA AGILITÃ‰ FUNDO DE INVESTIMENTO RENDA FIXA CRÃ‰DITO PRIVA</v>
          </cell>
          <cell r="D1926" t="str">
            <v>SAFRA AGILITÃ‰ FUNDO DE INVESTIMENTO RENDA FIXA CRÃ‰DITO PRIVA</v>
          </cell>
          <cell r="E1926" t="str">
            <v>SAFRA ASSET MANAGEMENT LTDA</v>
          </cell>
        </row>
        <row r="1927">
          <cell r="B1927">
            <v>81904</v>
          </cell>
          <cell r="C1927" t="str">
            <v>SAFE ICATU QUALIFICADO PREVIDENCIÃRIO FUNDO DE INVESTIMENTO</v>
          </cell>
          <cell r="D1927" t="str">
            <v>SAFE ICATU QUALIFICADO PREVIDENCIÃRIO FUNDO DE INVESTIMENTO</v>
          </cell>
          <cell r="E1927" t="str">
            <v>SAFRA ASSET MANAGEMENT LTDA</v>
          </cell>
        </row>
        <row r="1928">
          <cell r="B1928">
            <v>81905</v>
          </cell>
          <cell r="C1928" t="str">
            <v>PRIVATE ADVANTAGE FI EM COTAS DE FIM CP</v>
          </cell>
          <cell r="D1928" t="str">
            <v>PRIVATE ADVANTAGE FI EM COTAS DE FIM CP</v>
          </cell>
          <cell r="E1928" t="str">
            <v>SAFRA ASSET MANAGEMENT LTDA</v>
          </cell>
        </row>
        <row r="1929">
          <cell r="B1929">
            <v>81906</v>
          </cell>
          <cell r="C1929" t="str">
            <v>SAFRA DEBÃŠNTURES INCENT CRÃ‰D PRIV MASTER II FII EM INF RF</v>
          </cell>
          <cell r="D1929" t="str">
            <v>SAFRA DEBÃŠNTURES INCENT CRÃ‰D PRIV MASTER II FII EM INF RF</v>
          </cell>
          <cell r="E1929" t="str">
            <v>SAFRA ASSET MANAGEMENT LTDA</v>
          </cell>
        </row>
        <row r="1930">
          <cell r="B1930">
            <v>81909</v>
          </cell>
          <cell r="C1930" t="str">
            <v>AGUIA FIM INFRAESTRUTURA INCENTIVADO CREDITO PRIVADO</v>
          </cell>
          <cell r="D1930" t="str">
            <v>AGUIA FIM INFRAESTRUTURA INCENTIVADO CREDITO PRIVADO</v>
          </cell>
          <cell r="E1930" t="str">
            <v>SAFRA ASSET MANAGEMENT LTDA</v>
          </cell>
        </row>
        <row r="1931">
          <cell r="B1931">
            <v>81911</v>
          </cell>
          <cell r="C1931" t="str">
            <v>GAROUPA FIC DE FUNDOS DE INVESTIMENTO MULTIMERCADO CP IE</v>
          </cell>
          <cell r="D1931" t="str">
            <v>GAROUPA FIC DE FUNDOS DE INVESTIMENTO MULTIMERCADO CP IE</v>
          </cell>
          <cell r="E1931" t="str">
            <v>SAFRA ASSET MANAGEMENT LTDA</v>
          </cell>
        </row>
        <row r="1932">
          <cell r="B1932">
            <v>81912</v>
          </cell>
          <cell r="C1932" t="str">
            <v>PENSION FUNDO DE INVESTIMENTO RENDA FIXA CRÃ‰DITO PRIVADO</v>
          </cell>
          <cell r="D1932" t="str">
            <v>PENSION FUNDO DE INVESTIMENTO RENDA FIXA CRÃ‰DITO PRIVADO</v>
          </cell>
          <cell r="E1932" t="str">
            <v>SAFRA ASSET MANAGEMENT LTDA</v>
          </cell>
        </row>
        <row r="1933">
          <cell r="B1933">
            <v>81915</v>
          </cell>
          <cell r="C1933" t="str">
            <v>SAFRA EXCLUSIVITÃ‰ DEBÃŠNTURES INCENTIVADAS CRÃ‰DITO PRIVADO FI</v>
          </cell>
          <cell r="D1933" t="str">
            <v>SAFRA EXCLUSIVITÃ‰ DEBÃŠNTURES INCENTIVADAS CRÃ‰DITO PRIVADO FI</v>
          </cell>
          <cell r="E1933" t="str">
            <v>SAFRA ASSET MANAGEMENT LTDA</v>
          </cell>
        </row>
        <row r="1934">
          <cell r="B1934">
            <v>81916</v>
          </cell>
          <cell r="C1934" t="str">
            <v>SAFRA PREV ICATU FUNDO DE INVESTIMENTO RENDA FIXA CP</v>
          </cell>
          <cell r="D1934" t="str">
            <v>SAFRA PREV ICATU FUNDO DE INVESTIMENTO RENDA FIXA CP</v>
          </cell>
          <cell r="E1934" t="str">
            <v>SAFRA ASSET MANAGEMENT LTDA</v>
          </cell>
        </row>
        <row r="1935">
          <cell r="B1935">
            <v>81917</v>
          </cell>
          <cell r="C1935" t="str">
            <v>SAFRA DI MASTER FI RENDA FIXA REFERENCIADO DI LONGO PRAZO</v>
          </cell>
          <cell r="D1935" t="str">
            <v>SAFRA DI MASTER FI RENDA FIXA REFERENCIADO DI LONGO PRAZO</v>
          </cell>
          <cell r="E1935" t="str">
            <v>SAFRA ASSET MANAGEMENT LTDA</v>
          </cell>
        </row>
        <row r="1936">
          <cell r="B1936">
            <v>81918</v>
          </cell>
          <cell r="C1936" t="str">
            <v>CA INDOSUEZ FMP-FGTS VALE DO RIO DOCE</v>
          </cell>
          <cell r="D1936" t="str">
            <v>CA INDOSUEZ FMP-FGTS VALE DO RIO DOCE</v>
          </cell>
          <cell r="E1936" t="str">
            <v>SAFRA ASSET MANAGEMENT LTDA</v>
          </cell>
        </row>
        <row r="1937">
          <cell r="B1937">
            <v>81919</v>
          </cell>
          <cell r="C1937" t="str">
            <v>SAFRA INFRA SELECTION II RF FII EM INFRAESTRUTURA</v>
          </cell>
          <cell r="D1937" t="str">
            <v>SAFRA INFRA SELECTION II RF FII EM INFRAESTRUTURA</v>
          </cell>
          <cell r="E1937" t="str">
            <v>SAFRA ASSET MANAGEMENT LTDA</v>
          </cell>
        </row>
        <row r="1938">
          <cell r="B1938">
            <v>81921</v>
          </cell>
          <cell r="C1938" t="str">
            <v>SAFRA INFRA SELECTION RF FII EM INFRAESTRUTURA</v>
          </cell>
          <cell r="D1938" t="str">
            <v>SAFRA INFRA SELECTION RF FII EM INFRAESTRUTURA</v>
          </cell>
          <cell r="E1938" t="str">
            <v>SAFRA ASSET MANAGEMENT LTDA</v>
          </cell>
        </row>
        <row r="1939">
          <cell r="B1939">
            <v>81926</v>
          </cell>
          <cell r="C1939" t="str">
            <v>ITAU FLEXPREV MASTER GD MULTIMERCADO FUNDO DE INVESTIMENTO</v>
          </cell>
          <cell r="D1939" t="str">
            <v>ITAU FLEXPREV MASTER GD MULTIMERCADO FUNDO DE INVESTIMENTO</v>
          </cell>
          <cell r="E1939" t="str">
            <v>ITAU UNIBANCO ASSET - TACO</v>
          </cell>
        </row>
        <row r="1940">
          <cell r="B1940">
            <v>81927</v>
          </cell>
          <cell r="C1940" t="str">
            <v>ITAU MASTER GLOBAL DINAMICO MULTIMERCADO FI</v>
          </cell>
          <cell r="D1940" t="str">
            <v>ITAU MASTER GLOBAL DINAMICO MULTIMERCADO FI</v>
          </cell>
          <cell r="E1940" t="str">
            <v>ITAU UNIBANCO ASSET - TACO</v>
          </cell>
        </row>
        <row r="1941">
          <cell r="B1941">
            <v>81928</v>
          </cell>
          <cell r="C1941" t="str">
            <v>DIANA FIF MULTIMERCADO CP IE RL</v>
          </cell>
          <cell r="D1941" t="str">
            <v>DIANA FIF MULTIMERCADO CP IE RL</v>
          </cell>
          <cell r="E1941" t="str">
            <v>ITAU UNIBANCO ASSET - TACO</v>
          </cell>
        </row>
        <row r="1942">
          <cell r="B1942">
            <v>81930</v>
          </cell>
          <cell r="C1942" t="str">
            <v>SAFRA PREV VITESSE MASTER FIM RENDA FIXA CP PREV</v>
          </cell>
          <cell r="D1942" t="str">
            <v>SAFRA PREV VITESSE MASTER FIM RENDA FIXA CP PREV</v>
          </cell>
          <cell r="E1942" t="str">
            <v>SAFRA ASSET MANAGEMENT LTDA</v>
          </cell>
        </row>
        <row r="1943">
          <cell r="B1943">
            <v>81932</v>
          </cell>
          <cell r="C1943" t="str">
            <v>SAFRA GRAND VITESSE FUNDO DE INVESTIMENTO RENDA FIXA CRÃ‰DITO</v>
          </cell>
          <cell r="D1943" t="str">
            <v>SAFRA GRAND VITESSE FUNDO DE INVESTIMENTO RENDA FIXA CRÃ‰DITO</v>
          </cell>
          <cell r="E1943" t="str">
            <v>SAFRA ASSET MANAGEMENT LTDA</v>
          </cell>
        </row>
        <row r="1944">
          <cell r="B1944">
            <v>81934</v>
          </cell>
          <cell r="C1944" t="str">
            <v>TENACE FUNDO DE INVESTIMENTO RENDA FIXA CRÃ‰DITO PRIVADO LONG</v>
          </cell>
          <cell r="D1944" t="str">
            <v>TENACE FUNDO DE INVESTIMENTO RENDA FIXA CRÃ‰DITO PRIVADO LONG</v>
          </cell>
          <cell r="E1944" t="str">
            <v>SAFRA ASSET MANAGEMENT LTDA</v>
          </cell>
        </row>
        <row r="1945">
          <cell r="B1945">
            <v>81936</v>
          </cell>
          <cell r="C1945" t="str">
            <v>KAPITALO INVESTIMENTOS LTDA</v>
          </cell>
          <cell r="D1945" t="str">
            <v>KAPITALO INVESTIMENTOS LTDA</v>
          </cell>
          <cell r="E1945" t="str">
            <v>KAPITALO INVESTIMENTOS LTDA</v>
          </cell>
        </row>
        <row r="1946">
          <cell r="B1946">
            <v>81936</v>
          </cell>
          <cell r="C1946" t="str">
            <v>KAPITALO INVESTIMENTOS LTDA</v>
          </cell>
          <cell r="D1946" t="str">
            <v>KAPITALO INVESTIMENTOS LTDA</v>
          </cell>
          <cell r="E1946" t="str">
            <v>KAPITALO INVESTIMENTOS LTDA</v>
          </cell>
        </row>
        <row r="1947">
          <cell r="B1947">
            <v>82674</v>
          </cell>
          <cell r="C1947" t="str">
            <v>ASSAY FI EM ACOES BDR NIVEL I IE</v>
          </cell>
          <cell r="D1947" t="str">
            <v>ASSAY FI EM ACOES BDR NIVEL I IE</v>
          </cell>
          <cell r="E1947" t="str">
            <v>JAZZ CAPITAL LTDA</v>
          </cell>
        </row>
        <row r="1948">
          <cell r="B1948">
            <v>82675</v>
          </cell>
          <cell r="C1948" t="str">
            <v>NC CASH PERENNE FUNDO DE INVESTIMENTO EM RENDA FIXA</v>
          </cell>
          <cell r="D1948" t="str">
            <v>NC CASH PERENNE FUNDO DE INVESTIMENTO EM RENDA FIXA</v>
          </cell>
          <cell r="E1948" t="str">
            <v>JAZZ CAPITAL LTDA</v>
          </cell>
        </row>
        <row r="1949">
          <cell r="B1949">
            <v>81938</v>
          </cell>
          <cell r="C1949" t="str">
            <v>ITAU MASTER GLOBAL DINAMICO ULTRA MULTIMERCADO FUNDO DE INVE</v>
          </cell>
          <cell r="D1949" t="str">
            <v>ITAU MASTER GLOBAL DINAMICO ULTRA MULTIMERCADO FUNDO DE INVE</v>
          </cell>
          <cell r="E1949" t="str">
            <v>ITAU UNIBANCO ASSET - TACO</v>
          </cell>
        </row>
        <row r="1950">
          <cell r="B1950">
            <v>81939</v>
          </cell>
          <cell r="C1950" t="str">
            <v>SAFRA VITESSE FUNDO DE INVESTIMENTO RENDA FIXA CRÃ‰DITO PRIVA</v>
          </cell>
          <cell r="D1950" t="str">
            <v>SAFRA VITESSE FUNDO DE INVESTIMENTO RENDA FIXA CRÃ‰DITO PRIVA</v>
          </cell>
          <cell r="E1950" t="str">
            <v>SAFRA ASSET MANAGEMENT LTDA</v>
          </cell>
        </row>
        <row r="1951">
          <cell r="B1951">
            <v>81940</v>
          </cell>
          <cell r="C1951" t="str">
            <v>SAFRA SOUVERAIN IRFM FUNDO DE INVESTIMENTO RENDA FIXA</v>
          </cell>
          <cell r="D1951" t="str">
            <v>SAFRA SOUVERAIN IRFM FUNDO DE INVESTIMENTO RENDA FIXA</v>
          </cell>
          <cell r="E1951" t="str">
            <v>SAFRA ASSET MANAGEMENT LTDA</v>
          </cell>
        </row>
        <row r="1952">
          <cell r="B1952">
            <v>81942</v>
          </cell>
          <cell r="C1952" t="str">
            <v>CANVAS CAPITAL S/A</v>
          </cell>
          <cell r="D1952" t="str">
            <v>CANVAS CAPITAL S/A</v>
          </cell>
          <cell r="E1952" t="str">
            <v>CANVAS CAPITAL S/A</v>
          </cell>
        </row>
        <row r="1953">
          <cell r="B1953">
            <v>81942</v>
          </cell>
          <cell r="C1953" t="str">
            <v>CANVAS CAPITAL S/A</v>
          </cell>
          <cell r="D1953">
            <v>993</v>
          </cell>
          <cell r="E1953" t="str">
            <v>CANVAS CAPITAL S/A</v>
          </cell>
        </row>
        <row r="1954">
          <cell r="B1954">
            <v>81944</v>
          </cell>
          <cell r="C1954" t="str">
            <v>ITAU CYAMPREV ARROJADO MM CP FIM</v>
          </cell>
          <cell r="D1954" t="str">
            <v>ITAU CYAMPREV ARROJADO MM CP FIM</v>
          </cell>
          <cell r="E1954" t="str">
            <v>ITAU UNIBANCO ASSET - TACO</v>
          </cell>
        </row>
        <row r="1955">
          <cell r="B1955">
            <v>81946</v>
          </cell>
          <cell r="C1955" t="str">
            <v>COGNUS CAPITAL GESTAO DE RECURSOS LTDA</v>
          </cell>
          <cell r="D1955" t="str">
            <v>COGNUS CAPITAL GESTAO DE RECURSOS LTDA</v>
          </cell>
          <cell r="E1955" t="str">
            <v>COGNUS CAPITAL GESTAO DE RECURSOS LTDA</v>
          </cell>
        </row>
        <row r="1956">
          <cell r="B1956">
            <v>81946</v>
          </cell>
          <cell r="C1956" t="str">
            <v>COGNUS CAPITAL GESTAO DE RECURSOS LTDA</v>
          </cell>
          <cell r="D1956" t="str">
            <v>COGNUS CAPITAL GESTAO DE RECURSOS LTDA</v>
          </cell>
          <cell r="E1956" t="str">
            <v>COGNUS CAPITAL GESTAO DE RECURSOS LTDA</v>
          </cell>
        </row>
        <row r="1957">
          <cell r="B1957">
            <v>81947</v>
          </cell>
          <cell r="C1957" t="str">
            <v>CARTESIUS MODERATUS MASTER FIM LP</v>
          </cell>
          <cell r="D1957" t="str">
            <v>CARTESIUS MODERATUS MASTER FIM LP</v>
          </cell>
          <cell r="E1957" t="str">
            <v>COGNUS CAPITAL GESTAO DE RECURSOS LTDA</v>
          </cell>
        </row>
        <row r="1958">
          <cell r="B1958">
            <v>81947</v>
          </cell>
          <cell r="C1958" t="str">
            <v>CARTESIUS MODERATUS MASTER FIM LP</v>
          </cell>
          <cell r="D1958" t="str">
            <v>CARTESIUS MODERATUS MASTER FIM LP</v>
          </cell>
          <cell r="E1958" t="str">
            <v>COGNUS CAPITAL GESTAO DE RECURSOS LTDA</v>
          </cell>
        </row>
        <row r="1959">
          <cell r="B1959">
            <v>81951</v>
          </cell>
          <cell r="C1959" t="str">
            <v>M8 PARTNERS GESTORA DE RECURSOS LTDA</v>
          </cell>
          <cell r="D1959" t="str">
            <v>M8 PARTNERS GESTORA DE RECURSOS LTDA</v>
          </cell>
          <cell r="E1959" t="str">
            <v>M8 PARTNERS GESTORA DE RECURSOS LTDA</v>
          </cell>
        </row>
        <row r="1960">
          <cell r="B1960">
            <v>81951</v>
          </cell>
          <cell r="C1960" t="str">
            <v>M8 PARTNERS GESTORA DE RECURSOS LTDA</v>
          </cell>
          <cell r="D1960" t="str">
            <v>M8 PARTNERS GESTORA DE RECURSOS LTDA</v>
          </cell>
          <cell r="E1960" t="str">
            <v>M8 PARTNERS GESTORA DE RECURSOS LTDA</v>
          </cell>
        </row>
        <row r="1961">
          <cell r="B1961">
            <v>81952</v>
          </cell>
          <cell r="C1961" t="str">
            <v>SINDICATO DOS EMPR DE AGENTE AUTONOMOS DO COMERCIO DE SP</v>
          </cell>
          <cell r="D1961" t="str">
            <v>SINDICATO DOS EMPR DE AGENTE AUTONOMOS DO COMERCIO DE SP</v>
          </cell>
          <cell r="E1961" t="str">
            <v>M8 PARTNERS GESTORA DE RECURSOS LTDA</v>
          </cell>
        </row>
        <row r="1962">
          <cell r="B1962">
            <v>81952</v>
          </cell>
          <cell r="C1962" t="str">
            <v>SINDICATO DOS EMPR DE AGENTE AUTONOMOS DO COMERCIO DE SP</v>
          </cell>
          <cell r="D1962" t="str">
            <v>SINDICATO DOS EMPR DE AGENTE AUTONOMOS DO COMERCIO DE SP</v>
          </cell>
          <cell r="E1962" t="str">
            <v>M8 PARTNERS GESTORA DE RECURSOS LTDA</v>
          </cell>
        </row>
        <row r="1963">
          <cell r="B1963">
            <v>81953</v>
          </cell>
          <cell r="C1963" t="str">
            <v>7 FIM CP IE</v>
          </cell>
          <cell r="D1963" t="str">
            <v>7 FIM CP IE</v>
          </cell>
          <cell r="E1963" t="str">
            <v>M8 PARTNERS GESTORA DE RECURSOS LTDA</v>
          </cell>
        </row>
        <row r="1964">
          <cell r="B1964">
            <v>81953</v>
          </cell>
          <cell r="C1964" t="str">
            <v>7 FIM CP IE</v>
          </cell>
          <cell r="D1964" t="str">
            <v>7 FIM CP IE</v>
          </cell>
          <cell r="E1964" t="str">
            <v>M8 PARTNERS GESTORA DE RECURSOS LTDA</v>
          </cell>
        </row>
        <row r="1965">
          <cell r="B1965">
            <v>81954</v>
          </cell>
          <cell r="C1965" t="str">
            <v>GAMA 1 FIM CP IE</v>
          </cell>
          <cell r="D1965" t="str">
            <v>GAMA 1 FIM CP IE</v>
          </cell>
          <cell r="E1965" t="str">
            <v>M8 PARTNERS GESTORA DE RECURSOS LTDA</v>
          </cell>
        </row>
        <row r="1966">
          <cell r="B1966">
            <v>81954</v>
          </cell>
          <cell r="C1966" t="str">
            <v>GAMA 1 FIM CP IE</v>
          </cell>
          <cell r="D1966" t="str">
            <v>GAMA 1 FIM CP IE</v>
          </cell>
          <cell r="E1966" t="str">
            <v>M8 PARTNERS GESTORA DE RECURSOS LTDA</v>
          </cell>
        </row>
        <row r="1967">
          <cell r="B1967">
            <v>81955</v>
          </cell>
          <cell r="C1967" t="str">
            <v>M8 HIGH YIELD FIM CP IE</v>
          </cell>
          <cell r="D1967" t="str">
            <v>M8 HIGH YIELD FIM CP IE</v>
          </cell>
          <cell r="E1967" t="str">
            <v>M8 PARTNERS GESTORA DE RECURSOS LTDA</v>
          </cell>
        </row>
        <row r="1968">
          <cell r="B1968">
            <v>81955</v>
          </cell>
          <cell r="C1968" t="str">
            <v>M8 HIGH YIELD FIM CP IE</v>
          </cell>
          <cell r="D1968" t="str">
            <v>M8 HIGH YIELD FIM CP IE</v>
          </cell>
          <cell r="E1968" t="str">
            <v>M8 PARTNERS GESTORA DE RECURSOS LTDA</v>
          </cell>
        </row>
        <row r="1969">
          <cell r="B1969">
            <v>81957</v>
          </cell>
          <cell r="C1969" t="str">
            <v>CAPITAL ONE FUNDO DE INVESTIMENTO MULTIMERCADO CP IE</v>
          </cell>
          <cell r="D1969" t="str">
            <v>CAPITAL ONE FUNDO DE INVESTIMENTO MULTIMERCADO CP IE</v>
          </cell>
          <cell r="E1969" t="str">
            <v>M8 PARTNERS GESTORA DE RECURSOS LTDA</v>
          </cell>
        </row>
        <row r="1970">
          <cell r="B1970">
            <v>81957</v>
          </cell>
          <cell r="C1970" t="str">
            <v>CAPITAL ONE FUNDO DE INVESTIMENTO MULTIMERCADO CP IE</v>
          </cell>
          <cell r="D1970" t="str">
            <v>CAPITAL ONE FUNDO DE INVESTIMENTO MULTIMERCADO CP IE</v>
          </cell>
          <cell r="E1970" t="str">
            <v>M8 PARTNERS GESTORA DE RECURSOS LTDA</v>
          </cell>
        </row>
        <row r="1971">
          <cell r="B1971">
            <v>81958</v>
          </cell>
          <cell r="C1971" t="str">
            <v>REDMOND FIM CP IE</v>
          </cell>
          <cell r="D1971" t="str">
            <v>REDMOND FIM CP IE</v>
          </cell>
          <cell r="E1971" t="str">
            <v>M8 PARTNERS GESTORA DE RECURSOS LTDA</v>
          </cell>
        </row>
        <row r="1972">
          <cell r="B1972">
            <v>81958</v>
          </cell>
          <cell r="C1972" t="str">
            <v>REDMOND FIM CP IE</v>
          </cell>
          <cell r="D1972" t="str">
            <v>REDMOND FIM CP IE</v>
          </cell>
          <cell r="E1972" t="str">
            <v>M8 PARTNERS GESTORA DE RECURSOS LTDA</v>
          </cell>
        </row>
        <row r="1973">
          <cell r="B1973">
            <v>81959</v>
          </cell>
          <cell r="C1973" t="str">
            <v>LIVERPOOL FUNDO DE INVESTIMENTO MULTIMERCADO CRÃ‰DITO PRIVADO</v>
          </cell>
          <cell r="D1973" t="str">
            <v>LIVERPOOL FUNDO DE INVESTIMENTO MULTIMERCADO CRÃ‰DITO PRIVADO</v>
          </cell>
          <cell r="E1973" t="str">
            <v>M8 PARTNERS GESTORA DE RECURSOS LTDA</v>
          </cell>
        </row>
        <row r="1974">
          <cell r="B1974">
            <v>81959</v>
          </cell>
          <cell r="C1974" t="str">
            <v>LIVERPOOL FUNDO DE INVESTIMENTO MULTIMERCADO CRÃ‰DITO PRIVADO</v>
          </cell>
          <cell r="D1974" t="str">
            <v>LIVERPOOL FUNDO DE INVESTIMENTO MULTIMERCADO CRÃ‰DITO PRIVADO</v>
          </cell>
          <cell r="E1974" t="str">
            <v>M8 PARTNERS GESTORA DE RECURSOS LTDA</v>
          </cell>
        </row>
        <row r="1975">
          <cell r="B1975">
            <v>81960</v>
          </cell>
          <cell r="C1975" t="str">
            <v>M8 CAPITAL PLUS FI RENDA FIXA CP LONGO PRAZO</v>
          </cell>
          <cell r="D1975" t="str">
            <v>M8 CAPITAL PLUS FI RENDA FIXA CP LONGO PRAZO</v>
          </cell>
          <cell r="E1975" t="str">
            <v>M8 PARTNERS GESTORA DE RECURSOS LTDA</v>
          </cell>
        </row>
        <row r="1976">
          <cell r="B1976">
            <v>81960</v>
          </cell>
          <cell r="C1976" t="str">
            <v>M8 CAPITAL PLUS FI RENDA FIXA CP LONGO PRAZO</v>
          </cell>
          <cell r="D1976" t="str">
            <v>M8 CAPITAL PLUS FI RENDA FIXA CP LONGO PRAZO</v>
          </cell>
          <cell r="E1976" t="str">
            <v>M8 PARTNERS GESTORA DE RECURSOS LTDA</v>
          </cell>
        </row>
        <row r="1977">
          <cell r="B1977">
            <v>81962</v>
          </cell>
          <cell r="C1977" t="str">
            <v>VICENZA FIM CP IE</v>
          </cell>
          <cell r="D1977" t="str">
            <v>VICENZA FIM CP IE</v>
          </cell>
          <cell r="E1977" t="str">
            <v>M8 PARTNERS GESTORA DE RECURSOS LTDA</v>
          </cell>
        </row>
        <row r="1978">
          <cell r="B1978">
            <v>81962</v>
          </cell>
          <cell r="C1978" t="str">
            <v>VICENZA FIM CP IE</v>
          </cell>
          <cell r="D1978" t="str">
            <v>VICENZA FIM CP IE</v>
          </cell>
          <cell r="E1978" t="str">
            <v>M8 PARTNERS GESTORA DE RECURSOS LTDA</v>
          </cell>
        </row>
        <row r="1979">
          <cell r="B1979">
            <v>81963</v>
          </cell>
          <cell r="C1979" t="str">
            <v>ATACAMA MULTIMERCADO FI</v>
          </cell>
          <cell r="D1979" t="str">
            <v>ATACAMA MULTIMERCADO FI</v>
          </cell>
          <cell r="E1979" t="str">
            <v>BANCO JP MORGAN S/A</v>
          </cell>
        </row>
        <row r="1980">
          <cell r="B1980">
            <v>81964</v>
          </cell>
          <cell r="C1980" t="str">
            <v>JP MORGAN SECURITIES PLC</v>
          </cell>
          <cell r="D1980" t="str">
            <v>JP MORGAN SECURITIES PLC</v>
          </cell>
          <cell r="E1980" t="str">
            <v>BANCO JP MORGAN S/A</v>
          </cell>
        </row>
        <row r="1981">
          <cell r="B1981">
            <v>81965</v>
          </cell>
          <cell r="C1981" t="str">
            <v>ATACAMA MULTIMERCADO FI</v>
          </cell>
          <cell r="D1981" t="str">
            <v>ATACAMA MULTIMERCADO FI</v>
          </cell>
          <cell r="E1981" t="str">
            <v>BANCO JP MORGAN S/A</v>
          </cell>
        </row>
        <row r="1982">
          <cell r="B1982">
            <v>81966</v>
          </cell>
          <cell r="C1982" t="str">
            <v>JP MORGAN SECURITIES PLC</v>
          </cell>
          <cell r="D1982" t="str">
            <v>JP MORGAN SECURITIES PLC</v>
          </cell>
          <cell r="E1982" t="str">
            <v>BANCO JP MORGAN S/A</v>
          </cell>
        </row>
        <row r="1983">
          <cell r="B1983">
            <v>81967</v>
          </cell>
          <cell r="C1983" t="str">
            <v>VINCI EQUITIES GESTORA DE RECURSOS LTDA</v>
          </cell>
          <cell r="D1983" t="str">
            <v>VINCI EQUITIES GESTORA DE RECURSOS LTDA</v>
          </cell>
          <cell r="E1983" t="str">
            <v>VINCI GESTORA DE RECURSOS LTDA</v>
          </cell>
        </row>
        <row r="1984">
          <cell r="B1984">
            <v>81967</v>
          </cell>
          <cell r="C1984" t="str">
            <v>VINCI EQUITIES GESTORA DE RECURSOS LTDA</v>
          </cell>
          <cell r="D1984" t="str">
            <v>VINCI EQUITIES GESTORA DE RECURSOS LTDA</v>
          </cell>
          <cell r="E1984" t="str">
            <v>VINCI GESTORA DE RECURSOS LTDA</v>
          </cell>
        </row>
        <row r="1985">
          <cell r="B1985">
            <v>81968</v>
          </cell>
          <cell r="C1985" t="str">
            <v>VINCI GESTORA DE RECURSOS LTDA</v>
          </cell>
          <cell r="D1985" t="str">
            <v>VINCI GESTORA DE RECURSOS LTDA</v>
          </cell>
          <cell r="E1985" t="str">
            <v>VINCI GESTORA DE RECURSOS LTDA</v>
          </cell>
        </row>
        <row r="1986">
          <cell r="B1986">
            <v>81968</v>
          </cell>
          <cell r="C1986" t="str">
            <v>VINCI GESTORA DE RECURSOS LTDA</v>
          </cell>
          <cell r="D1986">
            <v>313</v>
          </cell>
          <cell r="E1986" t="str">
            <v>VINCI GESTORA DE RECURSOS LTDA</v>
          </cell>
        </row>
        <row r="1987">
          <cell r="B1987">
            <v>81971</v>
          </cell>
          <cell r="C1987" t="str">
            <v>BANCO RABOBANK INTERNATIONAL BRASIL S/A</v>
          </cell>
          <cell r="D1987" t="str">
            <v>BANCO RABOBANK INTERNATIONAL BRASIL S/A</v>
          </cell>
          <cell r="E1987" t="str">
            <v>BANCO RABOBANK INTERNATIONAL BRASIL S/A</v>
          </cell>
        </row>
        <row r="1988">
          <cell r="B1988">
            <v>81972</v>
          </cell>
          <cell r="C1988" t="str">
            <v>BANCO RABOBANK INTERNATIONAL BRASIL S/A</v>
          </cell>
          <cell r="D1988" t="str">
            <v>BANCO RABOBANK INTERNATIONAL BRASIL S/A</v>
          </cell>
          <cell r="E1988" t="str">
            <v>BANCO RABOBANK INTERNATIONAL BRASIL S/A</v>
          </cell>
        </row>
        <row r="1989">
          <cell r="B1989">
            <v>81973</v>
          </cell>
          <cell r="C1989" t="str">
            <v>BRADSEG PARTICIPAÃ‡Ã•ES S.A.</v>
          </cell>
          <cell r="D1989" t="str">
            <v>BRADSEG PARTICIPAÃ‡Ã•ES S.A.</v>
          </cell>
          <cell r="E1989" t="str">
            <v>BRAM - BRADESCO ASSET MANAGEMENT S/A DTVM</v>
          </cell>
        </row>
        <row r="1990">
          <cell r="B1990">
            <v>81974</v>
          </cell>
          <cell r="C1990" t="str">
            <v>BRADSEG PARTICIPAÃ‡Ã•ES S.A.</v>
          </cell>
          <cell r="D1990" t="str">
            <v>BRADSEG PARTICIPAÃ‡Ã•ES S.A.</v>
          </cell>
          <cell r="E1990" t="str">
            <v>BRAM - BRADESCO ASSET MANAGEMENT S/A DTVM</v>
          </cell>
        </row>
        <row r="1991">
          <cell r="B1991">
            <v>82676</v>
          </cell>
          <cell r="C1991" t="str">
            <v>BTG 2664 FUNDO DE INVESTIMENTO MULTIMERCADO CP IE</v>
          </cell>
          <cell r="D1991" t="str">
            <v>BTG 2664 FUNDO DE INVESTIMENTO MULTIMERCADO CP IE</v>
          </cell>
          <cell r="E1991" t="str">
            <v>JAZZ CAPITAL LTDA</v>
          </cell>
        </row>
        <row r="1992">
          <cell r="B1992">
            <v>81977</v>
          </cell>
          <cell r="C1992" t="str">
            <v>VINCI SOLUÃ‡Ã•ES DE INVESTIMENTOS LTDA</v>
          </cell>
          <cell r="D1992" t="str">
            <v>VINCI SOLUÃ‡Ã•ES DE INVESTIMENTOS LTDA</v>
          </cell>
          <cell r="E1992" t="str">
            <v>VINCI GESTORA DE RECURSOS LTDA</v>
          </cell>
        </row>
        <row r="1993">
          <cell r="B1993">
            <v>81977</v>
          </cell>
          <cell r="C1993" t="str">
            <v>VINCI SOLUÃ‡Ã•ES DE INVESTIMENTOS LTDA</v>
          </cell>
          <cell r="D1993" t="str">
            <v>VINCI SOLUÃ‡Ã•ES DE INVESTIMENTOS LTDA</v>
          </cell>
          <cell r="E1993" t="str">
            <v>VINCI GESTORA DE RECURSOS LTDA</v>
          </cell>
        </row>
        <row r="1994">
          <cell r="B1994">
            <v>81989</v>
          </cell>
          <cell r="C1994" t="str">
            <v>BANCO VOTORANTIM S/A</v>
          </cell>
          <cell r="D1994" t="str">
            <v>65.21</v>
          </cell>
          <cell r="E1994" t="str">
            <v>BANCO VOTORANTIM S/A</v>
          </cell>
        </row>
        <row r="1995">
          <cell r="B1995">
            <v>81994</v>
          </cell>
          <cell r="C1995" t="str">
            <v>SAFRA PREV SOBERANO II FIF PREV CI RF PREV RESP LIMITADA</v>
          </cell>
          <cell r="D1995" t="str">
            <v>SAFRA PREV SOBERANO II FIF PREV CI RF PREV RESP LIMITADA</v>
          </cell>
          <cell r="E1995" t="str">
            <v>TURMALINA GESTAO E ADMINISTRAÃ‡ÃƒO DE RECURSOS SA</v>
          </cell>
        </row>
        <row r="1996">
          <cell r="B1996">
            <v>81996</v>
          </cell>
          <cell r="C1996" t="str">
            <v>SAFRA CASH PREV FUNDO DE INVESTIMENTO RENDA FIXA PREV</v>
          </cell>
          <cell r="D1996" t="str">
            <v>SAFRA CASH PREV FUNDO DE INVESTIMENTO RENDA FIXA PREV</v>
          </cell>
          <cell r="E1996" t="str">
            <v>TURMALINA GESTAO E ADMINISTRAÃ‡ÃƒO DE RECURSOS SA</v>
          </cell>
        </row>
        <row r="1997">
          <cell r="B1997">
            <v>81997</v>
          </cell>
          <cell r="C1997" t="str">
            <v>SAFRA PREV CAPITAL MARKET FUNDO DE INVESTIMENTO RF CP PREV</v>
          </cell>
          <cell r="D1997" t="str">
            <v>SAFRA PREV CAPITAL MARKET FUNDO DE INVESTIMENTO RF CP PREV</v>
          </cell>
          <cell r="E1997" t="str">
            <v>TURMALINA GESTAO E ADMINISTRAÃ‡ÃƒO DE RECURSOS SA</v>
          </cell>
        </row>
        <row r="1998">
          <cell r="B1998">
            <v>81999</v>
          </cell>
          <cell r="C1998" t="str">
            <v>SAFRA PREV DIVIDENDOS MASTER FIF PREV CI PREV RESP LIMITADA</v>
          </cell>
          <cell r="D1998" t="str">
            <v>SAFRA PREV DIVIDENDOS MASTER FIF PREV CI PREV RESP LIMITADA</v>
          </cell>
          <cell r="E1998" t="str">
            <v>TURMALINA GESTAO E ADMINISTRAÃ‡ÃƒO DE RECURSOS SA</v>
          </cell>
        </row>
        <row r="1999">
          <cell r="B1999">
            <v>82000</v>
          </cell>
          <cell r="C1999" t="str">
            <v>SAFRA PREV INTERNACIONAL MASTER FIFPR I MULT CP RESP LIMITAD</v>
          </cell>
          <cell r="D1999" t="str">
            <v>SAFRA PREV INTERNACIONAL MASTER FIFPR I MULT CP RESP LIMITAD</v>
          </cell>
          <cell r="E1999" t="str">
            <v>TURMALINA GESTAO E ADMINISTRAÃ‡ÃƒO DE RECURSOS SA</v>
          </cell>
        </row>
        <row r="2000">
          <cell r="B2000">
            <v>82001</v>
          </cell>
          <cell r="C2000" t="str">
            <v>SAFRA PREV JURO REAL FUNDO DE INVESTIMENTO RENDA FIXA PREVID</v>
          </cell>
          <cell r="D2000" t="str">
            <v>SAFRA PREV JURO REAL FUNDO DE INVESTIMENTO RENDA FIXA PREVID</v>
          </cell>
          <cell r="E2000" t="str">
            <v>TURMALINA GESTAO E ADMINISTRAÃ‡ÃƒO DE RECURSOS SA</v>
          </cell>
        </row>
        <row r="2001">
          <cell r="B2001">
            <v>82002</v>
          </cell>
          <cell r="C2001" t="str">
            <v>SAFRA PREV LALELI FUNDO DE INVESTIMENTO RENDA FIXA PREVIDENC</v>
          </cell>
          <cell r="D2001" t="str">
            <v>SAFRA PREV LALELI FUNDO DE INVESTIMENTO RENDA FIXA PREVIDENC</v>
          </cell>
          <cell r="E2001" t="str">
            <v>TURMALINA GESTAO E ADMINISTRAÃ‡ÃƒO DE RECURSOS SA</v>
          </cell>
        </row>
        <row r="2002">
          <cell r="B2002">
            <v>82003</v>
          </cell>
          <cell r="C2002" t="str">
            <v>SAFRA PREV LONG BIAS MASTER FUNDO DE INVESTIMENTO AÃ‡Ã•ES PREV</v>
          </cell>
          <cell r="D2002" t="str">
            <v>SAFRA PREV LONG BIAS MASTER FUNDO DE INVESTIMENTO AÃ‡Ã•ES PREV</v>
          </cell>
          <cell r="E2002" t="str">
            <v>EMERALD GESTAO DE INVESTIMENTOS LTDA</v>
          </cell>
        </row>
        <row r="2003">
          <cell r="B2003">
            <v>82010</v>
          </cell>
          <cell r="C2003" t="str">
            <v>ITAU UNIBANCO ASSET MANAGEMENT LTDA</v>
          </cell>
          <cell r="D2003" t="str">
            <v>ITAU UNIBANCO ASSET MANAGEMENT LTDA</v>
          </cell>
          <cell r="E2003" t="str">
            <v>ITAU UNIBANCO ASSET - JANEIRO</v>
          </cell>
        </row>
        <row r="2004">
          <cell r="B2004">
            <v>82010</v>
          </cell>
          <cell r="C2004" t="str">
            <v>ITAU UNIBANCO ASSET MANAGEMENT LTDA</v>
          </cell>
          <cell r="D2004" t="str">
            <v>ITAU UNIBANCO ASSET MANAGEMENT LTDA</v>
          </cell>
          <cell r="E2004" t="str">
            <v>ITAU UNIBANCO ASSET - JANEIRO</v>
          </cell>
        </row>
        <row r="2005">
          <cell r="B2005">
            <v>82017</v>
          </cell>
          <cell r="C2005" t="str">
            <v>CAIXA VIDA E PREVIDÃŠNCIA S.A</v>
          </cell>
          <cell r="D2005" t="str">
            <v>CAIXA VIDA E PREVIDÃŠNCIA S.A</v>
          </cell>
          <cell r="E2005" t="str">
            <v>CAIXA VIDA E PREVIDÊNCIA S/A</v>
          </cell>
        </row>
        <row r="2006">
          <cell r="B2006">
            <v>82018</v>
          </cell>
          <cell r="C2006" t="str">
            <v>CAIXA CVP GESTÃƒO ATIVA FIM CP</v>
          </cell>
          <cell r="D2006" t="str">
            <v>CAIXA CVP GESTÃƒO ATIVA FIM CP</v>
          </cell>
          <cell r="E2006" t="str">
            <v>CAIXA VIDA E PREVIDÊNCIA S/A</v>
          </cell>
        </row>
        <row r="2007">
          <cell r="B2007">
            <v>82019</v>
          </cell>
          <cell r="C2007" t="str">
            <v>TAVOLA EQUITY HEDGE 5 FIM</v>
          </cell>
          <cell r="D2007" t="str">
            <v>TAVOLA EQUITY HEDGE 5 FIM</v>
          </cell>
          <cell r="E2007" t="str">
            <v>TAVOLA CAPITAL GESTAO DE RECURSOS LTDA</v>
          </cell>
        </row>
        <row r="2008">
          <cell r="B2008">
            <v>82020</v>
          </cell>
          <cell r="C2008" t="str">
            <v>VECTOR TRADING LLC</v>
          </cell>
          <cell r="D2008" t="str">
            <v>VECTOR TRADING LLC</v>
          </cell>
          <cell r="E2008" t="str">
            <v>VECTOR TRADING LLC</v>
          </cell>
        </row>
        <row r="2009">
          <cell r="B2009">
            <v>82021</v>
          </cell>
          <cell r="C2009" t="str">
            <v>VECTOR TRADING LLC</v>
          </cell>
          <cell r="D2009" t="str">
            <v>VECTOR TRADING LLC</v>
          </cell>
          <cell r="E2009" t="str">
            <v>VECTOR TRADING LLC</v>
          </cell>
        </row>
        <row r="2010">
          <cell r="B2010">
            <v>82022</v>
          </cell>
          <cell r="C2010" t="str">
            <v>FUNDAÃ‡ÃƒO DE PREVIDÃŠNCIA DOS SERVIDORES DO IRB PREVIRB</v>
          </cell>
          <cell r="D2010" t="str">
            <v>FUNDAÃ‡ÃƒO DE PREVIDÃŠNCIA DOS SERVIDORES DO IRB PREVIRB</v>
          </cell>
          <cell r="E2010" t="str">
            <v>FUNDAÇÃO DE PREVIDENCIA DOS SERVIDORES DO IRB PREVIRB</v>
          </cell>
        </row>
        <row r="2011">
          <cell r="B2011">
            <v>82023</v>
          </cell>
          <cell r="C2011" t="str">
            <v>PLANO PREVIDENCIAL A</v>
          </cell>
          <cell r="D2011" t="str">
            <v>PLANO PREVIDENCIAL A</v>
          </cell>
          <cell r="E2011" t="str">
            <v>FUNDAÇÃO DE PREVIDENCIA DOS SERVIDORES DO IRB PREVIRB</v>
          </cell>
        </row>
        <row r="2012">
          <cell r="B2012">
            <v>82025</v>
          </cell>
          <cell r="C2012" t="str">
            <v>PLANO PREVIDENCIAL B</v>
          </cell>
          <cell r="D2012" t="str">
            <v>PLANO PREVIDENCIAL B</v>
          </cell>
          <cell r="E2012" t="str">
            <v>FUNDAÇÃO DE PREVIDENCIA DOS SERVIDORES DO IRB PREVIRB</v>
          </cell>
        </row>
        <row r="2013">
          <cell r="B2013">
            <v>82028</v>
          </cell>
          <cell r="C2013" t="str">
            <v>SANTANDER SMALL CAPS AÃ‡Ã•ES FUNDO DE INVESTIMENTO</v>
          </cell>
          <cell r="D2013" t="str">
            <v>SANTANDER SMALL CAPS AÃ‡Ã•ES FUNDO DE INVESTIMENTO</v>
          </cell>
          <cell r="E2013" t="str">
            <v>SANTANDER BRASIL GESTAO DE RECURSOS LTDA</v>
          </cell>
        </row>
        <row r="2014">
          <cell r="B2014">
            <v>82029</v>
          </cell>
          <cell r="C2014" t="str">
            <v>SANTANDER FUNDO MÃšTUO DE PRIVATIZAÃ‡ÃƒO FGTS CARTEIRA LIVRE</v>
          </cell>
          <cell r="D2014" t="str">
            <v>SANTANDER FUNDO MÃšTUO DE PRIVATIZAÃ‡ÃƒO FGTS CARTEIRA LIVRE</v>
          </cell>
          <cell r="E2014" t="str">
            <v>SANTANDER BRASIL GESTAO DE RECURSOS LTDA</v>
          </cell>
        </row>
        <row r="2015">
          <cell r="B2015">
            <v>82033</v>
          </cell>
          <cell r="C2015" t="str">
            <v>CLUBE DE INV DOS EMPREGADOS DA CIA SID DE TUBARAO CIEST</v>
          </cell>
          <cell r="D2015" t="str">
            <v>CLUBE DE INV DOS EMPREGADOS DA CIA SID DE TUBARAO CIEST</v>
          </cell>
          <cell r="E2015" t="str">
            <v>SANTANDER BRASIL GESTAO DE RECURSOS LTDA</v>
          </cell>
        </row>
        <row r="2016">
          <cell r="B2016">
            <v>82034</v>
          </cell>
          <cell r="C2016" t="str">
            <v>DAHLIA GLOBAL 50 FIFE PREVIDÃŠNCIA FIM</v>
          </cell>
          <cell r="D2016" t="str">
            <v>DAHLIA GLOBAL 50 FIFE PREVIDÃŠNCIA FIM</v>
          </cell>
          <cell r="E2016" t="str">
            <v>DAHLIA CAPITAL GESTAO DE RECURSOS LTDA</v>
          </cell>
        </row>
        <row r="2017">
          <cell r="B2017">
            <v>82035</v>
          </cell>
          <cell r="C2017" t="str">
            <v>DAHLIA GLOBAL ALLOCATION MASTER FIM</v>
          </cell>
          <cell r="D2017" t="str">
            <v>DAHLIA GLOBAL ALLOCATION MASTER FIM</v>
          </cell>
          <cell r="E2017" t="str">
            <v>DAHLIA CAPITAL GESTAO DE RECURSOS LTDA</v>
          </cell>
        </row>
        <row r="2018">
          <cell r="B2018">
            <v>82036</v>
          </cell>
          <cell r="C2018" t="str">
            <v>DAHLIA MASTER AÃ‡Ã•ES PREVIDENCIÃRIO FUNDO DE INVESTIMENTO</v>
          </cell>
          <cell r="D2018" t="str">
            <v>DAHLIA MASTER AÃ‡Ã•ES PREVIDENCIÃRIO FUNDO DE INVESTIMENTO</v>
          </cell>
          <cell r="E2018" t="str">
            <v>DAHLIA CAPITAL GESTAO DE RECURSOS LTDA</v>
          </cell>
        </row>
        <row r="2019">
          <cell r="B2019">
            <v>82037</v>
          </cell>
          <cell r="C2019" t="str">
            <v>DAHLIA PREV TOTAL RETURN 70 FIFE MULTIMERCADO FI</v>
          </cell>
          <cell r="D2019" t="str">
            <v>DAHLIA PREV TOTAL RETURN 70 FIFE MULTIMERCADO FI</v>
          </cell>
          <cell r="E2019" t="str">
            <v>DAHLIA CAPITAL GESTAO DE RECURSOS LTDA</v>
          </cell>
        </row>
        <row r="2020">
          <cell r="B2020">
            <v>82038</v>
          </cell>
          <cell r="C2020" t="str">
            <v>DAHLIA 70 ADVISORY XP SEGUROS FIFE PREVIDÃŠNCIA FIM</v>
          </cell>
          <cell r="D2020" t="str">
            <v>DAHLIA 70 ADVISORY XP SEGUROS FIFE PREVIDÃŠNCIA FIM</v>
          </cell>
          <cell r="E2020" t="str">
            <v>DAHLIA CAPITAL GESTAO DE RECURSOS LTDA</v>
          </cell>
        </row>
        <row r="2021">
          <cell r="B2021">
            <v>82046</v>
          </cell>
          <cell r="C2021" t="str">
            <v>JBGC FIF EM AÃ‡Ã•ES INVESTIMENTO NO EXTERIOR RL</v>
          </cell>
          <cell r="D2021" t="str">
            <v>JBGC FIF EM AÃ‡Ã•ES INVESTIMENTO NO EXTERIOR RL</v>
          </cell>
          <cell r="E2021" t="str">
            <v>ITAU UNIBANCO ASSET - TACO</v>
          </cell>
        </row>
        <row r="2022">
          <cell r="B2022">
            <v>82050</v>
          </cell>
          <cell r="C2022" t="str">
            <v>BANCO BMG S/A</v>
          </cell>
          <cell r="D2022" t="str">
            <v>BANCO BMG S/A</v>
          </cell>
          <cell r="E2022" t="str">
            <v>BANCO BMG S/A</v>
          </cell>
        </row>
        <row r="2023">
          <cell r="B2023">
            <v>82051</v>
          </cell>
          <cell r="C2023" t="str">
            <v>ITAU UNIBANCO ASSET MANAGEMENT LTDA</v>
          </cell>
          <cell r="D2023" t="str">
            <v>ITAU UNIBANCO ASSET MANAGEMENT LTDA</v>
          </cell>
          <cell r="E2023" t="str">
            <v>ITAU UNIBANCO ASSET - TANGO</v>
          </cell>
        </row>
        <row r="2024">
          <cell r="B2024">
            <v>82051</v>
          </cell>
          <cell r="C2024" t="str">
            <v>ITAU UNIBANCO ASSET MANAGEMENT LTDA</v>
          </cell>
          <cell r="D2024" t="str">
            <v>ITAU UNIBANCO ASSET MANAGEMENT LTDA</v>
          </cell>
          <cell r="E2024" t="str">
            <v>ITAU UNIBANCO ASSET - TANGO</v>
          </cell>
        </row>
        <row r="2025">
          <cell r="B2025">
            <v>82052</v>
          </cell>
          <cell r="C2025" t="str">
            <v>ITAU UNIBANCO ASSET MANAGEMENT LTDA</v>
          </cell>
          <cell r="D2025" t="str">
            <v>ITAU UNIBANCO ASSET MANAGEMENT LTDA</v>
          </cell>
          <cell r="E2025" t="str">
            <v>ITAU UNIBANCO ASSET - MOMENTO</v>
          </cell>
        </row>
        <row r="2026">
          <cell r="B2026">
            <v>82052</v>
          </cell>
          <cell r="C2026" t="str">
            <v>ITAU UNIBANCO ASSET MANAGEMENT LTDA</v>
          </cell>
          <cell r="D2026" t="str">
            <v>ITAU UNIBANCO ASSET MANAGEMENT LTDA</v>
          </cell>
          <cell r="E2026" t="str">
            <v>ITAU UNIBANCO ASSET - MOMENTO</v>
          </cell>
        </row>
        <row r="2027">
          <cell r="B2027">
            <v>82053</v>
          </cell>
          <cell r="C2027" t="str">
            <v>ITAU UNIBANCO ASSET MANAGEMENT LTDA</v>
          </cell>
          <cell r="D2027" t="str">
            <v>ITAU UNIBANCO ASSET MANAGEMENT LTDA</v>
          </cell>
          <cell r="E2027" t="str">
            <v>ITAU UNIBANCO ASSET - LEGEND</v>
          </cell>
        </row>
        <row r="2028">
          <cell r="B2028">
            <v>82053</v>
          </cell>
          <cell r="C2028" t="str">
            <v>ITAU UNIBANCO ASSET MANAGEMENT LTDA</v>
          </cell>
          <cell r="D2028" t="str">
            <v>ITAU UNIBANCO ASSET MANAGEMENT LTDA</v>
          </cell>
          <cell r="E2028" t="str">
            <v>ITAU UNIBANCO ASSET - LEGEND</v>
          </cell>
        </row>
        <row r="2029">
          <cell r="B2029">
            <v>82058</v>
          </cell>
          <cell r="C2029" t="str">
            <v>SPX LANCER PLUS PREVIDENCIÃRIO FI MULTIMERCADO</v>
          </cell>
          <cell r="D2029" t="str">
            <v>SPX LANCER PLUS PREVIDENCIÃRIO FI MULTIMERCADO</v>
          </cell>
          <cell r="E2029" t="str">
            <v>SPX GESTAO DE RECURSOS LTDA</v>
          </cell>
        </row>
        <row r="2030">
          <cell r="B2030">
            <v>82059</v>
          </cell>
          <cell r="C2030" t="str">
            <v>SPX LANCER PREVIDENCIARIO FIM</v>
          </cell>
          <cell r="D2030" t="str">
            <v>SPX LANCER PREVIDENCIARIO FIM</v>
          </cell>
          <cell r="E2030" t="str">
            <v>SPX GESTAO DE RECURSOS LTDA</v>
          </cell>
        </row>
        <row r="2031">
          <cell r="B2031">
            <v>82060</v>
          </cell>
          <cell r="C2031" t="str">
            <v>TRUXT LONG BIAS PREVIDENCIA MASTER FI MM</v>
          </cell>
          <cell r="D2031" t="str">
            <v>TRUXT LONG BIAS PREVIDENCIA MASTER FI MM</v>
          </cell>
          <cell r="E2031" t="str">
            <v>TRUXT INVESTIMENTOS LTDA</v>
          </cell>
        </row>
        <row r="2032">
          <cell r="B2032">
            <v>82063</v>
          </cell>
          <cell r="C2032" t="str">
            <v>ITAU FLEXPREV MASTER GD MULTIMERCADO FUNDO DE INVESTIMENTO</v>
          </cell>
          <cell r="D2032" t="str">
            <v>ITAU FLEXPREV MASTER GD MULTIMERCADO FUNDO DE INVESTIMENTO</v>
          </cell>
          <cell r="E2032" t="str">
            <v>ITAU UNIBANCO ASSET - TACO</v>
          </cell>
        </row>
        <row r="2033">
          <cell r="B2033">
            <v>82064</v>
          </cell>
          <cell r="C2033" t="str">
            <v>ITAU MASTER GLOBAL DINAMICO ULTRA MULTIMERCADO FUNDO DE INVE</v>
          </cell>
          <cell r="D2033" t="str">
            <v>ITAU MASTER GLOBAL DINAMICO ULTRA MULTIMERCADO FUNDO DE INVE</v>
          </cell>
          <cell r="E2033" t="str">
            <v>ITAU UNIBANCO ASSET - TACO</v>
          </cell>
        </row>
        <row r="2034">
          <cell r="B2034">
            <v>82083</v>
          </cell>
          <cell r="C2034" t="str">
            <v>ORIZ ASSET MANAGEMENT LTDA</v>
          </cell>
          <cell r="D2034" t="str">
            <v>ORIZ ASSET MANAGEMENT LTDA</v>
          </cell>
          <cell r="E2034" t="str">
            <v>ORIZ ASSET MANAGEMENT LTDA</v>
          </cell>
        </row>
        <row r="2035">
          <cell r="B2035">
            <v>82083</v>
          </cell>
          <cell r="C2035" t="str">
            <v>ORIZ ASSET MANAGEMENT LTDA</v>
          </cell>
          <cell r="D2035" t="str">
            <v>ORIZ ASSET MANAGEMENT LTDA</v>
          </cell>
          <cell r="E2035" t="str">
            <v>ORIZ ASSET MANAGEMENT LTDA</v>
          </cell>
        </row>
        <row r="2036">
          <cell r="B2036">
            <v>82087</v>
          </cell>
          <cell r="C2036" t="str">
            <v>CARBON FUNDO DE INVESTIMENTO MULTIMERCADO CRÃ‰DITO PRIVADO IE</v>
          </cell>
          <cell r="D2036" t="str">
            <v>CARBON FUNDO DE INVESTIMENTO MULTIMERCADO CRÃ‰DITO PRIVADO IE</v>
          </cell>
          <cell r="E2036" t="str">
            <v>CARBON ASSET MANAGEMENT LTDA</v>
          </cell>
        </row>
        <row r="2037">
          <cell r="B2037">
            <v>82088</v>
          </cell>
          <cell r="C2037" t="str">
            <v>CARBON JUROS MASTER FUNDO DE INVESTIMENTO EM COTAS DE FI RF</v>
          </cell>
          <cell r="D2037" t="str">
            <v>CARBON JUROS MASTER FUNDO DE INVESTIMENTO EM COTAS DE FI RF</v>
          </cell>
          <cell r="E2037" t="str">
            <v>CARBON ASSET MANAGEMENT LTDA</v>
          </cell>
        </row>
        <row r="2038">
          <cell r="B2038">
            <v>82089</v>
          </cell>
          <cell r="C2038" t="str">
            <v>CARBON NASDAQ MASTER FUNDO DE INVESTIMENTO MULTIMERCADO</v>
          </cell>
          <cell r="D2038" t="str">
            <v>CARBON NASDAQ MASTER FUNDO DE INVESTIMENTO MULTIMERCADO</v>
          </cell>
          <cell r="E2038" t="str">
            <v>CARBON ASSET MANAGEMENT LTDA</v>
          </cell>
        </row>
        <row r="2039">
          <cell r="B2039">
            <v>82090</v>
          </cell>
          <cell r="C2039" t="str">
            <v>CARBON INFLAÃ‡ÃƒO MASTER FUNDO DE INVESTIMENTO EM COTAS FI RF</v>
          </cell>
          <cell r="D2039" t="str">
            <v>CARBON INFLAÃ‡ÃƒO MASTER FUNDO DE INVESTIMENTO EM COTAS FI RF</v>
          </cell>
          <cell r="E2039" t="str">
            <v>CARBON ASSET MANAGEMENT LTDA</v>
          </cell>
        </row>
        <row r="2040">
          <cell r="B2040">
            <v>14290</v>
          </cell>
          <cell r="C2040" t="str">
            <v>GOLDMAN SACHS DO BRASIL BANCO MULTIPLO S/A</v>
          </cell>
          <cell r="D2040" t="str">
            <v>GOLDMAN SACHS DO BRASIL BANCO MULTIPLO S/A</v>
          </cell>
          <cell r="E2040" t="str">
            <v>GOLDMAN SACHS DO BRASIL BANCO MULTIPLO S/A</v>
          </cell>
        </row>
        <row r="2041">
          <cell r="B2041">
            <v>81259</v>
          </cell>
          <cell r="C2041" t="str">
            <v>GOLDMAN SACHS BANK USA</v>
          </cell>
          <cell r="D2041" t="str">
            <v>GOLDMAN SACHS BANK USA</v>
          </cell>
          <cell r="E2041" t="str">
            <v>GOLDMAN SACHS DO BRASIL BANCO MULTIPLO S/A</v>
          </cell>
        </row>
        <row r="2042">
          <cell r="B2042">
            <v>82093</v>
          </cell>
          <cell r="C2042" t="str">
            <v>ITAU JANEIRO MULTIMERCADO FI</v>
          </cell>
          <cell r="D2042" t="str">
            <v>ITAU JANEIRO MULTIMERCADO FI</v>
          </cell>
          <cell r="E2042" t="str">
            <v>ITAU UNIBANCO ASSET - TACO</v>
          </cell>
        </row>
        <row r="2043">
          <cell r="B2043">
            <v>82094</v>
          </cell>
          <cell r="C2043" t="str">
            <v>BANCO CITIBANK S/A</v>
          </cell>
          <cell r="D2043" t="str">
            <v>BANCO CITIBANK S/A</v>
          </cell>
          <cell r="E2043" t="str">
            <v>BANCO CITIBANK S/A</v>
          </cell>
        </row>
        <row r="2044">
          <cell r="B2044">
            <v>82097</v>
          </cell>
          <cell r="C2044" t="str">
            <v>ITAU FLEXPREV JANEIRO MULTIMERCADO FI</v>
          </cell>
          <cell r="D2044" t="str">
            <v>ITAU FLEXPREV JANEIRO MULTIMERCADO FI</v>
          </cell>
          <cell r="E2044" t="str">
            <v>ITAU UNIBANCO ASSET - TACO</v>
          </cell>
        </row>
        <row r="2045">
          <cell r="B2045">
            <v>82098</v>
          </cell>
          <cell r="C2045" t="str">
            <v>ITAÃš MASTER HUNTER LONG ONLY FIF ACOES RL</v>
          </cell>
          <cell r="D2045" t="str">
            <v>ITAÃš MASTER HUNTER LONG ONLY FIF ACOES RL</v>
          </cell>
          <cell r="E2045" t="str">
            <v>ITAU UNIBANCO ASSET - TACO</v>
          </cell>
        </row>
        <row r="2046">
          <cell r="B2046">
            <v>82099</v>
          </cell>
          <cell r="C2046" t="str">
            <v>SAFRA MIX I FUNDO DE INVESTIMENTO EM COTAS DE FIM</v>
          </cell>
          <cell r="D2046" t="str">
            <v>SAFRA MIX I FUNDO DE INVESTIMENTO EM COTAS DE FIM</v>
          </cell>
          <cell r="E2046" t="str">
            <v>EMERALD GESTAO DE INVESTIMENTOS LTDA</v>
          </cell>
        </row>
        <row r="2047">
          <cell r="B2047">
            <v>82100</v>
          </cell>
          <cell r="C2047" t="str">
            <v>ABSOLUTE GESTAO DE INVESTIMENTOS LTDA</v>
          </cell>
          <cell r="D2047" t="str">
            <v>ABSOLUTE GESTAO DE INVESTIMENTOS LTDA</v>
          </cell>
          <cell r="E2047" t="str">
            <v>ABSOLUTE GESTAO DE INVESTIMENTOS LTDA</v>
          </cell>
        </row>
        <row r="2048">
          <cell r="B2048">
            <v>82100</v>
          </cell>
          <cell r="C2048" t="str">
            <v>ABSOLUTE GESTAO DE INVESTIMENTOS LTDA</v>
          </cell>
          <cell r="D2048" t="str">
            <v>ABSOLUTE GESTAO DE INVESTIMENTOS LTDA</v>
          </cell>
          <cell r="E2048" t="str">
            <v>ABSOLUTE GESTAO DE INVESTIMENTOS LTDA</v>
          </cell>
        </row>
        <row r="2049">
          <cell r="B2049">
            <v>82101</v>
          </cell>
          <cell r="C2049" t="str">
            <v>CARBON SISTEMATICO MASTER FUNDO DE INVESTIMENTO MULTIMERCADO</v>
          </cell>
          <cell r="D2049" t="str">
            <v>CARBON SISTEMATICO MASTER FUNDO DE INVESTIMENTO MULTIMERCADO</v>
          </cell>
          <cell r="E2049" t="str">
            <v>CARBON ASSET MANAGEMENT LTDA</v>
          </cell>
        </row>
        <row r="2050">
          <cell r="B2050">
            <v>82102</v>
          </cell>
          <cell r="C2050" t="str">
            <v>MAGNUS CAPITAL GESTORA DE RECURSOS LTDA</v>
          </cell>
          <cell r="D2050" t="str">
            <v>MAGNUS CAPITAL GESTORA DE RECURSOS LTDA</v>
          </cell>
          <cell r="E2050" t="str">
            <v>MAGNUS CAPITAL GESTORA DE RECURSOS LTDA</v>
          </cell>
        </row>
        <row r="2051">
          <cell r="B2051">
            <v>82102</v>
          </cell>
          <cell r="C2051" t="str">
            <v>MAGNUS CAPITAL GESTORA DE RECURSOS LTDA</v>
          </cell>
          <cell r="D2051" t="str">
            <v>MAGNUS CAPITAL GESTORA DE RECURSOS LTDA</v>
          </cell>
          <cell r="E2051" t="str">
            <v>MAGNUS CAPITAL GESTORA DE RECURSOS LTDA</v>
          </cell>
        </row>
        <row r="2052">
          <cell r="B2052">
            <v>82103</v>
          </cell>
          <cell r="C2052" t="str">
            <v>MAGNUS VALOR INST MASTER FIA</v>
          </cell>
          <cell r="D2052" t="str">
            <v>MAGNUS VALOR INST MASTER FIA</v>
          </cell>
          <cell r="E2052" t="str">
            <v>MAGNUS CAPITAL GESTORA DE RECURSOS LTDA</v>
          </cell>
        </row>
        <row r="2053">
          <cell r="B2053">
            <v>82104</v>
          </cell>
          <cell r="C2053" t="str">
            <v>MAGNUS VALOR INSTITUCIONAL E MASTER FIA</v>
          </cell>
          <cell r="D2053" t="str">
            <v>MAGNUS VALOR INSTITUCIONAL E MASTER FIA</v>
          </cell>
          <cell r="E2053" t="str">
            <v>MAGNUS CAPITAL GESTORA DE RECURSOS LTDA</v>
          </cell>
        </row>
        <row r="2054">
          <cell r="B2054">
            <v>82105</v>
          </cell>
          <cell r="C2054" t="str">
            <v>MAGNUS VALOR MASTER FIA RESPONSABILIDADE LIMITADA</v>
          </cell>
          <cell r="D2054" t="str">
            <v>MAGNUS VALOR MASTER FIA RESPONSABILIDADE LIMITADA</v>
          </cell>
          <cell r="E2054" t="str">
            <v>MAGNUS CAPITAL GESTORA DE RECURSOS LTDA</v>
          </cell>
        </row>
        <row r="2055">
          <cell r="B2055">
            <v>82108</v>
          </cell>
          <cell r="C2055" t="str">
            <v>OITI FIM CP IE</v>
          </cell>
          <cell r="D2055" t="str">
            <v>OITI FIM CP IE</v>
          </cell>
          <cell r="E2055" t="str">
            <v>ITAU UNIBANCO S/A</v>
          </cell>
        </row>
        <row r="2056">
          <cell r="B2056">
            <v>82108</v>
          </cell>
          <cell r="C2056" t="str">
            <v>OITI FIM CP IE</v>
          </cell>
          <cell r="D2056" t="str">
            <v>OITI FIM CP IE</v>
          </cell>
          <cell r="E2056" t="str">
            <v>ITAU UNIBANCO S/A</v>
          </cell>
        </row>
        <row r="2057">
          <cell r="B2057">
            <v>82114</v>
          </cell>
          <cell r="C2057" t="str">
            <v>SPX FALCON INSTITUCIONAL MASTER FIM</v>
          </cell>
          <cell r="D2057" t="str">
            <v>SPX FALCON INSTITUCIONAL MASTER FIM</v>
          </cell>
          <cell r="E2057" t="str">
            <v>SPX GESTAO DE RECURSOS LTDA</v>
          </cell>
        </row>
        <row r="2058">
          <cell r="B2058">
            <v>82115</v>
          </cell>
          <cell r="C2058" t="str">
            <v>SPX LONG BIAS PREVIDENCIARIO MASTER FIM</v>
          </cell>
          <cell r="D2058" t="str">
            <v>SPX LONG BIAS PREVIDENCIARIO MASTER FIM</v>
          </cell>
          <cell r="E2058" t="str">
            <v>SPX GESTAO DE RECURSOS LTDA</v>
          </cell>
        </row>
        <row r="2059">
          <cell r="B2059">
            <v>82116</v>
          </cell>
          <cell r="C2059" t="str">
            <v>SPX HORNET EQUITY HEDGE MASTER FIM</v>
          </cell>
          <cell r="D2059" t="str">
            <v>SPX HORNET EQUITY HEDGE MASTER FIM</v>
          </cell>
          <cell r="E2059" t="str">
            <v>SPX GESTAO DE RECURSOS LTDA</v>
          </cell>
        </row>
        <row r="2060">
          <cell r="B2060">
            <v>82121</v>
          </cell>
          <cell r="C2060" t="str">
            <v>ESH THETA MASTER FUNDO DE INVESTIMENTO MULTIMERCADO</v>
          </cell>
          <cell r="D2060" t="str">
            <v>ESH THETA MASTER FUNDO DE INVESTIMENTO MULTIMERCADO</v>
          </cell>
          <cell r="E2060" t="str">
            <v>ESH CAPITAL INVESTIMENTOS LTDA.</v>
          </cell>
        </row>
        <row r="2061">
          <cell r="B2061">
            <v>82158</v>
          </cell>
          <cell r="C2061" t="str">
            <v>A1 HEDGE PLUS FUNDO DE INVESTIMENTO FINANCEIRO MULTIMERCADO</v>
          </cell>
          <cell r="D2061" t="str">
            <v>A1 HEDGE PLUS FUNDO DE INVESTIMENTO FINANCEIRO MULTIMERCADO</v>
          </cell>
          <cell r="E2061" t="str">
            <v>ASSET1 INVESTIMENTOS LTDA</v>
          </cell>
        </row>
        <row r="2062">
          <cell r="B2062">
            <v>82166</v>
          </cell>
          <cell r="C2062" t="str">
            <v>BANCO CITIBANK S/A</v>
          </cell>
          <cell r="D2062" t="str">
            <v>BANCO CITIBANK S/A</v>
          </cell>
          <cell r="E2062" t="str">
            <v>BANCO CITIBANK S/A</v>
          </cell>
        </row>
        <row r="2063">
          <cell r="B2063">
            <v>82166</v>
          </cell>
          <cell r="C2063" t="str">
            <v>BANCO CITIBANK S/A</v>
          </cell>
          <cell r="D2063" t="str">
            <v>BANCO CITIBANK S/A</v>
          </cell>
          <cell r="E2063" t="str">
            <v>BANCO CITIBANK S/A</v>
          </cell>
        </row>
        <row r="2064">
          <cell r="B2064">
            <v>82178</v>
          </cell>
          <cell r="C2064" t="str">
            <v>BANCO SUMITOMO MITSUI BRASILEIRO S.A</v>
          </cell>
          <cell r="D2064" t="str">
            <v>BANCO SUMITOMO MITSUI BRASILEIRO S.A</v>
          </cell>
          <cell r="E2064" t="str">
            <v>BANCO SUMITOMO MITSUI BRASILEIRO S/A</v>
          </cell>
        </row>
        <row r="2065">
          <cell r="B2065">
            <v>82206</v>
          </cell>
          <cell r="C2065" t="str">
            <v>ITAU UNIBANCO S.A.</v>
          </cell>
          <cell r="D2065" t="str">
            <v>ITAU UNIBANCO S.A.</v>
          </cell>
          <cell r="E2065" t="str">
            <v>ITAU UNIBANCO S/A</v>
          </cell>
        </row>
        <row r="2066">
          <cell r="B2066">
            <v>82207</v>
          </cell>
          <cell r="C2066" t="str">
            <v>CITIBANK BRAZILIAN ANNEX VI TRUST</v>
          </cell>
          <cell r="D2066" t="str">
            <v>CITIBANK BRAZILIAN ANNEX VI TRUST</v>
          </cell>
          <cell r="E2066" t="str">
            <v>BANCO CITIBANK S/A</v>
          </cell>
        </row>
        <row r="2067">
          <cell r="B2067">
            <v>82207</v>
          </cell>
          <cell r="C2067" t="str">
            <v>CITIBANK BRAZILIAN ANNEX VI TRUST</v>
          </cell>
          <cell r="D2067" t="str">
            <v>CITIBANK BRAZILIAN ANNEX VI TRUST</v>
          </cell>
          <cell r="E2067" t="str">
            <v>BANCO CITIBANK S/A</v>
          </cell>
        </row>
        <row r="2068">
          <cell r="B2068">
            <v>82230</v>
          </cell>
          <cell r="C2068" t="str">
            <v>MILLTRUST INTERNATIONAL INVESTMENTS SPC - BANCO BNP PARIBAS</v>
          </cell>
          <cell r="D2068" t="str">
            <v>MILLTRUST INTERNATIONAL INVESTMENTS SPC - BANCO BNP PARIBAS</v>
          </cell>
          <cell r="E2068" t="str">
            <v>ALASKA INVESTIMENTOS LTDA</v>
          </cell>
        </row>
        <row r="2069">
          <cell r="B2069">
            <v>82231</v>
          </cell>
          <cell r="C2069" t="str">
            <v>ITAU FLEXPREV MASTER GD MULTIMERCADO FUNDO DE INVESTIMENTO</v>
          </cell>
          <cell r="D2069" t="str">
            <v>ITAU FLEXPREV MASTER GD MULTIMERCADO FUNDO DE INVESTIMENTO</v>
          </cell>
          <cell r="E2069" t="str">
            <v>ITAU UNIBANCO ASSET - TACO</v>
          </cell>
        </row>
        <row r="2070">
          <cell r="B2070">
            <v>82232</v>
          </cell>
          <cell r="C2070" t="str">
            <v>ITAU FLEXPREV MASTER GD MULTIMERCADO FUNDO DE INVESTIMENTO</v>
          </cell>
          <cell r="D2070" t="str">
            <v>ITAU FLEXPREV MASTER GD MULTIMERCADO FUNDO DE INVESTIMENTO</v>
          </cell>
          <cell r="E2070" t="str">
            <v>ITAU UNIBANCO ASSET - TACO</v>
          </cell>
        </row>
        <row r="2071">
          <cell r="B2071">
            <v>82233</v>
          </cell>
          <cell r="C2071" t="str">
            <v>ITAU MASTER GLOBAL DINAMICO MULTIMERCADO FI</v>
          </cell>
          <cell r="D2071" t="str">
            <v>ITAU MASTER GLOBAL DINAMICO MULTIMERCADO FI</v>
          </cell>
          <cell r="E2071" t="str">
            <v>ITAU UNIBANCO ASSET - TACO</v>
          </cell>
        </row>
        <row r="2072">
          <cell r="B2072">
            <v>82234</v>
          </cell>
          <cell r="C2072" t="str">
            <v>ITAU MASTER GLOBAL DINAMICO ULTRA MULTIMERCADO FUNDO DE INVE</v>
          </cell>
          <cell r="D2072" t="str">
            <v>ITAU MASTER GLOBAL DINAMICO ULTRA MULTIMERCADO FUNDO DE INVE</v>
          </cell>
          <cell r="E2072" t="str">
            <v>ITAU UNIBANCO ASSET - TACO</v>
          </cell>
        </row>
        <row r="2073">
          <cell r="B2073">
            <v>82241</v>
          </cell>
          <cell r="C2073" t="str">
            <v>SANTANDER US CAPITAL MARKETS LLC</v>
          </cell>
          <cell r="D2073" t="str">
            <v>SANTANDER US CAPITAL MARKETS LLC</v>
          </cell>
          <cell r="E2073" t="str">
            <v>SANTANDER DISTRIBUIDORA DE TITULOS E VALORES MOBILIARIOS S/A</v>
          </cell>
        </row>
        <row r="2074">
          <cell r="B2074">
            <v>82243</v>
          </cell>
          <cell r="C2074" t="str">
            <v>GAUSS BRASILPREV FIFE FUNDO DE INVESTIMENTO MULTIMERCADO</v>
          </cell>
          <cell r="D2074" t="str">
            <v>GAUSS BRASILPREV FIFE FUNDO DE INVESTIMENTO MULTIMERCADO</v>
          </cell>
          <cell r="E2074" t="str">
            <v>ASA ASSET GESTAO EM INVESTIMENTOS LTDA</v>
          </cell>
        </row>
        <row r="2075">
          <cell r="B2075">
            <v>82244</v>
          </cell>
          <cell r="C2075" t="str">
            <v>MONGERAL AEGON RENDA VARIAVEL LTDA</v>
          </cell>
          <cell r="D2075" t="str">
            <v>MONGERAL AEGON RENDA VARIAVEL LTDA</v>
          </cell>
          <cell r="E2075" t="str">
            <v>MONGERAL AEGON INVESTIMENTOS LTDA</v>
          </cell>
        </row>
        <row r="2076">
          <cell r="B2076">
            <v>82244</v>
          </cell>
          <cell r="C2076" t="str">
            <v>MONGERAL AEGON RENDA VARIAVEL LTDA</v>
          </cell>
          <cell r="D2076" t="str">
            <v>MONGERAL AEGON RENDA VARIAVEL LTDA</v>
          </cell>
          <cell r="E2076" t="str">
            <v>MONGERAL AEGON INVESTIMENTOS LTDA</v>
          </cell>
        </row>
        <row r="2077">
          <cell r="B2077">
            <v>82246</v>
          </cell>
          <cell r="C2077" t="str">
            <v>ITAU BALANCEADO ATIVO FMP - FGTS CARTEIRA LIVRE</v>
          </cell>
          <cell r="D2077" t="str">
            <v>ITAU BALANCEADO ATIVO FMP - FGTS CARTEIRA LIVRE</v>
          </cell>
          <cell r="E2077" t="str">
            <v>ITAU UNIBANCO ASSET - TACO</v>
          </cell>
        </row>
        <row r="2078">
          <cell r="B2078">
            <v>79168</v>
          </cell>
          <cell r="C2078" t="str">
            <v>ASHMORE BRASIL GESTORA DE RECURSOS LTDA</v>
          </cell>
          <cell r="D2078" t="str">
            <v>ASHMORE BRASIL GESTORA DE RECURSOS LTDA</v>
          </cell>
          <cell r="E2078" t="str">
            <v>ASHMORE BRASIL GESTORA DE RECURSOS LTDA</v>
          </cell>
        </row>
        <row r="2079">
          <cell r="B2079">
            <v>79168</v>
          </cell>
          <cell r="C2079" t="str">
            <v>ASHMORE BRASIL GESTORA DE RECURSOS LTDA</v>
          </cell>
          <cell r="D2079">
            <v>369</v>
          </cell>
          <cell r="E2079" t="str">
            <v>ASHMORE BRASIL GESTORA DE RECURSOS LTDA</v>
          </cell>
        </row>
        <row r="2080">
          <cell r="B2080">
            <v>80350</v>
          </cell>
          <cell r="C2080" t="str">
            <v>MORE HEDGE FIM</v>
          </cell>
          <cell r="D2080" t="str">
            <v>MORE HEDGE FIM</v>
          </cell>
          <cell r="E2080" t="str">
            <v>MORE HEDGE FIM</v>
          </cell>
        </row>
        <row r="2081">
          <cell r="B2081">
            <v>12404</v>
          </cell>
          <cell r="C2081" t="str">
            <v>MORE INVEST GESTORA DE RECURSOS LTDA</v>
          </cell>
          <cell r="D2081" t="str">
            <v>MORE INVEST GESTORA DE RECURSOS LTDA</v>
          </cell>
          <cell r="E2081" t="str">
            <v>MORE INVEST GESTORA DE RECURSOS LTDA</v>
          </cell>
        </row>
        <row r="2082">
          <cell r="B2082">
            <v>82251</v>
          </cell>
          <cell r="C2082" t="str">
            <v>TR3ND FUNDO DE INVESTIMENTO MULT CRÃ‰DITO PRIVADO RL</v>
          </cell>
          <cell r="D2082" t="str">
            <v>TR3ND FUNDO DE INVESTIMENTO MULT CRÃ‰DITO PRIVADO RL</v>
          </cell>
          <cell r="E2082" t="str">
            <v>TR3ND FUNDO DE INVESTIMENTO MULT CRÃ‰DITO PRIVADO RL</v>
          </cell>
        </row>
        <row r="2083">
          <cell r="B2083">
            <v>82251</v>
          </cell>
          <cell r="C2083" t="str">
            <v>TR3ND FUNDO DE INVESTIMENTO MULT CRÃ‰DITO PRIVADO RL</v>
          </cell>
          <cell r="D2083" t="str">
            <v>TR3ND FUNDO DE INVESTIMENTO MULT CRÃ‰DITO PRIVADO RL</v>
          </cell>
          <cell r="E2083" t="str">
            <v>TR3ND FUNDO DE INVESTIMENTO MULT CRÃ‰DITO PRIVADO RL</v>
          </cell>
        </row>
        <row r="2084">
          <cell r="B2084">
            <v>82255</v>
          </cell>
          <cell r="C2084" t="str">
            <v>JP MORGAN SECURITIES PLC</v>
          </cell>
          <cell r="D2084" t="str">
            <v>JP MORGAN SECURITIES PLC</v>
          </cell>
          <cell r="E2084" t="str">
            <v>BANCO JP MORGAN S/A</v>
          </cell>
        </row>
        <row r="2085">
          <cell r="B2085">
            <v>82256</v>
          </cell>
          <cell r="C2085" t="str">
            <v>OCEANA EQUITY HEDGE I MASTER FIF DE AÃ‡Ã•ES RESP LIM</v>
          </cell>
          <cell r="D2085" t="str">
            <v>OCEANA EQUITY HEDGE I MASTER FIF DE AÃ‡Ã•ES RESP LIM</v>
          </cell>
          <cell r="E2085" t="str">
            <v>OCEANA INVESTIMENTOS ADM DE CARTEIRAS DE VALORES MOB LTDA</v>
          </cell>
        </row>
        <row r="2086">
          <cell r="B2086">
            <v>82258</v>
          </cell>
          <cell r="C2086" t="str">
            <v>JP MORGAN SECURITIES PLC</v>
          </cell>
          <cell r="D2086" t="str">
            <v>JP MORGAN SECURITIES PLC</v>
          </cell>
          <cell r="E2086" t="str">
            <v>BANCO JP MORGAN S/A</v>
          </cell>
        </row>
        <row r="2087">
          <cell r="B2087">
            <v>82272</v>
          </cell>
          <cell r="C2087" t="str">
            <v>OITI FIM CP IE</v>
          </cell>
          <cell r="D2087" t="str">
            <v>OITI FIM CP IE</v>
          </cell>
          <cell r="E2087" t="str">
            <v>ITAU UNIBANCO S/A</v>
          </cell>
        </row>
        <row r="2088">
          <cell r="B2088">
            <v>82273</v>
          </cell>
          <cell r="C2088" t="str">
            <v>IBIUNA LS IB FUNDO DE INVESTIMENTO FINANCEIRO EM ACOES</v>
          </cell>
          <cell r="D2088" t="str">
            <v>IBIUNA LS IB FUNDO DE INVESTIMENTO FINANCEIRO EM ACOES</v>
          </cell>
          <cell r="E2088" t="str">
            <v>IBIUNA GESTAO DE RECURSOS LTDA</v>
          </cell>
        </row>
        <row r="2089">
          <cell r="B2089">
            <v>82275</v>
          </cell>
          <cell r="C2089" t="str">
            <v>ANTARCTICA FUNDO DE INVESTIMENTO MULTIMERCADO CP</v>
          </cell>
          <cell r="D2089" t="str">
            <v>ANTARCTICA FUNDO DE INVESTIMENTO MULTIMERCADO CP</v>
          </cell>
          <cell r="E2089" t="str">
            <v>ITAU UNIBANCO ASSET - TACO</v>
          </cell>
        </row>
        <row r="2090">
          <cell r="B2090">
            <v>82276</v>
          </cell>
          <cell r="C2090" t="str">
            <v>BANCO CAIXA GERAL BRASIL SA</v>
          </cell>
          <cell r="D2090" t="str">
            <v>BANCO CAIXA GERAL BRASIL SA</v>
          </cell>
          <cell r="E2090" t="str">
            <v>BANCO CAIXA GERAL BRASIL S/A</v>
          </cell>
        </row>
        <row r="2091">
          <cell r="B2091">
            <v>82277</v>
          </cell>
          <cell r="C2091" t="str">
            <v>TAUS FUNDO DE INVESTIMENTO FINANCEIRO EM ACOES RL</v>
          </cell>
          <cell r="D2091" t="str">
            <v>TAUS FUNDO DE INVESTIMENTO FINANCEIRO EM ACOES RL</v>
          </cell>
          <cell r="E2091" t="str">
            <v>ITAU UNIBANCO ASSET - TACO</v>
          </cell>
        </row>
        <row r="2092">
          <cell r="B2092">
            <v>82283</v>
          </cell>
          <cell r="C2092" t="str">
            <v>TIVIO CAPITAL DISTRIBUIDORA DE TITULOS E VALORES MOBILIARIOS</v>
          </cell>
          <cell r="D2092" t="str">
            <v>TIVIO CAPITAL DISTRIBUIDORA DE TITULOS E VALORES MOBILIARIOS</v>
          </cell>
          <cell r="E2092" t="str">
            <v>TIVIO CAPITAL DISTRIBUIDORA DE TITULOS E VALORES MOBILIARIOS</v>
          </cell>
        </row>
        <row r="2093">
          <cell r="B2093">
            <v>82283</v>
          </cell>
          <cell r="C2093" t="str">
            <v>TIVIO CAPITAL DISTRIBUIDORA DE TITULOS E VALORES MOBILIARIOS</v>
          </cell>
          <cell r="D2093" t="str">
            <v>TIVIO CAPITAL DISTRIBUIDORA DE TITULOS E VALORES MOBILIARIOS</v>
          </cell>
          <cell r="E2093" t="str">
            <v>TIVIO CAPITAL DISTRIBUIDORA DE TITULOS E VALORES MOBILIARIOS</v>
          </cell>
        </row>
        <row r="2094">
          <cell r="B2094">
            <v>125639</v>
          </cell>
          <cell r="C2094" t="str">
            <v>ASA ASSET 2 GESTAO DE RECURSOS LTDA</v>
          </cell>
          <cell r="D2094" t="str">
            <v>ASA ASSET 2 GESTAO DE RECURSOS LTDA</v>
          </cell>
          <cell r="E2094" t="str">
            <v>ASA ASSET GESTAO EM INVESTIMENTOS LTDA</v>
          </cell>
        </row>
        <row r="2095">
          <cell r="B2095">
            <v>82290</v>
          </cell>
          <cell r="C2095" t="str">
            <v>ITAU MASTER GLOBAL DINAMICO MULTIMERCADO FI</v>
          </cell>
          <cell r="D2095" t="str">
            <v>ITAU MASTER GLOBAL DINAMICO MULTIMERCADO FI</v>
          </cell>
          <cell r="E2095" t="str">
            <v>ITAU UNIBANCO ASSET - TACO</v>
          </cell>
        </row>
        <row r="2096">
          <cell r="B2096">
            <v>82291</v>
          </cell>
          <cell r="C2096" t="str">
            <v>ITAU MASTER GLOBAL DINAMICO MULTIMERCADO FI</v>
          </cell>
          <cell r="D2096" t="str">
            <v>ITAU MASTER GLOBAL DINAMICO MULTIMERCADO FI</v>
          </cell>
          <cell r="E2096" t="str">
            <v>ITAU UNIBANCO ASSET - TACO</v>
          </cell>
        </row>
        <row r="2097">
          <cell r="B2097">
            <v>82296</v>
          </cell>
          <cell r="C2097" t="str">
            <v>ASA ASSET 2 GESTAO DE RECURSOS LTDA</v>
          </cell>
          <cell r="D2097" t="str">
            <v>ASA ASSET 2 GESTAO DE RECURSOS LTDA</v>
          </cell>
          <cell r="E2097" t="str">
            <v>ASA ASSET GESTAO EM INVESTIMENTOS LTDA</v>
          </cell>
        </row>
        <row r="2098">
          <cell r="B2098">
            <v>82296</v>
          </cell>
          <cell r="C2098" t="str">
            <v>ASA ASSET 2 GESTAO DE RECURSOS LTDA</v>
          </cell>
          <cell r="D2098" t="str">
            <v>ASA ASSET 2 GESTAO DE RECURSOS LTDA</v>
          </cell>
          <cell r="E2098" t="str">
            <v>ASA ASSET GESTAO EM INVESTIMENTOS LTDA</v>
          </cell>
        </row>
        <row r="2099">
          <cell r="B2099">
            <v>82299</v>
          </cell>
          <cell r="C2099" t="str">
            <v>IBIUNA ST IB PREV FIFE FIF MULTIMERCADO CP RL</v>
          </cell>
          <cell r="D2099" t="str">
            <v>IBIUNA ST IB PREV FIFE FIF MULTIMERCADO CP RL</v>
          </cell>
          <cell r="E2099" t="str">
            <v>IBIUNA GESTAO DE RECURSOS LTDA</v>
          </cell>
        </row>
        <row r="2100">
          <cell r="B2100">
            <v>82300</v>
          </cell>
          <cell r="C2100" t="str">
            <v>QUATRINVEST ADMINISTRADORA DE RECURSOS LTDA</v>
          </cell>
          <cell r="D2100" t="str">
            <v>QUATRINVEST ADMINISTRADORA DE RECURSOS LTDA</v>
          </cell>
          <cell r="E2100" t="str">
            <v>QUATRINVEST ADMINISTRADORA DE RECURSOS LTDA</v>
          </cell>
        </row>
        <row r="2101">
          <cell r="B2101">
            <v>82300</v>
          </cell>
          <cell r="C2101" t="str">
            <v>QUATRINVEST ADMINISTRADORA DE RECURSOS LTDA</v>
          </cell>
          <cell r="D2101" t="str">
            <v>QUATRINVEST ADMINISTRADORA DE RECURSOS LTDA</v>
          </cell>
          <cell r="E2101" t="str">
            <v>QUATRINVEST ADMINISTRADORA DE RECURSOS LTDA</v>
          </cell>
        </row>
        <row r="2102">
          <cell r="B2102">
            <v>82301</v>
          </cell>
          <cell r="C2102" t="str">
            <v>BLUE BIRD FUNDO DE INVESTIMENTO EM AÃ‡Ã•ES IE</v>
          </cell>
          <cell r="D2102" t="str">
            <v>BLUE BIRD FUNDO DE INVESTIMENTO EM AÃ‡Ã•ES IE</v>
          </cell>
          <cell r="E2102" t="str">
            <v>QUATRINVEST ADMINISTRADORA DE RECURSOS LTDA</v>
          </cell>
        </row>
        <row r="2103">
          <cell r="B2103">
            <v>82301</v>
          </cell>
          <cell r="C2103" t="str">
            <v>BLUE BIRD FUNDO DE INVESTIMENTO EM AÃ‡Ã•ES IE</v>
          </cell>
          <cell r="D2103" t="str">
            <v>BLUE BIRD FUNDO DE INVESTIMENTO EM AÃ‡Ã•ES IE</v>
          </cell>
          <cell r="E2103" t="str">
            <v>QUATRINVEST ADMINISTRADORA DE RECURSOS LTDA</v>
          </cell>
        </row>
        <row r="2104">
          <cell r="B2104">
            <v>82302</v>
          </cell>
          <cell r="C2104" t="str">
            <v>BLUE BIRD PREV FIF MULTIMERCADO CP RL</v>
          </cell>
          <cell r="D2104" t="str">
            <v>BLUE BIRD PREV FIF MULTIMERCADO CP RL</v>
          </cell>
          <cell r="E2104" t="str">
            <v>QUATRINVEST ADMINISTRADORA DE RECURSOS LTDA</v>
          </cell>
        </row>
        <row r="2105">
          <cell r="B2105">
            <v>82302</v>
          </cell>
          <cell r="C2105" t="str">
            <v>BLUE BIRD PREV FIF MULTIMERCADO CP RL</v>
          </cell>
          <cell r="D2105" t="str">
            <v>BLUE BIRD PREV FIF MULTIMERCADO CP RL</v>
          </cell>
          <cell r="E2105" t="str">
            <v>QUATRINVEST ADMINISTRADORA DE RECURSOS LTDA</v>
          </cell>
        </row>
        <row r="2106">
          <cell r="B2106">
            <v>82303</v>
          </cell>
          <cell r="C2106" t="str">
            <v>DUETO FUNDO DE INVESTIMENTO EM AÃ‡Ã•ES IE</v>
          </cell>
          <cell r="D2106" t="str">
            <v>DUETO FUNDO DE INVESTIMENTO EM AÃ‡Ã•ES IE</v>
          </cell>
          <cell r="E2106" t="str">
            <v>QUATRINVEST ADMINISTRADORA DE RECURSOS LTDA</v>
          </cell>
        </row>
        <row r="2107">
          <cell r="B2107">
            <v>82303</v>
          </cell>
          <cell r="C2107" t="str">
            <v>DUETO FUNDO DE INVESTIMENTO EM AÃ‡Ã•ES IE</v>
          </cell>
          <cell r="D2107" t="str">
            <v>DUETO FUNDO DE INVESTIMENTO EM AÃ‡Ã•ES IE</v>
          </cell>
          <cell r="E2107" t="str">
            <v>QUATRINVEST ADMINISTRADORA DE RECURSOS LTDA</v>
          </cell>
        </row>
        <row r="2108">
          <cell r="B2108">
            <v>82304</v>
          </cell>
          <cell r="C2108" t="str">
            <v>HS FUNDO DE INVESTIMENTO FINANCEIRO ACOES RL</v>
          </cell>
          <cell r="D2108" t="str">
            <v>HS FUNDO DE INVESTIMENTO FINANCEIRO ACOES RL</v>
          </cell>
          <cell r="E2108" t="str">
            <v>QUATRINVEST ADMINISTRADORA DE RECURSOS LTDA</v>
          </cell>
        </row>
        <row r="2109">
          <cell r="B2109">
            <v>82304</v>
          </cell>
          <cell r="C2109" t="str">
            <v>HS FUNDO DE INVESTIMENTO FINANCEIRO ACOES RL</v>
          </cell>
          <cell r="D2109" t="str">
            <v>HS FUNDO DE INVESTIMENTO FINANCEIRO ACOES RL</v>
          </cell>
          <cell r="E2109" t="str">
            <v>QUATRINVEST ADMINISTRADORA DE RECURSOS LTDA</v>
          </cell>
        </row>
        <row r="2110">
          <cell r="B2110">
            <v>82305</v>
          </cell>
          <cell r="C2110" t="str">
            <v>FORTALEZA FUNDO DE INVESTIMENTO EM AÃ‡Ã•ES I IE</v>
          </cell>
          <cell r="D2110" t="str">
            <v>FORTALEZA FUNDO DE INVESTIMENTO EM AÃ‡Ã•ES I IE</v>
          </cell>
          <cell r="E2110" t="str">
            <v>QUATRINVEST ADMINISTRADORA DE RECURSOS LTDA</v>
          </cell>
        </row>
        <row r="2111">
          <cell r="B2111">
            <v>82305</v>
          </cell>
          <cell r="C2111" t="str">
            <v>FORTALEZA FUNDO DE INVESTIMENTO EM AÃ‡Ã•ES I IE</v>
          </cell>
          <cell r="D2111" t="str">
            <v>FORTALEZA FUNDO DE INVESTIMENTO EM AÃ‡Ã•ES I IE</v>
          </cell>
          <cell r="E2111" t="str">
            <v>QUATRINVEST ADMINISTRADORA DE RECURSOS LTDA</v>
          </cell>
        </row>
        <row r="2112">
          <cell r="B2112">
            <v>82306</v>
          </cell>
          <cell r="C2112" t="str">
            <v>FORTALEZA FUNDO DE INVESTIMENTO EM AÃ‡Ã•ES III INTERNACIONAL I</v>
          </cell>
          <cell r="D2112" t="str">
            <v>FORTALEZA FUNDO DE INVESTIMENTO EM AÃ‡Ã•ES III INTERNACIONAL I</v>
          </cell>
          <cell r="E2112" t="str">
            <v>QUATRINVEST ADMINISTRADORA DE RECURSOS LTDA</v>
          </cell>
        </row>
        <row r="2113">
          <cell r="B2113">
            <v>82306</v>
          </cell>
          <cell r="C2113" t="str">
            <v>FORTALEZA FUNDO DE INVESTIMENTO EM AÃ‡Ã•ES III INTERNACIONAL I</v>
          </cell>
          <cell r="D2113" t="str">
            <v>FORTALEZA FUNDO DE INVESTIMENTO EM AÃ‡Ã•ES III INTERNACIONAL I</v>
          </cell>
          <cell r="E2113" t="str">
            <v>QUATRINVEST ADMINISTRADORA DE RECURSOS LTDA</v>
          </cell>
        </row>
        <row r="2114">
          <cell r="B2114">
            <v>82307</v>
          </cell>
          <cell r="C2114" t="str">
            <v>JULE FUNDO DE INVESTIMENTO EM AÃ‡Ã•ES INVESTIMENTO NO EXTERIOR</v>
          </cell>
          <cell r="D2114" t="str">
            <v>JULE FUNDO DE INVESTIMENTO EM AÃ‡Ã•ES INVESTIMENTO NO EXTERIOR</v>
          </cell>
          <cell r="E2114" t="str">
            <v>QUATRINVEST ADMINISTRADORA DE RECURSOS LTDA</v>
          </cell>
        </row>
        <row r="2115">
          <cell r="B2115">
            <v>82307</v>
          </cell>
          <cell r="C2115" t="str">
            <v>JULE FUNDO DE INVESTIMENTO EM AÃ‡Ã•ES INVESTIMENTO NO EXTERIOR</v>
          </cell>
          <cell r="D2115" t="str">
            <v>JULE FUNDO DE INVESTIMENTO EM AÃ‡Ã•ES INVESTIMENTO NO EXTERIOR</v>
          </cell>
          <cell r="E2115" t="str">
            <v>QUATRINVEST ADMINISTRADORA DE RECURSOS LTDA</v>
          </cell>
        </row>
        <row r="2116">
          <cell r="B2116">
            <v>82308</v>
          </cell>
          <cell r="C2116" t="str">
            <v>QUATRINVEST FUNDO DE INVESTIMENTO EM AÃ‡Ã•ES BDR NÃVEL I IE</v>
          </cell>
          <cell r="D2116" t="str">
            <v>QUATRINVEST FUNDO DE INVESTIMENTO EM AÃ‡Ã•ES BDR NÃVEL I IE</v>
          </cell>
          <cell r="E2116" t="str">
            <v>QUATRINVEST ADMINISTRADORA DE RECURSOS LTDA</v>
          </cell>
        </row>
        <row r="2117">
          <cell r="B2117">
            <v>82308</v>
          </cell>
          <cell r="C2117" t="str">
            <v>QUATRINVEST FUNDO DE INVESTIMENTO EM AÃ‡Ã•ES BDR NÃVEL I IE</v>
          </cell>
          <cell r="D2117" t="str">
            <v>QUATRINVEST FUNDO DE INVESTIMENTO EM AÃ‡Ã•ES BDR NÃVEL I IE</v>
          </cell>
          <cell r="E2117" t="str">
            <v>QUATRINVEST ADMINISTRADORA DE RECURSOS LTDA</v>
          </cell>
        </row>
        <row r="2118">
          <cell r="B2118">
            <v>82315</v>
          </cell>
          <cell r="C2118" t="str">
            <v>INTER ASSET GESTAO DE RECURSOS LTDA</v>
          </cell>
          <cell r="D2118" t="str">
            <v>INTER ASSET GESTAO DE RECURSOS LTDA</v>
          </cell>
          <cell r="E2118" t="str">
            <v>INTER ASSET GESTAO DE RECURSOS LTDA</v>
          </cell>
        </row>
        <row r="2119">
          <cell r="B2119">
            <v>82317</v>
          </cell>
          <cell r="C2119" t="str">
            <v>DAHLIA TOTAL RETURN PREVIDENCIÃRIO FIFE FI FM RL</v>
          </cell>
          <cell r="D2119" t="str">
            <v>DAHLIA TOTAL RETURN PREVIDENCIÃRIO FIFE FI FM RL</v>
          </cell>
          <cell r="E2119" t="str">
            <v>DAHLIA CAPITAL GESTAO DE RECURSOS LTDA</v>
          </cell>
        </row>
        <row r="2120">
          <cell r="B2120">
            <v>82318</v>
          </cell>
          <cell r="C2120" t="str">
            <v>ITAU MASTER GLOBAL DINAMICO MULTIMERCADO FI</v>
          </cell>
          <cell r="D2120" t="str">
            <v>ITAU MASTER GLOBAL DINAMICO MULTIMERCADO FI</v>
          </cell>
          <cell r="E2120" t="str">
            <v>ITAU UNIBANCO ASSET - TACO</v>
          </cell>
        </row>
        <row r="2121">
          <cell r="B2121">
            <v>82324</v>
          </cell>
          <cell r="C2121" t="str">
            <v>ITAU MASTER GLOBAL DINAMICO ULTRA MULTIMERCADO FUNDO DE INVE</v>
          </cell>
          <cell r="D2121" t="str">
            <v>ITAU MASTER GLOBAL DINAMICO ULTRA MULTIMERCADO FUNDO DE INVE</v>
          </cell>
          <cell r="E2121" t="str">
            <v>ITAU UNIBANCO ASSET - TACO</v>
          </cell>
        </row>
        <row r="2122">
          <cell r="B2122">
            <v>82325</v>
          </cell>
          <cell r="C2122" t="str">
            <v>ITAU FLEXPREV MASTER GD MULTIMERCADO FUNDO DE INVESTIMENTO</v>
          </cell>
          <cell r="D2122" t="str">
            <v>ITAU FLEXPREV MASTER GD MULTIMERCADO FUNDO DE INVESTIMENTO</v>
          </cell>
          <cell r="E2122" t="str">
            <v>ITAU UNIBANCO ASSET - TACO</v>
          </cell>
        </row>
        <row r="2123">
          <cell r="B2123">
            <v>82326</v>
          </cell>
          <cell r="C2123" t="str">
            <v>MATERA RC GESTÃƒO DE RECURSOS LTDA</v>
          </cell>
          <cell r="D2123" t="str">
            <v>MATERA RC GESTÃƒO DE RECURSOS LTDA</v>
          </cell>
          <cell r="E2123" t="str">
            <v>MATERA RC GESTÃƒO DE RECURSOS LTDA</v>
          </cell>
        </row>
        <row r="2124">
          <cell r="B2124">
            <v>82326</v>
          </cell>
          <cell r="C2124" t="str">
            <v>MATERA RC GESTÃƒO DE RECURSOS LTDA</v>
          </cell>
          <cell r="D2124" t="str">
            <v>MATERA RC GESTÃƒO DE RECURSOS LTDA</v>
          </cell>
          <cell r="E2124" t="str">
            <v>MATERA RC GESTÃƒO DE RECURSOS LTDA</v>
          </cell>
        </row>
        <row r="2125">
          <cell r="B2125">
            <v>82327</v>
          </cell>
          <cell r="C2125" t="str">
            <v>MATERA RC FIM</v>
          </cell>
          <cell r="D2125" t="str">
            <v>MATERA RC FIM</v>
          </cell>
          <cell r="E2125" t="str">
            <v>MATERA RC GESTÃƒO DE RECURSOS LTDA</v>
          </cell>
        </row>
        <row r="2126">
          <cell r="B2126">
            <v>82327</v>
          </cell>
          <cell r="C2126" t="str">
            <v>MATERA RC FIM</v>
          </cell>
          <cell r="D2126" t="str">
            <v>MATERA RC FIM</v>
          </cell>
          <cell r="E2126" t="str">
            <v>MATERA RC GESTÃƒO DE RECURSOS LTDA</v>
          </cell>
        </row>
        <row r="2127">
          <cell r="B2127">
            <v>82335</v>
          </cell>
          <cell r="C2127" t="str">
            <v>CLAVE EQUITY HEDGE MASTER FUNDO DE INVESTIMENTO MULTIMERCADO</v>
          </cell>
          <cell r="D2127" t="str">
            <v>CLAVE EQUITY HEDGE MASTER FUNDO DE INVESTIMENTO MULTIMERCADO</v>
          </cell>
          <cell r="E2127" t="str">
            <v>CLAVE GESTORA DE RECURSOS LTDA</v>
          </cell>
        </row>
        <row r="2128">
          <cell r="B2128">
            <v>82333</v>
          </cell>
          <cell r="C2128" t="str">
            <v>CLAVE TOTAL RETURN MASTER FIM</v>
          </cell>
          <cell r="D2128" t="str">
            <v>CLAVE TOTAL RETURN MASTER FIM</v>
          </cell>
          <cell r="E2128" t="str">
            <v>CLAVE GESTORA DE RECURSOS LTDA</v>
          </cell>
        </row>
        <row r="2129">
          <cell r="B2129">
            <v>82351</v>
          </cell>
          <cell r="C2129" t="str">
            <v>ITAU FLEXPREV VERTICE MULTIMERCADO PAPA FI</v>
          </cell>
          <cell r="D2129" t="str">
            <v>ITAU FLEXPREV VERTICE MULTIMERCADO PAPA FI</v>
          </cell>
          <cell r="E2129" t="str">
            <v>ITAU UNIBANCO ASSET - TACO</v>
          </cell>
        </row>
        <row r="2130">
          <cell r="B2130">
            <v>82351</v>
          </cell>
          <cell r="C2130" t="str">
            <v>ITAU FLEXPREV VERTICE MULTIMERCADO PAPA FI</v>
          </cell>
          <cell r="D2130" t="str">
            <v>ITAU FLEXPREV VERTICE MULTIMERCADO PAPA FI</v>
          </cell>
          <cell r="E2130" t="str">
            <v>ITAU UNIBANCO ASSET - TACO</v>
          </cell>
        </row>
        <row r="2131">
          <cell r="B2131">
            <v>82355</v>
          </cell>
          <cell r="C2131" t="str">
            <v>IBIUNA ST PLUS MASTER FUNDO DE INVESTIMENTO FINANCEIRO MULTI</v>
          </cell>
          <cell r="D2131" t="str">
            <v>IBIUNA ST PLUS MASTER FUNDO DE INVESTIMENTO FINANCEIRO MULTI</v>
          </cell>
          <cell r="E2131" t="str">
            <v>IBIUNA GESTAO DE RECURSOS LTDA</v>
          </cell>
        </row>
        <row r="2132">
          <cell r="B2132">
            <v>82357</v>
          </cell>
          <cell r="C2132" t="str">
            <v>BANCO BOCOM BBM S.A</v>
          </cell>
          <cell r="D2132" t="str">
            <v>BANCO BOCOM BBM S.A</v>
          </cell>
          <cell r="E2132" t="str">
            <v>BANCO BOCOM BBM S/A</v>
          </cell>
        </row>
        <row r="2133">
          <cell r="B2133">
            <v>82361</v>
          </cell>
          <cell r="C2133" t="str">
            <v>RIZA GESTORA DE RECURSOS LTDA.</v>
          </cell>
          <cell r="D2133" t="str">
            <v>RIZA GESTORA DE RECURSOS LTDA.</v>
          </cell>
          <cell r="E2133" t="str">
            <v>RIZA GESTORA DE RECURSOS LTDA</v>
          </cell>
        </row>
        <row r="2134">
          <cell r="B2134">
            <v>82361</v>
          </cell>
          <cell r="C2134" t="str">
            <v>RIZA GESTORA DE RECURSOS LTDA.</v>
          </cell>
          <cell r="D2134" t="str">
            <v>RIZA GESTORA DE RECURSOS LTDA.</v>
          </cell>
          <cell r="E2134" t="str">
            <v>RIZA GESTORA DE RECURSOS LTDA</v>
          </cell>
        </row>
        <row r="2135">
          <cell r="B2135">
            <v>82362</v>
          </cell>
          <cell r="C2135" t="str">
            <v>BANCO ABC BRASIL S/A</v>
          </cell>
          <cell r="D2135" t="str">
            <v>BANCO ABC BRASIL S/A</v>
          </cell>
          <cell r="E2135" t="str">
            <v>BANCO ABC BRASIL S/A</v>
          </cell>
        </row>
        <row r="2136">
          <cell r="B2136">
            <v>82362</v>
          </cell>
          <cell r="C2136" t="str">
            <v>BANCO ABC BRASIL S/A</v>
          </cell>
          <cell r="D2136" t="str">
            <v>BANCO ABC BRASIL S/A</v>
          </cell>
          <cell r="E2136" t="str">
            <v>BANCO ABC BRASIL S/A</v>
          </cell>
        </row>
        <row r="2137">
          <cell r="B2137">
            <v>82364</v>
          </cell>
          <cell r="C2137" t="str">
            <v>MAGNUS VALOR PREVIDENCIA I FIA</v>
          </cell>
          <cell r="D2137" t="str">
            <v>MAGNUS VALOR PREVIDENCIA I FIA</v>
          </cell>
          <cell r="E2137" t="str">
            <v>MAGNUS CAPITAL GESTORA DE RECURSOS LTDA</v>
          </cell>
        </row>
        <row r="2138">
          <cell r="B2138">
            <v>82367</v>
          </cell>
          <cell r="C2138" t="str">
            <v>RIZA GESTORA DE RECURSOS LTDA.</v>
          </cell>
          <cell r="D2138" t="str">
            <v>RIZA GESTORA DE RECURSOS LTDA.</v>
          </cell>
          <cell r="E2138" t="str">
            <v>RIZA GESTORA DE RECURSOS LTDA</v>
          </cell>
        </row>
        <row r="2139">
          <cell r="B2139">
            <v>82367</v>
          </cell>
          <cell r="C2139" t="str">
            <v>RIZA GESTORA DE RECURSOS LTDA.</v>
          </cell>
          <cell r="D2139" t="str">
            <v>RIZA GESTORA DE RECURSOS LTDA.</v>
          </cell>
          <cell r="E2139" t="str">
            <v>RIZA GESTORA DE RECURSOS LTDA</v>
          </cell>
        </row>
        <row r="2140">
          <cell r="B2140">
            <v>82386</v>
          </cell>
          <cell r="C2140" t="str">
            <v>SQUAREPOINT MASTER TRADING LLC</v>
          </cell>
          <cell r="D2140" t="str">
            <v>SQUAREPOINT MASTER TRADING LLC</v>
          </cell>
          <cell r="E2140" t="str">
            <v>SQUAREPOINT TRADING LLC</v>
          </cell>
        </row>
        <row r="2141">
          <cell r="B2141">
            <v>82386</v>
          </cell>
          <cell r="C2141" t="str">
            <v>SQUAREPOINT MASTER TRADING LLC</v>
          </cell>
          <cell r="D2141" t="str">
            <v>SQUAREPOINT MASTER TRADING LLC</v>
          </cell>
          <cell r="E2141" t="str">
            <v>SQUAREPOINT TRADING LLC</v>
          </cell>
        </row>
        <row r="2142">
          <cell r="B2142">
            <v>82388</v>
          </cell>
          <cell r="C2142" t="str">
            <v>ITAU MASTER GLOBAL DINAMICO ULTRA MULTIMERCADO FUNDO DE INVE</v>
          </cell>
          <cell r="D2142" t="str">
            <v>ITAU MASTER GLOBAL DINAMICO ULTRA MULTIMERCADO FUNDO DE INVE</v>
          </cell>
          <cell r="E2142" t="str">
            <v>ITAU UNIBANCO ASSET - TACO</v>
          </cell>
        </row>
        <row r="2143">
          <cell r="B2143">
            <v>82389</v>
          </cell>
          <cell r="C2143" t="str">
            <v>ITAU FLEXPREV MASTER GD MULTIMERCADO FUNDO DE INVESTIMENTO</v>
          </cell>
          <cell r="D2143" t="str">
            <v>ITAU FLEXPREV MASTER GD MULTIMERCADO FUNDO DE INVESTIMENTO</v>
          </cell>
          <cell r="E2143" t="str">
            <v>ITAU UNIBANCO ASSET - TACO</v>
          </cell>
        </row>
        <row r="2144">
          <cell r="B2144">
            <v>82390</v>
          </cell>
          <cell r="C2144" t="str">
            <v>SQUAREPOINT MASTER TRADING LLC</v>
          </cell>
          <cell r="D2144" t="str">
            <v>SQUAREPOINT MASTER TRADING LLC</v>
          </cell>
          <cell r="E2144" t="str">
            <v>SQUAREPOINT TRADING LLC</v>
          </cell>
        </row>
        <row r="2145">
          <cell r="B2145">
            <v>82391</v>
          </cell>
          <cell r="C2145" t="str">
            <v>ITAU MASTER GLOBAL DINAMICO MULTIMERCADO FI</v>
          </cell>
          <cell r="D2145" t="str">
            <v>ITAU MASTER GLOBAL DINAMICO MULTIMERCADO FI</v>
          </cell>
          <cell r="E2145" t="str">
            <v>ITAU UNIBANCO ASSET - TACO</v>
          </cell>
        </row>
        <row r="2146">
          <cell r="B2146">
            <v>82393</v>
          </cell>
          <cell r="C2146" t="str">
            <v>MAGNUS VALOR PREV A MASTER FIF AÃ‡Ã•ES RESP LIMITADA</v>
          </cell>
          <cell r="D2146" t="str">
            <v>MAGNUS VALOR PREV A MASTER FIF AÃ‡Ã•ES RESP LIMITADA</v>
          </cell>
          <cell r="E2146" t="str">
            <v>MAGNUS CAPITAL GESTORA DE RECURSOS LTDA</v>
          </cell>
        </row>
        <row r="2147">
          <cell r="B2147">
            <v>80065</v>
          </cell>
          <cell r="C2147" t="str">
            <v>MORE PREMIUM CRÃ‰DITO CORPORATIVO FI RENDA FIXA LONGO PRAZO</v>
          </cell>
          <cell r="D2147" t="str">
            <v>MORE PREMIUM CRÃ‰DITO CORPORATIVO FI RENDA FIXA LONGO PRAZO</v>
          </cell>
          <cell r="E2147" t="str">
            <v>MORE INVEST GESTORA DE RECURSOS LTDA</v>
          </cell>
        </row>
        <row r="2148">
          <cell r="B2148">
            <v>12404</v>
          </cell>
          <cell r="C2148" t="str">
            <v>MORE INVEST GESTORA DE RECURSOS LTDA</v>
          </cell>
          <cell r="D2148" t="str">
            <v>MORE INVEST GESTORA DE RECURSOS LTDA</v>
          </cell>
          <cell r="E2148" t="str">
            <v>MORE INVEST GESTORA DE RECURSOS LTDA</v>
          </cell>
        </row>
        <row r="2149">
          <cell r="B2149">
            <v>82405</v>
          </cell>
          <cell r="C2149" t="str">
            <v>DAHLIA TOTAL RETURN MASTER FIF DE AÃ‡Ã•ES -RESPONSABILIDADE</v>
          </cell>
          <cell r="D2149" t="str">
            <v>DAHLIA TOTAL RETURN MASTER FIF DE AÃ‡Ã•ES -RESPONSABILIDADE</v>
          </cell>
          <cell r="E2149" t="str">
            <v>DAHLIA CAPITAL GESTAO DE RECURSOS LTDA</v>
          </cell>
        </row>
        <row r="2150">
          <cell r="B2150">
            <v>82405</v>
          </cell>
          <cell r="C2150" t="str">
            <v>DAHLIA TOTAL RETURN MASTER FIF DE AÃ‡Ã•ES -RESPONSABILIDADE</v>
          </cell>
          <cell r="D2150" t="str">
            <v>DAHLIA TOTAL RETURN MASTER FIF DE AÃ‡Ã•ES -RESPONSABILIDADE</v>
          </cell>
          <cell r="E2150" t="str">
            <v>DAHLIA CAPITAL GESTAO DE RECURSOS LTDA</v>
          </cell>
        </row>
        <row r="2151">
          <cell r="B2151">
            <v>82920</v>
          </cell>
          <cell r="C2151" t="str">
            <v>GLADIUS FIF MULTIMERCADO CREDITO PRIVADO IE</v>
          </cell>
          <cell r="D2151" t="str">
            <v>GLADIUS FIF MULTIMERCADO CREDITO PRIVADO IE</v>
          </cell>
          <cell r="E2151" t="str">
            <v>BANCO XP S/A</v>
          </cell>
        </row>
        <row r="2152">
          <cell r="B2152">
            <v>82920</v>
          </cell>
          <cell r="C2152" t="str">
            <v>GLADIUS FIF MULTIMERCADO CREDITO PRIVADO IE</v>
          </cell>
          <cell r="D2152" t="str">
            <v>GLADIUS FIF MULTIMERCADO CREDITO PRIVADO IE</v>
          </cell>
          <cell r="E2152" t="str">
            <v>BANCO XP S/A</v>
          </cell>
        </row>
        <row r="2153">
          <cell r="B2153">
            <v>82594</v>
          </cell>
          <cell r="C2153" t="str">
            <v>NIMROD FIM CP IE</v>
          </cell>
          <cell r="D2153" t="str">
            <v>NIMROD FIM CP IE</v>
          </cell>
          <cell r="E2153" t="str">
            <v>BANCO XP S/A</v>
          </cell>
        </row>
        <row r="2154">
          <cell r="B2154">
            <v>82721</v>
          </cell>
          <cell r="C2154" t="str">
            <v>NIMROD FIM CP IE</v>
          </cell>
          <cell r="D2154" t="str">
            <v>NIMROD FIM CP IE</v>
          </cell>
          <cell r="E2154" t="str">
            <v>BANCO XP S/A</v>
          </cell>
        </row>
        <row r="2155">
          <cell r="B2155">
            <v>82408</v>
          </cell>
          <cell r="C2155" t="str">
            <v>PLANO COMPLEMENTAR A PREVIDENCIA SOCIAL</v>
          </cell>
          <cell r="D2155" t="str">
            <v>PLANO COMPLEMENTAR A PREVIDENCIA SOCIAL</v>
          </cell>
          <cell r="E2155" t="str">
            <v>FUNDACAO ELETROBRAS DE SEGURIDADE SOCIAL ELETROS</v>
          </cell>
        </row>
        <row r="2156">
          <cell r="B2156">
            <v>82409</v>
          </cell>
          <cell r="C2156" t="str">
            <v>FUNDACAO ELETROBRAS DE SEGURIDADE SOCIAL ELETROS</v>
          </cell>
          <cell r="D2156" t="str">
            <v>FUNDACAO ELETROBRAS DE SEGURIDADE SOCIAL ELETROS</v>
          </cell>
          <cell r="E2156" t="str">
            <v>FUNDACAO ELETROBRAS DE SEGURIDADE SOCIAL ELETROS</v>
          </cell>
        </row>
        <row r="2157">
          <cell r="B2157">
            <v>82410</v>
          </cell>
          <cell r="C2157" t="str">
            <v>PLANO DE CONTRIBUICAO DEFINIDA_ ELETROS</v>
          </cell>
          <cell r="D2157" t="str">
            <v>PLANO DE CONTRIBUICAO DEFINIDA_ ELETROS</v>
          </cell>
          <cell r="E2157" t="str">
            <v>FUNDACAO ELETROBRAS DE SEGURIDADE SOCIAL ELETROS</v>
          </cell>
        </row>
        <row r="2158">
          <cell r="B2158">
            <v>82411</v>
          </cell>
          <cell r="C2158" t="str">
            <v>PLANO ELETROBRAS DE CONTRIBUICAO DEFINIDA I</v>
          </cell>
          <cell r="D2158" t="str">
            <v>PLANO ELETROBRAS DE CONTRIBUICAO DEFINIDA I</v>
          </cell>
          <cell r="E2158" t="str">
            <v>FUNDACAO ELETROBRAS DE SEGURIDADE SOCIAL ELETROS</v>
          </cell>
        </row>
        <row r="2159">
          <cell r="B2159">
            <v>82412</v>
          </cell>
          <cell r="C2159" t="str">
            <v>PLANO DE PREVIDENCIA DA ELETROS PLANO EPE</v>
          </cell>
          <cell r="D2159" t="str">
            <v>PLANO DE PREVIDENCIA DA ELETROS PLANO EPE</v>
          </cell>
          <cell r="E2159" t="str">
            <v>FUNDACAO ELETROBRAS DE SEGURIDADE SOCIAL ELETROS</v>
          </cell>
        </row>
        <row r="2160">
          <cell r="B2160">
            <v>82413</v>
          </cell>
          <cell r="C2160" t="str">
            <v>PLANO CV ONS</v>
          </cell>
          <cell r="D2160" t="str">
            <v>PLANO CV ONS</v>
          </cell>
          <cell r="E2160" t="str">
            <v>FUNDACAO ELETROBRAS DE SEGURIDADE SOCIAL ELETROS</v>
          </cell>
        </row>
        <row r="2161">
          <cell r="B2161">
            <v>82414</v>
          </cell>
          <cell r="C2161" t="str">
            <v>ELETROS ACOES FUNDO DE INVESTIMENTO EM COTAS DE FIA</v>
          </cell>
          <cell r="D2161" t="str">
            <v>ELETROS ACOES FUNDO DE INVESTIMENTO EM COTAS DE FIA</v>
          </cell>
          <cell r="E2161" t="str">
            <v>FUNDACAO ELETROBRAS DE SEGURIDADE SOCIAL ELETROS</v>
          </cell>
        </row>
        <row r="2162">
          <cell r="B2162">
            <v>82416</v>
          </cell>
          <cell r="C2162" t="str">
            <v>IBIUNA EQUITY STRATEGY FIF EM AÃ‡Ã•ES</v>
          </cell>
          <cell r="D2162" t="str">
            <v>IBIUNA EQUITY STRATEGY FIF EM AÃ‡Ã•ES</v>
          </cell>
          <cell r="E2162" t="str">
            <v>IBIUNA GESTAO DE RECURSOS LTDA</v>
          </cell>
        </row>
        <row r="2163">
          <cell r="B2163">
            <v>82416</v>
          </cell>
          <cell r="C2163" t="str">
            <v>IBIUNA EQUITY STRATEGY FIF EM AÃ‡Ã•ES</v>
          </cell>
          <cell r="D2163" t="str">
            <v>IBIUNA EQUITY STRATEGY FIF EM AÃ‡Ã•ES</v>
          </cell>
          <cell r="E2163" t="str">
            <v>IBIUNA GESTAO DE RECURSOS LTDA</v>
          </cell>
        </row>
        <row r="2164">
          <cell r="B2164">
            <v>82417</v>
          </cell>
          <cell r="C2164" t="str">
            <v>CLAVE CREDIT VC FIM CP IE</v>
          </cell>
          <cell r="D2164" t="str">
            <v>CLAVE CREDIT VC FIM CP IE</v>
          </cell>
          <cell r="E2164" t="str">
            <v>CLAVE GESTORA DE RECURSOS LTDA</v>
          </cell>
        </row>
        <row r="2165">
          <cell r="B2165">
            <v>82418</v>
          </cell>
          <cell r="C2165" t="str">
            <v>CLAVE CREDIT CW2 FIM CP RL</v>
          </cell>
          <cell r="D2165" t="str">
            <v>CLAVE CREDIT CW2 FIM CP RL</v>
          </cell>
          <cell r="E2165" t="str">
            <v>CLAVE GESTORA DE RECURSOS LTDA</v>
          </cell>
        </row>
        <row r="2166">
          <cell r="B2166">
            <v>82420</v>
          </cell>
          <cell r="C2166" t="str">
            <v>CLAVE MULTI CREDIT PREV FIFE I FIM CP</v>
          </cell>
          <cell r="D2166" t="str">
            <v>CLAVE MULTI CREDIT PREV FIFE I FIM CP</v>
          </cell>
          <cell r="E2166" t="str">
            <v>CLAVE GESTORA DE RECURSOS LTDA</v>
          </cell>
        </row>
        <row r="2167">
          <cell r="B2167">
            <v>82421</v>
          </cell>
          <cell r="C2167" t="str">
            <v>CLAVE CREDIT L FIM CP</v>
          </cell>
          <cell r="D2167" t="str">
            <v>CLAVE CREDIT L FIM CP</v>
          </cell>
          <cell r="E2167" t="str">
            <v>CLAVE GESTORA DE RECURSOS LTDA</v>
          </cell>
        </row>
        <row r="2168">
          <cell r="B2168">
            <v>82422</v>
          </cell>
          <cell r="C2168" t="str">
            <v>CLAVE CREDIT TB FIM CP IE</v>
          </cell>
          <cell r="D2168" t="str">
            <v>CLAVE CREDIT TB FIM CP IE</v>
          </cell>
          <cell r="E2168" t="str">
            <v>CLAVE GESTORA DE RECURSOS LTDA</v>
          </cell>
        </row>
        <row r="2169">
          <cell r="B2169">
            <v>82424</v>
          </cell>
          <cell r="C2169" t="str">
            <v>ITAÃš FLEXPREV OPTIMUS LONG BIAS FIF MULT - RESP LIMITADA</v>
          </cell>
          <cell r="D2169" t="str">
            <v>ITAÃš FLEXPREV OPTIMUS LONG BIAS FIF MULT - RESP LIMITADA</v>
          </cell>
          <cell r="E2169" t="str">
            <v>ITAU UNIBANCO ASSET - TACO</v>
          </cell>
        </row>
        <row r="2170">
          <cell r="B2170">
            <v>82425</v>
          </cell>
          <cell r="C2170" t="str">
            <v>ITAU OPTIMUS TITAN BRASILPREV FIFE FIF MULT RL</v>
          </cell>
          <cell r="D2170" t="str">
            <v>ITAU OPTIMUS TITAN BRASILPREV FIFE FIF MULT RL</v>
          </cell>
          <cell r="E2170" t="str">
            <v>ITAU UNIBANCO ASSET - TACO</v>
          </cell>
        </row>
        <row r="2171">
          <cell r="B2171">
            <v>82426</v>
          </cell>
          <cell r="C2171" t="str">
            <v>JP MORGAN SECURITIES PLC</v>
          </cell>
          <cell r="D2171" t="str">
            <v>JP MORGAN SECURITIES PLC</v>
          </cell>
          <cell r="E2171" t="str">
            <v>BANCO JP MORGAN S/A</v>
          </cell>
        </row>
        <row r="2172">
          <cell r="B2172">
            <v>82427</v>
          </cell>
          <cell r="C2172" t="str">
            <v>KAPITALO SIGMA LLC - BTG</v>
          </cell>
          <cell r="D2172" t="str">
            <v>KAPITALO SIGMA LLC - BTG</v>
          </cell>
          <cell r="E2172" t="str">
            <v>KAPITALO INVESTIMENTOS LTDA</v>
          </cell>
        </row>
        <row r="2173">
          <cell r="B2173">
            <v>82428</v>
          </cell>
          <cell r="C2173" t="str">
            <v>SAFRA KEPLER MACRO MASTER FIF CLASSE DE IM RL</v>
          </cell>
          <cell r="D2173" t="str">
            <v>SAFRA KEPLER MACRO MASTER FIF CLASSE DE IM RL</v>
          </cell>
          <cell r="E2173" t="str">
            <v>EMERALD GESTAO DE INVESTIMENTOS LTDA</v>
          </cell>
        </row>
        <row r="2174">
          <cell r="B2174">
            <v>82429</v>
          </cell>
          <cell r="C2174" t="str">
            <v>CL IX FUNDO DE INVESTIMENTO MULTIMERCADO</v>
          </cell>
          <cell r="D2174" t="str">
            <v>CL IX FUNDO DE INVESTIMENTO MULTIMERCADO</v>
          </cell>
          <cell r="E2174" t="str">
            <v>CLAVE GESTORA DE RECURSOS LTDA</v>
          </cell>
        </row>
        <row r="2175">
          <cell r="B2175">
            <v>82430</v>
          </cell>
          <cell r="C2175" t="str">
            <v>SAFARI CAPITAL GESTAO DE RECURSOS LTDA.</v>
          </cell>
          <cell r="D2175" t="str">
            <v>SAFARI CAPITAL GESTAO DE RECURSOS LTDA.</v>
          </cell>
          <cell r="E2175" t="str">
            <v>SAFARI CAPITAL GESTAO DE RECURSOS LTDA.</v>
          </cell>
        </row>
        <row r="2176">
          <cell r="B2176">
            <v>82430</v>
          </cell>
          <cell r="C2176" t="str">
            <v>SAFARI CAPITAL GESTAO DE RECURSOS LTDA.</v>
          </cell>
          <cell r="D2176" t="str">
            <v>SAFARI CAPITAL GESTAO DE RECURSOS LTDA.</v>
          </cell>
          <cell r="E2176" t="str">
            <v>SAFARI CAPITAL GESTAO DE RECURSOS LTDA.</v>
          </cell>
        </row>
        <row r="2177">
          <cell r="B2177">
            <v>82431</v>
          </cell>
          <cell r="C2177" t="str">
            <v>SAFARI MASTER FUNDO DE INVESTIMENTO MULTIMERCADO</v>
          </cell>
          <cell r="D2177" t="str">
            <v>SAFARI MASTER FUNDO DE INVESTIMENTO MULTIMERCADO</v>
          </cell>
          <cell r="E2177" t="str">
            <v>SAFARI CAPITAL GESTAO DE RECURSOS LTDA.</v>
          </cell>
        </row>
        <row r="2178">
          <cell r="B2178">
            <v>82431</v>
          </cell>
          <cell r="C2178" t="str">
            <v>SAFARI MASTER FUNDO DE INVESTIMENTO MULTIMERCADO</v>
          </cell>
          <cell r="D2178" t="str">
            <v>SAFARI MASTER FUNDO DE INVESTIMENTO MULTIMERCADO</v>
          </cell>
          <cell r="E2178" t="str">
            <v>SAFARI CAPITAL GESTAO DE RECURSOS LTDA.</v>
          </cell>
        </row>
        <row r="2179">
          <cell r="B2179">
            <v>82432</v>
          </cell>
          <cell r="C2179" t="str">
            <v>SAFARI MASTER PREV FUNDO DE INVESTIMENTO MULTIMERCADO</v>
          </cell>
          <cell r="D2179" t="str">
            <v>SAFARI MASTER PREV FUNDO DE INVESTIMENTO MULTIMERCADO</v>
          </cell>
          <cell r="E2179" t="str">
            <v>SAFARI CAPITAL GESTAO DE RECURSOS LTDA.</v>
          </cell>
        </row>
        <row r="2180">
          <cell r="B2180">
            <v>82432</v>
          </cell>
          <cell r="C2180" t="str">
            <v>SAFARI MASTER PREV FUNDO DE INVESTIMENTO MULTIMERCADO</v>
          </cell>
          <cell r="D2180" t="str">
            <v>SAFARI MASTER PREV FUNDO DE INVESTIMENTO MULTIMERCADO</v>
          </cell>
          <cell r="E2180" t="str">
            <v>SAFARI CAPITAL GESTAO DE RECURSOS LTDA.</v>
          </cell>
        </row>
        <row r="2181">
          <cell r="B2181">
            <v>82433</v>
          </cell>
          <cell r="C2181" t="str">
            <v>SAFARI MASTER PREV CEM FIM FIFE</v>
          </cell>
          <cell r="D2181" t="str">
            <v>SAFARI MASTER PREV CEM FIM FIFE</v>
          </cell>
          <cell r="E2181" t="str">
            <v>SAFARI CAPITAL GESTAO DE RECURSOS LTDA.</v>
          </cell>
        </row>
        <row r="2182">
          <cell r="B2182">
            <v>82433</v>
          </cell>
          <cell r="C2182" t="str">
            <v>SAFARI MASTER PREV CEM FIM FIFE</v>
          </cell>
          <cell r="D2182" t="str">
            <v>SAFARI MASTER PREV CEM FIM FIFE</v>
          </cell>
          <cell r="E2182" t="str">
            <v>SAFARI CAPITAL GESTAO DE RECURSOS LTDA.</v>
          </cell>
        </row>
        <row r="2183">
          <cell r="B2183">
            <v>82436</v>
          </cell>
          <cell r="C2183" t="str">
            <v>BARRA FIA RESPONSABILIDADE LIMITADA</v>
          </cell>
          <cell r="D2183" t="str">
            <v>BARRA FIA RESPONSABILIDADE LIMITADA</v>
          </cell>
          <cell r="E2183" t="str">
            <v>ALASKA INVESTIMENTOS LTDA</v>
          </cell>
        </row>
        <row r="2184">
          <cell r="B2184">
            <v>82438</v>
          </cell>
          <cell r="C2184" t="str">
            <v>ARTESANAL PREVIDENCIA FUNDO DE INVESTIMENTO MULTIMERCADO RL</v>
          </cell>
          <cell r="D2184" t="str">
            <v>ARTESANAL PREVIDENCIA FUNDO DE INVESTIMENTO MULTIMERCADO RL</v>
          </cell>
          <cell r="E2184" t="str">
            <v>ARTESANAL INVESTIMENTOS LTDA</v>
          </cell>
        </row>
        <row r="2185">
          <cell r="B2185">
            <v>82439</v>
          </cell>
          <cell r="C2185" t="str">
            <v>LAKESIDE TRADING LLC</v>
          </cell>
          <cell r="D2185" t="str">
            <v>LAKESIDE TRADING LLC</v>
          </cell>
          <cell r="E2185" t="str">
            <v>LAKESIDE TRADING LLC</v>
          </cell>
        </row>
        <row r="2186">
          <cell r="B2186">
            <v>82439</v>
          </cell>
          <cell r="C2186" t="str">
            <v>LAKESIDE TRADING LLC</v>
          </cell>
          <cell r="D2186" t="str">
            <v>LAKESIDE TRADING LLC</v>
          </cell>
          <cell r="E2186" t="str">
            <v>LAKESIDE TRADING LLC</v>
          </cell>
        </row>
        <row r="2187">
          <cell r="B2187">
            <v>82440</v>
          </cell>
          <cell r="C2187" t="str">
            <v>ITAU TOTAL RETURN FUNDO DE INVESTIMENTO IMOBILIARIO</v>
          </cell>
          <cell r="D2187" t="str">
            <v>ITAU TOTAL RETURN FUNDO DE INVESTIMENTO IMOBILIARIO</v>
          </cell>
          <cell r="E2187" t="str">
            <v>ITAU UNIBANCO ASSET - TACO</v>
          </cell>
        </row>
        <row r="2188">
          <cell r="B2188">
            <v>1456</v>
          </cell>
          <cell r="C2188" t="str">
            <v>BGC LIQUIDEZ DTVM LTDA</v>
          </cell>
          <cell r="D2188" t="str">
            <v>BGC LIQUIDEZ DTVM LTDA</v>
          </cell>
          <cell r="E2188" t="str">
            <v>BGC LIQUIDEZ DTVM LTDA</v>
          </cell>
        </row>
        <row r="2189">
          <cell r="B2189">
            <v>1457</v>
          </cell>
          <cell r="C2189" t="str">
            <v>BGC LIQUIDEZ DTVM LTDA</v>
          </cell>
          <cell r="D2189" t="str">
            <v>BGC LIQUIDEZ DTVM LTDA</v>
          </cell>
          <cell r="E2189" t="str">
            <v>BGC LIQUIDEZ DTVM LTDA</v>
          </cell>
        </row>
        <row r="2190">
          <cell r="B2190">
            <v>82441</v>
          </cell>
          <cell r="C2190" t="str">
            <v>ITAU UNIBANCO ASSET MANAGEMENT LTDA</v>
          </cell>
          <cell r="D2190" t="str">
            <v>ITAU UNIBANCO ASSET MANAGEMENT LTDA</v>
          </cell>
          <cell r="E2190" t="str">
            <v>ITAU UNIBANCO ASSET MANAGEMENT LTDA</v>
          </cell>
        </row>
        <row r="2191">
          <cell r="B2191">
            <v>82441</v>
          </cell>
          <cell r="C2191" t="str">
            <v>ITAU UNIBANCO ASSET MANAGEMENT LTDA</v>
          </cell>
          <cell r="D2191" t="str">
            <v>ITAU UNIBANCO ASSET MANAGEMENT LTDA</v>
          </cell>
          <cell r="E2191" t="str">
            <v>ITAU UNIBANCO ASSET MANAGEMENT LTDA</v>
          </cell>
        </row>
        <row r="2192">
          <cell r="B2192">
            <v>82445</v>
          </cell>
          <cell r="C2192" t="str">
            <v>SOLANA LONG AND SHORT FUNDO DE INVESTIMENTO EM AÃ‡Ã•ES RESP LI</v>
          </cell>
          <cell r="D2192" t="str">
            <v>SOLANA LONG AND SHORT FUNDO DE INVESTIMENTO EM AÃ‡Ã•ES RESP LI</v>
          </cell>
          <cell r="E2192" t="str">
            <v>SOLANA GESTORA DE RECURSOS LTDA</v>
          </cell>
        </row>
        <row r="2193">
          <cell r="B2193">
            <v>82446</v>
          </cell>
          <cell r="C2193" t="str">
            <v>CITIBANK NA</v>
          </cell>
          <cell r="D2193" t="str">
            <v>CITIBANK NA</v>
          </cell>
          <cell r="E2193" t="str">
            <v>CITIBANK DTVM S/A</v>
          </cell>
        </row>
        <row r="2194">
          <cell r="B2194">
            <v>82447</v>
          </cell>
          <cell r="C2194" t="str">
            <v>ITAU MASTER GLOBAL DINAMICO MULTIMERCADO FI</v>
          </cell>
          <cell r="D2194" t="str">
            <v>ITAU MASTER GLOBAL DINAMICO MULTIMERCADO FI</v>
          </cell>
          <cell r="E2194" t="str">
            <v>ITAU UNIBANCO ASSET - TACO</v>
          </cell>
        </row>
        <row r="2195">
          <cell r="B2195">
            <v>82448</v>
          </cell>
          <cell r="C2195" t="str">
            <v>ITAU MASTER GLOBAL DINAMICO ULTRA MULTIMERCADO FUNDO DE INVE</v>
          </cell>
          <cell r="D2195" t="str">
            <v>ITAU MASTER GLOBAL DINAMICO ULTRA MULTIMERCADO FUNDO DE INVE</v>
          </cell>
          <cell r="E2195" t="str">
            <v>ITAU UNIBANCO ASSET - TACO</v>
          </cell>
        </row>
        <row r="2196">
          <cell r="B2196">
            <v>82449</v>
          </cell>
          <cell r="C2196" t="str">
            <v>ITAU FLEXPREV MASTER GD MULTIMERCADO FUNDO DE INVESTIMENTO</v>
          </cell>
          <cell r="D2196" t="str">
            <v>ITAU FLEXPREV MASTER GD MULTIMERCADO FUNDO DE INVESTIMENTO</v>
          </cell>
          <cell r="E2196" t="str">
            <v>ITAU UNIBANCO ASSET - TACO</v>
          </cell>
        </row>
        <row r="2197">
          <cell r="B2197">
            <v>82452</v>
          </cell>
          <cell r="C2197" t="str">
            <v>REAL INVESTOR FUNDO DE INVESTIMENTO IMOBILIÃRIO</v>
          </cell>
          <cell r="D2197" t="str">
            <v>REAL INVESTOR FUNDO DE INVESTIMENTO IMOBILIÃRIO</v>
          </cell>
          <cell r="E2197" t="str">
            <v>REAL INVESTOR ASSET MANAGEMENT LTDA</v>
          </cell>
        </row>
        <row r="2198">
          <cell r="B2198">
            <v>82452</v>
          </cell>
          <cell r="C2198" t="str">
            <v>REAL INVESTOR FUNDO DE INVESTIMENTO IMOBILIÃRIO</v>
          </cell>
          <cell r="D2198" t="str">
            <v>REAL INVESTOR FUNDO DE INVESTIMENTO IMOBILIÃRIO</v>
          </cell>
          <cell r="E2198" t="str">
            <v>REAL INVESTOR ASSET MANAGEMENT LTDA</v>
          </cell>
        </row>
        <row r="2199">
          <cell r="B2199">
            <v>82458</v>
          </cell>
          <cell r="C2199" t="str">
            <v>LANS EQUITIES FIA IE</v>
          </cell>
          <cell r="D2199" t="str">
            <v>LANS EQUITIES FIA IE</v>
          </cell>
          <cell r="E2199" t="str">
            <v>NORD GESTORA DE RECURSOS LTDA</v>
          </cell>
        </row>
        <row r="2200">
          <cell r="B2200">
            <v>82457</v>
          </cell>
          <cell r="C2200" t="str">
            <v>NORD 10X FIA</v>
          </cell>
          <cell r="D2200" t="str">
            <v>NORD 10X FIA</v>
          </cell>
          <cell r="E2200" t="str">
            <v>NORD GESTORA DE RECURSOS LTDA</v>
          </cell>
        </row>
        <row r="2201">
          <cell r="B2201">
            <v>82454</v>
          </cell>
          <cell r="C2201" t="str">
            <v>NORD GESTORA DE RECURSOS LTDA</v>
          </cell>
          <cell r="D2201" t="str">
            <v>NORD GESTORA DE RECURSOS LTDA</v>
          </cell>
          <cell r="E2201" t="str">
            <v>NORD GESTORA DE RECURSOS LTDA</v>
          </cell>
        </row>
        <row r="2202">
          <cell r="B2202">
            <v>82456</v>
          </cell>
          <cell r="C2202" t="str">
            <v>NORD AT PREVIDENCIA FIFE FIA</v>
          </cell>
          <cell r="D2202" t="str">
            <v>NORD AT PREVIDENCIA FIFE FIA</v>
          </cell>
          <cell r="E2202" t="str">
            <v>NORD GESTORA DE RECURSOS LTDA</v>
          </cell>
        </row>
        <row r="2203">
          <cell r="B2203">
            <v>82455</v>
          </cell>
          <cell r="C2203" t="str">
            <v>NORD AT MASTER FIA</v>
          </cell>
          <cell r="D2203" t="str">
            <v>NORD AT MASTER FIA</v>
          </cell>
          <cell r="E2203" t="str">
            <v>NORD GESTORA DE RECURSOS LTDA</v>
          </cell>
        </row>
        <row r="2204">
          <cell r="B2204">
            <v>82459</v>
          </cell>
          <cell r="C2204" t="str">
            <v>VINLAND MACRO MASTER INSTITUCIONAL FIM</v>
          </cell>
          <cell r="D2204" t="str">
            <v>VINLAND MACRO MASTER INSTITUCIONAL FIM</v>
          </cell>
          <cell r="E2204" t="str">
            <v>VINLAND CAPITAL MANAGEMENT GESTORA DE RECURSOS LTDA</v>
          </cell>
        </row>
        <row r="2205">
          <cell r="B2205">
            <v>82460</v>
          </cell>
          <cell r="C2205" t="str">
            <v>VINLAND RF ATIVO MASTER INSTITUCIONAL FI RF</v>
          </cell>
          <cell r="D2205" t="str">
            <v>VINLAND RF ATIVO MASTER INSTITUCIONAL FI RF</v>
          </cell>
          <cell r="E2205" t="str">
            <v>VINLAND CAPITAL MANAGEMENT GESTORA DE RECURSOS LTDA</v>
          </cell>
        </row>
        <row r="2206">
          <cell r="B2206">
            <v>82460</v>
          </cell>
          <cell r="C2206" t="str">
            <v>VINLAND RF ATIVO MASTER INSTITUCIONAL FI RF</v>
          </cell>
          <cell r="D2206" t="str">
            <v>VINLAND RF ATIVO MASTER INSTITUCIONAL FI RF</v>
          </cell>
          <cell r="E2206" t="str">
            <v>VINLAND CAPITAL MANAGEMENT GESTORA DE RECURSOS LTDA</v>
          </cell>
        </row>
        <row r="2207">
          <cell r="B2207">
            <v>82461</v>
          </cell>
          <cell r="C2207" t="str">
            <v>MAGNUS VALOR PREVIDÃŠNCIA RED FUNDO DE INVESTIMENTO EM AÃ‡Ã•ES</v>
          </cell>
          <cell r="D2207" t="str">
            <v>MAGNUS VALOR PREVIDÃŠNCIA RED FUNDO DE INVESTIMENTO EM AÃ‡Ã•ES</v>
          </cell>
          <cell r="E2207" t="str">
            <v>MAGNUS CAPITAL GESTORA DE RECURSOS LTDA</v>
          </cell>
        </row>
        <row r="2208">
          <cell r="B2208">
            <v>82463</v>
          </cell>
          <cell r="C2208" t="str">
            <v>ITAU MULTIESTRATEGIA MULTIMERCADO FI</v>
          </cell>
          <cell r="D2208" t="str">
            <v>ITAU MULTIESTRATEGIA MULTIMERCADO FI</v>
          </cell>
          <cell r="E2208" t="str">
            <v>ITAU UNIBANCO ASSET - TACO</v>
          </cell>
        </row>
        <row r="2209">
          <cell r="B2209">
            <v>82465</v>
          </cell>
          <cell r="C2209" t="str">
            <v>RUBICON GLOBAL OPPORTUNITIES FIM CP IE</v>
          </cell>
          <cell r="D2209" t="str">
            <v>RUBICON GLOBAL OPPORTUNITIES FIM CP IE</v>
          </cell>
          <cell r="E2209" t="str">
            <v>RUBICON GLOBAL OPPORTUNITIES FIM CP IE</v>
          </cell>
        </row>
        <row r="2210">
          <cell r="B2210">
            <v>82466</v>
          </cell>
          <cell r="C2210" t="str">
            <v>ITAÃš MASTER PETROBRÃS AÃ‡Ã•ES FUNDO DE INVESTIMENTO</v>
          </cell>
          <cell r="D2210" t="str">
            <v>ITAÃš MASTER PETROBRÃS AÃ‡Ã•ES FUNDO DE INVESTIMENTO</v>
          </cell>
          <cell r="E2210" t="str">
            <v>ITAU UNIBANCO ASSET - TACO</v>
          </cell>
        </row>
        <row r="2211">
          <cell r="B2211">
            <v>12349</v>
          </cell>
          <cell r="C2211" t="str">
            <v>BRAM - BRADESCO ASSET MANAGEMENT SA DTVM</v>
          </cell>
          <cell r="D2211" t="str">
            <v>BRAM - BRADESCO ASSET MANAGEMENT SA DTVM</v>
          </cell>
          <cell r="E2211" t="str">
            <v>BRAM - BRADESCO ASSET MANAGEMENT S/A DTVM</v>
          </cell>
        </row>
        <row r="2212">
          <cell r="B2212">
            <v>12349</v>
          </cell>
          <cell r="C2212" t="str">
            <v>BRAM - BRADESCO ASSET MANAGEMENT SA DTVM</v>
          </cell>
          <cell r="D2212" t="str">
            <v>BRAM - BRADESCO ASSET MANAGEMENT SA DTVM</v>
          </cell>
          <cell r="E2212" t="str">
            <v>BRAM - BRADESCO ASSET MANAGEMENT S/A DTVM</v>
          </cell>
        </row>
        <row r="2213">
          <cell r="B2213">
            <v>82468</v>
          </cell>
          <cell r="C2213" t="str">
            <v>ITAÃš ELETROBRAS AÃ‡Ã•ES FUNDO DE INVESTIMENTO</v>
          </cell>
          <cell r="D2213" t="str">
            <v>ITAÃš ELETROBRAS AÃ‡Ã•ES FUNDO DE INVESTIMENTO</v>
          </cell>
          <cell r="E2213" t="str">
            <v>ITAU UNIBANCO ASSET - TACO</v>
          </cell>
        </row>
        <row r="2214">
          <cell r="B2214">
            <v>82469</v>
          </cell>
          <cell r="C2214" t="str">
            <v>ITAU VQL FUNDO DE INVESTIMENTO FINANCEIRO MULT RESP LIMITADA</v>
          </cell>
          <cell r="D2214" t="str">
            <v>ITAU VQL FUNDO DE INVESTIMENTO FINANCEIRO MULT RESP LIMITADA</v>
          </cell>
          <cell r="E2214" t="str">
            <v>ITAU UNIBANCO ASSET - TACO</v>
          </cell>
        </row>
        <row r="2215">
          <cell r="B2215">
            <v>82471</v>
          </cell>
          <cell r="C2215" t="str">
            <v>VEREDAS FUNDO DE INVESTIMENTO MULTIMERCADO CRÃ‰DITO PRIVADO</v>
          </cell>
          <cell r="D2215" t="str">
            <v>VEREDAS FUNDO DE INVESTIMENTO MULTIMERCADO CRÃ‰DITO PRIVADO</v>
          </cell>
          <cell r="E2215" t="str">
            <v>AGUILA CAPITAL ADM E GESTAO DE CAPITAIS LTDA</v>
          </cell>
        </row>
        <row r="2216">
          <cell r="B2216">
            <v>82472</v>
          </cell>
          <cell r="C2216" t="str">
            <v>ITAU PREV VQL FUNDO DE INVESTIMENTO FINANCEIRO MULT RL</v>
          </cell>
          <cell r="D2216" t="str">
            <v>ITAU PREV VQL FUNDO DE INVESTIMENTO FINANCEIRO MULT RL</v>
          </cell>
          <cell r="E2216" t="str">
            <v>ITAU UNIBANCO ASSET - TACO</v>
          </cell>
        </row>
        <row r="2217">
          <cell r="B2217">
            <v>82473</v>
          </cell>
          <cell r="C2217" t="str">
            <v>ITAU FLEXPREV INFLACAO MULTIESTRATEGIA FIF MULT RL</v>
          </cell>
          <cell r="D2217" t="str">
            <v>ITAU FLEXPREV INFLACAO MULTIESTRATEGIA FIF MULT RL</v>
          </cell>
          <cell r="E2217" t="str">
            <v>ITAU UNIBANCO ASSET - TACO</v>
          </cell>
        </row>
        <row r="2218">
          <cell r="B2218">
            <v>82476</v>
          </cell>
          <cell r="C2218" t="str">
            <v>SPX GESTAO DE RECURSOS LTDA</v>
          </cell>
          <cell r="D2218" t="str">
            <v>SPX GESTAO DE RECURSOS LTDA</v>
          </cell>
          <cell r="E2218" t="str">
            <v>SPX GESTAO DE RECURSOS LTDA</v>
          </cell>
        </row>
        <row r="2219">
          <cell r="B2219">
            <v>82476</v>
          </cell>
          <cell r="C2219" t="str">
            <v>SPX GESTAO DE RECURSOS LTDA</v>
          </cell>
          <cell r="D2219" t="str">
            <v>SPX GESTAO DE RECURSOS LTDA</v>
          </cell>
          <cell r="E2219" t="str">
            <v>SPX GESTAO DE RECURSOS LTDA</v>
          </cell>
        </row>
        <row r="2220">
          <cell r="B2220">
            <v>82477</v>
          </cell>
          <cell r="C2220" t="str">
            <v>SPX GESTAO DE RECURSOS LTDA</v>
          </cell>
          <cell r="D2220" t="str">
            <v>SPX GESTAO DE RECURSOS LTDA</v>
          </cell>
          <cell r="E2220" t="str">
            <v>SPX GESTAO DE RECURSOS LTDA</v>
          </cell>
        </row>
        <row r="2221">
          <cell r="B2221">
            <v>82477</v>
          </cell>
          <cell r="C2221" t="str">
            <v>SPX GESTAO DE RECURSOS LTDA</v>
          </cell>
          <cell r="D2221" t="str">
            <v>SPX GESTAO DE RECURSOS LTDA</v>
          </cell>
          <cell r="E2221" t="str">
            <v>SPX GESTAO DE RECURSOS LTDA</v>
          </cell>
        </row>
        <row r="2222">
          <cell r="B2222">
            <v>82480</v>
          </cell>
          <cell r="C2222" t="str">
            <v>SPX GESTAO DE RECURSOS LTDA</v>
          </cell>
          <cell r="D2222" t="str">
            <v>SPX GESTAO DE RECURSOS LTDA</v>
          </cell>
          <cell r="E2222" t="str">
            <v>SPX GESTAO DE RECURSOS LTDA</v>
          </cell>
        </row>
        <row r="2223">
          <cell r="B2223">
            <v>82480</v>
          </cell>
          <cell r="C2223" t="str">
            <v>SPX GESTAO DE RECURSOS LTDA</v>
          </cell>
          <cell r="D2223" t="str">
            <v>SPX GESTAO DE RECURSOS LTDA</v>
          </cell>
          <cell r="E2223" t="str">
            <v>SPX GESTAO DE RECURSOS LTDA</v>
          </cell>
        </row>
        <row r="2224">
          <cell r="B2224">
            <v>82481</v>
          </cell>
          <cell r="C2224" t="str">
            <v>IT NOW IDIV RENDA DIVIDENDOS FUNDO DE INDICE RESP LIMITADA</v>
          </cell>
          <cell r="D2224" t="str">
            <v>IT NOW IDIV RENDA DIVIDENDOS FUNDO DE INDICE RESP LIMITADA</v>
          </cell>
          <cell r="E2224" t="str">
            <v>ITAU UNIBANCO ASSET - TACO</v>
          </cell>
        </row>
        <row r="2225">
          <cell r="B2225">
            <v>82482</v>
          </cell>
          <cell r="C2225" t="str">
            <v>ITAU PANGEA FIF MULT - RESP LIMITADA</v>
          </cell>
          <cell r="D2225" t="str">
            <v>ITAU PANGEA FIF MULT - RESP LIMITADA</v>
          </cell>
          <cell r="E2225" t="str">
            <v>ITAU UNIBANCO ASSET - TACO</v>
          </cell>
        </row>
        <row r="2226">
          <cell r="B2226">
            <v>82483</v>
          </cell>
          <cell r="C2226" t="str">
            <v>ITAU PREV VOTL FUNDO DE INVESTIMENTO FINANCEIRO MULTI RL</v>
          </cell>
          <cell r="D2226" t="str">
            <v>ITAU PREV VOTL FUNDO DE INVESTIMENTO FINANCEIRO MULTI RL</v>
          </cell>
          <cell r="E2226" t="str">
            <v>ITAU UNIBANCO ASSET - TACO</v>
          </cell>
        </row>
        <row r="2227">
          <cell r="B2227">
            <v>82485</v>
          </cell>
          <cell r="C2227" t="str">
            <v>ITAÃš SABESP FUNDO DE INVESTIMENTO FINANCEIRO EM AÃ‡Ã•ES RP</v>
          </cell>
          <cell r="D2227" t="str">
            <v>ITAÃš SABESP FUNDO DE INVESTIMENTO FINANCEIRO EM AÃ‡Ã•ES RP</v>
          </cell>
          <cell r="E2227" t="str">
            <v>ITAU UNIBANCO ASSET - TACO</v>
          </cell>
        </row>
        <row r="2228">
          <cell r="B2228">
            <v>79809</v>
          </cell>
          <cell r="C2228" t="str">
            <v>BLUEWAY TRADING IMPORTAÃ‡ÃƒO E EXPORTAÃ‡ÃƒO S/A</v>
          </cell>
          <cell r="D2228" t="str">
            <v>BLUEWAY TRADING IMPORTAÃ‡ÃƒO E EXPORTAÃ‡ÃƒO S/A</v>
          </cell>
          <cell r="E2228" t="str">
            <v>BLUEWAY TRADING IMPORTAÇÃO E EXPORTAÇÃO S/A</v>
          </cell>
        </row>
        <row r="2229">
          <cell r="B2229">
            <v>82486</v>
          </cell>
          <cell r="C2229" t="str">
            <v>SYMMETRY FINANCIALS LIMITED</v>
          </cell>
          <cell r="D2229" t="str">
            <v>SYMMETRY FINANCIALS LIMITED</v>
          </cell>
          <cell r="E2229" t="str">
            <v>SYMMETRY FINANCIALS LIMITED</v>
          </cell>
        </row>
        <row r="2230">
          <cell r="B2230">
            <v>82536</v>
          </cell>
          <cell r="C2230" t="str">
            <v>BAHIA AM MARAÃš MASTER FUNDO DE INVESTIMENTO MULTIMERCADO</v>
          </cell>
          <cell r="D2230" t="str">
            <v>BAHIA AM MARAÃš MASTER FUNDO DE INVESTIMENTO MULTIMERCADO</v>
          </cell>
          <cell r="E2230" t="str">
            <v>BAHIA AM LTDA</v>
          </cell>
        </row>
        <row r="2231">
          <cell r="B2231">
            <v>82537</v>
          </cell>
          <cell r="C2231" t="str">
            <v>BRDR TOP GESTORES FUNDO DE INVESTIMENTO EM ACOES</v>
          </cell>
          <cell r="D2231" t="str">
            <v>BRDR TOP GESTORES FUNDO DE INVESTIMENTO EM ACOES</v>
          </cell>
          <cell r="E2231" t="str">
            <v>BRDR GESTORA DE VALORES MOBILIARIOS LTDA.</v>
          </cell>
        </row>
        <row r="2232">
          <cell r="B2232">
            <v>82537</v>
          </cell>
          <cell r="C2232" t="str">
            <v>BRDR TOP GESTORES FUNDO DE INVESTIMENTO EM ACOES</v>
          </cell>
          <cell r="D2232" t="str">
            <v>BRDR TOP GESTORES FUNDO DE INVESTIMENTO EM ACOES</v>
          </cell>
          <cell r="E2232" t="str">
            <v>BRDR GESTORA DE VALORES MOBILIARIOS LTDA.</v>
          </cell>
        </row>
        <row r="2233">
          <cell r="B2233">
            <v>82538</v>
          </cell>
          <cell r="C2233" t="str">
            <v>BRDR TOP GESTORES ICATU QUALIFICADO PREVIDENCIA FIA FIE</v>
          </cell>
          <cell r="D2233" t="str">
            <v>BRDR TOP GESTORES ICATU QUALIFICADO PREVIDENCIA FIA FIE</v>
          </cell>
          <cell r="E2233" t="str">
            <v>BRDR GESTORA DE VALORES MOBILIARIOS LTDA.</v>
          </cell>
        </row>
        <row r="2234">
          <cell r="B2234">
            <v>82538</v>
          </cell>
          <cell r="C2234" t="str">
            <v>BRDR TOP GESTORES ICATU QUALIFICADO PREVIDENCIA FIA FIE</v>
          </cell>
          <cell r="D2234" t="str">
            <v>BRDR TOP GESTORES ICATU QUALIFICADO PREVIDENCIA FIA FIE</v>
          </cell>
          <cell r="E2234" t="str">
            <v>BRDR GESTORA DE VALORES MOBILIARIOS LTDA.</v>
          </cell>
        </row>
        <row r="2235">
          <cell r="B2235">
            <v>82487</v>
          </cell>
          <cell r="C2235" t="str">
            <v>SYMMETRY FINANCIALS LIMITED</v>
          </cell>
          <cell r="D2235" t="str">
            <v>SYMMETRY FINANCIALS LIMITED</v>
          </cell>
          <cell r="E2235" t="str">
            <v>SYMMETRY FINANCIALS LIMITED</v>
          </cell>
        </row>
        <row r="2236">
          <cell r="B2236">
            <v>82488</v>
          </cell>
          <cell r="C2236" t="str">
            <v>SYMMETRY FINANCIALS LIMITED</v>
          </cell>
          <cell r="D2236" t="str">
            <v>SYMMETRY FINANCIALS LIMITED</v>
          </cell>
          <cell r="E2236" t="str">
            <v>SYMMETRY FINANCIALS LIMITED</v>
          </cell>
        </row>
        <row r="2237">
          <cell r="B2237">
            <v>82489</v>
          </cell>
          <cell r="C2237" t="str">
            <v>SYMMETRY FINANCIALS LIMITED</v>
          </cell>
          <cell r="D2237" t="str">
            <v>SYMMETRY FINANCIALS LIMITED</v>
          </cell>
          <cell r="E2237" t="str">
            <v>SYMMETRY FINANCIALS LIMITED</v>
          </cell>
        </row>
        <row r="2238">
          <cell r="B2238">
            <v>82490</v>
          </cell>
          <cell r="C2238" t="str">
            <v>SYMMETRY FINANCIALS LIMITED</v>
          </cell>
          <cell r="D2238" t="str">
            <v>SYMMETRY FINANCIALS LIMITED</v>
          </cell>
          <cell r="E2238" t="str">
            <v>SYMMETRY FINANCIALS LIMITED</v>
          </cell>
        </row>
        <row r="2239">
          <cell r="B2239">
            <v>82491</v>
          </cell>
          <cell r="C2239" t="str">
            <v>SYMMETRY FINANCIALS LIMITED</v>
          </cell>
          <cell r="D2239" t="str">
            <v>SYMMETRY FINANCIALS LIMITED</v>
          </cell>
          <cell r="E2239" t="str">
            <v>SYMMETRY FINANCIALS LIMITED</v>
          </cell>
        </row>
        <row r="2240">
          <cell r="B2240">
            <v>82492</v>
          </cell>
          <cell r="C2240" t="str">
            <v>SYMMETRY FINANCIALS LIMITED</v>
          </cell>
          <cell r="D2240" t="str">
            <v>SYMMETRY FINANCIALS LIMITED</v>
          </cell>
          <cell r="E2240" t="str">
            <v>SYMMETRY FINANCIALS LIMITED</v>
          </cell>
        </row>
        <row r="2241">
          <cell r="B2241">
            <v>82493</v>
          </cell>
          <cell r="C2241" t="str">
            <v>SYMMETRY FINANCIALS LIMITED</v>
          </cell>
          <cell r="D2241" t="str">
            <v>SYMMETRY FINANCIALS LIMITED</v>
          </cell>
          <cell r="E2241" t="str">
            <v>SYMMETRY FINANCIALS LIMITED</v>
          </cell>
        </row>
        <row r="2242">
          <cell r="B2242">
            <v>82494</v>
          </cell>
          <cell r="C2242" t="str">
            <v>SYMMETRY FINANCIALS LIMITED</v>
          </cell>
          <cell r="D2242" t="str">
            <v>SYMMETRY FINANCIALS LIMITED</v>
          </cell>
          <cell r="E2242" t="str">
            <v>SYMMETRY FINANCIALS LIMITED</v>
          </cell>
        </row>
        <row r="2243">
          <cell r="B2243">
            <v>82495</v>
          </cell>
          <cell r="C2243" t="str">
            <v>SYMMETRY FINANCIALS LIMITED</v>
          </cell>
          <cell r="D2243" t="str">
            <v>SYMMETRY FINANCIALS LIMITED</v>
          </cell>
          <cell r="E2243" t="str">
            <v>SYMMETRY FINANCIALS LIMITED</v>
          </cell>
        </row>
        <row r="2244">
          <cell r="B2244">
            <v>82496</v>
          </cell>
          <cell r="C2244" t="str">
            <v>SYMMETRY FINANCIALS LIMITED</v>
          </cell>
          <cell r="D2244" t="str">
            <v>SYMMETRY FINANCIALS LIMITED</v>
          </cell>
          <cell r="E2244" t="str">
            <v>SYMMETRY FINANCIALS LIMITED</v>
          </cell>
        </row>
        <row r="2245">
          <cell r="B2245">
            <v>82497</v>
          </cell>
          <cell r="C2245" t="str">
            <v>SYMMETRY FINANCIALS LIMITED</v>
          </cell>
          <cell r="D2245" t="str">
            <v>SYMMETRY FINANCIALS LIMITED</v>
          </cell>
          <cell r="E2245" t="str">
            <v>SYMMETRY FINANCIALS LIMITED</v>
          </cell>
        </row>
        <row r="2246">
          <cell r="B2246">
            <v>82498</v>
          </cell>
          <cell r="C2246" t="str">
            <v>SYMMETRY FINANCIALS LIMITED</v>
          </cell>
          <cell r="D2246" t="str">
            <v>SYMMETRY FINANCIALS LIMITED</v>
          </cell>
          <cell r="E2246" t="str">
            <v>SYMMETRY FINANCIALS LIMITED</v>
          </cell>
        </row>
        <row r="2247">
          <cell r="B2247">
            <v>82499</v>
          </cell>
          <cell r="C2247" t="str">
            <v>SYMMETRY FINANCIALS LIMITED</v>
          </cell>
          <cell r="D2247" t="str">
            <v>SYMMETRY FINANCIALS LIMITED</v>
          </cell>
          <cell r="E2247" t="str">
            <v>SYMMETRY FINANCIALS LIMITED</v>
          </cell>
        </row>
        <row r="2248">
          <cell r="B2248">
            <v>82500</v>
          </cell>
          <cell r="C2248" t="str">
            <v>SYMMETRY FINANCIALS LIMITED</v>
          </cell>
          <cell r="D2248" t="str">
            <v>SYMMETRY FINANCIALS LIMITED</v>
          </cell>
          <cell r="E2248" t="str">
            <v>SYMMETRY FINANCIALS LIMITED</v>
          </cell>
        </row>
        <row r="2249">
          <cell r="B2249">
            <v>82501</v>
          </cell>
          <cell r="C2249" t="str">
            <v>SYMMETRY FINANCIALS LIMITED</v>
          </cell>
          <cell r="D2249" t="str">
            <v>SYMMETRY FINANCIALS LIMITED</v>
          </cell>
          <cell r="E2249" t="str">
            <v>SYMMETRY FINANCIALS LIMITED</v>
          </cell>
        </row>
        <row r="2250">
          <cell r="B2250">
            <v>82502</v>
          </cell>
          <cell r="C2250" t="str">
            <v>SYMMETRY FINANCIALS LIMITED</v>
          </cell>
          <cell r="D2250" t="str">
            <v>SYMMETRY FINANCIALS LIMITED</v>
          </cell>
          <cell r="E2250" t="str">
            <v>SYMMETRY FINANCIALS LIMITED</v>
          </cell>
        </row>
        <row r="2251">
          <cell r="B2251">
            <v>82503</v>
          </cell>
          <cell r="C2251" t="str">
            <v>SYMMETRY FINANCIALS LIMITED</v>
          </cell>
          <cell r="D2251" t="str">
            <v>SYMMETRY FINANCIALS LIMITED</v>
          </cell>
          <cell r="E2251" t="str">
            <v>SYMMETRY FINANCIALS LIMITED</v>
          </cell>
        </row>
        <row r="2252">
          <cell r="B2252">
            <v>82504</v>
          </cell>
          <cell r="C2252" t="str">
            <v>SYMMETRY FINANCIALS LIMITED</v>
          </cell>
          <cell r="D2252" t="str">
            <v>SYMMETRY FINANCIALS LIMITED</v>
          </cell>
          <cell r="E2252" t="str">
            <v>SYMMETRY FINANCIALS LIMITED</v>
          </cell>
        </row>
        <row r="2253">
          <cell r="B2253">
            <v>82505</v>
          </cell>
          <cell r="C2253" t="str">
            <v>SYMMETRY FINANCIALS LIMITED</v>
          </cell>
          <cell r="D2253" t="str">
            <v>SYMMETRY FINANCIALS LIMITED</v>
          </cell>
          <cell r="E2253" t="str">
            <v>SYMMETRY FINANCIALS LIMITED</v>
          </cell>
        </row>
        <row r="2254">
          <cell r="B2254">
            <v>82506</v>
          </cell>
          <cell r="C2254" t="str">
            <v>SYMMETRY FINANCIALS LIMITED</v>
          </cell>
          <cell r="D2254" t="str">
            <v>SYMMETRY FINANCIALS LIMITED</v>
          </cell>
          <cell r="E2254" t="str">
            <v>SYMMETRY FINANCIALS LIMITED</v>
          </cell>
        </row>
        <row r="2255">
          <cell r="B2255">
            <v>82507</v>
          </cell>
          <cell r="C2255" t="str">
            <v>SYMMETRY FINANCIALS LIMITED</v>
          </cell>
          <cell r="D2255" t="str">
            <v>SYMMETRY FINANCIALS LIMITED</v>
          </cell>
          <cell r="E2255" t="str">
            <v>SYMMETRY FINANCIALS LIMITED</v>
          </cell>
        </row>
        <row r="2256">
          <cell r="B2256">
            <v>82508</v>
          </cell>
          <cell r="C2256" t="str">
            <v>SYMMETRY FINANCIALS LIMITED</v>
          </cell>
          <cell r="D2256" t="str">
            <v>SYMMETRY FINANCIALS LIMITED</v>
          </cell>
          <cell r="E2256" t="str">
            <v>SYMMETRY FINANCIALS LIMITED</v>
          </cell>
        </row>
        <row r="2257">
          <cell r="B2257">
            <v>82509</v>
          </cell>
          <cell r="C2257" t="str">
            <v>SYMMETRY FINANCIALS LIMITED</v>
          </cell>
          <cell r="D2257" t="str">
            <v>SYMMETRY FINANCIALS LIMITED</v>
          </cell>
          <cell r="E2257" t="str">
            <v>SYMMETRY FINANCIALS LIMITED</v>
          </cell>
        </row>
        <row r="2258">
          <cell r="B2258">
            <v>82510</v>
          </cell>
          <cell r="C2258" t="str">
            <v>SYMMETRY FINANCIALS LIMITED</v>
          </cell>
          <cell r="D2258" t="str">
            <v>SYMMETRY FINANCIALS LIMITED</v>
          </cell>
          <cell r="E2258" t="str">
            <v>SYMMETRY FINANCIALS LIMITED</v>
          </cell>
        </row>
        <row r="2259">
          <cell r="B2259">
            <v>82511</v>
          </cell>
          <cell r="C2259" t="str">
            <v>SYMMETRY FINANCIALS LIMITED</v>
          </cell>
          <cell r="D2259" t="str">
            <v>SYMMETRY FINANCIALS LIMITED</v>
          </cell>
          <cell r="E2259" t="str">
            <v>SYMMETRY FINANCIALS LIMITED</v>
          </cell>
        </row>
        <row r="2260">
          <cell r="B2260">
            <v>82512</v>
          </cell>
          <cell r="C2260" t="str">
            <v>SYMMETRY FINANCIALS LIMITED</v>
          </cell>
          <cell r="D2260" t="str">
            <v>SYMMETRY FINANCIALS LIMITED</v>
          </cell>
          <cell r="E2260" t="str">
            <v>SYMMETRY FINANCIALS LIMITED</v>
          </cell>
        </row>
        <row r="2261">
          <cell r="B2261">
            <v>82513</v>
          </cell>
          <cell r="C2261" t="str">
            <v>SYMMETRY FINANCIALS LIMITED</v>
          </cell>
          <cell r="D2261" t="str">
            <v>SYMMETRY FINANCIALS LIMITED</v>
          </cell>
          <cell r="E2261" t="str">
            <v>SYMMETRY FINANCIALS LIMITED</v>
          </cell>
        </row>
        <row r="2262">
          <cell r="B2262">
            <v>82514</v>
          </cell>
          <cell r="C2262" t="str">
            <v>SYMMETRY FINANCIALS LIMITED</v>
          </cell>
          <cell r="D2262" t="str">
            <v>SYMMETRY FINANCIALS LIMITED</v>
          </cell>
          <cell r="E2262" t="str">
            <v>SYMMETRY FINANCIALS LIMITED</v>
          </cell>
        </row>
        <row r="2263">
          <cell r="B2263">
            <v>82515</v>
          </cell>
          <cell r="C2263" t="str">
            <v>SYMMETRY FINANCIALS LIMITED</v>
          </cell>
          <cell r="D2263" t="str">
            <v>SYMMETRY FINANCIALS LIMITED</v>
          </cell>
          <cell r="E2263" t="str">
            <v>SYMMETRY FINANCIALS LIMITED</v>
          </cell>
        </row>
        <row r="2264">
          <cell r="B2264">
            <v>82516</v>
          </cell>
          <cell r="C2264" t="str">
            <v>SYMMETRY FINANCIALS LIMITED</v>
          </cell>
          <cell r="D2264" t="str">
            <v>SYMMETRY FINANCIALS LIMITED</v>
          </cell>
          <cell r="E2264" t="str">
            <v>SYMMETRY FINANCIALS LIMITED</v>
          </cell>
        </row>
        <row r="2265">
          <cell r="B2265">
            <v>82521</v>
          </cell>
          <cell r="C2265" t="str">
            <v>SYMMETRY FINANCIALS LIMITED</v>
          </cell>
          <cell r="D2265" t="str">
            <v>SYMMETRY FINANCIALS LIMITED</v>
          </cell>
          <cell r="E2265" t="str">
            <v>SYMMETRY FINANCIALS LIMITED</v>
          </cell>
        </row>
        <row r="2266">
          <cell r="B2266">
            <v>82517</v>
          </cell>
          <cell r="C2266" t="str">
            <v>SYMMETRY FINANCIALS LIMITED</v>
          </cell>
          <cell r="D2266" t="str">
            <v>SYMMETRY FINANCIALS LIMITED</v>
          </cell>
          <cell r="E2266" t="str">
            <v>SYMMETRY FINANCIALS LIMITED</v>
          </cell>
        </row>
        <row r="2267">
          <cell r="B2267">
            <v>82518</v>
          </cell>
          <cell r="C2267" t="str">
            <v>SYMMETRY FINANCIALS LIMITED</v>
          </cell>
          <cell r="D2267" t="str">
            <v>SYMMETRY FINANCIALS LIMITED</v>
          </cell>
          <cell r="E2267" t="str">
            <v>SYMMETRY FINANCIALS LIMITED</v>
          </cell>
        </row>
        <row r="2268">
          <cell r="B2268">
            <v>82519</v>
          </cell>
          <cell r="C2268" t="str">
            <v>SYMMETRY FINANCIALS LIMITED</v>
          </cell>
          <cell r="D2268" t="str">
            <v>SYMMETRY FINANCIALS LIMITED</v>
          </cell>
          <cell r="E2268" t="str">
            <v>SYMMETRY FINANCIALS LIMITED</v>
          </cell>
        </row>
        <row r="2269">
          <cell r="B2269">
            <v>82520</v>
          </cell>
          <cell r="C2269" t="str">
            <v>SYMMETRY FINANCIALS LIMITED</v>
          </cell>
          <cell r="D2269" t="str">
            <v>SYMMETRY FINANCIALS LIMITED</v>
          </cell>
          <cell r="E2269" t="str">
            <v>SYMMETRY FINANCIALS LIMITED</v>
          </cell>
        </row>
        <row r="2270">
          <cell r="B2270">
            <v>82525</v>
          </cell>
          <cell r="C2270" t="str">
            <v>SYMMETRY FINANCIALS LIMITED</v>
          </cell>
          <cell r="D2270" t="str">
            <v>SYMMETRY FINANCIALS LIMITED</v>
          </cell>
          <cell r="E2270" t="str">
            <v>SYMMETRY FINANCIALS LIMITED</v>
          </cell>
        </row>
        <row r="2271">
          <cell r="B2271">
            <v>82522</v>
          </cell>
          <cell r="C2271" t="str">
            <v>SYMMETRY FINANCIALS LIMITED</v>
          </cell>
          <cell r="D2271" t="str">
            <v>SYMMETRY FINANCIALS LIMITED</v>
          </cell>
          <cell r="E2271" t="str">
            <v>SYMMETRY FINANCIALS LIMITED</v>
          </cell>
        </row>
        <row r="2272">
          <cell r="B2272">
            <v>82523</v>
          </cell>
          <cell r="C2272" t="str">
            <v>SYMMETRY FINANCIALS LIMITED</v>
          </cell>
          <cell r="D2272" t="str">
            <v>SYMMETRY FINANCIALS LIMITED</v>
          </cell>
          <cell r="E2272" t="str">
            <v>SYMMETRY FINANCIALS LIMITED</v>
          </cell>
        </row>
        <row r="2273">
          <cell r="B2273">
            <v>82524</v>
          </cell>
          <cell r="C2273" t="str">
            <v>SYMMETRY FINANCIALS LIMITED</v>
          </cell>
          <cell r="D2273" t="str">
            <v>SYMMETRY FINANCIALS LIMITED</v>
          </cell>
          <cell r="E2273" t="str">
            <v>SYMMETRY FINANCIALS LIMITED</v>
          </cell>
        </row>
        <row r="2274">
          <cell r="B2274">
            <v>82525</v>
          </cell>
          <cell r="C2274" t="str">
            <v>SYMMETRY FINANCIALS LIMITED</v>
          </cell>
          <cell r="D2274" t="str">
            <v>SYMMETRY FINANCIALS LIMITED</v>
          </cell>
          <cell r="E2274" t="str">
            <v>SYMMETRY FINANCIALS LIMITED</v>
          </cell>
        </row>
        <row r="2275">
          <cell r="B2275">
            <v>82526</v>
          </cell>
          <cell r="C2275" t="str">
            <v>SYMMETRY FINANCIALS LIMITED</v>
          </cell>
          <cell r="D2275" t="str">
            <v>SYMMETRY FINANCIALS LIMITED</v>
          </cell>
          <cell r="E2275" t="str">
            <v>SYMMETRY FINANCIALS LIMITED</v>
          </cell>
        </row>
        <row r="2276">
          <cell r="B2276">
            <v>82527</v>
          </cell>
          <cell r="C2276" t="str">
            <v>SYMMETRY FINANCIALS LIMITED</v>
          </cell>
          <cell r="D2276" t="str">
            <v>SYMMETRY FINANCIALS LIMITED</v>
          </cell>
          <cell r="E2276" t="str">
            <v>SYMMETRY FINANCIALS LIMITED</v>
          </cell>
        </row>
        <row r="2277">
          <cell r="B2277">
            <v>82528</v>
          </cell>
          <cell r="C2277" t="str">
            <v>SYMMETRY FINANCIALS LIMITED</v>
          </cell>
          <cell r="D2277" t="str">
            <v>SYMMETRY FINANCIALS LIMITED</v>
          </cell>
          <cell r="E2277" t="str">
            <v>SYMMETRY FINANCIALS LIMITED</v>
          </cell>
        </row>
        <row r="2278">
          <cell r="B2278">
            <v>82529</v>
          </cell>
          <cell r="C2278" t="str">
            <v>SYMMETRY FINANCIALS LIMITED</v>
          </cell>
          <cell r="D2278" t="str">
            <v>SYMMETRY FINANCIALS LIMITED</v>
          </cell>
          <cell r="E2278" t="str">
            <v>SYMMETRY FINANCIALS LIMITED</v>
          </cell>
        </row>
        <row r="2279">
          <cell r="B2279">
            <v>82530</v>
          </cell>
          <cell r="C2279" t="str">
            <v>SYMMETRY FINANCIALS LIMITED</v>
          </cell>
          <cell r="D2279" t="str">
            <v>SYMMETRY FINANCIALS LIMITED</v>
          </cell>
          <cell r="E2279" t="str">
            <v>SYMMETRY FINANCIALS LIMITED</v>
          </cell>
        </row>
        <row r="2280">
          <cell r="B2280">
            <v>82531</v>
          </cell>
          <cell r="C2280" t="str">
            <v>SYMMETRY FINANCIALS LIMITED</v>
          </cell>
          <cell r="D2280" t="str">
            <v>SYMMETRY FINANCIALS LIMITED</v>
          </cell>
          <cell r="E2280" t="str">
            <v>SYMMETRY FINANCIALS LIMITED</v>
          </cell>
        </row>
        <row r="2281">
          <cell r="B2281">
            <v>82532</v>
          </cell>
          <cell r="C2281" t="str">
            <v>SYMMETRY FINANCIALS LIMITED</v>
          </cell>
          <cell r="D2281" t="str">
            <v>SYMMETRY FINANCIALS LIMITED</v>
          </cell>
          <cell r="E2281" t="str">
            <v>SYMMETRY FINANCIALS LIMITED</v>
          </cell>
        </row>
        <row r="2282">
          <cell r="B2282">
            <v>82533</v>
          </cell>
          <cell r="C2282" t="str">
            <v>SYMMETRY FINANCIALS LIMITED</v>
          </cell>
          <cell r="D2282" t="str">
            <v>SYMMETRY FINANCIALS LIMITED</v>
          </cell>
          <cell r="E2282" t="str">
            <v>SYMMETRY FINANCIALS LIMITED</v>
          </cell>
        </row>
        <row r="2283">
          <cell r="B2283">
            <v>82534</v>
          </cell>
          <cell r="C2283" t="str">
            <v>SYMMETRY FINANCIALS LIMITED</v>
          </cell>
          <cell r="D2283" t="str">
            <v>SYMMETRY FINANCIALS LIMITED</v>
          </cell>
          <cell r="E2283" t="str">
            <v>SYMMETRY FINANCIALS LIMITED</v>
          </cell>
        </row>
        <row r="2284">
          <cell r="B2284">
            <v>82535</v>
          </cell>
          <cell r="C2284" t="str">
            <v>SYMMETRY FINANCIALS LIMITED</v>
          </cell>
          <cell r="D2284" t="str">
            <v>SYMMETRY FINANCIALS LIMITED</v>
          </cell>
          <cell r="E2284" t="str">
            <v>SYMMETRY FINANCIALS LIMITED</v>
          </cell>
        </row>
        <row r="2285">
          <cell r="B2285">
            <v>82540</v>
          </cell>
          <cell r="C2285" t="str">
            <v>LAZULI FIA IE</v>
          </cell>
          <cell r="D2285" t="str">
            <v>LAZULI FIA IE</v>
          </cell>
          <cell r="E2285" t="str">
            <v>ITAU UNIBANCO ASSET - TACO</v>
          </cell>
        </row>
        <row r="2286">
          <cell r="B2286">
            <v>82541</v>
          </cell>
          <cell r="C2286" t="str">
            <v>ITAU CAIXA MULTIMESAS FIF MULT RESP LIMITADA</v>
          </cell>
          <cell r="D2286" t="str">
            <v>ITAU CAIXA MULTIMESAS FIF MULT RESP LIMITADA</v>
          </cell>
          <cell r="E2286" t="str">
            <v>ITAU UNIBANCO ASSET - TACO</v>
          </cell>
        </row>
        <row r="2287">
          <cell r="B2287">
            <v>82543</v>
          </cell>
          <cell r="C2287" t="str">
            <v>TX A AÃ‡Ã•ES FUNDO DE INVESTIMENTO EM AÃ‡Ã•ES</v>
          </cell>
          <cell r="D2287" t="str">
            <v>TX A AÃ‡Ã•ES FUNDO DE INVESTIMENTO EM AÃ‡Ã•ES</v>
          </cell>
          <cell r="E2287" t="str">
            <v>TENAX CAPITAL LTDA</v>
          </cell>
        </row>
        <row r="2288">
          <cell r="B2288">
            <v>82548</v>
          </cell>
          <cell r="C2288" t="str">
            <v>JGP BB ASSET ASG GESTAO DE RECURSOS LTDA</v>
          </cell>
          <cell r="D2288" t="str">
            <v>JGP BB ASSET ASG GESTAO DE RECURSOS LTDA</v>
          </cell>
          <cell r="E2288" t="str">
            <v>JGP GESTAO PATRIMONIAL LTDA</v>
          </cell>
        </row>
        <row r="2289">
          <cell r="B2289">
            <v>82548</v>
          </cell>
          <cell r="C2289" t="str">
            <v>JGP BB ASSET ASG GESTAO DE RECURSOS LTDA</v>
          </cell>
          <cell r="D2289" t="str">
            <v>JGP BB ASSET ASG GESTAO DE RECURSOS LTDA</v>
          </cell>
          <cell r="E2289" t="str">
            <v>JGP GESTAO PATRIMONIAL LTDA</v>
          </cell>
        </row>
        <row r="2290">
          <cell r="B2290">
            <v>82550</v>
          </cell>
          <cell r="C2290" t="str">
            <v>SKOPOS INVESTIMENTOS LTDA</v>
          </cell>
          <cell r="D2290" t="str">
            <v>SKOPOS INVESTIMENTOS LTDA</v>
          </cell>
          <cell r="E2290" t="str">
            <v>SKOPOS INVESTIMENTOS LTDA</v>
          </cell>
        </row>
        <row r="2291">
          <cell r="B2291">
            <v>82550</v>
          </cell>
          <cell r="C2291" t="str">
            <v>SKOPOS INVESTIMENTOS LTDA</v>
          </cell>
          <cell r="D2291" t="str">
            <v>SKOPOS INVESTIMENTOS LTDA</v>
          </cell>
          <cell r="E2291" t="str">
            <v>SKOPOS INVESTIMENTOS LTDA</v>
          </cell>
        </row>
        <row r="2292">
          <cell r="B2292">
            <v>82551</v>
          </cell>
          <cell r="C2292" t="str">
            <v>SKOPOS CAPABLANCA MACRO FUNDO DE INVESTIMENTO MULTIMERCADO</v>
          </cell>
          <cell r="D2292" t="str">
            <v>SKOPOS CAPABLANCA MACRO FUNDO DE INVESTIMENTO MULTIMERCADO</v>
          </cell>
          <cell r="E2292" t="str">
            <v>SKOPOS INVESTIMENTOS LTDA</v>
          </cell>
        </row>
        <row r="2293">
          <cell r="B2293">
            <v>82551</v>
          </cell>
          <cell r="C2293" t="str">
            <v>SKOPOS CAPABLANCA MACRO FUNDO DE INVESTIMENTO MULTIMERCADO</v>
          </cell>
          <cell r="D2293" t="str">
            <v>SKOPOS CAPABLANCA MACRO FUNDO DE INVESTIMENTO MULTIMERCADO</v>
          </cell>
          <cell r="E2293" t="str">
            <v>SKOPOS INVESTIMENTOS LTDA</v>
          </cell>
        </row>
        <row r="2294">
          <cell r="B2294">
            <v>82553</v>
          </cell>
          <cell r="C2294" t="str">
            <v>LEV ALPHA MASTER FUNDO DE INVESTIMENTO FINANCEIRO EM ACOES</v>
          </cell>
          <cell r="D2294" t="str">
            <v>LEV ALPHA MASTER FUNDO DE INVESTIMENTO FINANCEIRO EM ACOES</v>
          </cell>
          <cell r="E2294" t="str">
            <v>LEV DISTRIBUIDORA DE TITULOS E VALORES MOBILIARIOS LTDA</v>
          </cell>
        </row>
        <row r="2295">
          <cell r="B2295">
            <v>82554</v>
          </cell>
          <cell r="C2295" t="str">
            <v>SKOPOS BLUE BIRDS LONG ONLY FUNDO DE INVESTIMENTO DE ACOES</v>
          </cell>
          <cell r="D2295" t="str">
            <v>SKOPOS BLUE BIRDS LONG ONLY FUNDO DE INVESTIMENTO DE ACOES</v>
          </cell>
          <cell r="E2295" t="str">
            <v>SKOPOS INVESTIMENTOS LTDA</v>
          </cell>
        </row>
        <row r="2296">
          <cell r="B2296">
            <v>82553</v>
          </cell>
          <cell r="C2296" t="str">
            <v>LEV ALPHA MASTER FUNDO DE INVESTIMENTO FINANCEIRO EM ACOES</v>
          </cell>
          <cell r="D2296" t="str">
            <v>LEV ALPHA MASTER FUNDO DE INVESTIMENTO FINANCEIRO EM ACOES</v>
          </cell>
          <cell r="E2296" t="str">
            <v>LEV DISTRIBUIDORA DE TITULOS E VALORES MOBILIARIOS LTDA</v>
          </cell>
        </row>
        <row r="2297">
          <cell r="B2297">
            <v>82554</v>
          </cell>
          <cell r="C2297" t="str">
            <v>SKOPOS BLUE BIRDS LONG ONLY FUNDO DE INVESTIMENTO DE ACOES</v>
          </cell>
          <cell r="D2297" t="str">
            <v>SKOPOS BLUE BIRDS LONG ONLY FUNDO DE INVESTIMENTO DE ACOES</v>
          </cell>
          <cell r="E2297" t="str">
            <v>SKOPOS INVESTIMENTOS LTDA</v>
          </cell>
        </row>
        <row r="2298">
          <cell r="B2298">
            <v>82555</v>
          </cell>
          <cell r="C2298" t="str">
            <v>SKOPOS VANGUARDA ASSET ALLOCATION FUNDO DE INVESTIMENTO MULT</v>
          </cell>
          <cell r="D2298" t="str">
            <v>SKOPOS VANGUARDA ASSET ALLOCATION FUNDO DE INVESTIMENTO MULT</v>
          </cell>
          <cell r="E2298" t="str">
            <v>SKOPOS INVESTIMENTOS LTDA</v>
          </cell>
        </row>
        <row r="2299">
          <cell r="B2299">
            <v>82555</v>
          </cell>
          <cell r="C2299" t="str">
            <v>SKOPOS VANGUARDA ASSET ALLOCATION FUNDO DE INVESTIMENTO MULT</v>
          </cell>
          <cell r="D2299" t="str">
            <v>SKOPOS VANGUARDA ASSET ALLOCATION FUNDO DE INVESTIMENTO MULT</v>
          </cell>
          <cell r="E2299" t="str">
            <v>SKOPOS INVESTIMENTOS LTDA</v>
          </cell>
        </row>
        <row r="2300">
          <cell r="B2300">
            <v>82558</v>
          </cell>
          <cell r="C2300" t="str">
            <v>ITAÃš US TECH FUNDO DE INVESTIMENTO EM AÃ‡Ã•ES</v>
          </cell>
          <cell r="D2300" t="str">
            <v>ITAÃš US TECH FUNDO DE INVESTIMENTO EM AÃ‡Ã•ES</v>
          </cell>
          <cell r="E2300" t="str">
            <v>ITAU UNIBANCO ASSET - TACO</v>
          </cell>
        </row>
        <row r="2301">
          <cell r="B2301">
            <v>82559</v>
          </cell>
          <cell r="C2301" t="str">
            <v>FUNDACAO DE ASSISTENCIA E PREVIDENCIA SOCIAL DO BNDES FAPES</v>
          </cell>
          <cell r="D2301" t="str">
            <v>FUNDACAO DE ASSISTENCIA E PREVIDENCIA SOCIAL DO BNDES FAPES</v>
          </cell>
          <cell r="E2301" t="str">
            <v>FUNDACAO DE ASSISTENCIA E PREVIDENCIA SOCIAL DO BNDES FAPES</v>
          </cell>
        </row>
        <row r="2302">
          <cell r="B2302">
            <v>82559</v>
          </cell>
          <cell r="C2302" t="str">
            <v>FUNDACAO DE ASSISTENCIA E PREVIDENCIA SOCIAL DO BNDES FAPES</v>
          </cell>
          <cell r="D2302" t="str">
            <v>FUNDACAO DE ASSISTENCIA E PREVIDENCIA SOCIAL DO BNDES FAPES</v>
          </cell>
          <cell r="E2302" t="str">
            <v>FUNDACAO DE ASSISTENCIA E PREVIDENCIA SOCIAL DO BNDES FAPES</v>
          </cell>
        </row>
        <row r="2303">
          <cell r="B2303">
            <v>82560</v>
          </cell>
          <cell r="C2303" t="str">
            <v>FPFQ SAIRA FIC DE FI MULTIMERCADO PREVIDENCIARIO</v>
          </cell>
          <cell r="D2303" t="str">
            <v>FPFQ SAIRA FIC DE FI MULTIMERCADO PREVIDENCIARIO</v>
          </cell>
          <cell r="E2303" t="str">
            <v>FUNDACAO DE ASSISTENCIA E PREVIDENCIA SOCIAL DO BNDES FAPES</v>
          </cell>
        </row>
        <row r="2304">
          <cell r="B2304">
            <v>82560</v>
          </cell>
          <cell r="C2304" t="str">
            <v>FPFQ SAIRA FIC DE FI MULTIMERCADO PREVIDENCIARIO</v>
          </cell>
          <cell r="D2304" t="str">
            <v>FPFQ SAIRA FIC DE FI MULTIMERCADO PREVIDENCIARIO</v>
          </cell>
          <cell r="E2304" t="str">
            <v>FUNDACAO DE ASSISTENCIA E PREVIDENCIA SOCIAL DO BNDES FAPES</v>
          </cell>
        </row>
        <row r="2305">
          <cell r="B2305">
            <v>82561</v>
          </cell>
          <cell r="C2305" t="str">
            <v>OBY CAPITAL GESTORA DE RECURSOS LTDA</v>
          </cell>
          <cell r="D2305" t="str">
            <v>OBY CAPITAL GESTORA DE RECURSOS LTDA</v>
          </cell>
          <cell r="E2305" t="str">
            <v>OBY CAPITAL GESTORA DE RECURSOS LTDA</v>
          </cell>
        </row>
        <row r="2306">
          <cell r="B2306">
            <v>82561</v>
          </cell>
          <cell r="C2306" t="str">
            <v>OBY CAPITAL GESTORA DE RECURSOS LTDA</v>
          </cell>
          <cell r="D2306" t="str">
            <v>OBY CAPITAL GESTORA DE RECURSOS LTDA</v>
          </cell>
          <cell r="E2306" t="str">
            <v>OBY CAPITAL GESTORA DE RECURSOS LTDA</v>
          </cell>
        </row>
        <row r="2307">
          <cell r="B2307">
            <v>82562</v>
          </cell>
          <cell r="C2307" t="str">
            <v>FPRF1 BEM TE VI PREVIDENCIARIO FIF MULT CP RL</v>
          </cell>
          <cell r="D2307" t="str">
            <v>FPRF1 BEM TE VI PREVIDENCIARIO FIF MULT CP RL</v>
          </cell>
          <cell r="E2307" t="str">
            <v>FUNDACAO DE ASSISTENCIA E PREVIDENCIA SOCIAL DO BNDES FAPES</v>
          </cell>
        </row>
        <row r="2308">
          <cell r="B2308">
            <v>82562</v>
          </cell>
          <cell r="C2308" t="str">
            <v>FPRF1 BEM TE VI PREVIDENCIARIO FIF MULT CP RL</v>
          </cell>
          <cell r="D2308" t="str">
            <v>FPRF1 BEM TE VI PREVIDENCIARIO FIF MULT CP RL</v>
          </cell>
          <cell r="E2308" t="str">
            <v>FUNDACAO DE ASSISTENCIA E PREVIDENCIA SOCIAL DO BNDES FAPES</v>
          </cell>
        </row>
        <row r="2309">
          <cell r="B2309">
            <v>82563</v>
          </cell>
          <cell r="C2309" t="str">
            <v>FPRF4 AGUIA PREV FIF MULT CP RL</v>
          </cell>
          <cell r="D2309" t="str">
            <v>FPRF4 AGUIA PREV FIF MULT CP RL</v>
          </cell>
          <cell r="E2309" t="str">
            <v>FUNDACAO DE ASSISTENCIA E PREVIDENCIA SOCIAL DO BNDES FAPES</v>
          </cell>
        </row>
        <row r="2310">
          <cell r="B2310">
            <v>82563</v>
          </cell>
          <cell r="C2310" t="str">
            <v>FPRF4 AGUIA PREV FIF MULT CP RL</v>
          </cell>
          <cell r="D2310" t="str">
            <v>FPRF4 AGUIA PREV FIF MULT CP RL</v>
          </cell>
          <cell r="E2310" t="str">
            <v>FUNDACAO DE ASSISTENCIA E PREVIDENCIA SOCIAL DO BNDES FAPES</v>
          </cell>
        </row>
        <row r="2311">
          <cell r="B2311">
            <v>82564</v>
          </cell>
          <cell r="C2311" t="str">
            <v>ITAU VOTL FIF MULTIMERCADO RESP. LIMITADA</v>
          </cell>
          <cell r="D2311" t="str">
            <v>ITAU VOTL FIF MULTIMERCADO RESP. LIMITADA</v>
          </cell>
          <cell r="E2311" t="str">
            <v>ITAU UNIBANCO ASSET - TACO</v>
          </cell>
        </row>
        <row r="2312">
          <cell r="B2312">
            <v>82565</v>
          </cell>
          <cell r="C2312" t="str">
            <v>FPRV1 SABIA FUNDO DE INVESTIMENTO MULTIMERCADO CREDITO PRIVA</v>
          </cell>
          <cell r="D2312" t="str">
            <v>FPRV1 SABIA FUNDO DE INVESTIMENTO MULTIMERCADO CREDITO PRIVA</v>
          </cell>
          <cell r="E2312" t="str">
            <v>FUNDACAO DE ASSISTENCIA E PREVIDENCIA SOCIAL DO BNDES FAPES</v>
          </cell>
        </row>
        <row r="2313">
          <cell r="B2313">
            <v>82565</v>
          </cell>
          <cell r="C2313" t="str">
            <v>FPRV1 SABIA FUNDO DE INVESTIMENTO MULTIMERCADO CREDITO PRIVA</v>
          </cell>
          <cell r="D2313" t="str">
            <v>FPRV1 SABIA FUNDO DE INVESTIMENTO MULTIMERCADO CREDITO PRIVA</v>
          </cell>
          <cell r="E2313" t="str">
            <v>FUNDACAO DE ASSISTENCIA E PREVIDENCIA SOCIAL DO BNDES FAPES</v>
          </cell>
        </row>
        <row r="2314">
          <cell r="B2314">
            <v>82566</v>
          </cell>
          <cell r="C2314" t="str">
            <v>TUCANO FUNDO DE INVESTIMENTO FINANCEIRO MULTIMERCADO - RL</v>
          </cell>
          <cell r="D2314" t="str">
            <v>TUCANO FUNDO DE INVESTIMENTO FINANCEIRO MULTIMERCADO - RL</v>
          </cell>
          <cell r="E2314" t="str">
            <v>FUNDACAO DE ASSISTENCIA E PREVIDENCIA SOCIAL DO BNDES FAPES</v>
          </cell>
        </row>
        <row r="2315">
          <cell r="B2315">
            <v>82566</v>
          </cell>
          <cell r="C2315" t="str">
            <v>TUCANO FUNDO DE INVESTIMENTO FINANCEIRO MULTIMERCADO - RL</v>
          </cell>
          <cell r="D2315" t="str">
            <v>TUCANO FUNDO DE INVESTIMENTO FINANCEIRO MULTIMERCADO - RL</v>
          </cell>
          <cell r="E2315" t="str">
            <v>FUNDACAO DE ASSISTENCIA E PREVIDENCIA SOCIAL DO BNDES FAPES</v>
          </cell>
        </row>
        <row r="2316">
          <cell r="B2316">
            <v>82567</v>
          </cell>
          <cell r="C2316" t="str">
            <v>PLANO BASICO DE BENEFICIOS - FAPES</v>
          </cell>
          <cell r="D2316" t="str">
            <v>PLANO BASICO DE BENEFICIOS - FAPES</v>
          </cell>
          <cell r="E2316" t="str">
            <v>FUNDACAO DE ASSISTENCIA E PREVIDENCIA SOCIAL DO BNDES FAPES</v>
          </cell>
        </row>
        <row r="2317">
          <cell r="B2317">
            <v>82567</v>
          </cell>
          <cell r="C2317" t="str">
            <v>PLANO BASICO DE BENEFICIOS - FAPES</v>
          </cell>
          <cell r="D2317" t="str">
            <v>PLANO BASICO DE BENEFICIOS - FAPES</v>
          </cell>
          <cell r="E2317" t="str">
            <v>FUNDACAO DE ASSISTENCIA E PREVIDENCIA SOCIAL DO BNDES FAPES</v>
          </cell>
        </row>
        <row r="2318">
          <cell r="B2318">
            <v>82568</v>
          </cell>
          <cell r="C2318" t="str">
            <v>FAPES FUTURO</v>
          </cell>
          <cell r="D2318" t="str">
            <v>FAPES FUTURO</v>
          </cell>
          <cell r="E2318" t="str">
            <v>FUNDACAO DE ASSISTENCIA E PREVIDENCIA SOCIAL DO BNDES FAPES</v>
          </cell>
        </row>
        <row r="2319">
          <cell r="B2319">
            <v>82568</v>
          </cell>
          <cell r="C2319" t="str">
            <v>FAPES FUTURO</v>
          </cell>
          <cell r="D2319" t="str">
            <v>FAPES FUTURO</v>
          </cell>
          <cell r="E2319" t="str">
            <v>FUNDACAO DE ASSISTENCIA E PREVIDENCIA SOCIAL DO BNDES FAPES</v>
          </cell>
        </row>
        <row r="2320">
          <cell r="B2320">
            <v>82569</v>
          </cell>
          <cell r="C2320" t="str">
            <v>FAPES FAMILIA</v>
          </cell>
          <cell r="D2320" t="str">
            <v>FAPES FAMILIA</v>
          </cell>
          <cell r="E2320" t="str">
            <v>FUNDACAO DE ASSISTENCIA E PREVIDENCIA SOCIAL DO BNDES FAPES</v>
          </cell>
        </row>
        <row r="2321">
          <cell r="B2321">
            <v>82570</v>
          </cell>
          <cell r="C2321" t="str">
            <v>FAPES FAMILIA</v>
          </cell>
          <cell r="D2321" t="str">
            <v>FAPES FAMILIA</v>
          </cell>
          <cell r="E2321" t="str">
            <v>FUNDACAO DE ASSISTENCIA E PREVIDENCIA SOCIAL DO BNDES FAPES</v>
          </cell>
        </row>
        <row r="2322">
          <cell r="B2322">
            <v>82569</v>
          </cell>
          <cell r="C2322" t="str">
            <v>FAPES FAMILIA</v>
          </cell>
          <cell r="D2322" t="str">
            <v>FAPES FAMILIA</v>
          </cell>
          <cell r="E2322" t="str">
            <v>FUNDACAO DE ASSISTENCIA E PREVIDENCIA SOCIAL DO BNDES FAPES</v>
          </cell>
        </row>
        <row r="2323">
          <cell r="B2323">
            <v>82570</v>
          </cell>
          <cell r="C2323" t="str">
            <v>FAPES FAMILIA</v>
          </cell>
          <cell r="D2323" t="str">
            <v>FAPES FAMILIA</v>
          </cell>
          <cell r="E2323" t="str">
            <v>FUNDACAO DE ASSISTENCIA E PREVIDENCIA SOCIAL DO BNDES FAPES</v>
          </cell>
        </row>
        <row r="2324">
          <cell r="B2324">
            <v>82571</v>
          </cell>
          <cell r="C2324" t="str">
            <v>PLANO BASICO DE CONTRIBUICAO DEFINIDA</v>
          </cell>
          <cell r="D2324" t="str">
            <v>PLANO BASICO DE CONTRIBUICAO DEFINIDA</v>
          </cell>
          <cell r="E2324" t="str">
            <v>FUNDACAO DE ASSISTENCIA E PREVIDENCIA SOCIAL DO BNDES FAPES</v>
          </cell>
        </row>
        <row r="2325">
          <cell r="B2325">
            <v>82572</v>
          </cell>
          <cell r="C2325" t="str">
            <v>PLANO BASICO DE CONTRIBUICAO DEFINIDA</v>
          </cell>
          <cell r="D2325" t="str">
            <v>PLANO BASICO DE CONTRIBUICAO DEFINIDA</v>
          </cell>
          <cell r="E2325" t="str">
            <v>FUNDACAO DE ASSISTENCIA E PREVIDENCIA SOCIAL DO BNDES FAPES</v>
          </cell>
        </row>
        <row r="2326">
          <cell r="B2326">
            <v>82571</v>
          </cell>
          <cell r="C2326" t="str">
            <v>PLANO BASICO DE CONTRIBUICAO DEFINIDA</v>
          </cell>
          <cell r="D2326" t="str">
            <v>PLANO BASICO DE CONTRIBUICAO DEFINIDA</v>
          </cell>
          <cell r="E2326" t="str">
            <v>FUNDACAO DE ASSISTENCIA E PREVIDENCIA SOCIAL DO BNDES FAPES</v>
          </cell>
        </row>
        <row r="2327">
          <cell r="B2327">
            <v>82572</v>
          </cell>
          <cell r="C2327" t="str">
            <v>PLANO BASICO DE CONTRIBUICAO DEFINIDA</v>
          </cell>
          <cell r="D2327" t="str">
            <v>PLANO BASICO DE CONTRIBUICAO DEFINIDA</v>
          </cell>
          <cell r="E2327" t="str">
            <v>FUNDACAO DE ASSISTENCIA E PREVIDENCIA SOCIAL DO BNDES FAPES</v>
          </cell>
        </row>
        <row r="2328">
          <cell r="B2328">
            <v>82573</v>
          </cell>
          <cell r="C2328" t="str">
            <v>LAKESIDE TRADING LLC</v>
          </cell>
          <cell r="D2328" t="str">
            <v>LAKESIDE TRADING LLC</v>
          </cell>
          <cell r="E2328" t="str">
            <v>LAKESIDE TRADING LLC</v>
          </cell>
        </row>
        <row r="2329">
          <cell r="B2329">
            <v>82573</v>
          </cell>
          <cell r="C2329" t="str">
            <v>LAKESIDE TRADING LLC</v>
          </cell>
          <cell r="D2329" t="str">
            <v>LAKESIDE TRADING LLC</v>
          </cell>
          <cell r="E2329" t="str">
            <v>LAKESIDE TRADING LLC</v>
          </cell>
        </row>
        <row r="2330">
          <cell r="B2330">
            <v>82574</v>
          </cell>
          <cell r="C2330" t="str">
            <v>ITAU US TECH USD FIF ACOES RL</v>
          </cell>
          <cell r="D2330" t="str">
            <v>ITAU US TECH USD FIF ACOES RL</v>
          </cell>
          <cell r="E2330" t="str">
            <v>ITAU UNIBANCO ASSET - TACO</v>
          </cell>
        </row>
        <row r="2331">
          <cell r="B2331">
            <v>82575</v>
          </cell>
          <cell r="C2331" t="str">
            <v>PORTO RIO BRANCO FUNDO DE INVESTIMENTO FINANCEIRO MULT RL</v>
          </cell>
          <cell r="D2331" t="str">
            <v>PORTO RIO BRANCO FUNDO DE INVESTIMENTO FINANCEIRO MULT RL</v>
          </cell>
          <cell r="E2331" t="str">
            <v>PORTO SEGURO INVESTIMENTOS LTDA</v>
          </cell>
        </row>
        <row r="2332">
          <cell r="B2332">
            <v>82576</v>
          </cell>
          <cell r="C2332" t="str">
            <v>IT NOW IBOVESPA B3 BR+ FUNDO DE INDICE RESP. LIMITADA</v>
          </cell>
          <cell r="D2332" t="str">
            <v>IT NOW IBOVESPA B3 BR+ FUNDO DE INDICE RESP. LIMITADA</v>
          </cell>
          <cell r="E2332" t="str">
            <v>ITAU UNIBANCO ASSET - TACO</v>
          </cell>
        </row>
        <row r="2333">
          <cell r="B2333">
            <v>82577</v>
          </cell>
          <cell r="C2333" t="str">
            <v>LAKESIDE TRADING LLC</v>
          </cell>
          <cell r="D2333" t="str">
            <v>LAKESIDE TRADING LLC</v>
          </cell>
          <cell r="E2333" t="str">
            <v>LAKESIDE TRADING LLC</v>
          </cell>
        </row>
        <row r="2334">
          <cell r="B2334">
            <v>82577</v>
          </cell>
          <cell r="C2334" t="str">
            <v>LAKESIDE TRADING LLC</v>
          </cell>
          <cell r="D2334" t="str">
            <v>LAKESIDE TRADING LLC</v>
          </cell>
          <cell r="E2334" t="str">
            <v>LAKESIDE TRADING LLC</v>
          </cell>
        </row>
        <row r="2335">
          <cell r="B2335">
            <v>82580</v>
          </cell>
          <cell r="C2335" t="str">
            <v>TENAX EQUITY HEDGE FIM RL</v>
          </cell>
          <cell r="D2335" t="str">
            <v>TENAX EQUITY HEDGE FIM RL</v>
          </cell>
          <cell r="E2335" t="str">
            <v>TENAX CAPITAL LTDA</v>
          </cell>
        </row>
        <row r="2336">
          <cell r="B2336">
            <v>82581</v>
          </cell>
          <cell r="C2336" t="str">
            <v>CIBRIUS IMOB CLASSE DE INVESTIMENTO MULTIMERCADO CP RL</v>
          </cell>
          <cell r="D2336" t="str">
            <v>CIBRIUS IMOB CLASSE DE INVESTIMENTO MULTIMERCADO CP RL</v>
          </cell>
          <cell r="E2336" t="str">
            <v>CIBRIUS - INSTITUTO DE PREVIDENCIA COMPLEMENTAR</v>
          </cell>
        </row>
        <row r="2337">
          <cell r="B2337">
            <v>82582</v>
          </cell>
          <cell r="C2337" t="str">
            <v>ITAU UNIBANCO S.A. _ FILIAL</v>
          </cell>
          <cell r="D2337" t="str">
            <v>ITAU UNIBANCO S.A. _ FILIAL</v>
          </cell>
          <cell r="E2337" t="str">
            <v>ITAU UNIBANCO S/A</v>
          </cell>
        </row>
        <row r="2338">
          <cell r="B2338">
            <v>82583</v>
          </cell>
          <cell r="C2338" t="str">
            <v>CIBRIUS - INSTITUTO DE PREVIDENCIA COMPLEMENTAR</v>
          </cell>
          <cell r="D2338" t="str">
            <v>CIBRIUS - INSTITUTO DE PREVIDENCIA COMPLEMENTAR</v>
          </cell>
          <cell r="E2338" t="str">
            <v>CIBRIUS - INSTITUTO DE PREVIDENCIA COMPLEMENTAR</v>
          </cell>
        </row>
        <row r="2339">
          <cell r="B2339">
            <v>82584</v>
          </cell>
          <cell r="C2339" t="str">
            <v>IAJA SAM ACOES FUNDO DE INVESTIMENTO</v>
          </cell>
          <cell r="D2339" t="str">
            <v>IAJA SAM ACOES FUNDO DE INVESTIMENTO</v>
          </cell>
          <cell r="E2339" t="str">
            <v>SANTANDER BRASIL GESTAO DE RECURSOS LTDA</v>
          </cell>
        </row>
        <row r="2340">
          <cell r="B2340">
            <v>82585</v>
          </cell>
          <cell r="C2340" t="str">
            <v>ITAU UNIBANCO S.A.</v>
          </cell>
          <cell r="D2340" t="str">
            <v>ITAU UNIBANCO S.A.</v>
          </cell>
          <cell r="E2340" t="str">
            <v>ITAU UNIBANCO S/A</v>
          </cell>
        </row>
        <row r="2341">
          <cell r="B2341">
            <v>82586</v>
          </cell>
          <cell r="C2341" t="str">
            <v>MERAKI CAPITAL GESTAO DE RECURSOS LTDA</v>
          </cell>
          <cell r="D2341" t="str">
            <v>MERAKI CAPITAL GESTAO DE RECURSOS LTDA</v>
          </cell>
          <cell r="E2341" t="str">
            <v>MERAKI CAPITAL GESTAO DE RECURSOS LTDA</v>
          </cell>
        </row>
        <row r="2342">
          <cell r="B2342">
            <v>82586</v>
          </cell>
          <cell r="C2342" t="str">
            <v>MERAKI CAPITAL GESTAO DE RECURSOS LTDA</v>
          </cell>
          <cell r="D2342" t="str">
            <v>MERAKI CAPITAL GESTAO DE RECURSOS LTDA</v>
          </cell>
          <cell r="E2342" t="str">
            <v>MERAKI CAPITAL GESTAO DE RECURSOS LTDA</v>
          </cell>
        </row>
        <row r="2343">
          <cell r="B2343">
            <v>82587</v>
          </cell>
          <cell r="C2343" t="str">
            <v>QUANTIQUE AXION FUNDO DE INVESTIMENTO MULTIMERCADO</v>
          </cell>
          <cell r="D2343" t="str">
            <v>QUANTIQUE AXION FUNDO DE INVESTIMENTO MULTIMERCADO</v>
          </cell>
          <cell r="E2343" t="str">
            <v>QUANTIQUE M3 INVESTMENTS LTDA</v>
          </cell>
        </row>
        <row r="2344">
          <cell r="B2344">
            <v>82591</v>
          </cell>
          <cell r="C2344" t="str">
            <v>KAPITALO INVESTIMENTOS LTDA</v>
          </cell>
          <cell r="D2344" t="str">
            <v>KAPITALO INVESTIMENTOS LTDA</v>
          </cell>
          <cell r="E2344" t="str">
            <v>KAPITALO INVESTIMENTOS LTDA</v>
          </cell>
        </row>
        <row r="2345">
          <cell r="B2345">
            <v>82591</v>
          </cell>
          <cell r="C2345" t="str">
            <v>KAPITALO INVESTIMENTOS LTDA</v>
          </cell>
          <cell r="D2345" t="str">
            <v>KAPITALO INVESTIMENTOS LTDA</v>
          </cell>
          <cell r="E2345" t="str">
            <v>KAPITALO INVESTIMENTOS LTDA</v>
          </cell>
        </row>
        <row r="2346">
          <cell r="B2346">
            <v>82592</v>
          </cell>
          <cell r="C2346" t="str">
            <v>VINLAND CREDITO MASTER INSTITUCIONAL FI RENDA FIXA</v>
          </cell>
          <cell r="D2346" t="str">
            <v>VINLAND CREDITO MASTER INSTITUCIONAL FI RENDA FIXA</v>
          </cell>
          <cell r="E2346" t="str">
            <v>VINLAND CAPITAL MANAGEMENT GESTORA DE RECURSOS LTDA</v>
          </cell>
        </row>
        <row r="2347">
          <cell r="B2347">
            <v>82593</v>
          </cell>
          <cell r="C2347" t="str">
            <v>WEALTH HIGH GOVERNANCE ASSET MANAGEMENT LTDA</v>
          </cell>
          <cell r="D2347" t="str">
            <v>WEALTH HIGH GOVERNANCE ASSET MANAGEMENT LTDA</v>
          </cell>
          <cell r="E2347" t="str">
            <v>WEALTH HIGH GOVERNANCE ASSET MANAGEMENT LTDA</v>
          </cell>
        </row>
        <row r="2348">
          <cell r="B2348">
            <v>82593</v>
          </cell>
          <cell r="C2348" t="str">
            <v>WEALTH HIGH GOVERNANCE ASSET MANAGEMENT LTDA</v>
          </cell>
          <cell r="D2348" t="str">
            <v>WEALTH HIGH GOVERNANCE ASSET MANAGEMENT LTDA</v>
          </cell>
          <cell r="E2348" t="str">
            <v>WEALTH HIGH GOVERNANCE ASSET MANAGEMENT LTDA</v>
          </cell>
        </row>
        <row r="2349">
          <cell r="B2349">
            <v>80749</v>
          </cell>
          <cell r="C2349" t="str">
            <v>XP INVESTIMENTOS CCTVM S/A</v>
          </cell>
          <cell r="D2349" t="str">
            <v>XP INVESTIMENTOS CCTVM S/A</v>
          </cell>
          <cell r="E2349" t="str">
            <v>BANCO XP S/A</v>
          </cell>
        </row>
        <row r="2350">
          <cell r="B2350">
            <v>82597</v>
          </cell>
          <cell r="C2350" t="str">
            <v>PORTO SEGURO INVESTIMENTOS LTDA</v>
          </cell>
          <cell r="D2350" t="str">
            <v>PORTO SEGURO INVESTIMENTOS LTDA</v>
          </cell>
          <cell r="E2350" t="str">
            <v>PORTO SEGURO INVESTIMENTOS LTDA</v>
          </cell>
        </row>
        <row r="2351">
          <cell r="B2351">
            <v>82597</v>
          </cell>
          <cell r="C2351" t="str">
            <v>PORTO SEGURO INVESTIMENTOS LTDA</v>
          </cell>
          <cell r="D2351" t="str">
            <v>PORTO SEGURO INVESTIMENTOS LTDA</v>
          </cell>
          <cell r="E2351" t="str">
            <v>PORTO SEGURO INVESTIMENTOS LTDA</v>
          </cell>
        </row>
        <row r="2352">
          <cell r="B2352">
            <v>82598</v>
          </cell>
          <cell r="C2352" t="str">
            <v>J&amp;F INVESTIMENTOS SA</v>
          </cell>
          <cell r="D2352" t="str">
            <v>J&amp;F INVESTIMENTOS SA</v>
          </cell>
          <cell r="E2352" t="str">
            <v>J&amp;F INVESTIMENTOS SA</v>
          </cell>
        </row>
        <row r="2353">
          <cell r="B2353">
            <v>82599</v>
          </cell>
          <cell r="C2353" t="str">
            <v>ITAU FUSION FIF MULT RL</v>
          </cell>
          <cell r="D2353" t="str">
            <v>ITAU FUSION FIF MULT RL</v>
          </cell>
          <cell r="E2353" t="str">
            <v>ITAU UNIBANCO ASSET - TACO</v>
          </cell>
        </row>
        <row r="2354">
          <cell r="B2354">
            <v>82602</v>
          </cell>
          <cell r="C2354" t="str">
            <v>NU CRYPTO LTDA.</v>
          </cell>
          <cell r="D2354" t="str">
            <v>NU CRYPTO LTDA.</v>
          </cell>
          <cell r="E2354" t="str">
            <v>NU PAGAMENTOS SOCIEDADE ANONIMA</v>
          </cell>
        </row>
        <row r="2355">
          <cell r="B2355">
            <v>82604</v>
          </cell>
          <cell r="C2355" t="str">
            <v>FIM ICEBERG IE CP</v>
          </cell>
          <cell r="D2355" t="str">
            <v>FIM ICEBERG IE CP</v>
          </cell>
          <cell r="E2355" t="str">
            <v>BANK OF AMERICA MERRILL LYNCH BANCO MULTIPLO S/A</v>
          </cell>
        </row>
        <row r="2356">
          <cell r="B2356">
            <v>82605</v>
          </cell>
          <cell r="C2356" t="str">
            <v>IT NOW IRFM P3 FUNDO DE INDICE RL</v>
          </cell>
          <cell r="D2356" t="str">
            <v>IT NOW IRFM P3 FUNDO DE INDICE RL</v>
          </cell>
          <cell r="E2356" t="str">
            <v>ITAU UNIBANCO ASSET - TACO</v>
          </cell>
        </row>
        <row r="2357">
          <cell r="B2357">
            <v>82606</v>
          </cell>
          <cell r="C2357" t="str">
            <v>ITAU ACTIVE FIX ESG IS FIF MULT CRED PRIV RL</v>
          </cell>
          <cell r="D2357" t="str">
            <v>ITAU ACTIVE FIX ESG IS FIF MULT CRED PRIV RL</v>
          </cell>
          <cell r="E2357" t="str">
            <v>ITAU UNIBANCO ASSET - TACO</v>
          </cell>
        </row>
        <row r="2358">
          <cell r="B2358">
            <v>82609</v>
          </cell>
          <cell r="C2358" t="str">
            <v>ITAU FUSION EAGLE FIF MULT RL</v>
          </cell>
          <cell r="D2358" t="str">
            <v>ITAU FUSION EAGLE FIF MULT RL</v>
          </cell>
          <cell r="E2358" t="str">
            <v>ITAU UNIBANCO ASSET - TACO</v>
          </cell>
        </row>
        <row r="2359">
          <cell r="B2359">
            <v>82610</v>
          </cell>
          <cell r="C2359" t="str">
            <v>WHG ALPHA DINAMICO MASTER FIM IE</v>
          </cell>
          <cell r="D2359" t="str">
            <v>WHG ALPHA DINAMICO MASTER FIM IE</v>
          </cell>
          <cell r="E2359" t="str">
            <v>WEALTH HIGH GOVERNANCE ASSET MANAGEMENT LTDA</v>
          </cell>
        </row>
        <row r="2360">
          <cell r="B2360">
            <v>82610</v>
          </cell>
          <cell r="C2360" t="str">
            <v>WHG ALPHA DINAMICO MASTER FIM IE</v>
          </cell>
          <cell r="D2360" t="str">
            <v>WHG ALPHA DINAMICO MASTER FIM IE</v>
          </cell>
          <cell r="E2360" t="str">
            <v>WEALTH HIGH GOVERNANCE ASSET MANAGEMENT LTDA</v>
          </cell>
        </row>
        <row r="2361">
          <cell r="B2361">
            <v>82612</v>
          </cell>
          <cell r="C2361" t="str">
            <v>WHG GLOBAL ALLOCATION MASTER FIA RESPONSABILIDADE LIMITADA</v>
          </cell>
          <cell r="D2361" t="str">
            <v>WHG GLOBAL ALLOCATION MASTER FIA RESPONSABILIDADE LIMITADA</v>
          </cell>
          <cell r="E2361" t="str">
            <v>WEALTH HIGH GOVERNANCE ASSET MANAGEMENT LTDA</v>
          </cell>
        </row>
        <row r="2362">
          <cell r="B2362">
            <v>82612</v>
          </cell>
          <cell r="C2362" t="str">
            <v>WHG GLOBAL ALLOCATION MASTER FIA RESPONSABILIDADE LIMITADA</v>
          </cell>
          <cell r="D2362" t="str">
            <v>WHG GLOBAL ALLOCATION MASTER FIA RESPONSABILIDADE LIMITADA</v>
          </cell>
          <cell r="E2362" t="str">
            <v>WEALTH HIGH GOVERNANCE ASSET MANAGEMENT LTDA</v>
          </cell>
        </row>
        <row r="2363">
          <cell r="B2363">
            <v>82613</v>
          </cell>
          <cell r="C2363" t="str">
            <v>WHG GLOBAL LONG BIASED BRL MASTER FIA IE</v>
          </cell>
          <cell r="D2363" t="str">
            <v>WHG GLOBAL LONG BIASED BRL MASTER FIA IE</v>
          </cell>
          <cell r="E2363" t="str">
            <v>WEALTH HIGH GOVERNANCE ASSET MANAGEMENT LTDA</v>
          </cell>
        </row>
        <row r="2364">
          <cell r="B2364">
            <v>82613</v>
          </cell>
          <cell r="C2364" t="str">
            <v>WHG GLOBAL LONG BIASED BRL MASTER FIA IE</v>
          </cell>
          <cell r="D2364" t="str">
            <v>WHG GLOBAL LONG BIASED BRL MASTER FIA IE</v>
          </cell>
          <cell r="E2364" t="str">
            <v>WEALTH HIGH GOVERNANCE ASSET MANAGEMENT LTDA</v>
          </cell>
        </row>
        <row r="2365">
          <cell r="B2365">
            <v>82614</v>
          </cell>
          <cell r="C2365" t="str">
            <v>WHG GLOBAL LB BRL MASTER FIA IE</v>
          </cell>
          <cell r="D2365" t="str">
            <v>WHG GLOBAL LB BRL MASTER FIA IE</v>
          </cell>
          <cell r="E2365" t="str">
            <v>WEALTH HIGH GOVERNANCE ASSET MANAGEMENT LTDA</v>
          </cell>
        </row>
        <row r="2366">
          <cell r="B2366">
            <v>82614</v>
          </cell>
          <cell r="C2366" t="str">
            <v>WHG GLOBAL LB BRL MASTER FIA IE</v>
          </cell>
          <cell r="D2366" t="str">
            <v>WHG GLOBAL LB BRL MASTER FIA IE</v>
          </cell>
          <cell r="E2366" t="str">
            <v>WEALTH HIGH GOVERNANCE ASSET MANAGEMENT LTDA</v>
          </cell>
        </row>
        <row r="2367">
          <cell r="B2367">
            <v>82615</v>
          </cell>
          <cell r="C2367" t="str">
            <v>WHG LONG BIASED MASTER FIF MM RL</v>
          </cell>
          <cell r="D2367" t="str">
            <v>WHG LONG BIASED MASTER FIF MM RL</v>
          </cell>
          <cell r="E2367" t="str">
            <v>WEALTH HIGH GOVERNANCE ASSET MANAGEMENT LTDA</v>
          </cell>
        </row>
        <row r="2368">
          <cell r="B2368">
            <v>82615</v>
          </cell>
          <cell r="C2368" t="str">
            <v>WHG LONG BIASED MASTER FIF MM RL</v>
          </cell>
          <cell r="D2368" t="str">
            <v>WHG LONG BIASED MASTER FIF MM RL</v>
          </cell>
          <cell r="E2368" t="str">
            <v>WEALTH HIGH GOVERNANCE ASSET MANAGEMENT LTDA</v>
          </cell>
        </row>
        <row r="2369">
          <cell r="B2369">
            <v>82616</v>
          </cell>
          <cell r="C2369" t="str">
            <v>WHG LONG BIASED PREV FIFE MULTIMERCADO FUNDO DE INVESTIMENTO</v>
          </cell>
          <cell r="D2369" t="str">
            <v>WHG LONG BIASED PREV FIFE MULTIMERCADO FUNDO DE INVESTIMENTO</v>
          </cell>
          <cell r="E2369" t="str">
            <v>WEALTH HIGH GOVERNANCE ASSET MANAGEMENT LTDA</v>
          </cell>
        </row>
        <row r="2370">
          <cell r="B2370">
            <v>82616</v>
          </cell>
          <cell r="C2370" t="str">
            <v>WHG LONG BIASED PREV FIFE MULTIMERCADO FUNDO DE INVESTIMENTO</v>
          </cell>
          <cell r="D2370" t="str">
            <v>WHG LONG BIASED PREV FIFE MULTIMERCADO FUNDO DE INVESTIMENTO</v>
          </cell>
          <cell r="E2370" t="str">
            <v>WEALTH HIGH GOVERNANCE ASSET MANAGEMENT LTDA</v>
          </cell>
        </row>
        <row r="2371">
          <cell r="B2371">
            <v>82617</v>
          </cell>
          <cell r="C2371" t="str">
            <v>WHG RF DINAMICO MASTER FUNDO DE INVESTIMENTO MULTIMERCADO</v>
          </cell>
          <cell r="D2371" t="str">
            <v>WHG RF DINAMICO MASTER FUNDO DE INVESTIMENTO MULTIMERCADO</v>
          </cell>
          <cell r="E2371" t="str">
            <v>WEALTH HIGH GOVERNANCE ASSET MANAGEMENT LTDA</v>
          </cell>
        </row>
        <row r="2372">
          <cell r="B2372">
            <v>82617</v>
          </cell>
          <cell r="C2372" t="str">
            <v>WHG RF DINAMICO MASTER FUNDO DE INVESTIMENTO MULTIMERCADO</v>
          </cell>
          <cell r="D2372" t="str">
            <v>WHG RF DINAMICO MASTER FUNDO DE INVESTIMENTO MULTIMERCADO</v>
          </cell>
          <cell r="E2372" t="str">
            <v>WEALTH HIGH GOVERNANCE ASSET MANAGEMENT LTDA</v>
          </cell>
        </row>
        <row r="2373">
          <cell r="B2373">
            <v>82618</v>
          </cell>
          <cell r="C2373" t="str">
            <v>WHG RF DINAMICO PREV ACESSO FIM CP</v>
          </cell>
          <cell r="D2373" t="str">
            <v>WHG RF DINAMICO PREV ACESSO FIM CP</v>
          </cell>
          <cell r="E2373" t="str">
            <v>WEALTH HIGH GOVERNANCE ASSET MANAGEMENT LTDA</v>
          </cell>
        </row>
        <row r="2374">
          <cell r="B2374">
            <v>82618</v>
          </cell>
          <cell r="C2374" t="str">
            <v>WHG RF DINAMICO PREV ACESSO FIM CP</v>
          </cell>
          <cell r="D2374" t="str">
            <v>WHG RF DINAMICO PREV ACESSO FIM CP</v>
          </cell>
          <cell r="E2374" t="str">
            <v>WEALTH HIGH GOVERNANCE ASSET MANAGEMENT LTDA</v>
          </cell>
        </row>
        <row r="2375">
          <cell r="B2375">
            <v>82619</v>
          </cell>
          <cell r="C2375" t="str">
            <v>DAHLIA 97 FIF MULTIMERCADO RESP LTDA</v>
          </cell>
          <cell r="D2375" t="str">
            <v>DAHLIA 97 FIF MULTIMERCADO RESP LTDA</v>
          </cell>
          <cell r="E2375" t="str">
            <v>DAHLIA CAPITAL GESTAO DE RECURSOS LTDA</v>
          </cell>
        </row>
        <row r="2376">
          <cell r="B2376">
            <v>82620</v>
          </cell>
          <cell r="C2376" t="str">
            <v>DAHLIA 89 FIF MULTIMERCADO - RESP LTDA</v>
          </cell>
          <cell r="D2376" t="str">
            <v>DAHLIA 89 FIF MULTIMERCADO - RESP LTDA</v>
          </cell>
          <cell r="E2376" t="str">
            <v>DAHLIA CAPITAL GESTAO DE RECURSOS LTDA</v>
          </cell>
        </row>
        <row r="2377">
          <cell r="B2377">
            <v>82621</v>
          </cell>
          <cell r="C2377" t="str">
            <v>MORGAN STANLEY LATAM LLC - CITIBANK</v>
          </cell>
          <cell r="D2377" t="str">
            <v>MORGAN STANLEY LATAM LLC - CITIBANK</v>
          </cell>
          <cell r="E2377" t="str">
            <v>BANCO MORGAN STANLEY S/A</v>
          </cell>
        </row>
        <row r="2378">
          <cell r="B2378">
            <v>82621</v>
          </cell>
          <cell r="C2378" t="str">
            <v>MORGAN STANLEY LATAM LLC - CITIBANK</v>
          </cell>
          <cell r="D2378" t="str">
            <v>MORGAN STANLEY LATAM LLC - CITIBANK</v>
          </cell>
          <cell r="E2378" t="str">
            <v>BANCO MORGAN STANLEY S/A</v>
          </cell>
        </row>
        <row r="2379">
          <cell r="B2379">
            <v>82622</v>
          </cell>
          <cell r="C2379" t="str">
            <v>CREDIT SUISSE (BRASIL) S/A CTVM</v>
          </cell>
          <cell r="D2379" t="str">
            <v>CREDIT SUISSE (BRASIL) S/A CTVM</v>
          </cell>
          <cell r="E2379" t="str">
            <v>CREDIT SUISSE (BRASIL) S/A CTVM</v>
          </cell>
        </row>
        <row r="2380">
          <cell r="B2380">
            <v>82623</v>
          </cell>
          <cell r="C2380" t="str">
            <v>ITAU DOLOMITAS LISTADOS FI FINANCEIRO MULT CRED PRIV RL</v>
          </cell>
          <cell r="D2380" t="str">
            <v>ITAU DOLOMITAS LISTADOS FI FINANCEIRO MULT CRED PRIV RL</v>
          </cell>
          <cell r="E2380" t="str">
            <v>ITAU UNIBANCO ASSET - TACO</v>
          </cell>
        </row>
        <row r="2381">
          <cell r="B2381">
            <v>82624</v>
          </cell>
          <cell r="C2381" t="str">
            <v>ITAU FLEXPREV FUSION HARPIA FIF RENDA FIXA RESPONSABILIDE LI</v>
          </cell>
          <cell r="D2381" t="str">
            <v>ITAU FLEXPREV FUSION HARPIA FIF RENDA FIXA RESPONSABILIDE LI</v>
          </cell>
          <cell r="E2381" t="str">
            <v>ITAU UNIBANCO ASSET - TACO</v>
          </cell>
        </row>
        <row r="2382">
          <cell r="B2382">
            <v>82625</v>
          </cell>
          <cell r="C2382" t="str">
            <v>ITAU MASTER POLARIS SPECIAL OPPS II FIM RESP LIMITADA</v>
          </cell>
          <cell r="D2382" t="str">
            <v>ITAU MASTER POLARIS SPECIAL OPPS II FIM RESP LIMITADA</v>
          </cell>
          <cell r="E2382" t="str">
            <v>ITAU UNIBANCO ASSET - TACO</v>
          </cell>
        </row>
        <row r="2383">
          <cell r="B2383">
            <v>82626</v>
          </cell>
          <cell r="C2383" t="str">
            <v>ITAU VERTICE OPTVEGA FIF MULTIMERCADO RESPONSABILIDADE LIMIT</v>
          </cell>
          <cell r="D2383" t="str">
            <v>ITAU VERTICE OPTVEGA FIF MULTIMERCADO RESPONSABILIDADE LIMIT</v>
          </cell>
          <cell r="E2383" t="str">
            <v>ITAU UNIBANCO ASSET - TACO</v>
          </cell>
        </row>
        <row r="2384">
          <cell r="B2384">
            <v>82627</v>
          </cell>
          <cell r="C2384" t="str">
            <v>ITAU MASTER GLOBAL DINAMICO MULTIMERCADO FI</v>
          </cell>
          <cell r="D2384" t="str">
            <v>ITAU MASTER GLOBAL DINAMICO MULTIMERCADO FI</v>
          </cell>
          <cell r="E2384" t="str">
            <v>ITAU UNIBANCO ASSET - TACO</v>
          </cell>
        </row>
        <row r="2385">
          <cell r="B2385">
            <v>82628</v>
          </cell>
          <cell r="C2385" t="str">
            <v>ITAU MASTER GLOBAL DINAMICO ULTRA MULTIMERCADO FUNDO DE INVE</v>
          </cell>
          <cell r="D2385" t="str">
            <v>ITAU MASTER GLOBAL DINAMICO ULTRA MULTIMERCADO FUNDO DE INVE</v>
          </cell>
          <cell r="E2385" t="str">
            <v>ITAU UNIBANCO ASSET - TACO</v>
          </cell>
        </row>
        <row r="2386">
          <cell r="B2386">
            <v>82629</v>
          </cell>
          <cell r="C2386" t="str">
            <v>ITAU FLEXPREV MASTER GD MULTIMERCADO FUNDO DE INVESTIMENTO</v>
          </cell>
          <cell r="D2386" t="str">
            <v>ITAU FLEXPREV MASTER GD MULTIMERCADO FUNDO DE INVESTIMENTO</v>
          </cell>
          <cell r="E2386" t="str">
            <v>ITAU UNIBANCO ASSET - TACO</v>
          </cell>
        </row>
        <row r="2387">
          <cell r="B2387">
            <v>82630</v>
          </cell>
          <cell r="C2387" t="str">
            <v>EXES GESTORA DE RECURSOS LTDA</v>
          </cell>
          <cell r="D2387" t="str">
            <v>EXES GESTORA DE RECURSOS LTDA</v>
          </cell>
          <cell r="E2387" t="str">
            <v>EXES GESTORA DE RECURSOS LTDA</v>
          </cell>
        </row>
        <row r="2388">
          <cell r="B2388">
            <v>82630</v>
          </cell>
          <cell r="C2388" t="str">
            <v>EXES GESTORA DE RECURSOS LTDA</v>
          </cell>
          <cell r="D2388" t="str">
            <v>EXES GESTORA DE RECURSOS LTDA</v>
          </cell>
          <cell r="E2388" t="str">
            <v>EXES GESTORA DE RECURSOS LTDA</v>
          </cell>
        </row>
        <row r="2389">
          <cell r="B2389">
            <v>82631</v>
          </cell>
          <cell r="C2389" t="str">
            <v>EXES PREV FIFE FUNDO DE INVESTIMENTO MULTIMERCADO CP</v>
          </cell>
          <cell r="D2389" t="str">
            <v>EXES PREV FIFE FUNDO DE INVESTIMENTO MULTIMERCADO CP</v>
          </cell>
          <cell r="E2389" t="str">
            <v>EXES GESTORA DE RECURSOS LTDA</v>
          </cell>
        </row>
        <row r="2390">
          <cell r="B2390">
            <v>82631</v>
          </cell>
          <cell r="C2390" t="str">
            <v>EXES PREV FIFE FUNDO DE INVESTIMENTO MULTIMERCADO CP</v>
          </cell>
          <cell r="D2390" t="str">
            <v>EXES PREV FIFE FUNDO DE INVESTIMENTO MULTIMERCADO CP</v>
          </cell>
          <cell r="E2390" t="str">
            <v>EXES GESTORA DE RECURSOS LTDA</v>
          </cell>
        </row>
        <row r="2391">
          <cell r="B2391">
            <v>14393</v>
          </cell>
          <cell r="C2391" t="str">
            <v>BRAM - BRADESCO ASSET MANAGEMENT SA DTVM</v>
          </cell>
          <cell r="D2391" t="str">
            <v>BRAM - BRADESCO ASSET MANAGEMENT SA DTVM</v>
          </cell>
          <cell r="E2391" t="str">
            <v>BRAM - BRADESCO ASSET MANAGEMENT S/A DTVM</v>
          </cell>
        </row>
        <row r="2392">
          <cell r="B2392">
            <v>82633</v>
          </cell>
          <cell r="C2392" t="str">
            <v>SAFRA ASSET CORRETORA DE TITULOS E VALORES MOBILIARIOS S.A.</v>
          </cell>
          <cell r="D2392" t="str">
            <v>SAFRA ASSET CORRETORA DE TITULOS E VALORES MOBILIARIOS S.A.</v>
          </cell>
          <cell r="E2392" t="str">
            <v>SAFRA ASSET MANAGEMENT LTDA</v>
          </cell>
        </row>
        <row r="2393">
          <cell r="B2393">
            <v>82634</v>
          </cell>
          <cell r="C2393" t="str">
            <v>SAFRA ASSET CORRETORA DE TITULOS E VALORES MOBILIARIOS S.A.</v>
          </cell>
          <cell r="D2393" t="str">
            <v>SAFRA ASSET CORRETORA DE TITULOS E VALORES MOBILIARIOS S.A.</v>
          </cell>
          <cell r="E2393" t="str">
            <v>SAFRA ASSET MANAGEMENT LTDA</v>
          </cell>
        </row>
        <row r="2394">
          <cell r="B2394">
            <v>82635</v>
          </cell>
          <cell r="C2394" t="str">
            <v>SAFRA ASSET CORRETORA DE TITULOS E VALORES MOBILIARIOS S.A.</v>
          </cell>
          <cell r="D2394" t="str">
            <v>SAFRA ASSET CORRETORA DE TITULOS E VALORES MOBILIARIOS S.A.</v>
          </cell>
          <cell r="E2394" t="str">
            <v>SAFRA ASSET MANAGEMENT LTDA</v>
          </cell>
        </row>
        <row r="2395">
          <cell r="B2395">
            <v>82636</v>
          </cell>
          <cell r="C2395" t="str">
            <v>SAFRA ASSET CORRETORA DE TITULOS E VALORES MOBILIARIOS S.A.</v>
          </cell>
          <cell r="D2395" t="str">
            <v>SAFRA ASSET CORRETORA DE TITULOS E VALORES MOBILIARIOS S.A.</v>
          </cell>
          <cell r="E2395" t="str">
            <v>SAFRA ASSET MANAGEMENT LTDA</v>
          </cell>
        </row>
        <row r="2396">
          <cell r="B2396">
            <v>82637</v>
          </cell>
          <cell r="C2396" t="str">
            <v>SAFRA ASSET CORRETORA DE TITULOS E VALORES MOBILIARIOS S.A.</v>
          </cell>
          <cell r="D2396" t="str">
            <v>SAFRA ASSET CORRETORA DE TITULOS E VALORES MOBILIARIOS S.A.</v>
          </cell>
          <cell r="E2396" t="str">
            <v>SAFRA ASSET MANAGEMENT LTDA</v>
          </cell>
        </row>
        <row r="2397">
          <cell r="B2397">
            <v>82638</v>
          </cell>
          <cell r="C2397" t="str">
            <v>SAFRA ASSET CORRETORA DE TITULOS E VALORES MOBILIARIOS S.A.</v>
          </cell>
          <cell r="D2397" t="str">
            <v>SAFRA ASSET CORRETORA DE TITULOS E VALORES MOBILIARIOS S.A.</v>
          </cell>
          <cell r="E2397" t="str">
            <v>SAFRA ASSET MANAGEMENT LTDA</v>
          </cell>
        </row>
        <row r="2398">
          <cell r="B2398">
            <v>82639</v>
          </cell>
          <cell r="C2398" t="str">
            <v>SAFRA ASSET CORRETORA DE TITULOS E VALORES MOBILIARIOS S.A.</v>
          </cell>
          <cell r="D2398" t="str">
            <v>SAFRA ASSET CORRETORA DE TITULOS E VALORES MOBILIARIOS S.A.</v>
          </cell>
          <cell r="E2398" t="str">
            <v>SAFRA ASSET MANAGEMENT LTDA</v>
          </cell>
        </row>
        <row r="2399">
          <cell r="B2399">
            <v>82637</v>
          </cell>
          <cell r="C2399" t="str">
            <v>SAFRA ASSET CORRETORA DE TITULOS E VALORES MOBILIARIOS S.A.</v>
          </cell>
          <cell r="D2399" t="str">
            <v>SAFRA ASSET CORRETORA DE TITULOS E VALORES MOBILIARIOS S.A.</v>
          </cell>
          <cell r="E2399" t="str">
            <v>SAFRA ASSET MANAGEMENT LTDA</v>
          </cell>
        </row>
        <row r="2400">
          <cell r="B2400">
            <v>82638</v>
          </cell>
          <cell r="C2400" t="str">
            <v>SAFRA ASSET CORRETORA DE TITULOS E VALORES MOBILIARIOS S.A.</v>
          </cell>
          <cell r="D2400" t="str">
            <v>SAFRA ASSET CORRETORA DE TITULOS E VALORES MOBILIARIOS S.A.</v>
          </cell>
          <cell r="E2400" t="str">
            <v>SAFRA ASSET MANAGEMENT LTDA</v>
          </cell>
        </row>
        <row r="2401">
          <cell r="B2401">
            <v>82639</v>
          </cell>
          <cell r="C2401" t="str">
            <v>SAFRA ASSET CORRETORA DE TITULOS E VALORES MOBILIARIOS S.A.</v>
          </cell>
          <cell r="D2401" t="str">
            <v>SAFRA ASSET CORRETORA DE TITULOS E VALORES MOBILIARIOS S.A.</v>
          </cell>
          <cell r="E2401" t="str">
            <v>SAFRA ASSET MANAGEMENT LTDA</v>
          </cell>
        </row>
        <row r="2402">
          <cell r="B2402" t="str">
            <v>M97457071000150</v>
          </cell>
          <cell r="D2402" t="str">
            <v>INSTITUTO DE PREVIDENCIA DO MUNICIPIO DE MAFRA</v>
          </cell>
        </row>
        <row r="2403">
          <cell r="B2403" t="str">
            <v>M96490479000160</v>
          </cell>
          <cell r="D2403" t="str">
            <v>INSTITUTO DE PREVIDENCIA DO SERVIDOR MUNICIPAL - SAO JOSE DOS CAMPOS</v>
          </cell>
        </row>
        <row r="2404">
          <cell r="B2404" t="str">
            <v>M93026847000126</v>
          </cell>
          <cell r="C2404" t="str">
            <v>BANRISUL S.A. CORRETORA DE VALORES MOBILIÃRIOS E CÃ‚MBIO</v>
          </cell>
          <cell r="D2404" t="str">
            <v>BANRISUL SA CORRETORA DE VALORES MOBILIARIOS E CAMBIO</v>
          </cell>
          <cell r="E2404" t="str">
            <v>BANCO DO ESTADO DO RIO GRANDE DO SUL S/A</v>
          </cell>
        </row>
        <row r="2405">
          <cell r="B2405" t="str">
            <v>M92894922000108</v>
          </cell>
          <cell r="D2405" t="str">
            <v>BANCO ORIGINAL SA</v>
          </cell>
          <cell r="E2405" t="str">
            <v>BANCO ORIGINAL S/A</v>
          </cell>
        </row>
        <row r="2406">
          <cell r="B2406" t="str">
            <v>M92886662000129</v>
          </cell>
          <cell r="C2406" t="str">
            <v>SCHRODER INVESTMENT MANAGEMENT BRASIL LTDA.</v>
          </cell>
          <cell r="D2406" t="str">
            <v>SCHRODER INVESTMENT MANAGEMENT BRASIL LTDA</v>
          </cell>
          <cell r="E2406" t="str">
            <v>SCHRODER INVESTMENT MANAGEMENT BRASIL LTDA</v>
          </cell>
        </row>
        <row r="2407">
          <cell r="B2407" t="str">
            <v>M92875780000131</v>
          </cell>
          <cell r="D2407" t="str">
            <v>WARREN CVMC LTDA</v>
          </cell>
          <cell r="E2407" t="str">
            <v>WARREN BRASIL GESTÃO E ADMINISTRAÇÃO DE RECURSOS LTDA</v>
          </cell>
        </row>
        <row r="2408">
          <cell r="B2408" t="str">
            <v>M92702067000196</v>
          </cell>
          <cell r="C2408" t="str">
            <v>BANCO DO ESTADO DO RIO GRANDE DO SUL SA</v>
          </cell>
          <cell r="D2408" t="str">
            <v>BANCO DO ESTADO DO RIO GRANDE DO SUL SA</v>
          </cell>
          <cell r="E2408" t="str">
            <v>BANCO DO ESTADO DO RIO GRANDE DO SUL S/A</v>
          </cell>
        </row>
        <row r="2409">
          <cell r="B2409" t="str">
            <v>M92693118000160</v>
          </cell>
          <cell r="D2409" t="str">
            <v>BRADESCO SAUDE SA  LIVRE RV</v>
          </cell>
        </row>
        <row r="2410">
          <cell r="B2410" t="str">
            <v>M92661388000190</v>
          </cell>
          <cell r="D2410" t="str">
            <v>ITAU VIDA E PREVIDENCIA SA</v>
          </cell>
        </row>
        <row r="2411">
          <cell r="B2411" t="str">
            <v>M91567420000100</v>
          </cell>
          <cell r="D2411" t="str">
            <v>INSTITUTO DE PREV E ASSISTENCIA MUNICIPAL DE NOVA PRATA</v>
          </cell>
        </row>
        <row r="2412">
          <cell r="B2412" t="str">
            <v>M90884412000124</v>
          </cell>
          <cell r="D2412" t="str">
            <v>FUNDACAO CEEE DE SEGURIDADE SOCIAL ELETROCEEE</v>
          </cell>
          <cell r="E2412" t="str">
            <v>FUNDAÃ‡ÃƒO ELTROCEEE PREV</v>
          </cell>
        </row>
        <row r="2413">
          <cell r="B2413">
            <v>106</v>
          </cell>
          <cell r="C2413" t="str">
            <v>BANCO SANTANDER (BRASIL) S/A</v>
          </cell>
          <cell r="D2413" t="str">
            <v>BANCO SANTANDER (BRASIL) S/A</v>
          </cell>
          <cell r="E2413" t="str">
            <v>BANCO SANTANDER (BRASIL) S/A</v>
          </cell>
        </row>
        <row r="2414">
          <cell r="B2414" t="str">
            <v>M89960090000176</v>
          </cell>
          <cell r="D2414" t="str">
            <v>RB INVESTIMENTOS DISTRIBUIDORA DE TITULOS E VALORES MOBILIARIOS LIMITADA</v>
          </cell>
          <cell r="E2414" t="str">
            <v>RB INVESTIMENTOS DTVM</v>
          </cell>
        </row>
        <row r="2415">
          <cell r="B2415" t="str">
            <v>M87883807000106</v>
          </cell>
          <cell r="D2415" t="str">
            <v>MBM SEGURADORA SA</v>
          </cell>
          <cell r="E2415" t="str">
            <v>BANCO CENTRAL DO BRASIL</v>
          </cell>
        </row>
        <row r="2416">
          <cell r="B2416" t="str">
            <v>M87376109000106</v>
          </cell>
          <cell r="C2416" t="str">
            <v>ZURICH SANTANDER BRASIL SEGUROS E PREVIDENCIA S.A.</v>
          </cell>
          <cell r="D2416" t="str">
            <v>ZURICH SANTANDER BRASIL SEGUROS E PREVIDENCIA SA</v>
          </cell>
          <cell r="E2416" t="str">
            <v>ZURICH RESSEGURADORA BRASIL S/A</v>
          </cell>
        </row>
        <row r="2417">
          <cell r="B2417" t="str">
            <v>M82956996000178</v>
          </cell>
          <cell r="D2417" t="str">
            <v>FUNDACAO CELESC DE SEGURIDADE SOCIAL</v>
          </cell>
          <cell r="E2417" t="str">
            <v>FUNDAÃ‡ÃƒO CELESC</v>
          </cell>
        </row>
        <row r="2418">
          <cell r="B2418" t="str">
            <v>M80564578000100</v>
          </cell>
          <cell r="D2418" t="str">
            <v>FUNDACAO ITAIPU BR DE PREVIDENCIA E ASSISTENCIA SOCIAL</v>
          </cell>
          <cell r="E2418" t="str">
            <v>FUNDAÃ‡ÃƒO ITAIPU PREV</v>
          </cell>
        </row>
        <row r="2419">
          <cell r="B2419" t="str">
            <v>M78632767000120</v>
          </cell>
          <cell r="C2419" t="str">
            <v>OURIBANK S.A. BANCO MULTIPLO</v>
          </cell>
          <cell r="D2419" t="str">
            <v>OURIBANK S.A. BANCO MULTIPLO</v>
          </cell>
          <cell r="E2419" t="str">
            <v>OURIBANK S.A. BANCO MULTIPLO</v>
          </cell>
        </row>
        <row r="2420">
          <cell r="B2420" t="str">
            <v>M76717040000110</v>
          </cell>
          <cell r="D2420" t="str">
            <v>PARANA CLINICAS  PLANOS DE SAUDE SA</v>
          </cell>
        </row>
        <row r="2421">
          <cell r="B2421" t="str">
            <v>M76629252000146</v>
          </cell>
          <cell r="D2421" t="str">
            <v>FUNBEP  FUNDO DE PENSAO MULTIPATROCINADO</v>
          </cell>
        </row>
        <row r="2422">
          <cell r="B2422" t="str">
            <v>M76608736000109</v>
          </cell>
          <cell r="D2422" t="str">
            <v>INSTITUTO DE PREVIDENCIA DOS SERVIDORES DO MUNICIPIO DE CURITIBA</v>
          </cell>
          <cell r="E2422" t="str">
            <v>RPPS CURITIBA</v>
          </cell>
        </row>
        <row r="2423">
          <cell r="B2423" t="str">
            <v>M75647891000171</v>
          </cell>
          <cell r="C2423" t="str">
            <v>BANCO CREDIT AGRICOLE BRASIL S/A</v>
          </cell>
          <cell r="D2423" t="str">
            <v>BANCO CREDIT AGRICOLE BRASIL SA</v>
          </cell>
          <cell r="E2423" t="str">
            <v>BANCO CREDIT AGRICOLE BRASIL S/A</v>
          </cell>
        </row>
        <row r="2424">
          <cell r="B2424" t="str">
            <v>M74014747000135</v>
          </cell>
          <cell r="D2424" t="str">
            <v>AGORA CCTVM SA</v>
          </cell>
          <cell r="E2424" t="str">
            <v>AGORA GESTAO DE RECURSOS LTDA</v>
          </cell>
        </row>
        <row r="2425">
          <cell r="B2425" t="str">
            <v>M73983876000179</v>
          </cell>
          <cell r="C2425" t="str">
            <v>FUNDIÃGUA - FUNDAÃ‡ÃƒO DE PREVIDÃŠNCIA DOS EMPREGADOS DA CAESB</v>
          </cell>
          <cell r="D2425" t="str">
            <v>FUNDIAGUA  FUNDACAO DE PREVIDENCIA COMPLEMENTAR</v>
          </cell>
          <cell r="E2425" t="str">
            <v>FUNDIÃGUA - FUNDAÃ‡ÃƒO DE PREVIDÃŠNCIA DOS EMPREGADOS DA CAESB</v>
          </cell>
        </row>
        <row r="2426">
          <cell r="B2426" t="str">
            <v>M73809352000166</v>
          </cell>
          <cell r="D2426" t="str">
            <v>FUNDACAO SAUDE ITAU</v>
          </cell>
        </row>
        <row r="2427">
          <cell r="B2427" t="str">
            <v>M72745714000130</v>
          </cell>
          <cell r="C2427" t="str">
            <v>SPARTA ADMINISTRADORA DE RECURSOS LTDA</v>
          </cell>
          <cell r="D2427" t="str">
            <v>SPARTA ADMINISTRADORA DE RECURSOS LTDA</v>
          </cell>
          <cell r="E2427" t="str">
            <v>SPARTA ADMINISTRADORA DE RECURSOS LTDA</v>
          </cell>
        </row>
        <row r="2428">
          <cell r="B2428" t="str">
            <v>M72145931000199</v>
          </cell>
          <cell r="D2428" t="str">
            <v>SWISS RE CORPORATE SOLUTIONS BRASIL SEGUROS S.A.</v>
          </cell>
        </row>
        <row r="2429">
          <cell r="B2429" t="str">
            <v>M72116353000162</v>
          </cell>
          <cell r="C2429" t="str">
            <v>DYNAMO ADMINISTRAÃ‡ÃƒO DE RECURSOS LTDA</v>
          </cell>
          <cell r="D2429" t="str">
            <v>DYNAMO ADMINISTRACAO DE RECURSOS LTDA</v>
          </cell>
          <cell r="E2429" t="str">
            <v>DYNAMO ADMINISTRACAO DE RECURSOS LTDA</v>
          </cell>
        </row>
        <row r="2430">
          <cell r="B2430" t="str">
            <v>M72027832000102</v>
          </cell>
          <cell r="C2430" t="str">
            <v>DAYCOVAL ASSET MANAGEMENT ADMINISTRACAO DE RECURSOS LTDA</v>
          </cell>
          <cell r="D2430" t="str">
            <v>DAYCOVAL ASSET MANAGEMENT ADMINISTRACAO DE RECURSOS LTDA</v>
          </cell>
          <cell r="E2430" t="str">
            <v>DAYCOVAL ASSET MANAGEMENT ADMINISTRACAO DE RECURSOS LTDA</v>
          </cell>
        </row>
        <row r="2431">
          <cell r="B2431" t="str">
            <v>M71734842000115</v>
          </cell>
          <cell r="D2431" t="str">
            <v>MULTIPLA  MULTIEMPRESAS DE PREVIDENCIA COMPLEMENTAR</v>
          </cell>
        </row>
        <row r="2432">
          <cell r="B2432" t="str">
            <v>M71027866000134</v>
          </cell>
          <cell r="D2432" t="str">
            <v>BANCO BS2 SA</v>
          </cell>
          <cell r="E2432" t="str">
            <v>BANCO BS2 S/A</v>
          </cell>
        </row>
        <row r="2433">
          <cell r="B2433" t="str">
            <v>M69034668000156</v>
          </cell>
          <cell r="D2433" t="str">
            <v>PLUXEE BENEFICIOS BRASIL S.A.</v>
          </cell>
        </row>
        <row r="2434">
          <cell r="B2434" t="str">
            <v>M68622174000120</v>
          </cell>
          <cell r="C2434" t="str">
            <v>ICATU VANGUARDA GESTÃƒO DE RECURSOS LTDA</v>
          </cell>
          <cell r="D2434" t="str">
            <v>ICATU VANGUARDA GESTÃƒO DE RECURSOS LTDA</v>
          </cell>
          <cell r="E2434" t="str">
            <v>ICATU VANGUARDA GESTAO DE RECURSOS LTDA</v>
          </cell>
        </row>
        <row r="2435">
          <cell r="B2435" t="str">
            <v>M68328632000112</v>
          </cell>
          <cell r="C2435" t="str">
            <v>CREDIT SUISSE HEDGING-GRIFFO WEALTH MANAGEMENT S.A.</v>
          </cell>
          <cell r="D2435" t="str">
            <v>CREDIT SUISSE HEDGING-GRIFFO WEALTH MANAGEMENT S/A</v>
          </cell>
          <cell r="E2435" t="str">
            <v>CREDIT SUISSE HEDGING-GRIFFO WEALTH MANAGEMENT S/A</v>
          </cell>
        </row>
        <row r="2436">
          <cell r="B2436" t="str">
            <v>M68004118000121</v>
          </cell>
          <cell r="D2436" t="str">
            <v>SEPREV  SERVICO DE PREVIDENCIA E ASSISTENCIA A SAUDE DOS SERVIDORES MUNICIPAIS DE INDAIATUBA</v>
          </cell>
        </row>
        <row r="2437">
          <cell r="B2437" t="str">
            <v>M67165936000143</v>
          </cell>
          <cell r="D2437" t="str">
            <v>INSTITUTO DE PREVIDENCIA MUNICIPAL DE CAPIVARI  CAPIVARIPREV</v>
          </cell>
        </row>
        <row r="2438">
          <cell r="B2438" t="str">
            <v>M65913436000117</v>
          </cell>
          <cell r="C2438" t="str">
            <v>GUIDE INVESTIMENTOS S.A. CORRETORA DE VALORES</v>
          </cell>
          <cell r="D2438" t="str">
            <v>GUIDE INVESTIMENTOS S/A CV</v>
          </cell>
          <cell r="E2438" t="str">
            <v>EMERALD GESTAO DE INVESTIMENTOS LTDA</v>
          </cell>
        </row>
        <row r="2439">
          <cell r="B2439" t="str">
            <v>M62465117000106</v>
          </cell>
          <cell r="C2439" t="str">
            <v>FUNDACAO CESP</v>
          </cell>
          <cell r="D2439" t="str">
            <v>FUNDACAO CESP</v>
          </cell>
          <cell r="E2439" t="str">
            <v>FUNDACAO CESP</v>
          </cell>
        </row>
        <row r="2440">
          <cell r="B2440" t="str">
            <v>M62331228000111</v>
          </cell>
          <cell r="C2440" t="str">
            <v>DEUTSCHE BANK SA</v>
          </cell>
          <cell r="D2440" t="str">
            <v>DEUTSCHE BANK S/A BANCO ALEMÃƒO</v>
          </cell>
          <cell r="E2440" t="str">
            <v>DEUTSCHE BANK S/A</v>
          </cell>
        </row>
        <row r="2441">
          <cell r="B2441" t="str">
            <v>M62318407000119</v>
          </cell>
          <cell r="C2441" t="str">
            <v>S3 CACEIS BRASIL DISTRIBUIDORA DE TITULOS E VALORES MOBILIARIOS S.A</v>
          </cell>
          <cell r="D2441" t="str">
            <v>SANTANDER CACEIS BRASIL DTVM SA</v>
          </cell>
          <cell r="E2441" t="str">
            <v>S3 CACEIS BRASIL DISTRIBUIDORA DE TITULOS E VALORES MOBILIARIOS S.A</v>
          </cell>
        </row>
        <row r="2442">
          <cell r="B2442" t="str">
            <v>M62287735000103</v>
          </cell>
          <cell r="D2442" t="str">
            <v>WARREN RENA DTVM LTDA</v>
          </cell>
          <cell r="E2442" t="str">
            <v>WARREN BRASIL GESTÃO E ADMINISTRAÇÃO DE RECURSOS LTDA</v>
          </cell>
        </row>
        <row r="2443">
          <cell r="B2443" t="str">
            <v>M62285390000140</v>
          </cell>
          <cell r="C2443" t="str">
            <v>SINGULARE CORRETORA DE TITULOS E VALORES MOBILIARIOS S.A.</v>
          </cell>
          <cell r="D2443" t="str">
            <v>SINGULARE CORRETORA DE TITULOS E VALORES MOBILIARIOS SA</v>
          </cell>
          <cell r="E2443" t="str">
            <v>SINGULARE CORRETORA DE TITULOS E VALORES MOBILIARIOS S.A.</v>
          </cell>
        </row>
        <row r="2444">
          <cell r="B2444" t="str">
            <v>M62232889000190</v>
          </cell>
          <cell r="C2444" t="str">
            <v>BANCO DAYCOVAL S/A</v>
          </cell>
          <cell r="D2444" t="str">
            <v>BANCO DAYCOVAL S/A</v>
          </cell>
          <cell r="E2444" t="str">
            <v>BANCO DAYCOVAL S/A</v>
          </cell>
        </row>
        <row r="2445">
          <cell r="B2445" t="str">
            <v>M62180047000131</v>
          </cell>
          <cell r="C2445" t="str">
            <v>SAFRA ASSET MANAGEMENT LTDA</v>
          </cell>
          <cell r="D2445" t="str">
            <v>SAFRA ASSET MANAGEMENT LTDA</v>
          </cell>
          <cell r="E2445" t="str">
            <v>SAFRA ASSET MANAGEMENT LTDA</v>
          </cell>
        </row>
        <row r="2446">
          <cell r="B2446" t="str">
            <v>M62169875000179</v>
          </cell>
          <cell r="D2446" t="str">
            <v>NU INVEST CORRETORA DE VALORES SA</v>
          </cell>
          <cell r="E2446" t="str">
            <v>NU PAGAMENTOS SOCIEDADE ANONIMA</v>
          </cell>
        </row>
        <row r="2447">
          <cell r="B2447" t="str">
            <v>M62144175000120</v>
          </cell>
          <cell r="D2447" t="str">
            <v>BANCO PINE SA</v>
          </cell>
          <cell r="E2447" t="str">
            <v>BANCO PINE S/A</v>
          </cell>
        </row>
        <row r="2448">
          <cell r="B2448" t="str">
            <v>M62090873000190</v>
          </cell>
          <cell r="D2448" t="str">
            <v>STONEX DISTRIBUIDORA DE TITULOS E VALORES MOBILIARIOS LTDA</v>
          </cell>
        </row>
        <row r="2449">
          <cell r="B2449" t="str">
            <v>M62073200000121</v>
          </cell>
          <cell r="C2449" t="str">
            <v>BANK OF AMERICA MERRILL LYNCH BANCO MULTIPLO S.A.</v>
          </cell>
          <cell r="D2449" t="str">
            <v>BANK OF AMERICA MERRILL LYNCH BANCO MULTIPLO SA</v>
          </cell>
          <cell r="E2449" t="str">
            <v>BANK OF AMERICA MERRILL LYNCH BANCO MULTIPLO S/A</v>
          </cell>
        </row>
        <row r="2450">
          <cell r="B2450" t="str">
            <v>M61855045000132</v>
          </cell>
          <cell r="D2450" t="str">
            <v>BRADESCO SA CTVM</v>
          </cell>
          <cell r="E2450" t="str">
            <v>BRADESCO SA CORRETORA DE TITULOS E VALORES MOBILIARIOS</v>
          </cell>
        </row>
        <row r="2451">
          <cell r="B2451" t="str">
            <v>M61820817000109</v>
          </cell>
          <cell r="D2451" t="str">
            <v>BANCO PAULISTA SA</v>
          </cell>
          <cell r="E2451" t="str">
            <v>BANCO PAULISTA S/A</v>
          </cell>
        </row>
        <row r="2452">
          <cell r="B2452" t="str">
            <v>M61747085000160</v>
          </cell>
          <cell r="D2452" t="str">
            <v>TULLETT PREBON BRASIL CVC LTDA</v>
          </cell>
          <cell r="E2452" t="str">
            <v>TULLETT PREBON BRASIL CVC LTDA</v>
          </cell>
        </row>
        <row r="2453">
          <cell r="B2453" t="str">
            <v>M61573796000166</v>
          </cell>
          <cell r="D2453" t="str">
            <v>ALLIANZ SEGUROS S/A</v>
          </cell>
          <cell r="E2453" t="str">
            <v>ALLIANZ SEGUROS S/A</v>
          </cell>
        </row>
        <row r="2454">
          <cell r="B2454" t="str">
            <v>M61557039000107</v>
          </cell>
          <cell r="D2454" t="str">
            <v>ITAU SEGUROS SA</v>
          </cell>
        </row>
        <row r="2455">
          <cell r="B2455" t="str">
            <v>M61544698000109</v>
          </cell>
          <cell r="D2455" t="str">
            <v>FUNDACAO ITAU UNIBANCO CLUBE</v>
          </cell>
        </row>
        <row r="2456">
          <cell r="B2456" t="str">
            <v>M61533584000155</v>
          </cell>
          <cell r="D2456" t="str">
            <v>BCO SOCIETE GENERALE BRASIL S A</v>
          </cell>
          <cell r="E2456" t="str">
            <v>BANCO SOCIETE GENERALE BRASIL S/A</v>
          </cell>
        </row>
        <row r="2457">
          <cell r="B2457" t="str">
            <v>M61198164000160</v>
          </cell>
          <cell r="D2457" t="str">
            <v>PORTO SEGURO COMPANHIA DE SEGUROS GERAIS</v>
          </cell>
          <cell r="E2457" t="str">
            <v>PORTO SEGURO INVESTIMENTOS LTDA</v>
          </cell>
        </row>
        <row r="2458">
          <cell r="B2458" t="str">
            <v>M61194353000164</v>
          </cell>
          <cell r="D2458" t="str">
            <v>ITAU CV S/A</v>
          </cell>
          <cell r="E2458" t="str">
            <v>ITAU CV S/A</v>
          </cell>
        </row>
        <row r="2459">
          <cell r="B2459" t="str">
            <v>M61186680000174</v>
          </cell>
          <cell r="D2459" t="str">
            <v>BANCO BMG SA</v>
          </cell>
          <cell r="E2459" t="str">
            <v>BANCO BMG S/A</v>
          </cell>
        </row>
        <row r="2460">
          <cell r="B2460" t="str">
            <v>M61155248000116</v>
          </cell>
          <cell r="D2460" t="str">
            <v>FUNDACAO ITAU UNIBANCO  PREVIDENCIA COMPLEMENTAR</v>
          </cell>
        </row>
        <row r="2461">
          <cell r="B2461" t="str">
            <v>M61146577000109</v>
          </cell>
          <cell r="D2461" t="str">
            <v>BANCO BARCLAYS SA</v>
          </cell>
          <cell r="E2461" t="str">
            <v>BARCLAYS BANK PLC</v>
          </cell>
        </row>
        <row r="2462">
          <cell r="B2462" t="str">
            <v>M61088183000133</v>
          </cell>
          <cell r="D2462" t="str">
            <v>BANCO MIZUHO DO BRASIL SA (ANTIGO WESTLB)</v>
          </cell>
          <cell r="E2462" t="str">
            <v>BANCO MIZUHO DO BRASIL S/A</v>
          </cell>
        </row>
        <row r="2463">
          <cell r="B2463" t="str">
            <v>M61024352000171</v>
          </cell>
          <cell r="D2463" t="str">
            <v>BANCO VOITER SA</v>
          </cell>
          <cell r="E2463" t="str">
            <v>BANCO VOITER S/A</v>
          </cell>
        </row>
        <row r="2464">
          <cell r="B2464" t="str">
            <v>M60976404000147</v>
          </cell>
          <cell r="C2464" t="str">
            <v>SINDICATO DOS EMPR DE AGENTE AUTONOMOS DO COMERCIO DE SP</v>
          </cell>
          <cell r="D2464" t="str">
            <v>SINDICATO DOS EMPR DE AGENTE AUTONOMOS DO COMERCIO</v>
          </cell>
          <cell r="E2464" t="str">
            <v>SINDICATO DOS EMPR DE AGENTE AUTONOMOS DO COMERCIO DE SP</v>
          </cell>
        </row>
        <row r="2465">
          <cell r="B2465" t="str">
            <v>M60889128000180</v>
          </cell>
          <cell r="D2465" t="str">
            <v>BANCO SOFISA S/A</v>
          </cell>
          <cell r="E2465" t="str">
            <v>BANCO SOFISA S/A</v>
          </cell>
        </row>
        <row r="2466">
          <cell r="B2466" t="str">
            <v>M60770336000165</v>
          </cell>
          <cell r="C2466" t="str">
            <v>BANCO ALFA DE INVESTIMENTO S/A</v>
          </cell>
          <cell r="D2466" t="str">
            <v>BANCO ALFA DE INVESTIMENTO S/A</v>
          </cell>
          <cell r="E2466" t="str">
            <v>BANCO ALFA DE INVESTIMENTO S/A</v>
          </cell>
        </row>
        <row r="2467">
          <cell r="B2467" t="str">
            <v>M60746948000112</v>
          </cell>
          <cell r="C2467" t="str">
            <v>BANCO BRADESCO S/A</v>
          </cell>
          <cell r="D2467" t="str">
            <v>BANCO BRADESCO S/A</v>
          </cell>
          <cell r="E2467" t="str">
            <v>BANCO BRADESCO S/A</v>
          </cell>
        </row>
        <row r="2468">
          <cell r="B2468" t="str">
            <v>M6070119000010401</v>
          </cell>
          <cell r="C2468" t="str">
            <v>ITAU UNIBANCO S.A.</v>
          </cell>
          <cell r="D2468" t="str">
            <v>ITAU UNIBANCO S.A.</v>
          </cell>
          <cell r="E2468" t="str">
            <v>ITAU UNIBANCO S/A</v>
          </cell>
        </row>
        <row r="2469">
          <cell r="B2469" t="str">
            <v>M60701190000104</v>
          </cell>
          <cell r="C2469" t="str">
            <v>ITAU UNIBANCO S.A.</v>
          </cell>
          <cell r="D2469" t="str">
            <v>ITAU UNIBANCO S/A</v>
          </cell>
          <cell r="E2469" t="str">
            <v>ITAU UNIBANCO S/A</v>
          </cell>
        </row>
        <row r="2470">
          <cell r="B2470" t="str">
            <v>M60518222000122</v>
          </cell>
          <cell r="C2470" t="str">
            <v>BANCO SUMITOMO MITSUI BRASILEIRO S.A.</v>
          </cell>
          <cell r="D2470" t="str">
            <v>BANCO SUMITOMO MITSUI BRASILEIRO SA</v>
          </cell>
          <cell r="E2470" t="str">
            <v>BANCO SUMITOMO MITSUI BRASILEIRO S/A</v>
          </cell>
        </row>
        <row r="2471">
          <cell r="B2471" t="str">
            <v>M60498557000126</v>
          </cell>
          <cell r="D2471" t="str">
            <v>BANCO MUFG BRASIL SA</v>
          </cell>
          <cell r="E2471" t="str">
            <v>BANCO MUFG BRASIL S/A</v>
          </cell>
        </row>
        <row r="2472">
          <cell r="B2472" t="str">
            <v>M60451242000123</v>
          </cell>
          <cell r="C2472" t="str">
            <v>BTG PACTUAL WM GESTÃƒO DE RECURSOS LTDA</v>
          </cell>
          <cell r="D2472" t="str">
            <v>BTG PACTUAL WM GESTÃƒO DE RECURSOS LTDA</v>
          </cell>
          <cell r="E2472" t="str">
            <v>BTG PACTUAL ASSET MANAGEMENT SA DTVM</v>
          </cell>
        </row>
        <row r="2473">
          <cell r="B2473" t="str">
            <v>M60250776000191</v>
          </cell>
          <cell r="D2473" t="str">
            <v>LUIZA ADMINISTRADORA DE CONSORCIOS LTDA</v>
          </cell>
        </row>
        <row r="2474">
          <cell r="B2474" t="str">
            <v>M59588111000103</v>
          </cell>
          <cell r="C2474" t="str">
            <v>BANCO VOTORANTIM S/A</v>
          </cell>
          <cell r="D2474" t="str">
            <v>BANCO VOTORANTIM S/A</v>
          </cell>
          <cell r="E2474" t="str">
            <v>BANCO VOTORANTIM S/A</v>
          </cell>
        </row>
        <row r="2475">
          <cell r="B2475" t="str">
            <v>M59573030000130</v>
          </cell>
          <cell r="D2475" t="str">
            <v>FUNDACAO ITAU PARA EDUCACAO E CULTURA</v>
          </cell>
        </row>
        <row r="2476">
          <cell r="B2476" t="str">
            <v>M59285411000113</v>
          </cell>
          <cell r="D2476" t="str">
            <v>BANCO PAN SA</v>
          </cell>
        </row>
        <row r="2477">
          <cell r="B2477" t="str">
            <v>M59281253000123</v>
          </cell>
          <cell r="C2477" t="str">
            <v>BTG PACTUAL SERVIÃ‡OS FINANCEIROS S/A DTVM</v>
          </cell>
          <cell r="D2477" t="str">
            <v>INSTITUTO DE PREVIDENCIA DO MUNICIPIO DE JUNDIAI</v>
          </cell>
          <cell r="E2477" t="str">
            <v>BTG PACTUAL ASSET MANAGEMENT SA DTVM</v>
          </cell>
        </row>
        <row r="2478">
          <cell r="B2478" t="str">
            <v>M58616418000108</v>
          </cell>
          <cell r="D2478" t="str">
            <v>BANCO FIBRA SA</v>
          </cell>
          <cell r="E2478" t="str">
            <v>BANCO FIBRA S/A</v>
          </cell>
        </row>
        <row r="2479">
          <cell r="B2479" t="str">
            <v>M58160789000128</v>
          </cell>
          <cell r="D2479" t="str">
            <v>BANCO SAFRA S/A</v>
          </cell>
          <cell r="E2479" t="str">
            <v>BANCO SAFRA S/A</v>
          </cell>
        </row>
        <row r="2480">
          <cell r="B2480" t="str">
            <v>M58119199000151</v>
          </cell>
          <cell r="D2480" t="str">
            <v>ODONTOPREV SA</v>
          </cell>
        </row>
        <row r="2481">
          <cell r="B2481" t="str">
            <v>M53518684000184</v>
          </cell>
          <cell r="D2481" t="str">
            <v>BANCO HSBC SA</v>
          </cell>
          <cell r="E2481" t="str">
            <v>BANCO HSBC S/A</v>
          </cell>
        </row>
        <row r="2482">
          <cell r="B2482" t="str">
            <v>M52906220000182</v>
          </cell>
          <cell r="C2482" t="str">
            <v>NIKOS GESTAO DE RECURSOS LTDA.</v>
          </cell>
          <cell r="D2482" t="str">
            <v>NIKOS GESTAO DE RECURSOS LTDA</v>
          </cell>
          <cell r="E2482" t="str">
            <v>NIKOS GESTAO DE RECURSOS LTDA.</v>
          </cell>
        </row>
        <row r="2483">
          <cell r="B2483" t="str">
            <v>M52904364000108</v>
          </cell>
          <cell r="D2483" t="str">
            <v>NECTON INVESTIMENTOS SA CORRETORA DE VALORES MOBILIARIOS E COMMODITIES</v>
          </cell>
        </row>
        <row r="2484">
          <cell r="B2484" t="str">
            <v>M52412330000198</v>
          </cell>
          <cell r="D2484" t="str">
            <v>CAIXA DE PREVIDENCIA DOS FUNCIONARIOS DO BANCO DO NORDESTE DO BRASIL  CAPEF</v>
          </cell>
        </row>
        <row r="2485">
          <cell r="B2485" t="str">
            <v>M52041183000197</v>
          </cell>
          <cell r="D2485" t="str">
            <v>INSTITUTO UNIBANCO</v>
          </cell>
        </row>
        <row r="2486">
          <cell r="B2486" t="str">
            <v>M51990695000137</v>
          </cell>
          <cell r="C2486" t="str">
            <v>BRADESCO VIDA E PREVIDÃŠNCIA S.A.</v>
          </cell>
          <cell r="D2486" t="str">
            <v>BRADESCO VIDA E PREVIDENCIA S.A</v>
          </cell>
          <cell r="E2486" t="str">
            <v>BRADESCO VIDA E PREVIDÃŠNCIA S.A.</v>
          </cell>
        </row>
        <row r="2487">
          <cell r="B2487" t="str">
            <v>M51327724000185</v>
          </cell>
          <cell r="D2487" t="str">
            <v>IPAS DOS FUNCIONÃƒÂRIOS MUNICIPAIS DE PIRACICABA</v>
          </cell>
        </row>
        <row r="2488">
          <cell r="B2488" t="str">
            <v>M51245355000181</v>
          </cell>
          <cell r="D2488" t="str">
            <v>SOCIEDADE PREVIDENCIARIA RUMOS</v>
          </cell>
        </row>
        <row r="2489">
          <cell r="B2489" t="str">
            <v>M51017957000181</v>
          </cell>
          <cell r="D2489" t="str">
            <v>PORTO SEGURO GESTORA DE RECURSOS LTDA.</v>
          </cell>
          <cell r="E2489" t="str">
            <v>PORTO SEGURO INVESTIMENTOS LTDA</v>
          </cell>
        </row>
        <row r="2490">
          <cell r="B2490" t="str">
            <v>M50715649000167</v>
          </cell>
          <cell r="C2490" t="str">
            <v>RIZA LÃQUIDOS GESTORA DE RECURSOS LTDA.</v>
          </cell>
          <cell r="D2490" t="str">
            <v>RIZA LÃQUIDOS GESTORA DE RECURSOS LTDA.</v>
          </cell>
          <cell r="E2490" t="str">
            <v>RIZA GESTORA DE RECURSOS LTDA</v>
          </cell>
        </row>
        <row r="2491">
          <cell r="B2491" t="str">
            <v>M50544038000101</v>
          </cell>
          <cell r="C2491" t="str">
            <v>AZ QUEST INFRA LTDA.</v>
          </cell>
          <cell r="D2491" t="str">
            <v>AZ QUEST INFRA LTDA.</v>
          </cell>
          <cell r="E2491" t="str">
            <v>AZ QUEST INFRA LTDA.</v>
          </cell>
        </row>
        <row r="2492">
          <cell r="B2492" t="str">
            <v>M49320799000192</v>
          </cell>
          <cell r="D2492" t="str">
            <v>ECONOMUS INSTITUTO DE SEGURIDADE SOCIAL</v>
          </cell>
          <cell r="E2492" t="str">
            <v>ECONOMUS INSTITUTO DE SEGURIDADE SOCIAL</v>
          </cell>
        </row>
        <row r="2493">
          <cell r="B2493" t="str">
            <v>M48795256000169</v>
          </cell>
          <cell r="D2493" t="str">
            <v>BANCO ANDBANK (BRASIL) S.A.</v>
          </cell>
          <cell r="E2493" t="str">
            <v>BANCO ANDBANK (BRASIL) S/A</v>
          </cell>
        </row>
        <row r="2494">
          <cell r="B2494" t="str">
            <v>M48712542000113</v>
          </cell>
          <cell r="C2494" t="str">
            <v>TERRA ASSET VENTURES GESTÃƒO DE RECURSOS LTDA.</v>
          </cell>
          <cell r="D2494" t="str">
            <v>TERRA ASSET VENTURES GESTÃƒO DE RECURSOS LTDA.</v>
          </cell>
          <cell r="E2494" t="str">
            <v>TERRA ASSET VENTURES GESTÃƒO DE RECURSOS LTDA.</v>
          </cell>
        </row>
        <row r="2495">
          <cell r="B2495" t="str">
            <v>M48519448000142</v>
          </cell>
          <cell r="C2495" t="str">
            <v>SOLUTIONS GESTORA DE RECURSOS LTDA.</v>
          </cell>
          <cell r="D2495" t="str">
            <v>SOLUTIONS GESTORA DE RECURSOS LTDA.</v>
          </cell>
          <cell r="E2495" t="str">
            <v>SOLUTIONS GESTORA DE RECURSOS LTDA.</v>
          </cell>
        </row>
        <row r="2496">
          <cell r="B2496" t="str">
            <v>M48429867000193</v>
          </cell>
          <cell r="C2496" t="str">
            <v>CARTESIUS CAPITAL GESTÃƒO DE RECURSOS LTDA.</v>
          </cell>
          <cell r="D2496" t="str">
            <v>COGNUS CAPITAL GESTAO DE RECURSOS LTDA</v>
          </cell>
          <cell r="E2496" t="str">
            <v>CARTESIUS CAPITAL GESTÃƒO DE RECURSOS LTDA.</v>
          </cell>
        </row>
        <row r="2497">
          <cell r="B2497" t="str">
            <v>M48323224000160</v>
          </cell>
          <cell r="D2497" t="str">
            <v>UNILEVERPREV SOCIEDADE DE PREVIDENCIA PRIVADA</v>
          </cell>
          <cell r="E2497" t="str">
            <v>UNILEVERPREV- SOCIEDADE DE PREVIDENCIA PRIVADA</v>
          </cell>
        </row>
        <row r="2498">
          <cell r="B2498" t="str">
            <v>M48307639000140</v>
          </cell>
          <cell r="D2498" t="str">
            <v>FOZ DO CHAPECO PREV</v>
          </cell>
        </row>
        <row r="2499">
          <cell r="B2499" t="str">
            <v>M48307638000104</v>
          </cell>
          <cell r="D2499" t="str">
            <v>CERANPREV</v>
          </cell>
        </row>
        <row r="2500">
          <cell r="B2500" t="str">
            <v>M48307184000163</v>
          </cell>
          <cell r="D2500" t="str">
            <v>PLANO DE BENEFICIOS ERNST &amp; YOUNG</v>
          </cell>
        </row>
        <row r="2501">
          <cell r="B2501" t="str">
            <v>M48307165000137</v>
          </cell>
          <cell r="D2501" t="str">
            <v>PLANO DE PREVIDENCIA COMPLEMENTAR UNILEVERPREV</v>
          </cell>
          <cell r="E2501" t="str">
            <v>UNILEVERPREV- SOCIEDADE DE PREVIDENCIA PRIVADA</v>
          </cell>
        </row>
        <row r="2502">
          <cell r="B2502" t="str">
            <v>M48307158000135</v>
          </cell>
          <cell r="D2502" t="str">
            <v>PLANO DE BENEFICIOS CEEEPREV</v>
          </cell>
          <cell r="E2502" t="str">
            <v>PLANO DE BENEFICIOS CEEEPREV</v>
          </cell>
        </row>
        <row r="2503">
          <cell r="B2503" t="str">
            <v>M48306928000125</v>
          </cell>
          <cell r="D2503" t="str">
            <v>PLANO DE BENEFICIOS 2 USIPREV</v>
          </cell>
        </row>
        <row r="2504">
          <cell r="B2504" t="str">
            <v>M48306638000181</v>
          </cell>
          <cell r="D2504" t="str">
            <v>PLANO DE BENEFICIOS ENERGISA SUDESTE</v>
          </cell>
        </row>
        <row r="2505">
          <cell r="B2505" t="str">
            <v>M48306621000124</v>
          </cell>
          <cell r="D2505" t="str">
            <v>PLANO DE BENEFÃCIOS DEFINIDOS UBB PREV</v>
          </cell>
        </row>
        <row r="2506">
          <cell r="B2506" t="str">
            <v>M48306547000146</v>
          </cell>
          <cell r="C2506" t="str">
            <v>PLANO DE BENEFICIO DEFINIDO ELOS ELETROSUL</v>
          </cell>
          <cell r="D2506" t="str">
            <v>PLANO DE BENEFICIO DEFINIDO ELOS ELETROSUL</v>
          </cell>
          <cell r="E2506" t="str">
            <v>PLANO DE BENEFICIO DEFINIDO ELOS ELETROSUL</v>
          </cell>
        </row>
        <row r="2507">
          <cell r="B2507" t="str">
            <v>M47855114000187</v>
          </cell>
          <cell r="C2507" t="str">
            <v>CLAVE ALTERNATIVOS GESTORA DE RECURSOS LTDA.</v>
          </cell>
          <cell r="D2507" t="str">
            <v>CLAVE ALTERNATIVOS GESTORA DE RECURSOS LTDA.</v>
          </cell>
          <cell r="E2507" t="str">
            <v>CLAVE GESTORA DE RECURSOS LTDA</v>
          </cell>
        </row>
        <row r="2508">
          <cell r="B2508" t="str">
            <v>M47243769000102</v>
          </cell>
          <cell r="C2508" t="str">
            <v>ABSOLUTE CRÃ‰DITO GESTÃƒO DE INVESTIMENTOS LTDA.</v>
          </cell>
          <cell r="D2508" t="str">
            <v>ABSOLUTE CRÃ‰DITO GESTÃƒO DE INVESTIMENTOS LTDA.</v>
          </cell>
          <cell r="E2508" t="str">
            <v>ABSOLUTE GESTAO DE INVESTIMENTOS LTDA</v>
          </cell>
        </row>
        <row r="2509">
          <cell r="B2509" t="str">
            <v>M47184510000120</v>
          </cell>
          <cell r="D2509" t="str">
            <v>SOMPO SAUDE SEGUROS SA</v>
          </cell>
        </row>
        <row r="2510">
          <cell r="B2510" t="str">
            <v>M47138945000138</v>
          </cell>
          <cell r="C2510" t="str">
            <v>RIZA ALLOCATION GESTORA DE RECURSOS LTDA</v>
          </cell>
          <cell r="D2510" t="str">
            <v>RIZA ALLOCATION GESTORA DE RECURSOS LTDA</v>
          </cell>
          <cell r="E2510" t="str">
            <v>RIZA GESTORA DE RECURSOS LTDA</v>
          </cell>
        </row>
        <row r="2511">
          <cell r="B2511" t="str">
            <v>M46895578000154</v>
          </cell>
          <cell r="C2511" t="str">
            <v>MONTE AZUL GESTAO DE RECURSOS LTDA</v>
          </cell>
          <cell r="D2511" t="str">
            <v>MONTE AZUL GESTÃƒO DE RECURSOS LTDA</v>
          </cell>
          <cell r="E2511" t="str">
            <v>MONTE AZUL GESTAO DE RECURSOS LTDA</v>
          </cell>
        </row>
        <row r="2512">
          <cell r="B2512" t="str">
            <v>M46621538000114</v>
          </cell>
          <cell r="D2512" t="str">
            <v>INSTITUTO DE PREVIDENCIA DO MUNICIPIO DE OSASCO</v>
          </cell>
        </row>
        <row r="2513">
          <cell r="B2513" t="str">
            <v>M46503558000190</v>
          </cell>
          <cell r="C2513" t="str">
            <v>TYTON CAPITAL INVESTIMENTOS LTDA.</v>
          </cell>
          <cell r="D2513" t="str">
            <v>TYTON CAPITAL INVESTIMENTOS LTDA</v>
          </cell>
          <cell r="E2513" t="str">
            <v>TYTON CAPITAL INVESTIMENTOS LTDA.</v>
          </cell>
        </row>
        <row r="2514">
          <cell r="B2514" t="str">
            <v>M46189909000130</v>
          </cell>
          <cell r="D2514" t="str">
            <v>SCALARE CAPITAL LTDA</v>
          </cell>
        </row>
        <row r="2515">
          <cell r="B2515" t="str">
            <v>M46139960000138</v>
          </cell>
          <cell r="D2515" t="str">
            <v>FUNDACAO DE PREVIDENCIA DOS SERVIDORES PUBLICOS MUNICIPAIS EFETIVOS DE BAURU  FUNPREV</v>
          </cell>
        </row>
        <row r="2516">
          <cell r="B2516" t="str">
            <v>M45854066000187</v>
          </cell>
          <cell r="D2516" t="str">
            <v>WNT CAPITAL DISTRIBUIDORA DE TITULOS E VALORES MOBILIARIOS S.A.</v>
          </cell>
          <cell r="E2516" t="str">
            <v>WNT GESTORA DE RECURSOS LTDA</v>
          </cell>
        </row>
        <row r="2517">
          <cell r="B2517" t="str">
            <v>M45432251000183</v>
          </cell>
          <cell r="C2517" t="str">
            <v>SOW CAPITAL GESTAO DE INVESTIMENTOS LTDA.</v>
          </cell>
          <cell r="D2517" t="str">
            <v>SOW CAPITAL GESTÃƒO DE INVESTIMENTOS LTDA</v>
          </cell>
          <cell r="E2517" t="str">
            <v>SOW CAPITAL GESTAO DE INVESTIMENTOS LTDA.</v>
          </cell>
        </row>
        <row r="2518">
          <cell r="B2518" t="str">
            <v>M45246410000155</v>
          </cell>
          <cell r="D2518" t="str">
            <v>BANCO GENIAL S.A.</v>
          </cell>
          <cell r="E2518" t="str">
            <v>BANCO GENIAL S/A</v>
          </cell>
        </row>
        <row r="2519">
          <cell r="B2519" t="str">
            <v>M44859863000194</v>
          </cell>
          <cell r="C2519" t="str">
            <v>MGN INVESTIMENTOS LTDA.</v>
          </cell>
          <cell r="D2519" t="str">
            <v>MGN INVESTIMENTOS LTDA.</v>
          </cell>
          <cell r="E2519" t="str">
            <v>MGN INVESTIMENTOS LTDA.</v>
          </cell>
        </row>
        <row r="2520">
          <cell r="B2520" t="str">
            <v>M44361607000172</v>
          </cell>
          <cell r="C2520" t="str">
            <v>RBR INFRA GESTORA DE RECURSOS LTDA.</v>
          </cell>
          <cell r="D2520" t="str">
            <v>RBR INFRA GESTORA DE RECURSOS LTDA.</v>
          </cell>
          <cell r="E2520" t="str">
            <v>RBR INFRA GESTORA DE RECURSOS LTDA.</v>
          </cell>
        </row>
        <row r="2521">
          <cell r="B2521" t="str">
            <v>M44151729000134</v>
          </cell>
          <cell r="C2521" t="str">
            <v>KOMATU GESTORA DE RECURSOS LTDA</v>
          </cell>
          <cell r="D2521" t="str">
            <v>KOMATU GESTORA DE RECURSOS LTDA</v>
          </cell>
          <cell r="E2521" t="str">
            <v>KOMATU GESTORA DE RECURSOS LTDA</v>
          </cell>
        </row>
        <row r="2522">
          <cell r="B2522" t="str">
            <v>M43960839000184</v>
          </cell>
          <cell r="C2522" t="str">
            <v>MANATÃ CAPITAL MANAGEMENT LTDA.</v>
          </cell>
          <cell r="D2522" t="str">
            <v>MANATÃ CAPITAL MANAGEMENT LTDA.</v>
          </cell>
          <cell r="E2522" t="str">
            <v>MANATÃ CAPITAL MANAGEMENT LTDA.</v>
          </cell>
        </row>
        <row r="2523">
          <cell r="B2523" t="str">
            <v>M43826833000119</v>
          </cell>
          <cell r="C2523" t="str">
            <v>TURMALINA GESTAO E ADMINISTRAÃ‡ÃƒO DE RECURSOS SA</v>
          </cell>
          <cell r="D2523" t="str">
            <v>TURMALINA GESTAO E ADMINISTRAÃ‡ÃƒO DE RECURSOS SA</v>
          </cell>
          <cell r="E2523" t="str">
            <v>TURMALINA GESTAO E ADMINISTRAÃ‡ÃƒO DE RECURSOS SA</v>
          </cell>
        </row>
        <row r="2524">
          <cell r="B2524" t="str">
            <v>M43815158000122</v>
          </cell>
          <cell r="D2524" t="str">
            <v>BTG PACTUAL CORRETORA DE TITULOS E VALORES MOBILIARIOS SA</v>
          </cell>
          <cell r="E2524" t="str">
            <v>BTG PACTUAL CORRETORA DE TITULOS E VALORES MOBILIARIOS S/A</v>
          </cell>
        </row>
        <row r="2525">
          <cell r="B2525" t="str">
            <v>M43777696000170</v>
          </cell>
          <cell r="C2525" t="str">
            <v>TENAX CAPITAL LTDA.</v>
          </cell>
          <cell r="D2525" t="str">
            <v>TENAX CAPITAL LTDA</v>
          </cell>
          <cell r="E2525" t="str">
            <v>TENAX CAPITAL LTDA</v>
          </cell>
        </row>
        <row r="2526">
          <cell r="B2526" t="str">
            <v>M43353050000165</v>
          </cell>
          <cell r="C2526" t="str">
            <v>MANTARO CAPITAL LTDA</v>
          </cell>
          <cell r="D2526" t="str">
            <v>MANTARO CAPITAL LTDA</v>
          </cell>
          <cell r="E2526" t="str">
            <v>MANTARO CAPITAL LTDA</v>
          </cell>
        </row>
        <row r="2527">
          <cell r="B2527" t="str">
            <v>M43241789000185</v>
          </cell>
          <cell r="C2527" t="str">
            <v>POLÃGONO CAPITAL LTDA</v>
          </cell>
          <cell r="D2527" t="str">
            <v>POLIGONO CAPITAL LTDA.</v>
          </cell>
          <cell r="E2527" t="str">
            <v>POLÃGONO CAPITAL LTDA</v>
          </cell>
        </row>
        <row r="2528">
          <cell r="B2528" t="str">
            <v>M43228545000162</v>
          </cell>
          <cell r="C2528" t="str">
            <v>NOVA OCCAM BRASIL GESTAO DE RECURSOS LTDA.</v>
          </cell>
          <cell r="D2528" t="str">
            <v>NOVA OCCAM BRASIL GESTAO DE RECURSOS LTDA.</v>
          </cell>
          <cell r="E2528" t="str">
            <v>OCCAM BRASIL GESTAO DE RECURSOS LTDA</v>
          </cell>
        </row>
        <row r="2529">
          <cell r="B2529" t="str">
            <v>M43027793000145</v>
          </cell>
          <cell r="C2529" t="str">
            <v>PERFIN WEALTH MANAGEMENT LTDA.</v>
          </cell>
          <cell r="D2529" t="str">
            <v>PERFIN WEALTH MANAGEMENT LTDA.</v>
          </cell>
          <cell r="E2529" t="str">
            <v>PERFIN WEALTH MANAGEMENT LTDA.</v>
          </cell>
        </row>
        <row r="2530">
          <cell r="B2530" t="str">
            <v>M43020918000105</v>
          </cell>
          <cell r="C2530" t="str">
            <v>PERFIN EQUITIES ADMINISTRAÃ‡ÃƒO DE RECURSOS LTDA.</v>
          </cell>
          <cell r="D2530" t="str">
            <v>PERFIN EQUITIES ADMINISTRAÃ‡ÃƒO DE RECURSOS LTDA.</v>
          </cell>
          <cell r="E2530" t="str">
            <v>PERFIN EQUITIES ADMINISTRAÃ‡ÃƒO DE RECURSOS LTDA.</v>
          </cell>
        </row>
        <row r="2531">
          <cell r="B2531" t="str">
            <v>M42524344000140</v>
          </cell>
          <cell r="D2531" t="str">
            <v>GRIFO CAPITAL GESTÃƒO DE RECURSOS LTDA.</v>
          </cell>
          <cell r="E2531" t="str">
            <v>NOVUS CAPITAL GESTORA DE RECURSOS LTDA</v>
          </cell>
        </row>
        <row r="2532">
          <cell r="B2532" t="str">
            <v>M42465310000121</v>
          </cell>
          <cell r="C2532" t="str">
            <v>TELOS FUNDAÃ‡ÃƒO EMBRATEL DE SEGURIDADE SOCIAL</v>
          </cell>
          <cell r="D2532" t="str">
            <v>TELOS FUNDACAO EMBRATEL DE SEGURIDADE SOCIAL</v>
          </cell>
          <cell r="E2532" t="str">
            <v>TELOS FUNDACAO EMBRATEL DE SEGURIDADE SOCIAL</v>
          </cell>
        </row>
        <row r="2533">
          <cell r="B2533" t="str">
            <v>M42426535000179</v>
          </cell>
          <cell r="D2533" t="str">
            <v>TC GESTÃƒO EMPRESARIAL LTDA</v>
          </cell>
        </row>
        <row r="2534">
          <cell r="B2534" t="str">
            <v>M42337065000177</v>
          </cell>
          <cell r="C2534" t="str">
            <v>OBB CAPITAL ASSET MANAGEMENT LTDA.</v>
          </cell>
          <cell r="D2534" t="str">
            <v>OBB CAPITAL ASSET MANAGEMENT LTDA.</v>
          </cell>
          <cell r="E2534" t="str">
            <v>OBB CAPITAL ASSET MANAGEMENT LTDA.</v>
          </cell>
        </row>
        <row r="2535">
          <cell r="B2535" t="str">
            <v>M42286245000177</v>
          </cell>
          <cell r="C2535" t="str">
            <v>FUNDAÃ‡ÃƒO ELETROSUL DE PREVIDÃŠNCIA E ASSISTÃŠNCIA SOCIAL ELOS</v>
          </cell>
          <cell r="D2535" t="str">
            <v>FUNDAÃ‡ÃƒO ELETROSUL DE PREVIDÃŠNCIA E ASSISTENCIA SOCIAL ELOS</v>
          </cell>
          <cell r="E2535" t="str">
            <v>FUNDAÃ‡ÃƒO ELETROSUL DE PREVIDÃŠNCIA E ASSISTÃŠNCIA SOCIAL ELOS</v>
          </cell>
        </row>
        <row r="2536">
          <cell r="B2536" t="str">
            <v>M42283770000139</v>
          </cell>
          <cell r="C2536" t="str">
            <v>ICATU SEGUROS S/A</v>
          </cell>
          <cell r="D2536" t="str">
            <v>ICATU SEGUROS S/A</v>
          </cell>
          <cell r="E2536" t="str">
            <v>ICATU VANGUARDA GESTAO DE RECURSOS LTDA</v>
          </cell>
        </row>
        <row r="2537">
          <cell r="B2537">
            <v>901872</v>
          </cell>
          <cell r="C2537" t="str">
            <v>TERRA FUTUROS CM S/A</v>
          </cell>
          <cell r="D2537" t="str">
            <v>TERRA FUTUROS CM S/A</v>
          </cell>
          <cell r="E2537" t="str">
            <v>TERRA FUTUROS CM S/A</v>
          </cell>
        </row>
        <row r="2538">
          <cell r="B2538" t="str">
            <v>M42272526000170</v>
          </cell>
          <cell r="D2538" t="str">
            <v>BNY MELLON BANCO SA</v>
          </cell>
        </row>
        <row r="2539">
          <cell r="B2539" t="str">
            <v>M42271429000163</v>
          </cell>
          <cell r="C2539" t="str">
            <v>FUNDAÃ‡ÃƒO VALE DO RIO DOCE DE SEGURIDADE SOCIAL - VALIA</v>
          </cell>
          <cell r="D2539" t="str">
            <v>FUNDACAO VALE DO RIO DOCE DE SEGURIDADE SOCIAL  VALIA</v>
          </cell>
          <cell r="E2539" t="str">
            <v>FUNDAÃ‡ÃƒO VALE DO RIO DOCE DE SEGURIDADE SOCIAL - VALIA</v>
          </cell>
        </row>
        <row r="2540">
          <cell r="B2540" t="str">
            <v>M42177684000141</v>
          </cell>
          <cell r="C2540" t="str">
            <v>RUBIK CAPITAL ASSET MANAGEMENT LTDA.</v>
          </cell>
          <cell r="D2540" t="str">
            <v>RUBIK CAPITAL ASSET MANAGEMENT LTDA</v>
          </cell>
          <cell r="E2540" t="str">
            <v>RUBIK CAPITAL ASSET MANAGEMENT LTDA.</v>
          </cell>
        </row>
        <row r="2541">
          <cell r="B2541" t="str">
            <v>M42160192000143</v>
          </cell>
          <cell r="C2541" t="str">
            <v>FUNDACAO CHESF DE ASSISTENCIA E SEGURIDADE SOCIAL - FACHESF</v>
          </cell>
          <cell r="D2541" t="str">
            <v>FUNDACAO CHESF DE ASSISTENCIA E SEGURIDADE SOCIAL FACHESF</v>
          </cell>
          <cell r="E2541" t="str">
            <v>FUNDACAO CHESF DE ASSISTENCIA E SEGURIDADE SOCIAL - FACHESF</v>
          </cell>
        </row>
        <row r="2542">
          <cell r="B2542" t="str">
            <v>M42066258000130</v>
          </cell>
          <cell r="C2542" t="str">
            <v>RJI CORRETORA DE TÃTULOS E VALORES MOBILIÃRIOS LTDA.</v>
          </cell>
          <cell r="D2542" t="str">
            <v>RJI CORRETORA DE TITULOS E VALORES MOBILIARIOS LTDA</v>
          </cell>
          <cell r="E2542" t="str">
            <v>RJI CORRETORA DE TÃTULOS E VALORES MOBILIÃRIOS LTDA.</v>
          </cell>
        </row>
        <row r="2543">
          <cell r="B2543" t="str">
            <v>M42054886000104</v>
          </cell>
          <cell r="D2543" t="str">
            <v>GETNET SOCIEDADE DE CREDITO DIRETO SA</v>
          </cell>
        </row>
        <row r="2544">
          <cell r="B2544" t="str">
            <v>M42040639000140</v>
          </cell>
          <cell r="C2544" t="str">
            <v>CAIXA DISTRIBUIDORA DE TÃTULOS E VALORES MOBILIÃRIOS S.A.</v>
          </cell>
          <cell r="D2544" t="str">
            <v>CAIXA DISTRIBUIDORA DE TITULOS E VALORES MOBILIARIOS SA</v>
          </cell>
          <cell r="E2544" t="str">
            <v>CAIXA DISTRIBUIDORA DE TITULOS E VALORES MOBILIARIOS S/A</v>
          </cell>
        </row>
        <row r="2545">
          <cell r="B2545" t="str">
            <v>M41475648000100</v>
          </cell>
          <cell r="C2545" t="str">
            <v>CAPITÃ‚NIA ALTERNATIVES S/A</v>
          </cell>
          <cell r="D2545" t="str">
            <v>CAPITÃ‚NIA ALTERNATIVES S/A</v>
          </cell>
          <cell r="E2545" t="str">
            <v>CAPITÂNIA INVEST S/A</v>
          </cell>
        </row>
        <row r="2546">
          <cell r="B2546" t="str">
            <v>M04274010000176</v>
          </cell>
          <cell r="C2546" t="str">
            <v>CAPITÃ‚NIA INVEST S/A</v>
          </cell>
          <cell r="D2546" t="str">
            <v>CAPITÃ‚NIA INVEST S/A</v>
          </cell>
          <cell r="E2546" t="str">
            <v>CAPITÂNIA INVEST S/A</v>
          </cell>
        </row>
        <row r="2547">
          <cell r="B2547" t="str">
            <v>M41647788000100</v>
          </cell>
          <cell r="C2547" t="str">
            <v>RAM GESTORA DE RECURSOS LTDA</v>
          </cell>
          <cell r="D2547" t="str">
            <v>RAM GESTORA DE RECURSOS LTDA.</v>
          </cell>
          <cell r="E2547" t="str">
            <v>RAM GESTORA DE RECURSOS LTDA</v>
          </cell>
        </row>
        <row r="2548">
          <cell r="B2548" t="str">
            <v>M41793345000127</v>
          </cell>
          <cell r="C2548" t="str">
            <v>CAPITANIA CAPITAL S.A.</v>
          </cell>
          <cell r="D2548" t="str">
            <v>CAPITANIA CAPITAL S.A.</v>
          </cell>
          <cell r="E2548" t="str">
            <v>CAPITÂNIA INVEST S/A</v>
          </cell>
        </row>
        <row r="2549">
          <cell r="B2549" t="str">
            <v>M41191496000105</v>
          </cell>
          <cell r="C2549" t="str">
            <v>TUERI GESTORA DE RECURSOS LTDA.</v>
          </cell>
          <cell r="D2549" t="str">
            <v>TUERI GESTORA DE RECURSOS LTDA</v>
          </cell>
          <cell r="E2549" t="str">
            <v>TUERI GESTORA DE RECURSOS LTDA.</v>
          </cell>
        </row>
        <row r="2550">
          <cell r="B2550" t="str">
            <v>M41006363000111</v>
          </cell>
          <cell r="C2550" t="str">
            <v>ALPHATREE CAPITAL GESTÃƒO DE RECURSOS LTDA.</v>
          </cell>
          <cell r="D2550" t="str">
            <v>ALPHATREE CAPITAL GESTÃƒO DE RECURSOS LTDA</v>
          </cell>
          <cell r="E2550" t="str">
            <v>ALPHATREE CAPITAL GESTAO DE RECURSOS LTDA</v>
          </cell>
        </row>
        <row r="2551">
          <cell r="B2551" t="str">
            <v>M40701503000109</v>
          </cell>
          <cell r="C2551" t="str">
            <v>PRINZ GESTORA DE RECURSOS LTDA.</v>
          </cell>
          <cell r="D2551" t="str">
            <v>PRINZ GESTORA DE RECURSOS LTDA</v>
          </cell>
          <cell r="E2551" t="str">
            <v>PRINZ GESTORA DE RECURSOS LTDA.</v>
          </cell>
        </row>
        <row r="2552">
          <cell r="B2552" t="str">
            <v>M4043097100019601</v>
          </cell>
          <cell r="C2552" t="str">
            <v>ITAU UNIBANCO ASSET MANAGEMENT LTDA</v>
          </cell>
          <cell r="D2552" t="str">
            <v>ITAU TACO</v>
          </cell>
          <cell r="E2552" t="str">
            <v>ITAU UNIBANCO ASSET MANAGEMENT LTDA</v>
          </cell>
        </row>
        <row r="2553">
          <cell r="B2553" t="str">
            <v>M40430971000196</v>
          </cell>
          <cell r="C2553" t="str">
            <v>ITAU UNIBANCO ASSET MANAGEMENT LTDA</v>
          </cell>
          <cell r="D2553" t="str">
            <v>FUNDO ITAU</v>
          </cell>
          <cell r="E2553" t="str">
            <v>ITAU UNIBANCO ASSET - TACO</v>
          </cell>
        </row>
        <row r="2554">
          <cell r="B2554" t="str">
            <v>M40166546000131</v>
          </cell>
          <cell r="C2554" t="str">
            <v>DOURO CAPITAL GESTORA DE RECURSOS E INVESTIMENTOS LTDA.</v>
          </cell>
          <cell r="D2554" t="str">
            <v>DOURO CAPITAL GESTORA DE RECURSOS E INVESTIMENTOS LTDA</v>
          </cell>
          <cell r="E2554" t="str">
            <v>DOURO CAPITAL GESTORA DE RECURSOS E INVESTIMENTOS LTDA.</v>
          </cell>
        </row>
        <row r="2555">
          <cell r="B2555" t="str">
            <v>M40147132000165</v>
          </cell>
          <cell r="C2555" t="str">
            <v>OBY CAPITAL GESTORA DE RECURSOS LTDA.</v>
          </cell>
          <cell r="D2555" t="str">
            <v>OBY CAPITAL GESTORA DE RECURSOS LTDA</v>
          </cell>
          <cell r="E2555" t="str">
            <v>OBY CAPITAL GESTORA DE RECURSOS LTDA</v>
          </cell>
        </row>
        <row r="2556">
          <cell r="B2556" t="str">
            <v>M40147051000165</v>
          </cell>
          <cell r="C2556" t="str">
            <v>RBR PRIVATE EQUITY GESTÃƒO DE RECURSOS LTDA.</v>
          </cell>
          <cell r="D2556" t="str">
            <v>RBR PRIVATE EQUITY GESTÃƒO DE RECURSOS LTDA.</v>
          </cell>
          <cell r="E2556" t="str">
            <v>RBR PRIVATE EQUITY GESTÃƒO DE RECURSOS LTDA.</v>
          </cell>
        </row>
        <row r="2557">
          <cell r="B2557" t="str">
            <v>M40113816000146</v>
          </cell>
          <cell r="C2557" t="str">
            <v>KAPITALO NEXO GESTÃƒO DE RECURSOS LTDA.</v>
          </cell>
          <cell r="D2557" t="str">
            <v>KAPITALO NEXO GESTÃƒO DE RECURSOS LTDA</v>
          </cell>
          <cell r="E2557" t="str">
            <v>KAPITALO INVESTIMENTOS LTDA</v>
          </cell>
        </row>
        <row r="2558">
          <cell r="B2558" t="str">
            <v>M39938506000181</v>
          </cell>
          <cell r="C2558" t="str">
            <v>MERCURY GESTÃƒO DE RECURSOS LTDA.</v>
          </cell>
          <cell r="D2558" t="str">
            <v>MERCURY GESTÃƒO DE RECURSOS LTDA</v>
          </cell>
          <cell r="E2558" t="str">
            <v>MERCURY GESTÃƒO DE RECURSOS LTDA.</v>
          </cell>
        </row>
        <row r="2559">
          <cell r="B2559" t="str">
            <v>M39563738000100</v>
          </cell>
          <cell r="C2559" t="str">
            <v>WEALTH HIGH GOVERNANCE ASSET MANAGEMENT LTDA.</v>
          </cell>
          <cell r="D2559" t="str">
            <v>WEALTH HIGH GOVERNANCE ASSET MANAGEMENT LTDA.</v>
          </cell>
          <cell r="E2559" t="str">
            <v>WEALTH HIGH GOVERNANCE ASSET MANAGEMENT LTDA.</v>
          </cell>
        </row>
        <row r="2560">
          <cell r="B2560" t="str">
            <v>M39544456000158</v>
          </cell>
          <cell r="D2560" t="str">
            <v>NU DTVM LTDA</v>
          </cell>
          <cell r="E2560" t="str">
            <v>NU PAGAMENTOS SOCIEDADE ANONIMA</v>
          </cell>
        </row>
        <row r="2561">
          <cell r="B2561" t="str">
            <v>M39526263000174</v>
          </cell>
          <cell r="C2561" t="str">
            <v>PATAGONIA CAPITAL GESTORA DE RECURSOS LTDA</v>
          </cell>
          <cell r="D2561" t="str">
            <v>PATAGÃ”NIA CAPITAL GESTORA DE RECURSOS LTDA</v>
          </cell>
          <cell r="E2561" t="str">
            <v>PATAGONIA CAPITAL GESTORA DE RECURSOS LTDA</v>
          </cell>
        </row>
        <row r="2562">
          <cell r="B2562" t="str">
            <v>M39433649000131</v>
          </cell>
          <cell r="C2562" t="str">
            <v>SEVEN POUNDS ASSET MANAGEMENT LTDA.</v>
          </cell>
          <cell r="D2562" t="str">
            <v>SEVEN POUNDS ASSET MANAGEMENT LTDA</v>
          </cell>
          <cell r="E2562" t="str">
            <v>SEVEN POUNDS ASSET MANAGEMENT LTDA.</v>
          </cell>
        </row>
        <row r="2563">
          <cell r="B2563" t="str">
            <v>M38710359000125</v>
          </cell>
          <cell r="C2563" t="str">
            <v>MERAKI CAPITAL GESTÃƒO DE RECURSOS LTDA.</v>
          </cell>
          <cell r="D2563" t="str">
            <v>MERAKI CAPITAL GESTAO DE RECURSOS LTDA</v>
          </cell>
          <cell r="E2563" t="str">
            <v>MERAKI CAPITAL GESTÃƒO DE RECURSOS LTDA.</v>
          </cell>
        </row>
        <row r="2564">
          <cell r="B2564" t="str">
            <v>M38486817000194</v>
          </cell>
          <cell r="D2564" t="str">
            <v>BANCO DE DESENVOLVIMENTO DE MINAS GERAIS SA BDMG</v>
          </cell>
          <cell r="E2564" t="str">
            <v>BANCO DE DESENVOLVIMENTO DE MINAS GERAIS S/A- BDMG</v>
          </cell>
        </row>
        <row r="2565">
          <cell r="B2565" t="str">
            <v>M38347420000111</v>
          </cell>
          <cell r="C2565" t="str">
            <v>BOCAINA CAPITAL GESTORA DE RECURSOS LTDA</v>
          </cell>
          <cell r="D2565" t="str">
            <v>BOCAINA CAPITAL GESTORA DE RECURSOS LTDA.</v>
          </cell>
          <cell r="E2565" t="str">
            <v>BOCAINA CAPITAL GESTORA DE RECURSOS LTDA</v>
          </cell>
        </row>
        <row r="2566">
          <cell r="B2566" t="str">
            <v>M38304730000159</v>
          </cell>
          <cell r="C2566" t="str">
            <v>GAMA CAPITAL GESTÃƒO DE RECURSOS LTDA.</v>
          </cell>
          <cell r="D2566" t="str">
            <v>GAMA CAPITAL GESTÃƒO DE RECURSOS LTDA.</v>
          </cell>
          <cell r="E2566" t="str">
            <v>GAMA CAPITAL GESTÃƒO DE RECURSOS LTDA.</v>
          </cell>
        </row>
        <row r="2567">
          <cell r="B2567" t="str">
            <v>M38265784000152</v>
          </cell>
          <cell r="C2567" t="str">
            <v>CARBON ASSET MANAGEMENT LTDA.</v>
          </cell>
          <cell r="D2567" t="str">
            <v>CARBON ASSET MANAGEMENT LTDA</v>
          </cell>
          <cell r="E2567" t="str">
            <v>CARBON ASSET MANAGEMENT LTDA.</v>
          </cell>
        </row>
        <row r="2568">
          <cell r="B2568" t="str">
            <v>M38155802000143</v>
          </cell>
          <cell r="D2568" t="str">
            <v>XS3 SEGUROS S/A</v>
          </cell>
          <cell r="E2568" t="str">
            <v>XS3 SEGUROS S/A</v>
          </cell>
        </row>
        <row r="2569">
          <cell r="B2569" t="str">
            <v>M38122278000104</v>
          </cell>
          <cell r="D2569" t="str">
            <v>XS2 VIDA E PREVIDENCIA SA</v>
          </cell>
        </row>
        <row r="2570">
          <cell r="B2570">
            <v>35</v>
          </cell>
          <cell r="C2570" t="str">
            <v>XP INVESTIMENTOS CCTVM S/A</v>
          </cell>
          <cell r="D2570" t="str">
            <v>XP INVESTIMENTOS CCTVM S/A</v>
          </cell>
          <cell r="E2570" t="str">
            <v>BANCO XP S/A</v>
          </cell>
        </row>
        <row r="2571">
          <cell r="B2571" t="str">
            <v>M37788647000130</v>
          </cell>
          <cell r="C2571" t="str">
            <v>INVESTO GESTAO DE RECURSOS LTDA</v>
          </cell>
          <cell r="D2571" t="str">
            <v>INVESTO GESTAO DE RECURSOS LTDA</v>
          </cell>
          <cell r="E2571" t="str">
            <v>INVESTO GESTAO DE RECURSOS LTDA</v>
          </cell>
        </row>
        <row r="2572">
          <cell r="B2572" t="str">
            <v>M37654166000131</v>
          </cell>
          <cell r="C2572" t="str">
            <v>GHT4 ASSET MANAGEMENT LTDA.</v>
          </cell>
          <cell r="D2572" t="str">
            <v>EXPOENTE CAPITAL LTDA</v>
          </cell>
          <cell r="E2572" t="str">
            <v>GHT4 ASSET MANAGEMENT LTDA.</v>
          </cell>
        </row>
        <row r="2573">
          <cell r="B2573" t="str">
            <v>M37556621000166</v>
          </cell>
          <cell r="C2573" t="str">
            <v>RIZA CRÃ‰DITO ESTRUTURADO GESTORA DE RECURSOS LTDA.</v>
          </cell>
          <cell r="D2573" t="str">
            <v>RIZA CREDITO ESTRUTURADO GESTORA DE RECURSOS LTDA</v>
          </cell>
          <cell r="E2573" t="str">
            <v>RIZA GESTORA DE RECURSOS LTDA</v>
          </cell>
        </row>
        <row r="2574">
          <cell r="B2574" t="str">
            <v>M37537640000145</v>
          </cell>
          <cell r="C2574" t="str">
            <v>YARDS ASSET GESTORA DE RECURSOS LTDA.</v>
          </cell>
          <cell r="D2574" t="str">
            <v>YARDS ASSET GESTAO DE RECURSOS LTDA</v>
          </cell>
          <cell r="E2574" t="str">
            <v>YARDS ASSET GESTAO DE RECURSOS LTDA</v>
          </cell>
        </row>
        <row r="2575">
          <cell r="B2575" t="str">
            <v>M37259581000190</v>
          </cell>
          <cell r="D2575" t="str">
            <v>CARGILL, INCORPORATED  SANTANDER CACEIS BRASIL DI</v>
          </cell>
          <cell r="E2575" t="str">
            <v>BANCO CARGILL S/A</v>
          </cell>
        </row>
        <row r="2576">
          <cell r="B2576" t="str">
            <v>M36946992000191</v>
          </cell>
          <cell r="D2576" t="str">
            <v>FUNDO DE AVAL BANDES</v>
          </cell>
          <cell r="E2576" t="str">
            <v>BANCO DE DESENVOLVIMENTO DO ESPIRITO SANTO S/A</v>
          </cell>
        </row>
        <row r="2577">
          <cell r="B2577" t="str">
            <v>M36684109000132</v>
          </cell>
          <cell r="C2577" t="str">
            <v>MIRABAUD INVESTIMENTOS LTDA.</v>
          </cell>
          <cell r="D2577" t="str">
            <v>MIRABAUD INVESTIMENTOS LTDA.</v>
          </cell>
          <cell r="E2577" t="str">
            <v>MIRABAUD INVESTIMENTOS LTDA.</v>
          </cell>
        </row>
        <row r="2578">
          <cell r="B2578" t="str">
            <v>M36640941000137</v>
          </cell>
          <cell r="C2578" t="str">
            <v>JGP REAL ESTATE GESTÃƒO DE RECURSOS LTDA.</v>
          </cell>
          <cell r="D2578" t="str">
            <v>JGP REAL ESTATE GESTÃƒO DE RECURSOS LTDA.</v>
          </cell>
          <cell r="E2578" t="str">
            <v>JGP GESTAO PATRIMONIAL LTDA</v>
          </cell>
        </row>
        <row r="2579">
          <cell r="B2579" t="str">
            <v>M36633625000138</v>
          </cell>
          <cell r="C2579" t="str">
            <v>NORTE ASSET MANAGEMENT GESTAO DE RECURSOS S.A.</v>
          </cell>
          <cell r="D2579" t="str">
            <v>NORTE ASSET MANAGEMENT GESTAO DE RECURSOS S.A.</v>
          </cell>
          <cell r="E2579" t="str">
            <v>NORTE ASSET MANAGEMENT GESTAO DE RECURSOS S.A.</v>
          </cell>
        </row>
        <row r="2580">
          <cell r="B2580" t="str">
            <v>M36421310000127</v>
          </cell>
          <cell r="C2580" t="str">
            <v>CLAVE GESTORA DE RECURSOS LTDA</v>
          </cell>
          <cell r="D2580" t="str">
            <v>CLAVE GESTORA DE RECURSOS LTDA.</v>
          </cell>
          <cell r="E2580" t="str">
            <v>CLAVE GESTORA DE RECURSOS LTDA</v>
          </cell>
        </row>
        <row r="2581">
          <cell r="B2581" t="str">
            <v>M36174602000102</v>
          </cell>
          <cell r="C2581" t="str">
            <v>BAYES CAPITAL MANAGEMENT INVESTIMENTOS LTDA.</v>
          </cell>
          <cell r="D2581" t="str">
            <v>BAYES CAPITAL MANAGEMENT INVESTIMENTOS LTDA</v>
          </cell>
          <cell r="E2581" t="str">
            <v>BAYES CAPITAL MANAGEMENT INVESTIMENTOS LTDA.</v>
          </cell>
        </row>
        <row r="2582">
          <cell r="B2582" t="str">
            <v>M36113876000191</v>
          </cell>
          <cell r="C2582" t="str">
            <v>OLIVEIRA TRUST DTVM S.A.</v>
          </cell>
          <cell r="D2582" t="str">
            <v>OLIVEIRA TRUST DTVM LTDA</v>
          </cell>
          <cell r="E2582" t="str">
            <v>OLIVEIRA TRUST DTVM S.A.</v>
          </cell>
        </row>
        <row r="2583">
          <cell r="B2583" t="str">
            <v>M35704148000191</v>
          </cell>
          <cell r="C2583" t="str">
            <v>BRAVE GESTORA DE RECURSOS LTDA.</v>
          </cell>
          <cell r="D2583" t="str">
            <v>BRAVE GESTORA DE RECURSOS LTDA</v>
          </cell>
          <cell r="E2583" t="str">
            <v>BRAVE GESTORA DE RECURSOS LTDA.</v>
          </cell>
        </row>
        <row r="2584">
          <cell r="B2584" t="str">
            <v>M35541359000150</v>
          </cell>
          <cell r="C2584" t="str">
            <v>INTRA BLACK INVESTIMENTOS GESTÃƒO DE RECURSOS LTDA</v>
          </cell>
          <cell r="D2584" t="str">
            <v>INTRADER BLACK STREET CAPITAL GESTÃƒO DE RECURSOS LTDA</v>
          </cell>
          <cell r="E2584" t="str">
            <v>INTRA BLACK INVESTIMENTOS GESTÃƒO DE RECURSOS LTDA</v>
          </cell>
        </row>
        <row r="2585">
          <cell r="B2585" t="str">
            <v>M35185577000108</v>
          </cell>
          <cell r="C2585" t="str">
            <v>ASSET1 INVESTIMENTOS S/A</v>
          </cell>
          <cell r="D2585" t="str">
            <v>ASSET1 INVESTIMENTOS LTDA</v>
          </cell>
          <cell r="E2585" t="str">
            <v>ASSET1 INVESTIMENTOS LTDA</v>
          </cell>
        </row>
        <row r="2586">
          <cell r="B2586" t="str">
            <v>M34877615000112</v>
          </cell>
          <cell r="C2586" t="str">
            <v>KILIMA GESTÃƒO DE RECURSOS LTDA.</v>
          </cell>
          <cell r="D2586" t="str">
            <v>KILIMA GESTAO DE RECURSOS LTDA</v>
          </cell>
          <cell r="E2586" t="str">
            <v>KILIMA GESTAO DE RECURSOS LTDA</v>
          </cell>
        </row>
        <row r="2587">
          <cell r="B2587" t="str">
            <v>M34848969000139</v>
          </cell>
          <cell r="C2587" t="str">
            <v>WEALTH HIGH GOVERNANCE CAPITAL LTDA.</v>
          </cell>
          <cell r="D2587" t="str">
            <v>WEALTH HIGH GOVERNANCE CAPITAL LTDA.</v>
          </cell>
          <cell r="E2587" t="str">
            <v>WEALTH HIGH GOVERNANCE CAPITAL LTDA.</v>
          </cell>
        </row>
        <row r="2588">
          <cell r="B2588" t="str">
            <v>M34829992000186</v>
          </cell>
          <cell r="D2588" t="str">
            <v>REAG TRUST DTVM S.A.</v>
          </cell>
        </row>
        <row r="2589">
          <cell r="B2589" t="str">
            <v>M34444602000150</v>
          </cell>
          <cell r="C2589" t="str">
            <v>IBBRA GESTÃƒO DE RECURSOS LTDA.</v>
          </cell>
          <cell r="D2589" t="str">
            <v>IBBRA GESTÃƒO DE RECURSOS LTDA</v>
          </cell>
          <cell r="E2589" t="str">
            <v>IBBRA GESTÃƒO DE RECURSOS LTDA.</v>
          </cell>
        </row>
        <row r="2590">
          <cell r="B2590" t="str">
            <v>M34276448000154</v>
          </cell>
          <cell r="C2590" t="str">
            <v>GENOA CAPITAL GESTORA DE RECURSOS LTDA</v>
          </cell>
          <cell r="D2590" t="str">
            <v>GENOA CAPITAL GESTORA DE RECURSOS LTDA</v>
          </cell>
          <cell r="E2590" t="str">
            <v>GENOA CAPITAL GESTORA DE RECURSOS LTDA</v>
          </cell>
        </row>
        <row r="2591">
          <cell r="B2591" t="str">
            <v>M34269803000168</v>
          </cell>
          <cell r="C2591" t="str">
            <v>REAL GRANDEZA - FUNDACAO DE PREVIDENCIA E ASSISTENCIA SOCIAL</v>
          </cell>
          <cell r="D2591" t="str">
            <v>REAL GRANDEZA  FUNDAÃ‡ÃƒO DE PREVIDÃŠNCIA E ASSISTÃŠNCIA SOCIAL</v>
          </cell>
          <cell r="E2591" t="str">
            <v>REAL GRANDEZA - FUNDACAO DE PREVIDENCIA E ASSISTENCIA SOCIAL</v>
          </cell>
        </row>
        <row r="2592">
          <cell r="B2592" t="str">
            <v>M34268789000188</v>
          </cell>
          <cell r="C2592" t="str">
            <v>FUNDACAO ELETROBRAS DE SEGURIDADE SOCIAL ELETROS</v>
          </cell>
          <cell r="D2592" t="str">
            <v>FUNDACAO ELETROBRAS DE SEGURIDADE SOCIAL ELETROS</v>
          </cell>
          <cell r="E2592" t="str">
            <v>FUNDACAO ELETROBRAS DE SEGURIDADE SOCIAL ELETROS</v>
          </cell>
        </row>
        <row r="2593">
          <cell r="B2593" t="str">
            <v>M34176302000137</v>
          </cell>
          <cell r="C2593" t="str">
            <v>ARMOR GESTORA DE RECURSOS LTDA.</v>
          </cell>
          <cell r="D2593" t="str">
            <v>ARMOR GESTORA DE RECURSOS LTDA</v>
          </cell>
          <cell r="E2593" t="str">
            <v>ARMOR GESTORA DE RECURSOS LTDA</v>
          </cell>
        </row>
        <row r="2594">
          <cell r="B2594" t="str">
            <v>M34118647000134</v>
          </cell>
          <cell r="C2594" t="str">
            <v>SUPERMARINE ADMINISTRAÃ‡ÃƒO DE CARTEIRAS DE VALORES MOBILIÃRIOS LTDA.</v>
          </cell>
          <cell r="D2594" t="str">
            <v>SUPERMARINE ADMINISTRAÃ‡ÃƒO DE CARTEIRAS DE VALORES MOBILIÃRIOS LTDA</v>
          </cell>
          <cell r="E2594" t="str">
            <v>SUPERMARINE ADMINISTRAÃ‡ÃƒO DE CARTEIRAS DE VALORES MOBILIÃRIOS LTDA</v>
          </cell>
        </row>
        <row r="2595">
          <cell r="B2595" t="str">
            <v>M34111187000112</v>
          </cell>
          <cell r="C2595" t="str">
            <v>HAITONG BANCO DE INVESTIMENTO DO BRASIL S.A.</v>
          </cell>
          <cell r="D2595" t="str">
            <v>HAITONG BANCO DE INVESTIMENTO DO BRASIL S/A</v>
          </cell>
          <cell r="E2595" t="str">
            <v>HAITONG BANCO DE INVESTIMENTO DO BRASIL S/A</v>
          </cell>
        </row>
        <row r="2596">
          <cell r="B2596" t="str">
            <v>M34098442000134</v>
          </cell>
          <cell r="D2596" t="str">
            <v>BANCO CITICARD S A</v>
          </cell>
          <cell r="E2596" t="str">
            <v>BANCO CITICARD S/A</v>
          </cell>
        </row>
        <row r="2597">
          <cell r="B2597" t="str">
            <v>M34076827000109</v>
          </cell>
          <cell r="C2597" t="str">
            <v>LEGEND WM GESTÃƒO DE RECURSOS LTDA.</v>
          </cell>
          <cell r="D2597" t="str">
            <v>LEGEND WM GESTÃƒO DE RECURSOS LTDA</v>
          </cell>
          <cell r="E2597" t="str">
            <v>LEGEND WM GESTÃƒO DE RECURSOS LTDA.</v>
          </cell>
        </row>
        <row r="2598">
          <cell r="B2598" t="str">
            <v>M34053942000150</v>
          </cell>
          <cell r="C2598" t="str">
            <v>FUNDACAO PETROBRAS DE SEGURIDADE SOCIAL PETROS</v>
          </cell>
          <cell r="D2598" t="str">
            <v>FUNDACAO PETROBRAS DE SEGURIDADE SOCIAL PETROS</v>
          </cell>
          <cell r="E2598" t="str">
            <v>FUNDACAO PETROBRAS DE SEGURIDADE SOCIAL PETROS</v>
          </cell>
        </row>
        <row r="2599">
          <cell r="B2599" t="str">
            <v>M34008311000119</v>
          </cell>
          <cell r="C2599" t="str">
            <v>ONZE GESTORA DE INVESTIMENTOS LTDA.</v>
          </cell>
          <cell r="D2599" t="str">
            <v>ONZE GESTORA DE INVESTIMENTOS LTDA.</v>
          </cell>
          <cell r="E2599" t="str">
            <v>ONZE GESTORA DE INVESTIMENTOS LTDA.</v>
          </cell>
        </row>
        <row r="2600">
          <cell r="B2600" t="str">
            <v>M33987793000133</v>
          </cell>
          <cell r="C2600" t="str">
            <v>BANCO DE INVESTIMENTOS UBS (BRASIL) S.A.</v>
          </cell>
          <cell r="D2600" t="str">
            <v>BANCO DE INVESTIMENTO CREDIT SUISSE (BRASIL) S/A</v>
          </cell>
          <cell r="E2600" t="str">
            <v>BANCO DE INVESTIMENTO CREDIT SUISSE (BRASIL) S/A</v>
          </cell>
        </row>
        <row r="2601">
          <cell r="B2601">
            <v>82677</v>
          </cell>
          <cell r="C2601" t="str">
            <v>COWBOYS FUNDO DE INVESTIMENTO EM ACOES</v>
          </cell>
          <cell r="D2601" t="str">
            <v>COWBOYS FUNDO DE INVESTIMENTO EM ACOES</v>
          </cell>
          <cell r="E2601" t="str">
            <v>JAZZ CAPITAL LTDA</v>
          </cell>
        </row>
        <row r="2602">
          <cell r="B2602" t="str">
            <v>M33868597000140</v>
          </cell>
          <cell r="D2602" t="str">
            <v>CITIBANK DTVM SA</v>
          </cell>
          <cell r="E2602" t="str">
            <v>CITIBANK DTVM S/A</v>
          </cell>
        </row>
        <row r="2603">
          <cell r="B2603" t="str">
            <v>M33862244000132</v>
          </cell>
          <cell r="C2603" t="str">
            <v>BGC LIQUIDEZ DTVM LTDA</v>
          </cell>
          <cell r="D2603" t="str">
            <v>BGC LIQUIDEZ DTVM LTDA</v>
          </cell>
          <cell r="E2603" t="str">
            <v>BGC LIQUIDEZ DTVM LTDA</v>
          </cell>
        </row>
        <row r="2604">
          <cell r="B2604" t="str">
            <v>M33824050000142</v>
          </cell>
          <cell r="D2604" t="str">
            <v>EASYNVEST GESTÃƒO DE RECURSOS LTDA.</v>
          </cell>
        </row>
        <row r="2605">
          <cell r="B2605" t="str">
            <v>M33775974000104</v>
          </cell>
          <cell r="D2605" t="str">
            <v>ATIVA SA CTCV</v>
          </cell>
          <cell r="E2605" t="str">
            <v>ATIVA S/A CTCV</v>
          </cell>
        </row>
        <row r="2606">
          <cell r="B2606" t="str">
            <v>M33657248000189</v>
          </cell>
          <cell r="D2606" t="str">
            <v>BANCO NACIONAL DE DESENVOLVIMENTO ECONOMICO E SOCIAL - BNDES</v>
          </cell>
          <cell r="E2606" t="str">
            <v>BANCO NACIONAL DE DESENVOLVIMENTO ECONOMICO E SOCIAL - BNDES</v>
          </cell>
        </row>
        <row r="2607">
          <cell r="B2607" t="str">
            <v>M33644196000106</v>
          </cell>
          <cell r="D2607" t="str">
            <v>BANCO FATOR S/A</v>
          </cell>
          <cell r="E2607" t="str">
            <v>BANCO FATOR S/A</v>
          </cell>
        </row>
        <row r="2608">
          <cell r="B2608" t="str">
            <v>M33552500000195</v>
          </cell>
          <cell r="C2608" t="str">
            <v>CAPSTONE PARTNERS GESTÃƒO DE RECURSOS LTDA.</v>
          </cell>
          <cell r="D2608" t="str">
            <v>CAPSTONE PARTNERS GESTAO DE RECURSOS LTDA</v>
          </cell>
          <cell r="E2608" t="str">
            <v>CAPSTONE PARTNERS GESTAO DE RECURSOS LTDA</v>
          </cell>
        </row>
        <row r="2609">
          <cell r="B2609" t="str">
            <v>M33479023000180</v>
          </cell>
          <cell r="C2609" t="str">
            <v>BANCO CITIBANK S/A</v>
          </cell>
          <cell r="D2609" t="str">
            <v>BANCO CITIBANK S/A</v>
          </cell>
          <cell r="E2609" t="str">
            <v>BANCO CITIBANK S/A</v>
          </cell>
        </row>
        <row r="2610">
          <cell r="B2610" t="str">
            <v>M33459988000100</v>
          </cell>
          <cell r="C2610" t="str">
            <v>CARTOR CAPITAL GESTÃƒO DE RECURSOS LTDA.</v>
          </cell>
          <cell r="D2610" t="str">
            <v>CARTOR CAPITAL GESTÃƒO DE RECURSOS LTDA</v>
          </cell>
          <cell r="E2610" t="str">
            <v>CARTOR CAPITAL GESTÃO DE RECURSOS LTDA.</v>
          </cell>
        </row>
        <row r="2611">
          <cell r="B2611" t="str">
            <v>M33411393000185</v>
          </cell>
          <cell r="C2611" t="str">
            <v>ACE CAPITAL GESTORA DE RECURSOS LTDA</v>
          </cell>
          <cell r="D2611" t="str">
            <v>ACE CAPITAL GESTORA DE RECURSOS LTDA</v>
          </cell>
          <cell r="E2611" t="str">
            <v>ACE CAPITAL GESTORA DE RECURSOS LTDA</v>
          </cell>
        </row>
        <row r="2612">
          <cell r="B2612">
            <v>74</v>
          </cell>
          <cell r="C2612" t="str">
            <v>XP INVESTIMENTOS CCTVM S/A</v>
          </cell>
          <cell r="D2612" t="str">
            <v>XP INVESTIMENTOS CCTVM S/A</v>
          </cell>
          <cell r="E2612" t="str">
            <v>BANCO XP S/A</v>
          </cell>
        </row>
        <row r="2613">
          <cell r="B2613" t="str">
            <v>M33172537000198</v>
          </cell>
          <cell r="C2613" t="str">
            <v>BANCO JP MORGAN S/A</v>
          </cell>
          <cell r="D2613" t="str">
            <v>BANCO JP MORGAN SA</v>
          </cell>
          <cell r="E2613" t="str">
            <v>BANCO JP MORGAN S/A</v>
          </cell>
        </row>
        <row r="2614">
          <cell r="B2614" t="str">
            <v>M33147315000115</v>
          </cell>
          <cell r="D2614" t="str">
            <v>BANCO BRADESCO BERJ SA</v>
          </cell>
          <cell r="E2614" t="str">
            <v>BANCO BRADESCO BERJ S/A</v>
          </cell>
        </row>
        <row r="2615">
          <cell r="B2615" t="str">
            <v>M33065699000127</v>
          </cell>
          <cell r="D2615" t="str">
            <v>SEGUROS SURA SA</v>
          </cell>
        </row>
        <row r="2616">
          <cell r="B2616" t="str">
            <v>M33061813000140</v>
          </cell>
          <cell r="D2616" t="str">
            <v>PRUDENTIAL DO BRASIL SEGUROS DE VIDA SA</v>
          </cell>
        </row>
        <row r="2617">
          <cell r="B2617" t="str">
            <v>M33041062000109</v>
          </cell>
          <cell r="D2617" t="str">
            <v>TRADITIO COMPANHIA DE SEGUROS</v>
          </cell>
        </row>
        <row r="2618">
          <cell r="B2618" t="str">
            <v>M33040981000150</v>
          </cell>
          <cell r="D2618" t="str">
            <v>AIG SEGUROS BRASIL SA</v>
          </cell>
          <cell r="E2618" t="str">
            <v>AIG SEGUROS BRASIL S/A</v>
          </cell>
        </row>
        <row r="2619">
          <cell r="B2619" t="str">
            <v>M33016221000107</v>
          </cell>
          <cell r="D2619" t="str">
            <v>MITSUI SUMITOMO SEGUROS SA</v>
          </cell>
        </row>
        <row r="2620">
          <cell r="B2620" t="str">
            <v>M33010851000174</v>
          </cell>
          <cell r="D2620" t="str">
            <v>BRADESCO CAPITALIZAÃ‡ÃƒO SA  LIVRE RV</v>
          </cell>
        </row>
        <row r="2621">
          <cell r="B2621" t="str">
            <v>M32832649000165</v>
          </cell>
          <cell r="C2621" t="str">
            <v>QR ASSET GESTORA DE RECURSOS LTDA.</v>
          </cell>
          <cell r="D2621" t="str">
            <v>QR CAPITAL GESTORA DE RECURSOS LTDA</v>
          </cell>
          <cell r="E2621" t="str">
            <v>QR ASSET GESTORA DE RECURSOS LTDA.</v>
          </cell>
        </row>
        <row r="2622">
          <cell r="B2622" t="str">
            <v>M32706879000188</v>
          </cell>
          <cell r="C2622" t="str">
            <v>GALAPAGOS CAPITAL INVESTIMENTOS E PARTICIPAÃ‡Ã•ES LTDA.</v>
          </cell>
          <cell r="D2622" t="str">
            <v>GALAPAGOS CAPITAL INVESTIMENTOS E PARTICIPAÃ‡Ã•ES LTDA</v>
          </cell>
          <cell r="E2622" t="str">
            <v>GALAPAGOS CAPITAL INVESTIMENTOS E PARTICIPAÇOES LTDA</v>
          </cell>
        </row>
        <row r="2623">
          <cell r="B2623" t="str">
            <v>M32500613000184</v>
          </cell>
          <cell r="C2623" t="str">
            <v>CAIXA BENEFICENTE DOS EMPREGADOS DA CSN - CBS</v>
          </cell>
          <cell r="D2623" t="str">
            <v>CAIXA BENEFICENTE DOS EMPREGADOS DA CSN  CBS</v>
          </cell>
          <cell r="E2623" t="str">
            <v>CAIXA BENEFICENTE DOS EMPREGADOS DA CSN - CBS</v>
          </cell>
        </row>
        <row r="2624">
          <cell r="B2624" t="str">
            <v>M32357481000183</v>
          </cell>
          <cell r="D2624" t="str">
            <v>ALLIANZ BRASIL SEGURADORA SA</v>
          </cell>
          <cell r="E2624" t="str">
            <v>ALLIANZ SEGUROS S/A</v>
          </cell>
        </row>
        <row r="2625">
          <cell r="B2625" t="str">
            <v>M32288914000196</v>
          </cell>
          <cell r="C2625" t="str">
            <v>EUQUEROINVESTIR GESTÃƒO DE RECURSOS LTDA</v>
          </cell>
          <cell r="D2625" t="str">
            <v>EUQUEROINVESTIR GESTAO DE RECURSOS LTDA</v>
          </cell>
          <cell r="E2625" t="str">
            <v>EUQUEROINVESTIR GESTÃO DE RECURSOS LTDA</v>
          </cell>
        </row>
        <row r="2626">
          <cell r="B2626" t="str">
            <v>M32219232000121</v>
          </cell>
          <cell r="D2626" t="str">
            <v>NUPAY FOR BUSINESS INSTITUICAO DE PAGAMENTO LTDA</v>
          </cell>
          <cell r="E2626" t="str">
            <v>HDI GLOBAL SEGUROS S/A</v>
          </cell>
        </row>
        <row r="2627">
          <cell r="B2627" t="str">
            <v>M31982447000137</v>
          </cell>
          <cell r="C2627" t="str">
            <v>CG INVESTIMENTOS BRAZIL LTDA.</v>
          </cell>
          <cell r="D2627" t="str">
            <v>CG INVESTIMENTOS BRAZIL LTDA</v>
          </cell>
          <cell r="E2627" t="str">
            <v>CG INVESTIMENTOS BRAZIL LTDA.</v>
          </cell>
        </row>
        <row r="2628">
          <cell r="B2628" t="str">
            <v>M31960567000133</v>
          </cell>
          <cell r="C2628" t="str">
            <v>EXES GESTORA DE RECURSOS LTDA</v>
          </cell>
          <cell r="D2628" t="str">
            <v>EXES GESTORA DE RECURSOS LTDA</v>
          </cell>
          <cell r="E2628" t="str">
            <v>EXES GESTORA DE RECURSOS LTDA</v>
          </cell>
        </row>
        <row r="2629">
          <cell r="B2629" t="str">
            <v>M31872495000172</v>
          </cell>
          <cell r="C2629" t="str">
            <v>BANCO C6 S.A.</v>
          </cell>
          <cell r="D2629" t="str">
            <v>BANCO C6 S.A</v>
          </cell>
          <cell r="E2629" t="str">
            <v>BANCO C6 S/A</v>
          </cell>
        </row>
        <row r="2630">
          <cell r="B2630" t="str">
            <v>M31846936000161</v>
          </cell>
          <cell r="C2630" t="str">
            <v>ASA ASSET GESTÃƒO EM INVESTIMENTOS LTDA.</v>
          </cell>
          <cell r="D2630" t="str">
            <v>ASA ASSET GESTÃƒO EM INVESTIMENTOS LTDA.</v>
          </cell>
          <cell r="E2630" t="str">
            <v>ASA ASSET GESTAO EM INVESTIMENTOS LTDA</v>
          </cell>
        </row>
        <row r="2631">
          <cell r="B2631" t="str">
            <v>M31846872000107</v>
          </cell>
          <cell r="C2631" t="str">
            <v>VINLAND CAPITAL MANAGEMENT CRÃ‰DITO PRIVADO GESTORA DE RECURSOS LTDA.</v>
          </cell>
          <cell r="D2631" t="str">
            <v>VINLAND CAPITAL MANAGEMENT GESTORA DE RECURSOS LTDA</v>
          </cell>
          <cell r="E2631" t="str">
            <v>VINLAND CAPITAL MANAGEMENT GESTORA DE RECURSOS LTDA</v>
          </cell>
        </row>
        <row r="2632">
          <cell r="B2632" t="str">
            <v>M31766764000116</v>
          </cell>
          <cell r="D2632" t="str">
            <v>DYNAMO BRASIL XV LLC</v>
          </cell>
        </row>
        <row r="2633">
          <cell r="B2633" t="str">
            <v>M31711157000159</v>
          </cell>
          <cell r="D2633" t="str">
            <v>FUNDO PREVIDENCIARIO DO MUNICIPIO DE GOIANIA</v>
          </cell>
        </row>
        <row r="2634">
          <cell r="B2634" t="str">
            <v>M31602001000130</v>
          </cell>
          <cell r="D2634" t="str">
            <v>KAIROS CAPITAL GESTAO DE RECURSOS LTDA</v>
          </cell>
        </row>
        <row r="2635">
          <cell r="B2635" t="str">
            <v>M31534848000124</v>
          </cell>
          <cell r="D2635" t="str">
            <v>EZZE SEGUROS SA</v>
          </cell>
        </row>
        <row r="2636">
          <cell r="B2636" t="str">
            <v>M31384260000131</v>
          </cell>
          <cell r="C2636" t="str">
            <v>ORIZ ASSET MANAGEMENT LTDA.</v>
          </cell>
          <cell r="D2636" t="str">
            <v>ORIZ ASSET MANAGEMENT LTDA</v>
          </cell>
          <cell r="E2636" t="str">
            <v>ORIZ ASSET MANAGEMENT LTDA.</v>
          </cell>
        </row>
        <row r="2637">
          <cell r="B2637" t="str">
            <v>M31245392000182</v>
          </cell>
          <cell r="D2637" t="str">
            <v>UNISYSPREVI ENTIDADE DE PREVIDENCIA COMPLEMENTAR</v>
          </cell>
        </row>
        <row r="2638">
          <cell r="B2638" t="str">
            <v>M31153117000139</v>
          </cell>
          <cell r="D2638" t="str">
            <v>MICHELIN PREVIDENCIARIA PREVIM</v>
          </cell>
        </row>
        <row r="2639">
          <cell r="B2639" t="str">
            <v>M30822936000169</v>
          </cell>
          <cell r="C2639" t="str">
            <v>BB GESTAO DE RECURSOS DTVM LTDA</v>
          </cell>
          <cell r="D2639" t="str">
            <v>BB GESTAO DE RECURSOS DTVM LTDA</v>
          </cell>
          <cell r="E2639" t="str">
            <v>BB GESTAO DE RECURSOS DTVM LTDA</v>
          </cell>
        </row>
        <row r="2640">
          <cell r="B2640" t="str">
            <v>M30782926000147</v>
          </cell>
          <cell r="C2640" t="str">
            <v>TERA INVESTIMENTOS LTDA.</v>
          </cell>
          <cell r="D2640" t="str">
            <v>TERA INVESTIMENTOS LTDA</v>
          </cell>
          <cell r="E2640" t="str">
            <v>TERA INVESTIMENTOS LTDA.</v>
          </cell>
        </row>
        <row r="2641">
          <cell r="B2641" t="str">
            <v>M30723886000162</v>
          </cell>
          <cell r="C2641" t="str">
            <v>BANCO MODAL S.A.</v>
          </cell>
          <cell r="D2641" t="str">
            <v>BANCO MODAL S/A</v>
          </cell>
          <cell r="E2641" t="str">
            <v>BANCO MODAL S.A.</v>
          </cell>
        </row>
        <row r="2642">
          <cell r="B2642" t="str">
            <v>M30701673000130</v>
          </cell>
          <cell r="C2642" t="str">
            <v>ARTESANAL MCMS LTDA</v>
          </cell>
          <cell r="D2642" t="str">
            <v>GARDE RF &amp; SISTEMÃTICA GESTÃƒO DE RECURSOS LTDA</v>
          </cell>
          <cell r="E2642" t="str">
            <v>ARTESANAL MCMS LTDA</v>
          </cell>
        </row>
        <row r="2643">
          <cell r="B2643" t="str">
            <v>M30680829000143</v>
          </cell>
          <cell r="D2643" t="str">
            <v>Nu Financeira S.A. - SCFI</v>
          </cell>
          <cell r="E2643" t="str">
            <v>NU PAGAMENTOS SOCIEDADE ANONIMA</v>
          </cell>
        </row>
        <row r="2644">
          <cell r="B2644" t="str">
            <v>M30487912000109</v>
          </cell>
          <cell r="D2644" t="str">
            <v>INSTITUTO AMBEV DE PREVIDENCIA PRIVADA</v>
          </cell>
        </row>
        <row r="2645">
          <cell r="B2645" t="str">
            <v>M30306294000145</v>
          </cell>
          <cell r="C2645" t="str">
            <v>BANCO BTG PACTUAL S/A</v>
          </cell>
          <cell r="D2645" t="str">
            <v>BANCO BTG PACTUAL S.A.</v>
          </cell>
          <cell r="E2645" t="str">
            <v>BANCO BTG PACTUAL S/A</v>
          </cell>
        </row>
        <row r="2646">
          <cell r="B2646" t="str">
            <v>M30277685000189</v>
          </cell>
          <cell r="C2646" t="str">
            <v>FUNDACAO REDE FERROVIARIA DE SEGURIDADE SOCIAL REFER</v>
          </cell>
          <cell r="D2646" t="str">
            <v>FUNDACAO REDE FERROVIARIA DE SEGURIDADE SOCIAL REFER</v>
          </cell>
          <cell r="E2646" t="str">
            <v>FUNDACAO REDE FERROVIARIA DE SEGURIDADE SOCIAL REFER</v>
          </cell>
        </row>
        <row r="2647">
          <cell r="B2647" t="str">
            <v>M30214939000110</v>
          </cell>
          <cell r="C2647" t="str">
            <v>BRDR GESTORA DE VALORES MOBILIÃRIOS LTDA</v>
          </cell>
          <cell r="D2647" t="str">
            <v>BRDR GESTORA DE VALORES MOBILIARIOS LTDA</v>
          </cell>
          <cell r="E2647" t="str">
            <v>BRDR GESTORA DE VALORES MOBILIÃRIOS LTDA</v>
          </cell>
        </row>
        <row r="2648">
          <cell r="B2648" t="str">
            <v>M30193705000133</v>
          </cell>
          <cell r="C2648" t="str">
            <v>ZERO CINCO UM CAPITAL GESTAO DE RECURSOS LTDA</v>
          </cell>
          <cell r="D2648" t="str">
            <v>ZERO CINCO UM CAPITAL GESTÃƒO DE RECURSOS LTDA</v>
          </cell>
          <cell r="E2648" t="str">
            <v>ZERO CINCO UM CAPITAL GESTAO DE RECURSOS LTDA</v>
          </cell>
        </row>
        <row r="2649">
          <cell r="B2649" t="str">
            <v>M30135282000103</v>
          </cell>
          <cell r="C2649" t="str">
            <v>PATRIMONIAL GESTÃƒO DE RECURSOS LTDA.</v>
          </cell>
          <cell r="D2649" t="str">
            <v>PATRIMONIAL GESTÃƒO DE RECURSOS LTDA.</v>
          </cell>
          <cell r="E2649" t="str">
            <v>PATRIMONIAL GESTÃƒO DE RECURSOS LTDA.</v>
          </cell>
        </row>
        <row r="2650">
          <cell r="B2650" t="str">
            <v>M30085578000159</v>
          </cell>
          <cell r="C2650" t="str">
            <v>NEO MULTIMERCADO GESTÃƒO DE RECURSOS LTDA</v>
          </cell>
          <cell r="D2650" t="str">
            <v>NEO MULTIMERCADO GESTÃƒO DE RECURSOS LTDA</v>
          </cell>
          <cell r="E2650" t="str">
            <v>NEO GESTÃO DE RECURSOS LTDA</v>
          </cell>
        </row>
        <row r="2651">
          <cell r="B2651" t="str">
            <v>M30076267000123</v>
          </cell>
          <cell r="D2651" t="str">
            <v>ENDURANCE INDUSTRIAL LTDA</v>
          </cell>
        </row>
        <row r="2652">
          <cell r="B2652" t="str">
            <v>M30038003000185</v>
          </cell>
          <cell r="C2652" t="str">
            <v>GOW CAPITAL GESTÃƒO DE RECURSOS E CONSULTORIA LTDA.</v>
          </cell>
          <cell r="D2652" t="str">
            <v>GOW CAPITAL GESTÃƒO DE RECURSOS E CONSULTORIA LTDA.</v>
          </cell>
          <cell r="E2652" t="str">
            <v>GOW CAPITAL GESTÃƒO DE RECURSOS E CONSULTORIA LTDA.</v>
          </cell>
        </row>
        <row r="2653">
          <cell r="B2653" t="str">
            <v>M30034266000116</v>
          </cell>
          <cell r="C2653" t="str">
            <v>MANDATTO GESTAO DE INVESTIMENTOS LTDA</v>
          </cell>
          <cell r="D2653" t="str">
            <v>MANDATTO GESTAO DE INVESTIMENTOS LTDA</v>
          </cell>
          <cell r="E2653" t="str">
            <v>MANDATTO GESTAO DE INVESTIMENTOS LTDA</v>
          </cell>
        </row>
        <row r="2654">
          <cell r="B2654" t="str">
            <v>M29996127000194</v>
          </cell>
          <cell r="C2654" t="str">
            <v>SONATA GESTORA DE RECURSOS LTDA.</v>
          </cell>
          <cell r="D2654" t="str">
            <v>SONATA GESTORA DE RECURSOS LTDA</v>
          </cell>
          <cell r="E2654" t="str">
            <v>SONATA GESTORA DE RECURSOS LTDA</v>
          </cell>
        </row>
        <row r="2655">
          <cell r="B2655" t="str">
            <v>M29959574000173</v>
          </cell>
          <cell r="C2655" t="str">
            <v>FUNDAÃ‡ÃƒO DE PREVIDÃŠNCIA DOS SERVIDORES DO IRB PREVIRB</v>
          </cell>
          <cell r="D2655" t="str">
            <v>FUNDACAO DE PREVIDENCIA DOS SERVIDORES DO IRB</v>
          </cell>
          <cell r="E2655" t="str">
            <v>FUNDAÇÃO DE PREVIDENCIA DOS SERVIDORES DO IRB PREVIRB</v>
          </cell>
        </row>
        <row r="2656">
          <cell r="B2656" t="str">
            <v>M29650082000100</v>
          </cell>
          <cell r="C2656" t="str">
            <v>BTG PACTUAL ASSET MANAGEMENT SA DTVM</v>
          </cell>
          <cell r="D2656" t="str">
            <v>BTG PACTUAL ASSET MANAGEMENT SA DTVM</v>
          </cell>
          <cell r="E2656" t="str">
            <v>BTG PACTUAL ASSET MANAGEMENT SA DTVM</v>
          </cell>
        </row>
        <row r="2657">
          <cell r="B2657" t="str">
            <v>M29608120000158</v>
          </cell>
          <cell r="C2657" t="str">
            <v>PERSEVERA GESTÃƒO DE RECURSOS LTDA.</v>
          </cell>
          <cell r="D2657" t="str">
            <v>PERSEVERA GESTAO DE RECURSOS LTDA</v>
          </cell>
          <cell r="E2657" t="str">
            <v>PERSEVERA GESTAO DE RECURSOS LTDA</v>
          </cell>
        </row>
        <row r="2658">
          <cell r="B2658" t="str">
            <v>M29415858000107</v>
          </cell>
          <cell r="D2658" t="str">
            <v>CITIPREVI  ENTIDADE FECHADA DE PREVIDENCIA COMPLEMENTAR</v>
          </cell>
        </row>
        <row r="2659">
          <cell r="B2659">
            <v>7703</v>
          </cell>
          <cell r="C2659" t="str">
            <v>XP INVESTIMENTOS CCTVM S/A</v>
          </cell>
          <cell r="D2659" t="str">
            <v>XP INVESTIMENTOS CCTVM S/A</v>
          </cell>
          <cell r="E2659" t="str">
            <v>BANCO XP S/A</v>
          </cell>
        </row>
        <row r="2660">
          <cell r="B2660" t="str">
            <v>M29364995000151</v>
          </cell>
          <cell r="C2660" t="str">
            <v>BLUELINE ASSET MANAGEMENT S.A.</v>
          </cell>
          <cell r="D2660" t="str">
            <v>BLUELINE ASSET MANAGEMENT LTDA</v>
          </cell>
          <cell r="E2660" t="str">
            <v>BLUELINE ASSET MANAGEMENT S.A.</v>
          </cell>
        </row>
        <row r="2661">
          <cell r="B2661" t="str">
            <v>M29349426000137</v>
          </cell>
          <cell r="C2661" t="str">
            <v>NU ASSET MANAGEMENT LTDA</v>
          </cell>
          <cell r="D2661" t="str">
            <v>NU ASSET MANAGEMENT LTDA</v>
          </cell>
          <cell r="E2661" t="str">
            <v>NU PAGAMENTOS SOCIEDADE ANONIMA</v>
          </cell>
        </row>
        <row r="2662">
          <cell r="B2662" t="str">
            <v>M29325262000108</v>
          </cell>
          <cell r="C2662" t="str">
            <v>IRB ASSET MANAGEMENT S.A.</v>
          </cell>
          <cell r="D2662" t="str">
            <v>IRB ASSET MANAGEMENT SA</v>
          </cell>
          <cell r="E2662" t="str">
            <v>IRB ASSET MANAGEMENT S/A</v>
          </cell>
        </row>
        <row r="2663">
          <cell r="B2663" t="str">
            <v>M29036872000191</v>
          </cell>
          <cell r="C2663" t="str">
            <v>SUESTE CAPITAL GESTÃƒO DE RECURSOS LTDA</v>
          </cell>
          <cell r="D2663" t="str">
            <v>SUESTE CAPITAL GESTÃƒO DE RECURSOS LTDA</v>
          </cell>
          <cell r="E2663" t="str">
            <v>SUESTE CAPITAL GESTÃO DE RECURSOS LTDA</v>
          </cell>
        </row>
        <row r="2664">
          <cell r="B2664" t="str">
            <v>M29030467000166</v>
          </cell>
          <cell r="D2664" t="str">
            <v>SCOTIABANK BRASIL S.A BANCO MULTIPLO(ANTIGO DRESDNER BANK BR)</v>
          </cell>
          <cell r="E2664" t="str">
            <v>SCOTIABANK BRASIL S/A</v>
          </cell>
        </row>
        <row r="2665">
          <cell r="B2665" t="str">
            <v>M28928618000135</v>
          </cell>
          <cell r="C2665" t="str">
            <v>REACH CAPITAL INVESTIMENTOS LTDA</v>
          </cell>
          <cell r="D2665" t="str">
            <v>REACH CAPITAL INVESTIMENTOS LTDA.</v>
          </cell>
          <cell r="E2665" t="str">
            <v>REACH CAPITAL INVESTIMENTOS LTDA</v>
          </cell>
        </row>
        <row r="2666">
          <cell r="B2666" t="str">
            <v>M28925400000127</v>
          </cell>
          <cell r="C2666" t="str">
            <v>TRÃGONO CAPITAL LTDA.</v>
          </cell>
          <cell r="D2666" t="str">
            <v>TRÃGONO CAPITAL LTDA.</v>
          </cell>
          <cell r="E2666" t="str">
            <v>TRÍGONO CAPITAL LTDA.</v>
          </cell>
        </row>
        <row r="2667">
          <cell r="B2667" t="str">
            <v>M28728697000130</v>
          </cell>
          <cell r="C2667" t="str">
            <v>VERSA GESTORA DE RECURSOS LTDA.</v>
          </cell>
          <cell r="D2667" t="str">
            <v>VERSA GESTORA DE RECURSOS LTDA</v>
          </cell>
          <cell r="E2667" t="str">
            <v>VERSA GESTORA DE RECURSOS LTDA.</v>
          </cell>
        </row>
        <row r="2668">
          <cell r="B2668" t="str">
            <v>M28674641000140</v>
          </cell>
          <cell r="C2668" t="str">
            <v>LEGACY CAPITAL GESTORA DE RECURSOS LTDA.</v>
          </cell>
          <cell r="D2668" t="str">
            <v>LEGACY CAPITAL GESTORA DE RECURSOS LTDA</v>
          </cell>
          <cell r="E2668" t="str">
            <v>LEGACY CAPITAL GESTORA DE RECURSOS LTDA</v>
          </cell>
        </row>
        <row r="2669">
          <cell r="B2669" t="str">
            <v>M28635320000137</v>
          </cell>
          <cell r="D2669" t="str">
            <v>RIO PARTNERS BV</v>
          </cell>
          <cell r="E2669" t="str">
            <v>BANCO BNP PARIBAS BRASIL S/A</v>
          </cell>
        </row>
        <row r="2670">
          <cell r="B2670" t="str">
            <v>M28529686000121</v>
          </cell>
          <cell r="C2670" t="str">
            <v>WNT GESTORA DE RECURSOS LTDA</v>
          </cell>
          <cell r="D2670" t="str">
            <v>WNT GESTORA DE RECURSOS LTDA</v>
          </cell>
          <cell r="E2670" t="str">
            <v>WNT GESTORA DE RECURSOS LTDA</v>
          </cell>
        </row>
        <row r="2671">
          <cell r="B2671" t="str">
            <v>M28363263000184</v>
          </cell>
          <cell r="C2671" t="str">
            <v>DEVANT ASSET INVESTIMENTOS LTDA</v>
          </cell>
          <cell r="D2671" t="str">
            <v>DEVANT ASSET INVESTIMENTOS LTDA</v>
          </cell>
          <cell r="E2671" t="str">
            <v>DEVANT ASSET INVESTIMENTOS LTDA</v>
          </cell>
        </row>
        <row r="2672">
          <cell r="B2672" t="str">
            <v>M28195667000106</v>
          </cell>
          <cell r="C2672" t="str">
            <v>BANCO ABC BRASIL S/A</v>
          </cell>
          <cell r="D2672" t="str">
            <v>BANCO ABC BRASIL S/A</v>
          </cell>
          <cell r="E2672" t="str">
            <v>BANCO ABC BRASIL S/A</v>
          </cell>
        </row>
        <row r="2673">
          <cell r="B2673" t="str">
            <v>M28156057000101</v>
          </cell>
          <cell r="C2673" t="str">
            <v>BANESTES DTVM SA</v>
          </cell>
          <cell r="D2673" t="str">
            <v>BANESTES DTVM SA</v>
          </cell>
          <cell r="E2673" t="str">
            <v>BANESTES DTVM SA</v>
          </cell>
        </row>
        <row r="2674">
          <cell r="B2674" t="str">
            <v>M28145829000100</v>
          </cell>
          <cell r="D2674" t="str">
            <v>BANCO DE DESENVOLVIMENTO DO ESPIRITO SANTO S/A</v>
          </cell>
          <cell r="E2674" t="str">
            <v>BANCO DE DESENVOLVIMENTO DO ESPIRITO SANTO S/A</v>
          </cell>
        </row>
        <row r="2675">
          <cell r="B2675" t="str">
            <v>M28048783000100</v>
          </cell>
          <cell r="D2675" t="str">
            <v>ELITE CORRETORA DE CAMBIO E VALORES MOBILIARIOS LTDA</v>
          </cell>
        </row>
        <row r="2676">
          <cell r="B2676" t="str">
            <v>M28018445000118</v>
          </cell>
          <cell r="C2676" t="str">
            <v>ACE CAPITAL SAIRES GESTORA DE RECURSOS LTDA.</v>
          </cell>
          <cell r="D2676" t="str">
            <v>ACE CAPITAL SAIRES GESTORA DE RECURSOS LTDA.</v>
          </cell>
          <cell r="E2676" t="str">
            <v>ACE CAPITAL GESTORA DE RECURSOS LTDA</v>
          </cell>
        </row>
        <row r="2677">
          <cell r="B2677" t="str">
            <v>M27957477000116</v>
          </cell>
          <cell r="C2677" t="str">
            <v>SHARP CAPITAL GESTORA DE RECURSOS LTDA</v>
          </cell>
          <cell r="D2677" t="str">
            <v>SHARP CAPITAL GESTORA DE RECURSOS LTDA</v>
          </cell>
          <cell r="E2677" t="str">
            <v>SHARP CAPITAL GESTORA DE RECURSOS LTDA</v>
          </cell>
        </row>
        <row r="2678">
          <cell r="B2678" t="str">
            <v>M27916161000186</v>
          </cell>
          <cell r="C2678" t="str">
            <v>OCCAM BRASIL GESTÃƒO DE RECURSOS LTDA.</v>
          </cell>
          <cell r="D2678" t="str">
            <v>OCCAM BRASIL GESTÃƒO DE RECURSOS LTDA.</v>
          </cell>
          <cell r="E2678" t="str">
            <v>OCCAM BRASIL GESTAO DE RECURSOS LTDA</v>
          </cell>
        </row>
        <row r="2679">
          <cell r="B2679" t="str">
            <v>M27690986000125</v>
          </cell>
          <cell r="C2679" t="str">
            <v>ARC CAPITAL LTDA.</v>
          </cell>
          <cell r="D2679" t="str">
            <v>ARC CAPITAL LTDA</v>
          </cell>
          <cell r="E2679" t="str">
            <v>ARC CAPITAL LTDA</v>
          </cell>
        </row>
        <row r="2680">
          <cell r="B2680" t="str">
            <v>M27665207000131</v>
          </cell>
          <cell r="C2680" t="str">
            <v>BRASILPREV SEGUROS E PREVIDÃŠNCIA S.A</v>
          </cell>
          <cell r="D2680" t="str">
            <v>BRASILPREV SEGUROS E PREVIDÃŠNCIA SA</v>
          </cell>
          <cell r="E2680" t="str">
            <v>BRASILPREV SEGUROS E PREVIDÃŠNCIA S.A</v>
          </cell>
        </row>
        <row r="2681">
          <cell r="B2681" t="str">
            <v>M27652684000162</v>
          </cell>
          <cell r="D2681" t="str">
            <v>GENIAL INVESTIMENTOS CVM S.A.</v>
          </cell>
          <cell r="E2681" t="str">
            <v>GENIAL INVESTIMENTOS CVM S/A</v>
          </cell>
        </row>
        <row r="2682">
          <cell r="B2682" t="str">
            <v>M27644368000149</v>
          </cell>
          <cell r="D2682" t="str">
            <v>INSTITUTO INFRAERO DE SEGURIDADE SOCIAL</v>
          </cell>
        </row>
        <row r="2683">
          <cell r="B2683" t="str">
            <v>M27451574000132</v>
          </cell>
          <cell r="D2683" t="str">
            <v>INSTITUTO DE PREVIDENCIA DOS SERVIDORES DO MUNICIPIO DA SERRA  IPS</v>
          </cell>
        </row>
        <row r="2684">
          <cell r="B2684" t="str">
            <v>M27291857000164</v>
          </cell>
          <cell r="D2684" t="str">
            <v>VERMONT GESTAO DE INVESTIMENTOS LTDA</v>
          </cell>
        </row>
        <row r="2685">
          <cell r="B2685" t="str">
            <v>M27133825000130</v>
          </cell>
          <cell r="C2685" t="str">
            <v>NAVI CAPITAL ADMINISTRADORA E GESTORA DE RECURSOS FINANCEIRO</v>
          </cell>
          <cell r="D2685" t="str">
            <v>NAVI CAPITAL ADMINISTRADORA E GESTORA DE RECURSOS FINANCEIRO</v>
          </cell>
          <cell r="E2685" t="str">
            <v>NAVI CAPITAL ADMINISTRADORA E GESTORA DE RECURSOS FINANCEIRO</v>
          </cell>
        </row>
        <row r="2686">
          <cell r="B2686" t="str">
            <v>M27028424000110</v>
          </cell>
          <cell r="C2686" t="str">
            <v>IRIDIUM GESTÃƒO DE RECURSOS LTDA.</v>
          </cell>
          <cell r="D2686" t="str">
            <v>IRIDIUM GESTÃƒO DE RECURSOS LTDA</v>
          </cell>
          <cell r="E2686" t="str">
            <v>IRIDIUM GESTÃƒO DE RECURSOS LTDA.</v>
          </cell>
        </row>
        <row r="2687">
          <cell r="B2687" t="str">
            <v>M26737584000176</v>
          </cell>
          <cell r="C2687" t="str">
            <v>AMW ASSET MANAGEMENT LTDA</v>
          </cell>
          <cell r="D2687" t="str">
            <v>AMW ASSET MANAGEMENT LTDA.</v>
          </cell>
          <cell r="E2687" t="str">
            <v>AMW ASSET MANAGEMENT LTDA</v>
          </cell>
        </row>
        <row r="2688">
          <cell r="B2688" t="str">
            <v>M26454342000175</v>
          </cell>
          <cell r="C2688" t="str">
            <v>LIFETIME GESTORA DE RECURSOS LTDA</v>
          </cell>
          <cell r="D2688" t="str">
            <v>LIFETIME GESTORA DE RECURSOS LTDA</v>
          </cell>
          <cell r="E2688" t="str">
            <v>LIFETIME GESTORA DE RECURSOS LTDA</v>
          </cell>
        </row>
        <row r="2689">
          <cell r="B2689" t="str">
            <v>M26198955000199</v>
          </cell>
          <cell r="C2689" t="str">
            <v>KÃ–LI CAPITAL GESTORA DE RECURSOS S.A.</v>
          </cell>
          <cell r="D2689" t="str">
            <v>KOLI CAPITAL GESTORA DE RECURSOS S.A.</v>
          </cell>
          <cell r="E2689" t="str">
            <v>KOLI CAPITAL GESTORA DE RECURSOS S/A</v>
          </cell>
        </row>
        <row r="2690">
          <cell r="B2690" t="str">
            <v>M26093429000164</v>
          </cell>
          <cell r="C2690" t="str">
            <v>TRACK CAPITAL GESTAO DE RECURSOS LTDA</v>
          </cell>
          <cell r="D2690" t="str">
            <v>TRACK CAPITAL GESTÃƒO DE RECURSOS LTDA</v>
          </cell>
          <cell r="E2690" t="str">
            <v>TRACK CAPITAL GESTAO DE RECURSOS LTDA</v>
          </cell>
        </row>
        <row r="2691">
          <cell r="B2691" t="str">
            <v>M25248367000150</v>
          </cell>
          <cell r="C2691" t="str">
            <v>VÃŠNETO GESTÃƒO DE RECURSOS LTDA</v>
          </cell>
          <cell r="D2691" t="str">
            <v>VÃŠNETO GESTÃƒO DE RECURSOS LTDA</v>
          </cell>
          <cell r="E2691" t="str">
            <v>VENETO GESTAO DE RECURSOS LTDA</v>
          </cell>
        </row>
        <row r="2692">
          <cell r="B2692" t="str">
            <v>M25187201000170</v>
          </cell>
          <cell r="C2692" t="str">
            <v>AWARE GESTÃƒO DE RECURSOS LTDA.</v>
          </cell>
          <cell r="D2692" t="str">
            <v>AWARE GESTÃƒO DE RECURSOS LTDA.</v>
          </cell>
          <cell r="E2692" t="str">
            <v>AWARE GESTÃO DE RECURSOS LTDA</v>
          </cell>
        </row>
        <row r="2693">
          <cell r="B2693" t="str">
            <v>M25091307000176</v>
          </cell>
          <cell r="D2693" t="str">
            <v>INSTITUTO DE GESTAO PREVIDENCIARIA DO ESTADO DO TOCANTINS</v>
          </cell>
        </row>
        <row r="2694">
          <cell r="B2694" t="str">
            <v>M24933830000130</v>
          </cell>
          <cell r="D2694" t="str">
            <v>BB-BANCO DE INVESTIMENTO S.A.</v>
          </cell>
          <cell r="E2694" t="str">
            <v>BB BANCO DE INVESTIMENTO S/A</v>
          </cell>
        </row>
        <row r="2695">
          <cell r="B2695" t="str">
            <v>M24846794000177</v>
          </cell>
          <cell r="C2695" t="str">
            <v>FUNDACAO DE PREVIDENCIA COMPLEMENTAR DO SERVIDOR PUBLICO DO ESTADO DO RIO GRANDE DO SUL</v>
          </cell>
          <cell r="D2695" t="str">
            <v>FUNDACAO DE PREVIDENCIA COMPLEMENTAR DO SERVIDOR PUBLICO DO ESTADO DO RIO GRANDE DO SUL</v>
          </cell>
          <cell r="E2695" t="str">
            <v>FUNDACAO DE PREVIDENCIA COMPLEMENTAR DO SERVIDOR PUBLICO DO ESTADO DO RIO GRANDE DO SUL</v>
          </cell>
        </row>
        <row r="2696">
          <cell r="B2696" t="str">
            <v>M24176946000171</v>
          </cell>
          <cell r="C2696" t="str">
            <v>WARREN BRASIL GESTÃƒO E ADMINISTRAÃ‡ÃƒO DE RECURSOS LTDA</v>
          </cell>
          <cell r="D2696" t="str">
            <v>WARREN BRASIL GESTÃƒO E ADMINISTRAÃ‡ÃƒO DE RECURSOS LTDA</v>
          </cell>
          <cell r="E2696" t="str">
            <v>WARREN BRASIL GESTÃO E ADMINISTRAÇÃO DE RECURSOS LTDA</v>
          </cell>
        </row>
        <row r="2697">
          <cell r="B2697" t="str">
            <v>M23890968000136</v>
          </cell>
          <cell r="C2697" t="str">
            <v>TRUXT INVESTIMENTOS LTDA.</v>
          </cell>
          <cell r="D2697" t="str">
            <v>TRUXT INVESTIMENTOS LTDA</v>
          </cell>
          <cell r="E2697" t="str">
            <v>TRUXT INVESTIMENTOS LTDA</v>
          </cell>
        </row>
        <row r="2698">
          <cell r="B2698" t="str">
            <v>M23863529000134</v>
          </cell>
          <cell r="C2698" t="str">
            <v>REAG ADMINISTRADORA DE RECURSOS LTDA</v>
          </cell>
          <cell r="D2698" t="str">
            <v>REAG ADMINISTRADORA DE RECURSOS LTDA.</v>
          </cell>
          <cell r="E2698" t="str">
            <v>REAG ASSET MANAGEMENT LTDA</v>
          </cell>
        </row>
        <row r="2699">
          <cell r="B2699" t="str">
            <v>M23360896000115</v>
          </cell>
          <cell r="C2699" t="str">
            <v>AUGME CAPITAL GESTÃƒO DE RECURSOS LTDA.</v>
          </cell>
          <cell r="D2699" t="str">
            <v>AUGME CAPITAL GESTÃƒO DE RECURSOS LTDA</v>
          </cell>
          <cell r="E2699" t="str">
            <v>AUGME CAPITAL GESTAO DE RECURSOS LTDA</v>
          </cell>
        </row>
        <row r="2700">
          <cell r="B2700" t="str">
            <v>M23313334000110</v>
          </cell>
          <cell r="C2700" t="str">
            <v>OIKOS GESTÃƒO DE RECURSOS LTDA.</v>
          </cell>
          <cell r="D2700" t="str">
            <v>OIKOS GESTÃƒO DE RECURSOS LTDA</v>
          </cell>
          <cell r="E2700" t="str">
            <v>OIKOS GESTÃƒO DE RECURSOS LTDA.</v>
          </cell>
        </row>
        <row r="2701">
          <cell r="B2701" t="str">
            <v>M23025711000116</v>
          </cell>
          <cell r="D2701" t="str">
            <v>CIA ITAU DE CAPITALIZACAO</v>
          </cell>
        </row>
        <row r="2702">
          <cell r="B2702" t="str">
            <v>M23025053000162</v>
          </cell>
          <cell r="C2702" t="str">
            <v>BRL TRUST INVESTIMENTOS LTDA.</v>
          </cell>
          <cell r="D2702" t="str">
            <v>BRL TRUST INVESTIMENTOS LTDA</v>
          </cell>
          <cell r="E2702" t="str">
            <v>BRL TRUST INVESTIMENTOS LTDA.</v>
          </cell>
        </row>
        <row r="2703">
          <cell r="B2703" t="str">
            <v>M22899452000190</v>
          </cell>
          <cell r="C2703" t="str">
            <v>BUTIÁ GESTÃO DE INVESTIMENTOS LTDA.</v>
          </cell>
          <cell r="D2703" t="str">
            <v>BUTIÁ GESTÃO DE INVESTIMENTOS LTDA.</v>
          </cell>
          <cell r="E2703" t="str">
            <v>BUTIÁ GESTÃO DE INVESTIMENTOS LTDA</v>
          </cell>
        </row>
        <row r="2704">
          <cell r="B2704" t="str">
            <v>M22594192000144</v>
          </cell>
          <cell r="D2704" t="str">
            <v>FUNDACAO MATO GROSSO PREVIDENCIA - MTPREV</v>
          </cell>
          <cell r="E2704" t="str">
            <v>RPPS MATO GROSSO</v>
          </cell>
        </row>
        <row r="2705">
          <cell r="B2705" t="str">
            <v>M22134302000195</v>
          </cell>
          <cell r="C2705" t="str">
            <v>LAKEWOOD GESTÃƒO DE RECURSOS LTDA.</v>
          </cell>
          <cell r="D2705" t="str">
            <v>LAKEWOOD GESTÃƒO DE RECURSOS LTDA</v>
          </cell>
          <cell r="E2705" t="str">
            <v>LAKEWOOD GESTÃƒO DE RECURSOS LTDA.</v>
          </cell>
        </row>
        <row r="2706">
          <cell r="B2706" t="str">
            <v>M22057987000113</v>
          </cell>
          <cell r="C2706" t="str">
            <v>ACE CAPITAL GROU GESTORA DE RECURSOS LTDA</v>
          </cell>
          <cell r="D2706" t="str">
            <v>ACE CAPITAL GROU GESTORA DE RECURSOS LTDA.</v>
          </cell>
          <cell r="E2706" t="str">
            <v>ACE CAPITAL GESTORA DE RECURSOS LTDA</v>
          </cell>
        </row>
        <row r="2707">
          <cell r="B2707">
            <v>79956</v>
          </cell>
          <cell r="C2707" t="str">
            <v>SUL AMERICA INVESTIMENTOS GESTORA DE RECURSOS S/A</v>
          </cell>
          <cell r="D2707" t="str">
            <v>SUL AMERICA INVESTIMENTOS GESTORA DE RECURSOS S/A</v>
          </cell>
          <cell r="E2707" t="str">
            <v>SUL AMERICA INVESTIMENTOS GESTORA DE RECURSOS S/A</v>
          </cell>
        </row>
        <row r="2708">
          <cell r="B2708" t="str">
            <v>M21676427000184</v>
          </cell>
          <cell r="C2708" t="str">
            <v>AZ QUEST MZK INVESTIMENTOS MACRO E CRÃ‰DITO LTDA.</v>
          </cell>
          <cell r="D2708" t="str">
            <v>AZ QUEST MZK INVESTIMENTOS MACRO E CRÃ‰DITO LTDA.</v>
          </cell>
          <cell r="E2708" t="str">
            <v>AZ QUEST INVESTIMENTOS LTDA</v>
          </cell>
        </row>
        <row r="2709">
          <cell r="B2709" t="str">
            <v>M21180163000173</v>
          </cell>
          <cell r="C2709" t="str">
            <v>MAM ASSET MANAGEMENT GESTORA DE RECURSOS LTDA</v>
          </cell>
          <cell r="D2709" t="str">
            <v>MAM ASSET MANAGEMENT GESTORA DE RECURSOS LTDA</v>
          </cell>
          <cell r="E2709" t="str">
            <v>MAM ASSET MANAGEMENT GESTORA DE RECURSOS LTDA</v>
          </cell>
        </row>
        <row r="2710">
          <cell r="B2710" t="str">
            <v>M21052737000128</v>
          </cell>
          <cell r="C2710" t="str">
            <v>GAUSS CAPITAL GESTORA DE RECURSOS LTDA</v>
          </cell>
          <cell r="D2710" t="str">
            <v>GAUSS CAPITAL GESTORA DE RECURSOS LTDA</v>
          </cell>
          <cell r="E2710" t="str">
            <v>ASA ASSET GESTAO EM INVESTIMENTOS LTDA</v>
          </cell>
        </row>
        <row r="2711">
          <cell r="B2711" t="str">
            <v>M20857258000116</v>
          </cell>
          <cell r="C2711" t="str">
            <v>VISTA CAPITAL GESTORA DE RECURSOS LTDA</v>
          </cell>
          <cell r="D2711" t="str">
            <v>VISTA CAPITAL GESTORA DE RECURSOS LTDA.</v>
          </cell>
          <cell r="E2711" t="str">
            <v>VISTA CAPITAL GESTORA DE RECURSOS LTDA</v>
          </cell>
        </row>
        <row r="2712">
          <cell r="B2712" t="str">
            <v>M20710453000119</v>
          </cell>
          <cell r="C2712" t="str">
            <v>TRAFALGAR GESTAO DE RECURSOS LTDA</v>
          </cell>
          <cell r="D2712" t="str">
            <v>MONTE BRAVO GESTÃƒO DE RECURSOS LTDA.</v>
          </cell>
          <cell r="E2712" t="str">
            <v>TRAFALGAR GESTAO DE RECURSOS LTDA</v>
          </cell>
        </row>
        <row r="2713">
          <cell r="B2713" t="str">
            <v>M20505773000137</v>
          </cell>
          <cell r="C2713" t="str">
            <v>STONEX INVESTIMENTOS LTDA.</v>
          </cell>
          <cell r="D2713" t="str">
            <v>STONEX INVESTIMENTOS LTDA</v>
          </cell>
          <cell r="E2713" t="str">
            <v>STONEX INVESTIMENTOS LTDA</v>
          </cell>
        </row>
        <row r="2714">
          <cell r="B2714" t="str">
            <v>M20429285000198</v>
          </cell>
          <cell r="C2714" t="str">
            <v>KAPITALO CICLO GESTORA DE RECURSOS FINANCEIROS LTDA</v>
          </cell>
          <cell r="D2714" t="str">
            <v>KAPITALO CICLO GESTORA DE RECURSOS FINANCEIROS LTDA</v>
          </cell>
          <cell r="E2714" t="str">
            <v>KAPITALO INVESTIMENTOS LTDA</v>
          </cell>
        </row>
        <row r="2715">
          <cell r="B2715" t="str">
            <v>M20403524000130</v>
          </cell>
          <cell r="C2715" t="str">
            <v>PARCITAS GESTÃƒO DE INVESTIMENTOS LTDA</v>
          </cell>
          <cell r="D2715" t="str">
            <v>PARCITAS GESTAO DE INVESTIMENTOS LTDA</v>
          </cell>
          <cell r="E2715" t="str">
            <v>PARCITAS GESTÃƒO DE INVESTIMENTOS LTDA</v>
          </cell>
        </row>
        <row r="2716">
          <cell r="B2716" t="str">
            <v>M20316689000175</v>
          </cell>
          <cell r="C2716" t="str">
            <v>JOURNEY CAPITAL ADMINISTRACAO DE RECURSOS LTDA</v>
          </cell>
          <cell r="D2716" t="str">
            <v>JOURNEY CAPITAL ADMINISTRACAO DE RECURSOS LTDA.</v>
          </cell>
          <cell r="E2716" t="str">
            <v>JOURNEY CAPITAL ADMINISTRACAO DE RECURSOS LTDA</v>
          </cell>
        </row>
        <row r="2717">
          <cell r="B2717" t="str">
            <v>M20119509000165</v>
          </cell>
          <cell r="D2717" t="str">
            <v>FUNDACAO LIBERTAS DE SEGURIDADE SOCIAL</v>
          </cell>
        </row>
        <row r="2718">
          <cell r="B2718" t="str">
            <v>M20043909000134</v>
          </cell>
          <cell r="C2718" t="str">
            <v>FARMTECH GESTÃƒO DE RECURSOS LTDA.</v>
          </cell>
          <cell r="D2718" t="str">
            <v>FARM INVESTIMENTOS GESTÃƒO DE RECURSOS LTDA</v>
          </cell>
          <cell r="E2718" t="str">
            <v>FARMTECH GESTÃƒO DE RECURSOS LTDA.</v>
          </cell>
        </row>
        <row r="2719">
          <cell r="B2719" t="str">
            <v>M19851775000107</v>
          </cell>
          <cell r="D2719" t="str">
            <v>SCOR BRASIL RESSEGUROS SA</v>
          </cell>
        </row>
        <row r="2720">
          <cell r="B2720" t="str">
            <v>M19807960000196</v>
          </cell>
          <cell r="C2720" t="str">
            <v>ASA ASSET 2 GESTÃƒO DE RECURSOS LTDA.</v>
          </cell>
          <cell r="D2720" t="str">
            <v>ASA ASSET 2 GESTÃƒO DE RECURSOS LTDA.</v>
          </cell>
          <cell r="E2720" t="str">
            <v>ASA ASSET GESTAO EM INVESTIMENTOS LTDA</v>
          </cell>
        </row>
        <row r="2721">
          <cell r="B2721" t="str">
            <v>M19749539000176</v>
          </cell>
          <cell r="C2721" t="str">
            <v>VERDE ASSET MANAGEMENT S/A</v>
          </cell>
          <cell r="D2721" t="str">
            <v>VERDE ASSET MANAGEMENT S/A</v>
          </cell>
          <cell r="E2721" t="str">
            <v>VERDE ASSET MANAGEMENT S/A</v>
          </cell>
        </row>
        <row r="2722">
          <cell r="B2722" t="str">
            <v>M19493000000107</v>
          </cell>
          <cell r="C2722" t="str">
            <v>IBIUNA CRÃ‰DITO GESTÃƒO DE RECURSOS LTDA.</v>
          </cell>
          <cell r="D2722" t="str">
            <v>IBIUNA CRÃ‰DITO GESTÃƒO DE RECURSOS LTDA.</v>
          </cell>
          <cell r="E2722" t="str">
            <v>IBIUNA GESTAO DE RECURSOS LTDA</v>
          </cell>
        </row>
        <row r="2723">
          <cell r="B2723" t="str">
            <v>M19486258000178</v>
          </cell>
          <cell r="D2723" t="str">
            <v>BMG SEGUROS SA</v>
          </cell>
          <cell r="E2723" t="str">
            <v>BANCO BMG S/A</v>
          </cell>
        </row>
        <row r="2724">
          <cell r="B2724" t="str">
            <v>M19473043000112</v>
          </cell>
          <cell r="D2724" t="str">
            <v>FUNDACAO DE PREVIDENCIA COMPLEMENTAR DO ESTADO DO ESPIRITO SANTO  PREVES</v>
          </cell>
        </row>
        <row r="2725">
          <cell r="B2725" t="str">
            <v>M19323190000106</v>
          </cell>
          <cell r="D2725" t="str">
            <v>AXA SEGUROS SA</v>
          </cell>
          <cell r="E2725" t="str">
            <v>AXA SEGUROS S/A</v>
          </cell>
        </row>
        <row r="2726">
          <cell r="B2726" t="str">
            <v>M19307785000178</v>
          </cell>
          <cell r="D2726" t="str">
            <v>BRAZA BANK SA BANCO DE CAMBIO</v>
          </cell>
          <cell r="E2726" t="str">
            <v>BRAZA BANK S/A BANCO DE CAMBIO</v>
          </cell>
        </row>
        <row r="2727">
          <cell r="B2727" t="str">
            <v>M19005052000189</v>
          </cell>
          <cell r="C2727" t="str">
            <v>ATENA CAPITAL GESTÃƒO DE RECURSOS LTDA.</v>
          </cell>
          <cell r="D2727" t="str">
            <v>ATENA CAPITAL GESTÃƒO DE RECURSOS LTDA</v>
          </cell>
          <cell r="E2727" t="str">
            <v>ATENA CAPITAL GESTAO DE RECURSOS LTDA</v>
          </cell>
        </row>
        <row r="2728">
          <cell r="B2728" t="str">
            <v>M18994332000102</v>
          </cell>
          <cell r="C2728" t="str">
            <v>CITRINO GESTÃƒO DE RECURSOS LTDA</v>
          </cell>
          <cell r="D2728" t="str">
            <v>CITRINO GESTAO DE RECURSOS LTDA</v>
          </cell>
          <cell r="E2728" t="str">
            <v>CITRINO GESTÃƒO DE RECURSOS LTDA</v>
          </cell>
        </row>
        <row r="2729">
          <cell r="B2729" t="str">
            <v>M18945670000146</v>
          </cell>
          <cell r="C2729" t="str">
            <v>INTER DISTRIBUIDORA DE TÃTULOS E VALORES MOBILIÃRIOS</v>
          </cell>
          <cell r="D2729" t="str">
            <v>INTER DISTRIBUIDORA DE TITULOS E VALORES MOBILIARIOS LTDA</v>
          </cell>
          <cell r="E2729" t="str">
            <v>INTER DISTRIBUIDORA DE TÍTULOS E VALORES MOBILIÁRIOS</v>
          </cell>
        </row>
        <row r="2730">
          <cell r="B2730" t="str">
            <v>M18684408000195</v>
          </cell>
          <cell r="D2730" t="str">
            <v>AZIMUT BRASIL DTVM LTDA</v>
          </cell>
          <cell r="E2730" t="str">
            <v>AZIMUT BRASIL WEALTH MANAGEMENT LTDA</v>
          </cell>
        </row>
        <row r="2731">
          <cell r="B2731" t="str">
            <v>M18606232000153</v>
          </cell>
          <cell r="C2731" t="str">
            <v>REAG ASSET MANAGEMENT S.A.</v>
          </cell>
          <cell r="D2731" t="str">
            <v>REAG ASSET MANAGEMENT S.A.</v>
          </cell>
          <cell r="E2731" t="str">
            <v>REAG ASSET MANAGEMENT LTDA</v>
          </cell>
        </row>
        <row r="2732">
          <cell r="B2732" t="str">
            <v>M18511433000177</v>
          </cell>
          <cell r="D2732" t="str">
            <v>GARDE ASSET MANAGEMENT GESTAO DE RECURSOS LTDA</v>
          </cell>
          <cell r="E2732" t="str">
            <v>GARDE ASSET MANAGEMENT GESTAO DE RECURSOS LTDA</v>
          </cell>
        </row>
        <row r="2733">
          <cell r="B2733" t="str">
            <v>M18506057000122</v>
          </cell>
          <cell r="C2733" t="str">
            <v>IBIUNA AÃ‡Ã•ES GESTÃƒO DE RECURSOS LTDA.</v>
          </cell>
          <cell r="D2733" t="str">
            <v>IBIUNA AÃ‡Ã•ES GESTÃƒO DE RECURSOS LTDA.</v>
          </cell>
          <cell r="E2733" t="str">
            <v>IBIUNA GESTAO DE RECURSOS LTDA</v>
          </cell>
        </row>
        <row r="2734">
          <cell r="B2734" t="str">
            <v>M18465825000147</v>
          </cell>
          <cell r="C2734" t="str">
            <v>FUNPRESP-JUD FUNDAÃ‡ÃƒO DE PREVIDÃŠNCIA COMPLEMENTAR DO SERVIDOR PÃšBLICO FEDERAL DO PODER JUDICIÃRIO</v>
          </cell>
          <cell r="D2734" t="str">
            <v>FUNDACAO DE PREVIDENCIA COMPLEMENTAR DO SERVIDOR PUBLICO FEDERAL DO PODER JUDICIARIO  FUNPRESPJUD</v>
          </cell>
          <cell r="E2734" t="str">
            <v>FUNPRESP-JUD FUNDAÃ‡ÃƒO DE PREVIDÃŠNCIA COMPLEMENTAR DO SERVIDOR PÃšBLICO FEDERAL DO PODER JUDICIÃRIO</v>
          </cell>
        </row>
        <row r="2735">
          <cell r="B2735" t="str">
            <v>M18259351000187</v>
          </cell>
          <cell r="C2735" t="str">
            <v>RBR GESTÃƒO DE RECURSOS LTDA</v>
          </cell>
          <cell r="D2735" t="str">
            <v>RBR GESTÃƒO DE RECURSOS LTDA</v>
          </cell>
          <cell r="E2735" t="str">
            <v>RBR GESTÃƒO DE RECURSOS LTDA</v>
          </cell>
        </row>
        <row r="2736">
          <cell r="B2736" t="str">
            <v>M18236120000158</v>
          </cell>
          <cell r="D2736" t="str">
            <v>NU PAGAMENTOS SOCIEDADE ANONIMA</v>
          </cell>
          <cell r="E2736" t="str">
            <v>NU PAGAMENTOS SOCIEDADE ANONIMA</v>
          </cell>
        </row>
        <row r="2737">
          <cell r="B2737" t="str">
            <v>M18167777000100</v>
          </cell>
          <cell r="C2737" t="str">
            <v>ACURA GESTORA DE RECURSOS LTDA</v>
          </cell>
          <cell r="D2737" t="str">
            <v>ACURA GESTORA DE RECURSOS LTDA</v>
          </cell>
          <cell r="E2737" t="str">
            <v>ACURA GESTORA DE RECURSOS LTDA</v>
          </cell>
        </row>
        <row r="2738">
          <cell r="B2738" t="str">
            <v>M18167206000176</v>
          </cell>
          <cell r="C2738" t="str">
            <v>STRATEGIC PORTFOLIO ADVISORS - GESTORA DE RECURSOS LTDA</v>
          </cell>
          <cell r="D2738" t="str">
            <v>STRATEGIC PORTFOLIO ADVISORS  GESTORA DE RECURSOS LTDA</v>
          </cell>
          <cell r="E2738" t="str">
            <v>STRATEGIC PORTFOLIO ADVISORS - GESTORA DE RECURSOS LTDA</v>
          </cell>
        </row>
        <row r="2739">
          <cell r="B2739" t="str">
            <v>M18038439000179</v>
          </cell>
          <cell r="C2739" t="str">
            <v>M8 PARTNERS GESTORA DE RECURSOS LTDA</v>
          </cell>
          <cell r="D2739" t="str">
            <v>M8 PARTNERS GESTORA DE RECURSOS LTDA</v>
          </cell>
          <cell r="E2739" t="str">
            <v>M8 PARTNERS GESTORA DE RECURSOS LTDA</v>
          </cell>
        </row>
        <row r="2740">
          <cell r="B2740" t="str">
            <v>M17889040000139</v>
          </cell>
          <cell r="C2740" t="str">
            <v>AMAZONIA INVESTIMENTOS LTDA</v>
          </cell>
          <cell r="D2740" t="str">
            <v>AMAZONIA INVESTIMENTOS LTDA</v>
          </cell>
          <cell r="E2740" t="str">
            <v>AMAZONIA INVESTIMENTOS LTDA</v>
          </cell>
        </row>
        <row r="2741">
          <cell r="B2741" t="str">
            <v>M17590181000156</v>
          </cell>
          <cell r="C2741" t="str">
            <v>PORTOFINO GESTÃƒO DE RECURSOS LTDA.</v>
          </cell>
          <cell r="D2741" t="str">
            <v>PORTOFINO GESTÃƒO DE RECURSOS LTDA</v>
          </cell>
          <cell r="E2741" t="str">
            <v>PORTOFINO GESTÃO DE RECURSOS LTDA.</v>
          </cell>
        </row>
        <row r="2742">
          <cell r="B2742" t="str">
            <v>M17528915000177</v>
          </cell>
          <cell r="C2742" t="str">
            <v>SQUADRA PARTICIPAÃ‡Ã•ES - GESTÃƒO DE RECURSOS LTDA</v>
          </cell>
          <cell r="D2742" t="str">
            <v>SQUADRA PARTICIPACOES  GESTAO DE RECURSOS LTDA</v>
          </cell>
          <cell r="E2742" t="str">
            <v>SQUADRA INVESTIMENTOS GESTÃƒO DE RECURSOS LTDA</v>
          </cell>
        </row>
        <row r="2743">
          <cell r="B2743" t="str">
            <v>M17516277000174</v>
          </cell>
          <cell r="C2743" t="str">
            <v>GARIN INVESTIMENTOS LTDA</v>
          </cell>
          <cell r="D2743" t="str">
            <v>GARIN INVESTIMENTOS LTDA</v>
          </cell>
          <cell r="E2743" t="str">
            <v>GARIN INVESTIMENTOS LTDA</v>
          </cell>
        </row>
        <row r="2744">
          <cell r="B2744" t="str">
            <v>M17482086000139</v>
          </cell>
          <cell r="C2744" t="str">
            <v>VALORA RENDA FIXA LTDA.</v>
          </cell>
          <cell r="D2744" t="str">
            <v>VALORA GESTÃƒO DE INVESTIMENTOS LTDA</v>
          </cell>
          <cell r="E2744" t="str">
            <v>VALORA GESTÃO DE INVESTIMENTOS LTDA</v>
          </cell>
        </row>
        <row r="2745">
          <cell r="B2745" t="str">
            <v>M17391027000155</v>
          </cell>
          <cell r="D2745" t="str">
            <v>PREVIDÃŠNCIA SOCIAL DOS SERVIDORES DO MUNICIPIO DE GUARUJA</v>
          </cell>
          <cell r="E2745" t="str">
            <v>RPPS GUARUJAPREV</v>
          </cell>
        </row>
        <row r="2746">
          <cell r="B2746" t="str">
            <v>M17388130000146</v>
          </cell>
          <cell r="D2746" t="str">
            <v>GAVEA CAPITAL HOLDINGS LLC</v>
          </cell>
        </row>
        <row r="2747">
          <cell r="B2747" t="str">
            <v>M17341270000169</v>
          </cell>
          <cell r="D2747" t="str">
            <v>STARR INTERNATIONAL BRASIL SEGURADORA SA</v>
          </cell>
          <cell r="E2747" t="str">
            <v>STARR INTERNATIONAL BRASIL SEGURADORA S/A</v>
          </cell>
        </row>
        <row r="2748">
          <cell r="B2748" t="str">
            <v>M17305299000195</v>
          </cell>
          <cell r="C2748" t="str">
            <v>WE CAPITAL INVESTIMENTOS LTDA.</v>
          </cell>
          <cell r="D2748" t="str">
            <v>WE CAPITAL INVESTIMENTOS LTDA</v>
          </cell>
          <cell r="E2748" t="str">
            <v>WE CAPITAL INVESTIMENTOS LTDA.</v>
          </cell>
        </row>
        <row r="2749">
          <cell r="B2749" t="str">
            <v>M17298092000130</v>
          </cell>
          <cell r="D2749" t="str">
            <v>BANCO ITAU BBA SA</v>
          </cell>
          <cell r="E2749" t="str">
            <v>BANCO ITAU BBA S/A</v>
          </cell>
        </row>
        <row r="2750">
          <cell r="B2750" t="str">
            <v>M17285755000182</v>
          </cell>
          <cell r="C2750" t="str">
            <v>ABSOLUTE GESTAO DE INVESTIMENTOS LTDA</v>
          </cell>
          <cell r="D2750" t="str">
            <v>ABSOLUTE GESTAO DE INVESTIMENTOS LTDA</v>
          </cell>
          <cell r="E2750" t="str">
            <v>ABSOLUTE GESTAO DE INVESTIMENTOS LTDA</v>
          </cell>
        </row>
        <row r="2751">
          <cell r="B2751" t="str">
            <v>M17266009000141</v>
          </cell>
          <cell r="D2751" t="str">
            <v>ZURICH BRASIL CAPITALIZACAO S.A.</v>
          </cell>
          <cell r="E2751" t="str">
            <v>ZURICH RESSEGURADORA BRASIL S/A</v>
          </cell>
        </row>
        <row r="2752">
          <cell r="B2752" t="str">
            <v>M17254708000171</v>
          </cell>
          <cell r="C2752" t="str">
            <v>SOLIS INVESTIMENTOS LTDA</v>
          </cell>
          <cell r="D2752" t="str">
            <v>SOLIS INVESTIMENTOS LTDA</v>
          </cell>
          <cell r="E2752" t="str">
            <v>SOLIS INVESTIMENTOS LTDA</v>
          </cell>
        </row>
        <row r="2753">
          <cell r="B2753" t="str">
            <v>M17236088000148</v>
          </cell>
          <cell r="D2753" t="str">
            <v>FUNDO PREVIDENCIARIO DOS SERVIDORES MILITARES</v>
          </cell>
        </row>
        <row r="2754">
          <cell r="B2754" t="str">
            <v>M17197385000121</v>
          </cell>
          <cell r="D2754" t="str">
            <v>ZURICH MINAS BRASIL SEGUROS SA</v>
          </cell>
          <cell r="E2754" t="str">
            <v>ZURICH RESSEGURADORA BRASIL S/A</v>
          </cell>
        </row>
        <row r="2755">
          <cell r="B2755" t="str">
            <v>M17181260000103</v>
          </cell>
          <cell r="C2755" t="str">
            <v>AQUA GESTÃƒO DE VALORES MOBILIÃRIOS LTDA</v>
          </cell>
          <cell r="D2755" t="str">
            <v>AQUA GESTÃƒO DE VALORES MOBILIÃRIOS LTDA</v>
          </cell>
          <cell r="E2755" t="str">
            <v>AQUA GESTÃƒO DE VALORES MOBILIÃRIOS LTDA</v>
          </cell>
        </row>
        <row r="2756">
          <cell r="B2756" t="str">
            <v>M16825255000123</v>
          </cell>
          <cell r="D2756" t="str">
            <v>SUHAI SEGURADORA SA</v>
          </cell>
        </row>
        <row r="2757">
          <cell r="B2757" t="str">
            <v>M16804280000120</v>
          </cell>
          <cell r="C2757" t="str">
            <v>MILÃŠNIO CAPITAL GESTÃƒO DE INVESTIMENTOS LTDA.</v>
          </cell>
          <cell r="D2757" t="str">
            <v>MILENIO CAPITAL GESTÃƒÆ’O DE INVESTIMENTOS LTDA</v>
          </cell>
          <cell r="E2757" t="str">
            <v>MILÃŠNIO CAPITAL GESTÃƒO DE INVESTIMENTOS LTDA.</v>
          </cell>
        </row>
        <row r="2758">
          <cell r="B2758">
            <v>77735</v>
          </cell>
          <cell r="C2758" t="str">
            <v>XP INVESTIMENTOS CCTVM S/A</v>
          </cell>
          <cell r="D2758" t="str">
            <v>XP INVESTIMENTOS CCTVM S/A</v>
          </cell>
          <cell r="E2758" t="str">
            <v>BANCO XP S/A</v>
          </cell>
        </row>
        <row r="2759">
          <cell r="B2759" t="str">
            <v>M16734572000134</v>
          </cell>
          <cell r="C2759" t="str">
            <v>PRUMO CAPITAL GESTORA DE RECURSOS LTDA</v>
          </cell>
          <cell r="D2759" t="str">
            <v>PRUMO CAPITAL GESTORA DE RECURSOS LTDA</v>
          </cell>
          <cell r="E2759" t="str">
            <v>PRUMO CAPITAL GESTORA DE RECURSOS LTDA</v>
          </cell>
        </row>
        <row r="2760">
          <cell r="B2760" t="str">
            <v>M16695922000109</v>
          </cell>
          <cell r="D2760" t="str">
            <v>ID CORRETORA DE TITULOS E VALORES MOBILIARIOS SA</v>
          </cell>
          <cell r="E2760" t="str">
            <v>ID CTVM S/A</v>
          </cell>
        </row>
        <row r="2761">
          <cell r="B2761" t="str">
            <v>M16500294000150</v>
          </cell>
          <cell r="C2761" t="str">
            <v>MONGERAL AEGON INVESTIMENTOS LTDA</v>
          </cell>
          <cell r="D2761" t="str">
            <v>MONGERAL AEGON INVESTIMENTOS LTDA</v>
          </cell>
          <cell r="E2761" t="str">
            <v>MONGERAL AEGON INVESTIMENTOS LTDA</v>
          </cell>
        </row>
        <row r="2762">
          <cell r="B2762" t="str">
            <v>M16492391000149</v>
          </cell>
          <cell r="C2762" t="str">
            <v>PORTO SEGURO INVESTIMENTOS LTDA</v>
          </cell>
          <cell r="D2762" t="str">
            <v>PORTO SEGURO INVESTIMENTOS LTDA</v>
          </cell>
          <cell r="E2762" t="str">
            <v>PORTO SEGURO INVESTIMENTOS LTDA</v>
          </cell>
        </row>
        <row r="2763">
          <cell r="B2763" t="str">
            <v>M15849540000111</v>
          </cell>
          <cell r="D2763" t="str">
            <v>INSTITUTO DE PREV DOS SERV PUBLICOS DO EST DE RONDONIA</v>
          </cell>
        </row>
        <row r="2764">
          <cell r="B2764" t="str">
            <v>M15582513000125</v>
          </cell>
          <cell r="D2764" t="str">
            <v>INSTITUTO BANESE DE SEGURIDADE SOCIAL  SERGUS</v>
          </cell>
        </row>
        <row r="2765">
          <cell r="B2765" t="str">
            <v>M15555601000138</v>
          </cell>
          <cell r="C2765" t="str">
            <v>BSWM GESTÃƒO DE RECURSOS LTDA.</v>
          </cell>
          <cell r="D2765" t="str">
            <v>B.SIDE WEALTH MANAGEMENT GESTAO DE RECURSOS LTDA.</v>
          </cell>
          <cell r="E2765" t="str">
            <v>BSWM GESTÃO DE RECURSOS LTDA.</v>
          </cell>
        </row>
        <row r="2766">
          <cell r="B2766" t="str">
            <v>M15517074000177</v>
          </cell>
          <cell r="D2766" t="str">
            <v>ALLIANZ GLOBAL CORPORATE &amp; SPECIALTY RESSEGUROS BRASIL SA</v>
          </cell>
          <cell r="E2766" t="str">
            <v>ALLIANZ SEGUROS S/A</v>
          </cell>
        </row>
        <row r="2767">
          <cell r="B2767" t="str">
            <v>M15489568000195</v>
          </cell>
          <cell r="D2767" t="str">
            <v>INTRADER DISTRIBUIDORA DE TITULOS E VALORES MOBILIARIOS LTDA</v>
          </cell>
        </row>
        <row r="2768">
          <cell r="B2768" t="str">
            <v>M15388425000197</v>
          </cell>
          <cell r="C2768" t="str">
            <v>NOVUS CAPITAL GESTORA DE RECURSOS LTDA.</v>
          </cell>
          <cell r="D2768" t="str">
            <v>NOVUS CAPITAL GESTORA DE RECURSOS LTDA</v>
          </cell>
          <cell r="E2768" t="str">
            <v>NOVUS CAPITAL GESTORA DE RECURSOS LTDA</v>
          </cell>
        </row>
        <row r="2769">
          <cell r="B2769" t="str">
            <v>M15377863000150</v>
          </cell>
          <cell r="C2769" t="str">
            <v>CANVAS CAPITAL S/A</v>
          </cell>
          <cell r="D2769" t="str">
            <v>CANVAS CAPITAL S/A</v>
          </cell>
          <cell r="E2769" t="str">
            <v>CANVAS CAPITAL S/A</v>
          </cell>
        </row>
        <row r="2770">
          <cell r="B2770" t="str">
            <v>M15372714000106</v>
          </cell>
          <cell r="D2770" t="str">
            <v>INSTITUTO PREVIDENCIARIO DO MUNICIPIO DE SAO SEBASTIAO  SAO SEBASTIAO PREV</v>
          </cell>
        </row>
        <row r="2771">
          <cell r="B2771">
            <v>79672</v>
          </cell>
          <cell r="C2771" t="str">
            <v>XP INVESTIMENTOS CCTVM S/A</v>
          </cell>
          <cell r="D2771" t="str">
            <v>XP INVESTIMENTOS CCTVM S/A</v>
          </cell>
          <cell r="E2771" t="str">
            <v>BANCO XP S/A</v>
          </cell>
        </row>
        <row r="2772">
          <cell r="B2772" t="str">
            <v>M15213150000150</v>
          </cell>
          <cell r="C2772" t="str">
            <v>BOCOM BBM CCVM S.A.</v>
          </cell>
          <cell r="D2772" t="str">
            <v>BOCOM BBM CORRETORA DE CAMBIO E VALORES MOBILIARIOS S.A.</v>
          </cell>
          <cell r="E2772" t="str">
            <v>BANCO BOCOM BBM S/A</v>
          </cell>
        </row>
        <row r="2773">
          <cell r="B2773" t="str">
            <v>M15114366000169</v>
          </cell>
          <cell r="C2773" t="str">
            <v>BANCO BOCOM BBM S.A.</v>
          </cell>
          <cell r="D2773" t="str">
            <v>BANCO BOCOM BBM S.A</v>
          </cell>
          <cell r="E2773" t="str">
            <v>BANCO BOCOM BBM S/A</v>
          </cell>
        </row>
        <row r="2774">
          <cell r="B2774" t="str">
            <v>M15040228000182</v>
          </cell>
          <cell r="C2774" t="str">
            <v>NEXTCAP PARTNERS ASSET MANAGEMENT LTDA</v>
          </cell>
          <cell r="D2774" t="str">
            <v>NCH BRASIL GESTORA DE RECURSOS LTDA</v>
          </cell>
          <cell r="E2774" t="str">
            <v>NEXTCAP PARTNERS ASSET MANAGEMENT LTDA</v>
          </cell>
        </row>
        <row r="2775">
          <cell r="B2775" t="str">
            <v>M14927215000167</v>
          </cell>
          <cell r="D2775" t="str">
            <v>ZURICH SANTANDER BRASIL ODONTO LTDA</v>
          </cell>
          <cell r="E2775" t="str">
            <v>ZURICH RESSEGURADORA BRASIL S/A</v>
          </cell>
        </row>
        <row r="2776">
          <cell r="B2776" t="str">
            <v>M14868712000131</v>
          </cell>
          <cell r="C2776" t="str">
            <v>AKAD SEGUROS S.A.</v>
          </cell>
          <cell r="D2776" t="str">
            <v>ARGO SEGUROS BRASIL SA</v>
          </cell>
          <cell r="E2776" t="str">
            <v>AKAD SEGUROS S/A</v>
          </cell>
        </row>
        <row r="2777">
          <cell r="B2777" t="str">
            <v>M14525684000150</v>
          </cell>
          <cell r="D2777" t="str">
            <v>ESSOR SEGUROS SA</v>
          </cell>
        </row>
        <row r="2778">
          <cell r="B2778" t="str">
            <v>M14388334000199</v>
          </cell>
          <cell r="D2778" t="str">
            <v>PARANA BANCO S/A</v>
          </cell>
          <cell r="E2778" t="str">
            <v>PARANA BANCO S/A</v>
          </cell>
        </row>
        <row r="2779">
          <cell r="B2779" t="str">
            <v>M14387387000195</v>
          </cell>
          <cell r="D2779" t="str">
            <v>ZURICH RESSEGURADORA BRASIL SA</v>
          </cell>
          <cell r="E2779" t="str">
            <v>ZURICH RESSEGURADORA BRASIL S/A</v>
          </cell>
        </row>
        <row r="2780">
          <cell r="B2780" t="str">
            <v>M14351454000111</v>
          </cell>
          <cell r="C2780" t="str">
            <v>ABSOLUTE DHAMA GESTÃƒO DE INVESTIMENTOS LTDA</v>
          </cell>
          <cell r="D2780" t="str">
            <v>ABSOLUTE DHAMA GESTÃƒO DE INVESTIMENTOS LTDA</v>
          </cell>
          <cell r="E2780" t="str">
            <v>ABSOLUTE GESTAO DE INVESTIMENTOS LTDA</v>
          </cell>
        </row>
        <row r="2781">
          <cell r="B2781" t="str">
            <v>M14084509000174</v>
          </cell>
          <cell r="C2781" t="str">
            <v>QUASAR ASSET MANAGEMENT LTDA.</v>
          </cell>
          <cell r="D2781" t="str">
            <v>REAG SPECIALTY FINANCE LTDA.</v>
          </cell>
          <cell r="E2781" t="str">
            <v>REAG ASSET MANAGEMENT LTDA</v>
          </cell>
        </row>
        <row r="2782">
          <cell r="B2782" t="str">
            <v>M14045781000145</v>
          </cell>
          <cell r="C2782" t="str">
            <v>CNP SEGUROS HOLDING BRASIL SA</v>
          </cell>
          <cell r="D2782" t="str">
            <v>CNP SEGUROS HOLDING BRASIL SA</v>
          </cell>
          <cell r="E2782" t="str">
            <v>CNP SEGUROS HOLDING BRASIL S/A</v>
          </cell>
        </row>
        <row r="2783">
          <cell r="B2783" t="str">
            <v>M13966641000147</v>
          </cell>
          <cell r="C2783" t="str">
            <v>JIVE ASSET GESTÃƒO DE RECURSOS LTDA</v>
          </cell>
          <cell r="D2783" t="str">
            <v>JIVE ASSET GESTÃƒO DE RECURSOS LTDA</v>
          </cell>
          <cell r="E2783" t="str">
            <v>JIVE ASSET GESTÃO DE RECURSOS LTDA</v>
          </cell>
        </row>
        <row r="2784">
          <cell r="B2784" t="str">
            <v>M13945837000155</v>
          </cell>
          <cell r="D2784" t="str">
            <v>INSTITUTO ENERGIPE DE SEGURIDADE SOCIAL</v>
          </cell>
        </row>
        <row r="2785">
          <cell r="B2785" t="str">
            <v>M13838015000175</v>
          </cell>
          <cell r="C2785" t="str">
            <v>VINCI REAL ESTATE GESTORA DE RECURSOS LTDA</v>
          </cell>
          <cell r="D2785" t="str">
            <v>VINCI REAL ESTATE GESTORA DE RECURSOS LTDA</v>
          </cell>
          <cell r="E2785" t="str">
            <v>VINCI GESTORA DE RECURSOS LTDA</v>
          </cell>
        </row>
        <row r="2786">
          <cell r="B2786" t="str">
            <v>M13635309000108</v>
          </cell>
          <cell r="C2786" t="str">
            <v>QUANTITAS GESTAO DE RECURSOS LTDA</v>
          </cell>
          <cell r="D2786" t="str">
            <v>QUANTITAS GESTAO DE RECURSOS LTDA</v>
          </cell>
          <cell r="E2786" t="str">
            <v>QUANTITAS GESTAO DE RECURSOS LTDA</v>
          </cell>
        </row>
        <row r="2787">
          <cell r="B2787" t="str">
            <v>M13615969000119</v>
          </cell>
          <cell r="D2787" t="str">
            <v>EVIDENCE PREVIDENCIA SA</v>
          </cell>
          <cell r="E2787" t="str">
            <v>EVIDENCE PREVIDENCIA S/A</v>
          </cell>
        </row>
        <row r="2788">
          <cell r="B2788" t="str">
            <v>M13525547000152</v>
          </cell>
          <cell r="D2788" t="str">
            <v>AIG RESSEGUROS BRASIL SA</v>
          </cell>
          <cell r="E2788" t="str">
            <v>AIG SEGUROS BRASIL S/A</v>
          </cell>
        </row>
        <row r="2789">
          <cell r="B2789" t="str">
            <v>M13421810000163</v>
          </cell>
          <cell r="C2789" t="str">
            <v>VINCI SOLUÃ‡Ã•ES DE INVESTIMENTOS LTDA</v>
          </cell>
          <cell r="D2789" t="str">
            <v>VINCI SOLUÃ‡Ã•ES DE INVESTIMENTOS LTDA</v>
          </cell>
          <cell r="E2789" t="str">
            <v>VINCI GESTORA DE RECURSOS LTDA</v>
          </cell>
        </row>
        <row r="2790">
          <cell r="B2790" t="str">
            <v>M13362610000187</v>
          </cell>
          <cell r="C2790" t="str">
            <v>TRX GESTORA DE RECURSOS LTDA</v>
          </cell>
          <cell r="D2790" t="str">
            <v>TRX GESTORA DE RECURSOS LTDA</v>
          </cell>
          <cell r="E2790" t="str">
            <v>TRX GESTORA DE RECURSOS LTDA</v>
          </cell>
        </row>
        <row r="2791">
          <cell r="B2791" t="str">
            <v>M13344438000139</v>
          </cell>
          <cell r="D2791" t="str">
            <v>PACIFICO GESTAO DE RECURSOS LTDA</v>
          </cell>
        </row>
        <row r="2792">
          <cell r="B2792" t="str">
            <v>M13293225000125</v>
          </cell>
          <cell r="C2792" t="str">
            <v>Ã“RAMA DISTRIBUIDORA DE TÃTULOS E VALORES MOBILIÃRIOS S.A.</v>
          </cell>
          <cell r="D2792" t="str">
            <v>Ã“RAMA DISTRIBUIDORA DE TÃTULOS E VALORES MOBILIÃRIOS SA</v>
          </cell>
          <cell r="E2792" t="str">
            <v>Ã“RAMA DISTRIBUIDORA DE TÃTULOS E VALORES MOBILIÃRIOS S.A.</v>
          </cell>
        </row>
        <row r="2793">
          <cell r="B2793" t="str">
            <v>M13220493000117</v>
          </cell>
          <cell r="C2793" t="str">
            <v>BR PARTNERS BANCO DE INVESTIMENTO S.A.</v>
          </cell>
          <cell r="D2793" t="str">
            <v>BR PARTNERS BANCO DE INVESTIMENTOS SA</v>
          </cell>
          <cell r="E2793" t="str">
            <v>BR PARTNERS BANCO DE INVESTIMENTOS S/A</v>
          </cell>
        </row>
        <row r="2794">
          <cell r="B2794" t="str">
            <v>M13189882000127</v>
          </cell>
          <cell r="C2794" t="str">
            <v>JGP GESTÃƒO DE CREDITO LTDA</v>
          </cell>
          <cell r="D2794" t="str">
            <v>JGP GESTÃƒO DE CREDITO LTDA</v>
          </cell>
          <cell r="E2794" t="str">
            <v>JGP GESTAO PATRIMONIAL LTDA</v>
          </cell>
        </row>
        <row r="2795">
          <cell r="B2795" t="str">
            <v>M13151244000117</v>
          </cell>
          <cell r="C2795" t="str">
            <v>BAHIA AM RENDA FIXA LTDA</v>
          </cell>
          <cell r="D2795" t="str">
            <v>BAHIA AM RENDA FIXA LTDA ( ANTIGO BBM II)</v>
          </cell>
          <cell r="E2795" t="str">
            <v>BAHIA AM LTDA</v>
          </cell>
        </row>
        <row r="2796">
          <cell r="B2796" t="str">
            <v>M13143849000166</v>
          </cell>
          <cell r="C2796" t="str">
            <v>BAHIA AM RENDA VARIAVEL LTDA  (ANTIGO BBM I)</v>
          </cell>
          <cell r="D2796" t="str">
            <v>BAHIA AM RENDA VARIAVEL LTDA  (ANTIGO BBM I)</v>
          </cell>
          <cell r="E2796" t="str">
            <v>BAHIA AM LTDA</v>
          </cell>
        </row>
        <row r="2797">
          <cell r="B2797" t="str">
            <v>M13009717000146</v>
          </cell>
          <cell r="D2797" t="str">
            <v>BANCO DO ESTADO DE SERGIPE SA</v>
          </cell>
          <cell r="E2797" t="str">
            <v>BANCO DO ESTADO DE SERGIPE S/A</v>
          </cell>
        </row>
        <row r="2798">
          <cell r="B2798" t="str">
            <v>M12909684000128</v>
          </cell>
          <cell r="D2798" t="str">
            <v>TERRA BRASIS RESSEGUROS SA</v>
          </cell>
        </row>
        <row r="2799">
          <cell r="B2799" t="str">
            <v>M12860692000127</v>
          </cell>
          <cell r="C2799" t="str">
            <v>EXPLORITAS ADMINISTRACAO FINANCEIRA LTDA</v>
          </cell>
          <cell r="D2799" t="str">
            <v>EXPLORITAS ADMINISTRAÃ‡ÃƒO FINANCEIRA LTDA.</v>
          </cell>
          <cell r="E2799" t="str">
            <v>EXPLORITAS ADMINISTRACAO FINANCEIRA LTDA</v>
          </cell>
        </row>
        <row r="2800">
          <cell r="B2800" t="str">
            <v>M12695840000103</v>
          </cell>
          <cell r="C2800" t="str">
            <v>JULIUS BAER FAMILY OFFICE BRASIL GESTÃƒO DE PATRIMÃ”NIO LTDA.</v>
          </cell>
          <cell r="D2800" t="str">
            <v>JULIUS BAER FAMILY OFFICE BRASIL GESTAO DE PATRIMONIO LTDA</v>
          </cell>
          <cell r="E2800" t="str">
            <v>JULIUS BAER FAMILY OFFICE BRASIL GESTAO DE PATRIMONIO LTDA</v>
          </cell>
        </row>
        <row r="2801">
          <cell r="B2801" t="str">
            <v>M12678380000105</v>
          </cell>
          <cell r="C2801" t="str">
            <v>VCM GESTÃƒO DE CAPITAL LTDA</v>
          </cell>
          <cell r="D2801" t="str">
            <v>VCM GESTÃƒO DE CAPITAL LTDA</v>
          </cell>
          <cell r="E2801" t="str">
            <v>VCM GESTÃƒO DE CAPITAL LTDA</v>
          </cell>
        </row>
        <row r="2802">
          <cell r="B2802" t="str">
            <v>M12600032000107</v>
          </cell>
          <cell r="C2802" t="str">
            <v>JIVE INVESTMENTS GESTÃƒO DE RECURSOS E CONSULTORIA S.A.</v>
          </cell>
          <cell r="D2802" t="str">
            <v>JIVE INVESTMENTS GESTÃƒO DE RECURSOS E CONSULTORIA S.A.</v>
          </cell>
          <cell r="E2802" t="str">
            <v>JIVE ASSET GESTÃO DE RECURSOS LTDA</v>
          </cell>
        </row>
        <row r="2803">
          <cell r="B2803" t="str">
            <v>M12564465000154</v>
          </cell>
          <cell r="C2803" t="str">
            <v>MULTINVEST CAPITAL ADMINISTRADORA DE RECURSOS LTDA</v>
          </cell>
          <cell r="D2803" t="str">
            <v>MULTINVEST CAPITAL ADMINISTRADORA DE RECURSOS LTDA</v>
          </cell>
          <cell r="E2803" t="str">
            <v>MULTINVEST CAPITAL ADMINISTRADORA DE RECURSOS LTDA</v>
          </cell>
        </row>
        <row r="2804">
          <cell r="B2804" t="str">
            <v>M12489853000118</v>
          </cell>
          <cell r="C2804" t="str">
            <v>GALLOWAY CAPITAL GESTORA DE RECURSOS LTDA.</v>
          </cell>
          <cell r="D2804" t="str">
            <v>GALLOWAY CAPITAL GESTORA DE RECURSOS LTDA.</v>
          </cell>
          <cell r="E2804" t="str">
            <v>GALLOWAY CAPITAL GESTORA DE RECURSOS LTDA.</v>
          </cell>
        </row>
        <row r="2805">
          <cell r="B2805" t="str">
            <v>M12417157000104</v>
          </cell>
          <cell r="C2805" t="str">
            <v>PARAMIS BR INVESTIMENTOS LTDA</v>
          </cell>
          <cell r="D2805" t="str">
            <v>PARAMIS BR INVESTIMENTOS LTDA</v>
          </cell>
          <cell r="E2805" t="str">
            <v>PARAMIS BR INVESTIMENTOS LTDA</v>
          </cell>
        </row>
        <row r="2806">
          <cell r="B2806" t="str">
            <v>M12392983000138</v>
          </cell>
          <cell r="D2806" t="str">
            <v>MIRAE ASSET (BRASIL) CCTVM LTDA.</v>
          </cell>
          <cell r="E2806" t="str">
            <v>MIRAE ASSET (BRASIL) CCTVM LTDA</v>
          </cell>
        </row>
        <row r="2807">
          <cell r="B2807" t="str">
            <v>M12330774000160</v>
          </cell>
          <cell r="C2807" t="str">
            <v>SPX GESTÃƒO DE RECURSOS LTDA</v>
          </cell>
          <cell r="D2807" t="str">
            <v>SPX GESTAO DE RECURSOS LTDA</v>
          </cell>
          <cell r="E2807" t="str">
            <v>SPX GESTAO DE RECURSOS LTDA</v>
          </cell>
        </row>
        <row r="2808">
          <cell r="B2808" t="str">
            <v>M12209584000199</v>
          </cell>
          <cell r="C2808" t="str">
            <v>RIZA GESTORA DE RECURSOS LTDA.</v>
          </cell>
          <cell r="D2808" t="str">
            <v>RIZA GESTORA DE RECURSOS LTDA</v>
          </cell>
          <cell r="E2808" t="str">
            <v>RIZA GESTORA DE RECURSOS LTDA</v>
          </cell>
        </row>
        <row r="2809">
          <cell r="B2809" t="str">
            <v>M11959069000163</v>
          </cell>
          <cell r="C2809" t="str">
            <v>UJAY CAPITAL INVESTIMENTOS LTDA</v>
          </cell>
          <cell r="D2809" t="str">
            <v>UJAY CAPITAL INVESTIMENTOS LTDA.</v>
          </cell>
          <cell r="E2809" t="str">
            <v>UJAY CAPITAL INVESTIMENTOS LTDA</v>
          </cell>
        </row>
        <row r="2810">
          <cell r="B2810" t="str">
            <v>M11918575000104</v>
          </cell>
          <cell r="C2810" t="str">
            <v>IBIUNA MACRO GESTÃƒO DE RECURSOS LTDA.</v>
          </cell>
          <cell r="D2810" t="str">
            <v>IBIUNA MACRO GESTÃƒO DE RECURSOS LTDA.</v>
          </cell>
          <cell r="E2810" t="str">
            <v>IBIUNA GESTAO DE RECURSOS LTDA</v>
          </cell>
        </row>
        <row r="2811">
          <cell r="B2811" t="str">
            <v>M11888689000159</v>
          </cell>
          <cell r="C2811" t="str">
            <v>STK CAPITAL GESTORA DE RECURSOS LTDA.</v>
          </cell>
          <cell r="D2811" t="str">
            <v>STK CAPITAL GESTORA DE RECURSOS LTDA.</v>
          </cell>
          <cell r="E2811" t="str">
            <v>STK CAPITAL GESTORA DE RECURSOS LTDA</v>
          </cell>
        </row>
        <row r="2812">
          <cell r="B2812" t="str">
            <v>M11752203000150</v>
          </cell>
          <cell r="C2812" t="str">
            <v>ALASKA INVESTIMENTOS LTDA</v>
          </cell>
          <cell r="D2812" t="str">
            <v>ALASKA INVESTIMENTOS LTDA</v>
          </cell>
          <cell r="E2812" t="str">
            <v>ALASKA INVESTIMENTOS LTDA</v>
          </cell>
        </row>
        <row r="2813">
          <cell r="B2813" t="str">
            <v>M11702213000181</v>
          </cell>
          <cell r="C2813" t="str">
            <v>POLO CAPITAL REAL ESTATE GESTÃƒO DE RECURSOS LTDA</v>
          </cell>
          <cell r="D2813" t="str">
            <v>POLO CAPITAL REAL ESTATE GESTÃƒO DE RECURSOS LTDA</v>
          </cell>
          <cell r="E2813" t="str">
            <v>POLO CAPITAL GESTÃO DE RECURSOS LTDA</v>
          </cell>
        </row>
        <row r="2814">
          <cell r="B2814" t="str">
            <v>M11536561000126</v>
          </cell>
          <cell r="D2814" t="str">
            <v>AUSTRAL RESSEGURADORA SA</v>
          </cell>
          <cell r="E2814" t="str">
            <v>AUSTRAL SEGURADORA S/A</v>
          </cell>
        </row>
        <row r="2815">
          <cell r="B2815" t="str">
            <v>M11521976000126</v>
          </cell>
          <cell r="D2815" t="str">
            <v>AUSTRAL SEGURADORA SA</v>
          </cell>
          <cell r="E2815" t="str">
            <v>AUSTRAL SEGURADORA S/A</v>
          </cell>
        </row>
        <row r="2816">
          <cell r="B2816">
            <v>80876</v>
          </cell>
          <cell r="C2816" t="str">
            <v>UBS AG, LONDON BRANCH NOVO</v>
          </cell>
          <cell r="D2816" t="str">
            <v>UBS AG, LONDON BRANCH NOVO</v>
          </cell>
          <cell r="E2816" t="str">
            <v>UBS AG, LONDON BRANCH NOVO</v>
          </cell>
        </row>
        <row r="2817">
          <cell r="B2817" t="str">
            <v>M11468803000191</v>
          </cell>
          <cell r="C2817" t="str">
            <v>PRADA ADMINISTRADORA DE RECURSOS LTDA.</v>
          </cell>
          <cell r="D2817" t="str">
            <v>PRADA ADMINISTRADORA DE RECURSOS LTDA.</v>
          </cell>
          <cell r="E2817" t="str">
            <v>PRADA ADMINISTRADORA DE RECURSOS LTDA.</v>
          </cell>
        </row>
        <row r="2818">
          <cell r="B2818">
            <v>79254</v>
          </cell>
          <cell r="C2818" t="str">
            <v>PLURAL CAPITAL GLOBAL MACRO FIM IE</v>
          </cell>
          <cell r="D2818" t="str">
            <v>PLURAL CAPITAL GLOBAL MACRO FIM IE</v>
          </cell>
          <cell r="E2818" t="str">
            <v>PLURAL GESTÃO DE RECURSOS LTDA</v>
          </cell>
        </row>
        <row r="2819">
          <cell r="B2819" t="str">
            <v>M11397040000135</v>
          </cell>
          <cell r="C2819" t="str">
            <v>ROOT CAPITAL - GESTÃƒO DE RECURSOS LTDA</v>
          </cell>
          <cell r="D2819" t="str">
            <v>ROOT CAPITAL GESTAO DE RECURSOS LTDA</v>
          </cell>
          <cell r="E2819" t="str">
            <v>ROOT CAPITAL - GESTÃO DE RECURSOS LTDA</v>
          </cell>
        </row>
        <row r="2820">
          <cell r="B2820" t="str">
            <v>M11392069000124</v>
          </cell>
          <cell r="C2820" t="str">
            <v>V8 CAPITAL GESTAO DE INVESTIMENTOS LTDA</v>
          </cell>
          <cell r="D2820" t="str">
            <v>V8 CAPITAL GESTAO DE INVESTIMENTOS LTDA</v>
          </cell>
          <cell r="E2820" t="str">
            <v>V8 CAPITAL GESTAO DE INVESTIMENTOS LTDA</v>
          </cell>
        </row>
        <row r="2821">
          <cell r="B2821" t="str">
            <v>M11379786000116</v>
          </cell>
          <cell r="D2821" t="str">
            <v>FUNDO PREVIDENCIARIO CAPITALIZADO DO ESTADO DE RONDONIA</v>
          </cell>
        </row>
        <row r="2822">
          <cell r="B2822" t="str">
            <v>M11274775000171</v>
          </cell>
          <cell r="C2822" t="str">
            <v>VBI REAL ESTATE GESTÃƒO DE CARTEIRAS SA</v>
          </cell>
          <cell r="D2822" t="str">
            <v>VBI REAL ESTATE GESTÃƒO DE CARTEIRAS SA</v>
          </cell>
          <cell r="E2822" t="str">
            <v>VBI REAL ESTATE GESTÃƒO DE CARTEIRAS SA</v>
          </cell>
        </row>
        <row r="2823">
          <cell r="B2823" t="str">
            <v>M11180009000148</v>
          </cell>
          <cell r="C2823" t="str">
            <v>KAPITALO INVESTIMENTOS LTDA</v>
          </cell>
          <cell r="D2823" t="str">
            <v>KAPITALO INVESTIMENTOS LTDA</v>
          </cell>
          <cell r="E2823" t="str">
            <v>KAPITALO INVESTIMENTOS LTDA</v>
          </cell>
        </row>
        <row r="2824">
          <cell r="B2824" t="str">
            <v>M11159192000108</v>
          </cell>
          <cell r="C2824" t="str">
            <v>BR PARTNERS GESTÃƒO DE RECURSOS LTDA</v>
          </cell>
          <cell r="D2824" t="str">
            <v>BR PARTNERS GESTÃƒO DE RECURSOS LTDA</v>
          </cell>
          <cell r="E2824" t="str">
            <v>BR PARTNERS GESTAO DE RECURSOS LTDA</v>
          </cell>
        </row>
        <row r="2825">
          <cell r="B2825" t="str">
            <v>M11079478000175</v>
          </cell>
          <cell r="C2825" t="str">
            <v>VINCI CAPITAL GESTORA DE RECURSOS LTDA.</v>
          </cell>
          <cell r="D2825" t="str">
            <v>VINCI CAPITAL GESTORA DE RECURSOS LTDA.</v>
          </cell>
          <cell r="E2825" t="str">
            <v>VINCI GESTORA DE RECURSOS LTDA</v>
          </cell>
        </row>
        <row r="2826">
          <cell r="B2826" t="str">
            <v>M1107757600017301</v>
          </cell>
          <cell r="D2826" t="str">
            <v>VINCI GESTORA DE RECURSOS LTDA</v>
          </cell>
          <cell r="E2826" t="str">
            <v>VINCI GESTORA DE RECURSOS LTDA</v>
          </cell>
        </row>
        <row r="2827">
          <cell r="B2827" t="str">
            <v>M11077576000173</v>
          </cell>
          <cell r="C2827" t="str">
            <v>VINCI GESTORA DE RECURSOS LTDA</v>
          </cell>
          <cell r="D2827" t="str">
            <v>VINCI GESTORA DE RECURSOS LTDA</v>
          </cell>
          <cell r="E2827" t="str">
            <v>VINCI GESTORA DE RECURSOS LTDA</v>
          </cell>
        </row>
        <row r="2828">
          <cell r="B2828">
            <v>123698</v>
          </cell>
          <cell r="C2828" t="str">
            <v>CLUBE DE INVESTIMENTO DOS EMPREGADOS DA VALE INVESTVALE</v>
          </cell>
          <cell r="D2828" t="str">
            <v>CLUBE DE INVESTIMENTO DOS EMPREGADOS DA VALE INVESTVALE</v>
          </cell>
          <cell r="E2828" t="str">
            <v>STUDIO INVESTIMENTOS ADMINISTRADORA DE RECURSOS LTDA</v>
          </cell>
        </row>
        <row r="2829">
          <cell r="B2829" t="str">
            <v>M10917835000164</v>
          </cell>
          <cell r="C2829" t="str">
            <v>VINCI EQUITIES GESTORA DE RECURSOS LTDA</v>
          </cell>
          <cell r="D2829" t="str">
            <v>VINCI EQUITIES GESTORA DE RECURSOS LTDA</v>
          </cell>
          <cell r="E2829" t="str">
            <v>VINCI GESTORA DE RECURSOS LTDA</v>
          </cell>
        </row>
        <row r="2830">
          <cell r="B2830" t="str">
            <v>M10814751000103</v>
          </cell>
          <cell r="C2830" t="str">
            <v>VOX CAPITAL GESTÃƒO DE RECURSOS SA</v>
          </cell>
          <cell r="D2830" t="str">
            <v>VOX CAPITAL GESTÃƒO DE RECURSOS SA</v>
          </cell>
          <cell r="E2830" t="str">
            <v>VOX CAPITAL GESTÃƒO DE RECURSOS SA</v>
          </cell>
        </row>
        <row r="2831">
          <cell r="B2831" t="str">
            <v>M10808462000193</v>
          </cell>
          <cell r="D2831" t="str">
            <v>CHUBB RESSEGURADORA BRASIL SA</v>
          </cell>
        </row>
        <row r="2832">
          <cell r="B2832" t="str">
            <v>M10790817000164</v>
          </cell>
          <cell r="C2832" t="str">
            <v>ZAGROS CAPITAL GESTAO DE RECURSOS S.A</v>
          </cell>
          <cell r="D2832" t="str">
            <v>ZAGROS CAPITAL GESTAO DE RECURSOS S.A</v>
          </cell>
          <cell r="E2832" t="str">
            <v>ZAGROS CAPITAL GESTAO DE RECURSOS S.A</v>
          </cell>
        </row>
        <row r="2833">
          <cell r="B2833" t="str">
            <v>M10757908000106</v>
          </cell>
          <cell r="C2833" t="str">
            <v>BERKANA INVESTIMENTOS E GESTÃƒO DE RECURSOS LTDA.</v>
          </cell>
          <cell r="D2833" t="str">
            <v>BERKANA INVESTIMENTOS E GESTÃƒO DE RECURSOS LTDA</v>
          </cell>
          <cell r="E2833" t="str">
            <v>BERKANA INVESTIMENTOS E GESTÃƒO DE RECURSOS LTDA.</v>
          </cell>
        </row>
        <row r="2834">
          <cell r="B2834" t="str">
            <v>M10639564000122</v>
          </cell>
          <cell r="C2834" t="str">
            <v>WRIGHT CAPITAL GESTAO DE RECURSOS LTDA</v>
          </cell>
          <cell r="D2834" t="str">
            <v>WRIGHT CAPITAL GESTAO DE RECURSOS LTDA</v>
          </cell>
          <cell r="E2834" t="str">
            <v>WRIGHT CAPITAL GESTAO DE RECURSOS LTDA</v>
          </cell>
        </row>
        <row r="2835">
          <cell r="B2835" t="str">
            <v>M10626543000172</v>
          </cell>
          <cell r="C2835" t="str">
            <v>CONSTÃ‚NCIA INVESTIMENTOS LTDA.</v>
          </cell>
          <cell r="D2835" t="str">
            <v>CONSTÃ‚NCIA INVESTIMENTOS LTDA</v>
          </cell>
          <cell r="E2835" t="str">
            <v>CONSTANCIA INVESTIMENTOS LTDA.</v>
          </cell>
        </row>
        <row r="2836">
          <cell r="B2836" t="str">
            <v>M10608389000106</v>
          </cell>
          <cell r="D2836" t="str">
            <v>BARCLAYS BANK PLC</v>
          </cell>
          <cell r="E2836" t="str">
            <v>BARCLAYS BANK PLC</v>
          </cell>
        </row>
        <row r="2837">
          <cell r="B2837" t="str">
            <v>M10605283000159</v>
          </cell>
          <cell r="D2837" t="str">
            <v>SOCIEDADE DE PREVIDENCIA COMPLEMENTAR CIASC  DATUSPREV</v>
          </cell>
        </row>
        <row r="2838">
          <cell r="B2838" t="str">
            <v>M10573521000191</v>
          </cell>
          <cell r="D2838" t="str">
            <v>MERCADO PAGO INSTITUICAO DE PAGAMENTO LTDA</v>
          </cell>
        </row>
        <row r="2839">
          <cell r="B2839" t="str">
            <v>M10560366000179</v>
          </cell>
          <cell r="D2839" t="str">
            <v>GRIMPER CAPITAL GESTORA DE RECURSOS LTDA</v>
          </cell>
        </row>
        <row r="2840">
          <cell r="B2840">
            <v>80065</v>
          </cell>
          <cell r="C2840" t="str">
            <v>MORE PREMIUM CRÃ‰DITO CORPORATIVO FI RENDA FIXA LONGO PRAZO</v>
          </cell>
          <cell r="D2840" t="str">
            <v>MORE PREMIUM CRÃ‰DITO CORPORATIVO FI RENDA FIXA LONGO PRAZO</v>
          </cell>
          <cell r="E2840" t="str">
            <v>MORE INVEST GESTORA DE RECURSOS LTDA</v>
          </cell>
        </row>
        <row r="2841">
          <cell r="B2841" t="str">
            <v>M10552066000148</v>
          </cell>
          <cell r="C2841" t="str">
            <v>JK GESTORA DE RECURSOS LTDA</v>
          </cell>
          <cell r="D2841" t="str">
            <v>PNBY GESTORA DE RECURSOS LTDA.</v>
          </cell>
          <cell r="E2841" t="str">
            <v>JK GESTORA DE RECURSOS LTDA</v>
          </cell>
        </row>
        <row r="2842">
          <cell r="B2842" t="str">
            <v>M10442603000105</v>
          </cell>
          <cell r="C2842" t="str">
            <v>WISE ASSET MANAGEMENT LTDA</v>
          </cell>
          <cell r="D2842" t="str">
            <v>WISE ASSET MANAGEMENT LTDA</v>
          </cell>
          <cell r="E2842" t="str">
            <v>WISE ASSET MANAGEMENT LTDA</v>
          </cell>
        </row>
        <row r="2843">
          <cell r="B2843" t="str">
            <v>M10334074000118</v>
          </cell>
          <cell r="C2843" t="str">
            <v>OCTANTE GESTAO DE RECURSOS LTDA</v>
          </cell>
          <cell r="D2843" t="str">
            <v>OCTANTE GESTAO DE RECURSOS LTDA</v>
          </cell>
          <cell r="E2843" t="str">
            <v>OCTANTE GESTAO DE RECURSOS LTDA</v>
          </cell>
        </row>
        <row r="2844">
          <cell r="B2844" t="str">
            <v>M10290382000199</v>
          </cell>
          <cell r="C2844" t="str">
            <v>NEBRASKA CAPITAL GESTÃƒO DE RECURSOS LTDA</v>
          </cell>
          <cell r="D2844" t="str">
            <v>NEBRASKA CAPITAL GESTÃƒO DE RECURSOS LTDA</v>
          </cell>
          <cell r="E2844" t="str">
            <v>NEBRASKA CAPITAL GESTÃƒO DE RECURSOS LTDA</v>
          </cell>
        </row>
        <row r="2845">
          <cell r="B2845" t="str">
            <v>M1023117700015201</v>
          </cell>
          <cell r="D2845" t="str">
            <v>SANTANDER BRASIL GESTAO DE RECURSOS LTDA</v>
          </cell>
          <cell r="E2845" t="str">
            <v>SANTANDER BRASIL GESTAO DE RECURSOS LTDA</v>
          </cell>
        </row>
        <row r="2846">
          <cell r="B2846" t="str">
            <v>M10231177000152</v>
          </cell>
          <cell r="C2846" t="str">
            <v>SANTANDER BRASIL GESTÃƒO DE RECURSOS LTDA</v>
          </cell>
          <cell r="D2846" t="str">
            <v>SANTANDER BRASIL GESTAO DE RECURSOS LTDA</v>
          </cell>
          <cell r="E2846" t="str">
            <v>SANTANDER BRASIL GESTAO DE RECURSOS LTDA</v>
          </cell>
        </row>
        <row r="2847">
          <cell r="B2847" t="str">
            <v>M09815294000184</v>
          </cell>
          <cell r="C2847" t="str">
            <v>EMERALD GESTÃƒO DE INVESTIMENTOS SOCIEDADE UNIPESSOAL LIMITADA</v>
          </cell>
          <cell r="D2847" t="str">
            <v>EMERALD GESTAO DE INVESTIMENTOS LTDA</v>
          </cell>
          <cell r="E2847" t="str">
            <v>EMERALD GESTAO DE INVESTIMENTOS LTDA</v>
          </cell>
        </row>
        <row r="2848">
          <cell r="B2848" t="str">
            <v>M09664936000191</v>
          </cell>
          <cell r="C2848" t="str">
            <v>ANDBANK GESTAO DE PATRIMONIO FINANCEIRO LTDA</v>
          </cell>
          <cell r="D2848" t="str">
            <v>ANDBANK GESTAO DE PATRIMONIO FINANCEIRO LTDA</v>
          </cell>
          <cell r="E2848" t="str">
            <v>ANDBANK GESTAO DE PATRIMONIO FINANCEIRO LTDA</v>
          </cell>
        </row>
        <row r="2849">
          <cell r="B2849" t="str">
            <v>M09647907000111</v>
          </cell>
          <cell r="C2849" t="str">
            <v>OPPORTUNITY GESTÃƒO DE INVESTIMENTOS E RECURSOS LTDA</v>
          </cell>
          <cell r="D2849" t="str">
            <v>OPPORTUNITY GESTAO DE INVESTIMENTOS E RECURSOS LTDA</v>
          </cell>
          <cell r="E2849" t="str">
            <v>OPPORTUNITY GESTAO DE INVESTIMENTOS E RECURSOS LTDA</v>
          </cell>
        </row>
        <row r="2850">
          <cell r="B2850">
            <v>79968</v>
          </cell>
          <cell r="C2850" t="str">
            <v>PLURAL GESTAO DE RECURSOS LTDA</v>
          </cell>
          <cell r="D2850" t="str">
            <v>PLURAL GESTAO DE RECURSOS LTDA</v>
          </cell>
          <cell r="E2850" t="str">
            <v>PLURAL GESTÃO DE RECURSOS LTDA</v>
          </cell>
        </row>
        <row r="2851">
          <cell r="B2851" t="str">
            <v>M09561568000156</v>
          </cell>
          <cell r="C2851" t="str">
            <v>MAUÃ CAPITAL INVESTIMENTOS ALTERNATIVOS LTDA</v>
          </cell>
          <cell r="D2851" t="str">
            <v>MAUA INVESTIMENTOS LTDA</v>
          </cell>
          <cell r="E2851" t="str">
            <v>MAUÃ CAPITAL INVESTIMENTOS ALTERNATIVOS LTDA</v>
          </cell>
        </row>
        <row r="2852">
          <cell r="B2852" t="str">
            <v>M09555837000171</v>
          </cell>
          <cell r="C2852" t="str">
            <v>EOS INVESTIMENTOS LTDA.</v>
          </cell>
          <cell r="D2852" t="str">
            <v>EOS INVESTIMENTOS LTDA</v>
          </cell>
          <cell r="E2852" t="str">
            <v>EOS INVESTIMENTOS LTDA.</v>
          </cell>
        </row>
        <row r="2853">
          <cell r="B2853" t="str">
            <v>M09500375000195</v>
          </cell>
          <cell r="C2853" t="str">
            <v>LUMINA CAPITAL MANAGEMENT LTDA.</v>
          </cell>
          <cell r="D2853" t="str">
            <v>LUMINA CAPITAL MANAGEMENT LTDA.</v>
          </cell>
          <cell r="E2853" t="str">
            <v>LUMINA CAPITAL MANAGEMENT LTDA.</v>
          </cell>
        </row>
        <row r="2854">
          <cell r="B2854" t="str">
            <v>M09490248000152</v>
          </cell>
          <cell r="D2854" t="str">
            <v>UBS CONSENSO INVESTIMENTOS LTDA.</v>
          </cell>
          <cell r="E2854" t="str">
            <v>CONSENSO INVESTIMENTOS LTDA</v>
          </cell>
        </row>
        <row r="2855">
          <cell r="B2855" t="str">
            <v>M09456933000162</v>
          </cell>
          <cell r="C2855" t="str">
            <v>QUATÃ GESTÃƒO DE RECURSOS LTDA</v>
          </cell>
          <cell r="D2855" t="str">
            <v>QUATA GESTAO DE RECURSOS LTDA</v>
          </cell>
          <cell r="E2855" t="str">
            <v>QUATÃ GESTÃƒO DE RECURSOS LTDA</v>
          </cell>
        </row>
        <row r="2856">
          <cell r="B2856" t="str">
            <v>M09452272000105</v>
          </cell>
          <cell r="C2856" t="str">
            <v>ANGÃ ADMINISTRAÃ‡ÃƒO DE RECURSOS LTDA.</v>
          </cell>
          <cell r="D2856" t="str">
            <v>ANGA ADMINISTRACAO DE RECURSOS LTDA</v>
          </cell>
          <cell r="E2856" t="str">
            <v>ANGÃ ADMINISTRACAO DE RECURSOS LTDA</v>
          </cell>
        </row>
        <row r="2857">
          <cell r="B2857" t="str">
            <v>M09446129000100</v>
          </cell>
          <cell r="C2857" t="str">
            <v>G5 ADMINISTRADORA DE RECURSOS LTDA.</v>
          </cell>
          <cell r="D2857" t="str">
            <v>G5 ADMINISTRADORA DE RECURSOS LTDA</v>
          </cell>
          <cell r="E2857" t="str">
            <v>G5 ADMINISTRADORA DE RECURSOS LTDA.</v>
          </cell>
        </row>
        <row r="2858">
          <cell r="B2858" t="str">
            <v>M09428261000181</v>
          </cell>
          <cell r="C2858" t="str">
            <v>O3 GESTÃƒO DE RECURSOS LTDA</v>
          </cell>
          <cell r="D2858" t="str">
            <v>O3 GESTAO DE RECURSOS LTDA</v>
          </cell>
          <cell r="E2858" t="str">
            <v>O3 GESTÃƒO DE RECURSOS LTDA</v>
          </cell>
        </row>
        <row r="2859">
          <cell r="B2859" t="str">
            <v>M09385748000124</v>
          </cell>
          <cell r="C2859" t="str">
            <v>QUATRINVEST ADMINISTRADORA DE RECURSOS LTDA</v>
          </cell>
          <cell r="D2859" t="str">
            <v>QUATRINVEST ADMINISTRADORA DE RECURSOS LTDA</v>
          </cell>
          <cell r="E2859" t="str">
            <v>QUATRINVEST ADMINISTRADORA DE RECURSOS LTDA</v>
          </cell>
        </row>
        <row r="2860">
          <cell r="B2860" t="str">
            <v>M09346601000125</v>
          </cell>
          <cell r="D2860" t="str">
            <v>B3 S.A. - BRASIL, BOLSA, BALCAO</v>
          </cell>
          <cell r="E2860" t="str">
            <v>B3 S/A - BRASIL BOLSA BALCÃƒO</v>
          </cell>
        </row>
        <row r="2861">
          <cell r="B2861" t="str">
            <v>M09313766000109</v>
          </cell>
          <cell r="D2861" t="str">
            <v>CARUANA SA  SOCIEDADE DE CREDITO, FINANCIAMENTO E INVESTIMENTO</v>
          </cell>
        </row>
        <row r="2862">
          <cell r="B2862" t="str">
            <v>M09311153000124</v>
          </cell>
          <cell r="C2862" t="str">
            <v>RIO DAS PEDRAS ADMINISTRAÃ‡ÃƒO E PARTICIPAÃ‡Ã•ES LTDA</v>
          </cell>
          <cell r="D2862" t="str">
            <v>RIO DAS PEDRAS ADMINISTRAÃ‡ÃƒO E PARTICIPAÃ‡Ã•ES LTDA</v>
          </cell>
          <cell r="E2862" t="str">
            <v>RIO DAS PEDRAS ADMINISTRAÃ‡ÃƒO E PARTICIPAÃ‡Ã•ES LTDA</v>
          </cell>
        </row>
        <row r="2863">
          <cell r="B2863" t="str">
            <v>M09262533000116</v>
          </cell>
          <cell r="C2863" t="str">
            <v>JGP GESTÃƒO PATRIMONIAL LTDA</v>
          </cell>
          <cell r="D2863" t="str">
            <v>JGP GESTAO PATRIMONIAL LTDA</v>
          </cell>
          <cell r="E2863" t="str">
            <v>JGP GESTAO PATRIMONIAL LTDA</v>
          </cell>
        </row>
        <row r="2864">
          <cell r="B2864" t="str">
            <v>M09175140000175</v>
          </cell>
          <cell r="C2864" t="str">
            <v>GALT CAPITAL CONSULTORIA DE INVESTIMENTOS LTDA.</v>
          </cell>
          <cell r="D2864" t="str">
            <v>GALT CAPITAL CONSULTORIA DE INVESTIMENTOS LTDA.</v>
          </cell>
          <cell r="E2864" t="str">
            <v>GALT CAPITAL CONSULTORIA DE INVESTIMENTOS LTDA.</v>
          </cell>
        </row>
        <row r="2865">
          <cell r="B2865" t="str">
            <v>M09127495000199</v>
          </cell>
          <cell r="C2865" t="str">
            <v>PROTEUS INVESTIMENTOS LTDA</v>
          </cell>
          <cell r="D2865" t="str">
            <v>PROTEUS INVESTIMENTOS LTDA</v>
          </cell>
          <cell r="E2865" t="str">
            <v>PROTEUS INVESTIMENTOS LTDA</v>
          </cell>
        </row>
        <row r="2866">
          <cell r="B2866" t="str">
            <v>M09121454000195</v>
          </cell>
          <cell r="C2866" t="str">
            <v>TERCON INVESTIMENTOS LTDA</v>
          </cell>
          <cell r="D2866" t="str">
            <v>TERCON INVESTIMENTOS LTDA</v>
          </cell>
          <cell r="E2866" t="str">
            <v>TERCON INVESTIMENTOS LTDA</v>
          </cell>
        </row>
        <row r="2867">
          <cell r="B2867" t="str">
            <v>M09069853000154</v>
          </cell>
          <cell r="D2867" t="str">
            <v>BSM SUPERVISAO DE MERCADOS</v>
          </cell>
        </row>
        <row r="2868">
          <cell r="B2868" t="str">
            <v>M08990773000174</v>
          </cell>
          <cell r="C2868" t="str">
            <v>POLO CAPITAL INTERNACIONAL GESTÃƒO DE RECURSOS LTDA</v>
          </cell>
          <cell r="D2868" t="str">
            <v>POLO CAPITAL INTERNACIONAL GESTÃƒO DE RECURSOS LTDA</v>
          </cell>
          <cell r="E2868" t="str">
            <v>POLO CAPITAL GESTÃO DE RECURSOS LTDA</v>
          </cell>
        </row>
        <row r="2869">
          <cell r="B2869" t="str">
            <v>M08968113000197</v>
          </cell>
          <cell r="C2869" t="str">
            <v>EST GESTÃƒO DE PATRIMÃ”NIO LTDA.</v>
          </cell>
          <cell r="D2869" t="str">
            <v>EST GESTÃƒO DE PATRIMÃ”NIO LTDA.</v>
          </cell>
          <cell r="E2869" t="str">
            <v>EST GESTÃƒO DE PATRIMÃ”NIO LTDA.</v>
          </cell>
        </row>
        <row r="2870">
          <cell r="B2870" t="str">
            <v>M08885512000194</v>
          </cell>
          <cell r="C2870" t="str">
            <v>GAMA INVESTIMENTOS LTDA.</v>
          </cell>
          <cell r="D2870" t="str">
            <v>GAMA INVESTIMENTOS LTDA.</v>
          </cell>
          <cell r="E2870" t="str">
            <v>GAMA INVESTIMENTOS LTDA.</v>
          </cell>
        </row>
        <row r="2871">
          <cell r="B2871" t="str">
            <v>M08800008000144</v>
          </cell>
          <cell r="C2871" t="str">
            <v>BRAINVEST ASSESSORIA FINANCEIRA E GESTÃƒO DE RECURSOS LTDA</v>
          </cell>
          <cell r="D2871" t="str">
            <v>BRAINVEST ASSESSORIA FINANCEIRA E GESTAO DE RECURSOS LTDA.</v>
          </cell>
          <cell r="E2871" t="str">
            <v>BRAINVEST ASSESSORIA FINANCEIRA E GESTÃO DE RECURSOS LTDA</v>
          </cell>
        </row>
        <row r="2872">
          <cell r="B2872" t="str">
            <v>M08749411000196</v>
          </cell>
          <cell r="C2872" t="str">
            <v>SKOPOS INVESTIMENTOS LTDA</v>
          </cell>
          <cell r="D2872" t="str">
            <v>SKOPOS INVESTIMENTOS LTDA</v>
          </cell>
          <cell r="E2872" t="str">
            <v>SKOPOS INVESTIMENTOS LTDA</v>
          </cell>
        </row>
        <row r="2873">
          <cell r="B2873" t="str">
            <v>M08604187000144</v>
          </cell>
          <cell r="C2873" t="str">
            <v>KINEA INVESTIMENTOS LTDA.</v>
          </cell>
          <cell r="D2873" t="str">
            <v>KINEA INVESTIMENTOS LTDA</v>
          </cell>
          <cell r="E2873" t="str">
            <v>KINEA INVESTIMENTOS LTDA</v>
          </cell>
        </row>
        <row r="2874">
          <cell r="B2874" t="str">
            <v>M08466131000170</v>
          </cell>
          <cell r="C2874" t="str">
            <v>NEST INTERNATIONAL ADMINISTRADORA DE CARTEIRA DE VALORES MOBILIÃRIOS LTDA</v>
          </cell>
          <cell r="D2874" t="str">
            <v>NEST INTERNATIONAL ADMINISTRADORA DE CARTEIRA DE VALORES MOBILIÃRIOS LTDA</v>
          </cell>
          <cell r="E2874" t="str">
            <v>NEST INTERNATIONAL ADMINISTRADORA DE CARTEIRA DE VALORES MOBILIÃRIOS LTDA</v>
          </cell>
        </row>
        <row r="2875">
          <cell r="B2875" t="str">
            <v>M08279191000184</v>
          </cell>
          <cell r="D2875" t="str">
            <v>CARDIF DO BRASIL SEGUROS E GARANTIAS SA</v>
          </cell>
          <cell r="E2875" t="str">
            <v>CARDIF DO BRASIL SEGUROS E GARANTIAS S/A</v>
          </cell>
        </row>
        <row r="2876">
          <cell r="B2876" t="str">
            <v>M08204817000193</v>
          </cell>
          <cell r="C2876" t="str">
            <v>DRYS CAPITAL LTDA</v>
          </cell>
          <cell r="D2876" t="str">
            <v>EQUITAS ADMINISTRACAO DE FUNDOS DE INVESTIMENTOS LTDA</v>
          </cell>
          <cell r="E2876" t="str">
            <v>DRYS CAPITAL LTDA</v>
          </cell>
        </row>
        <row r="2877">
          <cell r="B2877" t="str">
            <v>M07981934000109</v>
          </cell>
          <cell r="C2877" t="str">
            <v>RB CAPITAL ASSET MANAGEMENT LTDA</v>
          </cell>
          <cell r="D2877" t="str">
            <v>RB CAPITAL ASSET MANAGEMENT LTDA</v>
          </cell>
          <cell r="E2877" t="str">
            <v>RB CAPITAL ASSET MANAGEMENT LTDA</v>
          </cell>
        </row>
        <row r="2878">
          <cell r="B2878" t="str">
            <v>M07746953000142</v>
          </cell>
          <cell r="D2878" t="str">
            <v>LUIZASEG SEGUROS SA</v>
          </cell>
          <cell r="E2878" t="str">
            <v>LUIZASEG SEGUROS S/A</v>
          </cell>
        </row>
        <row r="2879">
          <cell r="B2879">
            <v>9003</v>
          </cell>
          <cell r="C2879" t="str">
            <v>XP INVESTIMENTOS CCTVM S/A</v>
          </cell>
          <cell r="D2879" t="str">
            <v>XP INVESTIMENTOS CCTVM S/A</v>
          </cell>
          <cell r="E2879" t="str">
            <v>BANCO XP S/A</v>
          </cell>
        </row>
        <row r="2880">
          <cell r="B2880" t="str">
            <v>M07559989000117</v>
          </cell>
          <cell r="C2880" t="str">
            <v>VALORA IMOBILIÃRIO E INFRAESTRUTURA LTDA.</v>
          </cell>
          <cell r="D2880" t="str">
            <v>VALORA GESTÃƒO DE INVESTIMENTOS LTDA</v>
          </cell>
          <cell r="E2880" t="str">
            <v>VALORA GESTÃO DE INVESTIMENTOS LTDA</v>
          </cell>
        </row>
        <row r="2881">
          <cell r="B2881" t="str">
            <v>M07544655000170</v>
          </cell>
          <cell r="D2881" t="str">
            <v>INSTITUTO DE PREVIDENCIA MUNICIPAL DE MOGI DAS CRUZES  IPREM</v>
          </cell>
          <cell r="E2881" t="str">
            <v>RPPS MOGI DAS CRUZES</v>
          </cell>
        </row>
        <row r="2882">
          <cell r="B2882" t="str">
            <v>M07481455000115</v>
          </cell>
          <cell r="D2882" t="str">
            <v>INSTITUTO DE PREVIDENCIA DE APARECIDA DE GOIANIA</v>
          </cell>
        </row>
        <row r="2883">
          <cell r="B2883" t="str">
            <v>M07450604000189</v>
          </cell>
          <cell r="D2883" t="str">
            <v>CHINA CONSTRUCTION BANK (BRASIL) BANCO MULTIPLO SA</v>
          </cell>
          <cell r="E2883" t="str">
            <v>BANCO DA CHINA BRASIL S/A</v>
          </cell>
        </row>
        <row r="2884">
          <cell r="B2884" t="str">
            <v>M07437241000141</v>
          </cell>
          <cell r="C2884" t="str">
            <v>WESTERN ASSET MANAGEMENT COMPANY DTVM LIMITADA</v>
          </cell>
          <cell r="D2884" t="str">
            <v>WESTERN ASSET MANAGEMENT COMPANY DTVM LTDA</v>
          </cell>
          <cell r="E2884" t="str">
            <v>WESTERN ASSET MANAGEMENT COMPANY DTVM LTDA</v>
          </cell>
        </row>
        <row r="2885">
          <cell r="B2885" t="str">
            <v>M07418670000171</v>
          </cell>
          <cell r="D2885" t="str">
            <v>RELIANCE STANDARD LIFE INSURANCE COMPANY  CITIBANK DTVM SA</v>
          </cell>
        </row>
        <row r="2886">
          <cell r="B2886" t="str">
            <v>M07397614000106</v>
          </cell>
          <cell r="C2886" t="str">
            <v>SICOOB DISTRIBUIDORA DE TÃTULOS E VALORES MOBILIÃRIOS LTDA.</v>
          </cell>
          <cell r="D2886" t="str">
            <v>SICOOB DISTRIBUIDORA DE TITULOS E VALORES MOBILIARIOS LTDA.</v>
          </cell>
          <cell r="E2886" t="str">
            <v>BANCO COOPERATIVO SICOOB S/A</v>
          </cell>
        </row>
        <row r="2887">
          <cell r="B2887" t="str">
            <v>M07341777000169</v>
          </cell>
          <cell r="C2887" t="str">
            <v>VINLAND CAPITAL MANAGEMENT GESTORA DE RECURSOS LTDA.</v>
          </cell>
          <cell r="D2887" t="str">
            <v>VINLAND CAPITAL MANAGEMENT GESTORA DE RECURSOS LTDA</v>
          </cell>
          <cell r="E2887" t="str">
            <v>VINLAND CAPITAL MANAGEMENT GESTORA DE RECURSOS LTDA</v>
          </cell>
        </row>
        <row r="2888">
          <cell r="B2888" t="str">
            <v>M07273170000199</v>
          </cell>
          <cell r="C2888" t="str">
            <v>CAIXA DE PREVIDÃŠNCIA DOS FUNCIONÃRIOS DO BANCO DO NORDESTE DO BRASIL</v>
          </cell>
          <cell r="D2888" t="str">
            <v>CAIXA DE PREVIDENCIA DOS FUNCIONARIOS DO BANCO DO NORDESTE DO BRASIL  CAPEF</v>
          </cell>
          <cell r="E2888" t="str">
            <v>CAIXA DE PREVIDÊNCIA DOS FUNCIONÁRIOS DO BANCO DO NORDESTE DO BRASIL</v>
          </cell>
        </row>
        <row r="2889">
          <cell r="B2889" t="str">
            <v>M07252227000173</v>
          </cell>
          <cell r="C2889" t="str">
            <v>MULTIPLICA CAPITAL ASSET MANAGEMENT LTDA</v>
          </cell>
          <cell r="D2889" t="str">
            <v>MULTIPLICA CAPITAL ASSET MANAGEMENT LTDA</v>
          </cell>
          <cell r="E2889" t="str">
            <v>MULTIPLICA CAPITAL ASSET MANAGEMENT LTDA</v>
          </cell>
        </row>
        <row r="2890">
          <cell r="B2890" t="str">
            <v>M07250864000100</v>
          </cell>
          <cell r="C2890" t="str">
            <v>QLZ GESTÃƒO DE RECURSOS FINANCEIROS LTDA</v>
          </cell>
          <cell r="D2890" t="str">
            <v>QLZ GESTAO DE RECURSOS FINANCEIROS LTDA</v>
          </cell>
          <cell r="E2890" t="str">
            <v>QLZ GESTÃƒO DE RECURSOS FINANCEIROS LTDA</v>
          </cell>
        </row>
        <row r="2891">
          <cell r="B2891" t="str">
            <v>M07237373000120</v>
          </cell>
          <cell r="C2891" t="str">
            <v>BANCO DO NORDESTE DO BRASIL SA</v>
          </cell>
          <cell r="D2891" t="str">
            <v>BANCO DO NORDESTE DO BRASIL SA</v>
          </cell>
          <cell r="E2891" t="str">
            <v>BANCO DO NORDESTE DO BRASIL S/A</v>
          </cell>
        </row>
        <row r="2892">
          <cell r="B2892" t="str">
            <v>M07170960000149</v>
          </cell>
          <cell r="C2892" t="str">
            <v>JIVE HIGH YIELD GESTÃƒO DE RECURSOS LTDA.</v>
          </cell>
          <cell r="D2892" t="str">
            <v>JIVE HIGH YIELD GESTÃƒO DE RECURSOS LTDA.</v>
          </cell>
          <cell r="E2892" t="str">
            <v>JIVE ASSET GESTÃO DE RECURSOS LTDA</v>
          </cell>
        </row>
        <row r="2893">
          <cell r="B2893" t="str">
            <v>M07138049000154</v>
          </cell>
          <cell r="D2893" t="str">
            <v>LIGA INVEST DTVM LTDA</v>
          </cell>
        </row>
        <row r="2894">
          <cell r="B2894" t="str">
            <v>M07104806000179</v>
          </cell>
          <cell r="C2894" t="str">
            <v>CITIGROUP GLOBAL MARKETS LIMITED - CITIBANK DTVM SA</v>
          </cell>
          <cell r="D2894" t="str">
            <v>CITIGROUP GLOBAL MARKETS LIMITED - CITIBANK DTVM SA</v>
          </cell>
          <cell r="E2894" t="str">
            <v>BANCO CITIBANK S/A</v>
          </cell>
        </row>
        <row r="2895">
          <cell r="B2895" t="str">
            <v>M06916689000185</v>
          </cell>
          <cell r="D2895" t="str">
            <v>INSTITUTO DE PREVIDENCIA SOCIAL DO MUNICIPIO DE CAMPINAS</v>
          </cell>
        </row>
        <row r="2896">
          <cell r="B2896" t="str">
            <v>M06788911000101</v>
          </cell>
          <cell r="C2896" t="str">
            <v>GAP GESTORA DE RECURSOS LTDA</v>
          </cell>
          <cell r="D2896" t="str">
            <v>GAP GESTORA DE RECURSOS LTDA</v>
          </cell>
          <cell r="E2896" t="str">
            <v>GAP GESTORA DE RECURSOS LTDA</v>
          </cell>
        </row>
        <row r="2897">
          <cell r="B2897" t="str">
            <v>M06576569000186</v>
          </cell>
          <cell r="C2897" t="str">
            <v>INTEGRAL INVESTIMENTOS LTDA.</v>
          </cell>
          <cell r="D2897" t="str">
            <v>INTEGRAL INVESTIMENTOS LTDA</v>
          </cell>
          <cell r="E2897" t="str">
            <v>INTEGRAL INVESTIMENTOS LTDA.</v>
          </cell>
        </row>
        <row r="2898">
          <cell r="B2898" t="str">
            <v>M06332955000122</v>
          </cell>
          <cell r="C2898" t="str">
            <v>STEN GESTÃƒO PATRIMONIAL LTDA.</v>
          </cell>
          <cell r="D2898" t="str">
            <v>MACRO CAPITAL GESTAO DE RECURSOS LTDA</v>
          </cell>
          <cell r="E2898" t="str">
            <v>STEN GESTÃƒO PATRIMONIAL LTDA.</v>
          </cell>
        </row>
        <row r="2899">
          <cell r="B2899" t="str">
            <v>M06195084000142</v>
          </cell>
          <cell r="C2899" t="str">
            <v>EMPIRICUS GESTAO DE RECURSOS LTDA</v>
          </cell>
          <cell r="D2899" t="str">
            <v>EMPIRICUS GESTAO DE RECURSOS LTDA</v>
          </cell>
          <cell r="E2899" t="str">
            <v>EMPIRICUS GESTAO DE RECURSOS LTDA</v>
          </cell>
        </row>
        <row r="2900">
          <cell r="B2900" t="str">
            <v>M06071726000100</v>
          </cell>
          <cell r="C2900" t="str">
            <v>AGORA GESTAO DE RECURSOS LTDA.</v>
          </cell>
          <cell r="D2900" t="str">
            <v>AGORA GESTAO DE RECURSOS LTDA</v>
          </cell>
          <cell r="E2900" t="str">
            <v>AGORA GESTAO DE RECURSOS LTDA</v>
          </cell>
        </row>
        <row r="2901">
          <cell r="B2901" t="str">
            <v>M06056449000158</v>
          </cell>
          <cell r="D2901" t="str">
            <v>ENERGISAPREV  FUNDACAO ENERGISA DE PREVIDENCIA</v>
          </cell>
          <cell r="E2901" t="str">
            <v>FUNDAÃ‡ÃƒO ENERGISAPREV</v>
          </cell>
        </row>
        <row r="2902">
          <cell r="B2902" t="str">
            <v>M05839380000176</v>
          </cell>
          <cell r="D2902" t="str">
            <v>LELAND STANFORD JUNIOR UNIVERSITY  CITIBANK DTVM SA</v>
          </cell>
        </row>
        <row r="2903">
          <cell r="B2903">
            <v>14440</v>
          </cell>
          <cell r="C2903" t="str">
            <v>PLURAL GESTAO DE RECURSOS LTDA</v>
          </cell>
          <cell r="D2903">
            <v>100</v>
          </cell>
          <cell r="E2903" t="str">
            <v>PLURAL GESTÃO DE RECURSOS LTDA</v>
          </cell>
        </row>
        <row r="2904">
          <cell r="B2904" t="str">
            <v>M05774894000190</v>
          </cell>
          <cell r="D2904" t="str">
            <v>INSTITUTO DE PREVIDENCIA DOS SERVIDORES PUBLICOS DO MUNICIPIO DE SAO JOAO DA BOA VISTA</v>
          </cell>
          <cell r="E2904" t="str">
            <v>RPPS SÃƒO JOÃƒO DA BOA VISTA</v>
          </cell>
        </row>
        <row r="2905">
          <cell r="B2905" t="str">
            <v>M05739207000104</v>
          </cell>
          <cell r="D2905" t="str">
            <v>GLOBAL EQUITY ADMINISTRADORA DE RECURSOS SA</v>
          </cell>
        </row>
        <row r="2906">
          <cell r="B2906" t="str">
            <v>M05669128000166</v>
          </cell>
          <cell r="C2906" t="str">
            <v>GAVEA INVESTIMENTOS LTDA</v>
          </cell>
          <cell r="D2906" t="str">
            <v>GAVEA INVESTIMENTOS LTDA</v>
          </cell>
          <cell r="E2906" t="str">
            <v>GAVEA INVESTIMENTOS LTDA</v>
          </cell>
        </row>
        <row r="2907">
          <cell r="B2907" t="str">
            <v>M05585083000141</v>
          </cell>
          <cell r="C2907" t="str">
            <v>INTER ASSET GESTÃƒO DE RECURSOS LTDA.</v>
          </cell>
          <cell r="D2907" t="str">
            <v>INTER ASSET GESTAO DE RECURSOS LTDA</v>
          </cell>
          <cell r="E2907" t="str">
            <v>INTER ASSET GESTAO DE RECURSOS LTDA</v>
          </cell>
        </row>
        <row r="2908">
          <cell r="B2908" t="str">
            <v>M05563299000106</v>
          </cell>
          <cell r="C2908" t="str">
            <v>SOMMA INVESTIMENTOS S.A.</v>
          </cell>
          <cell r="D2908" t="str">
            <v>SOMMA INVESTIMENTOS S.A</v>
          </cell>
          <cell r="E2908" t="str">
            <v>SOMMA INVESTIMENTOS S.A.</v>
          </cell>
        </row>
        <row r="2909">
          <cell r="B2909" t="str">
            <v>M05507216000161</v>
          </cell>
          <cell r="C2909" t="str">
            <v>INSTITUTO DE PREVIDENCIA DO MUNICIPIO DE JUNDIAI</v>
          </cell>
          <cell r="D2909" t="str">
            <v>INSTITUTO DE PREVIDENCIA DO MUNICIPIO DE JUNDIAI</v>
          </cell>
          <cell r="E2909" t="str">
            <v>INSTITUTO DE PREVIDENCIA DO MUNICIPIO DE JUNDIAI</v>
          </cell>
        </row>
        <row r="2910">
          <cell r="B2910" t="str">
            <v>M05463212000129</v>
          </cell>
          <cell r="D2910" t="str">
            <v>COOPERATIVA CENTRAL DE CREDITO - AILOS</v>
          </cell>
          <cell r="E2910" t="str">
            <v>COOPERATIVA CENTRAL DE CREDITO - AILOS</v>
          </cell>
        </row>
        <row r="2911">
          <cell r="B2911" t="str">
            <v>M05451668000179</v>
          </cell>
          <cell r="C2911" t="str">
            <v>POLO CAPITAL GESTÃƒO DE RECURSOS LTDA</v>
          </cell>
          <cell r="D2911" t="str">
            <v>POLO CAPITAL GESTÃƒO DE RECURSOS LTDA</v>
          </cell>
          <cell r="E2911" t="str">
            <v>POLO CAPITAL GESTÃO DE RECURSOS LTDA</v>
          </cell>
        </row>
        <row r="2912">
          <cell r="B2912" t="str">
            <v>M05349595000109</v>
          </cell>
          <cell r="D2912" t="str">
            <v>CAIXA CONSORCIOS SA ADMINISTRADORA DE CONSORCIOS</v>
          </cell>
          <cell r="E2912" t="str">
            <v>CAIXA CONSORCIOS S/A ADMINISTRADORA DE CONSORCIOS</v>
          </cell>
        </row>
        <row r="2913">
          <cell r="B2913" t="str">
            <v>M05332568000123</v>
          </cell>
          <cell r="D2913" t="str">
            <v>PREVIMPA - DEPARTAMENTO MUNICIPAL DE PREVIDENCIA DOS SERVIDOR DE PORTO ALEGRE</v>
          </cell>
          <cell r="E2913" t="str">
            <v>RPPS PORTO ALEGRE</v>
          </cell>
        </row>
        <row r="2914">
          <cell r="B2914" t="str">
            <v>M05298824000103</v>
          </cell>
          <cell r="D2914" t="str">
            <v>INSTITUTO DE PREV DOS SERVI PUBLICOS DO MUNICIPIO DE JOACABA</v>
          </cell>
        </row>
        <row r="2915">
          <cell r="B2915" t="str">
            <v>M05230601000104</v>
          </cell>
          <cell r="C2915" t="str">
            <v>APEX ASSET MANAGEMENT LTDA</v>
          </cell>
          <cell r="D2915" t="str">
            <v>APEX ASSET MANAGEMENT LTDA</v>
          </cell>
          <cell r="E2915" t="str">
            <v>APEX ASSET MANAGEMENT LTDA</v>
          </cell>
        </row>
        <row r="2916">
          <cell r="B2916" t="str">
            <v>M05119639000104</v>
          </cell>
          <cell r="C2916" t="str">
            <v>REAG WM GESTORA DE PATRIMÃ”NIO LTDA.</v>
          </cell>
          <cell r="D2916" t="str">
            <v>REAG WM GESTORA DE PATRIMÃ”NIO LTDA.</v>
          </cell>
          <cell r="E2916" t="str">
            <v>REAG ASSET MANAGEMENT LTDA</v>
          </cell>
        </row>
        <row r="2917">
          <cell r="B2917" t="str">
            <v>M04984818000147</v>
          </cell>
          <cell r="D2917" t="str">
            <v>INSTITUTO DE PREVIDENCIA DE ITAJAI</v>
          </cell>
        </row>
        <row r="2918">
          <cell r="B2918" t="str">
            <v>M04927847000177</v>
          </cell>
          <cell r="D2918" t="str">
            <v>INSTITUTO DE PREVIDENCIA DO SERVIDOR PUBLICO DE SENADOR CANEDO  SENAPREV</v>
          </cell>
        </row>
        <row r="2919">
          <cell r="B2919" t="str">
            <v>M04913711000108</v>
          </cell>
          <cell r="D2919" t="str">
            <v>BANCO DO ESTADO DO PARA SA</v>
          </cell>
          <cell r="E2919" t="str">
            <v>BANCO DO ESTADO DO PARA S/A</v>
          </cell>
        </row>
        <row r="2920">
          <cell r="B2920" t="str">
            <v>M04903989000102</v>
          </cell>
          <cell r="D2920" t="str">
            <v>INSTITUTO DE PREVIDENCIA SOCIAL DOS SERVIDORES MUN DE JLLE</v>
          </cell>
        </row>
        <row r="2921">
          <cell r="B2921" t="str">
            <v>M04902979000144</v>
          </cell>
          <cell r="D2921" t="str">
            <v>BANCO DA AMAZONIA S.A.</v>
          </cell>
          <cell r="E2921" t="str">
            <v>BANCO DA AMAZONIA S/A</v>
          </cell>
        </row>
        <row r="2922">
          <cell r="B2922" t="str">
            <v>M04882772000155</v>
          </cell>
          <cell r="D2922" t="str">
            <v>INSTITUTO DE PREVIDENCIA DOS FUNCIONARIOS PUBLICOS DO MUNICIPIO DE PAULINIA  PAULINIA PREVI</v>
          </cell>
        </row>
        <row r="2923">
          <cell r="B2923" t="str">
            <v>M04725003000143</v>
          </cell>
          <cell r="D2923" t="str">
            <v>IPREJAN  INSTITUTO DE PREVIDENCIA MUNICIPAL DE JANDIRA</v>
          </cell>
        </row>
        <row r="2924">
          <cell r="B2924" t="str">
            <v>M04686893000121</v>
          </cell>
          <cell r="C2924" t="str">
            <v>TURIM 21 INVESTIMENTOS LTDA</v>
          </cell>
          <cell r="D2924" t="str">
            <v>TURIM 21 INVESTIMENTOS LTDA</v>
          </cell>
          <cell r="E2924" t="str">
            <v>TURIM 21 INVESTIMENTOS LTDA</v>
          </cell>
        </row>
        <row r="2925">
          <cell r="B2925" t="str">
            <v>M04636879000113</v>
          </cell>
          <cell r="C2925" t="str">
            <v>TROPICO INVESTIMENTOS E PARTICIPACOES LTDA</v>
          </cell>
          <cell r="D2925" t="str">
            <v>TROPICO INVESTIMENTOS E PARTICIPACOES LTDA</v>
          </cell>
          <cell r="E2925" t="str">
            <v>TROPICO INVESTIMENTOS E PARTICIPACOES LTDA</v>
          </cell>
        </row>
        <row r="2926">
          <cell r="B2926" t="str">
            <v>M04632856000130</v>
          </cell>
          <cell r="D2926" t="str">
            <v>CREDISIS  CENTRAL DE COOPERATIVAS DE CREDITO LTDA</v>
          </cell>
        </row>
        <row r="2927">
          <cell r="B2927" t="str">
            <v>M04608141000142</v>
          </cell>
          <cell r="C2927" t="str">
            <v>SFI INVESTIMENTOS LTDA</v>
          </cell>
          <cell r="D2927" t="str">
            <v>SFI INVESTIMENTOS LTDA</v>
          </cell>
          <cell r="E2927" t="str">
            <v>SFI INVESTIMENTOS LTDA</v>
          </cell>
        </row>
        <row r="2928">
          <cell r="B2928" t="str">
            <v>M04581293000107</v>
          </cell>
          <cell r="C2928" t="str">
            <v>BRESSER ADMINISTRAÃ‡ÃƒO DE RECURSOS LTDA</v>
          </cell>
          <cell r="D2928" t="str">
            <v>BRESSER ADMINISTRAÃ‡ÃƒO DE RECURSOS LTDA</v>
          </cell>
          <cell r="E2928" t="str">
            <v>BRESSER ADMINISTRAÃ‡ÃƒO DE RECURSOS LTDA</v>
          </cell>
        </row>
        <row r="2929">
          <cell r="B2929" t="str">
            <v>M04521606000123</v>
          </cell>
          <cell r="C2929" t="str">
            <v>QUADRANTE INVESTIMENTOS LTDA</v>
          </cell>
          <cell r="D2929" t="str">
            <v>QUADRANTE INVESTIMENTOS LTDA</v>
          </cell>
          <cell r="E2929" t="str">
            <v>QUADRANTE INVESTIMENTOS LTDA</v>
          </cell>
        </row>
        <row r="2930">
          <cell r="B2930" t="str">
            <v>M04506394000105</v>
          </cell>
          <cell r="C2930" t="str">
            <v>AZ QUEST INVESTIMENTOS LTDA</v>
          </cell>
          <cell r="D2930" t="str">
            <v>AZ QUEST INVESTIMENTOS LTDA.</v>
          </cell>
          <cell r="E2930" t="str">
            <v>AZ QUEST INVESTIMENTOS LTDA</v>
          </cell>
        </row>
        <row r="2931">
          <cell r="B2931" t="str">
            <v>M04439627000102</v>
          </cell>
          <cell r="D2931" t="str">
            <v>ALLIANZ SAUDE SA</v>
          </cell>
          <cell r="E2931" t="str">
            <v>ALLIANZ SEGUROS S/A</v>
          </cell>
        </row>
        <row r="2932">
          <cell r="B2932" t="str">
            <v>M04408128000140</v>
          </cell>
          <cell r="C2932" t="str">
            <v>ARX INVESTIMENTOS LTDA</v>
          </cell>
          <cell r="D2932" t="str">
            <v>ARX INVESTIMENTOS LTDA</v>
          </cell>
          <cell r="E2932" t="str">
            <v>ARX INVESTIMENTOS LTDA</v>
          </cell>
        </row>
        <row r="2933">
          <cell r="B2933" t="str">
            <v>M04369038000197</v>
          </cell>
          <cell r="C2933" t="str">
            <v>TAGUS INVESTIMENTOS LTDA</v>
          </cell>
          <cell r="D2933" t="str">
            <v>TAGUS INVESTIMENTOS LTDA</v>
          </cell>
          <cell r="E2933" t="str">
            <v>TAGUS INVESTIMENTOS LTDA</v>
          </cell>
        </row>
        <row r="2934">
          <cell r="B2934">
            <v>82092</v>
          </cell>
          <cell r="C2934" t="str">
            <v>GOLDMAN SACHS INTERNATIONAL - CITI</v>
          </cell>
          <cell r="D2934" t="str">
            <v>GOLDMAN SACHS INTERNATIONAL - CITI</v>
          </cell>
          <cell r="E2934" t="str">
            <v>GOLDMAN SACHS DO BRASIL BANCO MULTIPLO S/A</v>
          </cell>
        </row>
        <row r="2935">
          <cell r="B2935">
            <v>58643</v>
          </cell>
          <cell r="C2935" t="str">
            <v>CAPITANIA HEDGE FIF</v>
          </cell>
          <cell r="D2935" t="str">
            <v>CAPITANIA HEDGE FIF</v>
          </cell>
          <cell r="E2935" t="str">
            <v>CAPITÂNIA INVEST S/A</v>
          </cell>
        </row>
        <row r="2936">
          <cell r="B2936" t="str">
            <v>M04257795000179</v>
          </cell>
          <cell r="D2936" t="str">
            <v>NOVA FUTURA CTVM LTDA</v>
          </cell>
          <cell r="E2936" t="str">
            <v>NOVA FUTURA CTVM LTDA</v>
          </cell>
        </row>
        <row r="2937">
          <cell r="B2937" t="str">
            <v>M04232804000177</v>
          </cell>
          <cell r="C2937" t="str">
            <v>PERFIN ADMINISTRAÃ‡ÃƒO DE RECURSOS LTDA</v>
          </cell>
          <cell r="D2937" t="str">
            <v>PERFIN ADMINISTRAÃ‡ÃƒO DE RECURSOS LTDA</v>
          </cell>
          <cell r="E2937" t="str">
            <v>PERFIN ADMINISTRAÃ‡ÃƒO DE RECURSOS LTDA</v>
          </cell>
        </row>
        <row r="2938">
          <cell r="B2938" t="str">
            <v>M04160039000127</v>
          </cell>
          <cell r="C2938" t="str">
            <v>MAPFRE INVESTIMENTOS LTDA.</v>
          </cell>
          <cell r="D2938" t="str">
            <v>MAPFRE INVESTIMENTOS LTDA</v>
          </cell>
          <cell r="E2938" t="str">
            <v>MAPFRE INVESTIMENTOS LTDA.</v>
          </cell>
        </row>
        <row r="2939">
          <cell r="B2939">
            <v>124378</v>
          </cell>
          <cell r="C2939" t="str">
            <v>CELOS CLARITAS VALOR FIA</v>
          </cell>
          <cell r="D2939">
            <v>124378</v>
          </cell>
          <cell r="E2939" t="str">
            <v>CELOS CLARITAS VALOR FIA</v>
          </cell>
        </row>
        <row r="2940">
          <cell r="B2940" t="str">
            <v>M03983856000112</v>
          </cell>
          <cell r="C2940" t="str">
            <v>4UM GESTÃƒO DE RECURSOS LTDA.</v>
          </cell>
          <cell r="D2940" t="str">
            <v>4UM GESTÃƒO DE RECURSOS LTDA.</v>
          </cell>
          <cell r="E2940" t="str">
            <v>4UM GESTÃO DE RECURSOS LTDA</v>
          </cell>
        </row>
        <row r="2941">
          <cell r="B2941" t="str">
            <v>M03953059000192</v>
          </cell>
          <cell r="D2941" t="str">
            <v>VOITH PREV  SOCIEDADE DE PREVIDENCIA PRIVADA</v>
          </cell>
        </row>
        <row r="2942">
          <cell r="B2942" t="str">
            <v>M03916700000119</v>
          </cell>
          <cell r="D2942" t="str">
            <v>INST DE PREV SOCIAL DOS SERV PUB DO MUNI DE LEOBERTO LEAL</v>
          </cell>
        </row>
        <row r="2943">
          <cell r="B2943" t="str">
            <v>M03864607000108</v>
          </cell>
          <cell r="C2943" t="str">
            <v>RIO BRAVO INVESTIMENTOS LTDA</v>
          </cell>
          <cell r="D2943" t="str">
            <v>RIO BRAVO INVESTIMENTOS LTDA</v>
          </cell>
          <cell r="E2943" t="str">
            <v>RIO BRAVO INVESTIMENTOS LTDA</v>
          </cell>
        </row>
        <row r="2944">
          <cell r="B2944" t="str">
            <v>M03829051000119</v>
          </cell>
          <cell r="C2944" t="str">
            <v>AZIMUT BRASIL WEALTH MANAGEMENT LTDA</v>
          </cell>
          <cell r="D2944" t="str">
            <v>AZIMUT BRASIL WEALTH MANAGEMENT LTDA</v>
          </cell>
          <cell r="E2944" t="str">
            <v>AZIMUT BRASIL WEALTH MANAGEMENT LTDA</v>
          </cell>
        </row>
        <row r="2945">
          <cell r="B2945" t="str">
            <v>M03823704000152</v>
          </cell>
          <cell r="D2945" t="str">
            <v>ASSURANT SEGURADORA SA</v>
          </cell>
          <cell r="E2945" t="str">
            <v>ASSURANT SEGURADORA S/A</v>
          </cell>
        </row>
        <row r="2946">
          <cell r="B2946">
            <v>14378</v>
          </cell>
          <cell r="C2946" t="str">
            <v>BANCO COOPERATIVO SICREDI S/A</v>
          </cell>
          <cell r="D2946" t="str">
            <v>BANCO COOPERATIVO SICREDI S/A</v>
          </cell>
          <cell r="E2946" t="str">
            <v>BANCO COOPERATIVO SICREDI S/A</v>
          </cell>
        </row>
        <row r="2947">
          <cell r="B2947">
            <v>907144</v>
          </cell>
          <cell r="C2947" t="str">
            <v>TERRA FUTUROS CM S/A</v>
          </cell>
          <cell r="D2947" t="str">
            <v>TERRA FUTUROS CM S/A</v>
          </cell>
          <cell r="E2947" t="str">
            <v>TERRA FUTUROS CM S/A</v>
          </cell>
        </row>
        <row r="2948">
          <cell r="B2948" t="str">
            <v>M03730204000176</v>
          </cell>
          <cell r="C2948" t="str">
            <v>CAIXA VIDA E PREVIDÃŠNCIA S/A</v>
          </cell>
          <cell r="D2948" t="str">
            <v>CAIXA VIDA E PREVIDÃŠNCIA SA</v>
          </cell>
          <cell r="E2948" t="str">
            <v>CAIXA VIDA E PREVIDÊNCIA S/A</v>
          </cell>
        </row>
        <row r="2949">
          <cell r="B2949" t="str">
            <v>M03609817000150</v>
          </cell>
          <cell r="D2949" t="str">
            <v>BANCO CARGILL SA</v>
          </cell>
          <cell r="E2949" t="str">
            <v>BANCO CARGILL S/A</v>
          </cell>
        </row>
        <row r="2950">
          <cell r="B2950" t="str">
            <v>M03567964000104</v>
          </cell>
          <cell r="D2950" t="str">
            <v>INSTITUTO DE PREVIDENCIA SOCIAL DO MUNICIPIO DE  MACAE</v>
          </cell>
          <cell r="E2950" t="str">
            <v>RPPS MACAE</v>
          </cell>
        </row>
        <row r="2951">
          <cell r="B2951" t="str">
            <v>M03558096000104</v>
          </cell>
          <cell r="D2951" t="str">
            <v>RIO S CAPITALIZACAO SA</v>
          </cell>
        </row>
        <row r="2952">
          <cell r="B2952" t="str">
            <v>M03539353000152</v>
          </cell>
          <cell r="C2952" t="str">
            <v>HSI GESTORA DE FUNDOS IMOBILIÃRIOS LTDA.</v>
          </cell>
          <cell r="D2952" t="str">
            <v>HSI GESTORA DE FUNDOS IMOBILIÃRIOS LTDA</v>
          </cell>
          <cell r="E2952" t="str">
            <v>HSI GESTORA DE FUNDOS IMOBILIÃRIOS LTDA.</v>
          </cell>
        </row>
        <row r="2953">
          <cell r="B2953" t="str">
            <v>M03522334000113</v>
          </cell>
          <cell r="C2953" t="str">
            <v>VENTOR INVESTIMENTOS LTDA.</v>
          </cell>
          <cell r="D2953" t="str">
            <v>VENTOR INVESTIMENTOS LTDA</v>
          </cell>
          <cell r="E2953" t="str">
            <v>VENTOR INVESTIMENTOS LTDA</v>
          </cell>
        </row>
        <row r="2954">
          <cell r="B2954" t="str">
            <v>M03502968000104</v>
          </cell>
          <cell r="C2954" t="str">
            <v>SANTANDER DISTRIBUIDORA DE TÃTULOS E VALORES MOBILIÃRIOS S.A.</v>
          </cell>
          <cell r="D2954" t="str">
            <v>SANTANDER DISTRIBUIDORA DE TÃTULOS E VALORES MOBILIÃRIOS SA</v>
          </cell>
          <cell r="E2954" t="str">
            <v>SANTANDER DISTRIBUIDORA DE TITULOS E VALORES MOBILIARIOS S/A</v>
          </cell>
        </row>
        <row r="2955">
          <cell r="B2955" t="str">
            <v>M03450083000109</v>
          </cell>
          <cell r="D2955" t="str">
            <v>INST DE PREV DOS SERV MUNICIPAIS DE NOVA IGUAÃ‡U  PREVINI</v>
          </cell>
        </row>
        <row r="2956">
          <cell r="B2956" t="str">
            <v>M03403181000195</v>
          </cell>
          <cell r="C2956" t="str">
            <v>INFINITY ASSET MANAG ADM DE RECURSOS LTDA</v>
          </cell>
          <cell r="D2956" t="str">
            <v>INFINITY ASSET MANAG ADM DE RECURSOS LTDA</v>
          </cell>
          <cell r="E2956" t="str">
            <v>INFINITY ASSET MANAG ADM DE RECURSOS LTDA</v>
          </cell>
        </row>
        <row r="2957">
          <cell r="B2957" t="str">
            <v>M03384738000198</v>
          </cell>
          <cell r="C2957" t="str">
            <v>TIVIO CAPITAL DISTRIBUIDORA DE T-TULOS E VALORES MOBILIARIOS S.A.</v>
          </cell>
          <cell r="D2957" t="str">
            <v>TIVIO CAPITAL DISTRIBUIDORA DE TITULOS E VALORES MOBILIARIOS</v>
          </cell>
          <cell r="E2957" t="str">
            <v>TIVIO CAPITAL DISTRIBUIDORA DE TITULOS E VALORES MOBILIARIOS</v>
          </cell>
        </row>
        <row r="2958">
          <cell r="B2958" t="str">
            <v>M03281445000185</v>
          </cell>
          <cell r="D2958" t="str">
            <v>AMAPA PREVIDENCIA</v>
          </cell>
          <cell r="E2958" t="str">
            <v>AMAPA PREVIDENCIA</v>
          </cell>
        </row>
        <row r="2959">
          <cell r="B2959" t="str">
            <v>M03226533000184</v>
          </cell>
          <cell r="C2959" t="str">
            <v>AF INVEST ADMINISTRAÃ‡ÃƒO DE RECURSOS LTDA</v>
          </cell>
          <cell r="D2959" t="str">
            <v>AF INVEST ADMINISTRAÃ‡ÃƒO DE RECURSOS LTDA</v>
          </cell>
          <cell r="E2959" t="str">
            <v>AF INVEST ADMINISTRAÇÃO DE RECURSOS LTDA</v>
          </cell>
        </row>
        <row r="2960">
          <cell r="B2960" t="str">
            <v>M03214650000128</v>
          </cell>
          <cell r="C2960" t="str">
            <v>BW GESTÃƒO DE INVESTIMENTOS LTDA.</v>
          </cell>
          <cell r="D2960" t="str">
            <v>BW GESTAO DE INVESTIMENTOS LTDA</v>
          </cell>
          <cell r="E2960" t="str">
            <v>BW GESTAO DE INVESTIMENTOS LTDA</v>
          </cell>
        </row>
        <row r="2961">
          <cell r="B2961">
            <v>107</v>
          </cell>
          <cell r="C2961" t="str">
            <v>BANCO SANTANDER (BRASIL) S/A</v>
          </cell>
          <cell r="D2961" t="str">
            <v>BANCO SANTANDER (BRASIL) S/A</v>
          </cell>
          <cell r="E2961" t="str">
            <v>BANCO SANTANDER (BRASIL) S/A</v>
          </cell>
        </row>
        <row r="2962">
          <cell r="B2962" t="str">
            <v>M03183937000138</v>
          </cell>
          <cell r="D2962" t="str">
            <v>AGENCIA DE FOMENTO DO ESTADO DO AMAZONAS SA  AFEAM</v>
          </cell>
          <cell r="E2962" t="str">
            <v>AGENCIA DE FOMENTO DO ESTADO DO AMAZONAS S/A - AFEAM</v>
          </cell>
        </row>
        <row r="2963">
          <cell r="B2963" t="str">
            <v>M03084098000109</v>
          </cell>
          <cell r="C2963" t="str">
            <v>ARTESANAL INVESTIMENTOS LTDA</v>
          </cell>
          <cell r="D2963" t="str">
            <v>ARTESANAL INVESTIMENTOS LTDA</v>
          </cell>
          <cell r="E2963" t="str">
            <v>ARTESANAL INVESTIMENTOS LTDA</v>
          </cell>
        </row>
        <row r="2964">
          <cell r="B2964" t="str">
            <v>M03017677000120</v>
          </cell>
          <cell r="C2964" t="str">
            <v>BANCO J SAFRA S/A</v>
          </cell>
          <cell r="D2964" t="str">
            <v>BANCO J SAFRA SA</v>
          </cell>
          <cell r="E2964" t="str">
            <v>BANCO J SAFRA S/A</v>
          </cell>
        </row>
        <row r="2965">
          <cell r="B2965" t="str">
            <v>M02933874000127</v>
          </cell>
          <cell r="C2965" t="str">
            <v>RAFTER GESTÃƒO DE INVESTIMENTOS LTDA</v>
          </cell>
          <cell r="D2965" t="str">
            <v>RAFTER GESTÃƒO DE INVESTIMENTOS LTDA</v>
          </cell>
          <cell r="E2965" t="str">
            <v>RAFTER GESTÃO DE INVESTIMENTOS LTDA</v>
          </cell>
        </row>
        <row r="2966">
          <cell r="B2966" t="str">
            <v>M02902680000164</v>
          </cell>
          <cell r="D2966" t="str">
            <v>MEMORIAL SAUDE LTDA</v>
          </cell>
        </row>
        <row r="2967">
          <cell r="B2967" t="str">
            <v>M02888152000106</v>
          </cell>
          <cell r="C2967" t="str">
            <v>BRZ INVESTIMENTOS LTDA</v>
          </cell>
          <cell r="D2967" t="str">
            <v>BRZ INVESTIMENTOS LTDA</v>
          </cell>
          <cell r="E2967" t="str">
            <v>BRZ INVESTIMENTOS LTDA</v>
          </cell>
        </row>
        <row r="2968">
          <cell r="B2968">
            <v>80877</v>
          </cell>
          <cell r="C2968" t="str">
            <v>UBS AG, LONDON BRANCH NOVO</v>
          </cell>
          <cell r="D2968" t="str">
            <v>UBS AG, LONDON BRANCH NOVO</v>
          </cell>
          <cell r="E2968" t="str">
            <v>UBS AG, LONDON BRANCH NOVO</v>
          </cell>
        </row>
        <row r="2969">
          <cell r="B2969" t="str">
            <v>M02801938000136</v>
          </cell>
          <cell r="D2969" t="str">
            <v>BANCO MORGAN STANLEY SA</v>
          </cell>
          <cell r="E2969" t="str">
            <v>BANCO MORGAN STANLEY S/A</v>
          </cell>
        </row>
        <row r="2970">
          <cell r="B2970" t="str">
            <v>M02713530000102</v>
          </cell>
          <cell r="C2970" t="str">
            <v>ALFA PREVIDÃŠNCIA E VIDA S/A</v>
          </cell>
          <cell r="D2970" t="str">
            <v>ALFA PREVIDÃŠNCIA E VIDA SA</v>
          </cell>
          <cell r="E2970" t="str">
            <v>ALFA PREVIDÃŠNCIA E VIDA S/A</v>
          </cell>
        </row>
        <row r="2971">
          <cell r="B2971" t="str">
            <v>M02685483000130</v>
          </cell>
          <cell r="D2971" t="str">
            <v>CM CAPITAL MARKETS CCTVM LTDA</v>
          </cell>
          <cell r="E2971" t="str">
            <v>CM CAPITAL MARKETS CCTVM LTDA</v>
          </cell>
        </row>
        <row r="2972">
          <cell r="B2972" t="str">
            <v>M02661267000155</v>
          </cell>
          <cell r="D2972" t="str">
            <v>FUNDO DE APOSENTADORIA PROGRAMADA INDIVIDUAL BALAN</v>
          </cell>
        </row>
        <row r="2973">
          <cell r="B2973">
            <v>80483</v>
          </cell>
          <cell r="C2973" t="str">
            <v>BNP PARIBAS ASSET MANAGEMENT BRASIL LTDA</v>
          </cell>
          <cell r="D2973" t="str">
            <v>BNP PARIBAS ASSET MANAGEMENT BRASIL LTDA</v>
          </cell>
          <cell r="E2973" t="str">
            <v>BNP PARIBAS ASSET MANAGEMENT BRASIL LTDA</v>
          </cell>
        </row>
        <row r="2974">
          <cell r="B2974">
            <v>909026</v>
          </cell>
          <cell r="C2974" t="str">
            <v>XP INVESTIMENTOS CCTVM S/A</v>
          </cell>
          <cell r="D2974" t="str">
            <v>XP INVESTIMENTOS CCTVM S/A</v>
          </cell>
          <cell r="E2974" t="str">
            <v>BANCO XP S/A</v>
          </cell>
        </row>
        <row r="2975">
          <cell r="B2975" t="str">
            <v>M02328724000194</v>
          </cell>
          <cell r="C2975" t="str">
            <v>MOS GESTÃƒO DE INVESTIMENTOS LTDA</v>
          </cell>
          <cell r="D2975" t="str">
            <v>MOS GESTAO DE INVESTIMENTOS LTDA</v>
          </cell>
          <cell r="E2975" t="str">
            <v>MOS GESTÃƒO DE INVESTIMENTOS LTDA</v>
          </cell>
        </row>
        <row r="2976">
          <cell r="B2976" t="str">
            <v>M02312792000165</v>
          </cell>
          <cell r="C2976" t="str">
            <v>JGP GESTÃƒO DE RECURSOS LTDA</v>
          </cell>
          <cell r="D2976" t="str">
            <v>JGP GESTÃƒO DE RECURSOS LTDA</v>
          </cell>
          <cell r="E2976" t="str">
            <v>JGP GESTAO PATRIMONIAL LTDA</v>
          </cell>
        </row>
        <row r="2977">
          <cell r="B2977" t="str">
            <v>M02150453000120</v>
          </cell>
          <cell r="C2977" t="str">
            <v>OLIVEIRA TRUST SERVICER S/A</v>
          </cell>
          <cell r="D2977" t="str">
            <v>OLIVEIRA TRUST SERVICER SA</v>
          </cell>
          <cell r="E2977" t="str">
            <v>OLIVEIRA TRUST SERVICER S/A</v>
          </cell>
        </row>
        <row r="2978">
          <cell r="B2978" t="str">
            <v>M02042928500019</v>
          </cell>
          <cell r="D2978" t="str">
            <v>KAPITALO CICLO GESTORA DE RECURSOS FINANCEIROS LTDA</v>
          </cell>
          <cell r="E2978" t="str">
            <v>KAPITALO INVESTIMENTOS LTDA</v>
          </cell>
        </row>
        <row r="2979">
          <cell r="B2979" t="str">
            <v>M02038232000164</v>
          </cell>
          <cell r="D2979" t="str">
            <v>BANCO COOPERATIVO SICOOB S.A - BANCO SICOOB</v>
          </cell>
          <cell r="E2979" t="str">
            <v>BANCO COOPERATIVO SICOOB S/A</v>
          </cell>
        </row>
        <row r="2980">
          <cell r="B2980" t="str">
            <v>M01861016000151</v>
          </cell>
          <cell r="C2980" t="str">
            <v>FAR FATOR ADMINISTRAÃ‡ÃƒO DE RECURSOS LTDA</v>
          </cell>
          <cell r="D2980" t="str">
            <v>FAR FATOR ADMINISTRAÃ‡ÃƒO DE RECURSOS LTDA</v>
          </cell>
          <cell r="E2980" t="str">
            <v>FAR FATOR ADMINISTRAÃ‡ÃƒO DE RECURSOS LTDA</v>
          </cell>
        </row>
        <row r="2981">
          <cell r="B2981" t="str">
            <v>M01788147000150</v>
          </cell>
          <cell r="D2981" t="str">
            <v>HENCORP COMMCOR CM LTDA</v>
          </cell>
        </row>
        <row r="2982">
          <cell r="B2982" t="str">
            <v>M01710916000106</v>
          </cell>
          <cell r="C2982" t="str">
            <v>MORGAN STANLEY ADMINISTRADORA DE CARTEIRAS S/A</v>
          </cell>
          <cell r="D2982" t="str">
            <v>MORGAN STANLEY ADMINISTRADORA DE CARTEIRAS SA</v>
          </cell>
          <cell r="E2982" t="str">
            <v>MORGAN STANLEY ADMINISTRADORA DE CARTEIRAS S/A</v>
          </cell>
        </row>
        <row r="2983">
          <cell r="B2983">
            <v>79956</v>
          </cell>
          <cell r="C2983" t="str">
            <v>SUL AMERICA INVESTIMENTOS GESTORA DE RECURSOS S/A</v>
          </cell>
          <cell r="D2983" t="str">
            <v>SUL AMERICA INVESTIMENTOS GESTORA DE RECURSOS S/A</v>
          </cell>
          <cell r="E2983" t="str">
            <v>SUL AMERICA INVESTIMENTOS GESTORA DE RECURSOS S/A</v>
          </cell>
        </row>
        <row r="2984">
          <cell r="B2984" t="str">
            <v>M01701201000189</v>
          </cell>
          <cell r="D2984" t="str">
            <v>KIRTON BANK SA  BANCO MULTIPLO</v>
          </cell>
        </row>
        <row r="2985">
          <cell r="B2985" t="str">
            <v>M01680352000106</v>
          </cell>
          <cell r="D2985" t="str">
            <v>P&amp;G PREV  SOCIEDADE DE PREVIDENCIA PRIVADA</v>
          </cell>
        </row>
        <row r="2986">
          <cell r="B2986" t="str">
            <v>M01638542000157</v>
          </cell>
          <cell r="C2986" t="str">
            <v>SAFRA WEALTH DISTRIBUIDORA DE TÃTULOS E VALORES MOBILIÃRIOS LTDA.</v>
          </cell>
          <cell r="D2986" t="str">
            <v>SAFRA WEALTH DTVM LTDA</v>
          </cell>
          <cell r="E2986" t="str">
            <v>SAFRA ASSET MANAGEMENT LTDA</v>
          </cell>
        </row>
        <row r="2987">
          <cell r="B2987" t="str">
            <v>M01599296000171</v>
          </cell>
          <cell r="D2987" t="str">
            <v>CAIXA CAPITALIZACAO SA</v>
          </cell>
          <cell r="E2987" t="str">
            <v>CAIXA CAPITALIZACAO S/A</v>
          </cell>
        </row>
        <row r="2988">
          <cell r="B2988" t="str">
            <v>M01591499000111</v>
          </cell>
          <cell r="C2988" t="str">
            <v>TAG INVESTIMENTOS LTDA</v>
          </cell>
          <cell r="D2988" t="str">
            <v>TAG INVESTIMENTOS LTDA</v>
          </cell>
          <cell r="E2988" t="str">
            <v>TAG INVESTIMENTOS LTDA</v>
          </cell>
        </row>
        <row r="2989">
          <cell r="B2989" t="str">
            <v>M01582075000190</v>
          </cell>
          <cell r="C2989" t="str">
            <v>RIO GRANDE SEGUROS E PREVIDÃŠNCIA S.A.</v>
          </cell>
          <cell r="D2989" t="str">
            <v>RIO GRANDE SEGUROS E PREVIDÃŠNCIA SA</v>
          </cell>
          <cell r="E2989" t="str">
            <v>RIO GRANDE SEGUROS E PREVIDÃŠNCIA S.A.</v>
          </cell>
        </row>
        <row r="2990">
          <cell r="B2990" t="str">
            <v>M01522368000182</v>
          </cell>
          <cell r="C2990" t="str">
            <v>BANCO BNP PARIBAS BRASIL S/A</v>
          </cell>
          <cell r="D2990" t="str">
            <v>BANCO BNP PARIBAS BRASIL SA</v>
          </cell>
          <cell r="E2990" t="str">
            <v>BANCO BNP PARIBAS BRASIL S/A</v>
          </cell>
        </row>
        <row r="2991">
          <cell r="B2991" t="str">
            <v>M01294929000133</v>
          </cell>
          <cell r="C2991" t="str">
            <v>FINACAP INVESTIMENTOS LTDA</v>
          </cell>
          <cell r="D2991" t="str">
            <v>FINACAP INVESTIMENTOS LTDA</v>
          </cell>
          <cell r="E2991" t="str">
            <v>FINACAP INVESTIMENTOS LTDA</v>
          </cell>
        </row>
        <row r="2992">
          <cell r="B2992" t="str">
            <v>M01225861000130</v>
          </cell>
          <cell r="D2992" t="str">
            <v>REGIUS SOCIEDADE CIVIL DE PREVIDENCIA PRIVADA</v>
          </cell>
          <cell r="E2992" t="str">
            <v>REGIUS SOCIEDADE CIVIL DE PREVIDENCIA PRIVADA</v>
          </cell>
        </row>
        <row r="2993">
          <cell r="B2993" t="str">
            <v>M01206480000104</v>
          </cell>
          <cell r="C2993" t="str">
            <v>ZURICH VIDA E PREVIDENCIA S.A.</v>
          </cell>
          <cell r="D2993" t="str">
            <v>ZURICH VIDA E PREVIDENCIA SA</v>
          </cell>
          <cell r="E2993" t="str">
            <v>ZURICH RESSEGURADORA BRASIL S/A</v>
          </cell>
        </row>
        <row r="2994">
          <cell r="B2994">
            <v>42566</v>
          </cell>
          <cell r="C2994" t="str">
            <v>BANCO COOPERATIVO SICREDI S/A</v>
          </cell>
          <cell r="D2994" t="str">
            <v>BANCO COOPERATIVO SICREDI S/A</v>
          </cell>
          <cell r="E2994" t="str">
            <v>BANCO COOPERATIVO SICREDI S/A</v>
          </cell>
        </row>
        <row r="2995">
          <cell r="B2995" t="str">
            <v>M01116811000115</v>
          </cell>
          <cell r="D2995" t="str">
            <v>MODAL ADMINISTRADORA DE RECURSOS SA</v>
          </cell>
        </row>
        <row r="2996">
          <cell r="B2996" t="str">
            <v>M01034817000143</v>
          </cell>
          <cell r="C2996" t="str">
            <v>FATOR ASSET GESTORA DE RECURSOS LTDA.</v>
          </cell>
          <cell r="D2996" t="str">
            <v>FATOR ASSET GESTORA DE RECURSOS LTDA.</v>
          </cell>
          <cell r="E2996" t="str">
            <v>FATOR ASSET GESTORA DE RECURSOS LTDA.</v>
          </cell>
        </row>
        <row r="2997">
          <cell r="B2997" t="str">
            <v>M01023570000160</v>
          </cell>
          <cell r="C2997" t="str">
            <v>BANCO RABOBANK INTERNATIONAL BRASIL S.A.</v>
          </cell>
          <cell r="D2997" t="str">
            <v>BANCO RABOBANK INTERNATIONAL BRASIL SA</v>
          </cell>
          <cell r="E2997" t="str">
            <v>BANCO RABOBANK INTERNATIONAL BRASIL S/A</v>
          </cell>
        </row>
        <row r="2998">
          <cell r="B2998" t="str">
            <v>M00998828000180</v>
          </cell>
          <cell r="D2998" t="str">
            <v>BOTICARIO PREV SOCIEDADE DE PREVIDENCIA PRIVADA</v>
          </cell>
        </row>
        <row r="2999">
          <cell r="B2999" t="str">
            <v>M00997185000150</v>
          </cell>
          <cell r="C2999" t="str">
            <v>BANCO B3 S.A.</v>
          </cell>
          <cell r="D2999" t="str">
            <v>BANCO BM&amp;F DE SERVIÃ‡OS DE LIQUIDAÃ‡ÃƒO E CUSTODIA SA</v>
          </cell>
          <cell r="E2999" t="str">
            <v>B3 S/A - BRASIL BOLSA BALCÃƒO</v>
          </cell>
        </row>
        <row r="3000">
          <cell r="B3000" t="str">
            <v>M00915873000124</v>
          </cell>
          <cell r="D3000" t="str">
            <v>MARCOPREV SOCIEDADE DE PREVIDENCIA PRIVADA</v>
          </cell>
        </row>
        <row r="3001">
          <cell r="B3001" t="str">
            <v>M00806535000154</v>
          </cell>
          <cell r="C3001" t="str">
            <v>PLANNER CORRETORA DE VALORES S.A.</v>
          </cell>
          <cell r="D3001" t="str">
            <v>PLANNER CV SA</v>
          </cell>
          <cell r="E3001" t="str">
            <v>PLANNER CORRETORA DE VALORES S.A.</v>
          </cell>
        </row>
        <row r="3002">
          <cell r="B3002" t="str">
            <v>M00580571000142</v>
          </cell>
          <cell r="C3002" t="str">
            <v>CENTRUS -FUNDAÃ‡ÃƒO BANCO CENTRAL DE PREVIDENCIA PRIVADA</v>
          </cell>
          <cell r="D3002" t="str">
            <v>FUNDACAO BANCO CENTRAL DE PREVIDENCIA PRIVADA-CENTRUS</v>
          </cell>
          <cell r="E3002" t="str">
            <v>CENTRUS -FUNDAÇÃO BANCO CENTRAL DE PREVIDENCIA PRIVADA</v>
          </cell>
        </row>
        <row r="3003">
          <cell r="B3003" t="str">
            <v>M00533944000124</v>
          </cell>
          <cell r="C3003" t="str">
            <v>TEMPO CAPITAL GESTAO DE RECURSOS LTDA</v>
          </cell>
          <cell r="D3003" t="str">
            <v>TEMPO CAPITAL GESTAO DE RECURSOS LTDA</v>
          </cell>
          <cell r="E3003" t="str">
            <v>TEMPO CAPITAL GESTAO DE RECURSOS LTDA</v>
          </cell>
        </row>
        <row r="3004">
          <cell r="B3004" t="str">
            <v>M00532804000131</v>
          </cell>
          <cell r="C3004" t="str">
            <v>CERES FUNDACAO DE SEGURIDADE SOCIAL</v>
          </cell>
          <cell r="D3004" t="str">
            <v>CERES FUNDACAO DE SEGURIDADE SOCIAL</v>
          </cell>
          <cell r="E3004" t="str">
            <v>CERES FUNDACAO DE SEGURIDADE SOCIAL</v>
          </cell>
        </row>
        <row r="3005">
          <cell r="B3005" t="str">
            <v>M00531590000189</v>
          </cell>
          <cell r="C3005" t="str">
            <v>CIBRIUS - INSTITUTO DE PREVIDENCIA COMPLEMENTAR</v>
          </cell>
          <cell r="D3005" t="str">
            <v>CIBRIUS  INSTITUTO CONAB DE SEGURIDADE SOCIAL</v>
          </cell>
          <cell r="E3005" t="str">
            <v>CIBRIUS - INSTITUTO DE PREVIDENCIA COMPLEMENTAR</v>
          </cell>
        </row>
        <row r="3006">
          <cell r="B3006" t="str">
            <v>M00529958000174</v>
          </cell>
          <cell r="D3006" t="str">
            <v>FIPECQFUNDACAO DE PREVIDENCIA COMPLEMENTAR DOS EMPREGADOS O</v>
          </cell>
        </row>
        <row r="3007">
          <cell r="B3007" t="str">
            <v>M00469585000193</v>
          </cell>
          <cell r="D3007" t="str">
            <v>FACEB  FUNDACAO DE PREVIDENCIA DOS EMPREGADOS DA CEB</v>
          </cell>
        </row>
        <row r="3008">
          <cell r="B3008" t="str">
            <v>M00436923000190</v>
          </cell>
          <cell r="C3008" t="str">
            <v>FUNDACAO DOS ECONOMIARIOS FEDERAIS - FUNCEF</v>
          </cell>
          <cell r="D3008" t="str">
            <v>FUNDACAO DOS ECONOMIARIOS FEDERAIS - FUNCEF</v>
          </cell>
          <cell r="E3008" t="str">
            <v>FUNDACAO DOS ECONOMIARIOS FEDERAIS - FUNCEF</v>
          </cell>
        </row>
        <row r="3009">
          <cell r="B3009" t="str">
            <v>M00416968000101</v>
          </cell>
          <cell r="D3009" t="str">
            <v>BANCO INTER S/A</v>
          </cell>
          <cell r="E3009" t="str">
            <v>BANCO INTER S/A</v>
          </cell>
        </row>
        <row r="3010">
          <cell r="B3010" t="str">
            <v>M00397695000197</v>
          </cell>
          <cell r="C3010" t="str">
            <v>FUNDACAO DE ASSISTENCIA E PREVIDENCIA SOCIAL DO BNDES FAPES</v>
          </cell>
          <cell r="D3010" t="str">
            <v>FUNDACAO DE ASSISTENCIA E PREVIDENCIA SOCIAL DO BNDES  FAPES</v>
          </cell>
          <cell r="E3010" t="str">
            <v>FUNDACAO DE ASSISTENCIA E PREVIDENCIA SOCIAL DO BNDES FAPES</v>
          </cell>
        </row>
        <row r="3011">
          <cell r="B3011" t="str">
            <v>M00394460040950</v>
          </cell>
          <cell r="D3011" t="str">
            <v>Secretaria do Tesouro Nacional / Bacen</v>
          </cell>
          <cell r="E3011" t="str">
            <v>BANCO CENTRAL DO BRASIL</v>
          </cell>
        </row>
        <row r="3012">
          <cell r="B3012" t="str">
            <v>M00366402000104</v>
          </cell>
          <cell r="D3012" t="str">
            <v>FUNDACAO ITAUSA INDUSTRIAL</v>
          </cell>
          <cell r="E3012" t="str">
            <v>ITAU UNIBANCO S/A</v>
          </cell>
        </row>
        <row r="3013">
          <cell r="B3013" t="str">
            <v>M00360305000104</v>
          </cell>
          <cell r="C3013" t="str">
            <v>CAIXA ECONOMICA FEDERAL</v>
          </cell>
          <cell r="D3013" t="str">
            <v>CAIXA ECONOMICA FEDERAL</v>
          </cell>
          <cell r="E3013" t="str">
            <v>CAIXA ECONOMICA FEDERAL</v>
          </cell>
        </row>
        <row r="3014">
          <cell r="B3014" t="str">
            <v>M00038166001098</v>
          </cell>
          <cell r="D3014" t="str">
            <v>BANCO CENTRAL DO BRASIL - BACEN</v>
          </cell>
          <cell r="E3014" t="str">
            <v>BANCO CENTRAL DO BRASIL</v>
          </cell>
        </row>
        <row r="3015">
          <cell r="B3015" t="str">
            <v>M00000208000100</v>
          </cell>
          <cell r="D3015" t="str">
            <v>BRB - BANCO DE BRASILIA S.A.</v>
          </cell>
          <cell r="E3015" t="str">
            <v>BRB BANCO DE BRASILIA S/A</v>
          </cell>
        </row>
        <row r="3016">
          <cell r="B3016" t="str">
            <v>M00000000000191</v>
          </cell>
          <cell r="D3016" t="str">
            <v>BANCO DO BRASIL S/A</v>
          </cell>
          <cell r="E3016" t="str">
            <v>BANCO DO BRASIL S/A</v>
          </cell>
        </row>
        <row r="3017">
          <cell r="B3017">
            <v>82641</v>
          </cell>
          <cell r="C3017" t="str">
            <v>GAP ABSOLUTO MASTER FIM</v>
          </cell>
          <cell r="D3017" t="str">
            <v>GAP ABSOLUTO MASTER FIM</v>
          </cell>
          <cell r="E3017" t="str">
            <v>GAP GESTORA DE RECURSOS LTDA</v>
          </cell>
        </row>
        <row r="3018">
          <cell r="B3018">
            <v>82643</v>
          </cell>
          <cell r="C3018" t="str">
            <v>GAP ABSOLUTO FIFE FIM</v>
          </cell>
          <cell r="D3018" t="str">
            <v>GAP ABSOLUTO FIFE FIM</v>
          </cell>
          <cell r="E3018" t="str">
            <v>GAP GESTORA DE RECURSOS LTDA</v>
          </cell>
        </row>
        <row r="3019">
          <cell r="B3019">
            <v>82645</v>
          </cell>
          <cell r="C3019" t="str">
            <v>GAP ABSOLUTO IQ PREVIDENCIARIO FIFE FIM</v>
          </cell>
          <cell r="D3019" t="str">
            <v>GAP ABSOLUTO IQ PREVIDENCIARIO FIFE FIM</v>
          </cell>
          <cell r="E3019" t="str">
            <v>GAP GESTORA DE RECURSOS LTDA</v>
          </cell>
        </row>
        <row r="3020">
          <cell r="B3020">
            <v>82650</v>
          </cell>
          <cell r="C3020" t="str">
            <v>MAINA MASTER FUNDO DE INVESTIMENTO EM ACOES</v>
          </cell>
          <cell r="D3020" t="str">
            <v>MAINA MASTER FUNDO DE INVESTIMENTO EM ACOES</v>
          </cell>
          <cell r="E3020" t="str">
            <v>UNA CAPITAL LTDA</v>
          </cell>
        </row>
        <row r="3021">
          <cell r="B3021">
            <v>82651</v>
          </cell>
          <cell r="C3021" t="str">
            <v>ITAU VERTICE OMNI FIF MULTIMERCADO RESPONSABILIDADE LIMITADA</v>
          </cell>
          <cell r="D3021" t="str">
            <v>ITAU VERTICE OMNI FIF MULTIMERCADO RESPONSABILIDADE LIMITADA</v>
          </cell>
          <cell r="E3021" t="str">
            <v>ITAU UNIBANCO ASSET - TACO</v>
          </cell>
        </row>
        <row r="3022">
          <cell r="B3022" t="str">
            <v>M33923798000100</v>
          </cell>
          <cell r="D3022" t="str">
            <v>BANCO MASTER S/A</v>
          </cell>
          <cell r="E3022" t="str">
            <v>BANCO MASTER S/A</v>
          </cell>
        </row>
        <row r="3023">
          <cell r="B3023" t="str">
            <v>M1823612000015801</v>
          </cell>
          <cell r="D3023" t="str">
            <v>NU PAGAMENTOS SOCIEDADE ANONIMA</v>
          </cell>
          <cell r="E3023" t="str">
            <v>NU PAGAMENTOS SOCIEDADE ANONIMA</v>
          </cell>
        </row>
        <row r="3024">
          <cell r="B3024" t="str">
            <v>M3030629400014501</v>
          </cell>
          <cell r="D3024" t="str">
            <v>BANCO BTG PACTUAL S.A.</v>
          </cell>
          <cell r="E3024" t="str">
            <v>BANCO BTG PACTUAL S/A</v>
          </cell>
        </row>
        <row r="3025">
          <cell r="B3025">
            <v>82091</v>
          </cell>
          <cell r="C3025" t="str">
            <v>GOLDMAN SACHS INTERNATIONAL - CITI</v>
          </cell>
          <cell r="D3025" t="str">
            <v>GOLDMAN SACHS INTERNATIONAL - CITI</v>
          </cell>
          <cell r="E3025" t="str">
            <v>GOLDMAN SACHS DO BRASIL BANCO MULTIPLO S/A</v>
          </cell>
        </row>
        <row r="3026">
          <cell r="B3026">
            <v>82657</v>
          </cell>
          <cell r="C3026" t="str">
            <v>IT NOW S&amp;P 500 FUTURES QUANTO BRL FUNDO DE INDICE RL</v>
          </cell>
          <cell r="D3026" t="str">
            <v>IT NOW S&amp;P 500 FUTURES QUANTO BRL FUNDO DE INDICE RL</v>
          </cell>
          <cell r="E3026" t="str">
            <v>ITAU UNIBANCO ASSET - TACO</v>
          </cell>
        </row>
        <row r="3027">
          <cell r="B3027" t="str">
            <v>M54350539000108</v>
          </cell>
          <cell r="C3027" t="str">
            <v>JAZZ CAPITAL LTDA</v>
          </cell>
          <cell r="D3027" t="str">
            <v>JAZZ CAPITAL LTDA.</v>
          </cell>
          <cell r="E3027" t="str">
            <v>JAZZ CAPITAL LTDA</v>
          </cell>
        </row>
        <row r="3028">
          <cell r="B3028">
            <v>82658</v>
          </cell>
          <cell r="C3028" t="str">
            <v>VISTA MACRO ABSOLUTO MASTER FIF MULTIMERCADO</v>
          </cell>
          <cell r="D3028" t="str">
            <v>VISTA MACRO ABSOLUTO MASTER FIF MULTIMERCADO</v>
          </cell>
          <cell r="E3028" t="str">
            <v>VISTA CAPITAL GESTORA DE RECURSOS LTDA</v>
          </cell>
        </row>
        <row r="3029">
          <cell r="B3029">
            <v>82658</v>
          </cell>
          <cell r="C3029" t="str">
            <v>VISTA MACRO ABSOLUTO MASTER FIF MULTIMERCADO</v>
          </cell>
          <cell r="D3029" t="str">
            <v>VISTA MACRO ABSOLUTO MASTER FIF MULTIMERCADO</v>
          </cell>
          <cell r="E3029" t="str">
            <v>VISTA CAPITAL GESTORA DE RECURSOS LTDA</v>
          </cell>
        </row>
        <row r="3030">
          <cell r="B3030" t="str">
            <v>M52720110000121</v>
          </cell>
          <cell r="D3030" t="str">
            <v>STRIX CAPITAL GESTAO DE PATRIMONIO LTDA</v>
          </cell>
          <cell r="E3030" t="str">
            <v>STRIX CAPITAL GESTAO DE PATRIMONIO LTDA</v>
          </cell>
        </row>
        <row r="3031">
          <cell r="B3031">
            <v>82661</v>
          </cell>
          <cell r="C3031" t="str">
            <v>SAM SELECAO DINAMICO FIA BDR NIVEL 1</v>
          </cell>
          <cell r="D3031" t="str">
            <v>SAM SELECAO DINAMICO FIA BDR NIVEL 1</v>
          </cell>
          <cell r="E3031" t="str">
            <v>SANTANDER BRASIL GESTAO DE RECURSOS LTDA</v>
          </cell>
        </row>
        <row r="3032">
          <cell r="B3032" t="str">
            <v>M11397672000280</v>
          </cell>
          <cell r="C3032" t="str">
            <v>PLURAL GESTÃƒO DE RECURSOS LTDA</v>
          </cell>
          <cell r="D3032" t="str">
            <v>PLURAL GESTÃƒO DE RECURSOS LTDA</v>
          </cell>
          <cell r="E3032" t="str">
            <v>PLURAL GESTÃO DE RECURSOS LTDA</v>
          </cell>
        </row>
        <row r="3033">
          <cell r="B3033" t="str">
            <v>M05816451000115</v>
          </cell>
          <cell r="D3033" t="str">
            <v>GENIAL INSTITUCIONAL C.C.T.V.M S/A</v>
          </cell>
          <cell r="E3033" t="str">
            <v>PLURAL GESTÃO DE RECURSOS LTDA</v>
          </cell>
        </row>
        <row r="3034">
          <cell r="B3034">
            <v>12229</v>
          </cell>
          <cell r="C3034" t="str">
            <v>PLURAL GESTAO DE RECURSOS LTDA</v>
          </cell>
          <cell r="D3034" t="str">
            <v>PLURAL GESTAO DE RECURSOS LTDA</v>
          </cell>
          <cell r="E3034" t="str">
            <v>PLURAL GESTÃO DE RECURSOS LTDA</v>
          </cell>
        </row>
        <row r="3035">
          <cell r="B3035">
            <v>12247</v>
          </cell>
          <cell r="C3035" t="str">
            <v>PLURAL GESTAO DE RECURSOS LTDA</v>
          </cell>
          <cell r="D3035" t="str">
            <v>PLURAL GESTAO DE RECURSOS LTDA</v>
          </cell>
          <cell r="E3035" t="str">
            <v>PLURAL GESTÃO DE RECURSOS LTDA</v>
          </cell>
        </row>
        <row r="3036">
          <cell r="B3036">
            <v>14440</v>
          </cell>
          <cell r="C3036" t="str">
            <v>PLURAL GESTAO DE RECURSOS LTDA</v>
          </cell>
          <cell r="D3036" t="str">
            <v>PLURAL GESTAO DE RECURSOS LTDA</v>
          </cell>
          <cell r="E3036" t="str">
            <v>PLURAL GESTÃO DE RECURSOS LTDA</v>
          </cell>
        </row>
        <row r="3037">
          <cell r="B3037">
            <v>144504</v>
          </cell>
          <cell r="C3037" t="str">
            <v>PLURAL GESTAO DE RECURSOS LTDA</v>
          </cell>
          <cell r="D3037" t="str">
            <v>PLURAL GESTAO DE RECURSOS LTDA</v>
          </cell>
          <cell r="E3037" t="str">
            <v>PLURAL GESTÃO DE RECURSOS LTDA</v>
          </cell>
        </row>
        <row r="3038">
          <cell r="B3038">
            <v>79427</v>
          </cell>
          <cell r="C3038" t="str">
            <v>PLURAL GESTAO DE RECURSOS LTDA</v>
          </cell>
          <cell r="D3038" t="str">
            <v>PLURAL GESTAO DE RECURSOS LTDA</v>
          </cell>
          <cell r="E3038" t="str">
            <v>PLURAL GESTÃO DE RECURSOS LTDA</v>
          </cell>
        </row>
        <row r="3039">
          <cell r="B3039">
            <v>79428</v>
          </cell>
          <cell r="C3039" t="str">
            <v>PLURAL GESTAO DE RECURSOS LTDA</v>
          </cell>
          <cell r="D3039" t="str">
            <v>PLURAL GESTAO DE RECURSOS LTDA</v>
          </cell>
          <cell r="E3039" t="str">
            <v>PLURAL GESTÃO DE RECURSOS LTDA</v>
          </cell>
        </row>
        <row r="3040">
          <cell r="B3040">
            <v>82666</v>
          </cell>
          <cell r="C3040" t="str">
            <v>RAM EDGE CL INVESTIMENTO MULT CP RL</v>
          </cell>
          <cell r="D3040" t="str">
            <v>RAM EDGE CL INVESTIMENTO MULT CP RL</v>
          </cell>
          <cell r="E3040" t="str">
            <v>RAM GESTORA DE RECURSOS LTDA</v>
          </cell>
        </row>
        <row r="3041">
          <cell r="B3041">
            <v>82666</v>
          </cell>
          <cell r="C3041" t="str">
            <v>RAM EDGE CL INVESTIMENTO MULT CP RL</v>
          </cell>
          <cell r="D3041" t="str">
            <v>RAM EDGE CL INVESTIMENTO MULT CP RL</v>
          </cell>
          <cell r="E3041" t="str">
            <v>RAM GESTORA DE RECURSOS LTDA</v>
          </cell>
        </row>
        <row r="3042">
          <cell r="B3042">
            <v>82667</v>
          </cell>
          <cell r="C3042" t="str">
            <v>RAM CASH FIRF LP</v>
          </cell>
          <cell r="D3042" t="str">
            <v>RAM CASH FIRF LP</v>
          </cell>
          <cell r="E3042" t="str">
            <v>RAM GESTORA DE RECURSOS LTDA</v>
          </cell>
        </row>
        <row r="3043">
          <cell r="B3043">
            <v>82667</v>
          </cell>
          <cell r="C3043" t="str">
            <v>RAM CASH FIRF LP</v>
          </cell>
          <cell r="D3043" t="str">
            <v>RAM CASH FIRF LP</v>
          </cell>
          <cell r="E3043" t="str">
            <v>RAM GESTORA DE RECURSOS LTDA</v>
          </cell>
        </row>
        <row r="3044">
          <cell r="B3044" t="str">
            <v>M61809182000130</v>
          </cell>
          <cell r="D3044" t="str">
            <v>UBS (BRASIL) CORRETORA DE VALORES S.A.</v>
          </cell>
          <cell r="E3044" t="str">
            <v>CREDIT SUISSE HEDGING-GRIFFO WEALTH MANAGEMENT S/A</v>
          </cell>
        </row>
        <row r="3045">
          <cell r="B3045">
            <v>82677</v>
          </cell>
          <cell r="C3045" t="str">
            <v>COWBOYS FUNDO DE INVESTIMENTO EM ACOES</v>
          </cell>
          <cell r="D3045" t="str">
            <v>COWBOYS FUNDO DE INVESTIMENTO EM ACOES</v>
          </cell>
          <cell r="E3045" t="str">
            <v>JAZZ CAPITAL LTDA</v>
          </cell>
        </row>
        <row r="3046">
          <cell r="B3046">
            <v>82678</v>
          </cell>
          <cell r="C3046" t="str">
            <v>RAMS FUNDO DE INVESTIMENTO EM ACOES</v>
          </cell>
          <cell r="D3046" t="str">
            <v>RAMS FUNDO DE INVESTIMENTO EM ACOES</v>
          </cell>
          <cell r="E3046" t="str">
            <v>JAZZ CAPITAL LTDA</v>
          </cell>
        </row>
        <row r="3047">
          <cell r="B3047">
            <v>82679</v>
          </cell>
          <cell r="C3047" t="str">
            <v>WOLVES FUNDO DE INVESTIMENTO MULTIMERCADO</v>
          </cell>
          <cell r="D3047" t="str">
            <v>WOLVES FUNDO DE INVESTIMENTO MULTIMERCADO</v>
          </cell>
          <cell r="E3047" t="str">
            <v>JAZZ CAPITAL LTDA</v>
          </cell>
        </row>
        <row r="3048">
          <cell r="B3048" t="str">
            <v>M4043097100019605</v>
          </cell>
          <cell r="C3048" t="str">
            <v>ITAU UNIBANCO ASSET MANAGEMENT LTDA</v>
          </cell>
          <cell r="D3048" t="str">
            <v>ITAU JANEIRO</v>
          </cell>
          <cell r="E3048" t="str">
            <v>ITAU UNIBANCO ASSET - JANEIRO</v>
          </cell>
        </row>
        <row r="3049">
          <cell r="B3049" t="str">
            <v>M4043097100019604</v>
          </cell>
          <cell r="C3049" t="str">
            <v>ITAU UNIBANCO ASSET MANAGEMENT LTDA</v>
          </cell>
          <cell r="D3049" t="str">
            <v>ITAU GLOBAL</v>
          </cell>
          <cell r="E3049" t="str">
            <v>ITAU UNIBANCO ASSET MANAGEMENT LTDA</v>
          </cell>
        </row>
        <row r="3050">
          <cell r="B3050" t="str">
            <v>M4043097100019603</v>
          </cell>
          <cell r="C3050" t="str">
            <v>ITAU UNIBANCO ASSET MANAGEMENT LTDA</v>
          </cell>
          <cell r="D3050" t="str">
            <v>ITAU OPTIMUS</v>
          </cell>
          <cell r="E3050" t="str">
            <v>ITAU UNIBANCO ASSET - OPTIMUS</v>
          </cell>
        </row>
        <row r="3051">
          <cell r="B3051" t="str">
            <v>M4043097100019602</v>
          </cell>
          <cell r="C3051" t="str">
            <v>ITAU UNIBANCO ASSET MANAGEMENT LTDA</v>
          </cell>
          <cell r="D3051" t="str">
            <v>ITAU HIGH ALPHA</v>
          </cell>
          <cell r="E3051" t="str">
            <v>ITAU UNIBANCO ASSET MANAGEMENT LTDA</v>
          </cell>
        </row>
        <row r="3052">
          <cell r="B3052" t="str">
            <v>M33466988000138</v>
          </cell>
          <cell r="D3052" t="str">
            <v>BANCO CAIXA GERAL BRASIL SA</v>
          </cell>
          <cell r="E3052" t="str">
            <v>BANCO CAIXA GERAL BRASIL S/A</v>
          </cell>
        </row>
        <row r="3053">
          <cell r="B3053">
            <v>82691</v>
          </cell>
          <cell r="C3053" t="str">
            <v>JAZZ CAPITAL LTDA (NOVA PERENNE)</v>
          </cell>
          <cell r="D3053" t="str">
            <v>JAZZ CAPITAL LTDA (NOVA PERENNE)</v>
          </cell>
          <cell r="E3053" t="str">
            <v>JAZZ CAPITAL LTDA</v>
          </cell>
        </row>
        <row r="3054">
          <cell r="B3054">
            <v>82691</v>
          </cell>
          <cell r="C3054" t="str">
            <v>JAZZ CAPITAL LTDA (NOVA PERENNE)</v>
          </cell>
          <cell r="D3054" t="str">
            <v>JAZZ CAPITAL LTDA (NOVA PERENNE)</v>
          </cell>
          <cell r="E3054" t="str">
            <v>JAZZ CAPITAL LTDA</v>
          </cell>
        </row>
        <row r="3055">
          <cell r="B3055">
            <v>82674</v>
          </cell>
          <cell r="C3055" t="str">
            <v>ASSAY FI EM ACOES BDR NIVEL I IE</v>
          </cell>
          <cell r="D3055" t="str">
            <v>ASSAY FI EM ACOES BDR NIVEL I IE</v>
          </cell>
          <cell r="E3055" t="str">
            <v>JAZZ CAPITAL LTDA</v>
          </cell>
        </row>
        <row r="3056">
          <cell r="B3056">
            <v>82675</v>
          </cell>
          <cell r="C3056" t="str">
            <v>NC CASH PERENNE FUNDO DE INVESTIMENTO EM RENDA FIXA</v>
          </cell>
          <cell r="D3056" t="str">
            <v>NC CASH PERENNE FUNDO DE INVESTIMENTO EM RENDA FIXA</v>
          </cell>
          <cell r="E3056" t="str">
            <v>JAZZ CAPITAL LTDA</v>
          </cell>
        </row>
        <row r="3057">
          <cell r="B3057" t="str">
            <v>M33164021000100</v>
          </cell>
          <cell r="D3057" t="str">
            <v>TOKIO MARINE SEGURADORA SA</v>
          </cell>
        </row>
        <row r="3058">
          <cell r="B3058" t="str">
            <v>M04866275000163</v>
          </cell>
          <cell r="D3058" t="str">
            <v>BANCO INBURSA S.A.</v>
          </cell>
        </row>
        <row r="3059">
          <cell r="B3059" t="str">
            <v>M49336860000190</v>
          </cell>
          <cell r="D3059" t="str">
            <v>ING BANK NV</v>
          </cell>
        </row>
        <row r="3060">
          <cell r="B3060">
            <v>82680</v>
          </cell>
          <cell r="C3060" t="str">
            <v>ITAU ARTAX ENDURANCE FI FINANCEIRO MULT RESP LIMITADA</v>
          </cell>
          <cell r="D3060" t="str">
            <v>ITAU ARTAX ENDURANCE FI FINANCEIRO MULT RESP LIMITADA</v>
          </cell>
          <cell r="E3060" t="str">
            <v>ITAU UNIBANCO ASSET - TACO</v>
          </cell>
        </row>
        <row r="3061">
          <cell r="B3061">
            <v>82681</v>
          </cell>
          <cell r="C3061" t="str">
            <v>ITAU DUAL ADVANCED OFF PREV FIF MULT CRED PRIV RESP LIMITADA</v>
          </cell>
          <cell r="D3061" t="str">
            <v>ITAU DUAL ADVANCED OFF PREV FIF MULT CRED PRIV RESP LIMITADA</v>
          </cell>
          <cell r="E3061" t="str">
            <v>ITAU UNIBANCO ASSET - TACO</v>
          </cell>
        </row>
        <row r="3062">
          <cell r="B3062">
            <v>82682</v>
          </cell>
          <cell r="C3062" t="str">
            <v>ITAU FLEXPREV DUAL ADVANCED FIF MULT CRED PRIV RESP LIMITADA</v>
          </cell>
          <cell r="D3062" t="str">
            <v>ITAU FLEXPREV DUAL ADVANCED FIF MULT CRED PRIV RESP LIMITADA</v>
          </cell>
          <cell r="E3062" t="str">
            <v>ITAU UNIBANCO ASSET - TACO</v>
          </cell>
        </row>
        <row r="3063">
          <cell r="B3063">
            <v>82683</v>
          </cell>
          <cell r="C3063" t="str">
            <v>VERTICE CASH ENHANCED FIF MULTIMERCADO RESP LIMITADA</v>
          </cell>
          <cell r="D3063" t="str">
            <v>VERTICE CASH ENHANCED FIF MULTIMERCADO RESP LIMITADA</v>
          </cell>
          <cell r="E3063" t="str">
            <v>ITAU UNIBANCO ASSET - TACO</v>
          </cell>
        </row>
        <row r="3064">
          <cell r="B3064" t="str">
            <v>M43815158000807</v>
          </cell>
          <cell r="D3064" t="str">
            <v>NECTON INVESTIMENTOS - BTG PACTUAL CTVM S.A</v>
          </cell>
          <cell r="E3064" t="str">
            <v>NECTON INVESTIMENTOS</v>
          </cell>
        </row>
        <row r="3065">
          <cell r="B3065" t="str">
            <v>M2417694600017102</v>
          </cell>
          <cell r="D3065" t="str">
            <v>WARREN BRASIL GESTÃƒO E ADMINISTRAÃ‡ÃƒO DE RECURSOS LTDA</v>
          </cell>
          <cell r="E3065" t="str">
            <v>WARREN BRASIL GESTÃO E ADMINISTRAÇÃO DE RECURSOS LTDA</v>
          </cell>
        </row>
        <row r="3066">
          <cell r="B3066" t="str">
            <v>M2417694600017101</v>
          </cell>
          <cell r="D3066" t="str">
            <v>WARREN BRASIL GESTÃƒO E ADMINISTRAÃ‡ÃƒO DE RECURSOS LTDA</v>
          </cell>
          <cell r="E3066" t="str">
            <v>WARREN BRASIL GESTÃO E ADMINISTRAÇÃO DE RECURSOS LTDA</v>
          </cell>
        </row>
        <row r="3067">
          <cell r="B3067">
            <v>1458</v>
          </cell>
          <cell r="C3067" t="str">
            <v>BGC LIQUIDEZ DTVM LTDA</v>
          </cell>
          <cell r="D3067" t="str">
            <v>BGC LIQUIDEZ DTVM LTDA</v>
          </cell>
          <cell r="E3067" t="str">
            <v>BGC LIQUIDEZ DTVM LTDA</v>
          </cell>
        </row>
        <row r="3068">
          <cell r="B3068">
            <v>82684</v>
          </cell>
          <cell r="C3068" t="str">
            <v>B3R ACOES FIA IE</v>
          </cell>
          <cell r="D3068" t="str">
            <v>B3R ACOES FIA IE</v>
          </cell>
          <cell r="E3068" t="str">
            <v>ITAU UNIBANCO ASSET - TACO</v>
          </cell>
        </row>
        <row r="3069">
          <cell r="B3069" t="str">
            <v>M0152236800018201</v>
          </cell>
          <cell r="D3069" t="str">
            <v>BANCO BNP PARIBAS BRASIL SA</v>
          </cell>
          <cell r="E3069" t="str">
            <v>BANCO BNP PARIBAS BRASIL S/A</v>
          </cell>
        </row>
        <row r="3070">
          <cell r="B3070">
            <v>82686</v>
          </cell>
          <cell r="C3070" t="str">
            <v>ITAU VERTICE OMNI FIF MULTIMERCADO RESPONSABILIDADE LIMITADA</v>
          </cell>
          <cell r="D3070" t="str">
            <v>ITAU VERTICE OMNI FIF MULTIMERCADO RESPONSABILIDADE LIMITADA</v>
          </cell>
          <cell r="E3070" t="str">
            <v>ITAU UNIBANCO ASSET - TACO</v>
          </cell>
        </row>
        <row r="3071">
          <cell r="B3071">
            <v>82687</v>
          </cell>
          <cell r="C3071" t="str">
            <v>ITAU ACOES PETROBRAS II FUNDO DE INVESTIMENTO</v>
          </cell>
          <cell r="D3071" t="str">
            <v>ITAU ACOES PETROBRAS II FUNDO DE INVESTIMENTO</v>
          </cell>
          <cell r="E3071" t="str">
            <v>ITAU UNIBANCO ASSET - TACO</v>
          </cell>
        </row>
        <row r="3072">
          <cell r="B3072" t="str">
            <v>M13431864000100</v>
          </cell>
          <cell r="D3072" t="str">
            <v>FUNDO DE PREVIDÃŠNCIA DOS SERVIDORES DO MUNICÃPIO DE PASSO DO SOBRADO</v>
          </cell>
        </row>
        <row r="3073">
          <cell r="B3073" t="str">
            <v>M03721066000169</v>
          </cell>
          <cell r="D3073" t="str">
            <v>RPPS ANTONIO CARLOS</v>
          </cell>
          <cell r="E3073" t="str">
            <v>RPPS IPREANCARLOS</v>
          </cell>
        </row>
        <row r="3074">
          <cell r="B3074" t="str">
            <v>M67366310000103</v>
          </cell>
          <cell r="D3074" t="str">
            <v>FUNDACAO DA SEGURIDADE SOCIAL DOS SERV PUB MUN SOROCABA</v>
          </cell>
          <cell r="E3074" t="str">
            <v>RPPS SOROCABA</v>
          </cell>
        </row>
        <row r="3075">
          <cell r="B3075" t="str">
            <v>M0036030500010401</v>
          </cell>
          <cell r="C3075" t="str">
            <v>CAIXA ECONOMICA FEDERAL</v>
          </cell>
          <cell r="D3075" t="str">
            <v>CAIXA ECONOMICA FEDERAL</v>
          </cell>
          <cell r="E3075" t="str">
            <v>CAIXA DISTRIBUIDORA DE TITULOS E VALORES MOBILIARIOS S/A</v>
          </cell>
        </row>
        <row r="3076">
          <cell r="B3076">
            <v>82688</v>
          </cell>
          <cell r="C3076" t="str">
            <v>KAPITALO TARKUS INSTITUCIONAL MASTER FIA</v>
          </cell>
          <cell r="D3076" t="str">
            <v>KAPITALO TARKUS INSTITUCIONAL MASTER FIA</v>
          </cell>
          <cell r="E3076" t="str">
            <v>KAPITALO INVESTIMENTOS LTDA</v>
          </cell>
        </row>
        <row r="3077">
          <cell r="B3077" t="str">
            <v>M05516347000105</v>
          </cell>
          <cell r="D3077" t="str">
            <v>INSTITUTO DE PREVIDENCIA SOCIAL DOS SERVIDORES DO MUNICIPIO DE PAPANDUVA-SC</v>
          </cell>
          <cell r="E3077" t="str">
            <v>RPPS PAPANDUVA</v>
          </cell>
        </row>
        <row r="3078">
          <cell r="B3078">
            <v>82689</v>
          </cell>
          <cell r="C3078" t="str">
            <v>MACQUARIE BANK LIMITED - BANCO CS</v>
          </cell>
          <cell r="D3078" t="str">
            <v>MACQUARIE BANK LIMITED - BANCO CS</v>
          </cell>
          <cell r="E3078" t="str">
            <v>MACQUARIE BANK LIMITED</v>
          </cell>
        </row>
        <row r="3079">
          <cell r="B3079" t="str">
            <v>M21239821000155</v>
          </cell>
          <cell r="D3079" t="str">
            <v>STARR INSURANCE &amp; REINSURANCE LIMITED ESCRITORIO DE REPRESENTACAO NO BRASIL LTDA.</v>
          </cell>
          <cell r="E3079" t="str">
            <v>STARR INTERNATIONAL BRASIL SEGURADORA S/A</v>
          </cell>
        </row>
        <row r="3080">
          <cell r="B3080" t="str">
            <v>M11427876000135</v>
          </cell>
          <cell r="D3080" t="str">
            <v>FUNDO DE PREVIDENCIA, APOSENTADORIA E PENSAO DO SERVIDOR - FUNPRES</v>
          </cell>
        </row>
        <row r="3081">
          <cell r="B3081">
            <v>82690</v>
          </cell>
          <cell r="C3081" t="str">
            <v>PICPAY BANK BANCO MULTIPLO S.A.</v>
          </cell>
          <cell r="D3081" t="str">
            <v>PICPAY BANK BANCO MULTIPLO S.A.</v>
          </cell>
          <cell r="E3081" t="str">
            <v>PICPAY BANK BANCO MULTIPLO S/A</v>
          </cell>
        </row>
        <row r="3082">
          <cell r="B3082">
            <v>82676</v>
          </cell>
          <cell r="C3082" t="str">
            <v>BTG 2664 FUNDO DE INVESTIMENTO MULTIMERCADO CP IE</v>
          </cell>
          <cell r="D3082" t="str">
            <v>BTG 2664 FUNDO DE INVESTIMENTO MULTIMERCADO CP IE</v>
          </cell>
          <cell r="E3082" t="str">
            <v>JAZZ CAPITAL LTDA</v>
          </cell>
        </row>
        <row r="3083">
          <cell r="B3083">
            <v>82678</v>
          </cell>
          <cell r="C3083" t="str">
            <v>RAMS FUNDO DE INVESTIMENTO EM ACOES</v>
          </cell>
          <cell r="D3083" t="str">
            <v>RAMS FUNDO DE INVESTIMENTO EM ACOES</v>
          </cell>
          <cell r="E3083" t="str">
            <v>JAZZ CAPITAL LTDA</v>
          </cell>
        </row>
        <row r="3084">
          <cell r="B3084" t="str">
            <v>M6074694800011201</v>
          </cell>
          <cell r="C3084" t="str">
            <v>BANCO BRADESCO S/A</v>
          </cell>
          <cell r="D3084" t="str">
            <v>BRAM ASSET</v>
          </cell>
          <cell r="E3084" t="str">
            <v>BRAM - BRADESCO ASSET MANAGEMENT S/A DTVM</v>
          </cell>
        </row>
        <row r="3085">
          <cell r="B3085">
            <v>82693</v>
          </cell>
          <cell r="C3085" t="str">
            <v>BTG PACTUAL SMLL B3 FUNDO DE INDICE</v>
          </cell>
          <cell r="D3085" t="str">
            <v>BTG PACTUAL SMLL B3 FUNDO DE INDICE</v>
          </cell>
          <cell r="E3085" t="str">
            <v>BTG PACTUAL ASSET MANAGEMENT SA DTVM</v>
          </cell>
        </row>
        <row r="3086">
          <cell r="B3086" t="str">
            <v>M10664513000150</v>
          </cell>
          <cell r="D3086" t="str">
            <v>BANCO AGIBANK S/A</v>
          </cell>
          <cell r="E3086" t="str">
            <v>BANCO AGIBANK S/A</v>
          </cell>
        </row>
        <row r="3087">
          <cell r="B3087" t="str">
            <v>M15400216000111</v>
          </cell>
          <cell r="D3087" t="str">
            <v>MARAU GESTÃƒO DE RECURSOS LTDA.</v>
          </cell>
          <cell r="E3087" t="str">
            <v>BANCO DAYCOVAL S/A</v>
          </cell>
        </row>
        <row r="3088">
          <cell r="B3088">
            <v>82694</v>
          </cell>
          <cell r="C3088" t="str">
            <v>ITAU VERTICE OMNI FIF MULTIMERCADO RESPONSABILIDADE LIMITADA</v>
          </cell>
          <cell r="D3088" t="str">
            <v>ITAU VERTICE OMNI FIF MULTIMERCADO RESPONSABILIDADE LIMITADA</v>
          </cell>
          <cell r="E3088" t="str">
            <v>ITAU UNIBANCO ASSET - TACO</v>
          </cell>
        </row>
        <row r="3089">
          <cell r="B3089" t="str">
            <v>M06136920000118</v>
          </cell>
          <cell r="D3089" t="str">
            <v>ZURICH SANTANDER BRASIL SEGUROS S.A.</v>
          </cell>
          <cell r="E3089" t="str">
            <v>ZURICH RESSEGURADORA BRASIL S/A</v>
          </cell>
        </row>
        <row r="3090">
          <cell r="B3090" t="str">
            <v>M49475869000181</v>
          </cell>
          <cell r="C3090" t="str">
            <v>ALTERA CAPITAL GESTORA E CONSULTORIA DE INVESTIMENTOS LTDA</v>
          </cell>
          <cell r="D3090" t="str">
            <v>ALTERA CAPITAL GESTORA E CONSULTORIA DE INVESTIMENTOS LTDA</v>
          </cell>
          <cell r="E3090" t="str">
            <v>ALTERA CAPITAL GESTORA E CONSULTORIA DE INVESTIMENTOS LTDA</v>
          </cell>
        </row>
        <row r="3091">
          <cell r="B3091">
            <v>82695</v>
          </cell>
          <cell r="C3091" t="str">
            <v>NORTE ASSET MANAGEMENT GESTAO DE RECURSOS S.A.</v>
          </cell>
          <cell r="D3091" t="str">
            <v>NORTE ASSET MANAGEMENT GESTAO DE RECURSOS S.A.</v>
          </cell>
          <cell r="E3091" t="str">
            <v>NORTE ASSET MANAGEMENT GESTAO DE RECURSOS S.A.</v>
          </cell>
        </row>
        <row r="3092">
          <cell r="B3092">
            <v>82695</v>
          </cell>
          <cell r="C3092" t="str">
            <v>NORTE ASSET MANAGEMENT GESTAO DE RECURSOS S.A.</v>
          </cell>
          <cell r="D3092" t="str">
            <v>NORTE ASSET MANAGEMENT GESTAO DE RECURSOS S.A.</v>
          </cell>
          <cell r="E3092" t="str">
            <v>NORTE ASSET MANAGEMENT GESTAO DE RECURSOS S.A.</v>
          </cell>
        </row>
        <row r="3093">
          <cell r="B3093">
            <v>82696</v>
          </cell>
          <cell r="C3093" t="str">
            <v>NORTE LONG ONLY MASTER FUNDO DE INVESTIMENTO EM ACOES</v>
          </cell>
          <cell r="D3093" t="str">
            <v>NORTE LONG ONLY MASTER FUNDO DE INVESTIMENTO EM ACOES</v>
          </cell>
          <cell r="E3093" t="str">
            <v>NORTE ASSET MANAGEMENT GESTAO DE RECURSOS S.A.</v>
          </cell>
        </row>
        <row r="3094">
          <cell r="B3094">
            <v>82697</v>
          </cell>
          <cell r="C3094" t="str">
            <v>NORTE LONG BIAS MASTER FUNDO DE INVESTIMENTO MULTIMERCADO</v>
          </cell>
          <cell r="D3094" t="str">
            <v>NORTE LONG BIAS MASTER FUNDO DE INVESTIMENTO MULTIMERCADO</v>
          </cell>
          <cell r="E3094" t="str">
            <v>NORTE ASSET MANAGEMENT GESTAO DE RECURSOS S.A.</v>
          </cell>
        </row>
        <row r="3095">
          <cell r="B3095">
            <v>82698</v>
          </cell>
          <cell r="C3095" t="str">
            <v>NORTE INSTITUCIONAL MASTER FUNDO DE INVESTIMENTO EM ACOES</v>
          </cell>
          <cell r="D3095" t="str">
            <v>NORTE INSTITUCIONAL MASTER FUNDO DE INVESTIMENTO EM ACOES</v>
          </cell>
          <cell r="E3095" t="str">
            <v>NORTE ASSET MANAGEMENT GESTAO DE RECURSOS S.A.</v>
          </cell>
        </row>
        <row r="3096">
          <cell r="B3096">
            <v>82699</v>
          </cell>
          <cell r="C3096" t="str">
            <v>NORTE PREVIDENCIA FIFE MASTER FUNDO DE INVESTIMENTO EM ACOES</v>
          </cell>
          <cell r="D3096" t="str">
            <v>NORTE PREVIDENCIA FIFE MASTER FUNDO DE INVESTIMENTO EM ACOES</v>
          </cell>
          <cell r="E3096" t="str">
            <v>NORTE ASSET MANAGEMENT GESTAO DE RECURSOS S.A.</v>
          </cell>
        </row>
        <row r="3097">
          <cell r="B3097">
            <v>82700</v>
          </cell>
          <cell r="C3097" t="str">
            <v>NORTE LONG BIAS MASTER FIA</v>
          </cell>
          <cell r="D3097" t="str">
            <v>NORTE LONG BIAS MASTER FIA</v>
          </cell>
          <cell r="E3097" t="str">
            <v>NORTE ASSET MANAGEMENT GESTAO DE RECURSOS S.A.</v>
          </cell>
        </row>
        <row r="3098">
          <cell r="B3098">
            <v>82699</v>
          </cell>
          <cell r="C3098" t="str">
            <v>NORTE PREVIDENCIA FIFE MASTER FUNDO DE INVESTIMENTO EM ACOES</v>
          </cell>
          <cell r="D3098" t="str">
            <v>NORTE PREVIDENCIA FIFE MASTER FUNDO DE INVESTIMENTO EM ACOES</v>
          </cell>
          <cell r="E3098" t="str">
            <v>NORTE ASSET MANAGEMENT GESTAO DE RECURSOS S.A.</v>
          </cell>
        </row>
        <row r="3099">
          <cell r="B3099">
            <v>82702</v>
          </cell>
          <cell r="C3099" t="str">
            <v>ESTRATEGIA DAHLIA TOTAL RETURN 70 FIFE PREV FIF RL</v>
          </cell>
          <cell r="D3099" t="str">
            <v>ESTRATEGIA DAHLIA TOTAL RETURN 70 FIFE PREV FIF RL</v>
          </cell>
          <cell r="E3099" t="str">
            <v>DAHLIA CAPITAL GESTAO DE RECURSOS LTDA</v>
          </cell>
        </row>
        <row r="3100">
          <cell r="B3100">
            <v>82703</v>
          </cell>
          <cell r="C3100" t="str">
            <v>ACE CAPITAL GROU GESTORA DE RECURSOS LTDA</v>
          </cell>
          <cell r="D3100" t="str">
            <v>ACE CAPITAL GROU GESTORA DE RECURSOS LTDA</v>
          </cell>
          <cell r="E3100" t="str">
            <v>ACE CAPITAL GESTORA DE RECURSOS LTDA</v>
          </cell>
        </row>
        <row r="3101">
          <cell r="B3101">
            <v>82703</v>
          </cell>
          <cell r="C3101" t="str">
            <v>ACE CAPITAL GROU GESTORA DE RECURSOS LTDA</v>
          </cell>
          <cell r="D3101" t="str">
            <v>ACE CAPITAL GROU GESTORA DE RECURSOS LTDA</v>
          </cell>
          <cell r="E3101" t="str">
            <v>ACE CAPITAL GESTORA DE RECURSOS LTDA</v>
          </cell>
        </row>
        <row r="3102">
          <cell r="B3102">
            <v>82704</v>
          </cell>
          <cell r="C3102" t="str">
            <v>SANTANDER PREV ACOES DIVIDENDOS FIF RL</v>
          </cell>
          <cell r="D3102" t="str">
            <v>SANTANDER PREV ACOES DIVIDENDOS FIF RL</v>
          </cell>
          <cell r="E3102" t="str">
            <v>SANTANDER BRASIL GESTAO DE RECURSOS LTDA</v>
          </cell>
        </row>
        <row r="3103">
          <cell r="B3103">
            <v>91600</v>
          </cell>
          <cell r="C3103" t="str">
            <v>XP INVESTIMENTOS CCTVM S/A</v>
          </cell>
          <cell r="D3103" t="str">
            <v>XP INVESTIMENTOS CCTVM S/A</v>
          </cell>
          <cell r="E3103" t="str">
            <v>BANCO XP S/A</v>
          </cell>
        </row>
        <row r="3104">
          <cell r="B3104">
            <v>999424</v>
          </cell>
          <cell r="C3104" t="str">
            <v>XP INVESTIMENTOS CCTVM S/A</v>
          </cell>
          <cell r="D3104" t="str">
            <v>XP INVESTIMENTOS CCTVM S/A</v>
          </cell>
          <cell r="E3104" t="str">
            <v>BANCO XP S/A</v>
          </cell>
        </row>
        <row r="3105">
          <cell r="B3105">
            <v>79672</v>
          </cell>
          <cell r="C3105" t="str">
            <v>XP INVESTIMENTOS CCTVM S/A</v>
          </cell>
          <cell r="D3105" t="str">
            <v>XP INVESTIMENTOS CCTVM S/A</v>
          </cell>
          <cell r="E3105" t="str">
            <v>BANCO XP S/A</v>
          </cell>
        </row>
        <row r="3106">
          <cell r="B3106">
            <v>82708</v>
          </cell>
          <cell r="C3106" t="str">
            <v>BANCO ALFA DE INVESTIMENTO S/A</v>
          </cell>
          <cell r="D3106" t="str">
            <v>BANCO ALFA DE INVESTIMENTO S/A</v>
          </cell>
          <cell r="E3106" t="str">
            <v>BANCO ALFA DE INVESTIMENTO S/A</v>
          </cell>
        </row>
        <row r="3107">
          <cell r="B3107">
            <v>82709</v>
          </cell>
          <cell r="C3107" t="str">
            <v>ITAU FLEXPREV FUSION EAGLE FIF MULT RL</v>
          </cell>
          <cell r="D3107" t="str">
            <v>ITAU FLEXPREV FUSION EAGLE FIF MULT RL</v>
          </cell>
          <cell r="E3107" t="str">
            <v>ITAU UNIBANCO ASSET - TACO</v>
          </cell>
        </row>
        <row r="3108">
          <cell r="B3108" t="str">
            <v>M17312597000102</v>
          </cell>
          <cell r="D3108" t="str">
            <v>FUNPRESP EXE - FUND DE PREV COMPLEMENTAR DO SERV PUBLICO FED</v>
          </cell>
          <cell r="E3108" t="str">
            <v>FUNDAÃ‡ÃƒO FUNPRESP EXE</v>
          </cell>
        </row>
        <row r="3109">
          <cell r="B3109">
            <v>82711</v>
          </cell>
          <cell r="C3109" t="str">
            <v>CONCORDIA WOMBAT FIF MULTIMERCADO</v>
          </cell>
          <cell r="D3109" t="str">
            <v>CONCORDIA WOMBAT FIF MULTIMERCADO</v>
          </cell>
          <cell r="E3109" t="str">
            <v>CONCORDIA GESTAO DE RECURSOS LTDA</v>
          </cell>
        </row>
        <row r="3110">
          <cell r="B3110">
            <v>82711</v>
          </cell>
          <cell r="C3110" t="str">
            <v>CONCORDIA WOMBAT FIF MULTIMERCADO</v>
          </cell>
          <cell r="D3110" t="str">
            <v>CONCORDIA WOMBAT FIF MULTIMERCADO</v>
          </cell>
          <cell r="E3110" t="str">
            <v>CONCORDIA GESTAO DE RECURSOS LTDA</v>
          </cell>
        </row>
        <row r="3111">
          <cell r="B3111">
            <v>82712</v>
          </cell>
          <cell r="C3111" t="str">
            <v>GAVEA INVESTIMENTOS LTDA</v>
          </cell>
          <cell r="D3111" t="str">
            <v>GAVEA INVESTIMENTOS LTDA</v>
          </cell>
          <cell r="E3111" t="str">
            <v>GAVEA INVESTIMENTOS LTDA</v>
          </cell>
        </row>
        <row r="3112">
          <cell r="B3112">
            <v>82712</v>
          </cell>
          <cell r="C3112" t="str">
            <v>GAVEA INVESTIMENTOS LTDA</v>
          </cell>
          <cell r="D3112" t="str">
            <v>GAVEA INVESTIMENTOS LTDA</v>
          </cell>
          <cell r="E3112" t="str">
            <v>GAVEA INVESTIMENTOS LTDA</v>
          </cell>
        </row>
        <row r="3113">
          <cell r="B3113">
            <v>82713</v>
          </cell>
          <cell r="C3113" t="str">
            <v>ITAU FLEXPREV INDEX SP500 BRL FIF MULT RL</v>
          </cell>
          <cell r="D3113" t="str">
            <v>ITAU FLEXPREV INDEX SP500 BRL FIF MULT RL</v>
          </cell>
          <cell r="E3113" t="str">
            <v>ITAU UNIBANCO ASSET - TACO</v>
          </cell>
        </row>
        <row r="3114">
          <cell r="B3114">
            <v>82714</v>
          </cell>
          <cell r="C3114" t="str">
            <v>SQUAREPOINT ATLAS TRADING LLC</v>
          </cell>
          <cell r="D3114" t="str">
            <v>SQUAREPOINT ATLAS TRADING LLC</v>
          </cell>
          <cell r="E3114" t="str">
            <v>SQUAREPOINT TRADING LLC</v>
          </cell>
        </row>
        <row r="3115">
          <cell r="B3115">
            <v>82714</v>
          </cell>
          <cell r="C3115" t="str">
            <v>SQUAREPOINT ATLAS TRADING LLC</v>
          </cell>
          <cell r="D3115" t="str">
            <v>SQUAREPOINT ATLAS TRADING LLC</v>
          </cell>
          <cell r="E3115" t="str">
            <v>SQUAREPOINT TRADING LLC</v>
          </cell>
        </row>
        <row r="3116">
          <cell r="B3116">
            <v>82715</v>
          </cell>
          <cell r="C3116" t="str">
            <v>SQUAREPOINT CORE TRADING LLC</v>
          </cell>
          <cell r="D3116" t="str">
            <v>SQUAREPOINT CORE TRADING LLC</v>
          </cell>
          <cell r="E3116" t="str">
            <v>SQUAREPOINT TRADING LLC</v>
          </cell>
        </row>
        <row r="3117">
          <cell r="B3117">
            <v>82715</v>
          </cell>
          <cell r="C3117" t="str">
            <v>SQUAREPOINT CORE TRADING LLC</v>
          </cell>
          <cell r="D3117" t="str">
            <v>SQUAREPOINT CORE TRADING LLC</v>
          </cell>
          <cell r="E3117" t="str">
            <v>SQUAREPOINT TRADING LLC</v>
          </cell>
        </row>
        <row r="3118">
          <cell r="B3118">
            <v>82717</v>
          </cell>
          <cell r="C3118" t="str">
            <v>SQUAREPOINT ATLAS TRADING LLC</v>
          </cell>
          <cell r="D3118" t="str">
            <v>SQUAREPOINT ATLAS TRADING LLC</v>
          </cell>
          <cell r="E3118" t="str">
            <v>SQUAREPOINT TRADING LLC</v>
          </cell>
        </row>
        <row r="3119">
          <cell r="B3119">
            <v>82716</v>
          </cell>
          <cell r="C3119" t="str">
            <v>SQUAREPOINT CORE TRADING LLC</v>
          </cell>
          <cell r="D3119" t="str">
            <v>SQUAREPOINT CORE TRADING LLC</v>
          </cell>
          <cell r="E3119" t="str">
            <v>SQUAREPOINT TRADING LLC</v>
          </cell>
        </row>
        <row r="3120">
          <cell r="B3120">
            <v>82719</v>
          </cell>
          <cell r="C3120" t="str">
            <v>QUANTITAS GESTAO DE RECURSOS LTDA</v>
          </cell>
          <cell r="D3120" t="str">
            <v>QUANTITAS GESTAO DE RECURSOS LTDA</v>
          </cell>
          <cell r="E3120" t="str">
            <v>QUANTITAS GESTAO DE RECURSOS LTDA</v>
          </cell>
        </row>
        <row r="3121">
          <cell r="B3121">
            <v>82720</v>
          </cell>
          <cell r="C3121" t="str">
            <v>CONCORDIA GESTAO DE RECURSOS LTDA</v>
          </cell>
          <cell r="D3121" t="str">
            <v>CONCORDIA GESTAO DE RECURSOS LTDA</v>
          </cell>
          <cell r="E3121" t="str">
            <v>CONCORDIA GESTAO DE RECURSOS LTDA</v>
          </cell>
        </row>
        <row r="3122">
          <cell r="B3122">
            <v>82720</v>
          </cell>
          <cell r="C3122" t="str">
            <v>CONCORDIA GESTAO DE RECURSOS LTDA</v>
          </cell>
          <cell r="D3122" t="str">
            <v>CONCORDIA GESTAO DE RECURSOS LTDA</v>
          </cell>
          <cell r="E3122" t="str">
            <v>CONCORDIA GESTAO DE RECURSOS LTDA</v>
          </cell>
        </row>
        <row r="3123">
          <cell r="B3123">
            <v>74</v>
          </cell>
          <cell r="C3123" t="str">
            <v>XP INVESTIMENTOS CCTVM S/A</v>
          </cell>
          <cell r="D3123" t="str">
            <v>74*</v>
          </cell>
          <cell r="E3123" t="str">
            <v>BANCO XP S/A</v>
          </cell>
        </row>
        <row r="3124">
          <cell r="B3124">
            <v>82722</v>
          </cell>
          <cell r="C3124" t="str">
            <v>SANTANDER PREV CORDOBA BRASIL MACRO MULT FIF RESP</v>
          </cell>
          <cell r="D3124" t="str">
            <v>SANTANDER PREV CORDOBA BRASIL MACRO MULT FIF RESP</v>
          </cell>
          <cell r="E3124" t="str">
            <v>SANTANDER BRASIL GESTAO DE RECURSOS LTDA</v>
          </cell>
        </row>
        <row r="3125">
          <cell r="B3125">
            <v>82723</v>
          </cell>
          <cell r="C3125" t="str">
            <v>DAYCOVAL TOP JUROS ATIVO FUNDO DE INVESTIMENTO FINANCEIRO</v>
          </cell>
          <cell r="D3125" t="str">
            <v>DAYCOVAL TOP JUROS ATIVO FUNDO DE INVESTIMENTO FINANCEIRO</v>
          </cell>
          <cell r="E3125" t="str">
            <v>DAYCOVAL ASSET MANAGEMENT ADMINISTRACAO DE RECURSOS LTDA</v>
          </cell>
        </row>
        <row r="3126">
          <cell r="B3126">
            <v>82723</v>
          </cell>
          <cell r="C3126" t="str">
            <v>DAYCOVAL TOP JUROS ATIVO FUNDO DE INVESTIMENTO FINANCEIRO</v>
          </cell>
          <cell r="D3126" t="str">
            <v>DAYCOVAL TOP JUROS ATIVO FUNDO DE INVESTIMENTO FINANCEIRO</v>
          </cell>
          <cell r="E3126" t="str">
            <v>DAYCOVAL ASSET MANAGEMENT ADMINISTRACAO DE RECURSOS LTDA</v>
          </cell>
        </row>
        <row r="3127">
          <cell r="B3127">
            <v>82724</v>
          </cell>
          <cell r="C3127" t="str">
            <v>ITAU UNIBANCO ASSET MANAGEMENT LTDA</v>
          </cell>
          <cell r="D3127" t="str">
            <v>ITAU UNIBANCO ASSET MANAGEMENT LTDA</v>
          </cell>
          <cell r="E3127" t="str">
            <v>ITAU UNIBANCO ASSET MANAGEMENT LTDA</v>
          </cell>
        </row>
        <row r="3128">
          <cell r="B3128">
            <v>82724</v>
          </cell>
          <cell r="C3128" t="str">
            <v>ITAU UNIBANCO ASSET MANAGEMENT LTDA</v>
          </cell>
          <cell r="D3128" t="str">
            <v>ITAU UNIBANCO ASSET MANAGEMENT LTDA</v>
          </cell>
          <cell r="E3128" t="str">
            <v>ITAU UNIBANCO ASSET MANAGEMENT LTDA</v>
          </cell>
        </row>
        <row r="3129">
          <cell r="B3129">
            <v>82726</v>
          </cell>
          <cell r="C3129" t="str">
            <v>GOW CAPITAL GESTAO DE RECURSOS E CONSULTORIA LTDA</v>
          </cell>
          <cell r="D3129" t="str">
            <v>GOW CAPITAL GESTAO DE RECURSOS E CONSULTORIA LTDA</v>
          </cell>
          <cell r="E3129" t="str">
            <v>GOW CAPITAL GESTAO DE RECURSOS E CONSULTORIA LTDA</v>
          </cell>
        </row>
        <row r="3130">
          <cell r="B3130">
            <v>82727</v>
          </cell>
          <cell r="C3130" t="str">
            <v>GOW PREVIDÃŠNCIA ICATU QUALIFICADO FI RF ATIVA RL</v>
          </cell>
          <cell r="D3130" t="str">
            <v>GOW PREVIDÃŠNCIA ICATU QUALIFICADO FI RF ATIVA RL</v>
          </cell>
          <cell r="E3130" t="str">
            <v>GOW CAPITAL GESTAO DE RECURSOS E CONSULTORIA LTDA</v>
          </cell>
        </row>
        <row r="3131">
          <cell r="B3131">
            <v>82728</v>
          </cell>
          <cell r="C3131" t="str">
            <v>ITAU VERTICE OMNI FIF MULTIMERCADO RESPONSABILIDADE LIMITADA</v>
          </cell>
          <cell r="D3131" t="str">
            <v>ITAU VERTICE OMNI FIF MULTIMERCADO RESPONSABILIDADE LIMITADA</v>
          </cell>
          <cell r="E3131" t="str">
            <v>ITAU UNIBANCO ASSET - TACO</v>
          </cell>
        </row>
        <row r="3132">
          <cell r="B3132">
            <v>82729</v>
          </cell>
          <cell r="C3132" t="str">
            <v>SCHRODER INVESTMENT MANAGEMENT BRASIL LTDA</v>
          </cell>
          <cell r="D3132" t="str">
            <v>SCHRODER INVESTMENT MANAGEMENT BRASIL LTDA</v>
          </cell>
          <cell r="E3132" t="str">
            <v>SCHRODER INVESTMENT MANAGEMENT BRASIL LTDA</v>
          </cell>
        </row>
        <row r="3133">
          <cell r="B3133">
            <v>82730</v>
          </cell>
          <cell r="C3133" t="str">
            <v>ITAU PIRINEUS III FIDC DE INFRAESTRUTURA RESPONSABILIDADE</v>
          </cell>
          <cell r="D3133" t="str">
            <v>ITAU PIRINEUS III FIDC DE INFRAESTRUTURA RESPONSABILIDADE</v>
          </cell>
          <cell r="E3133" t="str">
            <v>ITAU UNIBANCO ASSET - TACO</v>
          </cell>
        </row>
        <row r="3134">
          <cell r="B3134">
            <v>82731</v>
          </cell>
          <cell r="C3134" t="str">
            <v>ITAU VERTICE OMNI FIF MULTIMERCADO RESPONSABILIDADE LIMITADA</v>
          </cell>
          <cell r="D3134" t="str">
            <v>ITAU VERTICE OMNI FIF MULTIMERCADO RESPONSABILIDADE LIMITADA</v>
          </cell>
          <cell r="E3134" t="str">
            <v>ITAU UNIBANCO ASSET - TACO</v>
          </cell>
        </row>
        <row r="3135">
          <cell r="B3135">
            <v>82732</v>
          </cell>
          <cell r="C3135" t="str">
            <v>ITAU VERTICE OMNI FIF MULTIMERCADO RESPONSABILIDADE LIMITADA</v>
          </cell>
          <cell r="D3135" t="str">
            <v>ITAU VERTICE OMNI FIF MULTIMERCADO RESPONSABILIDADE LIMITADA</v>
          </cell>
          <cell r="E3135" t="str">
            <v>ITAU UNIBANCO ASSET - TACO</v>
          </cell>
        </row>
        <row r="3136">
          <cell r="B3136">
            <v>82733</v>
          </cell>
          <cell r="C3136" t="str">
            <v>ITAU VERTICE OMNI FIF MULTIMERCADO RESPONSABILIDADE LIMITADA</v>
          </cell>
          <cell r="D3136" t="str">
            <v>ITAU VERTICE OMNI FIF MULTIMERCADO RESPONSABILIDADE LIMITADA</v>
          </cell>
          <cell r="E3136" t="str">
            <v>ITAU UNIBANCO ASSET - TACO</v>
          </cell>
        </row>
        <row r="3137">
          <cell r="B3137">
            <v>82735</v>
          </cell>
          <cell r="C3137" t="str">
            <v>ITAU VERTICE OMNI FIF MULTIMERCADO RESPONSABILIDADE LIMITADA</v>
          </cell>
          <cell r="D3137" t="str">
            <v>ITAU VERTICE OMNI FIF MULTIMERCADO RESPONSABILIDADE LIMITADA</v>
          </cell>
          <cell r="E3137" t="str">
            <v>ITAU UNIBANCO ASSET - TACO</v>
          </cell>
        </row>
        <row r="3138">
          <cell r="B3138">
            <v>82736</v>
          </cell>
          <cell r="C3138" t="str">
            <v>ITAU VERTICE OMNI FIF MULTIMERCADO RESPONSABILIDADE LIMITADA</v>
          </cell>
          <cell r="D3138" t="str">
            <v>ITAU VERTICE OMNI FIF MULTIMERCADO RESPONSABILIDADE LIMITADA</v>
          </cell>
          <cell r="E3138" t="str">
            <v>ITAU UNIBANCO ASSET - TACO</v>
          </cell>
        </row>
        <row r="3139">
          <cell r="B3139">
            <v>82737</v>
          </cell>
          <cell r="C3139" t="str">
            <v>ITAU VERTICE OMNI FIF MULTIMERCADO RESPONSABILIDADE LIMITADA</v>
          </cell>
          <cell r="D3139" t="str">
            <v>ITAU VERTICE OMNI FIF MULTIMERCADO RESPONSABILIDADE LIMITADA</v>
          </cell>
          <cell r="E3139" t="str">
            <v>ITAU UNIBANCO ASSET - TACO</v>
          </cell>
        </row>
        <row r="3140">
          <cell r="B3140">
            <v>82738</v>
          </cell>
          <cell r="C3140" t="str">
            <v>IT NOW SP IMAB FUNDO DE INDICE RESP LIMITADA</v>
          </cell>
          <cell r="D3140" t="str">
            <v>IT NOW SP IMAB FUNDO DE INDICE RESP LIMITADA</v>
          </cell>
          <cell r="E3140" t="str">
            <v>ITAU UNIBANCO ASSET - TACO</v>
          </cell>
        </row>
        <row r="3141">
          <cell r="B3141">
            <v>82739</v>
          </cell>
          <cell r="C3141" t="str">
            <v>ITAU VERTICE OMNI FIF MULTIMERCADO RESPONSABILIDADE LIMITADA</v>
          </cell>
          <cell r="D3141" t="str">
            <v>ITAU VERTICE OMNI FIF MULTIMERCADO RESPONSABILIDADE LIMITADA</v>
          </cell>
          <cell r="E3141" t="str">
            <v>ITAU UNIBANCO ASSET - TACO</v>
          </cell>
        </row>
        <row r="3142">
          <cell r="B3142">
            <v>82740</v>
          </cell>
          <cell r="C3142" t="str">
            <v>ZERO CINCO UM CAPITAL GESTAO DE RECURSOS LTDA</v>
          </cell>
          <cell r="D3142" t="str">
            <v>ZERO CINCO UM CAPITAL GESTAO DE RECURSOS LTDA</v>
          </cell>
          <cell r="E3142" t="str">
            <v>ZERO CINCO UM CAPITAL GESTAO DE RECURSOS LTDA</v>
          </cell>
        </row>
        <row r="3143">
          <cell r="B3143">
            <v>82741</v>
          </cell>
          <cell r="C3143" t="str">
            <v>VIVERT FIF ACOES RL</v>
          </cell>
          <cell r="D3143" t="str">
            <v>VIVERT FIF ACOES RL</v>
          </cell>
          <cell r="E3143" t="str">
            <v>ZERO CINCO UM CAPITAL GESTAO DE RECURSOS LTDA</v>
          </cell>
        </row>
        <row r="3144">
          <cell r="B3144">
            <v>82742</v>
          </cell>
          <cell r="C3144" t="str">
            <v>PATAGONIA CAPITAL GESTORA DE RECURSOS LTDA</v>
          </cell>
          <cell r="D3144" t="str">
            <v>PATAGONIA CAPITAL GESTORA DE RECURSOS LTDA</v>
          </cell>
          <cell r="E3144" t="str">
            <v>PATAGONIA CAPITAL GESTORA DE RECURSOS LTDA</v>
          </cell>
        </row>
        <row r="3145">
          <cell r="B3145">
            <v>82742</v>
          </cell>
          <cell r="C3145" t="str">
            <v>PATAGONIA CAPITAL GESTORA DE RECURSOS LTDA</v>
          </cell>
          <cell r="D3145" t="str">
            <v>PATAGONIA CAPITAL GESTORA DE RECURSOS LTDA</v>
          </cell>
          <cell r="E3145" t="str">
            <v>PATAGONIA CAPITAL GESTORA DE RECURSOS LTDA</v>
          </cell>
        </row>
        <row r="3146">
          <cell r="B3146">
            <v>82743</v>
          </cell>
          <cell r="C3146" t="str">
            <v>PATAGONIA ONE FUNDO DE INVESTIMENTO MULTIMERCADO CP</v>
          </cell>
          <cell r="D3146" t="str">
            <v>PATAGONIA ONE FUNDO DE INVESTIMENTO MULTIMERCADO CP</v>
          </cell>
          <cell r="E3146" t="str">
            <v>PATAGONIA CAPITAL GESTORA DE RECURSOS LTDA</v>
          </cell>
        </row>
        <row r="3147">
          <cell r="B3147">
            <v>82743</v>
          </cell>
          <cell r="C3147" t="str">
            <v>PATAGONIA ONE FUNDO DE INVESTIMENTO MULTIMERCADO CP</v>
          </cell>
          <cell r="D3147" t="str">
            <v>PATAGONIA ONE FUNDO DE INVESTIMENTO MULTIMERCADO CP</v>
          </cell>
          <cell r="E3147" t="str">
            <v>PATAGONIA CAPITAL GESTORA DE RECURSOS LTDA</v>
          </cell>
        </row>
        <row r="3148">
          <cell r="B3148">
            <v>82248</v>
          </cell>
          <cell r="C3148" t="str">
            <v>MICHELANGELO FUNDO DE INVESTIMENTO MULT CP IE</v>
          </cell>
          <cell r="D3148" t="str">
            <v>MICHELANGELO FUNDO DE INVESTIMENTO MULT CP IE</v>
          </cell>
          <cell r="E3148" t="str">
            <v>MORE INVEST GESTORA DE RECURSOS LTDA</v>
          </cell>
        </row>
        <row r="3149">
          <cell r="B3149">
            <v>82248</v>
          </cell>
          <cell r="C3149" t="str">
            <v>MICHELANGELO FUNDO DE INVESTIMENTO MULT CP IE</v>
          </cell>
          <cell r="D3149" t="str">
            <v>MICHELANGELO FUNDO DE INVESTIMENTO MULT CP IE</v>
          </cell>
          <cell r="E3149" t="str">
            <v>MORE INVEST GESTORA DE RECURSOS LTDA</v>
          </cell>
        </row>
        <row r="3150">
          <cell r="B3150">
            <v>82249</v>
          </cell>
          <cell r="C3150" t="str">
            <v>MORE JURO REAL INSTITUCIONAL FIF RF</v>
          </cell>
          <cell r="D3150" t="str">
            <v>MORE JURO REAL INSTITUCIONAL FIF RF</v>
          </cell>
          <cell r="E3150" t="str">
            <v>MORE INVEST GESTORA DE RECURSOS LTDA</v>
          </cell>
        </row>
        <row r="3151">
          <cell r="B3151">
            <v>82249</v>
          </cell>
          <cell r="C3151" t="str">
            <v>MORE JURO REAL INSTITUCIONAL FIF RF</v>
          </cell>
          <cell r="D3151" t="str">
            <v>MORE JURO REAL INSTITUCIONAL FIF RF</v>
          </cell>
          <cell r="E3151" t="str">
            <v>MORE INVEST GESTORA DE RECURSOS LTDA</v>
          </cell>
        </row>
        <row r="3152">
          <cell r="B3152">
            <v>82746</v>
          </cell>
          <cell r="C3152" t="str">
            <v>BTG PACTUAL SYNERGY EQUITY HEDGE FIF MULTI</v>
          </cell>
          <cell r="D3152" t="str">
            <v>BTG PACTUAL SYNERGY EQUITY HEDGE FIF MULTI</v>
          </cell>
          <cell r="E3152" t="str">
            <v>BTG PACTUAL ASSET MANAGEMENT SA DTVM</v>
          </cell>
        </row>
        <row r="3153">
          <cell r="B3153">
            <v>82747</v>
          </cell>
          <cell r="C3153" t="str">
            <v>BTG PACTUAL SYNERGY LONG BIAS FIFA</v>
          </cell>
          <cell r="D3153" t="str">
            <v>BTG PACTUAL SYNERGY LONG BIAS FIFA</v>
          </cell>
          <cell r="E3153" t="str">
            <v>BTG PACTUAL ASSET MANAGEMENT SA DTVM</v>
          </cell>
        </row>
        <row r="3154">
          <cell r="B3154">
            <v>82748</v>
          </cell>
          <cell r="C3154" t="str">
            <v>SPRINGS CAPITAL LTDA</v>
          </cell>
          <cell r="D3154" t="str">
            <v>SPRINGS CAPITAL LTDA</v>
          </cell>
          <cell r="E3154" t="str">
            <v>SPRINGS CAPITAL LTDA</v>
          </cell>
        </row>
        <row r="3155">
          <cell r="B3155">
            <v>82748</v>
          </cell>
          <cell r="C3155" t="str">
            <v>SPRINGS CAPITAL LTDA</v>
          </cell>
          <cell r="D3155" t="str">
            <v>SPRINGS CAPITAL LTDA</v>
          </cell>
          <cell r="E3155" t="str">
            <v>SPRINGS CAPITAL LTDA</v>
          </cell>
        </row>
        <row r="3156">
          <cell r="B3156">
            <v>82749</v>
          </cell>
          <cell r="C3156" t="str">
            <v>PORTO SEGURO PREV PRIVADA ARROJADO FIF CIC MULT RESP LTDA</v>
          </cell>
          <cell r="D3156" t="str">
            <v>PORTO SEGURO PREV PRIVADA ARROJADO FIF CIC MULT RESP LTDA</v>
          </cell>
          <cell r="E3156" t="str">
            <v>PORTO SEGURO INVESTIMENTOS LTDA</v>
          </cell>
        </row>
        <row r="3157">
          <cell r="B3157">
            <v>82750</v>
          </cell>
          <cell r="C3157" t="str">
            <v>PORTO SEGURO PREV CONSERVADOR FIF CIC MULT RESP LTDA</v>
          </cell>
          <cell r="D3157" t="str">
            <v>PORTO SEGURO PREV CONSERVADOR FIF CIC MULT RESP LTDA</v>
          </cell>
          <cell r="E3157" t="str">
            <v>PORTO SEGURO INVESTIMENTOS LTDA</v>
          </cell>
        </row>
        <row r="3158">
          <cell r="B3158">
            <v>82751</v>
          </cell>
          <cell r="C3158" t="str">
            <v>PORTO SEGURO PREV PRIVADA MODERADO FIF CIC RESP LTDA</v>
          </cell>
          <cell r="D3158" t="str">
            <v>PORTO SEGURO PREV PRIVADA MODERADO FIF CIC RESP LTDA</v>
          </cell>
          <cell r="E3158" t="str">
            <v>PORTO SEGURO INVESTIMENTOS LTDA</v>
          </cell>
        </row>
        <row r="3159">
          <cell r="B3159">
            <v>82752</v>
          </cell>
          <cell r="C3159" t="str">
            <v>TRUXT LONG SHORT MASTER FIF EM ACOES RL</v>
          </cell>
          <cell r="D3159" t="str">
            <v>TRUXT LONG SHORT MASTER FIF EM ACOES RL</v>
          </cell>
          <cell r="E3159" t="str">
            <v>TRUXT INVESTIMENTOS LTDA</v>
          </cell>
        </row>
        <row r="3160">
          <cell r="B3160">
            <v>82753</v>
          </cell>
          <cell r="C3160" t="str">
            <v>TRZ FIM CP RESPONSABILIDADE LIMITADA</v>
          </cell>
          <cell r="D3160" t="str">
            <v>TRZ FIM CP RESPONSABILIDADE LIMITADA</v>
          </cell>
          <cell r="E3160" t="str">
            <v>GARIN INVESTIMENTOS LTDA</v>
          </cell>
        </row>
        <row r="3161">
          <cell r="B3161">
            <v>82753</v>
          </cell>
          <cell r="C3161" t="str">
            <v>TRZ FIM CP RESPONSABILIDADE LIMITADA</v>
          </cell>
          <cell r="D3161" t="str">
            <v>TRZ FIM CP RESPONSABILIDADE LIMITADA</v>
          </cell>
          <cell r="E3161" t="str">
            <v>GARIN INVESTIMENTOS LTDA</v>
          </cell>
        </row>
        <row r="3162">
          <cell r="B3162">
            <v>82756</v>
          </cell>
          <cell r="C3162" t="str">
            <v>BOCAINA CAPITAL GESTORA DE RECURSOS LTDA</v>
          </cell>
          <cell r="D3162" t="str">
            <v>BOCAINA CAPITAL GESTORA DE RECURSOS LTDA</v>
          </cell>
          <cell r="E3162" t="str">
            <v>BOCAINA CAPITAL GESTORA DE RECURSOS LTDA</v>
          </cell>
        </row>
        <row r="3163">
          <cell r="B3163">
            <v>82756</v>
          </cell>
          <cell r="C3163" t="str">
            <v>BOCAINA CAPITAL GESTORA DE RECURSOS LTDA</v>
          </cell>
          <cell r="D3163" t="str">
            <v>BOCAINA CAPITAL GESTORA DE RECURSOS LTDA</v>
          </cell>
          <cell r="E3163" t="str">
            <v>BOCAINA CAPITAL GESTORA DE RECURSOS LTDA</v>
          </cell>
        </row>
        <row r="3164">
          <cell r="B3164">
            <v>82757</v>
          </cell>
          <cell r="C3164" t="str">
            <v>BOCAINA INFRA 60 CDI MASTER I FII RENDA FIXA</v>
          </cell>
          <cell r="D3164" t="str">
            <v>BOCAINA INFRA 60 CDI MASTER I FII RENDA FIXA</v>
          </cell>
          <cell r="E3164" t="str">
            <v>BOCAINA CAPITAL GESTORA DE RECURSOS LTDA</v>
          </cell>
        </row>
        <row r="3165">
          <cell r="B3165">
            <v>82757</v>
          </cell>
          <cell r="C3165" t="str">
            <v>BOCAINA INFRA 60 CDI MASTER I FII RENDA FIXA</v>
          </cell>
          <cell r="D3165" t="str">
            <v>BOCAINA INFRA 60 CDI MASTER I FII RENDA FIXA</v>
          </cell>
          <cell r="E3165" t="str">
            <v>BOCAINA CAPITAL GESTORA DE RECURSOS LTDA</v>
          </cell>
        </row>
        <row r="3166">
          <cell r="B3166">
            <v>82758</v>
          </cell>
          <cell r="C3166" t="str">
            <v>MERITO DESENVOLVIMENTO IMOBILIARIO I FII</v>
          </cell>
          <cell r="D3166" t="str">
            <v>MERITO DESENVOLVIMENTO IMOBILIARIO I FII</v>
          </cell>
          <cell r="E3166" t="str">
            <v>MERITO INVESTIMENTOS S.A.</v>
          </cell>
        </row>
        <row r="3167">
          <cell r="B3167">
            <v>82759</v>
          </cell>
          <cell r="C3167" t="str">
            <v>TRACK CAPITAL GESTAO DE RECURSOS LTDA</v>
          </cell>
          <cell r="D3167" t="str">
            <v>TRACK CAPITAL GESTAO DE RECURSOS LTDA</v>
          </cell>
          <cell r="E3167" t="str">
            <v>TRACK CAPITAL GESTAO DE RECURSOS LTDA</v>
          </cell>
        </row>
        <row r="3168">
          <cell r="B3168">
            <v>82759</v>
          </cell>
          <cell r="C3168" t="str">
            <v>TRACK CAPITAL GESTAO DE RECURSOS LTDA</v>
          </cell>
          <cell r="D3168" t="str">
            <v>TRACK CAPITAL GESTAO DE RECURSOS LTDA</v>
          </cell>
          <cell r="E3168" t="str">
            <v>TRACK CAPITAL GESTAO DE RECURSOS LTDA</v>
          </cell>
        </row>
        <row r="3169">
          <cell r="B3169">
            <v>82763</v>
          </cell>
          <cell r="C3169" t="str">
            <v>MERITO INVESTIMENTOS S.A.</v>
          </cell>
          <cell r="D3169" t="str">
            <v>MERITO INVESTIMENTOS S.A.</v>
          </cell>
          <cell r="E3169" t="str">
            <v>MERITO INVESTIMENTOS S.A.</v>
          </cell>
        </row>
        <row r="3170">
          <cell r="B3170">
            <v>82764</v>
          </cell>
          <cell r="C3170" t="str">
            <v>REACH CAPITAL INVESTIMENTOS LTDA</v>
          </cell>
          <cell r="D3170" t="str">
            <v>REACH CAPITAL INVESTIMENTOS LTDA</v>
          </cell>
          <cell r="E3170" t="str">
            <v>REACH CAPITAL INVESTIMENTOS LTDA</v>
          </cell>
        </row>
        <row r="3171">
          <cell r="B3171">
            <v>82764</v>
          </cell>
          <cell r="C3171" t="str">
            <v>REACH CAPITAL INVESTIMENTOS LTDA</v>
          </cell>
          <cell r="D3171" t="str">
            <v>REACH CAPITAL INVESTIMENTOS LTDA</v>
          </cell>
          <cell r="E3171" t="str">
            <v>REACH CAPITAL INVESTIMENTOS LTDA</v>
          </cell>
        </row>
        <row r="3172">
          <cell r="B3172">
            <v>82765</v>
          </cell>
          <cell r="C3172" t="str">
            <v>ONE WEALTH MANAGEMENT GESTORA DE RECURSOS LTDA</v>
          </cell>
          <cell r="D3172" t="str">
            <v>ONE WEALTH MANAGEMENT GESTORA DE RECURSOS LTDA</v>
          </cell>
          <cell r="E3172" t="str">
            <v>ONE WEALTH MANAGEMENT GESTORA DE RECURSOS LTDA</v>
          </cell>
        </row>
        <row r="3173">
          <cell r="B3173">
            <v>82765</v>
          </cell>
          <cell r="C3173" t="str">
            <v>ONE WEALTH MANAGEMENT GESTORA DE RECURSOS LTDA</v>
          </cell>
          <cell r="D3173" t="str">
            <v>ONE WEALTH MANAGEMENT GESTORA DE RECURSOS LTDA</v>
          </cell>
          <cell r="E3173" t="str">
            <v>ONE WEALTH MANAGEMENT GESTORA DE RECURSOS LTDA</v>
          </cell>
        </row>
        <row r="3174">
          <cell r="B3174">
            <v>82766</v>
          </cell>
          <cell r="C3174" t="str">
            <v>STUKA FII FUNDO DE INVESTIMENTO IMOBILIARIO RL</v>
          </cell>
          <cell r="D3174" t="str">
            <v>STUKA FII FUNDO DE INVESTIMENTO IMOBILIARIO RL</v>
          </cell>
          <cell r="E3174" t="str">
            <v>MERITO INVESTIMENTOS S.A.</v>
          </cell>
        </row>
        <row r="3175">
          <cell r="B3175" t="str">
            <v>M45129348000111</v>
          </cell>
          <cell r="C3175" t="str">
            <v>LIFT CAPITAL GESTORA DE RECURSOS LTDA.</v>
          </cell>
          <cell r="D3175" t="str">
            <v>LIFT CAPITAL GESTORA DE RECURSO S.A</v>
          </cell>
          <cell r="E3175" t="str">
            <v>LIFT CAPITAL GESTORA DE RECURSOS LTDA.</v>
          </cell>
        </row>
        <row r="3176">
          <cell r="B3176">
            <v>125262</v>
          </cell>
          <cell r="C3176" t="str">
            <v>FP CARTEIRA ATIVA FIM</v>
          </cell>
          <cell r="D3176" t="str">
            <v>FP CARTEIRA ATIVA FIM</v>
          </cell>
          <cell r="E3176" t="str">
            <v>FUNDACAO PETROBRAS DE SEGURIDADE SOCIAL PETROS</v>
          </cell>
        </row>
        <row r="3177">
          <cell r="B3177">
            <v>82767</v>
          </cell>
          <cell r="C3177" t="str">
            <v>NAVI CAPITAL ADMINISTRADORA E GESTORA DE RECURSOS FINANCEIRO</v>
          </cell>
          <cell r="D3177" t="str">
            <v>NAVI CAPITAL ADMINISTRADORA E GESTORA DE RECURSOS FINANCEIRO</v>
          </cell>
          <cell r="E3177" t="str">
            <v>NAVI CAPITAL ADMINISTRADORA E GESTORA DE RECURSOS FINANCEIRO</v>
          </cell>
        </row>
        <row r="3178">
          <cell r="B3178">
            <v>82767</v>
          </cell>
          <cell r="C3178" t="str">
            <v>NAVI CAPITAL ADMINISTRADORA E GESTORA DE RECURSOS FINANCEIRO</v>
          </cell>
          <cell r="D3178" t="str">
            <v>NAVI CAPITAL ADMINISTRADORA E GESTORA DE RECURSOS FINANCEIRO</v>
          </cell>
          <cell r="E3178" t="str">
            <v>NAVI CAPITAL ADMINISTRADORA E GESTORA DE RECURSOS FINANCEIRO</v>
          </cell>
        </row>
        <row r="3179">
          <cell r="B3179">
            <v>82768</v>
          </cell>
          <cell r="C3179" t="str">
            <v>JP MORGAN SECURITIES PLC</v>
          </cell>
          <cell r="D3179" t="str">
            <v>JP MORGAN SECURITIES PLC</v>
          </cell>
          <cell r="E3179" t="str">
            <v>BANCO JP MORGAN S/A</v>
          </cell>
        </row>
        <row r="3180">
          <cell r="B3180">
            <v>122886</v>
          </cell>
          <cell r="C3180" t="str">
            <v>AZ QUEST LOW VOL FIM</v>
          </cell>
          <cell r="D3180" t="str">
            <v>AZ QUEST LOW VOL FIM</v>
          </cell>
          <cell r="E3180" t="str">
            <v>AZ QUEST INVESTIMENTOS LTDA</v>
          </cell>
        </row>
        <row r="3181">
          <cell r="B3181">
            <v>82769</v>
          </cell>
          <cell r="C3181" t="str">
            <v>CAIEIRAS FIM IE CP</v>
          </cell>
          <cell r="D3181" t="str">
            <v>CAIEIRAS FIM IE CP</v>
          </cell>
          <cell r="E3181" t="str">
            <v>MORGAN STANLEY ADMINISTRADORA DE CARTEIRAS S/A</v>
          </cell>
        </row>
        <row r="3182">
          <cell r="B3182">
            <v>82769</v>
          </cell>
          <cell r="C3182" t="str">
            <v>CAIEIRAS FIM IE CP</v>
          </cell>
          <cell r="D3182" t="str">
            <v>CAIEIRAS FIM IE CP</v>
          </cell>
          <cell r="E3182" t="str">
            <v>MORGAN STANLEY ADMINISTRADORA DE CARTEIRAS S/A</v>
          </cell>
        </row>
        <row r="3183">
          <cell r="B3183">
            <v>82770</v>
          </cell>
          <cell r="C3183" t="str">
            <v>ITAU VISION ALOCACAO EXTERIOR OFF PREV FIF MULT RL</v>
          </cell>
          <cell r="D3183" t="str">
            <v>ITAU VISION ALOCACAO EXTERIOR OFF PREV FIF MULT RL</v>
          </cell>
          <cell r="E3183" t="str">
            <v>ITAU UNIBANCO ASSET - TACO</v>
          </cell>
        </row>
        <row r="3184">
          <cell r="B3184">
            <v>82771</v>
          </cell>
          <cell r="C3184" t="str">
            <v>ITAU ACOES GLOBAIS HEDGED FIF EM ACOES RL</v>
          </cell>
          <cell r="D3184" t="str">
            <v>ITAU ACOES GLOBAIS HEDGED FIF EM ACOES RL</v>
          </cell>
          <cell r="E3184" t="str">
            <v>ITAU UNIBANCO ASSET - TACO</v>
          </cell>
        </row>
        <row r="3185">
          <cell r="B3185">
            <v>82772</v>
          </cell>
          <cell r="C3185" t="str">
            <v>KAPITALO NW3 FIF EM ACOES</v>
          </cell>
          <cell r="D3185" t="str">
            <v>KAPITALO NW3 FIF EM ACOES</v>
          </cell>
          <cell r="E3185" t="str">
            <v>KAPITALO INVESTIMENTOS LTDA</v>
          </cell>
        </row>
        <row r="3186">
          <cell r="B3186">
            <v>82772</v>
          </cell>
          <cell r="C3186" t="str">
            <v>KAPITALO NW3 FIF EM ACOES</v>
          </cell>
          <cell r="D3186" t="str">
            <v>KAPITALO NW3 FIF EM ACOES</v>
          </cell>
          <cell r="E3186" t="str">
            <v>KAPITALO INVESTIMENTOS LTDA</v>
          </cell>
        </row>
        <row r="3187">
          <cell r="B3187" t="str">
            <v>M63788426000171</v>
          </cell>
          <cell r="D3187" t="str">
            <v>Instituto de PrevidÃªncia Social â€“ Rolim Previ</v>
          </cell>
          <cell r="E3187" t="str">
            <v>RPPS ROLIM DE MOURA</v>
          </cell>
        </row>
        <row r="3188">
          <cell r="B3188">
            <v>82775</v>
          </cell>
          <cell r="C3188" t="str">
            <v>ITAU UNIBANCO S.A.</v>
          </cell>
          <cell r="D3188" t="str">
            <v>ITAU UNIBANCO S.A.</v>
          </cell>
          <cell r="E3188" t="str">
            <v>ITAU UNIBANCO S/A</v>
          </cell>
        </row>
        <row r="3189">
          <cell r="B3189" t="str">
            <v>M3411864700013401</v>
          </cell>
          <cell r="D3189" t="str">
            <v>SUPERMARINE ADMINISTRAÃ‡ÃƒO DE CARTEIRAS DE VALORES MOBILIÃRIOS LTDA.</v>
          </cell>
          <cell r="E3189" t="str">
            <v>SUPERMARINE ADMINISTRAÃ‡ÃƒO DE CARTEIRAS DE VALORES MOBILIÃRIOS LTDA</v>
          </cell>
        </row>
        <row r="3190">
          <cell r="B3190" t="str">
            <v>M54875613000100</v>
          </cell>
          <cell r="D3190" t="str">
            <v>FUNDO ITAU</v>
          </cell>
          <cell r="E3190" t="str">
            <v>ITAU UNIBANCO S/A</v>
          </cell>
        </row>
        <row r="3191">
          <cell r="B3191" t="str">
            <v>M04073373000143</v>
          </cell>
          <cell r="D3191" t="str">
            <v>Instituto de PrevidÃªncia Social dos Servidores PÃºblicos do MunicÃ­pio de Porto Ferreira</v>
          </cell>
        </row>
        <row r="3192">
          <cell r="B3192" t="str">
            <v>M42160192001115</v>
          </cell>
          <cell r="D3192" t="str">
            <v>FUNDACAO CHESF DE ASSISTENCIA E SEGURIDADE SOCIAL - FACHESF</v>
          </cell>
        </row>
        <row r="3193">
          <cell r="B3193" t="str">
            <v>M09093896000175</v>
          </cell>
          <cell r="D3193" t="str">
            <v>PORTO SEGURO INVESTIMENTOS LTDA</v>
          </cell>
        </row>
        <row r="3194">
          <cell r="B3194" t="str">
            <v>M05742502000101</v>
          </cell>
          <cell r="D3194" t="str">
            <v>INSTITUTO DE PREVIDENCIA DOS SERVIDORES PUBLICOS DO MUNICIPIO DE SILVANIA</v>
          </cell>
        </row>
        <row r="3195">
          <cell r="B3195" t="str">
            <v>M14634385000153</v>
          </cell>
          <cell r="D3195" t="str">
            <v>INSTITUTO BRUSQUENSE DE PREVIDENCIA IBPREV</v>
          </cell>
        </row>
        <row r="3196">
          <cell r="B3196">
            <v>82777</v>
          </cell>
          <cell r="C3196" t="str">
            <v>ITAU VERTICE PREV VAL FIF MULT RL</v>
          </cell>
          <cell r="D3196" t="str">
            <v>ITAU VERTICE PREV VAL FIF MULT RL</v>
          </cell>
          <cell r="E3196" t="str">
            <v>ITAU UNIBANCO ASSET - TACO</v>
          </cell>
        </row>
        <row r="3197">
          <cell r="B3197" t="str">
            <v>M18009906000132</v>
          </cell>
          <cell r="D3197" t="str">
            <v>FUNDO DE PREVIDENCIA DO MUNICIPIO DE LOUVEIRA</v>
          </cell>
          <cell r="E3197" t="str">
            <v>RPPS LOUVEIRA</v>
          </cell>
        </row>
        <row r="3198">
          <cell r="B3198" t="str">
            <v>M07439828000190</v>
          </cell>
          <cell r="D3198" t="str">
            <v>FUNDO DE PREVIDÃŠNCIA DOS SERVIDORES DE SALGUEIRO</v>
          </cell>
        </row>
        <row r="3199">
          <cell r="B3199" t="str">
            <v>M57168667000115</v>
          </cell>
          <cell r="D3199" t="str">
            <v>HERITAGE CAPITAL PARTNERS GESTÃƒO DE RECURSOS LTDA.</v>
          </cell>
          <cell r="E3199" t="str">
            <v>HERITAGE CAPITAL PARTNERS GESTÃO DE RECURSOS LTDA</v>
          </cell>
        </row>
        <row r="3200">
          <cell r="B3200" t="str">
            <v>M01685053000156</v>
          </cell>
          <cell r="D3200" t="str">
            <v>SUL AMERICA COMPANHIA DE SEGURO SAUDE</v>
          </cell>
        </row>
        <row r="3201">
          <cell r="B3201" t="str">
            <v>M01635671000191</v>
          </cell>
          <cell r="D3201" t="str">
            <v>FUNDACAO SAO FRANCISCO DE SEGURIDADE SOCIAL</v>
          </cell>
          <cell r="E3201" t="str">
            <v>RPPS SAO FRANCISCO DO SUL</v>
          </cell>
        </row>
        <row r="3202">
          <cell r="B3202" t="str">
            <v>M02562663000125</v>
          </cell>
          <cell r="C3202" t="str">
            <v>BNP PARIBAS ASSET MANAGEMENT BRASIL LTDA</v>
          </cell>
          <cell r="D3202" t="str">
            <v>BNP PARIBAS ASSET MANAGEMENT BRASIL LTDA</v>
          </cell>
          <cell r="E3202" t="str">
            <v>BNP PARIBAS ASSET MANAGEMENT BRASIL LTDA</v>
          </cell>
        </row>
        <row r="3203">
          <cell r="B3203" t="str">
            <v>M10764461000194</v>
          </cell>
          <cell r="C3203" t="str">
            <v>REGIME PROPRIO DE PREVIDENCIA DO MUNICIPIO DE AGUDO</v>
          </cell>
          <cell r="D3203" t="str">
            <v>REGIME PRÃ“PRIO DE PREVIDÃŠNCIA DO MUNICÃPIO DE AGUDO</v>
          </cell>
          <cell r="E3203" t="str">
            <v>RPPS AGUDO</v>
          </cell>
        </row>
        <row r="3204">
          <cell r="B3204" t="str">
            <v>M15458221000185</v>
          </cell>
          <cell r="D3204" t="str">
            <v>INSTITUTO DE PREVIDÃŠNCIA DOS SERVIDORES PÃšBLICOS DO MUNICÃPIO DE TIJUCAS DO SUL</v>
          </cell>
          <cell r="E3204" t="str">
            <v>RPPS TIJUCAS DO SUL</v>
          </cell>
        </row>
        <row r="3205">
          <cell r="B3205">
            <v>82403</v>
          </cell>
          <cell r="C3205" t="str">
            <v>EMET MULTIESTRATEGIA FII RESP LIMITADA</v>
          </cell>
          <cell r="D3205" t="str">
            <v>EMET MULTIESTRATEGIA FII RESP LIMITADA</v>
          </cell>
          <cell r="E3205" t="str">
            <v>MORE INVEST GESTORA DE RECURSOS LTDA</v>
          </cell>
        </row>
        <row r="3206">
          <cell r="B3206">
            <v>82403</v>
          </cell>
          <cell r="C3206" t="str">
            <v>EMET MULTIESTRATEGIA FII RESP LIMITADA</v>
          </cell>
          <cell r="D3206" t="str">
            <v>EMET MULTIESTRATEGIA FII RESP LIMITADA</v>
          </cell>
          <cell r="E3206" t="str">
            <v>MORE INVEST GESTORA DE RECURSOS LTDA</v>
          </cell>
        </row>
        <row r="3207">
          <cell r="B3207">
            <v>82779</v>
          </cell>
          <cell r="C3207" t="str">
            <v>BZ LOCAL FIF CIM RESP LTDA</v>
          </cell>
          <cell r="D3207" t="str">
            <v>BZ LOCAL FIF CIM RESP LTDA</v>
          </cell>
          <cell r="E3207" t="str">
            <v>IBIUNA GESTAO DE RECURSOS LTDA</v>
          </cell>
        </row>
        <row r="3208">
          <cell r="B3208" t="str">
            <v>M24767074000116</v>
          </cell>
          <cell r="D3208" t="str">
            <v>INSTITUTO CANOINHENSE DE PREVIDENCIA   - ICPREV</v>
          </cell>
          <cell r="E3208" t="str">
            <v>RPPS CANOINHAS ICPREV</v>
          </cell>
        </row>
        <row r="3209">
          <cell r="B3209" t="str">
            <v>M05018753000148</v>
          </cell>
          <cell r="D3209" t="str">
            <v>Instituto de PrevidÃªncia Social dos Servidores PÃºblicos do MunicÃ­pio de BalneÃ¡rio Barra do Sul</v>
          </cell>
        </row>
        <row r="3210">
          <cell r="B3210" t="str">
            <v>M02581343000112</v>
          </cell>
          <cell r="D3210" t="str">
            <v>Instituto de Previdencia Social dos Servidores Publicos do Municipio de Bertioga - Bertprev</v>
          </cell>
        </row>
        <row r="3211">
          <cell r="B3211" t="str">
            <v>M09215261000101</v>
          </cell>
          <cell r="D3211" t="str">
            <v>NSTITUTO DE PREVIDENCIA DOS SERVIDORES PUBLICOS DO MUNICIPIO DE VARGINHA - INPREV</v>
          </cell>
          <cell r="E3211" t="str">
            <v>RPPS VARGINHA</v>
          </cell>
        </row>
        <row r="3212">
          <cell r="B3212" t="str">
            <v>M04986163000146</v>
          </cell>
          <cell r="D3212" t="str">
            <v>FUNDACAO AMAZONPREV</v>
          </cell>
        </row>
        <row r="3213">
          <cell r="B3213" t="str">
            <v>M03697237000161</v>
          </cell>
          <cell r="D3213" t="str">
            <v>INST. DE PREV. SOCIAL DOS SERV. PUBLICOS DO MUNICIPIO DE AGUAS MORNAS - IPAM</v>
          </cell>
        </row>
        <row r="3214">
          <cell r="B3214" t="str">
            <v>M80909245000175</v>
          </cell>
          <cell r="D3214" t="str">
            <v>CAIXA DE APOSENTADORIAS E PENSOES DOS SERV. PUBL.MUN. DE CIANORTE - CAPSEC</v>
          </cell>
        </row>
        <row r="3215">
          <cell r="B3215" t="str">
            <v>M45118189000150</v>
          </cell>
          <cell r="D3215" t="str">
            <v>INSTITUTO DE PREVIDENCIA DOS MUNICIPIARIOS DE CATANDUVA</v>
          </cell>
        </row>
        <row r="3216">
          <cell r="B3216" t="str">
            <v>M29986312000106</v>
          </cell>
          <cell r="D3216" t="str">
            <v>INSTITUTO DE PREVIDENCIA DOS   SERVIDORES DO ESTADO DO ESPIRITO SANTO</v>
          </cell>
        </row>
        <row r="3217">
          <cell r="B3217" t="str">
            <v>M26562272000179</v>
          </cell>
          <cell r="D3217" t="str">
            <v>FUNDO MUNICIPAL DE PREVIDENCIA SOCIAL DOS SERVIDORES DE CUIABA</v>
          </cell>
        </row>
        <row r="3218">
          <cell r="B3218" t="str">
            <v>M04332948000103</v>
          </cell>
          <cell r="D3218" t="str">
            <v>INSTITUTO DE PREVIDENCIA DO MUNCIPIO DE CARAGUATATUBA</v>
          </cell>
          <cell r="E3218" t="str">
            <v>RPPS CARAGUAPREV</v>
          </cell>
        </row>
        <row r="3219">
          <cell r="B3219" t="str">
            <v>M96484134000102</v>
          </cell>
          <cell r="D3219" t="str">
            <v>INSTITUTO DE PREVIDENCIA DO MUNICIPIO DE JACAREI</v>
          </cell>
        </row>
        <row r="3220">
          <cell r="B3220" t="str">
            <v>M11639339000159</v>
          </cell>
          <cell r="D3220" t="str">
            <v>LEMEPREV INSTITUTO DE PREVIDENCIA DO MUNICIPIO DE LEME</v>
          </cell>
        </row>
        <row r="3221">
          <cell r="B3221" t="str">
            <v>M08948407000157</v>
          </cell>
          <cell r="D3221" t="str">
            <v>Instituto de Previdencia dos Servidores do Municipio de Goiania - Goianiaprev</v>
          </cell>
        </row>
        <row r="3222">
          <cell r="B3222" t="str">
            <v>M03749731000122</v>
          </cell>
          <cell r="D3222" t="str">
            <v>INSTITUTO DE PREVIDENCIA SOCIAL DOS SERVIDORES PUBLICOS DO MUNICIPIO DE GAROPABA</v>
          </cell>
        </row>
        <row r="3223">
          <cell r="B3223" t="str">
            <v>M45664616000103</v>
          </cell>
          <cell r="D3223" t="str">
            <v>INSTITUTO DE PREVIDENCIA SOCIAL DOS SERVIDORES MUNICIPAIS DE SAO ROQUE</v>
          </cell>
        </row>
        <row r="3224">
          <cell r="B3224" t="str">
            <v>M18853149000189</v>
          </cell>
          <cell r="D3224" t="str">
            <v>INSTITUTO DE PREVIDENCIA SOCIAL DOS SERVIDORES MUNICIPAIS DE VALINHOS - VALIPREV</v>
          </cell>
        </row>
        <row r="3225">
          <cell r="B3225" t="str">
            <v>M01778583000149</v>
          </cell>
          <cell r="D3225" t="str">
            <v>CAIXA DE PREVIDENCIA E ASSISTENCIA DOS SERVIDORES MUNICIPAIS DE SANTANA DE PARNAIBA</v>
          </cell>
        </row>
        <row r="3226">
          <cell r="B3226">
            <v>82780</v>
          </cell>
          <cell r="C3226" t="str">
            <v>FUNDACAO DE SEGURIDADE SOCIAL BRASLIGHT</v>
          </cell>
          <cell r="D3226" t="str">
            <v>FUNDACAO DE SEGURIDADE SOCIAL BRASLIGHT</v>
          </cell>
          <cell r="E3226" t="str">
            <v>FUNDACAO DE SEGURIDADE SOCIAL BRASLIGHT</v>
          </cell>
        </row>
        <row r="3227">
          <cell r="B3227" t="str">
            <v>M06939919000121</v>
          </cell>
          <cell r="D3227" t="str">
            <v>IPASLI - INST.PREV.ASSIST.SERVIDORES MUNICIPAIS DE LINHARES</v>
          </cell>
        </row>
        <row r="3228">
          <cell r="B3228" t="str">
            <v>M92829100000143</v>
          </cell>
          <cell r="C3228" t="str">
            <v>PREVIDENCIA DO ESTADO DO RIO GRANDE DO SUL</v>
          </cell>
          <cell r="D3228" t="str">
            <v>PREVIDENCIA DO ESTADO DO RIO GRANDE DO SUL</v>
          </cell>
          <cell r="E3228" t="str">
            <v>RPPS RIO GRANDE DO SUL IPERGS</v>
          </cell>
        </row>
        <row r="3229">
          <cell r="B3229" t="str">
            <v>M72519622000131</v>
          </cell>
          <cell r="D3229" t="str">
            <v>CAIXA DE APOSENT E PENS DOS SERV MUNIC DE BEBERIBE</v>
          </cell>
        </row>
        <row r="3230">
          <cell r="B3230" t="str">
            <v>M15212166000149</v>
          </cell>
          <cell r="D3230" t="str">
            <v>FUNDO DE APOSENTADORIA E PENSAO DO SERVIDOR - FAS - TUPANDI</v>
          </cell>
        </row>
        <row r="3231">
          <cell r="B3231" t="str">
            <v>M14911565000135</v>
          </cell>
          <cell r="D3231" t="str">
            <v>INSTITUTO DE PREVIDENCIA DOS SERVIDORES PUBLICOS MUNICIPAIS DE TIMBO</v>
          </cell>
        </row>
        <row r="3232">
          <cell r="B3232" t="str">
            <v>M10582946000167</v>
          </cell>
          <cell r="D3232" t="str">
            <v>FUNDO DE APOSENTADORIA E PENSAO DO SERVIDOR PUBLICO MUNICIPAL DE BENTO GONCALVES-FAPSBENTO</v>
          </cell>
        </row>
        <row r="3233">
          <cell r="B3233" t="str">
            <v>M10579015000100</v>
          </cell>
          <cell r="D3233" t="str">
            <v>FAPS - FUNDO DE APOSENTADORIA E PENSAO DO SERVIDOR DE CORONEL PILAR</v>
          </cell>
        </row>
        <row r="3234">
          <cell r="B3234" t="str">
            <v>M10540273000182</v>
          </cell>
          <cell r="D3234" t="str">
            <v>FUNDO DE PREVIDENCIA SOCIAL DO MUNICIPIO - FPMS - BOA VISTA DO SUL</v>
          </cell>
        </row>
        <row r="3235">
          <cell r="B3235" t="str">
            <v>M04841899000126</v>
          </cell>
          <cell r="D3235" t="str">
            <v>REGIME PROPRIO DE PREVIDENCIA SOCIAL DE SAO JOSE DO RIO PRETO</v>
          </cell>
        </row>
        <row r="3236">
          <cell r="B3236" t="str">
            <v>M03793235000176</v>
          </cell>
          <cell r="D3236" t="str">
            <v>Instituto Previdencia Social dos Servidores Publicos de Rancho Queimado</v>
          </cell>
        </row>
        <row r="3237">
          <cell r="B3237" t="str">
            <v>M02405962000156</v>
          </cell>
          <cell r="D3237" t="str">
            <v>IPSL - INSTITUTO DE PREVIDENCIA DE SANTA LEOPOLDINA</v>
          </cell>
        </row>
        <row r="3238">
          <cell r="B3238">
            <v>82781</v>
          </cell>
          <cell r="C3238" t="str">
            <v>BTG PACTUAL ASSET MANAGEMENT SA DTVM</v>
          </cell>
          <cell r="D3238" t="str">
            <v>BTG PACTUAL ASSET MANAGEMENT SA DTVM</v>
          </cell>
          <cell r="E3238" t="str">
            <v>BTG PACTUAL ASSET MANAGEMENT SA DTVM</v>
          </cell>
        </row>
        <row r="3239">
          <cell r="B3239">
            <v>82782</v>
          </cell>
          <cell r="C3239" t="str">
            <v>BTG PACTUAL ASSET MANAGEMENT SA DTVM</v>
          </cell>
          <cell r="D3239" t="str">
            <v>BTG PACTUAL ASSET MANAGEMENT SA DTVM</v>
          </cell>
          <cell r="E3239" t="str">
            <v>BTG PACTUAL ASSET MANAGEMENT SA DTVM</v>
          </cell>
        </row>
        <row r="3240">
          <cell r="B3240">
            <v>82781</v>
          </cell>
          <cell r="C3240" t="str">
            <v>BTG PACTUAL ASSET MANAGEMENT SA DTVM</v>
          </cell>
          <cell r="D3240" t="str">
            <v>BTG PACTUAL ASSET MANAGEMENT SA DTVM</v>
          </cell>
          <cell r="E3240" t="str">
            <v>BTG PACTUAL ASSET MANAGEMENT SA DTVM</v>
          </cell>
        </row>
        <row r="3241">
          <cell r="B3241">
            <v>82782</v>
          </cell>
          <cell r="C3241" t="str">
            <v>BTG PACTUAL ASSET MANAGEMENT SA DTVM</v>
          </cell>
          <cell r="D3241" t="str">
            <v>BTG PACTUAL ASSET MANAGEMENT SA DTVM</v>
          </cell>
          <cell r="E3241" t="str">
            <v>BTG PACTUAL ASSET MANAGEMENT SA DTVM</v>
          </cell>
        </row>
        <row r="3242">
          <cell r="B3242">
            <v>82783</v>
          </cell>
          <cell r="C3242" t="str">
            <v>PLANO DE BENEFICIOS AB</v>
          </cell>
          <cell r="D3242" t="str">
            <v>PLANO DE BENEFICIOS AB</v>
          </cell>
          <cell r="E3242" t="str">
            <v>FUNDACAO DE SEGURIDADE SOCIAL BRASLIGHT</v>
          </cell>
        </row>
        <row r="3243">
          <cell r="B3243">
            <v>82784</v>
          </cell>
          <cell r="C3243" t="str">
            <v>PLANO DE BENEFICIOS C</v>
          </cell>
          <cell r="D3243" t="str">
            <v>PLANO DE BENEFICIOS C</v>
          </cell>
          <cell r="E3243" t="str">
            <v>FUNDACAO DE SEGURIDADE SOCIAL BRASLIGHT</v>
          </cell>
        </row>
        <row r="3244">
          <cell r="B3244">
            <v>82785</v>
          </cell>
          <cell r="C3244" t="str">
            <v>PLANO DE BENEFICIOS C</v>
          </cell>
          <cell r="D3244" t="str">
            <v>PLANO DE BENEFICIOS C</v>
          </cell>
          <cell r="E3244" t="str">
            <v>FUNDACAO DE SEGURIDADE SOCIAL BRASLIGHT</v>
          </cell>
        </row>
        <row r="3245">
          <cell r="B3245">
            <v>82786</v>
          </cell>
          <cell r="C3245" t="str">
            <v>PLANO D DE BENEFICIOS PREVIDENCIARIOS</v>
          </cell>
          <cell r="D3245" t="str">
            <v>PLANO D DE BENEFICIOS PREVIDENCIARIOS</v>
          </cell>
          <cell r="E3245" t="str">
            <v>FUNDACAO DE SEGURIDADE SOCIAL BRASLIGHT</v>
          </cell>
        </row>
        <row r="3246">
          <cell r="B3246">
            <v>82787</v>
          </cell>
          <cell r="C3246" t="str">
            <v>KAPITALO INVESTIMENTOS LTDA</v>
          </cell>
          <cell r="D3246" t="str">
            <v>KAPITALO INVESTIMENTOS LTDA</v>
          </cell>
          <cell r="E3246" t="str">
            <v>KAPITALO INVESTIMENTOS LTDA</v>
          </cell>
        </row>
        <row r="3247">
          <cell r="B3247">
            <v>82787</v>
          </cell>
          <cell r="C3247" t="str">
            <v>KAPITALO INVESTIMENTOS LTDA</v>
          </cell>
          <cell r="D3247" t="str">
            <v>KAPITALO INVESTIMENTOS LTDA</v>
          </cell>
          <cell r="E3247" t="str">
            <v>KAPITALO INVESTIMENTOS LTDA</v>
          </cell>
        </row>
        <row r="3248">
          <cell r="B3248">
            <v>82788</v>
          </cell>
          <cell r="C3248" t="str">
            <v>AZ QUEST INVESTIMENTOS LTDA</v>
          </cell>
          <cell r="D3248" t="str">
            <v>AZ QUEST INVESTIMENTOS LTDA</v>
          </cell>
          <cell r="E3248" t="str">
            <v>AZ QUEST INVESTIMENTOS LTDA</v>
          </cell>
        </row>
        <row r="3249">
          <cell r="B3249">
            <v>82788</v>
          </cell>
          <cell r="C3249" t="str">
            <v>AZ QUEST INVESTIMENTOS LTDA</v>
          </cell>
          <cell r="D3249" t="str">
            <v>AZ QUEST INVESTIMENTOS LTDA</v>
          </cell>
          <cell r="E3249" t="str">
            <v>AZ QUEST INVESTIMENTOS LTDA</v>
          </cell>
        </row>
        <row r="3250">
          <cell r="B3250">
            <v>82789</v>
          </cell>
          <cell r="C3250" t="str">
            <v>AZ QUEST TERMO FIF RF</v>
          </cell>
          <cell r="D3250" t="str">
            <v>AZ QUEST TERMO FIF RF</v>
          </cell>
          <cell r="E3250" t="str">
            <v>AZ QUEST INVESTIMENTOS LTDA</v>
          </cell>
        </row>
        <row r="3251">
          <cell r="B3251">
            <v>82789</v>
          </cell>
          <cell r="C3251" t="str">
            <v>AZ QUEST TERMO FIF RF</v>
          </cell>
          <cell r="D3251" t="str">
            <v>AZ QUEST TERMO FIF RF</v>
          </cell>
          <cell r="E3251" t="str">
            <v>AZ QUEST INVESTIMENTOS LTDA</v>
          </cell>
        </row>
        <row r="3252">
          <cell r="B3252">
            <v>82790</v>
          </cell>
          <cell r="C3252" t="str">
            <v>FERUCCE FUNDO DE INVESTIMENTO MULTIMERCADO</v>
          </cell>
          <cell r="D3252" t="str">
            <v>FERUCCE FUNDO DE INVESTIMENTO MULTIMERCADO</v>
          </cell>
          <cell r="E3252" t="str">
            <v>GARIN INVESTIMENTOS LTDA</v>
          </cell>
        </row>
        <row r="3253">
          <cell r="B3253">
            <v>82790</v>
          </cell>
          <cell r="C3253" t="str">
            <v>FERUCCE FUNDO DE INVESTIMENTO MULTIMERCADO</v>
          </cell>
          <cell r="D3253" t="str">
            <v>FERUCCE FUNDO DE INVESTIMENTO MULTIMERCADO</v>
          </cell>
          <cell r="E3253" t="str">
            <v>GARIN INVESTIMENTOS LTDA</v>
          </cell>
        </row>
        <row r="3254">
          <cell r="B3254">
            <v>82791</v>
          </cell>
          <cell r="C3254" t="str">
            <v>MERITO REALTY LTDA</v>
          </cell>
          <cell r="D3254" t="str">
            <v>MERITO REALTY LTDA</v>
          </cell>
          <cell r="E3254" t="str">
            <v>MERITO REALTY LTDA</v>
          </cell>
        </row>
        <row r="3255">
          <cell r="B3255">
            <v>82792</v>
          </cell>
          <cell r="C3255" t="str">
            <v>CAIEIRAS FIM IE CP</v>
          </cell>
          <cell r="D3255" t="str">
            <v>CAIEIRAS FIM IE CP</v>
          </cell>
          <cell r="E3255" t="str">
            <v>MORGAN STANLEY ADMINISTRADORA DE CARTEIRAS S/A</v>
          </cell>
        </row>
        <row r="3256">
          <cell r="B3256">
            <v>82792</v>
          </cell>
          <cell r="C3256" t="str">
            <v>CAIEIRAS FIM IE CP</v>
          </cell>
          <cell r="D3256" t="str">
            <v>CAIEIRAS FIM IE CP</v>
          </cell>
          <cell r="E3256" t="str">
            <v>MORGAN STANLEY ADMINISTRADORA DE CARTEIRAS S/A</v>
          </cell>
        </row>
        <row r="3257">
          <cell r="B3257">
            <v>82793</v>
          </cell>
          <cell r="C3257" t="str">
            <v>AIG CLASSE DE INVESTIMENTO MULTIMERCADO CREDITO PRIVADO RL</v>
          </cell>
          <cell r="D3257" t="str">
            <v>AIG CLASSE DE INVESTIMENTO MULTIMERCADO CREDITO PRIVADO RL</v>
          </cell>
          <cell r="E3257" t="str">
            <v>V8 CAPITAL GESTAO DE INVESTIMENTOS LTDA</v>
          </cell>
        </row>
        <row r="3258">
          <cell r="B3258">
            <v>82793</v>
          </cell>
          <cell r="C3258" t="str">
            <v>AIG CLASSE DE INVESTIMENTO MULTIMERCADO CREDITO PRIVADO RL</v>
          </cell>
          <cell r="D3258" t="str">
            <v>AIG CLASSE DE INVESTIMENTO MULTIMERCADO CREDITO PRIVADO RL</v>
          </cell>
          <cell r="E3258" t="str">
            <v>V8 CAPITAL GESTAO DE INVESTIMENTOS LTDA</v>
          </cell>
        </row>
        <row r="3259">
          <cell r="B3259">
            <v>82794</v>
          </cell>
          <cell r="C3259" t="str">
            <v>BS ALPHA FIM CREDITO PRIVADO IE</v>
          </cell>
          <cell r="D3259" t="str">
            <v>BS ALPHA FIM CREDITO PRIVADO IE</v>
          </cell>
          <cell r="E3259" t="str">
            <v>V8 CAPITAL GESTAO DE INVESTIMENTOS LTDA</v>
          </cell>
        </row>
        <row r="3260">
          <cell r="B3260">
            <v>82794</v>
          </cell>
          <cell r="C3260" t="str">
            <v>BS ALPHA FIM CREDITO PRIVADO IE</v>
          </cell>
          <cell r="D3260" t="str">
            <v>BS ALPHA FIM CREDITO PRIVADO IE</v>
          </cell>
          <cell r="E3260" t="str">
            <v>V8 CAPITAL GESTAO DE INVESTIMENTOS LTDA</v>
          </cell>
        </row>
        <row r="3261">
          <cell r="B3261">
            <v>82796</v>
          </cell>
          <cell r="C3261" t="str">
            <v>SKYLINE FUNDO DE INVESTIMENTO FINANCEIRO</v>
          </cell>
          <cell r="D3261" t="str">
            <v>SKYLINE FUNDO DE INVESTIMENTO FINANCEIRO</v>
          </cell>
          <cell r="E3261" t="str">
            <v>V8 CAPITAL GESTAO DE INVESTIMENTOS LTDA</v>
          </cell>
        </row>
        <row r="3262">
          <cell r="B3262">
            <v>82796</v>
          </cell>
          <cell r="C3262" t="str">
            <v>SKYLINE FUNDO DE INVESTIMENTO FINANCEIRO</v>
          </cell>
          <cell r="D3262" t="str">
            <v>SKYLINE FUNDO DE INVESTIMENTO FINANCEIRO</v>
          </cell>
          <cell r="E3262" t="str">
            <v>V8 CAPITAL GESTAO DE INVESTIMENTOS LTDA</v>
          </cell>
        </row>
        <row r="3263">
          <cell r="B3263" t="str">
            <v>M28165132000192</v>
          </cell>
          <cell r="C3263" t="str">
            <v>FUNDAÇÃO BANESTES DE SEGURIDADE SOCIAL</v>
          </cell>
          <cell r="D3263" t="str">
            <v>FUNDAÇÃO BANESTES DE SEGURIDADE SOCIAL</v>
          </cell>
          <cell r="E3263" t="str">
            <v>FUNDAÇÃO BANESTES DE SEGURIDADE SOCIAL</v>
          </cell>
        </row>
        <row r="3264">
          <cell r="B3264">
            <v>82797</v>
          </cell>
          <cell r="C3264" t="str">
            <v>JP MORGAN SECURITIES PLC</v>
          </cell>
          <cell r="D3264" t="str">
            <v>JP MORGAN SECURITIES PLC</v>
          </cell>
          <cell r="E3264" t="str">
            <v>BANCO JP MORGAN S/A</v>
          </cell>
        </row>
        <row r="3265">
          <cell r="B3265">
            <v>82798</v>
          </cell>
          <cell r="C3265" t="str">
            <v>JP MORGAN SECURITIES PLC</v>
          </cell>
          <cell r="D3265" t="str">
            <v>JP MORGAN SECURITIES PLC</v>
          </cell>
          <cell r="E3265" t="str">
            <v>BANCO JP MORGAN S/A</v>
          </cell>
        </row>
        <row r="3266">
          <cell r="B3266">
            <v>82799</v>
          </cell>
          <cell r="C3266" t="str">
            <v>ITAU VERTICE RENDA FIXA IMAB FI FINANCEIRO RL</v>
          </cell>
          <cell r="D3266" t="str">
            <v>ITAU VERTICE RENDA FIXA IMAB FI FINANCEIRO RL</v>
          </cell>
          <cell r="E3266" t="str">
            <v>ITAU UNIBANCO ASSET - TACO</v>
          </cell>
        </row>
        <row r="3267">
          <cell r="B3267">
            <v>82800</v>
          </cell>
          <cell r="C3267" t="str">
            <v>SOLANA EQUITY HEDGE FIF EM ACOES</v>
          </cell>
          <cell r="D3267" t="str">
            <v>SOLANA EQUITY HEDGE FIF EM ACOES</v>
          </cell>
          <cell r="E3267" t="str">
            <v>SOLANA GESTORA DE RECURSOS LTDA</v>
          </cell>
        </row>
        <row r="3268">
          <cell r="B3268">
            <v>82801</v>
          </cell>
          <cell r="C3268" t="str">
            <v>SFA INVESTIMENTOS LTDA</v>
          </cell>
          <cell r="D3268" t="str">
            <v>SFA INVESTIMENTOS LTDA</v>
          </cell>
          <cell r="E3268" t="str">
            <v>SFA INVESTIMENTOS LTDA</v>
          </cell>
        </row>
        <row r="3269">
          <cell r="B3269">
            <v>82801</v>
          </cell>
          <cell r="C3269" t="str">
            <v>SFA INVESTIMENTOS LTDA</v>
          </cell>
          <cell r="D3269" t="str">
            <v>SFA INVESTIMENTOS LTDA</v>
          </cell>
          <cell r="E3269" t="str">
            <v>SFA INVESTIMENTOS LTDA</v>
          </cell>
        </row>
        <row r="3270">
          <cell r="B3270">
            <v>82802</v>
          </cell>
          <cell r="C3270" t="str">
            <v>PORTO SFA MASTER FUNDO DE INVESTIMENTO FINANCEIRO EM ACOES</v>
          </cell>
          <cell r="D3270" t="str">
            <v>PORTO SFA MASTER FUNDO DE INVESTIMENTO FINANCEIRO EM ACOES</v>
          </cell>
          <cell r="E3270" t="str">
            <v>SFA INVESTIMENTOS LTDA</v>
          </cell>
        </row>
        <row r="3271">
          <cell r="B3271">
            <v>82803</v>
          </cell>
          <cell r="C3271" t="str">
            <v>SVN GESTORA DE RECURSOS LTDA</v>
          </cell>
          <cell r="D3271" t="str">
            <v>SVN GESTORA DE RECURSOS LTDA</v>
          </cell>
          <cell r="E3271" t="str">
            <v>SVN GESTORA DE RECURSOS LTDA</v>
          </cell>
        </row>
        <row r="3272">
          <cell r="B3272">
            <v>82803</v>
          </cell>
          <cell r="C3272" t="str">
            <v>SVN GESTORA DE RECURSOS LTDA</v>
          </cell>
          <cell r="D3272" t="str">
            <v>SVN GESTORA DE RECURSOS LTDA</v>
          </cell>
          <cell r="E3272" t="str">
            <v>SVN GESTORA DE RECURSOS LTDA</v>
          </cell>
        </row>
        <row r="3273">
          <cell r="B3273">
            <v>82804</v>
          </cell>
          <cell r="C3273" t="str">
            <v>CLAVE ALPHA MACRO MASTER FIM</v>
          </cell>
          <cell r="D3273" t="str">
            <v>CLAVE ALPHA MACRO MASTER FIM</v>
          </cell>
          <cell r="E3273" t="str">
            <v>CLAVE GESTORA DE RECURSOS LTDA</v>
          </cell>
        </row>
        <row r="3274">
          <cell r="B3274">
            <v>82805</v>
          </cell>
          <cell r="C3274" t="str">
            <v>CLV M2 MASTER FUNDO DE INVESTIMENTO MULTIMERCADO</v>
          </cell>
          <cell r="D3274" t="str">
            <v>CLV M2 MASTER FUNDO DE INVESTIMENTO MULTIMERCADO</v>
          </cell>
          <cell r="E3274" t="str">
            <v>CLAVE GESTORA DE RECURSOS LTDA</v>
          </cell>
        </row>
        <row r="3275">
          <cell r="B3275">
            <v>82806</v>
          </cell>
          <cell r="C3275" t="str">
            <v>CLAVE FLEX PREV FIFE I FIF MULTI - RESP LIMITADA</v>
          </cell>
          <cell r="D3275" t="str">
            <v>CLAVE FLEX PREV FIFE I FIF MULTI - RESP LIMITADA</v>
          </cell>
          <cell r="E3275" t="str">
            <v>CLAVE GESTORA DE RECURSOS LTDA</v>
          </cell>
        </row>
        <row r="3276">
          <cell r="B3276" t="str">
            <v>M23017093000162</v>
          </cell>
          <cell r="D3276" t="str">
            <v>FUNDACAO INSTITUTO DE PREVIDENCIA SOCIAL DOS SERVIDORES DE SAO FRANCISCO DO SUL - IPRESF</v>
          </cell>
          <cell r="E3276" t="str">
            <v>RPPS SAO FRANCISCO DO SUL</v>
          </cell>
        </row>
        <row r="3277">
          <cell r="B3277" t="str">
            <v>M51233251000157</v>
          </cell>
          <cell r="D3277" t="str">
            <v>YVY CAPITAL ASSET MANAGEMENT LTDA.</v>
          </cell>
          <cell r="E3277" t="str">
            <v>YVY CAPITAL ASSET MANAGEMENT LTDA</v>
          </cell>
        </row>
        <row r="3278">
          <cell r="B3278">
            <v>108</v>
          </cell>
          <cell r="C3278" t="str">
            <v>BANCO SANTANDER (BRASIL) S/A</v>
          </cell>
          <cell r="D3278" t="str">
            <v>BANCO SANTANDER (BRASIL) S/A</v>
          </cell>
          <cell r="E3278" t="str">
            <v>BANCO SANTANDER (BRASIL) S/A</v>
          </cell>
        </row>
        <row r="3279">
          <cell r="B3279">
            <v>109</v>
          </cell>
          <cell r="C3279" t="str">
            <v>BANCO SANTANDER (BRASIL) S/A</v>
          </cell>
          <cell r="D3279" t="str">
            <v>BANCO SANTANDER (BRASIL) S/A</v>
          </cell>
          <cell r="E3279" t="str">
            <v>BANCO SANTANDER (BRASIL) S/A</v>
          </cell>
        </row>
        <row r="3280">
          <cell r="B3280">
            <v>82808</v>
          </cell>
          <cell r="C3280" t="str">
            <v>FUNDO DE INVESTIMENTO FINANCEIRO AETHER TRADING DIGITAL</v>
          </cell>
          <cell r="D3280" t="str">
            <v>FUNDO DE INVESTIMENTO FINANCEIRO AETHER TRADING DIGITAL</v>
          </cell>
          <cell r="E3280" t="str">
            <v>AGUILA CAPITAL ADM E GESTAO DE CAPITAIS LTDA</v>
          </cell>
        </row>
        <row r="3281">
          <cell r="B3281">
            <v>82808</v>
          </cell>
          <cell r="C3281" t="str">
            <v>FUNDO DE INVESTIMENTO FINANCEIRO AETHER TRADING DIGITAL</v>
          </cell>
          <cell r="D3281" t="str">
            <v>FUNDO DE INVESTIMENTO FINANCEIRO AETHER TRADING DIGITAL</v>
          </cell>
          <cell r="E3281" t="str">
            <v>AGUILA CAPITAL ADM E GESTAO DE CAPITAIS LTDA</v>
          </cell>
        </row>
        <row r="3282">
          <cell r="B3282" t="str">
            <v>M07528505000172</v>
          </cell>
          <cell r="D3282" t="str">
            <v>PREVCEU - REGIME PROPRIO DE PREVIDENCIA DO MUNICIPIO DE CHAPADAO DO CEU</v>
          </cell>
        </row>
        <row r="3283">
          <cell r="B3283">
            <v>82809</v>
          </cell>
          <cell r="C3283" t="str">
            <v>NEO VITALE FIF MM RESP LIMITADA</v>
          </cell>
          <cell r="D3283" t="str">
            <v>NEO VITALE FIF MM RESP LIMITADA</v>
          </cell>
          <cell r="E3283" t="str">
            <v>NEO GESTÃO DE RECURSOS LTDA</v>
          </cell>
        </row>
        <row r="3284">
          <cell r="B3284">
            <v>82810</v>
          </cell>
          <cell r="C3284" t="str">
            <v>MORADA CAPITAL LTDA</v>
          </cell>
          <cell r="D3284" t="str">
            <v>MORADA CAPITAL LTDA</v>
          </cell>
          <cell r="E3284" t="str">
            <v>MORADA CAPITAL LTDA</v>
          </cell>
        </row>
        <row r="3285">
          <cell r="B3285">
            <v>82810</v>
          </cell>
          <cell r="C3285" t="str">
            <v>MORADA CAPITAL LTDA</v>
          </cell>
          <cell r="D3285" t="str">
            <v>MORADA CAPITAL LTDA</v>
          </cell>
          <cell r="E3285" t="str">
            <v>MORADA CAPITAL LTDA</v>
          </cell>
        </row>
        <row r="3286">
          <cell r="B3286" t="str">
            <v>M04357039000111</v>
          </cell>
          <cell r="D3286" t="str">
            <v>Instituto de Previdencia Municipal de Pontalinda</v>
          </cell>
        </row>
        <row r="3287">
          <cell r="B3287">
            <v>82811</v>
          </cell>
          <cell r="C3287" t="str">
            <v>MORADA FIF EM ACOES RESPONSABILIDADE LIMITADA</v>
          </cell>
          <cell r="D3287" t="str">
            <v>MORADA FIF EM ACOES RESPONSABILIDADE LIMITADA</v>
          </cell>
          <cell r="E3287" t="str">
            <v>MORADA CAPITAL LTDA</v>
          </cell>
        </row>
        <row r="3288">
          <cell r="B3288" t="str">
            <v>M48307769000183</v>
          </cell>
          <cell r="D3288" t="str">
            <v>PLANO DE PREVIDENCIA COMPLEMENTAR DOS SERVIDORES DO ESTADO DO CEARA</v>
          </cell>
          <cell r="E3288" t="str">
            <v>PLANO DE PREV COMPLEMENTAR DOS SERVIDORES DO ESTADO DO CEARA</v>
          </cell>
        </row>
        <row r="3289">
          <cell r="B3289">
            <v>82812</v>
          </cell>
          <cell r="C3289" t="str">
            <v>ITAIM FUNDO DE INVESTIMENTO MULTIMERCADO</v>
          </cell>
          <cell r="D3289" t="str">
            <v>ITAIM FUNDO DE INVESTIMENTO MULTIMERCADO</v>
          </cell>
          <cell r="E3289" t="str">
            <v>GARIN INVESTIMENTOS LTDA</v>
          </cell>
        </row>
        <row r="3290">
          <cell r="B3290">
            <v>82812</v>
          </cell>
          <cell r="C3290" t="str">
            <v>ITAIM FUNDO DE INVESTIMENTO MULTIMERCADO</v>
          </cell>
          <cell r="D3290" t="str">
            <v>ITAIM FUNDO DE INVESTIMENTO MULTIMERCADO</v>
          </cell>
          <cell r="E3290" t="str">
            <v>GARIN INVESTIMENTOS LTDA</v>
          </cell>
        </row>
        <row r="3291">
          <cell r="B3291">
            <v>82813</v>
          </cell>
          <cell r="C3291" t="str">
            <v>MCG FUNDO DE INVESTIMENTO FINANCEIRO MULTIMERCADO</v>
          </cell>
          <cell r="D3291" t="str">
            <v>MCG FUNDO DE INVESTIMENTO FINANCEIRO MULTIMERCADO</v>
          </cell>
          <cell r="E3291" t="str">
            <v>GARIN INVESTIMENTOS LTDA</v>
          </cell>
        </row>
        <row r="3292">
          <cell r="B3292">
            <v>82813</v>
          </cell>
          <cell r="C3292" t="str">
            <v>MCG FUNDO DE INVESTIMENTO FINANCEIRO MULTIMERCADO</v>
          </cell>
          <cell r="D3292" t="str">
            <v>MCG FUNDO DE INVESTIMENTO FINANCEIRO MULTIMERCADO</v>
          </cell>
          <cell r="E3292" t="str">
            <v>GARIN INVESTIMENTOS LTDA</v>
          </cell>
        </row>
        <row r="3293">
          <cell r="B3293">
            <v>82814</v>
          </cell>
          <cell r="C3293" t="str">
            <v>MORGAN STANLEY LATAM LLC - CITIBANK</v>
          </cell>
          <cell r="D3293" t="str">
            <v>MORGAN STANLEY LATAM LLC - CITIBANK</v>
          </cell>
          <cell r="E3293" t="str">
            <v>BANCO MORGAN STANLEY S/A</v>
          </cell>
        </row>
        <row r="3294">
          <cell r="B3294">
            <v>82814</v>
          </cell>
          <cell r="C3294" t="str">
            <v>MORGAN STANLEY LATAM LLC - CITIBANK</v>
          </cell>
          <cell r="D3294" t="str">
            <v>MORGAN STANLEY LATAM LLC - CITIBANK</v>
          </cell>
          <cell r="E3294" t="str">
            <v>BANCO MORGAN STANLEY S/A</v>
          </cell>
        </row>
        <row r="3295">
          <cell r="B3295">
            <v>82815</v>
          </cell>
          <cell r="C3295" t="str">
            <v>TRUXT MACRO BRASILPREV FIFE FIM RL</v>
          </cell>
          <cell r="D3295" t="str">
            <v>TRUXT MACRO BRASILPREV FIFE FIM RL</v>
          </cell>
          <cell r="E3295" t="str">
            <v>TRUXT INVESTIMENTOS LTDA</v>
          </cell>
        </row>
        <row r="3296">
          <cell r="B3296">
            <v>82816</v>
          </cell>
          <cell r="C3296" t="str">
            <v>TRUXT MACRO PREVIDENCIA FIFE MASTER FIF - CI MULT RL</v>
          </cell>
          <cell r="D3296" t="str">
            <v>TRUXT MACRO PREVIDENCIA FIFE MASTER FIF - CI MULT RL</v>
          </cell>
          <cell r="E3296" t="str">
            <v>TRUXT INVESTIMENTOS LTDA</v>
          </cell>
        </row>
        <row r="3297">
          <cell r="B3297" t="str">
            <v>M0723737300012001</v>
          </cell>
          <cell r="D3297" t="str">
            <v>BANCO DO NORDESTE DO BRASIL S/A</v>
          </cell>
          <cell r="E3297" t="str">
            <v>BANCO DO NORDESTE DO BRASIL S/A</v>
          </cell>
        </row>
        <row r="3298">
          <cell r="B3298" t="str">
            <v>M60313480000172</v>
          </cell>
          <cell r="D3298" t="str">
            <v>FUNDO EM CAPITALIZAÃ‡ÃƒO - FCAP</v>
          </cell>
        </row>
        <row r="3299">
          <cell r="B3299" t="str">
            <v>M10556398000109</v>
          </cell>
          <cell r="C3299" t="str">
            <v>MORE INVEST GESTORA DE RECURSOS LTDA</v>
          </cell>
          <cell r="D3299" t="str">
            <v>MORE INVEST GESTORA DE RECURSOS LTDA</v>
          </cell>
          <cell r="E3299" t="str">
            <v>MORE INVEST GESTORA DE RECURSOS LTDA</v>
          </cell>
        </row>
        <row r="3300">
          <cell r="B3300">
            <v>82744</v>
          </cell>
          <cell r="C3300" t="str">
            <v>MB FUNDO DE INVESTIMENTO FINANCEIRO MULTIMERCADO</v>
          </cell>
          <cell r="D3300" t="str">
            <v>MB FUNDO DE INVESTIMENTO FINANCEIRO MULTIMERCADO</v>
          </cell>
          <cell r="E3300" t="str">
            <v>MORE INVEST GESTORA DE RECURSOS LTDA</v>
          </cell>
        </row>
        <row r="3301">
          <cell r="B3301" t="str">
            <v>M18531204000114</v>
          </cell>
          <cell r="C3301" t="str">
            <v>FUNDO NITEROI PREV - PREVIDENCIARIO</v>
          </cell>
          <cell r="D3301" t="str">
            <v>FUNDO NITEROI PREV - PREVIDENCIARIO</v>
          </cell>
          <cell r="E3301" t="str">
            <v>FUNDO NITEROI PREV - PREVIDENCIARIO</v>
          </cell>
        </row>
        <row r="3302">
          <cell r="B3302">
            <v>82819</v>
          </cell>
          <cell r="C3302" t="str">
            <v>BANCO JP MORGAN S/A</v>
          </cell>
          <cell r="D3302" t="str">
            <v>BANCO JP MORGAN S/A</v>
          </cell>
          <cell r="E3302" t="str">
            <v>BANCO JP MORGAN S/A</v>
          </cell>
        </row>
        <row r="3303">
          <cell r="B3303">
            <v>82820</v>
          </cell>
          <cell r="C3303" t="str">
            <v>ATACAMA MULTIMERCADO FI</v>
          </cell>
          <cell r="D3303" t="str">
            <v>ATACAMA MULTIMERCADO FI</v>
          </cell>
          <cell r="E3303" t="str">
            <v>BANCO JP MORGAN S/A</v>
          </cell>
        </row>
        <row r="3304">
          <cell r="B3304">
            <v>82821</v>
          </cell>
          <cell r="C3304" t="str">
            <v>ATACAMA MULTIMERCADO FI</v>
          </cell>
          <cell r="D3304" t="str">
            <v>ATACAMA MULTIMERCADO FI</v>
          </cell>
          <cell r="E3304" t="str">
            <v>BANCO JP MORGAN S/A</v>
          </cell>
        </row>
        <row r="3305">
          <cell r="B3305">
            <v>82822</v>
          </cell>
          <cell r="C3305" t="str">
            <v>JP MORGAN SECURITIES PLC</v>
          </cell>
          <cell r="D3305" t="str">
            <v>JP MORGAN SECURITIES PLC</v>
          </cell>
          <cell r="E3305" t="str">
            <v>BANCO JP MORGAN S/A</v>
          </cell>
        </row>
        <row r="3306">
          <cell r="B3306">
            <v>82823</v>
          </cell>
          <cell r="C3306" t="str">
            <v>BANCO JP MORGAN S/A</v>
          </cell>
          <cell r="D3306" t="str">
            <v>BANCO JP MORGAN S/A</v>
          </cell>
          <cell r="E3306" t="str">
            <v>BANCO JP MORGAN S/A</v>
          </cell>
        </row>
        <row r="3307">
          <cell r="B3307">
            <v>82824</v>
          </cell>
          <cell r="C3307" t="str">
            <v>ITAU VERTICE RENDA FIXA IMAB 5+ FIF RL</v>
          </cell>
          <cell r="D3307" t="str">
            <v>ITAU VERTICE RENDA FIXA IMAB 5+ FIF RL</v>
          </cell>
          <cell r="E3307" t="str">
            <v>ITAU UNIBANCO ASSET - TACO</v>
          </cell>
        </row>
        <row r="3308">
          <cell r="B3308">
            <v>82825</v>
          </cell>
          <cell r="C3308" t="str">
            <v>MONTE BRAVO CORRETORA DE TITULOS E VALORES MOBILIARIOS S.A</v>
          </cell>
          <cell r="D3308" t="str">
            <v>MONTE BRAVO CORRETORA DE TITULOS E VALORES MOBILIARIOS S.A</v>
          </cell>
          <cell r="E3308" t="str">
            <v>MONTE BRAVO CORRETORA DE TITULOS E VALORES MOBILIARIOS S.A</v>
          </cell>
        </row>
        <row r="3309">
          <cell r="B3309">
            <v>82825</v>
          </cell>
          <cell r="C3309" t="str">
            <v>MONTE BRAVO CORRETORA DE TITULOS E VALORES MOBILIARIOS S.A</v>
          </cell>
          <cell r="D3309" t="str">
            <v>MONTE BRAVO CORRETORA DE TITULOS E VALORES MOBILIARIOS S.A</v>
          </cell>
          <cell r="E3309" t="str">
            <v>MONTE BRAVO CORRETORA DE TITULOS E VALORES MOBILIARIOS S.A</v>
          </cell>
        </row>
        <row r="3310">
          <cell r="B3310">
            <v>82826</v>
          </cell>
          <cell r="C3310" t="str">
            <v>KXO FUNDO DE INVESTIMENTO FINANCEIRO MULTIMERCADO</v>
          </cell>
          <cell r="D3310" t="str">
            <v>KXO FUNDO DE INVESTIMENTO FINANCEIRO MULTIMERCADO</v>
          </cell>
          <cell r="E3310" t="str">
            <v>MONTE BRAVO CORRETORA DE TITULOS E VALORES MOBILIARIOS S.A</v>
          </cell>
        </row>
        <row r="3311">
          <cell r="B3311">
            <v>82826</v>
          </cell>
          <cell r="C3311" t="str">
            <v>KXO FUNDO DE INVESTIMENTO FINANCEIRO MULTIMERCADO</v>
          </cell>
          <cell r="D3311" t="str">
            <v>KXO FUNDO DE INVESTIMENTO FINANCEIRO MULTIMERCADO</v>
          </cell>
          <cell r="E3311" t="str">
            <v>MONTE BRAVO CORRETORA DE TITULOS E VALORES MOBILIARIOS S.A</v>
          </cell>
        </row>
        <row r="3312">
          <cell r="B3312" t="str">
            <v>M13534466000119</v>
          </cell>
          <cell r="D3312" t="str">
            <v>INSTITUTO DE PREVIDENCIA DO SALVADOR</v>
          </cell>
        </row>
        <row r="3313">
          <cell r="B3313">
            <v>82827</v>
          </cell>
          <cell r="C3313" t="str">
            <v>ITAU MASTER DURATION PRE 3X FIF MULTIMERCADO RL</v>
          </cell>
          <cell r="D3313" t="str">
            <v>ITAU MASTER DURATION PRE 3X FIF MULTIMERCADO RL</v>
          </cell>
          <cell r="E3313" t="str">
            <v>ITAU UNIBANCO ASSET - TACO</v>
          </cell>
        </row>
        <row r="3314">
          <cell r="B3314">
            <v>82828</v>
          </cell>
          <cell r="C3314" t="str">
            <v>ITAU UNIBANCO ASSET MANAGEMENT LTDA</v>
          </cell>
          <cell r="D3314" t="str">
            <v>ITAU UNIBANCO ASSET MANAGEMENT LTDA</v>
          </cell>
          <cell r="E3314" t="str">
            <v>ITAU UNIBANCO ASSET MANAGEMENT LTDA</v>
          </cell>
        </row>
        <row r="3315">
          <cell r="B3315">
            <v>82828</v>
          </cell>
          <cell r="C3315" t="str">
            <v>ITAU UNIBANCO ASSET MANAGEMENT LTDA</v>
          </cell>
          <cell r="D3315" t="str">
            <v>ITAU UNIBANCO ASSET MANAGEMENT LTDA</v>
          </cell>
          <cell r="E3315" t="str">
            <v>ITAU UNIBANCO ASSET MANAGEMENT LTDA</v>
          </cell>
        </row>
        <row r="3316">
          <cell r="B3316">
            <v>82829</v>
          </cell>
          <cell r="C3316" t="str">
            <v>JP MORGAN SECURITIES PLC</v>
          </cell>
          <cell r="D3316" t="str">
            <v>JP MORGAN SECURITIES PLC</v>
          </cell>
          <cell r="E3316" t="str">
            <v>BANCO JP MORGAN S/A</v>
          </cell>
        </row>
        <row r="3317">
          <cell r="B3317">
            <v>82830</v>
          </cell>
          <cell r="C3317" t="str">
            <v>GUEPARDO INVESTIMENTOS LTDA</v>
          </cell>
          <cell r="D3317" t="str">
            <v>GUEPARDO INVESTIMENTOS LTDA</v>
          </cell>
          <cell r="E3317" t="str">
            <v>GUEPARDO INVESTIMENTOS LTDA</v>
          </cell>
        </row>
        <row r="3318">
          <cell r="B3318">
            <v>82831</v>
          </cell>
          <cell r="C3318" t="str">
            <v>FEBE FUNDO DE INVESTIMENTO FINANCEIRO ACOES - RL</v>
          </cell>
          <cell r="D3318" t="str">
            <v>FEBE FUNDO DE INVESTIMENTO FINANCEIRO ACOES - RL</v>
          </cell>
          <cell r="E3318" t="str">
            <v>GUEPARDO INVESTIMENTOS LTDA</v>
          </cell>
        </row>
        <row r="3319">
          <cell r="B3319">
            <v>82832</v>
          </cell>
          <cell r="C3319" t="str">
            <v>BRASIL VAREJO FUNDO DE INVESTIMENTO IMOBILIARIO RL</v>
          </cell>
          <cell r="D3319" t="str">
            <v>BRASIL VAREJO FUNDO DE INVESTIMENTO IMOBILIARIO RL</v>
          </cell>
          <cell r="E3319" t="str">
            <v>RIO BRAVO INVESTIMENTOS LTDA</v>
          </cell>
        </row>
        <row r="3320">
          <cell r="B3320">
            <v>82833</v>
          </cell>
          <cell r="C3320" t="str">
            <v>ITAU FLEXPREV IDKA 3 FIF RF RESP LIMITADA</v>
          </cell>
          <cell r="D3320" t="str">
            <v>ITAU FLEXPREV IDKA 3 FIF RF RESP LIMITADA</v>
          </cell>
          <cell r="E3320" t="str">
            <v>ITAU UNIBANCO ASSET - TACO</v>
          </cell>
        </row>
        <row r="3321">
          <cell r="B3321">
            <v>82834</v>
          </cell>
          <cell r="C3321" t="str">
            <v>JGP EQUITIES GESTAO DE RECURSOS LTDA</v>
          </cell>
          <cell r="D3321" t="str">
            <v>JGP EQUITIES GESTAO DE RECURSOS LTDA</v>
          </cell>
          <cell r="E3321" t="str">
            <v>JGP EQUITIES GESTAO DE RECURSOS LTDA</v>
          </cell>
        </row>
        <row r="3322">
          <cell r="B3322">
            <v>82834</v>
          </cell>
          <cell r="C3322" t="str">
            <v>JGP EQUITIES GESTAO DE RECURSOS LTDA</v>
          </cell>
          <cell r="D3322" t="str">
            <v>JGP EQUITIES GESTAO DE RECURSOS LTDA</v>
          </cell>
          <cell r="E3322" t="str">
            <v>JGP EQUITIES GESTAO DE RECURSOS LTDA</v>
          </cell>
        </row>
        <row r="3323">
          <cell r="B3323">
            <v>82835</v>
          </cell>
          <cell r="C3323" t="str">
            <v>SAFRA MULTI I MASTER FIF CIM RL</v>
          </cell>
          <cell r="D3323" t="str">
            <v>SAFRA MULTI I MASTER FIF CIM RL</v>
          </cell>
          <cell r="E3323" t="str">
            <v>EMERALD GESTAO DE INVESTIMENTOS LTDA</v>
          </cell>
        </row>
        <row r="3324">
          <cell r="B3324">
            <v>82836</v>
          </cell>
          <cell r="C3324" t="str">
            <v>SAFRA MULTI PLUS MASTER FIF CIM RL</v>
          </cell>
          <cell r="D3324" t="str">
            <v>SAFRA MULTI PLUS MASTER FIF CIM RL</v>
          </cell>
          <cell r="E3324" t="str">
            <v>EMERALD GESTAO DE INVESTIMENTOS LTDA</v>
          </cell>
        </row>
        <row r="3325">
          <cell r="B3325">
            <v>82837</v>
          </cell>
          <cell r="C3325" t="str">
            <v>ITAU VERTICE RENDA FIXA PRE IDKA 3 FIF RL</v>
          </cell>
          <cell r="D3325" t="str">
            <v>ITAU VERTICE RENDA FIXA PRE IDKA 3 FIF RL</v>
          </cell>
          <cell r="E3325" t="str">
            <v>ITAU UNIBANCO ASSET - TACO</v>
          </cell>
        </row>
        <row r="3326">
          <cell r="B3326">
            <v>82839</v>
          </cell>
          <cell r="C3326" t="str">
            <v>LEV ASSET MANAGEMENT LTDA</v>
          </cell>
          <cell r="D3326" t="str">
            <v>LEV ASSET MANAGEMENT LTDA</v>
          </cell>
          <cell r="E3326" t="str">
            <v>LEV DISTRIBUIDORA DE TITULOS E VALORES MOBILIARIOS LTDA</v>
          </cell>
        </row>
        <row r="3327">
          <cell r="B3327">
            <v>82839</v>
          </cell>
          <cell r="C3327" t="str">
            <v>LEV ASSET MANAGEMENT LTDA</v>
          </cell>
          <cell r="D3327" t="str">
            <v>LEV ASSET MANAGEMENT LTDA</v>
          </cell>
          <cell r="E3327" t="str">
            <v>LEV DISTRIBUIDORA DE TITULOS E VALORES MOBILIARIOS LTDA</v>
          </cell>
        </row>
        <row r="3328">
          <cell r="B3328">
            <v>82840</v>
          </cell>
          <cell r="C3328" t="str">
            <v>LEV MAVERICK TOTAL RETURN FIF MULTIMERCADO</v>
          </cell>
          <cell r="D3328" t="str">
            <v>LEV MAVERICK TOTAL RETURN FIF MULTIMERCADO</v>
          </cell>
          <cell r="E3328" t="str">
            <v>LEV DISTRIBUIDORA DE TITULOS E VALORES MOBILIARIOS LTDA</v>
          </cell>
        </row>
        <row r="3329">
          <cell r="B3329">
            <v>82840</v>
          </cell>
          <cell r="C3329" t="str">
            <v>LEV MAVERICK TOTAL RETURN FIF MULTIMERCADO</v>
          </cell>
          <cell r="D3329" t="str">
            <v>LEV MAVERICK TOTAL RETURN FIF MULTIMERCADO</v>
          </cell>
          <cell r="E3329" t="str">
            <v>LEV DISTRIBUIDORA DE TITULOS E VALORES MOBILIARIOS LTDA</v>
          </cell>
        </row>
        <row r="3330">
          <cell r="B3330">
            <v>82841</v>
          </cell>
          <cell r="C3330" t="str">
            <v>LOGOS GESTAO DE RECURSOS LTDA.</v>
          </cell>
          <cell r="D3330" t="str">
            <v>LOGOS GESTAO DE RECURSOS LTDA.</v>
          </cell>
          <cell r="E3330" t="str">
            <v>LOGOS GESTAO DE RECURSOS LTDA</v>
          </cell>
        </row>
        <row r="3331">
          <cell r="B3331">
            <v>82841</v>
          </cell>
          <cell r="C3331" t="str">
            <v>LOGOS GESTAO DE RECURSOS LTDA.</v>
          </cell>
          <cell r="D3331" t="str">
            <v>LOGOS GESTAO DE RECURSOS LTDA.</v>
          </cell>
          <cell r="E3331" t="str">
            <v>LOGOS GESTAO DE RECURSOS LTDA</v>
          </cell>
        </row>
        <row r="3332">
          <cell r="B3332" t="str">
            <v>M04368898000106</v>
          </cell>
          <cell r="D3332" t="str">
            <v>COPEL DISTRIBUICAO S.A.</v>
          </cell>
          <cell r="E3332" t="str">
            <v>FUNDAÇÃO COPEL DE PREVIDÊNCIA E ASSISTÊNCIA SOCIAL</v>
          </cell>
        </row>
        <row r="3333">
          <cell r="B3333">
            <v>82842</v>
          </cell>
          <cell r="C3333" t="str">
            <v>BANCO CITIBANK S/A</v>
          </cell>
          <cell r="D3333" t="str">
            <v>BANCO CITIBANK S/A</v>
          </cell>
          <cell r="E3333" t="str">
            <v>BANCO CITIBANK S/A</v>
          </cell>
        </row>
        <row r="3334">
          <cell r="B3334">
            <v>82842</v>
          </cell>
          <cell r="C3334" t="str">
            <v>BANCO CITIBANK S/A</v>
          </cell>
          <cell r="D3334" t="str">
            <v>BANCO CITIBANK S/A</v>
          </cell>
          <cell r="E3334" t="str">
            <v>BANCO CITIBANK S/A</v>
          </cell>
        </row>
        <row r="3335">
          <cell r="B3335" t="str">
            <v>M29980158000157</v>
          </cell>
          <cell r="D3335" t="str">
            <v>HDI SEGUROS S.A.</v>
          </cell>
          <cell r="E3335" t="str">
            <v>HDI GLOBAL SEGUROS S/A</v>
          </cell>
        </row>
        <row r="3336">
          <cell r="B3336" t="str">
            <v>M11094795000160</v>
          </cell>
          <cell r="D3336" t="str">
            <v>FUNDO DE PREVIDENCIA SOCIAL DO MUNICIPIO</v>
          </cell>
        </row>
        <row r="3337">
          <cell r="B3337">
            <v>82843</v>
          </cell>
          <cell r="C3337" t="str">
            <v>SPX SUMMIT MACRO LONG SHORT MASTER FIF MULTIMERCADO CP RL</v>
          </cell>
          <cell r="D3337" t="str">
            <v>SPX SUMMIT MACRO LONG SHORT MASTER FIF MULTIMERCADO CP RL</v>
          </cell>
          <cell r="E3337" t="str">
            <v>SPX GESTAO DE RECURSOS LTDA</v>
          </cell>
        </row>
        <row r="3338">
          <cell r="B3338" t="str">
            <v>M58768284000140</v>
          </cell>
          <cell r="D3338" t="str">
            <v>PORTO SEGURO VIDA E PREVIDÃŠNCIA S/A</v>
          </cell>
          <cell r="E3338" t="str">
            <v>PORTO SEGURO INVESTIMENTOS LTDA</v>
          </cell>
        </row>
        <row r="3339">
          <cell r="B3339" t="str">
            <v>M03080722000191</v>
          </cell>
          <cell r="D3339" t="str">
            <v>TENAX DO BRASIL LTDA.</v>
          </cell>
        </row>
        <row r="3340">
          <cell r="B3340" t="str">
            <v>M52931604000155</v>
          </cell>
          <cell r="D3340" t="str">
            <v>S V N CAPITAL SECURITIZADORA SOCIEDADE ANONIMA</v>
          </cell>
          <cell r="E3340" t="str">
            <v>SVN GESTORA DE RECURSOS LTDA</v>
          </cell>
        </row>
        <row r="3341">
          <cell r="B3341" t="str">
            <v>M08693584000130</v>
          </cell>
          <cell r="D3341" t="str">
            <v>J. MALUCELLI HOLDING S/A</v>
          </cell>
          <cell r="E3341" t="str">
            <v>J. MALUCELLI HOLDING S/A</v>
          </cell>
        </row>
        <row r="3342">
          <cell r="B3342">
            <v>82844</v>
          </cell>
          <cell r="C3342" t="str">
            <v>SONATA GESTORA DE RECURSOS LTDA.</v>
          </cell>
          <cell r="D3342" t="str">
            <v>SONATA GESTORA DE RECURSOS LTDA.</v>
          </cell>
          <cell r="E3342" t="str">
            <v>SONATA GESTORA DE RECURSOS LTDA</v>
          </cell>
        </row>
        <row r="3343">
          <cell r="B3343">
            <v>82844</v>
          </cell>
          <cell r="C3343" t="str">
            <v>SONATA GESTORA DE RECURSOS LTDA.</v>
          </cell>
          <cell r="D3343" t="str">
            <v>SONATA GESTORA DE RECURSOS LTDA.</v>
          </cell>
          <cell r="E3343" t="str">
            <v>SONATA GESTORA DE RECURSOS LTDA</v>
          </cell>
        </row>
        <row r="3344">
          <cell r="B3344">
            <v>82846</v>
          </cell>
          <cell r="C3344" t="str">
            <v>PARAGON CAPITAL LTDA</v>
          </cell>
          <cell r="D3344" t="str">
            <v>PARAGON CAPITAL LTDA</v>
          </cell>
          <cell r="E3344" t="str">
            <v>PARAGON CAPITAL LTDA</v>
          </cell>
        </row>
        <row r="3345">
          <cell r="B3345">
            <v>82846</v>
          </cell>
          <cell r="C3345" t="str">
            <v>PARAGON CAPITAL LTDA</v>
          </cell>
          <cell r="D3345" t="str">
            <v>PARAGON CAPITAL LTDA</v>
          </cell>
          <cell r="E3345" t="str">
            <v>PARAGON CAPITAL LTDA</v>
          </cell>
        </row>
        <row r="3346">
          <cell r="B3346">
            <v>82847</v>
          </cell>
          <cell r="C3346" t="str">
            <v>BANCO BRADESCO S/A</v>
          </cell>
          <cell r="D3346" t="str">
            <v>BANCO BRADESCO S/A</v>
          </cell>
          <cell r="E3346" t="str">
            <v>BANCO BRADESCO S/A</v>
          </cell>
        </row>
        <row r="3347">
          <cell r="B3347">
            <v>82847</v>
          </cell>
          <cell r="C3347" t="str">
            <v>BANCO BRADESCO S/A</v>
          </cell>
          <cell r="D3347" t="str">
            <v>BANCO BRADESCO S/A</v>
          </cell>
          <cell r="E3347" t="str">
            <v>BANCO BRADESCO S/A</v>
          </cell>
        </row>
        <row r="3348">
          <cell r="B3348">
            <v>82848</v>
          </cell>
          <cell r="C3348" t="str">
            <v>BANCO BRADESCO S/A</v>
          </cell>
          <cell r="D3348" t="str">
            <v>BANCO BRADESCO S/A</v>
          </cell>
          <cell r="E3348" t="str">
            <v>BANCO BRADESCO S/A</v>
          </cell>
        </row>
        <row r="3349">
          <cell r="B3349">
            <v>82848</v>
          </cell>
          <cell r="C3349" t="str">
            <v>BANCO BRADESCO S/A</v>
          </cell>
          <cell r="D3349" t="str">
            <v>BANCO BRADESCO S/A</v>
          </cell>
          <cell r="E3349" t="str">
            <v>BANCO BRADESCO S/A</v>
          </cell>
        </row>
        <row r="3350">
          <cell r="B3350">
            <v>82849</v>
          </cell>
          <cell r="C3350" t="str">
            <v>SANTANDER IAJA ACOES DIVIDENDOS - FIF RESP LIMITADA</v>
          </cell>
          <cell r="D3350" t="str">
            <v>SANTANDER IAJA ACOES DIVIDENDOS - FIF RESP LIMITADA</v>
          </cell>
          <cell r="E3350" t="str">
            <v>SANTANDER BRASIL GESTAO DE RECURSOS LTDA</v>
          </cell>
        </row>
        <row r="3351">
          <cell r="B3351" t="str">
            <v>M40430971/00196</v>
          </cell>
        </row>
        <row r="3352">
          <cell r="B3352" t="str">
            <v>M55823094000190</v>
          </cell>
          <cell r="D3352" t="str">
            <v>DELTA GLOBAL SOCIEDADE DE CRÃ‰DITO DIRETO S.A.</v>
          </cell>
          <cell r="E3352" t="str">
            <v>DELTA GLOBAL SOCIEDADE DE CREDITO DIRETO S/A</v>
          </cell>
        </row>
        <row r="3353">
          <cell r="B3353">
            <v>82850</v>
          </cell>
          <cell r="C3353" t="str">
            <v>ITAMARATY FIC DE CLASSE DE FIF MULTIMERCADO CP RL</v>
          </cell>
          <cell r="D3353" t="str">
            <v>ITAMARATY FIC DE CLASSE DE FIF MULTIMERCADO CP RL</v>
          </cell>
          <cell r="E3353" t="str">
            <v>FUNDACAO DOS ECONOMIARIOS FEDERAIS - FUNCEF</v>
          </cell>
        </row>
        <row r="3354">
          <cell r="B3354" t="str">
            <v>M30306294000226</v>
          </cell>
          <cell r="D3354" t="str">
            <v>BANCO BTG PACTUAL S.A.</v>
          </cell>
          <cell r="E3354" t="str">
            <v>BANCO BTG PACTUAL S/A</v>
          </cell>
        </row>
        <row r="3355">
          <cell r="B3355">
            <v>82851</v>
          </cell>
          <cell r="C3355" t="str">
            <v>MONTE BRAVO GESTAO PATRIMONIAL LTDA</v>
          </cell>
          <cell r="D3355" t="str">
            <v>MONTE BRAVO GESTAO PATRIMONIAL LTDA</v>
          </cell>
          <cell r="E3355" t="str">
            <v>MONTE BRAVO GESTAO PATRIMONIAL LTDA</v>
          </cell>
        </row>
        <row r="3356">
          <cell r="B3356">
            <v>82851</v>
          </cell>
          <cell r="C3356" t="str">
            <v>MONTE BRAVO GESTAO PATRIMONIAL LTDA</v>
          </cell>
          <cell r="D3356" t="str">
            <v>MONTE BRAVO GESTAO PATRIMONIAL LTDA</v>
          </cell>
          <cell r="E3356" t="str">
            <v>MONTE BRAVO GESTAO PATRIMONIAL LTDA</v>
          </cell>
        </row>
        <row r="3357">
          <cell r="B3357" t="str">
            <v>M01689795000150</v>
          </cell>
          <cell r="D3357" t="str">
            <v>BRF PREVIDENCIA</v>
          </cell>
          <cell r="E3357" t="str">
            <v>BRF PREVIDENCIA</v>
          </cell>
        </row>
        <row r="3358">
          <cell r="B3358" t="str">
            <v>M61550141000172</v>
          </cell>
          <cell r="C3358" t="str">
            <v>YELUM SEGUROS S.A</v>
          </cell>
          <cell r="D3358" t="str">
            <v>YELUM SEGUROS S.A</v>
          </cell>
          <cell r="E3358" t="str">
            <v>YELUM SEGUROS S/A</v>
          </cell>
        </row>
        <row r="3359">
          <cell r="B3359" t="str">
            <v>M61100145000159</v>
          </cell>
          <cell r="C3359" t="str">
            <v>INDIANA SEGUROS S/A</v>
          </cell>
          <cell r="D3359" t="str">
            <v>INDIANA SEGUROS S/A</v>
          </cell>
          <cell r="E3359" t="str">
            <v>INDIANA SEGUROS S/A</v>
          </cell>
        </row>
        <row r="3360">
          <cell r="B3360" t="str">
            <v>M30617319000121</v>
          </cell>
          <cell r="C3360" t="str">
            <v>SANTANDER AUTO S.A.</v>
          </cell>
          <cell r="D3360" t="str">
            <v>SANTANDER AUTO S.A.</v>
          </cell>
          <cell r="E3360" t="str">
            <v>BANCO SANTANDER (BRASIL) S/A</v>
          </cell>
        </row>
        <row r="3361">
          <cell r="B3361" t="str">
            <v>M53505601000112</v>
          </cell>
          <cell r="D3361" t="str">
            <v>STONE SOCIEDADE DE CREDITO FINANCIAMENTO E INVESTIMENTO SA.</v>
          </cell>
        </row>
        <row r="3362">
          <cell r="B3362" t="str">
            <v>M05416258000197</v>
          </cell>
          <cell r="D3362" t="str">
            <v>INSTITUTO DE PREVIDENCIA SOCIAL DOS SERVIDORES PUBLICOS MUNICIPAIS DE NOVO HORIZONTE - IPAM</v>
          </cell>
        </row>
        <row r="3363">
          <cell r="B3363" t="str">
            <v>M58251046000163</v>
          </cell>
          <cell r="C3363" t="str">
            <v>SINAI ASSET BRASIL LTDA.</v>
          </cell>
          <cell r="D3363" t="str">
            <v>SINAI ASSET BRASIL LTDA.</v>
          </cell>
          <cell r="E3363" t="str">
            <v>SINAI ASSET BRASIL LTDA.</v>
          </cell>
        </row>
        <row r="3364">
          <cell r="B3364">
            <v>82852</v>
          </cell>
          <cell r="C3364" t="str">
            <v>CSHG JIVE DISTRESSED ALLOCATION II PVT FIF MM CP RL</v>
          </cell>
          <cell r="D3364" t="str">
            <v>CSHG JIVE DISTRESSED ALLOCATION II PVT FIF MM CP RL</v>
          </cell>
          <cell r="E3364" t="str">
            <v>ITAU UNIBANCO ASSET - TACO</v>
          </cell>
        </row>
        <row r="3365">
          <cell r="B3365">
            <v>82854</v>
          </cell>
          <cell r="C3365" t="str">
            <v>ITAU FLEXPREV VERTICE IRF-M P3 FIF RF RL</v>
          </cell>
          <cell r="D3365" t="str">
            <v>ITAU FLEXPREV VERTICE IRF-M P3 FIF RF RL</v>
          </cell>
          <cell r="E3365" t="str">
            <v>ITAU UNIBANCO ASSET - TACO</v>
          </cell>
        </row>
        <row r="3366">
          <cell r="B3366">
            <v>82855</v>
          </cell>
          <cell r="C3366" t="str">
            <v>SHARE STUDENT LIVING PVT FIF MULT RL</v>
          </cell>
          <cell r="D3366" t="str">
            <v>SHARE STUDENT LIVING PVT FIF MULT RL</v>
          </cell>
          <cell r="E3366" t="str">
            <v>ITAU UNIBANCO ASSET - TACO</v>
          </cell>
        </row>
        <row r="3367">
          <cell r="B3367">
            <v>82856</v>
          </cell>
          <cell r="C3367" t="str">
            <v>ITAU MASTER GLOBAL DINAMICO MULTIMERCADO FI</v>
          </cell>
          <cell r="D3367" t="str">
            <v>ITAU MASTER GLOBAL DINAMICO MULTIMERCADO FI</v>
          </cell>
          <cell r="E3367" t="str">
            <v>ITAU UNIBANCO ASSET - TACO</v>
          </cell>
        </row>
        <row r="3368">
          <cell r="B3368">
            <v>82856</v>
          </cell>
          <cell r="C3368" t="str">
            <v>ITAU MASTER GLOBAL DINAMICO MULTIMERCADO FI</v>
          </cell>
          <cell r="D3368" t="str">
            <v>ITAU MASTER GLOBAL DINAMICO MULTIMERCADO FI</v>
          </cell>
          <cell r="E3368" t="str">
            <v>ITAU UNIBANCO ASSET - TACO</v>
          </cell>
        </row>
        <row r="3369">
          <cell r="B3369">
            <v>82857</v>
          </cell>
          <cell r="C3369" t="str">
            <v>ITAU VERTICE OMNI FIF MULTIMERCADO RESPONSABILIDADE LIMITADA</v>
          </cell>
          <cell r="D3369" t="str">
            <v>ITAU VERTICE OMNI FIF MULTIMERCADO RESPONSABILIDADE LIMITADA</v>
          </cell>
          <cell r="E3369" t="str">
            <v>ITAU UNIBANCO ASSET - TACO</v>
          </cell>
        </row>
        <row r="3370">
          <cell r="B3370">
            <v>82857</v>
          </cell>
          <cell r="C3370" t="str">
            <v>ITAU VERTICE OMNI FIF MULTIMERCADO RESPONSABILIDADE LIMITADA</v>
          </cell>
          <cell r="D3370" t="str">
            <v>ITAU VERTICE OMNI FIF MULTIMERCADO RESPONSABILIDADE LIMITADA</v>
          </cell>
          <cell r="E3370" t="str">
            <v>ITAU UNIBANCO ASSET - TACO</v>
          </cell>
        </row>
        <row r="3371">
          <cell r="B3371" t="str">
            <v>M04332281000130</v>
          </cell>
          <cell r="C3371" t="str">
            <v>GOLDMAN SACHS DO BRASIL BANCO MULTIPLO S.A.</v>
          </cell>
          <cell r="D3371" t="str">
            <v>GOLDMAN SACHS DO BRASIL BANCO MULTIPLO S/A</v>
          </cell>
          <cell r="E3371" t="str">
            <v>GOLDMAN SACHS DO BRASIL BANCO MULTIPLO S/A</v>
          </cell>
        </row>
        <row r="3372">
          <cell r="B3372">
            <v>122</v>
          </cell>
          <cell r="C3372" t="str">
            <v>BGC LIQUIDEZ DTVM LTDA - GFI</v>
          </cell>
          <cell r="D3372" t="str">
            <v>BGC LIQUIDEZ DTVM LTDA - GFI</v>
          </cell>
          <cell r="E3372" t="str">
            <v>BGC LIQUIDEZ DTVM LTDA - GFI</v>
          </cell>
        </row>
        <row r="3373">
          <cell r="B3373">
            <v>122</v>
          </cell>
          <cell r="C3373" t="str">
            <v>BGC LIQUIDEZ DTVM LTDA - GFI</v>
          </cell>
          <cell r="D3373" t="str">
            <v>BGC LIQUIDEZ DTVM LTDA - GFI</v>
          </cell>
          <cell r="E3373" t="str">
            <v>BGC LIQUIDEZ DTVM LTDA - GFI</v>
          </cell>
        </row>
        <row r="3374">
          <cell r="B3374">
            <v>77735</v>
          </cell>
          <cell r="C3374" t="str">
            <v>XP INVESTIMENTOS CCTVM S/A</v>
          </cell>
          <cell r="D3374" t="str">
            <v>XP INVESTIMENTOS CCTVM S/A</v>
          </cell>
          <cell r="E3374" t="str">
            <v>BANCO XP S/A</v>
          </cell>
        </row>
        <row r="3375">
          <cell r="B3375">
            <v>909026</v>
          </cell>
          <cell r="C3375" t="str">
            <v>XP INVESTIMENTOS CCTVM S/A</v>
          </cell>
          <cell r="D3375" t="str">
            <v>A909026</v>
          </cell>
          <cell r="E3375" t="str">
            <v>BANCO XP S/A</v>
          </cell>
        </row>
        <row r="3376">
          <cell r="B3376" t="str">
            <v>M58138452000114</v>
          </cell>
          <cell r="D3376" t="str">
            <v>LIBERTY MUTUAL SURETY BRASIL SEGUROS S.A</v>
          </cell>
        </row>
        <row r="3377">
          <cell r="B3377">
            <v>82860</v>
          </cell>
          <cell r="C3377" t="str">
            <v>ITAU FLEXPREV MASTER GD MULTIMERCADO FUNDO DE INVESTIMENTO</v>
          </cell>
          <cell r="D3377" t="str">
            <v>ITAU FLEXPREV MASTER GD MULTIMERCADO FUNDO DE INVESTIMENTO</v>
          </cell>
          <cell r="E3377" t="str">
            <v>ITAU UNIBANCO ASSET - TACO</v>
          </cell>
        </row>
        <row r="3378">
          <cell r="B3378">
            <v>82861</v>
          </cell>
          <cell r="C3378" t="str">
            <v>ITAU MASTER GLOBAL DINAMICO MULTIMERCADO FI</v>
          </cell>
          <cell r="D3378" t="str">
            <v>ITAU MASTER GLOBAL DINAMICO MULTIMERCADO FI</v>
          </cell>
          <cell r="E3378" t="str">
            <v>ITAU UNIBANCO ASSET - TACO</v>
          </cell>
        </row>
        <row r="3379">
          <cell r="B3379" t="str">
            <v>M32345784000186</v>
          </cell>
          <cell r="C3379" t="str">
            <v>C6 CORRETORA DE TITULOS E VALORES MOBILIARIOS LTDA</v>
          </cell>
          <cell r="D3379" t="str">
            <v>C6 CORRETORA DE TITULOS E VALORES MOBILIARIOS LTDA.</v>
          </cell>
          <cell r="E3379" t="str">
            <v>C6 CORRETORA DE TITULOS E VALORES MOBILIARIOS LTDA</v>
          </cell>
        </row>
        <row r="3380">
          <cell r="B3380">
            <v>82862</v>
          </cell>
          <cell r="C3380" t="str">
            <v>ITAU MASTER GLOBAL DINAMICO ULTRA MULTIMERCADO FUNDO DE INVE</v>
          </cell>
          <cell r="D3380" t="str">
            <v>ITAU MASTER GLOBAL DINAMICO ULTRA MULTIMERCADO FUNDO DE INVE</v>
          </cell>
          <cell r="E3380" t="str">
            <v>ITAU UNIBANCO ASSET - TACO</v>
          </cell>
        </row>
        <row r="3381">
          <cell r="B3381">
            <v>82863</v>
          </cell>
          <cell r="C3381" t="str">
            <v>ITAU FLEXPREV MASTER GD MULTIMERCADO FUNDO DE INVESTIMENTO</v>
          </cell>
          <cell r="D3381" t="str">
            <v>ITAU FLEXPREV MASTER GD MULTIMERCADO FUNDO DE INVESTIMENTO</v>
          </cell>
          <cell r="E3381" t="str">
            <v>ITAU UNIBANCO ASSET - TACO</v>
          </cell>
        </row>
        <row r="3382">
          <cell r="B3382">
            <v>82865</v>
          </cell>
          <cell r="C3382" t="str">
            <v>EBURY BANCO DE CAMBIO S/A</v>
          </cell>
          <cell r="D3382" t="str">
            <v>EBURY BANCO DE CAMBIO S/A</v>
          </cell>
          <cell r="E3382" t="str">
            <v>EBURY BANCO DE CAMBIO S/A</v>
          </cell>
        </row>
        <row r="3383">
          <cell r="B3383">
            <v>132</v>
          </cell>
          <cell r="C3383" t="str">
            <v>BGC LIQUIDEZ DTVM LTDA - GFI</v>
          </cell>
          <cell r="D3383" t="str">
            <v>BGC LIQUIDEZ DTVM LTDA - GFI</v>
          </cell>
          <cell r="E3383" t="str">
            <v>BGC LIQUIDEZ DTVM LTDA - GFI</v>
          </cell>
        </row>
        <row r="3384">
          <cell r="B3384" t="str">
            <v>M54403563000150</v>
          </cell>
        </row>
        <row r="3385">
          <cell r="B3385">
            <v>82866</v>
          </cell>
          <cell r="C3385" t="str">
            <v>TARPON GESTORA DE RECURSOS LTDA</v>
          </cell>
          <cell r="D3385" t="str">
            <v>TARPON GESTORA DE RECURSOS LTDA</v>
          </cell>
          <cell r="E3385" t="str">
            <v>TARPON GESTORA DE RECURSOS LTDA</v>
          </cell>
        </row>
        <row r="3386">
          <cell r="B3386">
            <v>82866</v>
          </cell>
          <cell r="C3386" t="str">
            <v>TARPON GESTORA DE RECURSOS LTDA</v>
          </cell>
          <cell r="D3386" t="str">
            <v>TARPON GESTORA DE RECURSOS LTDA</v>
          </cell>
          <cell r="E3386" t="str">
            <v>TARPON GESTORA DE RECURSOS LTDA</v>
          </cell>
        </row>
        <row r="3387">
          <cell r="B3387" t="str">
            <v>M54048859000108</v>
          </cell>
          <cell r="D3387" t="str">
            <v>NEXA FINANCE LTDA</v>
          </cell>
          <cell r="E3387" t="str">
            <v>NEXA FINANCE LTDA</v>
          </cell>
        </row>
        <row r="3388">
          <cell r="B3388" t="str">
            <v>M07679404000100</v>
          </cell>
          <cell r="D3388" t="str">
            <v>BANCO TOPAZIO S.A.</v>
          </cell>
          <cell r="E3388" t="str">
            <v>BANCO TOPAZIO S/A</v>
          </cell>
        </row>
        <row r="3389">
          <cell r="B3389" t="str">
            <v>M48638617000163</v>
          </cell>
          <cell r="C3389" t="str">
            <v>NETZ ASSET GESTÃƒO DE RECURSOS LTDA</v>
          </cell>
          <cell r="D3389" t="str">
            <v>NETZ ASSET GESTÃƒO DE RECURSOS LTDA</v>
          </cell>
          <cell r="E3389" t="str">
            <v>NETZ ASSET GESTÃƒO DE RECURSOS LTDA</v>
          </cell>
        </row>
        <row r="3390">
          <cell r="B3390">
            <v>82867</v>
          </cell>
          <cell r="C3390" t="str">
            <v>BRASÃLIA FUNDO DE INVESTIMENTO FINANCEIRO EM AÃ‡Ã•ES - RL</v>
          </cell>
          <cell r="D3390" t="str">
            <v>BRASÃLIA FUNDO DE INVESTIMENTO FINANCEIRO EM AÃ‡Ã•ES - RL</v>
          </cell>
          <cell r="E3390" t="str">
            <v>FUNDACAO DOS ECONOMIARIOS FEDERAIS - FUNCEF</v>
          </cell>
        </row>
        <row r="3391">
          <cell r="B3391" t="str">
            <v>M04862600000110</v>
          </cell>
          <cell r="D3391" t="str">
            <v>PORTOSEG S.A. CREDITO FINANCIAMENTO E INVESTIMENTO</v>
          </cell>
          <cell r="E3391" t="str">
            <v>PORTO SEGURO INVESTIMENTOS LTDA</v>
          </cell>
        </row>
        <row r="3392">
          <cell r="B3392" t="str">
            <v>M50489148000100</v>
          </cell>
          <cell r="C3392" t="str">
            <v>MONTE BRAVO CORRETORA DE TITULOS E VALORES MOBILIARIOS S.A</v>
          </cell>
          <cell r="D3392" t="str">
            <v>MONTE BRAVO CORRETORA DE TITULOS E VALORES MOBILIARIOS S.A</v>
          </cell>
          <cell r="E3392" t="str">
            <v>MONTE BRAVO CORRETORA DE TITULOS E VALORES MOBILIARIOS S.A</v>
          </cell>
        </row>
        <row r="3393">
          <cell r="B3393">
            <v>82744</v>
          </cell>
          <cell r="C3393" t="str">
            <v>MB FUNDO DE INVESTIMENTO FINANCEIRO MULTIMERCADO</v>
          </cell>
          <cell r="D3393" t="str">
            <v>MB FUNDO DE INVESTIMENTO FINANCEIRO MULTIMERCADO</v>
          </cell>
          <cell r="E3393" t="str">
            <v>MORE INVEST GESTORA DE RECURSOS LTDA</v>
          </cell>
        </row>
        <row r="3394">
          <cell r="B3394">
            <v>82745</v>
          </cell>
          <cell r="C3394" t="str">
            <v>MB2 FUNDO DE INVESTIMENTO MULTIMERCADO CREDITO PRIVADO</v>
          </cell>
          <cell r="D3394" t="str">
            <v>MB2 FUNDO DE INVESTIMENTO MULTIMERCADO CREDITO PRIVADO</v>
          </cell>
          <cell r="E3394" t="str">
            <v>MORE INVEST GESTORA DE RECURSOS LTDA</v>
          </cell>
        </row>
        <row r="3395">
          <cell r="B3395">
            <v>82869</v>
          </cell>
          <cell r="C3395" t="str">
            <v>CITIGROUP GLOBAL MARKETS LIMITED</v>
          </cell>
          <cell r="D3395" t="str">
            <v>CITIGROUP GLOBAL MARKETS LIMITED</v>
          </cell>
          <cell r="E3395" t="str">
            <v>BANCO CITIBANK S/A</v>
          </cell>
        </row>
        <row r="3396">
          <cell r="B3396">
            <v>82870</v>
          </cell>
          <cell r="C3396" t="str">
            <v>ITAU FLEXPREV SMART ACOES BRASIL FIF RL</v>
          </cell>
          <cell r="D3396" t="str">
            <v>ITAU FLEXPREV SMART ACOES BRASIL FIF RL</v>
          </cell>
          <cell r="E3396" t="str">
            <v>ITAU UNIBANCO ASSET - TACO</v>
          </cell>
        </row>
        <row r="3397">
          <cell r="B3397">
            <v>82871</v>
          </cell>
          <cell r="C3397" t="str">
            <v>SAFRA INTELIGÃŠNCIA ARTIFICIAL FIF CI MULT RL</v>
          </cell>
          <cell r="D3397" t="str">
            <v>SAFRA INTELIGÃŠNCIA ARTIFICIAL FIF CI MULT RL</v>
          </cell>
          <cell r="E3397" t="str">
            <v>SAFRA ASSET MANAGEMENT LTDA</v>
          </cell>
        </row>
        <row r="3398">
          <cell r="B3398">
            <v>82871</v>
          </cell>
          <cell r="C3398" t="str">
            <v>SAFRA INTELIGÃŠNCIA ARTIFICIAL FIF CI MULT RL</v>
          </cell>
          <cell r="D3398" t="str">
            <v>SAFRA INTELIGÃŠNCIA ARTIFICIAL FIF CI MULT RL</v>
          </cell>
          <cell r="E3398" t="str">
            <v>SAFRA ASSET MANAGEMENT LTDA</v>
          </cell>
        </row>
        <row r="3399">
          <cell r="B3399">
            <v>82872</v>
          </cell>
          <cell r="C3399" t="str">
            <v>SUSQUEHANNA FINANCIAL GROUP LLLP</v>
          </cell>
          <cell r="D3399" t="str">
            <v>SUSQUEHANNA FINANCIAL GROUP LLLP</v>
          </cell>
          <cell r="E3399" t="str">
            <v>SUSQUEHANNA FINANCIAL GROUP LLP</v>
          </cell>
        </row>
        <row r="3400">
          <cell r="B3400">
            <v>82873</v>
          </cell>
          <cell r="C3400" t="str">
            <v>CANVAS CAPITAL S/A</v>
          </cell>
          <cell r="D3400" t="str">
            <v>CANVAS CAPITAL S/A</v>
          </cell>
          <cell r="E3400" t="str">
            <v>CANVAS CAPITAL S/A</v>
          </cell>
        </row>
        <row r="3401">
          <cell r="B3401">
            <v>82873</v>
          </cell>
          <cell r="C3401" t="str">
            <v>CANVAS CAPITAL S/A</v>
          </cell>
          <cell r="D3401" t="str">
            <v>CANVAS CAPITAL S/A</v>
          </cell>
          <cell r="E3401" t="str">
            <v>CANVAS CAPITAL S/A</v>
          </cell>
        </row>
        <row r="3402">
          <cell r="B3402">
            <v>82874</v>
          </cell>
          <cell r="C3402" t="str">
            <v>SANTANDER PREV VALENCIA GLOBAL MULTIMERCADO FIF RL</v>
          </cell>
          <cell r="D3402" t="str">
            <v>SANTANDER PREV VALENCIA GLOBAL MULTIMERCADO FIF RL</v>
          </cell>
          <cell r="E3402" t="str">
            <v>SANTANDER BRASIL GESTAO DE RECURSOS LTDA</v>
          </cell>
        </row>
        <row r="3403">
          <cell r="B3403" t="str">
            <v>M18465.825000147</v>
          </cell>
        </row>
        <row r="3404">
          <cell r="B3404" t="str">
            <v>M39669186000101</v>
          </cell>
        </row>
        <row r="3405">
          <cell r="B3405">
            <v>82875</v>
          </cell>
          <cell r="C3405" t="str">
            <v>INVESTO GESTAO DE RECURSOS LTDA</v>
          </cell>
          <cell r="D3405" t="str">
            <v>INVESTO GESTAO DE RECURSOS LTDA</v>
          </cell>
          <cell r="E3405" t="str">
            <v>INVESTO GESTAO DE RECURSOS LTDA</v>
          </cell>
        </row>
        <row r="3406">
          <cell r="B3406" t="str">
            <v>M84948157000133</v>
          </cell>
          <cell r="D3406" t="str">
            <v>JUNTO SEGUROS S.A</v>
          </cell>
          <cell r="E3406" t="str">
            <v>JUNTO SEGUROS S.A</v>
          </cell>
        </row>
        <row r="3407">
          <cell r="B3407" t="str">
            <v>M51017.957000181</v>
          </cell>
          <cell r="E3407" t="str">
            <v>PORTO SEGURO INVESTIMENTOS LTDA</v>
          </cell>
        </row>
        <row r="3408">
          <cell r="B3408">
            <v>82876</v>
          </cell>
          <cell r="C3408" t="str">
            <v>INVESTO MARKETVECTOR BRAZIL DOMESTIC EXPOSURE ETF CDI RL</v>
          </cell>
          <cell r="D3408" t="str">
            <v>INVESTO MARKETVECTOR BRAZIL DOMESTIC EXPOSURE ETF CDI RL</v>
          </cell>
          <cell r="E3408" t="str">
            <v>INVESTO GESTAO DE RECURSOS LTDA</v>
          </cell>
        </row>
        <row r="3409">
          <cell r="B3409">
            <v>82877</v>
          </cell>
          <cell r="C3409" t="str">
            <v>INVESTO MARKETVECTOR BRAZIL GLOBAL EXPOSURE ETF CDI RL</v>
          </cell>
          <cell r="D3409" t="str">
            <v>INVESTO MARKETVECTOR BRAZIL GLOBAL EXPOSURE ETF CDI RL</v>
          </cell>
          <cell r="E3409" t="str">
            <v>INVESTO GESTAO DE RECURSOS LTDA</v>
          </cell>
        </row>
        <row r="3410">
          <cell r="B3410">
            <v>82878</v>
          </cell>
          <cell r="C3410" t="str">
            <v>INVESTO MARKETVECTOR BRAZIL SMALL CAP VALUE ETF CID RL</v>
          </cell>
          <cell r="D3410" t="str">
            <v>INVESTO MARKETVECTOR BRAZIL SMALL CAP VALUE ETF CID RL</v>
          </cell>
          <cell r="E3410" t="str">
            <v>INVESTO GESTAO DE RECURSOS LTDA</v>
          </cell>
        </row>
        <row r="3411">
          <cell r="B3411" t="str">
            <v>M17922929000170</v>
          </cell>
          <cell r="D3411" t="str">
            <v>BANK J. SAFRA SARASIN LTD - BANCO SAFRA S/A</v>
          </cell>
          <cell r="E3411" t="str">
            <v>BANCO SAFRA S/A</v>
          </cell>
        </row>
        <row r="3412">
          <cell r="B3412" t="str">
            <v>M13421.810000163</v>
          </cell>
          <cell r="E3412" t="str">
            <v>VINCI GESTORA DE RECURSOS LTDA</v>
          </cell>
        </row>
        <row r="3413">
          <cell r="B3413" t="str">
            <v>M05508438000107</v>
          </cell>
          <cell r="D3413" t="str">
            <v>BANQUE J. SAFRA SARASIN (LUXEMBOURG) SA - BANCO SAFRA S/A</v>
          </cell>
          <cell r="E3413" t="str">
            <v>BANCO SAFRA S/A</v>
          </cell>
        </row>
        <row r="3414">
          <cell r="B3414">
            <v>82879</v>
          </cell>
          <cell r="C3414" t="str">
            <v>OITI FIM CP IE</v>
          </cell>
          <cell r="D3414" t="str">
            <v>OITI FIM CP IE</v>
          </cell>
          <cell r="E3414" t="str">
            <v>ITAU UNIBANCO S/A</v>
          </cell>
        </row>
        <row r="3415">
          <cell r="B3415">
            <v>82879</v>
          </cell>
          <cell r="C3415" t="str">
            <v>OITI FIM CP IE</v>
          </cell>
          <cell r="D3415" t="str">
            <v>OITI FIM CP IE</v>
          </cell>
          <cell r="E3415" t="str">
            <v>ITAU UNIBANCO S/A</v>
          </cell>
        </row>
        <row r="3416">
          <cell r="B3416">
            <v>82880</v>
          </cell>
          <cell r="C3416" t="str">
            <v>LIFETIME GESTORA DE RECURSOS LTDA</v>
          </cell>
          <cell r="D3416" t="str">
            <v>LIFETIME GESTORA DE RECURSOS LTDA</v>
          </cell>
          <cell r="E3416" t="str">
            <v>LIFETIME GESTORA DE RECURSOS LTDA</v>
          </cell>
        </row>
        <row r="3417">
          <cell r="B3417">
            <v>82880</v>
          </cell>
          <cell r="C3417" t="str">
            <v>LIFETIME GESTORA DE RECURSOS LTDA</v>
          </cell>
          <cell r="D3417" t="str">
            <v>LIFETIME GESTORA DE RECURSOS LTDA</v>
          </cell>
          <cell r="E3417" t="str">
            <v>LIFETIME GESTORA DE RECURSOS LTDA</v>
          </cell>
        </row>
        <row r="3418">
          <cell r="B3418">
            <v>82881</v>
          </cell>
          <cell r="C3418" t="str">
            <v>BRASIL CAPITAL CMPS I A PVT FIF ACOES RL</v>
          </cell>
          <cell r="D3418" t="str">
            <v>BRASIL CAPITAL CMPS I A PVT FIF ACOES RL</v>
          </cell>
          <cell r="E3418" t="str">
            <v>ITAU UNIBANCO ASSET - TACO</v>
          </cell>
        </row>
        <row r="3419">
          <cell r="B3419">
            <v>82882</v>
          </cell>
          <cell r="C3419" t="str">
            <v>CRESCERA GROWTH CAPITAL V COINV II PVT FIF MULT IE RL</v>
          </cell>
          <cell r="D3419" t="str">
            <v>CRESCERA GROWTH CAPITAL V COINV II PVT FIF MULT IE RL</v>
          </cell>
          <cell r="E3419" t="str">
            <v>ITAU UNIBANCO ASSET - TACO</v>
          </cell>
        </row>
        <row r="3420">
          <cell r="B3420">
            <v>82884</v>
          </cell>
          <cell r="C3420" t="str">
            <v>SPS III FEEDER C PVT FIF MULT CP RL</v>
          </cell>
          <cell r="D3420" t="str">
            <v>SPS III FEEDER C PVT FIF MULT CP RL</v>
          </cell>
          <cell r="E3420" t="str">
            <v>ITAU UNIBANCO ASSET - TACO</v>
          </cell>
        </row>
        <row r="3421">
          <cell r="B3421">
            <v>82885</v>
          </cell>
          <cell r="C3421" t="str">
            <v>SPX DISTRESSED REAL ESTATE OPPOR PORTUGAL PVT FIF MULT RL</v>
          </cell>
          <cell r="D3421" t="str">
            <v>SPX DISTRESSED REAL ESTATE OPPOR PORTUGAL PVT FIF MULT RL</v>
          </cell>
          <cell r="E3421" t="str">
            <v>ITAU UNIBANCO ASSET - TACO</v>
          </cell>
        </row>
        <row r="3422">
          <cell r="B3422">
            <v>82886</v>
          </cell>
          <cell r="C3422" t="str">
            <v>VINCI CAPITAL PARTNERS COINV TELEC PVT FIF MULT RL</v>
          </cell>
          <cell r="D3422" t="str">
            <v>VINCI CAPITAL PARTNERS COINV TELEC PVT FIF MULT RL</v>
          </cell>
          <cell r="E3422" t="str">
            <v>ITAU UNIBANCO ASSET - TACO</v>
          </cell>
        </row>
        <row r="3423">
          <cell r="B3423">
            <v>82887</v>
          </cell>
          <cell r="C3423" t="str">
            <v>VINCI CAPITAL PARTNERS III MASTER P PVT FIF MULT RL</v>
          </cell>
          <cell r="D3423" t="str">
            <v>VINCI CAPITAL PARTNERS III MASTER P PVT FIF MULT RL</v>
          </cell>
          <cell r="E3423" t="str">
            <v>ITAU UNIBANCO ASSET - TACO</v>
          </cell>
        </row>
        <row r="3424">
          <cell r="B3424" t="str">
            <v>M39720.860000135</v>
          </cell>
        </row>
        <row r="3425">
          <cell r="B3425">
            <v>82888</v>
          </cell>
          <cell r="C3425" t="str">
            <v>SANTANDER 20 I CRÃ‰DITO PRIVADO MULTIMERCADO CIC FIF RL</v>
          </cell>
          <cell r="D3425" t="str">
            <v>SANTANDER 20 I CRÃ‰DITO PRIVADO MULTIMERCADO CIC FIF RL</v>
          </cell>
          <cell r="E3425" t="str">
            <v>SANTANDER BRASIL GESTAO DE RECURSOS LTDA</v>
          </cell>
        </row>
        <row r="3426">
          <cell r="B3426">
            <v>82888</v>
          </cell>
          <cell r="C3426" t="str">
            <v>SANTANDER 20 I CRÃ‰DITO PRIVADO MULTIMERCADO CIC FIF RL</v>
          </cell>
          <cell r="D3426" t="str">
            <v>SANTANDER 20 I CRÃ‰DITO PRIVADO MULTIMERCADO CIC FIF RL</v>
          </cell>
          <cell r="E3426" t="str">
            <v>SANTANDER BRASIL GESTAO DE RECURSOS LTDA</v>
          </cell>
        </row>
        <row r="3427">
          <cell r="B3427">
            <v>82889</v>
          </cell>
          <cell r="C3427" t="str">
            <v>SANTANDER 20 II MULTIMERCADO CREDITO PRIVADO CIC FIF RL</v>
          </cell>
          <cell r="D3427" t="str">
            <v>SANTANDER 20 II MULTIMERCADO CREDITO PRIVADO CIC FIF RL</v>
          </cell>
          <cell r="E3427" t="str">
            <v>SANTANDER BRASIL GESTAO DE RECURSOS LTDA</v>
          </cell>
        </row>
        <row r="3428">
          <cell r="B3428">
            <v>82890</v>
          </cell>
          <cell r="C3428" t="str">
            <v>SANTANDER PREV AGRESSIVO SUPERIOR MM CP CIC FIF RL</v>
          </cell>
          <cell r="D3428" t="str">
            <v>SANTANDER PREV AGRESSIVO SUPERIOR MM CP CIC FIF RL</v>
          </cell>
          <cell r="E3428" t="str">
            <v>SANTANDER BRASIL GESTAO DE RECURSOS LTDA</v>
          </cell>
        </row>
        <row r="3429">
          <cell r="B3429" t="str">
            <v>M60746.948000112</v>
          </cell>
          <cell r="E3429" t="str">
            <v>BANCO BRADESCO S/A</v>
          </cell>
        </row>
        <row r="3430">
          <cell r="B3430" t="str">
            <v>M29650.082000100</v>
          </cell>
          <cell r="C3430" t="str">
            <v>BTG PACTUAL ASSET MANAGEMENT SA DTVM</v>
          </cell>
          <cell r="D3430" t="str">
            <v>BTG PACTUAL ASSET MANAGEMENT SA DTVM</v>
          </cell>
          <cell r="E3430" t="str">
            <v>BTG PACTUAL ASSET MANAGEMENT SA DTVM</v>
          </cell>
        </row>
        <row r="3431">
          <cell r="B3431" t="str">
            <v>M03502.968000104</v>
          </cell>
          <cell r="E3431" t="str">
            <v>SANTANDER DISTRIBUIDORA DE TITULOS E VALORES MOBILIARIOS S/A</v>
          </cell>
        </row>
        <row r="3432">
          <cell r="B3432">
            <v>82891</v>
          </cell>
          <cell r="C3432" t="str">
            <v>SANTANDER 20 III MULTIMERCADO CREDITO PRIVADO - CIC FIF RL</v>
          </cell>
          <cell r="D3432" t="str">
            <v>SANTANDER 20 III MULTIMERCADO CREDITO PRIVADO - CIC FIF RL</v>
          </cell>
          <cell r="E3432" t="str">
            <v>SANTANDER BRASIL GESTAO DE RECURSOS LTDA</v>
          </cell>
        </row>
        <row r="3433">
          <cell r="B3433">
            <v>82892</v>
          </cell>
          <cell r="C3433" t="str">
            <v>SANTANDER 49 I MULTIMERCADO CREDITO PRIVADO - CIC FIF RL</v>
          </cell>
          <cell r="D3433" t="str">
            <v>SANTANDER 49 I MULTIMERCADO CREDITO PRIVADO - CIC FIF RL</v>
          </cell>
          <cell r="E3433" t="str">
            <v>SANTANDER BRASIL GESTAO DE RECURSOS LTDA</v>
          </cell>
        </row>
        <row r="3434">
          <cell r="B3434">
            <v>82893</v>
          </cell>
          <cell r="C3434" t="str">
            <v>SANTANDER 49 II MULTIMERCADO CREDITO PRIVADO - CIC FIF RL</v>
          </cell>
          <cell r="D3434" t="str">
            <v>SANTANDER 49 II MULTIMERCADO CREDITO PRIVADO - CIC FIF RL</v>
          </cell>
          <cell r="E3434" t="str">
            <v>SANTANDER BRASIL GESTAO DE RECURSOS LTDA</v>
          </cell>
        </row>
        <row r="3435">
          <cell r="B3435">
            <v>82894</v>
          </cell>
          <cell r="C3435" t="str">
            <v>SANTANDER 49 III MULTIMERCADO CREDITO PRIVADO - CIC FIF RL</v>
          </cell>
          <cell r="D3435" t="str">
            <v>SANTANDER 49 III MULTIMERCADO CREDITO PRIVADO - CIC FIF RL</v>
          </cell>
          <cell r="E3435" t="str">
            <v>SANTANDER BRASIL GESTAO DE RECURSOS LTDA</v>
          </cell>
        </row>
        <row r="3436">
          <cell r="B3436">
            <v>82895</v>
          </cell>
          <cell r="C3436" t="str">
            <v>SANTANDER 49 MULTIMERCADO CREDITO PRIVADO - CIC FIF RL</v>
          </cell>
          <cell r="D3436" t="str">
            <v>SANTANDER 49 MULTIMERCADO CREDITO PRIVADO - CIC FIF RL</v>
          </cell>
          <cell r="E3436" t="str">
            <v>SANTANDER BRASIL GESTAO DE RECURSOS LTDA</v>
          </cell>
        </row>
        <row r="3437">
          <cell r="B3437">
            <v>82896</v>
          </cell>
          <cell r="C3437" t="str">
            <v>SANTANDER PREV CMA MULTIMERCADO CREDITO PRIVADO - CIC FIF RL</v>
          </cell>
          <cell r="D3437" t="str">
            <v>SANTANDER PREV CMA MULTIMERCADO CREDITO PRIVADO - CIC FIF RL</v>
          </cell>
          <cell r="E3437" t="str">
            <v>SANTANDER BRASIL GESTAO DE RECURSOS LTDA</v>
          </cell>
        </row>
        <row r="3438">
          <cell r="B3438">
            <v>82897</v>
          </cell>
          <cell r="C3438" t="str">
            <v>SANTANDER PREV MODERADO SUPERIOR MULT CP - CIC FIF RL</v>
          </cell>
          <cell r="D3438" t="str">
            <v>SANTANDER PREV MODERADO SUPERIOR MULT CP - CIC FIF RL</v>
          </cell>
          <cell r="E3438" t="str">
            <v>SANTANDER BRASIL GESTAO DE RECURSOS LTDA</v>
          </cell>
        </row>
        <row r="3439">
          <cell r="B3439">
            <v>82898</v>
          </cell>
          <cell r="C3439" t="str">
            <v>SUMAUMA TOP5 MASTER FIA</v>
          </cell>
          <cell r="D3439" t="str">
            <v>SUMAUMA TOP5 MASTER FIA</v>
          </cell>
          <cell r="E3439" t="str">
            <v>LIFETIME GESTORA DE RECURSOS LTDA</v>
          </cell>
        </row>
        <row r="3440">
          <cell r="B3440">
            <v>82899</v>
          </cell>
          <cell r="C3440" t="str">
            <v>SANTANDER PREV MODERADO MULTIMERCADO CP - CIC FIF RL</v>
          </cell>
          <cell r="D3440" t="str">
            <v>SANTANDER PREV MODERADO MULTIMERCADO CP - CIC FIF RL</v>
          </cell>
          <cell r="E3440" t="str">
            <v>SANTANDER BRASIL GESTAO DE RECURSOS LTDA</v>
          </cell>
        </row>
        <row r="3441">
          <cell r="B3441">
            <v>82900</v>
          </cell>
          <cell r="C3441" t="str">
            <v>UMA FUNDO DE INVESTIMENTO MULTIMERCADO</v>
          </cell>
          <cell r="D3441" t="str">
            <v>UMA FUNDO DE INVESTIMENTO MULTIMERCADO</v>
          </cell>
          <cell r="E3441" t="str">
            <v>LIFETIME GESTORA DE RECURSOS LTDA</v>
          </cell>
        </row>
        <row r="3442">
          <cell r="B3442" t="str">
            <v>M28650236000192</v>
          </cell>
          <cell r="D3442" t="str">
            <v>GALAPAGOS CAPITAL DISTRIBUIDORA DE TITULOS E VALORES MOBILIARIOS S.A.</v>
          </cell>
          <cell r="E3442" t="str">
            <v>GALAPAGOS CAPITAL INVESTIMENTOS E PARTICIPAÇOES LTDA</v>
          </cell>
        </row>
        <row r="3443">
          <cell r="B3443">
            <v>82745</v>
          </cell>
          <cell r="C3443" t="str">
            <v>MB2 FUNDO DE INVESTIMENTO MULTIMERCADO CREDITO PRIVADO</v>
          </cell>
          <cell r="D3443" t="str">
            <v>MB2 FUNDO DE INVESTIMENTO MULTIMERCADO CREDITO PRIVADO</v>
          </cell>
          <cell r="E3443" t="str">
            <v>MORE INVEST GESTORA DE RECURSOS LTDA</v>
          </cell>
        </row>
        <row r="3444">
          <cell r="B3444">
            <v>82778</v>
          </cell>
          <cell r="C3444" t="str">
            <v>MORE INVEST GESTORA DE RECURSOS LTDA</v>
          </cell>
          <cell r="D3444" t="str">
            <v>MORE INVEST GESTORA DE RECURSOS LTDA</v>
          </cell>
          <cell r="E3444" t="str">
            <v>MORE INVEST GESTORA DE RECURSOS LTDA</v>
          </cell>
        </row>
        <row r="3445">
          <cell r="B3445" t="str">
            <v>M48922009000186</v>
          </cell>
          <cell r="D3445" t="str">
            <v>GARIN &amp; CIA LIMITADA</v>
          </cell>
          <cell r="E3445" t="str">
            <v>BANCO BTG PACTUAL S/A</v>
          </cell>
        </row>
        <row r="3446">
          <cell r="B3446">
            <v>82902</v>
          </cell>
          <cell r="C3446" t="str">
            <v>ITAU HUNTER LONG SHORT PLUS FIF MULTMERCADO RL</v>
          </cell>
          <cell r="D3446" t="str">
            <v>ITAU HUNTER LONG SHORT PLUS FIF MULTMERCADO RL</v>
          </cell>
          <cell r="E3446" t="str">
            <v>ITAU UNIBANCO ASSET - TACO</v>
          </cell>
        </row>
        <row r="3447">
          <cell r="B3447">
            <v>82903</v>
          </cell>
          <cell r="C3447" t="str">
            <v>ITAU GOLD US MULTIMERCADO IE FIF RL</v>
          </cell>
          <cell r="D3447" t="str">
            <v>ITAU GOLD US MULTIMERCADO IE FIF RL</v>
          </cell>
          <cell r="E3447" t="str">
            <v>ITAU UNIBANCO ASSET - TACO</v>
          </cell>
        </row>
        <row r="3448">
          <cell r="B3448">
            <v>82904</v>
          </cell>
          <cell r="C3448" t="str">
            <v>ITAU DUAL ADVANCED VÃ‰RTICE OFF PREV FIF MULTIMERCADO CP RL</v>
          </cell>
          <cell r="D3448" t="str">
            <v>ITAU DUAL ADVANCED VÃ‰RTICE OFF PREV FIF MULTIMERCADO CP RL</v>
          </cell>
          <cell r="E3448" t="str">
            <v>ITAU UNIBANCO ASSET - TACO</v>
          </cell>
        </row>
        <row r="3449">
          <cell r="B3449" t="str">
            <v>M26454.342000175</v>
          </cell>
          <cell r="C3449" t="str">
            <v>LIFETIME GESTORA DE RECURSOS LTDA</v>
          </cell>
          <cell r="D3449" t="str">
            <v>LIFETIME GESTORA DE RECURSOS LTDA</v>
          </cell>
          <cell r="E3449" t="str">
            <v>LIFETIME GESTORA DE RECURSOS LTDA</v>
          </cell>
        </row>
        <row r="3450">
          <cell r="B3450" t="str">
            <v>M17285.755000182</v>
          </cell>
          <cell r="E3450" t="str">
            <v>ABSOLUTE GESTAO DE INVESTIMENTOS LTDA</v>
          </cell>
        </row>
        <row r="3451">
          <cell r="B3451">
            <v>82905</v>
          </cell>
          <cell r="C3451" t="str">
            <v>FP RE FUNDO DE INVESTIMENTO FINANCEIRO MULTIMERCADO RL</v>
          </cell>
          <cell r="D3451" t="str">
            <v>FP RE FUNDO DE INVESTIMENTO FINANCEIRO MULTIMERCADO RL</v>
          </cell>
          <cell r="E3451" t="str">
            <v>FUNDACAO PETROBRAS DE SEGURIDADE SOCIAL PETROS</v>
          </cell>
        </row>
        <row r="3452">
          <cell r="B3452">
            <v>82906</v>
          </cell>
          <cell r="C3452" t="str">
            <v>PETROS SELECAO RETORNO REAL FIF - CI EM ACOES RL</v>
          </cell>
          <cell r="D3452" t="str">
            <v>PETROS SELECAO RETORNO REAL FIF - CI EM ACOES RL</v>
          </cell>
          <cell r="E3452" t="str">
            <v>FUNDACAO PETROBRAS DE SEGURIDADE SOCIAL PETROS</v>
          </cell>
        </row>
        <row r="3453">
          <cell r="B3453" t="str">
            <v>M24176.946000171</v>
          </cell>
          <cell r="E3453" t="str">
            <v>WARREN BRASIL GESTÃO E ADMINISTRAÇÃO DE RECURSOS LTDA</v>
          </cell>
        </row>
        <row r="3454">
          <cell r="B3454" t="str">
            <v>M09594758000170</v>
          </cell>
        </row>
        <row r="3455">
          <cell r="B3455" t="str">
            <v>M09594.758000170</v>
          </cell>
        </row>
        <row r="3456">
          <cell r="B3456" t="str">
            <v>M23907409000191</v>
          </cell>
          <cell r="C3456" t="str">
            <v>INSTITUTO DE PREV SOCIAL DOS SERV MUNICIPAIS DE ITUPEVA</v>
          </cell>
          <cell r="D3456" t="str">
            <v>INSTITUTO DE PREVIDENCIA SOCIAL DOS SERVIDORES MUNICIPAIS DE ITUPEVA</v>
          </cell>
          <cell r="E3456" t="str">
            <v>INSTITUTO DE PREV SOCIAL DOS SERV MUNICIPAIS DE ITUPEVA</v>
          </cell>
        </row>
        <row r="3457">
          <cell r="B3457" t="str">
            <v>M21813291000107</v>
          </cell>
          <cell r="C3457" t="str">
            <v>SUL AMERICA INVESTIMENTOS GESTORA DE RECURSOS S/A</v>
          </cell>
          <cell r="D3457" t="str">
            <v>SUL AMERICA INVESTIMENTOS GESTORA DE RECURSOS S/A</v>
          </cell>
          <cell r="E3457" t="str">
            <v>SUL AMERICA INVESTIMENTOS GESTORA DE RECURSOS S/A</v>
          </cell>
        </row>
        <row r="3458">
          <cell r="B3458" t="str">
            <v>M08204.817000193</v>
          </cell>
        </row>
        <row r="3459">
          <cell r="B3459">
            <v>91600</v>
          </cell>
          <cell r="C3459" t="str">
            <v>XP INVESTIMENTOS CCTVM S/A</v>
          </cell>
          <cell r="D3459" t="str">
            <v>XP INVESTIMENTOS CCTVM S/A</v>
          </cell>
          <cell r="E3459" t="str">
            <v>BANCO XP S/A</v>
          </cell>
        </row>
        <row r="3460">
          <cell r="B3460" t="str">
            <v>M09664.936000191</v>
          </cell>
          <cell r="E3460" t="str">
            <v>ANDBANK GESTAO DE PATRIMONIO FINANCEIRO LTDA</v>
          </cell>
        </row>
        <row r="3461">
          <cell r="B3461">
            <v>82907</v>
          </cell>
          <cell r="C3461" t="str">
            <v>ITAU OPTIMUS LONG SHORT FIF MULT RESP LIMITADA</v>
          </cell>
          <cell r="D3461" t="str">
            <v>ITAU OPTIMUS LONG SHORT FIF MULT RESP LIMITADA</v>
          </cell>
          <cell r="E3461" t="str">
            <v>ITAU UNIBANCO ASSET - TACO</v>
          </cell>
        </row>
        <row r="3462">
          <cell r="B3462" t="str">
            <v>M40430.971000196</v>
          </cell>
        </row>
        <row r="3463">
          <cell r="B3463">
            <v>82908</v>
          </cell>
          <cell r="C3463" t="str">
            <v>AZ QUEST LOW VOL FIM</v>
          </cell>
          <cell r="D3463" t="str">
            <v>AZ QUEST LOW VOL FIM</v>
          </cell>
          <cell r="E3463" t="str">
            <v>AZ QUEST INVESTIMENTOS LTDA</v>
          </cell>
        </row>
        <row r="3464">
          <cell r="B3464">
            <v>82908</v>
          </cell>
          <cell r="C3464" t="str">
            <v>AZ QUEST LOW VOL FIM</v>
          </cell>
          <cell r="D3464" t="str">
            <v>AZ QUEST LOW VOL FIM</v>
          </cell>
          <cell r="E3464" t="str">
            <v>AZ QUEST INVESTIMENTOS LTDA</v>
          </cell>
        </row>
        <row r="3465">
          <cell r="B3465" t="str">
            <v>M31846.872000107</v>
          </cell>
          <cell r="E3465" t="str">
            <v>VINLAND CAPITAL MANAGEMENT GESTORA DE RECURSOS LTDA</v>
          </cell>
        </row>
        <row r="3466">
          <cell r="B3466" t="str">
            <v>M43241.789000185</v>
          </cell>
        </row>
        <row r="3467">
          <cell r="B3467" t="str">
            <v>M05563.299000106</v>
          </cell>
        </row>
        <row r="3468">
          <cell r="B3468" t="str">
            <v>M13189.882000127</v>
          </cell>
        </row>
        <row r="3469">
          <cell r="B3469" t="str">
            <v>M34867.534000131</v>
          </cell>
        </row>
        <row r="3470">
          <cell r="B3470" t="str">
            <v>M20710.453000119</v>
          </cell>
          <cell r="C3470" t="str">
            <v>TRAFALGAR GESTAO DE RECURSOS LTDA</v>
          </cell>
          <cell r="D3470" t="str">
            <v>TRAFALGAR GESTAO DE RECURSOS LTDA</v>
          </cell>
          <cell r="E3470" t="str">
            <v>TRAFALGAR GESTAO DE RECURSOS LTDA</v>
          </cell>
        </row>
        <row r="3471">
          <cell r="B3471" t="str">
            <v>M19493.000000107</v>
          </cell>
        </row>
        <row r="3472">
          <cell r="B3472">
            <v>82910</v>
          </cell>
          <cell r="C3472" t="str">
            <v>JNJ IBRX PASSIVO FIF CLASSE DE INVESTIMENTO EM ACOES RL</v>
          </cell>
          <cell r="D3472" t="str">
            <v>JNJ IBRX PASSIVO FIF CLASSE DE INVESTIMENTO EM ACOES RL</v>
          </cell>
          <cell r="E3472" t="str">
            <v>SANTANDER BRASIL GESTAO DE RECURSOS LTDA</v>
          </cell>
        </row>
        <row r="3473">
          <cell r="B3473" t="str">
            <v>M21986074000119</v>
          </cell>
          <cell r="D3473" t="str">
            <v>PRUDENTIAL DO BRASIL SEGUROS S.A.</v>
          </cell>
        </row>
        <row r="3474">
          <cell r="B3474" t="str">
            <v>M15555.601000138</v>
          </cell>
        </row>
        <row r="3475">
          <cell r="B3475">
            <v>82911</v>
          </cell>
          <cell r="C3475" t="str">
            <v>MORADA PREV FUNDO DE INVESTIMENTO FINANCEIRO EM AÃ‡Ã•ES</v>
          </cell>
          <cell r="D3475" t="str">
            <v>MORADA PREV FUNDO DE INVESTIMENTO FINANCEIRO EM AÃ‡Ã•ES</v>
          </cell>
          <cell r="E3475" t="str">
            <v>MORADA CAPITAL LTDA</v>
          </cell>
        </row>
        <row r="3476">
          <cell r="B3476" t="str">
            <v>M09288056000168</v>
          </cell>
          <cell r="D3476" t="str">
            <v>JUNTO HOLDING BRASIL S.A.</v>
          </cell>
          <cell r="E3476" t="str">
            <v>JUNTO SEGUROS S.A</v>
          </cell>
        </row>
        <row r="3477">
          <cell r="B3477" t="str">
            <v>M65913.436000117</v>
          </cell>
        </row>
        <row r="3478">
          <cell r="B3478" t="str">
            <v>M08604.187000144</v>
          </cell>
        </row>
        <row r="3479">
          <cell r="B3479" t="str">
            <v>M05585.083000141</v>
          </cell>
        </row>
        <row r="3480">
          <cell r="B3480">
            <v>82912</v>
          </cell>
          <cell r="C3480" t="str">
            <v>SCOTIABANK BRASIL S.A. CTVM</v>
          </cell>
          <cell r="D3480" t="str">
            <v>SCOTIABANK BRASIL S.A. CTVM</v>
          </cell>
          <cell r="E3480" t="str">
            <v>SCOTIABANK BRASIL S/A</v>
          </cell>
        </row>
        <row r="3481">
          <cell r="B3481">
            <v>82913</v>
          </cell>
          <cell r="C3481" t="str">
            <v>SCOTIABANK BRASIL S.A. CTVM</v>
          </cell>
          <cell r="D3481" t="str">
            <v>SCOTIABANK BRASIL S.A. CTVM</v>
          </cell>
          <cell r="E3481" t="str">
            <v>SCOTIABANK BRASIL S/A</v>
          </cell>
        </row>
        <row r="3482">
          <cell r="B3482" t="str">
            <v>M93015006000113</v>
          </cell>
          <cell r="C3482" t="str">
            <v>COMPANHIA ZAFFARI COMERCIO E INDUSTRIA</v>
          </cell>
          <cell r="D3482" t="str">
            <v>COMPANHIA ZAFFARI COMERCIO E INDUSTRIA</v>
          </cell>
          <cell r="E3482" t="str">
            <v>COMPANHIA ZAFFARI COMERCIO E INDUSTRIA</v>
          </cell>
        </row>
        <row r="3483">
          <cell r="B3483" t="str">
            <v>M04529689000105</v>
          </cell>
          <cell r="D3483" t="str">
            <v>INSTITUTO DE PREVIDENCIA SOCIAL DOS SERVIDORES PUBLICOS DO MUNICIPIO DE NOVA TRENTO</v>
          </cell>
        </row>
        <row r="3484">
          <cell r="B3484" t="str">
            <v>M0433228100013001</v>
          </cell>
          <cell r="D3484" t="str">
            <v>GOLDMAN SACHS DO BRASIL BANCO MULTIPLO S/A</v>
          </cell>
          <cell r="E3484" t="str">
            <v>GOLDMAN SACHS DO BRASIL BANCO MULTIPLO S/A</v>
          </cell>
        </row>
        <row r="3485">
          <cell r="B3485" t="str">
            <v>M68328.632000112</v>
          </cell>
        </row>
        <row r="3486">
          <cell r="B3486" t="str">
            <v>M26737.584000176</v>
          </cell>
        </row>
        <row r="3487">
          <cell r="B3487" t="str">
            <v>M11392.069000124</v>
          </cell>
        </row>
        <row r="3488">
          <cell r="B3488" t="str">
            <v>M03214.650000128</v>
          </cell>
        </row>
        <row r="3489">
          <cell r="B3489" t="str">
            <v>M16500.294000150</v>
          </cell>
        </row>
        <row r="3490">
          <cell r="B3490" t="str">
            <v>M12330.774000160</v>
          </cell>
        </row>
        <row r="3491">
          <cell r="B3491" t="str">
            <v>M09262.533000116</v>
          </cell>
        </row>
        <row r="3492">
          <cell r="B3492" t="str">
            <v>M03795.072000160</v>
          </cell>
        </row>
        <row r="3493">
          <cell r="B3493" t="str">
            <v>M25052436000155</v>
          </cell>
          <cell r="D3493" t="str">
            <v>TNAX INDUSTRIA E COMERCIO DE CABOS SINTETICOS LTDA</v>
          </cell>
          <cell r="E3493" t="str">
            <v>TENAX CAPITAL LTDA</v>
          </cell>
        </row>
        <row r="3494">
          <cell r="B3494" t="str">
            <v>M34276.448000154</v>
          </cell>
        </row>
        <row r="3495">
          <cell r="B3495" t="str">
            <v>M92682038000100</v>
          </cell>
          <cell r="D3495" t="str">
            <v>BRADESCO AUTO/RE COMPANHIA DE SEGUROS</v>
          </cell>
        </row>
        <row r="3496">
          <cell r="B3496" t="str">
            <v>M92682.038000100</v>
          </cell>
          <cell r="D3496" t="str">
            <v>BRADESCO AUTO/RE COMPANHIA DE SEGUROS</v>
          </cell>
        </row>
        <row r="3497">
          <cell r="B3497" t="str">
            <v>M19005.052000189</v>
          </cell>
        </row>
        <row r="3498">
          <cell r="B3498" t="str">
            <v>M11397.672000280</v>
          </cell>
        </row>
        <row r="3499">
          <cell r="B3499" t="str">
            <v>M93026.847000126</v>
          </cell>
        </row>
        <row r="3500">
          <cell r="B3500" t="str">
            <v>M72745.714000130</v>
          </cell>
        </row>
        <row r="3501">
          <cell r="B3501" t="str">
            <v>M16492.391000149</v>
          </cell>
          <cell r="E3501" t="str">
            <v>PORTO SEGURO INVESTIMENTOS LTDA</v>
          </cell>
        </row>
        <row r="3502">
          <cell r="B3502" t="str">
            <v>M10231.177000152</v>
          </cell>
        </row>
        <row r="3503">
          <cell r="B3503" t="str">
            <v>M20791522000166</v>
          </cell>
          <cell r="D3503" t="str">
            <v>JUNTO HOLDING LATAM S.A.</v>
          </cell>
          <cell r="E3503" t="str">
            <v>JUNTO SEGUROS S.A</v>
          </cell>
        </row>
        <row r="3504">
          <cell r="B3504">
            <v>82915</v>
          </cell>
          <cell r="C3504" t="str">
            <v>SUSQUEHANNA FINANCIAL GROUP LLLP</v>
          </cell>
          <cell r="D3504" t="str">
            <v>SUSQUEHANNA FINANCIAL GROUP LLLP</v>
          </cell>
          <cell r="E3504" t="str">
            <v>SUSQUEHANNA FINANCIAL GROUP LLP</v>
          </cell>
        </row>
        <row r="3505">
          <cell r="B3505">
            <v>82915</v>
          </cell>
          <cell r="C3505" t="str">
            <v>SUSQUEHANNA FINANCIAL GROUP LLLP</v>
          </cell>
          <cell r="D3505" t="str">
            <v>SUSQUEHANNA FINANCIAL GROUP LLLP</v>
          </cell>
          <cell r="E3505" t="str">
            <v>SUSQUEHANNA FINANCIAL GROUP LLP</v>
          </cell>
        </row>
        <row r="3506">
          <cell r="B3506" t="str">
            <v>M54048.859000108</v>
          </cell>
        </row>
        <row r="3507">
          <cell r="B3507" t="str">
            <v>M33411.393000185</v>
          </cell>
        </row>
        <row r="3508">
          <cell r="B3508" t="str">
            <v>M29349.426000137</v>
          </cell>
        </row>
        <row r="3509">
          <cell r="B3509" t="str">
            <v>M43228.545000162</v>
          </cell>
        </row>
        <row r="3510">
          <cell r="B3510" t="str">
            <v>M05451.668000179</v>
          </cell>
        </row>
        <row r="3511">
          <cell r="B3511" t="str">
            <v>M02312.792000165</v>
          </cell>
        </row>
        <row r="3512">
          <cell r="B3512" t="str">
            <v>M03546261000108</v>
          </cell>
          <cell r="D3512" t="str">
            <v>CARDIF DO BRASIL VIDA E PREVIDENCIA S/A</v>
          </cell>
          <cell r="E3512" t="str">
            <v>CARDIF DO BRASIL SEGUROS E GARANTIAS S/A</v>
          </cell>
        </row>
        <row r="3513">
          <cell r="B3513">
            <v>82916</v>
          </cell>
          <cell r="C3513" t="str">
            <v>CANASTRA FUNDO DE INVESTIMENTO FINANCEIRO EM AÃ‡Ã•ES</v>
          </cell>
          <cell r="D3513" t="str">
            <v>CANASTRA FUNDO DE INVESTIMENTO FINANCEIRO EM AÃ‡Ã•ES</v>
          </cell>
          <cell r="E3513" t="str">
            <v>SONATA GESTORA DE RECURSOS LTDA</v>
          </cell>
        </row>
        <row r="3514">
          <cell r="B3514">
            <v>82916</v>
          </cell>
          <cell r="C3514" t="str">
            <v>CANASTRA FUNDO DE INVESTIMENTO FINANCEIRO EM AÃ‡Ã•ES</v>
          </cell>
          <cell r="D3514" t="str">
            <v>CANASTRA FUNDO DE INVESTIMENTO FINANCEIRO EM AÃ‡Ã•ES</v>
          </cell>
          <cell r="E3514" t="str">
            <v>SONATA GESTORA DE RECURSOS LTDA</v>
          </cell>
        </row>
        <row r="3515">
          <cell r="B3515">
            <v>82917</v>
          </cell>
          <cell r="C3515" t="str">
            <v>LIBANUS FUNDO INCENTIVADO DE IF EM INFRAESTRUTURA RENDA FIXA</v>
          </cell>
          <cell r="D3515" t="str">
            <v>LIBANUS FUNDO INCENTIVADO DE IF EM INFRAESTRUTURA RENDA FIXA</v>
          </cell>
          <cell r="E3515" t="str">
            <v>SONATA GESTORA DE RECURSOS LTDA</v>
          </cell>
        </row>
        <row r="3516">
          <cell r="B3516">
            <v>82919</v>
          </cell>
          <cell r="C3516" t="str">
            <v>CSHG TANDERA FIF - MULTIMERCADO RESP LTDA</v>
          </cell>
          <cell r="D3516" t="str">
            <v>CSHG TANDERA FIF - MULTIMERCADO RESP LTDA</v>
          </cell>
          <cell r="E3516" t="str">
            <v>CSHG TANDERA FIF - MULTIMERCADO RESP LTDA</v>
          </cell>
        </row>
        <row r="3517">
          <cell r="B3517">
            <v>82919</v>
          </cell>
          <cell r="C3517" t="str">
            <v>CSHG TANDERA FIF - MULTIMERCADO RESP LTDA</v>
          </cell>
          <cell r="D3517" t="str">
            <v>CSHG TANDERA FIF - MULTIMERCADO RESP LTDA</v>
          </cell>
          <cell r="E3517" t="str">
            <v>CSHG TANDERA FIF - MULTIMERCADO RESP LTDA</v>
          </cell>
        </row>
        <row r="3518">
          <cell r="B3518">
            <v>80749</v>
          </cell>
          <cell r="C3518" t="str">
            <v>XP INVESTIMENTOS CCTVM S/A</v>
          </cell>
          <cell r="D3518" t="str">
            <v>XP INVESTIMENTOS CCTVM S/A</v>
          </cell>
          <cell r="E3518" t="str">
            <v>BANCO XP S/A</v>
          </cell>
        </row>
        <row r="3519">
          <cell r="B3519" t="str">
            <v>M02332886000104</v>
          </cell>
          <cell r="C3519" t="str">
            <v>XP INVESTIMENTOS CCTVM S.A.</v>
          </cell>
          <cell r="D3519" t="str">
            <v>XP INVESTIMENTOS CCTVM S/A</v>
          </cell>
          <cell r="E3519" t="str">
            <v>BANCO XP S/A</v>
          </cell>
        </row>
        <row r="3520">
          <cell r="B3520">
            <v>82921</v>
          </cell>
          <cell r="C3520" t="str">
            <v>BNP PARIBAS EQD BRAZIL FUND CLASSE DE INVESTIMENTO MULTI CP</v>
          </cell>
          <cell r="D3520" t="str">
            <v>BNP PARIBAS EQD BRAZIL FUND CLASSE DE INVESTIMENTO MULTI CP</v>
          </cell>
          <cell r="E3520" t="str">
            <v>BANCO BNP PARIBAS BRASIL S/A</v>
          </cell>
        </row>
        <row r="3521">
          <cell r="B3521">
            <v>82921</v>
          </cell>
          <cell r="C3521" t="str">
            <v>BNP PARIBAS EQD BRAZIL FUND CLASSE DE INVESTIMENTO MULTI CP</v>
          </cell>
          <cell r="D3521" t="str">
            <v>BNP PARIBAS EQD BRAZIL FUND CLASSE DE INVESTIMENTO MULTI CP</v>
          </cell>
          <cell r="E3521" t="str">
            <v>BANCO BNP PARIBAS BRASIL S/A</v>
          </cell>
        </row>
        <row r="3522">
          <cell r="B3522" t="str">
            <v>M58731578000106</v>
          </cell>
          <cell r="D3522" t="str">
            <v>BNP PARIBAS ASSET MANAGEMENT BRASIL LTDA</v>
          </cell>
          <cell r="E3522" t="str">
            <v>BNP PARIBAS ASSET MANAGEMENT BRASIL LTDA</v>
          </cell>
        </row>
        <row r="3523">
          <cell r="B3523">
            <v>122663</v>
          </cell>
          <cell r="C3523" t="str">
            <v>BNP PARIBAS STRATEGIE TOTAL FIM</v>
          </cell>
          <cell r="D3523" t="str">
            <v>BNP PARIBAS STRATEGIE TOTAL FIM</v>
          </cell>
          <cell r="E3523" t="str">
            <v>BNP PARIBAS ASSET MANAGEMENT BRASIL LTDA</v>
          </cell>
        </row>
        <row r="3524">
          <cell r="B3524">
            <v>82933</v>
          </cell>
          <cell r="C3524" t="str">
            <v>NOVO PLANO DE BENEFICIOS DA FUNCEF</v>
          </cell>
          <cell r="D3524" t="str">
            <v>NOVO PLANO DE BENEFICIOS DA FUNCEF</v>
          </cell>
          <cell r="E3524" t="str">
            <v>FUNDACAO DOS ECONOMIARIOS FEDERAIS - FUNCEF</v>
          </cell>
        </row>
        <row r="3525">
          <cell r="B3525">
            <v>82934</v>
          </cell>
          <cell r="C3525" t="str">
            <v>REGULAMENTO DO PLANO DE BENEFICIOS REG REPLAN</v>
          </cell>
          <cell r="D3525" t="str">
            <v>REGULAMENTO DO PLANO DE BENEFICIOS REG REPLAN</v>
          </cell>
          <cell r="E3525" t="str">
            <v>FUNDACAO DOS ECONOMIARIOS FEDERAIS - FUNCEF</v>
          </cell>
        </row>
        <row r="3526">
          <cell r="B3526">
            <v>82935</v>
          </cell>
          <cell r="C3526" t="str">
            <v>REGULAMENTO DO PLANO DE BENEFICIOS REB</v>
          </cell>
          <cell r="D3526" t="str">
            <v>REGULAMENTO DO PLANO DE BENEFICIOS REB</v>
          </cell>
          <cell r="E3526" t="str">
            <v>FUNDACAO DOS ECONOMIARIOS FEDERAIS - FUNCEF</v>
          </cell>
        </row>
        <row r="3527">
          <cell r="B3527">
            <v>82935</v>
          </cell>
          <cell r="C3527" t="str">
            <v>REGULAMENTO DO PLANO DE BENEFICIOS REB</v>
          </cell>
          <cell r="D3527" t="str">
            <v>REGULAMENTO DO PLANO DE BENEFICIOS REB</v>
          </cell>
          <cell r="E3527" t="str">
            <v>FUNDACAO DOS ECONOMIARIOS FEDERAIS - FUNCEF</v>
          </cell>
        </row>
        <row r="3528">
          <cell r="B3528">
            <v>82943</v>
          </cell>
          <cell r="C3528" t="str">
            <v>ITAU UNIBANCO S.A.</v>
          </cell>
          <cell r="D3528" t="str">
            <v>ITAU UNIBANCO S.A.</v>
          </cell>
          <cell r="E3528" t="str">
            <v>ITAU UNIBANCO S/A</v>
          </cell>
        </row>
        <row r="3529">
          <cell r="B3529">
            <v>82943</v>
          </cell>
          <cell r="C3529" t="str">
            <v>ITAU UNIBANCO S.A.</v>
          </cell>
          <cell r="D3529" t="str">
            <v>ITAU UNIBANCO S.A.</v>
          </cell>
          <cell r="E3529" t="str">
            <v>ITAU UNIBANCO S/A</v>
          </cell>
        </row>
        <row r="3530">
          <cell r="B3530" t="str">
            <v>M4043097/000196</v>
          </cell>
        </row>
        <row r="3531">
          <cell r="B3531">
            <v>82963</v>
          </cell>
          <cell r="C3531" t="str">
            <v>BANCO DAYCOVAL S/A</v>
          </cell>
          <cell r="D3531" t="str">
            <v>BANCO DAYCOVAL S/A</v>
          </cell>
          <cell r="E3531" t="str">
            <v>BANCO DAYCOVAL S/A</v>
          </cell>
        </row>
        <row r="3532">
          <cell r="B3532">
            <v>82963</v>
          </cell>
          <cell r="C3532" t="str">
            <v>BANCO DAYCOVAL S/A</v>
          </cell>
          <cell r="D3532" t="str">
            <v>BANCO DAYCOVAL S/A</v>
          </cell>
          <cell r="E3532" t="str">
            <v>BANCO DAYCOVAL S/A</v>
          </cell>
        </row>
        <row r="3533">
          <cell r="B3533" t="str">
            <v>M19323175000168</v>
          </cell>
          <cell r="D3533" t="str">
            <v>AXA XL RESSEGUROS SA</v>
          </cell>
          <cell r="E3533" t="str">
            <v>AXA SEGUROS S/A</v>
          </cell>
        </row>
        <row r="3534">
          <cell r="B3534">
            <v>82964</v>
          </cell>
          <cell r="C3534" t="str">
            <v>BTG PACTUAL US CAPITAL LLC</v>
          </cell>
          <cell r="D3534" t="str">
            <v>BTG PACTUAL US CAPITAL LLC</v>
          </cell>
          <cell r="E3534" t="str">
            <v>BANCO BTG PACTUAL S/A</v>
          </cell>
        </row>
        <row r="3535">
          <cell r="B3535">
            <v>82965</v>
          </cell>
          <cell r="C3535" t="str">
            <v>GENOA CAPITAL ARPA MASTER CI MULTI RL</v>
          </cell>
          <cell r="D3535" t="str">
            <v>GENOA CAPITAL ARPA MASTER CI MULTI RL</v>
          </cell>
        </row>
        <row r="3536">
          <cell r="B3536">
            <v>82965</v>
          </cell>
          <cell r="C3536" t="str">
            <v>GENOA CAPITAL ARPA MASTER CI MULTI RL</v>
          </cell>
          <cell r="D3536" t="str">
            <v>GENOA CAPITAL ARPA MASTER CI MULTI RL</v>
          </cell>
        </row>
        <row r="3537">
          <cell r="B3537">
            <v>82966</v>
          </cell>
          <cell r="C3537" t="str">
            <v>NEO VITALE MASTER FIF MULTIMERCADO RESPONSABILIDADE LIMITADA</v>
          </cell>
          <cell r="D3537" t="str">
            <v>NEO VITALE MASTER FIF MULTIMERCADO RESPONSABILIDADE LIMITADA</v>
          </cell>
          <cell r="E3537" t="str">
            <v>NEO GESTÃO DE RECURSOS LTDA</v>
          </cell>
        </row>
        <row r="3538">
          <cell r="B3538">
            <v>82966</v>
          </cell>
          <cell r="C3538" t="str">
            <v>NEO VITALE MASTER FIF MULTIMERCADO RESPONSABILIDADE LIMITADA</v>
          </cell>
          <cell r="D3538" t="str">
            <v>NEO VITALE MASTER FIF MULTIMERCADO RESPONSABILIDADE LIMITADA</v>
          </cell>
          <cell r="E3538" t="str">
            <v>NEO GESTÃO DE RECURSOS LTDA</v>
          </cell>
        </row>
        <row r="3539">
          <cell r="B3539">
            <v>82778</v>
          </cell>
          <cell r="C3539" t="str">
            <v>MORE INVEST GESTORA DE RECURSOS LTDA</v>
          </cell>
          <cell r="D3539" t="str">
            <v>MORE INVEST GESTORA DE RECURSOS LTDA</v>
          </cell>
          <cell r="E3539" t="str">
            <v>MORE INVEST GESTORA DE RECURSOS LTDA</v>
          </cell>
        </row>
        <row r="3540">
          <cell r="B3540">
            <v>82818</v>
          </cell>
          <cell r="C3540" t="str">
            <v>MHD FIF FUNDO DE INVESTIMENTO FINANCEIRO MULTIMERCADO</v>
          </cell>
          <cell r="D3540" t="str">
            <v>MHD FIF FUNDO DE INVESTIMENTO FINANCEIRO MULTIMERCADO</v>
          </cell>
          <cell r="E3540" t="str">
            <v>MORE INVEST GESTORA DE RECURSOS LTDA</v>
          </cell>
        </row>
        <row r="3541">
          <cell r="B3541">
            <v>82968</v>
          </cell>
          <cell r="C3541" t="str">
            <v>BTG PACTUAL ASSET MANAGEMENT SA DTVM</v>
          </cell>
          <cell r="D3541" t="str">
            <v>BTG PACTUAL ASSET MANAGEMENT SA DTVM</v>
          </cell>
          <cell r="E3541" t="str">
            <v>CLAVE GESTORA DE RECURSOS LTDA</v>
          </cell>
        </row>
        <row r="3542">
          <cell r="B3542">
            <v>82968</v>
          </cell>
          <cell r="C3542" t="str">
            <v>BTG PACTUAL ASSET MANAGEMENT SA DTVM</v>
          </cell>
          <cell r="D3542" t="str">
            <v>BTG PACTUAL ASSET MANAGEMENT SA DTVM</v>
          </cell>
          <cell r="E3542" t="str">
            <v>CLAVE GESTORA DE RECURSOS LTDA</v>
          </cell>
        </row>
        <row r="3543">
          <cell r="B3543">
            <v>82969</v>
          </cell>
          <cell r="C3543" t="str">
            <v>GENOA CAPITAL VESTAS MASTER CLASSE DE INVESTIMENTO MULTI RL</v>
          </cell>
          <cell r="D3543" t="str">
            <v>GENOA CAPITAL VESTAS MASTER CLASSE DE INVESTIMENTO MULTI RL</v>
          </cell>
        </row>
        <row r="3544">
          <cell r="B3544">
            <v>82970</v>
          </cell>
          <cell r="C3544" t="str">
            <v>GENOA CAPITAL ARPA MASTER CIA RESP LTDA</v>
          </cell>
          <cell r="D3544" t="str">
            <v>GENOA CAPITAL ARPA MASTER CIA RESP LTDA</v>
          </cell>
        </row>
        <row r="3545">
          <cell r="B3545">
            <v>82970</v>
          </cell>
          <cell r="C3545" t="str">
            <v>GENOA CAPITAL ARPA MASTER CIA RESP LTDA</v>
          </cell>
          <cell r="D3545" t="str">
            <v>GENOA CAPITAL ARPA MASTER CIA RESP LTDA</v>
          </cell>
        </row>
        <row r="3546">
          <cell r="B3546">
            <v>82971</v>
          </cell>
          <cell r="C3546" t="str">
            <v>GENOA CAPITAL CRUISE BRASILPREV FIFE FIF MULT RL</v>
          </cell>
          <cell r="D3546" t="str">
            <v>GENOA CAPITAL CRUISE BRASILPREV FIFE FIF MULT RL</v>
          </cell>
        </row>
        <row r="3547">
          <cell r="B3547">
            <v>82971</v>
          </cell>
          <cell r="C3547" t="str">
            <v>GENOA CAPITAL CRUISE BRASILPREV FIFE FIF MULT RL</v>
          </cell>
          <cell r="D3547" t="str">
            <v>GENOA CAPITAL CRUISE BRASILPREV FIFE FIF MULT RL</v>
          </cell>
        </row>
        <row r="3548">
          <cell r="B3548">
            <v>82972</v>
          </cell>
          <cell r="C3548" t="str">
            <v>GENOA CAPITAL CRUISE PREV C FIFE FIF - CI MULTI - RESP LTDA</v>
          </cell>
          <cell r="D3548" t="str">
            <v>GENOA CAPITAL CRUISE PREV C FIFE FIF - CI MULTI - RESP LTDA</v>
          </cell>
        </row>
        <row r="3549">
          <cell r="B3549">
            <v>82972</v>
          </cell>
          <cell r="C3549" t="str">
            <v>GENOA CAPITAL CRUISE PREV C FIFE FIF - CI MULTI - RESP LTDA</v>
          </cell>
          <cell r="D3549" t="str">
            <v>GENOA CAPITAL CRUISE PREV C FIFE FIF - CI MULTI - RESP LTDA</v>
          </cell>
        </row>
        <row r="3550">
          <cell r="B3550">
            <v>82973</v>
          </cell>
          <cell r="C3550" t="str">
            <v>GENOA CAPITAL RADAR MASTER CLASSE DE INVESTIMENTO MULTI RL</v>
          </cell>
          <cell r="D3550" t="str">
            <v>GENOA CAPITAL RADAR MASTER CLASSE DE INVESTIMENTO MULTI RL</v>
          </cell>
        </row>
        <row r="3551">
          <cell r="B3551">
            <v>82974</v>
          </cell>
          <cell r="C3551" t="str">
            <v>GENOA CAPITAL PULSE PREV C FIFE FIF MULT RL</v>
          </cell>
          <cell r="D3551" t="str">
            <v>GENOA CAPITAL PULSE PREV C FIFE FIF MULT RL</v>
          </cell>
        </row>
        <row r="3552">
          <cell r="B3552">
            <v>82975</v>
          </cell>
          <cell r="C3552" t="str">
            <v>GENOA CAPITAL PULSE PREV A FIFE FIF MULT RL</v>
          </cell>
          <cell r="D3552" t="str">
            <v>GENOA CAPITAL PULSE PREV A FIFE FIF MULT RL</v>
          </cell>
        </row>
        <row r="3553">
          <cell r="B3553">
            <v>82976</v>
          </cell>
          <cell r="C3553" t="str">
            <v>TRUXT LONG SHORT PLUS MASTER FIF MULT RESP LTDA</v>
          </cell>
          <cell r="D3553" t="str">
            <v>TRUXT LONG SHORT PLUS MASTER FIF MULT RESP LTDA</v>
          </cell>
          <cell r="E3553" t="str">
            <v>TRUXT INVESTIMENTOS LTDA</v>
          </cell>
        </row>
        <row r="3554">
          <cell r="B3554">
            <v>82977</v>
          </cell>
          <cell r="C3554" t="str">
            <v>SPHERE CLASSE DE INVESTIMENTO MULTIMERCADO CP IE</v>
          </cell>
          <cell r="D3554" t="str">
            <v>SPHERE CLASSE DE INVESTIMENTO MULTIMERCADO CP IE</v>
          </cell>
          <cell r="E3554" t="str">
            <v>SPHERE CLASSE DE INVESTIMENTO MULTIMERCADO CP IE</v>
          </cell>
        </row>
        <row r="3555">
          <cell r="B3555">
            <v>82978</v>
          </cell>
          <cell r="C3555" t="str">
            <v>SPHERE CLASSE DE INVESTIMENTO MULTIMERCADO CP IE</v>
          </cell>
          <cell r="D3555" t="str">
            <v>SPHERE CLASSE DE INVESTIMENTO MULTIMERCADO CP IE</v>
          </cell>
          <cell r="E3555" t="str">
            <v>SPHERE CLASSE DE INVESTIMENTO MULTIMERCADO CP IE</v>
          </cell>
        </row>
        <row r="3556">
          <cell r="B3556">
            <v>82979</v>
          </cell>
          <cell r="C3556" t="str">
            <v>ITAÃš VÃ‰RTICE OMNI EQ FUNDO DE IF MULTIMERCADO RL</v>
          </cell>
          <cell r="D3556" t="str">
            <v>ITAÃš VÃ‰RTICE OMNI EQ FUNDO DE IF MULTIMERCADO RL</v>
          </cell>
        </row>
        <row r="3557">
          <cell r="B3557">
            <v>82980</v>
          </cell>
          <cell r="C3557" t="str">
            <v>TIBURON FIF CLASSE DE INVESTIMENTO MULTIMERCADO CP RL</v>
          </cell>
          <cell r="D3557" t="str">
            <v>TIBURON FIF CLASSE DE INVESTIMENTO MULTIMERCADO CP RL</v>
          </cell>
          <cell r="E3557" t="str">
            <v>GARIN INVESTIMENTOS LTDA</v>
          </cell>
        </row>
        <row r="3558">
          <cell r="B3558">
            <v>82980</v>
          </cell>
          <cell r="C3558" t="str">
            <v>TIBURON FIF CLASSE DE INVESTIMENTO MULTIMERCADO CP RL</v>
          </cell>
          <cell r="D3558" t="str">
            <v>TIBURON FIF CLASSE DE INVESTIMENTO MULTIMERCADO CP RL</v>
          </cell>
          <cell r="E3558" t="str">
            <v>GARIN INVESTIMENTOS LTDA</v>
          </cell>
        </row>
        <row r="3559">
          <cell r="B3559" t="str">
            <v>M03937163000193</v>
          </cell>
          <cell r="D3559" t="str">
            <v>IPREVE INSTITUTO DE PREVIDENCIA SOCIAL DOS SERVIDORES PUBLICOS DO MUNICIPIO DE BARRA VELHA</v>
          </cell>
        </row>
        <row r="3560">
          <cell r="B3560">
            <v>82981</v>
          </cell>
          <cell r="C3560" t="str">
            <v>AF 21 MASTER FUNDO DE INVESTIMENTO FINANCEIRO MULTIMERCADO</v>
          </cell>
          <cell r="D3560" t="str">
            <v>AF 21 MASTER FUNDO DE INVESTIMENTO FINANCEIRO MULTIMERCADO</v>
          </cell>
        </row>
        <row r="3561">
          <cell r="B3561">
            <v>82982</v>
          </cell>
          <cell r="C3561" t="str">
            <v>HORTO 23 FUNDO DE INVESTIMENTO FINANCEIRO MULTIMERCADO</v>
          </cell>
          <cell r="D3561" t="str">
            <v>HORTO 23 FUNDO DE INVESTIMENTO FINANCEIRO MULTIMERCADO</v>
          </cell>
        </row>
        <row r="3562">
          <cell r="B3562">
            <v>82983</v>
          </cell>
          <cell r="C3562" t="str">
            <v>VISTA ALPHA DINÃ‚MICO MASTER FIF MULTIMERCADO</v>
          </cell>
          <cell r="D3562" t="str">
            <v>VISTA ALPHA DINÃ‚MICO MASTER FIF MULTIMERCADO</v>
          </cell>
        </row>
        <row r="3563">
          <cell r="B3563">
            <v>82984</v>
          </cell>
          <cell r="C3563" t="str">
            <v>VISTA OFF ACCESS FUNDO DE INVESTIMENTO FINANCEIRO MM</v>
          </cell>
          <cell r="D3563" t="str">
            <v>VISTA OFF ACCESS FUNDO DE INVESTIMENTO FINANCEIRO MM</v>
          </cell>
        </row>
        <row r="3564">
          <cell r="B3564">
            <v>82985</v>
          </cell>
          <cell r="C3564" t="str">
            <v>VISTA ON ACCESS FUNDO DE INVESTIMENTO FINANCEIRO MM</v>
          </cell>
          <cell r="D3564" t="str">
            <v>VISTA ON ACCESS FUNDO DE INVESTIMENTO FINANCEIRO MM</v>
          </cell>
        </row>
        <row r="3565">
          <cell r="B3565">
            <v>82986</v>
          </cell>
          <cell r="C3565" t="str">
            <v>VISTA PREV PLUS MASTER FIFE FIF MULTIMERCADO</v>
          </cell>
          <cell r="D3565" t="str">
            <v>VISTA PREV PLUS MASTER FIFE FIF MULTIMERCADO</v>
          </cell>
        </row>
        <row r="3566">
          <cell r="B3566" t="str">
            <v>M96348677000194</v>
          </cell>
          <cell r="D3566" t="str">
            <v>ZURICH BRASIL COMPANHIA DE SEGUROS</v>
          </cell>
          <cell r="E3566" t="str">
            <v>ZURICH RESSEGURADORA BRASIL S/A</v>
          </cell>
        </row>
        <row r="3567">
          <cell r="B3567">
            <v>1</v>
          </cell>
          <cell r="C3567" t="str">
            <v>BGC LIQUIDEZ DTVM LTDA</v>
          </cell>
          <cell r="D3567" t="str">
            <v>BGC LIQUIDEZ DTVM LTDA</v>
          </cell>
          <cell r="E3567" t="str">
            <v>BGC LIQUIDEZ DTVM LTDA</v>
          </cell>
        </row>
        <row r="3568">
          <cell r="B3568">
            <v>10</v>
          </cell>
          <cell r="C3568" t="str">
            <v>FREDERICO PADILHA</v>
          </cell>
          <cell r="D3568" t="str">
            <v>FREDERICO PADILHA</v>
          </cell>
          <cell r="E3568" t="str">
            <v>FREDERICO PADILHA</v>
          </cell>
        </row>
        <row r="3569">
          <cell r="B3569">
            <v>110</v>
          </cell>
          <cell r="C3569" t="str">
            <v>BANCO SANTANDER (BRASIL) S/A</v>
          </cell>
          <cell r="D3569" t="str">
            <v>BANCO SANTANDER (BRASIL) S/A</v>
          </cell>
          <cell r="E3569" t="str">
            <v>BANCO SANTANDER (BRASIL) S/A</v>
          </cell>
        </row>
        <row r="3570">
          <cell r="B3570">
            <v>10001</v>
          </cell>
          <cell r="C3570" t="str">
            <v>NATIONWIDE DREYFUS FIX FIF</v>
          </cell>
          <cell r="D3570" t="str">
            <v>NATIONWIDE DREYFUS FIX FIF</v>
          </cell>
          <cell r="E3570" t="str">
            <v>BNY MELLON ADMINISTRAÃ‡ÃƒO DE ATIVOS LTDA</v>
          </cell>
        </row>
        <row r="3571">
          <cell r="B3571">
            <v>10002</v>
          </cell>
          <cell r="C3571" t="str">
            <v>ICATU HARTFORD PRIVILEGE FIM</v>
          </cell>
          <cell r="D3571" t="str">
            <v>ICATU HARTFORD PRIVILEGE FIM</v>
          </cell>
          <cell r="E3571" t="str">
            <v>ICATU VANGUARDA GESTAO DE RECURSOS LTDA</v>
          </cell>
        </row>
        <row r="3572">
          <cell r="B3572">
            <v>10003</v>
          </cell>
          <cell r="C3572" t="str">
            <v>ICATU HARTFORD MULT PREVIDENCIA FI</v>
          </cell>
          <cell r="D3572" t="str">
            <v>ICATU HARTFORD MULT PREVIDENCIA FI</v>
          </cell>
          <cell r="E3572" t="str">
            <v>ICATU VANGUARDA GESTAO DE RECURSOS LTDA</v>
          </cell>
        </row>
        <row r="3573">
          <cell r="B3573">
            <v>10004</v>
          </cell>
          <cell r="C3573" t="str">
            <v>ICATU HARTFORD MODERADO B FIF</v>
          </cell>
          <cell r="D3573" t="str">
            <v>ICATU HARTFORD MODERADO B FIF</v>
          </cell>
          <cell r="E3573" t="str">
            <v>ICATU VANGUARDA GESTAO DE RECURSOS LTDA</v>
          </cell>
        </row>
        <row r="3574">
          <cell r="B3574">
            <v>10005</v>
          </cell>
          <cell r="C3574" t="str">
            <v>ICATU HARTFORD MODERADO C-FIC DE FIRF</v>
          </cell>
          <cell r="D3574" t="str">
            <v>ICATU HARTFORD MODERADO C-FIC DE FIRF</v>
          </cell>
          <cell r="E3574" t="str">
            <v>ICATU VANGUARDA GESTAO DE RECURSOS LTDA</v>
          </cell>
        </row>
        <row r="3575">
          <cell r="B3575">
            <v>10006</v>
          </cell>
          <cell r="C3575" t="str">
            <v>ICATU HARTFORD MODERADO FIC DE FIRF</v>
          </cell>
          <cell r="D3575" t="str">
            <v>ICATU HARTFORD MODERADO FIC DE FIRF</v>
          </cell>
          <cell r="E3575" t="str">
            <v>ICATU VANGUARDA GESTAO DE RECURSOS LTDA</v>
          </cell>
        </row>
        <row r="3576">
          <cell r="B3576">
            <v>10007</v>
          </cell>
          <cell r="C3576" t="str">
            <v>ICATU HARTFORD MINHA A2020 FIC FIM</v>
          </cell>
          <cell r="D3576" t="str">
            <v>ICATU HARTFORD MINHA A2020 FIC FIM</v>
          </cell>
          <cell r="E3576" t="str">
            <v>ICATU VANGUARDA GESTAO DE RECURSOS LTDA</v>
          </cell>
        </row>
        <row r="3577">
          <cell r="B3577">
            <v>10008</v>
          </cell>
          <cell r="C3577" t="str">
            <v>ICATU HARTFORD MINHA A2010 FIC FIM</v>
          </cell>
          <cell r="D3577" t="str">
            <v>ICATU HARTFORD MINHA A2010 FIC FIM</v>
          </cell>
          <cell r="E3577" t="str">
            <v>ICATU VANGUARDA GESTAO DE RECURSOS LTDA</v>
          </cell>
        </row>
        <row r="3578">
          <cell r="B3578">
            <v>10009</v>
          </cell>
          <cell r="C3578" t="str">
            <v>ICATU HARTFORD INFLACAO FI RENDA FIXA</v>
          </cell>
          <cell r="D3578" t="str">
            <v>ICATU HARTFORD INFLACAO FI RENDA FIXA</v>
          </cell>
          <cell r="E3578" t="str">
            <v>ICATU VANGUARDA GESTAO DE RECURSOS LTDA</v>
          </cell>
        </row>
        <row r="3579">
          <cell r="B3579">
            <v>10010</v>
          </cell>
          <cell r="C3579" t="str">
            <v>ICATU HARTFORD FI RF ACUMULACAO</v>
          </cell>
          <cell r="D3579" t="str">
            <v>ICATU HARTFORD FI RF ACUMULACAO</v>
          </cell>
          <cell r="E3579" t="str">
            <v>ICATU VANGUARDA GESTAO DE RECURSOS LTDA</v>
          </cell>
        </row>
        <row r="3580">
          <cell r="B3580">
            <v>10011</v>
          </cell>
          <cell r="C3580" t="str">
            <v>ICATU HARTFORD FI RF PREVIDENCIA</v>
          </cell>
          <cell r="D3580" t="str">
            <v>ICATU HARTFORD FI RF PREVIDENCIA</v>
          </cell>
          <cell r="E3580" t="str">
            <v>ICATU VANGUARDA GESTAO DE RECURSOS LTDA</v>
          </cell>
        </row>
        <row r="3581">
          <cell r="B3581">
            <v>10012</v>
          </cell>
          <cell r="C3581" t="str">
            <v>ICATU HARTFORD COMPOSTO 20B FIF</v>
          </cell>
          <cell r="D3581" t="str">
            <v>ICATU HARTFORD COMPOSTO 20B FIF</v>
          </cell>
          <cell r="E3581" t="str">
            <v>ICATU VANGUARDA GESTAO DE RECURSOS LTDA</v>
          </cell>
        </row>
        <row r="3582">
          <cell r="B3582">
            <v>10013</v>
          </cell>
          <cell r="C3582" t="str">
            <v>ICATU HARTFORD COMPOSTO 20C FIC DE FIM</v>
          </cell>
          <cell r="D3582" t="str">
            <v>ICATU HARTFORD COMPOSTO 20C FIC DE FIM</v>
          </cell>
          <cell r="E3582" t="str">
            <v>ICATU VANGUARDA GESTAO DE RECURSOS LTDA</v>
          </cell>
        </row>
        <row r="3583">
          <cell r="B3583">
            <v>10014</v>
          </cell>
          <cell r="C3583" t="str">
            <v>ICATU HARTFORD COMPOSTO 20E FIF</v>
          </cell>
          <cell r="D3583" t="str">
            <v>ICATU HARTFORD COMPOSTO 20E FIF</v>
          </cell>
          <cell r="E3583" t="str">
            <v>ICATU VANGUARDA GESTAO DE RECURSOS LTDA</v>
          </cell>
        </row>
        <row r="3584">
          <cell r="B3584">
            <v>10015</v>
          </cell>
          <cell r="C3584" t="str">
            <v>ICATU HARTFORD COMPOSTO 49E FIF</v>
          </cell>
          <cell r="D3584" t="str">
            <v>ICATU HARTFORD COMPOSTO 49E FIF</v>
          </cell>
          <cell r="E3584" t="str">
            <v>ICATU VANGUARDA GESTAO DE RECURSOS LTDA</v>
          </cell>
        </row>
        <row r="3585">
          <cell r="B3585">
            <v>10016</v>
          </cell>
          <cell r="C3585" t="str">
            <v>ICATU HARTFORD FIC FI COMPOSTO 20 MULTIMERCADO</v>
          </cell>
          <cell r="D3585" t="str">
            <v>ICATU HARTFORD FIC FI COMPOSTO 20 MULTIMERCADO</v>
          </cell>
          <cell r="E3585" t="str">
            <v>ICATU VANGUARDA GESTAO DE RECURSOS LTDA</v>
          </cell>
        </row>
        <row r="3586">
          <cell r="B3586">
            <v>10017</v>
          </cell>
          <cell r="C3586" t="str">
            <v>ICATU HARTFORD FI IPCA RENDA FIXA PREVIDENCIA</v>
          </cell>
          <cell r="D3586" t="str">
            <v>ICATU HARTFORD FI IPCA RENDA FIXA PREVIDENCIA</v>
          </cell>
          <cell r="E3586" t="str">
            <v>ICATU VANGUARDA GESTAO DE RECURSOS LTDA</v>
          </cell>
        </row>
        <row r="3587">
          <cell r="B3587">
            <v>10018</v>
          </cell>
          <cell r="C3587" t="str">
            <v>ICATU HARTFORD ANIS PREVIDENCIA DIM</v>
          </cell>
          <cell r="D3587" t="str">
            <v>ICATU HARTFORD ANIS PREVIDENCIA DIM</v>
          </cell>
          <cell r="E3587" t="str">
            <v>ICATU VANGUARDA GESTAO DE RECURSOS LTDA</v>
          </cell>
        </row>
        <row r="3588">
          <cell r="B3588">
            <v>10019</v>
          </cell>
          <cell r="C3588" t="str">
            <v>ICATU HARTFORD DI FI REFERENCIADO CLASSIC</v>
          </cell>
          <cell r="D3588" t="str">
            <v>ICATU HARTFORD DI FI REFERENCIADO CLASSIC</v>
          </cell>
          <cell r="E3588" t="str">
            <v>ICATU VANGUARDA GESTAO DE RECURSOS LTDA</v>
          </cell>
        </row>
        <row r="3589">
          <cell r="B3589">
            <v>10020</v>
          </cell>
          <cell r="C3589" t="str">
            <v>ICATU HARTFORD FIC DE FI COMP 20 MMPP</v>
          </cell>
          <cell r="D3589" t="str">
            <v>ICATU HARTFORD FIC DE FI COMP 20 MMPP</v>
          </cell>
          <cell r="E3589" t="str">
            <v>ICATU VANGUARDA GESTAO DE RECURSOS LTDA</v>
          </cell>
        </row>
        <row r="3590">
          <cell r="B3590">
            <v>10021</v>
          </cell>
          <cell r="C3590" t="str">
            <v>ICATU HARTFORD FOCO MINHA AP2020 FIC</v>
          </cell>
          <cell r="D3590" t="str">
            <v>ICATU HARTFORD FOCO MINHA AP2020 FIC</v>
          </cell>
          <cell r="E3590" t="str">
            <v>ICATU VANGUARDA GESTAO DE RECURSOS LTDA</v>
          </cell>
        </row>
        <row r="3591">
          <cell r="B3591">
            <v>10022</v>
          </cell>
          <cell r="C3591" t="str">
            <v>ICATU HARTFORD FOCO MINHA AP2030 FIC</v>
          </cell>
          <cell r="D3591" t="str">
            <v>ICATU HARTFORD FOCO MINHA AP2030 FIC</v>
          </cell>
          <cell r="E3591" t="str">
            <v>ICATU VANGUARDA GESTAO DE RECURSOS LTDA</v>
          </cell>
        </row>
        <row r="3592">
          <cell r="B3592">
            <v>10023</v>
          </cell>
          <cell r="C3592" t="str">
            <v>ICATU HARTFORD FOCO MINHA AP2040 FIC</v>
          </cell>
          <cell r="D3592" t="str">
            <v>ICATU HARTFORD FOCO MINHA AP2040 FIC</v>
          </cell>
          <cell r="E3592" t="str">
            <v>ICATU VANGUARDA GESTAO DE RECURSOS LTDA</v>
          </cell>
        </row>
        <row r="3593">
          <cell r="B3593">
            <v>10024</v>
          </cell>
          <cell r="C3593" t="str">
            <v>ICATU SEG FIA PREVIDENCIARIO</v>
          </cell>
          <cell r="D3593" t="str">
            <v>ICATU SEG FIA PREVIDENCIARIO</v>
          </cell>
          <cell r="E3593" t="str">
            <v>ICATU VANGUARDA GESTAO DE RECURSOS LTDA</v>
          </cell>
        </row>
        <row r="3594">
          <cell r="B3594">
            <v>10025</v>
          </cell>
          <cell r="C3594" t="str">
            <v>ICATU HARTFORD FIC FI RF MMP</v>
          </cell>
          <cell r="D3594" t="str">
            <v>ICATU HARTFORD FIC FI RF MMP</v>
          </cell>
          <cell r="E3594" t="str">
            <v>ICATU VANGUARDA GESTAO DE RECURSOS LTDA</v>
          </cell>
        </row>
        <row r="3595">
          <cell r="B3595">
            <v>10026</v>
          </cell>
          <cell r="C3595" t="str">
            <v>ICATU HARTFORD FIC FI RF MPP</v>
          </cell>
          <cell r="D3595" t="str">
            <v>ICATU HARTFORD FIC FI RF MPP</v>
          </cell>
          <cell r="E3595" t="str">
            <v>ICATU VANGUARDA GESTAO DE RECURSOS LTDA</v>
          </cell>
        </row>
        <row r="3596">
          <cell r="B3596">
            <v>10027</v>
          </cell>
          <cell r="C3596" t="str">
            <v>ICATU HARTFORD FIC FI RF MP</v>
          </cell>
          <cell r="D3596" t="str">
            <v>ICATU HARTFORD FIC FI RF MP</v>
          </cell>
          <cell r="E3596" t="str">
            <v>ICATU VANGUARDA GESTAO DE RECURSOS LTDA</v>
          </cell>
        </row>
        <row r="3597">
          <cell r="B3597">
            <v>10028</v>
          </cell>
          <cell r="C3597" t="str">
            <v>ICATU HARTFORD RELIANCE ASSET ALLOCATION FIM</v>
          </cell>
          <cell r="D3597" t="str">
            <v>ICATU HARTFORD RELIANCE ASSET ALLOCATION FIM</v>
          </cell>
          <cell r="E3597" t="str">
            <v>ICATU VANGUARDA GESTAO DE RECURSOS LTDA</v>
          </cell>
        </row>
        <row r="3598">
          <cell r="B3598">
            <v>10029</v>
          </cell>
          <cell r="C3598" t="str">
            <v>ICATU HARTFORD MINHA AP 2040 FIC FIM</v>
          </cell>
          <cell r="D3598" t="str">
            <v>ICATU HARTFORD MINHA AP 2040 FIC FIM</v>
          </cell>
          <cell r="E3598" t="str">
            <v>ICATU VANGUARDA GESTAO DE RECURSOS LTDA</v>
          </cell>
        </row>
        <row r="3599">
          <cell r="B3599">
            <v>10030</v>
          </cell>
          <cell r="C3599" t="str">
            <v>ICATU HARTFORD COMPOSTO 49B FIF</v>
          </cell>
          <cell r="D3599" t="str">
            <v>ICATU HARTFORD COMPOSTO 49B FIF</v>
          </cell>
          <cell r="E3599" t="str">
            <v>ICATU VANGUARDA GESTAO DE RECURSOS LTDA</v>
          </cell>
        </row>
        <row r="3600">
          <cell r="B3600">
            <v>10031</v>
          </cell>
          <cell r="C3600" t="str">
            <v>ICATU HARTFORD COMPOSTO 49C FIF</v>
          </cell>
          <cell r="D3600" t="str">
            <v>ICATU HARTFORD COMPOSTO 49C FIF</v>
          </cell>
          <cell r="E3600" t="str">
            <v>ICATU VANGUARDA GESTAO DE RECURSOS LTDA</v>
          </cell>
        </row>
        <row r="3601">
          <cell r="B3601">
            <v>10032</v>
          </cell>
          <cell r="C3601" t="str">
            <v>ICATU HARTFORD COMPOSTO 10C FIC FIM</v>
          </cell>
          <cell r="D3601" t="str">
            <v>ICATU HARTFORD COMPOSTO 10C FIC FIM</v>
          </cell>
          <cell r="E3601" t="str">
            <v>ICATU VANGUARDA GESTAO DE RECURSOS LTDA</v>
          </cell>
        </row>
        <row r="3602">
          <cell r="B3602">
            <v>10033</v>
          </cell>
          <cell r="C3602" t="str">
            <v>ICATU HARTFORD COMPOSTO 10E FIF</v>
          </cell>
          <cell r="D3602" t="str">
            <v>ICATU HARTFORD COMPOSTO 10E FIF</v>
          </cell>
          <cell r="E3602" t="str">
            <v>ICATU VANGUARDA GESTAO DE RECURSOS LTDA</v>
          </cell>
        </row>
        <row r="3603">
          <cell r="B3603">
            <v>10034</v>
          </cell>
          <cell r="C3603" t="str">
            <v>ICATU HARTFORD COMPOSTO 10B FIF</v>
          </cell>
          <cell r="D3603" t="str">
            <v>ICATU HARTFORD COMPOSTO 10B FIF</v>
          </cell>
          <cell r="E3603" t="str">
            <v>ICATU VANGUARDA GESTAO DE RECURSOS LTDA</v>
          </cell>
        </row>
        <row r="3604">
          <cell r="B3604">
            <v>10035</v>
          </cell>
          <cell r="C3604" t="str">
            <v>ICATU HARTFORD CLASSIC MODERADO FI RENDA FIXA</v>
          </cell>
          <cell r="D3604" t="str">
            <v>ICATU HARTFORD CLASSIC MODERADO FI RENDA FIXA</v>
          </cell>
          <cell r="E3604" t="str">
            <v>ICATU VANGUARDA GESTAO DE RECURSOS LTDA</v>
          </cell>
        </row>
        <row r="3605">
          <cell r="B3605">
            <v>10036</v>
          </cell>
          <cell r="C3605" t="str">
            <v>ICATU HARTFORD XI FIF</v>
          </cell>
          <cell r="D3605" t="str">
            <v>ICATU HARTFORD XI FIF</v>
          </cell>
          <cell r="E3605" t="str">
            <v>ICATU VANGUARDA GESTAO DE RECURSOS LTDA</v>
          </cell>
        </row>
        <row r="3606">
          <cell r="B3606">
            <v>10037</v>
          </cell>
          <cell r="C3606" t="str">
            <v>ICATU HARTFORD XXXIII FIF</v>
          </cell>
          <cell r="D3606" t="str">
            <v>ICATU HARTFORD XXXIII FIF</v>
          </cell>
          <cell r="E3606" t="str">
            <v>ICATU VANGUARDA GESTAO DE RECURSOS LTDA</v>
          </cell>
        </row>
        <row r="3607">
          <cell r="B3607">
            <v>10038</v>
          </cell>
          <cell r="C3607" t="str">
            <v>ICATU HARTFORD SEGUROS SOBERANO R FI RF</v>
          </cell>
          <cell r="D3607" t="str">
            <v>ICATU HARTFORD SEGUROS SOBERANO R FI RF</v>
          </cell>
          <cell r="E3607" t="str">
            <v>ICATU VANGUARDA GESTAO DE RECURSOS LTDA</v>
          </cell>
        </row>
        <row r="3608">
          <cell r="B3608">
            <v>10039</v>
          </cell>
          <cell r="C3608" t="str">
            <v>ICATU HARTFORD SEGUROS SOBERANO T FI RF</v>
          </cell>
          <cell r="D3608" t="str">
            <v>ICATU HARTFORD SEGUROS SOBERANO T FI RF</v>
          </cell>
          <cell r="E3608" t="str">
            <v>ICATU VANGUARDA GESTAO DE RECURSOS LTDA</v>
          </cell>
        </row>
        <row r="3609">
          <cell r="B3609">
            <v>10040</v>
          </cell>
          <cell r="C3609" t="str">
            <v>ICATU HARTFORD SEG SOBERANO FIF</v>
          </cell>
          <cell r="D3609" t="str">
            <v>ICATU HARTFORD SEG SOBERANO FIF</v>
          </cell>
          <cell r="E3609" t="str">
            <v>ICATU VANGUARDA GESTAO DE RECURSOS LTDA</v>
          </cell>
        </row>
        <row r="3610">
          <cell r="B3610">
            <v>10041</v>
          </cell>
          <cell r="C3610" t="str">
            <v>ICATU HARTFORD RENDA FIXA REAL FI</v>
          </cell>
          <cell r="D3610" t="str">
            <v>ICATU HARTFORD RENDA FIXA REAL FI</v>
          </cell>
          <cell r="E3610" t="str">
            <v>ICATU VANGUARDA GESTAO DE RECURSOS LTDA</v>
          </cell>
        </row>
        <row r="3611">
          <cell r="B3611">
            <v>10042</v>
          </cell>
          <cell r="C3611" t="str">
            <v>ICATU HARTFORD RENDA FIXA FI</v>
          </cell>
          <cell r="D3611" t="str">
            <v>ICATU HARTFORD RENDA FIXA FI</v>
          </cell>
          <cell r="E3611" t="str">
            <v>ICATU VANGUARDA GESTAO DE RECURSOS LTDA</v>
          </cell>
        </row>
        <row r="3612">
          <cell r="B3612">
            <v>10043</v>
          </cell>
          <cell r="C3612" t="str">
            <v>ICATU HARTFORD REFERENCIADO SELIC FI</v>
          </cell>
          <cell r="D3612" t="str">
            <v>ICATU HARTFORD REFERENCIADO SELIC FI</v>
          </cell>
          <cell r="E3612" t="str">
            <v>ICATU VANGUARDA GESTAO DE RECURSOS LTDA</v>
          </cell>
        </row>
        <row r="3613">
          <cell r="B3613">
            <v>10044</v>
          </cell>
          <cell r="C3613" t="str">
            <v>ICATU HARTFORD MULT FMP FI COTAS DE FI</v>
          </cell>
          <cell r="D3613" t="str">
            <v>ICATU HARTFORD MULT FMP FI COTAS DE FI</v>
          </cell>
          <cell r="E3613" t="str">
            <v>ICATU VANGUARDA GESTAO DE RECURSOS LTDA</v>
          </cell>
        </row>
        <row r="3614">
          <cell r="B3614">
            <v>10045</v>
          </cell>
          <cell r="C3614" t="str">
            <v>ICATU HARTFORD MULT FMP FIEC FICFI</v>
          </cell>
          <cell r="D3614" t="str">
            <v>ICATU HARTFORD MULT FMP FIEC FICFI</v>
          </cell>
          <cell r="E3614" t="str">
            <v>ICATU VANGUARDA GESTAO DE RECURSOS LTDA</v>
          </cell>
        </row>
        <row r="3615">
          <cell r="B3615">
            <v>10046</v>
          </cell>
          <cell r="C3615" t="str">
            <v>ICATU HARTFORD LONG SHORT FIM</v>
          </cell>
          <cell r="D3615" t="str">
            <v>ICATU HARTFORD LONG SHORT FIM</v>
          </cell>
          <cell r="E3615" t="str">
            <v>ICATU VANGUARDA GESTAO DE RECURSOS LTDA</v>
          </cell>
        </row>
        <row r="3616">
          <cell r="B3616">
            <v>10047</v>
          </cell>
          <cell r="C3616" t="str">
            <v>ICATU HARTFORD IPC RENDA FIXA FI</v>
          </cell>
          <cell r="D3616" t="str">
            <v>ICATU HARTFORD IPC RENDA FIXA FI</v>
          </cell>
          <cell r="E3616" t="str">
            <v>ICATU VANGUARDA GESTAO DE RECURSOS LTDA</v>
          </cell>
        </row>
        <row r="3617">
          <cell r="B3617">
            <v>10048</v>
          </cell>
          <cell r="C3617" t="str">
            <v>ICATU HARTFORD FI MAUA PREV MULTI INSTITUCIONAL</v>
          </cell>
          <cell r="D3617" t="str">
            <v>ICATU HARTFORD FI MAUA PREV MULTI INSTITUCIONAL</v>
          </cell>
          <cell r="E3617" t="str">
            <v>ICATU VANGUARDA GESTAO DE RECURSOS LTDA</v>
          </cell>
        </row>
        <row r="3618">
          <cell r="B3618">
            <v>10049</v>
          </cell>
          <cell r="C3618" t="str">
            <v>ICATU HARTFORD FMP ATUARIAL RENDA FIXA FI</v>
          </cell>
          <cell r="D3618" t="str">
            <v>ICATU HARTFORD FMP ATUARIAL RENDA FIXA FI</v>
          </cell>
          <cell r="E3618" t="str">
            <v>ICATU VANGUARDA GESTAO DE RECURSOS LTDA</v>
          </cell>
        </row>
        <row r="3619">
          <cell r="B3619">
            <v>10050</v>
          </cell>
          <cell r="C3619" t="str">
            <v>ICATU VANGUARDA DIVIDENDOS FIA</v>
          </cell>
          <cell r="D3619" t="str">
            <v>ICATU VANGUARDA DIVIDENDOS FIA</v>
          </cell>
          <cell r="E3619" t="str">
            <v>ICATU VANGUARDA GESTAO DE RECURSOS LTDA</v>
          </cell>
        </row>
        <row r="3620">
          <cell r="B3620">
            <v>10051</v>
          </cell>
          <cell r="C3620" t="str">
            <v>ICATU HARTFORD DELTA CAPOF FI PREVID MULT</v>
          </cell>
          <cell r="D3620" t="str">
            <v>ICATU HARTFORD DELTA CAPOF FI PREVID MULT</v>
          </cell>
          <cell r="E3620" t="str">
            <v>ICATU VANGUARDA GESTAO DE RECURSOS LTDA</v>
          </cell>
        </row>
        <row r="3621">
          <cell r="B3621">
            <v>10052</v>
          </cell>
          <cell r="C3621" t="str">
            <v>ICATU HARTFORD CAP SOBERANO FIF</v>
          </cell>
          <cell r="D3621" t="str">
            <v>ICATU HARTFORD CAP SOBERANO FIF</v>
          </cell>
          <cell r="E3621" t="str">
            <v>ICATU VANGUARDA GESTAO DE RECURSOS LTDA</v>
          </cell>
        </row>
        <row r="3622">
          <cell r="B3622">
            <v>10053</v>
          </cell>
          <cell r="C3622" t="str">
            <v>ICATU HARTFORD ADVANCED PLUS FIM</v>
          </cell>
          <cell r="D3622" t="str">
            <v>ICATU HARTFORD ADVANCED PLUS FIM</v>
          </cell>
          <cell r="E3622" t="str">
            <v>ICATU VANGUARDA GESTAO DE RECURSOS LTDA</v>
          </cell>
        </row>
        <row r="3623">
          <cell r="B3623">
            <v>10054</v>
          </cell>
          <cell r="C3623" t="str">
            <v>ICATU VANGUARDA ACOES IBX FI</v>
          </cell>
          <cell r="D3623" t="str">
            <v>ICATU VANGUARDA ACOES IBX FI</v>
          </cell>
          <cell r="E3623" t="str">
            <v>ICATU VANGUARDA GESTAO DE RECURSOS LTDA</v>
          </cell>
        </row>
        <row r="3624">
          <cell r="B3624">
            <v>10055</v>
          </cell>
          <cell r="C3624" t="str">
            <v>ICATU HARTFORD ADVANCED INSTITUCIONAL FIM</v>
          </cell>
          <cell r="D3624" t="str">
            <v>ICATU HARTFORD ADVANCED INSTITUCIONAL FIM</v>
          </cell>
          <cell r="E3624" t="str">
            <v>ICATU VANGUARDA GESTAO DE RECURSOS LTDA</v>
          </cell>
        </row>
        <row r="3625">
          <cell r="B3625">
            <v>10056</v>
          </cell>
          <cell r="C3625" t="str">
            <v>ICATU HARTFORD FIM PREVIDENCIARIO</v>
          </cell>
          <cell r="D3625" t="str">
            <v>ICATU HARTFORD FIM PREVIDENCIARIO</v>
          </cell>
          <cell r="E3625" t="str">
            <v>ICATU VANGUARDA GESTAO DE RECURSOS LTDA</v>
          </cell>
        </row>
        <row r="3626">
          <cell r="B3626">
            <v>10057</v>
          </cell>
          <cell r="C3626" t="str">
            <v>ICATU HARTFORD CP FI RF LP</v>
          </cell>
          <cell r="D3626" t="str">
            <v>ICATU HARTFORD CP FI RF LP</v>
          </cell>
          <cell r="E3626" t="str">
            <v>ICATU VANGUARDA GESTAO DE RECURSOS LTDA</v>
          </cell>
        </row>
        <row r="3627">
          <cell r="B3627">
            <v>10058</v>
          </cell>
          <cell r="C3627" t="str">
            <v>ICATU HARTFORD CETUS SOBERANO RF FI</v>
          </cell>
          <cell r="D3627" t="str">
            <v>ICATU HARTFORD CETUS SOBERANO RF FI</v>
          </cell>
          <cell r="E3627" t="str">
            <v>ICATU VANGUARDA GESTAO DE RECURSOS LTDA</v>
          </cell>
        </row>
        <row r="3628">
          <cell r="B3628">
            <v>10060</v>
          </cell>
          <cell r="C3628" t="str">
            <v>WALTER GERALDO DA SILVEIRA</v>
          </cell>
          <cell r="D3628" t="str">
            <v>WALTER GERALDO DA SILVEIRA</v>
          </cell>
          <cell r="E3628" t="str">
            <v>WALTER GERALDO DA SILVEIRA</v>
          </cell>
        </row>
        <row r="3629">
          <cell r="B3629">
            <v>1105</v>
          </cell>
          <cell r="C3629" t="str">
            <v>FLOW CM LTDA</v>
          </cell>
          <cell r="D3629" t="str">
            <v>FLOW CM LTDA</v>
          </cell>
          <cell r="E3629" t="str">
            <v>BANCO SANTANDER (BRASIL) S/A</v>
          </cell>
        </row>
        <row r="3630">
          <cell r="B3630">
            <v>111</v>
          </cell>
          <cell r="C3630" t="str">
            <v>BANCO SANTANDER (BRASIL) S/A</v>
          </cell>
          <cell r="D3630" t="str">
            <v>BANCO SANTANDER (BRASIL) S/A</v>
          </cell>
          <cell r="E3630" t="str">
            <v>BANCO SANTANDER (BRASIL) S/A</v>
          </cell>
        </row>
        <row r="3631">
          <cell r="B3631">
            <v>1025</v>
          </cell>
          <cell r="C3631" t="str">
            <v>ICAP DO BRASIL CTVM LTDA ( ATUAL TULLET)</v>
          </cell>
          <cell r="D3631" t="str">
            <v>ICAP DO BRASIL CTVM LTDA ( ATUAL TULLET)</v>
          </cell>
          <cell r="E3631" t="str">
            <v>ICAP DO BRASIL CTVM LTDA ( ATUAL TULLET)</v>
          </cell>
        </row>
        <row r="3632">
          <cell r="B3632">
            <v>112</v>
          </cell>
          <cell r="C3632" t="str">
            <v>BANCO SANTANDER (BRASIL) S/A</v>
          </cell>
          <cell r="D3632" t="str">
            <v>BANCO SANTANDER (BRASIL) S/A</v>
          </cell>
          <cell r="E3632" t="str">
            <v>BANCO SANTANDER (BRASIL) S/A</v>
          </cell>
        </row>
        <row r="3633">
          <cell r="B3633">
            <v>1125</v>
          </cell>
          <cell r="C3633" t="str">
            <v>FLOW CM LTDA</v>
          </cell>
          <cell r="D3633" t="str">
            <v>FLOW CM LTDA</v>
          </cell>
          <cell r="E3633" t="str">
            <v>BANCO SANTANDER (BRASIL) S/A</v>
          </cell>
        </row>
        <row r="3634">
          <cell r="B3634">
            <v>116</v>
          </cell>
          <cell r="C3634" t="str">
            <v>BANCO SANTANDER (BRASIL) S/A</v>
          </cell>
          <cell r="D3634" t="str">
            <v>BANCO SANTANDER (BRASIL) S/A</v>
          </cell>
          <cell r="E3634" t="str">
            <v>BANCO SANTANDER (BRASIL) S/A</v>
          </cell>
        </row>
        <row r="3635">
          <cell r="B3635">
            <v>118</v>
          </cell>
          <cell r="C3635" t="str">
            <v>BANCO SANTANDER (BRASIL) S/A</v>
          </cell>
          <cell r="D3635" t="str">
            <v>BANCO SANTANDER (BRASIL) S/A</v>
          </cell>
          <cell r="E3635" t="str">
            <v>BANCO SANTANDER (BRASIL) S/A</v>
          </cell>
        </row>
        <row r="3636">
          <cell r="B3636">
            <v>10600</v>
          </cell>
          <cell r="C3636" t="str">
            <v>MERCOBANK S/A CTVM</v>
          </cell>
          <cell r="D3636" t="str">
            <v>MERCOBANK S/A CTVM</v>
          </cell>
          <cell r="E3636" t="str">
            <v>MERCOBANK S/A CTVM</v>
          </cell>
        </row>
        <row r="3637">
          <cell r="B3637">
            <v>119</v>
          </cell>
          <cell r="C3637" t="str">
            <v>BANCO SANTANDER (BRASIL) S/A</v>
          </cell>
          <cell r="D3637" t="str">
            <v>BANCO SANTANDER (BRASIL) S/A</v>
          </cell>
          <cell r="E3637" t="str">
            <v>BANCO SANTANDER (BRASIL) S/A</v>
          </cell>
        </row>
        <row r="3638">
          <cell r="B3638">
            <v>120</v>
          </cell>
          <cell r="C3638" t="str">
            <v>BANCO SANTANDER (BRASIL) S/A</v>
          </cell>
          <cell r="D3638" t="str">
            <v>BANCO SANTANDER (BRASIL) S/A</v>
          </cell>
          <cell r="E3638" t="str">
            <v>BANCO SANTANDER (BRASIL) S/A</v>
          </cell>
        </row>
        <row r="3639">
          <cell r="B3639">
            <v>1080</v>
          </cell>
          <cell r="C3639" t="str">
            <v>BANCO BTG PACTUAL S/A</v>
          </cell>
          <cell r="D3639" t="str">
            <v>BANCO BTG PACTUAL S/A</v>
          </cell>
          <cell r="E3639" t="str">
            <v>BANCO BTG PACTUAL S/A</v>
          </cell>
        </row>
        <row r="3640">
          <cell r="B3640">
            <v>121</v>
          </cell>
          <cell r="C3640" t="str">
            <v>BANCO SANTANDER (BRASIL) S/A</v>
          </cell>
          <cell r="D3640" t="str">
            <v>BANCO SANTANDER (BRASIL) S/A</v>
          </cell>
          <cell r="E3640" t="str">
            <v>BANCO SANTANDER (BRASIL) S/A</v>
          </cell>
        </row>
        <row r="3641">
          <cell r="B3641">
            <v>11</v>
          </cell>
          <cell r="C3641" t="str">
            <v>INTERBOLSA DO BRASIL CCTVM LTDA</v>
          </cell>
          <cell r="D3641" t="str">
            <v>INTERBOLSA DO BRASIL CCTVM LTDA</v>
          </cell>
          <cell r="E3641" t="str">
            <v>INTERBOLSA DO BRASIL CCTVM LTDA</v>
          </cell>
        </row>
        <row r="3642">
          <cell r="B3642">
            <v>12203</v>
          </cell>
          <cell r="C3642" t="str">
            <v>BANCO SANTANDER (BRASIL) S/A</v>
          </cell>
          <cell r="D3642" t="str">
            <v>BANCO SANTANDER (BRASIL) S/A</v>
          </cell>
          <cell r="E3642" t="str">
            <v>BANCO SANTANDER (BRASIL) S/A</v>
          </cell>
        </row>
        <row r="3643">
          <cell r="B3643">
            <v>122398</v>
          </cell>
          <cell r="C3643" t="str">
            <v>BANCO SANTANDER (BRASIL) S/A</v>
          </cell>
          <cell r="D3643" t="str">
            <v>BANCO SANTANDER (BRASIL) S/A</v>
          </cell>
          <cell r="E3643" t="str">
            <v>BANCO SANTANDER (BRASIL) S/A</v>
          </cell>
        </row>
        <row r="3644">
          <cell r="B3644">
            <v>122399</v>
          </cell>
          <cell r="C3644" t="str">
            <v>BANCO SANTANDER (BRASIL) S/A</v>
          </cell>
          <cell r="D3644" t="str">
            <v>BANCO SANTANDER (BRASIL) S/A</v>
          </cell>
          <cell r="E3644" t="str">
            <v>BANCO SANTANDER (BRASIL) S/A</v>
          </cell>
        </row>
        <row r="3645">
          <cell r="B3645">
            <v>11115</v>
          </cell>
          <cell r="C3645" t="str">
            <v>GAP ACOES FIA</v>
          </cell>
          <cell r="D3645" t="str">
            <v>GAP ACOES FIA</v>
          </cell>
          <cell r="E3645" t="str">
            <v>GAP ACOES FIA</v>
          </cell>
        </row>
        <row r="3646">
          <cell r="B3646">
            <v>11117</v>
          </cell>
          <cell r="C3646" t="str">
            <v>BANK OF AMERICA-BRASIL S.A.(BANCO MULTIPLO)</v>
          </cell>
          <cell r="D3646" t="str">
            <v>BANK OF AMERICA-BRASIL S.A.(BANCO MULTIPLO)</v>
          </cell>
          <cell r="E3646" t="str">
            <v>BANK OF AMERICA-BRASIL S.A.(BANCO MULTIPLO)</v>
          </cell>
        </row>
        <row r="3647">
          <cell r="B3647">
            <v>122400</v>
          </cell>
          <cell r="C3647" t="str">
            <v>BANCO SANTANDER (BRASIL) S/A</v>
          </cell>
          <cell r="D3647" t="str">
            <v>BANCO SANTANDER (BRASIL) S/A</v>
          </cell>
          <cell r="E3647" t="str">
            <v>BANCO SANTANDER (BRASIL) S/A</v>
          </cell>
        </row>
        <row r="3648">
          <cell r="B3648">
            <v>11204</v>
          </cell>
          <cell r="C3648" t="str">
            <v>FIM DEB</v>
          </cell>
          <cell r="D3648" t="str">
            <v>FIM DEB</v>
          </cell>
          <cell r="E3648" t="str">
            <v>FIM DEB</v>
          </cell>
        </row>
        <row r="3649">
          <cell r="B3649">
            <v>122401</v>
          </cell>
          <cell r="C3649" t="str">
            <v>BANCO SANTANDER (BRASIL) S/A</v>
          </cell>
          <cell r="D3649" t="str">
            <v>BANCO SANTANDER (BRASIL) S/A</v>
          </cell>
          <cell r="E3649" t="str">
            <v>BANCO SANTANDER (BRASIL) S/A</v>
          </cell>
        </row>
        <row r="3650">
          <cell r="B3650">
            <v>113</v>
          </cell>
          <cell r="C3650" t="str">
            <v>FUNDO DE INVESTIMENTO EM AÃ‡Ã•ES MERLOT</v>
          </cell>
          <cell r="D3650" t="str">
            <v>FUNDO DE INVESTIMENTO EM AÃ‡Ã•ES MERLOT</v>
          </cell>
          <cell r="E3650" t="str">
            <v>FUNDO DE INVESTIMENTO EM AÃ‡Ã•ES MERLOT</v>
          </cell>
        </row>
        <row r="3651">
          <cell r="B3651">
            <v>11398</v>
          </cell>
          <cell r="C3651" t="str">
            <v>OPTIMIZER FUNDO DE INVESTIMENTO FINANCEIRO</v>
          </cell>
          <cell r="D3651" t="str">
            <v>OPTIMIZER FUNDO DE INVESTIMENTO FINANCEIRO</v>
          </cell>
          <cell r="E3651" t="str">
            <v>OPTIMIZER FUNDO DE INVESTIMENTO FINANCEIRO</v>
          </cell>
        </row>
        <row r="3652">
          <cell r="B3652">
            <v>114</v>
          </cell>
          <cell r="C3652" t="str">
            <v>FIM PETROS CREDITO BOREAL</v>
          </cell>
          <cell r="D3652" t="str">
            <v>FIM PETROS CREDITO BOREAL</v>
          </cell>
          <cell r="E3652" t="str">
            <v>FIM PETROS CREDITO BOREAL</v>
          </cell>
        </row>
        <row r="3653">
          <cell r="B3653">
            <v>11426</v>
          </cell>
          <cell r="C3653" t="str">
            <v>NOBEL STARFIELD FIF</v>
          </cell>
          <cell r="D3653" t="str">
            <v>NOBEL STARFIELD FIF</v>
          </cell>
          <cell r="E3653" t="str">
            <v>NOBEL STARFIELD FIF</v>
          </cell>
        </row>
        <row r="3654">
          <cell r="B3654">
            <v>11458</v>
          </cell>
          <cell r="C3654" t="str">
            <v>BANCO CARGILL S/A</v>
          </cell>
          <cell r="D3654" t="str">
            <v>BANCO CARGILL S/A</v>
          </cell>
          <cell r="E3654" t="str">
            <v>BANCO CARGILL S/A</v>
          </cell>
        </row>
        <row r="3655">
          <cell r="B3655">
            <v>115</v>
          </cell>
          <cell r="C3655" t="str">
            <v>BANCO MODAL S/A</v>
          </cell>
          <cell r="D3655" t="str">
            <v>BANCO MODAL S/A</v>
          </cell>
          <cell r="E3655" t="str">
            <v>BANCO MODAL S/A</v>
          </cell>
        </row>
        <row r="3656">
          <cell r="B3656">
            <v>122402</v>
          </cell>
          <cell r="C3656" t="str">
            <v>BANCO SANTANDER (BRASIL) S/A</v>
          </cell>
          <cell r="D3656" t="str">
            <v>BANCO SANTANDER (BRASIL) S/A</v>
          </cell>
          <cell r="E3656" t="str">
            <v>BANCO SANTANDER (BRASIL) S/A</v>
          </cell>
        </row>
        <row r="3657">
          <cell r="B3657">
            <v>117</v>
          </cell>
          <cell r="C3657" t="str">
            <v>DIEGO SIQUEIRA SANTOS</v>
          </cell>
          <cell r="D3657" t="str">
            <v>DIEGO SIQUEIRA SANTOS</v>
          </cell>
          <cell r="E3657" t="str">
            <v>DIEGO SIQUEIRA SANTOS</v>
          </cell>
        </row>
        <row r="3658">
          <cell r="B3658">
            <v>1170</v>
          </cell>
          <cell r="C3658" t="str">
            <v>BGC LIQUIDEZ DTVM LTDA</v>
          </cell>
          <cell r="D3658" t="str">
            <v>BGC LIQUIDEZ DTVM LTDA</v>
          </cell>
          <cell r="E3658" t="str">
            <v>BGC LIQUIDEZ DTVM LTDA</v>
          </cell>
        </row>
        <row r="3659">
          <cell r="B3659">
            <v>122403</v>
          </cell>
          <cell r="C3659" t="str">
            <v>BANCO SANTANDER (BRASIL) S/A</v>
          </cell>
          <cell r="D3659" t="str">
            <v>BANCO SANTANDER (BRASIL) S/A</v>
          </cell>
          <cell r="E3659" t="str">
            <v>BANCO SANTANDER (BRASIL) S/A</v>
          </cell>
        </row>
        <row r="3660">
          <cell r="B3660">
            <v>122404</v>
          </cell>
          <cell r="C3660" t="str">
            <v>BANCO SANTANDER (BRASIL) S/A</v>
          </cell>
          <cell r="D3660" t="str">
            <v>BANCO SANTANDER (BRASIL) S/A</v>
          </cell>
          <cell r="E3660" t="str">
            <v>BANCO SANTANDER (BRASIL) S/A</v>
          </cell>
        </row>
        <row r="3661">
          <cell r="B3661">
            <v>122405</v>
          </cell>
          <cell r="C3661" t="str">
            <v>BANCO SANTANDER (BRASIL) S/A</v>
          </cell>
          <cell r="D3661" t="str">
            <v>BANCO SANTANDER (BRASIL) S/A</v>
          </cell>
          <cell r="E3661" t="str">
            <v>BANCO SANTANDER (BRASIL) S/A</v>
          </cell>
        </row>
        <row r="3662">
          <cell r="B3662">
            <v>122406</v>
          </cell>
          <cell r="C3662" t="str">
            <v>BANCO SANTANDER (BRASIL) S/A</v>
          </cell>
          <cell r="D3662" t="str">
            <v>BANCO SANTANDER (BRASIL) S/A</v>
          </cell>
          <cell r="E3662" t="str">
            <v>BANCO SANTANDER (BRASIL) S/A</v>
          </cell>
        </row>
        <row r="3663">
          <cell r="B3663">
            <v>122001</v>
          </cell>
          <cell r="C3663" t="str">
            <v>VINICIUS AMARAL DE MOURA</v>
          </cell>
          <cell r="D3663" t="str">
            <v>VINICIUS AMARAL DE MOURA</v>
          </cell>
          <cell r="E3663" t="str">
            <v>VINICIUS AMARAL DE MOURA</v>
          </cell>
        </row>
        <row r="3664">
          <cell r="B3664">
            <v>122002</v>
          </cell>
          <cell r="C3664" t="str">
            <v>JOSE MAURICIO GOMES TEIXEIRA</v>
          </cell>
          <cell r="D3664" t="str">
            <v>JOSE MAURICIO GOMES TEIXEIRA</v>
          </cell>
          <cell r="E3664" t="str">
            <v>JOSE MAURICIO GOMES TEIXEIRA</v>
          </cell>
        </row>
        <row r="3665">
          <cell r="B3665">
            <v>122003</v>
          </cell>
          <cell r="C3665" t="str">
            <v>JOSE RANIERI NETTO</v>
          </cell>
          <cell r="D3665" t="str">
            <v>JOSE RANIERI NETTO</v>
          </cell>
          <cell r="E3665" t="str">
            <v>JOSE RANIERI NETTO</v>
          </cell>
        </row>
        <row r="3666">
          <cell r="B3666">
            <v>122004</v>
          </cell>
          <cell r="C3666" t="str">
            <v>BANCO ITAU BBA S/A</v>
          </cell>
          <cell r="D3666" t="str">
            <v>BANCO ITAU BBA S/A</v>
          </cell>
          <cell r="E3666" t="str">
            <v>BANCO ITAU BBA S/A</v>
          </cell>
        </row>
        <row r="3667">
          <cell r="B3667">
            <v>122005</v>
          </cell>
          <cell r="C3667" t="str">
            <v>BANCO VOTORANTIM S/A</v>
          </cell>
          <cell r="D3667" t="str">
            <v>BANCO VOTORANTIM S/A</v>
          </cell>
          <cell r="E3667" t="str">
            <v>BANCO VOTORANTIM S/A</v>
          </cell>
        </row>
        <row r="3668">
          <cell r="B3668">
            <v>122006</v>
          </cell>
          <cell r="C3668" t="str">
            <v>LACAN VALOR FIA</v>
          </cell>
          <cell r="D3668" t="str">
            <v>LACAN VALOR FIA</v>
          </cell>
          <cell r="E3668" t="str">
            <v>LACAN INVESTIMENTOS E PARTICIPACOES LTDA</v>
          </cell>
        </row>
        <row r="3669">
          <cell r="B3669">
            <v>122007</v>
          </cell>
          <cell r="C3669" t="str">
            <v>SDA ABSOLUTO MASTER FIM</v>
          </cell>
          <cell r="D3669" t="str">
            <v>SDA ABSOLUTO MASTER FIM</v>
          </cell>
          <cell r="E3669" t="str">
            <v>SDA GESTAO DE RECURSOS LTDA</v>
          </cell>
        </row>
        <row r="3670">
          <cell r="B3670">
            <v>122008</v>
          </cell>
          <cell r="C3670" t="str">
            <v>SDA HEDGE FIM</v>
          </cell>
          <cell r="D3670" t="str">
            <v>SDA HEDGE FIM</v>
          </cell>
          <cell r="E3670" t="str">
            <v>SDA GESTAO DE RECURSOS LTDA</v>
          </cell>
        </row>
        <row r="3671">
          <cell r="B3671">
            <v>122009</v>
          </cell>
          <cell r="C3671" t="str">
            <v>SDA 130-130 FIA</v>
          </cell>
          <cell r="D3671" t="str">
            <v>SDA 130-130 FIA</v>
          </cell>
          <cell r="E3671" t="str">
            <v>SDA GESTAO DE RECURSOS LTDA</v>
          </cell>
        </row>
        <row r="3672">
          <cell r="B3672">
            <v>12201</v>
          </cell>
          <cell r="C3672" t="str">
            <v>PERSONALE CONSULTORIA E GESTAO DE CARTEIRAS LTDA</v>
          </cell>
          <cell r="D3672" t="str">
            <v>PERSONALE CONSULTORIA E GESTAO DE CARTEIRAS LTDA</v>
          </cell>
          <cell r="E3672" t="str">
            <v>PERSONALE CONSULTORIA E GESTAO DE CARTEIRAS LTDA</v>
          </cell>
        </row>
        <row r="3673">
          <cell r="B3673">
            <v>122010</v>
          </cell>
          <cell r="C3673" t="str">
            <v>NOBEL TOTAL 60 FUNDO DE INVESTIMENTO MULTIMERCADO</v>
          </cell>
          <cell r="D3673" t="str">
            <v>NOBEL TOTAL 60 FUNDO DE INVESTIMENTO MULTIMERCADO</v>
          </cell>
          <cell r="E3673" t="str">
            <v>NOBEL GESTAO DE RECURSOS LTDA</v>
          </cell>
        </row>
        <row r="3674">
          <cell r="B3674">
            <v>122011</v>
          </cell>
          <cell r="C3674" t="str">
            <v>NOBEL FIA</v>
          </cell>
          <cell r="D3674" t="str">
            <v>NOBEL FIA</v>
          </cell>
          <cell r="E3674" t="str">
            <v>NOBEL GESTAO DE RECURSOS LTDA</v>
          </cell>
        </row>
        <row r="3675">
          <cell r="B3675">
            <v>122012</v>
          </cell>
          <cell r="C3675" t="str">
            <v>NOBEL SIRIUS FIA</v>
          </cell>
          <cell r="D3675" t="str">
            <v>NOBEL SIRIUS FIA</v>
          </cell>
          <cell r="E3675" t="str">
            <v>NOBEL GESTAO DE RECURSOS LTDA</v>
          </cell>
        </row>
        <row r="3676">
          <cell r="B3676">
            <v>122013</v>
          </cell>
          <cell r="C3676" t="str">
            <v>IPANEMA FIM</v>
          </cell>
          <cell r="D3676" t="str">
            <v>IPANEMA FIM</v>
          </cell>
          <cell r="E3676" t="str">
            <v>IPANEMA FIM</v>
          </cell>
        </row>
        <row r="3677">
          <cell r="B3677">
            <v>122014</v>
          </cell>
          <cell r="C3677" t="str">
            <v>NOBEL VALUE INVESTORS LLC - BANCO UBS PACTUAL S/A</v>
          </cell>
          <cell r="D3677" t="str">
            <v>NOBEL VALUE INVESTORS LLC - BANCO UBS PACTUAL S/A</v>
          </cell>
          <cell r="E3677" t="str">
            <v>NOBEL GESTAO DE RECURSOS LTDA</v>
          </cell>
        </row>
        <row r="3678">
          <cell r="B3678">
            <v>122019</v>
          </cell>
          <cell r="C3678" t="str">
            <v>BB GESTAO DE RECURSOS DTVM LTDA</v>
          </cell>
          <cell r="D3678" t="str">
            <v>BB GESTAO DE RECURSOS DTVM LTDA</v>
          </cell>
          <cell r="E3678" t="str">
            <v>BB GESTAO DE RECURSOS DTVM LTDA</v>
          </cell>
        </row>
        <row r="3679">
          <cell r="B3679">
            <v>12202</v>
          </cell>
          <cell r="C3679" t="str">
            <v>ITAU CORRETORA DE VALORES S.A.</v>
          </cell>
          <cell r="D3679" t="str">
            <v>ITAU CORRETORA DE VALORES S.A.</v>
          </cell>
          <cell r="E3679" t="str">
            <v>ITAU CV S/A</v>
          </cell>
        </row>
        <row r="3680">
          <cell r="B3680">
            <v>122020</v>
          </cell>
          <cell r="C3680" t="str">
            <v>BB GESTAO DE RECURSOS DTVM LTDA</v>
          </cell>
          <cell r="D3680" t="str">
            <v>BB GESTAO DE RECURSOS DTVM LTDA</v>
          </cell>
          <cell r="E3680" t="str">
            <v>BB GESTAO DE RECURSOS DTVM LTDA</v>
          </cell>
        </row>
        <row r="3681">
          <cell r="B3681">
            <v>122021</v>
          </cell>
          <cell r="C3681" t="str">
            <v>BB GESTAO DE RECURSOS DTVM LTDA</v>
          </cell>
          <cell r="D3681" t="str">
            <v>BB GESTAO DE RECURSOS DTVM LTDA</v>
          </cell>
          <cell r="E3681" t="str">
            <v>BB GESTAO DE RECURSOS DTVM LTDA</v>
          </cell>
        </row>
        <row r="3682">
          <cell r="B3682">
            <v>122029</v>
          </cell>
          <cell r="C3682" t="str">
            <v>BB GESTAO DE RECURSOS DTVM LTDA</v>
          </cell>
          <cell r="D3682" t="str">
            <v>BB GESTAO DE RECURSOS DTVM LTDA</v>
          </cell>
          <cell r="E3682" t="str">
            <v>BB GESTAO DE RECURSOS DTVM LTDA</v>
          </cell>
        </row>
        <row r="3683">
          <cell r="B3683">
            <v>122407</v>
          </cell>
          <cell r="C3683" t="str">
            <v>BANCO SANTANDER (BRASIL) S/A</v>
          </cell>
          <cell r="D3683" t="str">
            <v>BANCO SANTANDER (BRASIL) S/A</v>
          </cell>
          <cell r="E3683" t="str">
            <v>BANCO SANTANDER (BRASIL) S/A</v>
          </cell>
        </row>
        <row r="3684">
          <cell r="B3684">
            <v>122030</v>
          </cell>
          <cell r="C3684" t="str">
            <v>BB GESTAO DE RECURSOS DTVM LTDA</v>
          </cell>
          <cell r="D3684" t="str">
            <v>BB GESTAO DE RECURSOS DTVM LTDA</v>
          </cell>
          <cell r="E3684" t="str">
            <v>BB GESTAO DE RECURSOS DTVM LTDA</v>
          </cell>
        </row>
        <row r="3685">
          <cell r="B3685">
            <v>122032</v>
          </cell>
          <cell r="C3685" t="str">
            <v>BB GESTAO DE RECURSOS DTVM LTDA</v>
          </cell>
          <cell r="D3685" t="str">
            <v>BB GESTAO DE RECURSOS DTVM LTDA</v>
          </cell>
          <cell r="E3685" t="str">
            <v>BB GESTAO DE RECURSOS DTVM LTDA</v>
          </cell>
        </row>
        <row r="3686">
          <cell r="B3686">
            <v>122033</v>
          </cell>
          <cell r="C3686" t="str">
            <v>BB GESTAO DE RECURSOS DTVM LTDA</v>
          </cell>
          <cell r="D3686" t="str">
            <v>BB GESTAO DE RECURSOS DTVM LTDA</v>
          </cell>
          <cell r="E3686" t="str">
            <v>BB GESTAO DE RECURSOS DTVM LTDA</v>
          </cell>
        </row>
        <row r="3687">
          <cell r="B3687">
            <v>122035</v>
          </cell>
          <cell r="C3687" t="str">
            <v>BB GESTAO DE RECURSOS DTVM LTDA</v>
          </cell>
          <cell r="D3687" t="str">
            <v>BB GESTAO DE RECURSOS DTVM LTDA</v>
          </cell>
          <cell r="E3687" t="str">
            <v>BB GESTAO DE RECURSOS DTVM LTDA</v>
          </cell>
        </row>
        <row r="3688">
          <cell r="B3688">
            <v>12204</v>
          </cell>
          <cell r="C3688" t="str">
            <v>NEST INVESTIMENTOS LTDA</v>
          </cell>
          <cell r="D3688" t="str">
            <v>NEST INVESTIMENTOS LTDA</v>
          </cell>
          <cell r="E3688" t="str">
            <v>NEST INVESTIMENTOS LTDA</v>
          </cell>
        </row>
        <row r="3689">
          <cell r="B3689">
            <v>122040</v>
          </cell>
          <cell r="C3689" t="str">
            <v>BB GESTAO DE RECURSOS DTVM LTDA</v>
          </cell>
          <cell r="D3689" t="str">
            <v>BB GESTAO DE RECURSOS DTVM LTDA</v>
          </cell>
          <cell r="E3689" t="str">
            <v>BB GESTAO DE RECURSOS DTVM LTDA</v>
          </cell>
        </row>
        <row r="3690">
          <cell r="B3690">
            <v>122042</v>
          </cell>
          <cell r="C3690" t="str">
            <v>BB GESTAO DE RECURSOS DTVM LTDA</v>
          </cell>
          <cell r="D3690" t="str">
            <v>BB GESTAO DE RECURSOS DTVM LTDA</v>
          </cell>
          <cell r="E3690" t="str">
            <v>BB GESTAO DE RECURSOS DTVM LTDA</v>
          </cell>
        </row>
        <row r="3691">
          <cell r="B3691">
            <v>122043</v>
          </cell>
          <cell r="C3691" t="str">
            <v>BB GESTAO DE RECURSOS DTVM LTDA</v>
          </cell>
          <cell r="D3691" t="str">
            <v>BB GESTAO DE RECURSOS DTVM LTDA</v>
          </cell>
          <cell r="E3691" t="str">
            <v>BB GESTAO DE RECURSOS DTVM LTDA</v>
          </cell>
        </row>
        <row r="3692">
          <cell r="B3692">
            <v>122045</v>
          </cell>
          <cell r="C3692" t="str">
            <v>BB GESTAO DE RECURSOS DTVM LTDA</v>
          </cell>
          <cell r="D3692" t="str">
            <v>BB GESTAO DE RECURSOS DTVM LTDA</v>
          </cell>
          <cell r="E3692" t="str">
            <v>BB GESTAO DE RECURSOS DTVM LTDA</v>
          </cell>
        </row>
        <row r="3693">
          <cell r="B3693">
            <v>122047</v>
          </cell>
          <cell r="C3693" t="str">
            <v>BB GESTAO DE RECURSOS DTVM LTDA</v>
          </cell>
          <cell r="D3693" t="str">
            <v>BB GESTAO DE RECURSOS DTVM LTDA</v>
          </cell>
          <cell r="E3693" t="str">
            <v>BB GESTAO DE RECURSOS DTVM LTDA</v>
          </cell>
        </row>
        <row r="3694">
          <cell r="B3694">
            <v>122048</v>
          </cell>
          <cell r="C3694" t="str">
            <v>BB GESTAO DE RECURSOS DTVM LTDA</v>
          </cell>
          <cell r="D3694" t="str">
            <v>BB GESTAO DE RECURSOS DTVM LTDA</v>
          </cell>
          <cell r="E3694" t="str">
            <v>BB GESTAO DE RECURSOS DTVM LTDA</v>
          </cell>
        </row>
        <row r="3695">
          <cell r="B3695">
            <v>12205</v>
          </cell>
          <cell r="C3695" t="str">
            <v>LACAN INVESTIMENTOS E PARTICIPACOES LTDA</v>
          </cell>
          <cell r="D3695" t="str">
            <v>LACAN INVESTIMENTOS E PARTICIPACOES LTDA</v>
          </cell>
          <cell r="E3695" t="str">
            <v>LACAN INVESTIMENTOS E PARTICIPACOES LTDA</v>
          </cell>
        </row>
        <row r="3696">
          <cell r="B3696">
            <v>122052</v>
          </cell>
          <cell r="C3696" t="str">
            <v>BB GESTAO DE RECURSOS DTVM LTDA</v>
          </cell>
          <cell r="D3696" t="str">
            <v>BB GESTAO DE RECURSOS DTVM LTDA</v>
          </cell>
          <cell r="E3696" t="str">
            <v>BB GESTAO DE RECURSOS DTVM LTDA</v>
          </cell>
        </row>
        <row r="3697">
          <cell r="B3697">
            <v>122058</v>
          </cell>
          <cell r="C3697" t="str">
            <v>BB GESTAO DE RECURSOS DTVM LTDA</v>
          </cell>
          <cell r="D3697" t="str">
            <v>BB GESTAO DE RECURSOS DTVM LTDA</v>
          </cell>
          <cell r="E3697" t="str">
            <v>BB GESTAO DE RECURSOS DTVM LTDA</v>
          </cell>
        </row>
        <row r="3698">
          <cell r="B3698">
            <v>12206</v>
          </cell>
          <cell r="C3698" t="str">
            <v>SDA GESTAO DE RECURSOS LTDA</v>
          </cell>
          <cell r="D3698" t="str">
            <v>SDA GESTAO DE RECURSOS LTDA</v>
          </cell>
          <cell r="E3698" t="str">
            <v>SDA GESTAO DE RECURSOS LTDA</v>
          </cell>
        </row>
        <row r="3699">
          <cell r="B3699">
            <v>122061</v>
          </cell>
          <cell r="C3699" t="str">
            <v>BB GESTAO DE RECURSOS DTVM LTDA</v>
          </cell>
          <cell r="D3699" t="str">
            <v>BB GESTAO DE RECURSOS DTVM LTDA</v>
          </cell>
          <cell r="E3699" t="str">
            <v>BB GESTAO DE RECURSOS DTVM LTDA</v>
          </cell>
        </row>
        <row r="3700">
          <cell r="B3700">
            <v>122062</v>
          </cell>
          <cell r="C3700" t="str">
            <v>BB GESTAO DE RECURSOS DTVM LTDA</v>
          </cell>
          <cell r="D3700" t="str">
            <v>BB GESTAO DE RECURSOS DTVM LTDA</v>
          </cell>
          <cell r="E3700" t="str">
            <v>BB GESTAO DE RECURSOS DTVM LTDA</v>
          </cell>
        </row>
        <row r="3701">
          <cell r="B3701">
            <v>122064</v>
          </cell>
          <cell r="C3701" t="str">
            <v>BB GESTAO DE RECURSOS DTVM LTDA</v>
          </cell>
          <cell r="D3701" t="str">
            <v>BB GESTAO DE RECURSOS DTVM LTDA</v>
          </cell>
          <cell r="E3701" t="str">
            <v>BB GESTAO DE RECURSOS DTVM LTDA</v>
          </cell>
        </row>
        <row r="3702">
          <cell r="B3702">
            <v>122065</v>
          </cell>
          <cell r="C3702" t="str">
            <v>BB GESTAO DE RECURSOS DTVM LTDA</v>
          </cell>
          <cell r="D3702" t="str">
            <v>BB GESTAO DE RECURSOS DTVM LTDA</v>
          </cell>
          <cell r="E3702" t="str">
            <v>BB GESTAO DE RECURSOS DTVM LTDA</v>
          </cell>
        </row>
        <row r="3703">
          <cell r="B3703">
            <v>122066</v>
          </cell>
          <cell r="C3703" t="str">
            <v>BB GESTAO DE RECURSOS DTVM LTDA</v>
          </cell>
          <cell r="D3703" t="str">
            <v>BB GESTAO DE RECURSOS DTVM LTDA</v>
          </cell>
          <cell r="E3703" t="str">
            <v>BB GESTAO DE RECURSOS DTVM LTDA</v>
          </cell>
        </row>
        <row r="3704">
          <cell r="B3704">
            <v>122067</v>
          </cell>
          <cell r="C3704" t="str">
            <v>BB GESTAO DE RECURSOS DTVM LTDA</v>
          </cell>
          <cell r="D3704" t="str">
            <v>BB GESTAO DE RECURSOS DTVM LTDA</v>
          </cell>
          <cell r="E3704" t="str">
            <v>BB GESTAO DE RECURSOS DTVM LTDA</v>
          </cell>
        </row>
        <row r="3705">
          <cell r="B3705">
            <v>12207</v>
          </cell>
          <cell r="C3705" t="str">
            <v>NOBEL GESTAO DE RECURSOS LTDA</v>
          </cell>
          <cell r="D3705" t="str">
            <v>NOBEL GESTAO DE RECURSOS LTDA</v>
          </cell>
          <cell r="E3705" t="str">
            <v>NOBEL GESTAO DE RECURSOS LTDA</v>
          </cell>
        </row>
        <row r="3706">
          <cell r="B3706">
            <v>122070</v>
          </cell>
          <cell r="C3706" t="str">
            <v>BB GESTAO DE RECURSOS DTVM LTDA</v>
          </cell>
          <cell r="D3706" t="str">
            <v>BB GESTAO DE RECURSOS DTVM LTDA</v>
          </cell>
          <cell r="E3706" t="str">
            <v>BB GESTAO DE RECURSOS DTVM LTDA</v>
          </cell>
        </row>
        <row r="3707">
          <cell r="B3707">
            <v>122075</v>
          </cell>
          <cell r="C3707" t="str">
            <v>BB GESTAO DE RECURSOS DTVM LTDA</v>
          </cell>
          <cell r="D3707" t="str">
            <v>BB GESTAO DE RECURSOS DTVM LTDA</v>
          </cell>
          <cell r="E3707" t="str">
            <v>BB GESTAO DE RECURSOS DTVM LTDA</v>
          </cell>
        </row>
        <row r="3708">
          <cell r="B3708">
            <v>122076</v>
          </cell>
          <cell r="C3708" t="str">
            <v>BB GESTAO DE RECURSOS DTVM LTDA</v>
          </cell>
          <cell r="D3708" t="str">
            <v>BB GESTAO DE RECURSOS DTVM LTDA</v>
          </cell>
          <cell r="E3708" t="str">
            <v>BB GESTAO DE RECURSOS DTVM LTDA</v>
          </cell>
        </row>
        <row r="3709">
          <cell r="B3709">
            <v>122077</v>
          </cell>
          <cell r="C3709" t="str">
            <v>BB GESTAO DE RECURSOS DTVM LTDA</v>
          </cell>
          <cell r="D3709" t="str">
            <v>BB GESTAO DE RECURSOS DTVM LTDA</v>
          </cell>
          <cell r="E3709" t="str">
            <v>BB GESTAO DE RECURSOS DTVM LTDA</v>
          </cell>
        </row>
        <row r="3710">
          <cell r="B3710">
            <v>122081</v>
          </cell>
          <cell r="C3710" t="str">
            <v>BB GESTAO DE RECURSOS DTVM LTDA</v>
          </cell>
          <cell r="D3710" t="str">
            <v>BB GESTAO DE RECURSOS DTVM LTDA</v>
          </cell>
          <cell r="E3710" t="str">
            <v>BB GESTAO DE RECURSOS DTVM LTDA</v>
          </cell>
        </row>
        <row r="3711">
          <cell r="B3711">
            <v>122082</v>
          </cell>
          <cell r="C3711" t="str">
            <v>BB GESTAO DE RECURSOS DTVM LTDA</v>
          </cell>
          <cell r="D3711" t="str">
            <v>BB GESTAO DE RECURSOS DTVM LTDA</v>
          </cell>
          <cell r="E3711" t="str">
            <v>BB GESTAO DE RECURSOS DTVM LTDA</v>
          </cell>
        </row>
        <row r="3712">
          <cell r="B3712">
            <v>122083</v>
          </cell>
          <cell r="C3712" t="str">
            <v>BB GESTAO DE RECURSOS DTVM LTDA</v>
          </cell>
          <cell r="D3712" t="str">
            <v>BB GESTAO DE RECURSOS DTVM LTDA</v>
          </cell>
          <cell r="E3712" t="str">
            <v>BB GESTAO DE RECURSOS DTVM LTDA</v>
          </cell>
        </row>
        <row r="3713">
          <cell r="B3713">
            <v>122084</v>
          </cell>
          <cell r="C3713" t="str">
            <v>TOPLINE TRADING LLC</v>
          </cell>
          <cell r="D3713" t="str">
            <v>TOPLINE TRADING LLC</v>
          </cell>
          <cell r="E3713" t="str">
            <v>NEST INVESTIMENTOS LTDA</v>
          </cell>
        </row>
        <row r="3714">
          <cell r="B3714">
            <v>122085</v>
          </cell>
          <cell r="C3714" t="str">
            <v>MARCELA FERNANDES GONCALVES</v>
          </cell>
          <cell r="D3714" t="str">
            <v>MARCELA FERNANDES GONCALVES</v>
          </cell>
          <cell r="E3714" t="str">
            <v>MARCELA FERNANDES GONCALVES</v>
          </cell>
        </row>
        <row r="3715">
          <cell r="B3715">
            <v>122086</v>
          </cell>
          <cell r="C3715" t="str">
            <v>EVELYN CUNHA QUEIROZ MOTTA</v>
          </cell>
          <cell r="D3715" t="str">
            <v>EVELYN CUNHA QUEIROZ MOTTA</v>
          </cell>
          <cell r="E3715" t="str">
            <v>EVELYN CUNHA QUEIROZ MOTTA</v>
          </cell>
        </row>
        <row r="3716">
          <cell r="B3716">
            <v>122088</v>
          </cell>
          <cell r="C3716" t="str">
            <v>COLORADO FUNDO DE INVESTIMENTO MULTIMARCADO CP</v>
          </cell>
          <cell r="D3716" t="str">
            <v>COLORADO FUNDO DE INVESTIMENTO MULTIMARCADO CP</v>
          </cell>
          <cell r="E3716" t="str">
            <v>LACAN INVESTIMENTOS E PARTICIPACOES LTDA</v>
          </cell>
        </row>
        <row r="3717">
          <cell r="B3717">
            <v>122089</v>
          </cell>
          <cell r="C3717" t="str">
            <v>FRANCISCO JOSE DIAS CARVALHO</v>
          </cell>
          <cell r="D3717" t="str">
            <v>FRANCISCO JOSE DIAS CARVALHO</v>
          </cell>
          <cell r="E3717" t="str">
            <v>FRANCISCO JOSE DIAS CARVALHO</v>
          </cell>
        </row>
        <row r="3718">
          <cell r="B3718">
            <v>12209</v>
          </cell>
          <cell r="C3718" t="str">
            <v>BB GESTAO DE RECURSOS DTVM LTDA</v>
          </cell>
          <cell r="D3718" t="str">
            <v>BB GESTAO DE RECURSOS DTVM LTDA</v>
          </cell>
          <cell r="E3718" t="str">
            <v>BB GESTAO DE RECURSOS DTVM LTDA</v>
          </cell>
        </row>
        <row r="3719">
          <cell r="B3719">
            <v>122090</v>
          </cell>
          <cell r="C3719" t="str">
            <v>MARIO URZEDO PAIVA</v>
          </cell>
          <cell r="D3719" t="str">
            <v>MARIO URZEDO PAIVA</v>
          </cell>
          <cell r="E3719" t="str">
            <v>MARIO URZEDO PAIVA</v>
          </cell>
        </row>
        <row r="3720">
          <cell r="B3720">
            <v>122091</v>
          </cell>
          <cell r="C3720" t="str">
            <v>PEDRO STENZEL BRASILIANO DA COSTA</v>
          </cell>
          <cell r="D3720" t="str">
            <v>PEDRO STENZEL BRASILIANO DA COSTA</v>
          </cell>
          <cell r="E3720" t="str">
            <v>PEDRO STENZEL BRASILIANO DA COSTA</v>
          </cell>
        </row>
        <row r="3721">
          <cell r="B3721">
            <v>122092</v>
          </cell>
          <cell r="C3721" t="str">
            <v>VINCI MASTER FIM</v>
          </cell>
          <cell r="D3721" t="str">
            <v>VINCI MASTER FIM</v>
          </cell>
          <cell r="E3721" t="str">
            <v>VINCI GESTORA DE RECURSOS LTDA</v>
          </cell>
        </row>
        <row r="3722">
          <cell r="B3722">
            <v>122093</v>
          </cell>
          <cell r="C3722" t="str">
            <v>BANCO DO BRASIL S/A</v>
          </cell>
          <cell r="D3722" t="str">
            <v>BANCO DO BRASIL S/A</v>
          </cell>
          <cell r="E3722" t="str">
            <v>BANCO DO BRASIL S/A</v>
          </cell>
        </row>
        <row r="3723">
          <cell r="B3723">
            <v>122094</v>
          </cell>
          <cell r="C3723" t="str">
            <v>BB BANCO DE INVESTIMENTO S/A</v>
          </cell>
          <cell r="D3723" t="str">
            <v>BB BANCO DE INVESTIMENTO S/A</v>
          </cell>
          <cell r="E3723" t="str">
            <v>BB BANCO DE INVESTIMENTO S/A</v>
          </cell>
        </row>
        <row r="3724">
          <cell r="B3724">
            <v>122096</v>
          </cell>
          <cell r="C3724" t="str">
            <v>BANCO VOTORANTIM S/A</v>
          </cell>
          <cell r="D3724" t="str">
            <v>BANCO VOTORANTIM S/A</v>
          </cell>
          <cell r="E3724" t="str">
            <v>BANCO VOTORANTIM S/A</v>
          </cell>
        </row>
        <row r="3725">
          <cell r="B3725">
            <v>122097</v>
          </cell>
          <cell r="C3725" t="str">
            <v>BANIF MAESTRO FIM</v>
          </cell>
          <cell r="D3725" t="str">
            <v>BANIF MAESTRO FIM</v>
          </cell>
          <cell r="E3725" t="str">
            <v>BANIF GESTAO DE ATIVOS ( BRASIL) S/A</v>
          </cell>
        </row>
        <row r="3726">
          <cell r="B3726">
            <v>122098</v>
          </cell>
          <cell r="C3726" t="str">
            <v>BANIF EQUITY HEDGE FIM</v>
          </cell>
          <cell r="D3726" t="str">
            <v>BANIF EQUITY HEDGE FIM</v>
          </cell>
          <cell r="E3726" t="str">
            <v>BANIF GESTAO DE ATIVOS ( BRASIL) S/A</v>
          </cell>
        </row>
        <row r="3727">
          <cell r="B3727">
            <v>122099</v>
          </cell>
          <cell r="C3727" t="str">
            <v>BANIF FI REFERENCIADO DI</v>
          </cell>
          <cell r="D3727" t="str">
            <v>BANIF FI REFERENCIADO DI</v>
          </cell>
          <cell r="E3727" t="str">
            <v>BANIF GESTAO DE ATIVOS ( BRASIL) S/A</v>
          </cell>
        </row>
        <row r="3728">
          <cell r="B3728">
            <v>12210</v>
          </cell>
          <cell r="C3728" t="str">
            <v>BANIF GESTAO DE ATIVOS ( BRASIL) S/A</v>
          </cell>
          <cell r="D3728" t="str">
            <v>BANIF GESTAO DE ATIVOS ( BRASIL) S/A</v>
          </cell>
          <cell r="E3728" t="str">
            <v>BANIF GESTAO DE ATIVOS ( BRASIL) S/A</v>
          </cell>
        </row>
        <row r="3729">
          <cell r="B3729">
            <v>122100</v>
          </cell>
          <cell r="C3729" t="str">
            <v>BANIF INSTITUCIONAL FIM</v>
          </cell>
          <cell r="D3729" t="str">
            <v>BANIF INSTITUCIONAL FIM</v>
          </cell>
          <cell r="E3729" t="str">
            <v>BANIF GESTAO DE ATIVOS ( BRASIL) S/A</v>
          </cell>
        </row>
        <row r="3730">
          <cell r="B3730">
            <v>122101</v>
          </cell>
          <cell r="C3730" t="str">
            <v>BANIF FIA</v>
          </cell>
          <cell r="D3730" t="str">
            <v>BANIF FIA</v>
          </cell>
          <cell r="E3730" t="str">
            <v>BANIF GESTAO DE ATIVOS ( BRASIL) S/A</v>
          </cell>
        </row>
        <row r="3731">
          <cell r="B3731">
            <v>122102</v>
          </cell>
          <cell r="C3731" t="str">
            <v>CESAR RAMOS FILHO</v>
          </cell>
          <cell r="D3731" t="str">
            <v>CESAR RAMOS FILHO</v>
          </cell>
          <cell r="E3731" t="str">
            <v>CESAR RAMOS FILHO</v>
          </cell>
        </row>
        <row r="3732">
          <cell r="B3732">
            <v>122103</v>
          </cell>
          <cell r="C3732" t="str">
            <v>RICARDO MARCIO CORIOLANO LEMOS</v>
          </cell>
          <cell r="D3732" t="str">
            <v>RICARDO MARCIO CORIOLANO LEMOS</v>
          </cell>
          <cell r="E3732" t="str">
            <v>RICARDO MARCIO CORIOLANO LEMOS</v>
          </cell>
        </row>
        <row r="3733">
          <cell r="B3733">
            <v>122104</v>
          </cell>
          <cell r="C3733" t="str">
            <v>FIDES ACOES IBOVESPA FIA</v>
          </cell>
          <cell r="D3733" t="str">
            <v>FIDES ACOES IBOVESPA FIA</v>
          </cell>
          <cell r="E3733" t="str">
            <v>TAVOLA CAPITAL GESTAO DE RECURSOS LTDA</v>
          </cell>
        </row>
        <row r="3734">
          <cell r="B3734">
            <v>122105</v>
          </cell>
          <cell r="C3734" t="str">
            <v>TAVOLA  ABSOLUTO FIM</v>
          </cell>
          <cell r="D3734" t="str">
            <v>TAVOLA  ABSOLUTO FIM</v>
          </cell>
          <cell r="E3734" t="str">
            <v>TAVOLA CAPITAL GESTAO DE RECURSOS LTDA</v>
          </cell>
        </row>
        <row r="3735">
          <cell r="B3735">
            <v>122106</v>
          </cell>
          <cell r="C3735" t="str">
            <v>TAVOLA LONG SHORT FIM</v>
          </cell>
          <cell r="D3735" t="str">
            <v>TAVOLA LONG SHORT FIM</v>
          </cell>
          <cell r="E3735" t="str">
            <v>TAVOLA CAPITAL GESTAO DE RECURSOS LTDA</v>
          </cell>
        </row>
        <row r="3736">
          <cell r="B3736">
            <v>122107</v>
          </cell>
          <cell r="C3736" t="str">
            <v>FIDES LONG SHORT FIM</v>
          </cell>
          <cell r="D3736" t="str">
            <v>FIDES LONG SHORT FIM</v>
          </cell>
          <cell r="E3736" t="str">
            <v>TAVOLA CAPITAL GESTAO DE RECURSOS LTDA</v>
          </cell>
        </row>
        <row r="3737">
          <cell r="B3737">
            <v>122108</v>
          </cell>
          <cell r="C3737" t="str">
            <v>MANDATTO TREASURY FUNDO DE INVESTIMENTO MULTIMERCADO CREDITO</v>
          </cell>
          <cell r="D3737" t="str">
            <v>MANDATTO TREASURY FUNDO DE INVESTIMENTO MULTIMERCADO CREDITO</v>
          </cell>
          <cell r="E3737" t="str">
            <v>VISTA CAPITAL GESTORA DE RECURSOS LTDA</v>
          </cell>
        </row>
        <row r="3738">
          <cell r="B3738">
            <v>122109</v>
          </cell>
          <cell r="C3738" t="str">
            <v>FIDES HEDGE PLUS FIM</v>
          </cell>
          <cell r="D3738" t="str">
            <v>FIDES HEDGE PLUS FIM</v>
          </cell>
          <cell r="E3738" t="str">
            <v>TAVOLA CAPITAL GESTAO DE RECURSOS LTDA</v>
          </cell>
        </row>
        <row r="3739">
          <cell r="B3739">
            <v>12211</v>
          </cell>
          <cell r="C3739" t="str">
            <v>PERSONALE CONSULTORIA E GESTAO DE CARTEIRAS LTDA</v>
          </cell>
          <cell r="D3739" t="str">
            <v>PERSONALE CONSULTORIA E GESTAO DE CARTEIRAS LTDA</v>
          </cell>
          <cell r="E3739" t="str">
            <v>PERSONALE CONSULTORIA E GESTAO DE CARTEIRAS LTDA</v>
          </cell>
        </row>
        <row r="3740">
          <cell r="B3740">
            <v>122110</v>
          </cell>
          <cell r="C3740" t="str">
            <v>RICARDO TERTULIANO DE OLIVEIRA MOURAO</v>
          </cell>
          <cell r="D3740" t="str">
            <v>RICARDO TERTULIANO DE OLIVEIRA MOURAO</v>
          </cell>
          <cell r="E3740" t="str">
            <v>RICARDO TERTULIANO DE OLIVEIRA MOURAO</v>
          </cell>
        </row>
        <row r="3741">
          <cell r="B3741">
            <v>122111</v>
          </cell>
          <cell r="C3741" t="str">
            <v>BB GESTAO DE RECURSOS DTVM LTDA</v>
          </cell>
          <cell r="D3741" t="str">
            <v>BB GESTAO DE RECURSOS DTVM LTDA</v>
          </cell>
          <cell r="E3741" t="str">
            <v>BB GESTAO DE RECURSOS DTVM LTDA</v>
          </cell>
        </row>
        <row r="3742">
          <cell r="B3742">
            <v>122112</v>
          </cell>
          <cell r="C3742" t="str">
            <v>FERNANDO SECAF DE ANDRADE REBELLO</v>
          </cell>
          <cell r="D3742" t="str">
            <v>FERNANDO SECAF DE ANDRADE REBELLO</v>
          </cell>
          <cell r="E3742" t="str">
            <v>FERNANDO SECAF DE ANDRADE REBELLO</v>
          </cell>
        </row>
        <row r="3743">
          <cell r="B3743">
            <v>122113</v>
          </cell>
          <cell r="C3743" t="str">
            <v>FABIANO JOSE RAMOS BITTENCOURT</v>
          </cell>
          <cell r="D3743" t="str">
            <v>FABIANO JOSE RAMOS BITTENCOURT</v>
          </cell>
          <cell r="E3743" t="str">
            <v>FABIANO JOSE RAMOS BITTENCOURT</v>
          </cell>
        </row>
        <row r="3744">
          <cell r="B3744">
            <v>122114</v>
          </cell>
          <cell r="C3744" t="str">
            <v>MERCATTO DIFERENCIAL MULTIMERCADO FI LP</v>
          </cell>
          <cell r="D3744" t="str">
            <v>MERCATTO DIFERENCIAL MULTIMERCADO FI LP</v>
          </cell>
          <cell r="E3744" t="str">
            <v>MERCATTO GESTAO DE RECURSOS LTDA</v>
          </cell>
        </row>
        <row r="3745">
          <cell r="B3745">
            <v>122115</v>
          </cell>
          <cell r="C3745" t="str">
            <v>MERCATTO ABACO FIA</v>
          </cell>
          <cell r="D3745" t="str">
            <v>MERCATTO ABACO FIA</v>
          </cell>
          <cell r="E3745" t="str">
            <v>MERCATTO GESTAO DE RECURSOS LTDA</v>
          </cell>
        </row>
        <row r="3746">
          <cell r="B3746">
            <v>122116</v>
          </cell>
          <cell r="C3746" t="str">
            <v>BOZANO FUNDAMENTAL FIA</v>
          </cell>
          <cell r="D3746" t="str">
            <v>BOZANO FUNDAMENTAL FIA</v>
          </cell>
          <cell r="E3746" t="str">
            <v>MERCATTO GESTAO DE RECURSOS LTDA</v>
          </cell>
        </row>
        <row r="3747">
          <cell r="B3747">
            <v>122117</v>
          </cell>
          <cell r="C3747" t="str">
            <v>MERCATTO ITAIPAVA CP MULTIMERCADO FIM</v>
          </cell>
          <cell r="D3747" t="str">
            <v>MERCATTO ITAIPAVA CP MULTIMERCADO FIM</v>
          </cell>
          <cell r="E3747" t="str">
            <v>MERCATTO GESTAO DE RECURSOS LTDA</v>
          </cell>
        </row>
        <row r="3748">
          <cell r="B3748">
            <v>122118</v>
          </cell>
          <cell r="C3748" t="str">
            <v>MERCATTO LMG CP MULTIMERCADO FI</v>
          </cell>
          <cell r="D3748" t="str">
            <v>MERCATTO LMG CP MULTIMERCADO FI</v>
          </cell>
          <cell r="E3748" t="str">
            <v>MERCATTO GESTAO DE RECURSOS LTDA</v>
          </cell>
        </row>
        <row r="3749">
          <cell r="B3749">
            <v>122119</v>
          </cell>
          <cell r="C3749" t="str">
            <v>MERCATTO ATALAIA CREDITO PRIVADO MULTIMERCADO FI</v>
          </cell>
          <cell r="D3749" t="str">
            <v>MERCATTO ATALAIA CREDITO PRIVADO MULTIMERCADO FI</v>
          </cell>
          <cell r="E3749" t="str">
            <v>MERCATTO GESTAO DE RECURSOS LTDA</v>
          </cell>
        </row>
        <row r="3750">
          <cell r="B3750">
            <v>122120</v>
          </cell>
          <cell r="C3750" t="str">
            <v>CELI LEGACY BRDR FUNDO DE INVESTIMENTO EM ACOES IE</v>
          </cell>
          <cell r="D3750" t="str">
            <v>CELI LEGACY BRDR FUNDO DE INVESTIMENTO EM ACOES IE</v>
          </cell>
          <cell r="E3750" t="str">
            <v>MERCATTO GESTAO DE RECURSOS LTDA</v>
          </cell>
        </row>
        <row r="3751">
          <cell r="B3751">
            <v>122121</v>
          </cell>
          <cell r="C3751" t="str">
            <v>BOZANO DIFERENCIAL INSTITUCIONAL MULTIMERCADO FI LP</v>
          </cell>
          <cell r="D3751" t="str">
            <v>BOZANO DIFERENCIAL INSTITUCIONAL MULTIMERCADO FI LP</v>
          </cell>
          <cell r="E3751" t="str">
            <v>MERCATTO GESTAO DE RECURSOS LTDA</v>
          </cell>
        </row>
        <row r="3752">
          <cell r="B3752">
            <v>122122</v>
          </cell>
          <cell r="C3752" t="str">
            <v>BOZANO DIFERENCIAL 30 FIC DE FIM</v>
          </cell>
          <cell r="D3752" t="str">
            <v>BOZANO DIFERENCIAL 30 FIC DE FIM</v>
          </cell>
          <cell r="E3752" t="str">
            <v>MERCATTO GESTAO DE RECURSOS LTDA</v>
          </cell>
        </row>
        <row r="3753">
          <cell r="B3753">
            <v>122123</v>
          </cell>
          <cell r="C3753" t="str">
            <v>MERCATTO ESTRATEGIA FIA</v>
          </cell>
          <cell r="D3753" t="str">
            <v>MERCATTO ESTRATEGIA FIA</v>
          </cell>
          <cell r="E3753" t="str">
            <v>MERCATTO GESTAO DE RECURSOS LTDA</v>
          </cell>
        </row>
        <row r="3754">
          <cell r="B3754">
            <v>122124</v>
          </cell>
          <cell r="C3754" t="str">
            <v>BOZANO FAROL FIM LONGO PRAZO</v>
          </cell>
          <cell r="D3754" t="str">
            <v>BOZANO FAROL FIM LONGO PRAZO</v>
          </cell>
          <cell r="E3754" t="str">
            <v>MERCATTO GESTAO DE RECURSOS LTDA</v>
          </cell>
        </row>
        <row r="3755">
          <cell r="B3755">
            <v>122125</v>
          </cell>
          <cell r="C3755" t="str">
            <v>NOTA FIM PREVIDENCIARIO</v>
          </cell>
          <cell r="D3755" t="str">
            <v>NOTA FIM PREVIDENCIARIO</v>
          </cell>
          <cell r="E3755" t="str">
            <v>MERCATTO GESTAO DE RECURSOS LTDA</v>
          </cell>
        </row>
        <row r="3756">
          <cell r="B3756">
            <v>122126</v>
          </cell>
          <cell r="C3756" t="str">
            <v>MERCATTO OABPREV-RJ MULTIMERCADO PREVIDENCIARIO FI</v>
          </cell>
          <cell r="D3756" t="str">
            <v>MERCATTO OABPREV-RJ MULTIMERCADO PREVIDENCIARIO FI</v>
          </cell>
          <cell r="E3756" t="str">
            <v>MERCATTO GESTAO DE RECURSOS LTDA</v>
          </cell>
        </row>
        <row r="3757">
          <cell r="B3757">
            <v>122127</v>
          </cell>
          <cell r="C3757" t="str">
            <v>MERCATTO PAJEU II MULTIMERCADO PREVIDENCIARIO FI</v>
          </cell>
          <cell r="D3757" t="str">
            <v>MERCATTO PAJEU II MULTIMERCADO PREVIDENCIARIO FI</v>
          </cell>
          <cell r="E3757" t="str">
            <v>MERCATTO GESTAO DE RECURSOS LTDA</v>
          </cell>
        </row>
        <row r="3758">
          <cell r="B3758">
            <v>122128</v>
          </cell>
          <cell r="C3758" t="str">
            <v>MERCATTO PAJUÃ‡ARA FIC DE FIM</v>
          </cell>
          <cell r="D3758" t="str">
            <v>MERCATTO PAJUÃ‡ARA FIC DE FIM</v>
          </cell>
          <cell r="E3758" t="str">
            <v>MERCATTO GESTAO DE RECURSOS LTDA</v>
          </cell>
        </row>
        <row r="3759">
          <cell r="B3759">
            <v>122129</v>
          </cell>
          <cell r="C3759" t="str">
            <v>MERCATTO R2 FIA</v>
          </cell>
          <cell r="D3759" t="str">
            <v>MERCATTO R2 FIA</v>
          </cell>
          <cell r="E3759" t="str">
            <v>MERCATTO GESTAO DE RECURSOS LTDA</v>
          </cell>
        </row>
        <row r="3760">
          <cell r="B3760">
            <v>12213</v>
          </cell>
          <cell r="C3760" t="str">
            <v>MERCATTO GESTAO DE RECURSOS LTDA</v>
          </cell>
          <cell r="D3760" t="str">
            <v>MERCATTO GESTAO DE RECURSOS LTDA</v>
          </cell>
          <cell r="E3760" t="str">
            <v>MERCATTO GESTAO DE RECURSOS LTDA</v>
          </cell>
        </row>
        <row r="3761">
          <cell r="B3761">
            <v>122130</v>
          </cell>
          <cell r="C3761" t="str">
            <v>MERCATTO RECIFE CREDITO PRIVADO MULTIMERCADO FI</v>
          </cell>
          <cell r="D3761" t="str">
            <v>MERCATTO RECIFE CREDITO PRIVADO MULTIMERCADO FI</v>
          </cell>
          <cell r="E3761" t="str">
            <v>MERCATTO GESTAO DE RECURSOS LTDA</v>
          </cell>
        </row>
        <row r="3762">
          <cell r="B3762">
            <v>122131</v>
          </cell>
          <cell r="C3762" t="str">
            <v>BOZANO RENDIMENTO RENDA FIXA FI LONGO PRAZO</v>
          </cell>
          <cell r="D3762" t="str">
            <v>BOZANO RENDIMENTO RENDA FIXA FI LONGO PRAZO</v>
          </cell>
          <cell r="E3762" t="str">
            <v>MERCATTO GESTAO DE RECURSOS LTDA</v>
          </cell>
        </row>
        <row r="3763">
          <cell r="B3763">
            <v>122132</v>
          </cell>
          <cell r="C3763" t="str">
            <v>BOZANO TI FIC DE FIM</v>
          </cell>
          <cell r="D3763" t="str">
            <v>BOZANO TI FIC DE FIM</v>
          </cell>
          <cell r="E3763" t="str">
            <v>MERCATTO GESTAO DE RECURSOS LTDA</v>
          </cell>
        </row>
        <row r="3764">
          <cell r="B3764">
            <v>122133</v>
          </cell>
          <cell r="C3764" t="str">
            <v>BOZANO TOP CP RF FI LONGO PRAZO</v>
          </cell>
          <cell r="D3764" t="str">
            <v>BOZANO TOP CP RF FI LONGO PRAZO</v>
          </cell>
          <cell r="E3764" t="str">
            <v>MERCATTO GESTAO DE RECURSOS LTDA</v>
          </cell>
        </row>
        <row r="3765">
          <cell r="B3765">
            <v>122134</v>
          </cell>
          <cell r="C3765" t="str">
            <v>MERCATTO MARAGOGI RENDA FIXA PREVIDENCIARIO FI</v>
          </cell>
          <cell r="D3765" t="str">
            <v>MERCATTO MARAGOGI RENDA FIXA PREVIDENCIARIO FI</v>
          </cell>
          <cell r="E3765" t="str">
            <v>MERCATTO GESTAO DE RECURSOS LTDA</v>
          </cell>
        </row>
        <row r="3766">
          <cell r="B3766">
            <v>122135</v>
          </cell>
          <cell r="C3766" t="str">
            <v>MERCATTO PIAUI FACEPI MULTIMERCADO PREVIDENCIARIO FI</v>
          </cell>
          <cell r="D3766" t="str">
            <v>MERCATTO PIAUI FACEPI MULTIMERCADO PREVIDENCIARIO FI</v>
          </cell>
          <cell r="E3766" t="str">
            <v>MERCATTO GESTAO DE RECURSOS LTDA</v>
          </cell>
        </row>
        <row r="3767">
          <cell r="B3767">
            <v>122136</v>
          </cell>
          <cell r="C3767" t="str">
            <v>FIM MULTICARTEIRA BARRACUDA</v>
          </cell>
          <cell r="D3767" t="str">
            <v>FIM MULTICARTEIRA BARRACUDA</v>
          </cell>
          <cell r="E3767" t="str">
            <v>MERCATTO GESTAO DE RECURSOS LTDA</v>
          </cell>
        </row>
        <row r="3768">
          <cell r="B3768">
            <v>122137</v>
          </cell>
          <cell r="C3768" t="str">
            <v>BOZANO ACAJU FIM PREVIDENCIARIO</v>
          </cell>
          <cell r="D3768" t="str">
            <v>BOZANO ACAJU FIM PREVIDENCIARIO</v>
          </cell>
          <cell r="E3768" t="str">
            <v>MERCATTO GESTAO DE RECURSOS LTDA</v>
          </cell>
        </row>
        <row r="3769">
          <cell r="B3769">
            <v>122138</v>
          </cell>
          <cell r="C3769" t="str">
            <v>PARAGUACU I FI RF PREVIDENCIARIO CP</v>
          </cell>
          <cell r="D3769" t="str">
            <v>PARAGUACU I FI RF PREVIDENCIARIO CP</v>
          </cell>
          <cell r="E3769" t="str">
            <v>MERCATTO GESTAO DE RECURSOS LTDA</v>
          </cell>
        </row>
        <row r="3770">
          <cell r="B3770">
            <v>122139</v>
          </cell>
          <cell r="C3770" t="str">
            <v>PATRIA ARB MASTER FIM</v>
          </cell>
          <cell r="D3770" t="str">
            <v>PATRIA ARB MASTER FIM</v>
          </cell>
          <cell r="E3770" t="str">
            <v>PATRIA INVESTIMENTOS LTDA</v>
          </cell>
        </row>
        <row r="3771">
          <cell r="B3771">
            <v>122140</v>
          </cell>
          <cell r="C3771" t="str">
            <v>FIA CAIXA BRASIL IBX 50</v>
          </cell>
          <cell r="D3771" t="str">
            <v>FIA CAIXA BRASIL IBX 50</v>
          </cell>
          <cell r="E3771" t="str">
            <v>FIA CAIXA BRASIL IBX 50</v>
          </cell>
        </row>
        <row r="3772">
          <cell r="B3772">
            <v>122141</v>
          </cell>
          <cell r="C3772" t="str">
            <v>FIA CAIXA CONSTRUCAO CIVIL</v>
          </cell>
          <cell r="D3772" t="str">
            <v>FIA CAIXA CONSTRUCAO CIVIL</v>
          </cell>
          <cell r="E3772" t="str">
            <v>CAIXA ECONOMICA FEDERAL</v>
          </cell>
        </row>
        <row r="3773">
          <cell r="B3773">
            <v>122142</v>
          </cell>
          <cell r="C3773" t="str">
            <v>FI CAIXA CELI MULTIMERCADO LP</v>
          </cell>
          <cell r="D3773" t="str">
            <v>FI CAIXA CELI MULTIMERCADO LP</v>
          </cell>
          <cell r="E3773" t="str">
            <v>CAIXA ECONOMICA FEDERAL</v>
          </cell>
        </row>
        <row r="3774">
          <cell r="B3774">
            <v>122143</v>
          </cell>
          <cell r="C3774" t="str">
            <v>FI CAIXA MASTER LONG SHORT MULTIMERCADO LP</v>
          </cell>
          <cell r="D3774" t="str">
            <v>FI CAIXA MASTER LONG SHORT MULTIMERCADO LP</v>
          </cell>
          <cell r="E3774" t="str">
            <v>FI CAIXA MASTER LONG SHORT MULTIMERCADO LP</v>
          </cell>
        </row>
        <row r="3775">
          <cell r="B3775">
            <v>122144</v>
          </cell>
          <cell r="C3775" t="str">
            <v>CAIXA MASTER ESTRATEGICO FIF MULT LP RL</v>
          </cell>
          <cell r="D3775" t="str">
            <v>CAIXA MASTER ESTRATEGICO FIF MULT LP RL</v>
          </cell>
          <cell r="E3775" t="str">
            <v>CAIXA ECONOMICA FEDERAL</v>
          </cell>
        </row>
        <row r="3776">
          <cell r="B3776">
            <v>122145</v>
          </cell>
          <cell r="C3776" t="str">
            <v>FI CAIXA MULTIMERCADO RV30 LONGO PRAZO</v>
          </cell>
          <cell r="D3776" t="str">
            <v>FI CAIXA MULTIMERCADO RV30 LONGO PRAZO</v>
          </cell>
          <cell r="E3776" t="str">
            <v>FI CAIXA MULTIMERCADO RV30 LONGO PRAZO</v>
          </cell>
        </row>
        <row r="3777">
          <cell r="B3777">
            <v>122146</v>
          </cell>
          <cell r="C3777" t="str">
            <v>FI CAIXA PARATI MULTIMERCADO</v>
          </cell>
          <cell r="D3777" t="str">
            <v>FI CAIXA PARATI MULTIMERCADO</v>
          </cell>
          <cell r="E3777" t="str">
            <v>CAIXA ECONOMICA FEDERAL</v>
          </cell>
        </row>
        <row r="3778">
          <cell r="B3778">
            <v>122147</v>
          </cell>
          <cell r="C3778" t="str">
            <v>FIA CAIXA IBOVESPA ATIVO</v>
          </cell>
          <cell r="D3778" t="str">
            <v>FIA CAIXA IBOVESPA ATIVO</v>
          </cell>
          <cell r="E3778" t="str">
            <v>FIA CAIXA IBOVESPA ATIVO</v>
          </cell>
        </row>
        <row r="3779">
          <cell r="B3779">
            <v>122149</v>
          </cell>
          <cell r="C3779" t="str">
            <v>SAFRA ACOES FIA</v>
          </cell>
          <cell r="D3779" t="str">
            <v>SAFRA ACOES FIA</v>
          </cell>
          <cell r="E3779" t="str">
            <v>SAFRA ASSET MANAGEMENT LTDA</v>
          </cell>
        </row>
        <row r="3780">
          <cell r="B3780">
            <v>12215</v>
          </cell>
          <cell r="C3780" t="str">
            <v>SAFRA ASSET MANAGEMENT LTDA</v>
          </cell>
          <cell r="D3780" t="str">
            <v>SAFRA ASSET MANAGEMENT LTDA</v>
          </cell>
          <cell r="E3780" t="str">
            <v>SAFRA ASSET MANAGEMENT LTDA</v>
          </cell>
        </row>
        <row r="3781">
          <cell r="B3781">
            <v>122151</v>
          </cell>
          <cell r="C3781" t="str">
            <v>SAFRA MULTI DIVIDENDOS FIA</v>
          </cell>
          <cell r="D3781" t="str">
            <v>SAFRA MULTI DIVIDENDOS FIA</v>
          </cell>
          <cell r="E3781" t="str">
            <v>SAFRA ASSET MANAGEMENT LTDA</v>
          </cell>
        </row>
        <row r="3782">
          <cell r="B3782">
            <v>122152</v>
          </cell>
          <cell r="C3782" t="str">
            <v>SAFRA CONSUMO FIA</v>
          </cell>
          <cell r="D3782" t="str">
            <v>SAFRA CONSUMO FIA</v>
          </cell>
          <cell r="E3782" t="str">
            <v>SAFRA ASSET MANAGEMENT LTDA</v>
          </cell>
        </row>
        <row r="3783">
          <cell r="B3783">
            <v>122153</v>
          </cell>
          <cell r="C3783" t="str">
            <v>SAFRA EXPORTACAO FIA</v>
          </cell>
          <cell r="D3783" t="str">
            <v>SAFRA EXPORTACAO FIA</v>
          </cell>
          <cell r="E3783" t="str">
            <v>SAFRA ASSET MANAGEMENT LTDA</v>
          </cell>
        </row>
        <row r="3784">
          <cell r="B3784">
            <v>122154</v>
          </cell>
          <cell r="C3784" t="str">
            <v>SAFRA INFRAESTRUTURA FIA</v>
          </cell>
          <cell r="D3784" t="str">
            <v>SAFRA INFRAESTRUTURA FIA</v>
          </cell>
          <cell r="E3784" t="str">
            <v>SAFRA ASSET MANAGEMENT LTDA</v>
          </cell>
        </row>
        <row r="3785">
          <cell r="B3785">
            <v>122155</v>
          </cell>
          <cell r="C3785" t="str">
            <v>SAFRA CONSTRUCAO CIVIL FIA</v>
          </cell>
          <cell r="D3785" t="str">
            <v>SAFRA CONSTRUCAO CIVIL FIA</v>
          </cell>
          <cell r="E3785" t="str">
            <v>SAFRA ASSET MANAGEMENT LTDA</v>
          </cell>
        </row>
        <row r="3786">
          <cell r="B3786">
            <v>122156</v>
          </cell>
          <cell r="C3786" t="str">
            <v>SAFRA SMALL CAP FIA</v>
          </cell>
          <cell r="D3786" t="str">
            <v>SAFRA SMALL CAP FIA</v>
          </cell>
          <cell r="E3786" t="str">
            <v>SAFRA ASSET MANAGEMENT LTDA</v>
          </cell>
        </row>
        <row r="3787">
          <cell r="B3787">
            <v>122157</v>
          </cell>
          <cell r="C3787" t="str">
            <v>JAI FIA</v>
          </cell>
          <cell r="D3787" t="str">
            <v>JAI FIA</v>
          </cell>
          <cell r="E3787" t="str">
            <v>SAFRA ASSET MANAGEMENT LTDA</v>
          </cell>
        </row>
        <row r="3788">
          <cell r="B3788">
            <v>122158</v>
          </cell>
          <cell r="C3788" t="str">
            <v>SAFRA ISE FIA</v>
          </cell>
          <cell r="D3788" t="str">
            <v>SAFRA ISE FIA</v>
          </cell>
          <cell r="E3788" t="str">
            <v>SAFRA ASSET MANAGEMENT LTDA</v>
          </cell>
        </row>
        <row r="3789">
          <cell r="B3789">
            <v>122159</v>
          </cell>
          <cell r="C3789" t="str">
            <v>PREV VGBL 20 FIM PREVIDENCIARIO</v>
          </cell>
          <cell r="D3789" t="str">
            <v>PREV VGBL 20 FIM PREVIDENCIARIO</v>
          </cell>
          <cell r="E3789" t="str">
            <v>SAFRA ASSET MANAGEMENT LTDA</v>
          </cell>
        </row>
        <row r="3790">
          <cell r="B3790">
            <v>12216</v>
          </cell>
          <cell r="C3790" t="str">
            <v>RIO PERFORMANCE GESTAO DE RECURSOS LTDA</v>
          </cell>
          <cell r="D3790" t="str">
            <v>RIO PERFORMANCE GESTAO DE RECURSOS LTDA</v>
          </cell>
          <cell r="E3790" t="str">
            <v>RIO PERFORMANCE GESTAO DE RECURSOS LTDA</v>
          </cell>
        </row>
        <row r="3791">
          <cell r="B3791">
            <v>122160</v>
          </cell>
          <cell r="C3791" t="str">
            <v>ALH FIA</v>
          </cell>
          <cell r="D3791" t="str">
            <v>ALH FIA</v>
          </cell>
          <cell r="E3791" t="str">
            <v>ALH FIA</v>
          </cell>
        </row>
        <row r="3792">
          <cell r="B3792">
            <v>122161</v>
          </cell>
          <cell r="C3792" t="str">
            <v>CLP FIA</v>
          </cell>
          <cell r="D3792" t="str">
            <v>CLP FIA</v>
          </cell>
          <cell r="E3792" t="str">
            <v>SAFRA ASSET MANAGEMENT LTDA</v>
          </cell>
        </row>
        <row r="3793">
          <cell r="B3793">
            <v>122162</v>
          </cell>
          <cell r="C3793" t="str">
            <v>SAFRA CARTEIRA INSTITUCIONAL FIM</v>
          </cell>
          <cell r="D3793" t="str">
            <v>SAFRA CARTEIRA INSTITUCIONAL FIM</v>
          </cell>
          <cell r="E3793" t="str">
            <v>SAFRA ASSET MANAGEMENT LTDA</v>
          </cell>
        </row>
        <row r="3794">
          <cell r="B3794">
            <v>122163</v>
          </cell>
          <cell r="C3794" t="str">
            <v>BETAMAX FIA</v>
          </cell>
          <cell r="D3794" t="str">
            <v>BETAMAX FIA</v>
          </cell>
          <cell r="E3794" t="str">
            <v>SAFRA ASSET MANAGEMENT LTDA</v>
          </cell>
        </row>
        <row r="3795">
          <cell r="B3795">
            <v>122164</v>
          </cell>
          <cell r="C3795" t="str">
            <v>LUZ FIA BDR NIVEL I</v>
          </cell>
          <cell r="D3795" t="str">
            <v>LUZ FIA BDR NIVEL I</v>
          </cell>
          <cell r="E3795" t="str">
            <v>SAFRA ASSET MANAGEMENT LTDA</v>
          </cell>
        </row>
        <row r="3796">
          <cell r="B3796">
            <v>122165</v>
          </cell>
          <cell r="C3796" t="str">
            <v>SAFRA HIGH YIELD FIM</v>
          </cell>
          <cell r="D3796" t="str">
            <v>SAFRA HIGH YIELD FIM</v>
          </cell>
          <cell r="E3796" t="str">
            <v>SAFRA ASSET MANAGEMENT LTDA</v>
          </cell>
        </row>
        <row r="3797">
          <cell r="B3797">
            <v>122166</v>
          </cell>
          <cell r="C3797" t="str">
            <v>SAFRA SETORIAL BANCOS FC DE FIA</v>
          </cell>
          <cell r="D3797" t="str">
            <v>SAFRA SETORIAL BANCOS FC DE FIA</v>
          </cell>
          <cell r="E3797" t="str">
            <v>SAFRA ASSET MANAGEMENT LTDA</v>
          </cell>
        </row>
        <row r="3798">
          <cell r="B3798">
            <v>122167</v>
          </cell>
          <cell r="C3798" t="str">
            <v>BADALONA FIA</v>
          </cell>
          <cell r="D3798" t="str">
            <v>BADALONA FIA</v>
          </cell>
          <cell r="E3798" t="str">
            <v>SAFRA ASSET MANAGEMENT LTDA</v>
          </cell>
        </row>
        <row r="3799">
          <cell r="B3799">
            <v>122168</v>
          </cell>
          <cell r="C3799" t="str">
            <v>SAFRA FIA VALE DO RIO DOCE</v>
          </cell>
          <cell r="D3799" t="str">
            <v>SAFRA FIA VALE DO RIO DOCE</v>
          </cell>
          <cell r="E3799" t="str">
            <v>SAFRA ASSET MANAGEMENT LTDA</v>
          </cell>
        </row>
        <row r="3800">
          <cell r="B3800">
            <v>122170</v>
          </cell>
          <cell r="C3800" t="str">
            <v>NETUNO FIM CP</v>
          </cell>
          <cell r="D3800" t="str">
            <v>NETUNO FIM CP</v>
          </cell>
          <cell r="E3800" t="str">
            <v>RBC BRASIL DTVM LTDA</v>
          </cell>
        </row>
        <row r="3801">
          <cell r="B3801">
            <v>122173</v>
          </cell>
          <cell r="C3801" t="str">
            <v>SAFRA SETORIAL ENERGIA FIA</v>
          </cell>
          <cell r="D3801" t="str">
            <v>SAFRA SETORIAL ENERGIA FIA</v>
          </cell>
          <cell r="E3801" t="str">
            <v>SAFRA ASSET MANAGEMENT LTDA</v>
          </cell>
        </row>
        <row r="3802">
          <cell r="B3802">
            <v>122174</v>
          </cell>
          <cell r="C3802" t="str">
            <v>SAFRA LARGE CAP FIA</v>
          </cell>
          <cell r="D3802" t="str">
            <v>SAFRA LARGE CAP FIA</v>
          </cell>
          <cell r="E3802" t="str">
            <v>SAFRA ASSET MANAGEMENT LTDA</v>
          </cell>
        </row>
        <row r="3803">
          <cell r="B3803">
            <v>122175</v>
          </cell>
          <cell r="C3803" t="str">
            <v>SAFRA EQUITY PORTFOLIO FIA</v>
          </cell>
          <cell r="D3803" t="str">
            <v>SAFRA EQUITY PORTFOLIO FIA</v>
          </cell>
          <cell r="E3803" t="str">
            <v>SAFRA ASSET MANAGEMENT LTDA</v>
          </cell>
        </row>
        <row r="3804">
          <cell r="B3804">
            <v>122176</v>
          </cell>
          <cell r="C3804" t="str">
            <v>SAFRA MICRO CAP 30 FIA</v>
          </cell>
          <cell r="D3804" t="str">
            <v>SAFRA MICRO CAP 30 FIA</v>
          </cell>
          <cell r="E3804" t="str">
            <v>SAFRA ASSET MANAGEMENT LTDA</v>
          </cell>
        </row>
        <row r="3805">
          <cell r="B3805">
            <v>122177</v>
          </cell>
          <cell r="C3805" t="str">
            <v>SAFRA FIA PETROBRAS</v>
          </cell>
          <cell r="D3805" t="str">
            <v>SAFRA FIA PETROBRAS</v>
          </cell>
          <cell r="E3805" t="str">
            <v>SAFRA ASSET MANAGEMENT LTDA</v>
          </cell>
        </row>
        <row r="3806">
          <cell r="B3806">
            <v>122178</v>
          </cell>
          <cell r="C3806" t="str">
            <v>SAFRA GALILEO FIC DE FIM</v>
          </cell>
          <cell r="D3806" t="str">
            <v>SAFRA GALILEO FIC DE FIM</v>
          </cell>
          <cell r="E3806" t="str">
            <v>SAFRA ASSET MANAGEMENT LTDA</v>
          </cell>
        </row>
        <row r="3807">
          <cell r="B3807">
            <v>122179</v>
          </cell>
          <cell r="C3807" t="str">
            <v>SAFRA EQUITY HEDGE FIM</v>
          </cell>
          <cell r="D3807" t="str">
            <v>SAFRA EQUITY HEDGE FIM</v>
          </cell>
          <cell r="E3807" t="str">
            <v>SAFRA ASSET MANAGEMENT LTDA</v>
          </cell>
        </row>
        <row r="3808">
          <cell r="B3808">
            <v>12218</v>
          </cell>
          <cell r="C3808" t="str">
            <v>CONSENSO INVESTIMENTOS LTDA</v>
          </cell>
          <cell r="D3808" t="str">
            <v>CONSENSO INVESTIMENTOS LTDA</v>
          </cell>
          <cell r="E3808" t="str">
            <v>CONSENSO INVESTIMENTOS LTDA</v>
          </cell>
        </row>
        <row r="3809">
          <cell r="B3809">
            <v>122180</v>
          </cell>
          <cell r="C3809" t="str">
            <v>SAFRA ABSOLUTO FIM</v>
          </cell>
          <cell r="D3809" t="str">
            <v>SAFRA ABSOLUTO FIM</v>
          </cell>
          <cell r="E3809" t="str">
            <v>SAFRA ASSET MANAGEMENT LTDA</v>
          </cell>
        </row>
        <row r="3810">
          <cell r="B3810">
            <v>122181</v>
          </cell>
          <cell r="C3810" t="str">
            <v>MARSELHA FIM CREDITO PRIVADO</v>
          </cell>
          <cell r="D3810" t="str">
            <v>MARSELHA FIM CREDITO PRIVADO</v>
          </cell>
          <cell r="E3810" t="str">
            <v>SAFRA ASSET MANAGEMENT LTDA</v>
          </cell>
        </row>
        <row r="3811">
          <cell r="B3811">
            <v>122182</v>
          </cell>
          <cell r="C3811" t="str">
            <v>SAFRA IBX50 PLUS FIA</v>
          </cell>
          <cell r="D3811" t="str">
            <v>SAFRA IBX50 PLUS FIA</v>
          </cell>
          <cell r="E3811" t="str">
            <v>SAFRA ASSET MANAGEMENT LTDA</v>
          </cell>
        </row>
        <row r="3812">
          <cell r="B3812">
            <v>122183</v>
          </cell>
          <cell r="C3812" t="str">
            <v>SAFRA INDICIAL FIA</v>
          </cell>
          <cell r="D3812" t="str">
            <v>SAFRA INDICIAL FIA</v>
          </cell>
          <cell r="E3812" t="str">
            <v>SAFRA ASSET MANAGEMENT LTDA</v>
          </cell>
        </row>
        <row r="3813">
          <cell r="B3813">
            <v>122185</v>
          </cell>
          <cell r="C3813" t="str">
            <v>RIO ARBITRAGEM FIM</v>
          </cell>
          <cell r="D3813" t="str">
            <v>RIO ARBITRAGEM FIM</v>
          </cell>
          <cell r="E3813" t="str">
            <v>RIO PERFORMANCE GESTAO DE RECURSOS LTDA</v>
          </cell>
        </row>
        <row r="3814">
          <cell r="B3814">
            <v>122186</v>
          </cell>
          <cell r="C3814" t="str">
            <v>RIO INSTITUCIONAL FIA PREVIDENCIARIO</v>
          </cell>
          <cell r="D3814" t="str">
            <v>RIO INSTITUCIONAL FIA PREVIDENCIARIO</v>
          </cell>
          <cell r="E3814" t="str">
            <v>RIO PERFORMANCE GESTAO DE RECURSOS LTDA</v>
          </cell>
        </row>
        <row r="3815">
          <cell r="B3815">
            <v>122187</v>
          </cell>
          <cell r="C3815" t="str">
            <v>RIO FIA</v>
          </cell>
          <cell r="D3815" t="str">
            <v>RIO FIA</v>
          </cell>
          <cell r="E3815" t="str">
            <v>RIO PERFORMANCE GESTAO DE RECURSOS LTDA</v>
          </cell>
        </row>
        <row r="3816">
          <cell r="B3816">
            <v>122188</v>
          </cell>
          <cell r="C3816" t="str">
            <v>RIO EQUITY HEDGE FIM</v>
          </cell>
          <cell r="D3816" t="str">
            <v>RIO EQUITY HEDGE FIM</v>
          </cell>
          <cell r="E3816" t="str">
            <v>RIO PERFORMANCE GESTAO DE RECURSOS LTDA</v>
          </cell>
        </row>
        <row r="3817">
          <cell r="B3817">
            <v>122189</v>
          </cell>
          <cell r="C3817" t="str">
            <v>JAU FIM CP INVESTIMENTO NO EXTERIOR</v>
          </cell>
          <cell r="D3817" t="str">
            <v>JAU FIM CP INVESTIMENTO NO EXTERIOR</v>
          </cell>
          <cell r="E3817" t="str">
            <v>JAU FIM CP INVESTIMENTO NO EXTERIOR</v>
          </cell>
        </row>
        <row r="3818">
          <cell r="B3818">
            <v>12219</v>
          </cell>
          <cell r="C3818" t="str">
            <v>GAP GESTORA DE RECURSOS LTDA</v>
          </cell>
          <cell r="D3818" t="str">
            <v>GAP GESTORA DE RECURSOS LTDA</v>
          </cell>
          <cell r="E3818" t="str">
            <v>GAP GESTORA DE RECURSOS LTDA</v>
          </cell>
        </row>
        <row r="3819">
          <cell r="B3819">
            <v>122190</v>
          </cell>
          <cell r="C3819" t="str">
            <v>TRADITION FIM CP IE</v>
          </cell>
          <cell r="D3819" t="str">
            <v>TRADITION FIM CP IE</v>
          </cell>
          <cell r="E3819" t="str">
            <v>TRADITION FIM CP IE</v>
          </cell>
        </row>
        <row r="3820">
          <cell r="B3820">
            <v>122191</v>
          </cell>
          <cell r="C3820" t="str">
            <v>CONSENSO FI RF CP</v>
          </cell>
          <cell r="D3820" t="str">
            <v>CONSENSO FI RF CP</v>
          </cell>
          <cell r="E3820" t="str">
            <v>CONSENSO FI RF CP</v>
          </cell>
        </row>
        <row r="3821">
          <cell r="B3821">
            <v>122192</v>
          </cell>
          <cell r="C3821" t="str">
            <v>JUPITER FIM CP IE</v>
          </cell>
          <cell r="D3821" t="str">
            <v>JUPITER FIM CP IE</v>
          </cell>
          <cell r="E3821" t="str">
            <v>JUPITER FIM CP IE</v>
          </cell>
        </row>
        <row r="3822">
          <cell r="B3822">
            <v>122193</v>
          </cell>
          <cell r="C3822" t="str">
            <v>MIRAMAR II FIM CP INVESTIMENTO NO EXTERIOR</v>
          </cell>
          <cell r="D3822" t="str">
            <v>MIRAMAR II FIM CP INVESTIMENTO NO EXTERIOR</v>
          </cell>
          <cell r="E3822" t="str">
            <v>MIRAMAR II FIM CP INVESTIMENTO NO EXTERIOR</v>
          </cell>
        </row>
        <row r="3823">
          <cell r="B3823">
            <v>122194</v>
          </cell>
          <cell r="C3823" t="str">
            <v>ROMA 1947 FIM CP INVESTIMENTO NO EXTERIOR</v>
          </cell>
          <cell r="D3823" t="str">
            <v>ROMA 1947 FIM CP INVESTIMENTO NO EXTERIOR</v>
          </cell>
          <cell r="E3823" t="str">
            <v>ROMA 1947 FIM CP INVESTIMENTO NO EXTERIOR</v>
          </cell>
        </row>
        <row r="3824">
          <cell r="B3824">
            <v>122195</v>
          </cell>
          <cell r="C3824" t="str">
            <v>FIA JUNDIA</v>
          </cell>
          <cell r="D3824" t="str">
            <v>FIA JUNDIA</v>
          </cell>
          <cell r="E3824" t="str">
            <v>FIA JUNDIA</v>
          </cell>
        </row>
        <row r="3825">
          <cell r="B3825">
            <v>122196</v>
          </cell>
          <cell r="C3825" t="str">
            <v>CONSENSO V FIC DE FIM</v>
          </cell>
          <cell r="D3825" t="str">
            <v>CONSENSO V FIC DE FIM</v>
          </cell>
          <cell r="E3825" t="str">
            <v>CONSENSO V FIC DE FIM</v>
          </cell>
        </row>
        <row r="3826">
          <cell r="B3826">
            <v>122197</v>
          </cell>
          <cell r="C3826" t="str">
            <v>HEDGE FUNDO DE INVESTIMENTOS EM AÃ‡OES</v>
          </cell>
          <cell r="D3826" t="str">
            <v>HEDGE FUNDO DE INVESTIMENTOS EM AÃ‡OES</v>
          </cell>
          <cell r="E3826" t="str">
            <v>HEDGE FUNDO DE INVESTIMENTOS EM AÃ‡OES</v>
          </cell>
        </row>
        <row r="3827">
          <cell r="B3827">
            <v>122198</v>
          </cell>
          <cell r="C3827" t="str">
            <v>GAP ABSOLUTO FUNDO DE INVESTIMENTO MULTIMERCADO</v>
          </cell>
          <cell r="D3827" t="str">
            <v>GAP ABSOLUTO FUNDO DE INVESTIMENTO MULTIMERCADO</v>
          </cell>
          <cell r="E3827" t="str">
            <v>GAP GESTORA DE RECURSOS LTDA</v>
          </cell>
        </row>
        <row r="3828">
          <cell r="B3828">
            <v>122199</v>
          </cell>
          <cell r="C3828" t="str">
            <v>GAP MULTIPORTFOLIO FIM</v>
          </cell>
          <cell r="D3828" t="str">
            <v>GAP MULTIPORTFOLIO FIM</v>
          </cell>
          <cell r="E3828" t="str">
            <v>GAP MULTIPORTFOLIO FIM</v>
          </cell>
        </row>
        <row r="3829">
          <cell r="B3829">
            <v>12220</v>
          </cell>
          <cell r="C3829" t="str">
            <v>GAP PRUDENTIAL LT GESTAO DE RECURSOS LTDA</v>
          </cell>
          <cell r="D3829" t="str">
            <v>GAP PRUDENTIAL LT GESTAO DE RECURSOS LTDA</v>
          </cell>
          <cell r="E3829" t="str">
            <v>GAP PRUDENTIAL LT GESTAO DE RECURSOS LTDA</v>
          </cell>
        </row>
        <row r="3830">
          <cell r="B3830">
            <v>122200</v>
          </cell>
          <cell r="C3830" t="str">
            <v>FUNDO DE INVESTIMENTO MULTIMERCADO ITAPARICA</v>
          </cell>
          <cell r="D3830" t="str">
            <v>FUNDO DE INVESTIMENTO MULTIMERCADO ITAPARICA</v>
          </cell>
          <cell r="E3830" t="str">
            <v>GAP PRUDENTIAL LT GESTAO DE RECURSOS LTDA</v>
          </cell>
        </row>
        <row r="3831">
          <cell r="B3831">
            <v>122202</v>
          </cell>
          <cell r="C3831" t="str">
            <v>GAP INSTITUCIONAL FUNDO DE INVESTIMENTO MULTIMERCADO</v>
          </cell>
          <cell r="D3831" t="str">
            <v>GAP INSTITUCIONAL FUNDO DE INVESTIMENTO MULTIMERCADO</v>
          </cell>
          <cell r="E3831" t="str">
            <v>GAP INSTITUCIONAL FUNDO DE INVESTIMENTO MULTIMERCADO</v>
          </cell>
        </row>
        <row r="3832">
          <cell r="B3832">
            <v>122203</v>
          </cell>
          <cell r="C3832" t="str">
            <v>GAP EXCLUSIVO I FDO DE INVEST EM ACOES</v>
          </cell>
          <cell r="D3832" t="str">
            <v>GAP EXCLUSIVO I FDO DE INVEST EM ACOES</v>
          </cell>
          <cell r="E3832" t="str">
            <v>GAP PRUDENTIAL LT GESTAO DE RECURSOS LTDA</v>
          </cell>
        </row>
        <row r="3833">
          <cell r="B3833">
            <v>122204</v>
          </cell>
          <cell r="C3833" t="str">
            <v>BANCO VOTORANTIM S/A</v>
          </cell>
          <cell r="D3833" t="str">
            <v>BANCO VOTORANTIM S/A</v>
          </cell>
          <cell r="E3833" t="str">
            <v>BANCO VOTORANTIM S/A</v>
          </cell>
        </row>
        <row r="3834">
          <cell r="B3834">
            <v>122205</v>
          </cell>
          <cell r="C3834" t="str">
            <v>BB ITAMARACA FIM LONGO PRAZO</v>
          </cell>
          <cell r="D3834" t="str">
            <v>BB ITAMARACA FIM LONGO PRAZO</v>
          </cell>
          <cell r="E3834" t="str">
            <v>BB GESTAO DE RECURSOS DTVM LTDA</v>
          </cell>
        </row>
        <row r="3835">
          <cell r="B3835">
            <v>122206</v>
          </cell>
          <cell r="C3835" t="str">
            <v>THOR FIM CP IE</v>
          </cell>
          <cell r="D3835" t="str">
            <v>THOR FIM CP IE</v>
          </cell>
          <cell r="E3835" t="str">
            <v>THOR FIM CP IE</v>
          </cell>
        </row>
        <row r="3836">
          <cell r="B3836">
            <v>122207</v>
          </cell>
          <cell r="C3836" t="str">
            <v>THOR FIC DE FIA</v>
          </cell>
          <cell r="D3836" t="str">
            <v>THOR FIC DE FIA</v>
          </cell>
          <cell r="E3836" t="str">
            <v>THOR FIC DE FIA</v>
          </cell>
        </row>
        <row r="3837">
          <cell r="B3837">
            <v>122208</v>
          </cell>
          <cell r="C3837" t="str">
            <v>ARBELA YIELD FIM CP</v>
          </cell>
          <cell r="D3837" t="str">
            <v>ARBELA YIELD FIM CP</v>
          </cell>
          <cell r="E3837" t="str">
            <v>ARBELA INVESTIMENTOS LTDA</v>
          </cell>
        </row>
        <row r="3838">
          <cell r="B3838">
            <v>122209</v>
          </cell>
          <cell r="C3838" t="str">
            <v>ARBELA FIC DE FIA</v>
          </cell>
          <cell r="D3838" t="str">
            <v>ARBELA FIC DE FIA</v>
          </cell>
          <cell r="E3838" t="str">
            <v>ARBELA INVESTIMENTOS LTDA</v>
          </cell>
        </row>
        <row r="3839">
          <cell r="B3839">
            <v>12221</v>
          </cell>
          <cell r="C3839" t="str">
            <v>ARBELA INVESTIMENTOS LTDA</v>
          </cell>
          <cell r="D3839" t="str">
            <v>ARBELA INVESTIMENTOS LTDA</v>
          </cell>
          <cell r="E3839" t="str">
            <v>ARBELA INVESTIMENTOS LTDA</v>
          </cell>
        </row>
        <row r="3840">
          <cell r="B3840">
            <v>122211</v>
          </cell>
          <cell r="C3840" t="str">
            <v>CAIXA DE PREVIDENCIA DOS FUNCS DO BANCO DO BRASIL- PREVI</v>
          </cell>
          <cell r="D3840" t="str">
            <v>CAIXA DE PREVIDENCIA DOS FUNCS DO BANCO DO BRASIL- PREVI</v>
          </cell>
          <cell r="E3840" t="str">
            <v>CAIXA DE PREVIDENCIA DOS FUNCS DO BANCO DO BRASIL- PREVI</v>
          </cell>
        </row>
        <row r="3841">
          <cell r="B3841">
            <v>122212</v>
          </cell>
          <cell r="C3841" t="str">
            <v>CAIXA DE PREVIDENCIA DOS FUNCS DO BANCO DO BRASIL- PREVI</v>
          </cell>
          <cell r="D3841" t="str">
            <v>CAIXA DE PREVIDENCIA DOS FUNCS DO BANCO DO BRASIL- PREVI</v>
          </cell>
          <cell r="E3841" t="str">
            <v>CAIXA DE PREVIDENCIA DOS FUNCS DO BANCO DO BRASIL- PREVI</v>
          </cell>
        </row>
        <row r="3842">
          <cell r="B3842">
            <v>122214</v>
          </cell>
          <cell r="C3842" t="str">
            <v>MARCELO MARTINS DA SILVA</v>
          </cell>
          <cell r="D3842" t="str">
            <v>MARCELO MARTINS DA SILVA</v>
          </cell>
          <cell r="E3842" t="str">
            <v>MARCELO MARTINS DA SILVA</v>
          </cell>
        </row>
        <row r="3843">
          <cell r="B3843">
            <v>122215</v>
          </cell>
          <cell r="C3843" t="str">
            <v>POLO FIA</v>
          </cell>
          <cell r="D3843" t="str">
            <v>POLO FIA</v>
          </cell>
          <cell r="E3843" t="str">
            <v>POLO CAPITAL GESTÃO DE RECURSOS LTDA</v>
          </cell>
        </row>
        <row r="3844">
          <cell r="B3844">
            <v>122216</v>
          </cell>
          <cell r="C3844" t="str">
            <v>POLO NORTE FUNDO DE INVESTIMENTO MULTIMERCADO</v>
          </cell>
          <cell r="D3844" t="str">
            <v>POLO NORTE FUNDO DE INVESTIMENTO MULTIMERCADO</v>
          </cell>
          <cell r="E3844" t="str">
            <v>POLO CAPITAL GESTÃO DE RECURSOS LTDA</v>
          </cell>
        </row>
        <row r="3845">
          <cell r="B3845">
            <v>122217</v>
          </cell>
          <cell r="C3845" t="str">
            <v>POLO V FIC DE FIA</v>
          </cell>
          <cell r="D3845" t="str">
            <v>POLO V FIC DE FIA</v>
          </cell>
          <cell r="E3845" t="str">
            <v>POLO CAPITAL GESTÃO DE RECURSOS LTDA</v>
          </cell>
        </row>
        <row r="3846">
          <cell r="B3846">
            <v>122218</v>
          </cell>
          <cell r="C3846" t="str">
            <v>POLO MACRO FIM</v>
          </cell>
          <cell r="D3846" t="str">
            <v>POLO MACRO FIM</v>
          </cell>
          <cell r="E3846" t="str">
            <v>POLO CAPITAL GESTÃO DE RECURSOS LTDA</v>
          </cell>
        </row>
        <row r="3847">
          <cell r="B3847">
            <v>122219</v>
          </cell>
          <cell r="C3847" t="str">
            <v>GAP EQUITY VALUE FIC DE FIA I</v>
          </cell>
          <cell r="D3847" t="str">
            <v>GAP EQUITY VALUE FIC DE FIA I</v>
          </cell>
          <cell r="E3847" t="str">
            <v>GAP PRUDENTIAL LT GESTAO DE RECURSOS LTDA</v>
          </cell>
        </row>
        <row r="3848">
          <cell r="B3848">
            <v>12222</v>
          </cell>
          <cell r="C3848" t="str">
            <v>CAIXA DE PREVIDENCIA DOS FUNCS DO BANCO DO BRASIL- PREVI</v>
          </cell>
          <cell r="D3848" t="str">
            <v>CAIXA DE PREVIDENCIA DOS FUNCS DO BANCO DO BRASIL- PREVI</v>
          </cell>
          <cell r="E3848" t="str">
            <v>CAIXA DE PREVIDENCIA DOS FUNCS DO BANCO DO BRASIL- PREVI</v>
          </cell>
        </row>
        <row r="3849">
          <cell r="B3849">
            <v>122221</v>
          </cell>
          <cell r="C3849" t="str">
            <v>BB GESTAO DE RECURSOS DTVM LTDA</v>
          </cell>
          <cell r="D3849" t="str">
            <v>BB GESTAO DE RECURSOS DTVM LTDA</v>
          </cell>
          <cell r="E3849" t="str">
            <v>BB GESTAO DE RECURSOS DTVM LTDA</v>
          </cell>
        </row>
        <row r="3850">
          <cell r="B3850">
            <v>122222</v>
          </cell>
          <cell r="C3850" t="str">
            <v>PE DE MEIA FIM CP IE</v>
          </cell>
          <cell r="D3850" t="str">
            <v>PE DE MEIA FIM CP IE</v>
          </cell>
          <cell r="E3850" t="str">
            <v>PE DE MEIA FIM CP IE</v>
          </cell>
        </row>
        <row r="3851">
          <cell r="B3851">
            <v>122223</v>
          </cell>
          <cell r="C3851" t="str">
            <v>CARTEIRA 47 - FUNDO DE INVESTIMENTO EM AÃ‡Ã•ES</v>
          </cell>
          <cell r="D3851" t="str">
            <v>CARTEIRA 47 - FUNDO DE INVESTIMENTO EM AÃ‡Ã•ES</v>
          </cell>
          <cell r="E3851" t="str">
            <v>CARTEIRA 47 - FUNDO DE INVESTIMENTO EM AÃ‡Ã•ES</v>
          </cell>
        </row>
        <row r="3852">
          <cell r="B3852">
            <v>122224</v>
          </cell>
          <cell r="C3852" t="str">
            <v>SANTANDER FI PB FLORENCA MULTIMERCADO</v>
          </cell>
          <cell r="D3852" t="str">
            <v>SANTANDER FI PB FLORENCA MULTIMERCADO</v>
          </cell>
          <cell r="E3852" t="str">
            <v>SANTANDER BRASIL GESTAO DE RECURSOS LTDA</v>
          </cell>
        </row>
        <row r="3853">
          <cell r="B3853">
            <v>122225</v>
          </cell>
          <cell r="C3853" t="str">
            <v>POLUX FIC FIA</v>
          </cell>
          <cell r="D3853" t="str">
            <v>POLUX FIC FIA</v>
          </cell>
          <cell r="E3853" t="str">
            <v>POLUX FIC FIA</v>
          </cell>
        </row>
        <row r="3854">
          <cell r="B3854">
            <v>122226</v>
          </cell>
          <cell r="C3854" t="str">
            <v>JOSE LUIZ AFONSO PEREIRA</v>
          </cell>
          <cell r="D3854" t="str">
            <v>JOSE LUIZ AFONSO PEREIRA</v>
          </cell>
          <cell r="E3854" t="str">
            <v>JOSE LUIZ AFONSO PEREIRA</v>
          </cell>
        </row>
        <row r="3855">
          <cell r="B3855">
            <v>122227</v>
          </cell>
          <cell r="C3855" t="str">
            <v>THAISSA GORBERG</v>
          </cell>
          <cell r="D3855" t="str">
            <v>THAISSA GORBERG</v>
          </cell>
          <cell r="E3855" t="str">
            <v>THAISSA GORBERG</v>
          </cell>
        </row>
        <row r="3856">
          <cell r="B3856">
            <v>122228</v>
          </cell>
          <cell r="C3856" t="str">
            <v>NEO PORTFOLIO FIM</v>
          </cell>
          <cell r="D3856" t="str">
            <v>NEO PORTFOLIO FIM</v>
          </cell>
          <cell r="E3856" t="str">
            <v>NEO GESTÃO DE RECURSOS LTDA</v>
          </cell>
        </row>
        <row r="3857">
          <cell r="B3857">
            <v>122229</v>
          </cell>
          <cell r="C3857" t="str">
            <v>NEO LONG SHORT MASTER FIM</v>
          </cell>
          <cell r="D3857" t="str">
            <v>NEO LONG SHORT MASTER FIM</v>
          </cell>
          <cell r="E3857" t="str">
            <v>NEO GESTÃO DE RECURSOS LTDA</v>
          </cell>
        </row>
        <row r="3858">
          <cell r="B3858">
            <v>122230</v>
          </cell>
          <cell r="C3858" t="str">
            <v>NEO MULTI ESTRATEGIA FIC DE FIM</v>
          </cell>
          <cell r="D3858" t="str">
            <v>NEO MULTI ESTRATEGIA FIC DE FIM</v>
          </cell>
          <cell r="E3858" t="str">
            <v>NEO GESTÃO DE RECURSOS LTDA</v>
          </cell>
        </row>
        <row r="3859">
          <cell r="B3859">
            <v>122231</v>
          </cell>
          <cell r="C3859" t="str">
            <v>NEO PRAXIS MASTER FIA</v>
          </cell>
          <cell r="D3859" t="str">
            <v>NEO PRAXIS MASTER FIA</v>
          </cell>
          <cell r="E3859" t="str">
            <v>NEO GESTÃO DE RECURSOS LTDA</v>
          </cell>
        </row>
        <row r="3860">
          <cell r="B3860">
            <v>122232</v>
          </cell>
          <cell r="C3860" t="str">
            <v>NEO AÃ‡OES MASTER FIA</v>
          </cell>
          <cell r="D3860" t="str">
            <v>NEO AÃ‡OES MASTER FIA</v>
          </cell>
          <cell r="E3860" t="str">
            <v>NEO GESTÃO DE RECURSOS LTDA</v>
          </cell>
        </row>
        <row r="3861">
          <cell r="B3861">
            <v>122235</v>
          </cell>
          <cell r="C3861" t="str">
            <v>LUMA FIM IE</v>
          </cell>
          <cell r="D3861" t="str">
            <v>LUMA FIM IE</v>
          </cell>
          <cell r="E3861" t="str">
            <v>NP ADMINISTRAÃ‡ÃƒO DE RECURSOS LTDA</v>
          </cell>
        </row>
        <row r="3862">
          <cell r="B3862">
            <v>122236</v>
          </cell>
          <cell r="C3862" t="str">
            <v>NP HEDGE FIM</v>
          </cell>
          <cell r="D3862" t="str">
            <v>NP HEDGE FIM</v>
          </cell>
          <cell r="E3862" t="str">
            <v>NP ADMINISTRAÃ‡ÃƒO DE RECURSOS LTDA</v>
          </cell>
        </row>
        <row r="3863">
          <cell r="B3863">
            <v>122237</v>
          </cell>
          <cell r="C3863" t="str">
            <v>NP TATICO FIM</v>
          </cell>
          <cell r="D3863" t="str">
            <v>NP TATICO FIM</v>
          </cell>
          <cell r="E3863" t="str">
            <v>NP ADMINISTRAÃ‡ÃƒO DE RECURSOS LTDA</v>
          </cell>
        </row>
        <row r="3864">
          <cell r="B3864">
            <v>122238</v>
          </cell>
          <cell r="C3864" t="str">
            <v>NP INSTITUCIONAL FIM</v>
          </cell>
          <cell r="D3864" t="str">
            <v>NP INSTITUCIONAL FIM</v>
          </cell>
          <cell r="E3864" t="str">
            <v>NP ADMINISTRAÃ‡ÃƒO DE RECURSOS LTDA</v>
          </cell>
        </row>
        <row r="3865">
          <cell r="B3865">
            <v>122239</v>
          </cell>
          <cell r="C3865" t="str">
            <v>NP FUNDAMENTO FIA</v>
          </cell>
          <cell r="D3865" t="str">
            <v>NP FUNDAMENTO FIA</v>
          </cell>
          <cell r="E3865" t="str">
            <v>NP ADMINISTRAÃ‡ÃƒO DE RECURSOS LTDA</v>
          </cell>
        </row>
        <row r="3866">
          <cell r="B3866">
            <v>122240</v>
          </cell>
          <cell r="C3866" t="str">
            <v>EQUITAS MASTER SELECTION FIF DE AÃ‡Ã•ES RL</v>
          </cell>
          <cell r="D3866" t="str">
            <v>EQUITAS MASTER SELECTION FIF DE AÃ‡Ã•ES RL</v>
          </cell>
          <cell r="E3866" t="str">
            <v>DRYS CAPITAL LTDA</v>
          </cell>
        </row>
        <row r="3867">
          <cell r="B3867">
            <v>122241</v>
          </cell>
          <cell r="C3867" t="str">
            <v>EQUITAS ZENITH FIM</v>
          </cell>
          <cell r="D3867" t="str">
            <v>EQUITAS ZENITH FIM</v>
          </cell>
          <cell r="E3867" t="str">
            <v>DRYS CAPITAL LTDA</v>
          </cell>
        </row>
        <row r="3868">
          <cell r="B3868">
            <v>122242</v>
          </cell>
          <cell r="C3868" t="str">
            <v>EQUITAS EQUITY HEDGE FIM</v>
          </cell>
          <cell r="D3868" t="str">
            <v>EQUITAS EQUITY HEDGE FIM</v>
          </cell>
          <cell r="E3868" t="str">
            <v>DRYS CAPITAL LTDA</v>
          </cell>
        </row>
        <row r="3869">
          <cell r="B3869">
            <v>122243</v>
          </cell>
          <cell r="C3869" t="str">
            <v>EQUITAS EQUITY HEDGE MASTER FIM</v>
          </cell>
          <cell r="D3869" t="str">
            <v>EQUITAS EQUITY HEDGE MASTER FIM</v>
          </cell>
          <cell r="E3869" t="str">
            <v>DRYS CAPITAL LTDA</v>
          </cell>
        </row>
        <row r="3870">
          <cell r="B3870">
            <v>122244</v>
          </cell>
          <cell r="C3870" t="str">
            <v>NEO PORTFOLIO FIM</v>
          </cell>
          <cell r="D3870" t="str">
            <v>NEO PORTFOLIO FIM</v>
          </cell>
          <cell r="E3870" t="str">
            <v>NEO GESTÃO DE RECURSOS LTDA</v>
          </cell>
        </row>
        <row r="3871">
          <cell r="B3871">
            <v>122245</v>
          </cell>
          <cell r="C3871" t="str">
            <v>NEO LONG SHORT MASTER FIM</v>
          </cell>
          <cell r="D3871" t="str">
            <v>NEO LONG SHORT MASTER FIM</v>
          </cell>
          <cell r="E3871" t="str">
            <v>NEO GESTÃO DE RECURSOS LTDA</v>
          </cell>
        </row>
        <row r="3872">
          <cell r="B3872">
            <v>122246</v>
          </cell>
          <cell r="C3872" t="str">
            <v>NEO MULTI ESTRATEGIA FIC DE FIM</v>
          </cell>
          <cell r="D3872" t="str">
            <v>NEO MULTI ESTRATEGIA FIC DE FIM</v>
          </cell>
          <cell r="E3872" t="str">
            <v>NEO GESTÃO DE RECURSOS LTDA</v>
          </cell>
        </row>
        <row r="3873">
          <cell r="B3873">
            <v>122247</v>
          </cell>
          <cell r="C3873" t="str">
            <v>NEO PRAXIS MASTER FIA</v>
          </cell>
          <cell r="D3873" t="str">
            <v>NEO PRAXIS MASTER FIA</v>
          </cell>
          <cell r="E3873" t="str">
            <v>NEO GESTÃO DE RECURSOS LTDA</v>
          </cell>
        </row>
        <row r="3874">
          <cell r="B3874">
            <v>122248</v>
          </cell>
          <cell r="C3874" t="str">
            <v>NEO AÃ‡OES MASTER FIA</v>
          </cell>
          <cell r="D3874" t="str">
            <v>NEO AÃ‡OES MASTER FIA</v>
          </cell>
          <cell r="E3874" t="str">
            <v>NEO GESTÃO DE RECURSOS LTDA</v>
          </cell>
        </row>
        <row r="3875">
          <cell r="B3875">
            <v>122249</v>
          </cell>
          <cell r="C3875" t="str">
            <v>NEO MULTI ESTRATEGIA MASTER FIM</v>
          </cell>
          <cell r="D3875" t="str">
            <v>NEO MULTI ESTRATEGIA MASTER FIM</v>
          </cell>
          <cell r="E3875" t="str">
            <v>NEO GESTÃO DE RECURSOS LTDA</v>
          </cell>
        </row>
        <row r="3876">
          <cell r="B3876">
            <v>12225</v>
          </cell>
          <cell r="C3876" t="str">
            <v>NEO GESTAO DE RECURSOS LTDA.</v>
          </cell>
          <cell r="D3876" t="str">
            <v>NEO GESTAO DE RECURSOS LTDA.</v>
          </cell>
          <cell r="E3876" t="str">
            <v>NEO GESTÃO DE RECURSOS LTDA</v>
          </cell>
        </row>
        <row r="3877">
          <cell r="B3877">
            <v>122250</v>
          </cell>
          <cell r="C3877" t="str">
            <v>NEO MULTIMANAGER BBDC FIM</v>
          </cell>
          <cell r="D3877" t="str">
            <v>NEO MULTIMANAGER BBDC FIM</v>
          </cell>
          <cell r="E3877" t="str">
            <v>NEO GESTÃO DE RECURSOS LTDA</v>
          </cell>
        </row>
        <row r="3878">
          <cell r="B3878">
            <v>122251</v>
          </cell>
          <cell r="C3878" t="str">
            <v>NEO PORTFOLIO FIM</v>
          </cell>
          <cell r="D3878" t="str">
            <v>NEO PORTFOLIO FIM</v>
          </cell>
          <cell r="E3878" t="str">
            <v>NEO GESTÃO DE RECURSOS LTDA</v>
          </cell>
        </row>
        <row r="3879">
          <cell r="B3879">
            <v>122252</v>
          </cell>
          <cell r="C3879" t="str">
            <v>NEO LONG SHORT MASTER FIM</v>
          </cell>
          <cell r="D3879" t="str">
            <v>NEO LONG SHORT MASTER FIM</v>
          </cell>
          <cell r="E3879" t="str">
            <v>NEO GESTÃO DE RECURSOS LTDA</v>
          </cell>
        </row>
        <row r="3880">
          <cell r="B3880">
            <v>122253</v>
          </cell>
          <cell r="C3880" t="str">
            <v>NEO MULTI ESTRATEGIA FIC DE FIM</v>
          </cell>
          <cell r="D3880" t="str">
            <v>NEO MULTI ESTRATEGIA FIC DE FIM</v>
          </cell>
          <cell r="E3880" t="str">
            <v>NEO GESTÃO DE RECURSOS LTDA</v>
          </cell>
        </row>
        <row r="3881">
          <cell r="B3881">
            <v>122254</v>
          </cell>
          <cell r="C3881" t="str">
            <v>NEO PRAXIS MASTER FIA</v>
          </cell>
          <cell r="D3881" t="str">
            <v>NEO PRAXIS MASTER FIA</v>
          </cell>
          <cell r="E3881" t="str">
            <v>NEO GESTÃO DE RECURSOS LTDA</v>
          </cell>
        </row>
        <row r="3882">
          <cell r="B3882">
            <v>122255</v>
          </cell>
          <cell r="C3882" t="str">
            <v>NEO AÃ‡OES MASTER FIA</v>
          </cell>
          <cell r="D3882" t="str">
            <v>NEO AÃ‡OES MASTER FIA</v>
          </cell>
          <cell r="E3882" t="str">
            <v>NEO GESTÃO DE RECURSOS LTDA</v>
          </cell>
        </row>
        <row r="3883">
          <cell r="B3883">
            <v>122256</v>
          </cell>
          <cell r="C3883" t="str">
            <v>NEO MULTI ESTRATEGIA MASTER FIM</v>
          </cell>
          <cell r="D3883" t="str">
            <v>NEO MULTI ESTRATEGIA MASTER FIM</v>
          </cell>
          <cell r="E3883" t="str">
            <v>NEO GESTÃO DE RECURSOS LTDA</v>
          </cell>
        </row>
        <row r="3884">
          <cell r="B3884">
            <v>122257</v>
          </cell>
          <cell r="C3884" t="str">
            <v>NEO MULTIMANAGER BBDC FIM</v>
          </cell>
          <cell r="D3884" t="str">
            <v>NEO MULTIMANAGER BBDC FIM</v>
          </cell>
          <cell r="E3884" t="str">
            <v>NEO GESTÃO DE RECURSOS LTDA</v>
          </cell>
        </row>
        <row r="3885">
          <cell r="B3885">
            <v>122258</v>
          </cell>
          <cell r="C3885" t="str">
            <v>LUMA FIM IE</v>
          </cell>
          <cell r="D3885" t="str">
            <v>LUMA FIM IE</v>
          </cell>
          <cell r="E3885" t="str">
            <v>NP ADMINISTRAÃ‡ÃƒO DE RECURSOS LTDA</v>
          </cell>
        </row>
        <row r="3886">
          <cell r="B3886">
            <v>122259</v>
          </cell>
          <cell r="C3886" t="str">
            <v>NP HEDGE FIM</v>
          </cell>
          <cell r="D3886" t="str">
            <v>NP HEDGE FIM</v>
          </cell>
          <cell r="E3886" t="str">
            <v>NP ADMINISTRAÃ‡ÃƒO DE RECURSOS LTDA</v>
          </cell>
        </row>
        <row r="3887">
          <cell r="B3887">
            <v>12226</v>
          </cell>
          <cell r="C3887" t="str">
            <v>NP ADMINISTRAÃ‡ÃƒO DE RECURSOS LTDA</v>
          </cell>
          <cell r="D3887" t="str">
            <v>NP ADMINISTRAÃ‡ÃƒO DE RECURSOS LTDA</v>
          </cell>
          <cell r="E3887" t="str">
            <v>NP ADMINISTRAÃ‡ÃƒO DE RECURSOS LTDA</v>
          </cell>
        </row>
        <row r="3888">
          <cell r="B3888">
            <v>122260</v>
          </cell>
          <cell r="C3888" t="str">
            <v>NP TATICO FIM</v>
          </cell>
          <cell r="D3888" t="str">
            <v>NP TATICO FIM</v>
          </cell>
          <cell r="E3888" t="str">
            <v>NP ADMINISTRAÃ‡ÃƒO DE RECURSOS LTDA</v>
          </cell>
        </row>
        <row r="3889">
          <cell r="B3889">
            <v>122261</v>
          </cell>
          <cell r="C3889" t="str">
            <v>NP INSTITUCIONAL FIM</v>
          </cell>
          <cell r="D3889" t="str">
            <v>NP INSTITUCIONAL FIM</v>
          </cell>
          <cell r="E3889" t="str">
            <v>NP ADMINISTRAÃ‡ÃƒO DE RECURSOS LTDA</v>
          </cell>
        </row>
        <row r="3890">
          <cell r="B3890">
            <v>122262</v>
          </cell>
          <cell r="C3890" t="str">
            <v>NP FUNDAMENTO FIA</v>
          </cell>
          <cell r="D3890" t="str">
            <v>NP FUNDAMENTO FIA</v>
          </cell>
          <cell r="E3890" t="str">
            <v>NP ADMINISTRAÃ‡ÃƒO DE RECURSOS LTDA</v>
          </cell>
        </row>
        <row r="3891">
          <cell r="B3891">
            <v>122263</v>
          </cell>
          <cell r="C3891" t="str">
            <v>LUMA FIM IE</v>
          </cell>
          <cell r="D3891" t="str">
            <v>LUMA FIM IE</v>
          </cell>
          <cell r="E3891" t="str">
            <v>NP ADMINISTRAÃ‡ÃƒO DE RECURSOS LTDA</v>
          </cell>
        </row>
        <row r="3892">
          <cell r="B3892">
            <v>122264</v>
          </cell>
          <cell r="C3892" t="str">
            <v>NP HEDGE FIM</v>
          </cell>
          <cell r="D3892" t="str">
            <v>NP HEDGE FIM</v>
          </cell>
          <cell r="E3892" t="str">
            <v>NP ADMINISTRAÃ‡ÃƒO DE RECURSOS LTDA</v>
          </cell>
        </row>
        <row r="3893">
          <cell r="B3893">
            <v>122265</v>
          </cell>
          <cell r="C3893" t="str">
            <v>NP TATICO FIM</v>
          </cell>
          <cell r="D3893" t="str">
            <v>NP TATICO FIM</v>
          </cell>
          <cell r="E3893" t="str">
            <v>NP ADMINISTRAÃ‡ÃƒO DE RECURSOS LTDA</v>
          </cell>
        </row>
        <row r="3894">
          <cell r="B3894">
            <v>122266</v>
          </cell>
          <cell r="C3894" t="str">
            <v>NP INSTITUCIONAL FIM</v>
          </cell>
          <cell r="D3894" t="str">
            <v>NP INSTITUCIONAL FIM</v>
          </cell>
          <cell r="E3894" t="str">
            <v>NP ADMINISTRAÃ‡ÃƒO DE RECURSOS LTDA</v>
          </cell>
        </row>
        <row r="3895">
          <cell r="B3895">
            <v>122267</v>
          </cell>
          <cell r="C3895" t="str">
            <v>NP FUNDAMENTO FIA</v>
          </cell>
          <cell r="D3895" t="str">
            <v>NP FUNDAMENTO FIA</v>
          </cell>
          <cell r="E3895" t="str">
            <v>NP ADMINISTRAÃ‡ÃƒO DE RECURSOS LTDA</v>
          </cell>
        </row>
        <row r="3896">
          <cell r="B3896">
            <v>122268</v>
          </cell>
          <cell r="C3896" t="str">
            <v>EQUITAS MASTER SELECTION FIF DE AÃ‡Ã•ES RL</v>
          </cell>
          <cell r="D3896" t="str">
            <v>EQUITAS MASTER SELECTION FIF DE AÃ‡Ã•ES RL</v>
          </cell>
          <cell r="E3896" t="str">
            <v>DRYS CAPITAL LTDA</v>
          </cell>
        </row>
        <row r="3897">
          <cell r="B3897">
            <v>122269</v>
          </cell>
          <cell r="C3897" t="str">
            <v>EQUITAS ZENITH FIM</v>
          </cell>
          <cell r="D3897" t="str">
            <v>EQUITAS ZENITH FIM</v>
          </cell>
          <cell r="E3897" t="str">
            <v>DRYS CAPITAL LTDA</v>
          </cell>
        </row>
        <row r="3898">
          <cell r="B3898">
            <v>12227</v>
          </cell>
          <cell r="C3898" t="str">
            <v>DRYS CAPITAL LTDA</v>
          </cell>
          <cell r="D3898" t="str">
            <v>DRYS CAPITAL LTDA</v>
          </cell>
          <cell r="E3898" t="str">
            <v>DRYS CAPITAL LTDA</v>
          </cell>
        </row>
        <row r="3899">
          <cell r="B3899">
            <v>122270</v>
          </cell>
          <cell r="C3899" t="str">
            <v>EQUITAS EQUITY HEDGE FIM</v>
          </cell>
          <cell r="D3899" t="str">
            <v>EQUITAS EQUITY HEDGE FIM</v>
          </cell>
          <cell r="E3899" t="str">
            <v>DRYS CAPITAL LTDA</v>
          </cell>
        </row>
        <row r="3900">
          <cell r="B3900">
            <v>122271</v>
          </cell>
          <cell r="C3900" t="str">
            <v>EQUITAS EQUITY HEDGE MASTER FIM</v>
          </cell>
          <cell r="D3900" t="str">
            <v>EQUITAS EQUITY HEDGE MASTER FIM</v>
          </cell>
          <cell r="E3900" t="str">
            <v>DRYS CAPITAL LTDA</v>
          </cell>
        </row>
        <row r="3901">
          <cell r="B3901">
            <v>122272</v>
          </cell>
          <cell r="C3901" t="str">
            <v>EQUITAS MASTER SELECTION FIF DE AÃ‡Ã•ES RL</v>
          </cell>
          <cell r="D3901" t="str">
            <v>EQUITAS MASTER SELECTION FIF DE AÃ‡Ã•ES RL</v>
          </cell>
          <cell r="E3901" t="str">
            <v>DRYS CAPITAL LTDA</v>
          </cell>
        </row>
        <row r="3902">
          <cell r="B3902">
            <v>122273</v>
          </cell>
          <cell r="C3902" t="str">
            <v>EQUITAS ZENITH FIM</v>
          </cell>
          <cell r="D3902" t="str">
            <v>EQUITAS ZENITH FIM</v>
          </cell>
          <cell r="E3902" t="str">
            <v>DRYS CAPITAL LTDA</v>
          </cell>
        </row>
        <row r="3903">
          <cell r="B3903">
            <v>122274</v>
          </cell>
          <cell r="C3903" t="str">
            <v>EQUITAS EQUITY HEDGE FIM</v>
          </cell>
          <cell r="D3903" t="str">
            <v>EQUITAS EQUITY HEDGE FIM</v>
          </cell>
          <cell r="E3903" t="str">
            <v>DRYS CAPITAL LTDA</v>
          </cell>
        </row>
        <row r="3904">
          <cell r="B3904">
            <v>122275</v>
          </cell>
          <cell r="C3904" t="str">
            <v>EQUITAS EQUITY HEDGE MASTER FIM</v>
          </cell>
          <cell r="D3904" t="str">
            <v>EQUITAS EQUITY HEDGE MASTER FIM</v>
          </cell>
          <cell r="E3904" t="str">
            <v>DRYS CAPITAL LTDA</v>
          </cell>
        </row>
        <row r="3905">
          <cell r="B3905">
            <v>122276</v>
          </cell>
          <cell r="C3905" t="str">
            <v>BROOKFIELD EQUITY HEDGE MASTER FIA</v>
          </cell>
          <cell r="D3905" t="str">
            <v>BROOKFIELD EQUITY HEDGE MASTER FIA</v>
          </cell>
          <cell r="E3905" t="str">
            <v>BROOKFIELD GESTÃƒO DE ATIVOS LTDA</v>
          </cell>
        </row>
        <row r="3906">
          <cell r="B3906">
            <v>122277</v>
          </cell>
          <cell r="C3906" t="str">
            <v>BROOKFIELD FIA</v>
          </cell>
          <cell r="D3906" t="str">
            <v>BROOKFIELD FIA</v>
          </cell>
          <cell r="E3906" t="str">
            <v>BROOKFIELD GESTÃƒO DE ATIVOS LTDA</v>
          </cell>
        </row>
        <row r="3907">
          <cell r="B3907">
            <v>122278</v>
          </cell>
          <cell r="C3907" t="str">
            <v>BROOKFIELD HEDGE PLUS II FIM</v>
          </cell>
          <cell r="D3907" t="str">
            <v>BROOKFIELD HEDGE PLUS II FIM</v>
          </cell>
          <cell r="E3907" t="str">
            <v>BROOKFIELD GESTÃƒO DE ATIVOS LTDA</v>
          </cell>
        </row>
        <row r="3908">
          <cell r="B3908">
            <v>122279</v>
          </cell>
          <cell r="C3908" t="str">
            <v>BROOKFIELD HEDGE PLUS FIM EXCLUSIVO</v>
          </cell>
          <cell r="D3908" t="str">
            <v>BROOKFIELD HEDGE PLUS FIM EXCLUSIVO</v>
          </cell>
          <cell r="E3908" t="str">
            <v>BROOKFIELD GESTÃƒO DE ATIVOS LTDA</v>
          </cell>
        </row>
        <row r="3909">
          <cell r="B3909">
            <v>12228</v>
          </cell>
          <cell r="C3909" t="str">
            <v>BROOKFIELD GESTÃƒO DE ATIVOS LTDA</v>
          </cell>
          <cell r="D3909" t="str">
            <v>BROOKFIELD GESTÃƒO DE ATIVOS LTDA</v>
          </cell>
          <cell r="E3909" t="str">
            <v>BROOKFIELD GESTÃƒO DE ATIVOS LTDA</v>
          </cell>
        </row>
        <row r="3910">
          <cell r="B3910">
            <v>122280</v>
          </cell>
          <cell r="C3910" t="str">
            <v>VINSON FUND LLC</v>
          </cell>
          <cell r="D3910" t="str">
            <v>VINSON FUND LLC</v>
          </cell>
          <cell r="E3910" t="str">
            <v>POLO CAPITAL GESTÃO DE RECURSOS LTDA</v>
          </cell>
        </row>
        <row r="3911">
          <cell r="B3911">
            <v>79700</v>
          </cell>
          <cell r="C3911" t="str">
            <v>PLURAL GESTAO DE RECURSOS LTDA</v>
          </cell>
          <cell r="D3911" t="str">
            <v>PLURAL GESTAO DE RECURSOS LTDA</v>
          </cell>
          <cell r="E3911" t="str">
            <v>PLURAL GESTÃO DE RECURSOS LTDA</v>
          </cell>
        </row>
        <row r="3912">
          <cell r="B3912">
            <v>79968</v>
          </cell>
          <cell r="C3912" t="str">
            <v>PLURAL GESTAO DE RECURSOS LTDA</v>
          </cell>
          <cell r="D3912" t="str">
            <v>PLURAL GESTAO DE RECURSOS LTDA</v>
          </cell>
          <cell r="E3912" t="str">
            <v>PLURAL GESTÃO DE RECURSOS LTDA</v>
          </cell>
        </row>
        <row r="3913">
          <cell r="B3913">
            <v>123609</v>
          </cell>
          <cell r="C3913" t="str">
            <v>BRASIL PLURAL ENERPREV FIA</v>
          </cell>
          <cell r="D3913" t="str">
            <v>BRASIL PLURAL ENERPREV FIA</v>
          </cell>
          <cell r="E3913" t="str">
            <v>BRASIL PLURAL ENERPREV FIA</v>
          </cell>
        </row>
        <row r="3914">
          <cell r="B3914">
            <v>123609</v>
          </cell>
          <cell r="C3914" t="str">
            <v>BRASIL PLURAL ENERPREV FIA</v>
          </cell>
          <cell r="D3914" t="str">
            <v>BRASIL PLURAL ENERPREV FIA</v>
          </cell>
          <cell r="E3914" t="str">
            <v>BRASIL PLURAL ENERPREV FIA</v>
          </cell>
        </row>
        <row r="3915">
          <cell r="B3915">
            <v>123884</v>
          </cell>
          <cell r="C3915" t="str">
            <v>BRASIL PLURAL IRAI FIM</v>
          </cell>
          <cell r="D3915" t="str">
            <v>BRASIL PLURAL IRAI FIM</v>
          </cell>
          <cell r="E3915" t="str">
            <v>BRASIL PLURAL IRAI FIM</v>
          </cell>
        </row>
        <row r="3916">
          <cell r="B3916">
            <v>79427</v>
          </cell>
          <cell r="C3916" t="str">
            <v>PLURAL GESTAO DE RECURSOS LTDA</v>
          </cell>
          <cell r="D3916">
            <v>372</v>
          </cell>
          <cell r="E3916" t="str">
            <v>PLURAL GESTÃO DE RECURSOS LTDA</v>
          </cell>
        </row>
        <row r="3917">
          <cell r="B3917">
            <v>122287</v>
          </cell>
          <cell r="C3917" t="str">
            <v>BB DOLOMITA FIM CP</v>
          </cell>
          <cell r="D3917" t="str">
            <v>BB DOLOMITA FIM CP</v>
          </cell>
          <cell r="E3917" t="str">
            <v>BB GESTAO DE RECURSOS DTVM LTDA</v>
          </cell>
        </row>
        <row r="3918">
          <cell r="B3918">
            <v>122288</v>
          </cell>
          <cell r="C3918" t="str">
            <v>BB SILVERSTONE FIM CP</v>
          </cell>
          <cell r="D3918" t="str">
            <v>BB SILVERSTONE FIM CP</v>
          </cell>
          <cell r="E3918" t="str">
            <v>BB GESTAO DE RECURSOS DTVM LTDA</v>
          </cell>
        </row>
        <row r="3919">
          <cell r="B3919">
            <v>122289</v>
          </cell>
          <cell r="C3919" t="str">
            <v>3FS FUNDO DE INVESTIMENTO EM AÃ‡OES</v>
          </cell>
          <cell r="D3919" t="str">
            <v>3FS FUNDO DE INVESTIMENTO EM AÃ‡OES</v>
          </cell>
          <cell r="E3919" t="str">
            <v>EMPIRICUS GESTAO DE RECURSOS LTDA</v>
          </cell>
        </row>
        <row r="3920">
          <cell r="B3920">
            <v>79428</v>
          </cell>
          <cell r="C3920" t="str">
            <v>PLURAL GESTAO DE RECURSOS LTDA</v>
          </cell>
          <cell r="D3920">
            <v>373</v>
          </cell>
          <cell r="E3920" t="str">
            <v>PLURAL GESTÃO DE RECURSOS LTDA</v>
          </cell>
        </row>
        <row r="3921">
          <cell r="B3921">
            <v>122290</v>
          </cell>
          <cell r="C3921" t="str">
            <v>POLLUX AÃ‡OES FIA</v>
          </cell>
          <cell r="D3921" t="str">
            <v>POLLUX AÃ‡OES FIA</v>
          </cell>
          <cell r="E3921" t="str">
            <v>EMPIRICUS GESTAO DE RECURSOS LTDA</v>
          </cell>
        </row>
        <row r="3922">
          <cell r="B3922">
            <v>122291</v>
          </cell>
          <cell r="C3922" t="str">
            <v>POLLUX LONG SHORT FIM</v>
          </cell>
          <cell r="D3922" t="str">
            <v>POLLUX LONG SHORT FIM</v>
          </cell>
          <cell r="E3922" t="str">
            <v>EMPIRICUS GESTAO DE RECURSOS LTDA</v>
          </cell>
        </row>
        <row r="3923">
          <cell r="B3923">
            <v>122292</v>
          </cell>
          <cell r="C3923" t="str">
            <v>POLLUX LONG SHORT AGRESSIVO MASTER FIM</v>
          </cell>
          <cell r="D3923" t="str">
            <v>POLLUX LONG SHORT AGRESSIVO MASTER FIM</v>
          </cell>
          <cell r="E3923" t="str">
            <v>EMPIRICUS GESTAO DE RECURSOS LTDA</v>
          </cell>
        </row>
        <row r="3924">
          <cell r="B3924">
            <v>122293</v>
          </cell>
          <cell r="C3924" t="str">
            <v>POLLUX ACOES INSTITUCIONAL MASTER FIA</v>
          </cell>
          <cell r="D3924" t="str">
            <v>POLLUX ACOES INSTITUCIONAL MASTER FIA</v>
          </cell>
          <cell r="E3924" t="str">
            <v>EMPIRICUS GESTAO DE RECURSOS LTDA</v>
          </cell>
        </row>
        <row r="3925">
          <cell r="B3925">
            <v>122294</v>
          </cell>
          <cell r="C3925" t="str">
            <v>PBRE LLC</v>
          </cell>
          <cell r="D3925" t="str">
            <v>PBRE LLC</v>
          </cell>
          <cell r="E3925" t="str">
            <v>EMPIRICUS GESTAO DE RECURSOS LTDA</v>
          </cell>
        </row>
        <row r="3926">
          <cell r="B3926">
            <v>122295</v>
          </cell>
          <cell r="C3926" t="str">
            <v>PLO CAPITAL LLC</v>
          </cell>
          <cell r="D3926" t="str">
            <v>PLO CAPITAL LLC</v>
          </cell>
          <cell r="E3926" t="str">
            <v>EMPIRICUS GESTAO DE RECURSOS LTDA</v>
          </cell>
        </row>
        <row r="3927">
          <cell r="B3927">
            <v>122296</v>
          </cell>
          <cell r="C3927" t="str">
            <v>OSPREY BRAZIL LLC</v>
          </cell>
          <cell r="D3927" t="str">
            <v>OSPREY BRAZIL LLC</v>
          </cell>
          <cell r="E3927" t="str">
            <v>EMPIRICUS GESTAO DE RECURSOS LTDA</v>
          </cell>
        </row>
        <row r="3928">
          <cell r="B3928">
            <v>122297</v>
          </cell>
          <cell r="C3928" t="str">
            <v>PBLO LLC</v>
          </cell>
          <cell r="D3928" t="str">
            <v>PBLO LLC</v>
          </cell>
          <cell r="E3928" t="str">
            <v>EMPIRICUS GESTAO DE RECURSOS LTDA</v>
          </cell>
        </row>
        <row r="3929">
          <cell r="B3929">
            <v>122298</v>
          </cell>
          <cell r="C3929" t="str">
            <v>PGE LLC</v>
          </cell>
          <cell r="D3929" t="str">
            <v>PGE LLC</v>
          </cell>
          <cell r="E3929" t="str">
            <v>EMPIRICUS GESTAO DE RECURSOS LTDA</v>
          </cell>
        </row>
        <row r="3930">
          <cell r="B3930">
            <v>122299</v>
          </cell>
          <cell r="C3930" t="str">
            <v>PEDRO GABRIEL MOREIRA CARDOSO</v>
          </cell>
          <cell r="D3930" t="str">
            <v>PEDRO GABRIEL MOREIRA CARDOSO</v>
          </cell>
          <cell r="E3930" t="str">
            <v>PEDRO GABRIEL MOREIRA CARDOSO</v>
          </cell>
        </row>
        <row r="3931">
          <cell r="B3931">
            <v>12230</v>
          </cell>
          <cell r="C3931" t="str">
            <v>FIDUCIA ASSET MANAGEMENT LTDA</v>
          </cell>
          <cell r="D3931" t="str">
            <v>FIDUCIA ASSET MANAGEMENT LTDA</v>
          </cell>
          <cell r="E3931" t="str">
            <v>FIDUCIA ASSET MANAGEMENT LTDA</v>
          </cell>
        </row>
        <row r="3932">
          <cell r="B3932">
            <v>122300</v>
          </cell>
          <cell r="C3932" t="str">
            <v>DB INVEST FUNDO DE INVEST MULTIMERCADO</v>
          </cell>
          <cell r="D3932" t="str">
            <v>DB INVEST FUNDO DE INVEST MULTIMERCADO</v>
          </cell>
          <cell r="E3932" t="str">
            <v>SAFRA ASSET MANAGEMENT LTDA</v>
          </cell>
        </row>
        <row r="3933">
          <cell r="B3933">
            <v>122305</v>
          </cell>
          <cell r="C3933" t="str">
            <v>CLARITAS ACOES FIA</v>
          </cell>
          <cell r="D3933" t="str">
            <v>CLARITAS ACOES FIA</v>
          </cell>
          <cell r="E3933" t="str">
            <v>CLARITAS ADMINISTRAÇÃO DE RECURSOS LTDA</v>
          </cell>
        </row>
        <row r="3934">
          <cell r="B3934">
            <v>122302</v>
          </cell>
          <cell r="C3934" t="str">
            <v>CLARITAS ABSOLUTE MASTER FIM</v>
          </cell>
          <cell r="D3934" t="str">
            <v>CLARITAS ABSOLUTE MASTER FIM</v>
          </cell>
          <cell r="E3934" t="str">
            <v>PRINCIPAL ASSET MANAGEMENT LTDA</v>
          </cell>
        </row>
        <row r="3935">
          <cell r="B3935" t="str">
            <v>M03987891000100</v>
          </cell>
          <cell r="C3935" t="str">
            <v>CLARITAS ADMINISTRAÃ‡ÃƒO DE RECURSOS LTDA</v>
          </cell>
          <cell r="D3935" t="str">
            <v>CLARITAS ADMINISTRACAO DE RECURSOS LTDA</v>
          </cell>
          <cell r="E3935" t="str">
            <v>CLARITAS ADMINISTRAÇÃO DE RECURSOS LTDA</v>
          </cell>
        </row>
        <row r="3936">
          <cell r="B3936">
            <v>122304</v>
          </cell>
          <cell r="C3936" t="str">
            <v>CLARITAS ABSOLUTE GLOBAL 30 MASTER FIM</v>
          </cell>
          <cell r="D3936" t="str">
            <v>CLARITAS ABSOLUTE GLOBAL 30 MASTER FIM</v>
          </cell>
          <cell r="E3936" t="str">
            <v>PRINCIPAL ASSET MANAGEMENT LTDA</v>
          </cell>
        </row>
        <row r="3937">
          <cell r="B3937">
            <v>124570</v>
          </cell>
          <cell r="C3937" t="str">
            <v>CLARITAS ADVISORY ICATU PREVIDENCIA FIM</v>
          </cell>
          <cell r="D3937" t="str">
            <v>CLARITAS ADVISORY ICATU PREVIDENCIA FIM</v>
          </cell>
          <cell r="E3937" t="str">
            <v>CLARITAS ADMINISTRAÇÃO DE RECURSOS LTDA</v>
          </cell>
        </row>
        <row r="3938">
          <cell r="B3938">
            <v>122306</v>
          </cell>
          <cell r="C3938" t="str">
            <v>BB GESTAO DE RECURSOS DTVM LTDA</v>
          </cell>
          <cell r="D3938" t="str">
            <v>BB GESTAO DE RECURSOS DTVM LTDA</v>
          </cell>
          <cell r="E3938" t="str">
            <v>BB GESTAO DE RECURSOS DTVM LTDA</v>
          </cell>
        </row>
        <row r="3939">
          <cell r="B3939">
            <v>122307</v>
          </cell>
          <cell r="C3939" t="str">
            <v>CLARITAS HEDGE MASTER FIM LP</v>
          </cell>
          <cell r="D3939" t="str">
            <v>CLARITAS HEDGE MASTER FIM LP</v>
          </cell>
          <cell r="E3939" t="str">
            <v>PRINCIPAL ASSET MANAGEMENT LTDA</v>
          </cell>
        </row>
        <row r="3940">
          <cell r="B3940">
            <v>122308</v>
          </cell>
          <cell r="C3940" t="str">
            <v>PRINCIPAL CLARITAS LONG SHORT MASTER FIM</v>
          </cell>
          <cell r="D3940" t="str">
            <v>PRINCIPAL CLARITAS LONG SHORT MASTER FIM</v>
          </cell>
          <cell r="E3940" t="str">
            <v>PRINCIPAL ASSET MANAGEMENT LTDA</v>
          </cell>
        </row>
        <row r="3941">
          <cell r="B3941">
            <v>122309</v>
          </cell>
          <cell r="C3941" t="str">
            <v>KINEA SISTEMATICO MULTIMERCADO FI</v>
          </cell>
          <cell r="D3941" t="str">
            <v>KINEA SISTEMATICO MULTIMERCADO FI</v>
          </cell>
          <cell r="E3941" t="str">
            <v>KINEA SISTEMATICO MULTIMERCADO FI</v>
          </cell>
        </row>
        <row r="3942">
          <cell r="B3942">
            <v>12231</v>
          </cell>
          <cell r="C3942" t="str">
            <v>IPORANGA INVESTIMENTOS LTDA</v>
          </cell>
          <cell r="D3942" t="str">
            <v>IPORANGA INVESTIMENTOS LTDA</v>
          </cell>
          <cell r="E3942" t="str">
            <v>IPORANGA INVESTIMENTOS LTDA</v>
          </cell>
        </row>
        <row r="3943">
          <cell r="B3943">
            <v>122310</v>
          </cell>
          <cell r="C3943" t="str">
            <v>KINEA ARKHE FIM</v>
          </cell>
          <cell r="D3943" t="str">
            <v>KINEA ARKHE FIM</v>
          </cell>
          <cell r="E3943" t="str">
            <v>KINEA ARKHE FIM</v>
          </cell>
        </row>
        <row r="3944">
          <cell r="B3944">
            <v>122311</v>
          </cell>
          <cell r="C3944" t="str">
            <v>KINEA I TOTAL RETURN EQUITY FIC DE FIM</v>
          </cell>
          <cell r="D3944" t="str">
            <v>KINEA I TOTAL RETURN EQUITY FIC DE FIM</v>
          </cell>
          <cell r="E3944" t="str">
            <v>KINEA I TOTAL RETURN EQUITY FIC DE FIM</v>
          </cell>
        </row>
        <row r="3945">
          <cell r="B3945">
            <v>122312</v>
          </cell>
          <cell r="C3945" t="str">
            <v>KINEA DINAMICO MASTER LONG BIASED FIA</v>
          </cell>
          <cell r="D3945" t="str">
            <v>KINEA DINAMICO MASTER LONG BIASED FIA</v>
          </cell>
          <cell r="E3945" t="str">
            <v>KINEA DINAMICO MASTER LONG BIASED FIA</v>
          </cell>
        </row>
        <row r="3946">
          <cell r="B3946">
            <v>122313</v>
          </cell>
          <cell r="C3946" t="str">
            <v>PATRIA HEDGE MASTER FIM</v>
          </cell>
          <cell r="D3946" t="str">
            <v>PATRIA HEDGE MASTER FIM</v>
          </cell>
          <cell r="E3946" t="str">
            <v>PATRIA INVESTIMENTOS LTDA</v>
          </cell>
        </row>
        <row r="3947">
          <cell r="B3947">
            <v>122314</v>
          </cell>
          <cell r="C3947" t="str">
            <v>FOCUS FIA</v>
          </cell>
          <cell r="D3947" t="str">
            <v>FOCUS FIA</v>
          </cell>
          <cell r="E3947" t="str">
            <v>FOCUS ASSESSORIA EM INVESTIMENTOS LTDA</v>
          </cell>
        </row>
        <row r="3948">
          <cell r="B3948">
            <v>122315</v>
          </cell>
          <cell r="C3948" t="str">
            <v>MARIO LUIZ RODRIGUES MANSO</v>
          </cell>
          <cell r="D3948" t="str">
            <v>MARIO LUIZ RODRIGUES MANSO</v>
          </cell>
          <cell r="E3948" t="str">
            <v>MARIO LUIZ RODRIGUES MANSO</v>
          </cell>
        </row>
        <row r="3949">
          <cell r="B3949">
            <v>122316</v>
          </cell>
          <cell r="C3949" t="str">
            <v>ING BANK NV (INR)</v>
          </cell>
          <cell r="D3949" t="str">
            <v>ING BANK NV (INR)</v>
          </cell>
          <cell r="E3949" t="str">
            <v>ING BANK NV (INR)</v>
          </cell>
        </row>
        <row r="3950">
          <cell r="B3950">
            <v>122317</v>
          </cell>
          <cell r="C3950" t="str">
            <v>ITAU MULTIMERCADO EQUITY HEDGE ADVANCED 30 FI</v>
          </cell>
          <cell r="D3950" t="str">
            <v>ITAU MULTIMERCADO EQUITY HEDGE ADVANCED 30 FI</v>
          </cell>
          <cell r="E3950" t="str">
            <v>ITAU MULTIMERCADO EQUITY HEDGE ADVANCED 30 FI</v>
          </cell>
        </row>
        <row r="3951">
          <cell r="B3951">
            <v>122318</v>
          </cell>
          <cell r="C3951" t="str">
            <v>A3 FLUMINENSE FIC DE FIM CP INVESTIMENTO NO EXTERIOR</v>
          </cell>
          <cell r="D3951" t="str">
            <v>A3 FLUMINENSE FIC DE FIM CP INVESTIMENTO NO EXTERIOR</v>
          </cell>
          <cell r="E3951" t="str">
            <v>A3 PERFORMANCE GESTAO DE RECURSOS LTDA</v>
          </cell>
        </row>
        <row r="3952">
          <cell r="B3952">
            <v>122319</v>
          </cell>
          <cell r="C3952" t="str">
            <v>A3 AVORIAZ FIC DE FIM CP INVESTIMENTO NO EXTERIOR</v>
          </cell>
          <cell r="D3952" t="str">
            <v>A3 AVORIAZ FIC DE FIM CP INVESTIMENTO NO EXTERIOR</v>
          </cell>
          <cell r="E3952" t="str">
            <v>A3 PERFORMANCE GESTAO DE RECURSOS LTDA</v>
          </cell>
        </row>
        <row r="3953">
          <cell r="B3953">
            <v>12232</v>
          </cell>
          <cell r="C3953" t="str">
            <v>ANGA ADMINISTRACAO DE RECURSOS LTDA</v>
          </cell>
          <cell r="D3953" t="str">
            <v>ANGA ADMINISTRACAO DE RECURSOS LTDA</v>
          </cell>
          <cell r="E3953" t="str">
            <v>ANGÃ ADMINISTRACAO DE RECURSOS LTDA</v>
          </cell>
        </row>
        <row r="3954">
          <cell r="B3954">
            <v>122320</v>
          </cell>
          <cell r="C3954" t="str">
            <v>A3 PRAM FIM DE FIC CP INVESTIMENTO NO EXTERIOR</v>
          </cell>
          <cell r="D3954" t="str">
            <v>A3 PRAM FIM DE FIC CP INVESTIMENTO NO EXTERIOR</v>
          </cell>
          <cell r="E3954" t="str">
            <v>A3 PERFORMANCE GESTAO DE RECURSOS LTDA</v>
          </cell>
        </row>
        <row r="3955">
          <cell r="B3955">
            <v>122321</v>
          </cell>
          <cell r="C3955" t="str">
            <v>A3 ESON FIM CP INVESTIMENTO NO EXTERIOR</v>
          </cell>
          <cell r="D3955" t="str">
            <v>A3 ESON FIM CP INVESTIMENTO NO EXTERIOR</v>
          </cell>
          <cell r="E3955" t="str">
            <v>A3 PERFORMANCE GESTAO DE RECURSOS LTDA</v>
          </cell>
        </row>
        <row r="3956">
          <cell r="B3956">
            <v>122322</v>
          </cell>
          <cell r="C3956" t="str">
            <v>A3 VIKING FIC DE FIM CP INVESTIMENTO NO EXTERIOR</v>
          </cell>
          <cell r="D3956" t="str">
            <v>A3 VIKING FIC DE FIM CP INVESTIMENTO NO EXTERIOR</v>
          </cell>
          <cell r="E3956" t="str">
            <v>A3 PERFORMANCE GESTAO DE RECURSOS LTDA</v>
          </cell>
        </row>
        <row r="3957">
          <cell r="B3957">
            <v>79700</v>
          </cell>
          <cell r="C3957" t="str">
            <v>PLURAL GESTAO DE RECURSOS LTDA</v>
          </cell>
          <cell r="D3957" t="str">
            <v>PLURAL GESTAO DE RECURSOS LTDA</v>
          </cell>
          <cell r="E3957" t="str">
            <v>PLURAL GESTÃO DE RECURSOS LTDA</v>
          </cell>
        </row>
        <row r="3958">
          <cell r="B3958">
            <v>122324</v>
          </cell>
          <cell r="C3958" t="str">
            <v>SNOWFLAKE FIM</v>
          </cell>
          <cell r="D3958" t="str">
            <v>SNOWFLAKE FIM</v>
          </cell>
          <cell r="E3958" t="str">
            <v>ICATU VANGUARDA GESTAO DE RECURSOS LTDA</v>
          </cell>
        </row>
        <row r="3959">
          <cell r="B3959">
            <v>122325</v>
          </cell>
          <cell r="C3959" t="str">
            <v>VINCI GAS DISCOVERY MASTER FIA</v>
          </cell>
          <cell r="D3959" t="str">
            <v>VINCI GAS DISCOVERY MASTER FIA</v>
          </cell>
          <cell r="E3959" t="str">
            <v>VINCI GAS DISCOVERY MASTER FIA</v>
          </cell>
        </row>
        <row r="3960">
          <cell r="B3960">
            <v>122326</v>
          </cell>
          <cell r="C3960" t="str">
            <v>VINCI GAS LONG ONLY MASTER FIA</v>
          </cell>
          <cell r="D3960" t="str">
            <v>VINCI GAS LONG ONLY MASTER FIA</v>
          </cell>
          <cell r="E3960" t="str">
            <v>VINCI GAS LONG ONLY MASTER FIA</v>
          </cell>
        </row>
        <row r="3961">
          <cell r="B3961">
            <v>122327</v>
          </cell>
          <cell r="C3961" t="str">
            <v>VINCI GAS FUNDAMENTO MASTER FIA</v>
          </cell>
          <cell r="D3961" t="str">
            <v>VINCI GAS FUNDAMENTO MASTER FIA</v>
          </cell>
          <cell r="E3961" t="str">
            <v>VINCI GAS FUNDAMENTO MASTER FIA</v>
          </cell>
        </row>
        <row r="3962">
          <cell r="B3962">
            <v>122328</v>
          </cell>
          <cell r="C3962" t="str">
            <v>VINCI GAS FLASH MASTER FIA</v>
          </cell>
          <cell r="D3962" t="str">
            <v>VINCI GAS FLASH MASTER FIA</v>
          </cell>
          <cell r="E3962" t="str">
            <v>VINCI GAS FLASH MASTER FIA</v>
          </cell>
        </row>
        <row r="3963">
          <cell r="B3963">
            <v>122329</v>
          </cell>
          <cell r="C3963" t="str">
            <v>VINCI GAS BLUE MARLIN FIA</v>
          </cell>
          <cell r="D3963" t="str">
            <v>VINCI GAS BLUE MARLIN FIA</v>
          </cell>
          <cell r="E3963" t="str">
            <v>VINCI GAS BLUE MARLIN FIA</v>
          </cell>
        </row>
        <row r="3964">
          <cell r="B3964">
            <v>12233</v>
          </cell>
          <cell r="C3964" t="str">
            <v>CRPC ADMINISTRACAO DE RECURSOS FINANCEIROS LTDA</v>
          </cell>
          <cell r="D3964" t="str">
            <v>CRPC ADMINISTRACAO DE RECURSOS FINANCEIROS LTDA</v>
          </cell>
          <cell r="E3964" t="str">
            <v>CRPC ADMINISTRACAO DE RECURSOS FINANCEIROS LTDA</v>
          </cell>
        </row>
        <row r="3965">
          <cell r="B3965">
            <v>122330</v>
          </cell>
          <cell r="C3965" t="str">
            <v>VINCI GAS LONG BIASED MASTER FIA</v>
          </cell>
          <cell r="D3965" t="str">
            <v>VINCI GAS LONG BIASED MASTER FIA</v>
          </cell>
          <cell r="E3965" t="str">
            <v>VINCI GESTORA DE RECURSOS LTDA</v>
          </cell>
        </row>
        <row r="3966">
          <cell r="B3966">
            <v>122331</v>
          </cell>
          <cell r="C3966" t="str">
            <v>VINCI GAS FIA</v>
          </cell>
          <cell r="D3966" t="str">
            <v>VINCI GAS FIA</v>
          </cell>
          <cell r="E3966" t="str">
            <v>VINCI GAS FIA</v>
          </cell>
        </row>
        <row r="3967">
          <cell r="B3967">
            <v>122332</v>
          </cell>
          <cell r="C3967" t="str">
            <v>VINCI GAS CANOY DIVIDENDOS FIA</v>
          </cell>
          <cell r="D3967" t="str">
            <v>VINCI GAS CANOY DIVIDENDOS FIA</v>
          </cell>
          <cell r="E3967" t="str">
            <v>VINCI GAS CANOY DIVIDENDOS FIA</v>
          </cell>
        </row>
        <row r="3968">
          <cell r="B3968">
            <v>122333</v>
          </cell>
          <cell r="C3968" t="str">
            <v>VINCI GAS DIVIDENDOS FIA</v>
          </cell>
          <cell r="D3968" t="str">
            <v>VINCI GAS DIVIDENDOS FIA</v>
          </cell>
          <cell r="E3968" t="str">
            <v>VINCI GAS DIVIDENDOS FIA</v>
          </cell>
        </row>
        <row r="3969">
          <cell r="B3969">
            <v>122334</v>
          </cell>
          <cell r="C3969" t="str">
            <v>VINCI GAS FIA FHS</v>
          </cell>
          <cell r="D3969" t="str">
            <v>VINCI GAS FIA FHS</v>
          </cell>
          <cell r="E3969" t="str">
            <v>VINCI GAS FIA FHS</v>
          </cell>
        </row>
        <row r="3970">
          <cell r="B3970" t="str">
            <v>M01704513000146</v>
          </cell>
          <cell r="C3970" t="str">
            <v>SUL AMÃ‰RICA SEGUROS DE PESSOAS E PREVIDÃŠNCIA S.A.</v>
          </cell>
          <cell r="D3970" t="str">
            <v>SUL AMÃ‰RICA SEGUROS DE PESSOAS E PREVIDÃŠNCIA S.A.</v>
          </cell>
          <cell r="E3970" t="str">
            <v>SUL AMERICA INVESTIMENTOS GESTORA DE RECURSOS S/A</v>
          </cell>
        </row>
        <row r="3971">
          <cell r="B3971">
            <v>122336</v>
          </cell>
          <cell r="C3971" t="str">
            <v>BB GESTAO DE RECURSOS DTVM LTDA</v>
          </cell>
          <cell r="D3971" t="str">
            <v>BB GESTAO DE RECURSOS DTVM LTDA</v>
          </cell>
          <cell r="E3971" t="str">
            <v>BB GESTAO DE RECURSOS DTVM LTDA</v>
          </cell>
        </row>
        <row r="3972">
          <cell r="B3972">
            <v>122337</v>
          </cell>
          <cell r="C3972" t="str">
            <v>FUNDO DE INVESTIMENTOS EM ACOES RV EMB II</v>
          </cell>
          <cell r="D3972" t="str">
            <v>FUNDO DE INVESTIMENTOS EM ACOES RV EMB II</v>
          </cell>
          <cell r="E3972" t="str">
            <v>FRANKLIN TEMPLETON INVESTIMENTOS (BRASIL) LTDA</v>
          </cell>
        </row>
        <row r="3973">
          <cell r="B3973">
            <v>122339</v>
          </cell>
          <cell r="C3973" t="str">
            <v>KINEA TOTAL RETURN EQUITY FIM</v>
          </cell>
          <cell r="D3973" t="str">
            <v>KINEA TOTAL RETURN EQUITY FIM</v>
          </cell>
          <cell r="E3973" t="str">
            <v>KINEA TOTAL RETURN EQUITY FIM</v>
          </cell>
        </row>
        <row r="3974">
          <cell r="B3974">
            <v>12234</v>
          </cell>
          <cell r="C3974" t="str">
            <v>VINCI GESTORA DE RECURSOS LTDA</v>
          </cell>
          <cell r="D3974" t="str">
            <v>VINCI GESTORA DE RECURSOS LTDA</v>
          </cell>
          <cell r="E3974" t="str">
            <v>VINCI GESTORA DE RECURSOS LTDA</v>
          </cell>
        </row>
        <row r="3975">
          <cell r="B3975">
            <v>122340</v>
          </cell>
          <cell r="C3975" t="str">
            <v>RIO DA BARRA FIM IE CP</v>
          </cell>
          <cell r="D3975" t="str">
            <v>RIO DA BARRA FIM IE CP</v>
          </cell>
          <cell r="E3975" t="str">
            <v>RIO DA BARRA FIM IE CP</v>
          </cell>
        </row>
        <row r="3976">
          <cell r="B3976">
            <v>122341</v>
          </cell>
          <cell r="C3976" t="str">
            <v>GAP MULTIPORTIFOLIO 30 FUNDO DE INVESTIMENTO MULTIMERCADO I</v>
          </cell>
          <cell r="D3976" t="str">
            <v>GAP MULTIPORTIFOLIO 30 FUNDO DE INVESTIMENTO MULTIMERCADO I</v>
          </cell>
          <cell r="E3976" t="str">
            <v>GAP GESTORA DE RECURSOS LTDA</v>
          </cell>
        </row>
        <row r="3977">
          <cell r="B3977">
            <v>122343</v>
          </cell>
          <cell r="C3977" t="str">
            <v>INFRAPREV - INSTITUTO INFRAERO DE SEGURIDADE SOCIAL</v>
          </cell>
          <cell r="D3977" t="str">
            <v>INFRAPREV - INSTITUTO INFRAERO DE SEGURIDADE SOCIAL</v>
          </cell>
          <cell r="E3977" t="str">
            <v>INFRAPREV - INSTITUTO INFRAERO DE SEGURIDADE SOCIAL</v>
          </cell>
        </row>
        <row r="3978">
          <cell r="B3978">
            <v>122344</v>
          </cell>
          <cell r="C3978" t="str">
            <v>INFRAPREV - INSTITUTO INFRAERO DE SEGURIDADE SOCIAL</v>
          </cell>
          <cell r="D3978" t="str">
            <v>INFRAPREV - INSTITUTO INFRAERO DE SEGURIDADE SOCIAL</v>
          </cell>
          <cell r="E3978" t="str">
            <v>INFRAPREV - INSTITUTO INFRAERO DE SEGURIDADE SOCIAL</v>
          </cell>
        </row>
        <row r="3979">
          <cell r="B3979">
            <v>122345</v>
          </cell>
          <cell r="C3979" t="str">
            <v>SHARP IBOVESPA ATIVO FIA</v>
          </cell>
          <cell r="D3979" t="str">
            <v>SHARP IBOVESPA ATIVO FIA</v>
          </cell>
          <cell r="E3979" t="str">
            <v>SHARP IBOVESPA ATIVO FIA</v>
          </cell>
        </row>
        <row r="3980">
          <cell r="B3980">
            <v>122347</v>
          </cell>
          <cell r="C3980" t="str">
            <v>BROOKFIELD HEDGE PLUS II FIM</v>
          </cell>
          <cell r="D3980" t="str">
            <v>BROOKFIELD HEDGE PLUS II FIM</v>
          </cell>
          <cell r="E3980" t="str">
            <v>BROOKFIELD GESTÃƒO DE ATIVOS LTDA</v>
          </cell>
        </row>
        <row r="3981">
          <cell r="B3981">
            <v>122348</v>
          </cell>
          <cell r="C3981" t="str">
            <v>BB TUPI FIM MODERADO</v>
          </cell>
          <cell r="D3981" t="str">
            <v>BB TUPI FIM MODERADO</v>
          </cell>
          <cell r="E3981" t="str">
            <v>BB GESTAO DE RECURSOS DTVM LTDA</v>
          </cell>
        </row>
        <row r="3982">
          <cell r="B3982">
            <v>122349</v>
          </cell>
          <cell r="C3982" t="str">
            <v>KINEA MACRO CITI FIM</v>
          </cell>
          <cell r="D3982" t="str">
            <v>KINEA MACRO CITI FIM</v>
          </cell>
          <cell r="E3982" t="str">
            <v>KINEA MACRO CITI FIM</v>
          </cell>
        </row>
        <row r="3983">
          <cell r="B3983">
            <v>12235</v>
          </cell>
          <cell r="C3983" t="str">
            <v>BANCO MODAL S/A</v>
          </cell>
          <cell r="D3983" t="str">
            <v>BANCO MODAL S/A</v>
          </cell>
          <cell r="E3983" t="str">
            <v>BANCO MODAL S/A</v>
          </cell>
        </row>
        <row r="3984">
          <cell r="B3984">
            <v>122350</v>
          </cell>
          <cell r="C3984" t="str">
            <v>ATICO PERFORMA FIM</v>
          </cell>
          <cell r="D3984" t="str">
            <v>ATICO PERFORMA FIM</v>
          </cell>
          <cell r="E3984" t="str">
            <v>ATICO ADMINISTRACAO DE RECURSOS LTDA</v>
          </cell>
        </row>
        <row r="3985">
          <cell r="B3985">
            <v>122351</v>
          </cell>
          <cell r="C3985" t="str">
            <v>ATICO ACOES FIA</v>
          </cell>
          <cell r="D3985" t="str">
            <v>ATICO ACOES FIA</v>
          </cell>
          <cell r="E3985" t="str">
            <v>ATICO ADMINISTRACAO DE RECURSOS LTDA</v>
          </cell>
        </row>
        <row r="3986">
          <cell r="B3986">
            <v>122352</v>
          </cell>
          <cell r="C3986" t="str">
            <v>ATICO HEDGE FIM</v>
          </cell>
          <cell r="D3986" t="str">
            <v>ATICO HEDGE FIM</v>
          </cell>
          <cell r="E3986" t="str">
            <v>ATICO HEDGE FIM</v>
          </cell>
        </row>
        <row r="3987">
          <cell r="B3987">
            <v>122353</v>
          </cell>
          <cell r="C3987" t="str">
            <v>NEO MARTE FIM</v>
          </cell>
          <cell r="D3987" t="str">
            <v>NEO MARTE FIM</v>
          </cell>
          <cell r="E3987" t="str">
            <v>NEO GESTÃO DE RECURSOS LTDA</v>
          </cell>
        </row>
        <row r="3988">
          <cell r="B3988">
            <v>122356</v>
          </cell>
          <cell r="C3988" t="str">
            <v>PATRIA EQUITY MASTER FIA</v>
          </cell>
          <cell r="D3988" t="str">
            <v>PATRIA EQUITY MASTER FIA</v>
          </cell>
          <cell r="E3988" t="str">
            <v>PATRIA INVESTIMENTOS LTDA</v>
          </cell>
        </row>
        <row r="3989">
          <cell r="B3989">
            <v>122357</v>
          </cell>
          <cell r="C3989" t="str">
            <v>PATRIA LONG SHORT FIM</v>
          </cell>
          <cell r="D3989" t="str">
            <v>PATRIA LONG SHORT FIM</v>
          </cell>
          <cell r="E3989" t="str">
            <v>PATRIA INVESTIMENTOS LTDA</v>
          </cell>
        </row>
        <row r="3990">
          <cell r="B3990">
            <v>122358</v>
          </cell>
          <cell r="C3990" t="str">
            <v>PATRIA MULTIESTRATEGIA MASTER FIM</v>
          </cell>
          <cell r="D3990" t="str">
            <v>PATRIA MULTIESTRATEGIA MASTER FIM</v>
          </cell>
          <cell r="E3990" t="str">
            <v>PATRIA INVESTIMENTOS LTDA</v>
          </cell>
        </row>
        <row r="3991">
          <cell r="B3991">
            <v>122359</v>
          </cell>
          <cell r="C3991" t="str">
            <v>BB SEBRAEPREV FIM</v>
          </cell>
          <cell r="D3991" t="str">
            <v>BB SEBRAEPREV FIM</v>
          </cell>
          <cell r="E3991" t="str">
            <v>BB GESTAO DE RECURSOS DTVM LTDA</v>
          </cell>
        </row>
        <row r="3992">
          <cell r="B3992">
            <v>12236</v>
          </cell>
          <cell r="C3992" t="str">
            <v>UPSIDE GESTAO DE RECURSOS LTDA</v>
          </cell>
          <cell r="D3992" t="str">
            <v>UPSIDE GESTAO DE RECURSOS LTDA</v>
          </cell>
          <cell r="E3992" t="str">
            <v>UPSIDE GESTAO DE RECURSOS LTDA</v>
          </cell>
        </row>
        <row r="3993">
          <cell r="B3993">
            <v>122360</v>
          </cell>
          <cell r="C3993" t="str">
            <v>ESRAEL CARLOS PESSOA</v>
          </cell>
          <cell r="D3993" t="str">
            <v>ESRAEL CARLOS PESSOA</v>
          </cell>
          <cell r="E3993" t="str">
            <v>ESRAEL CARLOS PESSOA</v>
          </cell>
        </row>
        <row r="3994">
          <cell r="B3994">
            <v>122361</v>
          </cell>
          <cell r="C3994" t="str">
            <v>FIA SABESPREV GAP AÃ‡OES</v>
          </cell>
          <cell r="D3994" t="str">
            <v>FIA SABESPREV GAP AÃ‡OES</v>
          </cell>
          <cell r="E3994" t="str">
            <v>GAP PRUDENTIAL LT GESTAO DE RECURSOS LTDA</v>
          </cell>
        </row>
        <row r="3995">
          <cell r="B3995">
            <v>122362</v>
          </cell>
          <cell r="C3995" t="str">
            <v>ATENAS FUNDO DE INVESTIMENTO MULTIMERCADO CP</v>
          </cell>
          <cell r="D3995" t="str">
            <v>ATENAS FUNDO DE INVESTIMENTO MULTIMERCADO CP</v>
          </cell>
          <cell r="E3995" t="str">
            <v>MODAL ADMINISTRADORA DE RECURSOS SA</v>
          </cell>
        </row>
        <row r="3996">
          <cell r="B3996">
            <v>122363</v>
          </cell>
          <cell r="C3996" t="str">
            <v>BUCARESTE FIA</v>
          </cell>
          <cell r="D3996" t="str">
            <v>BUCARESTE FIA</v>
          </cell>
          <cell r="E3996" t="str">
            <v>MODAL ASSET MANAGEMENT LTDA</v>
          </cell>
        </row>
        <row r="3997">
          <cell r="B3997">
            <v>122364</v>
          </cell>
          <cell r="C3997" t="str">
            <v>NUCLEOS II MODAL FUNDO DE INVESTIMENTO MULTIMERCADO</v>
          </cell>
          <cell r="D3997" t="str">
            <v>NUCLEOS II MODAL FUNDO DE INVESTIMENTO MULTIMERCADO</v>
          </cell>
          <cell r="E3997" t="str">
            <v>MODAL ASSET MANAGEMENT LTDA</v>
          </cell>
        </row>
        <row r="3998">
          <cell r="B3998">
            <v>122365</v>
          </cell>
          <cell r="C3998" t="str">
            <v>MODAL LION FIM CP</v>
          </cell>
          <cell r="D3998" t="str">
            <v>MODAL LION FIM CP</v>
          </cell>
          <cell r="E3998" t="str">
            <v>MODAL ASSET MANAGEMENT LTDA</v>
          </cell>
        </row>
        <row r="3999">
          <cell r="B3999">
            <v>122366</v>
          </cell>
          <cell r="C3999" t="str">
            <v>MODAL INSTITUCIONAL FIM</v>
          </cell>
          <cell r="D3999" t="str">
            <v>MODAL INSTITUCIONAL FIM</v>
          </cell>
          <cell r="E3999" t="str">
            <v>MODAL INSTITUCIONAL FIM</v>
          </cell>
        </row>
        <row r="4000">
          <cell r="B4000">
            <v>122367</v>
          </cell>
          <cell r="C4000" t="str">
            <v>MODAL EAGLE MASTER FIM</v>
          </cell>
          <cell r="D4000" t="str">
            <v>MODAL EAGLE MASTER FIM</v>
          </cell>
          <cell r="E4000" t="str">
            <v>MODAL ASSET MANAGEMENT LTDA</v>
          </cell>
        </row>
        <row r="4001">
          <cell r="B4001">
            <v>122368</v>
          </cell>
          <cell r="C4001" t="str">
            <v>MODAL PHOENIX FIM</v>
          </cell>
          <cell r="D4001" t="str">
            <v>MODAL PHOENIX FIM</v>
          </cell>
          <cell r="E4001" t="str">
            <v>MODAL ASSET MANAGEMENT LTDA</v>
          </cell>
        </row>
        <row r="4002">
          <cell r="B4002">
            <v>122369</v>
          </cell>
          <cell r="C4002" t="str">
            <v>MODAL EAGLE 60 FIM</v>
          </cell>
          <cell r="D4002" t="str">
            <v>MODAL EAGLE 60 FIM</v>
          </cell>
          <cell r="E4002" t="str">
            <v>MODAL ASSET MANAGEMENT LTDA</v>
          </cell>
        </row>
        <row r="4003">
          <cell r="B4003">
            <v>12237</v>
          </cell>
          <cell r="C4003" t="str">
            <v>EMPIRICUS GESTAO DE RECURSOS LTDA</v>
          </cell>
          <cell r="D4003" t="str">
            <v>EMPIRICUS GESTAO DE RECURSOS LTDA</v>
          </cell>
          <cell r="E4003" t="str">
            <v>EMPIRICUS GESTAO DE RECURSOS LTDA</v>
          </cell>
        </row>
        <row r="4004">
          <cell r="B4004">
            <v>144504</v>
          </cell>
          <cell r="C4004" t="str">
            <v>PLURAL GESTAO DE RECURSOS LTDA</v>
          </cell>
          <cell r="D4004" t="str">
            <v>PLURAL GESTAO DE RECURSOS LTDA</v>
          </cell>
          <cell r="E4004" t="str">
            <v>PLURAL GESTÃO DE RECURSOS LTDA</v>
          </cell>
        </row>
        <row r="4005">
          <cell r="B4005">
            <v>80411</v>
          </cell>
          <cell r="C4005" t="str">
            <v>OCCAM BRASIL GESTAO DE RECURSOS LTDA</v>
          </cell>
          <cell r="D4005" t="str">
            <v>OCCAM BRASIL GESTAO DE RECURSOS LTDA</v>
          </cell>
          <cell r="E4005" t="str">
            <v>OCCAM BRASIL GESTAO DE RECURSOS LTDA</v>
          </cell>
        </row>
        <row r="4006">
          <cell r="B4006">
            <v>80412</v>
          </cell>
          <cell r="C4006" t="str">
            <v>OCCAM BRASIL GESTAO DE RECURSOS LTDA</v>
          </cell>
          <cell r="D4006" t="str">
            <v>OCCAM BRASIL GESTAO DE RECURSOS LTDA</v>
          </cell>
          <cell r="E4006" t="str">
            <v>OCCAM BRASIL GESTAO DE RECURSOS LTDA</v>
          </cell>
        </row>
        <row r="4007">
          <cell r="B4007">
            <v>80411</v>
          </cell>
          <cell r="C4007" t="str">
            <v>OCCAM BRASIL GESTAO DE RECURSOS LTDA</v>
          </cell>
          <cell r="D4007" t="str">
            <v>OCCAM BRASIL GESTAO DE RECURSOS LTDA</v>
          </cell>
          <cell r="E4007" t="str">
            <v>OCCAM BRASIL GESTAO DE RECURSOS LTDA</v>
          </cell>
        </row>
        <row r="4008">
          <cell r="B4008">
            <v>80038</v>
          </cell>
          <cell r="C4008" t="str">
            <v>BRASIL PLURAL IRAI FIM</v>
          </cell>
          <cell r="D4008" t="str">
            <v>BRASIL PLURAL IRAI FIM</v>
          </cell>
          <cell r="E4008" t="str">
            <v>BRASIL PLURAL IRAI FIM</v>
          </cell>
        </row>
        <row r="4009">
          <cell r="B4009">
            <v>80038</v>
          </cell>
          <cell r="C4009" t="str">
            <v>BRASIL PLURAL IRAI FIM</v>
          </cell>
          <cell r="D4009" t="str">
            <v>BRASIL PLURAL IRAI FIM</v>
          </cell>
          <cell r="E4009" t="str">
            <v>BRASIL PLURAL IRAI FIM</v>
          </cell>
        </row>
        <row r="4010">
          <cell r="B4010">
            <v>122376</v>
          </cell>
          <cell r="C4010" t="str">
            <v>PATRIA EQUITY VALUE MASTER FIA</v>
          </cell>
          <cell r="D4010" t="str">
            <v>PATRIA EQUITY VALUE MASTER FIA</v>
          </cell>
          <cell r="E4010" t="str">
            <v>PATRIA INVESTIMENTOS LTDA</v>
          </cell>
        </row>
        <row r="4011">
          <cell r="B4011">
            <v>122377</v>
          </cell>
          <cell r="C4011" t="str">
            <v>PATRIA EQUITY LONG &amp; SHORT MASTER FIM</v>
          </cell>
          <cell r="D4011" t="str">
            <v>PATRIA EQUITY LONG &amp; SHORT MASTER FIM</v>
          </cell>
          <cell r="E4011" t="str">
            <v>PATRIA INVESTIMENTOS LTDA</v>
          </cell>
        </row>
        <row r="4012">
          <cell r="B4012">
            <v>122378</v>
          </cell>
          <cell r="C4012" t="str">
            <v>AF INVEST FI RENDA FIXA CP GERAES</v>
          </cell>
          <cell r="D4012" t="str">
            <v>AF INVEST FI RENDA FIXA CP GERAES</v>
          </cell>
          <cell r="E4012" t="str">
            <v>AF INVEST ADMINISTRAÇÃO DE RECURSOS LTDA</v>
          </cell>
        </row>
        <row r="4013">
          <cell r="B4013">
            <v>122379</v>
          </cell>
          <cell r="C4013" t="str">
            <v>AGFA FIP</v>
          </cell>
          <cell r="D4013" t="str">
            <v>AGFA FIP</v>
          </cell>
          <cell r="E4013" t="str">
            <v>AF INVEST ADMINISTRAÇÃO DE RECURSOS LTDA</v>
          </cell>
        </row>
        <row r="4014">
          <cell r="B4014">
            <v>12238</v>
          </cell>
          <cell r="C4014" t="str">
            <v>SAFRA DISTRIBUIDORA DE TITULOS E VALORES MOBILIARIOS LTDA.</v>
          </cell>
          <cell r="D4014" t="str">
            <v>SAFRA DISTRIBUIDORA DE TITULOS E VALORES MOBILIARIOS LTDA.</v>
          </cell>
          <cell r="E4014" t="str">
            <v>SAFRA ASSET MANAGEMENT LTDA</v>
          </cell>
        </row>
        <row r="4015">
          <cell r="B4015">
            <v>122380</v>
          </cell>
          <cell r="C4015" t="str">
            <v>FIM AF INVEST CURA D'ARS CP</v>
          </cell>
          <cell r="D4015" t="str">
            <v>FIM AF INVEST CURA D'ARS CP</v>
          </cell>
          <cell r="E4015" t="str">
            <v>FIM AF INVEST CURA D'ARS CP</v>
          </cell>
        </row>
        <row r="4016">
          <cell r="B4016">
            <v>122381</v>
          </cell>
          <cell r="C4016" t="str">
            <v>WANKA FIP</v>
          </cell>
          <cell r="D4016" t="str">
            <v>WANKA FIP</v>
          </cell>
          <cell r="E4016" t="str">
            <v>AF INVEST ADMINISTRAÇÃO DE RECURSOS LTDA</v>
          </cell>
        </row>
        <row r="4017">
          <cell r="B4017">
            <v>122382</v>
          </cell>
          <cell r="C4017" t="str">
            <v>FIM AF INVEST WANKA CP INVESTIMENTO EXTERIOR</v>
          </cell>
          <cell r="D4017" t="str">
            <v>FIM AF INVEST WANKA CP INVESTIMENTO EXTERIOR</v>
          </cell>
          <cell r="E4017" t="str">
            <v>AF INVEST ADMINISTRAÇÃO DE RECURSOS LTDA</v>
          </cell>
        </row>
        <row r="4018">
          <cell r="B4018">
            <v>122383</v>
          </cell>
          <cell r="C4018" t="str">
            <v>SOMMA MAC FIM CP</v>
          </cell>
          <cell r="D4018" t="str">
            <v>SOMMA MAC FIM CP</v>
          </cell>
          <cell r="E4018" t="str">
            <v>AF INVEST ADMINISTRAÇÃO DE RECURSOS LTDA</v>
          </cell>
        </row>
        <row r="4019">
          <cell r="B4019">
            <v>122386</v>
          </cell>
          <cell r="C4019" t="str">
            <v>JP MORGAN S/A DTVM</v>
          </cell>
          <cell r="D4019" t="str">
            <v>JP MORGAN S/A DTVM</v>
          </cell>
          <cell r="E4019" t="str">
            <v>JP MORGAN S/A DTVM</v>
          </cell>
        </row>
        <row r="4020">
          <cell r="B4020">
            <v>122387</v>
          </cell>
          <cell r="C4020" t="str">
            <v>JP MORGAN S/A DTVM</v>
          </cell>
          <cell r="D4020" t="str">
            <v>JP MORGAN S/A DTVM</v>
          </cell>
          <cell r="E4020" t="str">
            <v>JP MORGAN S/A DTVM</v>
          </cell>
        </row>
        <row r="4021">
          <cell r="B4021">
            <v>122388</v>
          </cell>
          <cell r="C4021" t="str">
            <v>MORGAN STANLEY CTVM S/A</v>
          </cell>
          <cell r="D4021" t="str">
            <v>MORGAN STANLEY CTVM S/A</v>
          </cell>
          <cell r="E4021" t="str">
            <v>MORGAN STANLEY CTVM S/A</v>
          </cell>
        </row>
        <row r="4022">
          <cell r="B4022">
            <v>122389</v>
          </cell>
          <cell r="C4022" t="str">
            <v>MORGAN STANLEY CTVM S/A</v>
          </cell>
          <cell r="D4022" t="str">
            <v>MORGAN STANLEY CTVM S/A</v>
          </cell>
          <cell r="E4022" t="str">
            <v>MORGAN STANLEY CTVM S/A</v>
          </cell>
        </row>
        <row r="4023">
          <cell r="B4023">
            <v>12239</v>
          </cell>
          <cell r="C4023" t="str">
            <v>PRINCIPAL ASSET MANAGEMENT LTDA</v>
          </cell>
          <cell r="D4023" t="str">
            <v>PRINCIPAL ASSET MANAGEMENT LTDA</v>
          </cell>
          <cell r="E4023" t="str">
            <v>PRINCIPAL ASSET MANAGEMENT LTDA</v>
          </cell>
        </row>
        <row r="4024">
          <cell r="B4024">
            <v>122390</v>
          </cell>
          <cell r="C4024" t="str">
            <v>ICATU SEG FIA PREVIDENCIARIO</v>
          </cell>
          <cell r="D4024" t="str">
            <v>ICATU SEG FIA PREVIDENCIARIO</v>
          </cell>
          <cell r="E4024" t="str">
            <v>ICATU VANGUARDA GESTAO DE RECURSOS LTDA</v>
          </cell>
        </row>
        <row r="4025">
          <cell r="B4025">
            <v>122391</v>
          </cell>
          <cell r="C4025" t="str">
            <v>ICATU VANGUARDA DIVIDENDOS FIA</v>
          </cell>
          <cell r="D4025" t="str">
            <v>ICATU VANGUARDA DIVIDENDOS FIA</v>
          </cell>
          <cell r="E4025" t="str">
            <v>ICATU VANGUARDA GESTAO DE RECURSOS LTDA</v>
          </cell>
        </row>
        <row r="4026">
          <cell r="B4026">
            <v>122392</v>
          </cell>
          <cell r="C4026" t="str">
            <v>ICATU VANGUARDA ACOES IBX FI</v>
          </cell>
          <cell r="D4026" t="str">
            <v>ICATU VANGUARDA ACOES IBX FI</v>
          </cell>
          <cell r="E4026" t="str">
            <v>ICATU VANGUARDA GESTAO DE RECURSOS LTDA</v>
          </cell>
        </row>
        <row r="4027">
          <cell r="B4027">
            <v>122393</v>
          </cell>
          <cell r="C4027" t="str">
            <v>BB GESTAO DE RECURSOS DTVM LTDA</v>
          </cell>
          <cell r="D4027" t="str">
            <v>BB GESTAO DE RECURSOS DTVM LTDA</v>
          </cell>
          <cell r="E4027" t="str">
            <v>BB GESTAO DE RECURSOS DTVM LTDA</v>
          </cell>
        </row>
        <row r="4028">
          <cell r="B4028">
            <v>122395</v>
          </cell>
          <cell r="C4028" t="str">
            <v>MODAL BULL MASTER FIA</v>
          </cell>
          <cell r="D4028" t="str">
            <v>MODAL BULL MASTER FIA</v>
          </cell>
          <cell r="E4028" t="str">
            <v>MODAL ASSET MANAGEMENT LTDA</v>
          </cell>
        </row>
        <row r="4029">
          <cell r="B4029">
            <v>122396</v>
          </cell>
          <cell r="C4029" t="str">
            <v>BRENO BARBOSA LIMA FERNANDES</v>
          </cell>
          <cell r="D4029" t="str">
            <v>BRENO BARBOSA LIMA FERNANDES</v>
          </cell>
          <cell r="E4029" t="str">
            <v>BRENO BARBOSA LIMA FERNANDES</v>
          </cell>
        </row>
        <row r="4030">
          <cell r="B4030">
            <v>122408</v>
          </cell>
          <cell r="C4030" t="str">
            <v>BANCO SANTANDER (BRASIL) S/A</v>
          </cell>
          <cell r="D4030" t="str">
            <v>BANCO SANTANDER (BRASIL) S/A</v>
          </cell>
          <cell r="E4030" t="str">
            <v>BANCO SANTANDER (BRASIL) S/A</v>
          </cell>
        </row>
        <row r="4031">
          <cell r="B4031">
            <v>122409</v>
          </cell>
          <cell r="C4031" t="str">
            <v>BANCO SANTANDER (BRASIL) S/A</v>
          </cell>
          <cell r="D4031" t="str">
            <v>BANCO SANTANDER (BRASIL) S/A</v>
          </cell>
          <cell r="E4031" t="str">
            <v>BANCO SANTANDER (BRASIL) S/A</v>
          </cell>
        </row>
        <row r="4032">
          <cell r="B4032">
            <v>12240</v>
          </cell>
          <cell r="C4032" t="str">
            <v>FRAM CAPITAL EQUITIES GESTAO DE ATIVOS LTDA</v>
          </cell>
          <cell r="D4032" t="str">
            <v>FRAM CAPITAL EQUITIES GESTAO DE ATIVOS LTDA</v>
          </cell>
          <cell r="E4032" t="str">
            <v>FRAM CAPITAL EQUITIES GESTAO DE ATIVOS LTDA</v>
          </cell>
        </row>
        <row r="4033">
          <cell r="B4033">
            <v>122410</v>
          </cell>
          <cell r="C4033" t="str">
            <v>BANCO SANTANDER (BRASIL) S/A</v>
          </cell>
          <cell r="D4033" t="str">
            <v>BANCO SANTANDER (BRASIL) S/A</v>
          </cell>
          <cell r="E4033" t="str">
            <v>BANCO SANTANDER (BRASIL) S/A</v>
          </cell>
        </row>
        <row r="4034">
          <cell r="B4034">
            <v>122411</v>
          </cell>
          <cell r="C4034" t="str">
            <v>BANCO SANTANDER (BRASIL) S/A</v>
          </cell>
          <cell r="D4034" t="str">
            <v>BANCO SANTANDER (BRASIL) S/A</v>
          </cell>
          <cell r="E4034" t="str">
            <v>BANCO SANTANDER (BRASIL) S/A</v>
          </cell>
        </row>
        <row r="4035">
          <cell r="B4035">
            <v>122412</v>
          </cell>
          <cell r="C4035" t="str">
            <v>BANCO SANTANDER (BRASIL) S/A</v>
          </cell>
          <cell r="D4035" t="str">
            <v>BANCO SANTANDER (BRASIL) S/A</v>
          </cell>
          <cell r="E4035" t="str">
            <v>BANCO SANTANDER (BRASIL) S/A</v>
          </cell>
        </row>
        <row r="4036">
          <cell r="B4036">
            <v>122413</v>
          </cell>
          <cell r="C4036" t="str">
            <v>BANCO SANTANDER (BRASIL) S/A</v>
          </cell>
          <cell r="D4036" t="str">
            <v>BANCO SANTANDER (BRASIL) S/A</v>
          </cell>
          <cell r="E4036" t="str">
            <v>BANCO SANTANDER (BRASIL) S/A</v>
          </cell>
        </row>
        <row r="4037">
          <cell r="B4037">
            <v>122414</v>
          </cell>
          <cell r="C4037" t="str">
            <v>BANCO SANTANDER (BRASIL) S/A</v>
          </cell>
          <cell r="D4037" t="str">
            <v>BANCO SANTANDER (BRASIL) S/A</v>
          </cell>
          <cell r="E4037" t="str">
            <v>BANCO SANTANDER (BRASIL) S/A</v>
          </cell>
        </row>
        <row r="4038">
          <cell r="B4038">
            <v>122415</v>
          </cell>
          <cell r="C4038" t="str">
            <v>BANCO SANTANDER (BRASIL) S/A</v>
          </cell>
          <cell r="D4038" t="str">
            <v>BANCO SANTANDER (BRASIL) S/A</v>
          </cell>
          <cell r="E4038" t="str">
            <v>BANCO SANTANDER (BRASIL) S/A</v>
          </cell>
        </row>
        <row r="4039">
          <cell r="B4039">
            <v>122416</v>
          </cell>
          <cell r="C4039" t="str">
            <v>BANCO SANTANDER (BRASIL) S/A</v>
          </cell>
          <cell r="D4039" t="str">
            <v>BANCO SANTANDER (BRASIL) S/A</v>
          </cell>
          <cell r="E4039" t="str">
            <v>BANCO SANTANDER (BRASIL) S/A</v>
          </cell>
        </row>
        <row r="4040">
          <cell r="B4040">
            <v>122417</v>
          </cell>
          <cell r="C4040" t="str">
            <v>BANCO SANTANDER (BRASIL) S/A</v>
          </cell>
          <cell r="D4040" t="str">
            <v>BANCO SANTANDER (BRASIL) S/A</v>
          </cell>
          <cell r="E4040" t="str">
            <v>BANCO SANTANDER (BRASIL) S/A</v>
          </cell>
        </row>
        <row r="4041">
          <cell r="B4041">
            <v>122418</v>
          </cell>
          <cell r="C4041" t="str">
            <v>BANCO SANTANDER (BRASIL) S/A</v>
          </cell>
          <cell r="D4041" t="str">
            <v>BANCO SANTANDER (BRASIL) S/A</v>
          </cell>
          <cell r="E4041" t="str">
            <v>BANCO SANTANDER (BRASIL) S/A</v>
          </cell>
        </row>
        <row r="4042">
          <cell r="B4042">
            <v>122419</v>
          </cell>
          <cell r="C4042" t="str">
            <v>BANCO SANTANDER (BRASIL) S/A</v>
          </cell>
          <cell r="D4042" t="str">
            <v>BANCO SANTANDER (BRASIL) S/A</v>
          </cell>
          <cell r="E4042" t="str">
            <v>BANCO SANTANDER (BRASIL) S/A</v>
          </cell>
        </row>
        <row r="4043">
          <cell r="B4043">
            <v>12241</v>
          </cell>
          <cell r="C4043" t="str">
            <v>FRAM CAPITAL GESTAO DE ATIVOS LTDA</v>
          </cell>
          <cell r="D4043" t="str">
            <v>FRAM CAPITAL GESTAO DE ATIVOS LTDA</v>
          </cell>
          <cell r="E4043" t="str">
            <v>FRAM CAPITAL GESTAO DE ATIVOS LTDA</v>
          </cell>
        </row>
        <row r="4044">
          <cell r="B4044">
            <v>122420</v>
          </cell>
          <cell r="C4044" t="str">
            <v>BANCO SANTANDER (BRASIL) S/A</v>
          </cell>
          <cell r="D4044" t="str">
            <v>BANCO SANTANDER (BRASIL) S/A</v>
          </cell>
          <cell r="E4044" t="str">
            <v>BANCO SANTANDER (BRASIL) S/A</v>
          </cell>
        </row>
        <row r="4045">
          <cell r="B4045">
            <v>122421</v>
          </cell>
          <cell r="C4045" t="str">
            <v>BANCO SANTANDER (BRASIL) S/A</v>
          </cell>
          <cell r="D4045" t="str">
            <v>BANCO SANTANDER (BRASIL) S/A</v>
          </cell>
          <cell r="E4045" t="str">
            <v>BANCO SANTANDER (BRASIL) S/A</v>
          </cell>
        </row>
        <row r="4046">
          <cell r="B4046">
            <v>122422</v>
          </cell>
          <cell r="C4046" t="str">
            <v>BANCO SANTANDER (BRASIL) S/A</v>
          </cell>
          <cell r="D4046" t="str">
            <v>BANCO SANTANDER (BRASIL) S/A</v>
          </cell>
          <cell r="E4046" t="str">
            <v>BANCO SANTANDER (BRASIL) S/A</v>
          </cell>
        </row>
        <row r="4047">
          <cell r="B4047">
            <v>122423</v>
          </cell>
          <cell r="C4047" t="str">
            <v>BANCO SANTANDER (BRASIL) S/A</v>
          </cell>
          <cell r="D4047" t="str">
            <v>BANCO SANTANDER (BRASIL) S/A</v>
          </cell>
          <cell r="E4047" t="str">
            <v>BANCO SANTANDER (BRASIL) S/A</v>
          </cell>
        </row>
        <row r="4048">
          <cell r="B4048">
            <v>122487</v>
          </cell>
          <cell r="C4048" t="str">
            <v>BANCO SANTANDER (BRASIL) S/A</v>
          </cell>
          <cell r="D4048" t="str">
            <v>BANCO SANTANDER (BRASIL) S/A</v>
          </cell>
          <cell r="E4048" t="str">
            <v>BANCO SANTANDER (BRASIL) S/A</v>
          </cell>
        </row>
        <row r="4049">
          <cell r="B4049">
            <v>122488</v>
          </cell>
          <cell r="C4049" t="str">
            <v>BANCO SANTANDER (BRASIL) S/A</v>
          </cell>
          <cell r="D4049" t="str">
            <v>BANCO SANTANDER (BRASIL) S/A</v>
          </cell>
          <cell r="E4049" t="str">
            <v>BANCO SANTANDER (BRASIL) S/A</v>
          </cell>
        </row>
        <row r="4050">
          <cell r="B4050">
            <v>122491</v>
          </cell>
          <cell r="C4050" t="str">
            <v>BANCO SANTANDER (BRASIL) S/A</v>
          </cell>
          <cell r="D4050" t="str">
            <v>BANCO SANTANDER (BRASIL) S/A</v>
          </cell>
          <cell r="E4050" t="str">
            <v>BANCO SANTANDER (BRASIL) S/A</v>
          </cell>
        </row>
        <row r="4051">
          <cell r="B4051">
            <v>122492</v>
          </cell>
          <cell r="C4051" t="str">
            <v>BANCO SANTANDER (BRASIL) S/A</v>
          </cell>
          <cell r="D4051" t="str">
            <v>BANCO SANTANDER (BRASIL) S/A</v>
          </cell>
          <cell r="E4051" t="str">
            <v>BANCO SANTANDER (BRASIL) S/A</v>
          </cell>
        </row>
        <row r="4052">
          <cell r="B4052">
            <v>122493</v>
          </cell>
          <cell r="C4052" t="str">
            <v>BANCO SANTANDER (BRASIL) S/A</v>
          </cell>
          <cell r="D4052" t="str">
            <v>BANCO SANTANDER (BRASIL) S/A</v>
          </cell>
          <cell r="E4052" t="str">
            <v>BANCO SANTANDER (BRASIL) S/A</v>
          </cell>
        </row>
        <row r="4053">
          <cell r="B4053">
            <v>122494</v>
          </cell>
          <cell r="C4053" t="str">
            <v>BANCO SANTANDER (BRASIL) S/A</v>
          </cell>
          <cell r="D4053" t="str">
            <v>BANCO SANTANDER (BRASIL) S/A</v>
          </cell>
          <cell r="E4053" t="str">
            <v>BANCO SANTANDER (BRASIL) S/A</v>
          </cell>
        </row>
        <row r="4054">
          <cell r="B4054">
            <v>12242</v>
          </cell>
          <cell r="C4054" t="str">
            <v>ITAU UNIBANCO S.A.</v>
          </cell>
          <cell r="D4054" t="str">
            <v>ITAU UNIBANCO S.A.</v>
          </cell>
          <cell r="E4054" t="str">
            <v>ITAU UNIBANCO S/A</v>
          </cell>
        </row>
        <row r="4055">
          <cell r="B4055">
            <v>122495</v>
          </cell>
          <cell r="C4055" t="str">
            <v>BANCO SANTANDER (BRASIL) S/A</v>
          </cell>
          <cell r="D4055" t="str">
            <v>BANCO SANTANDER (BRASIL) S/A</v>
          </cell>
          <cell r="E4055" t="str">
            <v>BANCO SANTANDER (BRASIL) S/A</v>
          </cell>
        </row>
        <row r="4056">
          <cell r="B4056">
            <v>122496</v>
          </cell>
          <cell r="C4056" t="str">
            <v>BANCO SANTANDER (BRASIL) S/A</v>
          </cell>
          <cell r="D4056" t="str">
            <v>BANCO SANTANDER (BRASIL) S/A</v>
          </cell>
          <cell r="E4056" t="str">
            <v>BANCO SANTANDER (BRASIL) S/A</v>
          </cell>
        </row>
        <row r="4057">
          <cell r="B4057">
            <v>122497</v>
          </cell>
          <cell r="C4057" t="str">
            <v>BANCO SANTANDER (BRASIL) S/A</v>
          </cell>
          <cell r="D4057" t="str">
            <v>BANCO SANTANDER (BRASIL) S/A</v>
          </cell>
          <cell r="E4057" t="str">
            <v>BANCO SANTANDER (BRASIL) S/A</v>
          </cell>
        </row>
        <row r="4058">
          <cell r="B4058">
            <v>122498</v>
          </cell>
          <cell r="C4058" t="str">
            <v>BANCO SANTANDER (BRASIL) S/A</v>
          </cell>
          <cell r="D4058" t="str">
            <v>BANCO SANTANDER (BRASIL) S/A</v>
          </cell>
          <cell r="E4058" t="str">
            <v>BANCO SANTANDER (BRASIL) S/A</v>
          </cell>
        </row>
        <row r="4059">
          <cell r="B4059">
            <v>122424</v>
          </cell>
          <cell r="C4059" t="str">
            <v>PARTNER FIA IE</v>
          </cell>
          <cell r="D4059" t="str">
            <v>PARTNER FIA IE</v>
          </cell>
          <cell r="E4059" t="str">
            <v>BC GESTAO DE RECURSOS LTDA</v>
          </cell>
        </row>
        <row r="4060">
          <cell r="B4060">
            <v>122425</v>
          </cell>
          <cell r="C4060" t="str">
            <v>VENTOR AÃ‡Ã•ES FIF EM AÃ‡Ã•ES RL</v>
          </cell>
          <cell r="D4060" t="str">
            <v>VENTOR AÃ‡Ã•ES FIF EM AÃ‡Ã•ES RL</v>
          </cell>
          <cell r="E4060" t="str">
            <v>VENTOR AÃ‡Ã•ES FIF EM AÃ‡Ã•ES RL</v>
          </cell>
        </row>
        <row r="4061">
          <cell r="B4061">
            <v>122428</v>
          </cell>
          <cell r="C4061" t="str">
            <v>META SMALL CAP FIA EXCLUSIVO</v>
          </cell>
          <cell r="D4061" t="str">
            <v>META SMALL CAP FIA EXCLUSIVO</v>
          </cell>
          <cell r="E4061" t="str">
            <v>META ASSET MANAGEMENT LTDA</v>
          </cell>
        </row>
        <row r="4062">
          <cell r="B4062">
            <v>122429</v>
          </cell>
          <cell r="C4062" t="str">
            <v>META PLUS FIM</v>
          </cell>
          <cell r="D4062" t="str">
            <v>META PLUS FIM</v>
          </cell>
          <cell r="E4062" t="str">
            <v>META ASSET MANAGEMENT LTDA</v>
          </cell>
        </row>
        <row r="4063">
          <cell r="B4063">
            <v>12243</v>
          </cell>
          <cell r="C4063" t="str">
            <v>MODAL ADMINISTRADORA DE RECURSOS SA</v>
          </cell>
          <cell r="D4063" t="str">
            <v>MODAL ADMINISTRADORA DE RECURSOS SA</v>
          </cell>
          <cell r="E4063" t="str">
            <v>MODAL ADMINISTRADORA DE RECURSOS SA</v>
          </cell>
        </row>
        <row r="4064">
          <cell r="B4064">
            <v>122430</v>
          </cell>
          <cell r="C4064" t="str">
            <v>META 11 FIA</v>
          </cell>
          <cell r="D4064" t="str">
            <v>META 11 FIA</v>
          </cell>
          <cell r="E4064" t="str">
            <v>META ASSET MANAGEMENT LTDA</v>
          </cell>
        </row>
        <row r="4065">
          <cell r="B4065">
            <v>122431</v>
          </cell>
          <cell r="C4065" t="str">
            <v>META INSTITUCIONAL SMALL CAP FIA</v>
          </cell>
          <cell r="D4065" t="str">
            <v>META INSTITUCIONAL SMALL CAP FIA</v>
          </cell>
          <cell r="E4065" t="str">
            <v>META ASSET MANAGEMENT LTDA</v>
          </cell>
        </row>
        <row r="4066">
          <cell r="B4066">
            <v>122432</v>
          </cell>
          <cell r="C4066" t="str">
            <v>META VALOR FIA</v>
          </cell>
          <cell r="D4066" t="str">
            <v>META VALOR FIA</v>
          </cell>
          <cell r="E4066" t="str">
            <v>META ASSET MANAGEMENT LTDA</v>
          </cell>
        </row>
        <row r="4067">
          <cell r="B4067">
            <v>122433</v>
          </cell>
          <cell r="C4067" t="str">
            <v>MAUA CREDIT OPPORTUNITIES FIM CP INVEST EXTERIOR</v>
          </cell>
          <cell r="D4067" t="str">
            <v>MAUA CREDIT OPPORTUNITIES FIM CP INVEST EXTERIOR</v>
          </cell>
          <cell r="E4067" t="str">
            <v>MAUA INVESTIMENTOS LTDA</v>
          </cell>
        </row>
        <row r="4068">
          <cell r="B4068">
            <v>122434</v>
          </cell>
          <cell r="C4068" t="str">
            <v>MAUA EMPRESAS MASTER FIA</v>
          </cell>
          <cell r="D4068" t="str">
            <v>MAUA EMPRESAS MASTER FIA</v>
          </cell>
          <cell r="E4068" t="str">
            <v>MAUA INVESTIMENTOS LTDA</v>
          </cell>
        </row>
        <row r="4069">
          <cell r="B4069">
            <v>122435</v>
          </cell>
          <cell r="C4069" t="str">
            <v>MAUA MACRO FIM</v>
          </cell>
          <cell r="D4069" t="str">
            <v>MAUA MACRO FIM</v>
          </cell>
          <cell r="E4069" t="str">
            <v>MAUA MACRO FIM</v>
          </cell>
        </row>
        <row r="4070">
          <cell r="B4070">
            <v>122436</v>
          </cell>
          <cell r="C4070" t="str">
            <v>FX FIM CP IE</v>
          </cell>
          <cell r="D4070" t="str">
            <v>FX FIM CP IE</v>
          </cell>
          <cell r="E4070" t="str">
            <v>FX FIM CP IE</v>
          </cell>
        </row>
        <row r="4071">
          <cell r="B4071">
            <v>122438</v>
          </cell>
          <cell r="C4071" t="str">
            <v>MAUA ARBITRAGEM MASTER FIM</v>
          </cell>
          <cell r="D4071" t="str">
            <v>MAUA ARBITRAGEM MASTER FIM</v>
          </cell>
          <cell r="E4071" t="str">
            <v>MAUA INVESTIMENTOS LTDA</v>
          </cell>
        </row>
        <row r="4072">
          <cell r="B4072">
            <v>122439</v>
          </cell>
          <cell r="C4072" t="str">
            <v>MSK RUBI MULTIMERCADO FI</v>
          </cell>
          <cell r="D4072" t="str">
            <v>MSK RUBI MULTIMERCADO FI</v>
          </cell>
          <cell r="E4072" t="str">
            <v>MAUA INVESTIMENTOS LTDA</v>
          </cell>
        </row>
        <row r="4073">
          <cell r="B4073">
            <v>12244</v>
          </cell>
          <cell r="C4073" t="str">
            <v>KINEA INVESTIMENTOS LTDA</v>
          </cell>
          <cell r="D4073" t="str">
            <v>KINEA INVESTIMENTOS LTDA</v>
          </cell>
          <cell r="E4073" t="str">
            <v>KINEA INVESTIMENTOS LTDA</v>
          </cell>
        </row>
        <row r="4074">
          <cell r="B4074">
            <v>122440</v>
          </cell>
          <cell r="C4074" t="str">
            <v>BARCLAYS CAPITAL SECURITIES LIMITED A/C SYNTHETIC</v>
          </cell>
          <cell r="D4074" t="str">
            <v>BARCLAYS CAPITAL SECURITIES LIMITED A/C SYNTHETIC</v>
          </cell>
          <cell r="E4074" t="str">
            <v>BARCLAYS CAPITAL SECURITIES LIMITED A/C SYNTHETIC</v>
          </cell>
        </row>
        <row r="4075">
          <cell r="B4075">
            <v>122441</v>
          </cell>
          <cell r="C4075" t="str">
            <v>KONDOR ITAIM MASTER CASH FUNDO DE INVESTIMENTO MULTIMERCADO</v>
          </cell>
          <cell r="D4075" t="str">
            <v>KONDOR ITAIM MASTER CASH FUNDO DE INVESTIMENTO MULTIMERCADO</v>
          </cell>
          <cell r="E4075" t="str">
            <v>KONDOR ADMINISTRADORA E GESTORA DE RECURSOS FINANCEIROS LTDA</v>
          </cell>
        </row>
        <row r="4076">
          <cell r="B4076">
            <v>122442</v>
          </cell>
          <cell r="C4076" t="str">
            <v>KONDOR MASTER FIF CL MULT RL</v>
          </cell>
          <cell r="D4076" t="str">
            <v>KONDOR MASTER FIF CL MULT RL</v>
          </cell>
          <cell r="E4076" t="str">
            <v>KONDOR ADMINISTRADORA E GESTORA DE RECURSOS FINANCEIROS LTDA</v>
          </cell>
        </row>
        <row r="4077">
          <cell r="B4077">
            <v>122443</v>
          </cell>
          <cell r="C4077" t="str">
            <v>KONDOR LONG SHORT FIM</v>
          </cell>
          <cell r="D4077" t="str">
            <v>KONDOR LONG SHORT FIM</v>
          </cell>
          <cell r="E4077" t="str">
            <v>KONDOR ADMINISTRADORA E GESTORA DE RECURSOS FINANCEIROS LTDA</v>
          </cell>
        </row>
        <row r="4078">
          <cell r="B4078">
            <v>122444</v>
          </cell>
          <cell r="C4078" t="str">
            <v>KONDOR INSTITUCIONAL SMALL CAP FIA EXCLUSIVO</v>
          </cell>
          <cell r="D4078" t="str">
            <v>KONDOR INSTITUCIONAL SMALL CAP FIA EXCLUSIVO</v>
          </cell>
          <cell r="E4078" t="str">
            <v>KONDOR ADMINISTRADORA E GESTORA DE RECURSOS FINANCEIROS LTDA</v>
          </cell>
        </row>
        <row r="4079">
          <cell r="B4079">
            <v>122445</v>
          </cell>
          <cell r="C4079" t="str">
            <v>KONDOR EQUITY FIA</v>
          </cell>
          <cell r="D4079" t="str">
            <v>KONDOR EQUITY FIA</v>
          </cell>
          <cell r="E4079" t="str">
            <v>KONDOR ADMINISTRADORA E GESTORA DE RECURSOS FINANCEIROS LTDA</v>
          </cell>
        </row>
        <row r="4080">
          <cell r="B4080">
            <v>122446</v>
          </cell>
          <cell r="C4080" t="str">
            <v>KONDOR LLC</v>
          </cell>
          <cell r="D4080" t="str">
            <v>KONDOR LLC</v>
          </cell>
          <cell r="E4080" t="str">
            <v>KONDOR ADMINISTRADORA E GESTORA DE RECURSOS FINANCEIROS LTDA</v>
          </cell>
        </row>
        <row r="4081">
          <cell r="B4081">
            <v>122447</v>
          </cell>
          <cell r="C4081" t="str">
            <v>EQUILIBRIUM INVESTMENTS LLC</v>
          </cell>
          <cell r="D4081" t="str">
            <v>EQUILIBRIUM INVESTMENTS LLC</v>
          </cell>
          <cell r="E4081" t="str">
            <v>KONDOR ADMINISTRADORA E GESTORA DE RECURSOS FINANCEIROS LTDA</v>
          </cell>
        </row>
        <row r="4082">
          <cell r="B4082">
            <v>122448</v>
          </cell>
          <cell r="C4082" t="str">
            <v>MARACUJA FIM CP IE</v>
          </cell>
          <cell r="D4082" t="str">
            <v>MARACUJA FIM CP IE</v>
          </cell>
          <cell r="E4082" t="str">
            <v>MARACUJA FIM CP IE</v>
          </cell>
        </row>
        <row r="4083">
          <cell r="B4083">
            <v>122449</v>
          </cell>
          <cell r="C4083" t="str">
            <v>LJB FIM IE</v>
          </cell>
          <cell r="D4083" t="str">
            <v>LJB FIM IE</v>
          </cell>
          <cell r="E4083" t="str">
            <v>LJB FIM IE</v>
          </cell>
        </row>
        <row r="4084">
          <cell r="B4084">
            <v>12245</v>
          </cell>
          <cell r="C4084" t="str">
            <v>PATRIA INVESTIMENTOS LTDA</v>
          </cell>
          <cell r="D4084" t="str">
            <v>PATRIA INVESTIMENTOS LTDA</v>
          </cell>
          <cell r="E4084" t="str">
            <v>PATRIA INVESTIMENTOS LTDA</v>
          </cell>
        </row>
        <row r="4085">
          <cell r="B4085">
            <v>122450</v>
          </cell>
          <cell r="C4085" t="str">
            <v>RJPT FIM IE CP</v>
          </cell>
          <cell r="D4085" t="str">
            <v>RJPT FIM IE CP</v>
          </cell>
          <cell r="E4085" t="str">
            <v>RJPT FIM IE CP</v>
          </cell>
        </row>
        <row r="4086">
          <cell r="B4086">
            <v>122451</v>
          </cell>
          <cell r="C4086" t="str">
            <v>PROSPERIDADE FIM IE CP</v>
          </cell>
          <cell r="D4086" t="str">
            <v>PROSPERIDADE FIM IE CP</v>
          </cell>
          <cell r="E4086" t="str">
            <v>PROSPERIDADE FIM IE CP</v>
          </cell>
        </row>
        <row r="4087">
          <cell r="B4087">
            <v>122452</v>
          </cell>
          <cell r="C4087" t="str">
            <v>TRAIRAO FIM</v>
          </cell>
          <cell r="D4087" t="str">
            <v>TRAIRAO FIM</v>
          </cell>
          <cell r="E4087" t="str">
            <v>TRAIRAO FIM</v>
          </cell>
        </row>
        <row r="4088">
          <cell r="B4088">
            <v>122453</v>
          </cell>
          <cell r="C4088" t="str">
            <v>BARONEZA II FIM CP</v>
          </cell>
          <cell r="D4088" t="str">
            <v>BARONEZA II FIM CP</v>
          </cell>
          <cell r="E4088" t="str">
            <v>BARONEZA II FIM CP</v>
          </cell>
        </row>
        <row r="4089">
          <cell r="B4089">
            <v>122454</v>
          </cell>
          <cell r="C4089" t="str">
            <v>ALTIS FIM CP</v>
          </cell>
          <cell r="D4089" t="str">
            <v>ALTIS FIM CP</v>
          </cell>
          <cell r="E4089" t="str">
            <v>ALTIS FIM CP</v>
          </cell>
        </row>
        <row r="4090">
          <cell r="B4090">
            <v>122455</v>
          </cell>
          <cell r="C4090" t="str">
            <v>REDFLOWER FIM CP</v>
          </cell>
          <cell r="D4090" t="str">
            <v>REDFLOWER FIM CP</v>
          </cell>
          <cell r="E4090" t="str">
            <v>REDFLOWER FIM CP</v>
          </cell>
        </row>
        <row r="4091">
          <cell r="B4091">
            <v>122456</v>
          </cell>
          <cell r="C4091" t="str">
            <v>ROMA JURO REAL FIM CP</v>
          </cell>
          <cell r="D4091" t="str">
            <v>ROMA JURO REAL FIM CP</v>
          </cell>
          <cell r="E4091" t="str">
            <v>ROMA JURO REAL FIM CP</v>
          </cell>
        </row>
        <row r="4092">
          <cell r="B4092">
            <v>122457</v>
          </cell>
          <cell r="C4092" t="str">
            <v>JURO REAL FI RENDA FIXA CP</v>
          </cell>
          <cell r="D4092" t="str">
            <v>JURO REAL FI RENDA FIXA CP</v>
          </cell>
          <cell r="E4092" t="str">
            <v>JURO REAL FI RENDA FIXA CP</v>
          </cell>
        </row>
        <row r="4093">
          <cell r="B4093">
            <v>122458</v>
          </cell>
          <cell r="C4093" t="str">
            <v>DELTA FIM CP IE</v>
          </cell>
          <cell r="D4093" t="str">
            <v>DELTA FIM CP IE</v>
          </cell>
          <cell r="E4093" t="str">
            <v>JGP GESTAO PATRIMONIAL LTDA</v>
          </cell>
        </row>
        <row r="4094">
          <cell r="B4094">
            <v>122459</v>
          </cell>
          <cell r="C4094" t="str">
            <v>SIGMA FIM CP IE</v>
          </cell>
          <cell r="D4094" t="str">
            <v>SIGMA FIM CP IE</v>
          </cell>
          <cell r="E4094" t="str">
            <v>SIGMA FIM CP IE</v>
          </cell>
        </row>
        <row r="4095">
          <cell r="B4095">
            <v>12246</v>
          </cell>
          <cell r="C4095" t="str">
            <v>FOCUS ASSESSORIA EM INVESTIMENTOS LTDA</v>
          </cell>
          <cell r="D4095" t="str">
            <v>FOCUS ASSESSORIA EM INVESTIMENTOS LTDA</v>
          </cell>
          <cell r="E4095" t="str">
            <v>FOCUS ASSESSORIA EM INVESTIMENTOS LTDA</v>
          </cell>
        </row>
        <row r="4096">
          <cell r="B4096">
            <v>122460</v>
          </cell>
          <cell r="C4096" t="str">
            <v>OMEGA - FIM CP INVESTIMENTO NO EXTERIOR</v>
          </cell>
          <cell r="D4096" t="str">
            <v>OMEGA - FIM CP INVESTIMENTO NO EXTERIOR</v>
          </cell>
          <cell r="E4096" t="str">
            <v>OMEGA - FIM CP INVESTIMENTO NO EXTERIOR</v>
          </cell>
        </row>
        <row r="4097">
          <cell r="B4097">
            <v>122461</v>
          </cell>
          <cell r="C4097" t="str">
            <v>FIM CP PROPRIETARIO 11 IE</v>
          </cell>
          <cell r="D4097" t="str">
            <v>FIM CP PROPRIETARIO 11 IE</v>
          </cell>
          <cell r="E4097" t="str">
            <v>VINCI GESTORA DE RECURSOS LTDA</v>
          </cell>
        </row>
        <row r="4098">
          <cell r="B4098">
            <v>122462</v>
          </cell>
          <cell r="C4098" t="str">
            <v>FIM CP PROPRIETARIO 8 IE</v>
          </cell>
          <cell r="D4098" t="str">
            <v>FIM CP PROPRIETARIO 8 IE</v>
          </cell>
          <cell r="E4098" t="str">
            <v>VINCI GESTORA DE RECURSOS LTDA</v>
          </cell>
        </row>
        <row r="4099">
          <cell r="B4099">
            <v>122463</v>
          </cell>
          <cell r="C4099" t="str">
            <v>FIA MG IE</v>
          </cell>
          <cell r="D4099" t="str">
            <v>FIA MG IE</v>
          </cell>
          <cell r="E4099" t="str">
            <v>VINCI GESTORA DE RECURSOS LTDA</v>
          </cell>
        </row>
        <row r="4100">
          <cell r="B4100">
            <v>122464</v>
          </cell>
          <cell r="C4100" t="str">
            <v>FIM CP PROPRIETARIO 1 IE</v>
          </cell>
          <cell r="D4100" t="str">
            <v>FIM CP PROPRIETARIO 1 IE</v>
          </cell>
          <cell r="E4100" t="str">
            <v>VINCI GESTORA DE RECURSOS LTDA</v>
          </cell>
        </row>
        <row r="4101">
          <cell r="B4101">
            <v>122465</v>
          </cell>
          <cell r="C4101" t="str">
            <v>FIM CP PROPRIETARIO 2 IE</v>
          </cell>
          <cell r="D4101" t="str">
            <v>FIM CP PROPRIETARIO 2 IE</v>
          </cell>
          <cell r="E4101" t="str">
            <v>VINCI GESTORA DE RECURSOS LTDA</v>
          </cell>
        </row>
        <row r="4102">
          <cell r="B4102">
            <v>122466</v>
          </cell>
          <cell r="C4102" t="str">
            <v>FIM CP PROPRIETARIO 3 IE</v>
          </cell>
          <cell r="D4102" t="str">
            <v>FIM CP PROPRIETARIO 3 IE</v>
          </cell>
          <cell r="E4102" t="str">
            <v>VINCI GESTORA DE RECURSOS LTDA</v>
          </cell>
        </row>
        <row r="4103">
          <cell r="B4103">
            <v>122467</v>
          </cell>
          <cell r="C4103" t="str">
            <v>FIM CP PROPRIETARIO 5 IE</v>
          </cell>
          <cell r="D4103" t="str">
            <v>FIM CP PROPRIETARIO 5 IE</v>
          </cell>
          <cell r="E4103" t="str">
            <v>VINCI GESTORA DE RECURSOS LTDA</v>
          </cell>
        </row>
        <row r="4104">
          <cell r="B4104">
            <v>122468</v>
          </cell>
          <cell r="C4104" t="str">
            <v>FIM CP PROPRIETARIO 12 IE</v>
          </cell>
          <cell r="D4104" t="str">
            <v>FIM CP PROPRIETARIO 12 IE</v>
          </cell>
          <cell r="E4104" t="str">
            <v>VINCI GESTORA DE RECURSOS LTDA</v>
          </cell>
        </row>
        <row r="4105">
          <cell r="B4105">
            <v>122469</v>
          </cell>
          <cell r="C4105" t="str">
            <v>FIM CP 3AX - IE</v>
          </cell>
          <cell r="D4105" t="str">
            <v>FIM CP 3AX - IE</v>
          </cell>
          <cell r="E4105" t="str">
            <v>VINCI GESTORA DE RECURSOS LTDA</v>
          </cell>
        </row>
        <row r="4106">
          <cell r="B4106">
            <v>12247</v>
          </cell>
          <cell r="C4106" t="str">
            <v>PLURAL GESTAO DE RECURSOS LTDA</v>
          </cell>
          <cell r="D4106" t="str">
            <v>PLURAL GESTAO DE RECURSOS LTDA</v>
          </cell>
          <cell r="E4106" t="str">
            <v>PLURAL GESTÃO DE RECURSOS LTDA</v>
          </cell>
        </row>
        <row r="4107">
          <cell r="B4107">
            <v>122470</v>
          </cell>
          <cell r="C4107" t="str">
            <v>FIM CREDITO PRIVADO ANGEL IE</v>
          </cell>
          <cell r="D4107" t="str">
            <v>FIM CREDITO PRIVADO ANGEL IE</v>
          </cell>
          <cell r="E4107" t="str">
            <v>VINCI GESTORA DE RECURSOS LTDA</v>
          </cell>
        </row>
        <row r="4108">
          <cell r="B4108">
            <v>122471</v>
          </cell>
          <cell r="C4108" t="str">
            <v>FIM CP PROPRIETARIO 16 IE</v>
          </cell>
          <cell r="D4108" t="str">
            <v>FIM CP PROPRIETARIO 16 IE</v>
          </cell>
          <cell r="E4108" t="str">
            <v>VINCI GESTORA DE RECURSOS LTDA</v>
          </cell>
        </row>
        <row r="4109">
          <cell r="B4109">
            <v>122472</v>
          </cell>
          <cell r="C4109" t="str">
            <v>FIM CP PROPRIETARIO 17 IE</v>
          </cell>
          <cell r="D4109" t="str">
            <v>FIM CP PROPRIETARIO 17 IE</v>
          </cell>
          <cell r="E4109" t="str">
            <v>VINCI GESTORA DE RECURSOS LTDA</v>
          </cell>
        </row>
        <row r="4110">
          <cell r="B4110">
            <v>122473</v>
          </cell>
          <cell r="C4110" t="str">
            <v>FIM CP BAZAP IE</v>
          </cell>
          <cell r="D4110" t="str">
            <v>FIM CP BAZAP IE</v>
          </cell>
          <cell r="E4110" t="str">
            <v>VINCI GESTORA DE RECURSOS LTDA</v>
          </cell>
        </row>
        <row r="4111">
          <cell r="B4111">
            <v>122474</v>
          </cell>
          <cell r="C4111" t="str">
            <v>MTAK 2 FIM CP - IE</v>
          </cell>
          <cell r="D4111" t="str">
            <v>MTAK 2 FIM CP - IE</v>
          </cell>
          <cell r="E4111" t="str">
            <v>VINCI GESTORA DE RECURSOS LTDA</v>
          </cell>
        </row>
        <row r="4112">
          <cell r="B4112">
            <v>122475</v>
          </cell>
          <cell r="C4112" t="str">
            <v>GRANADA FIM</v>
          </cell>
          <cell r="D4112" t="str">
            <v>GRANADA FIM</v>
          </cell>
          <cell r="E4112" t="str">
            <v>LAPB GESTAO DE RECURSOS FINANCEIROS LTDA ( ANTIGO MCAP)</v>
          </cell>
        </row>
        <row r="4113">
          <cell r="B4113">
            <v>122476</v>
          </cell>
          <cell r="C4113" t="str">
            <v>MCAP MACH FIM</v>
          </cell>
          <cell r="D4113" t="str">
            <v>MCAP MACH FIM</v>
          </cell>
          <cell r="E4113" t="str">
            <v>LAPB GESTAO DE RECURSOS FINANCEIROS LTDA ( ANTIGO MCAP)</v>
          </cell>
        </row>
        <row r="4114">
          <cell r="B4114">
            <v>122477</v>
          </cell>
          <cell r="C4114" t="str">
            <v>MCAP VIRTUS FIA</v>
          </cell>
          <cell r="D4114" t="str">
            <v>MCAP VIRTUS FIA</v>
          </cell>
          <cell r="E4114" t="str">
            <v>LAPB GESTAO DE RECURSOS FINANCEIROS LTDA ( ANTIGO MCAP)</v>
          </cell>
        </row>
        <row r="4115">
          <cell r="B4115">
            <v>122478</v>
          </cell>
          <cell r="C4115" t="str">
            <v>ALASKA RANGE FIM</v>
          </cell>
          <cell r="D4115" t="str">
            <v>ALASKA RANGE FIM</v>
          </cell>
          <cell r="E4115" t="str">
            <v>ALASKA INVESTIMENTOS LTDA</v>
          </cell>
        </row>
        <row r="4116">
          <cell r="B4116">
            <v>122479</v>
          </cell>
          <cell r="C4116" t="str">
            <v>MCAP MACH MASTER FEEDER FIM</v>
          </cell>
          <cell r="D4116" t="str">
            <v>MCAP MACH MASTER FEEDER FIM</v>
          </cell>
          <cell r="E4116" t="str">
            <v>LAPB GESTAO DE RECURSOS FINANCEIROS LTDA ( ANTIGO MCAP)</v>
          </cell>
        </row>
        <row r="4117">
          <cell r="B4117">
            <v>12248</v>
          </cell>
          <cell r="C4117" t="str">
            <v>ITAU UNIBANCO S.A.</v>
          </cell>
          <cell r="D4117" t="str">
            <v>ITAU UNIBANCO S.A.</v>
          </cell>
          <cell r="E4117" t="str">
            <v>ITAU UNIBANCO S/A</v>
          </cell>
        </row>
        <row r="4118">
          <cell r="B4118">
            <v>123884</v>
          </cell>
          <cell r="C4118" t="str">
            <v>BRASIL PLURAL IRAI FIM</v>
          </cell>
          <cell r="D4118" t="str">
            <v>BRASIL PLURAL IRAI FIM</v>
          </cell>
          <cell r="E4118" t="str">
            <v>BRASIL PLURAL IRAI FIM</v>
          </cell>
        </row>
        <row r="4119">
          <cell r="B4119">
            <v>122481</v>
          </cell>
          <cell r="C4119" t="str">
            <v>FIM CP IE PROPRIETARIO 9</v>
          </cell>
          <cell r="D4119" t="str">
            <v>FIM CP IE PROPRIETARIO 9</v>
          </cell>
          <cell r="E4119" t="str">
            <v>VINCI GESTORA DE RECURSOS LTDA</v>
          </cell>
        </row>
        <row r="4120">
          <cell r="B4120">
            <v>122482</v>
          </cell>
          <cell r="C4120" t="str">
            <v>BROOKFIELD IMA-B ATIVO FI RF</v>
          </cell>
          <cell r="D4120" t="str">
            <v>BROOKFIELD IMA-B ATIVO FI RF</v>
          </cell>
          <cell r="E4120" t="str">
            <v>BROOKFIELD GESTÃƒO DE ATIVOS LTDA</v>
          </cell>
        </row>
        <row r="4121">
          <cell r="B4121">
            <v>122483</v>
          </cell>
          <cell r="C4121" t="str">
            <v>BROOKFIELD HEDGE INSTITUCIONAL FIM</v>
          </cell>
          <cell r="D4121" t="str">
            <v>BROOKFIELD HEDGE INSTITUCIONAL FIM</v>
          </cell>
          <cell r="E4121" t="str">
            <v>BROOKFIELD GESTÃƒO DE ATIVOS LTDA</v>
          </cell>
        </row>
        <row r="4122">
          <cell r="B4122">
            <v>122484</v>
          </cell>
          <cell r="C4122" t="str">
            <v>BB GESTAO DE RECURSOS DTVM LTDA</v>
          </cell>
          <cell r="D4122" t="str">
            <v>BB GESTAO DE RECURSOS DTVM LTDA</v>
          </cell>
          <cell r="E4122" t="str">
            <v>BB GESTAO DE RECURSOS DTVM LTDA</v>
          </cell>
        </row>
        <row r="4123">
          <cell r="B4123">
            <v>122485</v>
          </cell>
          <cell r="C4123" t="str">
            <v>SOBE FIM CP INVESTIMENTO EXTERIOR</v>
          </cell>
          <cell r="D4123" t="str">
            <v>SOBE FIM CP INVESTIMENTO EXTERIOR</v>
          </cell>
          <cell r="E4123" t="str">
            <v>VINCI GESTORA DE RECURSOS LTDA</v>
          </cell>
        </row>
        <row r="4124">
          <cell r="B4124">
            <v>122486</v>
          </cell>
          <cell r="C4124" t="str">
            <v>KINEA I SISTEMATICO MULTIMERCADO FI</v>
          </cell>
          <cell r="D4124" t="str">
            <v>KINEA I SISTEMATICO MULTIMERCADO FI</v>
          </cell>
          <cell r="E4124" t="str">
            <v>KINEA I SISTEMATICO MULTIMERCADO FI</v>
          </cell>
        </row>
        <row r="4125">
          <cell r="B4125">
            <v>122499</v>
          </cell>
          <cell r="C4125" t="str">
            <v>BANCO SANTANDER (BRASIL) S/A</v>
          </cell>
          <cell r="D4125" t="str">
            <v>BANCO SANTANDER (BRASIL) S/A</v>
          </cell>
          <cell r="E4125" t="str">
            <v>BANCO SANTANDER (BRASIL) S/A</v>
          </cell>
        </row>
        <row r="4126">
          <cell r="B4126">
            <v>122500</v>
          </cell>
          <cell r="C4126" t="str">
            <v>BANCO SANTANDER (BRASIL) S/A</v>
          </cell>
          <cell r="D4126" t="str">
            <v>BANCO SANTANDER (BRASIL) S/A</v>
          </cell>
          <cell r="E4126" t="str">
            <v>BANCO SANTANDER (BRASIL) S/A</v>
          </cell>
        </row>
        <row r="4127">
          <cell r="B4127">
            <v>122489</v>
          </cell>
          <cell r="C4127" t="str">
            <v>MORGAN STANLEY CTVM S/A</v>
          </cell>
          <cell r="D4127" t="str">
            <v>MORGAN STANLEY CTVM S/A</v>
          </cell>
          <cell r="E4127" t="str">
            <v>MORGAN STANLEY CTVM S/A</v>
          </cell>
        </row>
        <row r="4128">
          <cell r="B4128">
            <v>12249</v>
          </cell>
          <cell r="C4128" t="str">
            <v>ITAU UNIBANCO S.A.</v>
          </cell>
          <cell r="D4128" t="str">
            <v>ITAU UNIBANCO S.A.</v>
          </cell>
          <cell r="E4128" t="str">
            <v>ITAU UNIBANCO S/A</v>
          </cell>
        </row>
        <row r="4129">
          <cell r="B4129">
            <v>122490</v>
          </cell>
          <cell r="C4129" t="str">
            <v>BB GESTAO DE RECURSOS DTVM LTDA</v>
          </cell>
          <cell r="D4129" t="str">
            <v>BB GESTAO DE RECURSOS DTVM LTDA</v>
          </cell>
          <cell r="E4129" t="str">
            <v>BB GESTAO DE RECURSOS DTVM LTDA</v>
          </cell>
        </row>
        <row r="4130">
          <cell r="B4130">
            <v>122501</v>
          </cell>
          <cell r="C4130" t="str">
            <v>BANCO SANTANDER (BRASIL) S/A</v>
          </cell>
          <cell r="D4130" t="str">
            <v>BANCO SANTANDER (BRASIL) S/A</v>
          </cell>
          <cell r="E4130" t="str">
            <v>BANCO SANTANDER (BRASIL) S/A</v>
          </cell>
        </row>
        <row r="4131">
          <cell r="B4131">
            <v>122502</v>
          </cell>
          <cell r="C4131" t="str">
            <v>BANCO SANTANDER (BRASIL) S/A</v>
          </cell>
          <cell r="D4131" t="str">
            <v>BANCO SANTANDER (BRASIL) S/A</v>
          </cell>
          <cell r="E4131" t="str">
            <v>BANCO SANTANDER (BRASIL) S/A</v>
          </cell>
        </row>
        <row r="4132">
          <cell r="B4132">
            <v>122503</v>
          </cell>
          <cell r="C4132" t="str">
            <v>BANCO SANTANDER (BRASIL) S/A</v>
          </cell>
          <cell r="D4132" t="str">
            <v>BANCO SANTANDER (BRASIL) S/A</v>
          </cell>
          <cell r="E4132" t="str">
            <v>BANCO SANTANDER (BRASIL) S/A</v>
          </cell>
        </row>
        <row r="4133">
          <cell r="B4133">
            <v>122504</v>
          </cell>
          <cell r="C4133" t="str">
            <v>BANCO SANTANDER (BRASIL) S/A</v>
          </cell>
          <cell r="D4133" t="str">
            <v>BANCO SANTANDER (BRASIL) S/A</v>
          </cell>
          <cell r="E4133" t="str">
            <v>BANCO SANTANDER (BRASIL) S/A</v>
          </cell>
        </row>
        <row r="4134">
          <cell r="B4134">
            <v>122505</v>
          </cell>
          <cell r="C4134" t="str">
            <v>BANCO SANTANDER (BRASIL) S/A</v>
          </cell>
          <cell r="D4134" t="str">
            <v>BANCO SANTANDER (BRASIL) S/A</v>
          </cell>
          <cell r="E4134" t="str">
            <v>BANCO SANTANDER (BRASIL) S/A</v>
          </cell>
        </row>
        <row r="4135">
          <cell r="B4135">
            <v>122506</v>
          </cell>
          <cell r="C4135" t="str">
            <v>BANCO SANTANDER (BRASIL) S/A</v>
          </cell>
          <cell r="D4135" t="str">
            <v>BANCO SANTANDER (BRASIL) S/A</v>
          </cell>
          <cell r="E4135" t="str">
            <v>BANCO SANTANDER (BRASIL) S/A</v>
          </cell>
        </row>
        <row r="4136">
          <cell r="B4136">
            <v>122507</v>
          </cell>
          <cell r="C4136" t="str">
            <v>BANCO SANTANDER (BRASIL) S/A</v>
          </cell>
          <cell r="D4136" t="str">
            <v>BANCO SANTANDER (BRASIL) S/A</v>
          </cell>
          <cell r="E4136" t="str">
            <v>BANCO SANTANDER (BRASIL) S/A</v>
          </cell>
        </row>
        <row r="4137">
          <cell r="B4137">
            <v>122508</v>
          </cell>
          <cell r="C4137" t="str">
            <v>BANCO SANTANDER (BRASIL) S/A</v>
          </cell>
          <cell r="D4137" t="str">
            <v>BANCO SANTANDER (BRASIL) S/A</v>
          </cell>
          <cell r="E4137" t="str">
            <v>BANCO SANTANDER (BRASIL) S/A</v>
          </cell>
        </row>
        <row r="4138">
          <cell r="B4138">
            <v>122509</v>
          </cell>
          <cell r="C4138" t="str">
            <v>BANCO SANTANDER (BRASIL) S/A</v>
          </cell>
          <cell r="D4138" t="str">
            <v>BANCO SANTANDER (BRASIL) S/A</v>
          </cell>
          <cell r="E4138" t="str">
            <v>BANCO SANTANDER (BRASIL) S/A</v>
          </cell>
        </row>
        <row r="4139">
          <cell r="B4139">
            <v>12250</v>
          </cell>
          <cell r="C4139" t="str">
            <v>A3 PERFORMANCE GESTAO DE RECURSOS LTDA</v>
          </cell>
          <cell r="D4139" t="str">
            <v>A3 PERFORMANCE GESTAO DE RECURSOS LTDA</v>
          </cell>
          <cell r="E4139" t="str">
            <v>A3 PERFORMANCE GESTAO DE RECURSOS LTDA</v>
          </cell>
        </row>
        <row r="4140">
          <cell r="B4140">
            <v>122510</v>
          </cell>
          <cell r="C4140" t="str">
            <v>BANCO SANTANDER (BRASIL) S/A</v>
          </cell>
          <cell r="D4140" t="str">
            <v>BANCO SANTANDER (BRASIL) S/A</v>
          </cell>
          <cell r="E4140" t="str">
            <v>BANCO SANTANDER (BRASIL) S/A</v>
          </cell>
        </row>
        <row r="4141">
          <cell r="B4141">
            <v>122511</v>
          </cell>
          <cell r="C4141" t="str">
            <v>BANCO SANTANDER (BRASIL) S/A</v>
          </cell>
          <cell r="D4141" t="str">
            <v>BANCO SANTANDER (BRASIL) S/A</v>
          </cell>
          <cell r="E4141" t="str">
            <v>BANCO SANTANDER (BRASIL) S/A</v>
          </cell>
        </row>
        <row r="4142">
          <cell r="B4142">
            <v>122512</v>
          </cell>
          <cell r="C4142" t="str">
            <v>BANCO SANTANDER (BRASIL) S/A</v>
          </cell>
          <cell r="D4142" t="str">
            <v>BANCO SANTANDER (BRASIL) S/A</v>
          </cell>
          <cell r="E4142" t="str">
            <v>BANCO SANTANDER (BRASIL) S/A</v>
          </cell>
        </row>
        <row r="4143">
          <cell r="B4143">
            <v>122513</v>
          </cell>
          <cell r="C4143" t="str">
            <v>BANCO SANTANDER (BRASIL) S/A</v>
          </cell>
          <cell r="D4143" t="str">
            <v>BANCO SANTANDER (BRASIL) S/A</v>
          </cell>
          <cell r="E4143" t="str">
            <v>BANCO SANTANDER (BRASIL) S/A</v>
          </cell>
        </row>
        <row r="4144">
          <cell r="B4144">
            <v>122514</v>
          </cell>
          <cell r="C4144" t="str">
            <v>BANCO SANTANDER (BRASIL) S/A</v>
          </cell>
          <cell r="D4144" t="str">
            <v>BANCO SANTANDER (BRASIL) S/A</v>
          </cell>
          <cell r="E4144" t="str">
            <v>BANCO SANTANDER (BRASIL) S/A</v>
          </cell>
        </row>
        <row r="4145">
          <cell r="B4145">
            <v>122515</v>
          </cell>
          <cell r="C4145" t="str">
            <v>BANCO SANTANDER (BRASIL) S/A</v>
          </cell>
          <cell r="D4145" t="str">
            <v>BANCO SANTANDER (BRASIL) S/A</v>
          </cell>
          <cell r="E4145" t="str">
            <v>BANCO SANTANDER (BRASIL) S/A</v>
          </cell>
        </row>
        <row r="4146">
          <cell r="B4146">
            <v>122516</v>
          </cell>
          <cell r="C4146" t="str">
            <v>BANCO SANTANDER (BRASIL) S/A</v>
          </cell>
          <cell r="D4146" t="str">
            <v>BANCO SANTANDER (BRASIL) S/A</v>
          </cell>
          <cell r="E4146" t="str">
            <v>BANCO SANTANDER (BRASIL) S/A</v>
          </cell>
        </row>
        <row r="4147">
          <cell r="B4147">
            <v>122517</v>
          </cell>
          <cell r="C4147" t="str">
            <v>BANCO SANTANDER (BRASIL) S/A</v>
          </cell>
          <cell r="D4147" t="str">
            <v>BANCO SANTANDER (BRASIL) S/A</v>
          </cell>
          <cell r="E4147" t="str">
            <v>BANCO SANTANDER (BRASIL) S/A</v>
          </cell>
        </row>
        <row r="4148">
          <cell r="B4148">
            <v>122518</v>
          </cell>
          <cell r="C4148" t="str">
            <v>BANCO SANTANDER (BRASIL) S/A</v>
          </cell>
          <cell r="D4148" t="str">
            <v>BANCO SANTANDER (BRASIL) S/A</v>
          </cell>
          <cell r="E4148" t="str">
            <v>BANCO SANTANDER (BRASIL) S/A</v>
          </cell>
        </row>
        <row r="4149">
          <cell r="B4149">
            <v>122519</v>
          </cell>
          <cell r="C4149" t="str">
            <v>BANCO SANTANDER (BRASIL) S/A</v>
          </cell>
          <cell r="D4149" t="str">
            <v>BANCO SANTANDER (BRASIL) S/A</v>
          </cell>
          <cell r="E4149" t="str">
            <v>BANCO SANTANDER (BRASIL) S/A</v>
          </cell>
        </row>
        <row r="4150">
          <cell r="B4150">
            <v>12251</v>
          </cell>
          <cell r="C4150" t="str">
            <v>ICATU GESTAO PATRIMONIAL LTDA</v>
          </cell>
          <cell r="D4150" t="str">
            <v>ICATU GESTAO PATRIMONIAL LTDA</v>
          </cell>
          <cell r="E4150" t="str">
            <v>ICATU VANGUARDA GESTAO DE RECURSOS LTDA</v>
          </cell>
        </row>
        <row r="4151">
          <cell r="B4151">
            <v>122520</v>
          </cell>
          <cell r="C4151" t="str">
            <v>BANCO SANTANDER (BRASIL) S/A</v>
          </cell>
          <cell r="D4151" t="str">
            <v>BANCO SANTANDER (BRASIL) S/A</v>
          </cell>
          <cell r="E4151" t="str">
            <v>BANCO SANTANDER (BRASIL) S/A</v>
          </cell>
        </row>
        <row r="4152">
          <cell r="B4152">
            <v>122521</v>
          </cell>
          <cell r="C4152" t="str">
            <v>BANCO SANTANDER (BRASIL) S/A</v>
          </cell>
          <cell r="D4152" t="str">
            <v>BANCO SANTANDER (BRASIL) S/A</v>
          </cell>
          <cell r="E4152" t="str">
            <v>BANCO SANTANDER (BRASIL) S/A</v>
          </cell>
        </row>
        <row r="4153">
          <cell r="B4153">
            <v>122522</v>
          </cell>
          <cell r="C4153" t="str">
            <v>BANCO SANTANDER (BRASIL) S/A</v>
          </cell>
          <cell r="D4153" t="str">
            <v>BANCO SANTANDER (BRASIL) S/A</v>
          </cell>
          <cell r="E4153" t="str">
            <v>BANCO SANTANDER (BRASIL) S/A</v>
          </cell>
        </row>
        <row r="4154">
          <cell r="B4154">
            <v>122523</v>
          </cell>
          <cell r="C4154" t="str">
            <v>BANCO SANTANDER (BRASIL) S/A</v>
          </cell>
          <cell r="D4154" t="str">
            <v>BANCO SANTANDER (BRASIL) S/A</v>
          </cell>
          <cell r="E4154" t="str">
            <v>BANCO SANTANDER (BRASIL) S/A</v>
          </cell>
        </row>
        <row r="4155">
          <cell r="B4155">
            <v>122524</v>
          </cell>
          <cell r="C4155" t="str">
            <v>BANCO SANTANDER (BRASIL) S/A</v>
          </cell>
          <cell r="D4155" t="str">
            <v>BANCO SANTANDER (BRASIL) S/A</v>
          </cell>
          <cell r="E4155" t="str">
            <v>BANCO SANTANDER (BRASIL) S/A</v>
          </cell>
        </row>
        <row r="4156">
          <cell r="B4156">
            <v>122525</v>
          </cell>
          <cell r="C4156" t="str">
            <v>BANCO SANTANDER (BRASIL) S/A</v>
          </cell>
          <cell r="D4156" t="str">
            <v>BANCO SANTANDER (BRASIL) S/A</v>
          </cell>
          <cell r="E4156" t="str">
            <v>BANCO SANTANDER (BRASIL) S/A</v>
          </cell>
        </row>
        <row r="4157">
          <cell r="B4157">
            <v>122526</v>
          </cell>
          <cell r="C4157" t="str">
            <v>BANCO SANTANDER (BRASIL) S/A</v>
          </cell>
          <cell r="D4157" t="str">
            <v>BANCO SANTANDER (BRASIL) S/A</v>
          </cell>
          <cell r="E4157" t="str">
            <v>BANCO SANTANDER (BRASIL) S/A</v>
          </cell>
        </row>
        <row r="4158">
          <cell r="B4158">
            <v>122527</v>
          </cell>
          <cell r="C4158" t="str">
            <v>BANCO SANTANDER (BRASIL) S/A</v>
          </cell>
          <cell r="D4158" t="str">
            <v>BANCO SANTANDER (BRASIL) S/A</v>
          </cell>
          <cell r="E4158" t="str">
            <v>BANCO SANTANDER (BRASIL) S/A</v>
          </cell>
        </row>
        <row r="4159">
          <cell r="B4159">
            <v>122528</v>
          </cell>
          <cell r="C4159" t="str">
            <v>BANCO SANTANDER (BRASIL) S/A</v>
          </cell>
          <cell r="D4159" t="str">
            <v>BANCO SANTANDER (BRASIL) S/A</v>
          </cell>
          <cell r="E4159" t="str">
            <v>BANCO SANTANDER (BRASIL) S/A</v>
          </cell>
        </row>
        <row r="4160">
          <cell r="B4160">
            <v>122529</v>
          </cell>
          <cell r="C4160" t="str">
            <v>BANCO SANTANDER (BRASIL) S/A</v>
          </cell>
          <cell r="D4160" t="str">
            <v>BANCO SANTANDER (BRASIL) S/A</v>
          </cell>
          <cell r="E4160" t="str">
            <v>BANCO SANTANDER (BRASIL) S/A</v>
          </cell>
        </row>
        <row r="4161">
          <cell r="B4161">
            <v>12252</v>
          </cell>
          <cell r="C4161" t="str">
            <v>VINCI EQUITIES GESTORA DE RECURSOS LTDA</v>
          </cell>
          <cell r="D4161" t="str">
            <v>VINCI EQUITIES GESTORA DE RECURSOS LTDA</v>
          </cell>
          <cell r="E4161" t="str">
            <v>VINCI GESTORA DE RECURSOS LTDA</v>
          </cell>
        </row>
        <row r="4162">
          <cell r="B4162">
            <v>122530</v>
          </cell>
          <cell r="C4162" t="str">
            <v>BANCO SANTANDER (BRASIL) S/A</v>
          </cell>
          <cell r="D4162" t="str">
            <v>BANCO SANTANDER (BRASIL) S/A</v>
          </cell>
          <cell r="E4162" t="str">
            <v>BANCO SANTANDER (BRASIL) S/A</v>
          </cell>
        </row>
        <row r="4163">
          <cell r="B4163">
            <v>122531</v>
          </cell>
          <cell r="C4163" t="str">
            <v>BANCO SANTANDER (BRASIL) S/A</v>
          </cell>
          <cell r="D4163" t="str">
            <v>BANCO SANTANDER (BRASIL) S/A</v>
          </cell>
          <cell r="E4163" t="str">
            <v>BANCO SANTANDER (BRASIL) S/A</v>
          </cell>
        </row>
        <row r="4164">
          <cell r="B4164">
            <v>122532</v>
          </cell>
          <cell r="C4164" t="str">
            <v>BANCO SANTANDER (BRASIL) S/A</v>
          </cell>
          <cell r="D4164" t="str">
            <v>BANCO SANTANDER (BRASIL) S/A</v>
          </cell>
          <cell r="E4164" t="str">
            <v>BANCO SANTANDER (BRASIL) S/A</v>
          </cell>
        </row>
        <row r="4165">
          <cell r="B4165">
            <v>122533</v>
          </cell>
          <cell r="C4165" t="str">
            <v>BANCO SANTANDER (BRASIL) S/A</v>
          </cell>
          <cell r="D4165" t="str">
            <v>BANCO SANTANDER (BRASIL) S/A</v>
          </cell>
          <cell r="E4165" t="str">
            <v>BANCO SANTANDER (BRASIL) S/A</v>
          </cell>
        </row>
        <row r="4166">
          <cell r="B4166">
            <v>122546</v>
          </cell>
          <cell r="C4166" t="str">
            <v>BANCO SANTANDER (BRASIL) S/A</v>
          </cell>
          <cell r="D4166" t="str">
            <v>BANCO SANTANDER (BRASIL) S/A</v>
          </cell>
          <cell r="E4166" t="str">
            <v>BANCO SANTANDER (BRASIL) S/A</v>
          </cell>
        </row>
        <row r="4167">
          <cell r="B4167">
            <v>122579</v>
          </cell>
          <cell r="C4167" t="str">
            <v>BANCO SANTANDER (BRASIL) S/A</v>
          </cell>
          <cell r="D4167" t="str">
            <v>BANCO SANTANDER (BRASIL) S/A</v>
          </cell>
          <cell r="E4167" t="str">
            <v>BANCO SANTANDER (BRASIL) S/A</v>
          </cell>
        </row>
        <row r="4168">
          <cell r="B4168">
            <v>122625</v>
          </cell>
          <cell r="C4168" t="str">
            <v>BANCO SANTANDER (BRASIL) S/A</v>
          </cell>
          <cell r="D4168" t="str">
            <v>BANCO SANTANDER (BRASIL) S/A</v>
          </cell>
          <cell r="E4168" t="str">
            <v>BANCO SANTANDER (BRASIL) S/A</v>
          </cell>
        </row>
        <row r="4169">
          <cell r="B4169">
            <v>122626</v>
          </cell>
          <cell r="C4169" t="str">
            <v>BANCO SANTANDER (BRASIL) S/A</v>
          </cell>
          <cell r="D4169" t="str">
            <v>BANCO SANTANDER (BRASIL) S/A</v>
          </cell>
          <cell r="E4169" t="str">
            <v>BANCO SANTANDER (BRASIL) S/A</v>
          </cell>
        </row>
        <row r="4170">
          <cell r="B4170">
            <v>122627</v>
          </cell>
          <cell r="C4170" t="str">
            <v>BANCO SANTANDER (BRASIL) S/A</v>
          </cell>
          <cell r="D4170" t="str">
            <v>BANCO SANTANDER (BRASIL) S/A</v>
          </cell>
          <cell r="E4170" t="str">
            <v>BANCO SANTANDER (BRASIL) S/A</v>
          </cell>
        </row>
        <row r="4171">
          <cell r="B4171">
            <v>122628</v>
          </cell>
          <cell r="C4171" t="str">
            <v>BANCO SANTANDER (BRASIL) S/A</v>
          </cell>
          <cell r="D4171" t="str">
            <v>BANCO SANTANDER (BRASIL) S/A</v>
          </cell>
          <cell r="E4171" t="str">
            <v>BANCO SANTANDER (BRASIL) S/A</v>
          </cell>
        </row>
        <row r="4172">
          <cell r="B4172">
            <v>12253</v>
          </cell>
          <cell r="C4172" t="str">
            <v>INFRAPREV - INSTITUTO INFRAERO DE SEGURIDADE SOCIAL</v>
          </cell>
          <cell r="D4172" t="str">
            <v>INFRAPREV - INSTITUTO INFRAERO DE SEGURIDADE SOCIAL</v>
          </cell>
          <cell r="E4172" t="str">
            <v>INFRAPREV - INSTITUTO INFRAERO DE SEGURIDADE SOCIAL</v>
          </cell>
        </row>
        <row r="4173">
          <cell r="B4173">
            <v>122649</v>
          </cell>
          <cell r="C4173" t="str">
            <v>BANCO SANTANDER (BRASIL) S/A</v>
          </cell>
          <cell r="D4173" t="str">
            <v>BANCO SANTANDER (BRASIL) S/A</v>
          </cell>
          <cell r="E4173" t="str">
            <v>BANCO SANTANDER (BRASIL) S/A</v>
          </cell>
        </row>
        <row r="4174">
          <cell r="B4174">
            <v>122780</v>
          </cell>
          <cell r="C4174" t="str">
            <v>BANCO SANTANDER (BRASIL) S/A</v>
          </cell>
          <cell r="D4174" t="str">
            <v>BANCO SANTANDER (BRASIL) S/A</v>
          </cell>
          <cell r="E4174" t="str">
            <v>BANCO SANTANDER (BRASIL) S/A</v>
          </cell>
        </row>
        <row r="4175">
          <cell r="B4175">
            <v>122823</v>
          </cell>
          <cell r="C4175" t="str">
            <v>BANCO SANTANDER (BRASIL) S/A</v>
          </cell>
          <cell r="D4175" t="str">
            <v>BANCO SANTANDER (BRASIL) S/A</v>
          </cell>
          <cell r="E4175" t="str">
            <v>BANCO SANTANDER (BRASIL) S/A</v>
          </cell>
        </row>
        <row r="4176">
          <cell r="B4176">
            <v>122835</v>
          </cell>
          <cell r="C4176" t="str">
            <v>BANCO SANTANDER (BRASIL) S/A</v>
          </cell>
          <cell r="D4176" t="str">
            <v>BANCO SANTANDER (BRASIL) S/A</v>
          </cell>
          <cell r="E4176" t="str">
            <v>BANCO SANTANDER (BRASIL) S/A</v>
          </cell>
        </row>
        <row r="4177">
          <cell r="B4177">
            <v>122534</v>
          </cell>
          <cell r="C4177" t="str">
            <v>FIM EXTREME V</v>
          </cell>
          <cell r="D4177" t="str">
            <v>FIM EXTREME V</v>
          </cell>
          <cell r="E4177" t="str">
            <v>FIM EXTREME V</v>
          </cell>
        </row>
        <row r="4178">
          <cell r="B4178">
            <v>122535</v>
          </cell>
          <cell r="C4178" t="str">
            <v>FIA MISTYQUE</v>
          </cell>
          <cell r="D4178" t="str">
            <v>FIA MISTYQUE</v>
          </cell>
          <cell r="E4178" t="str">
            <v>FIA MISTYQUE</v>
          </cell>
        </row>
        <row r="4179">
          <cell r="B4179">
            <v>122536</v>
          </cell>
          <cell r="C4179" t="str">
            <v>MORGAN STANLEY CTVM S/A</v>
          </cell>
          <cell r="D4179" t="str">
            <v>MORGAN STANLEY CTVM S/A</v>
          </cell>
          <cell r="E4179" t="str">
            <v>MORGAN STANLEY CTVM S/A</v>
          </cell>
        </row>
        <row r="4180">
          <cell r="B4180">
            <v>122537</v>
          </cell>
          <cell r="C4180" t="str">
            <v>MORGAN STANLEY CTVM S/A</v>
          </cell>
          <cell r="D4180" t="str">
            <v>MORGAN STANLEY CTVM S/A</v>
          </cell>
          <cell r="E4180" t="str">
            <v>MORGAN STANLEY CTVM S/A</v>
          </cell>
        </row>
        <row r="4181">
          <cell r="B4181">
            <v>122538</v>
          </cell>
          <cell r="C4181" t="str">
            <v>CARLOS HENRIQUE FERRAZ CASTELLOTTI</v>
          </cell>
          <cell r="D4181" t="str">
            <v>CARLOS HENRIQUE FERRAZ CASTELLOTTI</v>
          </cell>
          <cell r="E4181" t="str">
            <v>CARLOS HENRIQUE FERRAZ CASTELLOTTI</v>
          </cell>
        </row>
        <row r="4182">
          <cell r="B4182">
            <v>122539</v>
          </cell>
          <cell r="C4182" t="str">
            <v>GDX CAMBRIDGE PRIVATE FIM CP IE</v>
          </cell>
          <cell r="D4182" t="str">
            <v>GDX CAMBRIDGE PRIVATE FIM CP IE</v>
          </cell>
          <cell r="E4182" t="str">
            <v>IPORANGA INVESTIMENTOS LTDA</v>
          </cell>
        </row>
        <row r="4183">
          <cell r="B4183">
            <v>122540</v>
          </cell>
          <cell r="C4183" t="str">
            <v>MORGAN STANLEY CTVM S/A</v>
          </cell>
          <cell r="D4183" t="str">
            <v>MORGAN STANLEY CTVM S/A</v>
          </cell>
          <cell r="E4183" t="str">
            <v>MORGAN STANLEY CTVM S/A</v>
          </cell>
        </row>
        <row r="4184">
          <cell r="B4184">
            <v>122541</v>
          </cell>
          <cell r="C4184" t="str">
            <v>IGOR PEREIRA ANTUNES MERE</v>
          </cell>
          <cell r="D4184" t="str">
            <v>IGOR PEREIRA ANTUNES MERE</v>
          </cell>
          <cell r="E4184" t="str">
            <v>IGOR PEREIRA ANTUNES MERE</v>
          </cell>
        </row>
        <row r="4185">
          <cell r="B4185">
            <v>122542</v>
          </cell>
          <cell r="C4185" t="str">
            <v>RODRIGO GOMES DA COSTA</v>
          </cell>
          <cell r="D4185" t="str">
            <v>RODRIGO GOMES DA COSTA</v>
          </cell>
          <cell r="E4185" t="str">
            <v>RODRIGO GOMES DA COSTA</v>
          </cell>
        </row>
        <row r="4186">
          <cell r="B4186">
            <v>122543</v>
          </cell>
          <cell r="C4186" t="str">
            <v>BB RJ FIM</v>
          </cell>
          <cell r="D4186" t="str">
            <v>BB RJ FIM</v>
          </cell>
          <cell r="E4186" t="str">
            <v>BB GESTAO DE RECURSOS DTVM LTDA</v>
          </cell>
        </row>
        <row r="4187">
          <cell r="B4187">
            <v>122544</v>
          </cell>
          <cell r="C4187" t="str">
            <v>MORGAN STANLEY CTVM S/A</v>
          </cell>
          <cell r="D4187" t="str">
            <v>MORGAN STANLEY CTVM S/A</v>
          </cell>
          <cell r="E4187" t="str">
            <v>MORGAN STANLEY CTVM S/A</v>
          </cell>
        </row>
        <row r="4188">
          <cell r="B4188">
            <v>122545</v>
          </cell>
          <cell r="C4188" t="str">
            <v>BANCO ITAU BBA S/A</v>
          </cell>
          <cell r="D4188" t="str">
            <v>BANCO ITAU BBA S/A</v>
          </cell>
          <cell r="E4188" t="str">
            <v>BANCO ITAU BBA S/A</v>
          </cell>
        </row>
        <row r="4189">
          <cell r="B4189">
            <v>122867</v>
          </cell>
          <cell r="C4189" t="str">
            <v>BANCO SANTANDER (BRASIL) S/A</v>
          </cell>
          <cell r="D4189" t="str">
            <v>BANCO SANTANDER (BRASIL) S/A</v>
          </cell>
          <cell r="E4189" t="str">
            <v>BANCO SANTANDER (BRASIL) S/A</v>
          </cell>
        </row>
        <row r="4190">
          <cell r="B4190">
            <v>122547</v>
          </cell>
          <cell r="C4190" t="str">
            <v>MORGAN STANLEY CTVM S/A</v>
          </cell>
          <cell r="D4190" t="str">
            <v>MORGAN STANLEY CTVM S/A</v>
          </cell>
          <cell r="E4190" t="str">
            <v>MORGAN STANLEY CTVM S/A</v>
          </cell>
        </row>
        <row r="4191">
          <cell r="B4191">
            <v>122548</v>
          </cell>
          <cell r="C4191" t="str">
            <v>MORGAN STANLEY CTVM S/A</v>
          </cell>
          <cell r="D4191" t="str">
            <v>MORGAN STANLEY CTVM S/A</v>
          </cell>
          <cell r="E4191" t="str">
            <v>MORGAN STANLEY CTVM S/A</v>
          </cell>
        </row>
        <row r="4192">
          <cell r="B4192">
            <v>122549</v>
          </cell>
          <cell r="C4192" t="str">
            <v>SPX BRAZIL LLC</v>
          </cell>
          <cell r="D4192" t="str">
            <v>SPX BRAZIL LLC</v>
          </cell>
          <cell r="E4192" t="str">
            <v>SPX GESTAO DE RECURSOS LTDA</v>
          </cell>
        </row>
        <row r="4193">
          <cell r="B4193">
            <v>12255</v>
          </cell>
          <cell r="C4193" t="str">
            <v>ATICO ADMINISTRACAO DE RECURSOS LTDA</v>
          </cell>
          <cell r="D4193" t="str">
            <v>ATICO ADMINISTRACAO DE RECURSOS LTDA</v>
          </cell>
          <cell r="E4193" t="str">
            <v>ATICO ADMINISTRACAO DE RECURSOS LTDA</v>
          </cell>
        </row>
        <row r="4194">
          <cell r="B4194">
            <v>122550</v>
          </cell>
          <cell r="C4194" t="str">
            <v>ASM BRASIL CARBONO MULTIMERCADO FI CP</v>
          </cell>
          <cell r="D4194" t="str">
            <v>ASM BRASIL CARBONO MULTIMERCADO FI CP</v>
          </cell>
          <cell r="E4194" t="str">
            <v>ASM ADMINISTRADORA DE RECURSOS S/A</v>
          </cell>
        </row>
        <row r="4195">
          <cell r="B4195">
            <v>122551</v>
          </cell>
          <cell r="C4195" t="str">
            <v>IBIUNA LONG SHORT MASTER FIM</v>
          </cell>
          <cell r="D4195" t="str">
            <v>IBIUNA LONG SHORT MASTER FIM</v>
          </cell>
          <cell r="E4195" t="str">
            <v>IBIUNA GESTAO DE RECURSOS LTDA</v>
          </cell>
        </row>
        <row r="4196">
          <cell r="B4196">
            <v>122553</v>
          </cell>
          <cell r="C4196" t="str">
            <v>IBIUNA PREVIDENCIA FIM</v>
          </cell>
          <cell r="D4196" t="str">
            <v>IBIUNA PREVIDENCIA FIM</v>
          </cell>
          <cell r="E4196" t="str">
            <v>IBIUNA GESTAO DE RECURSOS LTDA</v>
          </cell>
        </row>
        <row r="4197">
          <cell r="B4197">
            <v>12274</v>
          </cell>
          <cell r="C4197" t="str">
            <v>IBIUNA MACRO GESTÃƒO DE RECURSOS LTDA</v>
          </cell>
          <cell r="D4197" t="str">
            <v>IBIUNA MACRO GESTÃƒO DE RECURSOS LTDA</v>
          </cell>
          <cell r="E4197" t="str">
            <v>IBIUNA GESTAO DE RECURSOS LTDA</v>
          </cell>
        </row>
        <row r="4198">
          <cell r="B4198">
            <v>122555</v>
          </cell>
          <cell r="C4198" t="str">
            <v>BBM GAUSS MASTER FIM</v>
          </cell>
          <cell r="D4198" t="str">
            <v>BBM GAUSS MASTER FIM</v>
          </cell>
          <cell r="E4198" t="str">
            <v>BAHIA AM LTDA</v>
          </cell>
        </row>
        <row r="4199">
          <cell r="B4199">
            <v>122556</v>
          </cell>
          <cell r="C4199" t="str">
            <v>BBM BAHIA MASTER FIM</v>
          </cell>
          <cell r="D4199" t="str">
            <v>BBM BAHIA MASTER FIM</v>
          </cell>
          <cell r="E4199" t="str">
            <v>BAHIA AM LTDA</v>
          </cell>
        </row>
        <row r="4200">
          <cell r="B4200">
            <v>122557</v>
          </cell>
          <cell r="C4200" t="str">
            <v>BBM EQUITY HEDGE MASTER FIM</v>
          </cell>
          <cell r="D4200" t="str">
            <v>BBM EQUITY HEDGE MASTER FIM</v>
          </cell>
          <cell r="E4200" t="str">
            <v>BAHIA AM LTDA</v>
          </cell>
        </row>
        <row r="4201">
          <cell r="B4201">
            <v>122559</v>
          </cell>
          <cell r="C4201" t="str">
            <v>BBM INSTITUCIONAL FIM</v>
          </cell>
          <cell r="D4201" t="str">
            <v>BBM INSTITUCIONAL FIM</v>
          </cell>
          <cell r="E4201" t="str">
            <v>BAHIA AM LTDA</v>
          </cell>
        </row>
        <row r="4202">
          <cell r="B4202">
            <v>12256</v>
          </cell>
          <cell r="C4202" t="str">
            <v>JERA CAPITAL GESTÃƒO DE RECURSOS LTDA</v>
          </cell>
          <cell r="D4202" t="str">
            <v>JERA CAPITAL GESTÃƒO DE RECURSOS LTDA</v>
          </cell>
          <cell r="E4202" t="str">
            <v>JERA CAPITAL GESTÃƒO DE RECURSOS LTDA</v>
          </cell>
        </row>
        <row r="4203">
          <cell r="B4203">
            <v>122560</v>
          </cell>
          <cell r="C4203" t="str">
            <v>BBM TINHARE FIM</v>
          </cell>
          <cell r="D4203" t="str">
            <v>BBM TINHARE FIM</v>
          </cell>
          <cell r="E4203" t="str">
            <v>BAHIA AM LTDA</v>
          </cell>
        </row>
        <row r="4204">
          <cell r="B4204">
            <v>122561</v>
          </cell>
          <cell r="C4204" t="str">
            <v>BBM MARSHALL MASTER FIM</v>
          </cell>
          <cell r="D4204" t="str">
            <v>BBM MARSHALL MASTER FIM</v>
          </cell>
          <cell r="E4204" t="str">
            <v>BAHIA AM LTDA</v>
          </cell>
        </row>
        <row r="4205">
          <cell r="B4205">
            <v>122562</v>
          </cell>
          <cell r="C4205" t="str">
            <v>BBM PROTON MASTER FIM</v>
          </cell>
          <cell r="D4205" t="str">
            <v>BBM PROTON MASTER FIM</v>
          </cell>
          <cell r="E4205" t="str">
            <v>BAHIA AM LTDA</v>
          </cell>
        </row>
        <row r="4206">
          <cell r="B4206">
            <v>122563</v>
          </cell>
          <cell r="C4206" t="str">
            <v>BBM QUARK MASTER FIA</v>
          </cell>
          <cell r="D4206" t="str">
            <v>BBM QUARK MASTER FIA</v>
          </cell>
          <cell r="E4206" t="str">
            <v>BAHIA AM LTDA</v>
          </cell>
        </row>
        <row r="4207">
          <cell r="B4207">
            <v>122564</v>
          </cell>
          <cell r="C4207" t="str">
            <v>BAHIA AM SMID CAPS VALOR MASTER FIA</v>
          </cell>
          <cell r="D4207" t="str">
            <v>BAHIA AM SMID CAPS VALOR MASTER FIA</v>
          </cell>
          <cell r="E4207" t="str">
            <v>BAHIA AM LTDA</v>
          </cell>
        </row>
        <row r="4208">
          <cell r="B4208">
            <v>122565</v>
          </cell>
          <cell r="C4208" t="str">
            <v>BBM TARGET FIM</v>
          </cell>
          <cell r="D4208" t="str">
            <v>BBM TARGET FIM</v>
          </cell>
          <cell r="E4208" t="str">
            <v>BAHIA AM LTDA</v>
          </cell>
        </row>
        <row r="4209">
          <cell r="B4209">
            <v>122567</v>
          </cell>
          <cell r="C4209" t="str">
            <v>BBM FERMAT MASTER FIA</v>
          </cell>
          <cell r="D4209" t="str">
            <v>BBM FERMAT MASTER FIA</v>
          </cell>
          <cell r="E4209" t="str">
            <v>BAHIA AM LTDA</v>
          </cell>
        </row>
        <row r="4210">
          <cell r="B4210">
            <v>122568</v>
          </cell>
          <cell r="C4210" t="str">
            <v>BB GESTAO DE RECURSOS DTVM LTDA</v>
          </cell>
          <cell r="D4210" t="str">
            <v>BB GESTAO DE RECURSOS DTVM LTDA</v>
          </cell>
          <cell r="E4210" t="str">
            <v>BB GESTAO DE RECURSOS DTVM LTDA</v>
          </cell>
        </row>
        <row r="4211">
          <cell r="B4211">
            <v>122569</v>
          </cell>
          <cell r="C4211" t="str">
            <v>CARTEIRA ACD</v>
          </cell>
          <cell r="D4211" t="str">
            <v>CARTEIRA ACD</v>
          </cell>
          <cell r="E4211" t="str">
            <v>CARTEIRA ACD</v>
          </cell>
        </row>
        <row r="4212">
          <cell r="B4212">
            <v>12257</v>
          </cell>
          <cell r="C4212" t="str">
            <v>ARAUJO FONTES CONSULTORIA E ADMINITRACAO DE RECURSOS LTDA</v>
          </cell>
          <cell r="D4212" t="str">
            <v>ARAUJO FONTES CONSULTORIA E ADMINITRACAO DE RECURSOS LTDA</v>
          </cell>
          <cell r="E4212" t="str">
            <v>AF INVEST ADMINISTRAÇÃO DE RECURSOS LTDA</v>
          </cell>
        </row>
        <row r="4213">
          <cell r="B4213">
            <v>122571</v>
          </cell>
          <cell r="C4213" t="str">
            <v>BBM RV I FIM</v>
          </cell>
          <cell r="D4213" t="str">
            <v>BBM RV I FIM</v>
          </cell>
          <cell r="E4213" t="str">
            <v>BAHIA AM LTDA</v>
          </cell>
        </row>
        <row r="4214">
          <cell r="B4214">
            <v>122572</v>
          </cell>
          <cell r="C4214" t="str">
            <v>WESTERN GLOBAL PLUS FIM DE LP</v>
          </cell>
          <cell r="D4214" t="str">
            <v>WESTERN GLOBAL PLUS FIM DE LP</v>
          </cell>
          <cell r="E4214" t="str">
            <v>FRANKLIN TEMPLETON INVESTIMENTOS (BRASIL) LTDA</v>
          </cell>
        </row>
        <row r="4215">
          <cell r="B4215">
            <v>122573</v>
          </cell>
          <cell r="C4215" t="str">
            <v>FRANKLIN MAXI ACOES FIA</v>
          </cell>
          <cell r="D4215" t="str">
            <v>FRANKLIN MAXI ACOES FIA</v>
          </cell>
          <cell r="E4215" t="str">
            <v>FRANKLIN TEMPLETON INVESTIMENTOS (BRASIL) LTDA</v>
          </cell>
        </row>
        <row r="4216">
          <cell r="B4216">
            <v>122574</v>
          </cell>
          <cell r="C4216" t="str">
            <v>FIM CP BINTANG IE</v>
          </cell>
          <cell r="D4216" t="str">
            <v>FIM CP BINTANG IE</v>
          </cell>
          <cell r="E4216" t="str">
            <v>MARCELO AUGUSTO LUSTOSA DE SOUZA</v>
          </cell>
        </row>
        <row r="4217">
          <cell r="B4217">
            <v>122575</v>
          </cell>
          <cell r="C4217" t="str">
            <v>BB GESTAO DE RECURSOS DTVM LTDA</v>
          </cell>
          <cell r="D4217" t="str">
            <v>BB GESTAO DE RECURSOS DTVM LTDA</v>
          </cell>
          <cell r="E4217" t="str">
            <v>BB GESTAO DE RECURSOS DTVM LTDA</v>
          </cell>
        </row>
        <row r="4218">
          <cell r="B4218">
            <v>122576</v>
          </cell>
          <cell r="C4218" t="str">
            <v>NEO NAVITAS FIC DE FIA</v>
          </cell>
          <cell r="D4218" t="str">
            <v>NEO NAVITAS FIC DE FIA</v>
          </cell>
          <cell r="E4218" t="str">
            <v>NEO GESTÃO DE RECURSOS LTDA</v>
          </cell>
        </row>
        <row r="4219">
          <cell r="B4219">
            <v>122577</v>
          </cell>
          <cell r="C4219" t="str">
            <v>RICARDO FERREIRA DA COSTA</v>
          </cell>
          <cell r="D4219" t="str">
            <v>RICARDO FERREIRA DA COSTA</v>
          </cell>
          <cell r="E4219" t="str">
            <v>RICARDO FERREIRA DA COSTA</v>
          </cell>
        </row>
        <row r="4220">
          <cell r="B4220">
            <v>122883</v>
          </cell>
          <cell r="C4220" t="str">
            <v>BANCO SANTANDER (BRASIL) S/A</v>
          </cell>
          <cell r="D4220" t="str">
            <v>BANCO SANTANDER (BRASIL) S/A</v>
          </cell>
          <cell r="E4220" t="str">
            <v>BANCO SANTANDER (BRASIL) S/A</v>
          </cell>
        </row>
        <row r="4221">
          <cell r="B4221">
            <v>12258</v>
          </cell>
          <cell r="C4221" t="str">
            <v>MODAL ASSET MANAGEMENT LTDA</v>
          </cell>
          <cell r="D4221" t="str">
            <v>MODAL ASSET MANAGEMENT LTDA</v>
          </cell>
          <cell r="E4221" t="str">
            <v>MODAL ASSET MANAGEMENT LTDA</v>
          </cell>
        </row>
        <row r="4222">
          <cell r="B4222">
            <v>122580</v>
          </cell>
          <cell r="C4222" t="str">
            <v>MORGAN STANLEY CTVM S/A</v>
          </cell>
          <cell r="D4222" t="str">
            <v>MORGAN STANLEY CTVM S/A</v>
          </cell>
          <cell r="E4222" t="str">
            <v>MORGAN STANLEY CTVM S/A</v>
          </cell>
        </row>
        <row r="4223">
          <cell r="B4223">
            <v>122581</v>
          </cell>
          <cell r="C4223" t="str">
            <v>MORGAN STANLEY CTVM S/A</v>
          </cell>
          <cell r="D4223" t="str">
            <v>MORGAN STANLEY CTVM S/A</v>
          </cell>
          <cell r="E4223" t="str">
            <v>MORGAN STANLEY CTVM S/A</v>
          </cell>
        </row>
        <row r="4224">
          <cell r="B4224">
            <v>122582</v>
          </cell>
          <cell r="C4224" t="str">
            <v>MORGAN STANLEY CTVM S/A</v>
          </cell>
          <cell r="D4224" t="str">
            <v>MORGAN STANLEY CTVM S/A</v>
          </cell>
          <cell r="E4224" t="str">
            <v>MORGAN STANLEY CTVM S/A</v>
          </cell>
        </row>
        <row r="4225">
          <cell r="B4225">
            <v>122583</v>
          </cell>
          <cell r="C4225" t="str">
            <v>MORGAN STANLEY CTVM S/A</v>
          </cell>
          <cell r="D4225" t="str">
            <v>MORGAN STANLEY CTVM S/A</v>
          </cell>
          <cell r="E4225" t="str">
            <v>MORGAN STANLEY CTVM S/A</v>
          </cell>
        </row>
        <row r="4226">
          <cell r="B4226">
            <v>122584</v>
          </cell>
          <cell r="C4226" t="str">
            <v>MORGAN STANLEY CTVM S/A</v>
          </cell>
          <cell r="D4226" t="str">
            <v>MORGAN STANLEY CTVM S/A</v>
          </cell>
          <cell r="E4226" t="str">
            <v>MORGAN STANLEY CTVM S/A</v>
          </cell>
        </row>
        <row r="4227">
          <cell r="B4227">
            <v>122585</v>
          </cell>
          <cell r="C4227" t="str">
            <v>MAPFRE ASTURIAS FIM</v>
          </cell>
          <cell r="D4227" t="str">
            <v>MAPFRE ASTURIAS FIM</v>
          </cell>
          <cell r="E4227" t="str">
            <v>MAPFRE INVESTIMENTOS LTDA.</v>
          </cell>
        </row>
        <row r="4228">
          <cell r="B4228">
            <v>122586</v>
          </cell>
          <cell r="C4228" t="str">
            <v>MAPFRE SH1 FIM</v>
          </cell>
          <cell r="D4228" t="str">
            <v>MAPFRE SH1 FIM</v>
          </cell>
          <cell r="E4228" t="str">
            <v>MAPFRE INVESTIMENTOS LTDA.</v>
          </cell>
        </row>
        <row r="4229">
          <cell r="B4229">
            <v>122587</v>
          </cell>
          <cell r="C4229" t="str">
            <v>MAPFRE SH2 FIM</v>
          </cell>
          <cell r="D4229" t="str">
            <v>MAPFRE SH2 FIM</v>
          </cell>
          <cell r="E4229" t="str">
            <v>MAPFRE INVESTIMENTOS LTDA.</v>
          </cell>
        </row>
        <row r="4230">
          <cell r="B4230">
            <v>122588</v>
          </cell>
          <cell r="C4230" t="str">
            <v>BNY MELLON ARX TARGET PLUS FIM</v>
          </cell>
          <cell r="D4230" t="str">
            <v>BNY MELLON ARX TARGET PLUS FIM</v>
          </cell>
          <cell r="E4230" t="str">
            <v>ARX INVESTIMENTOS LTDA</v>
          </cell>
        </row>
        <row r="4231">
          <cell r="B4231">
            <v>122589</v>
          </cell>
          <cell r="C4231" t="str">
            <v>ARX TARGET FIM</v>
          </cell>
          <cell r="D4231" t="str">
            <v>ARX TARGET FIM</v>
          </cell>
          <cell r="E4231" t="str">
            <v>ARX INVESTIMENTOS LTDA</v>
          </cell>
        </row>
        <row r="4232">
          <cell r="B4232">
            <v>12259</v>
          </cell>
          <cell r="C4232" t="str">
            <v>MORGAN STANLEY CTVM S/A</v>
          </cell>
          <cell r="D4232" t="str">
            <v>MORGAN STANLEY CTVM S/A</v>
          </cell>
          <cell r="E4232" t="str">
            <v>MORGAN STANLEY CTVM S/A</v>
          </cell>
        </row>
        <row r="4233">
          <cell r="B4233">
            <v>122590</v>
          </cell>
          <cell r="C4233" t="str">
            <v>ARX HEDGE FIM</v>
          </cell>
          <cell r="D4233" t="str">
            <v>ARX HEDGE FIM</v>
          </cell>
          <cell r="E4233" t="str">
            <v>ARX INVESTIMENTOS LTDA</v>
          </cell>
        </row>
        <row r="4234">
          <cell r="B4234">
            <v>122591</v>
          </cell>
          <cell r="C4234" t="str">
            <v>ARX HEDGE PLUS FIM</v>
          </cell>
          <cell r="D4234" t="str">
            <v>ARX HEDGE PLUS FIM</v>
          </cell>
          <cell r="E4234" t="str">
            <v>ARX HEDGE PLUS FIM</v>
          </cell>
        </row>
        <row r="4235">
          <cell r="B4235">
            <v>122592</v>
          </cell>
          <cell r="C4235" t="str">
            <v>ARX HEDGE II FIM</v>
          </cell>
          <cell r="D4235" t="str">
            <v>ARX HEDGE II FIM</v>
          </cell>
          <cell r="E4235" t="str">
            <v>ARX INVESTIMENTOS LTDA</v>
          </cell>
        </row>
        <row r="4236">
          <cell r="B4236">
            <v>122593</v>
          </cell>
          <cell r="C4236" t="str">
            <v>ARX ESPECIAL FIC DE FIM</v>
          </cell>
          <cell r="D4236" t="str">
            <v>ARX ESPECIAL FIC DE FIM</v>
          </cell>
          <cell r="E4236" t="str">
            <v>ARX INVESTIMENTOS LTDA</v>
          </cell>
        </row>
        <row r="4237">
          <cell r="B4237">
            <v>122594</v>
          </cell>
          <cell r="C4237" t="str">
            <v>MORGAN STANLEY CTVM S/A</v>
          </cell>
          <cell r="D4237" t="str">
            <v>MORGAN STANLEY CTVM S/A</v>
          </cell>
          <cell r="E4237" t="str">
            <v>MORGAN STANLEY CTVM S/A</v>
          </cell>
        </row>
        <row r="4238">
          <cell r="B4238">
            <v>122595</v>
          </cell>
          <cell r="C4238" t="str">
            <v>MORGAN STANLEY CTVM S/A</v>
          </cell>
          <cell r="D4238" t="str">
            <v>MORGAN STANLEY CTVM S/A</v>
          </cell>
          <cell r="E4238" t="str">
            <v>MORGAN STANLEY CTVM S/A</v>
          </cell>
        </row>
        <row r="4239">
          <cell r="B4239">
            <v>122596</v>
          </cell>
          <cell r="C4239" t="str">
            <v>MORGAN STANLEY CTVM S/A</v>
          </cell>
          <cell r="D4239" t="str">
            <v>MORGAN STANLEY CTVM S/A</v>
          </cell>
          <cell r="E4239" t="str">
            <v>MORGAN STANLEY CTVM S/A</v>
          </cell>
        </row>
        <row r="4240">
          <cell r="B4240">
            <v>122597</v>
          </cell>
          <cell r="C4240" t="str">
            <v>TRUXT MULTIMANAGER BBDC FIM</v>
          </cell>
          <cell r="D4240" t="str">
            <v>TRUXT MULTIMANAGER BBDC FIM</v>
          </cell>
          <cell r="E4240" t="str">
            <v>TRUXT INVESTIMENTOS LTDA</v>
          </cell>
        </row>
        <row r="4241">
          <cell r="B4241">
            <v>122598</v>
          </cell>
          <cell r="C4241" t="str">
            <v>FIM ALAGOAS</v>
          </cell>
          <cell r="D4241" t="str">
            <v>FIM ALAGOAS</v>
          </cell>
          <cell r="E4241" t="str">
            <v>ARX INVESTIMENTOS LTDA</v>
          </cell>
        </row>
        <row r="4242">
          <cell r="B4242">
            <v>122599</v>
          </cell>
          <cell r="C4242" t="str">
            <v>CITI ARX FIM</v>
          </cell>
          <cell r="D4242" t="str">
            <v>CITI ARX FIM</v>
          </cell>
          <cell r="E4242" t="str">
            <v>CITI ARX FIM</v>
          </cell>
        </row>
        <row r="4243">
          <cell r="B4243">
            <v>12260</v>
          </cell>
          <cell r="C4243" t="str">
            <v>JP MORGAN S/A DTVM</v>
          </cell>
          <cell r="D4243" t="str">
            <v>JP MORGAN S/A DTVM</v>
          </cell>
          <cell r="E4243" t="str">
            <v>JP MORGAN S/A DTVM</v>
          </cell>
        </row>
        <row r="4244">
          <cell r="B4244">
            <v>122600</v>
          </cell>
          <cell r="C4244" t="str">
            <v>NOBEL AQUILA FIA</v>
          </cell>
          <cell r="D4244" t="str">
            <v>NOBEL AQUILA FIA</v>
          </cell>
          <cell r="E4244" t="str">
            <v>NOBEL GESTAO DE RECURSOS LTDA</v>
          </cell>
        </row>
        <row r="4245">
          <cell r="B4245">
            <v>122601</v>
          </cell>
          <cell r="C4245" t="str">
            <v>NOBEL VALUE INVESTORS LLC - BANCO UBS PACTUAL S/A</v>
          </cell>
          <cell r="D4245" t="str">
            <v>NOBEL VALUE INVESTORS LLC - BANCO UBS PACTUAL S/A</v>
          </cell>
          <cell r="E4245" t="str">
            <v>NOBEL GESTAO DE RECURSOS LTDA</v>
          </cell>
        </row>
        <row r="4246">
          <cell r="B4246">
            <v>122602</v>
          </cell>
          <cell r="C4246" t="str">
            <v>BB GESTAO DE RECURSOS DTVM LTDA</v>
          </cell>
          <cell r="D4246" t="str">
            <v>BB GESTAO DE RECURSOS DTVM LTDA</v>
          </cell>
          <cell r="E4246" t="str">
            <v>BB GESTAO DE RECURSOS DTVM LTDA</v>
          </cell>
        </row>
        <row r="4247">
          <cell r="B4247">
            <v>122603</v>
          </cell>
          <cell r="C4247" t="str">
            <v>BB GESTAO DE RECURSOS DTVM LTDA</v>
          </cell>
          <cell r="D4247" t="str">
            <v>BB GESTAO DE RECURSOS DTVM LTDA</v>
          </cell>
          <cell r="E4247" t="str">
            <v>BB GESTAO DE RECURSOS DTVM LTDA</v>
          </cell>
        </row>
        <row r="4248">
          <cell r="B4248">
            <v>122604</v>
          </cell>
          <cell r="C4248" t="str">
            <v>MAUA PARTICIPACOES I FIA</v>
          </cell>
          <cell r="D4248" t="str">
            <v>MAUA PARTICIPACOES I FIA</v>
          </cell>
          <cell r="E4248" t="str">
            <v>MAUA INVESTIMENTOS LTDA</v>
          </cell>
        </row>
        <row r="4249">
          <cell r="B4249">
            <v>122605</v>
          </cell>
          <cell r="C4249" t="str">
            <v>TEORICA EQUITY HEDGE MASTER FIM</v>
          </cell>
          <cell r="D4249" t="str">
            <v>TEORICA EQUITY HEDGE MASTER FIM</v>
          </cell>
          <cell r="E4249" t="str">
            <v>TEORICA EQUITY HEDGE MASTER FIM</v>
          </cell>
        </row>
        <row r="4250">
          <cell r="B4250">
            <v>122606</v>
          </cell>
          <cell r="C4250" t="str">
            <v>SDB FI RF</v>
          </cell>
          <cell r="D4250" t="str">
            <v>SDB FI RF</v>
          </cell>
          <cell r="E4250" t="str">
            <v>LACAN INVESTIMENTOS E PARTICIPACOES LTDA</v>
          </cell>
        </row>
        <row r="4251">
          <cell r="B4251">
            <v>122607</v>
          </cell>
          <cell r="C4251" t="str">
            <v>SDB FIA</v>
          </cell>
          <cell r="D4251" t="str">
            <v>SDB FIA</v>
          </cell>
          <cell r="E4251" t="str">
            <v>LACAN INVESTIMENTOS E PARTICIPACOES LTDA</v>
          </cell>
        </row>
        <row r="4252">
          <cell r="B4252">
            <v>122608</v>
          </cell>
          <cell r="C4252" t="str">
            <v>MORGAN STANLEY CTVM S/A</v>
          </cell>
          <cell r="D4252" t="str">
            <v>MORGAN STANLEY CTVM S/A</v>
          </cell>
          <cell r="E4252" t="str">
            <v>MORGAN STANLEY CTVM S/A</v>
          </cell>
        </row>
        <row r="4253">
          <cell r="B4253">
            <v>122609</v>
          </cell>
          <cell r="C4253" t="str">
            <v>MORGAN STANLEY CTVM S/A</v>
          </cell>
          <cell r="D4253" t="str">
            <v>MORGAN STANLEY CTVM S/A</v>
          </cell>
          <cell r="E4253" t="str">
            <v>MORGAN STANLEY CTVM S/A</v>
          </cell>
        </row>
        <row r="4254">
          <cell r="B4254">
            <v>12261</v>
          </cell>
          <cell r="C4254" t="str">
            <v>ICATU VANGUARDA GESTÃƒO DE RECURSOS LTDA</v>
          </cell>
          <cell r="D4254" t="str">
            <v>ICATU VANGUARDA GESTÃƒO DE RECURSOS LTDA</v>
          </cell>
          <cell r="E4254" t="str">
            <v>ICATU VANGUARDA GESTAO DE RECURSOS LTDA</v>
          </cell>
        </row>
        <row r="4255">
          <cell r="B4255">
            <v>122610</v>
          </cell>
          <cell r="C4255" t="str">
            <v>MORGAN STANLEY CTVM S/A</v>
          </cell>
          <cell r="D4255" t="str">
            <v>MORGAN STANLEY CTVM S/A</v>
          </cell>
          <cell r="E4255" t="str">
            <v>MORGAN STANLEY CTVM S/A</v>
          </cell>
        </row>
        <row r="4256">
          <cell r="B4256">
            <v>122611</v>
          </cell>
          <cell r="C4256" t="str">
            <v>MORGAN STANLEY CTVM S/A</v>
          </cell>
          <cell r="D4256" t="str">
            <v>MORGAN STANLEY CTVM S/A</v>
          </cell>
          <cell r="E4256" t="str">
            <v>MORGAN STANLEY CTVM S/A</v>
          </cell>
        </row>
        <row r="4257">
          <cell r="B4257">
            <v>122612</v>
          </cell>
          <cell r="C4257" t="str">
            <v>MORGAN STANLEY CTVM S/A</v>
          </cell>
          <cell r="D4257" t="str">
            <v>MORGAN STANLEY CTVM S/A</v>
          </cell>
          <cell r="E4257" t="str">
            <v>MORGAN STANLEY CTVM S/A</v>
          </cell>
        </row>
        <row r="4258">
          <cell r="B4258">
            <v>122613</v>
          </cell>
          <cell r="C4258" t="str">
            <v>MORGAN STANLEY CTVM S/A</v>
          </cell>
          <cell r="D4258" t="str">
            <v>MORGAN STANLEY CTVM S/A</v>
          </cell>
          <cell r="E4258" t="str">
            <v>MORGAN STANLEY CTVM S/A</v>
          </cell>
        </row>
        <row r="4259">
          <cell r="B4259">
            <v>122614</v>
          </cell>
          <cell r="C4259" t="str">
            <v>MORGAN STANLEY CTVM S/A</v>
          </cell>
          <cell r="D4259" t="str">
            <v>MORGAN STANLEY CTVM S/A</v>
          </cell>
          <cell r="E4259" t="str">
            <v>MORGAN STANLEY CTVM S/A</v>
          </cell>
        </row>
        <row r="4260">
          <cell r="B4260">
            <v>122615</v>
          </cell>
          <cell r="C4260" t="str">
            <v>MORGAN STANLEY CTVM S/A</v>
          </cell>
          <cell r="D4260" t="str">
            <v>MORGAN STANLEY CTVM S/A</v>
          </cell>
          <cell r="E4260" t="str">
            <v>MORGAN STANLEY CTVM S/A</v>
          </cell>
        </row>
        <row r="4261">
          <cell r="B4261">
            <v>122616</v>
          </cell>
          <cell r="C4261" t="str">
            <v>MORGAN STANLEY CTVM S/A</v>
          </cell>
          <cell r="D4261" t="str">
            <v>MORGAN STANLEY CTVM S/A</v>
          </cell>
          <cell r="E4261" t="str">
            <v>MORGAN STANLEY CTVM S/A</v>
          </cell>
        </row>
        <row r="4262">
          <cell r="B4262">
            <v>122617</v>
          </cell>
          <cell r="C4262" t="str">
            <v>MORGAN STANLEY CTVM S/A</v>
          </cell>
          <cell r="D4262" t="str">
            <v>MORGAN STANLEY CTVM S/A</v>
          </cell>
          <cell r="E4262" t="str">
            <v>MORGAN STANLEY CTVM S/A</v>
          </cell>
        </row>
        <row r="4263">
          <cell r="B4263">
            <v>122618</v>
          </cell>
          <cell r="C4263" t="str">
            <v>MORGAN STANLEY CTVM S/A</v>
          </cell>
          <cell r="D4263" t="str">
            <v>MORGAN STANLEY CTVM S/A</v>
          </cell>
          <cell r="E4263" t="str">
            <v>MORGAN STANLEY CTVM S/A</v>
          </cell>
        </row>
        <row r="4264">
          <cell r="B4264">
            <v>122619</v>
          </cell>
          <cell r="C4264" t="str">
            <v>MORGAN STANLEY CTVM S/A</v>
          </cell>
          <cell r="D4264" t="str">
            <v>MORGAN STANLEY CTVM S/A</v>
          </cell>
          <cell r="E4264" t="str">
            <v>MORGAN STANLEY CTVM S/A</v>
          </cell>
        </row>
        <row r="4265">
          <cell r="B4265">
            <v>122620</v>
          </cell>
          <cell r="C4265" t="str">
            <v>MORGAN STANLEY CTVM S/A</v>
          </cell>
          <cell r="D4265" t="str">
            <v>MORGAN STANLEY CTVM S/A</v>
          </cell>
          <cell r="E4265" t="str">
            <v>MORGAN STANLEY CTVM S/A</v>
          </cell>
        </row>
        <row r="4266">
          <cell r="B4266">
            <v>122621</v>
          </cell>
          <cell r="C4266" t="str">
            <v>MORGAN STANLEY CTVM S/A</v>
          </cell>
          <cell r="D4266" t="str">
            <v>MORGAN STANLEY CTVM S/A</v>
          </cell>
          <cell r="E4266" t="str">
            <v>MORGAN STANLEY CTVM S/A</v>
          </cell>
        </row>
        <row r="4267">
          <cell r="B4267">
            <v>122622</v>
          </cell>
          <cell r="C4267" t="str">
            <v>MORGAN STANLEY CTVM S/A</v>
          </cell>
          <cell r="D4267" t="str">
            <v>MORGAN STANLEY CTVM S/A</v>
          </cell>
          <cell r="E4267" t="str">
            <v>MORGAN STANLEY CTVM S/A</v>
          </cell>
        </row>
        <row r="4268">
          <cell r="B4268">
            <v>122623</v>
          </cell>
          <cell r="C4268" t="str">
            <v>GDX CAMBRIDGE MASTER FIM</v>
          </cell>
          <cell r="D4268" t="str">
            <v>GDX CAMBRIDGE MASTER FIM</v>
          </cell>
          <cell r="E4268" t="str">
            <v>IPORANGA INVESTIMENTOS LTDA</v>
          </cell>
        </row>
        <row r="4269">
          <cell r="B4269">
            <v>122624</v>
          </cell>
          <cell r="C4269" t="str">
            <v>KEPLER FIM CP IE</v>
          </cell>
          <cell r="D4269" t="str">
            <v>KEPLER FIM CP IE</v>
          </cell>
          <cell r="E4269" t="str">
            <v>KEPLER FIM CP IE</v>
          </cell>
        </row>
        <row r="4270">
          <cell r="B4270">
            <v>122893</v>
          </cell>
          <cell r="C4270" t="str">
            <v>BANCO SANTANDER (BRASIL) S/A</v>
          </cell>
          <cell r="D4270" t="str">
            <v>BANCO SANTANDER (BRASIL) S/A</v>
          </cell>
          <cell r="E4270" t="str">
            <v>BANCO SANTANDER (BRASIL) S/A</v>
          </cell>
        </row>
        <row r="4271">
          <cell r="B4271">
            <v>122894</v>
          </cell>
          <cell r="C4271" t="str">
            <v>BANCO SANTANDER (BRASIL) S/A</v>
          </cell>
          <cell r="D4271" t="str">
            <v>BANCO SANTANDER (BRASIL) S/A</v>
          </cell>
          <cell r="E4271" t="str">
            <v>BANCO SANTANDER (BRASIL) S/A</v>
          </cell>
        </row>
        <row r="4272">
          <cell r="B4272">
            <v>122895</v>
          </cell>
          <cell r="C4272" t="str">
            <v>BANCO SANTANDER (BRASIL) S/A</v>
          </cell>
          <cell r="D4272" t="str">
            <v>BANCO SANTANDER (BRASIL) S/A</v>
          </cell>
          <cell r="E4272" t="str">
            <v>BANCO SANTANDER (BRASIL) S/A</v>
          </cell>
        </row>
        <row r="4273">
          <cell r="B4273">
            <v>122976</v>
          </cell>
          <cell r="C4273" t="str">
            <v>BANCO SANTANDER (BRASIL) S/A</v>
          </cell>
          <cell r="D4273" t="str">
            <v>BANCO SANTANDER (BRASIL) S/A</v>
          </cell>
          <cell r="E4273" t="str">
            <v>BANCO SANTANDER (BRASIL) S/A</v>
          </cell>
        </row>
        <row r="4274">
          <cell r="B4274">
            <v>122629</v>
          </cell>
          <cell r="C4274" t="str">
            <v>FREDERICO LEOPOLDO GUIMARAES PADILHA</v>
          </cell>
          <cell r="D4274" t="str">
            <v>FREDERICO LEOPOLDO GUIMARAES PADILHA</v>
          </cell>
          <cell r="E4274" t="str">
            <v>FREDERICO LEOPOLDO GUIMARAES PADILHA</v>
          </cell>
        </row>
        <row r="4275">
          <cell r="B4275">
            <v>12263</v>
          </cell>
          <cell r="C4275" t="str">
            <v>BC GESTAO DE RECURSOS LTDA</v>
          </cell>
          <cell r="D4275" t="str">
            <v>BC GESTAO DE RECURSOS LTDA</v>
          </cell>
          <cell r="E4275" t="str">
            <v>BC GESTAO DE RECURSOS LTDA</v>
          </cell>
        </row>
        <row r="4276">
          <cell r="B4276">
            <v>122630</v>
          </cell>
          <cell r="C4276" t="str">
            <v>KONDOR EQUITY VALOR FIA</v>
          </cell>
          <cell r="D4276" t="str">
            <v>KONDOR EQUITY VALOR FIA</v>
          </cell>
          <cell r="E4276" t="str">
            <v>KONDOR ADMINISTRADORA E GESTORA DE RECURSOS FINANCEIROS LTDA</v>
          </cell>
        </row>
        <row r="4277">
          <cell r="B4277">
            <v>122631</v>
          </cell>
          <cell r="C4277" t="str">
            <v>KONDOR INSTITUCIONAL FI RENDA FIXA</v>
          </cell>
          <cell r="D4277" t="str">
            <v>KONDOR INSTITUCIONAL FI RENDA FIXA</v>
          </cell>
          <cell r="E4277" t="str">
            <v>KONDOR ADMINISTRADORA E GESTORA DE RECURSOS FINANCEIROS LTDA</v>
          </cell>
        </row>
        <row r="4278">
          <cell r="B4278">
            <v>122632</v>
          </cell>
          <cell r="C4278" t="str">
            <v>MORGAN STANLEY CTVM S/A</v>
          </cell>
          <cell r="D4278" t="str">
            <v>MORGAN STANLEY CTVM S/A</v>
          </cell>
          <cell r="E4278" t="str">
            <v>MORGAN STANLEY CTVM S/A</v>
          </cell>
        </row>
        <row r="4279">
          <cell r="B4279">
            <v>122633</v>
          </cell>
          <cell r="C4279" t="str">
            <v>MORGAN STANLEY CTVM S/A</v>
          </cell>
          <cell r="D4279" t="str">
            <v>MORGAN STANLEY CTVM S/A</v>
          </cell>
          <cell r="E4279" t="str">
            <v>MORGAN STANLEY CTVM S/A</v>
          </cell>
        </row>
        <row r="4280">
          <cell r="B4280">
            <v>122634</v>
          </cell>
          <cell r="C4280" t="str">
            <v>MORGAN STANLEY CTVM S/A</v>
          </cell>
          <cell r="D4280" t="str">
            <v>MORGAN STANLEY CTVM S/A</v>
          </cell>
          <cell r="E4280" t="str">
            <v>MORGAN STANLEY CTVM S/A</v>
          </cell>
        </row>
        <row r="4281">
          <cell r="B4281">
            <v>122635</v>
          </cell>
          <cell r="C4281" t="str">
            <v>MORGAN STANLEY CTVM S/A</v>
          </cell>
          <cell r="D4281" t="str">
            <v>MORGAN STANLEY CTVM S/A</v>
          </cell>
          <cell r="E4281" t="str">
            <v>MORGAN STANLEY CTVM S/A</v>
          </cell>
        </row>
        <row r="4282">
          <cell r="B4282">
            <v>122636</v>
          </cell>
          <cell r="C4282" t="str">
            <v>KONDOR TILLER ARBITRAGE LLC</v>
          </cell>
          <cell r="D4282" t="str">
            <v>KONDOR TILLER ARBITRAGE LLC</v>
          </cell>
          <cell r="E4282" t="str">
            <v>KONDOR ADMINISTRADORA E GESTORA DE RECURSOS FINANCEIROS LTDA</v>
          </cell>
        </row>
        <row r="4283">
          <cell r="B4283">
            <v>122637</v>
          </cell>
          <cell r="C4283" t="str">
            <v>BB GESTAO DE RECURSOS DTVM LTDA</v>
          </cell>
          <cell r="D4283" t="str">
            <v>BB GESTAO DE RECURSOS DTVM LTDA</v>
          </cell>
          <cell r="E4283" t="str">
            <v>BB GESTAO DE RECURSOS DTVM LTDA</v>
          </cell>
        </row>
        <row r="4284">
          <cell r="B4284">
            <v>122638</v>
          </cell>
          <cell r="C4284" t="str">
            <v>INFINITY LOTUS FI RF</v>
          </cell>
          <cell r="D4284" t="str">
            <v>INFINITY LOTUS FI RF</v>
          </cell>
          <cell r="E4284" t="str">
            <v>INFINITY ASSET MANAG ADM DE RECURSOS LTDA</v>
          </cell>
        </row>
        <row r="4285">
          <cell r="B4285">
            <v>122639</v>
          </cell>
          <cell r="C4285" t="str">
            <v>INFINITY INSTITUCIONAL FIM</v>
          </cell>
          <cell r="D4285" t="str">
            <v>INFINITY INSTITUCIONAL FIM</v>
          </cell>
          <cell r="E4285" t="str">
            <v>INFINITY ASSET MANAG ADM DE RECURSOS LTDA</v>
          </cell>
        </row>
        <row r="4286">
          <cell r="B4286">
            <v>12264</v>
          </cell>
          <cell r="C4286" t="str">
            <v>VENTOR INVESTIMENTOS LTDA</v>
          </cell>
          <cell r="D4286" t="str">
            <v>VENTOR INVESTIMENTOS LTDA</v>
          </cell>
          <cell r="E4286" t="str">
            <v>VENTOR INVESTIMENTOS LTDA</v>
          </cell>
        </row>
        <row r="4287">
          <cell r="B4287">
            <v>122640</v>
          </cell>
          <cell r="C4287" t="str">
            <v>INFINITY SELECTION FIA</v>
          </cell>
          <cell r="D4287" t="str">
            <v>INFINITY SELECTION FIA</v>
          </cell>
          <cell r="E4287" t="str">
            <v>INFINITY ASSET MANAG ADM DE RECURSOS LTDA</v>
          </cell>
        </row>
        <row r="4288">
          <cell r="B4288">
            <v>122641</v>
          </cell>
          <cell r="C4288" t="str">
            <v>INFINITY EAGLE FIM</v>
          </cell>
          <cell r="D4288" t="str">
            <v>INFINITY EAGLE FIM</v>
          </cell>
          <cell r="E4288" t="str">
            <v>INFINITY ASSET MANAG ADM DE RECURSOS LTDA</v>
          </cell>
        </row>
        <row r="4289">
          <cell r="B4289">
            <v>122642</v>
          </cell>
          <cell r="C4289" t="str">
            <v>BELUGA FUNDO DE INVESTIMENTO MULTIMERCADO</v>
          </cell>
          <cell r="D4289" t="str">
            <v>BELUGA FUNDO DE INVESTIMENTO MULTIMERCADO</v>
          </cell>
          <cell r="E4289" t="str">
            <v>VANQUISH ASSET MANAGEMENT LTDA</v>
          </cell>
        </row>
        <row r="4290">
          <cell r="B4290">
            <v>122643</v>
          </cell>
          <cell r="C4290" t="str">
            <v>INFINITY SECLA FIM</v>
          </cell>
          <cell r="D4290" t="str">
            <v>INFINITY SECLA FIM</v>
          </cell>
          <cell r="E4290" t="str">
            <v>INFINITY ASSET MANAG ADM DE RECURSOS LTDA</v>
          </cell>
        </row>
        <row r="4291">
          <cell r="B4291">
            <v>122644</v>
          </cell>
          <cell r="C4291" t="str">
            <v>INFINITY UNIQUE FIM</v>
          </cell>
          <cell r="D4291" t="str">
            <v>INFINITY UNIQUE FIM</v>
          </cell>
          <cell r="E4291" t="str">
            <v>INFINITY ASSET MANAG ADM DE RECURSOS LTDA</v>
          </cell>
        </row>
        <row r="4292">
          <cell r="B4292">
            <v>122645</v>
          </cell>
          <cell r="C4292" t="str">
            <v>GDX FIM CP</v>
          </cell>
          <cell r="D4292" t="str">
            <v>GDX FIM CP</v>
          </cell>
          <cell r="E4292" t="str">
            <v>IPORANGA INVESTIMENTOS LTDA</v>
          </cell>
        </row>
        <row r="4293">
          <cell r="B4293">
            <v>122646</v>
          </cell>
          <cell r="C4293" t="str">
            <v>BANCO DO BRASIL S/A</v>
          </cell>
          <cell r="D4293" t="str">
            <v>BANCO DO BRASIL S/A</v>
          </cell>
          <cell r="E4293" t="str">
            <v>BANCO DO BRASIL S/A</v>
          </cell>
        </row>
        <row r="4294">
          <cell r="B4294">
            <v>122647</v>
          </cell>
          <cell r="C4294" t="str">
            <v>MORGAN STANLEY CTVM S/A</v>
          </cell>
          <cell r="D4294" t="str">
            <v>MORGAN STANLEY CTVM S/A</v>
          </cell>
          <cell r="E4294" t="str">
            <v>MORGAN STANLEY CTVM S/A</v>
          </cell>
        </row>
        <row r="4295">
          <cell r="B4295">
            <v>122648</v>
          </cell>
          <cell r="C4295" t="str">
            <v>BRUNO DE OLIVEIRA COSTA</v>
          </cell>
          <cell r="D4295" t="str">
            <v>BRUNO DE OLIVEIRA COSTA</v>
          </cell>
          <cell r="E4295" t="str">
            <v>BRUNO DE OLIVEIRA COSTA</v>
          </cell>
        </row>
        <row r="4296">
          <cell r="B4296">
            <v>122987</v>
          </cell>
          <cell r="C4296" t="str">
            <v>BANCO SANTANDER (BRASIL) S/A</v>
          </cell>
          <cell r="D4296" t="str">
            <v>BANCO SANTANDER (BRASIL) S/A</v>
          </cell>
          <cell r="E4296" t="str">
            <v>BANCO SANTANDER (BRASIL) S/A</v>
          </cell>
        </row>
        <row r="4297">
          <cell r="B4297">
            <v>12265</v>
          </cell>
          <cell r="C4297" t="str">
            <v>META ASSET MANAGEMENT LTDA</v>
          </cell>
          <cell r="D4297" t="str">
            <v>META ASSET MANAGEMENT LTDA</v>
          </cell>
          <cell r="E4297" t="str">
            <v>META ASSET MANAGEMENT LTDA</v>
          </cell>
        </row>
        <row r="4298">
          <cell r="B4298">
            <v>122651</v>
          </cell>
          <cell r="C4298" t="str">
            <v>GALILEO TM LLC</v>
          </cell>
          <cell r="D4298" t="str">
            <v>GALILEO TM LLC</v>
          </cell>
          <cell r="E4298" t="str">
            <v>TEMPO CAPITAL GESTAO DE RECURSOS LTDA</v>
          </cell>
        </row>
        <row r="4299">
          <cell r="B4299">
            <v>122652</v>
          </cell>
          <cell r="C4299" t="str">
            <v>EMILIO CARLOS BARBOSA DE CARVALHO</v>
          </cell>
          <cell r="D4299" t="str">
            <v>EMILIO CARLOS BARBOSA DE CARVALHO</v>
          </cell>
          <cell r="E4299" t="str">
            <v>EMILIO CARLOS BARBOSA DE CARVALHO</v>
          </cell>
        </row>
        <row r="4300">
          <cell r="B4300">
            <v>122653</v>
          </cell>
          <cell r="C4300" t="str">
            <v>FRAM CAPITAL AMUNDSEN FIM</v>
          </cell>
          <cell r="D4300" t="str">
            <v>FRAM CAPITAL AMUNDSEN FIM</v>
          </cell>
          <cell r="E4300" t="str">
            <v>FRAM CAPITAL GESTAO DE ATIVOS LTDA</v>
          </cell>
        </row>
        <row r="4301">
          <cell r="B4301">
            <v>122654</v>
          </cell>
          <cell r="C4301" t="str">
            <v>NILSEN FIM CP</v>
          </cell>
          <cell r="D4301" t="str">
            <v>NILSEN FIM CP</v>
          </cell>
          <cell r="E4301" t="str">
            <v>FRAM CAPITAL GESTAO DE ATIVOS LTDA</v>
          </cell>
        </row>
        <row r="4302">
          <cell r="B4302">
            <v>122655</v>
          </cell>
          <cell r="C4302" t="str">
            <v>FRAM CAPITAL SVERDRUP FI RF LP</v>
          </cell>
          <cell r="D4302" t="str">
            <v>FRAM CAPITAL SVERDRUP FI RF LP</v>
          </cell>
          <cell r="E4302" t="str">
            <v>FRAM CAPITAL GESTAO DE ATIVOS LTDA</v>
          </cell>
        </row>
        <row r="4303">
          <cell r="B4303">
            <v>122656</v>
          </cell>
          <cell r="C4303" t="str">
            <v>FRAM CAPITAL GJERTSEN FIA</v>
          </cell>
          <cell r="D4303" t="str">
            <v>FRAM CAPITAL GJERTSEN FIA</v>
          </cell>
          <cell r="E4303" t="str">
            <v>FRAM CAPITAL GESTAO DE ATIVOS LTDA</v>
          </cell>
        </row>
        <row r="4304">
          <cell r="B4304">
            <v>122657</v>
          </cell>
          <cell r="C4304" t="str">
            <v>FRAM CAPITAL PREVIDENCIA RV 20 FIM</v>
          </cell>
          <cell r="D4304" t="str">
            <v>FRAM CAPITAL PREVIDENCIA RV 20 FIM</v>
          </cell>
          <cell r="E4304" t="str">
            <v>FRAM CAPITAL GESTAO DE ATIVOS LTDA</v>
          </cell>
        </row>
        <row r="4305">
          <cell r="B4305">
            <v>122658</v>
          </cell>
          <cell r="C4305" t="str">
            <v>FRAM CAPITAL NANSEN FIM</v>
          </cell>
          <cell r="D4305" t="str">
            <v>FRAM CAPITAL NANSEN FIM</v>
          </cell>
          <cell r="E4305" t="str">
            <v>FRAM CAPITAL GESTAO DE ATIVOS LTDA</v>
          </cell>
        </row>
        <row r="4306">
          <cell r="B4306">
            <v>122659</v>
          </cell>
          <cell r="C4306" t="str">
            <v>FRAM CAPITAL PREVIDENCIA FI RF LP</v>
          </cell>
          <cell r="D4306" t="str">
            <v>FRAM CAPITAL PREVIDENCIA FI RF LP</v>
          </cell>
          <cell r="E4306" t="str">
            <v>FRAM CAPITAL GESTAO DE ATIVOS LTDA</v>
          </cell>
        </row>
        <row r="4307">
          <cell r="B4307">
            <v>12266</v>
          </cell>
          <cell r="C4307" t="str">
            <v>MAUA INVESTIMENTOS LTDA</v>
          </cell>
          <cell r="D4307" t="str">
            <v>MAUA INVESTIMENTOS LTDA</v>
          </cell>
          <cell r="E4307" t="str">
            <v>MAUA INVESTIMENTOS LTDA</v>
          </cell>
        </row>
        <row r="4308">
          <cell r="B4308">
            <v>122660</v>
          </cell>
          <cell r="C4308" t="str">
            <v>CAIEIRAS FIM IE CP</v>
          </cell>
          <cell r="D4308" t="str">
            <v>CAIEIRAS FIM IE CP</v>
          </cell>
          <cell r="E4308" t="str">
            <v>MORGAN STANLEY ADMINISTRADORA DE CARTEIRAS S/A</v>
          </cell>
        </row>
        <row r="4309">
          <cell r="B4309">
            <v>122661</v>
          </cell>
          <cell r="C4309" t="str">
            <v>FIM CP IE BRADESCO BIT ( ANTIGO FIM IE TELLUS)</v>
          </cell>
          <cell r="D4309" t="str">
            <v>FIM CP IE BRADESCO BIT ( ANTIGO FIM IE TELLUS)</v>
          </cell>
          <cell r="E4309" t="str">
            <v>FIM CP IE BRADESCO BIT ( ANTIGO FIM IE TELLUS)</v>
          </cell>
        </row>
        <row r="4310">
          <cell r="B4310">
            <v>122662</v>
          </cell>
          <cell r="C4310" t="str">
            <v>ASGARD FIA</v>
          </cell>
          <cell r="D4310" t="str">
            <v>ASGARD FIA</v>
          </cell>
          <cell r="E4310" t="str">
            <v>SANTANDER BRASIL GESTAO DE RECURSOS LTDA</v>
          </cell>
        </row>
        <row r="4311">
          <cell r="B4311">
            <v>122664</v>
          </cell>
          <cell r="C4311" t="str">
            <v>BNP PARIBAS EQUITY HEDGE FIM</v>
          </cell>
          <cell r="D4311" t="str">
            <v>BNP PARIBAS EQUITY HEDGE FIM</v>
          </cell>
          <cell r="E4311" t="str">
            <v>BNP PARIBAS ASSET MANAGEMENT BRASIL LTDA</v>
          </cell>
        </row>
        <row r="4312">
          <cell r="B4312">
            <v>122665</v>
          </cell>
          <cell r="C4312" t="str">
            <v>BNP PARIBAS ACTION MASTER FIA</v>
          </cell>
          <cell r="D4312" t="str">
            <v>BNP PARIBAS ACTION MASTER FIA</v>
          </cell>
          <cell r="E4312" t="str">
            <v>BNP PARIBAS ASSET MANAGEMENT BRASIL LTDA</v>
          </cell>
        </row>
        <row r="4313">
          <cell r="B4313">
            <v>122666</v>
          </cell>
          <cell r="C4313" t="str">
            <v>BNP PARIBAS MOMENTUM FIM CAPITAL PROTEGIDO</v>
          </cell>
          <cell r="D4313" t="str">
            <v>BNP PARIBAS MOMENTUM FIM CAPITAL PROTEGIDO</v>
          </cell>
          <cell r="E4313" t="str">
            <v>BNP PARIBAS ASSET MANAGEMENT BRASIL LTDA</v>
          </cell>
        </row>
        <row r="4314">
          <cell r="B4314">
            <v>122667</v>
          </cell>
          <cell r="C4314" t="str">
            <v>BNP PARIBAS SMART FIM</v>
          </cell>
          <cell r="D4314" t="str">
            <v>BNP PARIBAS SMART FIM</v>
          </cell>
          <cell r="E4314" t="str">
            <v>BNP PARIBAS ASSET MANAGEMENT BRASIL LTDA</v>
          </cell>
        </row>
        <row r="4315">
          <cell r="B4315">
            <v>122668</v>
          </cell>
          <cell r="C4315" t="str">
            <v>BNP PARIBAS YIELD CLASSIQUE FI MULTIMERCADO LONGO PRAZO</v>
          </cell>
          <cell r="D4315" t="str">
            <v>BNP PARIBAS YIELD CLASSIQUE FI MULTIMERCADO LONGO PRAZO</v>
          </cell>
          <cell r="E4315" t="str">
            <v>BNP PARIBAS ASSET MANAGEMENT BRASIL LTDA</v>
          </cell>
        </row>
        <row r="4316">
          <cell r="B4316">
            <v>122669</v>
          </cell>
          <cell r="C4316" t="str">
            <v>BNP PARIBAS HEDGE CLASSIQUE FIM LP</v>
          </cell>
          <cell r="D4316" t="str">
            <v>BNP PARIBAS HEDGE CLASSIQUE FIM LP</v>
          </cell>
          <cell r="E4316" t="str">
            <v>BNP PARIBAS ASSET MANAGEMENT BRASIL LTDA</v>
          </cell>
        </row>
        <row r="4317">
          <cell r="B4317">
            <v>122670</v>
          </cell>
          <cell r="C4317" t="str">
            <v>BNP PARIBAS LONG AND SHORT FIM</v>
          </cell>
          <cell r="D4317" t="str">
            <v>BNP PARIBAS LONG AND SHORT FIM</v>
          </cell>
          <cell r="E4317" t="str">
            <v>BNP PARIBAS ASSET MANAGEMENT BRASIL LTDA</v>
          </cell>
        </row>
        <row r="4318">
          <cell r="B4318">
            <v>122671</v>
          </cell>
          <cell r="C4318" t="str">
            <v>BNP PARIBAS MULTIMANAGER PLUS IB FIM</v>
          </cell>
          <cell r="D4318" t="str">
            <v>BNP PARIBAS MULTIMANAGER PLUS IB FIM</v>
          </cell>
          <cell r="E4318" t="str">
            <v>BNP PARIBAS ASSET MANAGEMENT BRASIL LTDA</v>
          </cell>
        </row>
        <row r="4319">
          <cell r="B4319">
            <v>122672</v>
          </cell>
          <cell r="C4319" t="str">
            <v>BNP PARIBAS MULTIMANAGER IB FIM</v>
          </cell>
          <cell r="D4319" t="str">
            <v>BNP PARIBAS MULTIMANAGER IB FIM</v>
          </cell>
          <cell r="E4319" t="str">
            <v>BNP PARIBAS ASSET MANAGEMENT BRASIL LTDA</v>
          </cell>
        </row>
        <row r="4320">
          <cell r="B4320">
            <v>122673</v>
          </cell>
          <cell r="C4320" t="str">
            <v>BNP PARIBAS ALPHA FIM</v>
          </cell>
          <cell r="D4320" t="str">
            <v>BNP PARIBAS ALPHA FIM</v>
          </cell>
          <cell r="E4320" t="str">
            <v>BNP PARIBAS ASSET MANAGEMENT BRASIL LTDA</v>
          </cell>
        </row>
        <row r="4321">
          <cell r="B4321">
            <v>12290</v>
          </cell>
          <cell r="C4321" t="str">
            <v>BNP PARIBAS ASSET MANAGEMENT BRASIL LTDA</v>
          </cell>
          <cell r="D4321" t="str">
            <v>BNP PARIBAS ASSET MANAGEMENT BRASIL LTDA</v>
          </cell>
          <cell r="E4321" t="str">
            <v>BNP PARIBAS ASSET MANAGEMENT BRASIL LTDA</v>
          </cell>
        </row>
        <row r="4322">
          <cell r="B4322">
            <v>122674</v>
          </cell>
          <cell r="C4322" t="str">
            <v>RINZEN  FIM CP IE</v>
          </cell>
          <cell r="D4322" t="str">
            <v>RINZEN  FIM CP IE</v>
          </cell>
          <cell r="E4322" t="str">
            <v>RINZEN  FIM CP IE</v>
          </cell>
        </row>
        <row r="4323">
          <cell r="B4323">
            <v>122675</v>
          </cell>
          <cell r="C4323" t="str">
            <v>TOPAZIO FIM CP IE</v>
          </cell>
          <cell r="D4323" t="str">
            <v>TOPAZIO FIM CP IE</v>
          </cell>
          <cell r="E4323" t="str">
            <v>BANCO TOPAZIO S/A</v>
          </cell>
        </row>
        <row r="4324">
          <cell r="B4324">
            <v>122676</v>
          </cell>
          <cell r="C4324" t="str">
            <v>FREIBURG FIM CP IE</v>
          </cell>
          <cell r="D4324" t="str">
            <v>FREIBURG FIM CP IE</v>
          </cell>
          <cell r="E4324" t="str">
            <v>FREIBURG FIM CP IE</v>
          </cell>
        </row>
        <row r="4325">
          <cell r="B4325">
            <v>122677</v>
          </cell>
          <cell r="C4325" t="str">
            <v>LUCRO 2 FIM CP IE</v>
          </cell>
          <cell r="D4325" t="str">
            <v>LUCRO 2 FIM CP IE</v>
          </cell>
          <cell r="E4325" t="str">
            <v>LUCRO 2 FIM CP IE</v>
          </cell>
        </row>
        <row r="4326">
          <cell r="B4326">
            <v>122678</v>
          </cell>
          <cell r="C4326" t="str">
            <v>MOGNO FIM CP IE</v>
          </cell>
          <cell r="D4326" t="str">
            <v>MOGNO FIM CP IE</v>
          </cell>
          <cell r="E4326" t="str">
            <v>MOGNO FIM CP IE</v>
          </cell>
        </row>
        <row r="4327">
          <cell r="B4327">
            <v>122679</v>
          </cell>
          <cell r="C4327" t="str">
            <v>DESAFIO FIM CP IE</v>
          </cell>
          <cell r="D4327" t="str">
            <v>DESAFIO FIM CP IE</v>
          </cell>
          <cell r="E4327" t="str">
            <v>DESAFIO FIM CP IE</v>
          </cell>
        </row>
        <row r="4328">
          <cell r="B4328">
            <v>122680</v>
          </cell>
          <cell r="C4328" t="str">
            <v>CANELA FIM CP IE</v>
          </cell>
          <cell r="D4328" t="str">
            <v>CANELA FIM CP IE</v>
          </cell>
          <cell r="E4328" t="str">
            <v>CANELA FIM CP IE</v>
          </cell>
        </row>
        <row r="4329">
          <cell r="B4329">
            <v>122681</v>
          </cell>
          <cell r="C4329" t="str">
            <v>CP 177 FIM CP IE</v>
          </cell>
          <cell r="D4329" t="str">
            <v>CP 177 FIM CP IE</v>
          </cell>
          <cell r="E4329" t="str">
            <v>CP 177 FIM CP IE</v>
          </cell>
        </row>
        <row r="4330">
          <cell r="B4330">
            <v>122682</v>
          </cell>
          <cell r="C4330" t="str">
            <v>TOTAL FIM IE CP</v>
          </cell>
          <cell r="D4330" t="str">
            <v>TOTAL FIM IE CP</v>
          </cell>
          <cell r="E4330" t="str">
            <v>BR PARTNERS GESTAO DE RECURSOS LTDA</v>
          </cell>
        </row>
        <row r="4331">
          <cell r="B4331">
            <v>122683</v>
          </cell>
          <cell r="C4331" t="str">
            <v>KONDOR EQUITY INSTITUCIONAL FIA</v>
          </cell>
          <cell r="D4331" t="str">
            <v>KONDOR EQUITY INSTITUCIONAL FIA</v>
          </cell>
          <cell r="E4331" t="str">
            <v>KONDOR ADMINISTRADORA E GESTORA DE RECURSOS FINANCEIROS LTDA</v>
          </cell>
        </row>
        <row r="4332">
          <cell r="B4332">
            <v>122684</v>
          </cell>
          <cell r="C4332" t="str">
            <v>FALKON EQUITIES LLC</v>
          </cell>
          <cell r="D4332" t="str">
            <v>FALKON EQUITIES LLC</v>
          </cell>
          <cell r="E4332" t="str">
            <v>KONDOR ADMINISTRADORA E GESTORA DE RECURSOS FINANCEIROS LTDA</v>
          </cell>
        </row>
        <row r="4333">
          <cell r="B4333">
            <v>122685</v>
          </cell>
          <cell r="C4333" t="str">
            <v>MORGAN STANLEY CTVM S/A</v>
          </cell>
          <cell r="D4333" t="str">
            <v>MORGAN STANLEY CTVM S/A</v>
          </cell>
          <cell r="E4333" t="str">
            <v>MORGAN STANLEY CTVM S/A</v>
          </cell>
        </row>
        <row r="4334">
          <cell r="B4334">
            <v>122686</v>
          </cell>
          <cell r="C4334" t="str">
            <v>MORGAN STANLEY CTVM S/A</v>
          </cell>
          <cell r="D4334" t="str">
            <v>MORGAN STANLEY CTVM S/A</v>
          </cell>
          <cell r="E4334" t="str">
            <v>MORGAN STANLEY CTVM S/A</v>
          </cell>
        </row>
        <row r="4335">
          <cell r="B4335">
            <v>122689</v>
          </cell>
          <cell r="C4335" t="str">
            <v>MORGAN STANLEY CTVM S/A</v>
          </cell>
          <cell r="D4335" t="str">
            <v>MORGAN STANLEY CTVM S/A</v>
          </cell>
          <cell r="E4335" t="str">
            <v>MORGAN STANLEY CTVM S/A</v>
          </cell>
        </row>
        <row r="4336">
          <cell r="B4336">
            <v>12269</v>
          </cell>
          <cell r="C4336" t="str">
            <v>LAPB GESTAO DE RECURSOS FINANCEIROS LTDA ( ANTIGO MCAP)</v>
          </cell>
          <cell r="D4336" t="str">
            <v>LAPB GESTAO DE RECURSOS FINANCEIROS LTDA ( ANTIGO MCAP)</v>
          </cell>
          <cell r="E4336" t="str">
            <v>LAPB GESTAO DE RECURSOS FINANCEIROS LTDA ( ANTIGO MCAP)</v>
          </cell>
        </row>
        <row r="4337">
          <cell r="B4337">
            <v>122690</v>
          </cell>
          <cell r="C4337" t="str">
            <v>VENTOR LONG ONLY MASTER FIA</v>
          </cell>
          <cell r="D4337" t="str">
            <v>VENTOR LONG ONLY MASTER FIA</v>
          </cell>
          <cell r="E4337" t="str">
            <v>VENTOR LONG ONLY MASTER FIA</v>
          </cell>
        </row>
        <row r="4338">
          <cell r="B4338">
            <v>122692</v>
          </cell>
          <cell r="C4338" t="str">
            <v>PATRIA HEDGE MASTER FIM</v>
          </cell>
          <cell r="D4338" t="str">
            <v>PATRIA HEDGE MASTER FIM</v>
          </cell>
          <cell r="E4338" t="str">
            <v>PATRIA INVESTIMENTOS LTDA</v>
          </cell>
        </row>
        <row r="4339">
          <cell r="B4339">
            <v>122693</v>
          </cell>
          <cell r="C4339" t="str">
            <v>PATRIA EQUITY VALUE MASTER FIA</v>
          </cell>
          <cell r="D4339" t="str">
            <v>PATRIA EQUITY VALUE MASTER FIA</v>
          </cell>
          <cell r="E4339" t="str">
            <v>PATRIA INVESTIMENTOS LTDA</v>
          </cell>
        </row>
        <row r="4340">
          <cell r="B4340">
            <v>122694</v>
          </cell>
          <cell r="C4340" t="str">
            <v>PATRIA EQUITY LONG &amp; SHORT MASTER FIM</v>
          </cell>
          <cell r="D4340" t="str">
            <v>PATRIA EQUITY LONG &amp; SHORT MASTER FIM</v>
          </cell>
          <cell r="E4340" t="str">
            <v>PATRIA INVESTIMENTOS LTDA</v>
          </cell>
        </row>
        <row r="4341">
          <cell r="B4341">
            <v>122695</v>
          </cell>
          <cell r="C4341" t="str">
            <v>SPX PATRIOT MASTER FI FIA RESPONSABILIDADE LIMITADA</v>
          </cell>
          <cell r="D4341" t="str">
            <v>SPX PATRIOT MASTER FI FIA RESPONSABILIDADE LIMITADA</v>
          </cell>
          <cell r="E4341" t="str">
            <v>SPX PATRIOT MASTER FI FIA RESPONSABILIDADE LIMITADA</v>
          </cell>
        </row>
        <row r="4342">
          <cell r="B4342">
            <v>122696</v>
          </cell>
          <cell r="C4342" t="str">
            <v>SPX APACHE FUNDO DE INVESTIMENTO FINANCEIRO DE AÃ‡Ã•ES RL</v>
          </cell>
          <cell r="D4342" t="str">
            <v>SPX APACHE FUNDO DE INVESTIMENTO FINANCEIRO DE AÃ‡Ã•ES RL</v>
          </cell>
          <cell r="E4342" t="str">
            <v>SPX APACHE FUNDO DE INVESTIMENTO FINANCEIRO DE AÃ‡Ã•ES RL</v>
          </cell>
        </row>
        <row r="4343">
          <cell r="B4343">
            <v>122697</v>
          </cell>
          <cell r="C4343" t="str">
            <v>SPX FALCON MASTER FIF EM AÃ‡Ã•ES RL</v>
          </cell>
          <cell r="D4343" t="str">
            <v>SPX FALCON MASTER FIF EM AÃ‡Ã•ES RL</v>
          </cell>
          <cell r="E4343" t="str">
            <v>SPX FALCON MASTER FIF EM AÃ‡Ã•ES RL</v>
          </cell>
        </row>
        <row r="4344">
          <cell r="B4344">
            <v>122698</v>
          </cell>
          <cell r="C4344" t="str">
            <v>SPX RAPTOR MASTER FI EXT MM CP</v>
          </cell>
          <cell r="D4344" t="str">
            <v>SPX RAPTOR MASTER FI EXT MM CP</v>
          </cell>
          <cell r="E4344" t="str">
            <v>SPX RAPTOR MASTER FI EXT MM CP</v>
          </cell>
        </row>
        <row r="4345">
          <cell r="B4345">
            <v>122699</v>
          </cell>
          <cell r="C4345" t="str">
            <v>SPX NIMITZ MASTER FI FIM RESPONSABILIDADE LIMITADA</v>
          </cell>
          <cell r="D4345" t="str">
            <v>SPX NIMITZ MASTER FI FIM RESPONSABILIDADE LIMITADA</v>
          </cell>
          <cell r="E4345" t="str">
            <v>SPX NIMITZ MASTER FI FIM RESPONSABILIDADE LIMITADA</v>
          </cell>
        </row>
        <row r="4346">
          <cell r="B4346">
            <v>12270</v>
          </cell>
          <cell r="C4346" t="str">
            <v>SANTANDER BRASIL ASSET MANAGEMENT DTVM S/A</v>
          </cell>
          <cell r="D4346" t="str">
            <v>SANTANDER BRASIL ASSET MANAGEMENT DTVM S/A</v>
          </cell>
          <cell r="E4346" t="str">
            <v>SANTANDER BRASIL GESTAO DE RECURSOS LTDA</v>
          </cell>
        </row>
        <row r="4347">
          <cell r="B4347">
            <v>122700</v>
          </cell>
          <cell r="C4347" t="str">
            <v>RADAR MULTIMERCARDO CP FI</v>
          </cell>
          <cell r="D4347" t="str">
            <v>RADAR MULTIMERCARDO CP FI</v>
          </cell>
          <cell r="E4347" t="str">
            <v>FRAM CAPITAL GESTAO DE ATIVOS LTDA</v>
          </cell>
        </row>
        <row r="4348">
          <cell r="B4348">
            <v>122701</v>
          </cell>
          <cell r="C4348" t="str">
            <v>FIM 49 OPALA CP</v>
          </cell>
          <cell r="D4348" t="str">
            <v>FIM 49 OPALA CP</v>
          </cell>
          <cell r="E4348" t="str">
            <v>FRAM CAPITAL GESTAO DE ATIVOS LTDA</v>
          </cell>
        </row>
        <row r="4349">
          <cell r="B4349">
            <v>122702</v>
          </cell>
          <cell r="C4349" t="str">
            <v>BEHAVIOR IBOVESPA PLUS FIA</v>
          </cell>
          <cell r="D4349" t="str">
            <v>BEHAVIOR IBOVESPA PLUS FIA</v>
          </cell>
          <cell r="E4349" t="str">
            <v>BEHAVIOR GESTAO DE CAPITAL LTDA</v>
          </cell>
        </row>
        <row r="4350">
          <cell r="B4350">
            <v>122703</v>
          </cell>
          <cell r="C4350" t="str">
            <v>BEHAVIOR FIA</v>
          </cell>
          <cell r="D4350" t="str">
            <v>BEHAVIOR FIA</v>
          </cell>
          <cell r="E4350" t="str">
            <v>BEHAVIOR GESTAO DE CAPITAL LTDA</v>
          </cell>
        </row>
        <row r="4351">
          <cell r="B4351">
            <v>122704</v>
          </cell>
          <cell r="C4351" t="str">
            <v>BEHAVIOR MASTER FIM</v>
          </cell>
          <cell r="D4351" t="str">
            <v>BEHAVIOR MASTER FIM</v>
          </cell>
          <cell r="E4351" t="str">
            <v>BEHAVIOR GESTAO DE CAPITAL LTDA</v>
          </cell>
        </row>
        <row r="4352">
          <cell r="B4352">
            <v>122705</v>
          </cell>
          <cell r="C4352" t="str">
            <v>GDX ALPHA FIM</v>
          </cell>
          <cell r="D4352" t="str">
            <v>GDX ALPHA FIM</v>
          </cell>
          <cell r="E4352" t="str">
            <v>IPORANGA INVESTIMENTOS LTDA</v>
          </cell>
        </row>
        <row r="4353">
          <cell r="B4353">
            <v>122706</v>
          </cell>
          <cell r="C4353" t="str">
            <v>CAIXA FMP- FGTS VALE DO RIO DOCE- MIGRAÃ‡AO</v>
          </cell>
          <cell r="D4353" t="str">
            <v>CAIXA FMP- FGTS VALE DO RIO DOCE- MIGRAÃ‡AO</v>
          </cell>
          <cell r="E4353" t="str">
            <v>CAIXA FMP- FGTS VALE DO RIO DOCE- MIGRAÃ‡AO</v>
          </cell>
        </row>
        <row r="4354">
          <cell r="B4354">
            <v>122707</v>
          </cell>
          <cell r="C4354" t="str">
            <v>FI PREVIDENCIARIO CAIXA PREVINVEST MULTIMERCADO RV 49</v>
          </cell>
          <cell r="D4354" t="str">
            <v>FI PREVIDENCIARIO CAIXA PREVINVEST MULTIMERCADO RV 49</v>
          </cell>
          <cell r="E4354" t="str">
            <v>FI PREVIDENCIARIO CAIXA PREVINVEST MULTIMERCADO RV 49</v>
          </cell>
        </row>
        <row r="4355">
          <cell r="B4355">
            <v>122709</v>
          </cell>
          <cell r="C4355" t="str">
            <v>FI CAIXA MASTER TERMO RF LP</v>
          </cell>
          <cell r="D4355" t="str">
            <v>FI CAIXA MASTER TERMO RF LP</v>
          </cell>
          <cell r="E4355" t="str">
            <v>CAIXA ECONOMICA FEDERAL</v>
          </cell>
        </row>
        <row r="4356">
          <cell r="B4356">
            <v>12271</v>
          </cell>
          <cell r="C4356" t="str">
            <v>BNY MELLON ADMINISTRAÃ‡ÃƒO DE ATIVOS LTDA</v>
          </cell>
          <cell r="D4356" t="str">
            <v>BNY MELLON ADMINISTRAÃ‡ÃƒO DE ATIVOS LTDA</v>
          </cell>
          <cell r="E4356" t="str">
            <v>BNY MELLON ADMINISTRAÃ‡ÃƒO DE ATIVOS LTDA</v>
          </cell>
        </row>
        <row r="4357">
          <cell r="B4357">
            <v>122710</v>
          </cell>
          <cell r="C4357" t="str">
            <v>FI CAIXA ROSSI ESTRUTURA MULTIMERCADO CP LP</v>
          </cell>
          <cell r="D4357" t="str">
            <v>FI CAIXA ROSSI ESTRUTURA MULTIMERCADO CP LP</v>
          </cell>
          <cell r="E4357" t="str">
            <v>CAIXA ECONOMICA FEDERAL</v>
          </cell>
        </row>
        <row r="4358">
          <cell r="B4358">
            <v>122712</v>
          </cell>
          <cell r="C4358" t="str">
            <v>FIA CAIXA CERRADO SUSTENTABILIDADE</v>
          </cell>
          <cell r="D4358" t="str">
            <v>FIA CAIXA CERRADO SUSTENTABILIDADE</v>
          </cell>
          <cell r="E4358" t="str">
            <v>CAIXA ECONOMICA FEDERAL</v>
          </cell>
        </row>
        <row r="4359">
          <cell r="B4359">
            <v>122713</v>
          </cell>
          <cell r="C4359" t="str">
            <v>FIA CAIXA IBRX ATIVO</v>
          </cell>
          <cell r="D4359" t="str">
            <v>FIA CAIXA IBRX ATIVO</v>
          </cell>
          <cell r="E4359" t="str">
            <v>FIA CAIXA IBRX ATIVO</v>
          </cell>
        </row>
        <row r="4360">
          <cell r="B4360">
            <v>122714</v>
          </cell>
          <cell r="C4360" t="str">
            <v>FI EXCLUSIVO CAIXA AERUS MULTIMERCADO CP</v>
          </cell>
          <cell r="D4360" t="str">
            <v>FI EXCLUSIVO CAIXA AERUS MULTIMERCADO CP</v>
          </cell>
          <cell r="E4360" t="str">
            <v>CAIXA ECONOMICA FEDERAL</v>
          </cell>
        </row>
        <row r="4361">
          <cell r="B4361">
            <v>122715</v>
          </cell>
          <cell r="C4361" t="str">
            <v>FUNDO DE INVESTIMENTO EM AÃ‡Ã•ES CAIXA PIBB IBRX-50</v>
          </cell>
          <cell r="D4361" t="str">
            <v>FUNDO DE INVESTIMENTO EM AÃ‡Ã•ES CAIXA PIBB IBRX-50</v>
          </cell>
          <cell r="E4361" t="str">
            <v>CAIXA ECONOMICA FEDERAL</v>
          </cell>
        </row>
        <row r="4362">
          <cell r="B4362">
            <v>122716</v>
          </cell>
          <cell r="C4362" t="str">
            <v>FIA CAIXA IBOVESPA</v>
          </cell>
          <cell r="D4362" t="str">
            <v>FIA CAIXA IBOVESPA</v>
          </cell>
          <cell r="E4362" t="str">
            <v>FIA CAIXA IBOVESPA</v>
          </cell>
        </row>
        <row r="4363">
          <cell r="B4363">
            <v>12272</v>
          </cell>
          <cell r="C4363" t="str">
            <v>SPX GESTAO DE RECURSOS LTDA</v>
          </cell>
          <cell r="D4363" t="str">
            <v>SPX GESTAO DE RECURSOS LTDA</v>
          </cell>
          <cell r="E4363" t="str">
            <v>SPX GESTAO DE RECURSOS LTDA</v>
          </cell>
        </row>
        <row r="4364">
          <cell r="B4364">
            <v>122721</v>
          </cell>
          <cell r="C4364" t="str">
            <v>FI CAIXA FGHAB MULTIMERCADO</v>
          </cell>
          <cell r="D4364" t="str">
            <v>FI CAIXA FGHAB MULTIMERCADO</v>
          </cell>
          <cell r="E4364" t="str">
            <v>FI CAIXA FGHAB MULTIMERCADO</v>
          </cell>
        </row>
        <row r="4365">
          <cell r="B4365">
            <v>122722</v>
          </cell>
          <cell r="C4365" t="str">
            <v>CAIXA FMP- FGTS VALE DO RIO DOCE I</v>
          </cell>
          <cell r="D4365" t="str">
            <v>CAIXA FMP- FGTS VALE DO RIO DOCE I</v>
          </cell>
          <cell r="E4365" t="str">
            <v>CAIXA FMP- FGTS VALE DO RIO DOCE I</v>
          </cell>
        </row>
        <row r="4366">
          <cell r="B4366">
            <v>122723</v>
          </cell>
          <cell r="C4366" t="str">
            <v>CAIXA FMP- FGTS VALE DO RIO DOCE II</v>
          </cell>
          <cell r="D4366" t="str">
            <v>CAIXA FMP- FGTS VALE DO RIO DOCE II</v>
          </cell>
          <cell r="E4366" t="str">
            <v>CAIXA FMP- FGTS VALE DO RIO DOCE II</v>
          </cell>
        </row>
        <row r="4367">
          <cell r="B4367">
            <v>122725</v>
          </cell>
          <cell r="C4367" t="str">
            <v>FI CAIXA SENIOR IV MULTIMERCADO</v>
          </cell>
          <cell r="D4367" t="str">
            <v>FI CAIXA SENIOR IV MULTIMERCADO</v>
          </cell>
          <cell r="E4367" t="str">
            <v>FI CAIXA SENIOR IV MULTIMERCADO</v>
          </cell>
        </row>
        <row r="4368">
          <cell r="B4368">
            <v>122726</v>
          </cell>
          <cell r="C4368" t="str">
            <v>CAIXA FMP- FGTS PETROBRAS III</v>
          </cell>
          <cell r="D4368" t="str">
            <v>CAIXA FMP- FGTS PETROBRAS III</v>
          </cell>
          <cell r="E4368" t="str">
            <v>CAIXA FMP- FGTS PETROBRAS III</v>
          </cell>
        </row>
        <row r="4369">
          <cell r="B4369">
            <v>122727</v>
          </cell>
          <cell r="C4369" t="str">
            <v>CAIXA FMP - FGTS PETROBRAS IV</v>
          </cell>
          <cell r="D4369" t="str">
            <v>CAIXA FMP - FGTS PETROBRAS IV</v>
          </cell>
          <cell r="E4369" t="str">
            <v>CAIXA FMP - FGTS PETROBRAS IV</v>
          </cell>
        </row>
        <row r="4370">
          <cell r="B4370">
            <v>122728</v>
          </cell>
          <cell r="C4370" t="str">
            <v>CAIXA FMP- FGTS PETROBRAS II</v>
          </cell>
          <cell r="D4370" t="str">
            <v>CAIXA FMP- FGTS PETROBRAS II</v>
          </cell>
          <cell r="E4370" t="str">
            <v>CAIXA FMP- FGTS PETROBRAS II</v>
          </cell>
        </row>
        <row r="4371">
          <cell r="B4371">
            <v>122729</v>
          </cell>
          <cell r="C4371" t="str">
            <v>FI CAIXA GARANTIA CONSTRUÃ‡AO NAVAL MULTIMERCADO CP</v>
          </cell>
          <cell r="D4371" t="str">
            <v>FI CAIXA GARANTIA CONSTRUÃ‡AO NAVAL MULTIMERCADO CP</v>
          </cell>
          <cell r="E4371" t="str">
            <v>FI CAIXA GARANTIA CONSTRUÃ‡AO NAVAL MULTIMERCADO CP</v>
          </cell>
        </row>
        <row r="4372">
          <cell r="B4372">
            <v>12273</v>
          </cell>
          <cell r="C4372" t="str">
            <v>ASM ADMINISTRADORA DE RECURSOS S/A</v>
          </cell>
          <cell r="D4372" t="str">
            <v>ASM ADMINISTRADORA DE RECURSOS S/A</v>
          </cell>
          <cell r="E4372" t="str">
            <v>ASM ADMINISTRADORA DE RECURSOS S/A</v>
          </cell>
        </row>
        <row r="4373">
          <cell r="B4373">
            <v>122730</v>
          </cell>
          <cell r="C4373" t="str">
            <v>FI CAIXA BRASIL MULTIMERCADO LP</v>
          </cell>
          <cell r="D4373" t="str">
            <v>FI CAIXA BRASIL MULTIMERCADO LP</v>
          </cell>
          <cell r="E4373" t="str">
            <v>CAIXA ECONOMICA FEDERAL</v>
          </cell>
        </row>
        <row r="4374">
          <cell r="B4374">
            <v>122731</v>
          </cell>
          <cell r="C4374" t="str">
            <v>CAIXA FMP- FGTS CARTEIRA LIVRE PETROBRAS RF 49</v>
          </cell>
          <cell r="D4374" t="str">
            <v>CAIXA FMP- FGTS CARTEIRA LIVRE PETROBRAS RF 49</v>
          </cell>
          <cell r="E4374" t="str">
            <v>CAIXA FMP- FGTS CARTEIRA LIVRE PETROBRAS RF 49</v>
          </cell>
        </row>
        <row r="4375">
          <cell r="B4375">
            <v>122732</v>
          </cell>
          <cell r="C4375" t="str">
            <v>FIA CAIXA E-FUNDO IBOVESPA</v>
          </cell>
          <cell r="D4375" t="str">
            <v>FIA CAIXA E-FUNDO IBOVESPA</v>
          </cell>
          <cell r="E4375" t="str">
            <v>CAIXA ECONOMICA FEDERAL</v>
          </cell>
        </row>
        <row r="4376">
          <cell r="B4376">
            <v>122733</v>
          </cell>
          <cell r="C4376" t="str">
            <v>MORGAN STANLEY CTVM S/A</v>
          </cell>
          <cell r="D4376" t="str">
            <v>MORGAN STANLEY CTVM S/A</v>
          </cell>
          <cell r="E4376" t="str">
            <v>MORGAN STANLEY CTVM S/A</v>
          </cell>
        </row>
        <row r="4377">
          <cell r="B4377">
            <v>122734</v>
          </cell>
          <cell r="C4377" t="str">
            <v>MORGAN STANLEY CTVM S/A</v>
          </cell>
          <cell r="D4377" t="str">
            <v>MORGAN STANLEY CTVM S/A</v>
          </cell>
          <cell r="E4377" t="str">
            <v>MORGAN STANLEY CTVM S/A</v>
          </cell>
        </row>
        <row r="4378">
          <cell r="B4378">
            <v>122735</v>
          </cell>
          <cell r="C4378" t="str">
            <v>MORGAN STANLEY CTVM S/A</v>
          </cell>
          <cell r="D4378" t="str">
            <v>MORGAN STANLEY CTVM S/A</v>
          </cell>
          <cell r="E4378" t="str">
            <v>MORGAN STANLEY CTVM S/A</v>
          </cell>
        </row>
        <row r="4379">
          <cell r="B4379">
            <v>122736</v>
          </cell>
          <cell r="C4379" t="str">
            <v>MORGAN STANLEY CTVM S/A</v>
          </cell>
          <cell r="D4379" t="str">
            <v>MORGAN STANLEY CTVM S/A</v>
          </cell>
          <cell r="E4379" t="str">
            <v>MORGAN STANLEY CTVM S/A</v>
          </cell>
        </row>
        <row r="4380">
          <cell r="B4380">
            <v>122737</v>
          </cell>
          <cell r="C4380" t="str">
            <v>MORGAN STANLEY CTVM S/A</v>
          </cell>
          <cell r="D4380" t="str">
            <v>MORGAN STANLEY CTVM S/A</v>
          </cell>
          <cell r="E4380" t="str">
            <v>MORGAN STANLEY CTVM S/A</v>
          </cell>
        </row>
        <row r="4381">
          <cell r="B4381">
            <v>122738</v>
          </cell>
          <cell r="C4381" t="str">
            <v>MORGAN STANLEY CTVM S/A</v>
          </cell>
          <cell r="D4381" t="str">
            <v>MORGAN STANLEY CTVM S/A</v>
          </cell>
          <cell r="E4381" t="str">
            <v>MORGAN STANLEY CTVM S/A</v>
          </cell>
        </row>
        <row r="4382">
          <cell r="B4382">
            <v>122739</v>
          </cell>
          <cell r="C4382" t="str">
            <v>MORGAN STANLEY CTVM S/A</v>
          </cell>
          <cell r="D4382" t="str">
            <v>MORGAN STANLEY CTVM S/A</v>
          </cell>
          <cell r="E4382" t="str">
            <v>MORGAN STANLEY CTVM S/A</v>
          </cell>
        </row>
        <row r="4383">
          <cell r="B4383">
            <v>12371</v>
          </cell>
          <cell r="C4383" t="str">
            <v>IBIRAPUERA PERFORMANCE INVESTIMENTOS LTDA</v>
          </cell>
          <cell r="D4383" t="str">
            <v>IBIRAPUERA PERFORMANCE INVESTIMENTOS LTDA</v>
          </cell>
          <cell r="E4383" t="str">
            <v>IBIUNA GESTAO DE RECURSOS LTDA</v>
          </cell>
        </row>
        <row r="4384">
          <cell r="B4384">
            <v>122740</v>
          </cell>
          <cell r="C4384" t="str">
            <v>MORGAN STANLEY CTVM S/A</v>
          </cell>
          <cell r="D4384" t="str">
            <v>MORGAN STANLEY CTVM S/A</v>
          </cell>
          <cell r="E4384" t="str">
            <v>MORGAN STANLEY CTVM S/A</v>
          </cell>
        </row>
        <row r="4385">
          <cell r="B4385">
            <v>122741</v>
          </cell>
          <cell r="C4385" t="str">
            <v>MORGAN STANLEY CTVM S/A</v>
          </cell>
          <cell r="D4385" t="str">
            <v>MORGAN STANLEY CTVM S/A</v>
          </cell>
          <cell r="E4385" t="str">
            <v>MORGAN STANLEY CTVM S/A</v>
          </cell>
        </row>
        <row r="4386">
          <cell r="B4386">
            <v>122742</v>
          </cell>
          <cell r="C4386" t="str">
            <v>MORGAN STANLEY CTVM S/A</v>
          </cell>
          <cell r="D4386" t="str">
            <v>MORGAN STANLEY CTVM S/A</v>
          </cell>
          <cell r="E4386" t="str">
            <v>MORGAN STANLEY CTVM S/A</v>
          </cell>
        </row>
        <row r="4387">
          <cell r="B4387">
            <v>122743</v>
          </cell>
          <cell r="C4387" t="str">
            <v>MORGAN STANLEY CTVM S/A</v>
          </cell>
          <cell r="D4387" t="str">
            <v>MORGAN STANLEY CTVM S/A</v>
          </cell>
          <cell r="E4387" t="str">
            <v>MORGAN STANLEY CTVM S/A</v>
          </cell>
        </row>
        <row r="4388">
          <cell r="B4388">
            <v>122744</v>
          </cell>
          <cell r="C4388" t="str">
            <v>MORGAN STANLEY CTVM S/A</v>
          </cell>
          <cell r="D4388" t="str">
            <v>MORGAN STANLEY CTVM S/A</v>
          </cell>
          <cell r="E4388" t="str">
            <v>MORGAN STANLEY CTVM S/A</v>
          </cell>
        </row>
        <row r="4389">
          <cell r="B4389">
            <v>122745</v>
          </cell>
          <cell r="C4389" t="str">
            <v>MORGAN STANLEY CTVM S/A</v>
          </cell>
          <cell r="D4389" t="str">
            <v>MORGAN STANLEY CTVM S/A</v>
          </cell>
          <cell r="E4389" t="str">
            <v>MORGAN STANLEY CTVM S/A</v>
          </cell>
        </row>
        <row r="4390">
          <cell r="B4390">
            <v>122746</v>
          </cell>
          <cell r="C4390" t="str">
            <v>MORGAN STANLEY CTVM S/A</v>
          </cell>
          <cell r="D4390" t="str">
            <v>MORGAN STANLEY CTVM S/A</v>
          </cell>
          <cell r="E4390" t="str">
            <v>MORGAN STANLEY CTVM S/A</v>
          </cell>
        </row>
        <row r="4391">
          <cell r="B4391">
            <v>122747</v>
          </cell>
          <cell r="C4391" t="str">
            <v>MORGAN STANLEY CTVM S/A</v>
          </cell>
          <cell r="D4391" t="str">
            <v>MORGAN STANLEY CTVM S/A</v>
          </cell>
          <cell r="E4391" t="str">
            <v>MORGAN STANLEY CTVM S/A</v>
          </cell>
        </row>
        <row r="4392">
          <cell r="B4392">
            <v>122748</v>
          </cell>
          <cell r="C4392" t="str">
            <v>MORGAN STANLEY CTVM S/A</v>
          </cell>
          <cell r="D4392" t="str">
            <v>MORGAN STANLEY CTVM S/A</v>
          </cell>
          <cell r="E4392" t="str">
            <v>MORGAN STANLEY CTVM S/A</v>
          </cell>
        </row>
        <row r="4393">
          <cell r="B4393">
            <v>122749</v>
          </cell>
          <cell r="C4393" t="str">
            <v>MORGAN STANLEY CTVM S/A</v>
          </cell>
          <cell r="D4393" t="str">
            <v>MORGAN STANLEY CTVM S/A</v>
          </cell>
          <cell r="E4393" t="str">
            <v>MORGAN STANLEY CTVM S/A</v>
          </cell>
        </row>
        <row r="4394">
          <cell r="B4394">
            <v>122750</v>
          </cell>
          <cell r="C4394" t="str">
            <v>MORGAN STANLEY CTVM S/A</v>
          </cell>
          <cell r="D4394" t="str">
            <v>MORGAN STANLEY CTVM S/A</v>
          </cell>
          <cell r="E4394" t="str">
            <v>MORGAN STANLEY CTVM S/A</v>
          </cell>
        </row>
        <row r="4395">
          <cell r="B4395">
            <v>122751</v>
          </cell>
          <cell r="C4395" t="str">
            <v>MORGAN STANLEY CTVM S/A</v>
          </cell>
          <cell r="D4395" t="str">
            <v>MORGAN STANLEY CTVM S/A</v>
          </cell>
          <cell r="E4395" t="str">
            <v>MORGAN STANLEY CTVM S/A</v>
          </cell>
        </row>
        <row r="4396">
          <cell r="B4396">
            <v>122752</v>
          </cell>
          <cell r="C4396" t="str">
            <v>MORGAN STANLEY CTVM S/A</v>
          </cell>
          <cell r="D4396" t="str">
            <v>MORGAN STANLEY CTVM S/A</v>
          </cell>
          <cell r="E4396" t="str">
            <v>MORGAN STANLEY CTVM S/A</v>
          </cell>
        </row>
        <row r="4397">
          <cell r="B4397">
            <v>122753</v>
          </cell>
          <cell r="C4397" t="str">
            <v>MORGAN STANLEY CTVM S/A</v>
          </cell>
          <cell r="D4397" t="str">
            <v>MORGAN STANLEY CTVM S/A</v>
          </cell>
          <cell r="E4397" t="str">
            <v>MORGAN STANLEY CTVM S/A</v>
          </cell>
        </row>
        <row r="4398">
          <cell r="B4398">
            <v>122754</v>
          </cell>
          <cell r="C4398" t="str">
            <v>MORGAN STANLEY CTVM S/A</v>
          </cell>
          <cell r="D4398" t="str">
            <v>MORGAN STANLEY CTVM S/A</v>
          </cell>
          <cell r="E4398" t="str">
            <v>MORGAN STANLEY CTVM S/A</v>
          </cell>
        </row>
        <row r="4399">
          <cell r="B4399">
            <v>122755</v>
          </cell>
          <cell r="C4399" t="str">
            <v>MORGAN STANLEY CTVM S/A</v>
          </cell>
          <cell r="D4399" t="str">
            <v>MORGAN STANLEY CTVM S/A</v>
          </cell>
          <cell r="E4399" t="str">
            <v>MORGAN STANLEY CTVM S/A</v>
          </cell>
        </row>
        <row r="4400">
          <cell r="B4400">
            <v>122756</v>
          </cell>
          <cell r="C4400" t="str">
            <v>MORGAN STANLEY CTVM S/A</v>
          </cell>
          <cell r="D4400" t="str">
            <v>MORGAN STANLEY CTVM S/A</v>
          </cell>
          <cell r="E4400" t="str">
            <v>MORGAN STANLEY CTVM S/A</v>
          </cell>
        </row>
        <row r="4401">
          <cell r="B4401">
            <v>122757</v>
          </cell>
          <cell r="C4401" t="str">
            <v>MORGAN STANLEY CTVM S/A</v>
          </cell>
          <cell r="D4401" t="str">
            <v>MORGAN STANLEY CTVM S/A</v>
          </cell>
          <cell r="E4401" t="str">
            <v>MORGAN STANLEY CTVM S/A</v>
          </cell>
        </row>
        <row r="4402">
          <cell r="B4402">
            <v>122758</v>
          </cell>
          <cell r="C4402" t="str">
            <v>FIA BOTANICA SUSTENTABILIDADE</v>
          </cell>
          <cell r="D4402" t="str">
            <v>FIA BOTANICA SUSTENTABILIDADE</v>
          </cell>
          <cell r="E4402" t="str">
            <v>BB GESTAO DE RECURSOS DTVM LTDA</v>
          </cell>
        </row>
        <row r="4403">
          <cell r="B4403">
            <v>122759</v>
          </cell>
          <cell r="C4403" t="str">
            <v>MORGAN STANLEY CTVM S/A</v>
          </cell>
          <cell r="D4403" t="str">
            <v>MORGAN STANLEY CTVM S/A</v>
          </cell>
          <cell r="E4403" t="str">
            <v>MORGAN STANLEY CTVM S/A</v>
          </cell>
        </row>
        <row r="4404">
          <cell r="B4404">
            <v>12276</v>
          </cell>
          <cell r="C4404" t="str">
            <v>DYNAMO ADMINISTRACAO DE RECURSOS LTDA</v>
          </cell>
          <cell r="D4404" t="str">
            <v>DYNAMO ADMINISTRACAO DE RECURSOS LTDA</v>
          </cell>
          <cell r="E4404" t="str">
            <v>DYNAMO ADMINISTRACAO DE RECURSOS LTDA</v>
          </cell>
        </row>
        <row r="4405">
          <cell r="B4405">
            <v>122761</v>
          </cell>
          <cell r="C4405" t="str">
            <v>FIA SABESPREV BAHIA AM VALUATION</v>
          </cell>
          <cell r="D4405" t="str">
            <v>FIA SABESPREV BAHIA AM VALUATION</v>
          </cell>
          <cell r="E4405" t="str">
            <v>FIA SABESPREV BAHIA AM VALUATION</v>
          </cell>
        </row>
        <row r="4406">
          <cell r="B4406">
            <v>122762</v>
          </cell>
          <cell r="C4406" t="str">
            <v>MORGAN STANLEY CTVM S/A</v>
          </cell>
          <cell r="D4406" t="str">
            <v>MORGAN STANLEY CTVM S/A</v>
          </cell>
          <cell r="E4406" t="str">
            <v>MORGAN STANLEY CTVM S/A</v>
          </cell>
        </row>
        <row r="4407">
          <cell r="B4407">
            <v>122763</v>
          </cell>
          <cell r="C4407" t="str">
            <v>MORGAN STANLEY CTVM S/A</v>
          </cell>
          <cell r="D4407" t="str">
            <v>MORGAN STANLEY CTVM S/A</v>
          </cell>
          <cell r="E4407" t="str">
            <v>MORGAN STANLEY CTVM S/A</v>
          </cell>
        </row>
        <row r="4408">
          <cell r="B4408">
            <v>122764</v>
          </cell>
          <cell r="C4408" t="str">
            <v>MORGAN STANLEY CTVM S/A</v>
          </cell>
          <cell r="D4408" t="str">
            <v>MORGAN STANLEY CTVM S/A</v>
          </cell>
          <cell r="E4408" t="str">
            <v>MORGAN STANLEY CTVM S/A</v>
          </cell>
        </row>
        <row r="4409">
          <cell r="B4409">
            <v>122765</v>
          </cell>
          <cell r="C4409" t="str">
            <v>MORGAN STANLEY CTVM S/A</v>
          </cell>
          <cell r="D4409" t="str">
            <v>MORGAN STANLEY CTVM S/A</v>
          </cell>
          <cell r="E4409" t="str">
            <v>MORGAN STANLEY CTVM S/A</v>
          </cell>
        </row>
        <row r="4410">
          <cell r="B4410">
            <v>122766</v>
          </cell>
          <cell r="C4410" t="str">
            <v>MORGAN STANLEY CTVM S/A</v>
          </cell>
          <cell r="D4410" t="str">
            <v>MORGAN STANLEY CTVM S/A</v>
          </cell>
          <cell r="E4410" t="str">
            <v>MORGAN STANLEY CTVM S/A</v>
          </cell>
        </row>
        <row r="4411">
          <cell r="B4411">
            <v>122767</v>
          </cell>
          <cell r="C4411" t="str">
            <v>MORGAN STANLEY CTVM S/A</v>
          </cell>
          <cell r="D4411" t="str">
            <v>MORGAN STANLEY CTVM S/A</v>
          </cell>
          <cell r="E4411" t="str">
            <v>MORGAN STANLEY CTVM S/A</v>
          </cell>
        </row>
        <row r="4412">
          <cell r="B4412">
            <v>122768</v>
          </cell>
          <cell r="C4412" t="str">
            <v>MORGAN STANLEY CTVM S/A</v>
          </cell>
          <cell r="D4412" t="str">
            <v>MORGAN STANLEY CTVM S/A</v>
          </cell>
          <cell r="E4412" t="str">
            <v>MORGAN STANLEY CTVM S/A</v>
          </cell>
        </row>
        <row r="4413">
          <cell r="B4413">
            <v>122769</v>
          </cell>
          <cell r="C4413" t="str">
            <v>MORGAN STANLEY CTVM S/A</v>
          </cell>
          <cell r="D4413" t="str">
            <v>MORGAN STANLEY CTVM S/A</v>
          </cell>
          <cell r="E4413" t="str">
            <v>MORGAN STANLEY CTVM S/A</v>
          </cell>
        </row>
        <row r="4414">
          <cell r="B4414">
            <v>122770</v>
          </cell>
          <cell r="C4414" t="str">
            <v>MORGAN STANLEY CTVM S/A</v>
          </cell>
          <cell r="D4414" t="str">
            <v>MORGAN STANLEY CTVM S/A</v>
          </cell>
          <cell r="E4414" t="str">
            <v>MORGAN STANLEY CTVM S/A</v>
          </cell>
        </row>
        <row r="4415">
          <cell r="B4415">
            <v>122771</v>
          </cell>
          <cell r="C4415" t="str">
            <v>MORGAN STANLEY CTVM S/A</v>
          </cell>
          <cell r="D4415" t="str">
            <v>MORGAN STANLEY CTVM S/A</v>
          </cell>
          <cell r="E4415" t="str">
            <v>MORGAN STANLEY CTVM S/A</v>
          </cell>
        </row>
        <row r="4416">
          <cell r="B4416">
            <v>122772</v>
          </cell>
          <cell r="C4416" t="str">
            <v>MORGAN STANLEY CTVM S/A</v>
          </cell>
          <cell r="D4416" t="str">
            <v>MORGAN STANLEY CTVM S/A</v>
          </cell>
          <cell r="E4416" t="str">
            <v>MORGAN STANLEY CTVM S/A</v>
          </cell>
        </row>
        <row r="4417">
          <cell r="B4417">
            <v>122773</v>
          </cell>
          <cell r="C4417" t="str">
            <v>MORGAN STANLEY CTVM S/A</v>
          </cell>
          <cell r="D4417" t="str">
            <v>MORGAN STANLEY CTVM S/A</v>
          </cell>
          <cell r="E4417" t="str">
            <v>MORGAN STANLEY CTVM S/A</v>
          </cell>
        </row>
        <row r="4418">
          <cell r="B4418">
            <v>122774</v>
          </cell>
          <cell r="C4418" t="str">
            <v>TEORICA FIM</v>
          </cell>
          <cell r="D4418" t="str">
            <v>TEORICA FIM</v>
          </cell>
          <cell r="E4418" t="str">
            <v>TEORICA FIM</v>
          </cell>
        </row>
        <row r="4419">
          <cell r="B4419">
            <v>82818</v>
          </cell>
          <cell r="C4419" t="str">
            <v>MHD FIF FUNDO DE INVESTIMENTO FINANCEIRO MULTIMERCADO</v>
          </cell>
          <cell r="D4419" t="str">
            <v>MHD FIF FUNDO DE INVESTIMENTO FINANCEIRO MULTIMERCADO</v>
          </cell>
          <cell r="E4419" t="str">
            <v>MORE INVEST GESTORA DE RECURSOS LTDA</v>
          </cell>
        </row>
        <row r="4420">
          <cell r="B4420">
            <v>82868</v>
          </cell>
          <cell r="C4420" t="str">
            <v>MMORE CREDITO IMOBILIÃRIO FII RL</v>
          </cell>
          <cell r="D4420" t="str">
            <v>MMORE CREDITO IMOBILIÃRIO FII RL</v>
          </cell>
          <cell r="E4420" t="str">
            <v>MORE INVEST GESTORA DE RECURSOS LTDA</v>
          </cell>
        </row>
        <row r="4421">
          <cell r="B4421">
            <v>82868</v>
          </cell>
          <cell r="C4421" t="str">
            <v>MMORE CREDITO IMOBILIÃRIO FII RL</v>
          </cell>
          <cell r="D4421" t="str">
            <v>MMORE CREDITO IMOBILIÃRIO FII RL</v>
          </cell>
          <cell r="E4421" t="str">
            <v>MORE INVEST GESTORA DE RECURSOS LTDA</v>
          </cell>
        </row>
        <row r="4422">
          <cell r="B4422">
            <v>122778</v>
          </cell>
          <cell r="C4422" t="str">
            <v>MORGAN STANLEY CTVM S/A</v>
          </cell>
          <cell r="D4422" t="str">
            <v>MORGAN STANLEY CTVM S/A</v>
          </cell>
          <cell r="E4422" t="str">
            <v>MORGAN STANLEY CTVM S/A</v>
          </cell>
        </row>
        <row r="4423">
          <cell r="B4423">
            <v>122779</v>
          </cell>
          <cell r="C4423" t="str">
            <v>MORGAN STANLEY CTVM S/A</v>
          </cell>
          <cell r="D4423" t="str">
            <v>MORGAN STANLEY CTVM S/A</v>
          </cell>
          <cell r="E4423" t="str">
            <v>MORGAN STANLEY CTVM S/A</v>
          </cell>
        </row>
        <row r="4424">
          <cell r="B4424">
            <v>12278</v>
          </cell>
          <cell r="C4424" t="str">
            <v>MARCELO AUGUSTO LUSTOSA DE SOUZA</v>
          </cell>
          <cell r="D4424" t="str">
            <v>MARCELO AUGUSTO LUSTOSA DE SOUZA</v>
          </cell>
          <cell r="E4424" t="str">
            <v>MARCELO AUGUSTO LUSTOSA DE SOUZA</v>
          </cell>
        </row>
        <row r="4425">
          <cell r="B4425">
            <v>122996</v>
          </cell>
          <cell r="C4425" t="str">
            <v>BANCO SANTANDER (BRASIL) S/A</v>
          </cell>
          <cell r="D4425" t="str">
            <v>BANCO SANTANDER (BRASIL) S/A</v>
          </cell>
          <cell r="E4425" t="str">
            <v>BANCO SANTANDER (BRASIL) S/A</v>
          </cell>
        </row>
        <row r="4426">
          <cell r="B4426">
            <v>122781</v>
          </cell>
          <cell r="C4426" t="str">
            <v>NEST QUANT MASTER FIM</v>
          </cell>
          <cell r="D4426" t="str">
            <v>NEST QUANT MASTER FIM</v>
          </cell>
          <cell r="E4426" t="str">
            <v>NEST INVESTIMENTOS LTDA</v>
          </cell>
        </row>
        <row r="4427">
          <cell r="B4427">
            <v>122782</v>
          </cell>
          <cell r="C4427" t="str">
            <v>NEST HEDGE MASTER FIM</v>
          </cell>
          <cell r="D4427" t="str">
            <v>NEST HEDGE MASTER FIM</v>
          </cell>
          <cell r="E4427" t="str">
            <v>NEST INVESTIMENTOS LTDA</v>
          </cell>
        </row>
        <row r="4428">
          <cell r="B4428">
            <v>122783</v>
          </cell>
          <cell r="C4428" t="str">
            <v>A3 GARÃ‡AS FIM CP IE</v>
          </cell>
          <cell r="D4428" t="str">
            <v>A3 GARÃ‡AS FIM CP IE</v>
          </cell>
          <cell r="E4428" t="str">
            <v>A3 PERFORMANCE GESTAO DE RECURSOS LTDA</v>
          </cell>
        </row>
        <row r="4429">
          <cell r="B4429">
            <v>122784</v>
          </cell>
          <cell r="C4429" t="str">
            <v>TELOS IDIV FIA</v>
          </cell>
          <cell r="D4429" t="str">
            <v>TELOS IDIV FIA</v>
          </cell>
          <cell r="E4429" t="str">
            <v>BB GESTAO DE RECURSOS DTVM LTDA</v>
          </cell>
        </row>
        <row r="4430">
          <cell r="B4430">
            <v>122785</v>
          </cell>
          <cell r="C4430" t="str">
            <v>FIA CAIXA SMALL CAPS ATIVO</v>
          </cell>
          <cell r="D4430" t="str">
            <v>FIA CAIXA SMALL CAPS ATIVO</v>
          </cell>
          <cell r="E4430" t="str">
            <v>FIA CAIXA SMALL CAPS ATIVO</v>
          </cell>
        </row>
        <row r="4431">
          <cell r="B4431">
            <v>122786</v>
          </cell>
          <cell r="C4431" t="str">
            <v>FIA CAIXA ENERGIA</v>
          </cell>
          <cell r="D4431" t="str">
            <v>FIA CAIXA ENERGIA</v>
          </cell>
          <cell r="E4431" t="str">
            <v>CAIXA ECONOMICA FEDERAL</v>
          </cell>
        </row>
        <row r="4432">
          <cell r="B4432">
            <v>122787</v>
          </cell>
          <cell r="C4432" t="str">
            <v>CAIXA ETF IBOVESPA FUNDO DE INDICE</v>
          </cell>
          <cell r="D4432" t="str">
            <v>CAIXA ETF IBOVESPA FUNDO DE INDICE</v>
          </cell>
          <cell r="E4432" t="str">
            <v>CAIXA ECONOMICA FEDERAL</v>
          </cell>
        </row>
        <row r="4433">
          <cell r="B4433">
            <v>122788</v>
          </cell>
          <cell r="C4433" t="str">
            <v>FIA CAIXA BRASIL ETF IBOVESPA</v>
          </cell>
          <cell r="D4433" t="str">
            <v>FIA CAIXA BRASIL ETF IBOVESPA</v>
          </cell>
          <cell r="E4433" t="str">
            <v>CAIXA ECONOMICA FEDERAL</v>
          </cell>
        </row>
        <row r="4434">
          <cell r="B4434">
            <v>122789</v>
          </cell>
          <cell r="C4434" t="str">
            <v>MORGAN STANLEY CTVM S/A</v>
          </cell>
          <cell r="D4434" t="str">
            <v>MORGAN STANLEY CTVM S/A</v>
          </cell>
          <cell r="E4434" t="str">
            <v>MORGAN STANLEY CTVM S/A</v>
          </cell>
        </row>
        <row r="4435">
          <cell r="B4435">
            <v>12279</v>
          </cell>
          <cell r="C4435" t="str">
            <v>BANCO BRADESCO S/A</v>
          </cell>
          <cell r="D4435" t="str">
            <v>BANCO BRADESCO S/A</v>
          </cell>
          <cell r="E4435" t="str">
            <v>BANCO BRADESCO S/A</v>
          </cell>
        </row>
        <row r="4436">
          <cell r="B4436">
            <v>122790</v>
          </cell>
          <cell r="C4436" t="str">
            <v>BAMBUSA FIM CP IE</v>
          </cell>
          <cell r="D4436" t="str">
            <v>BAMBUSA FIM CP IE</v>
          </cell>
          <cell r="E4436" t="str">
            <v>FRAM CAPITAL GESTAO DE ATIVOS LTDA</v>
          </cell>
        </row>
        <row r="4437">
          <cell r="B4437">
            <v>122791</v>
          </cell>
          <cell r="C4437" t="str">
            <v>RAMP + 8 FIM CP IE</v>
          </cell>
          <cell r="D4437" t="str">
            <v>RAMP + 8 FIM CP IE</v>
          </cell>
          <cell r="E4437" t="str">
            <v>RAMP + 8 FIM CP IE</v>
          </cell>
        </row>
        <row r="4438">
          <cell r="B4438">
            <v>122792</v>
          </cell>
          <cell r="C4438" t="str">
            <v>IPE FIM CP IE</v>
          </cell>
          <cell r="D4438" t="str">
            <v>IPE FIM CP IE</v>
          </cell>
          <cell r="E4438" t="str">
            <v>IPE FIM CP IE</v>
          </cell>
        </row>
        <row r="4439">
          <cell r="B4439">
            <v>122793</v>
          </cell>
          <cell r="C4439" t="str">
            <v>IMBUIA FIM CP IE</v>
          </cell>
          <cell r="D4439" t="str">
            <v>IMBUIA FIM CP IE</v>
          </cell>
          <cell r="E4439" t="str">
            <v>IMBUIA FIM CP IE</v>
          </cell>
        </row>
        <row r="4440">
          <cell r="B4440">
            <v>122794</v>
          </cell>
          <cell r="C4440" t="str">
            <v>AGATHON FIC DE FIM CP IE</v>
          </cell>
          <cell r="D4440" t="str">
            <v>AGATHON FIC DE FIM CP IE</v>
          </cell>
          <cell r="E4440" t="str">
            <v>AGATHON FIC DE FIM CP IE</v>
          </cell>
        </row>
        <row r="4441">
          <cell r="B4441">
            <v>122795</v>
          </cell>
          <cell r="C4441" t="str">
            <v>BARONEZA FIC DE FIM</v>
          </cell>
          <cell r="D4441" t="str">
            <v>BARONEZA FIC DE FIM</v>
          </cell>
          <cell r="E4441" t="str">
            <v>BARONEZA FIC DE FIM</v>
          </cell>
        </row>
        <row r="4442">
          <cell r="B4442">
            <v>122796</v>
          </cell>
          <cell r="C4442" t="str">
            <v>JACARANDA FIC DE FIM</v>
          </cell>
          <cell r="D4442" t="str">
            <v>JACARANDA FIC DE FIM</v>
          </cell>
          <cell r="E4442" t="str">
            <v>JACARANDA FIC DE FIM</v>
          </cell>
        </row>
        <row r="4443">
          <cell r="B4443">
            <v>122797</v>
          </cell>
          <cell r="C4443" t="str">
            <v>VOKIN EVEREST FUNDO DE INVESTIMENTO EM COTAS DE FUNDOS DE IN</v>
          </cell>
          <cell r="D4443" t="str">
            <v>VOKIN EVEREST FUNDO DE INVESTIMENTO EM COTAS DE FUNDOS DE IN</v>
          </cell>
          <cell r="E4443" t="str">
            <v>VOKIN EVEREST FUNDO DE INVESTIMENTO EM COTAS DE FUNDOS DE IN</v>
          </cell>
        </row>
        <row r="4444">
          <cell r="B4444">
            <v>1228</v>
          </cell>
          <cell r="C4444" t="str">
            <v>BGC LIQUIDEZ DTVM LTDA</v>
          </cell>
          <cell r="D4444" t="str">
            <v>BGC LIQUIDEZ DTVM LTDA</v>
          </cell>
          <cell r="E4444" t="str">
            <v>BGC LIQUIDEZ DTVM LTDA</v>
          </cell>
        </row>
        <row r="4445">
          <cell r="B4445">
            <v>144499</v>
          </cell>
          <cell r="C4445" t="str">
            <v>IBIUNA MACRO GESTÃƒO DE RECURSOS LTDA</v>
          </cell>
          <cell r="D4445" t="str">
            <v>IBIUNA MACRO GESTÃƒO DE RECURSOS LTDA</v>
          </cell>
          <cell r="E4445" t="str">
            <v>IBIUNA GESTAO DE RECURSOS LTDA</v>
          </cell>
        </row>
        <row r="4446">
          <cell r="B4446">
            <v>122801</v>
          </cell>
          <cell r="C4446" t="str">
            <v>RIO BRAVO FUNDAMENTAL GLOBAL FIA INVEST. EXTERIOR</v>
          </cell>
          <cell r="D4446" t="str">
            <v>RIO BRAVO FUNDAMENTAL GLOBAL FIA INVEST. EXTERIOR</v>
          </cell>
          <cell r="E4446" t="str">
            <v>FUNDAMENTAL INVESTIMENTOS LTDA</v>
          </cell>
        </row>
        <row r="4447">
          <cell r="B4447">
            <v>122802</v>
          </cell>
          <cell r="C4447" t="str">
            <v>RIO BRAVO FUNDAMENTAL SMC FIA</v>
          </cell>
          <cell r="D4447" t="str">
            <v>RIO BRAVO FUNDAMENTAL SMC FIA</v>
          </cell>
          <cell r="E4447" t="str">
            <v>FUNDAMENTAL INVESTIMENTOS LTDA</v>
          </cell>
        </row>
        <row r="4448">
          <cell r="B4448">
            <v>122803</v>
          </cell>
          <cell r="C4448" t="str">
            <v>RIO BRAVO FUNDAMENTAL FIA</v>
          </cell>
          <cell r="D4448" t="str">
            <v>RIO BRAVO FUNDAMENTAL FIA</v>
          </cell>
          <cell r="E4448" t="str">
            <v>FUNDAMENTAL INVESTIMENTOS LTDA</v>
          </cell>
        </row>
        <row r="4449">
          <cell r="B4449">
            <v>122804</v>
          </cell>
          <cell r="C4449" t="str">
            <v>RIO BRAVO FUNDAMENTAL SIENA FIA</v>
          </cell>
          <cell r="D4449" t="str">
            <v>RIO BRAVO FUNDAMENTAL SIENA FIA</v>
          </cell>
          <cell r="E4449" t="str">
            <v>FUNDAMENTAL INVESTIMENTOS LTDA</v>
          </cell>
        </row>
        <row r="4450">
          <cell r="B4450">
            <v>122805</v>
          </cell>
          <cell r="C4450" t="str">
            <v>RIO BRAVO FUNDAMENTAL 06 FIA</v>
          </cell>
          <cell r="D4450" t="str">
            <v>RIO BRAVO FUNDAMENTAL 06 FIA</v>
          </cell>
          <cell r="E4450" t="str">
            <v>FUNDAMENTAL INVESTIMENTOS LTDA</v>
          </cell>
        </row>
        <row r="4451">
          <cell r="B4451">
            <v>122806</v>
          </cell>
          <cell r="C4451" t="str">
            <v>RIO VALOR FIA</v>
          </cell>
          <cell r="D4451" t="str">
            <v>RIO VALOR FIA</v>
          </cell>
          <cell r="E4451" t="str">
            <v>FUNDAMENTAL INVESTIMENTOS LTDA</v>
          </cell>
        </row>
        <row r="4452">
          <cell r="B4452">
            <v>122807</v>
          </cell>
          <cell r="C4452" t="str">
            <v>MORGAN STANLEY CTVM S/A</v>
          </cell>
          <cell r="D4452" t="str">
            <v>MORGAN STANLEY CTVM S/A</v>
          </cell>
          <cell r="E4452" t="str">
            <v>MORGAN STANLEY CTVM S/A</v>
          </cell>
        </row>
        <row r="4453">
          <cell r="B4453">
            <v>122808</v>
          </cell>
          <cell r="C4453" t="str">
            <v>CITI GAP FIM</v>
          </cell>
          <cell r="D4453" t="str">
            <v>CITI GAP FIM</v>
          </cell>
          <cell r="E4453" t="str">
            <v>GAP GESTORA DE RECURSOS LTDA</v>
          </cell>
        </row>
        <row r="4454">
          <cell r="B4454">
            <v>122809</v>
          </cell>
          <cell r="C4454" t="str">
            <v>GAP HEDGE FIM</v>
          </cell>
          <cell r="D4454" t="str">
            <v>GAP HEDGE FIM</v>
          </cell>
          <cell r="E4454" t="str">
            <v>GAP GESTORA DE RECURSOS LTDA</v>
          </cell>
        </row>
        <row r="4455">
          <cell r="B4455">
            <v>12281</v>
          </cell>
          <cell r="C4455" t="str">
            <v>MAPFRE DTVM S/A</v>
          </cell>
          <cell r="D4455" t="str">
            <v>MAPFRE DTVM S/A</v>
          </cell>
          <cell r="E4455" t="str">
            <v>MAPFRE INVESTIMENTOS LTDA.</v>
          </cell>
        </row>
        <row r="4456">
          <cell r="B4456">
            <v>122810</v>
          </cell>
          <cell r="C4456" t="str">
            <v>GAP CREDITO PRIVADO MASTER FIM</v>
          </cell>
          <cell r="D4456" t="str">
            <v>GAP CREDITO PRIVADO MASTER FIM</v>
          </cell>
          <cell r="E4456" t="str">
            <v>GAP PRUDENTIAL LT GESTAO DE RECURSOS LTDA</v>
          </cell>
        </row>
        <row r="4457">
          <cell r="B4457">
            <v>122811</v>
          </cell>
          <cell r="C4457" t="str">
            <v>GAP CREDITO PRIVADO INSTITUCIONAL II FIC DE FIM</v>
          </cell>
          <cell r="D4457" t="str">
            <v>GAP CREDITO PRIVADO INSTITUCIONAL II FIC DE FIM</v>
          </cell>
          <cell r="E4457" t="str">
            <v>GAP PRUDENTIAL LT GESTAO DE RECURSOS LTDA</v>
          </cell>
        </row>
        <row r="4458">
          <cell r="B4458">
            <v>122812</v>
          </cell>
          <cell r="C4458" t="str">
            <v>PLATON FI MULTIMERCADO CP INVESTIMENTO NO EXTERIOR</v>
          </cell>
          <cell r="D4458" t="str">
            <v>PLATON FI MULTIMERCADO CP INVESTIMENTO NO EXTERIOR</v>
          </cell>
          <cell r="E4458" t="str">
            <v>VINCI GESTORA DE RECURSOS LTDA</v>
          </cell>
        </row>
        <row r="4459">
          <cell r="B4459">
            <v>122813</v>
          </cell>
          <cell r="C4459" t="str">
            <v>FIM CP ZAMARADI IE</v>
          </cell>
          <cell r="D4459" t="str">
            <v>FIM CP ZAMARADI IE</v>
          </cell>
          <cell r="E4459" t="str">
            <v>FIM CP ZAMARADI IE</v>
          </cell>
        </row>
        <row r="4460">
          <cell r="B4460">
            <v>122814</v>
          </cell>
          <cell r="C4460" t="str">
            <v>FIM CP CROCIATA</v>
          </cell>
          <cell r="D4460" t="str">
            <v>FIM CP CROCIATA</v>
          </cell>
          <cell r="E4460" t="str">
            <v>VINCI GESTORA DE RECURSOS LTDA</v>
          </cell>
        </row>
        <row r="4461">
          <cell r="B4461">
            <v>122815</v>
          </cell>
          <cell r="C4461" t="str">
            <v>FIM CP PROPRIETARIO 4 IE</v>
          </cell>
          <cell r="D4461" t="str">
            <v>FIM CP PROPRIETARIO 4 IE</v>
          </cell>
          <cell r="E4461" t="str">
            <v>VINCI GESTORA DE RECURSOS LTDA</v>
          </cell>
        </row>
        <row r="4462">
          <cell r="B4462">
            <v>122816</v>
          </cell>
          <cell r="C4462" t="str">
            <v>SVALBARD FIM IE</v>
          </cell>
          <cell r="D4462" t="str">
            <v>SVALBARD FIM IE</v>
          </cell>
          <cell r="E4462" t="str">
            <v>VINCI GESTORA DE RECURSOS LTDA</v>
          </cell>
        </row>
        <row r="4463">
          <cell r="B4463">
            <v>122817</v>
          </cell>
          <cell r="C4463" t="str">
            <v>RACIPAR FIM CP IE</v>
          </cell>
          <cell r="D4463" t="str">
            <v>RACIPAR FIM CP IE</v>
          </cell>
          <cell r="E4463" t="str">
            <v>VINCI GESTORA DE RECURSOS LTDA</v>
          </cell>
        </row>
        <row r="4464">
          <cell r="B4464">
            <v>122818</v>
          </cell>
          <cell r="C4464" t="str">
            <v>SIP CAPITAL FIM INVEST NO EXTERIOR</v>
          </cell>
          <cell r="D4464" t="str">
            <v>SIP CAPITAL FIM INVEST NO EXTERIOR</v>
          </cell>
          <cell r="E4464" t="str">
            <v>VINCI GESTORA DE RECURSOS LTDA</v>
          </cell>
        </row>
        <row r="4465">
          <cell r="B4465">
            <v>122819</v>
          </cell>
          <cell r="C4465" t="str">
            <v>INFRAPREV - INSTITUTO INFRAERO DE SEGURIDADE SOCIAL</v>
          </cell>
          <cell r="D4465" t="str">
            <v>INFRAPREV - INSTITUTO INFRAERO DE SEGURIDADE SOCIAL</v>
          </cell>
          <cell r="E4465" t="str">
            <v>INFRAPREV - INSTITUTO INFRAERO DE SEGURIDADE SOCIAL</v>
          </cell>
        </row>
        <row r="4466">
          <cell r="B4466">
            <v>12282</v>
          </cell>
          <cell r="C4466" t="str">
            <v>VINCI SOLUÃ‡Ã•ES DE INVESTIMENTOS LTDA</v>
          </cell>
          <cell r="D4466" t="str">
            <v>VINCI SOLUÃ‡Ã•ES DE INVESTIMENTOS LTDA</v>
          </cell>
          <cell r="E4466" t="str">
            <v>VINCI GESTORA DE RECURSOS LTDA</v>
          </cell>
        </row>
        <row r="4467">
          <cell r="B4467">
            <v>122820</v>
          </cell>
          <cell r="C4467" t="str">
            <v>OBIDOS FIM CP IE</v>
          </cell>
          <cell r="D4467" t="str">
            <v>OBIDOS FIM CP IE</v>
          </cell>
          <cell r="E4467" t="str">
            <v>OBIDOS FIM CP IE</v>
          </cell>
        </row>
        <row r="4468">
          <cell r="B4468">
            <v>122821</v>
          </cell>
          <cell r="C4468" t="str">
            <v>BANCO VOTORANTIM S/A</v>
          </cell>
          <cell r="D4468" t="str">
            <v>BANCO VOTORANTIM S/A</v>
          </cell>
          <cell r="E4468" t="str">
            <v>BANCO VOTORANTIM S/A</v>
          </cell>
        </row>
        <row r="4469">
          <cell r="B4469">
            <v>122822</v>
          </cell>
          <cell r="C4469" t="str">
            <v>A3 IMD FIM CP IE</v>
          </cell>
          <cell r="D4469" t="str">
            <v>A3 IMD FIM CP IE</v>
          </cell>
          <cell r="E4469" t="str">
            <v>A3 PERFORMANCE GESTAO DE RECURSOS LTDA</v>
          </cell>
        </row>
        <row r="4470">
          <cell r="B4470">
            <v>122999</v>
          </cell>
          <cell r="C4470" t="str">
            <v>BANCO SANTANDER (BRASIL) S/A</v>
          </cell>
          <cell r="D4470" t="str">
            <v>BANCO SANTANDER (BRASIL) S/A</v>
          </cell>
          <cell r="E4470" t="str">
            <v>BANCO SANTANDER (BRASIL) S/A</v>
          </cell>
        </row>
        <row r="4471">
          <cell r="B4471">
            <v>122828</v>
          </cell>
          <cell r="C4471" t="str">
            <v>BNDES PARTICIPAÃ‡Ã•ES S/A - BNDESPAR</v>
          </cell>
          <cell r="D4471" t="str">
            <v>BNDES PARTICIPAÃ‡Ã•ES S/A - BNDESPAR</v>
          </cell>
          <cell r="E4471" t="str">
            <v>BNDES PARTICIPAÃ‡Ã•ES S/A - BNDESPAR</v>
          </cell>
        </row>
        <row r="4472">
          <cell r="B4472">
            <v>122829</v>
          </cell>
          <cell r="C4472" t="str">
            <v>FUNDO GARANTIDOR PARA INVESTIMENTOS - FGI</v>
          </cell>
          <cell r="D4472" t="str">
            <v>FUNDO GARANTIDOR PARA INVESTIMENTOS - FGI</v>
          </cell>
          <cell r="E4472" t="str">
            <v>FUNDO GARANTIDOR PARA INVESTIMENTOS - FGI</v>
          </cell>
        </row>
        <row r="4473">
          <cell r="B4473">
            <v>122830</v>
          </cell>
          <cell r="C4473" t="str">
            <v>BANCO NACIONAL DE DESENVOLVIMENTO ECONOMICO E SOCIAL - BNDES</v>
          </cell>
          <cell r="D4473" t="str">
            <v>BANCO NACIONAL DE DESENVOLVIMENTO ECONOMICO E SOCIAL - BNDES</v>
          </cell>
          <cell r="E4473" t="str">
            <v>BANCO NACIONAL DE DESENVOLVIMENTO ECONOMICO E SOCIAL - BNDES</v>
          </cell>
        </row>
        <row r="4474">
          <cell r="B4474">
            <v>122831</v>
          </cell>
          <cell r="C4474" t="str">
            <v>BANCO NACIONAL DE DESENVOLVIMENTO ECONOMICO E SOCIAL - BNDES</v>
          </cell>
          <cell r="D4474" t="str">
            <v>BANCO NACIONAL DE DESENVOLVIMENTO ECONOMICO E SOCIAL - BNDES</v>
          </cell>
          <cell r="E4474" t="str">
            <v>BANCO NACIONAL DE DESENVOLVIMENTO ECONOMICO E SOCIAL - BNDES</v>
          </cell>
        </row>
        <row r="4475">
          <cell r="B4475">
            <v>70144</v>
          </cell>
          <cell r="C4475" t="str">
            <v>CLARITAS HEDGE FDO DE INV.MULTIMERC.LPRAZO</v>
          </cell>
          <cell r="D4475" t="str">
            <v>CLARITAS HEDGE FDO DE INV.MULTIMERC.LPRAZO</v>
          </cell>
          <cell r="E4475" t="str">
            <v>CLARITAS ADMINISTRAÇÃO DE RECURSOS LTDA</v>
          </cell>
        </row>
        <row r="4476">
          <cell r="B4476">
            <v>123077</v>
          </cell>
          <cell r="C4476" t="str">
            <v>BANCO SANTANDER (BRASIL) S/A</v>
          </cell>
          <cell r="D4476" t="str">
            <v>BANCO SANTANDER (BRASIL) S/A</v>
          </cell>
          <cell r="E4476" t="str">
            <v>BANCO SANTANDER (BRASIL) S/A</v>
          </cell>
        </row>
        <row r="4477">
          <cell r="B4477">
            <v>80412</v>
          </cell>
          <cell r="C4477" t="str">
            <v>OCCAM BRASIL GESTAO DE RECURSOS LTDA</v>
          </cell>
          <cell r="D4477" t="str">
            <v>OCCAM BRASIL GESTAO DE RECURSOS LTDA</v>
          </cell>
          <cell r="E4477" t="str">
            <v>OCCAM BRASIL GESTAO DE RECURSOS LTDA</v>
          </cell>
        </row>
        <row r="4478">
          <cell r="B4478">
            <v>122837</v>
          </cell>
          <cell r="C4478" t="str">
            <v>VIPER PORTFOLIO LLC</v>
          </cell>
          <cell r="D4478" t="str">
            <v>VIPER PORTFOLIO LLC</v>
          </cell>
          <cell r="E4478" t="str">
            <v>SPX GESTAO DE RECURSOS LTDA</v>
          </cell>
        </row>
        <row r="4479">
          <cell r="B4479">
            <v>999424</v>
          </cell>
          <cell r="C4479" t="str">
            <v>XP INVESTIMENTOS CCTVM S/A</v>
          </cell>
          <cell r="D4479" t="str">
            <v>A999424</v>
          </cell>
          <cell r="E4479" t="str">
            <v>BANCO XP S/A</v>
          </cell>
        </row>
        <row r="4480">
          <cell r="B4480">
            <v>900035</v>
          </cell>
          <cell r="C4480" t="str">
            <v>VOTORANTIM CTVM LTDA</v>
          </cell>
          <cell r="D4480">
            <v>90035</v>
          </cell>
          <cell r="E4480" t="str">
            <v>BANCO XP S/A</v>
          </cell>
        </row>
        <row r="4481">
          <cell r="B4481">
            <v>9003</v>
          </cell>
          <cell r="C4481" t="str">
            <v>XP INVESTIMENTOS CCTVM S/A</v>
          </cell>
          <cell r="D4481" t="str">
            <v>XP INVESTIMENTOS CCTVM S/A</v>
          </cell>
          <cell r="E4481" t="str">
            <v>BANCO XP S/A</v>
          </cell>
        </row>
        <row r="4482">
          <cell r="B4482">
            <v>125055</v>
          </cell>
          <cell r="C4482" t="str">
            <v>FALX FIF MULT CP IE</v>
          </cell>
          <cell r="D4482" t="str">
            <v>FALX FIF MULT CP IE</v>
          </cell>
          <cell r="E4482" t="str">
            <v>BANCO XP S/A</v>
          </cell>
        </row>
        <row r="4483">
          <cell r="B4483">
            <v>125239</v>
          </cell>
          <cell r="C4483" t="str">
            <v>GLADIUS FIF MULTIMERCADO CREDITO PRIVADO IE</v>
          </cell>
          <cell r="D4483" t="str">
            <v>GLADIUS FIF MULTIMERCADO CREDITO PRIVADO IE</v>
          </cell>
          <cell r="E4483" t="str">
            <v>BANCO XP S/A</v>
          </cell>
        </row>
        <row r="4484">
          <cell r="B4484">
            <v>125381</v>
          </cell>
          <cell r="C4484" t="str">
            <v>GLADIUS FIF MULTIMERCADO CREDITO PRIVADO IE</v>
          </cell>
          <cell r="D4484" t="str">
            <v>GLADIUS FIF MULTIMERCADO CREDITO PRIVADO IE</v>
          </cell>
          <cell r="E4484" t="str">
            <v>BANCO XP S/A</v>
          </cell>
        </row>
        <row r="4485">
          <cell r="B4485">
            <v>122844</v>
          </cell>
          <cell r="C4485" t="str">
            <v>FIA XP ABSOLUTO COMMODITIES</v>
          </cell>
          <cell r="D4485" t="str">
            <v>FIA XP ABSOLUTO COMMODITIES</v>
          </cell>
          <cell r="E4485" t="str">
            <v>FIA XP ABSOLUTO COMMODITIES</v>
          </cell>
        </row>
        <row r="4486">
          <cell r="B4486">
            <v>80769</v>
          </cell>
          <cell r="C4486" t="str">
            <v>BANCO XP S.A</v>
          </cell>
          <cell r="D4486" t="str">
            <v>BANCO XP S.A</v>
          </cell>
          <cell r="E4486" t="str">
            <v>BANCO XP S/A</v>
          </cell>
        </row>
        <row r="4487">
          <cell r="B4487">
            <v>81687</v>
          </cell>
          <cell r="C4487" t="str">
            <v>BANCO XP S.A</v>
          </cell>
          <cell r="D4487" t="str">
            <v>BANCO XP S.A</v>
          </cell>
          <cell r="E4487" t="str">
            <v>BANCO XP S/A</v>
          </cell>
        </row>
        <row r="4488">
          <cell r="B4488">
            <v>81687</v>
          </cell>
          <cell r="C4488" t="str">
            <v>BANCO XP S.A</v>
          </cell>
          <cell r="D4488" t="str">
            <v>BANCO XP S.A</v>
          </cell>
          <cell r="E4488" t="str">
            <v>BANCO XP S/A</v>
          </cell>
        </row>
        <row r="4489">
          <cell r="B4489">
            <v>122848</v>
          </cell>
          <cell r="C4489" t="str">
            <v>FIA VISTA</v>
          </cell>
          <cell r="D4489" t="str">
            <v>FIA VISTA</v>
          </cell>
          <cell r="E4489" t="str">
            <v>VISTA CAPITAL GESTORA DE RECURSOS LTDA</v>
          </cell>
        </row>
        <row r="4490">
          <cell r="B4490">
            <v>82594</v>
          </cell>
          <cell r="C4490" t="str">
            <v>NIMROD FIM CP IE</v>
          </cell>
          <cell r="D4490" t="str">
            <v>NIMROD FIM CP IE</v>
          </cell>
          <cell r="E4490" t="str">
            <v>BANCO XP S/A</v>
          </cell>
        </row>
        <row r="4491">
          <cell r="B4491">
            <v>12285</v>
          </cell>
          <cell r="C4491" t="str">
            <v>VINLAND CAPITAL MANAGEMENT GESTORA DE RECURSOS LTDA</v>
          </cell>
          <cell r="D4491" t="str">
            <v>VINLAND CAPITAL MANAGEMENT GESTORA DE RECURSOS LTDA</v>
          </cell>
          <cell r="E4491" t="str">
            <v>VINLAND CAPITAL MANAGEMENT GESTORA DE RECURSOS LTDA</v>
          </cell>
        </row>
        <row r="4492">
          <cell r="B4492">
            <v>122850</v>
          </cell>
          <cell r="C4492" t="str">
            <v>EVEREST FIA</v>
          </cell>
          <cell r="D4492" t="str">
            <v>EVEREST FIA</v>
          </cell>
          <cell r="E4492" t="str">
            <v>EVEREST FIA</v>
          </cell>
        </row>
        <row r="4493">
          <cell r="B4493">
            <v>82705</v>
          </cell>
          <cell r="C4493" t="str">
            <v>GLADIUS FIF MULTIMERCADO CREDITO PRIVADO IE</v>
          </cell>
          <cell r="D4493" t="str">
            <v>GLADIUS FIF MULTIMERCADO CREDITO PRIVADO IE</v>
          </cell>
          <cell r="E4493" t="str">
            <v>BANCO XP S/A</v>
          </cell>
        </row>
        <row r="4494">
          <cell r="B4494">
            <v>82706</v>
          </cell>
          <cell r="C4494" t="str">
            <v>GLADIUS FIF MULTIMERCADO CREDITO PRIVADO IE</v>
          </cell>
          <cell r="D4494" t="str">
            <v>GLADIUS FIF MULTIMERCADO CREDITO PRIVADO IE</v>
          </cell>
          <cell r="E4494" t="str">
            <v>BANCO XP S/A</v>
          </cell>
        </row>
        <row r="4495">
          <cell r="B4495">
            <v>82707</v>
          </cell>
          <cell r="C4495" t="str">
            <v>GLADIUS FIF MULTIMERCADO CREDITO PRIVADO IE</v>
          </cell>
          <cell r="D4495" t="str">
            <v>GLADIUS FIF MULTIMERCADO CREDITO PRIVADO IE</v>
          </cell>
          <cell r="E4495" t="str">
            <v>BANCO XP S/A</v>
          </cell>
        </row>
        <row r="4496">
          <cell r="B4496">
            <v>82721</v>
          </cell>
          <cell r="C4496" t="str">
            <v>NIMROD FIM CP IE</v>
          </cell>
          <cell r="D4496" t="str">
            <v>NIMROD FIM CP IE</v>
          </cell>
          <cell r="E4496" t="str">
            <v>BANCO XP S/A</v>
          </cell>
        </row>
        <row r="4497">
          <cell r="B4497">
            <v>122855</v>
          </cell>
          <cell r="C4497" t="str">
            <v>XP ABSOLUTO BANCOS FIA</v>
          </cell>
          <cell r="D4497" t="str">
            <v>XP ABSOLUTO BANCOS FIA</v>
          </cell>
          <cell r="E4497" t="str">
            <v>XP ABSOLUTO BANCOS FIA</v>
          </cell>
        </row>
        <row r="4498">
          <cell r="B4498">
            <v>122845</v>
          </cell>
          <cell r="C4498" t="str">
            <v>XP ABSOLUTO CONSUMO FIA</v>
          </cell>
          <cell r="D4498" t="str">
            <v>XP ABSOLUTO CONSUMO FIA</v>
          </cell>
          <cell r="E4498" t="str">
            <v>XP ABSOLUTO CONSUMO FIA</v>
          </cell>
        </row>
        <row r="4499">
          <cell r="B4499">
            <v>122838</v>
          </cell>
          <cell r="C4499" t="str">
            <v>XP ABSOLUTO FIM</v>
          </cell>
          <cell r="D4499" t="str">
            <v>XP ABSOLUTO FIM</v>
          </cell>
          <cell r="E4499" t="str">
            <v>XP ABSOLUTO FIM</v>
          </cell>
        </row>
        <row r="4500">
          <cell r="B4500">
            <v>900013</v>
          </cell>
          <cell r="C4500" t="str">
            <v>CAPITANIA HEDGE FIF</v>
          </cell>
          <cell r="D4500" t="str">
            <v>CAPITANIA HEDGE FIF</v>
          </cell>
          <cell r="E4500" t="str">
            <v>CAPITÂNIA INVEST S/A</v>
          </cell>
        </row>
        <row r="4501">
          <cell r="B4501">
            <v>58643</v>
          </cell>
          <cell r="C4501" t="str">
            <v>CAPITANIA HEDGE FIF</v>
          </cell>
          <cell r="D4501" t="str">
            <v>13.1</v>
          </cell>
          <cell r="E4501" t="str">
            <v>CAPITÂNIA INVEST S/A</v>
          </cell>
        </row>
        <row r="4502">
          <cell r="B4502">
            <v>12286</v>
          </cell>
          <cell r="C4502" t="str">
            <v>ETTORE SOLLITO MARCHETTI</v>
          </cell>
          <cell r="D4502" t="str">
            <v>ETTORE SOLLITO MARCHETTI</v>
          </cell>
          <cell r="E4502" t="str">
            <v>ETTORE SOLLITO MARCHETTI</v>
          </cell>
        </row>
        <row r="4503">
          <cell r="B4503">
            <v>900013</v>
          </cell>
          <cell r="C4503" t="str">
            <v>CAPITANIA HEDGE FIF</v>
          </cell>
          <cell r="D4503">
            <v>13</v>
          </cell>
          <cell r="E4503" t="str">
            <v>CAPITÂNIA INVEST S/A</v>
          </cell>
        </row>
        <row r="4504">
          <cell r="B4504">
            <v>122861</v>
          </cell>
          <cell r="C4504" t="str">
            <v>NEST QUANT MASTER FIM</v>
          </cell>
          <cell r="D4504" t="str">
            <v>NEST QUANT MASTER FIM</v>
          </cell>
          <cell r="E4504" t="str">
            <v>NEST INVESTIMENTOS LTDA</v>
          </cell>
        </row>
        <row r="4505">
          <cell r="B4505">
            <v>122281</v>
          </cell>
          <cell r="C4505" t="str">
            <v>FIM CP PROPRIETARIO 10</v>
          </cell>
          <cell r="D4505" t="str">
            <v>FIM CP PROPRIETARIO 10</v>
          </cell>
          <cell r="E4505" t="str">
            <v>PLURAL GESTÃO DE RECURSOS LTDA</v>
          </cell>
        </row>
        <row r="4506">
          <cell r="B4506">
            <v>122863</v>
          </cell>
          <cell r="C4506" t="str">
            <v>MORGAN STANLEY CTVM S/A</v>
          </cell>
          <cell r="D4506" t="str">
            <v>MORGAN STANLEY CTVM S/A</v>
          </cell>
          <cell r="E4506" t="str">
            <v>MORGAN STANLEY CTVM S/A</v>
          </cell>
        </row>
        <row r="4507">
          <cell r="B4507">
            <v>122864</v>
          </cell>
          <cell r="C4507" t="str">
            <v>FIA CAIXA MULTI SETORIAL</v>
          </cell>
          <cell r="D4507" t="str">
            <v>FIA CAIXA MULTI SETORIAL</v>
          </cell>
          <cell r="E4507" t="str">
            <v>CAIXA ECONOMICA FEDERAL</v>
          </cell>
        </row>
        <row r="4508">
          <cell r="B4508">
            <v>122865</v>
          </cell>
          <cell r="C4508" t="str">
            <v>GUILHERME COIMBRA REBELO</v>
          </cell>
          <cell r="D4508" t="str">
            <v>GUILHERME COIMBRA REBELO</v>
          </cell>
          <cell r="E4508" t="str">
            <v>GUILHERME COIMBRA REBELO</v>
          </cell>
        </row>
        <row r="4509">
          <cell r="B4509">
            <v>122866</v>
          </cell>
          <cell r="C4509" t="str">
            <v>MORGAN STANLEY CTVM S/A</v>
          </cell>
          <cell r="D4509" t="str">
            <v>MORGAN STANLEY CTVM S/A</v>
          </cell>
          <cell r="E4509" t="str">
            <v>MORGAN STANLEY CTVM S/A</v>
          </cell>
        </row>
        <row r="4510">
          <cell r="B4510">
            <v>123078</v>
          </cell>
          <cell r="C4510" t="str">
            <v>BANCO SANTANDER (BRASIL) S/A</v>
          </cell>
          <cell r="D4510" t="str">
            <v>BANCO SANTANDER (BRASIL) S/A</v>
          </cell>
          <cell r="E4510" t="str">
            <v>BANCO SANTANDER (BRASIL) S/A</v>
          </cell>
        </row>
        <row r="4511">
          <cell r="B4511">
            <v>122868</v>
          </cell>
          <cell r="C4511" t="str">
            <v>BAHIA AM MARAU MASTER RV FIM</v>
          </cell>
          <cell r="D4511" t="str">
            <v>BAHIA AM MARAU MASTER RV FIM</v>
          </cell>
          <cell r="E4511" t="str">
            <v>BAHIA AM LTDA</v>
          </cell>
        </row>
        <row r="4512">
          <cell r="B4512">
            <v>122869</v>
          </cell>
          <cell r="C4512" t="str">
            <v>MORGAN STANLEY CTVM S/A</v>
          </cell>
          <cell r="D4512" t="str">
            <v>MORGAN STANLEY CTVM S/A</v>
          </cell>
          <cell r="E4512" t="str">
            <v>MORGAN STANLEY CTVM S/A</v>
          </cell>
        </row>
        <row r="4513">
          <cell r="B4513">
            <v>12287</v>
          </cell>
          <cell r="C4513" t="str">
            <v>INFINITY ASSET MANAG ADM DE RECURSOS LTDA</v>
          </cell>
          <cell r="D4513" t="str">
            <v>INFINITY ASSET MANAG ADM DE RECURSOS LTDA</v>
          </cell>
          <cell r="E4513" t="str">
            <v>INFINITY ASSET MANAG ADM DE RECURSOS LTDA</v>
          </cell>
        </row>
        <row r="4514">
          <cell r="B4514">
            <v>122870</v>
          </cell>
          <cell r="C4514" t="str">
            <v>RIO BRAVO FUNDAMENTAL XAVANTES FIA</v>
          </cell>
          <cell r="D4514" t="str">
            <v>RIO BRAVO FUNDAMENTAL XAVANTES FIA</v>
          </cell>
          <cell r="E4514" t="str">
            <v>FUNDAMENTAL INVESTIMENTOS LTDA</v>
          </cell>
        </row>
        <row r="4515">
          <cell r="B4515">
            <v>122871</v>
          </cell>
          <cell r="C4515" t="str">
            <v>RIO BRAVO FUNDAMENTAL MIG FIA</v>
          </cell>
          <cell r="D4515" t="str">
            <v>RIO BRAVO FUNDAMENTAL MIG FIA</v>
          </cell>
          <cell r="E4515" t="str">
            <v>FUNDAMENTAL INVESTIMENTOS LTDA</v>
          </cell>
        </row>
        <row r="4516">
          <cell r="B4516">
            <v>122872</v>
          </cell>
          <cell r="C4516" t="str">
            <v>MIRANTE ACOES VALOR II FIA</v>
          </cell>
          <cell r="D4516" t="str">
            <v>MIRANTE ACOES VALOR II FIA</v>
          </cell>
          <cell r="E4516" t="str">
            <v>FUNDAMENTAL INVESTIMENTOS LTDA</v>
          </cell>
        </row>
        <row r="4517">
          <cell r="B4517">
            <v>122873</v>
          </cell>
          <cell r="C4517" t="str">
            <v>RIO BRAVO FUNDAMENTAL INSTITUCIONAL FIA</v>
          </cell>
          <cell r="D4517" t="str">
            <v>RIO BRAVO FUNDAMENTAL INSTITUCIONAL FIA</v>
          </cell>
          <cell r="E4517" t="str">
            <v>FUNDAMENTAL INVESTIMENTOS LTDA</v>
          </cell>
        </row>
        <row r="4518">
          <cell r="B4518">
            <v>122874</v>
          </cell>
          <cell r="C4518" t="str">
            <v>SONIC FIM CP IE</v>
          </cell>
          <cell r="D4518" t="str">
            <v>SONIC FIM CP IE</v>
          </cell>
          <cell r="E4518" t="str">
            <v>SONIC FIM CP IE</v>
          </cell>
        </row>
        <row r="4519">
          <cell r="B4519">
            <v>122875</v>
          </cell>
          <cell r="C4519" t="str">
            <v>MAUA PARTICIPACOES II FIA</v>
          </cell>
          <cell r="D4519" t="str">
            <v>MAUA PARTICIPACOES II FIA</v>
          </cell>
          <cell r="E4519" t="str">
            <v>MAUA INVESTIMENTOS LTDA</v>
          </cell>
        </row>
        <row r="4520">
          <cell r="B4520">
            <v>122876</v>
          </cell>
          <cell r="C4520" t="str">
            <v>MAUA PARTICIPACOES R FIA</v>
          </cell>
          <cell r="D4520" t="str">
            <v>MAUA PARTICIPACOES R FIA</v>
          </cell>
          <cell r="E4520" t="str">
            <v>MAUA INVESTIMENTOS LTDA</v>
          </cell>
        </row>
        <row r="4521">
          <cell r="B4521">
            <v>122877</v>
          </cell>
          <cell r="C4521" t="str">
            <v>LONG BRASIL ACOES FI</v>
          </cell>
          <cell r="D4521" t="str">
            <v>LONG BRASIL ACOES FI</v>
          </cell>
          <cell r="E4521" t="str">
            <v>UNA CAPITAL LTDA</v>
          </cell>
        </row>
        <row r="4522">
          <cell r="B4522">
            <v>122878</v>
          </cell>
          <cell r="C4522" t="str">
            <v>FIA MAINA</v>
          </cell>
          <cell r="D4522" t="str">
            <v>FIA MAINA</v>
          </cell>
          <cell r="E4522" t="str">
            <v>UNA CAPITAL LTDA</v>
          </cell>
        </row>
        <row r="4523">
          <cell r="B4523">
            <v>122881</v>
          </cell>
          <cell r="C4523" t="str">
            <v>BANCO BTG PACTUAL S/A</v>
          </cell>
          <cell r="D4523" t="str">
            <v>BANCO BTG PACTUAL S/A</v>
          </cell>
          <cell r="E4523" t="str">
            <v>BANCO BTG PACTUAL S/A</v>
          </cell>
        </row>
        <row r="4524">
          <cell r="B4524">
            <v>122882</v>
          </cell>
          <cell r="C4524" t="str">
            <v>PHILADELPHIA FIM CP</v>
          </cell>
          <cell r="D4524" t="str">
            <v>PHILADELPHIA FIM CP</v>
          </cell>
          <cell r="E4524" t="str">
            <v>PHILADELPHIA FIM CP</v>
          </cell>
        </row>
        <row r="4525">
          <cell r="B4525">
            <v>123079</v>
          </cell>
          <cell r="C4525" t="str">
            <v>BANCO SANTANDER (BRASIL) S/A</v>
          </cell>
          <cell r="D4525" t="str">
            <v>BANCO SANTANDER (BRASIL) S/A</v>
          </cell>
          <cell r="E4525" t="str">
            <v>BANCO SANTANDER (BRASIL) S/A</v>
          </cell>
        </row>
        <row r="4526">
          <cell r="B4526">
            <v>122884</v>
          </cell>
          <cell r="C4526" t="str">
            <v>LEGAN PRIVATE ARENAL FIM</v>
          </cell>
          <cell r="D4526" t="str">
            <v>LEGAN PRIVATE ARENAL FIM</v>
          </cell>
          <cell r="E4526" t="str">
            <v>AZ LEGAN ADMINISTRACAO DE RECURSOS LTDA</v>
          </cell>
        </row>
        <row r="4527">
          <cell r="B4527">
            <v>122885</v>
          </cell>
          <cell r="C4527" t="str">
            <v>GARIN SPECIAL FIF MULT</v>
          </cell>
          <cell r="D4527" t="str">
            <v>GARIN SPECIAL FIF MULT</v>
          </cell>
          <cell r="E4527" t="str">
            <v>AZ LEGAN ADMINISTRACAO DE RECURSOS LTDA</v>
          </cell>
        </row>
        <row r="4528">
          <cell r="B4528">
            <v>122887</v>
          </cell>
          <cell r="C4528" t="str">
            <v>CANVAS CLASSIC MASTER FIM</v>
          </cell>
          <cell r="D4528" t="str">
            <v>CANVAS CLASSIC MASTER FIM</v>
          </cell>
          <cell r="E4528" t="str">
            <v>CANVAS CAPITAL S/A</v>
          </cell>
        </row>
        <row r="4529">
          <cell r="B4529">
            <v>122888</v>
          </cell>
          <cell r="C4529" t="str">
            <v>FUNDACAO VALE DO RIO DOCE DE SEGURIDADE SOCIAL - VALIA</v>
          </cell>
          <cell r="D4529" t="str">
            <v>FUNDACAO VALE DO RIO DOCE DE SEGURIDADE SOCIAL - VALIA</v>
          </cell>
          <cell r="E4529" t="str">
            <v>FUNDACAO VALE DO RIO DOCE DE SEGURIDADE SOCIAL - VALIA</v>
          </cell>
        </row>
        <row r="4530">
          <cell r="B4530">
            <v>122889</v>
          </cell>
          <cell r="C4530" t="str">
            <v>FUNDACAO VALE DO RIO DOCE DE SEGURIDADE SOCIAL - VALIA</v>
          </cell>
          <cell r="D4530" t="str">
            <v>FUNDACAO VALE DO RIO DOCE DE SEGURIDADE SOCIAL - VALIA</v>
          </cell>
          <cell r="E4530" t="str">
            <v>FUNDACAO VALE DO RIO DOCE DE SEGURIDADE SOCIAL - VALIA</v>
          </cell>
        </row>
        <row r="4531">
          <cell r="B4531">
            <v>12289</v>
          </cell>
          <cell r="C4531" t="str">
            <v>DELFOS MACHADO NETO</v>
          </cell>
          <cell r="D4531" t="str">
            <v>DELFOS MACHADO NETO</v>
          </cell>
          <cell r="E4531" t="str">
            <v>DELFOS MACHADO NETO</v>
          </cell>
        </row>
        <row r="4532">
          <cell r="B4532">
            <v>122890</v>
          </cell>
          <cell r="C4532" t="str">
            <v>FIA INDEX</v>
          </cell>
          <cell r="D4532" t="str">
            <v>FIA INDEX</v>
          </cell>
          <cell r="E4532" t="str">
            <v>FUNDACAO VALE DO RIO DOCE DE SEGURIDADE SOCIAL - VALIA</v>
          </cell>
        </row>
        <row r="4533">
          <cell r="B4533">
            <v>122891</v>
          </cell>
          <cell r="C4533" t="str">
            <v>SERPROS FUNDO DE INVESTIMENTO EM ACOES GERIBA</v>
          </cell>
          <cell r="D4533" t="str">
            <v>SERPROS FUNDO DE INVESTIMENTO EM ACOES GERIBA</v>
          </cell>
          <cell r="E4533" t="str">
            <v>FRANKLIN TEMPLETON INVESTIMENTOS (BRASIL) LTDA</v>
          </cell>
        </row>
        <row r="4534">
          <cell r="B4534">
            <v>122892</v>
          </cell>
          <cell r="C4534" t="str">
            <v>MORGAN STANLEY CTVM S/A</v>
          </cell>
          <cell r="D4534" t="str">
            <v>MORGAN STANLEY CTVM S/A</v>
          </cell>
          <cell r="E4534" t="str">
            <v>MORGAN STANLEY CTVM S/A</v>
          </cell>
        </row>
        <row r="4535">
          <cell r="B4535">
            <v>123080</v>
          </cell>
          <cell r="C4535" t="str">
            <v>BANCO SANTANDER (BRASIL) S/A</v>
          </cell>
          <cell r="D4535" t="str">
            <v>BANCO SANTANDER (BRASIL) S/A</v>
          </cell>
          <cell r="E4535" t="str">
            <v>BANCO SANTANDER (BRASIL) S/A</v>
          </cell>
        </row>
        <row r="4536">
          <cell r="B4536">
            <v>123081</v>
          </cell>
          <cell r="C4536" t="str">
            <v>BANCO SANTANDER (BRASIL) S/A</v>
          </cell>
          <cell r="D4536" t="str">
            <v>BANCO SANTANDER (BRASIL) S/A</v>
          </cell>
          <cell r="E4536" t="str">
            <v>BANCO SANTANDER (BRASIL) S/A</v>
          </cell>
        </row>
        <row r="4537">
          <cell r="B4537">
            <v>123082</v>
          </cell>
          <cell r="C4537" t="str">
            <v>BANCO SANTANDER (BRASIL) S/A</v>
          </cell>
          <cell r="D4537" t="str">
            <v>BANCO SANTANDER (BRASIL) S/A</v>
          </cell>
          <cell r="E4537" t="str">
            <v>BANCO SANTANDER (BRASIL) S/A</v>
          </cell>
        </row>
        <row r="4538">
          <cell r="B4538">
            <v>122896</v>
          </cell>
          <cell r="C4538" t="str">
            <v>RIO BRAVO PREVIDENCIA FIM</v>
          </cell>
          <cell r="D4538" t="str">
            <v>RIO BRAVO PREVIDENCIA FIM</v>
          </cell>
          <cell r="E4538" t="str">
            <v>RIO BRAVO INVESTIMENTOS LTDA</v>
          </cell>
        </row>
        <row r="4539">
          <cell r="B4539">
            <v>122897</v>
          </cell>
          <cell r="C4539" t="str">
            <v>FI CAIXA CORCOVADO MULTIMERCADO</v>
          </cell>
          <cell r="D4539" t="str">
            <v>FI CAIXA CORCOVADO MULTIMERCADO</v>
          </cell>
          <cell r="E4539" t="str">
            <v>CAIXA ECONOMICA FEDERAL</v>
          </cell>
        </row>
        <row r="4540">
          <cell r="B4540">
            <v>122898</v>
          </cell>
          <cell r="C4540" t="str">
            <v>BAHIA AM MARAU MASTER RFC FIM</v>
          </cell>
          <cell r="D4540" t="str">
            <v>BAHIA AM MARAU MASTER RFC FIM</v>
          </cell>
          <cell r="E4540" t="str">
            <v>BAHIA AM LTDA</v>
          </cell>
        </row>
        <row r="4541">
          <cell r="B4541">
            <v>122899</v>
          </cell>
          <cell r="C4541" t="str">
            <v>BRAZIL VIPER FIM INR</v>
          </cell>
          <cell r="D4541" t="str">
            <v>BRAZIL VIPER FIM INR</v>
          </cell>
          <cell r="E4541" t="str">
            <v>SPX GESTAO DE RECURSOS LTDA</v>
          </cell>
        </row>
        <row r="4542">
          <cell r="B4542">
            <v>124043</v>
          </cell>
          <cell r="C4542" t="str">
            <v>BNP PARIBAS SKY FIM</v>
          </cell>
          <cell r="D4542" t="str">
            <v>BNP PARIBAS SKY FIM</v>
          </cell>
          <cell r="E4542" t="str">
            <v>BNP PARIBAS ASSET MANAGEMENT BRASIL LTDA</v>
          </cell>
        </row>
        <row r="4543">
          <cell r="B4543">
            <v>122900</v>
          </cell>
          <cell r="C4543" t="str">
            <v>BRAZIL EAGLE FIM INR</v>
          </cell>
          <cell r="D4543" t="str">
            <v>BRAZIL EAGLE FIM INR</v>
          </cell>
          <cell r="E4543" t="str">
            <v>SPX GESTAO DE RECURSOS LTDA</v>
          </cell>
        </row>
        <row r="4544">
          <cell r="B4544">
            <v>122901</v>
          </cell>
          <cell r="C4544" t="str">
            <v>BB GESTAO DE RECURSOS DTVM LTDA</v>
          </cell>
          <cell r="D4544" t="str">
            <v>BB GESTAO DE RECURSOS DTVM LTDA</v>
          </cell>
          <cell r="E4544" t="str">
            <v>BB GESTAO DE RECURSOS DTVM LTDA</v>
          </cell>
        </row>
        <row r="4545">
          <cell r="B4545">
            <v>122903</v>
          </cell>
          <cell r="C4545" t="str">
            <v>MORGAN STANLEY CTVM S/A</v>
          </cell>
          <cell r="D4545" t="str">
            <v>MORGAN STANLEY CTVM S/A</v>
          </cell>
          <cell r="E4545" t="str">
            <v>MORGAN STANLEY CTVM S/A</v>
          </cell>
        </row>
        <row r="4546">
          <cell r="B4546">
            <v>122904</v>
          </cell>
          <cell r="C4546" t="str">
            <v>MORGAN STANLEY CTVM S/A</v>
          </cell>
          <cell r="D4546" t="str">
            <v>MORGAN STANLEY CTVM S/A</v>
          </cell>
          <cell r="E4546" t="str">
            <v>MORGAN STANLEY CTVM S/A</v>
          </cell>
        </row>
        <row r="4547">
          <cell r="B4547">
            <v>122905</v>
          </cell>
          <cell r="C4547" t="str">
            <v>JEFFERSON ANDRE SARTORIO BERGAMO</v>
          </cell>
          <cell r="D4547" t="str">
            <v>JEFFERSON ANDRE SARTORIO BERGAMO</v>
          </cell>
          <cell r="E4547" t="str">
            <v>JEFFERSON ANDRE SARTORIO BERGAMO</v>
          </cell>
        </row>
        <row r="4548">
          <cell r="B4548">
            <v>122906</v>
          </cell>
          <cell r="C4548" t="str">
            <v>RIO BRAVO FUNDAMENTAL BRAZIL EQUITIES I LLC</v>
          </cell>
          <cell r="D4548" t="str">
            <v>RIO BRAVO FUNDAMENTAL BRAZIL EQUITIES I LLC</v>
          </cell>
          <cell r="E4548" t="str">
            <v>FUNDAMENTAL INVESTIMENTOS LTDA</v>
          </cell>
        </row>
        <row r="4549">
          <cell r="B4549">
            <v>122907</v>
          </cell>
          <cell r="C4549" t="str">
            <v>RIO BRAVO FUNDAMENTAL BRAZIL EQUITIES II LLC</v>
          </cell>
          <cell r="D4549" t="str">
            <v>RIO BRAVO FUNDAMENTAL BRAZIL EQUITIES II LLC</v>
          </cell>
          <cell r="E4549" t="str">
            <v>FUNDAMENTAL INVESTIMENTOS LTDA</v>
          </cell>
        </row>
        <row r="4550">
          <cell r="B4550">
            <v>122908</v>
          </cell>
          <cell r="C4550" t="str">
            <v>PALMARES FIM CP</v>
          </cell>
          <cell r="D4550" t="str">
            <v>PALMARES FIM CP</v>
          </cell>
          <cell r="E4550" t="str">
            <v>PALMARES FIM CP</v>
          </cell>
        </row>
        <row r="4551">
          <cell r="B4551">
            <v>122909</v>
          </cell>
          <cell r="C4551" t="str">
            <v>CHATEAUX FIM CP IE</v>
          </cell>
          <cell r="D4551" t="str">
            <v>CHATEAUX FIM CP IE</v>
          </cell>
          <cell r="E4551" t="str">
            <v>CHATEAUX FIM CP IE</v>
          </cell>
        </row>
        <row r="4552">
          <cell r="B4552">
            <v>12291</v>
          </cell>
          <cell r="C4552" t="str">
            <v>BR PARTNERS GESTAO DE RECURSOS LTDA</v>
          </cell>
          <cell r="D4552" t="str">
            <v>BR PARTNERS GESTAO DE RECURSOS LTDA</v>
          </cell>
          <cell r="E4552" t="str">
            <v>BR PARTNERS GESTAO DE RECURSOS LTDA</v>
          </cell>
        </row>
        <row r="4553">
          <cell r="B4553">
            <v>122910</v>
          </cell>
          <cell r="C4553" t="str">
            <v>MARINE FIA IE</v>
          </cell>
          <cell r="D4553" t="str">
            <v>MARINE FIA IE</v>
          </cell>
          <cell r="E4553" t="str">
            <v>MARINE FIA IE</v>
          </cell>
        </row>
        <row r="4554">
          <cell r="B4554">
            <v>122913</v>
          </cell>
          <cell r="C4554" t="str">
            <v>SAGA DINAMICO ABSOLUTO FIM</v>
          </cell>
          <cell r="D4554" t="str">
            <v>SAGA DINAMICO ABSOLUTO FIM</v>
          </cell>
          <cell r="E4554" t="str">
            <v>KINITRO CAPITAL GESTAO DE RECURSOS DE TERCEIROS LTDA</v>
          </cell>
        </row>
        <row r="4555">
          <cell r="B4555">
            <v>122914</v>
          </cell>
          <cell r="C4555" t="str">
            <v>OREN DINAMICO FI MULTIMERCADO</v>
          </cell>
          <cell r="D4555" t="str">
            <v>OREN DINAMICO FI MULTIMERCADO</v>
          </cell>
          <cell r="E4555" t="str">
            <v>KINITRO CAPITAL GESTAO DE RECURSOS DE TERCEIROS LTDA</v>
          </cell>
        </row>
        <row r="4556">
          <cell r="B4556">
            <v>122915</v>
          </cell>
          <cell r="C4556" t="str">
            <v>SAGA TATICO FIM</v>
          </cell>
          <cell r="D4556" t="str">
            <v>SAGA TATICO FIM</v>
          </cell>
          <cell r="E4556" t="str">
            <v>KINITRO CAPITAL GESTAO DE RECURSOS DE TERCEIROS LTDA</v>
          </cell>
        </row>
        <row r="4557">
          <cell r="B4557">
            <v>122916</v>
          </cell>
          <cell r="C4557" t="str">
            <v>SAGA HAWK MASTER FIM</v>
          </cell>
          <cell r="D4557" t="str">
            <v>SAGA HAWK MASTER FIM</v>
          </cell>
          <cell r="E4557" t="str">
            <v>SAGA HAWK MASTER FIM</v>
          </cell>
        </row>
        <row r="4558">
          <cell r="B4558">
            <v>122917</v>
          </cell>
          <cell r="C4558" t="str">
            <v>SODIX FIM CP IE</v>
          </cell>
          <cell r="D4558" t="str">
            <v>SODIX FIM CP IE</v>
          </cell>
          <cell r="E4558" t="str">
            <v>SODIX FIM CP IE</v>
          </cell>
        </row>
        <row r="4559">
          <cell r="B4559">
            <v>122918</v>
          </cell>
          <cell r="C4559" t="str">
            <v>TRIANGULO FIM CP IE</v>
          </cell>
          <cell r="D4559" t="str">
            <v>TRIANGULO FIM CP IE</v>
          </cell>
          <cell r="E4559" t="str">
            <v>TRIANGULO FIM CP IE</v>
          </cell>
        </row>
        <row r="4560">
          <cell r="B4560">
            <v>122919</v>
          </cell>
          <cell r="C4560" t="str">
            <v>RIO BRAVO INVENIO FIA</v>
          </cell>
          <cell r="D4560" t="str">
            <v>RIO BRAVO INVENIO FIA</v>
          </cell>
          <cell r="E4560" t="str">
            <v>FUNDAMENTAL INVESTIMENTOS LTDA</v>
          </cell>
        </row>
        <row r="4561">
          <cell r="B4561">
            <v>12292</v>
          </cell>
          <cell r="C4561" t="str">
            <v>JP MORGAN CCVM S/A</v>
          </cell>
          <cell r="D4561" t="str">
            <v>JP MORGAN CCVM S/A</v>
          </cell>
          <cell r="E4561" t="str">
            <v>JP MORGAN ADMINISTRADORA DE CARTEIRAS BRASIL LTDA</v>
          </cell>
        </row>
        <row r="4562">
          <cell r="B4562">
            <v>122920</v>
          </cell>
          <cell r="C4562" t="str">
            <v>BB GESTAO DE RECURSOS DTVM LTDA</v>
          </cell>
          <cell r="D4562" t="str">
            <v>BB GESTAO DE RECURSOS DTVM LTDA</v>
          </cell>
          <cell r="E4562" t="str">
            <v>BB GESTAO DE RECURSOS DTVM LTDA</v>
          </cell>
        </row>
        <row r="4563">
          <cell r="B4563">
            <v>122921</v>
          </cell>
          <cell r="C4563" t="str">
            <v>POLO NORTE MASTER II FIM</v>
          </cell>
          <cell r="D4563" t="str">
            <v>POLO NORTE MASTER II FIM</v>
          </cell>
          <cell r="E4563" t="str">
            <v>POLO CAPITAL GESTÃO DE RECURSOS LTDA</v>
          </cell>
        </row>
        <row r="4564">
          <cell r="B4564">
            <v>122922</v>
          </cell>
          <cell r="C4564" t="str">
            <v>FARADAY FI PREVIDENCIARIO MULTIMERCADO</v>
          </cell>
          <cell r="D4564" t="str">
            <v>FARADAY FI PREVIDENCIARIO MULTIMERCADO</v>
          </cell>
          <cell r="E4564" t="str">
            <v>SANTANDER BRASIL GESTAO DE RECURSOS LTDA</v>
          </cell>
        </row>
        <row r="4565">
          <cell r="B4565">
            <v>122923</v>
          </cell>
          <cell r="C4565" t="str">
            <v>MERRILL LYNCH S/A CTVM</v>
          </cell>
          <cell r="D4565" t="str">
            <v>MERRILL LYNCH S/A CTVM</v>
          </cell>
          <cell r="E4565" t="str">
            <v>MERRILL LYNCH S/A CTVM</v>
          </cell>
        </row>
        <row r="4566">
          <cell r="B4566">
            <v>122924</v>
          </cell>
          <cell r="C4566" t="str">
            <v>MERRILL LYNCH S/A CTVM</v>
          </cell>
          <cell r="D4566" t="str">
            <v>MERRILL LYNCH S/A CTVM</v>
          </cell>
          <cell r="E4566" t="str">
            <v>MERRILL LYNCH S/A CTVM</v>
          </cell>
        </row>
        <row r="4567">
          <cell r="B4567">
            <v>122925</v>
          </cell>
          <cell r="C4567" t="str">
            <v>BANCO LJ CARREGOSA SA</v>
          </cell>
          <cell r="D4567" t="str">
            <v>BANCO LJ CARREGOSA SA</v>
          </cell>
          <cell r="E4567" t="str">
            <v>BANCO LJ CARREGOSA SA</v>
          </cell>
        </row>
        <row r="4568">
          <cell r="B4568">
            <v>122926</v>
          </cell>
          <cell r="C4568" t="str">
            <v>CARTERA COLECTIVA ESCALONADA Y COMPARTIMENTOS</v>
          </cell>
          <cell r="D4568" t="str">
            <v>CARTERA COLECTIVA ESCALONADA Y COMPARTIMENTOS</v>
          </cell>
          <cell r="E4568" t="str">
            <v>BB GESTAO DE RECURSOS DTVM LTDA</v>
          </cell>
        </row>
        <row r="4569">
          <cell r="B4569">
            <v>122928</v>
          </cell>
          <cell r="C4569" t="str">
            <v>BB TERESINA FIM</v>
          </cell>
          <cell r="D4569" t="str">
            <v>BB TERESINA FIM</v>
          </cell>
          <cell r="E4569" t="str">
            <v>BB GESTAO DE RECURSOS DTVM LTDA</v>
          </cell>
        </row>
        <row r="4570">
          <cell r="B4570">
            <v>122929</v>
          </cell>
          <cell r="C4570" t="str">
            <v>MORGAN STANLEY CTVM S/A</v>
          </cell>
          <cell r="D4570" t="str">
            <v>MORGAN STANLEY CTVM S/A</v>
          </cell>
          <cell r="E4570" t="str">
            <v>MORGAN STANLEY CTVM S/A</v>
          </cell>
        </row>
        <row r="4571">
          <cell r="B4571">
            <v>12293</v>
          </cell>
          <cell r="C4571" t="str">
            <v>SPX EQUITIES GESTAO DE RECURSOS LTDA</v>
          </cell>
          <cell r="D4571" t="str">
            <v>SPX EQUITIES GESTAO DE RECURSOS LTDA</v>
          </cell>
          <cell r="E4571" t="str">
            <v>SPX GESTAO DE RECURSOS LTDA</v>
          </cell>
        </row>
        <row r="4572">
          <cell r="B4572">
            <v>122930</v>
          </cell>
          <cell r="C4572" t="str">
            <v>MORGAN STANLEY CTVM S/A</v>
          </cell>
          <cell r="D4572" t="str">
            <v>MORGAN STANLEY CTVM S/A</v>
          </cell>
          <cell r="E4572" t="str">
            <v>MORGAN STANLEY CTVM S/A</v>
          </cell>
        </row>
        <row r="4573">
          <cell r="B4573">
            <v>122931</v>
          </cell>
          <cell r="C4573" t="str">
            <v>SEVILLA FIM</v>
          </cell>
          <cell r="D4573" t="str">
            <v>SEVILLA FIM</v>
          </cell>
          <cell r="E4573" t="str">
            <v>SAFRA ASSET MANAGEMENT LTDA</v>
          </cell>
        </row>
        <row r="4574">
          <cell r="B4574">
            <v>122847</v>
          </cell>
          <cell r="C4574" t="str">
            <v>XP ACOES QUALIFICADO FIA</v>
          </cell>
          <cell r="D4574" t="str">
            <v>XP ACOES QUALIFICADO FIA</v>
          </cell>
          <cell r="E4574" t="str">
            <v>XP ACOES QUALIFICADO FIA</v>
          </cell>
        </row>
        <row r="4575">
          <cell r="B4575">
            <v>122934</v>
          </cell>
          <cell r="C4575" t="str">
            <v>FUNDO DE PARTICIPAÃ‡ÃƒO SOCIAL DO FUNDO PIS PASEP - FPS</v>
          </cell>
          <cell r="D4575" t="str">
            <v>FUNDO DE PARTICIPAÃ‡ÃƒO SOCIAL DO FUNDO PIS PASEP - FPS</v>
          </cell>
          <cell r="E4575" t="str">
            <v>FUNDO DE PARTICIPAÃ‡ÃƒO SOCIAL DO FUNDO PIS PASEP - FPS</v>
          </cell>
        </row>
        <row r="4576">
          <cell r="B4576">
            <v>122935</v>
          </cell>
          <cell r="C4576" t="str">
            <v>MORGAN STANLEY CTVM S/A</v>
          </cell>
          <cell r="D4576" t="str">
            <v>MORGAN STANLEY CTVM S/A</v>
          </cell>
          <cell r="E4576" t="str">
            <v>MORGAN STANLEY CTVM S/A</v>
          </cell>
        </row>
        <row r="4577">
          <cell r="B4577">
            <v>122936</v>
          </cell>
          <cell r="C4577" t="str">
            <v>MORGAN STANLEY CTVM S/A</v>
          </cell>
          <cell r="D4577" t="str">
            <v>MORGAN STANLEY CTVM S/A</v>
          </cell>
          <cell r="E4577" t="str">
            <v>MORGAN STANLEY CTVM S/A</v>
          </cell>
        </row>
        <row r="4578">
          <cell r="B4578">
            <v>122937</v>
          </cell>
          <cell r="C4578" t="str">
            <v>MORGAN STANLEY CTVM S/A</v>
          </cell>
          <cell r="D4578" t="str">
            <v>MORGAN STANLEY CTVM S/A</v>
          </cell>
          <cell r="E4578" t="str">
            <v>MORGAN STANLEY CTVM S/A</v>
          </cell>
        </row>
        <row r="4579">
          <cell r="B4579">
            <v>122938</v>
          </cell>
          <cell r="C4579" t="str">
            <v>JOSE VERGARA</v>
          </cell>
          <cell r="D4579" t="str">
            <v>JOSE VERGARA</v>
          </cell>
          <cell r="E4579" t="str">
            <v>JOSE VERGARA</v>
          </cell>
        </row>
        <row r="4580">
          <cell r="B4580">
            <v>122939</v>
          </cell>
          <cell r="C4580" t="str">
            <v>MORGAN STANLEY CTVM S/A</v>
          </cell>
          <cell r="D4580" t="str">
            <v>MORGAN STANLEY CTVM S/A</v>
          </cell>
          <cell r="E4580" t="str">
            <v>MORGAN STANLEY CTVM S/A</v>
          </cell>
        </row>
        <row r="4581">
          <cell r="B4581">
            <v>12294</v>
          </cell>
          <cell r="C4581" t="str">
            <v>BEHAVIOR GESTAO DE CAPITAL LTDA</v>
          </cell>
          <cell r="D4581" t="str">
            <v>BEHAVIOR GESTAO DE CAPITAL LTDA</v>
          </cell>
          <cell r="E4581" t="str">
            <v>BEHAVIOR GESTAO DE CAPITAL LTDA</v>
          </cell>
        </row>
        <row r="4582">
          <cell r="B4582">
            <v>122940</v>
          </cell>
          <cell r="C4582" t="str">
            <v>MORGAN STANLEY CTVM S/A</v>
          </cell>
          <cell r="D4582" t="str">
            <v>MORGAN STANLEY CTVM S/A</v>
          </cell>
          <cell r="E4582" t="str">
            <v>MORGAN STANLEY CTVM S/A</v>
          </cell>
        </row>
        <row r="4583">
          <cell r="B4583">
            <v>122941</v>
          </cell>
          <cell r="C4583" t="str">
            <v>MORGAN STANLEY CTVM S/A</v>
          </cell>
          <cell r="D4583" t="str">
            <v>MORGAN STANLEY CTVM S/A</v>
          </cell>
          <cell r="E4583" t="str">
            <v>MORGAN STANLEY CTVM S/A</v>
          </cell>
        </row>
        <row r="4584">
          <cell r="B4584">
            <v>122942</v>
          </cell>
          <cell r="C4584" t="str">
            <v>SAFRA ARBITRAGEM FIM</v>
          </cell>
          <cell r="D4584" t="str">
            <v>SAFRA ARBITRAGEM FIM</v>
          </cell>
          <cell r="E4584" t="str">
            <v>SAFRA ASSET MANAGEMENT LTDA</v>
          </cell>
        </row>
        <row r="4585">
          <cell r="B4585">
            <v>122943</v>
          </cell>
          <cell r="C4585" t="str">
            <v>SAFRA ARQUIMEDES FIA BDR NIVEL I</v>
          </cell>
          <cell r="D4585" t="str">
            <v>SAFRA ARQUIMEDES FIA BDR NIVEL I</v>
          </cell>
          <cell r="E4585" t="str">
            <v>EMERALD GESTAO DE INVESTIMENTOS LTDA</v>
          </cell>
        </row>
        <row r="4586">
          <cell r="B4586">
            <v>122944</v>
          </cell>
          <cell r="C4586" t="str">
            <v>MORGAN STANLEY CTVM S/A</v>
          </cell>
          <cell r="D4586" t="str">
            <v>MORGAN STANLEY CTVM S/A</v>
          </cell>
          <cell r="E4586" t="str">
            <v>MORGAN STANLEY CTVM S/A</v>
          </cell>
        </row>
        <row r="4587">
          <cell r="B4587">
            <v>122945</v>
          </cell>
          <cell r="C4587" t="str">
            <v>MORGAN STANLEY CTVM S/A</v>
          </cell>
          <cell r="D4587" t="str">
            <v>MORGAN STANLEY CTVM S/A</v>
          </cell>
          <cell r="E4587" t="str">
            <v>MORGAN STANLEY CTVM S/A</v>
          </cell>
        </row>
        <row r="4588">
          <cell r="B4588">
            <v>122946</v>
          </cell>
          <cell r="C4588" t="str">
            <v>MORGAN STANLEY CTVM S/A</v>
          </cell>
          <cell r="D4588" t="str">
            <v>MORGAN STANLEY CTVM S/A</v>
          </cell>
          <cell r="E4588" t="str">
            <v>MORGAN STANLEY CTVM S/A</v>
          </cell>
        </row>
        <row r="4589">
          <cell r="B4589">
            <v>122947</v>
          </cell>
          <cell r="C4589" t="str">
            <v>MORGAN STANLEY CTVM S/A</v>
          </cell>
          <cell r="D4589" t="str">
            <v>MORGAN STANLEY CTVM S/A</v>
          </cell>
          <cell r="E4589" t="str">
            <v>MORGAN STANLEY CTVM S/A</v>
          </cell>
        </row>
        <row r="4590">
          <cell r="B4590">
            <v>122949</v>
          </cell>
          <cell r="C4590" t="str">
            <v>ESTRELA FUNDO DE INVESTIMENTO EM ACOES BDR NIVEL I</v>
          </cell>
          <cell r="D4590" t="str">
            <v>ESTRELA FUNDO DE INVESTIMENTO EM ACOES BDR NIVEL I</v>
          </cell>
          <cell r="E4590" t="str">
            <v>SAFRA ASSET MANAGEMENT LTDA</v>
          </cell>
        </row>
        <row r="4591">
          <cell r="B4591">
            <v>82901</v>
          </cell>
          <cell r="C4591" t="str">
            <v>MORE TOTAL RETURN FI FINANCEIRO MULTIMERCADO</v>
          </cell>
          <cell r="D4591" t="str">
            <v>MORE TOTAL RETURN FI FINANCEIRO MULTIMERCADO</v>
          </cell>
          <cell r="E4591" t="str">
            <v>MORE INVEST GESTORA DE RECURSOS LTDA</v>
          </cell>
        </row>
        <row r="4592">
          <cell r="B4592">
            <v>122950</v>
          </cell>
          <cell r="C4592" t="str">
            <v>GOET FIA BDR NIVEL I</v>
          </cell>
          <cell r="D4592" t="str">
            <v>GOET FIA BDR NIVEL I</v>
          </cell>
          <cell r="E4592" t="str">
            <v>SAFRA ASSET MANAGEMENT LTDA</v>
          </cell>
        </row>
        <row r="4593">
          <cell r="B4593">
            <v>122951</v>
          </cell>
          <cell r="C4593" t="str">
            <v>SAFRA GROWTH FIA</v>
          </cell>
          <cell r="D4593" t="str">
            <v>SAFRA GROWTH FIA</v>
          </cell>
          <cell r="E4593" t="str">
            <v>SAFRA ASSET MANAGEMENT LTDA</v>
          </cell>
        </row>
        <row r="4594">
          <cell r="B4594">
            <v>122952</v>
          </cell>
          <cell r="C4594" t="str">
            <v>SAFRA SUSTENTABILIDADE FIA</v>
          </cell>
          <cell r="D4594" t="str">
            <v>SAFRA SUSTENTABILIDADE FIA</v>
          </cell>
          <cell r="E4594" t="str">
            <v>SAFRA ASSET MANAGEMENT LTDA</v>
          </cell>
        </row>
        <row r="4595">
          <cell r="B4595">
            <v>122954</v>
          </cell>
          <cell r="C4595" t="str">
            <v>FIM MODERADO CARATINGA</v>
          </cell>
          <cell r="D4595" t="str">
            <v>FIM MODERADO CARATINGA</v>
          </cell>
          <cell r="E4595" t="str">
            <v>EMERALD GESTAO DE INVESTIMENTOS LTDA</v>
          </cell>
        </row>
        <row r="4596">
          <cell r="B4596">
            <v>122955</v>
          </cell>
          <cell r="C4596" t="str">
            <v>MORGAN STANLEY CTVM S/A</v>
          </cell>
          <cell r="D4596" t="str">
            <v>MORGAN STANLEY CTVM S/A</v>
          </cell>
          <cell r="E4596" t="str">
            <v>MORGAN STANLEY CTVM S/A</v>
          </cell>
        </row>
        <row r="4597">
          <cell r="B4597">
            <v>122956</v>
          </cell>
          <cell r="C4597" t="str">
            <v>FIA CAIXA INSTITUCIONAL BDR NIVEL I</v>
          </cell>
          <cell r="D4597" t="str">
            <v>FIA CAIXA INSTITUCIONAL BDR NIVEL I</v>
          </cell>
          <cell r="E4597" t="str">
            <v>FIA CAIXA INSTITUCIONAL BDR NIVEL I</v>
          </cell>
        </row>
        <row r="4598">
          <cell r="B4598">
            <v>122957</v>
          </cell>
          <cell r="C4598" t="str">
            <v>BOZANO DIFERENCIAL 30 MASTER FIM</v>
          </cell>
          <cell r="D4598" t="str">
            <v>BOZANO DIFERENCIAL 30 MASTER FIM</v>
          </cell>
          <cell r="E4598" t="str">
            <v>MERCATTO GESTAO DE RECURSOS LTDA</v>
          </cell>
        </row>
        <row r="4599">
          <cell r="B4599">
            <v>122958</v>
          </cell>
          <cell r="C4599" t="str">
            <v>ALBATROZ FIM CP</v>
          </cell>
          <cell r="D4599" t="str">
            <v>ALBATROZ FIM CP</v>
          </cell>
          <cell r="E4599" t="str">
            <v>ALBATROZ FIM CP</v>
          </cell>
        </row>
        <row r="4600">
          <cell r="B4600">
            <v>122959</v>
          </cell>
          <cell r="C4600" t="str">
            <v>ARAUCARIA FIM CP IE</v>
          </cell>
          <cell r="D4600" t="str">
            <v>ARAUCARIA FIM CP IE</v>
          </cell>
          <cell r="E4600" t="str">
            <v>ARAUCARIA FIM CP IE</v>
          </cell>
        </row>
        <row r="4601">
          <cell r="B4601">
            <v>122960</v>
          </cell>
          <cell r="C4601" t="str">
            <v>LUNA FIM CP IE</v>
          </cell>
          <cell r="D4601" t="str">
            <v>LUNA FIM CP IE</v>
          </cell>
          <cell r="E4601" t="str">
            <v>LUNA FIM CP IE</v>
          </cell>
        </row>
        <row r="4602">
          <cell r="B4602">
            <v>122961</v>
          </cell>
          <cell r="C4602" t="str">
            <v>CAJU FIM CP IE</v>
          </cell>
          <cell r="D4602" t="str">
            <v>CAJU FIM CP IE</v>
          </cell>
          <cell r="E4602" t="str">
            <v>CAJU FIM CP IE</v>
          </cell>
        </row>
        <row r="4603">
          <cell r="B4603">
            <v>122962</v>
          </cell>
          <cell r="C4603" t="str">
            <v>ODESSA FIM CP  IE</v>
          </cell>
          <cell r="D4603" t="str">
            <v>ODESSA FIM CP  IE</v>
          </cell>
          <cell r="E4603" t="str">
            <v>ODESSA FIM CP  IE</v>
          </cell>
        </row>
        <row r="4604">
          <cell r="B4604">
            <v>122963</v>
          </cell>
          <cell r="C4604" t="str">
            <v>PEGASUS - FUNDO DE INVESTIMENTO MULTIMERCADO CP IE</v>
          </cell>
          <cell r="D4604" t="str">
            <v>PEGASUS - FUNDO DE INVESTIMENTO MULTIMERCADO CP IE</v>
          </cell>
          <cell r="E4604" t="str">
            <v>PEGASUS - FUNDO DE INVESTIMENTO MULTIMERCADO CP IE</v>
          </cell>
        </row>
        <row r="4605">
          <cell r="B4605">
            <v>122964</v>
          </cell>
          <cell r="C4605" t="str">
            <v>SUCESSO FIM CP IE</v>
          </cell>
          <cell r="D4605" t="str">
            <v>SUCESSO FIM CP IE</v>
          </cell>
          <cell r="E4605" t="str">
            <v>JULIUS BAER FAMILY OFFICE BRASIL GESTAO DE PATRIMONIO LTDA</v>
          </cell>
        </row>
        <row r="4606">
          <cell r="B4606">
            <v>122965</v>
          </cell>
          <cell r="C4606" t="str">
            <v>SQUADRA MASTER LONG-BIASED FIA</v>
          </cell>
          <cell r="D4606" t="str">
            <v>SQUADRA MASTER LONG-BIASED FIA</v>
          </cell>
          <cell r="E4606" t="str">
            <v>SQUADRA MASTER LONG-BIASED FIA</v>
          </cell>
        </row>
        <row r="4607">
          <cell r="B4607">
            <v>122966</v>
          </cell>
          <cell r="C4607" t="str">
            <v>SQUADRA MASTER LONG-ONLY FIA</v>
          </cell>
          <cell r="D4607" t="str">
            <v>SQUADRA MASTER LONG-ONLY FIA</v>
          </cell>
          <cell r="E4607" t="str">
            <v>SQUADRA MASTER LONG-ONLY FIA</v>
          </cell>
        </row>
        <row r="4608">
          <cell r="B4608">
            <v>122967</v>
          </cell>
          <cell r="C4608" t="str">
            <v>GROUPER EQUITY LLC</v>
          </cell>
          <cell r="D4608" t="str">
            <v>GROUPER EQUITY LLC</v>
          </cell>
          <cell r="E4608" t="str">
            <v>GROUPER EQUITY LLC</v>
          </cell>
        </row>
        <row r="4609">
          <cell r="B4609">
            <v>122968</v>
          </cell>
          <cell r="C4609" t="str">
            <v>SNAPPER EQUITY LLC</v>
          </cell>
          <cell r="D4609" t="str">
            <v>SNAPPER EQUITY LLC</v>
          </cell>
          <cell r="E4609" t="str">
            <v>SNAPPER EQUITY LLC</v>
          </cell>
        </row>
        <row r="4610">
          <cell r="B4610">
            <v>122969</v>
          </cell>
          <cell r="C4610" t="str">
            <v>BELLA FIM PREVIDENCIARIO</v>
          </cell>
          <cell r="D4610" t="str">
            <v>BELLA FIM PREVIDENCIARIO</v>
          </cell>
          <cell r="E4610" t="str">
            <v>BELLA FIM PREVIDENCIARIO</v>
          </cell>
        </row>
        <row r="4611">
          <cell r="B4611">
            <v>12297</v>
          </cell>
          <cell r="C4611" t="str">
            <v>QLZ GESTAO DE RECURSOS FINANCEIROS LTDA</v>
          </cell>
          <cell r="D4611" t="str">
            <v>QLZ GESTAO DE RECURSOS FINANCEIROS LTDA</v>
          </cell>
          <cell r="E4611" t="str">
            <v>QLZ GESTAO DE RECURSOS FINANCEIROS LTDA</v>
          </cell>
        </row>
        <row r="4612">
          <cell r="B4612">
            <v>122970</v>
          </cell>
          <cell r="C4612" t="str">
            <v>MISHPACHA FIM PREVIDENCIARIO</v>
          </cell>
          <cell r="D4612" t="str">
            <v>MISHPACHA FIM PREVIDENCIARIO</v>
          </cell>
          <cell r="E4612" t="str">
            <v>SAFRA ASSET MANAGEMENT LTDA</v>
          </cell>
        </row>
        <row r="4613">
          <cell r="B4613">
            <v>122972</v>
          </cell>
          <cell r="C4613" t="str">
            <v>SAFRA DIVIDENDOS FIA</v>
          </cell>
          <cell r="D4613" t="str">
            <v>SAFRA DIVIDENDOS FIA</v>
          </cell>
          <cell r="E4613" t="str">
            <v>SAFRA ASSET MANAGEMENT LTDA</v>
          </cell>
        </row>
        <row r="4614">
          <cell r="B4614">
            <v>122973</v>
          </cell>
          <cell r="C4614" t="str">
            <v>SAFRA SMALL CAP MASTER FIA</v>
          </cell>
          <cell r="D4614" t="str">
            <v>SAFRA SMALL CAP MASTER FIA</v>
          </cell>
          <cell r="E4614" t="str">
            <v>SAFRA ASSET MANAGEMENT LTDA</v>
          </cell>
        </row>
        <row r="4615">
          <cell r="B4615">
            <v>122975</v>
          </cell>
          <cell r="C4615" t="str">
            <v>BB GESTAO DE RECURSOS DTVM LTDA</v>
          </cell>
          <cell r="D4615" t="str">
            <v>BB GESTAO DE RECURSOS DTVM LTDA</v>
          </cell>
          <cell r="E4615" t="str">
            <v>BB GESTAO DE RECURSOS DTVM LTDA</v>
          </cell>
        </row>
        <row r="4616">
          <cell r="B4616">
            <v>123083</v>
          </cell>
          <cell r="C4616" t="str">
            <v>BANCO SANTANDER (BRASIL) S/A</v>
          </cell>
          <cell r="D4616" t="str">
            <v>BANCO SANTANDER (BRASIL) S/A</v>
          </cell>
          <cell r="E4616" t="str">
            <v>BANCO SANTANDER (BRASIL) S/A</v>
          </cell>
        </row>
        <row r="4617">
          <cell r="B4617">
            <v>122977</v>
          </cell>
          <cell r="C4617" t="str">
            <v>ANDREA LICASSIA ALMEIDA SANTOS</v>
          </cell>
          <cell r="D4617" t="str">
            <v>ANDREA LICASSIA ALMEIDA SANTOS</v>
          </cell>
          <cell r="E4617" t="str">
            <v>ANDREA LICASSIA ALMEIDA SANTOS</v>
          </cell>
        </row>
        <row r="4618">
          <cell r="B4618">
            <v>122978</v>
          </cell>
          <cell r="C4618" t="str">
            <v>BRUNO CHIARADIA PERUCHI</v>
          </cell>
          <cell r="D4618" t="str">
            <v>BRUNO CHIARADIA PERUCHI</v>
          </cell>
          <cell r="E4618" t="str">
            <v>BRUNO CHIARADIA PERUCHI</v>
          </cell>
        </row>
        <row r="4619">
          <cell r="B4619">
            <v>122979</v>
          </cell>
          <cell r="C4619" t="str">
            <v>NEY WILSON PEREIRA DA SILVA JUNIOR</v>
          </cell>
          <cell r="D4619" t="str">
            <v>NEY WILSON PEREIRA DA SILVA JUNIOR</v>
          </cell>
          <cell r="E4619" t="str">
            <v>NEY WILSON PEREIRA DA SILVA JUNIOR</v>
          </cell>
        </row>
        <row r="4620">
          <cell r="B4620">
            <v>12298</v>
          </cell>
          <cell r="C4620" t="str">
            <v>FUNDAMENTAL INVESTIMENTOS LTDA</v>
          </cell>
          <cell r="D4620" t="str">
            <v>FUNDAMENTAL INVESTIMENTOS LTDA</v>
          </cell>
          <cell r="E4620" t="str">
            <v>FUNDAMENTAL INVESTIMENTOS LTDA</v>
          </cell>
        </row>
        <row r="4621">
          <cell r="B4621">
            <v>122980</v>
          </cell>
          <cell r="C4621" t="str">
            <v>BB GESTAO DE RECURSOS DTVM LTDA</v>
          </cell>
          <cell r="D4621" t="str">
            <v>BB GESTAO DE RECURSOS DTVM LTDA</v>
          </cell>
          <cell r="E4621" t="str">
            <v>BB GESTAO DE RECURSOS DTVM LTDA</v>
          </cell>
        </row>
        <row r="4622">
          <cell r="B4622">
            <v>122981</v>
          </cell>
          <cell r="C4622" t="str">
            <v>FIA CAIXA BDR NIVEL I</v>
          </cell>
          <cell r="D4622" t="str">
            <v>FIA CAIXA BDR NIVEL I</v>
          </cell>
          <cell r="E4622" t="str">
            <v>FIA CAIXA BDR NIVEL I</v>
          </cell>
        </row>
        <row r="4623">
          <cell r="B4623">
            <v>122982</v>
          </cell>
          <cell r="C4623" t="str">
            <v>CARTEIRA ATIVA III FIA</v>
          </cell>
          <cell r="D4623" t="str">
            <v>CARTEIRA ATIVA III FIA</v>
          </cell>
          <cell r="E4623" t="str">
            <v>CAIXA ECONOMICA FEDERAL</v>
          </cell>
        </row>
        <row r="4624">
          <cell r="B4624">
            <v>122983</v>
          </cell>
          <cell r="C4624" t="str">
            <v>FI CAIXA AQUA MULTIMERCADO</v>
          </cell>
          <cell r="D4624" t="str">
            <v>FI CAIXA AQUA MULTIMERCADO</v>
          </cell>
          <cell r="E4624" t="str">
            <v>FI CAIXA AQUA MULTIMERCADO</v>
          </cell>
        </row>
        <row r="4625">
          <cell r="B4625">
            <v>122984</v>
          </cell>
          <cell r="C4625" t="str">
            <v>FI CAIXA I MULTIMERCADO LONGO PRAZO</v>
          </cell>
          <cell r="D4625" t="str">
            <v>FI CAIXA I MULTIMERCADO LONGO PRAZO</v>
          </cell>
          <cell r="E4625" t="str">
            <v>CAIXA ECONOMICA FEDERAL</v>
          </cell>
        </row>
        <row r="4626">
          <cell r="B4626">
            <v>122985</v>
          </cell>
          <cell r="C4626" t="str">
            <v>KINEA PIPE FIA</v>
          </cell>
          <cell r="D4626" t="str">
            <v>KINEA PIPE FIA</v>
          </cell>
          <cell r="E4626" t="str">
            <v>KINEA PIPE FIA</v>
          </cell>
        </row>
        <row r="4627">
          <cell r="B4627">
            <v>122986</v>
          </cell>
          <cell r="C4627" t="str">
            <v>KINEA I PIPE FIA</v>
          </cell>
          <cell r="D4627" t="str">
            <v>KINEA I PIPE FIA</v>
          </cell>
          <cell r="E4627" t="str">
            <v>KINEA I PIPE FIA</v>
          </cell>
        </row>
        <row r="4628">
          <cell r="B4628">
            <v>123084</v>
          </cell>
          <cell r="C4628" t="str">
            <v>BANCO SANTANDER (BRASIL) S/A</v>
          </cell>
          <cell r="D4628" t="str">
            <v>BANCO SANTANDER (BRASIL) S/A</v>
          </cell>
          <cell r="E4628" t="str">
            <v>BANCO SANTANDER (BRASIL) S/A</v>
          </cell>
        </row>
        <row r="4629">
          <cell r="B4629">
            <v>122988</v>
          </cell>
          <cell r="C4629" t="str">
            <v>MATCH POINT INVESTMENTS LLC</v>
          </cell>
          <cell r="D4629" t="str">
            <v>MATCH POINT INVESTMENTS LLC</v>
          </cell>
          <cell r="E4629" t="str">
            <v>ARX INVESTIMENTOS LTDA</v>
          </cell>
        </row>
        <row r="4630">
          <cell r="B4630">
            <v>122989</v>
          </cell>
          <cell r="C4630" t="str">
            <v>MORGAN STANLEY CTVM S/A</v>
          </cell>
          <cell r="D4630" t="str">
            <v>MORGAN STANLEY CTVM S/A</v>
          </cell>
          <cell r="E4630" t="str">
            <v>MORGAN STANLEY CTVM S/A</v>
          </cell>
        </row>
        <row r="4631">
          <cell r="B4631">
            <v>122990</v>
          </cell>
          <cell r="C4631" t="str">
            <v>MORGAN STANLEY CTVM S/A</v>
          </cell>
          <cell r="D4631" t="str">
            <v>MORGAN STANLEY CTVM S/A</v>
          </cell>
          <cell r="E4631" t="str">
            <v>MORGAN STANLEY CTVM S/A</v>
          </cell>
        </row>
        <row r="4632">
          <cell r="B4632">
            <v>122991</v>
          </cell>
          <cell r="C4632" t="str">
            <v>MORGAN STANLEY CTVM S/A</v>
          </cell>
          <cell r="D4632" t="str">
            <v>MORGAN STANLEY CTVM S/A</v>
          </cell>
          <cell r="E4632" t="str">
            <v>MORGAN STANLEY CTVM S/A</v>
          </cell>
        </row>
        <row r="4633">
          <cell r="B4633">
            <v>80413</v>
          </cell>
          <cell r="C4633" t="str">
            <v>OCCAM BRASIL GESTAO DE RECURSOS LTDA</v>
          </cell>
          <cell r="D4633" t="str">
            <v>OCCAM BRASIL GESTAO DE RECURSOS LTDA</v>
          </cell>
          <cell r="E4633" t="str">
            <v>OCCAM BRASIL GESTAO DE RECURSOS LTDA</v>
          </cell>
        </row>
        <row r="4634">
          <cell r="B4634">
            <v>122993</v>
          </cell>
          <cell r="C4634" t="str">
            <v>COPO DE LEITE FIM CP IE</v>
          </cell>
          <cell r="D4634" t="str">
            <v>COPO DE LEITE FIM CP IE</v>
          </cell>
          <cell r="E4634" t="str">
            <v>COPO DE LEITE FIM CP IE</v>
          </cell>
        </row>
        <row r="4635">
          <cell r="B4635">
            <v>122994</v>
          </cell>
          <cell r="C4635" t="str">
            <v>FIA CAIXA BRASIL INDEXA IBOVESPA</v>
          </cell>
          <cell r="D4635" t="str">
            <v>FIA CAIXA BRASIL INDEXA IBOVESPA</v>
          </cell>
          <cell r="E4635" t="str">
            <v>CAIXA ECONOMICA FEDERAL</v>
          </cell>
        </row>
        <row r="4636">
          <cell r="B4636">
            <v>122995</v>
          </cell>
          <cell r="C4636" t="str">
            <v>BANCO DE LA NACION ARGENTINA</v>
          </cell>
          <cell r="D4636" t="str">
            <v>BANCO DE LA NACION ARGENTINA</v>
          </cell>
          <cell r="E4636" t="str">
            <v>BANCO DE LA NACION ARGENTINA</v>
          </cell>
        </row>
        <row r="4637">
          <cell r="B4637">
            <v>123085</v>
          </cell>
          <cell r="C4637" t="str">
            <v>BANCO SANTANDER (BRASIL) S/A</v>
          </cell>
          <cell r="D4637" t="str">
            <v>BANCO SANTANDER (BRASIL) S/A</v>
          </cell>
          <cell r="E4637" t="str">
            <v>BANCO SANTANDER (BRASIL) S/A</v>
          </cell>
        </row>
        <row r="4638">
          <cell r="B4638">
            <v>122997</v>
          </cell>
          <cell r="C4638" t="str">
            <v>SAO PAULO PORTO MASTER FIM IE</v>
          </cell>
          <cell r="D4638" t="str">
            <v>SAO PAULO PORTO MASTER FIM IE</v>
          </cell>
          <cell r="E4638" t="str">
            <v>SAO PAULO GESTORA DE RECURSOS LTDA</v>
          </cell>
        </row>
        <row r="4639">
          <cell r="B4639">
            <v>80414</v>
          </cell>
          <cell r="C4639" t="str">
            <v>OCCAM BRASIL GESTAO DE RECURSOS LTDA</v>
          </cell>
          <cell r="D4639" t="str">
            <v>OCCAM BRASIL GESTAO DE RECURSOS LTDA</v>
          </cell>
          <cell r="E4639" t="str">
            <v>OCCAM BRASIL GESTAO DE RECURSOS LTDA</v>
          </cell>
        </row>
        <row r="4640">
          <cell r="B4640">
            <v>123086</v>
          </cell>
          <cell r="C4640" t="str">
            <v>BANCO SANTANDER (BRASIL) S/A</v>
          </cell>
          <cell r="D4640" t="str">
            <v>BANCO SANTANDER (BRASIL) S/A</v>
          </cell>
          <cell r="E4640" t="str">
            <v>BANCO SANTANDER (BRASIL) S/A</v>
          </cell>
        </row>
        <row r="4641">
          <cell r="B4641">
            <v>1229999</v>
          </cell>
          <cell r="C4641" t="str">
            <v>BGC LIQUIDEZ DTVM LTDA</v>
          </cell>
          <cell r="D4641" t="str">
            <v>BGC LIQUIDEZ DTVM LTDA</v>
          </cell>
          <cell r="E4641" t="str">
            <v>BGC LIQUIDEZ DTVM LTDA</v>
          </cell>
        </row>
        <row r="4642">
          <cell r="B4642">
            <v>12300</v>
          </cell>
          <cell r="C4642" t="str">
            <v>BANCO NACIONAL DE DESENVOLVIMENTO ECONOMICO E SOCIAL - BNDES</v>
          </cell>
          <cell r="D4642" t="str">
            <v>BANCO NACIONAL DE DESENVOLVIMENTO ECONOMICO E SOCIAL - BNDES</v>
          </cell>
          <cell r="E4642" t="str">
            <v>BANCO NACIONAL DE DESENVOLVIMENTO ECONOMICO E SOCIAL - BNDES</v>
          </cell>
        </row>
        <row r="4643">
          <cell r="B4643">
            <v>123000</v>
          </cell>
          <cell r="C4643" t="str">
            <v>VERDE UNIQUE LONG BIAS MASTER FUND, LLC</v>
          </cell>
          <cell r="D4643" t="str">
            <v>VERDE UNIQUE LONG BIAS MASTER FUND, LLC</v>
          </cell>
          <cell r="E4643" t="str">
            <v>VERDE UNIQUE LONG BIAS MASTER FUND, LLC</v>
          </cell>
        </row>
        <row r="4644">
          <cell r="B4644">
            <v>123001</v>
          </cell>
          <cell r="C4644" t="str">
            <v>RIO BRAVO TASSOS FIA</v>
          </cell>
          <cell r="D4644" t="str">
            <v>RIO BRAVO TASSOS FIA</v>
          </cell>
          <cell r="E4644" t="str">
            <v>FUNDAMENTAL INVESTIMENTOS LTDA</v>
          </cell>
        </row>
        <row r="4645">
          <cell r="B4645">
            <v>123002</v>
          </cell>
          <cell r="C4645" t="str">
            <v>SATURNO FIM</v>
          </cell>
          <cell r="D4645" t="str">
            <v>SATURNO FIM</v>
          </cell>
          <cell r="E4645" t="str">
            <v>SATURNO FIM</v>
          </cell>
        </row>
        <row r="4646">
          <cell r="B4646">
            <v>123004</v>
          </cell>
          <cell r="C4646" t="str">
            <v>BB AMAZONIA FIM</v>
          </cell>
          <cell r="D4646" t="str">
            <v>BB AMAZONIA FIM</v>
          </cell>
          <cell r="E4646" t="str">
            <v>BB GESTAO DE RECURSOS DTVM LTDA</v>
          </cell>
        </row>
        <row r="4647">
          <cell r="B4647">
            <v>123005</v>
          </cell>
          <cell r="C4647" t="str">
            <v>VERDE AM UNIQUE GOLD FIA ( ANTIGO CSHG UNIQUE GOLD FIA)</v>
          </cell>
          <cell r="D4647" t="str">
            <v>VERDE AM UNIQUE GOLD FIA ( ANTIGO CSHG UNIQUE GOLD FIA)</v>
          </cell>
          <cell r="E4647" t="str">
            <v>VERDE AM UNIQUE GOLD FIA ( ANTIGO CSHG UNIQUE GOLD FIA)</v>
          </cell>
        </row>
        <row r="4648">
          <cell r="B4648">
            <v>123006</v>
          </cell>
          <cell r="C4648" t="str">
            <v>MORGAN STANLEY CTVM S/A</v>
          </cell>
          <cell r="D4648" t="str">
            <v>MORGAN STANLEY CTVM S/A</v>
          </cell>
          <cell r="E4648" t="str">
            <v>MORGAN STANLEY CTVM S/A</v>
          </cell>
        </row>
        <row r="4649">
          <cell r="B4649">
            <v>123007</v>
          </cell>
          <cell r="C4649" t="str">
            <v>MORGAN STANLEY CTVM S/A</v>
          </cell>
          <cell r="D4649" t="str">
            <v>MORGAN STANLEY CTVM S/A</v>
          </cell>
          <cell r="E4649" t="str">
            <v>MORGAN STANLEY CTVM S/A</v>
          </cell>
        </row>
        <row r="4650">
          <cell r="B4650">
            <v>123008</v>
          </cell>
          <cell r="C4650" t="str">
            <v>MORGAN STANLEY CTVM S/A</v>
          </cell>
          <cell r="D4650" t="str">
            <v>MORGAN STANLEY CTVM S/A</v>
          </cell>
          <cell r="E4650" t="str">
            <v>MORGAN STANLEY CTVM S/A</v>
          </cell>
        </row>
        <row r="4651">
          <cell r="B4651">
            <v>123009</v>
          </cell>
          <cell r="C4651" t="str">
            <v>MORGAN STANLEY CTVM S/A</v>
          </cell>
          <cell r="D4651" t="str">
            <v>MORGAN STANLEY CTVM S/A</v>
          </cell>
          <cell r="E4651" t="str">
            <v>MORGAN STANLEY CTVM S/A</v>
          </cell>
        </row>
        <row r="4652">
          <cell r="B4652">
            <v>123713</v>
          </cell>
          <cell r="C4652" t="str">
            <v>XP BELZE FIA</v>
          </cell>
          <cell r="D4652" t="str">
            <v>XP BELZE FIA</v>
          </cell>
          <cell r="E4652" t="str">
            <v>XP BELZE FIA</v>
          </cell>
        </row>
        <row r="4653">
          <cell r="B4653">
            <v>123010</v>
          </cell>
          <cell r="C4653" t="str">
            <v>MORGAN STANLEY CTVM S/A</v>
          </cell>
          <cell r="D4653" t="str">
            <v>MORGAN STANLEY CTVM S/A</v>
          </cell>
          <cell r="E4653" t="str">
            <v>MORGAN STANLEY CTVM S/A</v>
          </cell>
        </row>
        <row r="4654">
          <cell r="B4654">
            <v>123011</v>
          </cell>
          <cell r="C4654" t="str">
            <v>MORGAN STANLEY CTVM S/A</v>
          </cell>
          <cell r="D4654" t="str">
            <v>MORGAN STANLEY CTVM S/A</v>
          </cell>
          <cell r="E4654" t="str">
            <v>MORGAN STANLEY CTVM S/A</v>
          </cell>
        </row>
        <row r="4655">
          <cell r="B4655">
            <v>123012</v>
          </cell>
          <cell r="C4655" t="str">
            <v>MORGAN STANLEY CTVM S/A</v>
          </cell>
          <cell r="D4655" t="str">
            <v>MORGAN STANLEY CTVM S/A</v>
          </cell>
          <cell r="E4655" t="str">
            <v>MORGAN STANLEY CTVM S/A</v>
          </cell>
        </row>
        <row r="4656">
          <cell r="B4656">
            <v>123013</v>
          </cell>
          <cell r="C4656" t="str">
            <v>MORGAN STANLEY CTVM S/A</v>
          </cell>
          <cell r="D4656" t="str">
            <v>MORGAN STANLEY CTVM S/A</v>
          </cell>
          <cell r="E4656" t="str">
            <v>MORGAN STANLEY CTVM S/A</v>
          </cell>
        </row>
        <row r="4657">
          <cell r="B4657">
            <v>123014</v>
          </cell>
          <cell r="C4657" t="str">
            <v>MORGAN STANLEY CTVM S/A</v>
          </cell>
          <cell r="D4657" t="str">
            <v>MORGAN STANLEY CTVM S/A</v>
          </cell>
          <cell r="E4657" t="str">
            <v>MORGAN STANLEY CTVM S/A</v>
          </cell>
        </row>
        <row r="4658">
          <cell r="B4658">
            <v>123015</v>
          </cell>
          <cell r="C4658" t="str">
            <v>MORGAN STANLEY CTVM S/A</v>
          </cell>
          <cell r="D4658" t="str">
            <v>MORGAN STANLEY CTVM S/A</v>
          </cell>
          <cell r="E4658" t="str">
            <v>MORGAN STANLEY CTVM S/A</v>
          </cell>
        </row>
        <row r="4659">
          <cell r="B4659">
            <v>123016</v>
          </cell>
          <cell r="C4659" t="str">
            <v>MORGAN STANLEY CTVM S/A</v>
          </cell>
          <cell r="D4659" t="str">
            <v>MORGAN STANLEY CTVM S/A</v>
          </cell>
          <cell r="E4659" t="str">
            <v>MORGAN STANLEY CTVM S/A</v>
          </cell>
        </row>
        <row r="4660">
          <cell r="B4660">
            <v>123017</v>
          </cell>
          <cell r="C4660" t="str">
            <v>MORGAN STANLEY CTVM S/A</v>
          </cell>
          <cell r="D4660" t="str">
            <v>MORGAN STANLEY CTVM S/A</v>
          </cell>
          <cell r="E4660" t="str">
            <v>MORGAN STANLEY CTVM S/A</v>
          </cell>
        </row>
        <row r="4661">
          <cell r="B4661">
            <v>123018</v>
          </cell>
          <cell r="C4661" t="str">
            <v>OPTIVER V.O.F.</v>
          </cell>
          <cell r="D4661" t="str">
            <v>OPTIVER V.O.F.</v>
          </cell>
          <cell r="E4661" t="str">
            <v>OPTIVER V.O.F.</v>
          </cell>
        </row>
        <row r="4662">
          <cell r="B4662">
            <v>123019</v>
          </cell>
          <cell r="C4662" t="str">
            <v>AMPLIO HEDGE FIM</v>
          </cell>
          <cell r="D4662" t="str">
            <v>AMPLIO HEDGE FIM</v>
          </cell>
          <cell r="E4662" t="str">
            <v>AMPLIO CAPITAL LTDA</v>
          </cell>
        </row>
        <row r="4663">
          <cell r="B4663">
            <v>79880</v>
          </cell>
          <cell r="C4663" t="str">
            <v>XP BELZE FIA</v>
          </cell>
          <cell r="D4663" t="str">
            <v>XP BELZE FIA</v>
          </cell>
          <cell r="E4663" t="str">
            <v>XP BELZE FIA</v>
          </cell>
        </row>
        <row r="4664">
          <cell r="B4664">
            <v>123020</v>
          </cell>
          <cell r="C4664" t="str">
            <v>DTW INSTITUCIONAL FIA</v>
          </cell>
          <cell r="D4664" t="str">
            <v>DTW INSTITUCIONAL FIA</v>
          </cell>
          <cell r="E4664" t="str">
            <v>AMPLIO CAPITAL LTDA</v>
          </cell>
        </row>
        <row r="4665">
          <cell r="B4665">
            <v>123021</v>
          </cell>
          <cell r="C4665" t="str">
            <v>DTW FI RF INSTITUCIONAL</v>
          </cell>
          <cell r="D4665" t="str">
            <v>DTW FI RF INSTITUCIONAL</v>
          </cell>
          <cell r="E4665" t="str">
            <v>AMPLIO CAPITAL LTDA</v>
          </cell>
        </row>
        <row r="4666">
          <cell r="B4666">
            <v>123022</v>
          </cell>
          <cell r="C4666" t="str">
            <v>CAPSTONE VOL HOLDINGS I, LLC</v>
          </cell>
          <cell r="D4666" t="str">
            <v>CAPSTONE VOL HOLDINGS I, LLC</v>
          </cell>
          <cell r="E4666" t="str">
            <v>CAPSTONE VOL HOLDINGS I, LLC</v>
          </cell>
        </row>
        <row r="4667">
          <cell r="B4667">
            <v>123023</v>
          </cell>
          <cell r="C4667" t="str">
            <v>MORGAN STANLEY CTVM S/A</v>
          </cell>
          <cell r="D4667" t="str">
            <v>MORGAN STANLEY CTVM S/A</v>
          </cell>
          <cell r="E4667" t="str">
            <v>MORGAN STANLEY CTVM S/A</v>
          </cell>
        </row>
        <row r="4668">
          <cell r="B4668">
            <v>123024</v>
          </cell>
          <cell r="C4668" t="str">
            <v>MORGAN STANLEY CTVM S/A</v>
          </cell>
          <cell r="D4668" t="str">
            <v>MORGAN STANLEY CTVM S/A</v>
          </cell>
          <cell r="E4668" t="str">
            <v>MORGAN STANLEY CTVM S/A</v>
          </cell>
        </row>
        <row r="4669">
          <cell r="B4669">
            <v>123025</v>
          </cell>
          <cell r="C4669" t="str">
            <v>MORGAN STANLEY CTVM S/A</v>
          </cell>
          <cell r="D4669" t="str">
            <v>MORGAN STANLEY CTVM S/A</v>
          </cell>
          <cell r="E4669" t="str">
            <v>MORGAN STANLEY CTVM S/A</v>
          </cell>
        </row>
        <row r="4670">
          <cell r="B4670">
            <v>123026</v>
          </cell>
          <cell r="C4670" t="str">
            <v>MORGAN STANLEY CTVM S/A</v>
          </cell>
          <cell r="D4670" t="str">
            <v>MORGAN STANLEY CTVM S/A</v>
          </cell>
          <cell r="E4670" t="str">
            <v>MORGAN STANLEY CTVM S/A</v>
          </cell>
        </row>
        <row r="4671">
          <cell r="B4671">
            <v>123027</v>
          </cell>
          <cell r="C4671" t="str">
            <v>RUGIR MULTIMERCADO CP IE</v>
          </cell>
          <cell r="D4671" t="str">
            <v>RUGIR MULTIMERCADO CP IE</v>
          </cell>
          <cell r="E4671" t="str">
            <v>RUGIR MULTIMERCADO CP IE</v>
          </cell>
        </row>
        <row r="4672">
          <cell r="B4672">
            <v>123028</v>
          </cell>
          <cell r="C4672" t="str">
            <v>VERDE AM EHB FUNDO DE INVESTIMENTO MULTIMERCADO</v>
          </cell>
          <cell r="D4672" t="str">
            <v>VERDE AM EHB FUNDO DE INVESTIMENTO MULTIMERCADO</v>
          </cell>
          <cell r="E4672" t="str">
            <v>VERDE AM EHB FUNDO DE INVESTIMENTO MULTIMERCADO</v>
          </cell>
        </row>
        <row r="4673">
          <cell r="B4673">
            <v>123029</v>
          </cell>
          <cell r="C4673" t="str">
            <v>MORGAN STANLEY CTVM S/A</v>
          </cell>
          <cell r="D4673" t="str">
            <v>MORGAN STANLEY CTVM S/A</v>
          </cell>
          <cell r="E4673" t="str">
            <v>MORGAN STANLEY CTVM S/A</v>
          </cell>
        </row>
        <row r="4674">
          <cell r="B4674" t="str">
            <v>M41777833000140</v>
          </cell>
          <cell r="C4674" t="str">
            <v>CAPITANIA PREV S.A.</v>
          </cell>
          <cell r="D4674" t="str">
            <v>CAPITANIA PREV S.A.</v>
          </cell>
          <cell r="E4674" t="str">
            <v>CAPITÂNIA INVEST S/A</v>
          </cell>
        </row>
        <row r="4675">
          <cell r="B4675">
            <v>123030</v>
          </cell>
          <cell r="C4675" t="str">
            <v>MORGAN STANLEY CTVM S/A</v>
          </cell>
          <cell r="D4675" t="str">
            <v>MORGAN STANLEY CTVM S/A</v>
          </cell>
          <cell r="E4675" t="str">
            <v>MORGAN STANLEY CTVM S/A</v>
          </cell>
        </row>
        <row r="4676">
          <cell r="B4676">
            <v>123031</v>
          </cell>
          <cell r="C4676" t="str">
            <v>CREDIT SUISSE (BRASIL) S/A CTVM</v>
          </cell>
          <cell r="D4676" t="str">
            <v>CREDIT SUISSE (BRASIL) S/A CTVM</v>
          </cell>
          <cell r="E4676" t="str">
            <v>CREDIT SUISSE (BRASIL) S/A CTVM</v>
          </cell>
        </row>
        <row r="4677">
          <cell r="B4677">
            <v>123032</v>
          </cell>
          <cell r="C4677" t="str">
            <v>PAINEIRAS HEDGE MASTER FIM</v>
          </cell>
          <cell r="D4677" t="str">
            <v>PAINEIRAS HEDGE MASTER FIM</v>
          </cell>
          <cell r="E4677" t="str">
            <v>IPANEMA GESTORA DE RECURSOS LTDA</v>
          </cell>
        </row>
        <row r="4678">
          <cell r="B4678">
            <v>123033</v>
          </cell>
          <cell r="C4678" t="str">
            <v>A3 ALOCACOES FIM CP IE</v>
          </cell>
          <cell r="D4678" t="str">
            <v>A3 ALOCACOES FIM CP IE</v>
          </cell>
          <cell r="E4678" t="str">
            <v>A3 PERFORMANCE GESTAO DE RECURSOS LTDA</v>
          </cell>
        </row>
        <row r="4679">
          <cell r="B4679">
            <v>123034</v>
          </cell>
          <cell r="C4679" t="str">
            <v>CREDIT SUISSE (BRASIL) S/A CTVM</v>
          </cell>
          <cell r="D4679" t="str">
            <v>CREDIT SUISSE (BRASIL) S/A CTVM</v>
          </cell>
          <cell r="E4679" t="str">
            <v>CREDIT SUISSE (BRASIL) S/A CTVM</v>
          </cell>
        </row>
        <row r="4680">
          <cell r="B4680">
            <v>123035</v>
          </cell>
          <cell r="C4680" t="str">
            <v>CREDIT SUISSE (BRASIL) S/A CTVM</v>
          </cell>
          <cell r="D4680" t="str">
            <v>CREDIT SUISSE (BRASIL) S/A CTVM</v>
          </cell>
          <cell r="E4680" t="str">
            <v>CREDIT SUISSE (BRASIL) S/A CTVM</v>
          </cell>
        </row>
        <row r="4681">
          <cell r="B4681">
            <v>123036</v>
          </cell>
          <cell r="C4681" t="str">
            <v>CREDIT SUISSE (BRASIL) S/A CTVM</v>
          </cell>
          <cell r="D4681" t="str">
            <v>CREDIT SUISSE (BRASIL) S/A CTVM</v>
          </cell>
          <cell r="E4681" t="str">
            <v>CREDIT SUISSE (BRASIL) S/A CTVM</v>
          </cell>
        </row>
        <row r="4682">
          <cell r="B4682">
            <v>123037</v>
          </cell>
          <cell r="C4682" t="str">
            <v>CREDIT SUISSE (BRASIL) S/A CTVM</v>
          </cell>
          <cell r="D4682" t="str">
            <v>CREDIT SUISSE (BRASIL) S/A CTVM</v>
          </cell>
          <cell r="E4682" t="str">
            <v>CREDIT SUISSE (BRASIL) S/A CTVM</v>
          </cell>
        </row>
        <row r="4683">
          <cell r="B4683">
            <v>123038</v>
          </cell>
          <cell r="C4683" t="str">
            <v>CREDIT SUISSE (BRASIL) S/A CTVM</v>
          </cell>
          <cell r="D4683" t="str">
            <v>CREDIT SUISSE (BRASIL) S/A CTVM</v>
          </cell>
          <cell r="E4683" t="str">
            <v>CREDIT SUISSE (BRASIL) S/A CTVM</v>
          </cell>
        </row>
        <row r="4684">
          <cell r="B4684">
            <v>80413</v>
          </cell>
          <cell r="C4684" t="str">
            <v>OCCAM BRASIL GESTAO DE RECURSOS LTDA</v>
          </cell>
          <cell r="D4684" t="str">
            <v>OCCAM BRASIL GESTAO DE RECURSOS LTDA</v>
          </cell>
          <cell r="E4684" t="str">
            <v>OCCAM BRASIL GESTAO DE RECURSOS LTDA</v>
          </cell>
        </row>
        <row r="4685">
          <cell r="B4685">
            <v>123040</v>
          </cell>
          <cell r="C4685" t="str">
            <v>MORGAN STANLEY CTVM S/A</v>
          </cell>
          <cell r="D4685" t="str">
            <v>MORGAN STANLEY CTVM S/A</v>
          </cell>
          <cell r="E4685" t="str">
            <v>MORGAN STANLEY CTVM S/A</v>
          </cell>
        </row>
        <row r="4686">
          <cell r="B4686">
            <v>123042</v>
          </cell>
          <cell r="C4686" t="str">
            <v>GUARDIAN FIM CP</v>
          </cell>
          <cell r="D4686" t="str">
            <v>GUARDIAN FIM CP</v>
          </cell>
          <cell r="E4686" t="str">
            <v>FRAM CAPITAL GESTAO DE ATIVOS LTDA</v>
          </cell>
        </row>
        <row r="4687">
          <cell r="B4687">
            <v>123043</v>
          </cell>
          <cell r="C4687" t="str">
            <v>MORGAN STANLEY CTVM S/A</v>
          </cell>
          <cell r="D4687" t="str">
            <v>MORGAN STANLEY CTVM S/A</v>
          </cell>
          <cell r="E4687" t="str">
            <v>MORGAN STANLEY CTVM S/A</v>
          </cell>
        </row>
        <row r="4688">
          <cell r="B4688">
            <v>123044</v>
          </cell>
          <cell r="C4688" t="str">
            <v>ABSOLUTE HEDGE MASTER FIM</v>
          </cell>
          <cell r="D4688" t="str">
            <v>ABSOLUTE HEDGE MASTER FIM</v>
          </cell>
          <cell r="E4688" t="str">
            <v>ABSOLUTE GESTAO DE INVESTIMENTOS LTDA</v>
          </cell>
        </row>
        <row r="4689">
          <cell r="B4689">
            <v>123045</v>
          </cell>
          <cell r="C4689" t="str">
            <v>SAFRA FLEX V FIC DE FIM</v>
          </cell>
          <cell r="D4689" t="str">
            <v>SAFRA FLEX V FIC DE FIM</v>
          </cell>
          <cell r="E4689" t="str">
            <v>SAFRA ASSET MANAGEMENT LTDA</v>
          </cell>
        </row>
        <row r="4690">
          <cell r="B4690">
            <v>123046</v>
          </cell>
          <cell r="C4690" t="str">
            <v>SAFRA INDICIAL MASTER FIA</v>
          </cell>
          <cell r="D4690" t="str">
            <v>SAFRA INDICIAL MASTER FIA</v>
          </cell>
          <cell r="E4690" t="str">
            <v>SAFRA ASSET MANAGEMENT LTDA</v>
          </cell>
        </row>
        <row r="4691">
          <cell r="B4691">
            <v>123047</v>
          </cell>
          <cell r="C4691" t="str">
            <v>MORGAN STANLEY CTVM S/A</v>
          </cell>
          <cell r="D4691" t="str">
            <v>MORGAN STANLEY CTVM S/A</v>
          </cell>
          <cell r="E4691" t="str">
            <v>MORGAN STANLEY CTVM S/A</v>
          </cell>
        </row>
        <row r="4692">
          <cell r="B4692">
            <v>123048</v>
          </cell>
          <cell r="C4692" t="str">
            <v>MORGAN STANLEY CTVM S/A</v>
          </cell>
          <cell r="D4692" t="str">
            <v>MORGAN STANLEY CTVM S/A</v>
          </cell>
          <cell r="E4692" t="str">
            <v>MORGAN STANLEY CTVM S/A</v>
          </cell>
        </row>
        <row r="4693">
          <cell r="B4693">
            <v>122282</v>
          </cell>
          <cell r="C4693" t="str">
            <v>FIM CP QUADRA</v>
          </cell>
          <cell r="D4693" t="str">
            <v>FIM CP QUADRA</v>
          </cell>
          <cell r="E4693" t="str">
            <v>PLURAL GESTÃO DE RECURSOS LTDA</v>
          </cell>
        </row>
        <row r="4694">
          <cell r="B4694">
            <v>12305</v>
          </cell>
          <cell r="C4694" t="str">
            <v>RBC BRASIL DTVM LTDA</v>
          </cell>
          <cell r="D4694" t="str">
            <v>RBC BRASIL DTVM LTDA</v>
          </cell>
          <cell r="E4694" t="str">
            <v>RBC BRASIL DTVM LTDA</v>
          </cell>
        </row>
        <row r="4695">
          <cell r="B4695">
            <v>123050</v>
          </cell>
          <cell r="C4695" t="str">
            <v>DUNA HEDGE MASTER FIM</v>
          </cell>
          <cell r="D4695" t="str">
            <v>DUNA HEDGE MASTER FIM</v>
          </cell>
          <cell r="E4695" t="str">
            <v>DUNA ASSET MANAGEMENT LTDA</v>
          </cell>
        </row>
        <row r="4696">
          <cell r="B4696">
            <v>123051</v>
          </cell>
          <cell r="C4696" t="str">
            <v>MORGAN STANLEY CTVM S/A</v>
          </cell>
          <cell r="D4696" t="str">
            <v>MORGAN STANLEY CTVM S/A</v>
          </cell>
          <cell r="E4696" t="str">
            <v>MORGAN STANLEY CTVM S/A</v>
          </cell>
        </row>
        <row r="4697">
          <cell r="B4697">
            <v>123052</v>
          </cell>
          <cell r="C4697" t="str">
            <v>MORGAN STANLEY CTVM S/A</v>
          </cell>
          <cell r="D4697" t="str">
            <v>MORGAN STANLEY CTVM S/A</v>
          </cell>
          <cell r="E4697" t="str">
            <v>MORGAN STANLEY CTVM S/A</v>
          </cell>
        </row>
        <row r="4698">
          <cell r="B4698">
            <v>123053</v>
          </cell>
          <cell r="C4698" t="str">
            <v>MORGAN STANLEY CTVM S/A</v>
          </cell>
          <cell r="D4698" t="str">
            <v>MORGAN STANLEY CTVM S/A</v>
          </cell>
          <cell r="E4698" t="str">
            <v>MORGAN STANLEY CTVM S/A</v>
          </cell>
        </row>
        <row r="4699">
          <cell r="B4699">
            <v>123054</v>
          </cell>
          <cell r="C4699" t="str">
            <v>MORGAN STANLEY CTVM S/A</v>
          </cell>
          <cell r="D4699" t="str">
            <v>MORGAN STANLEY CTVM S/A</v>
          </cell>
          <cell r="E4699" t="str">
            <v>MORGAN STANLEY CTVM S/A</v>
          </cell>
        </row>
        <row r="4700">
          <cell r="B4700">
            <v>123055</v>
          </cell>
          <cell r="C4700" t="str">
            <v>MORGAN STANLEY CTVM S/A</v>
          </cell>
          <cell r="D4700" t="str">
            <v>MORGAN STANLEY CTVM S/A</v>
          </cell>
          <cell r="E4700" t="str">
            <v>MORGAN STANLEY CTVM S/A</v>
          </cell>
        </row>
        <row r="4701">
          <cell r="B4701">
            <v>123056</v>
          </cell>
          <cell r="C4701" t="str">
            <v>MORGAN STANLEY CTVM S/A</v>
          </cell>
          <cell r="D4701" t="str">
            <v>MORGAN STANLEY CTVM S/A</v>
          </cell>
          <cell r="E4701" t="str">
            <v>MORGAN STANLEY CTVM S/A</v>
          </cell>
        </row>
        <row r="4702">
          <cell r="B4702">
            <v>123057</v>
          </cell>
          <cell r="C4702" t="str">
            <v>MORGAN STANLEY CTVM S/A</v>
          </cell>
          <cell r="D4702" t="str">
            <v>MORGAN STANLEY CTVM S/A</v>
          </cell>
          <cell r="E4702" t="str">
            <v>MORGAN STANLEY CTVM S/A</v>
          </cell>
        </row>
        <row r="4703">
          <cell r="B4703">
            <v>123058</v>
          </cell>
          <cell r="C4703" t="str">
            <v>MORGAN STANLEY CTVM S/A</v>
          </cell>
          <cell r="D4703" t="str">
            <v>MORGAN STANLEY CTVM S/A</v>
          </cell>
          <cell r="E4703" t="str">
            <v>MORGAN STANLEY CTVM S/A</v>
          </cell>
        </row>
        <row r="4704">
          <cell r="B4704">
            <v>123059</v>
          </cell>
          <cell r="C4704" t="str">
            <v>MORGAN STANLEY CTVM S/A</v>
          </cell>
          <cell r="D4704" t="str">
            <v>MORGAN STANLEY CTVM S/A</v>
          </cell>
          <cell r="E4704" t="str">
            <v>MORGAN STANLEY CTVM S/A</v>
          </cell>
        </row>
        <row r="4705">
          <cell r="B4705">
            <v>123060</v>
          </cell>
          <cell r="C4705" t="str">
            <v>MORGAN STANLEY CTVM S/A</v>
          </cell>
          <cell r="D4705" t="str">
            <v>MORGAN STANLEY CTVM S/A</v>
          </cell>
          <cell r="E4705" t="str">
            <v>MORGAN STANLEY CTVM S/A</v>
          </cell>
        </row>
        <row r="4706">
          <cell r="B4706">
            <v>123061</v>
          </cell>
          <cell r="C4706" t="str">
            <v>MORGAN STANLEY CTVM S/A</v>
          </cell>
          <cell r="D4706" t="str">
            <v>MORGAN STANLEY CTVM S/A</v>
          </cell>
          <cell r="E4706" t="str">
            <v>MORGAN STANLEY CTVM S/A</v>
          </cell>
        </row>
        <row r="4707">
          <cell r="B4707">
            <v>123062</v>
          </cell>
          <cell r="C4707" t="str">
            <v>MORGAN STANLEY CTVM S/A</v>
          </cell>
          <cell r="D4707" t="str">
            <v>MORGAN STANLEY CTVM S/A</v>
          </cell>
          <cell r="E4707" t="str">
            <v>MORGAN STANLEY CTVM S/A</v>
          </cell>
        </row>
        <row r="4708">
          <cell r="B4708">
            <v>123063</v>
          </cell>
          <cell r="C4708" t="str">
            <v>MORGAN STANLEY CTVM S/A</v>
          </cell>
          <cell r="D4708" t="str">
            <v>MORGAN STANLEY CTVM S/A</v>
          </cell>
          <cell r="E4708" t="str">
            <v>MORGAN STANLEY CTVM S/A</v>
          </cell>
        </row>
        <row r="4709">
          <cell r="B4709">
            <v>123064</v>
          </cell>
          <cell r="C4709" t="str">
            <v>MORGAN STANLEY CTVM S/A</v>
          </cell>
          <cell r="D4709" t="str">
            <v>MORGAN STANLEY CTVM S/A</v>
          </cell>
          <cell r="E4709" t="str">
            <v>MORGAN STANLEY CTVM S/A</v>
          </cell>
        </row>
        <row r="4710">
          <cell r="B4710">
            <v>123065</v>
          </cell>
          <cell r="C4710" t="str">
            <v>MORGAN STANLEY CTVM S/A</v>
          </cell>
          <cell r="D4710" t="str">
            <v>MORGAN STANLEY CTVM S/A</v>
          </cell>
          <cell r="E4710" t="str">
            <v>MORGAN STANLEY CTVM S/A</v>
          </cell>
        </row>
        <row r="4711">
          <cell r="B4711">
            <v>123066</v>
          </cell>
          <cell r="C4711" t="str">
            <v>MORGAN STANLEY CTVM S/A</v>
          </cell>
          <cell r="D4711" t="str">
            <v>MORGAN STANLEY CTVM S/A</v>
          </cell>
          <cell r="E4711" t="str">
            <v>MORGAN STANLEY CTVM S/A</v>
          </cell>
        </row>
        <row r="4712">
          <cell r="B4712">
            <v>123067</v>
          </cell>
          <cell r="C4712" t="str">
            <v>MORGAN STANLEY CTVM S/A</v>
          </cell>
          <cell r="D4712" t="str">
            <v>MORGAN STANLEY CTVM S/A</v>
          </cell>
          <cell r="E4712" t="str">
            <v>MORGAN STANLEY CTVM S/A</v>
          </cell>
        </row>
        <row r="4713">
          <cell r="B4713">
            <v>123068</v>
          </cell>
          <cell r="C4713" t="str">
            <v>MORGAN STANLEY CTVM S/A</v>
          </cell>
          <cell r="D4713" t="str">
            <v>MORGAN STANLEY CTVM S/A</v>
          </cell>
          <cell r="E4713" t="str">
            <v>MORGAN STANLEY CTVM S/A</v>
          </cell>
        </row>
        <row r="4714">
          <cell r="B4714">
            <v>123069</v>
          </cell>
          <cell r="C4714" t="str">
            <v>MORGAN STANLEY CTVM S/A</v>
          </cell>
          <cell r="D4714" t="str">
            <v>MORGAN STANLEY CTVM S/A</v>
          </cell>
          <cell r="E4714" t="str">
            <v>MORGAN STANLEY CTVM S/A</v>
          </cell>
        </row>
        <row r="4715">
          <cell r="B4715">
            <v>12307</v>
          </cell>
          <cell r="C4715" t="str">
            <v>BANCO BTG PACTUAL S/A</v>
          </cell>
          <cell r="D4715" t="str">
            <v>BANCO BTG PACTUAL S/A</v>
          </cell>
          <cell r="E4715" t="str">
            <v>BANCO BTG PACTUAL S/A</v>
          </cell>
        </row>
        <row r="4716">
          <cell r="B4716">
            <v>123070</v>
          </cell>
          <cell r="C4716" t="str">
            <v>MORGAN STANLEY CTVM S/A</v>
          </cell>
          <cell r="D4716" t="str">
            <v>MORGAN STANLEY CTVM S/A</v>
          </cell>
          <cell r="E4716" t="str">
            <v>MORGAN STANLEY CTVM S/A</v>
          </cell>
        </row>
        <row r="4717">
          <cell r="B4717">
            <v>123071</v>
          </cell>
          <cell r="C4717" t="str">
            <v>MORGAN STANLEY CTVM S/A</v>
          </cell>
          <cell r="D4717" t="str">
            <v>MORGAN STANLEY CTVM S/A</v>
          </cell>
          <cell r="E4717" t="str">
            <v>MORGAN STANLEY CTVM S/A</v>
          </cell>
        </row>
        <row r="4718">
          <cell r="B4718">
            <v>123072</v>
          </cell>
          <cell r="C4718" t="str">
            <v>MORGAN STANLEY CTVM S/A</v>
          </cell>
          <cell r="D4718" t="str">
            <v>MORGAN STANLEY CTVM S/A</v>
          </cell>
          <cell r="E4718" t="str">
            <v>MORGAN STANLEY CTVM S/A</v>
          </cell>
        </row>
        <row r="4719">
          <cell r="B4719">
            <v>123073</v>
          </cell>
          <cell r="C4719" t="str">
            <v>FABIO RIBEIRO BARREIROS</v>
          </cell>
          <cell r="D4719" t="str">
            <v>FABIO RIBEIRO BARREIROS</v>
          </cell>
          <cell r="E4719" t="str">
            <v>FABIO RIBEIRO BARREIROS</v>
          </cell>
        </row>
        <row r="4720">
          <cell r="B4720">
            <v>123087</v>
          </cell>
          <cell r="C4720" t="str">
            <v>BANCO SANTANDER (BRASIL) S/A</v>
          </cell>
          <cell r="D4720" t="str">
            <v>BANCO SANTANDER (BRASIL) S/A</v>
          </cell>
          <cell r="E4720" t="str">
            <v>BANCO SANTANDER (BRASIL) S/A</v>
          </cell>
        </row>
        <row r="4721">
          <cell r="B4721">
            <v>123088</v>
          </cell>
          <cell r="C4721" t="str">
            <v>BANCO SANTANDER (BRASIL) S/A</v>
          </cell>
          <cell r="D4721" t="str">
            <v>BANCO SANTANDER (BRASIL) S/A</v>
          </cell>
          <cell r="E4721" t="str">
            <v>BANCO SANTANDER (BRASIL) S/A</v>
          </cell>
        </row>
        <row r="4722">
          <cell r="B4722">
            <v>123089</v>
          </cell>
          <cell r="C4722" t="str">
            <v>BANCO SANTANDER (BRASIL) S/A</v>
          </cell>
          <cell r="D4722" t="str">
            <v>BANCO SANTANDER (BRASIL) S/A</v>
          </cell>
          <cell r="E4722" t="str">
            <v>BANCO SANTANDER (BRASIL) S/A</v>
          </cell>
        </row>
        <row r="4723">
          <cell r="B4723">
            <v>12308</v>
          </cell>
          <cell r="C4723" t="str">
            <v>MILENIO CAPITAL GESTAO DE INVESTIMENTOS LTDA</v>
          </cell>
          <cell r="D4723" t="str">
            <v>MILENIO CAPITAL GESTAO DE INVESTIMENTOS LTDA</v>
          </cell>
          <cell r="E4723" t="str">
            <v>MILENIO CAPITAL GESTAO DE INVESTIMENTOS LTDA</v>
          </cell>
        </row>
        <row r="4724">
          <cell r="B4724">
            <v>123090</v>
          </cell>
          <cell r="C4724" t="str">
            <v>BANCO SANTANDER (BRASIL) S/A</v>
          </cell>
          <cell r="D4724" t="str">
            <v>BANCO SANTANDER (BRASIL) S/A</v>
          </cell>
          <cell r="E4724" t="str">
            <v>BANCO SANTANDER (BRASIL) S/A</v>
          </cell>
        </row>
        <row r="4725">
          <cell r="B4725">
            <v>123091</v>
          </cell>
          <cell r="C4725" t="str">
            <v>BANCO SANTANDER (BRASIL) S/A</v>
          </cell>
          <cell r="D4725" t="str">
            <v>BANCO SANTANDER (BRASIL) S/A</v>
          </cell>
          <cell r="E4725" t="str">
            <v>BANCO SANTANDER (BRASIL) S/A</v>
          </cell>
        </row>
        <row r="4726">
          <cell r="B4726">
            <v>123092</v>
          </cell>
          <cell r="C4726" t="str">
            <v>BANCO SANTANDER (BRASIL) S/A</v>
          </cell>
          <cell r="D4726" t="str">
            <v>BANCO SANTANDER (BRASIL) S/A</v>
          </cell>
          <cell r="E4726" t="str">
            <v>BANCO SANTANDER (BRASIL) S/A</v>
          </cell>
        </row>
        <row r="4727">
          <cell r="B4727">
            <v>123093</v>
          </cell>
          <cell r="C4727" t="str">
            <v>BANCO SANTANDER (BRASIL) S/A</v>
          </cell>
          <cell r="D4727" t="str">
            <v>BANCO SANTANDER (BRASIL) S/A</v>
          </cell>
          <cell r="E4727" t="str">
            <v>BANCO SANTANDER (BRASIL) S/A</v>
          </cell>
        </row>
        <row r="4728">
          <cell r="B4728">
            <v>123094</v>
          </cell>
          <cell r="C4728" t="str">
            <v>BANCO SANTANDER (BRASIL) S/A</v>
          </cell>
          <cell r="D4728" t="str">
            <v>BANCO SANTANDER (BRASIL) S/A</v>
          </cell>
          <cell r="E4728" t="str">
            <v>BANCO SANTANDER (BRASIL) S/A</v>
          </cell>
        </row>
        <row r="4729">
          <cell r="B4729">
            <v>123095</v>
          </cell>
          <cell r="C4729" t="str">
            <v>BANCO SANTANDER (BRASIL) S/A</v>
          </cell>
          <cell r="D4729" t="str">
            <v>BANCO SANTANDER (BRASIL) S/A</v>
          </cell>
          <cell r="E4729" t="str">
            <v>BANCO SANTANDER (BRASIL) S/A</v>
          </cell>
        </row>
        <row r="4730">
          <cell r="B4730">
            <v>123096</v>
          </cell>
          <cell r="C4730" t="str">
            <v>BANCO SANTANDER (BRASIL) S/A</v>
          </cell>
          <cell r="D4730" t="str">
            <v>BANCO SANTANDER (BRASIL) S/A</v>
          </cell>
          <cell r="E4730" t="str">
            <v>BANCO SANTANDER (BRASIL) S/A</v>
          </cell>
        </row>
        <row r="4731">
          <cell r="B4731">
            <v>123097</v>
          </cell>
          <cell r="C4731" t="str">
            <v>BANCO SANTANDER (BRASIL) S/A</v>
          </cell>
          <cell r="D4731" t="str">
            <v>BANCO SANTANDER (BRASIL) S/A</v>
          </cell>
          <cell r="E4731" t="str">
            <v>BANCO SANTANDER (BRASIL) S/A</v>
          </cell>
        </row>
        <row r="4732">
          <cell r="B4732">
            <v>123098</v>
          </cell>
          <cell r="C4732" t="str">
            <v>BANCO SANTANDER (BRASIL) S/A</v>
          </cell>
          <cell r="D4732" t="str">
            <v>BANCO SANTANDER (BRASIL) S/A</v>
          </cell>
          <cell r="E4732" t="str">
            <v>BANCO SANTANDER (BRASIL) S/A</v>
          </cell>
        </row>
        <row r="4733">
          <cell r="B4733">
            <v>123114</v>
          </cell>
          <cell r="C4733" t="str">
            <v>BANCO SANTANDER (BRASIL) S/A</v>
          </cell>
          <cell r="D4733" t="str">
            <v>BANCO SANTANDER (BRASIL) S/A</v>
          </cell>
          <cell r="E4733" t="str">
            <v>BANCO SANTANDER (BRASIL) S/A</v>
          </cell>
        </row>
        <row r="4734">
          <cell r="B4734">
            <v>12309</v>
          </cell>
          <cell r="C4734" t="str">
            <v>AZ LEGAN ADMINISTRACAO DE RECURSOS LTDA</v>
          </cell>
          <cell r="D4734" t="str">
            <v>AZ LEGAN ADMINISTRACAO DE RECURSOS LTDA</v>
          </cell>
          <cell r="E4734" t="str">
            <v>AZ LEGAN ADMINISTRACAO DE RECURSOS LTDA</v>
          </cell>
        </row>
        <row r="4735">
          <cell r="B4735">
            <v>123116</v>
          </cell>
          <cell r="C4735" t="str">
            <v>BANCO SANTANDER (BRASIL) S/A</v>
          </cell>
          <cell r="D4735" t="str">
            <v>BANCO SANTANDER (BRASIL) S/A</v>
          </cell>
          <cell r="E4735" t="str">
            <v>BANCO SANTANDER (BRASIL) S/A</v>
          </cell>
        </row>
        <row r="4736">
          <cell r="B4736">
            <v>123167</v>
          </cell>
          <cell r="C4736" t="str">
            <v>BANCO SANTANDER (BRASIL) S/A</v>
          </cell>
          <cell r="D4736" t="str">
            <v>BANCO SANTANDER (BRASIL) S/A</v>
          </cell>
          <cell r="E4736" t="str">
            <v>BANCO SANTANDER (BRASIL) S/A</v>
          </cell>
        </row>
        <row r="4737">
          <cell r="B4737">
            <v>123169</v>
          </cell>
          <cell r="C4737" t="str">
            <v>BANCO SANTANDER (BRASIL) S/A</v>
          </cell>
          <cell r="D4737" t="str">
            <v>BANCO SANTANDER (BRASIL) S/A</v>
          </cell>
          <cell r="E4737" t="str">
            <v>BANCO SANTANDER (BRASIL) S/A</v>
          </cell>
        </row>
        <row r="4738">
          <cell r="B4738">
            <v>123185</v>
          </cell>
          <cell r="C4738" t="str">
            <v>BANCO SANTANDER (BRASIL) S/A</v>
          </cell>
          <cell r="D4738" t="str">
            <v>BANCO SANTANDER (BRASIL) S/A</v>
          </cell>
          <cell r="E4738" t="str">
            <v>BANCO SANTANDER (BRASIL) S/A</v>
          </cell>
        </row>
        <row r="4739">
          <cell r="B4739">
            <v>123186</v>
          </cell>
          <cell r="C4739" t="str">
            <v>BANCO SANTANDER (BRASIL) S/A</v>
          </cell>
          <cell r="D4739" t="str">
            <v>BANCO SANTANDER (BRASIL) S/A</v>
          </cell>
          <cell r="E4739" t="str">
            <v>BANCO SANTANDER (BRASIL) S/A</v>
          </cell>
        </row>
        <row r="4740">
          <cell r="B4740">
            <v>123187</v>
          </cell>
          <cell r="C4740" t="str">
            <v>BANCO SANTANDER (BRASIL) S/A</v>
          </cell>
          <cell r="D4740" t="str">
            <v>BANCO SANTANDER (BRASIL) S/A</v>
          </cell>
          <cell r="E4740" t="str">
            <v>BANCO SANTANDER (BRASIL) S/A</v>
          </cell>
        </row>
        <row r="4741">
          <cell r="B4741">
            <v>123188</v>
          </cell>
          <cell r="C4741" t="str">
            <v>BANCO SANTANDER (BRASIL) S/A</v>
          </cell>
          <cell r="D4741" t="str">
            <v>BANCO SANTANDER (BRASIL) S/A</v>
          </cell>
          <cell r="E4741" t="str">
            <v>BANCO SANTANDER (BRASIL) S/A</v>
          </cell>
        </row>
        <row r="4742">
          <cell r="B4742">
            <v>123189</v>
          </cell>
          <cell r="C4742" t="str">
            <v>BANCO SANTANDER (BRASIL) S/A</v>
          </cell>
          <cell r="D4742" t="str">
            <v>BANCO SANTANDER (BRASIL) S/A</v>
          </cell>
          <cell r="E4742" t="str">
            <v>BANCO SANTANDER (BRASIL) S/A</v>
          </cell>
        </row>
        <row r="4743">
          <cell r="B4743">
            <v>123190</v>
          </cell>
          <cell r="C4743" t="str">
            <v>BANCO SANTANDER (BRASIL) S/A</v>
          </cell>
          <cell r="D4743" t="str">
            <v>BANCO SANTANDER (BRASIL) S/A</v>
          </cell>
          <cell r="E4743" t="str">
            <v>BANCO SANTANDER (BRASIL) S/A</v>
          </cell>
        </row>
        <row r="4744">
          <cell r="B4744">
            <v>123099</v>
          </cell>
          <cell r="C4744" t="str">
            <v>MORGAN STANLEY CTVM S/A</v>
          </cell>
          <cell r="D4744" t="str">
            <v>MORGAN STANLEY CTVM S/A</v>
          </cell>
          <cell r="E4744" t="str">
            <v>MORGAN STANLEY CTVM S/A</v>
          </cell>
        </row>
        <row r="4745">
          <cell r="B4745">
            <v>12310</v>
          </cell>
          <cell r="C4745" t="str">
            <v>CANVAS CAPITAL S/A</v>
          </cell>
          <cell r="D4745" t="str">
            <v>CANVAS CAPITAL S/A</v>
          </cell>
          <cell r="E4745" t="str">
            <v>CANVAS CAPITAL S/A</v>
          </cell>
        </row>
        <row r="4746">
          <cell r="B4746">
            <v>123100</v>
          </cell>
          <cell r="C4746" t="str">
            <v>MORGAN STANLEY CTVM S/A</v>
          </cell>
          <cell r="D4746" t="str">
            <v>MORGAN STANLEY CTVM S/A</v>
          </cell>
          <cell r="E4746" t="str">
            <v>MORGAN STANLEY CTVM S/A</v>
          </cell>
        </row>
        <row r="4747">
          <cell r="B4747">
            <v>123101</v>
          </cell>
          <cell r="C4747" t="str">
            <v>MORGAN STANLEY CTVM S/A</v>
          </cell>
          <cell r="D4747" t="str">
            <v>MORGAN STANLEY CTVM S/A</v>
          </cell>
          <cell r="E4747" t="str">
            <v>MORGAN STANLEY CTVM S/A</v>
          </cell>
        </row>
        <row r="4748">
          <cell r="B4748">
            <v>123102</v>
          </cell>
          <cell r="C4748" t="str">
            <v>MORGAN STANLEY CTVM S/A</v>
          </cell>
          <cell r="D4748" t="str">
            <v>MORGAN STANLEY CTVM S/A</v>
          </cell>
          <cell r="E4748" t="str">
            <v>MORGAN STANLEY CTVM S/A</v>
          </cell>
        </row>
        <row r="4749">
          <cell r="B4749">
            <v>123103</v>
          </cell>
          <cell r="C4749" t="str">
            <v>MORGAN STANLEY CTVM S/A</v>
          </cell>
          <cell r="D4749" t="str">
            <v>MORGAN STANLEY CTVM S/A</v>
          </cell>
          <cell r="E4749" t="str">
            <v>MORGAN STANLEY CTVM S/A</v>
          </cell>
        </row>
        <row r="4750">
          <cell r="B4750">
            <v>123104</v>
          </cell>
          <cell r="C4750" t="str">
            <v>MORGAN STANLEY CTVM S/A</v>
          </cell>
          <cell r="D4750" t="str">
            <v>MORGAN STANLEY CTVM S/A</v>
          </cell>
          <cell r="E4750" t="str">
            <v>MORGAN STANLEY CTVM S/A</v>
          </cell>
        </row>
        <row r="4751">
          <cell r="B4751">
            <v>123105</v>
          </cell>
          <cell r="C4751" t="str">
            <v>MORGAN STANLEY CTVM S/A</v>
          </cell>
          <cell r="D4751" t="str">
            <v>MORGAN STANLEY CTVM S/A</v>
          </cell>
          <cell r="E4751" t="str">
            <v>MORGAN STANLEY CTVM S/A</v>
          </cell>
        </row>
        <row r="4752">
          <cell r="B4752">
            <v>123106</v>
          </cell>
          <cell r="C4752" t="str">
            <v>DYBRA FIA</v>
          </cell>
          <cell r="D4752" t="str">
            <v>DYBRA FIA</v>
          </cell>
          <cell r="E4752" t="str">
            <v>DYNAMO ADMINISTRACAO DE RECURSOS LTDA</v>
          </cell>
        </row>
        <row r="4753">
          <cell r="B4753">
            <v>123107</v>
          </cell>
          <cell r="C4753" t="str">
            <v>TCEP FIA</v>
          </cell>
          <cell r="D4753" t="str">
            <v>TCEP FIA</v>
          </cell>
          <cell r="E4753" t="str">
            <v>TCEP FIA</v>
          </cell>
        </row>
        <row r="4754">
          <cell r="B4754">
            <v>123108</v>
          </cell>
          <cell r="C4754" t="str">
            <v>DYNAMO COUGAR FIA</v>
          </cell>
          <cell r="D4754" t="str">
            <v>DYNAMO COUGAR FIA</v>
          </cell>
          <cell r="E4754" t="str">
            <v>DYNAMO COUGAR FIA</v>
          </cell>
        </row>
        <row r="4755">
          <cell r="B4755">
            <v>12311</v>
          </cell>
          <cell r="C4755" t="str">
            <v>FUNDACAO VALE DO RIO DOCE DE SEGURIDADE SOCIAL - VALIA</v>
          </cell>
          <cell r="D4755" t="str">
            <v>FUNDACAO VALE DO RIO DOCE DE SEGURIDADE SOCIAL - VALIA</v>
          </cell>
          <cell r="E4755" t="str">
            <v>FUNDACAO VALE DO RIO DOCE DE SEGURIDADE SOCIAL - VALIA</v>
          </cell>
        </row>
        <row r="4756">
          <cell r="B4756">
            <v>123110</v>
          </cell>
          <cell r="C4756" t="str">
            <v>TNAD FIA</v>
          </cell>
          <cell r="D4756" t="str">
            <v>TNAD FIA</v>
          </cell>
          <cell r="E4756" t="str">
            <v>DYNAMO ADMINISTRACAO DE RECURSOS LTDA</v>
          </cell>
        </row>
        <row r="4757">
          <cell r="B4757">
            <v>123111</v>
          </cell>
          <cell r="C4757" t="str">
            <v>DYC FIA</v>
          </cell>
          <cell r="D4757" t="str">
            <v>DYC FIA</v>
          </cell>
          <cell r="E4757" t="str">
            <v>DYNAMO ADMINISTRACAO DE RECURSOS LTDA</v>
          </cell>
        </row>
        <row r="4758">
          <cell r="B4758">
            <v>123112</v>
          </cell>
          <cell r="C4758" t="str">
            <v>RAUTA FIA</v>
          </cell>
          <cell r="D4758" t="str">
            <v>RAUTA FIA</v>
          </cell>
          <cell r="E4758" t="str">
            <v>RAUTA FIA</v>
          </cell>
        </row>
        <row r="4759">
          <cell r="B4759">
            <v>123113</v>
          </cell>
          <cell r="C4759" t="str">
            <v>DYNAMO GLOBAL FIC DE FIA IE</v>
          </cell>
          <cell r="D4759" t="str">
            <v>DYNAMO GLOBAL FIC DE FIA IE</v>
          </cell>
          <cell r="E4759" t="str">
            <v>DYNAMO ADMINISTRACAO DE RECURSOS LTDA</v>
          </cell>
        </row>
        <row r="4760">
          <cell r="B4760">
            <v>123191</v>
          </cell>
          <cell r="C4760" t="str">
            <v>BANCO SANTANDER (BRASIL) S/A</v>
          </cell>
          <cell r="D4760" t="str">
            <v>BANCO SANTANDER (BRASIL) S/A</v>
          </cell>
          <cell r="E4760" t="str">
            <v>BANCO SANTANDER (BRASIL) S/A</v>
          </cell>
        </row>
        <row r="4761">
          <cell r="B4761">
            <v>123115</v>
          </cell>
          <cell r="C4761" t="str">
            <v>DYNAMO BETON FIA</v>
          </cell>
          <cell r="D4761" t="str">
            <v>DYNAMO BETON FIA</v>
          </cell>
          <cell r="E4761" t="str">
            <v>DYNAMO BETON FIA</v>
          </cell>
        </row>
        <row r="4762">
          <cell r="B4762">
            <v>123192</v>
          </cell>
          <cell r="C4762" t="str">
            <v>BANCO SANTANDER (BRASIL) S/A</v>
          </cell>
          <cell r="D4762" t="str">
            <v>BANCO SANTANDER (BRASIL) S/A</v>
          </cell>
          <cell r="E4762" t="str">
            <v>BANCO SANTANDER (BRASIL) S/A</v>
          </cell>
        </row>
        <row r="4763">
          <cell r="B4763">
            <v>123117</v>
          </cell>
          <cell r="C4763" t="str">
            <v>SAO FERNANDO IV FIA</v>
          </cell>
          <cell r="D4763" t="str">
            <v>SAO FERNANDO IV FIA</v>
          </cell>
          <cell r="E4763" t="str">
            <v>DYNAMO ADMINISTRACAO DE RECURSOS LTDA</v>
          </cell>
        </row>
        <row r="4764">
          <cell r="B4764">
            <v>123118</v>
          </cell>
          <cell r="C4764" t="str">
            <v>BRADESCO FIM FIOPREV</v>
          </cell>
          <cell r="D4764" t="str">
            <v>BRADESCO FIM FIOPREV</v>
          </cell>
          <cell r="E4764" t="str">
            <v>INFINITY ASSET MANAG ADM DE RECURSOS LTDA</v>
          </cell>
        </row>
        <row r="4765">
          <cell r="B4765">
            <v>122283</v>
          </cell>
          <cell r="C4765" t="str">
            <v>FIM CP LIVRE</v>
          </cell>
          <cell r="D4765" t="str">
            <v>FIM CP LIVRE</v>
          </cell>
          <cell r="E4765" t="str">
            <v>PLURAL GESTÃO DE RECURSOS LTDA</v>
          </cell>
        </row>
        <row r="4766">
          <cell r="B4766">
            <v>123120</v>
          </cell>
          <cell r="C4766" t="str">
            <v>DYNAMO BRASIL I LLC</v>
          </cell>
          <cell r="D4766" t="str">
            <v>DYNAMO BRASIL I LLC</v>
          </cell>
          <cell r="E4766" t="str">
            <v>DYNAMO ADMINISTRACAO DE RECURSOS LTDA</v>
          </cell>
        </row>
        <row r="4767">
          <cell r="B4767">
            <v>123121</v>
          </cell>
          <cell r="C4767" t="str">
            <v>DYNAMO BRASIL II LLC</v>
          </cell>
          <cell r="D4767" t="str">
            <v>DYNAMO BRASIL II LLC</v>
          </cell>
          <cell r="E4767" t="str">
            <v>DYNAMO ADMINISTRACAO DE RECURSOS LTDA</v>
          </cell>
        </row>
        <row r="4768">
          <cell r="B4768">
            <v>123122</v>
          </cell>
          <cell r="C4768" t="str">
            <v>DYNAMO BRASIL III LLC</v>
          </cell>
          <cell r="D4768" t="str">
            <v>DYNAMO BRASIL III LLC</v>
          </cell>
          <cell r="E4768" t="str">
            <v>DYNAMO ADMINISTRACAO DE RECURSOS LTDA</v>
          </cell>
        </row>
        <row r="4769">
          <cell r="B4769">
            <v>123123</v>
          </cell>
          <cell r="C4769" t="str">
            <v>DYNAMO BRASIL V LLC</v>
          </cell>
          <cell r="D4769" t="str">
            <v>DYNAMO BRASIL V LLC</v>
          </cell>
          <cell r="E4769" t="str">
            <v>DYNAMO ADMINISTRACAO DE RECURSOS LTDA</v>
          </cell>
        </row>
        <row r="4770">
          <cell r="B4770">
            <v>123124</v>
          </cell>
          <cell r="C4770" t="str">
            <v>DYNAMO BRASIL VI LLC</v>
          </cell>
          <cell r="D4770" t="str">
            <v>DYNAMO BRASIL VI LLC</v>
          </cell>
          <cell r="E4770" t="str">
            <v>DYNAMO ADMINISTRACAO DE RECURSOS LTDA</v>
          </cell>
        </row>
        <row r="4771">
          <cell r="B4771">
            <v>123125</v>
          </cell>
          <cell r="C4771" t="str">
            <v>DYNAMO BRASIL VII LLC</v>
          </cell>
          <cell r="D4771" t="str">
            <v>DYNAMO BRASIL VII LLC</v>
          </cell>
          <cell r="E4771" t="str">
            <v>DYNAMO BRASIL VII LLC</v>
          </cell>
        </row>
        <row r="4772">
          <cell r="B4772">
            <v>123126</v>
          </cell>
          <cell r="C4772" t="str">
            <v>DYNAMO BRASIL VIII LLC</v>
          </cell>
          <cell r="D4772" t="str">
            <v>DYNAMO BRASIL VIII LLC</v>
          </cell>
          <cell r="E4772" t="str">
            <v>DYNAMO ADMINISTRACAO DE RECURSOS LTDA</v>
          </cell>
        </row>
        <row r="4773">
          <cell r="B4773">
            <v>123127</v>
          </cell>
          <cell r="C4773" t="str">
            <v>DYNAMO BRASIL IX LLC</v>
          </cell>
          <cell r="D4773" t="str">
            <v>DYNAMO BRASIL IX LLC</v>
          </cell>
          <cell r="E4773" t="str">
            <v>DYNAMO ADMINISTRACAO DE RECURSOS LTDA</v>
          </cell>
        </row>
        <row r="4774">
          <cell r="B4774">
            <v>123128</v>
          </cell>
          <cell r="C4774" t="str">
            <v>KEMNAY DYBRA LLC</v>
          </cell>
          <cell r="D4774" t="str">
            <v>KEMNAY DYBRA LLC</v>
          </cell>
          <cell r="E4774" t="str">
            <v>KEMNAY DYBRA LLC</v>
          </cell>
        </row>
        <row r="4775">
          <cell r="B4775">
            <v>123129</v>
          </cell>
          <cell r="C4775" t="str">
            <v>DYNAMO BRASIL XIII LLC</v>
          </cell>
          <cell r="D4775" t="str">
            <v>DYNAMO BRASIL XIII LLC</v>
          </cell>
          <cell r="E4775" t="str">
            <v>DYNAMO BRASIL XIII LLC</v>
          </cell>
        </row>
        <row r="4776">
          <cell r="B4776">
            <v>123130</v>
          </cell>
          <cell r="C4776" t="str">
            <v>DYNAMO BRASIL XIV LLC</v>
          </cell>
          <cell r="D4776" t="str">
            <v>DYNAMO BRASIL XIV LLC</v>
          </cell>
          <cell r="E4776" t="str">
            <v>DYNAMO ADMINISTRACAO DE RECURSOS LTDA</v>
          </cell>
        </row>
        <row r="4777">
          <cell r="B4777">
            <v>122858</v>
          </cell>
          <cell r="C4777" t="str">
            <v>CAPITANIA TREASURY MASTER FIM</v>
          </cell>
          <cell r="D4777" t="str">
            <v>CAPITANIA TREASURY MASTER FIM</v>
          </cell>
          <cell r="E4777" t="str">
            <v>CAPITÂNIA INVEST S/A</v>
          </cell>
        </row>
        <row r="4778">
          <cell r="B4778">
            <v>123132</v>
          </cell>
          <cell r="C4778" t="str">
            <v>MORGAN STANLEY CTVM S/A</v>
          </cell>
          <cell r="D4778" t="str">
            <v>MORGAN STANLEY CTVM S/A</v>
          </cell>
          <cell r="E4778" t="str">
            <v>MORGAN STANLEY CTVM S/A</v>
          </cell>
        </row>
        <row r="4779">
          <cell r="B4779">
            <v>123133</v>
          </cell>
          <cell r="C4779" t="str">
            <v>MORGAN STANLEY CTVM S/A</v>
          </cell>
          <cell r="D4779" t="str">
            <v>MORGAN STANLEY CTVM S/A</v>
          </cell>
          <cell r="E4779" t="str">
            <v>MORGAN STANLEY CTVM S/A</v>
          </cell>
        </row>
        <row r="4780">
          <cell r="B4780">
            <v>123134</v>
          </cell>
          <cell r="C4780" t="str">
            <v>MORGAN STANLEY CTVM S/A</v>
          </cell>
          <cell r="D4780" t="str">
            <v>MORGAN STANLEY CTVM S/A</v>
          </cell>
          <cell r="E4780" t="str">
            <v>MORGAN STANLEY CTVM S/A</v>
          </cell>
        </row>
        <row r="4781">
          <cell r="B4781">
            <v>123135</v>
          </cell>
          <cell r="C4781" t="str">
            <v>MORGAN STANLEY CTVM S/A</v>
          </cell>
          <cell r="D4781" t="str">
            <v>MORGAN STANLEY CTVM S/A</v>
          </cell>
          <cell r="E4781" t="str">
            <v>MORGAN STANLEY CTVM S/A</v>
          </cell>
        </row>
        <row r="4782">
          <cell r="B4782">
            <v>123136</v>
          </cell>
          <cell r="C4782" t="str">
            <v>MORGAN STANLEY CTVM S/A</v>
          </cell>
          <cell r="D4782" t="str">
            <v>MORGAN STANLEY CTVM S/A</v>
          </cell>
          <cell r="E4782" t="str">
            <v>MORGAN STANLEY CTVM S/A</v>
          </cell>
        </row>
        <row r="4783">
          <cell r="B4783">
            <v>123137</v>
          </cell>
          <cell r="C4783" t="str">
            <v>MORGAN STANLEY CTVM S/A</v>
          </cell>
          <cell r="D4783" t="str">
            <v>MORGAN STANLEY CTVM S/A</v>
          </cell>
          <cell r="E4783" t="str">
            <v>MORGAN STANLEY CTVM S/A</v>
          </cell>
        </row>
        <row r="4784">
          <cell r="B4784">
            <v>123138</v>
          </cell>
          <cell r="C4784" t="str">
            <v>MORGAN STANLEY CTVM S/A</v>
          </cell>
          <cell r="D4784" t="str">
            <v>MORGAN STANLEY CTVM S/A</v>
          </cell>
          <cell r="E4784" t="str">
            <v>MORGAN STANLEY CTVM S/A</v>
          </cell>
        </row>
        <row r="4785">
          <cell r="B4785">
            <v>123139</v>
          </cell>
          <cell r="C4785" t="str">
            <v>MORGAN STANLEY CTVM S/A</v>
          </cell>
          <cell r="D4785" t="str">
            <v>MORGAN STANLEY CTVM S/A</v>
          </cell>
          <cell r="E4785" t="str">
            <v>MORGAN STANLEY CTVM S/A</v>
          </cell>
        </row>
        <row r="4786">
          <cell r="B4786">
            <v>12314</v>
          </cell>
          <cell r="C4786" t="str">
            <v>MERRILL LYNCH S/A CTVM</v>
          </cell>
          <cell r="D4786" t="str">
            <v>MERRILL LYNCH S/A CTVM</v>
          </cell>
          <cell r="E4786" t="str">
            <v>MERRILL LYNCH S/A CTVM</v>
          </cell>
        </row>
        <row r="4787">
          <cell r="B4787">
            <v>123140</v>
          </cell>
          <cell r="C4787" t="str">
            <v>MORGAN STANLEY CTVM S/A</v>
          </cell>
          <cell r="D4787" t="str">
            <v>MORGAN STANLEY CTVM S/A</v>
          </cell>
          <cell r="E4787" t="str">
            <v>MORGAN STANLEY CTVM S/A</v>
          </cell>
        </row>
        <row r="4788">
          <cell r="B4788">
            <v>123141</v>
          </cell>
          <cell r="C4788" t="str">
            <v>MORGAN STANLEY CTVM S/A</v>
          </cell>
          <cell r="D4788" t="str">
            <v>MORGAN STANLEY CTVM S/A</v>
          </cell>
          <cell r="E4788" t="str">
            <v>MORGAN STANLEY CTVM S/A</v>
          </cell>
        </row>
        <row r="4789">
          <cell r="B4789">
            <v>123142</v>
          </cell>
          <cell r="C4789" t="str">
            <v>MORGAN STANLEY CTVM S/A</v>
          </cell>
          <cell r="D4789" t="str">
            <v>MORGAN STANLEY CTVM S/A</v>
          </cell>
          <cell r="E4789" t="str">
            <v>MORGAN STANLEY CTVM S/A</v>
          </cell>
        </row>
        <row r="4790">
          <cell r="B4790">
            <v>123143</v>
          </cell>
          <cell r="C4790" t="str">
            <v>MORGAN STANLEY CTVM S/A</v>
          </cell>
          <cell r="D4790" t="str">
            <v>MORGAN STANLEY CTVM S/A</v>
          </cell>
          <cell r="E4790" t="str">
            <v>MORGAN STANLEY CTVM S/A</v>
          </cell>
        </row>
        <row r="4791">
          <cell r="B4791">
            <v>123144</v>
          </cell>
          <cell r="C4791" t="str">
            <v>MORGAN STANLEY CTVM S/A</v>
          </cell>
          <cell r="D4791" t="str">
            <v>MORGAN STANLEY CTVM S/A</v>
          </cell>
          <cell r="E4791" t="str">
            <v>MORGAN STANLEY CTVM S/A</v>
          </cell>
        </row>
        <row r="4792">
          <cell r="B4792">
            <v>123145</v>
          </cell>
          <cell r="C4792" t="str">
            <v>MORGAN STANLEY CTVM S/A</v>
          </cell>
          <cell r="D4792" t="str">
            <v>MORGAN STANLEY CTVM S/A</v>
          </cell>
          <cell r="E4792" t="str">
            <v>MORGAN STANLEY CTVM S/A</v>
          </cell>
        </row>
        <row r="4793">
          <cell r="B4793">
            <v>123146</v>
          </cell>
          <cell r="C4793" t="str">
            <v>MORGAN STANLEY CTVM S/A</v>
          </cell>
          <cell r="D4793" t="str">
            <v>MORGAN STANLEY CTVM S/A</v>
          </cell>
          <cell r="E4793" t="str">
            <v>MORGAN STANLEY CTVM S/A</v>
          </cell>
        </row>
        <row r="4794">
          <cell r="B4794">
            <v>123147</v>
          </cell>
          <cell r="C4794" t="str">
            <v>MORGAN STANLEY CTVM S/A</v>
          </cell>
          <cell r="D4794" t="str">
            <v>MORGAN STANLEY CTVM S/A</v>
          </cell>
          <cell r="E4794" t="str">
            <v>MORGAN STANLEY CTVM S/A</v>
          </cell>
        </row>
        <row r="4795">
          <cell r="B4795">
            <v>123148</v>
          </cell>
          <cell r="C4795" t="str">
            <v>MORGAN STANLEY CTVM S/A</v>
          </cell>
          <cell r="D4795" t="str">
            <v>MORGAN STANLEY CTVM S/A</v>
          </cell>
          <cell r="E4795" t="str">
            <v>MORGAN STANLEY CTVM S/A</v>
          </cell>
        </row>
        <row r="4796">
          <cell r="B4796">
            <v>123149</v>
          </cell>
          <cell r="C4796" t="str">
            <v>MORGAN STANLEY CTVM S/A</v>
          </cell>
          <cell r="D4796" t="str">
            <v>MORGAN STANLEY CTVM S/A</v>
          </cell>
          <cell r="E4796" t="str">
            <v>MORGAN STANLEY CTVM S/A</v>
          </cell>
        </row>
        <row r="4797">
          <cell r="B4797">
            <v>123150</v>
          </cell>
          <cell r="C4797" t="str">
            <v>MORGAN STANLEY CTVM S/A</v>
          </cell>
          <cell r="D4797" t="str">
            <v>MORGAN STANLEY CTVM S/A</v>
          </cell>
          <cell r="E4797" t="str">
            <v>MORGAN STANLEY CTVM S/A</v>
          </cell>
        </row>
        <row r="4798">
          <cell r="B4798">
            <v>123151</v>
          </cell>
          <cell r="C4798" t="str">
            <v>MORGAN STANLEY CTVM S/A</v>
          </cell>
          <cell r="D4798" t="str">
            <v>MORGAN STANLEY CTVM S/A</v>
          </cell>
          <cell r="E4798" t="str">
            <v>MORGAN STANLEY CTVM S/A</v>
          </cell>
        </row>
        <row r="4799">
          <cell r="B4799">
            <v>123152</v>
          </cell>
          <cell r="C4799" t="str">
            <v>MORGAN STANLEY CTVM S/A</v>
          </cell>
          <cell r="D4799" t="str">
            <v>MORGAN STANLEY CTVM S/A</v>
          </cell>
          <cell r="E4799" t="str">
            <v>MORGAN STANLEY CTVM S/A</v>
          </cell>
        </row>
        <row r="4800">
          <cell r="B4800">
            <v>123153</v>
          </cell>
          <cell r="C4800" t="str">
            <v>MORGAN STANLEY CTVM S/A</v>
          </cell>
          <cell r="D4800" t="str">
            <v>MORGAN STANLEY CTVM S/A</v>
          </cell>
          <cell r="E4800" t="str">
            <v>MORGAN STANLEY CTVM S/A</v>
          </cell>
        </row>
        <row r="4801">
          <cell r="B4801">
            <v>123154</v>
          </cell>
          <cell r="C4801" t="str">
            <v>MORGAN STANLEY CTVM S/A</v>
          </cell>
          <cell r="D4801" t="str">
            <v>MORGAN STANLEY CTVM S/A</v>
          </cell>
          <cell r="E4801" t="str">
            <v>MORGAN STANLEY CTVM S/A</v>
          </cell>
        </row>
        <row r="4802">
          <cell r="B4802">
            <v>123155</v>
          </cell>
          <cell r="C4802" t="str">
            <v>MORGAN STANLEY CTVM S/A</v>
          </cell>
          <cell r="D4802" t="str">
            <v>MORGAN STANLEY CTVM S/A</v>
          </cell>
          <cell r="E4802" t="str">
            <v>MORGAN STANLEY CTVM S/A</v>
          </cell>
        </row>
        <row r="4803">
          <cell r="B4803">
            <v>123156</v>
          </cell>
          <cell r="C4803" t="str">
            <v>MORGAN STANLEY CTVM S/A</v>
          </cell>
          <cell r="D4803" t="str">
            <v>MORGAN STANLEY CTVM S/A</v>
          </cell>
          <cell r="E4803" t="str">
            <v>MORGAN STANLEY CTVM S/A</v>
          </cell>
        </row>
        <row r="4804">
          <cell r="B4804">
            <v>123157</v>
          </cell>
          <cell r="C4804" t="str">
            <v>MORGAN STANLEY CTVM S/A</v>
          </cell>
          <cell r="D4804" t="str">
            <v>MORGAN STANLEY CTVM S/A</v>
          </cell>
          <cell r="E4804" t="str">
            <v>MORGAN STANLEY CTVM S/A</v>
          </cell>
        </row>
        <row r="4805">
          <cell r="B4805">
            <v>123158</v>
          </cell>
          <cell r="C4805" t="str">
            <v>MORGAN STANLEY CTVM S/A</v>
          </cell>
          <cell r="D4805" t="str">
            <v>MORGAN STANLEY CTVM S/A</v>
          </cell>
          <cell r="E4805" t="str">
            <v>MORGAN STANLEY CTVM S/A</v>
          </cell>
        </row>
        <row r="4806">
          <cell r="B4806">
            <v>123159</v>
          </cell>
          <cell r="C4806" t="str">
            <v>MORGAN STANLEY CTVM S/A</v>
          </cell>
          <cell r="D4806" t="str">
            <v>MORGAN STANLEY CTVM S/A</v>
          </cell>
          <cell r="E4806" t="str">
            <v>MORGAN STANLEY CTVM S/A</v>
          </cell>
        </row>
        <row r="4807">
          <cell r="B4807">
            <v>12316</v>
          </cell>
          <cell r="C4807" t="str">
            <v>BANCO J SAFRA S/A</v>
          </cell>
          <cell r="D4807" t="str">
            <v>BANCO J SAFRA S/A</v>
          </cell>
          <cell r="E4807" t="str">
            <v>BANCO J SAFRA S/A</v>
          </cell>
        </row>
        <row r="4808">
          <cell r="B4808">
            <v>123160</v>
          </cell>
          <cell r="C4808" t="str">
            <v>MORGAN STANLEY CTVM S/A</v>
          </cell>
          <cell r="D4808" t="str">
            <v>MORGAN STANLEY CTVM S/A</v>
          </cell>
          <cell r="E4808" t="str">
            <v>MORGAN STANLEY CTVM S/A</v>
          </cell>
        </row>
        <row r="4809">
          <cell r="B4809">
            <v>123161</v>
          </cell>
          <cell r="C4809" t="str">
            <v>MORGAN STANLEY CTVM S/A</v>
          </cell>
          <cell r="D4809" t="str">
            <v>MORGAN STANLEY CTVM S/A</v>
          </cell>
          <cell r="E4809" t="str">
            <v>MORGAN STANLEY CTVM S/A</v>
          </cell>
        </row>
        <row r="4810">
          <cell r="B4810">
            <v>123162</v>
          </cell>
          <cell r="C4810" t="str">
            <v>MORGAN STANLEY CTVM S/A</v>
          </cell>
          <cell r="D4810" t="str">
            <v>MORGAN STANLEY CTVM S/A</v>
          </cell>
          <cell r="E4810" t="str">
            <v>MORGAN STANLEY CTVM S/A</v>
          </cell>
        </row>
        <row r="4811">
          <cell r="B4811">
            <v>123163</v>
          </cell>
          <cell r="C4811" t="str">
            <v>MORGAN STANLEY CTVM S/A</v>
          </cell>
          <cell r="D4811" t="str">
            <v>MORGAN STANLEY CTVM S/A</v>
          </cell>
          <cell r="E4811" t="str">
            <v>MORGAN STANLEY CTVM S/A</v>
          </cell>
        </row>
        <row r="4812">
          <cell r="B4812">
            <v>123164</v>
          </cell>
          <cell r="C4812" t="str">
            <v>MORGAN STANLEY CTVM S/A</v>
          </cell>
          <cell r="D4812" t="str">
            <v>MORGAN STANLEY CTVM S/A</v>
          </cell>
          <cell r="E4812" t="str">
            <v>MORGAN STANLEY CTVM S/A</v>
          </cell>
        </row>
        <row r="4813">
          <cell r="B4813">
            <v>123165</v>
          </cell>
          <cell r="C4813" t="str">
            <v>MORGAN STANLEY CTVM S/A</v>
          </cell>
          <cell r="D4813" t="str">
            <v>MORGAN STANLEY CTVM S/A</v>
          </cell>
          <cell r="E4813" t="str">
            <v>MORGAN STANLEY CTVM S/A</v>
          </cell>
        </row>
        <row r="4814">
          <cell r="B4814">
            <v>123166</v>
          </cell>
          <cell r="C4814" t="str">
            <v>BB FUNPRESP FIM</v>
          </cell>
          <cell r="D4814" t="str">
            <v>BB FUNPRESP FIM</v>
          </cell>
          <cell r="E4814" t="str">
            <v>BB GESTAO DE RECURSOS DTVM LTDA</v>
          </cell>
        </row>
        <row r="4815">
          <cell r="B4815">
            <v>123193</v>
          </cell>
          <cell r="C4815" t="str">
            <v>BANCO SANTANDER (BRASIL) S/A</v>
          </cell>
          <cell r="D4815" t="str">
            <v>BANCO SANTANDER (BRASIL) S/A</v>
          </cell>
          <cell r="E4815" t="str">
            <v>BANCO SANTANDER (BRASIL) S/A</v>
          </cell>
        </row>
        <row r="4816">
          <cell r="B4816">
            <v>123168</v>
          </cell>
          <cell r="C4816" t="str">
            <v>IAGO SEPULVEDA RODRIGUES</v>
          </cell>
          <cell r="D4816" t="str">
            <v>IAGO SEPULVEDA RODRIGUES</v>
          </cell>
          <cell r="E4816" t="str">
            <v>IAGO SEPULVEDA RODRIGUES</v>
          </cell>
        </row>
        <row r="4817">
          <cell r="B4817">
            <v>123194</v>
          </cell>
          <cell r="C4817" t="str">
            <v>BANCO SANTANDER (BRASIL) S/A</v>
          </cell>
          <cell r="D4817" t="str">
            <v>BANCO SANTANDER (BRASIL) S/A</v>
          </cell>
          <cell r="E4817" t="str">
            <v>BANCO SANTANDER (BRASIL) S/A</v>
          </cell>
        </row>
        <row r="4818">
          <cell r="B4818">
            <v>12317</v>
          </cell>
          <cell r="C4818" t="str">
            <v>SQUADRA INVESTIMENTOS GESTÃƒO DE RECURSOS LTDA</v>
          </cell>
          <cell r="D4818" t="str">
            <v>SQUADRA INVESTIMENTOS GESTÃƒO DE RECURSOS LTDA</v>
          </cell>
          <cell r="E4818" t="str">
            <v>SQUADRA INVESTIMENTOS GESTÃƒO DE RECURSOS LTDA</v>
          </cell>
        </row>
        <row r="4819">
          <cell r="B4819">
            <v>123170</v>
          </cell>
          <cell r="C4819" t="str">
            <v>GERES FIM CP IE</v>
          </cell>
          <cell r="D4819" t="str">
            <v>GERES FIM CP IE</v>
          </cell>
          <cell r="E4819" t="str">
            <v>GERES FIM CP IE</v>
          </cell>
        </row>
        <row r="4820">
          <cell r="B4820">
            <v>123171</v>
          </cell>
          <cell r="C4820" t="str">
            <v>FARO FIM CP IE</v>
          </cell>
          <cell r="D4820" t="str">
            <v>FARO FIM CP IE</v>
          </cell>
          <cell r="E4820" t="str">
            <v>BW GESTAO DE INVESTIMENTOS LTDA</v>
          </cell>
        </row>
        <row r="4821">
          <cell r="B4821">
            <v>123172</v>
          </cell>
          <cell r="C4821" t="str">
            <v>OUTEIRO FIM CP IE</v>
          </cell>
          <cell r="D4821" t="str">
            <v>OUTEIRO FIM CP IE</v>
          </cell>
          <cell r="E4821" t="str">
            <v>BW GESTAO DE INVESTIMENTOS LTDA</v>
          </cell>
        </row>
        <row r="4822">
          <cell r="B4822">
            <v>123173</v>
          </cell>
          <cell r="C4822" t="str">
            <v>RIBEIRA FIM CP IE</v>
          </cell>
          <cell r="D4822" t="str">
            <v>RIBEIRA FIM CP IE</v>
          </cell>
          <cell r="E4822" t="str">
            <v>BW GESTAO DE INVESTIMENTOS LTDA</v>
          </cell>
        </row>
        <row r="4823">
          <cell r="B4823">
            <v>123174</v>
          </cell>
          <cell r="C4823" t="str">
            <v>SOBRAL FIM CP IE</v>
          </cell>
          <cell r="D4823" t="str">
            <v>SOBRAL FIM CP IE</v>
          </cell>
          <cell r="E4823" t="str">
            <v>BW GESTAO DE INVESTIMENTOS LTDA</v>
          </cell>
        </row>
        <row r="4824">
          <cell r="B4824">
            <v>123175</v>
          </cell>
          <cell r="C4824" t="str">
            <v>ALENTEJO FIM CP</v>
          </cell>
          <cell r="D4824" t="str">
            <v>ALENTEJO FIM CP</v>
          </cell>
          <cell r="E4824" t="str">
            <v>ALENTEJO FIM CP</v>
          </cell>
        </row>
        <row r="4825">
          <cell r="B4825">
            <v>123176</v>
          </cell>
          <cell r="C4825" t="str">
            <v>PEDRO DE ASSIS ARANTES</v>
          </cell>
          <cell r="D4825" t="str">
            <v>PEDRO DE ASSIS ARANTES</v>
          </cell>
          <cell r="E4825" t="str">
            <v>PEDRO DE ASSIS ARANTES</v>
          </cell>
        </row>
        <row r="4826">
          <cell r="B4826">
            <v>123177</v>
          </cell>
          <cell r="C4826" t="str">
            <v>ITAU UNIBANCO S.A.</v>
          </cell>
          <cell r="D4826" t="str">
            <v>ITAU UNIBANCO S.A.</v>
          </cell>
          <cell r="E4826" t="str">
            <v>ITAU UNIBANCO S/A</v>
          </cell>
        </row>
        <row r="4827">
          <cell r="B4827">
            <v>123178</v>
          </cell>
          <cell r="C4827" t="str">
            <v>ITAU UNIBANCO S.A.</v>
          </cell>
          <cell r="D4827" t="str">
            <v>ITAU UNIBANCO S.A.</v>
          </cell>
          <cell r="E4827" t="str">
            <v>ITAU UNIBANCO S/A</v>
          </cell>
        </row>
        <row r="4828">
          <cell r="B4828">
            <v>123179</v>
          </cell>
          <cell r="C4828" t="str">
            <v>MORGAN STANLEY CTVM S/A</v>
          </cell>
          <cell r="D4828" t="str">
            <v>MORGAN STANLEY CTVM S/A</v>
          </cell>
          <cell r="E4828" t="str">
            <v>MORGAN STANLEY CTVM S/A</v>
          </cell>
        </row>
        <row r="4829">
          <cell r="B4829">
            <v>12318</v>
          </cell>
          <cell r="C4829" t="str">
            <v>SAO PAULO GESTORA DE RECURSOS LTDA</v>
          </cell>
          <cell r="D4829" t="str">
            <v>SAO PAULO GESTORA DE RECURSOS LTDA</v>
          </cell>
          <cell r="E4829" t="str">
            <v>SAO PAULO GESTORA DE RECURSOS LTDA</v>
          </cell>
        </row>
        <row r="4830">
          <cell r="B4830">
            <v>123180</v>
          </cell>
          <cell r="C4830" t="str">
            <v>MORGAN STANLEY CTVM S/A</v>
          </cell>
          <cell r="D4830" t="str">
            <v>MORGAN STANLEY CTVM S/A</v>
          </cell>
          <cell r="E4830" t="str">
            <v>MORGAN STANLEY CTVM S/A</v>
          </cell>
        </row>
        <row r="4831">
          <cell r="B4831">
            <v>80414</v>
          </cell>
          <cell r="C4831" t="str">
            <v>OCCAM BRASIL GESTAO DE RECURSOS LTDA</v>
          </cell>
          <cell r="D4831" t="str">
            <v>OCCAM BRASIL GESTAO DE RECURSOS LTDA</v>
          </cell>
          <cell r="E4831" t="str">
            <v>OCCAM BRASIL GESTAO DE RECURSOS LTDA</v>
          </cell>
        </row>
        <row r="4832">
          <cell r="B4832">
            <v>123182</v>
          </cell>
          <cell r="C4832" t="str">
            <v>CANADIAN EAGLE PORTFOLIO LLC</v>
          </cell>
          <cell r="D4832" t="str">
            <v>CANADIAN EAGLE PORTFOLIO LLC</v>
          </cell>
          <cell r="E4832" t="str">
            <v>SPX GESTAO DE RECURSOS LTDA</v>
          </cell>
        </row>
        <row r="4833">
          <cell r="B4833">
            <v>123183</v>
          </cell>
          <cell r="C4833" t="str">
            <v>FI CAIXA FUNPRESP MULTIMERCADO</v>
          </cell>
          <cell r="D4833" t="str">
            <v>FI CAIXA FUNPRESP MULTIMERCADO</v>
          </cell>
          <cell r="E4833" t="str">
            <v>FI CAIXA FUNPRESP MULTIMERCADO</v>
          </cell>
        </row>
        <row r="4834">
          <cell r="B4834">
            <v>123184</v>
          </cell>
          <cell r="C4834" t="str">
            <v>KADIMA TOTAL MASTER FIM</v>
          </cell>
          <cell r="D4834" t="str">
            <v>KADIMA TOTAL MASTER FIM</v>
          </cell>
          <cell r="E4834" t="str">
            <v>KADIMA TOTAL MASTER FIM</v>
          </cell>
        </row>
        <row r="4835">
          <cell r="B4835">
            <v>123195</v>
          </cell>
          <cell r="C4835" t="str">
            <v>BANCO SANTANDER (BRASIL) S/A</v>
          </cell>
          <cell r="D4835" t="str">
            <v>BANCO SANTANDER (BRASIL) S/A</v>
          </cell>
          <cell r="E4835" t="str">
            <v>BANCO SANTANDER (BRASIL) S/A</v>
          </cell>
        </row>
        <row r="4836">
          <cell r="B4836">
            <v>123196</v>
          </cell>
          <cell r="C4836" t="str">
            <v>BANCO SANTANDER (BRASIL) S/A</v>
          </cell>
          <cell r="D4836" t="str">
            <v>BANCO SANTANDER (BRASIL) S/A</v>
          </cell>
          <cell r="E4836" t="str">
            <v>BANCO SANTANDER (BRASIL) S/A</v>
          </cell>
        </row>
        <row r="4837">
          <cell r="B4837">
            <v>123197</v>
          </cell>
          <cell r="C4837" t="str">
            <v>BANCO SANTANDER (BRASIL) S/A</v>
          </cell>
          <cell r="D4837" t="str">
            <v>BANCO SANTANDER (BRASIL) S/A</v>
          </cell>
          <cell r="E4837" t="str">
            <v>BANCO SANTANDER (BRASIL) S/A</v>
          </cell>
        </row>
        <row r="4838">
          <cell r="B4838">
            <v>123198</v>
          </cell>
          <cell r="C4838" t="str">
            <v>BANCO SANTANDER (BRASIL) S/A</v>
          </cell>
          <cell r="D4838" t="str">
            <v>BANCO SANTANDER (BRASIL) S/A</v>
          </cell>
          <cell r="E4838" t="str">
            <v>BANCO SANTANDER (BRASIL) S/A</v>
          </cell>
        </row>
        <row r="4839">
          <cell r="B4839">
            <v>123199</v>
          </cell>
          <cell r="C4839" t="str">
            <v>BANCO SANTANDER (BRASIL) S/A</v>
          </cell>
          <cell r="D4839" t="str">
            <v>BANCO SANTANDER (BRASIL) S/A</v>
          </cell>
          <cell r="E4839" t="str">
            <v>BANCO SANTANDER (BRASIL) S/A</v>
          </cell>
        </row>
        <row r="4840">
          <cell r="B4840">
            <v>12319</v>
          </cell>
          <cell r="C4840" t="str">
            <v>SANTANDER BRASIL GESTAO DE RECURSOS LTDA</v>
          </cell>
          <cell r="D4840" t="str">
            <v>SANTANDER BRASIL GESTAO DE RECURSOS LTDA</v>
          </cell>
          <cell r="E4840" t="str">
            <v>SANTANDER BRASIL GESTAO DE RECURSOS LTDA</v>
          </cell>
        </row>
        <row r="4841">
          <cell r="B4841">
            <v>123200</v>
          </cell>
          <cell r="C4841" t="str">
            <v>BANCO SANTANDER (BRASIL) S/A</v>
          </cell>
          <cell r="D4841" t="str">
            <v>BANCO SANTANDER (BRASIL) S/A</v>
          </cell>
          <cell r="E4841" t="str">
            <v>BANCO SANTANDER (BRASIL) S/A</v>
          </cell>
        </row>
        <row r="4842">
          <cell r="B4842">
            <v>123201</v>
          </cell>
          <cell r="C4842" t="str">
            <v>BANCO SANTANDER (BRASIL) S/A</v>
          </cell>
          <cell r="D4842" t="str">
            <v>BANCO SANTANDER (BRASIL) S/A</v>
          </cell>
          <cell r="E4842" t="str">
            <v>BANCO SANTANDER (BRASIL) S/A</v>
          </cell>
        </row>
        <row r="4843">
          <cell r="B4843">
            <v>123202</v>
          </cell>
          <cell r="C4843" t="str">
            <v>BANCO SANTANDER (BRASIL) S/A</v>
          </cell>
          <cell r="D4843" t="str">
            <v>BANCO SANTANDER (BRASIL) S/A</v>
          </cell>
          <cell r="E4843" t="str">
            <v>BANCO SANTANDER (BRASIL) S/A</v>
          </cell>
        </row>
        <row r="4844">
          <cell r="B4844">
            <v>123203</v>
          </cell>
          <cell r="C4844" t="str">
            <v>BANCO SANTANDER (BRASIL) S/A</v>
          </cell>
          <cell r="D4844" t="str">
            <v>BANCO SANTANDER (BRASIL) S/A</v>
          </cell>
          <cell r="E4844" t="str">
            <v>BANCO SANTANDER (BRASIL) S/A</v>
          </cell>
        </row>
        <row r="4845">
          <cell r="B4845">
            <v>123204</v>
          </cell>
          <cell r="C4845" t="str">
            <v>BANCO SANTANDER (BRASIL) S/A</v>
          </cell>
          <cell r="D4845" t="str">
            <v>BANCO SANTANDER (BRASIL) S/A</v>
          </cell>
          <cell r="E4845" t="str">
            <v>BANCO SANTANDER (BRASIL) S/A</v>
          </cell>
        </row>
        <row r="4846">
          <cell r="B4846">
            <v>123205</v>
          </cell>
          <cell r="C4846" t="str">
            <v>BANCO SANTANDER (BRASIL) S/A</v>
          </cell>
          <cell r="D4846" t="str">
            <v>BANCO SANTANDER (BRASIL) S/A</v>
          </cell>
          <cell r="E4846" t="str">
            <v>BANCO SANTANDER (BRASIL) S/A</v>
          </cell>
        </row>
        <row r="4847">
          <cell r="B4847">
            <v>123206</v>
          </cell>
          <cell r="C4847" t="str">
            <v>BANCO SANTANDER (BRASIL) S/A</v>
          </cell>
          <cell r="D4847" t="str">
            <v>BANCO SANTANDER (BRASIL) S/A</v>
          </cell>
          <cell r="E4847" t="str">
            <v>BANCO SANTANDER (BRASIL) S/A</v>
          </cell>
        </row>
        <row r="4848">
          <cell r="B4848">
            <v>123207</v>
          </cell>
          <cell r="C4848" t="str">
            <v>BANCO SANTANDER (BRASIL) S/A</v>
          </cell>
          <cell r="D4848" t="str">
            <v>BANCO SANTANDER (BRASIL) S/A</v>
          </cell>
          <cell r="E4848" t="str">
            <v>BANCO SANTANDER (BRASIL) S/A</v>
          </cell>
        </row>
        <row r="4849">
          <cell r="B4849">
            <v>123208</v>
          </cell>
          <cell r="C4849" t="str">
            <v>BANCO SANTANDER (BRASIL) S/A</v>
          </cell>
          <cell r="D4849" t="str">
            <v>BANCO SANTANDER (BRASIL) S/A</v>
          </cell>
          <cell r="E4849" t="str">
            <v>BANCO SANTANDER (BRASIL) S/A</v>
          </cell>
        </row>
        <row r="4850">
          <cell r="B4850">
            <v>123209</v>
          </cell>
          <cell r="C4850" t="str">
            <v>BANCO SANTANDER (BRASIL) S/A</v>
          </cell>
          <cell r="D4850" t="str">
            <v>BANCO SANTANDER (BRASIL) S/A</v>
          </cell>
          <cell r="E4850" t="str">
            <v>BANCO SANTANDER (BRASIL) S/A</v>
          </cell>
        </row>
        <row r="4851">
          <cell r="B4851">
            <v>12320</v>
          </cell>
          <cell r="C4851" t="str">
            <v>CREDIT SUISSE HEDGING-GRIFFO SERVICOS INTERNACIONAIS S.A</v>
          </cell>
          <cell r="D4851" t="str">
            <v>CREDIT SUISSE HEDGING-GRIFFO SERVICOS INTERNACIONAIS S.A</v>
          </cell>
          <cell r="E4851" t="str">
            <v>CREDIT SUISSE HEDGING-GRIFFO WEALTH MANAGEMENT S/A</v>
          </cell>
        </row>
        <row r="4852">
          <cell r="B4852">
            <v>123226</v>
          </cell>
          <cell r="C4852" t="str">
            <v>BANCO SANTANDER (BRASIL) S/A</v>
          </cell>
          <cell r="D4852" t="str">
            <v>BANCO SANTANDER (BRASIL) S/A</v>
          </cell>
          <cell r="E4852" t="str">
            <v>BANCO SANTANDER (BRASIL) S/A</v>
          </cell>
        </row>
        <row r="4853">
          <cell r="B4853">
            <v>123234</v>
          </cell>
          <cell r="C4853" t="str">
            <v>BANCO SANTANDER (BRASIL) S/A</v>
          </cell>
          <cell r="D4853" t="str">
            <v>BANCO SANTANDER (BRASIL) S/A</v>
          </cell>
          <cell r="E4853" t="str">
            <v>BANCO SANTANDER (BRASIL) S/A</v>
          </cell>
        </row>
        <row r="4854">
          <cell r="B4854">
            <v>123249</v>
          </cell>
          <cell r="C4854" t="str">
            <v>BANCO SANTANDER (BRASIL) S/A</v>
          </cell>
          <cell r="D4854" t="str">
            <v>BANCO SANTANDER (BRASIL) S/A</v>
          </cell>
          <cell r="E4854" t="str">
            <v>BANCO SANTANDER (BRASIL) S/A</v>
          </cell>
        </row>
        <row r="4855">
          <cell r="B4855">
            <v>124022</v>
          </cell>
          <cell r="C4855" t="str">
            <v>BANCO SANTANDER (BRASIL) S/A</v>
          </cell>
          <cell r="D4855" t="str">
            <v>BANCO SANTANDER (BRASIL) S/A</v>
          </cell>
          <cell r="E4855" t="str">
            <v>BANCO SANTANDER (BRASIL) S/A</v>
          </cell>
        </row>
        <row r="4856">
          <cell r="B4856">
            <v>14452</v>
          </cell>
          <cell r="C4856" t="str">
            <v>BANCO SANTANDER (BRASIL) S/A</v>
          </cell>
          <cell r="D4856" t="str">
            <v>BANCO SANTANDER (BRASIL) S/A</v>
          </cell>
          <cell r="E4856" t="str">
            <v>BANCO SANTANDER (BRASIL) S/A</v>
          </cell>
        </row>
        <row r="4857">
          <cell r="B4857">
            <v>14479</v>
          </cell>
          <cell r="C4857" t="str">
            <v>BANCO SANTANDER (BRASIL) S/A</v>
          </cell>
          <cell r="D4857" t="str">
            <v>BANCO SANTANDER (BRASIL) S/A</v>
          </cell>
          <cell r="E4857" t="str">
            <v>BANCO SANTANDER (BRASIL) S/A</v>
          </cell>
        </row>
        <row r="4858">
          <cell r="B4858">
            <v>14481</v>
          </cell>
          <cell r="C4858" t="str">
            <v>BANCO SANTANDER (BRASIL) S/A</v>
          </cell>
          <cell r="D4858" t="str">
            <v>BANCO SANTANDER (BRASIL) S/A</v>
          </cell>
          <cell r="E4858" t="str">
            <v>BANCO SANTANDER (BRASIL) S/A</v>
          </cell>
        </row>
        <row r="4859">
          <cell r="B4859">
            <v>14482</v>
          </cell>
          <cell r="C4859" t="str">
            <v>BANCO SANTANDER (BRASIL) S/A</v>
          </cell>
          <cell r="D4859" t="str">
            <v>BANCO SANTANDER (BRASIL) S/A</v>
          </cell>
          <cell r="E4859" t="str">
            <v>BANCO SANTANDER (BRASIL) S/A</v>
          </cell>
        </row>
        <row r="4860">
          <cell r="B4860">
            <v>15110</v>
          </cell>
          <cell r="C4860" t="str">
            <v>BANCO SANTANDER (BRASIL) S/A</v>
          </cell>
          <cell r="D4860" t="str">
            <v>BANCO SANTANDER (BRASIL) S/A</v>
          </cell>
          <cell r="E4860" t="str">
            <v>BANCO SANTANDER (BRASIL) S/A</v>
          </cell>
        </row>
        <row r="4861">
          <cell r="B4861">
            <v>2080</v>
          </cell>
          <cell r="C4861" t="str">
            <v>FLOW CM LTDA</v>
          </cell>
          <cell r="D4861" t="str">
            <v>FLOW CM LTDA</v>
          </cell>
          <cell r="E4861" t="str">
            <v>BANCO SANTANDER (BRASIL) S/A</v>
          </cell>
        </row>
        <row r="4862">
          <cell r="B4862">
            <v>12321</v>
          </cell>
          <cell r="C4862" t="str">
            <v>BANCO SAFRA S/A</v>
          </cell>
          <cell r="D4862" t="str">
            <v>BANCO SAFRA S/A</v>
          </cell>
          <cell r="E4862" t="str">
            <v>BANCO SAFRA S/A</v>
          </cell>
        </row>
        <row r="4863">
          <cell r="B4863">
            <v>210</v>
          </cell>
          <cell r="C4863" t="str">
            <v>BANCO SANTANDER (BRASIL) S/A</v>
          </cell>
          <cell r="D4863" t="str">
            <v>BANCO SANTANDER (BRASIL) S/A</v>
          </cell>
          <cell r="E4863" t="str">
            <v>BANCO SANTANDER (BRASIL) S/A</v>
          </cell>
        </row>
        <row r="4864">
          <cell r="B4864">
            <v>211</v>
          </cell>
          <cell r="C4864" t="str">
            <v>BANCO SANTANDER (BRASIL) S/A</v>
          </cell>
          <cell r="D4864" t="str">
            <v>BANCO SANTANDER (BRASIL) S/A</v>
          </cell>
          <cell r="E4864" t="str">
            <v>BANCO SANTANDER (BRASIL) S/A</v>
          </cell>
        </row>
        <row r="4865">
          <cell r="B4865">
            <v>214</v>
          </cell>
          <cell r="C4865" t="str">
            <v>BANCO SANTANDER (BRASIL) S/A</v>
          </cell>
          <cell r="D4865" t="str">
            <v>BANCO SANTANDER (BRASIL) S/A</v>
          </cell>
          <cell r="E4865" t="str">
            <v>BANCO SANTANDER (BRASIL) S/A</v>
          </cell>
        </row>
        <row r="4866">
          <cell r="B4866">
            <v>215</v>
          </cell>
          <cell r="C4866" t="str">
            <v>BANCO SANTANDER (BRASIL) S/A</v>
          </cell>
          <cell r="D4866" t="str">
            <v>BANCO SANTANDER (BRASIL) S/A</v>
          </cell>
          <cell r="E4866" t="str">
            <v>BANCO SANTANDER (BRASIL) S/A</v>
          </cell>
        </row>
        <row r="4867">
          <cell r="B4867">
            <v>216</v>
          </cell>
          <cell r="C4867" t="str">
            <v>BANCO SANTANDER (BRASIL) S/A</v>
          </cell>
          <cell r="D4867" t="str">
            <v>BANCO SANTANDER (BRASIL) S/A</v>
          </cell>
          <cell r="E4867" t="str">
            <v>BANCO SANTANDER (BRASIL) S/A</v>
          </cell>
        </row>
        <row r="4868">
          <cell r="B4868">
            <v>217</v>
          </cell>
          <cell r="C4868" t="str">
            <v>BANCO SANTANDER (BRASIL) S/A</v>
          </cell>
          <cell r="D4868" t="str">
            <v>BANCO SANTANDER (BRASIL) S/A</v>
          </cell>
          <cell r="E4868" t="str">
            <v>BANCO SANTANDER (BRASIL) S/A</v>
          </cell>
        </row>
        <row r="4869">
          <cell r="B4869">
            <v>218</v>
          </cell>
          <cell r="C4869" t="str">
            <v>BANCO SANTANDER (BRASIL) S/A</v>
          </cell>
          <cell r="D4869" t="str">
            <v>BANCO SANTANDER (BRASIL) S/A</v>
          </cell>
          <cell r="E4869" t="str">
            <v>BANCO SANTANDER (BRASIL) S/A</v>
          </cell>
        </row>
        <row r="4870">
          <cell r="B4870">
            <v>219</v>
          </cell>
          <cell r="C4870" t="str">
            <v>BANCO SANTANDER (BRASIL) S/A</v>
          </cell>
          <cell r="D4870" t="str">
            <v>BANCO SANTANDER (BRASIL) S/A</v>
          </cell>
          <cell r="E4870" t="str">
            <v>BANCO SANTANDER (BRASIL) S/A</v>
          </cell>
        </row>
        <row r="4871">
          <cell r="B4871">
            <v>12322</v>
          </cell>
          <cell r="C4871" t="str">
            <v>CREDIT SUISSE HEDGING-GRIFFO WEALTH MANAGEMENT S/A</v>
          </cell>
          <cell r="D4871" t="str">
            <v>CREDIT SUISSE HEDGING-GRIFFO WEALTH MANAGEMENT S/A</v>
          </cell>
          <cell r="E4871" t="str">
            <v>CREDIT SUISSE HEDGING-GRIFFO WEALTH MANAGEMENT S/A</v>
          </cell>
        </row>
        <row r="4872">
          <cell r="B4872">
            <v>123225</v>
          </cell>
          <cell r="C4872" t="str">
            <v>MORGAN STANLEY CTVM S/A</v>
          </cell>
          <cell r="D4872" t="str">
            <v>MORGAN STANLEY CTVM S/A</v>
          </cell>
          <cell r="E4872" t="str">
            <v>MORGAN STANLEY CTVM S/A</v>
          </cell>
        </row>
        <row r="4873">
          <cell r="B4873">
            <v>220</v>
          </cell>
          <cell r="C4873" t="str">
            <v>BANCO SANTANDER (BRASIL) S/A</v>
          </cell>
          <cell r="D4873" t="str">
            <v>BANCO SANTANDER (BRASIL) S/A</v>
          </cell>
          <cell r="E4873" t="str">
            <v>BANCO SANTANDER (BRASIL) S/A</v>
          </cell>
        </row>
        <row r="4874">
          <cell r="B4874">
            <v>123227</v>
          </cell>
          <cell r="C4874" t="str">
            <v>MORGAN STANLEY CTVM S/A</v>
          </cell>
          <cell r="D4874" t="str">
            <v>MORGAN STANLEY CTVM S/A</v>
          </cell>
          <cell r="E4874" t="str">
            <v>MORGAN STANLEY CTVM S/A</v>
          </cell>
        </row>
        <row r="4875">
          <cell r="B4875">
            <v>123228</v>
          </cell>
          <cell r="C4875" t="str">
            <v>FPRV DYN UIRAPURU FIA PREVIDENCIARIO</v>
          </cell>
          <cell r="D4875" t="str">
            <v>FPRV DYN UIRAPURU FIA PREVIDENCIARIO</v>
          </cell>
          <cell r="E4875" t="str">
            <v>FPRV DYN UIRAPURU FIA PREVIDENCIARIO</v>
          </cell>
        </row>
        <row r="4876">
          <cell r="B4876">
            <v>123229</v>
          </cell>
          <cell r="C4876" t="str">
            <v>IGUATEMI DIVIDENDOS FIA</v>
          </cell>
          <cell r="D4876" t="str">
            <v>IGUATEMI DIVIDENDOS FIA</v>
          </cell>
          <cell r="E4876" t="str">
            <v>IGUATEMI GESTAO DE CARTEIRAS DE VALORES MOBILIARIOS LTDA</v>
          </cell>
        </row>
        <row r="4877">
          <cell r="B4877">
            <v>12323</v>
          </cell>
          <cell r="C4877" t="str">
            <v>AMPLIO CAPITAL LTDA</v>
          </cell>
          <cell r="D4877" t="str">
            <v>AMPLIO CAPITAL LTDA</v>
          </cell>
          <cell r="E4877" t="str">
            <v>AMPLIO CAPITAL LTDA</v>
          </cell>
        </row>
        <row r="4878">
          <cell r="B4878">
            <v>123230</v>
          </cell>
          <cell r="C4878" t="str">
            <v>QUELUZ ALPHA FIM</v>
          </cell>
          <cell r="D4878" t="str">
            <v>QUELUZ ALPHA FIM</v>
          </cell>
          <cell r="E4878" t="str">
            <v>QLZ GESTAO DE RECURSOS FINANCEIROS LTDA</v>
          </cell>
        </row>
        <row r="4879">
          <cell r="B4879">
            <v>123231</v>
          </cell>
          <cell r="C4879" t="str">
            <v>GUILHERME CARLOS MOREIRA E SILVA</v>
          </cell>
          <cell r="D4879" t="str">
            <v>GUILHERME CARLOS MOREIRA E SILVA</v>
          </cell>
          <cell r="E4879" t="str">
            <v>GUILHERME CARLOS MOREIRA E SILVA</v>
          </cell>
        </row>
        <row r="4880">
          <cell r="B4880">
            <v>123232</v>
          </cell>
          <cell r="C4880" t="str">
            <v>MARCELO DOS SANTOS</v>
          </cell>
          <cell r="D4880" t="str">
            <v>MARCELO DOS SANTOS</v>
          </cell>
          <cell r="E4880" t="str">
            <v>MARCELO DOS SANTOS</v>
          </cell>
        </row>
        <row r="4881">
          <cell r="B4881">
            <v>123233</v>
          </cell>
          <cell r="C4881" t="str">
            <v>FIC DE FI CAIXA ALOCACAO MULTIMERCADO CP LP</v>
          </cell>
          <cell r="D4881" t="str">
            <v>FIC DE FI CAIXA ALOCACAO MULTIMERCADO CP LP</v>
          </cell>
          <cell r="E4881" t="str">
            <v>CAIXA ECONOMICA FEDERAL</v>
          </cell>
        </row>
        <row r="4882">
          <cell r="B4882">
            <v>221</v>
          </cell>
          <cell r="C4882" t="str">
            <v>BANCO SANTANDER (BRASIL) S/A</v>
          </cell>
          <cell r="D4882" t="str">
            <v>BANCO SANTANDER (BRASIL) S/A</v>
          </cell>
          <cell r="E4882" t="str">
            <v>BANCO SANTANDER (BRASIL) S/A</v>
          </cell>
        </row>
        <row r="4883">
          <cell r="B4883">
            <v>123235</v>
          </cell>
          <cell r="C4883" t="str">
            <v>MORGAN STANLEY CTVM S/A</v>
          </cell>
          <cell r="D4883" t="str">
            <v>MORGAN STANLEY CTVM S/A</v>
          </cell>
          <cell r="E4883" t="str">
            <v>MORGAN STANLEY CTVM S/A</v>
          </cell>
        </row>
        <row r="4884">
          <cell r="B4884">
            <v>123236</v>
          </cell>
          <cell r="C4884" t="str">
            <v>MORGAN STANLEY CTVM S/A</v>
          </cell>
          <cell r="D4884" t="str">
            <v>MORGAN STANLEY CTVM S/A</v>
          </cell>
          <cell r="E4884" t="str">
            <v>MORGAN STANLEY CTVM S/A</v>
          </cell>
        </row>
        <row r="4885">
          <cell r="B4885">
            <v>123237</v>
          </cell>
          <cell r="C4885" t="str">
            <v>MORGAN STANLEY CTVM S/A</v>
          </cell>
          <cell r="D4885" t="str">
            <v>MORGAN STANLEY CTVM S/A</v>
          </cell>
          <cell r="E4885" t="str">
            <v>MORGAN STANLEY CTVM S/A</v>
          </cell>
        </row>
        <row r="4886">
          <cell r="B4886">
            <v>123238</v>
          </cell>
          <cell r="C4886" t="str">
            <v>MORGAN STANLEY CTVM S/A</v>
          </cell>
          <cell r="D4886" t="str">
            <v>MORGAN STANLEY CTVM S/A</v>
          </cell>
          <cell r="E4886" t="str">
            <v>MORGAN STANLEY CTVM S/A</v>
          </cell>
        </row>
        <row r="4887">
          <cell r="B4887">
            <v>123239</v>
          </cell>
          <cell r="C4887" t="str">
            <v>MORGAN STANLEY CTVM S/A</v>
          </cell>
          <cell r="D4887" t="str">
            <v>MORGAN STANLEY CTVM S/A</v>
          </cell>
          <cell r="E4887" t="str">
            <v>MORGAN STANLEY CTVM S/A</v>
          </cell>
        </row>
        <row r="4888">
          <cell r="B4888">
            <v>12324</v>
          </cell>
          <cell r="C4888" t="str">
            <v>IPANEMA GESTORA DE RECURSOS LTDA</v>
          </cell>
          <cell r="D4888" t="str">
            <v>IPANEMA GESTORA DE RECURSOS LTDA</v>
          </cell>
          <cell r="E4888" t="str">
            <v>IPANEMA GESTORA DE RECURSOS LTDA</v>
          </cell>
        </row>
        <row r="4889">
          <cell r="B4889">
            <v>123240</v>
          </cell>
          <cell r="C4889" t="str">
            <v>MORGAN STANLEY CTVM S/A</v>
          </cell>
          <cell r="D4889" t="str">
            <v>MORGAN STANLEY CTVM S/A</v>
          </cell>
          <cell r="E4889" t="str">
            <v>MORGAN STANLEY CTVM S/A</v>
          </cell>
        </row>
        <row r="4890">
          <cell r="B4890">
            <v>123241</v>
          </cell>
          <cell r="C4890" t="str">
            <v>MORGAN STANLEY CTVM S/A</v>
          </cell>
          <cell r="D4890" t="str">
            <v>MORGAN STANLEY CTVM S/A</v>
          </cell>
          <cell r="E4890" t="str">
            <v>MORGAN STANLEY CTVM S/A</v>
          </cell>
        </row>
        <row r="4891">
          <cell r="B4891">
            <v>123242</v>
          </cell>
          <cell r="C4891" t="str">
            <v>MORGAN STANLEY CTVM S/A</v>
          </cell>
          <cell r="D4891" t="str">
            <v>MORGAN STANLEY CTVM S/A</v>
          </cell>
          <cell r="E4891" t="str">
            <v>MORGAN STANLEY CTVM S/A</v>
          </cell>
        </row>
        <row r="4892">
          <cell r="B4892">
            <v>123243</v>
          </cell>
          <cell r="C4892" t="str">
            <v>MORGAN STANLEY CTVM S/A</v>
          </cell>
          <cell r="D4892" t="str">
            <v>MORGAN STANLEY CTVM S/A</v>
          </cell>
          <cell r="E4892" t="str">
            <v>MORGAN STANLEY CTVM S/A</v>
          </cell>
        </row>
        <row r="4893">
          <cell r="B4893">
            <v>123244</v>
          </cell>
          <cell r="C4893" t="str">
            <v>MORGAN STANLEY CTVM S/A</v>
          </cell>
          <cell r="D4893" t="str">
            <v>MORGAN STANLEY CTVM S/A</v>
          </cell>
          <cell r="E4893" t="str">
            <v>MORGAN STANLEY CTVM S/A</v>
          </cell>
        </row>
        <row r="4894">
          <cell r="B4894">
            <v>123245</v>
          </cell>
          <cell r="C4894" t="str">
            <v>MORGAN STANLEY CTVM S/A</v>
          </cell>
          <cell r="D4894" t="str">
            <v>MORGAN STANLEY CTVM S/A</v>
          </cell>
          <cell r="E4894" t="str">
            <v>MORGAN STANLEY CTVM S/A</v>
          </cell>
        </row>
        <row r="4895">
          <cell r="B4895">
            <v>123246</v>
          </cell>
          <cell r="C4895" t="str">
            <v>MORGAN STANLEY CTVM S/A</v>
          </cell>
          <cell r="D4895" t="str">
            <v>MORGAN STANLEY CTVM S/A</v>
          </cell>
          <cell r="E4895" t="str">
            <v>MORGAN STANLEY CTVM S/A</v>
          </cell>
        </row>
        <row r="4896">
          <cell r="B4896">
            <v>123247</v>
          </cell>
          <cell r="C4896" t="str">
            <v>MORGAN STANLEY CTVM S/A</v>
          </cell>
          <cell r="D4896" t="str">
            <v>MORGAN STANLEY CTVM S/A</v>
          </cell>
          <cell r="E4896" t="str">
            <v>MORGAN STANLEY CTVM S/A</v>
          </cell>
        </row>
        <row r="4897">
          <cell r="B4897">
            <v>123248</v>
          </cell>
          <cell r="C4897" t="str">
            <v>MORGAN STANLEY CTVM S/A</v>
          </cell>
          <cell r="D4897" t="str">
            <v>MORGAN STANLEY CTVM S/A</v>
          </cell>
          <cell r="E4897" t="str">
            <v>MORGAN STANLEY CTVM S/A</v>
          </cell>
        </row>
        <row r="4898">
          <cell r="B4898">
            <v>222</v>
          </cell>
          <cell r="C4898" t="str">
            <v>BANCO SANTANDER (BRASIL) S/A</v>
          </cell>
          <cell r="D4898" t="str">
            <v>BANCO SANTANDER (BRASIL) S/A</v>
          </cell>
          <cell r="E4898" t="str">
            <v>BANCO SANTANDER (BRASIL) S/A</v>
          </cell>
        </row>
        <row r="4899">
          <cell r="B4899">
            <v>123250</v>
          </cell>
          <cell r="C4899" t="str">
            <v>BB GESTAO DE RECURSOS DTVM LTDA</v>
          </cell>
          <cell r="D4899" t="str">
            <v>BB GESTAO DE RECURSOS DTVM LTDA</v>
          </cell>
          <cell r="E4899" t="str">
            <v>BB GESTAO DE RECURSOS DTVM LTDA</v>
          </cell>
        </row>
        <row r="4900">
          <cell r="B4900">
            <v>123251</v>
          </cell>
          <cell r="C4900" t="str">
            <v>ABSOLUTE ALPHA MASTER FIM</v>
          </cell>
          <cell r="D4900" t="str">
            <v>ABSOLUTE ALPHA MASTER FIM</v>
          </cell>
          <cell r="E4900" t="str">
            <v>ABSOLUTE GESTAO DE INVESTIMENTOS LTDA</v>
          </cell>
        </row>
        <row r="4901">
          <cell r="B4901">
            <v>123252</v>
          </cell>
          <cell r="C4901" t="str">
            <v>BB GESTAO DE RECURSOS DTVM LTDA</v>
          </cell>
          <cell r="D4901" t="str">
            <v>BB GESTAO DE RECURSOS DTVM LTDA</v>
          </cell>
          <cell r="E4901" t="str">
            <v>BB GESTAO DE RECURSOS DTVM LTDA</v>
          </cell>
        </row>
        <row r="4902">
          <cell r="B4902">
            <v>123253</v>
          </cell>
          <cell r="C4902" t="str">
            <v>MORGAN STANLEY CTVM S/A</v>
          </cell>
          <cell r="D4902" t="str">
            <v>MORGAN STANLEY CTVM S/A</v>
          </cell>
          <cell r="E4902" t="str">
            <v>MORGAN STANLEY CTVM S/A</v>
          </cell>
        </row>
        <row r="4903">
          <cell r="B4903">
            <v>123254</v>
          </cell>
          <cell r="C4903" t="str">
            <v>MORGAN STANLEY CTVM S/A</v>
          </cell>
          <cell r="D4903" t="str">
            <v>MORGAN STANLEY CTVM S/A</v>
          </cell>
          <cell r="E4903" t="str">
            <v>MORGAN STANLEY CTVM S/A</v>
          </cell>
        </row>
        <row r="4904">
          <cell r="B4904">
            <v>123255</v>
          </cell>
          <cell r="C4904" t="str">
            <v>MORGAN STANLEY CTVM S/A</v>
          </cell>
          <cell r="D4904" t="str">
            <v>MORGAN STANLEY CTVM S/A</v>
          </cell>
          <cell r="E4904" t="str">
            <v>MORGAN STANLEY CTVM S/A</v>
          </cell>
        </row>
        <row r="4905">
          <cell r="B4905">
            <v>123256</v>
          </cell>
          <cell r="C4905" t="str">
            <v>ABSOLUTE HEDGE MASTER FIM</v>
          </cell>
          <cell r="D4905" t="str">
            <v>ABSOLUTE HEDGE MASTER FIM</v>
          </cell>
          <cell r="E4905" t="str">
            <v>ABSOLUTE GESTAO DE INVESTIMENTOS LTDA</v>
          </cell>
        </row>
        <row r="4906">
          <cell r="B4906">
            <v>123257</v>
          </cell>
          <cell r="C4906" t="str">
            <v>CHP FIM CREDITO PRIVADO INVESTIMENTO NO EXTERIOR</v>
          </cell>
          <cell r="D4906" t="str">
            <v>CHP FIM CREDITO PRIVADO INVESTIMENTO NO EXTERIOR</v>
          </cell>
          <cell r="E4906" t="str">
            <v>VINCI GESTORA DE RECURSOS LTDA</v>
          </cell>
        </row>
        <row r="4907">
          <cell r="B4907">
            <v>123258</v>
          </cell>
          <cell r="C4907" t="str">
            <v>JADE FIM CP IE</v>
          </cell>
          <cell r="D4907" t="str">
            <v>JADE FIM CP IE</v>
          </cell>
          <cell r="E4907" t="str">
            <v>VINCI GESTORA DE RECURSOS LTDA</v>
          </cell>
        </row>
        <row r="4908">
          <cell r="B4908">
            <v>123259</v>
          </cell>
          <cell r="C4908" t="str">
            <v>TUCUNA FIM CP IE</v>
          </cell>
          <cell r="D4908" t="str">
            <v>TUCUNA FIM CP IE</v>
          </cell>
          <cell r="E4908" t="str">
            <v>VINCI GESTORA DE RECURSOS LTDA</v>
          </cell>
        </row>
        <row r="4909">
          <cell r="B4909">
            <v>12326</v>
          </cell>
          <cell r="C4909" t="str">
            <v>ABSOLUTE GESTAO DE INVESTIMENTOS LTDA</v>
          </cell>
          <cell r="D4909" t="str">
            <v>ABSOLUTE GESTAO DE INVESTIMENTOS LTDA</v>
          </cell>
          <cell r="E4909" t="str">
            <v>ABSOLUTE GESTAO DE INVESTIMENTOS LTDA</v>
          </cell>
        </row>
        <row r="4910">
          <cell r="B4910">
            <v>123260</v>
          </cell>
          <cell r="C4910" t="str">
            <v>BEAGLE FIM CP IE</v>
          </cell>
          <cell r="D4910" t="str">
            <v>BEAGLE FIM CP IE</v>
          </cell>
          <cell r="E4910" t="str">
            <v>VINCI GESTORA DE RECURSOS LTDA</v>
          </cell>
        </row>
        <row r="4911">
          <cell r="B4911">
            <v>123261</v>
          </cell>
          <cell r="C4911" t="str">
            <v>PATRIA EQUITY MASTER FIA</v>
          </cell>
          <cell r="D4911" t="str">
            <v>PATRIA EQUITY MASTER FIA</v>
          </cell>
          <cell r="E4911" t="str">
            <v>PATRIA EQUITY MASTER FIA</v>
          </cell>
        </row>
        <row r="4912">
          <cell r="B4912">
            <v>123262</v>
          </cell>
          <cell r="C4912" t="str">
            <v>LACAN WINGS RENDA FIXA FI</v>
          </cell>
          <cell r="D4912" t="str">
            <v>LACAN WINGS RENDA FIXA FI</v>
          </cell>
          <cell r="E4912" t="str">
            <v>LACAN WINGS RENDA FIXA FI</v>
          </cell>
        </row>
        <row r="4913">
          <cell r="B4913">
            <v>123263</v>
          </cell>
          <cell r="C4913" t="str">
            <v>LACAN FIA</v>
          </cell>
          <cell r="D4913" t="str">
            <v>LACAN FIA</v>
          </cell>
          <cell r="E4913" t="str">
            <v>LACAN INVESTIMENTOS E PARTICIPACOES LTDA</v>
          </cell>
        </row>
        <row r="4914">
          <cell r="B4914">
            <v>123264</v>
          </cell>
          <cell r="C4914" t="str">
            <v>TI HEDGE FUNDO DE INVESTIMENTO EM ACOES</v>
          </cell>
          <cell r="D4914" t="str">
            <v>TI HEDGE FUNDO DE INVESTIMENTO EM ACOES</v>
          </cell>
          <cell r="E4914" t="str">
            <v>TI HEDGE FUNDO DE INVESTIMENTO EM ACOES</v>
          </cell>
        </row>
        <row r="4915">
          <cell r="B4915">
            <v>123265</v>
          </cell>
          <cell r="C4915" t="str">
            <v>SAGA SF FUNDO DE INVESTIMENTO DE ACOES</v>
          </cell>
          <cell r="D4915" t="str">
            <v>SAGA SF FUNDO DE INVESTIMENTO DE ACOES</v>
          </cell>
          <cell r="E4915" t="str">
            <v>SAGA SF FUNDO DE INVESTIMENTO DE ACOES</v>
          </cell>
        </row>
        <row r="4916">
          <cell r="B4916">
            <v>123267</v>
          </cell>
          <cell r="C4916" t="str">
            <v>BRAZILIAN EQUITY I LLC</v>
          </cell>
          <cell r="D4916" t="str">
            <v>BRAZILIAN EQUITY I LLC</v>
          </cell>
          <cell r="E4916" t="str">
            <v>PATRIA INVESTIMENTOS LTDA</v>
          </cell>
        </row>
        <row r="4917">
          <cell r="B4917">
            <v>123268</v>
          </cell>
          <cell r="C4917" t="str">
            <v>GAP ABSOLUTO MASTER FIM</v>
          </cell>
          <cell r="D4917" t="str">
            <v>GAP ABSOLUTO MASTER FIM</v>
          </cell>
          <cell r="E4917" t="str">
            <v>GAP GESTORA DE RECURSOS LTDA</v>
          </cell>
        </row>
        <row r="4918">
          <cell r="B4918">
            <v>123269</v>
          </cell>
          <cell r="C4918" t="str">
            <v>GAP YIELD FI RF</v>
          </cell>
          <cell r="D4918" t="str">
            <v>GAP YIELD FI RF</v>
          </cell>
          <cell r="E4918" t="str">
            <v>GAP GESTORA DE RECURSOS LTDA</v>
          </cell>
        </row>
        <row r="4919">
          <cell r="B4919">
            <v>12327</v>
          </cell>
          <cell r="C4919" t="str">
            <v>DUNA ASSET MANAGEMENT LTDA</v>
          </cell>
          <cell r="D4919" t="str">
            <v>DUNA ASSET MANAGEMENT LTDA</v>
          </cell>
          <cell r="E4919" t="str">
            <v>DUNA ASSET MANAGEMENT LTDA</v>
          </cell>
        </row>
        <row r="4920">
          <cell r="B4920">
            <v>123270</v>
          </cell>
          <cell r="C4920" t="str">
            <v>GAP REAÃ‡ÃƒO FI RF</v>
          </cell>
          <cell r="D4920" t="str">
            <v>GAP REAÃ‡ÃƒO FI RF</v>
          </cell>
          <cell r="E4920" t="str">
            <v>GAP GESTORA DE RECURSOS LTDA</v>
          </cell>
        </row>
        <row r="4921">
          <cell r="B4921">
            <v>123271</v>
          </cell>
          <cell r="C4921" t="str">
            <v>BS GAP CP FIM</v>
          </cell>
          <cell r="D4921" t="str">
            <v>BS GAP CP FIM</v>
          </cell>
          <cell r="E4921" t="str">
            <v>GAP PRUDENTIAL LT GESTAO DE RECURSOS LTDA</v>
          </cell>
        </row>
        <row r="4922">
          <cell r="B4922">
            <v>123273</v>
          </cell>
          <cell r="C4922" t="str">
            <v>GAP IPCA INSTITUCIONAL FIM</v>
          </cell>
          <cell r="D4922" t="str">
            <v>GAP IPCA INSTITUCIONAL FIM</v>
          </cell>
          <cell r="E4922" t="str">
            <v>GAP PRUDENTIAL LT GESTAO DE RECURSOS LTDA</v>
          </cell>
        </row>
        <row r="4923">
          <cell r="B4923">
            <v>123274</v>
          </cell>
          <cell r="C4923" t="str">
            <v>FI GAP MULTIMERCADO PREVIDENCIA</v>
          </cell>
          <cell r="D4923" t="str">
            <v>FI GAP MULTIMERCADO PREVIDENCIA</v>
          </cell>
          <cell r="E4923" t="str">
            <v>GAP GESTORA DE RECURSOS LTDA</v>
          </cell>
        </row>
        <row r="4924">
          <cell r="B4924">
            <v>123275</v>
          </cell>
          <cell r="C4924" t="str">
            <v>GAP FI RF CP IMOBILIARIO</v>
          </cell>
          <cell r="D4924" t="str">
            <v>GAP FI RF CP IMOBILIARIO</v>
          </cell>
          <cell r="E4924" t="str">
            <v>GAP PRUDENTIAL LT GESTAO DE RECURSOS LTDA</v>
          </cell>
        </row>
        <row r="4925">
          <cell r="B4925">
            <v>123276</v>
          </cell>
          <cell r="C4925" t="str">
            <v>CENTRUS -FUNDAÃ‡ÃƒO BANCO CENTRAL DE PREVIDENCIA PRIVADA</v>
          </cell>
          <cell r="D4925" t="str">
            <v>CENTRUS -FUNDAÃ‡ÃƒO BANCO CENTRAL DE PREVIDENCIA PRIVADA</v>
          </cell>
          <cell r="E4925" t="str">
            <v>CENTRUS -FUNDAÇÃO BANCO CENTRAL DE PREVIDENCIA PRIVADA</v>
          </cell>
        </row>
        <row r="4926">
          <cell r="B4926">
            <v>123277</v>
          </cell>
          <cell r="C4926" t="str">
            <v>CENTRUS -FUNDAÃ‡ÃƒO BANCO CENTRAL DE PREVIDENCIA PRIVADA</v>
          </cell>
          <cell r="D4926" t="str">
            <v>CENTRUS -FUNDAÃ‡ÃƒO BANCO CENTRAL DE PREVIDENCIA PRIVADA</v>
          </cell>
          <cell r="E4926" t="str">
            <v>CENTRUS -FUNDAÇÃO BANCO CENTRAL DE PREVIDENCIA PRIVADA</v>
          </cell>
        </row>
        <row r="4927">
          <cell r="B4927">
            <v>123278</v>
          </cell>
          <cell r="C4927" t="str">
            <v>CENTRUS -FUNDAÃ‡ÃƒO BANCO CENTRAL DE PREVIDENCIA PRIVADA</v>
          </cell>
          <cell r="D4927" t="str">
            <v>CENTRUS -FUNDAÃ‡ÃƒO BANCO CENTRAL DE PREVIDENCIA PRIVADA</v>
          </cell>
          <cell r="E4927" t="str">
            <v>CENTRUS -FUNDAÇÃO BANCO CENTRAL DE PREVIDENCIA PRIVADA</v>
          </cell>
        </row>
        <row r="4928">
          <cell r="B4928">
            <v>123279</v>
          </cell>
          <cell r="C4928" t="str">
            <v>TESE MASTER FIM</v>
          </cell>
          <cell r="D4928" t="str">
            <v>TESE MASTER FIM</v>
          </cell>
          <cell r="E4928" t="str">
            <v>TESE GESTÃƒO DE INVESTIMENTOS LTDA</v>
          </cell>
        </row>
        <row r="4929">
          <cell r="B4929">
            <v>12328</v>
          </cell>
          <cell r="C4929" t="str">
            <v>BW GESTAO DE INVESTIMENTOS LTDA</v>
          </cell>
          <cell r="D4929" t="str">
            <v>BW GESTAO DE INVESTIMENTOS LTDA</v>
          </cell>
          <cell r="E4929" t="str">
            <v>BW GESTAO DE INVESTIMENTOS LTDA</v>
          </cell>
        </row>
        <row r="4930">
          <cell r="B4930">
            <v>123280</v>
          </cell>
          <cell r="C4930" t="str">
            <v>BRL LLC</v>
          </cell>
          <cell r="D4930" t="str">
            <v>BRL LLC</v>
          </cell>
          <cell r="E4930" t="str">
            <v>BRL LLC</v>
          </cell>
        </row>
        <row r="4931">
          <cell r="B4931">
            <v>123281</v>
          </cell>
          <cell r="C4931" t="str">
            <v>GAP CREDITO PRIVADO I FIC DE FIM</v>
          </cell>
          <cell r="D4931" t="str">
            <v>GAP CREDITO PRIVADO I FIC DE FIM</v>
          </cell>
          <cell r="E4931" t="str">
            <v>GAP PRUDENTIAL LT GESTAO DE RECURSOS LTDA</v>
          </cell>
        </row>
        <row r="4932">
          <cell r="B4932">
            <v>123282</v>
          </cell>
          <cell r="C4932" t="str">
            <v>GENIPABU FIA</v>
          </cell>
          <cell r="D4932" t="str">
            <v>GENIPABU FIA</v>
          </cell>
          <cell r="E4932" t="str">
            <v>GENIPABU FIA</v>
          </cell>
        </row>
        <row r="4933">
          <cell r="B4933">
            <v>123284</v>
          </cell>
          <cell r="C4933" t="str">
            <v>GAP REALTY I FIP</v>
          </cell>
          <cell r="D4933" t="str">
            <v>GAP REALTY I FIP</v>
          </cell>
          <cell r="E4933" t="str">
            <v>GAP PRUDENTIAL LT GESTAO DE RECURSOS LTDA</v>
          </cell>
        </row>
        <row r="4934">
          <cell r="B4934">
            <v>123285</v>
          </cell>
          <cell r="C4934" t="str">
            <v>AMAROK FIM PREVIDENCIARIO</v>
          </cell>
          <cell r="D4934" t="str">
            <v>AMAROK FIM PREVIDENCIARIO</v>
          </cell>
          <cell r="E4934" t="str">
            <v>GAP PRUDENTIAL LT GESTAO DE RECURSOS LTDA</v>
          </cell>
        </row>
        <row r="4935">
          <cell r="B4935">
            <v>123286</v>
          </cell>
          <cell r="C4935" t="str">
            <v>GAP SELECTION FIM</v>
          </cell>
          <cell r="D4935" t="str">
            <v>GAP SELECTION FIM</v>
          </cell>
          <cell r="E4935" t="str">
            <v>GAP PRUDENTIAL LT GESTAO DE RECURSOS LTDA</v>
          </cell>
        </row>
        <row r="4936">
          <cell r="B4936">
            <v>123287</v>
          </cell>
          <cell r="C4936" t="str">
            <v>GAP PRUDENTIAL SAO PAULO FI RF CP</v>
          </cell>
          <cell r="D4936" t="str">
            <v>GAP PRUDENTIAL SAO PAULO FI RF CP</v>
          </cell>
          <cell r="E4936" t="str">
            <v>GAP PRUDENTIAL LT GESTAO DE RECURSOS LTDA</v>
          </cell>
        </row>
        <row r="4937">
          <cell r="B4937">
            <v>123289</v>
          </cell>
          <cell r="C4937" t="str">
            <v>BEETLE III FIRF LP CREDITO PRIVADO</v>
          </cell>
          <cell r="D4937" t="str">
            <v>BEETLE III FIRF LP CREDITO PRIVADO</v>
          </cell>
          <cell r="E4937" t="str">
            <v>GAP PRUDENTIAL LT GESTAO DE RECURSOS LTDA</v>
          </cell>
        </row>
        <row r="4938">
          <cell r="B4938">
            <v>12329</v>
          </cell>
          <cell r="C4938" t="str">
            <v>KADIMA GESTAO DE INVESTIMENTOS LTDA</v>
          </cell>
          <cell r="D4938" t="str">
            <v>KADIMA GESTAO DE INVESTIMENTOS LTDA</v>
          </cell>
          <cell r="E4938" t="str">
            <v>KADIMA GESTAO DE INVESTIMENTOS LTDA</v>
          </cell>
        </row>
        <row r="4939">
          <cell r="B4939">
            <v>123290</v>
          </cell>
          <cell r="C4939" t="str">
            <v>FIA RVA EMB</v>
          </cell>
          <cell r="D4939" t="str">
            <v>FIA RVA EMB</v>
          </cell>
          <cell r="E4939" t="str">
            <v>FIA RVA EMB</v>
          </cell>
        </row>
        <row r="4940">
          <cell r="B4940">
            <v>123291</v>
          </cell>
          <cell r="C4940" t="str">
            <v>AMORA FIM CP IE</v>
          </cell>
          <cell r="D4940" t="str">
            <v>AMORA FIM CP IE</v>
          </cell>
          <cell r="E4940" t="str">
            <v>AMORA FIM CP IE</v>
          </cell>
        </row>
        <row r="4941">
          <cell r="B4941">
            <v>123292</v>
          </cell>
          <cell r="C4941" t="str">
            <v>VINCI INTERNACIONAL MASTER FIM</v>
          </cell>
          <cell r="D4941" t="str">
            <v>VINCI INTERNACIONAL MASTER FIM</v>
          </cell>
          <cell r="E4941" t="str">
            <v>VINCI GESTORA DE RECURSOS LTDA</v>
          </cell>
        </row>
        <row r="4942">
          <cell r="B4942">
            <v>123293</v>
          </cell>
          <cell r="C4942" t="str">
            <v>SAAD FIM CP IE</v>
          </cell>
          <cell r="D4942" t="str">
            <v>SAAD FIM CP IE</v>
          </cell>
          <cell r="E4942" t="str">
            <v>SAAD FIM CP IE</v>
          </cell>
        </row>
        <row r="4943">
          <cell r="B4943">
            <v>123294</v>
          </cell>
          <cell r="C4943" t="str">
            <v>VINCI ALDEBARAN FIM CP IE</v>
          </cell>
          <cell r="D4943" t="str">
            <v>VINCI ALDEBARAN FIM CP IE</v>
          </cell>
          <cell r="E4943" t="str">
            <v>VINCI GESTORA DE RECURSOS LTDA</v>
          </cell>
        </row>
        <row r="4944">
          <cell r="B4944">
            <v>123295</v>
          </cell>
          <cell r="C4944" t="str">
            <v>VINCI SELECTION EQUITIES FIA</v>
          </cell>
          <cell r="D4944" t="str">
            <v>VINCI SELECTION EQUITIES FIA</v>
          </cell>
          <cell r="E4944" t="str">
            <v>VINCI GESTORA DE RECURSOS LTDA</v>
          </cell>
        </row>
        <row r="4945">
          <cell r="B4945">
            <v>123296</v>
          </cell>
          <cell r="C4945" t="str">
            <v>AZTECA VS FIM</v>
          </cell>
          <cell r="D4945" t="str">
            <v>AZTECA VS FIM</v>
          </cell>
          <cell r="E4945" t="str">
            <v>VENTURESTAR GESTAO DE RECURSOS LTDA</v>
          </cell>
        </row>
        <row r="4946">
          <cell r="B4946">
            <v>123297</v>
          </cell>
          <cell r="C4946" t="str">
            <v>CSHG INCA 23 FIM CP IE</v>
          </cell>
          <cell r="D4946" t="str">
            <v>CSHG INCA 23 FIM CP IE</v>
          </cell>
          <cell r="E4946" t="str">
            <v>CSHG INCA 23 FIM CP IE</v>
          </cell>
        </row>
        <row r="4947">
          <cell r="B4947">
            <v>123298</v>
          </cell>
          <cell r="C4947" t="str">
            <v>MAIA VS FIM</v>
          </cell>
          <cell r="D4947" t="str">
            <v>MAIA VS FIM</v>
          </cell>
          <cell r="E4947" t="str">
            <v>VENTURESTAR GESTAO DE RECURSOS LTDA</v>
          </cell>
        </row>
        <row r="4948">
          <cell r="B4948">
            <v>123299</v>
          </cell>
          <cell r="C4948" t="str">
            <v>VENTURESTAR FIM</v>
          </cell>
          <cell r="D4948" t="str">
            <v>VENTURESTAR FIM</v>
          </cell>
          <cell r="E4948" t="str">
            <v>VENTURESTAR GESTAO DE RECURSOS LTDA</v>
          </cell>
        </row>
        <row r="4949">
          <cell r="B4949">
            <v>12330</v>
          </cell>
          <cell r="C4949" t="str">
            <v>OTAVIO ROMAGNOLLI MENDES</v>
          </cell>
          <cell r="D4949" t="str">
            <v>OTAVIO ROMAGNOLLI MENDES</v>
          </cell>
          <cell r="E4949" t="str">
            <v>OTAVIO ROMAGNOLLI MENDES</v>
          </cell>
        </row>
        <row r="4950">
          <cell r="B4950">
            <v>123300</v>
          </cell>
          <cell r="C4950" t="str">
            <v>FIA RVA EMB III DIV</v>
          </cell>
          <cell r="D4950" t="str">
            <v>FIA RVA EMB III DIV</v>
          </cell>
          <cell r="E4950" t="str">
            <v>CREDIT SUISSE HEDGING-GRIFFO WEALTH MANAGEMENT S/A</v>
          </cell>
        </row>
        <row r="4951">
          <cell r="B4951">
            <v>123301</v>
          </cell>
          <cell r="C4951" t="str">
            <v>DIOGO FREIRE DOS SANTOS ARAUJO</v>
          </cell>
          <cell r="D4951" t="str">
            <v>DIOGO FREIRE DOS SANTOS ARAUJO</v>
          </cell>
          <cell r="E4951" t="str">
            <v>DIOGO FREIRE DOS SANTOS ARAUJO</v>
          </cell>
        </row>
        <row r="4952">
          <cell r="B4952">
            <v>122284</v>
          </cell>
          <cell r="C4952" t="str">
            <v>FIA MERO 2</v>
          </cell>
          <cell r="D4952" t="str">
            <v>FIA MERO 2</v>
          </cell>
          <cell r="E4952" t="str">
            <v>PLURAL GESTÃO DE RECURSOS LTDA</v>
          </cell>
        </row>
        <row r="4953">
          <cell r="B4953">
            <v>123303</v>
          </cell>
          <cell r="C4953" t="str">
            <v>LEBLON EQUITIES HEDGE MASTER FIA</v>
          </cell>
          <cell r="D4953" t="str">
            <v>LEBLON EQUITIES HEDGE MASTER FIA</v>
          </cell>
          <cell r="E4953" t="str">
            <v>LEBLON EQUITIES GESTAO DE RECURSOS LTDA</v>
          </cell>
        </row>
        <row r="4954">
          <cell r="B4954">
            <v>123304</v>
          </cell>
          <cell r="C4954" t="str">
            <v>LEBLON AÃ‡Ã•ES MASTER FIA</v>
          </cell>
          <cell r="D4954" t="str">
            <v>LEBLON AÃ‡Ã•ES MASTER FIA</v>
          </cell>
          <cell r="E4954" t="str">
            <v>LEBLON EQUITIES GESTAO DE RECURSOS LTDA</v>
          </cell>
        </row>
        <row r="4955">
          <cell r="B4955">
            <v>123305</v>
          </cell>
          <cell r="C4955" t="str">
            <v>LEBLON EQUITIES PARTNERS FIM IE</v>
          </cell>
          <cell r="D4955" t="str">
            <v>LEBLON EQUITIES PARTNERS FIM IE</v>
          </cell>
          <cell r="E4955" t="str">
            <v>LEBLON EQUITIES GESTAO DE RECURSOS LTDA</v>
          </cell>
        </row>
        <row r="4956">
          <cell r="B4956">
            <v>123306</v>
          </cell>
          <cell r="C4956" t="str">
            <v>LEBLON PREVIDENCIA FIM</v>
          </cell>
          <cell r="D4956" t="str">
            <v>LEBLON PREVIDENCIA FIM</v>
          </cell>
          <cell r="E4956" t="str">
            <v>LEBLON EQUITIES GESTAO DE RECURSOS LTDA</v>
          </cell>
        </row>
        <row r="4957">
          <cell r="B4957">
            <v>123307</v>
          </cell>
          <cell r="C4957" t="str">
            <v>LEBLON AÃ‡OES INSTITUCIONAL MASTER FIA</v>
          </cell>
          <cell r="D4957" t="str">
            <v>LEBLON AÃ‡OES INSTITUCIONAL MASTER FIA</v>
          </cell>
          <cell r="E4957" t="str">
            <v>LEBLON EQUITIES GESTAO DE RECURSOS LTDA</v>
          </cell>
        </row>
        <row r="4958">
          <cell r="B4958">
            <v>123308</v>
          </cell>
          <cell r="C4958" t="str">
            <v>ADVANCE BRAZIL LEBLON EQUITIES FUND</v>
          </cell>
          <cell r="D4958" t="str">
            <v>ADVANCE BRAZIL LEBLON EQUITIES FUND</v>
          </cell>
          <cell r="E4958" t="str">
            <v>LEBLON EQUITIES GESTAO DE RECURSOS LTDA</v>
          </cell>
        </row>
        <row r="4959">
          <cell r="B4959">
            <v>123309</v>
          </cell>
          <cell r="C4959" t="str">
            <v>POSTO 12 LLC</v>
          </cell>
          <cell r="D4959" t="str">
            <v>POSTO 12 LLC</v>
          </cell>
          <cell r="E4959" t="str">
            <v>LEBLON EQUITIES GESTAO DE RECURSOS LTDA</v>
          </cell>
        </row>
        <row r="4960">
          <cell r="B4960">
            <v>12331</v>
          </cell>
          <cell r="C4960" t="str">
            <v>IGUATEMI GESTAO DE CARTEIRAS DE VALORES MOBILIARIOS LTDA</v>
          </cell>
          <cell r="D4960" t="str">
            <v>IGUATEMI GESTAO DE CARTEIRAS DE VALORES MOBILIARIOS LTDA</v>
          </cell>
          <cell r="E4960" t="str">
            <v>IGUATEMI GESTAO DE CARTEIRAS DE VALORES MOBILIARIOS LTDA</v>
          </cell>
        </row>
        <row r="4961">
          <cell r="B4961">
            <v>123310</v>
          </cell>
          <cell r="C4961" t="str">
            <v>ATAULFO LLC</v>
          </cell>
          <cell r="D4961" t="str">
            <v>ATAULFO LLC</v>
          </cell>
          <cell r="E4961" t="str">
            <v>LEBLON EQUITIES GESTAO DE RECURSOS LTDA</v>
          </cell>
        </row>
        <row r="4962">
          <cell r="B4962">
            <v>123311</v>
          </cell>
          <cell r="C4962" t="str">
            <v>LIGA SOLIDARIA FI MULTIMERCADO</v>
          </cell>
          <cell r="D4962" t="str">
            <v>LIGA SOLIDARIA FI MULTIMERCADO</v>
          </cell>
          <cell r="E4962" t="str">
            <v>PATRIA INVESTIMENTOS LTDA</v>
          </cell>
        </row>
        <row r="4963">
          <cell r="B4963">
            <v>123312</v>
          </cell>
          <cell r="C4963" t="str">
            <v>PATRIA DI FI REFERENCIADO</v>
          </cell>
          <cell r="D4963" t="str">
            <v>PATRIA DI FI REFERENCIADO</v>
          </cell>
          <cell r="E4963" t="str">
            <v>PATRIA INVESTIMENTOS LTDA</v>
          </cell>
        </row>
        <row r="4964">
          <cell r="B4964">
            <v>123313</v>
          </cell>
          <cell r="C4964" t="str">
            <v>VERDE AM PERFORMANCE FIA</v>
          </cell>
          <cell r="D4964" t="str">
            <v>VERDE AM PERFORMANCE FIA</v>
          </cell>
          <cell r="E4964" t="str">
            <v>VERDE AM PERFORMANCE FIA</v>
          </cell>
        </row>
        <row r="4965">
          <cell r="B4965">
            <v>123314</v>
          </cell>
          <cell r="C4965" t="str">
            <v>VERDE AM VALOR DIVIDENDOS FIA</v>
          </cell>
          <cell r="D4965" t="str">
            <v>VERDE AM VALOR DIVIDENDOS FIA</v>
          </cell>
          <cell r="E4965" t="str">
            <v>VERDE AM VALOR DIVIDENDOS FIA</v>
          </cell>
        </row>
        <row r="4966">
          <cell r="B4966">
            <v>123315</v>
          </cell>
          <cell r="C4966" t="str">
            <v>PATRIA PIPE MASTER FIA</v>
          </cell>
          <cell r="D4966" t="str">
            <v>PATRIA PIPE MASTER FIA</v>
          </cell>
          <cell r="E4966" t="str">
            <v>PATRIA INVESTIMENTOS LTDA</v>
          </cell>
        </row>
        <row r="4967">
          <cell r="B4967">
            <v>123316</v>
          </cell>
          <cell r="C4967" t="str">
            <v>DYNAMO GLOBAL MASTER FIA IE</v>
          </cell>
          <cell r="D4967" t="str">
            <v>DYNAMO GLOBAL MASTER FIA IE</v>
          </cell>
          <cell r="E4967" t="str">
            <v>DYNAMO ADMINISTRACAO DE RECURSOS LTDA</v>
          </cell>
        </row>
        <row r="4968">
          <cell r="B4968">
            <v>123317</v>
          </cell>
          <cell r="C4968" t="str">
            <v>PERFIN EQUITY HEDGE MASTER FIA</v>
          </cell>
          <cell r="D4968" t="str">
            <v>PERFIN EQUITY HEDGE MASTER FIA</v>
          </cell>
          <cell r="E4968" t="str">
            <v>PERFIN ADMINISTRAÃ‡ÃƒO DE RECURSOS LTDA</v>
          </cell>
        </row>
        <row r="4969">
          <cell r="B4969">
            <v>123318</v>
          </cell>
          <cell r="C4969" t="str">
            <v>PERFIN EQUITY HEDGE MASTER FIM</v>
          </cell>
          <cell r="D4969" t="str">
            <v>PERFIN EQUITY HEDGE MASTER FIM</v>
          </cell>
          <cell r="E4969" t="str">
            <v>PERFIN ADMINISTRAÃ‡ÃƒO DE RECURSOS LTDA</v>
          </cell>
        </row>
        <row r="4970">
          <cell r="B4970">
            <v>123319</v>
          </cell>
          <cell r="C4970" t="str">
            <v>PERFIN FORESIGHT MASTER FIF CIA RL</v>
          </cell>
          <cell r="D4970" t="str">
            <v>PERFIN FORESIGHT MASTER FIF CIA RL</v>
          </cell>
          <cell r="E4970" t="str">
            <v>PERFIN ADMINISTRAÃ‡ÃƒO DE RECURSOS LTDA</v>
          </cell>
        </row>
        <row r="4971">
          <cell r="B4971">
            <v>123320</v>
          </cell>
          <cell r="C4971" t="str">
            <v>REVENTON FIM</v>
          </cell>
          <cell r="D4971" t="str">
            <v>REVENTON FIM</v>
          </cell>
          <cell r="E4971" t="str">
            <v>PERFIN ADMINISTRAÃ‡ÃƒO DE RECURSOS LTDA</v>
          </cell>
        </row>
        <row r="4972">
          <cell r="B4972">
            <v>123321</v>
          </cell>
          <cell r="C4972" t="str">
            <v>PFN LS LLC</v>
          </cell>
          <cell r="D4972" t="str">
            <v>PFN LS LLC</v>
          </cell>
          <cell r="E4972" t="str">
            <v>PERFIN ADMINISTRAÃ‡ÃƒO DE RECURSOS LTDA</v>
          </cell>
        </row>
        <row r="4973">
          <cell r="B4973">
            <v>123322</v>
          </cell>
          <cell r="C4973" t="str">
            <v>CLUBE DE INVESTIMENTO COOKIE</v>
          </cell>
          <cell r="D4973" t="str">
            <v>CLUBE DE INVESTIMENTO COOKIE</v>
          </cell>
          <cell r="E4973" t="str">
            <v>LACAN INVESTIMENTOS E PARTICIPACOES LTDA</v>
          </cell>
        </row>
        <row r="4974">
          <cell r="B4974">
            <v>123323</v>
          </cell>
          <cell r="C4974" t="str">
            <v>BRAL LLC</v>
          </cell>
          <cell r="D4974" t="str">
            <v>BRAL LLC</v>
          </cell>
          <cell r="E4974" t="str">
            <v>GAP PRUDENTIAL LT GESTAO DE RECURSOS LTDA</v>
          </cell>
        </row>
        <row r="4975">
          <cell r="B4975">
            <v>123324</v>
          </cell>
          <cell r="C4975" t="str">
            <v>BAHIA AM FAMILIA PREV FIA</v>
          </cell>
          <cell r="D4975" t="str">
            <v>BAHIA AM FAMILIA PREV FIA</v>
          </cell>
          <cell r="E4975" t="str">
            <v>BAHIA AM LTDA</v>
          </cell>
        </row>
        <row r="4976">
          <cell r="B4976">
            <v>79589</v>
          </cell>
          <cell r="C4976" t="str">
            <v>BRASIL PLURAL MULTIMANAGER BBDC FIM</v>
          </cell>
          <cell r="D4976" t="str">
            <v>BRASIL PLURAL MULTIMANAGER BBDC FIM</v>
          </cell>
          <cell r="E4976" t="str">
            <v>BRASIL PLURAL MULTIMANAGER BBDC FIM</v>
          </cell>
        </row>
        <row r="4977">
          <cell r="B4977">
            <v>123327</v>
          </cell>
          <cell r="C4977" t="str">
            <v>VOKIN ARARAT FIM</v>
          </cell>
          <cell r="D4977" t="str">
            <v>VOKIN ARARAT FIM</v>
          </cell>
          <cell r="E4977" t="str">
            <v>VOKIN ARARAT FIM</v>
          </cell>
        </row>
        <row r="4978">
          <cell r="B4978">
            <v>123328</v>
          </cell>
          <cell r="C4978" t="str">
            <v>NEST LONG ONLY FIA</v>
          </cell>
          <cell r="D4978" t="str">
            <v>NEST LONG ONLY FIA</v>
          </cell>
          <cell r="E4978" t="str">
            <v>NEST LONG ONLY FIA</v>
          </cell>
        </row>
        <row r="4979">
          <cell r="B4979">
            <v>123329</v>
          </cell>
          <cell r="C4979" t="str">
            <v>AZ QUEST PREV ICATU ARROJADO  FIC DE FIM</v>
          </cell>
          <cell r="D4979" t="str">
            <v>AZ QUEST PREV ICATU ARROJADO  FIC DE FIM</v>
          </cell>
          <cell r="E4979" t="str">
            <v>AZ QUEST PREV ICATU ARROJADO  FIC DE FIM</v>
          </cell>
        </row>
        <row r="4980">
          <cell r="B4980">
            <v>12333</v>
          </cell>
          <cell r="C4980" t="str">
            <v>TESE GESTÃƒO DE INVESTIMENTOS LTDA</v>
          </cell>
          <cell r="D4980" t="str">
            <v>TESE GESTÃƒO DE INVESTIMENTOS LTDA</v>
          </cell>
          <cell r="E4980" t="str">
            <v>TESE GESTÃƒO DE INVESTIMENTOS LTDA</v>
          </cell>
        </row>
        <row r="4981">
          <cell r="B4981">
            <v>123330</v>
          </cell>
          <cell r="C4981" t="str">
            <v>IGUATEMI HEDGE FIM</v>
          </cell>
          <cell r="D4981" t="str">
            <v>IGUATEMI HEDGE FIM</v>
          </cell>
          <cell r="E4981" t="str">
            <v>IGUATEMI GESTAO DE CARTEIRAS DE VALORES MOBILIARIOS LTDA</v>
          </cell>
        </row>
        <row r="4982">
          <cell r="B4982">
            <v>123332</v>
          </cell>
          <cell r="C4982" t="str">
            <v>PERFIN LLC</v>
          </cell>
          <cell r="D4982" t="str">
            <v>PERFIN LLC</v>
          </cell>
          <cell r="E4982" t="str">
            <v>PERFIN ADMINISTRAÃ‡ÃƒO DE RECURSOS LTDA</v>
          </cell>
        </row>
        <row r="4983">
          <cell r="B4983">
            <v>123333</v>
          </cell>
          <cell r="C4983" t="str">
            <v>RPS INVESTMENTS LLC</v>
          </cell>
          <cell r="D4983" t="str">
            <v>RPS INVESTMENTS LLC</v>
          </cell>
          <cell r="E4983" t="str">
            <v>RPS CAPITAL ADMINISTRADORA DE RECURSOS LTDA</v>
          </cell>
        </row>
        <row r="4984">
          <cell r="B4984">
            <v>123334</v>
          </cell>
          <cell r="C4984" t="str">
            <v>GAUSS MASTER FIM</v>
          </cell>
          <cell r="D4984" t="str">
            <v>GAUSS MASTER FIM</v>
          </cell>
          <cell r="E4984" t="str">
            <v>ASA ASSET GESTAO EM INVESTIMENTOS LTDA</v>
          </cell>
        </row>
        <row r="4985">
          <cell r="B4985">
            <v>123335</v>
          </cell>
          <cell r="C4985" t="str">
            <v>BB GESTAO DE RECURSOS DTVM LTDA</v>
          </cell>
          <cell r="D4985" t="str">
            <v>BB GESTAO DE RECURSOS DTVM LTDA</v>
          </cell>
          <cell r="E4985" t="str">
            <v>BB GESTAO DE RECURSOS DTVM LTDA</v>
          </cell>
        </row>
        <row r="4986">
          <cell r="B4986">
            <v>123336</v>
          </cell>
          <cell r="C4986" t="str">
            <v>MARCELO JOVER TOMASONI</v>
          </cell>
          <cell r="D4986" t="str">
            <v>MARCELO JOVER TOMASONI</v>
          </cell>
          <cell r="E4986" t="str">
            <v>MARCELO JOVER TOMASONI</v>
          </cell>
        </row>
        <row r="4987">
          <cell r="B4987">
            <v>123337</v>
          </cell>
          <cell r="C4987" t="str">
            <v>MACUCO FIM CP IE</v>
          </cell>
          <cell r="D4987" t="str">
            <v>MACUCO FIM CP IE</v>
          </cell>
          <cell r="E4987" t="str">
            <v>MACUCO FIM CP IE</v>
          </cell>
        </row>
        <row r="4988">
          <cell r="B4988">
            <v>123338</v>
          </cell>
          <cell r="C4988" t="str">
            <v>ALEXANDRE DRUMOND CHICHORRO SOARES LACERDA</v>
          </cell>
          <cell r="D4988" t="str">
            <v>ALEXANDRE DRUMOND CHICHORRO SOARES LACERDA</v>
          </cell>
          <cell r="E4988" t="str">
            <v>ALEXANDRE DRUMOND CHICHORRO SOARES LACERDA</v>
          </cell>
        </row>
        <row r="4989">
          <cell r="B4989">
            <v>123339</v>
          </cell>
          <cell r="C4989" t="str">
            <v>SANTANDER CACEIS BRASIL DTVM S.A.</v>
          </cell>
          <cell r="D4989" t="str">
            <v>SANTANDER CACEIS BRASIL DTVM S.A.</v>
          </cell>
          <cell r="E4989" t="str">
            <v>SANTANDER BRASIL GESTAO DE RECURSOS LTDA</v>
          </cell>
        </row>
        <row r="4990">
          <cell r="B4990">
            <v>12334</v>
          </cell>
          <cell r="C4990" t="str">
            <v>VENTURESTAR GESTAO DE RECURSOS LTDA</v>
          </cell>
          <cell r="D4990" t="str">
            <v>VENTURESTAR GESTAO DE RECURSOS LTDA</v>
          </cell>
          <cell r="E4990" t="str">
            <v>VENTURESTAR GESTAO DE RECURSOS LTDA</v>
          </cell>
        </row>
        <row r="4991">
          <cell r="B4991">
            <v>123340</v>
          </cell>
          <cell r="C4991" t="str">
            <v>SANTANDER CACEIS BRASIL DTVM S.A.</v>
          </cell>
          <cell r="D4991" t="str">
            <v>SANTANDER CACEIS BRASIL DTVM S.A.</v>
          </cell>
          <cell r="E4991" t="str">
            <v>SANTANDER BRASIL GESTAO DE RECURSOS LTDA</v>
          </cell>
        </row>
        <row r="4992">
          <cell r="B4992">
            <v>123341</v>
          </cell>
          <cell r="C4992" t="str">
            <v>SANTANDER CACEIS BRASIL DTVM S.A.</v>
          </cell>
          <cell r="D4992" t="str">
            <v>SANTANDER CACEIS BRASIL DTVM S.A.</v>
          </cell>
          <cell r="E4992" t="str">
            <v>SANTANDER BRASIL GESTAO DE RECURSOS LTDA</v>
          </cell>
        </row>
        <row r="4993">
          <cell r="B4993">
            <v>123342</v>
          </cell>
          <cell r="C4993" t="str">
            <v>SANTANDER CACEIS BRASIL DTVM S.A.</v>
          </cell>
          <cell r="D4993" t="str">
            <v>SANTANDER CACEIS BRASIL DTVM S.A.</v>
          </cell>
          <cell r="E4993" t="str">
            <v>SANTANDER BRASIL GESTAO DE RECURSOS LTDA</v>
          </cell>
        </row>
        <row r="4994">
          <cell r="B4994">
            <v>123343</v>
          </cell>
          <cell r="C4994" t="str">
            <v>SANTANDER CACEIS BRASIL DTVM S.A.</v>
          </cell>
          <cell r="D4994" t="str">
            <v>SANTANDER CACEIS BRASIL DTVM S.A.</v>
          </cell>
          <cell r="E4994" t="str">
            <v>SANTANDER BRASIL GESTAO DE RECURSOS LTDA</v>
          </cell>
        </row>
        <row r="4995">
          <cell r="B4995">
            <v>123344</v>
          </cell>
          <cell r="C4995" t="str">
            <v>SANTANDER CACEIS BRASIL DTVM S.A.</v>
          </cell>
          <cell r="D4995" t="str">
            <v>SANTANDER CACEIS BRASIL DTVM S.A.</v>
          </cell>
          <cell r="E4995" t="str">
            <v>SANTANDER BRASIL GESTAO DE RECURSOS LTDA</v>
          </cell>
        </row>
        <row r="4996">
          <cell r="B4996">
            <v>123345</v>
          </cell>
          <cell r="C4996" t="str">
            <v>SANTANDER CACEIS BRASIL DTVM S.A.</v>
          </cell>
          <cell r="D4996" t="str">
            <v>SANTANDER CACEIS BRASIL DTVM S.A.</v>
          </cell>
          <cell r="E4996" t="str">
            <v>SANTANDER BRASIL GESTAO DE RECURSOS LTDA</v>
          </cell>
        </row>
        <row r="4997">
          <cell r="B4997">
            <v>123346</v>
          </cell>
          <cell r="C4997" t="str">
            <v>SANTANDER CACEIS BRASIL DTVM S.A.</v>
          </cell>
          <cell r="D4997" t="str">
            <v>SANTANDER CACEIS BRASIL DTVM S.A.</v>
          </cell>
          <cell r="E4997" t="str">
            <v>SANTANDER BRASIL GESTAO DE RECURSOS LTDA</v>
          </cell>
        </row>
        <row r="4998">
          <cell r="B4998">
            <v>123347</v>
          </cell>
          <cell r="C4998" t="str">
            <v>SANTANDER CACEIS BRASIL DTVM S.A.</v>
          </cell>
          <cell r="D4998" t="str">
            <v>SANTANDER CACEIS BRASIL DTVM S.A.</v>
          </cell>
          <cell r="E4998" t="str">
            <v>SANTANDER BRASIL GESTAO DE RECURSOS LTDA</v>
          </cell>
        </row>
        <row r="4999">
          <cell r="B4999">
            <v>123348</v>
          </cell>
          <cell r="C4999" t="str">
            <v>SANTANDER CACEIS BRASIL DTVM S.A.</v>
          </cell>
          <cell r="D4999" t="str">
            <v>SANTANDER CACEIS BRASIL DTVM S.A.</v>
          </cell>
          <cell r="E4999" t="str">
            <v>SANTANDER BRASIL GESTAO DE RECURSOS LTDA</v>
          </cell>
        </row>
        <row r="5000">
          <cell r="B5000">
            <v>123349</v>
          </cell>
          <cell r="C5000" t="str">
            <v>SANTANDER CACEIS BRASIL DTVM S.A.</v>
          </cell>
          <cell r="D5000" t="str">
            <v>SANTANDER CACEIS BRASIL DTVM S.A.</v>
          </cell>
          <cell r="E5000" t="str">
            <v>SANTANDER BRASIL GESTAO DE RECURSOS LTDA</v>
          </cell>
        </row>
        <row r="5001">
          <cell r="B5001">
            <v>12335</v>
          </cell>
          <cell r="C5001" t="str">
            <v>KIRTON BANK S.A. - BANCO MULTIPLO</v>
          </cell>
          <cell r="D5001" t="str">
            <v>KIRTON BANK S.A. - BANCO MULTIPLO</v>
          </cell>
          <cell r="E5001" t="str">
            <v>KIRTON BANK S.A. - BANCO MULTIPLO</v>
          </cell>
        </row>
        <row r="5002">
          <cell r="B5002">
            <v>123350</v>
          </cell>
          <cell r="C5002" t="str">
            <v>SANTANDER CACEIS BRASIL DTVM S.A.</v>
          </cell>
          <cell r="D5002" t="str">
            <v>SANTANDER CACEIS BRASIL DTVM S.A.</v>
          </cell>
          <cell r="E5002" t="str">
            <v>SANTANDER BRASIL GESTAO DE RECURSOS LTDA</v>
          </cell>
        </row>
        <row r="5003">
          <cell r="B5003">
            <v>123351</v>
          </cell>
          <cell r="C5003" t="str">
            <v>SANTANDER CACEIS BRASIL DTVM S.A.</v>
          </cell>
          <cell r="D5003" t="str">
            <v>SANTANDER CACEIS BRASIL DTVM S.A.</v>
          </cell>
          <cell r="E5003" t="str">
            <v>SANTANDER BRASIL GESTAO DE RECURSOS LTDA</v>
          </cell>
        </row>
        <row r="5004">
          <cell r="B5004">
            <v>123352</v>
          </cell>
          <cell r="C5004" t="str">
            <v>SANTANDER CACEIS BRASIL DTVM S.A.</v>
          </cell>
          <cell r="D5004" t="str">
            <v>SANTANDER CACEIS BRASIL DTVM S.A.</v>
          </cell>
          <cell r="E5004" t="str">
            <v>SANTANDER BRASIL GESTAO DE RECURSOS LTDA</v>
          </cell>
        </row>
        <row r="5005">
          <cell r="B5005">
            <v>123353</v>
          </cell>
          <cell r="C5005" t="str">
            <v>SANTANDER CACEIS BRASIL DTVM S.A.</v>
          </cell>
          <cell r="D5005" t="str">
            <v>SANTANDER CACEIS BRASIL DTVM S.A.</v>
          </cell>
          <cell r="E5005" t="str">
            <v>SANTANDER BRASIL GESTAO DE RECURSOS LTDA</v>
          </cell>
        </row>
        <row r="5006">
          <cell r="B5006">
            <v>123354</v>
          </cell>
          <cell r="C5006" t="str">
            <v>SANTANDER CACEIS BRASIL DTVM S.A.</v>
          </cell>
          <cell r="D5006" t="str">
            <v>SANTANDER CACEIS BRASIL DTVM S.A.</v>
          </cell>
          <cell r="E5006" t="str">
            <v>SANTANDER BRASIL GESTAO DE RECURSOS LTDA</v>
          </cell>
        </row>
        <row r="5007">
          <cell r="B5007">
            <v>123355</v>
          </cell>
          <cell r="C5007" t="str">
            <v>SANTANDER CACEIS BRASIL DTVM S.A.</v>
          </cell>
          <cell r="D5007" t="str">
            <v>SANTANDER CACEIS BRASIL DTVM S.A.</v>
          </cell>
          <cell r="E5007" t="str">
            <v>SANTANDER BRASIL GESTAO DE RECURSOS LTDA</v>
          </cell>
        </row>
        <row r="5008">
          <cell r="B5008">
            <v>123356</v>
          </cell>
          <cell r="C5008" t="str">
            <v>SANTANDER CACEIS BRASIL DTVM S.A.</v>
          </cell>
          <cell r="D5008" t="str">
            <v>SANTANDER CACEIS BRASIL DTVM S.A.</v>
          </cell>
          <cell r="E5008" t="str">
            <v>SANTANDER BRASIL GESTAO DE RECURSOS LTDA</v>
          </cell>
        </row>
        <row r="5009">
          <cell r="B5009">
            <v>123357</v>
          </cell>
          <cell r="C5009" t="str">
            <v>SANTANDER CACEIS BRASIL DTVM S.A.</v>
          </cell>
          <cell r="D5009" t="str">
            <v>SANTANDER CACEIS BRASIL DTVM S.A.</v>
          </cell>
          <cell r="E5009" t="str">
            <v>SANTANDER BRASIL GESTAO DE RECURSOS LTDA</v>
          </cell>
        </row>
        <row r="5010">
          <cell r="B5010">
            <v>123358</v>
          </cell>
          <cell r="C5010" t="str">
            <v>SANTANDER CACEIS BRASIL DTVM S.A.</v>
          </cell>
          <cell r="D5010" t="str">
            <v>SANTANDER CACEIS BRASIL DTVM S.A.</v>
          </cell>
          <cell r="E5010" t="str">
            <v>SANTANDER BRASIL GESTAO DE RECURSOS LTDA</v>
          </cell>
        </row>
        <row r="5011">
          <cell r="B5011">
            <v>123359</v>
          </cell>
          <cell r="C5011" t="str">
            <v>SANTANDER CACEIS BRASIL DTVM S.A.</v>
          </cell>
          <cell r="D5011" t="str">
            <v>SANTANDER CACEIS BRASIL DTVM S.A.</v>
          </cell>
          <cell r="E5011" t="str">
            <v>SANTANDER BRASIL GESTAO DE RECURSOS LTDA</v>
          </cell>
        </row>
        <row r="5012">
          <cell r="B5012">
            <v>12336</v>
          </cell>
          <cell r="C5012" t="str">
            <v>LEBLON EQUITIES GESTAO DE RECURSOS LTDA</v>
          </cell>
          <cell r="D5012" t="str">
            <v>LEBLON EQUITIES GESTAO DE RECURSOS LTDA</v>
          </cell>
          <cell r="E5012" t="str">
            <v>LEBLON EQUITIES GESTAO DE RECURSOS LTDA</v>
          </cell>
        </row>
        <row r="5013">
          <cell r="B5013">
            <v>123360</v>
          </cell>
          <cell r="C5013" t="str">
            <v>SANTANDER CACEIS BRASIL DTVM S.A.</v>
          </cell>
          <cell r="D5013" t="str">
            <v>SANTANDER CACEIS BRASIL DTVM S.A.</v>
          </cell>
          <cell r="E5013" t="str">
            <v>SANTANDER BRASIL GESTAO DE RECURSOS LTDA</v>
          </cell>
        </row>
        <row r="5014">
          <cell r="B5014">
            <v>123361</v>
          </cell>
          <cell r="C5014" t="str">
            <v>SANTANDER CACEIS BRASIL DTVM S.A.</v>
          </cell>
          <cell r="D5014" t="str">
            <v>SANTANDER CACEIS BRASIL DTVM S.A.</v>
          </cell>
          <cell r="E5014" t="str">
            <v>SANTANDER BRASIL GESTAO DE RECURSOS LTDA</v>
          </cell>
        </row>
        <row r="5015">
          <cell r="B5015">
            <v>123362</v>
          </cell>
          <cell r="C5015" t="str">
            <v>SANTANDER CACEIS BRASIL DTVM S.A.</v>
          </cell>
          <cell r="D5015" t="str">
            <v>SANTANDER CACEIS BRASIL DTVM S.A.</v>
          </cell>
          <cell r="E5015" t="str">
            <v>SANTANDER BRASIL GESTAO DE RECURSOS LTDA</v>
          </cell>
        </row>
        <row r="5016">
          <cell r="B5016">
            <v>123363</v>
          </cell>
          <cell r="C5016" t="str">
            <v>SANTANDER CACEIS BRASIL DTVM S.A.</v>
          </cell>
          <cell r="D5016" t="str">
            <v>SANTANDER CACEIS BRASIL DTVM S.A.</v>
          </cell>
          <cell r="E5016" t="str">
            <v>SANTANDER BRASIL GESTAO DE RECURSOS LTDA</v>
          </cell>
        </row>
        <row r="5017">
          <cell r="B5017">
            <v>123364</v>
          </cell>
          <cell r="C5017" t="str">
            <v>SANTANDER CACEIS BRASIL DTVM S.A.</v>
          </cell>
          <cell r="D5017" t="str">
            <v>SANTANDER CACEIS BRASIL DTVM S.A.</v>
          </cell>
          <cell r="E5017" t="str">
            <v>SANTANDER BRASIL GESTAO DE RECURSOS LTDA</v>
          </cell>
        </row>
        <row r="5018">
          <cell r="B5018">
            <v>123365</v>
          </cell>
          <cell r="C5018" t="str">
            <v>SANTANDER CACEIS BRASIL DTVM S.A.</v>
          </cell>
          <cell r="D5018" t="str">
            <v>SANTANDER CACEIS BRASIL DTVM S.A.</v>
          </cell>
          <cell r="E5018" t="str">
            <v>SANTANDER BRASIL GESTAO DE RECURSOS LTDA</v>
          </cell>
        </row>
        <row r="5019">
          <cell r="B5019">
            <v>123366</v>
          </cell>
          <cell r="C5019" t="str">
            <v>SANTANDER CACEIS BRASIL DTVM S.A.</v>
          </cell>
          <cell r="D5019" t="str">
            <v>SANTANDER CACEIS BRASIL DTVM S.A.</v>
          </cell>
          <cell r="E5019" t="str">
            <v>SANTANDER BRASIL GESTAO DE RECURSOS LTDA</v>
          </cell>
        </row>
        <row r="5020">
          <cell r="B5020">
            <v>123367</v>
          </cell>
          <cell r="C5020" t="str">
            <v>SANTANDER CACEIS BRASIL DTVM S.A.</v>
          </cell>
          <cell r="D5020" t="str">
            <v>SANTANDER CACEIS BRASIL DTVM S.A.</v>
          </cell>
          <cell r="E5020" t="str">
            <v>SANTANDER BRASIL GESTAO DE RECURSOS LTDA</v>
          </cell>
        </row>
        <row r="5021">
          <cell r="B5021">
            <v>123368</v>
          </cell>
          <cell r="C5021" t="str">
            <v>SANTANDER CACEIS BRASIL DTVM S.A.</v>
          </cell>
          <cell r="D5021" t="str">
            <v>SANTANDER CACEIS BRASIL DTVM S.A.</v>
          </cell>
          <cell r="E5021" t="str">
            <v>SANTANDER BRASIL GESTAO DE RECURSOS LTDA</v>
          </cell>
        </row>
        <row r="5022">
          <cell r="B5022">
            <v>123369</v>
          </cell>
          <cell r="C5022" t="str">
            <v>SANTANDER CACEIS BRASIL DTVM S.A.</v>
          </cell>
          <cell r="D5022" t="str">
            <v>SANTANDER CACEIS BRASIL DTVM S.A.</v>
          </cell>
          <cell r="E5022" t="str">
            <v>SANTANDER BRASIL GESTAO DE RECURSOS LTDA</v>
          </cell>
        </row>
        <row r="5023">
          <cell r="B5023">
            <v>12337</v>
          </cell>
          <cell r="C5023" t="str">
            <v>PERFIN ADMINISTRAÃ‡ÃƒO DE RECURSOS LTDA</v>
          </cell>
          <cell r="D5023" t="str">
            <v>PERFIN ADMINISTRAÃ‡ÃƒO DE RECURSOS LTDA</v>
          </cell>
          <cell r="E5023" t="str">
            <v>PERFIN ADMINISTRAÃ‡ÃƒO DE RECURSOS LTDA</v>
          </cell>
        </row>
        <row r="5024">
          <cell r="B5024">
            <v>123370</v>
          </cell>
          <cell r="C5024" t="str">
            <v>SANTANDER CACEIS BRASIL DTVM S.A.</v>
          </cell>
          <cell r="D5024" t="str">
            <v>SANTANDER CACEIS BRASIL DTVM S.A.</v>
          </cell>
          <cell r="E5024" t="str">
            <v>SANTANDER BRASIL GESTAO DE RECURSOS LTDA</v>
          </cell>
        </row>
        <row r="5025">
          <cell r="B5025">
            <v>123371</v>
          </cell>
          <cell r="C5025" t="str">
            <v>SANTANDER CACEIS BRASIL DTVM S.A.</v>
          </cell>
          <cell r="D5025" t="str">
            <v>SANTANDER CACEIS BRASIL DTVM S.A.</v>
          </cell>
          <cell r="E5025" t="str">
            <v>SANTANDER BRASIL GESTAO DE RECURSOS LTDA</v>
          </cell>
        </row>
        <row r="5026">
          <cell r="B5026">
            <v>123372</v>
          </cell>
          <cell r="C5026" t="str">
            <v>SANTANDER CACEIS BRASIL DTVM S.A.</v>
          </cell>
          <cell r="D5026" t="str">
            <v>SANTANDER CACEIS BRASIL DTVM S.A.</v>
          </cell>
          <cell r="E5026" t="str">
            <v>SANTANDER BRASIL GESTAO DE RECURSOS LTDA</v>
          </cell>
        </row>
        <row r="5027">
          <cell r="B5027">
            <v>123373</v>
          </cell>
          <cell r="C5027" t="str">
            <v>SANTANDER CACEIS BRASIL DTVM S.A.</v>
          </cell>
          <cell r="D5027" t="str">
            <v>SANTANDER CACEIS BRASIL DTVM S.A.</v>
          </cell>
          <cell r="E5027" t="str">
            <v>SANTANDER BRASIL GESTAO DE RECURSOS LTDA</v>
          </cell>
        </row>
        <row r="5028">
          <cell r="B5028">
            <v>123374</v>
          </cell>
          <cell r="C5028" t="str">
            <v>SANTANDER CACEIS BRASIL DTVM S.A.</v>
          </cell>
          <cell r="D5028" t="str">
            <v>SANTANDER CACEIS BRASIL DTVM S.A.</v>
          </cell>
          <cell r="E5028" t="str">
            <v>SANTANDER BRASIL GESTAO DE RECURSOS LTDA</v>
          </cell>
        </row>
        <row r="5029">
          <cell r="B5029">
            <v>123375</v>
          </cell>
          <cell r="C5029" t="str">
            <v>SANTANDER CACEIS BRASIL DTVM S.A.</v>
          </cell>
          <cell r="D5029" t="str">
            <v>SANTANDER CACEIS BRASIL DTVM S.A.</v>
          </cell>
          <cell r="E5029" t="str">
            <v>SANTANDER BRASIL GESTAO DE RECURSOS LTDA</v>
          </cell>
        </row>
        <row r="5030">
          <cell r="B5030">
            <v>123376</v>
          </cell>
          <cell r="C5030" t="str">
            <v>SANTANDER CACEIS BRASIL DTVM S.A.</v>
          </cell>
          <cell r="D5030" t="str">
            <v>SANTANDER CACEIS BRASIL DTVM S.A.</v>
          </cell>
          <cell r="E5030" t="str">
            <v>SANTANDER BRASIL GESTAO DE RECURSOS LTDA</v>
          </cell>
        </row>
        <row r="5031">
          <cell r="B5031">
            <v>123377</v>
          </cell>
          <cell r="C5031" t="str">
            <v>SANTANDER CACEIS BRASIL DTVM S.A.</v>
          </cell>
          <cell r="D5031" t="str">
            <v>SANTANDER CACEIS BRASIL DTVM S.A.</v>
          </cell>
          <cell r="E5031" t="str">
            <v>SANTANDER BRASIL GESTAO DE RECURSOS LTDA</v>
          </cell>
        </row>
        <row r="5032">
          <cell r="B5032">
            <v>123378</v>
          </cell>
          <cell r="C5032" t="str">
            <v>SANTANDER CACEIS BRASIL DTVM S.A.</v>
          </cell>
          <cell r="D5032" t="str">
            <v>SANTANDER CACEIS BRASIL DTVM S.A.</v>
          </cell>
          <cell r="E5032" t="str">
            <v>SANTANDER BRASIL GESTAO DE RECURSOS LTDA</v>
          </cell>
        </row>
        <row r="5033">
          <cell r="B5033">
            <v>123379</v>
          </cell>
          <cell r="C5033" t="str">
            <v>SANTANDER CACEIS BRASIL DTVM S.A.</v>
          </cell>
          <cell r="D5033" t="str">
            <v>SANTANDER CACEIS BRASIL DTVM S.A.</v>
          </cell>
          <cell r="E5033" t="str">
            <v>SANTANDER BRASIL GESTAO DE RECURSOS LTDA</v>
          </cell>
        </row>
        <row r="5034">
          <cell r="B5034">
            <v>12338</v>
          </cell>
          <cell r="C5034" t="str">
            <v>CENTRUS -FUNDAÃ‡ÃƒO BANCO CENTRAL DE PREVIDENCIA PRIVADA</v>
          </cell>
          <cell r="D5034" t="str">
            <v>CENTRUS -FUNDAÃ‡ÃƒO BANCO CENTRAL DE PREVIDENCIA PRIVADA</v>
          </cell>
          <cell r="E5034" t="str">
            <v>CENTRUS -FUNDAÇÃO BANCO CENTRAL DE PREVIDENCIA PRIVADA</v>
          </cell>
        </row>
        <row r="5035">
          <cell r="B5035">
            <v>123380</v>
          </cell>
          <cell r="C5035" t="str">
            <v>SANTANDER CACEIS BRASIL DTVM S.A.</v>
          </cell>
          <cell r="D5035" t="str">
            <v>SANTANDER CACEIS BRASIL DTVM S.A.</v>
          </cell>
          <cell r="E5035" t="str">
            <v>SANTANDER BRASIL GESTAO DE RECURSOS LTDA</v>
          </cell>
        </row>
        <row r="5036">
          <cell r="B5036">
            <v>123381</v>
          </cell>
          <cell r="C5036" t="str">
            <v>SANTANDER CACEIS BRASIL DTVM S.A.</v>
          </cell>
          <cell r="D5036" t="str">
            <v>SANTANDER CACEIS BRASIL DTVM S.A.</v>
          </cell>
          <cell r="E5036" t="str">
            <v>SANTANDER BRASIL GESTAO DE RECURSOS LTDA</v>
          </cell>
        </row>
        <row r="5037">
          <cell r="B5037">
            <v>123382</v>
          </cell>
          <cell r="C5037" t="str">
            <v>SANTANDER CACEIS BRASIL DTVM S.A.</v>
          </cell>
          <cell r="D5037" t="str">
            <v>SANTANDER CACEIS BRASIL DTVM S.A.</v>
          </cell>
          <cell r="E5037" t="str">
            <v>SANTANDER BRASIL GESTAO DE RECURSOS LTDA</v>
          </cell>
        </row>
        <row r="5038">
          <cell r="B5038">
            <v>123383</v>
          </cell>
          <cell r="C5038" t="str">
            <v>SANTANDER CACEIS BRASIL DTVM S.A.</v>
          </cell>
          <cell r="D5038" t="str">
            <v>SANTANDER CACEIS BRASIL DTVM S.A.</v>
          </cell>
          <cell r="E5038" t="str">
            <v>SANTANDER BRASIL GESTAO DE RECURSOS LTDA</v>
          </cell>
        </row>
        <row r="5039">
          <cell r="B5039">
            <v>123384</v>
          </cell>
          <cell r="C5039" t="str">
            <v>SANTANDER CACEIS BRASIL DTVM S.A.</v>
          </cell>
          <cell r="D5039" t="str">
            <v>SANTANDER CACEIS BRASIL DTVM S.A.</v>
          </cell>
          <cell r="E5039" t="str">
            <v>SANTANDER BRASIL GESTAO DE RECURSOS LTDA</v>
          </cell>
        </row>
        <row r="5040">
          <cell r="B5040">
            <v>123385</v>
          </cell>
          <cell r="C5040" t="str">
            <v>SANTANDER CACEIS BRASIL DTVM S.A.</v>
          </cell>
          <cell r="D5040" t="str">
            <v>SANTANDER CACEIS BRASIL DTVM S.A.</v>
          </cell>
          <cell r="E5040" t="str">
            <v>SANTANDER BRASIL GESTAO DE RECURSOS LTDA</v>
          </cell>
        </row>
        <row r="5041">
          <cell r="B5041">
            <v>123386</v>
          </cell>
          <cell r="C5041" t="str">
            <v>SANTANDER CACEIS BRASIL DTVM S.A.</v>
          </cell>
          <cell r="D5041" t="str">
            <v>SANTANDER CACEIS BRASIL DTVM S.A.</v>
          </cell>
          <cell r="E5041" t="str">
            <v>SANTANDER BRASIL GESTAO DE RECURSOS LTDA</v>
          </cell>
        </row>
        <row r="5042">
          <cell r="B5042">
            <v>123387</v>
          </cell>
          <cell r="C5042" t="str">
            <v>SANTANDER CACEIS BRASIL DTVM S.A.</v>
          </cell>
          <cell r="D5042" t="str">
            <v>SANTANDER CACEIS BRASIL DTVM S.A.</v>
          </cell>
          <cell r="E5042" t="str">
            <v>SANTANDER BRASIL GESTAO DE RECURSOS LTDA</v>
          </cell>
        </row>
        <row r="5043">
          <cell r="B5043">
            <v>123388</v>
          </cell>
          <cell r="C5043" t="str">
            <v>SANTANDER CACEIS BRASIL DTVM S.A.</v>
          </cell>
          <cell r="D5043" t="str">
            <v>SANTANDER CACEIS BRASIL DTVM S.A.</v>
          </cell>
          <cell r="E5043" t="str">
            <v>SANTANDER BRASIL GESTAO DE RECURSOS LTDA</v>
          </cell>
        </row>
        <row r="5044">
          <cell r="B5044">
            <v>123389</v>
          </cell>
          <cell r="C5044" t="str">
            <v>SANTANDER CACEIS BRASIL DTVM S.A.</v>
          </cell>
          <cell r="D5044" t="str">
            <v>SANTANDER CACEIS BRASIL DTVM S.A.</v>
          </cell>
          <cell r="E5044" t="str">
            <v>SANTANDER BRASIL GESTAO DE RECURSOS LTDA</v>
          </cell>
        </row>
        <row r="5045">
          <cell r="B5045">
            <v>123390</v>
          </cell>
          <cell r="C5045" t="str">
            <v>SANTANDER CACEIS BRASIL DTVM S.A.</v>
          </cell>
          <cell r="D5045" t="str">
            <v>SANTANDER CACEIS BRASIL DTVM S.A.</v>
          </cell>
          <cell r="E5045" t="str">
            <v>SANTANDER BRASIL GESTAO DE RECURSOS LTDA</v>
          </cell>
        </row>
        <row r="5046">
          <cell r="B5046">
            <v>123391</v>
          </cell>
          <cell r="C5046" t="str">
            <v>SANTANDER CACEIS BRASIL DTVM S.A.</v>
          </cell>
          <cell r="D5046" t="str">
            <v>SANTANDER CACEIS BRASIL DTVM S.A.</v>
          </cell>
          <cell r="E5046" t="str">
            <v>SANTANDER BRASIL GESTAO DE RECURSOS LTDA</v>
          </cell>
        </row>
        <row r="5047">
          <cell r="B5047">
            <v>123392</v>
          </cell>
          <cell r="C5047" t="str">
            <v>SANTANDER CACEIS BRASIL DTVM S.A.</v>
          </cell>
          <cell r="D5047" t="str">
            <v>SANTANDER CACEIS BRASIL DTVM S.A.</v>
          </cell>
          <cell r="E5047" t="str">
            <v>SANTANDER BRASIL GESTAO DE RECURSOS LTDA</v>
          </cell>
        </row>
        <row r="5048">
          <cell r="B5048">
            <v>123393</v>
          </cell>
          <cell r="C5048" t="str">
            <v>SANTANDER CACEIS BRASIL DTVM S.A.</v>
          </cell>
          <cell r="D5048" t="str">
            <v>SANTANDER CACEIS BRASIL DTVM S.A.</v>
          </cell>
          <cell r="E5048" t="str">
            <v>SANTANDER BRASIL GESTAO DE RECURSOS LTDA</v>
          </cell>
        </row>
        <row r="5049">
          <cell r="B5049">
            <v>123394</v>
          </cell>
          <cell r="C5049" t="str">
            <v>SANTANDER CACEIS BRASIL DTVM S.A.</v>
          </cell>
          <cell r="D5049" t="str">
            <v>SANTANDER CACEIS BRASIL DTVM S.A.</v>
          </cell>
          <cell r="E5049" t="str">
            <v>SANTANDER BRASIL GESTAO DE RECURSOS LTDA</v>
          </cell>
        </row>
        <row r="5050">
          <cell r="B5050">
            <v>123395</v>
          </cell>
          <cell r="C5050" t="str">
            <v>SANTANDER CACEIS BRASIL DTVM S.A.</v>
          </cell>
          <cell r="D5050" t="str">
            <v>SANTANDER CACEIS BRASIL DTVM S.A.</v>
          </cell>
          <cell r="E5050" t="str">
            <v>SANTANDER BRASIL GESTAO DE RECURSOS LTDA</v>
          </cell>
        </row>
        <row r="5051">
          <cell r="B5051">
            <v>123396</v>
          </cell>
          <cell r="C5051" t="str">
            <v>SANTANDER CACEIS BRASIL DTVM S.A.</v>
          </cell>
          <cell r="D5051" t="str">
            <v>SANTANDER CACEIS BRASIL DTVM S.A.</v>
          </cell>
          <cell r="E5051" t="str">
            <v>SANTANDER BRASIL GESTAO DE RECURSOS LTDA</v>
          </cell>
        </row>
        <row r="5052">
          <cell r="B5052">
            <v>123397</v>
          </cell>
          <cell r="C5052" t="str">
            <v>SANTANDER CACEIS BRASIL DTVM S.A.</v>
          </cell>
          <cell r="D5052" t="str">
            <v>SANTANDER CACEIS BRASIL DTVM S.A.</v>
          </cell>
          <cell r="E5052" t="str">
            <v>SANTANDER BRASIL GESTAO DE RECURSOS LTDA</v>
          </cell>
        </row>
        <row r="5053">
          <cell r="B5053">
            <v>123398</v>
          </cell>
          <cell r="C5053" t="str">
            <v>SANTANDER CACEIS BRASIL DTVM S.A.</v>
          </cell>
          <cell r="D5053" t="str">
            <v>SANTANDER CACEIS BRASIL DTVM S.A.</v>
          </cell>
          <cell r="E5053" t="str">
            <v>SANTANDER BRASIL GESTAO DE RECURSOS LTDA</v>
          </cell>
        </row>
        <row r="5054">
          <cell r="B5054">
            <v>123399</v>
          </cell>
          <cell r="C5054" t="str">
            <v>SANTANDER CACEIS BRASIL DTVM S.A.</v>
          </cell>
          <cell r="D5054" t="str">
            <v>SANTANDER CACEIS BRASIL DTVM S.A.</v>
          </cell>
          <cell r="E5054" t="str">
            <v>SANTANDER BRASIL GESTAO DE RECURSOS LTDA</v>
          </cell>
        </row>
        <row r="5055">
          <cell r="B5055">
            <v>1234</v>
          </cell>
          <cell r="C5055" t="str">
            <v>INTERBOLSA DO BRASIL CCTVM LTDA</v>
          </cell>
          <cell r="D5055" t="str">
            <v>INTERBOLSA DO BRASIL CCTVM LTDA</v>
          </cell>
          <cell r="E5055" t="str">
            <v>INTERBOLSA DO BRASIL CCTVM LTDA</v>
          </cell>
        </row>
        <row r="5056">
          <cell r="B5056">
            <v>12340</v>
          </cell>
          <cell r="C5056" t="str">
            <v>CREDIT SUISSE (BRASIL) DTVM S/A</v>
          </cell>
          <cell r="D5056" t="str">
            <v>CREDIT SUISSE (BRASIL) DTVM S/A</v>
          </cell>
          <cell r="E5056" t="str">
            <v>CREDIT SUISSE (BRASIL) DTVM S/A</v>
          </cell>
        </row>
        <row r="5057">
          <cell r="B5057">
            <v>123400</v>
          </cell>
          <cell r="C5057" t="str">
            <v>SANTANDER CACEIS BRASIL DTVM S.A.</v>
          </cell>
          <cell r="D5057" t="str">
            <v>SANTANDER CACEIS BRASIL DTVM S.A.</v>
          </cell>
          <cell r="E5057" t="str">
            <v>SANTANDER BRASIL GESTAO DE RECURSOS LTDA</v>
          </cell>
        </row>
        <row r="5058">
          <cell r="B5058">
            <v>123401</v>
          </cell>
          <cell r="C5058" t="str">
            <v>SANTANDER CACEIS BRASIL DTVM S.A.</v>
          </cell>
          <cell r="D5058" t="str">
            <v>SANTANDER CACEIS BRASIL DTVM S.A.</v>
          </cell>
          <cell r="E5058" t="str">
            <v>SANTANDER BRASIL GESTAO DE RECURSOS LTDA</v>
          </cell>
        </row>
        <row r="5059">
          <cell r="B5059">
            <v>123402</v>
          </cell>
          <cell r="C5059" t="str">
            <v>SANTANDER CACEIS BRASIL DTVM S.A.</v>
          </cell>
          <cell r="D5059" t="str">
            <v>SANTANDER CACEIS BRASIL DTVM S.A.</v>
          </cell>
          <cell r="E5059" t="str">
            <v>SANTANDER BRASIL GESTAO DE RECURSOS LTDA</v>
          </cell>
        </row>
        <row r="5060">
          <cell r="B5060">
            <v>123403</v>
          </cell>
          <cell r="C5060" t="str">
            <v>SANTANDER CACEIS BRASIL DTVM S.A.</v>
          </cell>
          <cell r="D5060" t="str">
            <v>SANTANDER CACEIS BRASIL DTVM S.A.</v>
          </cell>
          <cell r="E5060" t="str">
            <v>SANTANDER BRASIL GESTAO DE RECURSOS LTDA</v>
          </cell>
        </row>
        <row r="5061">
          <cell r="B5061">
            <v>123404</v>
          </cell>
          <cell r="C5061" t="str">
            <v>SANTANDER CACEIS BRASIL DTVM S.A.</v>
          </cell>
          <cell r="D5061" t="str">
            <v>SANTANDER CACEIS BRASIL DTVM S.A.</v>
          </cell>
          <cell r="E5061" t="str">
            <v>SANTANDER BRASIL GESTAO DE RECURSOS LTDA</v>
          </cell>
        </row>
        <row r="5062">
          <cell r="B5062">
            <v>123405</v>
          </cell>
          <cell r="C5062" t="str">
            <v>SANTANDER CACEIS BRASIL DTVM S.A.</v>
          </cell>
          <cell r="D5062" t="str">
            <v>SANTANDER CACEIS BRASIL DTVM S.A.</v>
          </cell>
          <cell r="E5062" t="str">
            <v>SANTANDER BRASIL GESTAO DE RECURSOS LTDA</v>
          </cell>
        </row>
        <row r="5063">
          <cell r="B5063">
            <v>123406</v>
          </cell>
          <cell r="C5063" t="str">
            <v>SANTANDER CACEIS BRASIL DTVM S.A.</v>
          </cell>
          <cell r="D5063" t="str">
            <v>SANTANDER CACEIS BRASIL DTVM S.A.</v>
          </cell>
          <cell r="E5063" t="str">
            <v>SANTANDER BRASIL GESTAO DE RECURSOS LTDA</v>
          </cell>
        </row>
        <row r="5064">
          <cell r="B5064">
            <v>123407</v>
          </cell>
          <cell r="C5064" t="str">
            <v>SANTANDER CACEIS BRASIL DTVM S.A.</v>
          </cell>
          <cell r="D5064" t="str">
            <v>SANTANDER CACEIS BRASIL DTVM S.A.</v>
          </cell>
          <cell r="E5064" t="str">
            <v>SANTANDER BRASIL GESTAO DE RECURSOS LTDA</v>
          </cell>
        </row>
        <row r="5065">
          <cell r="B5065">
            <v>123408</v>
          </cell>
          <cell r="C5065" t="str">
            <v>SANTANDER CACEIS BRASIL DTVM S.A.</v>
          </cell>
          <cell r="D5065" t="str">
            <v>SANTANDER CACEIS BRASIL DTVM S.A.</v>
          </cell>
          <cell r="E5065" t="str">
            <v>SANTANDER BRASIL GESTAO DE RECURSOS LTDA</v>
          </cell>
        </row>
        <row r="5066">
          <cell r="B5066">
            <v>123409</v>
          </cell>
          <cell r="C5066" t="str">
            <v>SANTANDER CACEIS BRASIL DTVM S.A.</v>
          </cell>
          <cell r="D5066" t="str">
            <v>SANTANDER CACEIS BRASIL DTVM S.A.</v>
          </cell>
          <cell r="E5066" t="str">
            <v>SANTANDER BRASIL GESTAO DE RECURSOS LTDA</v>
          </cell>
        </row>
        <row r="5067">
          <cell r="B5067">
            <v>12341</v>
          </cell>
          <cell r="C5067" t="str">
            <v>RIVIERA GESTORA DE RECURSOS LTDA</v>
          </cell>
          <cell r="D5067" t="str">
            <v>RIVIERA GESTORA DE RECURSOS LTDA</v>
          </cell>
          <cell r="E5067" t="str">
            <v>RIVIERA GESTORA DE RECURSOS LTDA</v>
          </cell>
        </row>
        <row r="5068">
          <cell r="B5068">
            <v>123410</v>
          </cell>
          <cell r="C5068" t="str">
            <v>SANTANDER CACEIS BRASIL DTVM S.A.</v>
          </cell>
          <cell r="D5068" t="str">
            <v>SANTANDER CACEIS BRASIL DTVM S.A.</v>
          </cell>
          <cell r="E5068" t="str">
            <v>SANTANDER BRASIL GESTAO DE RECURSOS LTDA</v>
          </cell>
        </row>
        <row r="5069">
          <cell r="B5069">
            <v>123411</v>
          </cell>
          <cell r="C5069" t="str">
            <v>SANTANDER CACEIS BRASIL DTVM S.A.</v>
          </cell>
          <cell r="D5069" t="str">
            <v>SANTANDER CACEIS BRASIL DTVM S.A.</v>
          </cell>
          <cell r="E5069" t="str">
            <v>SANTANDER BRASIL GESTAO DE RECURSOS LTDA</v>
          </cell>
        </row>
        <row r="5070">
          <cell r="B5070">
            <v>123412</v>
          </cell>
          <cell r="C5070" t="str">
            <v>SANTANDER CACEIS BRASIL DTVM S.A.</v>
          </cell>
          <cell r="D5070" t="str">
            <v>SANTANDER CACEIS BRASIL DTVM S.A.</v>
          </cell>
          <cell r="E5070" t="str">
            <v>SANTANDER BRASIL GESTAO DE RECURSOS LTDA</v>
          </cell>
        </row>
        <row r="5071">
          <cell r="B5071">
            <v>123413</v>
          </cell>
          <cell r="C5071" t="str">
            <v>SANTANDER CACEIS BRASIL DTVM S.A.</v>
          </cell>
          <cell r="D5071" t="str">
            <v>SANTANDER CACEIS BRASIL DTVM S.A.</v>
          </cell>
          <cell r="E5071" t="str">
            <v>SANTANDER BRASIL GESTAO DE RECURSOS LTDA</v>
          </cell>
        </row>
        <row r="5072">
          <cell r="B5072">
            <v>123414</v>
          </cell>
          <cell r="C5072" t="str">
            <v>SANTANDER CACEIS BRASIL DTVM S.A.</v>
          </cell>
          <cell r="D5072" t="str">
            <v>SANTANDER CACEIS BRASIL DTVM S.A.</v>
          </cell>
          <cell r="E5072" t="str">
            <v>SANTANDER BRASIL GESTAO DE RECURSOS LTDA</v>
          </cell>
        </row>
        <row r="5073">
          <cell r="B5073">
            <v>123415</v>
          </cell>
          <cell r="C5073" t="str">
            <v>SANTANDER CACEIS BRASIL DTVM S.A.</v>
          </cell>
          <cell r="D5073" t="str">
            <v>SANTANDER CACEIS BRASIL DTVM S.A.</v>
          </cell>
          <cell r="E5073" t="str">
            <v>SANTANDER BRASIL GESTAO DE RECURSOS LTDA</v>
          </cell>
        </row>
        <row r="5074">
          <cell r="B5074">
            <v>123416</v>
          </cell>
          <cell r="C5074" t="str">
            <v>SANTANDER CACEIS BRASIL DTVM S.A.</v>
          </cell>
          <cell r="D5074" t="str">
            <v>SANTANDER CACEIS BRASIL DTVM S.A.</v>
          </cell>
          <cell r="E5074" t="str">
            <v>SANTANDER BRASIL GESTAO DE RECURSOS LTDA</v>
          </cell>
        </row>
        <row r="5075">
          <cell r="B5075">
            <v>123417</v>
          </cell>
          <cell r="C5075" t="str">
            <v>SANTANDER CACEIS BRASIL DTVM S.A.</v>
          </cell>
          <cell r="D5075" t="str">
            <v>SANTANDER CACEIS BRASIL DTVM S.A.</v>
          </cell>
          <cell r="E5075" t="str">
            <v>SANTANDER BRASIL GESTAO DE RECURSOS LTDA</v>
          </cell>
        </row>
        <row r="5076">
          <cell r="B5076">
            <v>123418</v>
          </cell>
          <cell r="C5076" t="str">
            <v>SANTANDER CACEIS BRASIL DTVM S.A.</v>
          </cell>
          <cell r="D5076" t="str">
            <v>SANTANDER CACEIS BRASIL DTVM S.A.</v>
          </cell>
          <cell r="E5076" t="str">
            <v>SANTANDER BRASIL GESTAO DE RECURSOS LTDA</v>
          </cell>
        </row>
        <row r="5077">
          <cell r="B5077">
            <v>123419</v>
          </cell>
          <cell r="C5077" t="str">
            <v>SANTANDER CACEIS BRASIL DTVM S.A.</v>
          </cell>
          <cell r="D5077" t="str">
            <v>SANTANDER CACEIS BRASIL DTVM S.A.</v>
          </cell>
          <cell r="E5077" t="str">
            <v>SANTANDER BRASIL GESTAO DE RECURSOS LTDA</v>
          </cell>
        </row>
        <row r="5078">
          <cell r="B5078">
            <v>12342</v>
          </cell>
          <cell r="C5078" t="str">
            <v>CITRINO GESTAO DE RECURSOS LTDA</v>
          </cell>
          <cell r="D5078" t="str">
            <v>CITRINO GESTAO DE RECURSOS LTDA</v>
          </cell>
          <cell r="E5078" t="str">
            <v>CITRINO GESTAO DE RECURSOS LTDA</v>
          </cell>
        </row>
        <row r="5079">
          <cell r="B5079">
            <v>123420</v>
          </cell>
          <cell r="C5079" t="str">
            <v>SANTANDER CACEIS BRASIL DTVM S.A.</v>
          </cell>
          <cell r="D5079" t="str">
            <v>SANTANDER CACEIS BRASIL DTVM S.A.</v>
          </cell>
          <cell r="E5079" t="str">
            <v>SANTANDER BRASIL GESTAO DE RECURSOS LTDA</v>
          </cell>
        </row>
        <row r="5080">
          <cell r="B5080">
            <v>123421</v>
          </cell>
          <cell r="C5080" t="str">
            <v>SANTANDER CACEIS BRASIL DTVM S.A.</v>
          </cell>
          <cell r="D5080" t="str">
            <v>SANTANDER CACEIS BRASIL DTVM S.A.</v>
          </cell>
          <cell r="E5080" t="str">
            <v>SANTANDER BRASIL GESTAO DE RECURSOS LTDA</v>
          </cell>
        </row>
        <row r="5081">
          <cell r="B5081">
            <v>123422</v>
          </cell>
          <cell r="C5081" t="str">
            <v>SANTANDER CACEIS BRASIL DTVM S.A.</v>
          </cell>
          <cell r="D5081" t="str">
            <v>SANTANDER CACEIS BRASIL DTVM S.A.</v>
          </cell>
          <cell r="E5081" t="str">
            <v>SANTANDER BRASIL GESTAO DE RECURSOS LTDA</v>
          </cell>
        </row>
        <row r="5082">
          <cell r="B5082">
            <v>123423</v>
          </cell>
          <cell r="C5082" t="str">
            <v>SANTANDER CACEIS BRASIL DTVM S.A.</v>
          </cell>
          <cell r="D5082" t="str">
            <v>SANTANDER CACEIS BRASIL DTVM S.A.</v>
          </cell>
          <cell r="E5082" t="str">
            <v>SANTANDER BRASIL GESTAO DE RECURSOS LTDA</v>
          </cell>
        </row>
        <row r="5083">
          <cell r="B5083">
            <v>123424</v>
          </cell>
          <cell r="C5083" t="str">
            <v>SANTANDER CACEIS BRASIL DTVM S.A.</v>
          </cell>
          <cell r="D5083" t="str">
            <v>SANTANDER CACEIS BRASIL DTVM S.A.</v>
          </cell>
          <cell r="E5083" t="str">
            <v>SANTANDER BRASIL GESTAO DE RECURSOS LTDA</v>
          </cell>
        </row>
        <row r="5084">
          <cell r="B5084">
            <v>123425</v>
          </cell>
          <cell r="C5084" t="str">
            <v>SANTANDER CACEIS BRASIL DTVM S.A.</v>
          </cell>
          <cell r="D5084" t="str">
            <v>SANTANDER CACEIS BRASIL DTVM S.A.</v>
          </cell>
          <cell r="E5084" t="str">
            <v>SANTANDER BRASIL GESTAO DE RECURSOS LTDA</v>
          </cell>
        </row>
        <row r="5085">
          <cell r="B5085">
            <v>123426</v>
          </cell>
          <cell r="C5085" t="str">
            <v>SANTANDER CACEIS BRASIL DTVM S.A.</v>
          </cell>
          <cell r="D5085" t="str">
            <v>SANTANDER CACEIS BRASIL DTVM S.A.</v>
          </cell>
          <cell r="E5085" t="str">
            <v>SANTANDER BRASIL GESTAO DE RECURSOS LTDA</v>
          </cell>
        </row>
        <row r="5086">
          <cell r="B5086">
            <v>123427</v>
          </cell>
          <cell r="C5086" t="str">
            <v>SANTANDER CACEIS BRASIL DTVM S.A.</v>
          </cell>
          <cell r="D5086" t="str">
            <v>SANTANDER CACEIS BRASIL DTVM S.A.</v>
          </cell>
          <cell r="E5086" t="str">
            <v>SANTANDER BRASIL GESTAO DE RECURSOS LTDA</v>
          </cell>
        </row>
        <row r="5087">
          <cell r="B5087">
            <v>123428</v>
          </cell>
          <cell r="C5087" t="str">
            <v>SANTANDER CACEIS BRASIL DTVM S.A.</v>
          </cell>
          <cell r="D5087" t="str">
            <v>SANTANDER CACEIS BRASIL DTVM S.A.</v>
          </cell>
          <cell r="E5087" t="str">
            <v>SANTANDER BRASIL GESTAO DE RECURSOS LTDA</v>
          </cell>
        </row>
        <row r="5088">
          <cell r="B5088">
            <v>123429</v>
          </cell>
          <cell r="C5088" t="str">
            <v>SANTANDER CACEIS BRASIL DTVM S.A.</v>
          </cell>
          <cell r="D5088" t="str">
            <v>SANTANDER CACEIS BRASIL DTVM S.A.</v>
          </cell>
          <cell r="E5088" t="str">
            <v>SANTANDER BRASIL GESTAO DE RECURSOS LTDA</v>
          </cell>
        </row>
        <row r="5089">
          <cell r="B5089">
            <v>12343</v>
          </cell>
          <cell r="C5089" t="str">
            <v>VERDE ASSET MANAGEMENT S/A</v>
          </cell>
          <cell r="D5089" t="str">
            <v>VERDE ASSET MANAGEMENT S/A</v>
          </cell>
          <cell r="E5089" t="str">
            <v>VERDE ASSET MANAGEMENT S/A</v>
          </cell>
        </row>
        <row r="5090">
          <cell r="B5090">
            <v>123430</v>
          </cell>
          <cell r="C5090" t="str">
            <v>SANTANDER CACEIS BRASIL DTVM S.A.</v>
          </cell>
          <cell r="D5090" t="str">
            <v>SANTANDER CACEIS BRASIL DTVM S.A.</v>
          </cell>
          <cell r="E5090" t="str">
            <v>SANTANDER BRASIL GESTAO DE RECURSOS LTDA</v>
          </cell>
        </row>
        <row r="5091">
          <cell r="B5091">
            <v>123431</v>
          </cell>
          <cell r="C5091" t="str">
            <v>SANTANDER CACEIS BRASIL DTVM S.A.</v>
          </cell>
          <cell r="D5091" t="str">
            <v>SANTANDER CACEIS BRASIL DTVM S.A.</v>
          </cell>
          <cell r="E5091" t="str">
            <v>SANTANDER BRASIL GESTAO DE RECURSOS LTDA</v>
          </cell>
        </row>
        <row r="5092">
          <cell r="B5092">
            <v>123432</v>
          </cell>
          <cell r="C5092" t="str">
            <v>SANTANDER CACEIS BRASIL DTVM S.A.</v>
          </cell>
          <cell r="D5092" t="str">
            <v>SANTANDER CACEIS BRASIL DTVM S.A.</v>
          </cell>
          <cell r="E5092" t="str">
            <v>SANTANDER BRASIL GESTAO DE RECURSOS LTDA</v>
          </cell>
        </row>
        <row r="5093">
          <cell r="B5093">
            <v>123433</v>
          </cell>
          <cell r="C5093" t="str">
            <v>SANTANDER CACEIS BRASIL DTVM S.A.</v>
          </cell>
          <cell r="D5093" t="str">
            <v>SANTANDER CACEIS BRASIL DTVM S.A.</v>
          </cell>
          <cell r="E5093" t="str">
            <v>SANTANDER BRASIL GESTAO DE RECURSOS LTDA</v>
          </cell>
        </row>
        <row r="5094">
          <cell r="B5094">
            <v>123434</v>
          </cell>
          <cell r="C5094" t="str">
            <v>SANTANDER CACEIS BRASIL DTVM S.A.</v>
          </cell>
          <cell r="D5094" t="str">
            <v>SANTANDER CACEIS BRASIL DTVM S.A.</v>
          </cell>
          <cell r="E5094" t="str">
            <v>SANTANDER BRASIL GESTAO DE RECURSOS LTDA</v>
          </cell>
        </row>
        <row r="5095">
          <cell r="B5095">
            <v>123435</v>
          </cell>
          <cell r="C5095" t="str">
            <v>SANTANDER CACEIS BRASIL DTVM S.A.</v>
          </cell>
          <cell r="D5095" t="str">
            <v>SANTANDER CACEIS BRASIL DTVM S.A.</v>
          </cell>
          <cell r="E5095" t="str">
            <v>SANTANDER BRASIL GESTAO DE RECURSOS LTDA</v>
          </cell>
        </row>
        <row r="5096">
          <cell r="B5096">
            <v>123436</v>
          </cell>
          <cell r="C5096" t="str">
            <v>SANTANDER CACEIS BRASIL DTVM S.A.</v>
          </cell>
          <cell r="D5096" t="str">
            <v>SANTANDER CACEIS BRASIL DTVM S.A.</v>
          </cell>
          <cell r="E5096" t="str">
            <v>SANTANDER BRASIL GESTAO DE RECURSOS LTDA</v>
          </cell>
        </row>
        <row r="5097">
          <cell r="B5097">
            <v>123437</v>
          </cell>
          <cell r="C5097" t="str">
            <v>SANTANDER CACEIS BRASIL DTVM S.A.</v>
          </cell>
          <cell r="D5097" t="str">
            <v>SANTANDER CACEIS BRASIL DTVM S.A.</v>
          </cell>
          <cell r="E5097" t="str">
            <v>SANTANDER BRASIL GESTAO DE RECURSOS LTDA</v>
          </cell>
        </row>
        <row r="5098">
          <cell r="B5098">
            <v>123438</v>
          </cell>
          <cell r="C5098" t="str">
            <v>SANTANDER CACEIS BRASIL DTVM S.A.</v>
          </cell>
          <cell r="D5098" t="str">
            <v>SANTANDER CACEIS BRASIL DTVM S.A.</v>
          </cell>
          <cell r="E5098" t="str">
            <v>SANTANDER BRASIL GESTAO DE RECURSOS LTDA</v>
          </cell>
        </row>
        <row r="5099">
          <cell r="B5099">
            <v>123439</v>
          </cell>
          <cell r="C5099" t="str">
            <v>SANTANDER CACEIS BRASIL DTVM S.A.</v>
          </cell>
          <cell r="D5099" t="str">
            <v>SANTANDER CACEIS BRASIL DTVM S.A.</v>
          </cell>
          <cell r="E5099" t="str">
            <v>SANTANDER BRASIL GESTAO DE RECURSOS LTDA</v>
          </cell>
        </row>
        <row r="5100">
          <cell r="B5100">
            <v>12344</v>
          </cell>
          <cell r="C5100" t="str">
            <v>GAVEA INVESTIMENTOS LTDA</v>
          </cell>
          <cell r="D5100" t="str">
            <v>GAVEA INVESTIMENTOS LTDA</v>
          </cell>
          <cell r="E5100" t="str">
            <v>GAVEA INVESTIMENTOS LTDA</v>
          </cell>
        </row>
        <row r="5101">
          <cell r="B5101">
            <v>123440</v>
          </cell>
          <cell r="C5101" t="str">
            <v>SANTANDER CACEIS BRASIL DTVM S.A.</v>
          </cell>
          <cell r="D5101" t="str">
            <v>SANTANDER CACEIS BRASIL DTVM S.A.</v>
          </cell>
          <cell r="E5101" t="str">
            <v>SANTANDER BRASIL GESTAO DE RECURSOS LTDA</v>
          </cell>
        </row>
        <row r="5102">
          <cell r="B5102">
            <v>123441</v>
          </cell>
          <cell r="C5102" t="str">
            <v>SANTANDER CACEIS BRASIL DTVM S.A.</v>
          </cell>
          <cell r="D5102" t="str">
            <v>SANTANDER CACEIS BRASIL DTVM S.A.</v>
          </cell>
          <cell r="E5102" t="str">
            <v>SANTANDER BRASIL GESTAO DE RECURSOS LTDA</v>
          </cell>
        </row>
        <row r="5103">
          <cell r="B5103">
            <v>123442</v>
          </cell>
          <cell r="C5103" t="str">
            <v>SANTANDER CACEIS BRASIL DTVM S.A.</v>
          </cell>
          <cell r="D5103" t="str">
            <v>SANTANDER CACEIS BRASIL DTVM S.A.</v>
          </cell>
          <cell r="E5103" t="str">
            <v>SANTANDER BRASIL GESTAO DE RECURSOS LTDA</v>
          </cell>
        </row>
        <row r="5104">
          <cell r="B5104">
            <v>123443</v>
          </cell>
          <cell r="C5104" t="str">
            <v>SANTANDER CACEIS BRASIL DTVM S.A.</v>
          </cell>
          <cell r="D5104" t="str">
            <v>SANTANDER CACEIS BRASIL DTVM S.A.</v>
          </cell>
          <cell r="E5104" t="str">
            <v>SANTANDER BRASIL GESTAO DE RECURSOS LTDA</v>
          </cell>
        </row>
        <row r="5105">
          <cell r="B5105">
            <v>123444</v>
          </cell>
          <cell r="C5105" t="str">
            <v>SANTANDER CACEIS BRASIL DTVM S.A.</v>
          </cell>
          <cell r="D5105" t="str">
            <v>SANTANDER CACEIS BRASIL DTVM S.A.</v>
          </cell>
          <cell r="E5105" t="str">
            <v>SANTANDER BRASIL GESTAO DE RECURSOS LTDA</v>
          </cell>
        </row>
        <row r="5106">
          <cell r="B5106">
            <v>123445</v>
          </cell>
          <cell r="C5106" t="str">
            <v>SANTANDER CACEIS BRASIL DTVM S.A.</v>
          </cell>
          <cell r="D5106" t="str">
            <v>SANTANDER CACEIS BRASIL DTVM S.A.</v>
          </cell>
          <cell r="E5106" t="str">
            <v>SANTANDER BRASIL GESTAO DE RECURSOS LTDA</v>
          </cell>
        </row>
        <row r="5107">
          <cell r="B5107">
            <v>123446</v>
          </cell>
          <cell r="C5107" t="str">
            <v>SANTANDER CACEIS BRASIL DTVM S.A.</v>
          </cell>
          <cell r="D5107" t="str">
            <v>SANTANDER CACEIS BRASIL DTVM S.A.</v>
          </cell>
          <cell r="E5107" t="str">
            <v>SANTANDER BRASIL GESTAO DE RECURSOS LTDA</v>
          </cell>
        </row>
        <row r="5108">
          <cell r="B5108">
            <v>123447</v>
          </cell>
          <cell r="C5108" t="str">
            <v>RIVIERA MASTER STRATEGY II FI RF</v>
          </cell>
          <cell r="D5108" t="str">
            <v>RIVIERA MASTER STRATEGY II FI RF</v>
          </cell>
          <cell r="E5108" t="str">
            <v>RIVIERA GESTORA DE RECURSOS LTDA</v>
          </cell>
        </row>
        <row r="5109">
          <cell r="B5109">
            <v>123448</v>
          </cell>
          <cell r="C5109" t="str">
            <v>POLO V FIC DE FIA</v>
          </cell>
          <cell r="D5109" t="str">
            <v>POLO V FIC DE FIA</v>
          </cell>
          <cell r="E5109" t="str">
            <v>POLO CAPITAL GESTÃO DE RECURSOS LTDA</v>
          </cell>
        </row>
        <row r="5110">
          <cell r="B5110">
            <v>123449</v>
          </cell>
          <cell r="C5110" t="str">
            <v>SANTANDER CACEIS BRASIL DTVM S.A.</v>
          </cell>
          <cell r="D5110" t="str">
            <v>SANTANDER CACEIS BRASIL DTVM S.A.</v>
          </cell>
          <cell r="E5110" t="str">
            <v>SANTANDER CACEIS BRASIL DTVM S.A.</v>
          </cell>
        </row>
        <row r="5111">
          <cell r="B5111">
            <v>12345</v>
          </cell>
          <cell r="C5111" t="str">
            <v>OPUS GESTAO DE RECURSOS LTDA</v>
          </cell>
          <cell r="D5111" t="str">
            <v>OPUS GESTAO DE RECURSOS LTDA</v>
          </cell>
          <cell r="E5111" t="str">
            <v>OPUS GESTAO DE RECURSOS LTDA</v>
          </cell>
        </row>
        <row r="5112">
          <cell r="B5112">
            <v>123450</v>
          </cell>
          <cell r="C5112" t="str">
            <v>SANTANDER CACEIS BRASIL DTVM S.A.</v>
          </cell>
          <cell r="D5112" t="str">
            <v>SANTANDER CACEIS BRASIL DTVM S.A.</v>
          </cell>
          <cell r="E5112" t="str">
            <v>SANTANDER CACEIS BRASIL DTVM S.A.</v>
          </cell>
        </row>
        <row r="5113">
          <cell r="B5113">
            <v>123452</v>
          </cell>
          <cell r="C5113" t="str">
            <v>MORGAN STANLEY CTVM S/A</v>
          </cell>
          <cell r="D5113" t="str">
            <v>MORGAN STANLEY CTVM S/A</v>
          </cell>
          <cell r="E5113" t="str">
            <v>MORGAN STANLEY CTVM S/A</v>
          </cell>
        </row>
        <row r="5114">
          <cell r="B5114">
            <v>123453</v>
          </cell>
          <cell r="C5114" t="str">
            <v>MORGAN STANLEY CTVM S/A</v>
          </cell>
          <cell r="D5114" t="str">
            <v>MORGAN STANLEY CTVM S/A</v>
          </cell>
          <cell r="E5114" t="str">
            <v>MORGAN STANLEY CTVM S/A</v>
          </cell>
        </row>
        <row r="5115">
          <cell r="B5115">
            <v>123454</v>
          </cell>
          <cell r="C5115" t="str">
            <v>MORGAN STANLEY CTVM S/A</v>
          </cell>
          <cell r="D5115" t="str">
            <v>MORGAN STANLEY CTVM S/A</v>
          </cell>
          <cell r="E5115" t="str">
            <v>MORGAN STANLEY CTVM S/A</v>
          </cell>
        </row>
        <row r="5116">
          <cell r="B5116">
            <v>123455</v>
          </cell>
          <cell r="C5116" t="str">
            <v>MORGAN STANLEY CTVM S/A</v>
          </cell>
          <cell r="D5116" t="str">
            <v>MORGAN STANLEY CTVM S/A</v>
          </cell>
          <cell r="E5116" t="str">
            <v>MORGAN STANLEY CTVM S/A</v>
          </cell>
        </row>
        <row r="5117">
          <cell r="B5117">
            <v>123456</v>
          </cell>
          <cell r="C5117" t="str">
            <v>MORGAN STANLEY CTVM S/A</v>
          </cell>
          <cell r="D5117" t="str">
            <v>MORGAN STANLEY CTVM S/A</v>
          </cell>
          <cell r="E5117" t="str">
            <v>MORGAN STANLEY CTVM S/A</v>
          </cell>
        </row>
        <row r="5118">
          <cell r="B5118">
            <v>123457</v>
          </cell>
          <cell r="C5118" t="str">
            <v>GERDAU PREVIDENCIA FIA 02</v>
          </cell>
          <cell r="D5118" t="str">
            <v>GERDAU PREVIDENCIA FIA 02</v>
          </cell>
          <cell r="E5118" t="str">
            <v>GERDAU PREVIDENCIA FIA 02</v>
          </cell>
        </row>
        <row r="5119">
          <cell r="B5119">
            <v>123458</v>
          </cell>
          <cell r="C5119" t="str">
            <v>QUINTESSENCE FIM CP IE</v>
          </cell>
          <cell r="D5119" t="str">
            <v>QUINTESSENCE FIM CP IE</v>
          </cell>
          <cell r="E5119" t="str">
            <v>QUINTESSENCE FIM CP IE</v>
          </cell>
        </row>
        <row r="5120">
          <cell r="B5120">
            <v>123459</v>
          </cell>
          <cell r="C5120" t="str">
            <v>CITRINO MACRO FIM CP IE</v>
          </cell>
          <cell r="D5120" t="str">
            <v>CITRINO MACRO FIM CP IE</v>
          </cell>
          <cell r="E5120" t="str">
            <v>CITRINO MACRO FIM CP IE</v>
          </cell>
        </row>
        <row r="5121">
          <cell r="B5121">
            <v>12346</v>
          </cell>
          <cell r="C5121" t="str">
            <v>NOVUS CAPITAL GESTORA DE RECURSOS LTDA</v>
          </cell>
          <cell r="D5121" t="str">
            <v>NOVUS CAPITAL GESTORA DE RECURSOS LTDA</v>
          </cell>
          <cell r="E5121" t="str">
            <v>NOVUS CAPITAL GESTORA DE RECURSOS LTDA</v>
          </cell>
        </row>
        <row r="5122">
          <cell r="B5122">
            <v>123460</v>
          </cell>
          <cell r="C5122" t="str">
            <v>KENYA MAIS FIM CREDITO PRIVADO IE</v>
          </cell>
          <cell r="D5122" t="str">
            <v>KENYA MAIS FIM CREDITO PRIVADO IE</v>
          </cell>
          <cell r="E5122" t="str">
            <v>KENYA MAIS FIM CREDITO PRIVADO IE</v>
          </cell>
        </row>
        <row r="5123">
          <cell r="B5123">
            <v>123461</v>
          </cell>
          <cell r="C5123" t="str">
            <v>ANANKE FIM</v>
          </cell>
          <cell r="D5123" t="str">
            <v>ANANKE FIM</v>
          </cell>
          <cell r="E5123" t="str">
            <v>ANANKE FIM</v>
          </cell>
        </row>
        <row r="5124">
          <cell r="B5124">
            <v>123462</v>
          </cell>
          <cell r="C5124" t="str">
            <v>POLO FIA</v>
          </cell>
          <cell r="D5124" t="str">
            <v>POLO FIA</v>
          </cell>
          <cell r="E5124" t="str">
            <v>POLO CAPITAL GESTÃO DE RECURSOS LTDA</v>
          </cell>
        </row>
        <row r="5125">
          <cell r="B5125">
            <v>123463</v>
          </cell>
          <cell r="C5125" t="str">
            <v>MORGAN STANLEY CTVM S/A</v>
          </cell>
          <cell r="D5125" t="str">
            <v>MORGAN STANLEY CTVM S/A</v>
          </cell>
          <cell r="E5125" t="str">
            <v>MORGAN STANLEY CTVM S/A</v>
          </cell>
        </row>
        <row r="5126">
          <cell r="B5126">
            <v>123464</v>
          </cell>
          <cell r="C5126" t="str">
            <v>MORGAN STANLEY CTVM S/A</v>
          </cell>
          <cell r="D5126" t="str">
            <v>MORGAN STANLEY CTVM S/A</v>
          </cell>
          <cell r="E5126" t="str">
            <v>MORGAN STANLEY CTVM S/A</v>
          </cell>
        </row>
        <row r="5127">
          <cell r="B5127">
            <v>123465</v>
          </cell>
          <cell r="C5127" t="str">
            <v>VERDE AM SUL ENERGIA FIA - DIVIDENDOS</v>
          </cell>
          <cell r="D5127" t="str">
            <v>VERDE AM SUL ENERGIA FIA - DIVIDENDOS</v>
          </cell>
          <cell r="E5127" t="str">
            <v>VERDE AM SUL ENERGIA FIA - DIVIDENDOS</v>
          </cell>
        </row>
        <row r="5128">
          <cell r="B5128">
            <v>123466</v>
          </cell>
          <cell r="C5128" t="str">
            <v>GAVEA MACRO MASTER FIM</v>
          </cell>
          <cell r="D5128" t="str">
            <v>GAVEA MACRO MASTER FIM</v>
          </cell>
          <cell r="E5128" t="str">
            <v>GAVEA MACRO MASTER FIM</v>
          </cell>
        </row>
        <row r="5129">
          <cell r="B5129">
            <v>123467</v>
          </cell>
          <cell r="C5129" t="str">
            <v>GAVEA MACRO DOLAR MASTER FIM</v>
          </cell>
          <cell r="D5129" t="str">
            <v>GAVEA MACRO DOLAR MASTER FIM</v>
          </cell>
          <cell r="E5129" t="str">
            <v>GAVEA MACRO DOLAR MASTER FIM</v>
          </cell>
        </row>
        <row r="5130">
          <cell r="B5130">
            <v>123468</v>
          </cell>
          <cell r="C5130" t="str">
            <v>GAVEA MACRO MASTER FIM - IE</v>
          </cell>
          <cell r="D5130" t="str">
            <v>GAVEA MACRO MASTER FIM - IE</v>
          </cell>
          <cell r="E5130" t="str">
            <v>GAVEA MACRO MASTER FIM - IE</v>
          </cell>
        </row>
        <row r="5131">
          <cell r="B5131">
            <v>123469</v>
          </cell>
          <cell r="C5131" t="str">
            <v>AT II FIM CREDITO PRIVADO - IE</v>
          </cell>
          <cell r="D5131" t="str">
            <v>AT II FIM CREDITO PRIVADO - IE</v>
          </cell>
          <cell r="E5131" t="str">
            <v>AT II FIM CREDITO PRIVADO - IE</v>
          </cell>
        </row>
        <row r="5132">
          <cell r="B5132">
            <v>12347</v>
          </cell>
          <cell r="C5132" t="str">
            <v>MARCELO ZELADA</v>
          </cell>
          <cell r="D5132" t="str">
            <v>MARCELO ZELADA</v>
          </cell>
          <cell r="E5132" t="str">
            <v>MARCELO ZELADA</v>
          </cell>
        </row>
        <row r="5133">
          <cell r="B5133">
            <v>123470</v>
          </cell>
          <cell r="C5133" t="str">
            <v>BNDES PARTICIPAÃ‡Ã•ES S/A - BNDESPAR</v>
          </cell>
          <cell r="D5133" t="str">
            <v>BNDES PARTICIPAÃ‡Ã•ES S/A - BNDESPAR</v>
          </cell>
          <cell r="E5133" t="str">
            <v>BNDES PARTICIPAÃ‡Ã•ES S/A - BNDESPAR</v>
          </cell>
        </row>
        <row r="5134">
          <cell r="B5134">
            <v>123471</v>
          </cell>
          <cell r="C5134" t="str">
            <v>OPUS ARBITRAGEM FIM</v>
          </cell>
          <cell r="D5134" t="str">
            <v>OPUS ARBITRAGEM FIM</v>
          </cell>
          <cell r="E5134" t="str">
            <v>OPUS GESTAO DE RECURSOS LTDA</v>
          </cell>
        </row>
        <row r="5135">
          <cell r="B5135">
            <v>123472</v>
          </cell>
          <cell r="C5135" t="str">
            <v>OPUS ABSOLUTO MASTER FIM</v>
          </cell>
          <cell r="D5135" t="str">
            <v>OPUS ABSOLUTO MASTER FIM</v>
          </cell>
          <cell r="E5135" t="str">
            <v>OPUS GESTAO DE RECURSOS LTDA</v>
          </cell>
        </row>
        <row r="5136">
          <cell r="B5136">
            <v>123473</v>
          </cell>
          <cell r="C5136" t="str">
            <v>OPUS EQUITY HEDGE MASTER FIM</v>
          </cell>
          <cell r="D5136" t="str">
            <v>OPUS EQUITY HEDGE MASTER FIM</v>
          </cell>
          <cell r="E5136" t="str">
            <v>OPUS GESTAO DE RECURSOS LTDA</v>
          </cell>
        </row>
        <row r="5137">
          <cell r="B5137">
            <v>123474</v>
          </cell>
          <cell r="C5137" t="str">
            <v>OPUS MULTIMERCADO FIC FI CP</v>
          </cell>
          <cell r="D5137" t="str">
            <v>OPUS MULTIMERCADO FIC FI CP</v>
          </cell>
          <cell r="E5137" t="str">
            <v>OPUS GESTAO DE RECURSOS LTDA</v>
          </cell>
        </row>
        <row r="5138">
          <cell r="B5138">
            <v>123475</v>
          </cell>
          <cell r="C5138" t="str">
            <v>NEO FALCON FIC FIA</v>
          </cell>
          <cell r="D5138" t="str">
            <v>NEO FALCON FIC FIA</v>
          </cell>
          <cell r="E5138" t="str">
            <v>NEO GESTÃO DE RECURSOS LTDA</v>
          </cell>
        </row>
        <row r="5139">
          <cell r="B5139">
            <v>123476</v>
          </cell>
          <cell r="C5139" t="str">
            <v>VINSON FUND, LLC</v>
          </cell>
          <cell r="D5139" t="str">
            <v>VINSON FUND, LLC</v>
          </cell>
          <cell r="E5139" t="str">
            <v>POLO CAPITAL GESTÃO DE RECURSOS LTDA</v>
          </cell>
        </row>
        <row r="5140">
          <cell r="B5140">
            <v>123477</v>
          </cell>
          <cell r="C5140" t="str">
            <v>FLAG MASTER FIM</v>
          </cell>
          <cell r="D5140" t="str">
            <v>FLAG MASTER FIM</v>
          </cell>
          <cell r="E5140" t="str">
            <v>NOVUS CAPITAL GESTORA DE RECURSOS LTDA</v>
          </cell>
        </row>
        <row r="5141">
          <cell r="B5141">
            <v>123479</v>
          </cell>
          <cell r="C5141" t="str">
            <v>BIRO BIRO FIM CRED PRIV IE</v>
          </cell>
          <cell r="D5141" t="str">
            <v>BIRO BIRO FIM CRED PRIV IE</v>
          </cell>
          <cell r="E5141" t="str">
            <v>BIRO BIRO FIM CRED PRIV IE</v>
          </cell>
        </row>
        <row r="5142">
          <cell r="B5142">
            <v>12348</v>
          </cell>
          <cell r="C5142" t="str">
            <v>ICONE INVESTIMENTOS LTDA</v>
          </cell>
          <cell r="D5142" t="str">
            <v>ICONE INVESTIMENTOS LTDA</v>
          </cell>
          <cell r="E5142" t="str">
            <v>ICONE INVESTIMENTOS LTDA</v>
          </cell>
        </row>
        <row r="5143">
          <cell r="B5143">
            <v>123480</v>
          </cell>
          <cell r="C5143" t="str">
            <v>CANADIAN EAGLE FIM INVESTIDORES NÃƒO RESIDENTES</v>
          </cell>
          <cell r="D5143" t="str">
            <v>CANADIAN EAGLE FIM INVESTIDORES NÃƒO RESIDENTES</v>
          </cell>
          <cell r="E5143" t="str">
            <v>SPX GESTAO DE RECURSOS LTDA</v>
          </cell>
        </row>
        <row r="5144">
          <cell r="B5144">
            <v>123481</v>
          </cell>
          <cell r="C5144" t="str">
            <v>XMZ FIM CP IE</v>
          </cell>
          <cell r="D5144" t="str">
            <v>XMZ FIM CP IE</v>
          </cell>
          <cell r="E5144" t="str">
            <v>XMZ FIM CP IE</v>
          </cell>
        </row>
        <row r="5145">
          <cell r="B5145">
            <v>123483</v>
          </cell>
          <cell r="C5145" t="str">
            <v>GAVEA CAPITAL HOLDINGS LLC</v>
          </cell>
          <cell r="D5145" t="str">
            <v>GAVEA CAPITAL HOLDINGS LLC</v>
          </cell>
          <cell r="E5145" t="str">
            <v>GAVEA CAPITAL HOLDINGS LLC</v>
          </cell>
        </row>
        <row r="5146">
          <cell r="B5146">
            <v>123484</v>
          </cell>
          <cell r="C5146" t="str">
            <v>GBW CAPITAL HOLDINGS, LLC</v>
          </cell>
          <cell r="D5146" t="str">
            <v>GBW CAPITAL HOLDINGS, LLC</v>
          </cell>
          <cell r="E5146" t="str">
            <v>GBW CAPITAL HOLDINGS, LLC</v>
          </cell>
        </row>
        <row r="5147">
          <cell r="B5147">
            <v>123485</v>
          </cell>
          <cell r="C5147" t="str">
            <v>GF PLUS CAPITAL HOLDINGS, LLC</v>
          </cell>
          <cell r="D5147" t="str">
            <v>GF PLUS CAPITAL HOLDINGS, LLC</v>
          </cell>
          <cell r="E5147" t="str">
            <v>GF PLUS CAPITAL HOLDINGS, LLC</v>
          </cell>
        </row>
        <row r="5148">
          <cell r="B5148">
            <v>123486</v>
          </cell>
          <cell r="C5148" t="str">
            <v>GF ONE CAPITAL HOLDINGS, LLC</v>
          </cell>
          <cell r="D5148" t="str">
            <v>GF ONE CAPITAL HOLDINGS, LLC</v>
          </cell>
          <cell r="E5148" t="str">
            <v>GF ONE CAPITAL HOLDINGS, LLC</v>
          </cell>
        </row>
        <row r="5149">
          <cell r="B5149">
            <v>123488</v>
          </cell>
          <cell r="C5149" t="str">
            <v>ICONE ABSOLUTO FIM</v>
          </cell>
          <cell r="D5149" t="str">
            <v>ICONE ABSOLUTO FIM</v>
          </cell>
          <cell r="E5149" t="str">
            <v>ICONE ABSOLUTO FIM</v>
          </cell>
        </row>
        <row r="5150">
          <cell r="B5150">
            <v>123489</v>
          </cell>
          <cell r="C5150" t="str">
            <v>ICONE BLUE LABEL FIM</v>
          </cell>
          <cell r="D5150" t="str">
            <v>ICONE BLUE LABEL FIM</v>
          </cell>
          <cell r="E5150" t="str">
            <v>ICONE BLUE LABEL FIM</v>
          </cell>
        </row>
        <row r="5151">
          <cell r="B5151">
            <v>14393</v>
          </cell>
          <cell r="C5151" t="str">
            <v>BRAM - BRADESCO ASSET MANAGEMENT SA DTVM</v>
          </cell>
          <cell r="D5151" t="str">
            <v>BRAM - BRADESCO ASSET MANAGEMENT SA DTVM</v>
          </cell>
          <cell r="E5151" t="str">
            <v>BRAM - BRADESCO ASSET MANAGEMENT S/A DTVM</v>
          </cell>
        </row>
        <row r="5152">
          <cell r="B5152">
            <v>123490</v>
          </cell>
          <cell r="C5152" t="str">
            <v>MORGAN STANLEY CTVM S/A</v>
          </cell>
          <cell r="D5152" t="str">
            <v>MORGAN STANLEY CTVM S/A</v>
          </cell>
          <cell r="E5152" t="str">
            <v>MORGAN STANLEY CTVM S/A</v>
          </cell>
        </row>
        <row r="5153">
          <cell r="B5153">
            <v>123492</v>
          </cell>
          <cell r="C5153" t="str">
            <v>MAUA PARTICIPAÃ‡Ã•ES MASTER FIA</v>
          </cell>
          <cell r="D5153" t="str">
            <v>MAUA PARTICIPAÃ‡Ã•ES MASTER FIA</v>
          </cell>
          <cell r="E5153" t="str">
            <v>MAUA INVESTIMENTOS LTDA</v>
          </cell>
        </row>
        <row r="5154">
          <cell r="B5154">
            <v>123493</v>
          </cell>
          <cell r="C5154" t="str">
            <v>MORGAN STANLEY CTVM S/A</v>
          </cell>
          <cell r="D5154" t="str">
            <v>MORGAN STANLEY CTVM S/A</v>
          </cell>
          <cell r="E5154" t="str">
            <v>MORGAN STANLEY CTVM S/A</v>
          </cell>
        </row>
        <row r="5155">
          <cell r="B5155">
            <v>123494</v>
          </cell>
          <cell r="C5155" t="str">
            <v>MORGAN STANLEY CTVM S/A</v>
          </cell>
          <cell r="D5155" t="str">
            <v>MORGAN STANLEY CTVM S/A</v>
          </cell>
          <cell r="E5155" t="str">
            <v>MORGAN STANLEY CTVM S/A</v>
          </cell>
        </row>
        <row r="5156">
          <cell r="B5156">
            <v>123495</v>
          </cell>
          <cell r="C5156" t="str">
            <v>MORGAN STANLEY CTVM S/A</v>
          </cell>
          <cell r="D5156" t="str">
            <v>MORGAN STANLEY CTVM S/A</v>
          </cell>
          <cell r="E5156" t="str">
            <v>MORGAN STANLEY CTVM S/A</v>
          </cell>
        </row>
        <row r="5157">
          <cell r="B5157">
            <v>123496</v>
          </cell>
          <cell r="C5157" t="str">
            <v>MORGAN STANLEY CTVM S/A</v>
          </cell>
          <cell r="D5157" t="str">
            <v>MORGAN STANLEY CTVM S/A</v>
          </cell>
          <cell r="E5157" t="str">
            <v>MORGAN STANLEY CTVM S/A</v>
          </cell>
        </row>
        <row r="5158">
          <cell r="B5158">
            <v>123497</v>
          </cell>
          <cell r="C5158" t="str">
            <v>MORGAN STANLEY CTVM S/A</v>
          </cell>
          <cell r="D5158" t="str">
            <v>MORGAN STANLEY CTVM S/A</v>
          </cell>
          <cell r="E5158" t="str">
            <v>MORGAN STANLEY CTVM S/A</v>
          </cell>
        </row>
        <row r="5159">
          <cell r="B5159">
            <v>123498</v>
          </cell>
          <cell r="C5159" t="str">
            <v>MORGAN STANLEY CTVM S/A</v>
          </cell>
          <cell r="D5159" t="str">
            <v>MORGAN STANLEY CTVM S/A</v>
          </cell>
          <cell r="E5159" t="str">
            <v>MORGAN STANLEY CTVM S/A</v>
          </cell>
        </row>
        <row r="5160">
          <cell r="B5160">
            <v>123499</v>
          </cell>
          <cell r="C5160" t="str">
            <v>MORGAN STANLEY CTVM S/A</v>
          </cell>
          <cell r="D5160" t="str">
            <v>MORGAN STANLEY CTVM S/A</v>
          </cell>
          <cell r="E5160" t="str">
            <v>MORGAN STANLEY CTVM S/A</v>
          </cell>
        </row>
        <row r="5161">
          <cell r="B5161">
            <v>12350</v>
          </cell>
          <cell r="C5161" t="str">
            <v>KYROS GESTÃƒO DE RECURSOS LTDA</v>
          </cell>
          <cell r="D5161" t="str">
            <v>KYROS GESTÃƒO DE RECURSOS LTDA</v>
          </cell>
          <cell r="E5161" t="str">
            <v>KYROS GESTÃƒO DE RECURSOS LTDA</v>
          </cell>
        </row>
        <row r="5162">
          <cell r="B5162">
            <v>123500</v>
          </cell>
          <cell r="C5162" t="str">
            <v>MORGAN STANLEY CTVM S/A</v>
          </cell>
          <cell r="D5162" t="str">
            <v>MORGAN STANLEY CTVM S/A</v>
          </cell>
          <cell r="E5162" t="str">
            <v>MORGAN STANLEY CTVM S/A</v>
          </cell>
        </row>
        <row r="5163">
          <cell r="B5163">
            <v>123501</v>
          </cell>
          <cell r="C5163" t="str">
            <v>MORGAN STANLEY CTVM S/A</v>
          </cell>
          <cell r="D5163" t="str">
            <v>MORGAN STANLEY CTVM S/A</v>
          </cell>
          <cell r="E5163" t="str">
            <v>MORGAN STANLEY CTVM S/A</v>
          </cell>
        </row>
        <row r="5164">
          <cell r="B5164">
            <v>123502</v>
          </cell>
          <cell r="C5164" t="str">
            <v>MORGAN STANLEY CTVM S/A</v>
          </cell>
          <cell r="D5164" t="str">
            <v>MORGAN STANLEY CTVM S/A</v>
          </cell>
          <cell r="E5164" t="str">
            <v>MORGAN STANLEY CTVM S/A</v>
          </cell>
        </row>
        <row r="5165">
          <cell r="B5165">
            <v>123503</v>
          </cell>
          <cell r="C5165" t="str">
            <v>MORGAN STANLEY CTVM S/A</v>
          </cell>
          <cell r="D5165" t="str">
            <v>MORGAN STANLEY CTVM S/A</v>
          </cell>
          <cell r="E5165" t="str">
            <v>MORGAN STANLEY CTVM S/A</v>
          </cell>
        </row>
        <row r="5166">
          <cell r="B5166">
            <v>123504</v>
          </cell>
          <cell r="C5166" t="str">
            <v>MORGAN STANLEY CTVM S/A</v>
          </cell>
          <cell r="D5166" t="str">
            <v>MORGAN STANLEY CTVM S/A</v>
          </cell>
          <cell r="E5166" t="str">
            <v>MORGAN STANLEY CTVM S/A</v>
          </cell>
        </row>
        <row r="5167">
          <cell r="B5167">
            <v>123505</v>
          </cell>
          <cell r="C5167" t="str">
            <v>MORGAN STANLEY CTVM S/A</v>
          </cell>
          <cell r="D5167" t="str">
            <v>MORGAN STANLEY CTVM S/A</v>
          </cell>
          <cell r="E5167" t="str">
            <v>MORGAN STANLEY CTVM S/A</v>
          </cell>
        </row>
        <row r="5168">
          <cell r="B5168">
            <v>123506</v>
          </cell>
          <cell r="C5168" t="str">
            <v>MORGAN STANLEY CTVM S/A</v>
          </cell>
          <cell r="D5168" t="str">
            <v>MORGAN STANLEY CTVM S/A</v>
          </cell>
          <cell r="E5168" t="str">
            <v>MORGAN STANLEY CTVM S/A</v>
          </cell>
        </row>
        <row r="5169">
          <cell r="B5169">
            <v>123507</v>
          </cell>
          <cell r="C5169" t="str">
            <v>MORGAN STANLEY CTVM S/A</v>
          </cell>
          <cell r="D5169" t="str">
            <v>MORGAN STANLEY CTVM S/A</v>
          </cell>
          <cell r="E5169" t="str">
            <v>MORGAN STANLEY CTVM S/A</v>
          </cell>
        </row>
        <row r="5170">
          <cell r="B5170">
            <v>123508</v>
          </cell>
          <cell r="C5170" t="str">
            <v>MORGAN STANLEY CTVM S/A</v>
          </cell>
          <cell r="D5170" t="str">
            <v>MORGAN STANLEY CTVM S/A</v>
          </cell>
          <cell r="E5170" t="str">
            <v>MORGAN STANLEY CTVM S/A</v>
          </cell>
        </row>
        <row r="5171">
          <cell r="B5171">
            <v>123509</v>
          </cell>
          <cell r="C5171" t="str">
            <v>MORGAN STANLEY CTVM S/A</v>
          </cell>
          <cell r="D5171" t="str">
            <v>MORGAN STANLEY CTVM S/A</v>
          </cell>
          <cell r="E5171" t="str">
            <v>MORGAN STANLEY CTVM S/A</v>
          </cell>
        </row>
        <row r="5172">
          <cell r="B5172">
            <v>12351</v>
          </cell>
          <cell r="C5172" t="str">
            <v>AQ3 ASSET MANAGEMENT LTDA</v>
          </cell>
          <cell r="D5172" t="str">
            <v>AQ3 ASSET MANAGEMENT LTDA</v>
          </cell>
          <cell r="E5172" t="str">
            <v>AQ3 ASSET MANAGEMENT LTDA</v>
          </cell>
        </row>
        <row r="5173">
          <cell r="B5173">
            <v>123510</v>
          </cell>
          <cell r="C5173" t="str">
            <v>MORGAN STANLEY CTVM S/A</v>
          </cell>
          <cell r="D5173" t="str">
            <v>MORGAN STANLEY CTVM S/A</v>
          </cell>
          <cell r="E5173" t="str">
            <v>MORGAN STANLEY CTVM S/A</v>
          </cell>
        </row>
        <row r="5174">
          <cell r="B5174">
            <v>123511</v>
          </cell>
          <cell r="C5174" t="str">
            <v>MORGAN STANLEY CTVM S/A</v>
          </cell>
          <cell r="D5174" t="str">
            <v>MORGAN STANLEY CTVM S/A</v>
          </cell>
          <cell r="E5174" t="str">
            <v>MORGAN STANLEY CTVM S/A</v>
          </cell>
        </row>
        <row r="5175">
          <cell r="B5175">
            <v>123512</v>
          </cell>
          <cell r="C5175" t="str">
            <v>MORGAN STANLEY CTVM S/A</v>
          </cell>
          <cell r="D5175" t="str">
            <v>MORGAN STANLEY CTVM S/A</v>
          </cell>
          <cell r="E5175" t="str">
            <v>MORGAN STANLEY CTVM S/A</v>
          </cell>
        </row>
        <row r="5176">
          <cell r="B5176">
            <v>123513</v>
          </cell>
          <cell r="C5176" t="str">
            <v>MORGAN STANLEY CTVM S/A</v>
          </cell>
          <cell r="D5176" t="str">
            <v>MORGAN STANLEY CTVM S/A</v>
          </cell>
          <cell r="E5176" t="str">
            <v>MORGAN STANLEY CTVM S/A</v>
          </cell>
        </row>
        <row r="5177">
          <cell r="B5177">
            <v>123514</v>
          </cell>
          <cell r="C5177" t="str">
            <v>MORGAN STANLEY CTVM S/A</v>
          </cell>
          <cell r="D5177" t="str">
            <v>MORGAN STANLEY CTVM S/A</v>
          </cell>
          <cell r="E5177" t="str">
            <v>MORGAN STANLEY CTVM S/A</v>
          </cell>
        </row>
        <row r="5178">
          <cell r="B5178">
            <v>123515</v>
          </cell>
          <cell r="C5178" t="str">
            <v>MORGAN STANLEY CTVM S/A</v>
          </cell>
          <cell r="D5178" t="str">
            <v>MORGAN STANLEY CTVM S/A</v>
          </cell>
          <cell r="E5178" t="str">
            <v>MORGAN STANLEY CTVM S/A</v>
          </cell>
        </row>
        <row r="5179">
          <cell r="B5179">
            <v>123516</v>
          </cell>
          <cell r="C5179" t="str">
            <v>MORGAN STANLEY CTVM S/A</v>
          </cell>
          <cell r="D5179" t="str">
            <v>MORGAN STANLEY CTVM S/A</v>
          </cell>
          <cell r="E5179" t="str">
            <v>MORGAN STANLEY CTVM S/A</v>
          </cell>
        </row>
        <row r="5180">
          <cell r="B5180">
            <v>123517</v>
          </cell>
          <cell r="C5180" t="str">
            <v>MORGAN STANLEY CTVM S/A</v>
          </cell>
          <cell r="D5180" t="str">
            <v>MORGAN STANLEY CTVM S/A</v>
          </cell>
          <cell r="E5180" t="str">
            <v>MORGAN STANLEY CTVM S/A</v>
          </cell>
        </row>
        <row r="5181">
          <cell r="B5181">
            <v>123518</v>
          </cell>
          <cell r="C5181" t="str">
            <v>MORGAN STANLEY CTVM S/A</v>
          </cell>
          <cell r="D5181" t="str">
            <v>MORGAN STANLEY CTVM S/A</v>
          </cell>
          <cell r="E5181" t="str">
            <v>MORGAN STANLEY CTVM S/A</v>
          </cell>
        </row>
        <row r="5182">
          <cell r="B5182">
            <v>123519</v>
          </cell>
          <cell r="C5182" t="str">
            <v>MORGAN STANLEY CTVM S/A</v>
          </cell>
          <cell r="D5182" t="str">
            <v>MORGAN STANLEY CTVM S/A</v>
          </cell>
          <cell r="E5182" t="str">
            <v>MORGAN STANLEY CTVM S/A</v>
          </cell>
        </row>
        <row r="5183">
          <cell r="B5183">
            <v>12352</v>
          </cell>
          <cell r="C5183" t="str">
            <v>VISTA CAPITAL GESTORA DE RECURSOS LTDA.</v>
          </cell>
          <cell r="D5183" t="str">
            <v>VISTA CAPITAL GESTORA DE RECURSOS LTDA.</v>
          </cell>
          <cell r="E5183" t="str">
            <v>VISTA CAPITAL GESTORA DE RECURSOS LTDA</v>
          </cell>
        </row>
        <row r="5184">
          <cell r="B5184">
            <v>123520</v>
          </cell>
          <cell r="C5184" t="str">
            <v>MORGAN STANLEY CTVM S/A</v>
          </cell>
          <cell r="D5184" t="str">
            <v>MORGAN STANLEY CTVM S/A</v>
          </cell>
          <cell r="E5184" t="str">
            <v>MORGAN STANLEY CTVM S/A</v>
          </cell>
        </row>
        <row r="5185">
          <cell r="B5185">
            <v>123521</v>
          </cell>
          <cell r="C5185" t="str">
            <v>MORGAN STANLEY CTVM S/A</v>
          </cell>
          <cell r="D5185" t="str">
            <v>MORGAN STANLEY CTVM S/A</v>
          </cell>
          <cell r="E5185" t="str">
            <v>MORGAN STANLEY CTVM S/A</v>
          </cell>
        </row>
        <row r="5186">
          <cell r="B5186">
            <v>123522</v>
          </cell>
          <cell r="C5186" t="str">
            <v>MORGAN STANLEY CTVM S/A</v>
          </cell>
          <cell r="D5186" t="str">
            <v>MORGAN STANLEY CTVM S/A</v>
          </cell>
          <cell r="E5186" t="str">
            <v>MORGAN STANLEY CTVM S/A</v>
          </cell>
        </row>
        <row r="5187">
          <cell r="B5187">
            <v>123523</v>
          </cell>
          <cell r="C5187" t="str">
            <v>MORGAN STANLEY CTVM S/A</v>
          </cell>
          <cell r="D5187" t="str">
            <v>MORGAN STANLEY CTVM S/A</v>
          </cell>
          <cell r="E5187" t="str">
            <v>MORGAN STANLEY CTVM S/A</v>
          </cell>
        </row>
        <row r="5188">
          <cell r="B5188">
            <v>123524</v>
          </cell>
          <cell r="C5188" t="str">
            <v>MORGAN STANLEY CTVM S/A</v>
          </cell>
          <cell r="D5188" t="str">
            <v>MORGAN STANLEY CTVM S/A</v>
          </cell>
          <cell r="E5188" t="str">
            <v>MORGAN STANLEY CTVM S/A</v>
          </cell>
        </row>
        <row r="5189">
          <cell r="B5189">
            <v>123525</v>
          </cell>
          <cell r="C5189" t="str">
            <v>MORGAN STANLEY CTVM S/A</v>
          </cell>
          <cell r="D5189" t="str">
            <v>MORGAN STANLEY CTVM S/A</v>
          </cell>
          <cell r="E5189" t="str">
            <v>MORGAN STANLEY CTVM S/A</v>
          </cell>
        </row>
        <row r="5190">
          <cell r="B5190">
            <v>123526</v>
          </cell>
          <cell r="C5190" t="str">
            <v>MORGAN STANLEY CTVM S/A</v>
          </cell>
          <cell r="D5190" t="str">
            <v>MORGAN STANLEY CTVM S/A</v>
          </cell>
          <cell r="E5190" t="str">
            <v>MORGAN STANLEY CTVM S/A</v>
          </cell>
        </row>
        <row r="5191">
          <cell r="B5191">
            <v>123527</v>
          </cell>
          <cell r="C5191" t="str">
            <v>MORGAN STANLEY CTVM S/A</v>
          </cell>
          <cell r="D5191" t="str">
            <v>MORGAN STANLEY CTVM S/A</v>
          </cell>
          <cell r="E5191" t="str">
            <v>MORGAN STANLEY CTVM S/A</v>
          </cell>
        </row>
        <row r="5192">
          <cell r="B5192">
            <v>123528</v>
          </cell>
          <cell r="C5192" t="str">
            <v>MORGAN STANLEY CTVM S/A</v>
          </cell>
          <cell r="D5192" t="str">
            <v>MORGAN STANLEY CTVM S/A</v>
          </cell>
          <cell r="E5192" t="str">
            <v>MORGAN STANLEY CTVM S/A</v>
          </cell>
        </row>
        <row r="5193">
          <cell r="B5193">
            <v>123529</v>
          </cell>
          <cell r="C5193" t="str">
            <v>MORGAN STANLEY CTVM S/A</v>
          </cell>
          <cell r="D5193" t="str">
            <v>MORGAN STANLEY CTVM S/A</v>
          </cell>
          <cell r="E5193" t="str">
            <v>MORGAN STANLEY CTVM S/A</v>
          </cell>
        </row>
        <row r="5194">
          <cell r="B5194">
            <v>12353</v>
          </cell>
          <cell r="C5194" t="str">
            <v>REAG WM GESTORA DE PATRIMÃ”NIO LTDA</v>
          </cell>
          <cell r="D5194" t="str">
            <v>REAG WM GESTORA DE PATRIMÃ”NIO LTDA</v>
          </cell>
          <cell r="E5194" t="str">
            <v>REAG ASSET MANAGEMENT LTDA</v>
          </cell>
        </row>
        <row r="5195">
          <cell r="B5195">
            <v>123530</v>
          </cell>
          <cell r="C5195" t="str">
            <v>MORGAN STANLEY CTVM S/A</v>
          </cell>
          <cell r="D5195" t="str">
            <v>MORGAN STANLEY CTVM S/A</v>
          </cell>
          <cell r="E5195" t="str">
            <v>MORGAN STANLEY CTVM S/A</v>
          </cell>
        </row>
        <row r="5196">
          <cell r="B5196">
            <v>123531</v>
          </cell>
          <cell r="C5196" t="str">
            <v>MORGAN STANLEY CTVM S/A</v>
          </cell>
          <cell r="D5196" t="str">
            <v>MORGAN STANLEY CTVM S/A</v>
          </cell>
          <cell r="E5196" t="str">
            <v>MORGAN STANLEY CTVM S/A</v>
          </cell>
        </row>
        <row r="5197">
          <cell r="B5197">
            <v>123532</v>
          </cell>
          <cell r="C5197" t="str">
            <v>MORGAN STANLEY CTVM S/A</v>
          </cell>
          <cell r="D5197" t="str">
            <v>MORGAN STANLEY CTVM S/A</v>
          </cell>
          <cell r="E5197" t="str">
            <v>MORGAN STANLEY CTVM S/A</v>
          </cell>
        </row>
        <row r="5198">
          <cell r="B5198">
            <v>123533</v>
          </cell>
          <cell r="C5198" t="str">
            <v>NEO FUTURE FIA</v>
          </cell>
          <cell r="D5198" t="str">
            <v>NEO FUTURE FIA</v>
          </cell>
          <cell r="E5198" t="str">
            <v>NEO GESTÃO DE RECURSOS LTDA</v>
          </cell>
        </row>
        <row r="5199">
          <cell r="B5199">
            <v>123534</v>
          </cell>
          <cell r="C5199" t="str">
            <v>FIC DE FI OURO H10 MULTIMERCADO CREDITO PRIVADO</v>
          </cell>
          <cell r="D5199" t="str">
            <v>FIC DE FI OURO H10 MULTIMERCADO CREDITO PRIVADO</v>
          </cell>
          <cell r="E5199" t="str">
            <v>FIC DE FI OURO H10 MULTIMERCADO CREDITO PRIVADO</v>
          </cell>
        </row>
        <row r="5200">
          <cell r="B5200">
            <v>123535</v>
          </cell>
          <cell r="C5200" t="str">
            <v>FI JASPE H10 MULTIMERCADO CP</v>
          </cell>
          <cell r="D5200" t="str">
            <v>FI JASPE H10 MULTIMERCADO CP</v>
          </cell>
          <cell r="E5200" t="str">
            <v>FI JASPE H10 MULTIMERCADO CP</v>
          </cell>
        </row>
        <row r="5201">
          <cell r="B5201">
            <v>123536</v>
          </cell>
          <cell r="C5201" t="str">
            <v>FI GRANADA H10 MULTIMERCADO CP</v>
          </cell>
          <cell r="D5201" t="str">
            <v>FI GRANADA H10 MULTIMERCADO CP</v>
          </cell>
          <cell r="E5201" t="str">
            <v>FI GRANADA H10 MULTIMERCADO CP</v>
          </cell>
        </row>
        <row r="5202">
          <cell r="B5202">
            <v>123537</v>
          </cell>
          <cell r="C5202" t="str">
            <v>OITI FIM CP IE</v>
          </cell>
          <cell r="D5202" t="str">
            <v>OITI FIM CP IE</v>
          </cell>
          <cell r="E5202" t="str">
            <v>ITAU UNIBANCO S/A</v>
          </cell>
        </row>
        <row r="5203">
          <cell r="B5203">
            <v>123538</v>
          </cell>
          <cell r="C5203" t="str">
            <v>BRAD FIA MIRANTE IBX</v>
          </cell>
          <cell r="D5203" t="str">
            <v>BRAD FIA MIRANTE IBX</v>
          </cell>
          <cell r="E5203" t="str">
            <v>BRAM - BRADESCO ASSET MANAGEMENT S/A DTVM</v>
          </cell>
        </row>
        <row r="5204">
          <cell r="B5204">
            <v>123539</v>
          </cell>
          <cell r="C5204" t="str">
            <v>BRADESCO FIM JJSP I</v>
          </cell>
          <cell r="D5204" t="str">
            <v>BRADESCO FIM JJSP I</v>
          </cell>
          <cell r="E5204" t="str">
            <v>BRAM - BRADESCO ASSET MANAGEMENT S/A DTVM</v>
          </cell>
        </row>
        <row r="5205">
          <cell r="B5205">
            <v>12354</v>
          </cell>
          <cell r="C5205" t="str">
            <v>MVP CAPITAL GESTAO DE RECURSOS LTDA</v>
          </cell>
          <cell r="D5205" t="str">
            <v>MVP CAPITAL GESTAO DE RECURSOS LTDA</v>
          </cell>
          <cell r="E5205" t="str">
            <v>MVP CAPITAL GESTAO DE RECURSOS LTDA</v>
          </cell>
        </row>
        <row r="5206">
          <cell r="B5206">
            <v>123540</v>
          </cell>
          <cell r="C5206" t="str">
            <v>BRADESCO FIA IBRX ATIVO LEBLON</v>
          </cell>
          <cell r="D5206" t="str">
            <v>BRADESCO FIA IBRX ATIVO LEBLON</v>
          </cell>
          <cell r="E5206" t="str">
            <v>BRAM - BRADESCO ASSET MANAGEMENT S/A DTVM</v>
          </cell>
        </row>
        <row r="5207">
          <cell r="B5207">
            <v>123541</v>
          </cell>
          <cell r="C5207" t="str">
            <v>FI RF FAROL ALM I</v>
          </cell>
          <cell r="D5207" t="str">
            <v>FI RF FAROL ALM I</v>
          </cell>
          <cell r="E5207" t="str">
            <v>BRAM - BRADESCO ASSET MANAGEMENT S/A DTVM</v>
          </cell>
        </row>
        <row r="5208">
          <cell r="B5208">
            <v>123542</v>
          </cell>
          <cell r="C5208" t="str">
            <v>FI RF RIO DE JANEIRO LONGO PRAZO</v>
          </cell>
          <cell r="D5208" t="str">
            <v>FI RF RIO DE JANEIRO LONGO PRAZO</v>
          </cell>
          <cell r="E5208" t="str">
            <v>BRAM - BRADESCO ASSET MANAGEMENT S/A DTVM</v>
          </cell>
        </row>
        <row r="5209">
          <cell r="B5209">
            <v>123543</v>
          </cell>
          <cell r="C5209" t="str">
            <v>FIA ARUBA</v>
          </cell>
          <cell r="D5209" t="str">
            <v>FIA ARUBA</v>
          </cell>
          <cell r="E5209" t="str">
            <v>BRAM - BRADESCO ASSET MANAGEMENT S/A DTVM</v>
          </cell>
        </row>
        <row r="5210">
          <cell r="B5210">
            <v>123544</v>
          </cell>
          <cell r="C5210" t="str">
            <v>FIA MILOS</v>
          </cell>
          <cell r="D5210" t="str">
            <v>FIA MILOS</v>
          </cell>
          <cell r="E5210" t="str">
            <v>BRAM - BRADESCO ASSET MANAGEMENT S/A DTVM</v>
          </cell>
        </row>
        <row r="5211">
          <cell r="B5211">
            <v>123545</v>
          </cell>
          <cell r="C5211" t="str">
            <v>FIA VALUE</v>
          </cell>
          <cell r="D5211" t="str">
            <v>FIA VALUE</v>
          </cell>
          <cell r="E5211" t="str">
            <v>BRAM - BRADESCO ASSET MANAGEMENT S/A DTVM</v>
          </cell>
        </row>
        <row r="5212">
          <cell r="B5212">
            <v>123546</v>
          </cell>
          <cell r="C5212" t="str">
            <v>KYROS MAX MASTER FIM</v>
          </cell>
          <cell r="D5212" t="str">
            <v>KYROS MAX MASTER FIM</v>
          </cell>
          <cell r="E5212" t="str">
            <v>KYROS GESTÃƒO DE RECURSOS LTDA</v>
          </cell>
        </row>
        <row r="5213">
          <cell r="B5213">
            <v>123547</v>
          </cell>
          <cell r="C5213" t="str">
            <v>KYROS HEDGE MASTER FIM</v>
          </cell>
          <cell r="D5213" t="str">
            <v>KYROS HEDGE MASTER FIM</v>
          </cell>
          <cell r="E5213" t="str">
            <v>KYROS GESTÃƒO DE RECURSOS LTDA</v>
          </cell>
        </row>
        <row r="5214">
          <cell r="B5214">
            <v>123548</v>
          </cell>
          <cell r="C5214" t="str">
            <v>KGR TOTAL MASTER FIM</v>
          </cell>
          <cell r="D5214" t="str">
            <v>KGR TOTAL MASTER FIM</v>
          </cell>
          <cell r="E5214" t="str">
            <v>KYROS GESTÃƒO DE RECURSOS LTDA</v>
          </cell>
        </row>
        <row r="5215">
          <cell r="B5215">
            <v>123549</v>
          </cell>
          <cell r="C5215" t="str">
            <v>ABSOLUTE VERTEX MASTER FIM</v>
          </cell>
          <cell r="D5215" t="str">
            <v>ABSOLUTE VERTEX MASTER FIM</v>
          </cell>
          <cell r="E5215" t="str">
            <v>ABSOLUTE GESTAO DE INVESTIMENTOS LTDA</v>
          </cell>
        </row>
        <row r="5216">
          <cell r="B5216">
            <v>12355</v>
          </cell>
          <cell r="C5216" t="str">
            <v>QUATA GESTAO DE RECURSOS LTDA</v>
          </cell>
          <cell r="D5216" t="str">
            <v>QUATA GESTAO DE RECURSOS LTDA</v>
          </cell>
          <cell r="E5216" t="str">
            <v>QUATA GESTAO DE RECURSOS LTDA</v>
          </cell>
        </row>
        <row r="5217">
          <cell r="B5217">
            <v>123550</v>
          </cell>
          <cell r="C5217" t="str">
            <v>CARLO FREDERICO CASTILHO MALTA</v>
          </cell>
          <cell r="D5217" t="str">
            <v>CARLO FREDERICO CASTILHO MALTA</v>
          </cell>
          <cell r="E5217" t="str">
            <v>CARLO FREDERICO CASTILHO MALTA</v>
          </cell>
        </row>
        <row r="5218">
          <cell r="B5218">
            <v>123551</v>
          </cell>
          <cell r="C5218" t="str">
            <v>AQUILLA DINAMICO FIM</v>
          </cell>
          <cell r="D5218" t="str">
            <v>AQUILLA DINAMICO FIM</v>
          </cell>
          <cell r="E5218" t="str">
            <v>AQ3 ASSET MANAGEMENT LTDA</v>
          </cell>
        </row>
        <row r="5219">
          <cell r="B5219">
            <v>123552</v>
          </cell>
          <cell r="C5219" t="str">
            <v>REAG ABSOLUTO FUNDO DE INVESTIMENTO MULTIMERCADO</v>
          </cell>
          <cell r="D5219" t="str">
            <v>REAG ABSOLUTO FUNDO DE INVESTIMENTO MULTIMERCADO</v>
          </cell>
          <cell r="E5219" t="str">
            <v>REAG ASSET MANAGEMENT LTDA</v>
          </cell>
        </row>
        <row r="5220">
          <cell r="B5220">
            <v>123553</v>
          </cell>
          <cell r="C5220" t="str">
            <v>AQUILLA HEDGE FIM</v>
          </cell>
          <cell r="D5220" t="str">
            <v>AQUILLA HEDGE FIM</v>
          </cell>
          <cell r="E5220" t="str">
            <v>AQ3 ASSET MANAGEMENT LTDA</v>
          </cell>
        </row>
        <row r="5221">
          <cell r="B5221">
            <v>123554</v>
          </cell>
          <cell r="C5221" t="str">
            <v>VISTA LONG SHORT FIM</v>
          </cell>
          <cell r="D5221" t="str">
            <v>VISTA LONG SHORT FIM</v>
          </cell>
          <cell r="E5221" t="str">
            <v>VISTA CAPITAL GESTORA DE RECURSOS LTDA</v>
          </cell>
        </row>
        <row r="5222">
          <cell r="B5222">
            <v>123555</v>
          </cell>
          <cell r="C5222" t="str">
            <v>VISTA MULTIESTRATEGIA FIM</v>
          </cell>
          <cell r="D5222" t="str">
            <v>VISTA MULTIESTRATEGIA FIM</v>
          </cell>
          <cell r="E5222" t="str">
            <v>VISTA CAPITAL GESTORA DE RECURSOS LTDA</v>
          </cell>
        </row>
        <row r="5223">
          <cell r="B5223">
            <v>123556</v>
          </cell>
          <cell r="C5223" t="str">
            <v>VISTA FIA ( ANTIGO L3 FIA)</v>
          </cell>
          <cell r="D5223" t="str">
            <v>VISTA FIA ( ANTIGO L3 FIA)</v>
          </cell>
          <cell r="E5223" t="str">
            <v>VISTA CAPITAL GESTORA DE RECURSOS LTDA</v>
          </cell>
        </row>
        <row r="5224">
          <cell r="B5224">
            <v>123557</v>
          </cell>
          <cell r="C5224" t="str">
            <v>MORGAN STANLEY CTVM S/A</v>
          </cell>
          <cell r="D5224" t="str">
            <v>MORGAN STANLEY CTVM S/A</v>
          </cell>
          <cell r="E5224" t="str">
            <v>MORGAN STANLEY CTVM S/A</v>
          </cell>
        </row>
        <row r="5225">
          <cell r="B5225">
            <v>123558</v>
          </cell>
          <cell r="C5225" t="str">
            <v>MORGAN STANLEY CTVM S/A</v>
          </cell>
          <cell r="D5225" t="str">
            <v>MORGAN STANLEY CTVM S/A</v>
          </cell>
          <cell r="E5225" t="str">
            <v>MORGAN STANLEY CTVM S/A</v>
          </cell>
        </row>
        <row r="5226">
          <cell r="B5226">
            <v>123559</v>
          </cell>
          <cell r="C5226" t="str">
            <v>MORGAN STANLEY CTVM S/A</v>
          </cell>
          <cell r="D5226" t="str">
            <v>MORGAN STANLEY CTVM S/A</v>
          </cell>
          <cell r="E5226" t="str">
            <v>MORGAN STANLEY CTVM S/A</v>
          </cell>
        </row>
        <row r="5227">
          <cell r="B5227">
            <v>12356</v>
          </cell>
          <cell r="C5227" t="str">
            <v>IP ADMINISTRAÃ‡ÃƒO DE CARTEIRAS GLOBAL LTDA</v>
          </cell>
          <cell r="D5227" t="str">
            <v>IP ADMINISTRAÃ‡ÃƒO DE CARTEIRAS GLOBAL LTDA</v>
          </cell>
          <cell r="E5227" t="str">
            <v>IP ADMINISTRAÃ‡ÃƒO DE CARTEIRAS GLOBAL LTDA</v>
          </cell>
        </row>
        <row r="5228">
          <cell r="B5228">
            <v>123560</v>
          </cell>
          <cell r="C5228" t="str">
            <v>MORGAN STANLEY CTVM S/A</v>
          </cell>
          <cell r="D5228" t="str">
            <v>MORGAN STANLEY CTVM S/A</v>
          </cell>
          <cell r="E5228" t="str">
            <v>MORGAN STANLEY CTVM S/A</v>
          </cell>
        </row>
        <row r="5229">
          <cell r="B5229">
            <v>123561</v>
          </cell>
          <cell r="C5229" t="str">
            <v>MORGAN STANLEY CTVM S/A</v>
          </cell>
          <cell r="D5229" t="str">
            <v>MORGAN STANLEY CTVM S/A</v>
          </cell>
          <cell r="E5229" t="str">
            <v>MORGAN STANLEY CTVM S/A</v>
          </cell>
        </row>
        <row r="5230">
          <cell r="B5230">
            <v>123562</v>
          </cell>
          <cell r="C5230" t="str">
            <v>MORGAN STANLEY CTVM S/A</v>
          </cell>
          <cell r="D5230" t="str">
            <v>MORGAN STANLEY CTVM S/A</v>
          </cell>
          <cell r="E5230" t="str">
            <v>MORGAN STANLEY CTVM S/A</v>
          </cell>
        </row>
        <row r="5231">
          <cell r="B5231">
            <v>123563</v>
          </cell>
          <cell r="C5231" t="str">
            <v>MORGAN STANLEY CTVM S/A</v>
          </cell>
          <cell r="D5231" t="str">
            <v>MORGAN STANLEY CTVM S/A</v>
          </cell>
          <cell r="E5231" t="str">
            <v>MORGAN STANLEY CTVM S/A</v>
          </cell>
        </row>
        <row r="5232">
          <cell r="B5232">
            <v>123564</v>
          </cell>
          <cell r="C5232" t="str">
            <v>MORGAN STANLEY CTVM S/A</v>
          </cell>
          <cell r="D5232" t="str">
            <v>MORGAN STANLEY CTVM S/A</v>
          </cell>
          <cell r="E5232" t="str">
            <v>MORGAN STANLEY CTVM S/A</v>
          </cell>
        </row>
        <row r="5233">
          <cell r="B5233">
            <v>123565</v>
          </cell>
          <cell r="C5233" t="str">
            <v>MORGAN STANLEY CTVM S/A</v>
          </cell>
          <cell r="D5233" t="str">
            <v>MORGAN STANLEY CTVM S/A</v>
          </cell>
          <cell r="E5233" t="str">
            <v>MORGAN STANLEY CTVM S/A</v>
          </cell>
        </row>
        <row r="5234">
          <cell r="B5234">
            <v>123567</v>
          </cell>
          <cell r="C5234" t="str">
            <v>MORGAN STANLEY CTVM S/A</v>
          </cell>
          <cell r="D5234" t="str">
            <v>MORGAN STANLEY CTVM S/A</v>
          </cell>
          <cell r="E5234" t="str">
            <v>MORGAN STANLEY CTVM S/A</v>
          </cell>
        </row>
        <row r="5235">
          <cell r="B5235">
            <v>123568</v>
          </cell>
          <cell r="C5235" t="str">
            <v>MORGAN STANLEY CTVM S/A</v>
          </cell>
          <cell r="D5235" t="str">
            <v>MORGAN STANLEY CTVM S/A</v>
          </cell>
          <cell r="E5235" t="str">
            <v>MORGAN STANLEY CTVM S/A</v>
          </cell>
        </row>
        <row r="5236">
          <cell r="B5236">
            <v>123569</v>
          </cell>
          <cell r="C5236" t="str">
            <v>MORGAN STANLEY CTVM S/A</v>
          </cell>
          <cell r="D5236" t="str">
            <v>MORGAN STANLEY CTVM S/A</v>
          </cell>
          <cell r="E5236" t="str">
            <v>MORGAN STANLEY CTVM S/A</v>
          </cell>
        </row>
        <row r="5237">
          <cell r="B5237">
            <v>12357</v>
          </cell>
          <cell r="C5237" t="str">
            <v>INVESTIDOR PROFISSIONAL GESTAO DE RECURSOS LTDA</v>
          </cell>
          <cell r="D5237" t="str">
            <v>INVESTIDOR PROFISSIONAL GESTAO DE RECURSOS LTDA</v>
          </cell>
          <cell r="E5237" t="str">
            <v>INVESTIDOR PROFISSIONAL GESTAO DE RECURSOS LTDA</v>
          </cell>
        </row>
        <row r="5238">
          <cell r="B5238">
            <v>123570</v>
          </cell>
          <cell r="C5238" t="str">
            <v>MORGAN STANLEY CTVM S/A</v>
          </cell>
          <cell r="D5238" t="str">
            <v>MORGAN STANLEY CTVM S/A</v>
          </cell>
          <cell r="E5238" t="str">
            <v>MORGAN STANLEY CTVM S/A</v>
          </cell>
        </row>
        <row r="5239">
          <cell r="B5239">
            <v>123571</v>
          </cell>
          <cell r="C5239" t="str">
            <v>MORGAN STANLEY CTVM S/A</v>
          </cell>
          <cell r="D5239" t="str">
            <v>MORGAN STANLEY CTVM S/A</v>
          </cell>
          <cell r="E5239" t="str">
            <v>MORGAN STANLEY CTVM S/A</v>
          </cell>
        </row>
        <row r="5240">
          <cell r="B5240">
            <v>123572</v>
          </cell>
          <cell r="C5240" t="str">
            <v>QUELUZ MACRO I FIM</v>
          </cell>
          <cell r="D5240" t="str">
            <v>QUELUZ MACRO I FIM</v>
          </cell>
          <cell r="E5240" t="str">
            <v>QLZ GESTAO DE RECURSOS FINANCEIROS LTDA</v>
          </cell>
        </row>
        <row r="5241">
          <cell r="B5241">
            <v>123573</v>
          </cell>
          <cell r="C5241" t="str">
            <v>QUELUZ ALPHA FIM</v>
          </cell>
          <cell r="D5241" t="str">
            <v>QUELUZ ALPHA FIM</v>
          </cell>
          <cell r="E5241" t="str">
            <v>QLZ GESTAO DE RECURSOS FINANCEIROS LTDA</v>
          </cell>
        </row>
        <row r="5242">
          <cell r="B5242">
            <v>123574</v>
          </cell>
          <cell r="C5242" t="str">
            <v>QUELUZ TRADER FIM</v>
          </cell>
          <cell r="D5242" t="str">
            <v>QUELUZ TRADER FIM</v>
          </cell>
          <cell r="E5242" t="str">
            <v>QLZ GESTAO DE RECURSOS FINANCEIROS LTDA</v>
          </cell>
        </row>
        <row r="5243">
          <cell r="B5243">
            <v>123575</v>
          </cell>
          <cell r="C5243" t="str">
            <v>FIM DT</v>
          </cell>
          <cell r="D5243" t="str">
            <v>FIM DT</v>
          </cell>
          <cell r="E5243" t="str">
            <v>QLZ GESTAO DE RECURSOS FINANCEIROS LTDA</v>
          </cell>
        </row>
        <row r="5244">
          <cell r="B5244">
            <v>123576</v>
          </cell>
          <cell r="C5244" t="str">
            <v>MORGAN STANLEY CTVM S/A</v>
          </cell>
          <cell r="D5244" t="str">
            <v>MORGAN STANLEY CTVM S/A</v>
          </cell>
          <cell r="E5244" t="str">
            <v>MORGAN STANLEY CTVM S/A</v>
          </cell>
        </row>
        <row r="5245">
          <cell r="B5245">
            <v>123577</v>
          </cell>
          <cell r="C5245" t="str">
            <v>MORGAN STANLEY CTVM S/A</v>
          </cell>
          <cell r="D5245" t="str">
            <v>MORGAN STANLEY CTVM S/A</v>
          </cell>
          <cell r="E5245" t="str">
            <v>MORGAN STANLEY CTVM S/A</v>
          </cell>
        </row>
        <row r="5246">
          <cell r="B5246">
            <v>123578</v>
          </cell>
          <cell r="C5246" t="str">
            <v>MORGAN STANLEY CTVM S/A</v>
          </cell>
          <cell r="D5246" t="str">
            <v>MORGAN STANLEY CTVM S/A</v>
          </cell>
          <cell r="E5246" t="str">
            <v>MORGAN STANLEY CTVM S/A</v>
          </cell>
        </row>
        <row r="5247">
          <cell r="B5247">
            <v>123579</v>
          </cell>
          <cell r="C5247" t="str">
            <v>KINEA II MACRO FIM</v>
          </cell>
          <cell r="D5247" t="str">
            <v>KINEA II MACRO FIM</v>
          </cell>
          <cell r="E5247" t="str">
            <v>KINEA II MACRO FIM</v>
          </cell>
        </row>
        <row r="5248">
          <cell r="B5248">
            <v>12358</v>
          </cell>
          <cell r="C5248" t="str">
            <v>MULTIPLICA CAPITAL ASSET MANAGEMENT LTDA</v>
          </cell>
          <cell r="D5248" t="str">
            <v>MULTIPLICA CAPITAL ASSET MANAGEMENT LTDA</v>
          </cell>
          <cell r="E5248" t="str">
            <v>MULTIPLICA CAPITAL ASSET MANAGEMENT LTDA</v>
          </cell>
        </row>
        <row r="5249">
          <cell r="B5249">
            <v>123580</v>
          </cell>
          <cell r="C5249" t="str">
            <v>KINEA PREV MULTIMERCADO FIM</v>
          </cell>
          <cell r="D5249" t="str">
            <v>KINEA PREV MULTIMERCADO FIM</v>
          </cell>
          <cell r="E5249" t="str">
            <v>KINEA PREV MULTIMERCADO FIM</v>
          </cell>
        </row>
        <row r="5250">
          <cell r="B5250">
            <v>123581</v>
          </cell>
          <cell r="C5250" t="str">
            <v>KINEA CHRONOS FIM</v>
          </cell>
          <cell r="D5250" t="str">
            <v>KINEA CHRONOS FIM</v>
          </cell>
          <cell r="E5250" t="str">
            <v>KINEA CHRONOS FIM</v>
          </cell>
        </row>
        <row r="5251">
          <cell r="B5251">
            <v>123582</v>
          </cell>
          <cell r="C5251" t="str">
            <v>FI RF PREVISAO II</v>
          </cell>
          <cell r="D5251" t="str">
            <v>FI RF PREVISAO II</v>
          </cell>
          <cell r="E5251" t="str">
            <v>SANTANDER BRASIL GESTAO DE RECURSOS LTDA</v>
          </cell>
        </row>
        <row r="5252">
          <cell r="B5252">
            <v>123583</v>
          </cell>
          <cell r="C5252" t="str">
            <v>FIA DELOS</v>
          </cell>
          <cell r="D5252" t="str">
            <v>FIA DELOS</v>
          </cell>
          <cell r="E5252" t="str">
            <v>SANTANDER BRASIL GESTAO DE RECURSOS LTDA</v>
          </cell>
        </row>
        <row r="5253">
          <cell r="B5253">
            <v>123584</v>
          </cell>
          <cell r="C5253" t="str">
            <v>CORAL FIM CP</v>
          </cell>
          <cell r="D5253" t="str">
            <v>CORAL FIM CP</v>
          </cell>
          <cell r="E5253" t="str">
            <v>SANTANDER BRASIL GESTAO DE RECURSOS LTDA</v>
          </cell>
        </row>
        <row r="5254">
          <cell r="B5254">
            <v>123585</v>
          </cell>
          <cell r="C5254" t="str">
            <v>CREDIT SUISSE (BRASIL) S/A CTVM</v>
          </cell>
          <cell r="D5254" t="str">
            <v>CREDIT SUISSE (BRASIL) S/A CTVM</v>
          </cell>
          <cell r="E5254" t="str">
            <v>CREDIT SUISSE (BRASIL) S/A CTVM</v>
          </cell>
        </row>
        <row r="5255">
          <cell r="B5255">
            <v>123586</v>
          </cell>
          <cell r="C5255" t="str">
            <v>LETICIA CARVALHO MALTA</v>
          </cell>
          <cell r="D5255" t="str">
            <v>LETICIA CARVALHO MALTA</v>
          </cell>
          <cell r="E5255" t="str">
            <v>LETICIA CARVALHO MALTA</v>
          </cell>
        </row>
        <row r="5256">
          <cell r="B5256">
            <v>123587</v>
          </cell>
          <cell r="C5256" t="str">
            <v>MARCELO CARVALHO MALTA</v>
          </cell>
          <cell r="D5256" t="str">
            <v>MARCELO CARVALHO MALTA</v>
          </cell>
          <cell r="E5256" t="str">
            <v>MARCELO CARVALHO MALTA</v>
          </cell>
        </row>
        <row r="5257">
          <cell r="B5257">
            <v>123588</v>
          </cell>
          <cell r="C5257" t="str">
            <v>MORGAN STANLEY CTVM S/A</v>
          </cell>
          <cell r="D5257" t="str">
            <v>MORGAN STANLEY CTVM S/A</v>
          </cell>
          <cell r="E5257" t="str">
            <v>MORGAN STANLEY CTVM S/A</v>
          </cell>
        </row>
        <row r="5258">
          <cell r="B5258">
            <v>123589</v>
          </cell>
          <cell r="C5258" t="str">
            <v>MORGAN STANLEY CTVM S/A</v>
          </cell>
          <cell r="D5258" t="str">
            <v>MORGAN STANLEY CTVM S/A</v>
          </cell>
          <cell r="E5258" t="str">
            <v>MORGAN STANLEY CTVM S/A</v>
          </cell>
        </row>
        <row r="5259">
          <cell r="B5259">
            <v>12359</v>
          </cell>
          <cell r="C5259" t="str">
            <v>GPM GESTAO DE RECURSOS LTDA</v>
          </cell>
          <cell r="D5259" t="str">
            <v>GPM GESTAO DE RECURSOS LTDA</v>
          </cell>
          <cell r="E5259" t="str">
            <v>GPM GESTAO DE RECURSOS LTDA</v>
          </cell>
        </row>
        <row r="5260">
          <cell r="B5260">
            <v>123590</v>
          </cell>
          <cell r="C5260" t="str">
            <v>MORGAN STANLEY CTVM S/A</v>
          </cell>
          <cell r="D5260" t="str">
            <v>MORGAN STANLEY CTVM S/A</v>
          </cell>
          <cell r="E5260" t="str">
            <v>MORGAN STANLEY CTVM S/A</v>
          </cell>
        </row>
        <row r="5261">
          <cell r="B5261">
            <v>123591</v>
          </cell>
          <cell r="C5261" t="str">
            <v>MORGAN STANLEY CTVM S/A</v>
          </cell>
          <cell r="D5261" t="str">
            <v>MORGAN STANLEY CTVM S/A</v>
          </cell>
          <cell r="E5261" t="str">
            <v>MORGAN STANLEY CTVM S/A</v>
          </cell>
        </row>
        <row r="5262">
          <cell r="B5262">
            <v>123592</v>
          </cell>
          <cell r="C5262" t="str">
            <v>MORGAN STANLEY CTVM S/A</v>
          </cell>
          <cell r="D5262" t="str">
            <v>MORGAN STANLEY CTVM S/A</v>
          </cell>
          <cell r="E5262" t="str">
            <v>MORGAN STANLEY CTVM S/A</v>
          </cell>
        </row>
        <row r="5263">
          <cell r="B5263">
            <v>123593</v>
          </cell>
          <cell r="C5263" t="str">
            <v>MORGAN STANLEY CTVM S/A</v>
          </cell>
          <cell r="D5263" t="str">
            <v>MORGAN STANLEY CTVM S/A</v>
          </cell>
          <cell r="E5263" t="str">
            <v>MORGAN STANLEY CTVM S/A</v>
          </cell>
        </row>
        <row r="5264">
          <cell r="B5264">
            <v>123594</v>
          </cell>
          <cell r="C5264" t="str">
            <v>MORGAN STANLEY CTVM S/A</v>
          </cell>
          <cell r="D5264" t="str">
            <v>MORGAN STANLEY CTVM S/A</v>
          </cell>
          <cell r="E5264" t="str">
            <v>MORGAN STANLEY CTVM S/A</v>
          </cell>
        </row>
        <row r="5265">
          <cell r="B5265">
            <v>123595</v>
          </cell>
          <cell r="C5265" t="str">
            <v>MORGAN STANLEY CTVM S/A</v>
          </cell>
          <cell r="D5265" t="str">
            <v>MORGAN STANLEY CTVM S/A</v>
          </cell>
          <cell r="E5265" t="str">
            <v>MORGAN STANLEY CTVM S/A</v>
          </cell>
        </row>
        <row r="5266">
          <cell r="B5266">
            <v>123596</v>
          </cell>
          <cell r="C5266" t="str">
            <v>MORGAN STANLEY CTVM S/A</v>
          </cell>
          <cell r="D5266" t="str">
            <v>MORGAN STANLEY CTVM S/A</v>
          </cell>
          <cell r="E5266" t="str">
            <v>MORGAN STANLEY CTVM S/A</v>
          </cell>
        </row>
        <row r="5267">
          <cell r="B5267">
            <v>123597</v>
          </cell>
          <cell r="C5267" t="str">
            <v>MORGAN STANLEY CTVM S/A</v>
          </cell>
          <cell r="D5267" t="str">
            <v>MORGAN STANLEY CTVM S/A</v>
          </cell>
          <cell r="E5267" t="str">
            <v>MORGAN STANLEY CTVM S/A</v>
          </cell>
        </row>
        <row r="5268">
          <cell r="B5268">
            <v>123598</v>
          </cell>
          <cell r="C5268" t="str">
            <v>MORGAN STANLEY CTVM S/A</v>
          </cell>
          <cell r="D5268" t="str">
            <v>MORGAN STANLEY CTVM S/A</v>
          </cell>
          <cell r="E5268" t="str">
            <v>MORGAN STANLEY CTVM S/A</v>
          </cell>
        </row>
        <row r="5269">
          <cell r="B5269">
            <v>123599</v>
          </cell>
          <cell r="C5269" t="str">
            <v>BBM BRAZIL EQUITY FUND LLC</v>
          </cell>
          <cell r="D5269" t="str">
            <v>BBM BRAZIL EQUITY FUND LLC</v>
          </cell>
          <cell r="E5269" t="str">
            <v>BBM BRAZIL EQUITY FUND LLC</v>
          </cell>
        </row>
        <row r="5270">
          <cell r="B5270">
            <v>1236</v>
          </cell>
          <cell r="C5270" t="str">
            <v>INTERBOLSA DO BRASIL CCTVM LTDA</v>
          </cell>
          <cell r="D5270" t="str">
            <v>INTERBOLSA DO BRASIL CCTVM LTDA</v>
          </cell>
          <cell r="E5270" t="str">
            <v>INTERBOLSA DO BRASIL CCTVM LTDA</v>
          </cell>
        </row>
        <row r="5271">
          <cell r="B5271">
            <v>12360</v>
          </cell>
          <cell r="C5271" t="str">
            <v>AT FIM CP IE</v>
          </cell>
          <cell r="D5271" t="str">
            <v>AT FIM CP IE</v>
          </cell>
          <cell r="E5271" t="str">
            <v>AT FIM CP IE</v>
          </cell>
        </row>
        <row r="5272">
          <cell r="B5272">
            <v>123600</v>
          </cell>
          <cell r="C5272" t="str">
            <v>BOZANO MACRO MASTER FIM</v>
          </cell>
          <cell r="D5272" t="str">
            <v>BOZANO MACRO MASTER FIM</v>
          </cell>
          <cell r="E5272" t="str">
            <v>BOZANO MACRO MASTER FIM</v>
          </cell>
        </row>
        <row r="5273">
          <cell r="B5273">
            <v>123601</v>
          </cell>
          <cell r="C5273" t="str">
            <v>IPORANGA MACRO FIM</v>
          </cell>
          <cell r="D5273" t="str">
            <v>IPORANGA MACRO FIM</v>
          </cell>
          <cell r="E5273" t="str">
            <v>IPORANGA INVESTIMENTOS LTDA</v>
          </cell>
        </row>
        <row r="5274">
          <cell r="B5274">
            <v>123602</v>
          </cell>
          <cell r="C5274" t="str">
            <v>HERTZ FIM PREVIDENCIARIO</v>
          </cell>
          <cell r="D5274" t="str">
            <v>HERTZ FIM PREVIDENCIARIO</v>
          </cell>
          <cell r="E5274" t="str">
            <v>HERTZ FIM PREVIDENCIARIO</v>
          </cell>
        </row>
        <row r="5275">
          <cell r="B5275">
            <v>123603</v>
          </cell>
          <cell r="C5275" t="str">
            <v>RAFAEL MIRANDA NOGUEIRA</v>
          </cell>
          <cell r="D5275" t="str">
            <v>RAFAEL MIRANDA NOGUEIRA</v>
          </cell>
          <cell r="E5275" t="str">
            <v>RAFAEL MIRANDA NOGUEIRA</v>
          </cell>
        </row>
        <row r="5276">
          <cell r="B5276">
            <v>123604</v>
          </cell>
          <cell r="C5276" t="str">
            <v>ANA PAULA CORREIA HOLLANDA</v>
          </cell>
          <cell r="D5276" t="str">
            <v>ANA PAULA CORREIA HOLLANDA</v>
          </cell>
          <cell r="E5276" t="str">
            <v>ANA PAULA CORREIA HOLLANDA</v>
          </cell>
        </row>
        <row r="5277">
          <cell r="B5277">
            <v>123605</v>
          </cell>
          <cell r="C5277" t="str">
            <v>NOVA JAVA FIM CP IE</v>
          </cell>
          <cell r="D5277" t="str">
            <v>NOVA JAVA FIM CP IE</v>
          </cell>
          <cell r="E5277" t="str">
            <v>QUATA GESTAO DE RECURSOS LTDA</v>
          </cell>
        </row>
        <row r="5278">
          <cell r="B5278">
            <v>123606</v>
          </cell>
          <cell r="C5278" t="str">
            <v>FIM CP BERETTA IE</v>
          </cell>
          <cell r="D5278" t="str">
            <v>FIM CP BERETTA IE</v>
          </cell>
          <cell r="E5278" t="str">
            <v>QUATA GESTAO DE RECURSOS LTDA</v>
          </cell>
        </row>
        <row r="5279">
          <cell r="B5279">
            <v>123607</v>
          </cell>
          <cell r="C5279" t="str">
            <v>SELECT FI RF CP</v>
          </cell>
          <cell r="D5279" t="str">
            <v>SELECT FI RF CP</v>
          </cell>
          <cell r="E5279" t="str">
            <v>QUATA GESTAO DE RECURSOS LTDA</v>
          </cell>
        </row>
        <row r="5280">
          <cell r="B5280">
            <v>123608</v>
          </cell>
          <cell r="C5280" t="str">
            <v>FIDES HEDGE PLUS FIM</v>
          </cell>
          <cell r="D5280" t="str">
            <v>FIDES HEDGE PLUS FIM</v>
          </cell>
          <cell r="E5280" t="str">
            <v>TAVOLA CAPITAL GESTAO DE RECURSOS LTDA</v>
          </cell>
        </row>
        <row r="5281">
          <cell r="B5281">
            <v>79589</v>
          </cell>
          <cell r="C5281" t="str">
            <v>BRASIL PLURAL MULTIMANAGER BBDC FIM</v>
          </cell>
          <cell r="D5281" t="str">
            <v>BRASIL PLURAL MULTIMANAGER BBDC FIM</v>
          </cell>
          <cell r="E5281" t="str">
            <v>BRASIL PLURAL MULTIMANAGER BBDC FIM</v>
          </cell>
        </row>
        <row r="5282">
          <cell r="B5282">
            <v>12361</v>
          </cell>
          <cell r="C5282" t="str">
            <v>GBS FUNDO DE INVESTIMENTO MULTIMERCADO</v>
          </cell>
          <cell r="D5282" t="str">
            <v>GBS FUNDO DE INVESTIMENTO MULTIMERCADO</v>
          </cell>
          <cell r="E5282" t="str">
            <v>GAVEA GESTAO DE INVESTIMENTOS LTDA</v>
          </cell>
        </row>
        <row r="5283">
          <cell r="B5283">
            <v>123610</v>
          </cell>
          <cell r="C5283" t="str">
            <v>BANCO FATOR S/A</v>
          </cell>
          <cell r="D5283" t="str">
            <v>BANCO FATOR S/A</v>
          </cell>
          <cell r="E5283" t="str">
            <v>BANCO FATOR S/A</v>
          </cell>
        </row>
        <row r="5284">
          <cell r="B5284">
            <v>123611</v>
          </cell>
          <cell r="C5284" t="str">
            <v>IP GLOBAL MASTER FIA BDR NIVEL I - IE</v>
          </cell>
          <cell r="D5284" t="str">
            <v>IP GLOBAL MASTER FIA BDR NIVEL I - IE</v>
          </cell>
          <cell r="E5284" t="str">
            <v>IP ADMINISTRAÃ‡ÃƒO DE CARTEIRAS GLOBAL LTDA</v>
          </cell>
        </row>
        <row r="5285">
          <cell r="B5285">
            <v>123612</v>
          </cell>
          <cell r="C5285" t="str">
            <v>IP VALUE HEDGE MASTER FIA BDR NIVEL I</v>
          </cell>
          <cell r="D5285" t="str">
            <v>IP VALUE HEDGE MASTER FIA BDR NIVEL I</v>
          </cell>
          <cell r="E5285" t="str">
            <v>IP VALUE HEDGE MASTER FIA BDR NIVEL I</v>
          </cell>
        </row>
        <row r="5286">
          <cell r="B5286">
            <v>123613</v>
          </cell>
          <cell r="C5286" t="str">
            <v>IP PARTICIPAÃ‡Ã•ES MASTER FIA BDR NIVEL I</v>
          </cell>
          <cell r="D5286" t="str">
            <v>IP PARTICIPAÃ‡Ã•ES MASTER FIA BDR NIVEL I</v>
          </cell>
          <cell r="E5286" t="str">
            <v>IP PARTICIPAÃ‡Ã•ES MASTER FIA BDR NIVEL I</v>
          </cell>
        </row>
        <row r="5287">
          <cell r="B5287">
            <v>123614</v>
          </cell>
          <cell r="C5287" t="str">
            <v>IP BRASIL INSTITUCIONAL MASTER FIA</v>
          </cell>
          <cell r="D5287" t="str">
            <v>IP BRASIL INSTITUCIONAL MASTER FIA</v>
          </cell>
          <cell r="E5287" t="str">
            <v>IP BRASIL INSTITUCIONAL MASTER FIA</v>
          </cell>
        </row>
        <row r="5288">
          <cell r="B5288">
            <v>123615</v>
          </cell>
          <cell r="C5288" t="str">
            <v>BANESPREV MAIS VALOR AÇOES FI</v>
          </cell>
          <cell r="D5288" t="str">
            <v>BANESPREV MAIS VALOR AÇOES FI</v>
          </cell>
          <cell r="E5288" t="str">
            <v>INVESTIDOR PROFISSIONAL GESTAO DE RECURSOS LTDA</v>
          </cell>
        </row>
        <row r="5289">
          <cell r="B5289">
            <v>123616</v>
          </cell>
          <cell r="C5289" t="str">
            <v>BRANSFIELD LLC</v>
          </cell>
          <cell r="D5289" t="str">
            <v>BRANSFIELD LLC</v>
          </cell>
          <cell r="E5289" t="str">
            <v>BRANSFIELD LLC</v>
          </cell>
        </row>
        <row r="5290">
          <cell r="B5290">
            <v>123617</v>
          </cell>
          <cell r="C5290" t="str">
            <v>HATTERAS LLC</v>
          </cell>
          <cell r="D5290" t="str">
            <v>HATTERAS LLC</v>
          </cell>
          <cell r="E5290" t="str">
            <v>HATTERAS LLC</v>
          </cell>
        </row>
        <row r="5291">
          <cell r="B5291">
            <v>123618</v>
          </cell>
          <cell r="C5291" t="str">
            <v>SLANEY LLC</v>
          </cell>
          <cell r="D5291" t="str">
            <v>SLANEY LLC</v>
          </cell>
          <cell r="E5291" t="str">
            <v>SLANEY LLC</v>
          </cell>
        </row>
        <row r="5292">
          <cell r="B5292">
            <v>123619</v>
          </cell>
          <cell r="C5292" t="str">
            <v>VODKA LLC</v>
          </cell>
          <cell r="D5292" t="str">
            <v>VODKA LLC</v>
          </cell>
          <cell r="E5292" t="str">
            <v>VODKA LLC</v>
          </cell>
        </row>
        <row r="5293">
          <cell r="B5293">
            <v>12362</v>
          </cell>
          <cell r="C5293" t="str">
            <v>GAVEA BRASIL FUNDO DE INVESTIMENTO MULTIMERCADO</v>
          </cell>
          <cell r="D5293" t="str">
            <v>GAVEA BRASIL FUNDO DE INVESTIMENTO MULTIMERCADO</v>
          </cell>
          <cell r="E5293" t="str">
            <v>GAVEA BRASIL FUNDO DE INVESTIMENTO MULTIMERCADO</v>
          </cell>
        </row>
        <row r="5294">
          <cell r="B5294">
            <v>122285</v>
          </cell>
          <cell r="C5294" t="str">
            <v>FIM CP MERO</v>
          </cell>
          <cell r="D5294" t="str">
            <v>FIM CP MERO</v>
          </cell>
          <cell r="E5294" t="str">
            <v>PLURAL GESTÃO DE RECURSOS LTDA</v>
          </cell>
        </row>
        <row r="5295">
          <cell r="B5295">
            <v>123621</v>
          </cell>
          <cell r="C5295" t="str">
            <v>FI CAIXA FGP-PR MULTIMERCADO</v>
          </cell>
          <cell r="D5295" t="str">
            <v>FI CAIXA FGP-PR MULTIMERCADO</v>
          </cell>
          <cell r="E5295" t="str">
            <v>FI CAIXA FGP-PR MULTIMERCADO</v>
          </cell>
        </row>
        <row r="5296">
          <cell r="B5296">
            <v>123622</v>
          </cell>
          <cell r="C5296" t="str">
            <v>ARX CELOS FIM</v>
          </cell>
          <cell r="D5296" t="str">
            <v>ARX CELOS FIM</v>
          </cell>
          <cell r="E5296" t="str">
            <v>ARX INVESTIMENTOS LTDA</v>
          </cell>
        </row>
        <row r="5297">
          <cell r="B5297">
            <v>123623</v>
          </cell>
          <cell r="C5297" t="str">
            <v>FIA MEAIPE IBX ATIVO</v>
          </cell>
          <cell r="D5297" t="str">
            <v>FIA MEAIPE IBX ATIVO</v>
          </cell>
          <cell r="E5297" t="str">
            <v>BRAM - BRADESCO ASSET MANAGEMENT S/A DTVM</v>
          </cell>
        </row>
        <row r="5298">
          <cell r="B5298">
            <v>123624</v>
          </cell>
          <cell r="C5298" t="str">
            <v>FIA MALDIVAS</v>
          </cell>
          <cell r="D5298" t="str">
            <v>FIA MALDIVAS</v>
          </cell>
          <cell r="E5298" t="str">
            <v>BRAM - BRADESCO ASSET MANAGEMENT S/A DTVM</v>
          </cell>
        </row>
        <row r="5299">
          <cell r="B5299">
            <v>123625</v>
          </cell>
          <cell r="C5299" t="str">
            <v>MORGAN STANLEY CTVM S/A</v>
          </cell>
          <cell r="D5299" t="str">
            <v>MORGAN STANLEY CTVM S/A</v>
          </cell>
          <cell r="E5299" t="str">
            <v>MORGAN STANLEY CTVM S/A</v>
          </cell>
        </row>
        <row r="5300">
          <cell r="B5300">
            <v>123626</v>
          </cell>
          <cell r="C5300" t="str">
            <v>MORGAN STANLEY CTVM S/A</v>
          </cell>
          <cell r="D5300" t="str">
            <v>MORGAN STANLEY CTVM S/A</v>
          </cell>
          <cell r="E5300" t="str">
            <v>MORGAN STANLEY CTVM S/A</v>
          </cell>
        </row>
        <row r="5301">
          <cell r="B5301">
            <v>123627</v>
          </cell>
          <cell r="C5301" t="str">
            <v>MORGAN STANLEY CTVM S/A</v>
          </cell>
          <cell r="D5301" t="str">
            <v>MORGAN STANLEY CTVM S/A</v>
          </cell>
          <cell r="E5301" t="str">
            <v>MORGAN STANLEY CTVM S/A</v>
          </cell>
        </row>
        <row r="5302">
          <cell r="B5302">
            <v>123628</v>
          </cell>
          <cell r="C5302" t="str">
            <v>MORGAN STANLEY CTVM S/A</v>
          </cell>
          <cell r="D5302" t="str">
            <v>MORGAN STANLEY CTVM S/A</v>
          </cell>
          <cell r="E5302" t="str">
            <v>MORGAN STANLEY CTVM S/A</v>
          </cell>
        </row>
        <row r="5303">
          <cell r="B5303">
            <v>123629</v>
          </cell>
          <cell r="C5303" t="str">
            <v>MORGAN STANLEY CTVM S/A</v>
          </cell>
          <cell r="D5303" t="str">
            <v>MORGAN STANLEY CTVM S/A</v>
          </cell>
          <cell r="E5303" t="str">
            <v>MORGAN STANLEY CTVM S/A</v>
          </cell>
        </row>
        <row r="5304">
          <cell r="B5304">
            <v>12363</v>
          </cell>
          <cell r="C5304" t="str">
            <v>GAVEA MACRO MASTER FIM</v>
          </cell>
          <cell r="D5304" t="str">
            <v>GAVEA MACRO MASTER FIM</v>
          </cell>
          <cell r="E5304" t="str">
            <v>GAVEA GESTAO DE INVESTIMENTOS LTDA</v>
          </cell>
        </row>
        <row r="5305">
          <cell r="B5305">
            <v>123630</v>
          </cell>
          <cell r="C5305" t="str">
            <v>MODENA INSTITUCIONAL GEAP FIA</v>
          </cell>
          <cell r="D5305" t="str">
            <v>MODENA INSTITUCIONAL GEAP FIA</v>
          </cell>
          <cell r="E5305" t="str">
            <v>ARX INVESTIMENTOS LTDA</v>
          </cell>
        </row>
        <row r="5306">
          <cell r="B5306">
            <v>123631</v>
          </cell>
          <cell r="C5306" t="str">
            <v>OMF FIM CP IE</v>
          </cell>
          <cell r="D5306" t="str">
            <v>OMF FIM CP IE</v>
          </cell>
          <cell r="E5306" t="str">
            <v>MULTIPLICA CAPITAL ASSET MANAGEMENT LTDA</v>
          </cell>
        </row>
        <row r="5307">
          <cell r="B5307">
            <v>123632</v>
          </cell>
          <cell r="C5307" t="str">
            <v>POLARIS1 MULTIMERCADO FI IE</v>
          </cell>
          <cell r="D5307" t="str">
            <v>POLARIS1 MULTIMERCADO FI IE</v>
          </cell>
          <cell r="E5307" t="str">
            <v>MULTIPLICA CAPITAL ASSET MANAGEMENT LTDA</v>
          </cell>
        </row>
        <row r="5308">
          <cell r="B5308">
            <v>123633</v>
          </cell>
          <cell r="C5308" t="str">
            <v>JUBELA MULTIMERCADO CP FI IE</v>
          </cell>
          <cell r="D5308" t="str">
            <v>JUBELA MULTIMERCADO CP FI IE</v>
          </cell>
          <cell r="E5308" t="str">
            <v>MULTIPLICA CAPITAL ASSET MANAGEMENT LTDA</v>
          </cell>
        </row>
        <row r="5309">
          <cell r="B5309">
            <v>123634</v>
          </cell>
          <cell r="C5309" t="str">
            <v>FIA VALOR CONSULT</v>
          </cell>
          <cell r="D5309" t="str">
            <v>FIA VALOR CONSULT</v>
          </cell>
          <cell r="E5309" t="str">
            <v>MULTIPLICA CAPITAL ASSET MANAGEMENT LTDA</v>
          </cell>
        </row>
        <row r="5310">
          <cell r="B5310">
            <v>123635</v>
          </cell>
          <cell r="C5310" t="str">
            <v>F8 FIM CP IE</v>
          </cell>
          <cell r="D5310" t="str">
            <v>F8 FIM CP IE</v>
          </cell>
          <cell r="E5310" t="str">
            <v>MULTIPLICA CAPITAL ASSET MANAGEMENT LTDA</v>
          </cell>
        </row>
        <row r="5311">
          <cell r="B5311">
            <v>123636</v>
          </cell>
          <cell r="C5311" t="str">
            <v>CAVIAR FIM CP IE</v>
          </cell>
          <cell r="D5311" t="str">
            <v>CAVIAR FIM CP IE</v>
          </cell>
          <cell r="E5311" t="str">
            <v>MULTIPLICA CAPITAL ASSET MANAGEMENT LTDA</v>
          </cell>
        </row>
        <row r="5312">
          <cell r="B5312">
            <v>123637</v>
          </cell>
          <cell r="C5312" t="str">
            <v>AMAROK MULTIMERCADO CP FI IE</v>
          </cell>
          <cell r="D5312" t="str">
            <v>AMAROK MULTIMERCADO CP FI IE</v>
          </cell>
          <cell r="E5312" t="str">
            <v>MULTIPLICA CAPITAL ASSET MANAGEMENT LTDA</v>
          </cell>
        </row>
        <row r="5313">
          <cell r="B5313">
            <v>123638</v>
          </cell>
          <cell r="C5313" t="str">
            <v>TAMADRON FIM CP IE</v>
          </cell>
          <cell r="D5313" t="str">
            <v>TAMADRON FIM CP IE</v>
          </cell>
          <cell r="E5313" t="str">
            <v>MULTIPLICA CAPITAL ASSET MANAGEMENT LTDA</v>
          </cell>
        </row>
        <row r="5314">
          <cell r="B5314">
            <v>123639</v>
          </cell>
          <cell r="C5314" t="str">
            <v>GRAU SAVANA INSTITUCIONAL FIM</v>
          </cell>
          <cell r="D5314" t="str">
            <v>GRAU SAVANA INSTITUCIONAL FIM</v>
          </cell>
          <cell r="E5314" t="str">
            <v>MULTIPLICA CAPITAL ASSET MANAGEMENT LTDA</v>
          </cell>
        </row>
        <row r="5315">
          <cell r="B5315">
            <v>12364</v>
          </cell>
          <cell r="C5315" t="str">
            <v>MACRO GAVEA FUNDO DE INVESTIMENTO MULTIMERCADO</v>
          </cell>
          <cell r="D5315" t="str">
            <v>MACRO GAVEA FUNDO DE INVESTIMENTO MULTIMERCADO</v>
          </cell>
          <cell r="E5315" t="str">
            <v>GAVEA GESTAO DE INVESTIMENTOS LTDA</v>
          </cell>
        </row>
        <row r="5316">
          <cell r="B5316">
            <v>123640</v>
          </cell>
          <cell r="C5316" t="str">
            <v>GRAU HEDGE FIM</v>
          </cell>
          <cell r="D5316" t="str">
            <v>GRAU HEDGE FIM</v>
          </cell>
          <cell r="E5316" t="str">
            <v>MULTIPLICA CAPITAL ASSET MANAGEMENT LTDA</v>
          </cell>
        </row>
        <row r="5317">
          <cell r="B5317">
            <v>123641</v>
          </cell>
          <cell r="C5317" t="str">
            <v>GRAU LONG SHORT FIM</v>
          </cell>
          <cell r="D5317" t="str">
            <v>GRAU LONG SHORT FIM</v>
          </cell>
          <cell r="E5317" t="str">
            <v>MULTIPLICA CAPITAL ASSET MANAGEMENT LTDA</v>
          </cell>
        </row>
        <row r="5318">
          <cell r="B5318">
            <v>123642</v>
          </cell>
          <cell r="C5318" t="str">
            <v>GRAU FIM CP IE</v>
          </cell>
          <cell r="D5318" t="str">
            <v>GRAU FIM CP IE</v>
          </cell>
          <cell r="E5318" t="str">
            <v>MULTIPLICA CAPITAL ASSET MANAGEMENT LTDA</v>
          </cell>
        </row>
        <row r="5319">
          <cell r="B5319">
            <v>123643</v>
          </cell>
          <cell r="C5319" t="str">
            <v>LEMARVIC FUNDO DE INVESTIMENTO MULTIMERCADO INVESTIMENTO NO</v>
          </cell>
          <cell r="D5319" t="str">
            <v>LEMARVIC FUNDO DE INVESTIMENTO MULTIMERCADO INVESTIMENTO NO</v>
          </cell>
          <cell r="E5319" t="str">
            <v>GPM GESTAO DE RECURSOS LTDA</v>
          </cell>
        </row>
        <row r="5320">
          <cell r="B5320">
            <v>123644</v>
          </cell>
          <cell r="C5320" t="str">
            <v>GPM MULTIESTRATEGIA FIM IE</v>
          </cell>
          <cell r="D5320" t="str">
            <v>GPM MULTIESTRATEGIA FIM IE</v>
          </cell>
          <cell r="E5320" t="str">
            <v>GPM GESTAO DE RECURSOS LTDA</v>
          </cell>
        </row>
        <row r="5321">
          <cell r="B5321">
            <v>123646</v>
          </cell>
          <cell r="C5321" t="str">
            <v>MORGAN STANLEY CTVM S/A</v>
          </cell>
          <cell r="D5321" t="str">
            <v>MORGAN STANLEY CTVM S/A</v>
          </cell>
          <cell r="E5321" t="str">
            <v>MORGAN STANLEY CTVM S/A</v>
          </cell>
        </row>
        <row r="5322">
          <cell r="B5322">
            <v>123647</v>
          </cell>
          <cell r="C5322" t="str">
            <v>MORGAN STANLEY CTVM S/A</v>
          </cell>
          <cell r="D5322" t="str">
            <v>MORGAN STANLEY CTVM S/A</v>
          </cell>
          <cell r="E5322" t="str">
            <v>MORGAN STANLEY CTVM S/A</v>
          </cell>
        </row>
        <row r="5323">
          <cell r="B5323">
            <v>123648</v>
          </cell>
          <cell r="C5323" t="str">
            <v>RONALD DE OLIVEIRA SOUZA</v>
          </cell>
          <cell r="D5323" t="str">
            <v>RONALD DE OLIVEIRA SOUZA</v>
          </cell>
          <cell r="E5323" t="str">
            <v>RONALD DE OLIVEIRA SOUZA</v>
          </cell>
        </row>
        <row r="5324">
          <cell r="B5324">
            <v>123649</v>
          </cell>
          <cell r="C5324" t="str">
            <v>MORGAN STANLEY CTVM S/A</v>
          </cell>
          <cell r="D5324" t="str">
            <v>MORGAN STANLEY CTVM S/A</v>
          </cell>
          <cell r="E5324" t="str">
            <v>MORGAN STANLEY CTVM S/A</v>
          </cell>
        </row>
        <row r="5325">
          <cell r="B5325">
            <v>12365</v>
          </cell>
          <cell r="C5325" t="str">
            <v>P S FUNDO DE INVESTIMENTO MULTIMERCADO</v>
          </cell>
          <cell r="D5325" t="str">
            <v>P S FUNDO DE INVESTIMENTO MULTIMERCADO</v>
          </cell>
          <cell r="E5325" t="str">
            <v>P S FUNDO DE INVESTIMENTO MULTIMERCADO</v>
          </cell>
        </row>
        <row r="5326">
          <cell r="B5326">
            <v>123650</v>
          </cell>
          <cell r="C5326" t="str">
            <v>ARX FIA</v>
          </cell>
          <cell r="D5326" t="str">
            <v>ARX FIA</v>
          </cell>
          <cell r="E5326" t="str">
            <v>ARX INVESTIMENTOS LTDA</v>
          </cell>
        </row>
        <row r="5327">
          <cell r="B5327">
            <v>123651</v>
          </cell>
          <cell r="C5327" t="str">
            <v>ARX LS MASTER FIM</v>
          </cell>
          <cell r="D5327" t="str">
            <v>ARX LS MASTER FIM</v>
          </cell>
          <cell r="E5327" t="str">
            <v>ARX INVESTIMENTOS LTDA</v>
          </cell>
        </row>
        <row r="5328">
          <cell r="B5328">
            <v>123652</v>
          </cell>
          <cell r="C5328" t="str">
            <v>ARX EXTRA FIC DE FIM</v>
          </cell>
          <cell r="D5328" t="str">
            <v>ARX EXTRA FIC DE FIM</v>
          </cell>
          <cell r="E5328" t="str">
            <v>ARX INVESTIMENTOS LTDA</v>
          </cell>
        </row>
        <row r="5329">
          <cell r="B5329">
            <v>123654</v>
          </cell>
          <cell r="C5329" t="str">
            <v>ARX INCOME FIC FIA</v>
          </cell>
          <cell r="D5329" t="str">
            <v>ARX INCOME FIC FIA</v>
          </cell>
          <cell r="E5329" t="str">
            <v>ARX INVESTIMENTOS LTDA</v>
          </cell>
        </row>
        <row r="5330">
          <cell r="B5330">
            <v>123655</v>
          </cell>
          <cell r="C5330" t="str">
            <v>ARX LONG TERM FIA</v>
          </cell>
          <cell r="D5330" t="str">
            <v>ARX LONG TERM FIA</v>
          </cell>
          <cell r="E5330" t="str">
            <v>ARX INVESTIMENTOS LTDA</v>
          </cell>
        </row>
        <row r="5331">
          <cell r="B5331">
            <v>123656</v>
          </cell>
          <cell r="C5331" t="str">
            <v>ARX LONG TERM INSTITUCIONAL FIA</v>
          </cell>
          <cell r="D5331" t="str">
            <v>ARX LONG TERM INSTITUCIONAL FIA</v>
          </cell>
          <cell r="E5331" t="str">
            <v>ARX LONG TERM INSTITUCIONAL FIA</v>
          </cell>
        </row>
        <row r="5332">
          <cell r="B5332">
            <v>123657</v>
          </cell>
          <cell r="C5332" t="str">
            <v>MORGAN STANLEY CTVM S/A</v>
          </cell>
          <cell r="D5332" t="str">
            <v>MORGAN STANLEY CTVM S/A</v>
          </cell>
          <cell r="E5332" t="str">
            <v>MORGAN STANLEY CTVM S/A</v>
          </cell>
        </row>
        <row r="5333">
          <cell r="B5333">
            <v>123658</v>
          </cell>
          <cell r="C5333" t="str">
            <v>MORGAN STANLEY CTVM S/A</v>
          </cell>
          <cell r="D5333" t="str">
            <v>MORGAN STANLEY CTVM S/A</v>
          </cell>
          <cell r="E5333" t="str">
            <v>MORGAN STANLEY CTVM S/A</v>
          </cell>
        </row>
        <row r="5334">
          <cell r="B5334">
            <v>123659</v>
          </cell>
          <cell r="C5334" t="str">
            <v>FPRV ARX MELRO FIA PREVIDENCIARIO</v>
          </cell>
          <cell r="D5334" t="str">
            <v>FPRV ARX MELRO FIA PREVIDENCIARIO</v>
          </cell>
          <cell r="E5334" t="str">
            <v>ARX INVESTIMENTOS LTDA</v>
          </cell>
        </row>
        <row r="5335">
          <cell r="B5335">
            <v>12366</v>
          </cell>
          <cell r="C5335" t="str">
            <v>CITIGROUP GLOBAL MARKETS BRASIL CCTVM S/A</v>
          </cell>
          <cell r="D5335" t="str">
            <v>CITIGROUP GLOBAL MARKETS BRASIL CCTVM S/A</v>
          </cell>
          <cell r="E5335" t="str">
            <v>BANCO CITIBANK S/A</v>
          </cell>
        </row>
        <row r="5336">
          <cell r="B5336">
            <v>123660</v>
          </cell>
          <cell r="C5336" t="str">
            <v>CITIGROUP GLOBAL MARKETS BRASIL CCTVM S/A</v>
          </cell>
          <cell r="D5336" t="str">
            <v>CITIGROUP GLOBAL MARKETS BRASIL CCTVM S/A</v>
          </cell>
          <cell r="E5336" t="str">
            <v>BANCO CITIBANK S/A</v>
          </cell>
        </row>
        <row r="5337">
          <cell r="B5337">
            <v>123661</v>
          </cell>
          <cell r="C5337" t="str">
            <v>MARCELO AUGUSTO LUSTOSA DE SOUZA</v>
          </cell>
          <cell r="D5337" t="str">
            <v>MARCELO AUGUSTO LUSTOSA DE SOUZA</v>
          </cell>
          <cell r="E5337" t="str">
            <v>MARCELO AUGUSTO LUSTOSA DE SOUZA</v>
          </cell>
        </row>
        <row r="5338">
          <cell r="B5338">
            <v>123662</v>
          </cell>
          <cell r="C5338" t="str">
            <v>BB PREVIDENCIA FUNDO DE PENSAO DO BANCO DO BRASIL</v>
          </cell>
          <cell r="D5338" t="str">
            <v>BB PREVIDENCIA FUNDO DE PENSAO DO BANCO DO BRASIL</v>
          </cell>
          <cell r="E5338" t="str">
            <v>BB GESTAO DE RECURSOS DTVM LTDA</v>
          </cell>
        </row>
        <row r="5339">
          <cell r="B5339">
            <v>123664</v>
          </cell>
          <cell r="C5339" t="str">
            <v>INVESTFORT FORTALEZA FIA</v>
          </cell>
          <cell r="D5339" t="str">
            <v>INVESTFORT FORTALEZA FIA</v>
          </cell>
          <cell r="E5339" t="str">
            <v>INVESTFORT FORTALEZA FIA</v>
          </cell>
        </row>
        <row r="5340">
          <cell r="B5340">
            <v>123665</v>
          </cell>
          <cell r="C5340" t="str">
            <v>INVESTFORT PENEDO FIA IE</v>
          </cell>
          <cell r="D5340" t="str">
            <v>INVESTFORT PENEDO FIA IE</v>
          </cell>
          <cell r="E5340" t="str">
            <v>INVESTFORT GESTAO DE INVESTIMENTOS LTDA</v>
          </cell>
        </row>
        <row r="5341">
          <cell r="B5341">
            <v>123666</v>
          </cell>
          <cell r="C5341" t="str">
            <v>TF EQUITY FIA</v>
          </cell>
          <cell r="D5341" t="str">
            <v>TF EQUITY FIA</v>
          </cell>
          <cell r="E5341" t="str">
            <v>TF EQUITY FIA</v>
          </cell>
        </row>
        <row r="5342">
          <cell r="B5342">
            <v>123667</v>
          </cell>
          <cell r="C5342" t="str">
            <v>ARX II FIC DE FIM</v>
          </cell>
          <cell r="D5342" t="str">
            <v>ARX II FIC DE FIM</v>
          </cell>
          <cell r="E5342" t="str">
            <v>ARX INVESTIMENTOS LTDA</v>
          </cell>
        </row>
        <row r="5343">
          <cell r="B5343">
            <v>123668</v>
          </cell>
          <cell r="C5343" t="str">
            <v>ARX LONG SHORT MASTER II FIM</v>
          </cell>
          <cell r="D5343" t="str">
            <v>ARX LONG SHORT MASTER II FIM</v>
          </cell>
          <cell r="E5343" t="str">
            <v>ARX INVESTIMENTOS LTDA</v>
          </cell>
        </row>
        <row r="5344">
          <cell r="B5344">
            <v>123669</v>
          </cell>
          <cell r="C5344" t="str">
            <v>ARX EXTRA DISTRIBUICAO BB FIC DE FIM</v>
          </cell>
          <cell r="D5344" t="str">
            <v>ARX EXTRA DISTRIBUICAO BB FIC DE FIM</v>
          </cell>
          <cell r="E5344" t="str">
            <v>ARX EXTRA DISTRIBUICAO BB FIC DE FIM</v>
          </cell>
        </row>
        <row r="5345">
          <cell r="B5345">
            <v>123670</v>
          </cell>
          <cell r="C5345" t="str">
            <v>PWM LONG TERM FIA</v>
          </cell>
          <cell r="D5345" t="str">
            <v>PWM LONG TERM FIA</v>
          </cell>
          <cell r="E5345" t="str">
            <v>ARX INVESTIMENTOS LTDA</v>
          </cell>
        </row>
        <row r="5346">
          <cell r="B5346">
            <v>123671</v>
          </cell>
          <cell r="C5346" t="str">
            <v>ARX A3 FIC DE FIM</v>
          </cell>
          <cell r="D5346" t="str">
            <v>ARX A3 FIC DE FIM</v>
          </cell>
          <cell r="E5346" t="str">
            <v>ARX INVESTIMENTOS LTDA</v>
          </cell>
        </row>
        <row r="5347">
          <cell r="B5347">
            <v>123672</v>
          </cell>
          <cell r="C5347" t="str">
            <v>ARX INCOME ICATU PREVIDENCIA FIM</v>
          </cell>
          <cell r="D5347" t="str">
            <v>ARX INCOME ICATU PREVIDENCIA FIM</v>
          </cell>
          <cell r="E5347" t="str">
            <v>ARX INVESTIMENTOS LTDA</v>
          </cell>
        </row>
        <row r="5348">
          <cell r="B5348">
            <v>123673</v>
          </cell>
          <cell r="C5348" t="str">
            <v>BIARRITZ LLC</v>
          </cell>
          <cell r="D5348" t="str">
            <v>BIARRITZ LLC</v>
          </cell>
          <cell r="E5348" t="str">
            <v>ARX INVESTIMENTOS LTDA</v>
          </cell>
        </row>
        <row r="5349">
          <cell r="B5349">
            <v>123674</v>
          </cell>
          <cell r="C5349" t="str">
            <v>ULLISO LLC</v>
          </cell>
          <cell r="D5349" t="str">
            <v>ULLISO LLC</v>
          </cell>
          <cell r="E5349" t="str">
            <v>ARX INVESTIMENTOS LTDA</v>
          </cell>
        </row>
        <row r="5350">
          <cell r="B5350">
            <v>123675</v>
          </cell>
          <cell r="C5350" t="str">
            <v>LFR FIM</v>
          </cell>
          <cell r="D5350" t="str">
            <v>LFR FIM</v>
          </cell>
          <cell r="E5350" t="str">
            <v>LFR FIM</v>
          </cell>
        </row>
        <row r="5351">
          <cell r="B5351">
            <v>123676</v>
          </cell>
          <cell r="C5351" t="str">
            <v>HINTIL FIM CP IE</v>
          </cell>
          <cell r="D5351" t="str">
            <v>HINTIL FIM CP IE</v>
          </cell>
          <cell r="E5351" t="str">
            <v>HINTIL FIM CP IE</v>
          </cell>
        </row>
        <row r="5352">
          <cell r="B5352">
            <v>123677</v>
          </cell>
          <cell r="C5352" t="str">
            <v>KADIMA EQUITIES MASTER FIA</v>
          </cell>
          <cell r="D5352" t="str">
            <v>KADIMA EQUITIES MASTER FIA</v>
          </cell>
          <cell r="E5352" t="str">
            <v>KADIMA GESTAO DE INVESTIMENTOS LTDA</v>
          </cell>
        </row>
        <row r="5353">
          <cell r="B5353">
            <v>123678</v>
          </cell>
          <cell r="C5353" t="str">
            <v>ICATU SEG KADIMA FIM CP PREVIDENCIA</v>
          </cell>
          <cell r="D5353" t="str">
            <v>ICATU SEG KADIMA FIM CP PREVIDENCIA</v>
          </cell>
          <cell r="E5353" t="str">
            <v>KADIMA GESTAO DE INVESTIMENTOS LTDA</v>
          </cell>
        </row>
        <row r="5354">
          <cell r="B5354">
            <v>123679</v>
          </cell>
          <cell r="C5354" t="str">
            <v>KADIMA HIGH VOL FIM</v>
          </cell>
          <cell r="D5354" t="str">
            <v>KADIMA HIGH VOL FIM</v>
          </cell>
          <cell r="E5354" t="str">
            <v>KADIMA GESTAO DE INVESTIMENTOS LTDA</v>
          </cell>
        </row>
        <row r="5355">
          <cell r="B5355">
            <v>12368</v>
          </cell>
          <cell r="C5355" t="str">
            <v>INVESTFORT GESTAO DE INVESTIMENTOS LTDA</v>
          </cell>
          <cell r="D5355" t="str">
            <v>INVESTFORT GESTAO DE INVESTIMENTOS LTDA</v>
          </cell>
          <cell r="E5355" t="str">
            <v>INVESTFORT GESTAO DE INVESTIMENTOS LTDA</v>
          </cell>
        </row>
        <row r="5356">
          <cell r="B5356">
            <v>123680</v>
          </cell>
          <cell r="C5356" t="str">
            <v>KADIMA MASTER FIM</v>
          </cell>
          <cell r="D5356" t="str">
            <v>KADIMA MASTER FIM</v>
          </cell>
          <cell r="E5356" t="str">
            <v>KADIMA GESTAO DE INVESTIMENTOS LTDA</v>
          </cell>
        </row>
        <row r="5357">
          <cell r="B5357">
            <v>122286</v>
          </cell>
          <cell r="C5357" t="str">
            <v>FIA PROPRIETARIO 10</v>
          </cell>
          <cell r="D5357" t="str">
            <v>FIA PROPRIETARIO 10</v>
          </cell>
          <cell r="E5357" t="str">
            <v>PLURAL GESTÃO DE RECURSOS LTDA</v>
          </cell>
        </row>
        <row r="5358">
          <cell r="B5358">
            <v>123682</v>
          </cell>
          <cell r="C5358" t="str">
            <v>VERTRA INSTITUCIONAL MASTER FIA</v>
          </cell>
          <cell r="D5358" t="str">
            <v>VERTRA INSTITUCIONAL MASTER FIA</v>
          </cell>
          <cell r="E5358" t="str">
            <v>FRONTIER CAPITAL GESTAO DE RECURSOS LTDA</v>
          </cell>
        </row>
        <row r="5359">
          <cell r="B5359">
            <v>123683</v>
          </cell>
          <cell r="C5359" t="str">
            <v>VERTRA MASTER FIA</v>
          </cell>
          <cell r="D5359" t="str">
            <v>VERTRA MASTER FIA</v>
          </cell>
          <cell r="E5359" t="str">
            <v>FRONTIER CAPITAL GESTAO DE RECURSOS LTDA</v>
          </cell>
        </row>
        <row r="5360">
          <cell r="B5360">
            <v>123684</v>
          </cell>
          <cell r="C5360" t="str">
            <v>SAGA INSTITUCIONAL FUNDO DE INVESTIMENTO EM ACOES</v>
          </cell>
          <cell r="D5360" t="str">
            <v>SAGA INSTITUCIONAL FUNDO DE INVESTIMENTO EM ACOES</v>
          </cell>
          <cell r="E5360" t="str">
            <v>SAGA INSTITUCIONAL FUNDO DE INVESTIMENTO EM ACOES</v>
          </cell>
        </row>
        <row r="5361">
          <cell r="B5361">
            <v>123685</v>
          </cell>
          <cell r="C5361" t="str">
            <v>VINCI KAYAPO FIA</v>
          </cell>
          <cell r="D5361" t="str">
            <v>VINCI KAYAPO FIA</v>
          </cell>
          <cell r="E5361" t="str">
            <v>VINCI KAYAPO FIA</v>
          </cell>
        </row>
        <row r="5362">
          <cell r="B5362">
            <v>123686</v>
          </cell>
          <cell r="C5362" t="str">
            <v>BICADU FIM CP IE</v>
          </cell>
          <cell r="D5362" t="str">
            <v>BICADU FIM CP IE</v>
          </cell>
          <cell r="E5362" t="str">
            <v>BICADU FIM CP IE</v>
          </cell>
        </row>
        <row r="5363">
          <cell r="B5363">
            <v>123688</v>
          </cell>
          <cell r="C5363" t="str">
            <v>POLO CP MASTER FIM</v>
          </cell>
          <cell r="D5363" t="str">
            <v>POLO CP MASTER FIM</v>
          </cell>
          <cell r="E5363" t="str">
            <v>POLO CAPITAL GESTÃO DE RECURSOS LTDA</v>
          </cell>
        </row>
        <row r="5364">
          <cell r="B5364">
            <v>123689</v>
          </cell>
          <cell r="C5364" t="str">
            <v>POLO TI CP FIM</v>
          </cell>
          <cell r="D5364" t="str">
            <v>POLO TI CP FIM</v>
          </cell>
          <cell r="E5364" t="str">
            <v>POLO CAPITAL GESTÃO DE RECURSOS LTDA</v>
          </cell>
        </row>
        <row r="5365">
          <cell r="B5365">
            <v>12369</v>
          </cell>
          <cell r="C5365" t="str">
            <v>TF GESTAO DE RECURSOS LTDA</v>
          </cell>
          <cell r="D5365" t="str">
            <v>TF GESTAO DE RECURSOS LTDA</v>
          </cell>
          <cell r="E5365" t="str">
            <v>TF GESTAO DE RECURSOS LTDA</v>
          </cell>
        </row>
        <row r="5366">
          <cell r="B5366">
            <v>123690</v>
          </cell>
          <cell r="C5366" t="str">
            <v>POLO ESTRATEGIA CP FIM IE</v>
          </cell>
          <cell r="D5366" t="str">
            <v>POLO ESTRATEGIA CP FIM IE</v>
          </cell>
          <cell r="E5366" t="str">
            <v>POLO CAPITAL GESTÃO DE RECURSOS LTDA</v>
          </cell>
        </row>
        <row r="5367">
          <cell r="B5367">
            <v>123691</v>
          </cell>
          <cell r="C5367" t="str">
            <v>MORGAN STANLEY CTVM S/A</v>
          </cell>
          <cell r="D5367" t="str">
            <v>MORGAN STANLEY CTVM S/A</v>
          </cell>
          <cell r="E5367" t="str">
            <v>MORGAN STANLEY CTVM S/A</v>
          </cell>
        </row>
        <row r="5368">
          <cell r="B5368">
            <v>122323</v>
          </cell>
          <cell r="C5368" t="str">
            <v>DG EQUITIES FUNDO DE INVESTIMENTO EM ACOES</v>
          </cell>
          <cell r="D5368" t="str">
            <v>DG EQUITIES FUNDO DE INVESTIMENTO EM ACOES</v>
          </cell>
          <cell r="E5368" t="str">
            <v>PLURAL GESTÃO DE RECURSOS LTDA</v>
          </cell>
        </row>
        <row r="5369">
          <cell r="B5369">
            <v>123693</v>
          </cell>
          <cell r="C5369" t="str">
            <v>COSMOS CAPITAL FIM CP</v>
          </cell>
          <cell r="D5369" t="str">
            <v>COSMOS CAPITAL FIM CP</v>
          </cell>
          <cell r="E5369" t="str">
            <v>HORUS INVESTIMENTOS GESTORA DE RECURSOS LTDA</v>
          </cell>
        </row>
        <row r="5370">
          <cell r="B5370">
            <v>123694</v>
          </cell>
          <cell r="C5370" t="str">
            <v>HORUS PROFIT FIM</v>
          </cell>
          <cell r="D5370" t="str">
            <v>HORUS PROFIT FIM</v>
          </cell>
          <cell r="E5370" t="str">
            <v>HORUS INVESTIMENTOS GESTORA DE RECURSOS LTDA</v>
          </cell>
        </row>
        <row r="5371">
          <cell r="B5371">
            <v>123695</v>
          </cell>
          <cell r="C5371" t="str">
            <v>TROPICANA FIM</v>
          </cell>
          <cell r="D5371" t="str">
            <v>TROPICANA FIM</v>
          </cell>
          <cell r="E5371" t="str">
            <v>HORUS INVESTIMENTOS GESTORA DE RECURSOS LTDA</v>
          </cell>
        </row>
        <row r="5372">
          <cell r="B5372">
            <v>123731</v>
          </cell>
          <cell r="C5372" t="str">
            <v>SI MISTRAL FIA</v>
          </cell>
          <cell r="D5372" t="str">
            <v>SI MISTRAL FIA</v>
          </cell>
          <cell r="E5372" t="str">
            <v>STUDIO INVESTIMENTOS ADMINISTRADORA DE RECURSOS LTDA</v>
          </cell>
        </row>
        <row r="5373">
          <cell r="B5373">
            <v>123700</v>
          </cell>
          <cell r="C5373" t="str">
            <v>SQUADRA VE I FIA</v>
          </cell>
          <cell r="D5373" t="str">
            <v>SQUADRA VE I FIA</v>
          </cell>
          <cell r="E5373" t="str">
            <v>SQUADRA VE I FIA</v>
          </cell>
        </row>
        <row r="5374">
          <cell r="B5374">
            <v>123701</v>
          </cell>
          <cell r="C5374" t="str">
            <v>TUNA EQUITY LLC</v>
          </cell>
          <cell r="D5374" t="str">
            <v>TUNA EQUITY LLC</v>
          </cell>
          <cell r="E5374" t="str">
            <v>TUNA EQUITY LLC</v>
          </cell>
        </row>
        <row r="5375">
          <cell r="B5375">
            <v>123702</v>
          </cell>
          <cell r="C5375" t="str">
            <v>JIVE CASH FIM</v>
          </cell>
          <cell r="D5375" t="str">
            <v>JIVE CASH FIM</v>
          </cell>
          <cell r="E5375" t="str">
            <v>JIVE ASSET GESTÃO DE RECURSOS LTDA</v>
          </cell>
        </row>
        <row r="5376">
          <cell r="B5376">
            <v>123703</v>
          </cell>
          <cell r="C5376" t="str">
            <v>JIVE ETR FIM</v>
          </cell>
          <cell r="D5376" t="str">
            <v>JIVE ETR FIM</v>
          </cell>
          <cell r="E5376" t="str">
            <v>JIVE ASSET GESTÃO DE RECURSOS LTDA</v>
          </cell>
        </row>
        <row r="5377">
          <cell r="B5377">
            <v>123704</v>
          </cell>
          <cell r="C5377" t="str">
            <v>POLLUX ACOES MASTER FIA</v>
          </cell>
          <cell r="D5377" t="str">
            <v>POLLUX ACOES MASTER FIA</v>
          </cell>
          <cell r="E5377" t="str">
            <v>EMPIRICUS GESTAO DE RECURSOS LTDA</v>
          </cell>
        </row>
        <row r="5378">
          <cell r="B5378">
            <v>123705</v>
          </cell>
          <cell r="C5378" t="str">
            <v>POLLUX ARTICO FIA</v>
          </cell>
          <cell r="D5378" t="str">
            <v>POLLUX ARTICO FIA</v>
          </cell>
          <cell r="E5378" t="str">
            <v>EMPIRICUS GESTAO DE RECURSOS LTDA</v>
          </cell>
        </row>
        <row r="5379">
          <cell r="B5379">
            <v>123706</v>
          </cell>
          <cell r="C5379" t="str">
            <v>ASN FIM CP IE</v>
          </cell>
          <cell r="D5379" t="str">
            <v>ASN FIM CP IE</v>
          </cell>
          <cell r="E5379" t="str">
            <v>VINCI GESTORA DE RECURSOS LTDA</v>
          </cell>
        </row>
        <row r="5380">
          <cell r="B5380">
            <v>123707</v>
          </cell>
          <cell r="C5380" t="str">
            <v>LUCE FIM CP IE</v>
          </cell>
          <cell r="D5380" t="str">
            <v>LUCE FIM CP IE</v>
          </cell>
          <cell r="E5380" t="str">
            <v>VINCI GESTORA DE RECURSOS LTDA</v>
          </cell>
        </row>
        <row r="5381">
          <cell r="B5381">
            <v>123708</v>
          </cell>
          <cell r="C5381" t="str">
            <v>PALAS ATENA FIM CP IE</v>
          </cell>
          <cell r="D5381" t="str">
            <v>PALAS ATENA FIM CP IE</v>
          </cell>
          <cell r="E5381" t="str">
            <v>VINCI GESTORA DE RECURSOS LTDA</v>
          </cell>
        </row>
        <row r="5382">
          <cell r="B5382">
            <v>123709</v>
          </cell>
          <cell r="C5382" t="str">
            <v>FIM ZONA DA MATA CP</v>
          </cell>
          <cell r="D5382" t="str">
            <v>FIM ZONA DA MATA CP</v>
          </cell>
          <cell r="E5382" t="str">
            <v>FIM ZONA DA MATA CP</v>
          </cell>
        </row>
        <row r="5383">
          <cell r="B5383">
            <v>144513</v>
          </cell>
          <cell r="C5383" t="str">
            <v>IBIRAPUERA PERFORMANCE INVESTIMENTOS LTDA</v>
          </cell>
          <cell r="D5383" t="str">
            <v>IBIRAPUERA PERFORMANCE INVESTIMENTOS LTDA</v>
          </cell>
          <cell r="E5383" t="str">
            <v>IBIUNA GESTAO DE RECURSOS LTDA</v>
          </cell>
        </row>
        <row r="5384">
          <cell r="B5384">
            <v>123710</v>
          </cell>
          <cell r="C5384" t="str">
            <v>FIM RIBEIRA IE CP</v>
          </cell>
          <cell r="D5384" t="str">
            <v>FIM RIBEIRA IE CP</v>
          </cell>
          <cell r="E5384" t="str">
            <v>FIM RIBEIRA IE CP</v>
          </cell>
        </row>
        <row r="5385">
          <cell r="B5385">
            <v>123711</v>
          </cell>
          <cell r="C5385" t="str">
            <v>FIA MIRANTE ACOES VALOR</v>
          </cell>
          <cell r="D5385" t="str">
            <v>FIA MIRANTE ACOES VALOR</v>
          </cell>
          <cell r="E5385" t="str">
            <v>FIA MIRANTE ACOES VALOR</v>
          </cell>
        </row>
        <row r="5386">
          <cell r="B5386">
            <v>123712</v>
          </cell>
          <cell r="C5386" t="str">
            <v>ARGUCIA QUARK FIF MULT RL</v>
          </cell>
          <cell r="D5386" t="str">
            <v>ARGUCIA QUARK FIF MULT RL</v>
          </cell>
          <cell r="E5386" t="str">
            <v>ARGUCIA CAPITAL GESTAO DE RECURSOS LTDA</v>
          </cell>
        </row>
        <row r="5387">
          <cell r="B5387">
            <v>79880</v>
          </cell>
          <cell r="C5387" t="str">
            <v>XP BELZE FIA</v>
          </cell>
          <cell r="D5387" t="str">
            <v>XP BELZE FIA</v>
          </cell>
          <cell r="E5387" t="str">
            <v>XP BELZE FIA</v>
          </cell>
        </row>
        <row r="5388">
          <cell r="B5388">
            <v>123713</v>
          </cell>
          <cell r="C5388" t="str">
            <v>XP BELZE FIA</v>
          </cell>
          <cell r="D5388" t="str">
            <v>XP BELZE FIA</v>
          </cell>
          <cell r="E5388" t="str">
            <v>XP BELZE FIA</v>
          </cell>
        </row>
        <row r="5389">
          <cell r="B5389">
            <v>122849</v>
          </cell>
          <cell r="C5389" t="str">
            <v>XP CELI FIA</v>
          </cell>
          <cell r="D5389" t="str">
            <v>XP CELI FIA</v>
          </cell>
          <cell r="E5389" t="str">
            <v>XP CELI FIA</v>
          </cell>
        </row>
        <row r="5390">
          <cell r="B5390">
            <v>122853</v>
          </cell>
          <cell r="C5390" t="str">
            <v>XP CRESCENTE FIA</v>
          </cell>
          <cell r="D5390" t="str">
            <v>XP CRESCENTE FIA</v>
          </cell>
          <cell r="E5390" t="str">
            <v>XP CRESCENTE FIA</v>
          </cell>
        </row>
        <row r="5391">
          <cell r="B5391">
            <v>123714</v>
          </cell>
          <cell r="C5391" t="str">
            <v>XP DEBENTURES INCENTIVADAS HEDGE CP MASTER FIM</v>
          </cell>
          <cell r="D5391" t="str">
            <v>XP DEBENTURES INCENTIVADAS HEDGE CP MASTER FIM</v>
          </cell>
          <cell r="E5391" t="str">
            <v>XP DEBENTURES INCENTIVADAS HEDGE CP MASTER FIM</v>
          </cell>
        </row>
        <row r="5392">
          <cell r="B5392">
            <v>123714</v>
          </cell>
          <cell r="C5392" t="str">
            <v>XP DEBENTURES INCENTIVADAS HEDGE CP MASTER FIM</v>
          </cell>
          <cell r="D5392" t="str">
            <v>XP DEBENTURES INCENTIVADAS HEDGE CP MASTER FIM</v>
          </cell>
          <cell r="E5392" t="str">
            <v>XP DEBENTURES INCENTIVADAS HEDGE CP MASTER FIM</v>
          </cell>
        </row>
        <row r="5393">
          <cell r="B5393">
            <v>123719</v>
          </cell>
          <cell r="C5393" t="str">
            <v>BANCO JP MORGAN S/A</v>
          </cell>
          <cell r="D5393" t="str">
            <v>BANCO JP MORGAN S/A</v>
          </cell>
          <cell r="E5393" t="str">
            <v>BANCO JP MORGAN S/A</v>
          </cell>
        </row>
        <row r="5394">
          <cell r="B5394">
            <v>12372</v>
          </cell>
          <cell r="C5394" t="str">
            <v>FRONTIER CAPITAL GESTAO DE RECURSOS LTDA</v>
          </cell>
          <cell r="D5394" t="str">
            <v>FRONTIER CAPITAL GESTAO DE RECURSOS LTDA</v>
          </cell>
          <cell r="E5394" t="str">
            <v>FRONTIER CAPITAL GESTAO DE RECURSOS LTDA</v>
          </cell>
        </row>
        <row r="5395">
          <cell r="B5395">
            <v>123720</v>
          </cell>
          <cell r="C5395" t="str">
            <v>ATACAMA MULTIMERCADO FI</v>
          </cell>
          <cell r="D5395" t="str">
            <v>ATACAMA MULTIMERCADO FI</v>
          </cell>
          <cell r="E5395" t="str">
            <v>BANCO JP MORGAN S/A</v>
          </cell>
        </row>
        <row r="5396">
          <cell r="B5396">
            <v>123721</v>
          </cell>
          <cell r="C5396" t="str">
            <v>CSHG AFB FIM CP IE</v>
          </cell>
          <cell r="D5396" t="str">
            <v>CSHG AFB FIM CP IE</v>
          </cell>
          <cell r="E5396" t="str">
            <v>CREDIT SUISSE HEDGING-GRIFFO WEALTH MANAGEMENT S/A</v>
          </cell>
        </row>
        <row r="5397">
          <cell r="B5397">
            <v>123722</v>
          </cell>
          <cell r="C5397" t="str">
            <v>MCB FIM CP IE</v>
          </cell>
          <cell r="D5397" t="str">
            <v>MCB FIM CP IE</v>
          </cell>
          <cell r="E5397" t="str">
            <v>MCB FIM CP IE</v>
          </cell>
        </row>
        <row r="5398">
          <cell r="B5398">
            <v>70144</v>
          </cell>
          <cell r="C5398" t="str">
            <v>CLARITAS HEDGE FDO DE INV.MULTIMERC.LPRAZO</v>
          </cell>
          <cell r="D5398" t="str">
            <v>CLARITAS HEDGE FDO DE INV.MULTIMERC.LPRAZO</v>
          </cell>
          <cell r="E5398" t="str">
            <v>CLARITAS ADMINISTRAÇÃO DE RECURSOS LTDA</v>
          </cell>
        </row>
        <row r="5399">
          <cell r="B5399">
            <v>123724</v>
          </cell>
          <cell r="C5399" t="str">
            <v>UNIMED RV 15 FIM</v>
          </cell>
          <cell r="D5399" t="str">
            <v>UNIMED RV 15 FIM</v>
          </cell>
          <cell r="E5399" t="str">
            <v>UNIMED RV 15 FIM</v>
          </cell>
        </row>
        <row r="5400">
          <cell r="B5400">
            <v>123725</v>
          </cell>
          <cell r="C5400" t="str">
            <v>UNIMED RV 20 FIM</v>
          </cell>
          <cell r="D5400" t="str">
            <v>UNIMED RV 20 FIM</v>
          </cell>
          <cell r="E5400" t="str">
            <v>UNIMED RV 20 FIM</v>
          </cell>
        </row>
        <row r="5401">
          <cell r="B5401">
            <v>123727</v>
          </cell>
          <cell r="C5401" t="str">
            <v>KRONOS ABSOLUT RETURN LP FIM</v>
          </cell>
          <cell r="D5401" t="str">
            <v>KRONOS ABSOLUT RETURN LP FIM</v>
          </cell>
          <cell r="E5401" t="str">
            <v>GRIMPER CAPITAL GESTORA DE RECURSOS LTDA</v>
          </cell>
        </row>
        <row r="5402">
          <cell r="B5402">
            <v>123728</v>
          </cell>
          <cell r="C5402" t="str">
            <v>BB GESTAO DE RECURSOS DTVM LTDA</v>
          </cell>
          <cell r="D5402" t="str">
            <v>BB GESTAO DE RECURSOS DTVM LTDA</v>
          </cell>
          <cell r="E5402" t="str">
            <v>BB GESTAO DE RECURSOS DTVM LTDA</v>
          </cell>
        </row>
        <row r="5403">
          <cell r="B5403">
            <v>123729</v>
          </cell>
          <cell r="C5403" t="str">
            <v>BB GESTAO DE RECURSOS DTVM LTDA</v>
          </cell>
          <cell r="D5403" t="str">
            <v>BB GESTAO DE RECURSOS DTVM LTDA</v>
          </cell>
          <cell r="E5403" t="str">
            <v>BB GESTAO DE RECURSOS DTVM LTDA</v>
          </cell>
        </row>
        <row r="5404">
          <cell r="B5404">
            <v>12373</v>
          </cell>
          <cell r="C5404" t="str">
            <v>HORUS INVESTIMENTOS GESTORA DE RECURSOS LTDA</v>
          </cell>
          <cell r="D5404" t="str">
            <v>HORUS INVESTIMENTOS GESTORA DE RECURSOS LTDA</v>
          </cell>
          <cell r="E5404" t="str">
            <v>HORUS INVESTIMENTOS GESTORA DE RECURSOS LTDA</v>
          </cell>
        </row>
        <row r="5405">
          <cell r="B5405">
            <v>123730</v>
          </cell>
          <cell r="C5405" t="str">
            <v>BB GESTAO DE RECURSOS DTVM LTDA</v>
          </cell>
          <cell r="D5405" t="str">
            <v>BB GESTAO DE RECURSOS DTVM LTDA</v>
          </cell>
          <cell r="E5405" t="str">
            <v>BB GESTAO DE RECURSOS DTVM LTDA</v>
          </cell>
        </row>
        <row r="5406">
          <cell r="B5406">
            <v>123696</v>
          </cell>
          <cell r="C5406" t="str">
            <v>STUDIO MASTER II FIA</v>
          </cell>
          <cell r="D5406" t="str">
            <v>STUDIO MASTER II FIA</v>
          </cell>
          <cell r="E5406" t="str">
            <v>STUDIO INVESTIMENTOS ADMINISTRADORA DE RECURSOS LTDA</v>
          </cell>
        </row>
        <row r="5407">
          <cell r="B5407">
            <v>123732</v>
          </cell>
          <cell r="C5407" t="str">
            <v>PATRIA HEDGE MASTER FIM</v>
          </cell>
          <cell r="D5407" t="str">
            <v>PATRIA HEDGE MASTER FIM</v>
          </cell>
          <cell r="E5407" t="str">
            <v>PATRIA INVESTIMENTOS LTDA</v>
          </cell>
        </row>
        <row r="5408">
          <cell r="B5408">
            <v>123733</v>
          </cell>
          <cell r="C5408" t="str">
            <v>KINEA SISTEMATICO ALPHA FIM</v>
          </cell>
          <cell r="D5408" t="str">
            <v>KINEA SISTEMATICO ALPHA FIM</v>
          </cell>
          <cell r="E5408" t="str">
            <v>KINEA SISTEMATICO ALPHA FIM</v>
          </cell>
        </row>
        <row r="5409">
          <cell r="B5409">
            <v>123734</v>
          </cell>
          <cell r="C5409" t="str">
            <v>CEDRO PREVIDENCIA FIM CP</v>
          </cell>
          <cell r="D5409" t="str">
            <v>CEDRO PREVIDENCIA FIM CP</v>
          </cell>
          <cell r="E5409" t="str">
            <v>CEDRO PREVIDENCIA FIM CP</v>
          </cell>
        </row>
        <row r="5410">
          <cell r="B5410">
            <v>123735</v>
          </cell>
          <cell r="C5410" t="str">
            <v>CANVAS ENDURO MASTER FIM</v>
          </cell>
          <cell r="D5410" t="str">
            <v>CANVAS ENDURO MASTER FIM</v>
          </cell>
          <cell r="E5410" t="str">
            <v>CANVAS CAPITAL S/A</v>
          </cell>
        </row>
        <row r="5411">
          <cell r="B5411">
            <v>123736</v>
          </cell>
          <cell r="C5411" t="str">
            <v>IPANEMA 4 FIM CP IE</v>
          </cell>
          <cell r="D5411" t="str">
            <v>IPANEMA 4 FIM CP IE</v>
          </cell>
          <cell r="E5411" t="str">
            <v>IPANEMA GESTORA DE RECURSOS LTDA</v>
          </cell>
        </row>
        <row r="5412">
          <cell r="B5412">
            <v>123737</v>
          </cell>
          <cell r="C5412" t="str">
            <v>NORTEAR FIM CP IE</v>
          </cell>
          <cell r="D5412" t="str">
            <v>NORTEAR FIM CP IE</v>
          </cell>
          <cell r="E5412" t="str">
            <v>NORTEAR FIM CP IE</v>
          </cell>
        </row>
        <row r="5413">
          <cell r="B5413">
            <v>123738</v>
          </cell>
          <cell r="C5413" t="str">
            <v>ITATIAIA FIM</v>
          </cell>
          <cell r="D5413" t="str">
            <v>ITATIAIA FIM</v>
          </cell>
          <cell r="E5413" t="str">
            <v>BW GESTAO DE INVESTIMENTOS LTDA</v>
          </cell>
        </row>
        <row r="5414">
          <cell r="B5414">
            <v>123739</v>
          </cell>
          <cell r="C5414" t="str">
            <v>PORTO FIM CP IE</v>
          </cell>
          <cell r="D5414" t="str">
            <v>PORTO FIM CP IE</v>
          </cell>
          <cell r="E5414" t="str">
            <v>PORTO FIM CP IE</v>
          </cell>
        </row>
        <row r="5415">
          <cell r="B5415">
            <v>123740</v>
          </cell>
          <cell r="C5415" t="str">
            <v>LEIRIA FIM CP IE</v>
          </cell>
          <cell r="D5415" t="str">
            <v>LEIRIA FIM CP IE</v>
          </cell>
          <cell r="E5415" t="str">
            <v>BW GESTAO DE INVESTIMENTOS LTDA</v>
          </cell>
        </row>
        <row r="5416">
          <cell r="B5416">
            <v>123741</v>
          </cell>
          <cell r="C5416" t="str">
            <v>LISBOA FIM CP IE</v>
          </cell>
          <cell r="D5416" t="str">
            <v>LISBOA FIM CP IE</v>
          </cell>
          <cell r="E5416" t="str">
            <v>BW GESTAO DE INVESTIMENTOS LTDA</v>
          </cell>
        </row>
        <row r="5417">
          <cell r="B5417">
            <v>123742</v>
          </cell>
          <cell r="C5417" t="str">
            <v>AMARANTE FIM CP IE</v>
          </cell>
          <cell r="D5417" t="str">
            <v>AMARANTE FIM CP IE</v>
          </cell>
          <cell r="E5417" t="str">
            <v>AMARANTE FIM CP IE</v>
          </cell>
        </row>
        <row r="5418">
          <cell r="B5418">
            <v>123743</v>
          </cell>
          <cell r="C5418" t="str">
            <v>MANTIQUEIRA MASTER FIF MULT CP RL</v>
          </cell>
          <cell r="D5418" t="str">
            <v>MANTIQUEIRA MASTER FIF MULT CP RL</v>
          </cell>
          <cell r="E5418" t="str">
            <v>MANTIQUEIRA MASTER FIF MULT CP RL</v>
          </cell>
        </row>
        <row r="5419">
          <cell r="B5419">
            <v>123745</v>
          </cell>
          <cell r="C5419" t="str">
            <v>KONDOR ITAIM MASTER CASH FUNDO DE INVESTIMENTO MULTIMERCADO</v>
          </cell>
          <cell r="D5419" t="str">
            <v>KONDOR ITAIM MASTER CASH FUNDO DE INVESTIMENTO MULTIMERCADO</v>
          </cell>
          <cell r="E5419" t="str">
            <v>KONDOR ADMINISTRADORA E GESTORA DE RECURSOS FINANCEIROS LTDA</v>
          </cell>
        </row>
        <row r="5420">
          <cell r="B5420">
            <v>123747</v>
          </cell>
          <cell r="C5420" t="str">
            <v>FIM CP FANDANGO</v>
          </cell>
          <cell r="D5420" t="str">
            <v>FIM CP FANDANGO</v>
          </cell>
          <cell r="E5420" t="str">
            <v>SANTANDER BRASIL GESTAO DE RECURSOS LTDA</v>
          </cell>
        </row>
        <row r="5421">
          <cell r="B5421">
            <v>123748</v>
          </cell>
          <cell r="C5421" t="str">
            <v>JGP STRATEGY MASTER FIM</v>
          </cell>
          <cell r="D5421" t="str">
            <v>JGP STRATEGY MASTER FIM</v>
          </cell>
          <cell r="E5421" t="str">
            <v>JGP STRATEGY MASTER FIM</v>
          </cell>
        </row>
        <row r="5422">
          <cell r="B5422">
            <v>123749</v>
          </cell>
          <cell r="C5422" t="str">
            <v>JGP MAX MASTER FIM</v>
          </cell>
          <cell r="D5422" t="str">
            <v>JGP MAX MASTER FIM</v>
          </cell>
          <cell r="E5422" t="str">
            <v>JGP MAX MASTER FIM</v>
          </cell>
        </row>
        <row r="5423">
          <cell r="B5423">
            <v>12375</v>
          </cell>
          <cell r="C5423" t="str">
            <v>JIVE ASSET GESTAO DE RECURSOS LTDA</v>
          </cell>
          <cell r="D5423" t="str">
            <v>JIVE ASSET GESTAO DE RECURSOS LTDA</v>
          </cell>
          <cell r="E5423" t="str">
            <v>JIVE ASSET GESTÃO DE RECURSOS LTDA</v>
          </cell>
        </row>
        <row r="5424">
          <cell r="B5424">
            <v>123750</v>
          </cell>
          <cell r="C5424" t="str">
            <v>JGP HEDGE MASTER FIM</v>
          </cell>
          <cell r="D5424" t="str">
            <v>JGP HEDGE MASTER FIM</v>
          </cell>
          <cell r="E5424" t="str">
            <v>JGP HEDGE MASTER FIM</v>
          </cell>
        </row>
        <row r="5425">
          <cell r="B5425">
            <v>123752</v>
          </cell>
          <cell r="C5425" t="str">
            <v>MBPREV III MULTIMERCADO FI</v>
          </cell>
          <cell r="D5425" t="str">
            <v>MBPREV III MULTIMERCADO FI</v>
          </cell>
          <cell r="E5425" t="str">
            <v>WESTERN ASSET MANAGEMENT COMPANY DTVM LTDA</v>
          </cell>
        </row>
        <row r="5426">
          <cell r="B5426">
            <v>123754</v>
          </cell>
          <cell r="C5426" t="str">
            <v>SHARP LONG SHORT 2X FIM</v>
          </cell>
          <cell r="D5426" t="str">
            <v>SHARP LONG SHORT 2X FIM</v>
          </cell>
          <cell r="E5426" t="str">
            <v>SHARP LONG SHORT 2X FIM</v>
          </cell>
        </row>
        <row r="5427">
          <cell r="B5427">
            <v>123755</v>
          </cell>
          <cell r="C5427" t="str">
            <v>GAP MULTIPORTFOLIO DOLAR FIM</v>
          </cell>
          <cell r="D5427" t="str">
            <v>GAP MULTIPORTFOLIO DOLAR FIM</v>
          </cell>
          <cell r="E5427" t="str">
            <v>GAP GESTORA DE RECURSOS LTDA</v>
          </cell>
        </row>
        <row r="5428">
          <cell r="B5428">
            <v>123756</v>
          </cell>
          <cell r="C5428" t="str">
            <v>OTAVIO AMORIM E SILVA</v>
          </cell>
          <cell r="D5428" t="str">
            <v>OTAVIO AMORIM E SILVA</v>
          </cell>
          <cell r="E5428" t="str">
            <v>OTAVIO AMORIM E SILVA</v>
          </cell>
        </row>
        <row r="5429">
          <cell r="B5429">
            <v>123757</v>
          </cell>
          <cell r="C5429" t="str">
            <v>VINICIUS HENRIQUE ALVES</v>
          </cell>
          <cell r="D5429" t="str">
            <v>VINICIUS HENRIQUE ALVES</v>
          </cell>
          <cell r="E5429" t="str">
            <v>VINICIUS HENRIQUE ALVES</v>
          </cell>
        </row>
        <row r="5430">
          <cell r="B5430">
            <v>123758</v>
          </cell>
          <cell r="C5430" t="str">
            <v>RIO DAS PEDRAS ACOES FIA</v>
          </cell>
          <cell r="D5430" t="str">
            <v>RIO DAS PEDRAS ACOES FIA</v>
          </cell>
          <cell r="E5430" t="str">
            <v>RIO DAS PEDRAS ADMINISTRAÃ‡ÃƒO E PARTICIPAÃ‡Ã•ES LTDA</v>
          </cell>
        </row>
        <row r="5431">
          <cell r="B5431">
            <v>123759</v>
          </cell>
          <cell r="C5431" t="str">
            <v>RIO DAS PEDRAS HEDGE II FIM CP IE</v>
          </cell>
          <cell r="D5431" t="str">
            <v>RIO DAS PEDRAS HEDGE II FIM CP IE</v>
          </cell>
          <cell r="E5431" t="str">
            <v>RIO DAS PEDRAS ADMINISTRAÃ‡ÃƒO E PARTICIPAÃ‡Ã•ES LTDA</v>
          </cell>
        </row>
        <row r="5432">
          <cell r="B5432">
            <v>123760</v>
          </cell>
          <cell r="C5432" t="str">
            <v>RIO DAS PEDRAS MACRO FIM</v>
          </cell>
          <cell r="D5432" t="str">
            <v>RIO DAS PEDRAS MACRO FIM</v>
          </cell>
          <cell r="E5432" t="str">
            <v>RIO DAS PEDRAS ADMINISTRAÃ‡ÃƒO E PARTICIPAÃ‡Ã•ES LTDA</v>
          </cell>
        </row>
        <row r="5433">
          <cell r="B5433">
            <v>123761</v>
          </cell>
          <cell r="C5433" t="str">
            <v>JOSE ALEXIS DA SILVA BRAGA</v>
          </cell>
          <cell r="D5433" t="str">
            <v>JOSE ALEXIS DA SILVA BRAGA</v>
          </cell>
          <cell r="E5433" t="str">
            <v>JOSE ALEXIS DA SILVA BRAGA</v>
          </cell>
        </row>
        <row r="5434">
          <cell r="B5434">
            <v>123762</v>
          </cell>
          <cell r="C5434" t="str">
            <v>SPX FALCON MASTER FIF EM AÃ‡Ã•ES RL</v>
          </cell>
          <cell r="D5434" t="str">
            <v>SPX FALCON MASTER FIF EM AÃ‡Ã•ES RL</v>
          </cell>
          <cell r="E5434" t="str">
            <v>SPX FALCON MASTER FIF EM AÃ‡Ã•ES RL</v>
          </cell>
        </row>
        <row r="5435">
          <cell r="B5435">
            <v>123763</v>
          </cell>
          <cell r="C5435" t="str">
            <v>SPX PATRIOT MASTER FI FIA RESPONSABILIDADE LIMITADA</v>
          </cell>
          <cell r="D5435" t="str">
            <v>SPX PATRIOT MASTER FI FIA RESPONSABILIDADE LIMITADA</v>
          </cell>
          <cell r="E5435" t="str">
            <v>SPX PATRIOT MASTER FI FIA RESPONSABILIDADE LIMITADA</v>
          </cell>
        </row>
        <row r="5436">
          <cell r="B5436">
            <v>123765</v>
          </cell>
          <cell r="C5436" t="str">
            <v>XMZ FIM CP IE</v>
          </cell>
          <cell r="D5436" t="str">
            <v>XMZ FIM CP IE</v>
          </cell>
          <cell r="E5436" t="str">
            <v>XMZ FIM CP IE</v>
          </cell>
        </row>
        <row r="5437">
          <cell r="B5437">
            <v>123766</v>
          </cell>
          <cell r="C5437" t="str">
            <v>CONSENSO PREVIDENCIA FIM</v>
          </cell>
          <cell r="D5437" t="str">
            <v>CONSENSO PREVIDENCIA FIM</v>
          </cell>
          <cell r="E5437" t="str">
            <v>CONSENSO PREVIDENCIA FIM</v>
          </cell>
        </row>
        <row r="5438">
          <cell r="B5438">
            <v>123767</v>
          </cell>
          <cell r="C5438" t="str">
            <v>RENTAVEL PREVIDENCIA FIM CP</v>
          </cell>
          <cell r="D5438" t="str">
            <v>RENTAVEL PREVIDENCIA FIM CP</v>
          </cell>
          <cell r="E5438" t="str">
            <v>RENTAVEL PREVIDENCIA FIM CP</v>
          </cell>
        </row>
        <row r="5439">
          <cell r="B5439">
            <v>123768</v>
          </cell>
          <cell r="C5439" t="str">
            <v>NORTHERN GATE LLC</v>
          </cell>
          <cell r="D5439" t="str">
            <v>NORTHERN GATE LLC</v>
          </cell>
          <cell r="E5439" t="str">
            <v>JGP GESTAO PATRIMONIAL LTDA</v>
          </cell>
        </row>
        <row r="5440">
          <cell r="B5440">
            <v>123769</v>
          </cell>
          <cell r="C5440" t="str">
            <v>SOLOIST CAPITAL , LLC</v>
          </cell>
          <cell r="D5440" t="str">
            <v>SOLOIST CAPITAL , LLC</v>
          </cell>
          <cell r="E5440" t="str">
            <v>JGP GESTAO PATRIMONIAL LTDA</v>
          </cell>
        </row>
        <row r="5441">
          <cell r="B5441">
            <v>12377</v>
          </cell>
          <cell r="C5441" t="str">
            <v>JGP GESTAO DE RECURSOS LTDA</v>
          </cell>
          <cell r="D5441" t="str">
            <v>JGP GESTAO DE RECURSOS LTDA</v>
          </cell>
          <cell r="E5441" t="str">
            <v>JGP GESTAO PATRIMONIAL LTDA</v>
          </cell>
        </row>
        <row r="5442">
          <cell r="B5442">
            <v>123770</v>
          </cell>
          <cell r="C5442" t="str">
            <v>ALEXANDRE DA COSTA SOARES</v>
          </cell>
          <cell r="D5442" t="str">
            <v>ALEXANDRE DA COSTA SOARES</v>
          </cell>
          <cell r="E5442" t="str">
            <v>ALEXANDRE DA COSTA SOARES</v>
          </cell>
        </row>
        <row r="5443">
          <cell r="B5443">
            <v>123771</v>
          </cell>
          <cell r="C5443" t="str">
            <v>MORGAN STANLEY CTVM S/A</v>
          </cell>
          <cell r="D5443" t="str">
            <v>MORGAN STANLEY CTVM S/A</v>
          </cell>
          <cell r="E5443" t="str">
            <v>MORGAN STANLEY CTVM S/A</v>
          </cell>
        </row>
        <row r="5444">
          <cell r="B5444">
            <v>123772</v>
          </cell>
          <cell r="C5444" t="str">
            <v>SPX NIMITZ MASTER FI FIM RESPONSABILIDADE LIMITADA</v>
          </cell>
          <cell r="D5444" t="str">
            <v>SPX NIMITZ MASTER FI FIM RESPONSABILIDADE LIMITADA</v>
          </cell>
          <cell r="E5444" t="str">
            <v>SPX NIMITZ MASTER FI FIM RESPONSABILIDADE LIMITADA</v>
          </cell>
        </row>
        <row r="5445">
          <cell r="B5445">
            <v>123773</v>
          </cell>
          <cell r="C5445" t="str">
            <v>SPX RAPTOR MASTER FI EXT MM CP</v>
          </cell>
          <cell r="D5445" t="str">
            <v>SPX RAPTOR MASTER FI EXT MM CP</v>
          </cell>
          <cell r="E5445" t="str">
            <v>SPX RAPTOR MASTER FI EXT MM CP</v>
          </cell>
        </row>
        <row r="5446">
          <cell r="B5446">
            <v>123774</v>
          </cell>
          <cell r="C5446" t="str">
            <v>BB GESTAO DE RECURSOS DTVM LTDA</v>
          </cell>
          <cell r="D5446" t="str">
            <v>BB GESTAO DE RECURSOS DTVM LTDA</v>
          </cell>
          <cell r="E5446" t="str">
            <v>BB GESTAO DE RECURSOS DTVM LTDA</v>
          </cell>
        </row>
        <row r="5447">
          <cell r="B5447">
            <v>123775</v>
          </cell>
          <cell r="C5447" t="str">
            <v>MERRILL LYNCH S/A CTVM</v>
          </cell>
          <cell r="D5447" t="str">
            <v>MERRILL LYNCH S/A CTVM</v>
          </cell>
          <cell r="E5447" t="str">
            <v>MERRILL LYNCH S/A CTVM</v>
          </cell>
        </row>
        <row r="5448">
          <cell r="B5448">
            <v>123776</v>
          </cell>
          <cell r="C5448" t="str">
            <v>MORGAN STANLEY CTVM S/A</v>
          </cell>
          <cell r="D5448" t="str">
            <v>MORGAN STANLEY CTVM S/A</v>
          </cell>
          <cell r="E5448" t="str">
            <v>MORGAN STANLEY CTVM S/A</v>
          </cell>
        </row>
        <row r="5449">
          <cell r="B5449">
            <v>123777</v>
          </cell>
          <cell r="C5449" t="str">
            <v>MORGAN STANLEY CTVM S/A</v>
          </cell>
          <cell r="D5449" t="str">
            <v>MORGAN STANLEY CTVM S/A</v>
          </cell>
          <cell r="E5449" t="str">
            <v>MORGAN STANLEY CTVM S/A</v>
          </cell>
        </row>
        <row r="5450">
          <cell r="B5450">
            <v>123778</v>
          </cell>
          <cell r="C5450" t="str">
            <v>MORGAN STANLEY CTVM S/A</v>
          </cell>
          <cell r="D5450" t="str">
            <v>MORGAN STANLEY CTVM S/A</v>
          </cell>
          <cell r="E5450" t="str">
            <v>MORGAN STANLEY CTVM S/A</v>
          </cell>
        </row>
        <row r="5451">
          <cell r="B5451">
            <v>123779</v>
          </cell>
          <cell r="C5451" t="str">
            <v>MORGAN STANLEY CTVM S/A</v>
          </cell>
          <cell r="D5451" t="str">
            <v>MORGAN STANLEY CTVM S/A</v>
          </cell>
          <cell r="E5451" t="str">
            <v>MORGAN STANLEY CTVM S/A</v>
          </cell>
        </row>
        <row r="5452">
          <cell r="B5452">
            <v>12378</v>
          </cell>
          <cell r="C5452" t="str">
            <v>RIO DAS PEDRAS ADMINISTRAÃ‡ÃƒO E PARTICIPAÃ‡Ã•ES LTDA</v>
          </cell>
          <cell r="D5452" t="str">
            <v>RIO DAS PEDRAS ADMINISTRAÃ‡ÃƒO E PARTICIPAÃ‡Ã•ES LTDA</v>
          </cell>
          <cell r="E5452" t="str">
            <v>RIO DAS PEDRAS ADMINISTRAÃ‡ÃƒO E PARTICIPAÃ‡Ã•ES LTDA</v>
          </cell>
        </row>
        <row r="5453">
          <cell r="B5453">
            <v>123780</v>
          </cell>
          <cell r="C5453" t="str">
            <v>MORGAN STANLEY CTVM S/A</v>
          </cell>
          <cell r="D5453" t="str">
            <v>MORGAN STANLEY CTVM S/A</v>
          </cell>
          <cell r="E5453" t="str">
            <v>MORGAN STANLEY CTVM S/A</v>
          </cell>
        </row>
        <row r="5454">
          <cell r="B5454">
            <v>123781</v>
          </cell>
          <cell r="C5454" t="str">
            <v>MORGAN STANLEY CTVM S/A</v>
          </cell>
          <cell r="D5454" t="str">
            <v>MORGAN STANLEY CTVM S/A</v>
          </cell>
          <cell r="E5454" t="str">
            <v>MORGAN STANLEY CTVM S/A</v>
          </cell>
        </row>
        <row r="5455">
          <cell r="B5455">
            <v>123782</v>
          </cell>
          <cell r="C5455" t="str">
            <v>MORGAN STANLEY CTVM S/A</v>
          </cell>
          <cell r="D5455" t="str">
            <v>MORGAN STANLEY CTVM S/A</v>
          </cell>
          <cell r="E5455" t="str">
            <v>MORGAN STANLEY CTVM S/A</v>
          </cell>
        </row>
        <row r="5456">
          <cell r="B5456">
            <v>123783</v>
          </cell>
          <cell r="C5456" t="str">
            <v>MORGAN STANLEY CTVM S/A</v>
          </cell>
          <cell r="D5456" t="str">
            <v>MORGAN STANLEY CTVM S/A</v>
          </cell>
          <cell r="E5456" t="str">
            <v>MORGAN STANLEY CTVM S/A</v>
          </cell>
        </row>
        <row r="5457">
          <cell r="B5457">
            <v>123784</v>
          </cell>
          <cell r="C5457" t="str">
            <v>MORGAN STANLEY CTVM S/A</v>
          </cell>
          <cell r="D5457" t="str">
            <v>MORGAN STANLEY CTVM S/A</v>
          </cell>
          <cell r="E5457" t="str">
            <v>MORGAN STANLEY CTVM S/A</v>
          </cell>
        </row>
        <row r="5458">
          <cell r="B5458">
            <v>123785</v>
          </cell>
          <cell r="C5458" t="str">
            <v>MORGAN STANLEY CTVM S/A</v>
          </cell>
          <cell r="D5458" t="str">
            <v>MORGAN STANLEY CTVM S/A</v>
          </cell>
          <cell r="E5458" t="str">
            <v>MORGAN STANLEY CTVM S/A</v>
          </cell>
        </row>
        <row r="5459">
          <cell r="B5459">
            <v>123786</v>
          </cell>
          <cell r="C5459" t="str">
            <v>MORGAN STANLEY CTVM S/A</v>
          </cell>
          <cell r="D5459" t="str">
            <v>MORGAN STANLEY CTVM S/A</v>
          </cell>
          <cell r="E5459" t="str">
            <v>MORGAN STANLEY CTVM S/A</v>
          </cell>
        </row>
        <row r="5460">
          <cell r="B5460">
            <v>12379</v>
          </cell>
          <cell r="C5460" t="str">
            <v>DXA GESTAO DE INVESTIMENTOS LTDA</v>
          </cell>
          <cell r="D5460" t="str">
            <v>DXA GESTAO DE INVESTIMENTOS LTDA</v>
          </cell>
          <cell r="E5460" t="str">
            <v>DXA GESTAO DE INVESTIMENTOS LTDA</v>
          </cell>
        </row>
        <row r="5461">
          <cell r="B5461">
            <v>123790</v>
          </cell>
          <cell r="C5461" t="str">
            <v>MORGAN STANLEY CTVM S/A</v>
          </cell>
          <cell r="D5461" t="str">
            <v>MORGAN STANLEY CTVM S/A</v>
          </cell>
          <cell r="E5461" t="str">
            <v>MORGAN STANLEY CTVM S/A</v>
          </cell>
        </row>
        <row r="5462">
          <cell r="B5462">
            <v>123791</v>
          </cell>
          <cell r="C5462" t="str">
            <v>BOZANO MACRO MASTER FIM</v>
          </cell>
          <cell r="D5462" t="str">
            <v>BOZANO MACRO MASTER FIM</v>
          </cell>
          <cell r="E5462" t="str">
            <v>BOZANO MACRO MASTER FIM</v>
          </cell>
        </row>
        <row r="5463">
          <cell r="B5463">
            <v>123792</v>
          </cell>
          <cell r="C5463" t="str">
            <v>VINCI PORTIFOLIO 15 B FIM CP IE</v>
          </cell>
          <cell r="D5463" t="str">
            <v>VINCI PORTIFOLIO 15 B FIM CP IE</v>
          </cell>
          <cell r="E5463" t="str">
            <v>VINCI GESTORA DE RECURSOS LTDA</v>
          </cell>
        </row>
        <row r="5464">
          <cell r="B5464">
            <v>123793</v>
          </cell>
          <cell r="C5464" t="str">
            <v>FIM CP PROPRIETARIO 2B IE</v>
          </cell>
          <cell r="D5464" t="str">
            <v>FIM CP PROPRIETARIO 2B IE</v>
          </cell>
          <cell r="E5464" t="str">
            <v>VINCI GESTORA DE RECURSOS LTDA</v>
          </cell>
        </row>
        <row r="5465">
          <cell r="B5465">
            <v>123794</v>
          </cell>
          <cell r="C5465" t="str">
            <v>ABSOLUTE ALPHA GLOBAL MASTER FIM</v>
          </cell>
          <cell r="D5465" t="str">
            <v>ABSOLUTE ALPHA GLOBAL MASTER FIM</v>
          </cell>
          <cell r="E5465" t="str">
            <v>ABSOLUTE GESTAO DE INVESTIMENTOS LTDA</v>
          </cell>
        </row>
        <row r="5466">
          <cell r="B5466">
            <v>123795</v>
          </cell>
          <cell r="C5466" t="str">
            <v>BR FIM INR</v>
          </cell>
          <cell r="D5466" t="str">
            <v>BR FIM INR</v>
          </cell>
          <cell r="E5466" t="str">
            <v>BR FIM INR</v>
          </cell>
        </row>
        <row r="5467">
          <cell r="B5467">
            <v>123796</v>
          </cell>
          <cell r="C5467" t="str">
            <v>FIM REIMS</v>
          </cell>
          <cell r="D5467" t="str">
            <v>FIM REIMS</v>
          </cell>
          <cell r="E5467" t="str">
            <v>AMS CAPITAL LTDA</v>
          </cell>
        </row>
        <row r="5468">
          <cell r="B5468">
            <v>123797</v>
          </cell>
          <cell r="C5468" t="str">
            <v>PBLO LLC</v>
          </cell>
          <cell r="D5468" t="str">
            <v>PBLO LLC</v>
          </cell>
          <cell r="E5468" t="str">
            <v>EMPIRICUS GESTAO DE RECURSOS LTDA</v>
          </cell>
        </row>
        <row r="5469">
          <cell r="B5469">
            <v>123798</v>
          </cell>
          <cell r="C5469" t="str">
            <v>PBRE LLC</v>
          </cell>
          <cell r="D5469" t="str">
            <v>PBRE LLC</v>
          </cell>
          <cell r="E5469" t="str">
            <v>EMPIRICUS GESTAO DE RECURSOS LTDA</v>
          </cell>
        </row>
        <row r="5470">
          <cell r="B5470">
            <v>123799</v>
          </cell>
          <cell r="C5470" t="str">
            <v>CANADIAN EAGLE PORTFOLIO LLC</v>
          </cell>
          <cell r="D5470" t="str">
            <v>CANADIAN EAGLE PORTFOLIO LLC</v>
          </cell>
          <cell r="E5470" t="str">
            <v>SPX GESTAO DE RECURSOS LTDA</v>
          </cell>
        </row>
        <row r="5471">
          <cell r="B5471">
            <v>12380</v>
          </cell>
          <cell r="C5471" t="str">
            <v>BOZANO GESTAO DE RECURSOS LTDA</v>
          </cell>
          <cell r="D5471" t="str">
            <v>BOZANO GESTAO DE RECURSOS LTDA</v>
          </cell>
          <cell r="E5471" t="str">
            <v>BOZANO GESTAO DE RECURSOS LTDA</v>
          </cell>
        </row>
        <row r="5472">
          <cell r="B5472">
            <v>123800</v>
          </cell>
          <cell r="C5472" t="str">
            <v>SPX BRAZIL LLC</v>
          </cell>
          <cell r="D5472" t="str">
            <v>SPX BRAZIL LLC</v>
          </cell>
          <cell r="E5472" t="str">
            <v>SPX GESTAO DE RECURSOS LTDA</v>
          </cell>
        </row>
        <row r="5473">
          <cell r="B5473">
            <v>70145</v>
          </cell>
          <cell r="C5473" t="str">
            <v>CLARITAS HEDGE FIC DE FIM LP</v>
          </cell>
          <cell r="D5473" t="str">
            <v>CLARITAS HEDGE FIC DE FIM LP</v>
          </cell>
          <cell r="E5473" t="str">
            <v>CLARITAS ADMINISTRAÇÃO DE RECURSOS LTDA</v>
          </cell>
        </row>
        <row r="5474">
          <cell r="B5474">
            <v>123802</v>
          </cell>
          <cell r="C5474" t="str">
            <v>KONDOR FX FIM</v>
          </cell>
          <cell r="D5474" t="str">
            <v>KONDOR FX FIM</v>
          </cell>
          <cell r="E5474" t="str">
            <v>KONDOR ADMINISTRADORA E GESTORA DE RECURSOS FINANCEIROS LTDA</v>
          </cell>
        </row>
        <row r="5475">
          <cell r="B5475">
            <v>123803</v>
          </cell>
          <cell r="C5475" t="str">
            <v>SAGA SNAKE FIM</v>
          </cell>
          <cell r="D5475" t="str">
            <v>SAGA SNAKE FIM</v>
          </cell>
          <cell r="E5475" t="str">
            <v>SAGA SNAKE FIM</v>
          </cell>
        </row>
        <row r="5476">
          <cell r="B5476">
            <v>123804</v>
          </cell>
          <cell r="C5476" t="str">
            <v>SAGA DLEBTA FIM LP IE</v>
          </cell>
          <cell r="D5476" t="str">
            <v>SAGA DLEBTA FIM LP IE</v>
          </cell>
          <cell r="E5476" t="str">
            <v>SAGA DLEBTA FIM LP IE</v>
          </cell>
        </row>
        <row r="5477">
          <cell r="B5477">
            <v>123805</v>
          </cell>
          <cell r="C5477" t="str">
            <v>SAGA CABAMA FIM</v>
          </cell>
          <cell r="D5477" t="str">
            <v>SAGA CABAMA FIM</v>
          </cell>
          <cell r="E5477" t="str">
            <v>SAGA CABAMA FIM</v>
          </cell>
        </row>
        <row r="5478">
          <cell r="B5478">
            <v>123806</v>
          </cell>
          <cell r="C5478" t="str">
            <v>SAGA EAGLE FUNDO DE INVEST.MULTIMERCADO</v>
          </cell>
          <cell r="D5478" t="str">
            <v>SAGA EAGLE FUNDO DE INVEST.MULTIMERCADO</v>
          </cell>
          <cell r="E5478" t="str">
            <v>SAGA EAGLE FUNDO DE INVEST.MULTIMERCADO</v>
          </cell>
        </row>
        <row r="5479">
          <cell r="B5479">
            <v>123807</v>
          </cell>
          <cell r="C5479" t="str">
            <v>SAGA MONTLACER II FIM</v>
          </cell>
          <cell r="D5479" t="str">
            <v>SAGA MONTLACER II FIM</v>
          </cell>
          <cell r="E5479" t="str">
            <v>SAGA MONTLACER II FIM</v>
          </cell>
        </row>
        <row r="5480">
          <cell r="B5480">
            <v>123808</v>
          </cell>
          <cell r="C5480" t="str">
            <v>M SAFRA EQUITIES FIA</v>
          </cell>
          <cell r="D5480" t="str">
            <v>M SAFRA EQUITIES FIA</v>
          </cell>
          <cell r="E5480" t="str">
            <v>AMS CAPITAL LTDA</v>
          </cell>
        </row>
        <row r="5481">
          <cell r="B5481">
            <v>123809</v>
          </cell>
          <cell r="C5481" t="str">
            <v>M SAFRA MASTER FIM</v>
          </cell>
          <cell r="D5481" t="str">
            <v>M SAFRA MASTER FIM</v>
          </cell>
          <cell r="E5481" t="str">
            <v>AMS CAPITAL LTDA</v>
          </cell>
        </row>
        <row r="5482">
          <cell r="B5482">
            <v>12381</v>
          </cell>
          <cell r="C5482" t="str">
            <v>AMS INTERNATIONAL GESTAO FINANCEIRA LTDA</v>
          </cell>
          <cell r="D5482" t="str">
            <v>AMS INTERNATIONAL GESTAO FINANCEIRA LTDA</v>
          </cell>
          <cell r="E5482" t="str">
            <v>AMS INTERNATIONAL GESTAO FINANCEIRA LTDA</v>
          </cell>
        </row>
        <row r="5483">
          <cell r="B5483">
            <v>123810</v>
          </cell>
          <cell r="C5483" t="str">
            <v>BELVEDERE MATISSE FIM CP</v>
          </cell>
          <cell r="D5483" t="str">
            <v>BELVEDERE MATISSE FIM CP</v>
          </cell>
          <cell r="E5483" t="str">
            <v>BELVEDERE MATISSE FIM CP</v>
          </cell>
        </row>
        <row r="5484">
          <cell r="B5484">
            <v>123811</v>
          </cell>
          <cell r="C5484" t="str">
            <v>EAGLE MONET FIA</v>
          </cell>
          <cell r="D5484" t="str">
            <v>EAGLE MONET FIA</v>
          </cell>
          <cell r="E5484" t="str">
            <v>EAGLE CAPITAL SS LTDA</v>
          </cell>
        </row>
        <row r="5485">
          <cell r="B5485">
            <v>123812</v>
          </cell>
          <cell r="C5485" t="str">
            <v>BELVEDERE RENOIR FIA</v>
          </cell>
          <cell r="D5485" t="str">
            <v>BELVEDERE RENOIR FIA</v>
          </cell>
          <cell r="E5485" t="str">
            <v>BELVEDERE RENOIR FIA</v>
          </cell>
        </row>
        <row r="5486">
          <cell r="B5486">
            <v>123813</v>
          </cell>
          <cell r="C5486" t="str">
            <v>ZARABATANA FIM CP IE</v>
          </cell>
          <cell r="D5486" t="str">
            <v>ZARABATANA FIM CP IE</v>
          </cell>
          <cell r="E5486" t="str">
            <v>ZARABATANA FIM CP IE</v>
          </cell>
        </row>
        <row r="5487">
          <cell r="B5487">
            <v>123814</v>
          </cell>
          <cell r="C5487" t="str">
            <v>JOAO HENRIQUE CUNHA DE ALMEIDA</v>
          </cell>
          <cell r="D5487" t="str">
            <v>JOAO HENRIQUE CUNHA DE ALMEIDA</v>
          </cell>
          <cell r="E5487" t="str">
            <v>JOAO HENRIQUE CUNHA DE ALMEIDA</v>
          </cell>
        </row>
        <row r="5488">
          <cell r="B5488">
            <v>123815</v>
          </cell>
          <cell r="C5488" t="str">
            <v>SANTANDER CACEIS BRASIL DTVM S.A.</v>
          </cell>
          <cell r="D5488" t="str">
            <v>SANTANDER CACEIS BRASIL DTVM S.A.</v>
          </cell>
          <cell r="E5488" t="str">
            <v>SANTANDER BRASIL GESTAO DE RECURSOS LTDA</v>
          </cell>
        </row>
        <row r="5489">
          <cell r="B5489">
            <v>123816</v>
          </cell>
          <cell r="C5489" t="str">
            <v>SANTANDER CACEIS BRASIL DTVM S.A.</v>
          </cell>
          <cell r="D5489" t="str">
            <v>SANTANDER CACEIS BRASIL DTVM S.A.</v>
          </cell>
          <cell r="E5489" t="str">
            <v>SANTANDER BRASIL GESTAO DE RECURSOS LTDA</v>
          </cell>
        </row>
        <row r="5490">
          <cell r="B5490">
            <v>223</v>
          </cell>
          <cell r="C5490" t="str">
            <v>BANCO SANTANDER (BRASIL) S/A</v>
          </cell>
          <cell r="D5490" t="str">
            <v>BANCO SANTANDER (BRASIL) S/A</v>
          </cell>
          <cell r="E5490" t="str">
            <v>BANCO SANTANDER (BRASIL) S/A</v>
          </cell>
        </row>
        <row r="5491">
          <cell r="B5491">
            <v>123818</v>
          </cell>
          <cell r="C5491" t="str">
            <v>ADAM ADVANCED MASTER FIM CP IE</v>
          </cell>
          <cell r="D5491" t="str">
            <v>ADAM ADVANCED MASTER FIM CP IE</v>
          </cell>
          <cell r="E5491" t="str">
            <v>ADAM ADVANCED MASTER FIM CP IE</v>
          </cell>
        </row>
        <row r="5492">
          <cell r="B5492">
            <v>123819</v>
          </cell>
          <cell r="C5492" t="str">
            <v>KONDOR EQUITY INSTITUCIONAL FIA</v>
          </cell>
          <cell r="D5492" t="str">
            <v>KONDOR EQUITY INSTITUCIONAL FIA</v>
          </cell>
          <cell r="E5492" t="str">
            <v>KONDOR ADMINISTRADORA E GESTORA DE RECURSOS FINANCEIROS LTDA</v>
          </cell>
        </row>
        <row r="5493">
          <cell r="B5493">
            <v>12382</v>
          </cell>
          <cell r="C5493" t="str">
            <v>AMS CAPITAL LTDA ( ANTIGO EVEREST PARTICIPACOES LTDA</v>
          </cell>
          <cell r="D5493" t="str">
            <v>AMS CAPITAL LTDA ( ANTIGO EVEREST PARTICIPACOES LTDA</v>
          </cell>
          <cell r="E5493" t="str">
            <v>AMS CAPITAL LTDA</v>
          </cell>
        </row>
        <row r="5494">
          <cell r="B5494">
            <v>123820</v>
          </cell>
          <cell r="C5494" t="str">
            <v>KONDOR LONG SHORT FIM</v>
          </cell>
          <cell r="D5494" t="str">
            <v>KONDOR LONG SHORT FIM</v>
          </cell>
          <cell r="E5494" t="str">
            <v>KONDOR LONG SHORT FIM</v>
          </cell>
        </row>
        <row r="5495">
          <cell r="B5495">
            <v>123822</v>
          </cell>
          <cell r="C5495" t="str">
            <v>ADAM MACRO MASTER FIM</v>
          </cell>
          <cell r="D5495" t="str">
            <v>ADAM MACRO MASTER FIM</v>
          </cell>
          <cell r="E5495" t="str">
            <v>ADAM MACRO MASTER FIM</v>
          </cell>
        </row>
        <row r="5496">
          <cell r="B5496">
            <v>123823</v>
          </cell>
          <cell r="C5496" t="str">
            <v>MORGAN STANLEY CTVM S/A</v>
          </cell>
          <cell r="D5496" t="str">
            <v>MORGAN STANLEY CTVM S/A</v>
          </cell>
          <cell r="E5496" t="str">
            <v>MORGAN STANLEY CTVM S/A</v>
          </cell>
        </row>
        <row r="5497">
          <cell r="B5497">
            <v>79864</v>
          </cell>
          <cell r="C5497" t="str">
            <v>NUCLEOS I BRASIL PLURAL FIM</v>
          </cell>
          <cell r="D5497" t="str">
            <v>NUCLEOS I BRASIL PLURAL FIM</v>
          </cell>
          <cell r="E5497" t="str">
            <v>NUCLEOS I BRASIL PLURAL FIM</v>
          </cell>
        </row>
        <row r="5498">
          <cell r="B5498">
            <v>123825</v>
          </cell>
          <cell r="C5498" t="str">
            <v>INDIE LOGOS MASTER FIA</v>
          </cell>
          <cell r="D5498" t="str">
            <v>INDIE LOGOS MASTER FIA</v>
          </cell>
          <cell r="E5498" t="str">
            <v>INDIE CAPITAL INVESTIMENTOS LTDA</v>
          </cell>
        </row>
        <row r="5499">
          <cell r="B5499">
            <v>123826</v>
          </cell>
          <cell r="C5499" t="str">
            <v>INDIE MASTER FIA</v>
          </cell>
          <cell r="D5499" t="str">
            <v>INDIE MASTER FIA</v>
          </cell>
          <cell r="E5499" t="str">
            <v>INDIE CAPITAL INVESTIMENTOS LTDA</v>
          </cell>
        </row>
        <row r="5500">
          <cell r="B5500">
            <v>123827</v>
          </cell>
          <cell r="C5500" t="str">
            <v>INDIE INSTITUCIONAL MASTER FIA</v>
          </cell>
          <cell r="D5500" t="str">
            <v>INDIE INSTITUCIONAL MASTER FIA</v>
          </cell>
          <cell r="E5500" t="str">
            <v>INDIE CAPITAL INVESTIMENTOS LTDA</v>
          </cell>
        </row>
        <row r="5501">
          <cell r="B5501">
            <v>123828</v>
          </cell>
          <cell r="C5501" t="str">
            <v>BB AGATA III FIM CP</v>
          </cell>
          <cell r="D5501" t="str">
            <v>BB AGATA III FIM CP</v>
          </cell>
          <cell r="E5501" t="str">
            <v>BB GESTAO DE RECURSOS DTVM LTDA</v>
          </cell>
        </row>
        <row r="5502">
          <cell r="B5502">
            <v>123829</v>
          </cell>
          <cell r="C5502" t="str">
            <v>MACUCO FIM CP IE</v>
          </cell>
          <cell r="D5502" t="str">
            <v>MACUCO FIM CP IE</v>
          </cell>
          <cell r="E5502" t="str">
            <v>MACUCO FIM CP IE</v>
          </cell>
        </row>
        <row r="5503">
          <cell r="B5503">
            <v>12383</v>
          </cell>
          <cell r="C5503" t="str">
            <v>EAGLE CAPITAL SS LTDA</v>
          </cell>
          <cell r="D5503" t="str">
            <v>EAGLE CAPITAL SS LTDA</v>
          </cell>
          <cell r="E5503" t="str">
            <v>EAGLE CAPITAL SS LTDA</v>
          </cell>
        </row>
        <row r="5504">
          <cell r="B5504">
            <v>123830</v>
          </cell>
          <cell r="C5504" t="str">
            <v>CONSISTENCIA FIM CP IE</v>
          </cell>
          <cell r="D5504" t="str">
            <v>CONSISTENCIA FIM CP IE</v>
          </cell>
          <cell r="E5504" t="str">
            <v>CONSISTENCIA FIM CP IE</v>
          </cell>
        </row>
        <row r="5505">
          <cell r="B5505">
            <v>123831</v>
          </cell>
          <cell r="C5505" t="str">
            <v>BANCO BRADESCO S/A GRAND CAYMAN BRANCH</v>
          </cell>
          <cell r="D5505" t="str">
            <v>BANCO BRADESCO S/A GRAND CAYMAN BRANCH</v>
          </cell>
          <cell r="E5505" t="str">
            <v>BANCO BRADESCO S/A GRAND CAYMAN BRANCH</v>
          </cell>
        </row>
        <row r="5506">
          <cell r="B5506">
            <v>123832</v>
          </cell>
          <cell r="C5506" t="str">
            <v>KONDOR ZEB VII FIM</v>
          </cell>
          <cell r="D5506" t="str">
            <v>KONDOR ZEB VII FIM</v>
          </cell>
          <cell r="E5506" t="str">
            <v>KONDOR ADMINISTRADORA E GESTORA DE RECURSOS FINANCEIROS LTDA</v>
          </cell>
        </row>
        <row r="5507">
          <cell r="B5507">
            <v>123833</v>
          </cell>
          <cell r="C5507" t="str">
            <v>VINCI SV FIM CP</v>
          </cell>
          <cell r="D5507" t="str">
            <v>VINCI SV FIM CP</v>
          </cell>
          <cell r="E5507" t="str">
            <v>VINCI GESTORA DE RECURSOS LTDA</v>
          </cell>
        </row>
        <row r="5508">
          <cell r="B5508">
            <v>123834</v>
          </cell>
          <cell r="C5508" t="str">
            <v>CITRINO MACRO FIM CP IE</v>
          </cell>
          <cell r="D5508" t="str">
            <v>CITRINO MACRO FIM CP IE</v>
          </cell>
          <cell r="E5508" t="str">
            <v>CITRINO MACRO FIM CP IE</v>
          </cell>
        </row>
        <row r="5509">
          <cell r="B5509">
            <v>123835</v>
          </cell>
          <cell r="C5509" t="str">
            <v>SANTANDER CACEIS BRASIL DTVM S.A.</v>
          </cell>
          <cell r="D5509" t="str">
            <v>SANTANDER CACEIS BRASIL DTVM S.A.</v>
          </cell>
          <cell r="E5509" t="str">
            <v>SANTANDER BRASIL GESTAO DE RECURSOS LTDA</v>
          </cell>
        </row>
        <row r="5510">
          <cell r="B5510">
            <v>123836</v>
          </cell>
          <cell r="C5510" t="str">
            <v>SANTANDER CACEIS BRASIL DTVM S.A.</v>
          </cell>
          <cell r="D5510" t="str">
            <v>SANTANDER CACEIS BRASIL DTVM S.A.</v>
          </cell>
          <cell r="E5510" t="str">
            <v>SANTANDER BRASIL GESTAO DE RECURSOS LTDA</v>
          </cell>
        </row>
        <row r="5511">
          <cell r="B5511">
            <v>123837</v>
          </cell>
          <cell r="C5511" t="str">
            <v>SANTANDER CACEIS BRASIL DTVM S.A.</v>
          </cell>
          <cell r="D5511" t="str">
            <v>SANTANDER CACEIS BRASIL DTVM S.A.</v>
          </cell>
          <cell r="E5511" t="str">
            <v>SANTANDER BRASIL GESTAO DE RECURSOS LTDA</v>
          </cell>
        </row>
        <row r="5512">
          <cell r="B5512">
            <v>122374</v>
          </cell>
          <cell r="C5512" t="str">
            <v>PLURAL CAPITAL LONG EQUITIES (DE) LLC</v>
          </cell>
          <cell r="D5512" t="str">
            <v>PLURAL CAPITAL LONG EQUITIES (DE) LLC</v>
          </cell>
          <cell r="E5512" t="str">
            <v>PLURAL GESTÃO DE RECURSOS LTDA</v>
          </cell>
        </row>
        <row r="5513">
          <cell r="B5513">
            <v>12384</v>
          </cell>
          <cell r="C5513" t="str">
            <v>ADAMCAPITAL GESTAO DE RECURSOS LTDA</v>
          </cell>
          <cell r="D5513" t="str">
            <v>ADAMCAPITAL GESTAO DE RECURSOS LTDA</v>
          </cell>
          <cell r="E5513" t="str">
            <v>ADAMCAPITAL GESTAO DE RECURSOS LTDA</v>
          </cell>
        </row>
        <row r="5514">
          <cell r="B5514">
            <v>123840</v>
          </cell>
          <cell r="C5514" t="str">
            <v>SANTANDER CACEIS BRASIL DTVM S.A.</v>
          </cell>
          <cell r="D5514" t="str">
            <v>SANTANDER CACEIS BRASIL DTVM S.A.</v>
          </cell>
          <cell r="E5514" t="str">
            <v>SANTANDER BRASIL GESTAO DE RECURSOS LTDA</v>
          </cell>
        </row>
        <row r="5515">
          <cell r="B5515">
            <v>122854</v>
          </cell>
          <cell r="C5515" t="str">
            <v>XP DIVIDENDOS FIA</v>
          </cell>
          <cell r="D5515" t="str">
            <v>XP DIVIDENDOS FIA</v>
          </cell>
          <cell r="E5515" t="str">
            <v>XP DIVIDENDOS FIA</v>
          </cell>
        </row>
        <row r="5516">
          <cell r="B5516">
            <v>123842</v>
          </cell>
          <cell r="C5516" t="str">
            <v>MAUA PREV SOCIEDADE DE PREVIDENCIA PRIVADA</v>
          </cell>
          <cell r="D5516" t="str">
            <v>MAUA PREV SOCIEDADE DE PREVIDENCIA PRIVADA</v>
          </cell>
          <cell r="E5516" t="str">
            <v>MAUA PREV SOCIEDADE DE PREVIDENCIA PRIVADA</v>
          </cell>
        </row>
        <row r="5517">
          <cell r="B5517">
            <v>123843</v>
          </cell>
          <cell r="C5517" t="str">
            <v>BRAL LLC</v>
          </cell>
          <cell r="D5517" t="str">
            <v>BRAL LLC</v>
          </cell>
          <cell r="E5517" t="str">
            <v>BRAL LLC</v>
          </cell>
        </row>
        <row r="5518">
          <cell r="B5518">
            <v>123845</v>
          </cell>
          <cell r="C5518" t="str">
            <v>ROSANGELA VIDAL DE ARAUJO</v>
          </cell>
          <cell r="D5518" t="str">
            <v>ROSANGELA VIDAL DE ARAUJO</v>
          </cell>
          <cell r="E5518" t="str">
            <v>ROSANGELA VIDAL DE ARAUJO</v>
          </cell>
        </row>
        <row r="5519">
          <cell r="B5519">
            <v>123846</v>
          </cell>
          <cell r="C5519" t="str">
            <v>HIX CAPITAL FIA</v>
          </cell>
          <cell r="D5519" t="str">
            <v>HIX CAPITAL FIA</v>
          </cell>
          <cell r="E5519" t="str">
            <v>HIX INVESTIMENTOS LTDA</v>
          </cell>
        </row>
        <row r="5520">
          <cell r="B5520">
            <v>123847</v>
          </cell>
          <cell r="C5520" t="str">
            <v>HIX CAPITAL INSTITUCIONAL FIA</v>
          </cell>
          <cell r="D5520" t="str">
            <v>HIX CAPITAL INSTITUCIONAL FIA</v>
          </cell>
          <cell r="E5520" t="str">
            <v>HIX INVESTIMENTOS LTDA</v>
          </cell>
        </row>
        <row r="5521">
          <cell r="B5521">
            <v>123848</v>
          </cell>
          <cell r="C5521" t="str">
            <v>ANGRA FIM CP IE</v>
          </cell>
          <cell r="D5521" t="str">
            <v>ANGRA FIM CP IE</v>
          </cell>
          <cell r="E5521" t="str">
            <v>ANGRA FIM CP IE</v>
          </cell>
        </row>
        <row r="5522">
          <cell r="B5522">
            <v>122375</v>
          </cell>
          <cell r="C5522" t="str">
            <v>PLURAL BRAZIL (DE) LLC</v>
          </cell>
          <cell r="D5522" t="str">
            <v>PLURAL BRAZIL (DE) LLC</v>
          </cell>
          <cell r="E5522" t="str">
            <v>PLURAL GESTÃO DE RECURSOS LTDA</v>
          </cell>
        </row>
        <row r="5523">
          <cell r="B5523">
            <v>12385</v>
          </cell>
          <cell r="C5523" t="str">
            <v>INDIE CAPITAL INVESTIMENTOS LTDA</v>
          </cell>
          <cell r="D5523" t="str">
            <v>INDIE CAPITAL INVESTIMENTOS LTDA</v>
          </cell>
          <cell r="E5523" t="str">
            <v>INDIE CAPITAL INVESTIMENTOS LTDA</v>
          </cell>
        </row>
        <row r="5524">
          <cell r="B5524">
            <v>123850</v>
          </cell>
          <cell r="C5524" t="str">
            <v>SOCIETE MONDIALE FIA</v>
          </cell>
          <cell r="D5524" t="str">
            <v>SOCIETE MONDIALE FIA</v>
          </cell>
          <cell r="E5524" t="str">
            <v>UNICA ADMINISTRACAO E GESTAO DE RECURSOS LTDA</v>
          </cell>
        </row>
        <row r="5525">
          <cell r="B5525">
            <v>123851</v>
          </cell>
          <cell r="C5525" t="str">
            <v>RAFAEL TAKEO KIYUNA</v>
          </cell>
          <cell r="D5525" t="str">
            <v>RAFAEL TAKEO KIYUNA</v>
          </cell>
          <cell r="E5525" t="str">
            <v>RAFAEL TAKEO KIYUNA</v>
          </cell>
        </row>
        <row r="5526">
          <cell r="B5526">
            <v>123852</v>
          </cell>
          <cell r="C5526" t="str">
            <v>HIX CAPITAL SPO II FIM</v>
          </cell>
          <cell r="D5526" t="str">
            <v>HIX CAPITAL SPO II FIM</v>
          </cell>
          <cell r="E5526" t="str">
            <v>HIX INVESTIMENTOS LTDA</v>
          </cell>
        </row>
        <row r="5527">
          <cell r="B5527">
            <v>123853</v>
          </cell>
          <cell r="C5527" t="str">
            <v>HIX CAPITAL SPO III FIA</v>
          </cell>
          <cell r="D5527" t="str">
            <v>HIX CAPITAL SPO III FIA</v>
          </cell>
          <cell r="E5527" t="str">
            <v>HIX INVESTIMENTOS LTDA</v>
          </cell>
        </row>
        <row r="5528">
          <cell r="B5528">
            <v>123854</v>
          </cell>
          <cell r="C5528" t="str">
            <v>AVANTE FIM CP IE</v>
          </cell>
          <cell r="D5528" t="str">
            <v>AVANTE FIM CP IE</v>
          </cell>
          <cell r="E5528" t="str">
            <v>AVANTE FIM CP IE</v>
          </cell>
        </row>
        <row r="5529">
          <cell r="B5529">
            <v>123855</v>
          </cell>
          <cell r="C5529" t="str">
            <v>DONOSTIA FIM CP IE</v>
          </cell>
          <cell r="D5529" t="str">
            <v>DONOSTIA FIM CP IE</v>
          </cell>
          <cell r="E5529" t="str">
            <v>DONOSTIA FIM CP IE</v>
          </cell>
        </row>
        <row r="5530">
          <cell r="B5530">
            <v>123856</v>
          </cell>
          <cell r="C5530" t="str">
            <v>GUIMA FIM CP IE</v>
          </cell>
          <cell r="D5530" t="str">
            <v>GUIMA FIM CP IE</v>
          </cell>
          <cell r="E5530" t="str">
            <v>GUIMA FIM CP IE</v>
          </cell>
        </row>
        <row r="5531">
          <cell r="B5531">
            <v>123857</v>
          </cell>
          <cell r="C5531" t="str">
            <v>LOREMA FIM CP IE</v>
          </cell>
          <cell r="D5531" t="str">
            <v>LOREMA FIM CP IE</v>
          </cell>
          <cell r="E5531" t="str">
            <v>LOREMA FIM CP IE</v>
          </cell>
        </row>
        <row r="5532">
          <cell r="B5532">
            <v>123858</v>
          </cell>
          <cell r="C5532" t="str">
            <v>MALUBI FIM IE CP</v>
          </cell>
          <cell r="D5532" t="str">
            <v>MALUBI FIM IE CP</v>
          </cell>
          <cell r="E5532" t="str">
            <v>MALUBI FIM IE CP</v>
          </cell>
        </row>
        <row r="5533">
          <cell r="B5533">
            <v>123859</v>
          </cell>
          <cell r="C5533" t="str">
            <v>PADOVA FIM IE CP</v>
          </cell>
          <cell r="D5533" t="str">
            <v>PADOVA FIM IE CP</v>
          </cell>
          <cell r="E5533" t="str">
            <v>PADOVA FIM IE CP</v>
          </cell>
        </row>
        <row r="5534">
          <cell r="B5534">
            <v>123860</v>
          </cell>
          <cell r="C5534" t="str">
            <v>RM FIM IE CP</v>
          </cell>
          <cell r="D5534" t="str">
            <v>RM FIM IE CP</v>
          </cell>
          <cell r="E5534" t="str">
            <v>RM FIM IE CP</v>
          </cell>
        </row>
        <row r="5535">
          <cell r="B5535">
            <v>123861</v>
          </cell>
          <cell r="C5535" t="str">
            <v>SANTANDER CACEIS BRASIL DTVM S.A.</v>
          </cell>
          <cell r="D5535" t="str">
            <v>SANTANDER CACEIS BRASIL DTVM S.A.</v>
          </cell>
          <cell r="E5535" t="str">
            <v>SANTANDER BRASIL GESTAO DE RECURSOS LTDA</v>
          </cell>
        </row>
        <row r="5536">
          <cell r="B5536">
            <v>123862</v>
          </cell>
          <cell r="C5536" t="str">
            <v>SANTANDER CACEIS BRASIL DTVM S.A.</v>
          </cell>
          <cell r="D5536" t="str">
            <v>SANTANDER CACEIS BRASIL DTVM S.A.</v>
          </cell>
          <cell r="E5536" t="str">
            <v>SANTANDER BRASIL GESTAO DE RECURSOS LTDA</v>
          </cell>
        </row>
        <row r="5537">
          <cell r="B5537">
            <v>123863</v>
          </cell>
          <cell r="C5537" t="str">
            <v>SANTANDER CACEIS BRASIL DTVM S.A.</v>
          </cell>
          <cell r="D5537" t="str">
            <v>SANTANDER CACEIS BRASIL DTVM S.A.</v>
          </cell>
          <cell r="E5537" t="str">
            <v>SANTANDER BRASIL GESTAO DE RECURSOS LTDA</v>
          </cell>
        </row>
        <row r="5538">
          <cell r="B5538">
            <v>123864</v>
          </cell>
          <cell r="C5538" t="str">
            <v>FIF DE GARANTIA DO TEMPO DE SERVIÃ‡O</v>
          </cell>
          <cell r="D5538" t="str">
            <v>FIF DE GARANTIA DO TEMPO DE SERVIÃ‡O</v>
          </cell>
          <cell r="E5538" t="str">
            <v>FIF DE GARANTIA DO TEMPO DE SERVIÃ‡O</v>
          </cell>
        </row>
        <row r="5539">
          <cell r="B5539">
            <v>123865</v>
          </cell>
          <cell r="C5539" t="str">
            <v>JOAO LUIZ BUSCH</v>
          </cell>
          <cell r="D5539" t="str">
            <v>JOAO LUIZ BUSCH</v>
          </cell>
          <cell r="E5539" t="str">
            <v>JOAO LUIZ BUSCH</v>
          </cell>
        </row>
        <row r="5540">
          <cell r="B5540">
            <v>123866</v>
          </cell>
          <cell r="C5540" t="str">
            <v>BB GESTAO DE RECURSOS DTVM LTDA</v>
          </cell>
          <cell r="D5540" t="str">
            <v>BB GESTAO DE RECURSOS DTVM LTDA</v>
          </cell>
          <cell r="E5540" t="str">
            <v>BB GESTAO DE RECURSOS DTVM LTDA</v>
          </cell>
        </row>
        <row r="5541">
          <cell r="B5541">
            <v>123867</v>
          </cell>
          <cell r="C5541" t="str">
            <v>PSR FIM CP IE</v>
          </cell>
          <cell r="D5541" t="str">
            <v>PSR FIM CP IE</v>
          </cell>
          <cell r="E5541" t="str">
            <v>PSR FIM CP IE</v>
          </cell>
        </row>
        <row r="5542">
          <cell r="B5542">
            <v>123868</v>
          </cell>
          <cell r="C5542" t="str">
            <v>SERENO FIM CP IE</v>
          </cell>
          <cell r="D5542" t="str">
            <v>SERENO FIM CP IE</v>
          </cell>
          <cell r="E5542" t="str">
            <v>SERENO FIM CP IE</v>
          </cell>
        </row>
        <row r="5543">
          <cell r="B5543">
            <v>12387</v>
          </cell>
          <cell r="C5543" t="str">
            <v>GRIMPER CAPITAL GESTORA DE RECURSOS LTDA</v>
          </cell>
          <cell r="D5543" t="str">
            <v>GRIMPER CAPITAL GESTORA DE RECURSOS LTDA</v>
          </cell>
          <cell r="E5543" t="str">
            <v>GRIMPER CAPITAL GESTORA DE RECURSOS LTDA</v>
          </cell>
        </row>
        <row r="5544">
          <cell r="B5544">
            <v>123871</v>
          </cell>
          <cell r="C5544" t="str">
            <v>UJAY HEDGE FIM</v>
          </cell>
          <cell r="D5544" t="str">
            <v>UJAY HEDGE FIM</v>
          </cell>
          <cell r="E5544" t="str">
            <v>UJAY CAPITAL INVESTIMENTOS LTDA</v>
          </cell>
        </row>
        <row r="5545">
          <cell r="B5545">
            <v>123872</v>
          </cell>
          <cell r="C5545" t="str">
            <v>UJAY LONG BIASED MASTER FIA</v>
          </cell>
          <cell r="D5545" t="str">
            <v>UJAY LONG BIASED MASTER FIA</v>
          </cell>
          <cell r="E5545" t="str">
            <v>UJAY LONG BIASED MASTER FIA</v>
          </cell>
        </row>
        <row r="5546">
          <cell r="B5546">
            <v>123873</v>
          </cell>
          <cell r="C5546" t="str">
            <v>UJAY MASTER FIX FIM</v>
          </cell>
          <cell r="D5546" t="str">
            <v>UJAY MASTER FIX FIM</v>
          </cell>
          <cell r="E5546" t="str">
            <v>UJAY CAPITAL INVESTIMENTOS LTDA</v>
          </cell>
        </row>
        <row r="5547">
          <cell r="B5547">
            <v>123874</v>
          </cell>
          <cell r="C5547" t="str">
            <v>M2 FUTURA FIM CP IE</v>
          </cell>
          <cell r="D5547" t="str">
            <v>M2 FUTURA FIM CP IE</v>
          </cell>
          <cell r="E5547" t="str">
            <v>UJAY CAPITAL INVESTIMENTOS LTDA</v>
          </cell>
        </row>
        <row r="5548">
          <cell r="B5548">
            <v>123877</v>
          </cell>
          <cell r="C5548" t="str">
            <v>KRV FIM CRED PRIV IE</v>
          </cell>
          <cell r="D5548" t="str">
            <v>KRV FIM CRED PRIV IE</v>
          </cell>
          <cell r="E5548" t="str">
            <v>KONDOR ADMINISTRADORA E GESTORA DE RECURSOS FINANCEIROS LTDA</v>
          </cell>
        </row>
        <row r="5549">
          <cell r="B5549">
            <v>123878</v>
          </cell>
          <cell r="C5549" t="str">
            <v>BR PARTNERS CERRADO I FIM CP</v>
          </cell>
          <cell r="D5549" t="str">
            <v>BR PARTNERS CERRADO I FIM CP</v>
          </cell>
          <cell r="E5549" t="str">
            <v>BR PARTNERS CERRADO I FIM CP</v>
          </cell>
        </row>
        <row r="5550">
          <cell r="B5550">
            <v>123879</v>
          </cell>
          <cell r="C5550" t="str">
            <v>FI SANTIAGO MULTIMERCADO CP</v>
          </cell>
          <cell r="D5550" t="str">
            <v>FI SANTIAGO MULTIMERCADO CP</v>
          </cell>
          <cell r="E5550" t="str">
            <v>SANTANDER BRASIL GESTAO DE RECURSOS LTDA</v>
          </cell>
        </row>
        <row r="5551">
          <cell r="B5551">
            <v>12388</v>
          </cell>
          <cell r="C5551" t="str">
            <v>HIX INVESTIMENTOS LTDA</v>
          </cell>
          <cell r="D5551" t="str">
            <v>HIX INVESTIMENTOS LTDA</v>
          </cell>
          <cell r="E5551" t="str">
            <v>HIX INVESTIMENTOS LTDA</v>
          </cell>
        </row>
        <row r="5552">
          <cell r="B5552">
            <v>123880</v>
          </cell>
          <cell r="C5552" t="str">
            <v>BB GESTAO DE RECURSOS DTVM LTDA</v>
          </cell>
          <cell r="D5552" t="str">
            <v>BB GESTAO DE RECURSOS DTVM LTDA</v>
          </cell>
          <cell r="E5552" t="str">
            <v>BB GESTAO DE RECURSOS DTVM LTDA</v>
          </cell>
        </row>
        <row r="5553">
          <cell r="B5553">
            <v>123881</v>
          </cell>
          <cell r="C5553" t="str">
            <v>THYAGO DE SOUZA COSTA</v>
          </cell>
          <cell r="D5553" t="str">
            <v>THYAGO DE SOUZA COSTA</v>
          </cell>
          <cell r="E5553" t="str">
            <v>THYAGO DE SOUZA COSTA</v>
          </cell>
        </row>
        <row r="5554">
          <cell r="B5554">
            <v>123882</v>
          </cell>
          <cell r="C5554" t="str">
            <v>SAGA TOP FIM</v>
          </cell>
          <cell r="D5554" t="str">
            <v>SAGA TOP FIM</v>
          </cell>
          <cell r="E5554" t="str">
            <v>SAGA TOP FIM</v>
          </cell>
        </row>
        <row r="5555">
          <cell r="B5555">
            <v>123883</v>
          </cell>
          <cell r="C5555" t="str">
            <v>ITATIAIA MASTER FIM IE</v>
          </cell>
          <cell r="D5555" t="str">
            <v>ITATIAIA MASTER FIM IE</v>
          </cell>
          <cell r="E5555" t="str">
            <v>ITATIAIA MASTER FIM IE</v>
          </cell>
        </row>
        <row r="5556">
          <cell r="B5556">
            <v>79864</v>
          </cell>
          <cell r="C5556" t="str">
            <v>NUCLEOS I BRASIL PLURAL FIM</v>
          </cell>
          <cell r="D5556" t="str">
            <v>NUCLEOS I BRASIL PLURAL FIM</v>
          </cell>
          <cell r="E5556" t="str">
            <v>NUCLEOS I BRASIL PLURAL FIM</v>
          </cell>
        </row>
        <row r="5557">
          <cell r="B5557">
            <v>123885</v>
          </cell>
          <cell r="C5557" t="str">
            <v>ANDRE LUIZ SALGUEIRO DE ALBUQUERQUE TIRONE</v>
          </cell>
          <cell r="D5557" t="str">
            <v>ANDRE LUIZ SALGUEIRO DE ALBUQUERQUE TIRONE</v>
          </cell>
          <cell r="E5557" t="str">
            <v>ANDRE LUIZ SALGUEIRO DE ALBUQUERQUE TIRONE</v>
          </cell>
        </row>
        <row r="5558">
          <cell r="B5558">
            <v>123886</v>
          </cell>
          <cell r="C5558" t="str">
            <v>NOVUS ACOES INSTITUCIONAL MASTER FIA</v>
          </cell>
          <cell r="D5558" t="str">
            <v>NOVUS ACOES INSTITUCIONAL MASTER FIA</v>
          </cell>
          <cell r="E5558" t="str">
            <v>NOVUS CAPITAL GESTORA DE RECURSOS LTDA</v>
          </cell>
        </row>
        <row r="5559">
          <cell r="B5559">
            <v>12389</v>
          </cell>
          <cell r="C5559" t="str">
            <v>FUNDACAO VALE DO RIO DOCE DE SEGURIDADE SOCIAL - VALIA</v>
          </cell>
          <cell r="D5559" t="str">
            <v>FUNDACAO VALE DO RIO DOCE DE SEGURIDADE SOCIAL - VALIA</v>
          </cell>
          <cell r="E5559" t="str">
            <v>FUNDACAO VALE DO RIO DOCE DE SEGURIDADE SOCIAL - VALIA</v>
          </cell>
        </row>
        <row r="5560">
          <cell r="B5560">
            <v>123890</v>
          </cell>
          <cell r="C5560" t="str">
            <v>BB GESTAO DE RECURSOS DTVM LTDA</v>
          </cell>
          <cell r="D5560" t="str">
            <v>BB GESTAO DE RECURSOS DTVM LTDA</v>
          </cell>
          <cell r="E5560" t="str">
            <v>BB GESTAO DE RECURSOS DTVM LTDA</v>
          </cell>
        </row>
        <row r="5561">
          <cell r="B5561">
            <v>123891</v>
          </cell>
          <cell r="C5561" t="str">
            <v>L2 PARTICIPACOES FI EM PARTICIPACOES</v>
          </cell>
          <cell r="D5561" t="str">
            <v>L2 PARTICIPACOES FI EM PARTICIPACOES</v>
          </cell>
          <cell r="E5561" t="str">
            <v>L2 PARTICIPACOES FI EM PARTICIPACOES</v>
          </cell>
        </row>
        <row r="5562">
          <cell r="B5562">
            <v>123892</v>
          </cell>
          <cell r="C5562" t="str">
            <v>OPTIVER V.O.F.</v>
          </cell>
          <cell r="D5562" t="str">
            <v>OPTIVER V.O.F.</v>
          </cell>
          <cell r="E5562" t="str">
            <v>OPTIVER V.O.F.</v>
          </cell>
        </row>
        <row r="5563">
          <cell r="B5563">
            <v>123893</v>
          </cell>
          <cell r="C5563" t="str">
            <v>OPTIVER V.O.F.</v>
          </cell>
          <cell r="D5563" t="str">
            <v>OPTIVER V.O.F.</v>
          </cell>
          <cell r="E5563" t="str">
            <v>OPTIVER V.O.F.</v>
          </cell>
        </row>
        <row r="5564">
          <cell r="B5564">
            <v>123894</v>
          </cell>
          <cell r="C5564" t="str">
            <v>FIPECQ-FUNDACAO DE PREVIDENCIA COMPLEMENTAR DOS EMPREGADOS O</v>
          </cell>
          <cell r="D5564" t="str">
            <v>FIPECQ-FUNDACAO DE PREVIDENCIA COMPLEMENTAR DOS EMPREGADOS O</v>
          </cell>
          <cell r="E5564" t="str">
            <v>FIPECQ-FUNDACAO DE PREVIDENCIA COMPLEMENTAR DOS EMPREGADOS O</v>
          </cell>
        </row>
        <row r="5565">
          <cell r="B5565">
            <v>123895</v>
          </cell>
          <cell r="C5565" t="str">
            <v>FIPECQ-FUNDACAO DE PREVIDENCIA COMPLEMENTAR DOS EMPREGADOS O</v>
          </cell>
          <cell r="D5565" t="str">
            <v>FIPECQ-FUNDACAO DE PREVIDENCIA COMPLEMENTAR DOS EMPREGADOS O</v>
          </cell>
          <cell r="E5565" t="str">
            <v>FIPECQ-FUNDACAO DE PREVIDENCIA COMPLEMENTAR DOS EMPREGADOS O</v>
          </cell>
        </row>
        <row r="5566">
          <cell r="B5566">
            <v>123896</v>
          </cell>
          <cell r="C5566" t="str">
            <v>FIPECQ-FUNDACAO DE PREVIDENCIA COMPLEMENTAR DOS EMPREGADOS O</v>
          </cell>
          <cell r="D5566" t="str">
            <v>FIPECQ-FUNDACAO DE PREVIDENCIA COMPLEMENTAR DOS EMPREGADOS O</v>
          </cell>
          <cell r="E5566" t="str">
            <v>FIPECQ-FUNDACAO DE PREVIDENCIA COMPLEMENTAR DOS EMPREGADOS O</v>
          </cell>
        </row>
        <row r="5567">
          <cell r="B5567">
            <v>123897</v>
          </cell>
          <cell r="C5567" t="str">
            <v>VALMIRIO AUGUSTO DA SILVA</v>
          </cell>
          <cell r="D5567" t="str">
            <v>VALMIRIO AUGUSTO DA SILVA</v>
          </cell>
          <cell r="E5567" t="str">
            <v>VALMIRIO AUGUSTO DA SILVA</v>
          </cell>
        </row>
        <row r="5568">
          <cell r="B5568">
            <v>12390</v>
          </cell>
          <cell r="C5568" t="str">
            <v>UNICA ADMINISTRACAO E GESTAO DE RECURSOS LTDA</v>
          </cell>
          <cell r="D5568" t="str">
            <v>UNICA ADMINISTRACAO E GESTAO DE RECURSOS LTDA</v>
          </cell>
          <cell r="E5568" t="str">
            <v>UNICA ADMINISTRACAO E GESTAO DE RECURSOS LTDA</v>
          </cell>
        </row>
        <row r="5569">
          <cell r="B5569">
            <v>123900</v>
          </cell>
          <cell r="C5569" t="str">
            <v>BOSCH BRASIL VIII FIA PREVIDENCIARIO</v>
          </cell>
          <cell r="D5569" t="str">
            <v>BOSCH BRASIL VIII FIA PREVIDENCIARIO</v>
          </cell>
          <cell r="E5569" t="str">
            <v>SANTANDER BRASIL GESTAO DE RECURSOS LTDA</v>
          </cell>
        </row>
        <row r="5570">
          <cell r="B5570">
            <v>123903</v>
          </cell>
          <cell r="C5570" t="str">
            <v>ITAU FLEXPREV MULTIMERCADO EQUITY HEDGE ADVANCED FI</v>
          </cell>
          <cell r="D5570" t="str">
            <v>ITAU FLEXPREV MULTIMERCADO EQUITY HEDGE ADVANCED FI</v>
          </cell>
          <cell r="E5570" t="str">
            <v>ITAU UNIBANCO ASSET - TACO</v>
          </cell>
        </row>
        <row r="5571">
          <cell r="B5571">
            <v>123905</v>
          </cell>
          <cell r="C5571" t="str">
            <v>ITAU IBRX ATIVO MASTER FIA</v>
          </cell>
          <cell r="D5571" t="str">
            <v>ITAU IBRX ATIVO MASTER FIA</v>
          </cell>
          <cell r="E5571" t="str">
            <v>ITAU IBRX ATIVO MASTER FIA</v>
          </cell>
        </row>
        <row r="5572">
          <cell r="B5572">
            <v>123906</v>
          </cell>
          <cell r="C5572" t="str">
            <v>ITAU INSTITUCIONAL BOLSA INDEX FIA</v>
          </cell>
          <cell r="D5572" t="str">
            <v>ITAU INSTITUCIONAL BOLSA INDEX FIA</v>
          </cell>
          <cell r="E5572" t="str">
            <v>ITAU UNIBANCO ASSET - TACO</v>
          </cell>
        </row>
        <row r="5573">
          <cell r="B5573">
            <v>123907</v>
          </cell>
          <cell r="C5573" t="str">
            <v>ITAU MULTIMERCADO GLOBAL EQUITY HEDGE FI</v>
          </cell>
          <cell r="D5573" t="str">
            <v>ITAU MULTIMERCADO GLOBAL EQUITY HEDGE FI</v>
          </cell>
          <cell r="E5573" t="str">
            <v>ITAU UNIBANCO ASSET - HIGH   ALPHA</v>
          </cell>
        </row>
        <row r="5574">
          <cell r="B5574">
            <v>123908</v>
          </cell>
          <cell r="C5574" t="str">
            <v>ITAU FI EM PIBBS ACOES</v>
          </cell>
          <cell r="D5574" t="str">
            <v>ITAU FI EM PIBBS ACOES</v>
          </cell>
          <cell r="E5574" t="str">
            <v>ITAU UNIBANCO ASSET - TACO</v>
          </cell>
        </row>
        <row r="5575">
          <cell r="B5575">
            <v>123909</v>
          </cell>
          <cell r="C5575" t="str">
            <v>SUPRA FIA IE</v>
          </cell>
          <cell r="D5575" t="str">
            <v>SUPRA FIA IE</v>
          </cell>
          <cell r="E5575" t="str">
            <v>SUPRA FIA IE</v>
          </cell>
        </row>
        <row r="5576">
          <cell r="B5576">
            <v>12391</v>
          </cell>
          <cell r="C5576" t="str">
            <v>TERA CAPITAL GESTAO DE RECURSOS LTDA</v>
          </cell>
          <cell r="D5576" t="str">
            <v>TERA CAPITAL GESTAO DE RECURSOS LTDA</v>
          </cell>
          <cell r="E5576" t="str">
            <v>TERA CAPITAL GESTAO DE RECURSOS LTDA</v>
          </cell>
        </row>
        <row r="5577">
          <cell r="B5577">
            <v>123910</v>
          </cell>
          <cell r="C5577" t="str">
            <v>RT SOLSTICE ACOES FI</v>
          </cell>
          <cell r="D5577" t="str">
            <v>RT SOLSTICE ACOES FI</v>
          </cell>
          <cell r="E5577" t="str">
            <v>ITAU UNIBANCO ASSET - TACO</v>
          </cell>
        </row>
        <row r="5578">
          <cell r="B5578">
            <v>123911</v>
          </cell>
          <cell r="C5578" t="str">
            <v>ITAU ALOCACAO SETORIAL FIA</v>
          </cell>
          <cell r="D5578" t="str">
            <v>ITAU ALOCACAO SETORIAL FIA</v>
          </cell>
          <cell r="E5578" t="str">
            <v>ITAU UNIBANCO ASSET - TACO</v>
          </cell>
        </row>
        <row r="5579">
          <cell r="B5579">
            <v>123920</v>
          </cell>
          <cell r="C5579" t="str">
            <v>ITAU AÃ‡Ã•ES ITAU UNIBANCO FI</v>
          </cell>
          <cell r="D5579" t="str">
            <v>ITAU AÃ‡Ã•ES ITAU UNIBANCO FI</v>
          </cell>
          <cell r="E5579" t="str">
            <v>ITAU UNIBANCO ASSET - TACO</v>
          </cell>
        </row>
        <row r="5580">
          <cell r="B5580">
            <v>123921</v>
          </cell>
          <cell r="C5580" t="str">
            <v>ITAU AÃ‡Ã•ES INFRA ESTRUTURA FI</v>
          </cell>
          <cell r="D5580" t="str">
            <v>ITAU AÃ‡Ã•ES INFRA ESTRUTURA FI</v>
          </cell>
          <cell r="E5580" t="str">
            <v>ITAU UNIBANCO ASSET - TACO</v>
          </cell>
        </row>
        <row r="5581">
          <cell r="B5581">
            <v>12393</v>
          </cell>
          <cell r="C5581" t="str">
            <v>UJAY CAPITAL INVESTIMENTOS LTDA.</v>
          </cell>
          <cell r="D5581" t="str">
            <v>UJAY CAPITAL INVESTIMENTOS LTDA.</v>
          </cell>
          <cell r="E5581" t="str">
            <v>UJAY CAPITAL INVESTIMENTOS LTDA</v>
          </cell>
        </row>
        <row r="5582">
          <cell r="B5582">
            <v>123930</v>
          </cell>
          <cell r="C5582" t="str">
            <v>ITAU EQUITY HEDGE ADVANCED MULTIMERCADO FI</v>
          </cell>
          <cell r="D5582" t="str">
            <v>ITAU EQUITY HEDGE ADVANCED MULTIMERCADO FI</v>
          </cell>
          <cell r="E5582" t="str">
            <v>ITAU EQUITY HEDGE ADVANCED MULTIMERCADO FI</v>
          </cell>
        </row>
        <row r="5583">
          <cell r="B5583">
            <v>123933</v>
          </cell>
          <cell r="C5583" t="str">
            <v>ITAU MULTIMERCADO LONG AND SHORT FI</v>
          </cell>
          <cell r="D5583" t="str">
            <v>ITAU MULTIMERCADO LONG AND SHORT FI</v>
          </cell>
          <cell r="E5583" t="str">
            <v>ITAU UNIBANCO ASSET - HIGH   ALPHA</v>
          </cell>
        </row>
        <row r="5584">
          <cell r="B5584">
            <v>123939</v>
          </cell>
          <cell r="C5584" t="str">
            <v>ITAU AÃ‡Ã•ES COMMODITIES FI</v>
          </cell>
          <cell r="D5584" t="str">
            <v>ITAU AÃ‡Ã•ES COMMODITIES FI</v>
          </cell>
          <cell r="E5584" t="str">
            <v>ITAU UNIBANCO ASSET - TACO</v>
          </cell>
        </row>
        <row r="5585">
          <cell r="B5585">
            <v>12394</v>
          </cell>
          <cell r="C5585" t="str">
            <v>WRIGHT CAPITAL GESTAO DE RECURSOS LTDA</v>
          </cell>
          <cell r="D5585" t="str">
            <v>WRIGHT CAPITAL GESTAO DE RECURSOS LTDA</v>
          </cell>
          <cell r="E5585" t="str">
            <v>WRIGHT CAPITAL GESTAO DE RECURSOS LTDA</v>
          </cell>
        </row>
        <row r="5586">
          <cell r="B5586">
            <v>123941</v>
          </cell>
          <cell r="C5586" t="str">
            <v>ITAU FLEXPREV CORPORATE PRAT XIII MULTIMERCADO FI</v>
          </cell>
          <cell r="D5586" t="str">
            <v>ITAU FLEXPREV CORPORATE PRAT XIII MULTIMERCADO FI</v>
          </cell>
          <cell r="E5586" t="str">
            <v>ITAU FLEXPREV CORPORATE PRAT XIII MULTIMERCADO FI</v>
          </cell>
        </row>
        <row r="5587">
          <cell r="B5587">
            <v>123942</v>
          </cell>
          <cell r="C5587" t="str">
            <v>CAMABEN FIC DE FIA</v>
          </cell>
          <cell r="D5587" t="str">
            <v>CAMABEN FIC DE FIA</v>
          </cell>
          <cell r="E5587" t="str">
            <v>CAMABEN FIC DE FIA</v>
          </cell>
        </row>
        <row r="5588">
          <cell r="B5588">
            <v>123943</v>
          </cell>
          <cell r="C5588" t="str">
            <v>IPORANGA FIA</v>
          </cell>
          <cell r="D5588" t="str">
            <v>IPORANGA FIA</v>
          </cell>
          <cell r="E5588" t="str">
            <v>IPORANGA FIA</v>
          </cell>
        </row>
        <row r="5589">
          <cell r="B5589">
            <v>123944</v>
          </cell>
          <cell r="C5589" t="str">
            <v>ITAU TREND MULTIMERCADO FI</v>
          </cell>
          <cell r="D5589" t="str">
            <v>ITAU TREND MULTIMERCADO FI</v>
          </cell>
          <cell r="E5589" t="str">
            <v>ITAU TREND MULTIMERCADO FI</v>
          </cell>
        </row>
        <row r="5590">
          <cell r="B5590">
            <v>123945</v>
          </cell>
          <cell r="C5590" t="str">
            <v>VERTRA EQT LLC</v>
          </cell>
          <cell r="D5590" t="str">
            <v>VERTRA EQT LLC</v>
          </cell>
          <cell r="E5590" t="str">
            <v>VERTRA EQT LLC</v>
          </cell>
        </row>
        <row r="5591">
          <cell r="B5591">
            <v>123946</v>
          </cell>
          <cell r="C5591" t="str">
            <v>FI ABGF FGIE MULT</v>
          </cell>
          <cell r="D5591" t="str">
            <v>FI ABGF FGIE MULT</v>
          </cell>
          <cell r="E5591" t="str">
            <v>FI ABGF FGIE MULT</v>
          </cell>
        </row>
        <row r="5592">
          <cell r="B5592">
            <v>123947</v>
          </cell>
          <cell r="C5592" t="str">
            <v>WARM FIA</v>
          </cell>
          <cell r="D5592" t="str">
            <v>WARM FIA</v>
          </cell>
          <cell r="E5592" t="str">
            <v>WARM FIA</v>
          </cell>
        </row>
        <row r="5593">
          <cell r="B5593">
            <v>123948</v>
          </cell>
          <cell r="C5593" t="str">
            <v>FIA MAINA</v>
          </cell>
          <cell r="D5593" t="str">
            <v>FIA MAINA</v>
          </cell>
          <cell r="E5593" t="str">
            <v>UNA CAPITAL LTDA</v>
          </cell>
        </row>
        <row r="5594">
          <cell r="B5594">
            <v>123949</v>
          </cell>
          <cell r="C5594" t="str">
            <v>UNA CAPITAL FI SELECAO ACOES BDR NIVEL I</v>
          </cell>
          <cell r="D5594" t="str">
            <v>UNA CAPITAL FI SELECAO ACOES BDR NIVEL I</v>
          </cell>
          <cell r="E5594" t="str">
            <v>UNA CAPITAL LTDA</v>
          </cell>
        </row>
        <row r="5595">
          <cell r="B5595">
            <v>70145</v>
          </cell>
          <cell r="C5595" t="str">
            <v>CLARITAS HEDGE FIC DE FIM LP</v>
          </cell>
          <cell r="D5595" t="str">
            <v>CLARITAS HEDGE FIC DE FIM LP</v>
          </cell>
          <cell r="E5595" t="str">
            <v>CLARITAS ADMINISTRAÇÃO DE RECURSOS LTDA</v>
          </cell>
        </row>
        <row r="5596">
          <cell r="B5596">
            <v>123951</v>
          </cell>
          <cell r="C5596" t="str">
            <v>SANTANDER CACEIS BRASIL DTVM S.A.</v>
          </cell>
          <cell r="D5596" t="str">
            <v>SANTANDER CACEIS BRASIL DTVM S.A.</v>
          </cell>
          <cell r="E5596" t="str">
            <v>SANTANDER BRASIL GESTAO DE RECURSOS LTDA</v>
          </cell>
        </row>
        <row r="5597">
          <cell r="B5597">
            <v>123952</v>
          </cell>
          <cell r="C5597" t="str">
            <v>PALMEIRA MULTIMERCADO FI CP IE</v>
          </cell>
          <cell r="D5597" t="str">
            <v>PALMEIRA MULTIMERCADO FI CP IE</v>
          </cell>
          <cell r="E5597" t="str">
            <v>PALMEIRA MULTIMERCADO FI CP IE</v>
          </cell>
        </row>
        <row r="5598">
          <cell r="B5598">
            <v>123953</v>
          </cell>
          <cell r="C5598" t="str">
            <v>BTG PACTUAL ABSOLUTO BRASIL EQUITY FONDO DE INVERSION</v>
          </cell>
          <cell r="D5598" t="str">
            <v>BTG PACTUAL ABSOLUTO BRASIL EQUITY FONDO DE INVERSION</v>
          </cell>
          <cell r="E5598" t="str">
            <v>BANCO BTG PACTUAL S/A</v>
          </cell>
        </row>
        <row r="5599">
          <cell r="B5599">
            <v>123954</v>
          </cell>
          <cell r="C5599" t="str">
            <v>SANTANDER CACEIS BRASIL DTVM S.A.</v>
          </cell>
          <cell r="D5599" t="str">
            <v>SANTANDER CACEIS BRASIL DTVM S.A.</v>
          </cell>
          <cell r="E5599" t="str">
            <v>SANTANDER BRASIL GESTAO DE RECURSOS LTDA</v>
          </cell>
        </row>
        <row r="5600">
          <cell r="B5600">
            <v>123957</v>
          </cell>
          <cell r="C5600" t="str">
            <v>ACAIA II FIM CP IE</v>
          </cell>
          <cell r="D5600" t="str">
            <v>ACAIA II FIM CP IE</v>
          </cell>
          <cell r="E5600" t="str">
            <v>ACAIA II FIM CP IE</v>
          </cell>
        </row>
        <row r="5601">
          <cell r="B5601">
            <v>123958</v>
          </cell>
          <cell r="C5601" t="str">
            <v>RUGIR FIA IE</v>
          </cell>
          <cell r="D5601" t="str">
            <v>RUGIR FIA IE</v>
          </cell>
          <cell r="E5601" t="str">
            <v>RUGIR FIA IE</v>
          </cell>
        </row>
        <row r="5602">
          <cell r="B5602">
            <v>123959</v>
          </cell>
          <cell r="C5602" t="str">
            <v>BB GESTAO DE RECURSOS DTVM LTDA</v>
          </cell>
          <cell r="D5602" t="str">
            <v>BB GESTAO DE RECURSOS DTVM LTDA</v>
          </cell>
          <cell r="E5602" t="str">
            <v>BB GESTAO DE RECURSOS DTVM LTDA</v>
          </cell>
        </row>
        <row r="5603">
          <cell r="B5603">
            <v>123960</v>
          </cell>
          <cell r="C5603" t="str">
            <v>BRADESCO FI RF IDKA I GBS</v>
          </cell>
          <cell r="D5603" t="str">
            <v>BRADESCO FI RF IDKA I GBS</v>
          </cell>
          <cell r="E5603" t="str">
            <v>BRADESCO FI RF IDKA I GBS</v>
          </cell>
        </row>
        <row r="5604">
          <cell r="B5604">
            <v>123961</v>
          </cell>
          <cell r="C5604" t="str">
            <v>BRADESCO FIC DE FIM MIP II</v>
          </cell>
          <cell r="D5604" t="str">
            <v>BRADESCO FIC DE FIM MIP II</v>
          </cell>
          <cell r="E5604" t="str">
            <v>BRADESCO FIC DE FIM MIP II</v>
          </cell>
        </row>
        <row r="5605">
          <cell r="B5605">
            <v>123962</v>
          </cell>
          <cell r="C5605" t="str">
            <v>BRADESCO FUNDO DE RF IRFM ATIVO GBS</v>
          </cell>
          <cell r="D5605" t="str">
            <v>BRADESCO FUNDO DE RF IRFM ATIVO GBS</v>
          </cell>
          <cell r="E5605" t="str">
            <v>BRADESCO FUNDO DE RF IRFM ATIVO GBS</v>
          </cell>
        </row>
        <row r="5606">
          <cell r="B5606">
            <v>123963</v>
          </cell>
          <cell r="C5606" t="str">
            <v>BRADESCO FIM GLOBAL IE BALANCED</v>
          </cell>
          <cell r="D5606" t="str">
            <v>BRADESCO FIM GLOBAL IE BALANCED</v>
          </cell>
          <cell r="E5606" t="str">
            <v>BRAM - BRADESCO ASSET MANAGEMENT S/A DTVM</v>
          </cell>
        </row>
        <row r="5607">
          <cell r="B5607">
            <v>123964</v>
          </cell>
          <cell r="C5607" t="str">
            <v>BRADESCO PRIVATE FIM GLOBAL IE CONSERVATIVE</v>
          </cell>
          <cell r="D5607" t="str">
            <v>BRADESCO PRIVATE FIM GLOBAL IE CONSERVATIVE</v>
          </cell>
          <cell r="E5607" t="str">
            <v>BRAM - BRADESCO ASSET MANAGEMENT S/A DTVM</v>
          </cell>
        </row>
        <row r="5608">
          <cell r="B5608">
            <v>123966</v>
          </cell>
          <cell r="C5608" t="str">
            <v>BRAM FIA ABSOLUTO INSTITUCIONAL</v>
          </cell>
          <cell r="D5608" t="str">
            <v>BRAM FIA ABSOLUTO INSTITUCIONAL</v>
          </cell>
          <cell r="E5608" t="str">
            <v>BRAM - BRADESCO ASSET MANAGEMENT S/A DTVM</v>
          </cell>
        </row>
        <row r="5609">
          <cell r="B5609">
            <v>123967</v>
          </cell>
          <cell r="C5609" t="str">
            <v>ARCOBALENO FIM CP IE</v>
          </cell>
          <cell r="D5609" t="str">
            <v>ARCOBALENO FIM CP IE</v>
          </cell>
          <cell r="E5609" t="str">
            <v>ARCOBALENO FIM CP IE</v>
          </cell>
        </row>
        <row r="5610">
          <cell r="B5610">
            <v>123968</v>
          </cell>
          <cell r="C5610" t="str">
            <v>ASTAPOVO FIM CP IE</v>
          </cell>
          <cell r="D5610" t="str">
            <v>ASTAPOVO FIM CP IE</v>
          </cell>
          <cell r="E5610" t="str">
            <v>ASTAPOVO FIM CP IE</v>
          </cell>
        </row>
        <row r="5611">
          <cell r="B5611">
            <v>123969</v>
          </cell>
          <cell r="C5611" t="str">
            <v>ASTORGA FIM CP IE</v>
          </cell>
          <cell r="D5611" t="str">
            <v>ASTORGA FIM CP IE</v>
          </cell>
          <cell r="E5611" t="str">
            <v>ASTORGA FIM CP IE</v>
          </cell>
        </row>
        <row r="5612">
          <cell r="B5612">
            <v>123970</v>
          </cell>
          <cell r="C5612" t="str">
            <v>AUGURI FIM CP IE</v>
          </cell>
          <cell r="D5612" t="str">
            <v>AUGURI FIM CP IE</v>
          </cell>
          <cell r="E5612" t="str">
            <v>AUGURI FIM CP IE</v>
          </cell>
        </row>
        <row r="5613">
          <cell r="B5613">
            <v>123971</v>
          </cell>
          <cell r="C5613" t="str">
            <v>ELECTRA FIM CP IE</v>
          </cell>
          <cell r="D5613" t="str">
            <v>ELECTRA FIM CP IE</v>
          </cell>
          <cell r="E5613" t="str">
            <v>ELECTRA FIM CP IE</v>
          </cell>
        </row>
        <row r="5614">
          <cell r="B5614">
            <v>123972</v>
          </cell>
          <cell r="C5614" t="str">
            <v>GENIAL FIM CP IE</v>
          </cell>
          <cell r="D5614" t="str">
            <v>GENIAL FIM CP IE</v>
          </cell>
          <cell r="E5614" t="str">
            <v>GENIAL FIM CP IE</v>
          </cell>
        </row>
        <row r="5615">
          <cell r="B5615">
            <v>123973</v>
          </cell>
          <cell r="C5615" t="str">
            <v>HEIDELBERG FIM CP IE</v>
          </cell>
          <cell r="D5615" t="str">
            <v>HEIDELBERG FIM CP IE</v>
          </cell>
          <cell r="E5615" t="str">
            <v>HEIDELBERG FIM CP IE</v>
          </cell>
        </row>
        <row r="5616">
          <cell r="B5616">
            <v>123974</v>
          </cell>
          <cell r="C5616" t="str">
            <v>LUZES FIM CP IE</v>
          </cell>
          <cell r="D5616" t="str">
            <v>LUZES FIM CP IE</v>
          </cell>
          <cell r="E5616" t="str">
            <v>LUZES FIM CP IE</v>
          </cell>
        </row>
        <row r="5617">
          <cell r="B5617">
            <v>123975</v>
          </cell>
          <cell r="C5617" t="str">
            <v>MESTICO FIC FIM CP</v>
          </cell>
          <cell r="D5617" t="str">
            <v>MESTICO FIC FIM CP</v>
          </cell>
          <cell r="E5617" t="str">
            <v>MESTICO FIC FIM CP</v>
          </cell>
        </row>
        <row r="5618">
          <cell r="B5618">
            <v>123976</v>
          </cell>
          <cell r="C5618" t="str">
            <v>TUPINAMBA FIM CP IE</v>
          </cell>
          <cell r="D5618" t="str">
            <v>TUPINAMBA FIM CP IE</v>
          </cell>
          <cell r="E5618" t="str">
            <v>TUPINAMBA FIM CP IE</v>
          </cell>
        </row>
        <row r="5619">
          <cell r="B5619">
            <v>123977</v>
          </cell>
          <cell r="C5619" t="str">
            <v>TXAI FIM CP IE</v>
          </cell>
          <cell r="D5619" t="str">
            <v>TXAI FIM CP IE</v>
          </cell>
          <cell r="E5619" t="str">
            <v>TXAI FIM CP IE</v>
          </cell>
        </row>
        <row r="5620">
          <cell r="B5620">
            <v>123978</v>
          </cell>
          <cell r="C5620" t="str">
            <v>VFV FIM CRED PRIV IE</v>
          </cell>
          <cell r="D5620" t="str">
            <v>VFV FIM CRED PRIV IE</v>
          </cell>
          <cell r="E5620" t="str">
            <v>WRIGHT CAPITAL GESTAO DE RECURSOS LTDA</v>
          </cell>
        </row>
        <row r="5621">
          <cell r="B5621">
            <v>123979</v>
          </cell>
          <cell r="C5621" t="str">
            <v>WRIGHT CASH FIC DE FIM CP</v>
          </cell>
          <cell r="D5621" t="str">
            <v>WRIGHT CASH FIC DE FIM CP</v>
          </cell>
          <cell r="E5621" t="str">
            <v>WRIGHT CASH FIC DE FIM CP</v>
          </cell>
        </row>
        <row r="5622">
          <cell r="B5622">
            <v>123980</v>
          </cell>
          <cell r="C5622" t="str">
            <v>WRIGHT CREDITO FIM CP IE</v>
          </cell>
          <cell r="D5622" t="str">
            <v>WRIGHT CREDITO FIM CP IE</v>
          </cell>
          <cell r="E5622" t="str">
            <v>WRIGHT CREDITO FIM CP IE</v>
          </cell>
        </row>
        <row r="5623">
          <cell r="B5623">
            <v>123981</v>
          </cell>
          <cell r="C5623" t="str">
            <v>WRIGHT EQUITY FIM CP IE</v>
          </cell>
          <cell r="D5623" t="str">
            <v>WRIGHT EQUITY FIM CP IE</v>
          </cell>
          <cell r="E5623" t="str">
            <v>WRIGHT EQUITY FIM CP IE</v>
          </cell>
        </row>
        <row r="5624">
          <cell r="B5624">
            <v>123982</v>
          </cell>
          <cell r="C5624" t="str">
            <v>WRIGHT IMPACTO SOCIAL FIC FIM CP IE</v>
          </cell>
          <cell r="D5624" t="str">
            <v>WRIGHT IMPACTO SOCIAL FIC FIM CP IE</v>
          </cell>
          <cell r="E5624" t="str">
            <v>WRIGHT IMPACTO SOCIAL FIC FIM CP IE</v>
          </cell>
        </row>
        <row r="5625">
          <cell r="B5625">
            <v>123983</v>
          </cell>
          <cell r="C5625" t="str">
            <v>WRIGHT MULTI FIM CRED PRIV IE</v>
          </cell>
          <cell r="D5625" t="str">
            <v>WRIGHT MULTI FIM CRED PRIV IE</v>
          </cell>
          <cell r="E5625" t="str">
            <v>WRIGHT MULTI FIM CRED PRIV IE</v>
          </cell>
        </row>
        <row r="5626">
          <cell r="B5626">
            <v>123984</v>
          </cell>
          <cell r="C5626" t="str">
            <v>K4P FIM</v>
          </cell>
          <cell r="D5626" t="str">
            <v>K4P FIM</v>
          </cell>
          <cell r="E5626" t="str">
            <v>K4P FIM</v>
          </cell>
        </row>
        <row r="5627">
          <cell r="B5627">
            <v>123985</v>
          </cell>
          <cell r="C5627" t="str">
            <v>K4F FIM CP IE</v>
          </cell>
          <cell r="D5627" t="str">
            <v>K4F FIM CP IE</v>
          </cell>
          <cell r="E5627" t="str">
            <v>K4F FIM CP IE</v>
          </cell>
        </row>
        <row r="5628">
          <cell r="B5628">
            <v>123986</v>
          </cell>
          <cell r="C5628" t="str">
            <v>TRAVEL FIM CRED PRIV IE</v>
          </cell>
          <cell r="D5628" t="str">
            <v>TRAVEL FIM CRED PRIV IE</v>
          </cell>
          <cell r="E5628" t="str">
            <v>TRAVEL FIM CRED PRIV IE</v>
          </cell>
        </row>
        <row r="5629">
          <cell r="B5629">
            <v>123987</v>
          </cell>
          <cell r="C5629" t="str">
            <v>CSHG LBB FC MULT CP IE</v>
          </cell>
          <cell r="D5629" t="str">
            <v>CSHG LBB FC MULT CP IE</v>
          </cell>
          <cell r="E5629" t="str">
            <v>CSHG LBB FC MULT CP IE</v>
          </cell>
        </row>
        <row r="5630">
          <cell r="B5630">
            <v>123988</v>
          </cell>
          <cell r="C5630" t="str">
            <v>CSHG 1160 FIM CP IE</v>
          </cell>
          <cell r="D5630" t="str">
            <v>CSHG 1160 FIM CP IE</v>
          </cell>
          <cell r="E5630" t="str">
            <v>CSHG 1160 FIM CP IE</v>
          </cell>
        </row>
        <row r="5631">
          <cell r="B5631">
            <v>123989</v>
          </cell>
          <cell r="C5631" t="str">
            <v>WRIGHT JUROS FIM CP IE</v>
          </cell>
          <cell r="D5631" t="str">
            <v>WRIGHT JUROS FIM CP IE</v>
          </cell>
          <cell r="E5631" t="str">
            <v>WRIGHT JUROS FIM CP IE</v>
          </cell>
        </row>
        <row r="5632">
          <cell r="B5632">
            <v>12399</v>
          </cell>
          <cell r="C5632" t="str">
            <v>DAYCOVAL ASSET MANAGEMENT ADMINISTRACAO DE RECURSOS LTDA</v>
          </cell>
          <cell r="D5632" t="str">
            <v>DAYCOVAL ASSET MANAGEMENT ADMINISTRACAO DE RECURSOS LTDA</v>
          </cell>
          <cell r="E5632" t="str">
            <v>DAYCOVAL ASSET MANAGEMENT ADMINISTRACAO DE RECURSOS LTDA</v>
          </cell>
        </row>
        <row r="5633">
          <cell r="B5633">
            <v>123990</v>
          </cell>
          <cell r="C5633" t="str">
            <v>ATHENA FI RF</v>
          </cell>
          <cell r="D5633" t="str">
            <v>ATHENA FI RF</v>
          </cell>
          <cell r="E5633" t="str">
            <v>FUNDACAO VALE DO RIO DOCE DE SEGURIDADE SOCIAL - VALIA</v>
          </cell>
        </row>
        <row r="5634">
          <cell r="B5634">
            <v>123991</v>
          </cell>
          <cell r="C5634" t="str">
            <v>FIM HUNTER CP</v>
          </cell>
          <cell r="D5634" t="str">
            <v>FIM HUNTER CP</v>
          </cell>
          <cell r="E5634" t="str">
            <v>FUNDACAO VALE DO RIO DOCE DE SEGURIDADE SOCIAL - VALIA</v>
          </cell>
        </row>
        <row r="5635">
          <cell r="B5635">
            <v>123992</v>
          </cell>
          <cell r="C5635" t="str">
            <v>FIM SAFIRA CP</v>
          </cell>
          <cell r="D5635" t="str">
            <v>FIM SAFIRA CP</v>
          </cell>
          <cell r="E5635" t="str">
            <v>FUNDACAO VALE DO RIO DOCE DE SEGURIDADE SOCIAL - VALIA</v>
          </cell>
        </row>
        <row r="5636">
          <cell r="B5636">
            <v>123993</v>
          </cell>
          <cell r="C5636" t="str">
            <v>FIM KANSAS CP</v>
          </cell>
          <cell r="D5636" t="str">
            <v>FIM KANSAS CP</v>
          </cell>
          <cell r="E5636" t="str">
            <v>FUNDACAO VALE DO RIO DOCE DE SEGURIDADE SOCIAL - VALIA</v>
          </cell>
        </row>
        <row r="5637">
          <cell r="B5637">
            <v>123994</v>
          </cell>
          <cell r="C5637" t="str">
            <v>FIM TURQUESA CREDITO PRIVADO</v>
          </cell>
          <cell r="D5637" t="str">
            <v>FIM TURQUESA CREDITO PRIVADO</v>
          </cell>
          <cell r="E5637" t="str">
            <v>FUNDACAO VALE DO RIO DOCE DE SEGURIDADE SOCIAL - VALIA</v>
          </cell>
        </row>
        <row r="5638">
          <cell r="B5638">
            <v>123995</v>
          </cell>
          <cell r="C5638" t="str">
            <v>BRADESCO FIM GLOBAL IE - GROWTH</v>
          </cell>
          <cell r="D5638" t="str">
            <v>BRADESCO FIM GLOBAL IE - GROWTH</v>
          </cell>
          <cell r="E5638" t="str">
            <v>BRADESCO FIM GLOBAL IE - GROWTH</v>
          </cell>
        </row>
        <row r="5639">
          <cell r="B5639">
            <v>123996</v>
          </cell>
          <cell r="C5639" t="str">
            <v>BRAM FIM LONG SHORT</v>
          </cell>
          <cell r="D5639" t="str">
            <v>BRAM FIM LONG SHORT</v>
          </cell>
          <cell r="E5639" t="str">
            <v>BRAM - BRADESCO ASSET MANAGEMENT S/A DTVM</v>
          </cell>
        </row>
        <row r="5640">
          <cell r="B5640">
            <v>123997</v>
          </cell>
          <cell r="C5640" t="str">
            <v>RAFFAELE SCURTI NETTO</v>
          </cell>
          <cell r="D5640" t="str">
            <v>RAFFAELE SCURTI NETTO</v>
          </cell>
          <cell r="E5640" t="str">
            <v>RAFFAELE SCURTI NETTO</v>
          </cell>
        </row>
        <row r="5641">
          <cell r="B5641">
            <v>123998</v>
          </cell>
          <cell r="C5641" t="str">
            <v>OAK FIM CP IE</v>
          </cell>
          <cell r="D5641" t="str">
            <v>OAK FIM CP IE</v>
          </cell>
          <cell r="E5641" t="str">
            <v>OAK FIM CP IE</v>
          </cell>
        </row>
        <row r="5642">
          <cell r="B5642">
            <v>123999</v>
          </cell>
          <cell r="C5642" t="str">
            <v>KONDOR EQUITIES ALPHA FIA IE</v>
          </cell>
          <cell r="D5642" t="str">
            <v>KONDOR EQUITIES ALPHA FIA IE</v>
          </cell>
          <cell r="E5642" t="str">
            <v>KONDOR ADMINISTRADORA E GESTORA DE RECURSOS FINANCEIROS LTDA</v>
          </cell>
        </row>
        <row r="5643">
          <cell r="B5643">
            <v>12400</v>
          </cell>
          <cell r="C5643" t="str">
            <v>LARRY CARRIS CARDOSO</v>
          </cell>
          <cell r="D5643" t="str">
            <v>LARRY CARRIS CARDOSO</v>
          </cell>
          <cell r="E5643" t="str">
            <v>LARRY CARRIS CARDOSO</v>
          </cell>
        </row>
        <row r="5644">
          <cell r="B5644">
            <v>124001</v>
          </cell>
          <cell r="C5644" t="str">
            <v>AZ QUEST TOTAL RETURN II MASTER FIA</v>
          </cell>
          <cell r="D5644" t="str">
            <v>AZ QUEST TOTAL RETURN II MASTER FIA</v>
          </cell>
          <cell r="E5644" t="str">
            <v>AZ QUEST TOTAL RETURN II MASTER FIA</v>
          </cell>
        </row>
        <row r="5645">
          <cell r="B5645">
            <v>124005</v>
          </cell>
          <cell r="C5645" t="str">
            <v>AZ QUEST MASTER EQUITY HEDGE FIM</v>
          </cell>
          <cell r="D5645" t="str">
            <v>AZ QUEST MASTER EQUITY HEDGE FIM</v>
          </cell>
          <cell r="E5645" t="str">
            <v>AZ QUEST INVESTIMENTOS LTDA</v>
          </cell>
        </row>
        <row r="5646">
          <cell r="B5646">
            <v>124008</v>
          </cell>
          <cell r="C5646" t="str">
            <v>ICATU VANGUARDA ACOES IBX FI</v>
          </cell>
          <cell r="D5646" t="str">
            <v>ICATU VANGUARDA ACOES IBX FI</v>
          </cell>
          <cell r="E5646" t="str">
            <v>ICATU VANGUARDA GESTAO DE RECURSOS LTDA</v>
          </cell>
        </row>
        <row r="5647">
          <cell r="B5647">
            <v>124009</v>
          </cell>
          <cell r="C5647" t="str">
            <v>ICATU SEG INCOME PREVIDENCIARIO FIA</v>
          </cell>
          <cell r="D5647" t="str">
            <v>ICATU SEG INCOME PREVIDENCIARIO FIA</v>
          </cell>
          <cell r="E5647" t="str">
            <v>ICATU VANGUARDA GESTAO DE RECURSOS LTDA</v>
          </cell>
        </row>
        <row r="5648">
          <cell r="B5648">
            <v>12401</v>
          </cell>
          <cell r="C5648" t="str">
            <v>BELVEDERE ADMINISTRAÃ‡ÃƒO DE VALORES MOBILIARIOS LTDA</v>
          </cell>
          <cell r="D5648" t="str">
            <v>BELVEDERE ADMINISTRAÃ‡ÃƒO DE VALORES MOBILIARIOS LTDA</v>
          </cell>
          <cell r="E5648" t="str">
            <v>BELVEDERE ADMINISTRAÃ‡ÃƒO DE VALORES MOBILIARIOS LTDA</v>
          </cell>
        </row>
        <row r="5649">
          <cell r="B5649">
            <v>124010</v>
          </cell>
          <cell r="C5649" t="str">
            <v>ICATU SEG FIM PREVIDENCIARIO</v>
          </cell>
          <cell r="D5649" t="str">
            <v>ICATU SEG FIM PREVIDENCIARIO</v>
          </cell>
          <cell r="E5649" t="str">
            <v>ICATU VANGUARDA GESTAO DE RECURSOS LTDA</v>
          </cell>
        </row>
        <row r="5650">
          <cell r="B5650">
            <v>124011</v>
          </cell>
          <cell r="C5650" t="str">
            <v>ICATU VANGUARDA MACRO FIM</v>
          </cell>
          <cell r="D5650" t="str">
            <v>ICATU VANGUARDA MACRO FIM</v>
          </cell>
          <cell r="E5650" t="str">
            <v>ICATU VANGUARDA GESTAO DE RECURSOS LTDA</v>
          </cell>
        </row>
        <row r="5651">
          <cell r="B5651">
            <v>124012</v>
          </cell>
          <cell r="C5651" t="str">
            <v>ICATU VANGUARDA ESTRATEGIA FIM</v>
          </cell>
          <cell r="D5651" t="str">
            <v>ICATU VANGUARDA ESTRATEGIA FIM</v>
          </cell>
          <cell r="E5651" t="str">
            <v>ICATU VANGUARDA GESTAO DE RECURSOS LTDA</v>
          </cell>
        </row>
        <row r="5652">
          <cell r="B5652">
            <v>124013</v>
          </cell>
          <cell r="C5652" t="str">
            <v>ICATU QP6 FIM CP</v>
          </cell>
          <cell r="D5652" t="str">
            <v>ICATU QP6 FIM CP</v>
          </cell>
          <cell r="E5652" t="str">
            <v>ICATU VANGUARDA GESTAO DE RECURSOS LTDA</v>
          </cell>
        </row>
        <row r="5653">
          <cell r="B5653">
            <v>224</v>
          </cell>
          <cell r="C5653" t="str">
            <v>BANCO SANTANDER (BRASIL) S/A</v>
          </cell>
          <cell r="D5653" t="str">
            <v>BANCO SANTANDER (BRASIL) S/A</v>
          </cell>
          <cell r="E5653" t="str">
            <v>BANCO SANTANDER (BRASIL) S/A</v>
          </cell>
        </row>
        <row r="5654">
          <cell r="B5654">
            <v>124024</v>
          </cell>
          <cell r="C5654" t="str">
            <v>FIA STRATOSPHERE</v>
          </cell>
          <cell r="D5654" t="str">
            <v>FIA STRATOSPHERE</v>
          </cell>
          <cell r="E5654" t="str">
            <v>AGUILA CAPITAL ADM E GESTAO DE CAPITAIS LTDA</v>
          </cell>
        </row>
        <row r="5655">
          <cell r="B5655">
            <v>124025</v>
          </cell>
          <cell r="C5655" t="str">
            <v>KONDOR EQUITY LONG BIASED FIM CP</v>
          </cell>
          <cell r="D5655" t="str">
            <v>KONDOR EQUITY LONG BIASED FIM CP</v>
          </cell>
          <cell r="E5655" t="str">
            <v>KONDOR ADMINISTRADORA E GESTORA DE RECURSOS FINANCEIROS LTDA</v>
          </cell>
        </row>
        <row r="5656">
          <cell r="B5656">
            <v>124026</v>
          </cell>
          <cell r="C5656" t="str">
            <v>MORGAN STANLEY CTVM S/A</v>
          </cell>
          <cell r="D5656" t="str">
            <v>MORGAN STANLEY CTVM S/A</v>
          </cell>
          <cell r="E5656" t="str">
            <v>MORGAN STANLEY CTVM S/A</v>
          </cell>
        </row>
        <row r="5657">
          <cell r="B5657">
            <v>124029</v>
          </cell>
          <cell r="C5657" t="str">
            <v>AMSTERDAM FIA</v>
          </cell>
          <cell r="D5657" t="str">
            <v>AMSTERDAM FIA</v>
          </cell>
          <cell r="E5657" t="str">
            <v>ALASKA INVESTIMENTOS LTDA</v>
          </cell>
        </row>
        <row r="5658">
          <cell r="B5658">
            <v>12403</v>
          </cell>
          <cell r="C5658" t="str">
            <v>ELLEVEN GESTORA DE RECURSOS LTDA</v>
          </cell>
          <cell r="D5658" t="str">
            <v>ELLEVEN GESTORA DE RECURSOS LTDA</v>
          </cell>
          <cell r="E5658" t="str">
            <v>ELLEVEN GESTORA DE RECURSOS LTDA</v>
          </cell>
        </row>
        <row r="5659">
          <cell r="B5659">
            <v>124032</v>
          </cell>
          <cell r="C5659" t="str">
            <v>DOLPHIN AQ3 FIM</v>
          </cell>
          <cell r="D5659" t="str">
            <v>DOLPHIN AQ3 FIM</v>
          </cell>
          <cell r="E5659" t="str">
            <v>DOLPHIN AQ3 FIM</v>
          </cell>
        </row>
        <row r="5660">
          <cell r="B5660">
            <v>124033</v>
          </cell>
          <cell r="C5660" t="str">
            <v>SANTANDER CACEIS BRASIL DTVM S.A.</v>
          </cell>
          <cell r="D5660" t="str">
            <v>SANTANDER CACEIS BRASIL DTVM S.A.</v>
          </cell>
          <cell r="E5660" t="str">
            <v>SANTANDER BRASIL GESTAO DE RECURSOS LTDA</v>
          </cell>
        </row>
        <row r="5661">
          <cell r="B5661">
            <v>124034</v>
          </cell>
          <cell r="C5661" t="str">
            <v>BRADESCO FI RF CONEGLIANO</v>
          </cell>
          <cell r="D5661" t="str">
            <v>BRADESCO FI RF CONEGLIANO</v>
          </cell>
          <cell r="E5661" t="str">
            <v>BRADESCO FI RF CONEGLIANO</v>
          </cell>
        </row>
        <row r="5662">
          <cell r="B5662">
            <v>124035</v>
          </cell>
          <cell r="C5662" t="str">
            <v>BRADESCO FIM ABSOLUTO</v>
          </cell>
          <cell r="D5662" t="str">
            <v>BRADESCO FIM ABSOLUTO</v>
          </cell>
          <cell r="E5662" t="str">
            <v>BRAM - BRADESCO ASSET MANAGEMENT S/A DTVM</v>
          </cell>
        </row>
        <row r="5663">
          <cell r="B5663">
            <v>124036</v>
          </cell>
          <cell r="C5663" t="str">
            <v>FIM MASTER EQUITY IE</v>
          </cell>
          <cell r="D5663" t="str">
            <v>FIM MASTER EQUITY IE</v>
          </cell>
          <cell r="E5663" t="str">
            <v>BRAM - BRADESCO ASSET MANAGEMENT S/A DTVM</v>
          </cell>
        </row>
        <row r="5664">
          <cell r="B5664">
            <v>124037</v>
          </cell>
          <cell r="C5664" t="str">
            <v>BRAM MACRO MULTIESTRATEGIA FIM</v>
          </cell>
          <cell r="D5664" t="str">
            <v>BRAM MACRO MULTIESTRATEGIA FIM</v>
          </cell>
          <cell r="E5664" t="str">
            <v>BRAM MACRO MULTIESTRATEGIA FIM</v>
          </cell>
        </row>
        <row r="5665">
          <cell r="B5665">
            <v>124038</v>
          </cell>
          <cell r="C5665" t="str">
            <v>BRADESCO FIM TACTICAL</v>
          </cell>
          <cell r="D5665" t="str">
            <v>BRADESCO FIM TACTICAL</v>
          </cell>
          <cell r="E5665" t="str">
            <v>BRADESCO FIM TACTICAL</v>
          </cell>
        </row>
        <row r="5666">
          <cell r="B5666">
            <v>124039</v>
          </cell>
          <cell r="C5666" t="str">
            <v>BRAM FIM DRACMA</v>
          </cell>
          <cell r="D5666" t="str">
            <v>BRAM FIM DRACMA</v>
          </cell>
          <cell r="E5666" t="str">
            <v>BRAM - BRADESCO ASSET MANAGEMENT S/A DTVM</v>
          </cell>
        </row>
        <row r="5667">
          <cell r="B5667">
            <v>124040</v>
          </cell>
          <cell r="C5667" t="str">
            <v>BRADESCO FIC FIA IE LVM</v>
          </cell>
          <cell r="D5667" t="str">
            <v>BRADESCO FIC FIA IE LVM</v>
          </cell>
          <cell r="E5667" t="str">
            <v>BRAM - BRADESCO ASSET MANAGEMENT S/A DTVM</v>
          </cell>
        </row>
        <row r="5668">
          <cell r="B5668">
            <v>124041</v>
          </cell>
          <cell r="C5668" t="str">
            <v>BRAM FIM AJAX</v>
          </cell>
          <cell r="D5668" t="str">
            <v>BRAM FIM AJAX</v>
          </cell>
          <cell r="E5668" t="str">
            <v>BRAM - BRADESCO ASSET MANAGEMENT S/A DTVM</v>
          </cell>
        </row>
        <row r="5669">
          <cell r="B5669">
            <v>124042</v>
          </cell>
          <cell r="C5669" t="str">
            <v>8 MACRO FIM CP</v>
          </cell>
          <cell r="D5669" t="str">
            <v>8 MACRO FIM CP</v>
          </cell>
          <cell r="E5669" t="str">
            <v>8 MACRO FIM CP</v>
          </cell>
        </row>
        <row r="5670">
          <cell r="B5670">
            <v>124044</v>
          </cell>
          <cell r="C5670" t="str">
            <v>FI MAIS VIDA MULTIMERCADO I</v>
          </cell>
          <cell r="D5670" t="str">
            <v>FI MAIS VIDA MULTIMERCADO I</v>
          </cell>
          <cell r="E5670" t="str">
            <v>BNP PARIBAS ASSET MANAGEMENT BRASIL LTDA</v>
          </cell>
        </row>
        <row r="5671">
          <cell r="B5671">
            <v>124045</v>
          </cell>
          <cell r="C5671" t="str">
            <v>PREVCUMMINS II FIM</v>
          </cell>
          <cell r="D5671" t="str">
            <v>PREVCUMMINS II FIM</v>
          </cell>
          <cell r="E5671" t="str">
            <v>BNP PARIBAS ASSET MANAGEMENT BRASIL LTDA</v>
          </cell>
        </row>
        <row r="5672">
          <cell r="B5672">
            <v>124046</v>
          </cell>
          <cell r="C5672" t="str">
            <v>BNP PARIBAS PARTHENON FIM</v>
          </cell>
          <cell r="D5672" t="str">
            <v>BNP PARIBAS PARTHENON FIM</v>
          </cell>
          <cell r="E5672" t="str">
            <v>BNP PARIBAS ASSET MANAGEMENT BRASIL LTDA</v>
          </cell>
        </row>
        <row r="5673">
          <cell r="B5673">
            <v>124425</v>
          </cell>
          <cell r="C5673" t="str">
            <v>BNP PARIBAS APOEMA FIM CP IE</v>
          </cell>
          <cell r="D5673" t="str">
            <v>BNP PARIBAS APOEMA FIM CP IE</v>
          </cell>
          <cell r="E5673" t="str">
            <v>BNP PARIBAS ASSET MANAGEMENT BRASIL LTDA</v>
          </cell>
        </row>
        <row r="5674">
          <cell r="B5674">
            <v>124047</v>
          </cell>
          <cell r="C5674" t="str">
            <v>BRADESCO FIM GLOBAL IE - GROWTH</v>
          </cell>
          <cell r="D5674" t="str">
            <v>BRADESCO FIM GLOBAL IE - GROWTH</v>
          </cell>
          <cell r="E5674" t="str">
            <v>BRAM - BRADESCO ASSET MANAGEMENT S/A DTVM</v>
          </cell>
        </row>
        <row r="5675">
          <cell r="B5675">
            <v>124048</v>
          </cell>
          <cell r="C5675" t="str">
            <v>MONTEFIORE I FIM CP IE</v>
          </cell>
          <cell r="D5675" t="str">
            <v>MONTEFIORE I FIM CP IE</v>
          </cell>
          <cell r="E5675" t="str">
            <v>MONTEFIORE I FIM CP IE</v>
          </cell>
        </row>
        <row r="5676">
          <cell r="B5676">
            <v>124049</v>
          </cell>
          <cell r="C5676" t="str">
            <v>PAINEIRAS HEDGE MASTER II FIM INR</v>
          </cell>
          <cell r="D5676" t="str">
            <v>PAINEIRAS HEDGE MASTER II FIM INR</v>
          </cell>
          <cell r="E5676" t="str">
            <v>IPANEMA GESTORA DE RECURSOS LTDA</v>
          </cell>
        </row>
        <row r="5677">
          <cell r="B5677">
            <v>124050</v>
          </cell>
          <cell r="C5677" t="str">
            <v>CONDE DOS MURÃ‡AS FIM INR</v>
          </cell>
          <cell r="D5677" t="str">
            <v>CONDE DOS MURÃ‡AS FIM INR</v>
          </cell>
          <cell r="E5677" t="str">
            <v>IPANEMA GESTORA DE RECURSOS LTDA</v>
          </cell>
        </row>
        <row r="5678">
          <cell r="B5678">
            <v>124051</v>
          </cell>
          <cell r="C5678" t="str">
            <v>NAVEGAR FIM INR</v>
          </cell>
          <cell r="D5678" t="str">
            <v>NAVEGAR FIM INR</v>
          </cell>
          <cell r="E5678" t="str">
            <v>IPANEMA GESTORA DE RECURSOS LTDA</v>
          </cell>
        </row>
        <row r="5679">
          <cell r="B5679">
            <v>124053</v>
          </cell>
          <cell r="C5679" t="str">
            <v>FUNDACAO PETROBRAS DE SEGURIDADE SOCIAL PETROS</v>
          </cell>
          <cell r="D5679" t="str">
            <v>FUNDACAO PETROBRAS DE SEGURIDADE SOCIAL PETROS</v>
          </cell>
          <cell r="E5679" t="str">
            <v>FUNDACAO PETROBRAS DE SEGURIDADE SOCIAL PETROS</v>
          </cell>
        </row>
        <row r="5680">
          <cell r="B5680">
            <v>12406</v>
          </cell>
          <cell r="C5680" t="str">
            <v>BTG PACTUAL ASSET MANAGEMENT SA DTVM</v>
          </cell>
          <cell r="D5680" t="str">
            <v>BTG PACTUAL ASSET MANAGEMENT SA DTVM</v>
          </cell>
          <cell r="E5680" t="str">
            <v>BTG PACTUAL ASSET MANAGEMENT SA DTVM</v>
          </cell>
        </row>
        <row r="5681">
          <cell r="B5681">
            <v>124062</v>
          </cell>
          <cell r="C5681" t="str">
            <v>POLO AÃ‡Ã•ES FIA</v>
          </cell>
          <cell r="D5681" t="str">
            <v>POLO AÃ‡Ã•ES FIA</v>
          </cell>
          <cell r="E5681" t="str">
            <v>POLO CAPITAL GESTÃO DE RECURSOS LTDA</v>
          </cell>
        </row>
        <row r="5682">
          <cell r="B5682">
            <v>124063</v>
          </cell>
          <cell r="C5682" t="str">
            <v>UJAY HEDGE FIM</v>
          </cell>
          <cell r="D5682" t="str">
            <v>UJAY HEDGE FIM</v>
          </cell>
          <cell r="E5682" t="str">
            <v>UJAY CAPITAL INVESTIMENTOS LTDA</v>
          </cell>
        </row>
        <row r="5683">
          <cell r="B5683">
            <v>124064</v>
          </cell>
          <cell r="C5683" t="str">
            <v>UJAY MASTER FIX FIM</v>
          </cell>
          <cell r="D5683" t="str">
            <v>UJAY MASTER FIX FIM</v>
          </cell>
          <cell r="E5683" t="str">
            <v>UJAY CAPITAL INVESTIMENTOS LTDA</v>
          </cell>
        </row>
        <row r="5684">
          <cell r="B5684">
            <v>124065</v>
          </cell>
          <cell r="C5684" t="str">
            <v>CALIL NEME NETO</v>
          </cell>
          <cell r="D5684" t="str">
            <v>CALIL NEME NETO</v>
          </cell>
          <cell r="E5684" t="str">
            <v>CALIL NEME NETO</v>
          </cell>
        </row>
        <row r="5685">
          <cell r="B5685">
            <v>124066</v>
          </cell>
          <cell r="C5685" t="str">
            <v>DAYCOVAL ASTOR FIM CP</v>
          </cell>
          <cell r="D5685" t="str">
            <v>DAYCOVAL ASTOR FIM CP</v>
          </cell>
          <cell r="E5685" t="str">
            <v>DAYCOVAL ASSET MANAGEMENT ADMINISTRACAO DE RECURSOS LTDA</v>
          </cell>
        </row>
        <row r="5686">
          <cell r="B5686">
            <v>124067</v>
          </cell>
          <cell r="C5686" t="str">
            <v>KESSEF FIM CP IE</v>
          </cell>
          <cell r="D5686" t="str">
            <v>KESSEF FIM CP IE</v>
          </cell>
          <cell r="E5686" t="str">
            <v>DAYCOVAL ASSET MANAGEMENT ADMINISTRACAO DE RECURSOS LTDA</v>
          </cell>
        </row>
        <row r="5687">
          <cell r="B5687">
            <v>124068</v>
          </cell>
          <cell r="C5687" t="str">
            <v>CR FIM CP IE</v>
          </cell>
          <cell r="D5687" t="str">
            <v>CR FIM CP IE</v>
          </cell>
          <cell r="E5687" t="str">
            <v>DAYCOVAL ASSET MANAGEMENT ADMINISTRACAO DE RECURSOS LTDA</v>
          </cell>
        </row>
        <row r="5688">
          <cell r="B5688">
            <v>124069</v>
          </cell>
          <cell r="C5688" t="str">
            <v>UJAY LONG BIASED MASTER FIA</v>
          </cell>
          <cell r="D5688" t="str">
            <v>UJAY LONG BIASED MASTER FIA</v>
          </cell>
          <cell r="E5688" t="str">
            <v>UJAY LONG BIASED MASTER FIA</v>
          </cell>
        </row>
        <row r="5689">
          <cell r="B5689">
            <v>124070</v>
          </cell>
          <cell r="C5689" t="str">
            <v>CSHG IBOVESPA ATIVO 70-130 FIM</v>
          </cell>
          <cell r="D5689" t="str">
            <v>CSHG IBOVESPA ATIVO 70-130 FIM</v>
          </cell>
          <cell r="E5689" t="str">
            <v>CSHG IBOVESPA ATIVO 70-130 FIM</v>
          </cell>
        </row>
        <row r="5690">
          <cell r="B5690">
            <v>124071</v>
          </cell>
          <cell r="C5690" t="str">
            <v>ORQUIDEA FIM CP IE</v>
          </cell>
          <cell r="D5690" t="str">
            <v>ORQUIDEA FIM CP IE</v>
          </cell>
          <cell r="E5690" t="str">
            <v>ORQUIDEA FIM CP IE</v>
          </cell>
        </row>
        <row r="5691">
          <cell r="B5691">
            <v>124073</v>
          </cell>
          <cell r="C5691" t="str">
            <v>ADAM MACRO STRATEGY MASTER FIM</v>
          </cell>
          <cell r="D5691" t="str">
            <v>ADAM MACRO STRATEGY MASTER FIM</v>
          </cell>
          <cell r="E5691" t="str">
            <v>ADAM MACRO STRATEGY MASTER FIM</v>
          </cell>
        </row>
        <row r="5692">
          <cell r="B5692">
            <v>124075</v>
          </cell>
          <cell r="C5692" t="str">
            <v>BRADESCO FIM LONG SHORT</v>
          </cell>
          <cell r="D5692" t="str">
            <v>BRADESCO FIM LONG SHORT</v>
          </cell>
          <cell r="E5692" t="str">
            <v>BRADESCO FIM LONG SHORT</v>
          </cell>
        </row>
        <row r="5693">
          <cell r="B5693">
            <v>124077</v>
          </cell>
          <cell r="C5693" t="str">
            <v>GAUSS FIFE FUNDO DE INVESTIMENTO MULTIMERCADO</v>
          </cell>
          <cell r="D5693" t="str">
            <v>GAUSS FIFE FUNDO DE INVESTIMENTO MULTIMERCADO</v>
          </cell>
          <cell r="E5693" t="str">
            <v>ASA ASSET GESTAO EM INVESTIMENTOS LTDA</v>
          </cell>
        </row>
        <row r="5694">
          <cell r="B5694">
            <v>124078</v>
          </cell>
          <cell r="C5694" t="str">
            <v>LD FIM CP IE</v>
          </cell>
          <cell r="D5694" t="str">
            <v>LD FIM CP IE</v>
          </cell>
          <cell r="E5694" t="str">
            <v>DAYCOVAL ASSET MANAGEMENT ADMINISTRACAO DE RECURSOS LTDA</v>
          </cell>
        </row>
        <row r="5695">
          <cell r="B5695">
            <v>124079</v>
          </cell>
          <cell r="C5695" t="str">
            <v>D&amp;D FIM CP IE</v>
          </cell>
          <cell r="D5695" t="str">
            <v>D&amp;D FIM CP IE</v>
          </cell>
          <cell r="E5695" t="str">
            <v>DAYCOVAL ASSET MANAGEMENT ADMINISTRACAO DE RECURSOS LTDA</v>
          </cell>
        </row>
        <row r="5696">
          <cell r="B5696">
            <v>12408</v>
          </cell>
          <cell r="C5696" t="str">
            <v>FIPECQ-FUNDACAO DE PREVIDENCIA COMPLEMENTAR DOS EMPREGADOS O</v>
          </cell>
          <cell r="D5696" t="str">
            <v>FIPECQ-FUNDACAO DE PREVIDENCIA COMPLEMENTAR DOS EMPREGADOS O</v>
          </cell>
          <cell r="E5696" t="str">
            <v>FIPECQ-FUNDACAO DE PREVIDENCIA COMPLEMENTAR DOS EMPREGADOS O</v>
          </cell>
        </row>
        <row r="5697">
          <cell r="B5697">
            <v>124080</v>
          </cell>
          <cell r="C5697" t="str">
            <v>PREGUINHO FIM CP IE</v>
          </cell>
          <cell r="D5697" t="str">
            <v>PREGUINHO FIM CP IE</v>
          </cell>
          <cell r="E5697" t="str">
            <v>DAYCOVAL ASSET MANAGEMENT ADMINISTRACAO DE RECURSOS LTDA</v>
          </cell>
        </row>
        <row r="5698">
          <cell r="B5698">
            <v>124081</v>
          </cell>
          <cell r="C5698" t="str">
            <v>SOCJOV FIM CP IE</v>
          </cell>
          <cell r="D5698" t="str">
            <v>SOCJOV FIM CP IE</v>
          </cell>
          <cell r="E5698" t="str">
            <v>DAYCOVAL ASSET MANAGEMENT ADMINISTRACAO DE RECURSOS LTDA</v>
          </cell>
        </row>
        <row r="5699">
          <cell r="B5699">
            <v>124083</v>
          </cell>
          <cell r="C5699" t="str">
            <v>BRADESCO H FIA SRI</v>
          </cell>
          <cell r="D5699" t="str">
            <v>BRADESCO H FIA SRI</v>
          </cell>
          <cell r="E5699" t="str">
            <v>BRAM - BRADESCO ASSET MANAGEMENT S/A DTVM</v>
          </cell>
        </row>
        <row r="5700">
          <cell r="B5700">
            <v>124085</v>
          </cell>
          <cell r="C5700" t="str">
            <v>BRADESCO H FI EM PIBB-AÃ‡OES IBRX -50</v>
          </cell>
          <cell r="D5700" t="str">
            <v>BRADESCO H FI EM PIBB-AÃ‡OES IBRX -50</v>
          </cell>
          <cell r="E5700" t="str">
            <v>BRAM - BRADESCO ASSET MANAGEMENT S/A DTVM</v>
          </cell>
        </row>
        <row r="5701">
          <cell r="B5701">
            <v>124086</v>
          </cell>
          <cell r="C5701" t="str">
            <v>BRADESCO H FIA GLOBAL EMERGING MARKETS EQUITY IE</v>
          </cell>
          <cell r="D5701" t="str">
            <v>BRADESCO H FIA GLOBAL EMERGING MARKETS EQUITY IE</v>
          </cell>
          <cell r="E5701" t="str">
            <v>BRAM - BRADESCO ASSET MANAGEMENT S/A DTVM</v>
          </cell>
        </row>
        <row r="5702">
          <cell r="B5702">
            <v>124087</v>
          </cell>
          <cell r="C5702" t="str">
            <v>BRADESCO FIA CONSUMO</v>
          </cell>
          <cell r="D5702" t="str">
            <v>BRADESCO FIA CONSUMO</v>
          </cell>
          <cell r="E5702" t="str">
            <v>BRAM - BRADESCO ASSET MANAGEMENT S/A DTVM</v>
          </cell>
        </row>
        <row r="5703">
          <cell r="B5703">
            <v>124089</v>
          </cell>
          <cell r="C5703" t="str">
            <v>BRADESCO H FIM VGBL MODERADO II</v>
          </cell>
          <cell r="D5703" t="str">
            <v>BRADESCO H FIM VGBL MODERADO II</v>
          </cell>
          <cell r="E5703" t="str">
            <v>BRAM - BRADESCO ASSET MANAGEMENT S/A DTVM</v>
          </cell>
        </row>
        <row r="5704">
          <cell r="B5704">
            <v>12409</v>
          </cell>
          <cell r="C5704" t="str">
            <v>ARIA CAPITAL ASSET ADM DE RECURSOS LTDA</v>
          </cell>
          <cell r="D5704" t="str">
            <v>ARIA CAPITAL ASSET ADM DE RECURSOS LTDA</v>
          </cell>
          <cell r="E5704" t="str">
            <v>ARIA CAPITAL ASSET ADM DE RECURSOS LTDA</v>
          </cell>
        </row>
        <row r="5705">
          <cell r="B5705">
            <v>124090</v>
          </cell>
          <cell r="C5705" t="str">
            <v>BRADESCO H FIM PGBL MODERADO II</v>
          </cell>
          <cell r="D5705" t="str">
            <v>BRADESCO H FIM PGBL MODERADO II</v>
          </cell>
          <cell r="E5705" t="str">
            <v>BRAM - BRADESCO ASSET MANAGEMENT S/A DTVM</v>
          </cell>
        </row>
        <row r="5706">
          <cell r="B5706">
            <v>124092</v>
          </cell>
          <cell r="C5706" t="str">
            <v>BRADESCO H FIM PGBL/VGBL VALOR</v>
          </cell>
          <cell r="D5706" t="str">
            <v>BRADESCO H FIM PGBL/VGBL VALOR</v>
          </cell>
          <cell r="E5706" t="str">
            <v>BRAM - BRADESCO ASSET MANAGEMENT S/A DTVM</v>
          </cell>
        </row>
        <row r="5707">
          <cell r="B5707">
            <v>124093</v>
          </cell>
          <cell r="C5707" t="str">
            <v>BRADESCO H FIM PGBL/ VGBL EMPRESARIAL MODERADO</v>
          </cell>
          <cell r="D5707" t="str">
            <v>BRADESCO H FIM PGBL/ VGBL EMPRESARIAL MODERADO</v>
          </cell>
          <cell r="E5707" t="str">
            <v>BRAM - BRADESCO ASSET MANAGEMENT S/A DTVM</v>
          </cell>
        </row>
        <row r="5708">
          <cell r="B5708">
            <v>124094</v>
          </cell>
          <cell r="C5708" t="str">
            <v>BRADESCO H FIM PGBL/VGBL FUTURE COMPOSTO I</v>
          </cell>
          <cell r="D5708" t="str">
            <v>BRADESCO H FIM PGBL/VGBL FUTURE COMPOSTO I</v>
          </cell>
          <cell r="E5708" t="str">
            <v>BRAM - BRADESCO ASSET MANAGEMENT S/A DTVM</v>
          </cell>
        </row>
        <row r="5709">
          <cell r="B5709">
            <v>124096</v>
          </cell>
          <cell r="C5709" t="str">
            <v>BRADESCO H FIM PGBL MODERADO</v>
          </cell>
          <cell r="D5709" t="str">
            <v>BRADESCO H FIM PGBL MODERADO</v>
          </cell>
          <cell r="E5709" t="str">
            <v>BRAM - BRADESCO ASSET MANAGEMENT S/A DTVM</v>
          </cell>
        </row>
        <row r="5710">
          <cell r="B5710">
            <v>124099</v>
          </cell>
          <cell r="C5710" t="str">
            <v>BRAM H FIM OPORTUNIDADE II</v>
          </cell>
          <cell r="D5710" t="str">
            <v>BRAM H FIM OPORTUNIDADE II</v>
          </cell>
          <cell r="E5710" t="str">
            <v>BRAM - BRADESCO ASSET MANAGEMENT S/A DTVM</v>
          </cell>
        </row>
        <row r="5711">
          <cell r="B5711">
            <v>12410</v>
          </cell>
          <cell r="C5711" t="str">
            <v>CENTRUS -FUNDAÃ‡ÃƒO BANCO CENTRAL DE PREVIDENCIA PRIVADA</v>
          </cell>
          <cell r="D5711" t="str">
            <v>CENTRUS -FUNDAÃ‡ÃƒO BANCO CENTRAL DE PREVIDENCIA PRIVADA</v>
          </cell>
          <cell r="E5711" t="str">
            <v>CENTRUS -FUNDAÇÃO BANCO CENTRAL DE PREVIDENCIA PRIVADA</v>
          </cell>
        </row>
        <row r="5712">
          <cell r="B5712">
            <v>124101</v>
          </cell>
          <cell r="C5712" t="str">
            <v>BRADESCO H FIA SMALL CAPS</v>
          </cell>
          <cell r="D5712" t="str">
            <v>BRADESCO H FIA SMALL CAPS</v>
          </cell>
          <cell r="E5712" t="str">
            <v>BRAM - BRADESCO ASSET MANAGEMENT S/A DTVM</v>
          </cell>
        </row>
        <row r="5713">
          <cell r="B5713">
            <v>124103</v>
          </cell>
          <cell r="C5713" t="str">
            <v>BRADESCO H FIM PGBL/VGBL FUTURE COMPOSTO III</v>
          </cell>
          <cell r="D5713" t="str">
            <v>BRADESCO H FIM PGBL/VGBL FUTURE COMPOSTO III</v>
          </cell>
          <cell r="E5713" t="str">
            <v>BRAM - BRADESCO ASSET MANAGEMENT S/A DTVM</v>
          </cell>
        </row>
        <row r="5714">
          <cell r="B5714">
            <v>124104</v>
          </cell>
          <cell r="C5714" t="str">
            <v>BRADESCO H FIM VGBL AGRESSIVO</v>
          </cell>
          <cell r="D5714" t="str">
            <v>BRADESCO H FIM VGBL AGRESSIVO</v>
          </cell>
          <cell r="E5714" t="str">
            <v>BRAM - BRADESCO ASSET MANAGEMENT S/A DTVM</v>
          </cell>
        </row>
        <row r="5715">
          <cell r="B5715">
            <v>124105</v>
          </cell>
          <cell r="C5715" t="str">
            <v>BRADESCO H FIM PGBL/VGBL POTENCIAL</v>
          </cell>
          <cell r="D5715" t="str">
            <v>BRADESCO H FIM PGBL/VGBL POTENCIAL</v>
          </cell>
          <cell r="E5715" t="str">
            <v>BRAM - BRADESCO ASSET MANAGEMENT S/A DTVM</v>
          </cell>
        </row>
        <row r="5716">
          <cell r="B5716">
            <v>124106</v>
          </cell>
          <cell r="C5716" t="str">
            <v>BRADESCO H FIM PGBL AGRESSIVO</v>
          </cell>
          <cell r="D5716" t="str">
            <v>BRADESCO H FIM PGBL AGRESSIVO</v>
          </cell>
          <cell r="E5716" t="str">
            <v>BRAM - BRADESCO ASSET MANAGEMENT S/A DTVM</v>
          </cell>
        </row>
        <row r="5717">
          <cell r="B5717">
            <v>124107</v>
          </cell>
          <cell r="C5717" t="str">
            <v>BRADESCO H FMP FGTS VALE DO RIO DOCE</v>
          </cell>
          <cell r="D5717" t="str">
            <v>BRADESCO H FMP FGTS VALE DO RIO DOCE</v>
          </cell>
          <cell r="E5717" t="str">
            <v>BRAM - BRADESCO ASSET MANAGEMENT S/A DTVM</v>
          </cell>
        </row>
        <row r="5718">
          <cell r="B5718">
            <v>124108</v>
          </cell>
          <cell r="C5718" t="str">
            <v>BRADESCO H FIM PGBL/VGBL FUTURE COMPOSTO II</v>
          </cell>
          <cell r="D5718" t="str">
            <v>BRADESCO H FIM PGBL/VGBL FUTURE COMPOSTO II</v>
          </cell>
          <cell r="E5718" t="str">
            <v>BRAM - BRADESCO ASSET MANAGEMENT S/A DTVM</v>
          </cell>
        </row>
        <row r="5719">
          <cell r="B5719">
            <v>124109</v>
          </cell>
          <cell r="C5719" t="str">
            <v>BRADESCO H FIM VGBL MODERADO</v>
          </cell>
          <cell r="D5719" t="str">
            <v>BRADESCO H FIM VGBL MODERADO</v>
          </cell>
          <cell r="E5719" t="str">
            <v>BRAM - BRADESCO ASSET MANAGEMENT S/A DTVM</v>
          </cell>
        </row>
        <row r="5720">
          <cell r="B5720">
            <v>12411</v>
          </cell>
          <cell r="C5720" t="str">
            <v>FINGER LAKER GESTORA DE RECURSOS LTDA</v>
          </cell>
          <cell r="D5720" t="str">
            <v>FINGER LAKER GESTORA DE RECURSOS LTDA</v>
          </cell>
          <cell r="E5720" t="str">
            <v>FINGER LAKER GESTORA DE RECURSOS LTDA</v>
          </cell>
        </row>
        <row r="5721">
          <cell r="B5721">
            <v>124110</v>
          </cell>
          <cell r="C5721" t="str">
            <v>BRAM FIM MACRO INSTITUCIONAL</v>
          </cell>
          <cell r="D5721" t="str">
            <v>BRAM FIM MACRO INSTITUCIONAL</v>
          </cell>
          <cell r="E5721" t="str">
            <v>BRAM - BRADESCO ASSET MANAGEMENT S/A DTVM</v>
          </cell>
        </row>
        <row r="5722">
          <cell r="B5722">
            <v>124111</v>
          </cell>
          <cell r="C5722" t="str">
            <v>VINCI ATLAS MASTER FIM</v>
          </cell>
          <cell r="D5722" t="str">
            <v>VINCI ATLAS MASTER FIM</v>
          </cell>
          <cell r="E5722" t="str">
            <v>VINCI GESTORA DE RECURSOS LTDA</v>
          </cell>
        </row>
        <row r="5723">
          <cell r="B5723">
            <v>124112</v>
          </cell>
          <cell r="C5723" t="str">
            <v>BRADESCO FIM PRINCIPAL PROTEGIDO</v>
          </cell>
          <cell r="D5723" t="str">
            <v>BRADESCO FIM PRINCIPAL PROTEGIDO</v>
          </cell>
          <cell r="E5723" t="str">
            <v>BRAM - BRADESCO ASSET MANAGEMENT S/A DTVM</v>
          </cell>
        </row>
        <row r="5724">
          <cell r="B5724">
            <v>124113</v>
          </cell>
          <cell r="C5724" t="str">
            <v>BRADESCO FMP - FGTS PETROBRAS</v>
          </cell>
          <cell r="D5724" t="str">
            <v>BRADESCO FMP - FGTS PETROBRAS</v>
          </cell>
          <cell r="E5724" t="str">
            <v>BRAM - BRADESCO ASSET MANAGEMENT S/A DTVM</v>
          </cell>
        </row>
        <row r="5725">
          <cell r="B5725">
            <v>124114</v>
          </cell>
          <cell r="C5725" t="str">
            <v>BRADESCO FI RF LP YELD</v>
          </cell>
          <cell r="D5725" t="str">
            <v>BRADESCO FI RF LP YELD</v>
          </cell>
          <cell r="E5725" t="str">
            <v>BRADESCO FI RF LP YELD</v>
          </cell>
        </row>
        <row r="5726">
          <cell r="B5726">
            <v>124116</v>
          </cell>
          <cell r="C5726" t="str">
            <v>BRADESCO FI RF BOND</v>
          </cell>
          <cell r="D5726" t="str">
            <v>BRADESCO FI RF BOND</v>
          </cell>
          <cell r="E5726" t="str">
            <v>BRAM - BRADESCO ASSET MANAGEMENT S/A DTVM</v>
          </cell>
        </row>
        <row r="5727">
          <cell r="B5727">
            <v>124117</v>
          </cell>
          <cell r="C5727" t="str">
            <v>BRADESCO FI RF LP ALFA</v>
          </cell>
          <cell r="D5727" t="str">
            <v>BRADESCO FI RF LP ALFA</v>
          </cell>
          <cell r="E5727" t="str">
            <v>BRADESCO FI RF LP ALFA</v>
          </cell>
        </row>
        <row r="5728">
          <cell r="B5728">
            <v>124118</v>
          </cell>
          <cell r="C5728" t="str">
            <v>BRADESCO FI RF RIVIERA</v>
          </cell>
          <cell r="D5728" t="str">
            <v>BRADESCO FI RF RIVIERA</v>
          </cell>
          <cell r="E5728" t="str">
            <v>BRADESCO FI RF RIVIERA</v>
          </cell>
        </row>
        <row r="5729">
          <cell r="B5729">
            <v>124119</v>
          </cell>
          <cell r="C5729" t="str">
            <v>BRADESCO H FIA DIVIDENDOS</v>
          </cell>
          <cell r="D5729" t="str">
            <v>BRADESCO H FIA DIVIDENDOS</v>
          </cell>
          <cell r="E5729" t="str">
            <v>BRAM - BRADESCO ASSET MANAGEMENT S/A DTVM</v>
          </cell>
        </row>
        <row r="5730">
          <cell r="B5730">
            <v>12412</v>
          </cell>
          <cell r="C5730" t="str">
            <v>BTGP WM 3 LTDA</v>
          </cell>
          <cell r="D5730" t="str">
            <v>BTGP WM 3 LTDA</v>
          </cell>
          <cell r="E5730" t="str">
            <v>JGP GESTAO PATRIMONIAL LTDA</v>
          </cell>
        </row>
        <row r="5731">
          <cell r="B5731">
            <v>124120</v>
          </cell>
          <cell r="C5731" t="str">
            <v>BRADESCO FIA PONTUAL</v>
          </cell>
          <cell r="D5731" t="str">
            <v>BRADESCO FIA PONTUAL</v>
          </cell>
          <cell r="E5731" t="str">
            <v>BRAM - BRADESCO ASSET MANAGEMENT S/A DTVM</v>
          </cell>
        </row>
        <row r="5732">
          <cell r="B5732">
            <v>124122</v>
          </cell>
          <cell r="C5732" t="str">
            <v>BRADESCO FIA INDICE VALOR</v>
          </cell>
          <cell r="D5732" t="str">
            <v>BRADESCO FIA INDICE VALOR</v>
          </cell>
          <cell r="E5732" t="str">
            <v>BRAM - BRADESCO ASSET MANAGEMENT S/A DTVM</v>
          </cell>
        </row>
        <row r="5733">
          <cell r="B5733">
            <v>124123</v>
          </cell>
          <cell r="C5733" t="str">
            <v>BRADESCO FIM CP IE PARATI</v>
          </cell>
          <cell r="D5733" t="str">
            <v>BRADESCO FIM CP IE PARATI</v>
          </cell>
          <cell r="E5733" t="str">
            <v>BRADESCO FIM CP IE PARATI</v>
          </cell>
        </row>
        <row r="5734">
          <cell r="B5734">
            <v>124124</v>
          </cell>
          <cell r="C5734" t="str">
            <v>BRADESCO FI RF MIDAS</v>
          </cell>
          <cell r="D5734" t="str">
            <v>BRADESCO FI RF MIDAS</v>
          </cell>
          <cell r="E5734" t="str">
            <v>BRAM - BRADESCO ASSET MANAGEMENT S/A DTVM</v>
          </cell>
        </row>
        <row r="5735">
          <cell r="B5735">
            <v>124125</v>
          </cell>
          <cell r="C5735" t="str">
            <v>BRADESCO FIC DE FIM CP IE LONG BIASED GBS</v>
          </cell>
          <cell r="D5735" t="str">
            <v>BRADESCO FIC DE FIM CP IE LONG BIASED GBS</v>
          </cell>
          <cell r="E5735" t="str">
            <v>BRADESCO FIC DE FIM CP IE LONG BIASED GBS</v>
          </cell>
        </row>
        <row r="5736">
          <cell r="B5736">
            <v>124126</v>
          </cell>
          <cell r="C5736" t="str">
            <v>BRADESCO FIA EQUITIES</v>
          </cell>
          <cell r="D5736" t="str">
            <v>BRADESCO FIA EQUITIES</v>
          </cell>
          <cell r="E5736" t="str">
            <v>BRAM - BRADESCO ASSET MANAGEMENT S/A DTVM</v>
          </cell>
        </row>
        <row r="5737">
          <cell r="B5737">
            <v>124127</v>
          </cell>
          <cell r="C5737" t="str">
            <v>BRADESCO FIM PLUS</v>
          </cell>
          <cell r="D5737" t="str">
            <v>BRADESCO FIM PLUS</v>
          </cell>
          <cell r="E5737" t="str">
            <v>BRADESCO FIM PLUS</v>
          </cell>
        </row>
        <row r="5738">
          <cell r="B5738">
            <v>124128</v>
          </cell>
          <cell r="C5738" t="str">
            <v>BRADESCO FI ENERGIA RF</v>
          </cell>
          <cell r="D5738" t="str">
            <v>BRADESCO FI ENERGIA RF</v>
          </cell>
          <cell r="E5738" t="str">
            <v>BRADESCO FI ENERGIA RF</v>
          </cell>
        </row>
        <row r="5739">
          <cell r="B5739">
            <v>124129</v>
          </cell>
          <cell r="C5739" t="str">
            <v>BRADESCO FIA MULTI SETORIAL</v>
          </cell>
          <cell r="D5739" t="str">
            <v>BRADESCO FIA MULTI SETORIAL</v>
          </cell>
          <cell r="E5739" t="str">
            <v>BRAM - BRADESCO ASSET MANAGEMENT S/A DTVM</v>
          </cell>
        </row>
        <row r="5740">
          <cell r="B5740">
            <v>124130</v>
          </cell>
          <cell r="C5740" t="str">
            <v>BRADESCO FIA ENERGIA</v>
          </cell>
          <cell r="D5740" t="str">
            <v>BRADESCO FIA ENERGIA</v>
          </cell>
          <cell r="E5740" t="str">
            <v>BRADESCO FIA ENERGIA</v>
          </cell>
        </row>
        <row r="5741">
          <cell r="B5741">
            <v>124131</v>
          </cell>
          <cell r="C5741" t="str">
            <v>BRAM FI RF TARGET</v>
          </cell>
          <cell r="D5741" t="str">
            <v>BRAM FI RF TARGET</v>
          </cell>
          <cell r="E5741" t="str">
            <v>BRAM FI RF TARGET</v>
          </cell>
        </row>
        <row r="5742">
          <cell r="B5742">
            <v>124132</v>
          </cell>
          <cell r="C5742" t="str">
            <v>BRADESCO FIM TEAM</v>
          </cell>
          <cell r="D5742" t="str">
            <v>BRADESCO FIM TEAM</v>
          </cell>
          <cell r="E5742" t="str">
            <v>BRADESCO FIM TEAM</v>
          </cell>
        </row>
        <row r="5743">
          <cell r="B5743">
            <v>124133</v>
          </cell>
          <cell r="C5743" t="str">
            <v>BRADESCO FI RF SERRANO</v>
          </cell>
          <cell r="D5743" t="str">
            <v>BRADESCO FI RF SERRANO</v>
          </cell>
          <cell r="E5743" t="str">
            <v>BRADESCO FI RF SERRANO</v>
          </cell>
        </row>
        <row r="5744">
          <cell r="B5744">
            <v>124134</v>
          </cell>
          <cell r="C5744" t="str">
            <v>BRADESCO PRIVATE FIA IBOVESPA ALANVACADO</v>
          </cell>
          <cell r="D5744" t="str">
            <v>BRADESCO PRIVATE FIA IBOVESPA ALANVACADO</v>
          </cell>
          <cell r="E5744" t="str">
            <v>BRAM - BRADESCO ASSET MANAGEMENT S/A DTVM</v>
          </cell>
        </row>
        <row r="5745">
          <cell r="B5745">
            <v>124135</v>
          </cell>
          <cell r="C5745" t="str">
            <v>BRADESCO FIA SELECTION</v>
          </cell>
          <cell r="D5745" t="str">
            <v>BRADESCO FIA SELECTION</v>
          </cell>
          <cell r="E5745" t="str">
            <v>BRAM - BRADESCO ASSET MANAGEMENT S/A DTVM</v>
          </cell>
        </row>
        <row r="5746">
          <cell r="B5746">
            <v>124136</v>
          </cell>
          <cell r="C5746" t="str">
            <v>BRADESCO H FMP - FGTS PETROBRAS</v>
          </cell>
          <cell r="D5746" t="str">
            <v>BRADESCO H FMP - FGTS PETROBRAS</v>
          </cell>
          <cell r="E5746" t="str">
            <v>BRADESCO H FMP - FGTS PETROBRAS</v>
          </cell>
        </row>
        <row r="5747">
          <cell r="B5747">
            <v>124137</v>
          </cell>
          <cell r="C5747" t="str">
            <v>BRADESCO FIM DYNAMIC</v>
          </cell>
          <cell r="D5747" t="str">
            <v>BRADESCO FIM DYNAMIC</v>
          </cell>
          <cell r="E5747" t="str">
            <v>BRADESCO FIM DYNAMIC</v>
          </cell>
        </row>
        <row r="5748">
          <cell r="B5748">
            <v>124139</v>
          </cell>
          <cell r="C5748" t="str">
            <v>BELVEDERE FIM CP IE</v>
          </cell>
          <cell r="D5748" t="str">
            <v>BELVEDERE FIM CP IE</v>
          </cell>
          <cell r="E5748" t="str">
            <v>BELVEDERE FIM CP IE</v>
          </cell>
        </row>
        <row r="5749">
          <cell r="B5749">
            <v>124140</v>
          </cell>
          <cell r="C5749" t="str">
            <v>BRADESCO FIA SUPER AÃ‡ÃƒO</v>
          </cell>
          <cell r="D5749" t="str">
            <v>BRADESCO FIA SUPER AÃ‡ÃƒO</v>
          </cell>
          <cell r="E5749" t="str">
            <v>BRAM - BRADESCO ASSET MANAGEMENT S/A DTVM</v>
          </cell>
        </row>
        <row r="5750">
          <cell r="B5750">
            <v>124141</v>
          </cell>
          <cell r="C5750" t="str">
            <v>BRAM FIA IBOVESPA ALAVANCADO</v>
          </cell>
          <cell r="D5750" t="str">
            <v>BRAM FIA IBOVESPA ALAVANCADO</v>
          </cell>
          <cell r="E5750" t="str">
            <v>BRAM - BRADESCO ASSET MANAGEMENT S/A DTVM</v>
          </cell>
        </row>
        <row r="5751">
          <cell r="B5751">
            <v>124142</v>
          </cell>
          <cell r="C5751" t="str">
            <v>BRADESCO H FIA IBOVESPA VALUATION</v>
          </cell>
          <cell r="D5751" t="str">
            <v>BRADESCO H FIA IBOVESPA VALUATION</v>
          </cell>
          <cell r="E5751" t="str">
            <v>BRAM - BRADESCO ASSET MANAGEMENT S/A DTVM</v>
          </cell>
        </row>
        <row r="5752">
          <cell r="B5752">
            <v>124143</v>
          </cell>
          <cell r="C5752" t="str">
            <v>TRUXT VALOR MASTER FIF ACOES RESP LTDA</v>
          </cell>
          <cell r="D5752" t="str">
            <v>TRUXT VALOR MASTER FIF ACOES RESP LTDA</v>
          </cell>
          <cell r="E5752" t="str">
            <v>TRUXT INVESTIMENTOS LTDA</v>
          </cell>
        </row>
        <row r="5753">
          <cell r="B5753">
            <v>124144</v>
          </cell>
          <cell r="C5753" t="str">
            <v>TRUXT VALOR MASTER INSTITUCIONAL FIA</v>
          </cell>
          <cell r="D5753" t="str">
            <v>TRUXT VALOR MASTER INSTITUCIONAL FIA</v>
          </cell>
          <cell r="E5753" t="str">
            <v>TRUXT INVESTIMENTOS LTDA</v>
          </cell>
        </row>
        <row r="5754">
          <cell r="B5754">
            <v>124145</v>
          </cell>
          <cell r="C5754" t="str">
            <v>TRUXT MACRO MASTER FIM</v>
          </cell>
          <cell r="D5754" t="str">
            <v>TRUXT MACRO MASTER FIM</v>
          </cell>
          <cell r="E5754" t="str">
            <v>TRUXT INVESTIMENTOS LTDA</v>
          </cell>
        </row>
        <row r="5755">
          <cell r="B5755">
            <v>124146</v>
          </cell>
          <cell r="C5755" t="str">
            <v>TRUXT LONG SHORT MASTER FIM</v>
          </cell>
          <cell r="D5755" t="str">
            <v>TRUXT LONG SHORT MASTER FIM</v>
          </cell>
          <cell r="E5755" t="str">
            <v>TRUXT INVESTIMENTOS LTDA</v>
          </cell>
        </row>
        <row r="5756">
          <cell r="B5756">
            <v>124147</v>
          </cell>
          <cell r="C5756" t="str">
            <v>TRUXT LONG BIAS MASTER FIM</v>
          </cell>
          <cell r="D5756" t="str">
            <v>TRUXT LONG BIAS MASTER FIM</v>
          </cell>
          <cell r="E5756" t="str">
            <v>TRUXT INVESTIMENTOS LTDA</v>
          </cell>
        </row>
        <row r="5757">
          <cell r="B5757">
            <v>124148</v>
          </cell>
          <cell r="C5757" t="str">
            <v>BRADESCO FIM PLUS I</v>
          </cell>
          <cell r="D5757" t="str">
            <v>BRADESCO FIM PLUS I</v>
          </cell>
          <cell r="E5757" t="str">
            <v>BRADESCO FIM PLUS I</v>
          </cell>
        </row>
        <row r="5758">
          <cell r="B5758">
            <v>124149</v>
          </cell>
          <cell r="C5758" t="str">
            <v>BRADESCO FIM FEB BD</v>
          </cell>
          <cell r="D5758" t="str">
            <v>BRADESCO FIM FEB BD</v>
          </cell>
          <cell r="E5758" t="str">
            <v>BRADESCO FIM FEB BD</v>
          </cell>
        </row>
        <row r="5759">
          <cell r="B5759">
            <v>124150</v>
          </cell>
          <cell r="C5759" t="str">
            <v>BRADESCO FI RF CAPOF NEBRASKA</v>
          </cell>
          <cell r="D5759" t="str">
            <v>BRADESCO FI RF CAPOF NEBRASKA</v>
          </cell>
          <cell r="E5759" t="str">
            <v>BRADESCO FI RF CAPOF NEBRASKA</v>
          </cell>
        </row>
        <row r="5760">
          <cell r="B5760">
            <v>124151</v>
          </cell>
          <cell r="C5760" t="str">
            <v>BRADESCO FI RF FPP</v>
          </cell>
          <cell r="D5760" t="str">
            <v>BRADESCO FI RF FPP</v>
          </cell>
          <cell r="E5760" t="str">
            <v>BRADESCO FI RF FPP</v>
          </cell>
        </row>
        <row r="5761">
          <cell r="B5761">
            <v>124152</v>
          </cell>
          <cell r="C5761" t="str">
            <v>BRADESCO FIM CP DALIA</v>
          </cell>
          <cell r="D5761" t="str">
            <v>BRADESCO FIM CP DALIA</v>
          </cell>
          <cell r="E5761" t="str">
            <v>BRAM - BRADESCO ASSET MANAGEMENT S/A DTVM</v>
          </cell>
        </row>
        <row r="5762">
          <cell r="B5762">
            <v>124153</v>
          </cell>
          <cell r="C5762" t="str">
            <v>BRADESCO FIA INDICE MOMENTO</v>
          </cell>
          <cell r="D5762" t="str">
            <v>BRADESCO FIA INDICE MOMENTO</v>
          </cell>
          <cell r="E5762" t="str">
            <v>BRAM - BRADESCO ASSET MANAGEMENT S/A DTVM</v>
          </cell>
        </row>
        <row r="5763">
          <cell r="B5763">
            <v>124154</v>
          </cell>
          <cell r="C5763" t="str">
            <v>BRAM FIM CURRENCIES</v>
          </cell>
          <cell r="D5763" t="str">
            <v>BRAM FIM CURRENCIES</v>
          </cell>
          <cell r="E5763" t="str">
            <v>BRAM FIM CURRENCIES</v>
          </cell>
        </row>
        <row r="5764">
          <cell r="B5764">
            <v>124155</v>
          </cell>
          <cell r="C5764" t="str">
            <v>BRADESCO FIM CP FUTURE &amp; FAMILY HERITAGE</v>
          </cell>
          <cell r="D5764" t="str">
            <v>BRADESCO FIM CP FUTURE &amp; FAMILY HERITAGE</v>
          </cell>
          <cell r="E5764" t="str">
            <v>BRADESCO FIM CP FUTURE &amp; FAMILY HERITAGE</v>
          </cell>
        </row>
        <row r="5765">
          <cell r="B5765">
            <v>124156</v>
          </cell>
          <cell r="C5765" t="str">
            <v>BRADESCO FIM CP IE OCEANO</v>
          </cell>
          <cell r="D5765" t="str">
            <v>BRADESCO FIM CP IE OCEANO</v>
          </cell>
          <cell r="E5765" t="str">
            <v>BRADESCO FIM CP IE OCEANO</v>
          </cell>
        </row>
        <row r="5766">
          <cell r="B5766">
            <v>124157</v>
          </cell>
          <cell r="C5766" t="str">
            <v>BRAM FI RF</v>
          </cell>
          <cell r="D5766" t="str">
            <v>BRAM FI RF</v>
          </cell>
          <cell r="E5766" t="str">
            <v>BRAM FI RF</v>
          </cell>
        </row>
        <row r="5767">
          <cell r="B5767">
            <v>124158</v>
          </cell>
          <cell r="C5767" t="str">
            <v>BRADESCO FIA IDEAL</v>
          </cell>
          <cell r="D5767" t="str">
            <v>BRADESCO FIA IDEAL</v>
          </cell>
          <cell r="E5767" t="str">
            <v>BRAM - BRADESCO ASSET MANAGEMENT S/A DTVM</v>
          </cell>
        </row>
        <row r="5768">
          <cell r="B5768">
            <v>124159</v>
          </cell>
          <cell r="C5768" t="str">
            <v>BRADESCO PRIME FIM PRINCIPAL PROTEGIDO</v>
          </cell>
          <cell r="D5768" t="str">
            <v>BRADESCO PRIME FIM PRINCIPAL PROTEGIDO</v>
          </cell>
          <cell r="E5768" t="str">
            <v>BRADESCO PRIME FIM PRINCIPAL PROTEGIDO</v>
          </cell>
        </row>
        <row r="5769">
          <cell r="B5769">
            <v>124160</v>
          </cell>
          <cell r="C5769" t="str">
            <v>BRAM FIM PORTIFOLIO DE MERCADO</v>
          </cell>
          <cell r="D5769" t="str">
            <v>BRAM FIM PORTIFOLIO DE MERCADO</v>
          </cell>
          <cell r="E5769" t="str">
            <v>BRAM FIM PORTIFOLIO DE MERCADO</v>
          </cell>
        </row>
        <row r="5770">
          <cell r="B5770">
            <v>124161</v>
          </cell>
          <cell r="C5770" t="str">
            <v>BRAM FIA BDR NIVEL I SPECIAL EQUITIES</v>
          </cell>
          <cell r="D5770" t="str">
            <v>BRAM FIA BDR NIVEL I SPECIAL EQUITIES</v>
          </cell>
          <cell r="E5770" t="str">
            <v>BRAM - BRADESCO ASSET MANAGEMENT S/A DTVM</v>
          </cell>
        </row>
        <row r="5771">
          <cell r="B5771">
            <v>124162</v>
          </cell>
          <cell r="C5771" t="str">
            <v>BRADESCO FI RF TARGET I</v>
          </cell>
          <cell r="D5771" t="str">
            <v>BRADESCO FI RF TARGET I</v>
          </cell>
          <cell r="E5771" t="str">
            <v>BRADESCO FI RF TARGET I</v>
          </cell>
        </row>
        <row r="5772">
          <cell r="B5772">
            <v>124163</v>
          </cell>
          <cell r="C5772" t="str">
            <v>FIM CP NSP PREV</v>
          </cell>
          <cell r="D5772" t="str">
            <v>FIM CP NSP PREV</v>
          </cell>
          <cell r="E5772" t="str">
            <v>FIM CP NSP PREV</v>
          </cell>
        </row>
        <row r="5773">
          <cell r="B5773">
            <v>124164</v>
          </cell>
          <cell r="C5773" t="str">
            <v>RIO BRAVO PANDAS MASTER FIM</v>
          </cell>
          <cell r="D5773" t="str">
            <v>RIO BRAVO PANDAS MASTER FIM</v>
          </cell>
          <cell r="E5773" t="str">
            <v>FUNDAMENTAL INVESTIMENTOS LTDA</v>
          </cell>
        </row>
        <row r="5774">
          <cell r="B5774">
            <v>124165</v>
          </cell>
          <cell r="C5774" t="str">
            <v>BRADESCO FI RF NEGOCIAL</v>
          </cell>
          <cell r="D5774" t="str">
            <v>BRADESCO FI RF NEGOCIAL</v>
          </cell>
          <cell r="E5774" t="str">
            <v>BRADESCO FI RF NEGOCIAL</v>
          </cell>
        </row>
        <row r="5775">
          <cell r="B5775">
            <v>124166</v>
          </cell>
          <cell r="C5775" t="str">
            <v>BRAM FI RF MULTI-INDICES</v>
          </cell>
          <cell r="D5775" t="str">
            <v>BRAM FI RF MULTI-INDICES</v>
          </cell>
          <cell r="E5775" t="str">
            <v>BRAM FI RF MULTI-INDICES</v>
          </cell>
        </row>
        <row r="5776">
          <cell r="B5776">
            <v>124167</v>
          </cell>
          <cell r="C5776" t="str">
            <v>FIM CP TRADICAO</v>
          </cell>
          <cell r="D5776" t="str">
            <v>FIM CP TRADICAO</v>
          </cell>
          <cell r="E5776" t="str">
            <v>BRAM - BRADESCO ASSET MANAGEMENT S/A DTVM</v>
          </cell>
        </row>
        <row r="5777">
          <cell r="B5777">
            <v>124168</v>
          </cell>
          <cell r="C5777" t="str">
            <v>BRADESCO FIM ALBI</v>
          </cell>
          <cell r="D5777" t="str">
            <v>BRADESCO FIM ALBI</v>
          </cell>
          <cell r="E5777" t="str">
            <v>BRADESCO FIM ALBI</v>
          </cell>
        </row>
        <row r="5778">
          <cell r="B5778">
            <v>124169</v>
          </cell>
          <cell r="C5778" t="str">
            <v>BRADESCO FIM DELTA II</v>
          </cell>
          <cell r="D5778" t="str">
            <v>BRADESCO FIM DELTA II</v>
          </cell>
          <cell r="E5778" t="str">
            <v>BRAM - BRADESCO ASSET MANAGEMENT S/A DTVM</v>
          </cell>
        </row>
        <row r="5779">
          <cell r="B5779">
            <v>124170</v>
          </cell>
          <cell r="C5779" t="str">
            <v>BRADESCO FIA INDICE DE SUSTENTABILIDADE EMPRESARIAL</v>
          </cell>
          <cell r="D5779" t="str">
            <v>BRADESCO FIA INDICE DE SUSTENTABILIDADE EMPRESARIAL</v>
          </cell>
          <cell r="E5779" t="str">
            <v>BRAM - BRADESCO ASSET MANAGEMENT S/A DTVM</v>
          </cell>
        </row>
        <row r="5780">
          <cell r="B5780">
            <v>124171</v>
          </cell>
          <cell r="C5780" t="str">
            <v>BRADESCO FIM CP CENTURION</v>
          </cell>
          <cell r="D5780" t="str">
            <v>BRADESCO FIM CP CENTURION</v>
          </cell>
          <cell r="E5780" t="str">
            <v>BRAM - BRADESCO ASSET MANAGEMENT S/A DTVM</v>
          </cell>
        </row>
        <row r="5781">
          <cell r="B5781">
            <v>124172</v>
          </cell>
          <cell r="C5781" t="str">
            <v>BRADESCO FIM DUBLIN</v>
          </cell>
          <cell r="D5781" t="str">
            <v>BRADESCO FIM DUBLIN</v>
          </cell>
          <cell r="E5781" t="str">
            <v>BRADESCO FIM DUBLIN</v>
          </cell>
        </row>
        <row r="5782">
          <cell r="B5782">
            <v>124173</v>
          </cell>
          <cell r="C5782" t="str">
            <v>BRADESCO PRIVATE FIA</v>
          </cell>
          <cell r="D5782" t="str">
            <v>BRADESCO PRIVATE FIA</v>
          </cell>
          <cell r="E5782" t="str">
            <v>BRAM - BRADESCO ASSET MANAGEMENT S/A DTVM</v>
          </cell>
        </row>
        <row r="5783">
          <cell r="B5783">
            <v>124174</v>
          </cell>
          <cell r="C5783" t="str">
            <v>BRADESCO FIA SMALL CAP SML 7</v>
          </cell>
          <cell r="D5783" t="str">
            <v>BRADESCO FIA SMALL CAP SML 7</v>
          </cell>
          <cell r="E5783" t="str">
            <v>BRAM - BRADESCO ASSET MANAGEMENT S/A DTVM</v>
          </cell>
        </row>
        <row r="5784">
          <cell r="B5784">
            <v>124175</v>
          </cell>
          <cell r="C5784" t="str">
            <v>BRADESCO PRIME FIM PRINCIPAL PROTEGIDO 2</v>
          </cell>
          <cell r="D5784" t="str">
            <v>BRADESCO PRIME FIM PRINCIPAL PROTEGIDO 2</v>
          </cell>
          <cell r="E5784" t="str">
            <v>BRAM - BRADESCO ASSET MANAGEMENT S/A DTVM</v>
          </cell>
        </row>
        <row r="5785">
          <cell r="B5785">
            <v>124176</v>
          </cell>
          <cell r="C5785" t="str">
            <v>BRADESCO FI RF CP UNIPRIME</v>
          </cell>
          <cell r="D5785" t="str">
            <v>BRADESCO FI RF CP UNIPRIME</v>
          </cell>
          <cell r="E5785" t="str">
            <v>BRADESCO FI RF CP UNIPRIME</v>
          </cell>
        </row>
        <row r="5786">
          <cell r="B5786">
            <v>124177</v>
          </cell>
          <cell r="C5786" t="str">
            <v>BRADESCO FIA SELECAO</v>
          </cell>
          <cell r="D5786" t="str">
            <v>BRADESCO FIA SELECAO</v>
          </cell>
          <cell r="E5786" t="str">
            <v>BRAM - BRADESCO ASSET MANAGEMENT S/A DTVM</v>
          </cell>
        </row>
        <row r="5787">
          <cell r="B5787">
            <v>124178</v>
          </cell>
          <cell r="C5787" t="str">
            <v>BRADESCO FIM FMP T-SYSTEM</v>
          </cell>
          <cell r="D5787" t="str">
            <v>BRADESCO FIM FMP T-SYSTEM</v>
          </cell>
          <cell r="E5787" t="str">
            <v>BRAM - BRADESCO ASSET MANAGEMENT S/A DTVM</v>
          </cell>
        </row>
        <row r="5788">
          <cell r="B5788">
            <v>124179</v>
          </cell>
          <cell r="C5788" t="str">
            <v>BRADESCO FIM PRINCIPAL PROTEGIDO 1</v>
          </cell>
          <cell r="D5788" t="str">
            <v>BRADESCO FIM PRINCIPAL PROTEGIDO 1</v>
          </cell>
          <cell r="E5788" t="str">
            <v>BRAM - BRADESCO ASSET MANAGEMENT S/A DTVM</v>
          </cell>
        </row>
        <row r="5789">
          <cell r="B5789">
            <v>12418</v>
          </cell>
          <cell r="C5789" t="str">
            <v>PACIFICO GESTAO DE RECURSOS LTDA</v>
          </cell>
          <cell r="D5789" t="str">
            <v>PACIFICO GESTAO DE RECURSOS LTDA</v>
          </cell>
          <cell r="E5789" t="str">
            <v>PACIFICO GESTAO DE RECURSOS LTDA</v>
          </cell>
        </row>
        <row r="5790">
          <cell r="B5790">
            <v>124180</v>
          </cell>
          <cell r="C5790" t="str">
            <v>BRADESCO FIM AVONPREV</v>
          </cell>
          <cell r="D5790" t="str">
            <v>BRADESCO FIM AVONPREV</v>
          </cell>
          <cell r="E5790" t="str">
            <v>BRADESCO FIM AVONPREV</v>
          </cell>
        </row>
        <row r="5791">
          <cell r="B5791">
            <v>124182</v>
          </cell>
          <cell r="C5791" t="str">
            <v>BRADESCO FIM S&amp;P 500 MAIS</v>
          </cell>
          <cell r="D5791" t="str">
            <v>BRADESCO FIM S&amp;P 500 MAIS</v>
          </cell>
          <cell r="E5791" t="str">
            <v>BRADESCO FIM S&amp;P 500 MAIS</v>
          </cell>
        </row>
        <row r="5792">
          <cell r="B5792">
            <v>124183</v>
          </cell>
          <cell r="C5792" t="str">
            <v>BRADESCO FIM MASTER PREVIDENCIA</v>
          </cell>
          <cell r="D5792" t="str">
            <v>BRADESCO FIM MASTER PREVIDENCIA</v>
          </cell>
          <cell r="E5792" t="str">
            <v>BRAM - BRADESCO ASSET MANAGEMENT S/A DTVM</v>
          </cell>
        </row>
        <row r="5793">
          <cell r="B5793">
            <v>124184</v>
          </cell>
          <cell r="C5793" t="str">
            <v>BRADESCO FIM CP IE CH</v>
          </cell>
          <cell r="D5793" t="str">
            <v>BRADESCO FIM CP IE CH</v>
          </cell>
          <cell r="E5793" t="str">
            <v>BRADESCO FIM CP IE CH</v>
          </cell>
        </row>
        <row r="5794">
          <cell r="B5794">
            <v>124185</v>
          </cell>
          <cell r="C5794" t="str">
            <v>MBPREV I RF FI</v>
          </cell>
          <cell r="D5794" t="str">
            <v>MBPREV I RF FI</v>
          </cell>
          <cell r="E5794" t="str">
            <v>MBPREV I RF FI</v>
          </cell>
        </row>
        <row r="5795">
          <cell r="B5795">
            <v>124186</v>
          </cell>
          <cell r="C5795" t="str">
            <v>BRADESCO FIM FIOPREV</v>
          </cell>
          <cell r="D5795" t="str">
            <v>BRADESCO FIM FIOPREV</v>
          </cell>
          <cell r="E5795" t="str">
            <v>BRADESCO FIM FIOPREV</v>
          </cell>
        </row>
        <row r="5796">
          <cell r="B5796">
            <v>124187</v>
          </cell>
          <cell r="C5796" t="str">
            <v>BRADESCO FIA FPP RENDA VARIAVEL</v>
          </cell>
          <cell r="D5796" t="str">
            <v>BRADESCO FIA FPP RENDA VARIAVEL</v>
          </cell>
          <cell r="E5796" t="str">
            <v>BRAM - BRADESCO ASSET MANAGEMENT S/A DTVM</v>
          </cell>
        </row>
        <row r="5797">
          <cell r="B5797">
            <v>124189</v>
          </cell>
          <cell r="C5797" t="str">
            <v>BRADESCO FI RF CP BRASIL UNICRED</v>
          </cell>
          <cell r="D5797" t="str">
            <v>BRADESCO FI RF CP BRASIL UNICRED</v>
          </cell>
          <cell r="E5797" t="str">
            <v>BRAM - BRADESCO ASSET MANAGEMENT S/A DTVM</v>
          </cell>
        </row>
        <row r="5798">
          <cell r="B5798">
            <v>124190</v>
          </cell>
          <cell r="C5798" t="str">
            <v>BRAM PRIVATE FIM MULTIESTRATEGIA</v>
          </cell>
          <cell r="D5798" t="str">
            <v>BRAM PRIVATE FIM MULTIESTRATEGIA</v>
          </cell>
          <cell r="E5798" t="str">
            <v>BRAM PRIVATE FIM MULTIESTRATEGIA</v>
          </cell>
        </row>
        <row r="5799">
          <cell r="B5799">
            <v>124191</v>
          </cell>
          <cell r="C5799" t="str">
            <v>BRADESCO FIM CP BLANKI</v>
          </cell>
          <cell r="D5799" t="str">
            <v>BRADESCO FIM CP BLANKI</v>
          </cell>
          <cell r="E5799" t="str">
            <v>BRADESCO FIM CP BLANKI</v>
          </cell>
        </row>
        <row r="5800">
          <cell r="B5800">
            <v>124192</v>
          </cell>
          <cell r="C5800" t="str">
            <v>BRADESCO FIA ESTRATEGIA BS</v>
          </cell>
          <cell r="D5800" t="str">
            <v>BRADESCO FIA ESTRATEGIA BS</v>
          </cell>
          <cell r="E5800" t="str">
            <v>BRAM - BRADESCO ASSET MANAGEMENT S/A DTVM</v>
          </cell>
        </row>
        <row r="5801">
          <cell r="B5801">
            <v>124196</v>
          </cell>
          <cell r="C5801" t="str">
            <v>CONTINUOS FIM CP IE</v>
          </cell>
          <cell r="D5801" t="str">
            <v>CONTINUOS FIM CP IE</v>
          </cell>
          <cell r="E5801" t="str">
            <v>CONTINUOS FIM CP IE</v>
          </cell>
        </row>
        <row r="5802">
          <cell r="B5802">
            <v>124197</v>
          </cell>
          <cell r="C5802" t="str">
            <v>BRADESCO FI RF MEMORIAL</v>
          </cell>
          <cell r="D5802" t="str">
            <v>BRADESCO FI RF MEMORIAL</v>
          </cell>
          <cell r="E5802" t="str">
            <v>BRADESCO FI RF MEMORIAL</v>
          </cell>
        </row>
        <row r="5803">
          <cell r="B5803">
            <v>124198</v>
          </cell>
          <cell r="C5803" t="str">
            <v>BRADESCO FMP FGTS VALE MIGRAÃ‡ÃƒO</v>
          </cell>
          <cell r="D5803" t="str">
            <v>BRADESCO FMP FGTS VALE MIGRAÃ‡ÃƒO</v>
          </cell>
          <cell r="E5803" t="str">
            <v>BRAM - BRADESCO ASSET MANAGEMENT S/A DTVM</v>
          </cell>
        </row>
        <row r="5804">
          <cell r="B5804">
            <v>124199</v>
          </cell>
          <cell r="C5804" t="str">
            <v>BRADESCO FMP FGTS VALE</v>
          </cell>
          <cell r="D5804" t="str">
            <v>BRADESCO FMP FGTS VALE</v>
          </cell>
          <cell r="E5804" t="str">
            <v>BRAM - BRADESCO ASSET MANAGEMENT S/A DTVM</v>
          </cell>
        </row>
        <row r="5805">
          <cell r="B5805">
            <v>12420</v>
          </cell>
          <cell r="C5805" t="str">
            <v>VANDA CARRIS</v>
          </cell>
          <cell r="D5805" t="str">
            <v>VANDA CARRIS</v>
          </cell>
          <cell r="E5805" t="str">
            <v>VANDA CARRIS</v>
          </cell>
        </row>
        <row r="5806">
          <cell r="B5806">
            <v>124200</v>
          </cell>
          <cell r="C5806" t="str">
            <v>MBPREV II MULTIMERCADO FI</v>
          </cell>
          <cell r="D5806" t="str">
            <v>MBPREV II MULTIMERCADO FI</v>
          </cell>
          <cell r="E5806" t="str">
            <v>BRAM - BRADESCO ASSET MANAGEMENT S/A DTVM</v>
          </cell>
        </row>
        <row r="5807">
          <cell r="B5807">
            <v>124201</v>
          </cell>
          <cell r="C5807" t="str">
            <v>FIM CP FALCO</v>
          </cell>
          <cell r="D5807" t="str">
            <v>FIM CP FALCO</v>
          </cell>
          <cell r="E5807" t="str">
            <v>BRAM - BRADESCO ASSET MANAGEMENT S/A DTVM</v>
          </cell>
        </row>
        <row r="5808">
          <cell r="B5808">
            <v>124203</v>
          </cell>
          <cell r="C5808" t="str">
            <v>BRADESCO FIA INSTITUCIONAL IBRX ALPHA</v>
          </cell>
          <cell r="D5808" t="str">
            <v>BRADESCO FIA INSTITUCIONAL IBRX ALPHA</v>
          </cell>
          <cell r="E5808" t="str">
            <v>BRAM - BRADESCO ASSET MANAGEMENT S/A DTVM</v>
          </cell>
        </row>
        <row r="5809">
          <cell r="B5809">
            <v>124204</v>
          </cell>
          <cell r="C5809" t="str">
            <v>BRAM H FIA IBOVESPA GESTAO</v>
          </cell>
          <cell r="D5809" t="str">
            <v>BRAM H FIA IBOVESPA GESTAO</v>
          </cell>
          <cell r="E5809" t="str">
            <v>BRAM - BRADESCO ASSET MANAGEMENT S/A DTVM</v>
          </cell>
        </row>
        <row r="5810">
          <cell r="B5810">
            <v>124205</v>
          </cell>
          <cell r="C5810" t="str">
            <v>BRADESCO FIA SAFE IBRX - 50</v>
          </cell>
          <cell r="D5810" t="str">
            <v>BRADESCO FIA SAFE IBRX - 50</v>
          </cell>
          <cell r="E5810" t="str">
            <v>BRAM - BRADESCO ASSET MANAGEMENT S/A DTVM</v>
          </cell>
        </row>
        <row r="5811">
          <cell r="B5811">
            <v>124207</v>
          </cell>
          <cell r="C5811" t="str">
            <v>BRADESCO FI RF CARDIAL</v>
          </cell>
          <cell r="D5811" t="str">
            <v>BRADESCO FI RF CARDIAL</v>
          </cell>
          <cell r="E5811" t="str">
            <v>BRADESCO FI RF CARDIAL</v>
          </cell>
        </row>
        <row r="5812">
          <cell r="B5812">
            <v>124208</v>
          </cell>
          <cell r="C5812" t="str">
            <v>FI RF RIO DE JANEIRO LONGO PRAZO</v>
          </cell>
          <cell r="D5812" t="str">
            <v>FI RF RIO DE JANEIRO LONGO PRAZO</v>
          </cell>
          <cell r="E5812" t="str">
            <v>FI RF RIO DE JANEIRO LONGO PRAZO</v>
          </cell>
        </row>
        <row r="5813">
          <cell r="B5813">
            <v>124209</v>
          </cell>
          <cell r="C5813" t="str">
            <v>BRADESCO FIM CP IE PANDA</v>
          </cell>
          <cell r="D5813" t="str">
            <v>BRADESCO FIM CP IE PANDA</v>
          </cell>
          <cell r="E5813" t="str">
            <v>BRADESCO FIM CP IE PANDA</v>
          </cell>
        </row>
        <row r="5814">
          <cell r="B5814">
            <v>12421</v>
          </cell>
          <cell r="C5814" t="str">
            <v>SKOPOS INVESTIMENTOS LTDA</v>
          </cell>
          <cell r="D5814" t="str">
            <v>SKOPOS INVESTIMENTOS LTDA</v>
          </cell>
          <cell r="E5814" t="str">
            <v>SKOPOS INVESTIMENTOS LTDA</v>
          </cell>
        </row>
        <row r="5815">
          <cell r="B5815">
            <v>124210</v>
          </cell>
          <cell r="C5815" t="str">
            <v>BRADESCO FIM FEB II CD</v>
          </cell>
          <cell r="D5815" t="str">
            <v>BRADESCO FIM FEB II CD</v>
          </cell>
          <cell r="E5815" t="str">
            <v>BRAM - BRADESCO ASSET MANAGEMENT S/A DTVM</v>
          </cell>
        </row>
        <row r="5816">
          <cell r="B5816">
            <v>124211</v>
          </cell>
          <cell r="C5816" t="str">
            <v>BRADESCO FIM CP IE SUNSHINE</v>
          </cell>
          <cell r="D5816" t="str">
            <v>BRADESCO FIM CP IE SUNSHINE</v>
          </cell>
          <cell r="E5816" t="str">
            <v>BRAM - BRADESCO ASSET MANAGEMENT S/A DTVM</v>
          </cell>
        </row>
        <row r="5817">
          <cell r="B5817">
            <v>124212</v>
          </cell>
          <cell r="C5817" t="str">
            <v>ANDERSON LEAL DA SILVA</v>
          </cell>
          <cell r="D5817" t="str">
            <v>ANDERSON LEAL DA SILVA</v>
          </cell>
          <cell r="E5817" t="str">
            <v>ANDERSON LEAL DA SILVA</v>
          </cell>
        </row>
        <row r="5818">
          <cell r="B5818">
            <v>124213</v>
          </cell>
          <cell r="C5818" t="str">
            <v>INDIE CAPITAL PLATINUM FIA</v>
          </cell>
          <cell r="D5818" t="str">
            <v>INDIE CAPITAL PLATINUM FIA</v>
          </cell>
          <cell r="E5818" t="str">
            <v>INDIE CAPITAL INVESTIMENTOS LTDA</v>
          </cell>
        </row>
        <row r="5819">
          <cell r="B5819">
            <v>124214</v>
          </cell>
          <cell r="C5819" t="str">
            <v>CARLOS AUGUSTO FERNANDES COELHO</v>
          </cell>
          <cell r="D5819" t="str">
            <v>CARLOS AUGUSTO FERNANDES COELHO</v>
          </cell>
          <cell r="E5819" t="str">
            <v>CARLOS AUGUSTO FERNANDES COELHO</v>
          </cell>
        </row>
        <row r="5820">
          <cell r="B5820">
            <v>124215</v>
          </cell>
          <cell r="C5820" t="str">
            <v>MATHEUS ROCHA SERANTES TEIXEIRA</v>
          </cell>
          <cell r="D5820" t="str">
            <v>MATHEUS ROCHA SERANTES TEIXEIRA</v>
          </cell>
          <cell r="E5820" t="str">
            <v>MATHEUS ROCHA SERANTES TEIXEIRA</v>
          </cell>
        </row>
        <row r="5821">
          <cell r="B5821">
            <v>124216</v>
          </cell>
          <cell r="C5821" t="str">
            <v>BRADESCO H FIC DE FIA ACUMULACAO</v>
          </cell>
          <cell r="D5821" t="str">
            <v>BRADESCO H FIC DE FIA ACUMULACAO</v>
          </cell>
          <cell r="E5821" t="str">
            <v>BRAM - BRADESCO ASSET MANAGEMENT S/A DTVM</v>
          </cell>
        </row>
        <row r="5822">
          <cell r="B5822">
            <v>124219</v>
          </cell>
          <cell r="C5822" t="str">
            <v>TMJ IMA-B FI RF</v>
          </cell>
          <cell r="D5822" t="str">
            <v>TMJ IMA-B FI RF</v>
          </cell>
          <cell r="E5822" t="str">
            <v>ELLEVEN GESTORA DE RECURSOS LTDA</v>
          </cell>
        </row>
        <row r="5823">
          <cell r="B5823">
            <v>124220</v>
          </cell>
          <cell r="C5823" t="str">
            <v>TMJ CAPITAL JURO REAL FI RF</v>
          </cell>
          <cell r="D5823" t="str">
            <v>TMJ CAPITAL JURO REAL FI RF</v>
          </cell>
          <cell r="E5823" t="str">
            <v>TMJ CAPITAL JURO REAL FI RF</v>
          </cell>
        </row>
        <row r="5824">
          <cell r="B5824">
            <v>124221</v>
          </cell>
          <cell r="C5824" t="str">
            <v>BRADESCO FIM CP TIFFANY</v>
          </cell>
          <cell r="D5824" t="str">
            <v>BRADESCO FIM CP TIFFANY</v>
          </cell>
          <cell r="E5824" t="str">
            <v>BRADESCO FIM CP TIFFANY</v>
          </cell>
        </row>
        <row r="5825">
          <cell r="B5825">
            <v>124223</v>
          </cell>
          <cell r="C5825" t="str">
            <v>FI RF DOURADO</v>
          </cell>
          <cell r="D5825" t="str">
            <v>FI RF DOURADO</v>
          </cell>
          <cell r="E5825" t="str">
            <v>BRAM - BRADESCO ASSET MANAGEMENT S/A DTVM</v>
          </cell>
        </row>
        <row r="5826">
          <cell r="B5826">
            <v>124224</v>
          </cell>
          <cell r="C5826" t="str">
            <v>BRADESCO FMP FGTS PRIVATE III PETROBRAS</v>
          </cell>
          <cell r="D5826" t="str">
            <v>BRADESCO FMP FGTS PRIVATE III PETROBRAS</v>
          </cell>
          <cell r="E5826" t="str">
            <v>BRAM - BRADESCO ASSET MANAGEMENT S/A DTVM</v>
          </cell>
        </row>
        <row r="5827">
          <cell r="B5827">
            <v>124225</v>
          </cell>
          <cell r="C5827" t="str">
            <v>BRADESCO PRIVATE FI RF</v>
          </cell>
          <cell r="D5827" t="str">
            <v>BRADESCO PRIVATE FI RF</v>
          </cell>
          <cell r="E5827" t="str">
            <v>BRADESCO PRIVATE FI RF</v>
          </cell>
        </row>
        <row r="5828">
          <cell r="B5828">
            <v>124226</v>
          </cell>
          <cell r="C5828" t="str">
            <v>BRADESCO FIM CP WWWY</v>
          </cell>
          <cell r="D5828" t="str">
            <v>BRADESCO FIM CP WWWY</v>
          </cell>
          <cell r="E5828" t="str">
            <v>BRADESCO FIM CP WWWY</v>
          </cell>
        </row>
        <row r="5829">
          <cell r="B5829">
            <v>124227</v>
          </cell>
          <cell r="C5829" t="str">
            <v>BRADESCO GLOBAL FIA IE</v>
          </cell>
          <cell r="D5829" t="str">
            <v>BRADESCO GLOBAL FIA IE</v>
          </cell>
          <cell r="E5829" t="str">
            <v>BRAM - BRADESCO ASSET MANAGEMENT S/A DTVM</v>
          </cell>
        </row>
        <row r="5830">
          <cell r="B5830">
            <v>124228</v>
          </cell>
          <cell r="C5830" t="str">
            <v>BRADESCO FIM CP IE MATA AZUL</v>
          </cell>
          <cell r="D5830" t="str">
            <v>BRADESCO FIM CP IE MATA AZUL</v>
          </cell>
          <cell r="E5830" t="str">
            <v>BRAM - BRADESCO ASSET MANAGEMENT S/A DTVM</v>
          </cell>
        </row>
        <row r="5831">
          <cell r="B5831">
            <v>124229</v>
          </cell>
          <cell r="C5831" t="str">
            <v>BRADESCO H FIM BOLSA AMERICANA</v>
          </cell>
          <cell r="D5831" t="str">
            <v>BRADESCO H FIM BOLSA AMERICANA</v>
          </cell>
          <cell r="E5831" t="str">
            <v>BRAM - BRADESCO ASSET MANAGEMENT S/A DTVM</v>
          </cell>
        </row>
        <row r="5832">
          <cell r="B5832">
            <v>12423</v>
          </cell>
          <cell r="C5832" t="str">
            <v>FACT INVESTMENTS GESTAO DE RECURSOS LTDA</v>
          </cell>
          <cell r="D5832" t="str">
            <v>FACT INVESTMENTS GESTAO DE RECURSOS LTDA</v>
          </cell>
          <cell r="E5832" t="str">
            <v>FACT INVESTMENTS GESTAO DE RECURSOS LTDA</v>
          </cell>
        </row>
        <row r="5833">
          <cell r="B5833">
            <v>124230</v>
          </cell>
          <cell r="C5833" t="str">
            <v>FIM MARAU</v>
          </cell>
          <cell r="D5833" t="str">
            <v>FIM MARAU</v>
          </cell>
          <cell r="E5833" t="str">
            <v>BRAM - BRADESCO ASSET MANAGEMENT S/A DTVM</v>
          </cell>
        </row>
        <row r="5834">
          <cell r="B5834">
            <v>124231</v>
          </cell>
          <cell r="C5834" t="str">
            <v>BRADESCO FIC DE FIA ATIVO GBS</v>
          </cell>
          <cell r="D5834" t="str">
            <v>BRADESCO FIC DE FIA ATIVO GBS</v>
          </cell>
          <cell r="E5834" t="str">
            <v>BRAM - BRADESCO ASSET MANAGEMENT S/A DTVM</v>
          </cell>
        </row>
        <row r="5835">
          <cell r="B5835">
            <v>124232</v>
          </cell>
          <cell r="C5835" t="str">
            <v>BRADESCO FMP FGTS CARTEIRA LIVRE</v>
          </cell>
          <cell r="D5835" t="str">
            <v>BRADESCO FMP FGTS CARTEIRA LIVRE</v>
          </cell>
          <cell r="E5835" t="str">
            <v>BRAM - BRADESCO ASSET MANAGEMENT S/A DTVM</v>
          </cell>
        </row>
        <row r="5836">
          <cell r="B5836">
            <v>124234</v>
          </cell>
          <cell r="C5836" t="str">
            <v>FN FIM CP IE</v>
          </cell>
          <cell r="D5836" t="str">
            <v>FN FIM CP IE</v>
          </cell>
          <cell r="E5836" t="str">
            <v>FN FIM CP IE</v>
          </cell>
        </row>
        <row r="5837">
          <cell r="B5837">
            <v>124235</v>
          </cell>
          <cell r="C5837" t="str">
            <v>FORUS FIC FIM CP</v>
          </cell>
          <cell r="D5837" t="str">
            <v>FORUS FIC FIM CP</v>
          </cell>
          <cell r="E5837" t="str">
            <v>FORUS FIC FIM CP</v>
          </cell>
        </row>
        <row r="5838">
          <cell r="B5838">
            <v>124236</v>
          </cell>
          <cell r="C5838" t="str">
            <v>LAJOTA FIM CP IE</v>
          </cell>
          <cell r="D5838" t="str">
            <v>LAJOTA FIM CP IE</v>
          </cell>
          <cell r="E5838" t="str">
            <v>WRIGHT CAPITAL GESTAO DE RECURSOS LTDA</v>
          </cell>
        </row>
        <row r="5839">
          <cell r="B5839">
            <v>124237</v>
          </cell>
          <cell r="C5839" t="str">
            <v>LUMASIQ FIM CP IE</v>
          </cell>
          <cell r="D5839" t="str">
            <v>LUMASIQ FIM CP IE</v>
          </cell>
          <cell r="E5839" t="str">
            <v>LUMASIQ FIM CP IE</v>
          </cell>
        </row>
        <row r="5840">
          <cell r="B5840">
            <v>124238</v>
          </cell>
          <cell r="C5840" t="str">
            <v>SOLO FIM CP IE</v>
          </cell>
          <cell r="D5840" t="str">
            <v>SOLO FIM CP IE</v>
          </cell>
          <cell r="E5840" t="str">
            <v>SOLO FIM CP IE</v>
          </cell>
        </row>
        <row r="5841">
          <cell r="B5841">
            <v>124239</v>
          </cell>
          <cell r="C5841" t="str">
            <v>SUMATRA FIM CP IE</v>
          </cell>
          <cell r="D5841" t="str">
            <v>SUMATRA FIM CP IE</v>
          </cell>
          <cell r="E5841" t="str">
            <v>SUMATRA FIM CP IE</v>
          </cell>
        </row>
        <row r="5842">
          <cell r="B5842">
            <v>12424</v>
          </cell>
          <cell r="C5842" t="str">
            <v>TELOS FUNDACAO EMBRATEL DE SEGURIDADE SOCIAL</v>
          </cell>
          <cell r="D5842" t="str">
            <v>TELOS FUNDACAO EMBRATEL DE SEGURIDADE SOCIAL</v>
          </cell>
          <cell r="E5842" t="str">
            <v>TELOS FUNDACAO EMBRATEL DE SEGURIDADE SOCIAL</v>
          </cell>
        </row>
        <row r="5843">
          <cell r="B5843">
            <v>124240</v>
          </cell>
          <cell r="C5843" t="str">
            <v>SQUADRA MASTER LONG-BIASED FIA</v>
          </cell>
          <cell r="D5843" t="str">
            <v>SQUADRA MASTER LONG-BIASED FIA</v>
          </cell>
          <cell r="E5843" t="str">
            <v>SQUADRA MASTER LONG-BIASED FIA</v>
          </cell>
        </row>
        <row r="5844">
          <cell r="B5844">
            <v>124241</v>
          </cell>
          <cell r="C5844" t="str">
            <v>SQUADRA MASTER LONG-ONLY FIA</v>
          </cell>
          <cell r="D5844" t="str">
            <v>SQUADRA MASTER LONG-ONLY FIA</v>
          </cell>
          <cell r="E5844" t="str">
            <v>SQUADRA MASTER LONG-ONLY FIA</v>
          </cell>
        </row>
        <row r="5845">
          <cell r="B5845">
            <v>124242</v>
          </cell>
          <cell r="C5845" t="str">
            <v>ITAU FLEXPREV LONG AND SHORT MULT FI</v>
          </cell>
          <cell r="D5845" t="str">
            <v>ITAU FLEXPREV LONG AND SHORT MULT FI</v>
          </cell>
          <cell r="E5845" t="str">
            <v>ITAU UNIBANCO ASSET - TACO</v>
          </cell>
        </row>
        <row r="5846">
          <cell r="B5846">
            <v>124244</v>
          </cell>
          <cell r="C5846" t="str">
            <v>FF FIM CP IE</v>
          </cell>
          <cell r="D5846" t="str">
            <v>FF FIM CP IE</v>
          </cell>
          <cell r="E5846" t="str">
            <v>FF FIM CP IE</v>
          </cell>
        </row>
        <row r="5847">
          <cell r="B5847">
            <v>124245</v>
          </cell>
          <cell r="C5847" t="str">
            <v>BRADESCO FIM SUPRE II</v>
          </cell>
          <cell r="D5847" t="str">
            <v>BRADESCO FIM SUPRE II</v>
          </cell>
          <cell r="E5847" t="str">
            <v>BRADESCO FIM SUPRE II</v>
          </cell>
        </row>
        <row r="5848">
          <cell r="B5848">
            <v>124246</v>
          </cell>
          <cell r="C5848" t="str">
            <v>BRADESCO FIA MASTER VALOR</v>
          </cell>
          <cell r="D5848" t="str">
            <v>BRADESCO FIA MASTER VALOR</v>
          </cell>
          <cell r="E5848" t="str">
            <v>BRADESCO FIA MASTER VALOR</v>
          </cell>
        </row>
        <row r="5849">
          <cell r="B5849">
            <v>124248</v>
          </cell>
          <cell r="C5849" t="str">
            <v>BRADESCO FIA MASTER INFRAESTRUTURA</v>
          </cell>
          <cell r="D5849" t="str">
            <v>BRADESCO FIA MASTER INFRAESTRUTURA</v>
          </cell>
          <cell r="E5849" t="str">
            <v>BRADESCO FIA MASTER INFRAESTRUTURA</v>
          </cell>
        </row>
        <row r="5850">
          <cell r="B5850">
            <v>225</v>
          </cell>
          <cell r="C5850" t="str">
            <v>BANCO SANTANDER (BRASIL) S/A</v>
          </cell>
          <cell r="D5850" t="str">
            <v>BANCO SANTANDER (BRASIL) S/A</v>
          </cell>
          <cell r="E5850" t="str">
            <v>BANCO SANTANDER (BRASIL) S/A</v>
          </cell>
        </row>
        <row r="5851">
          <cell r="B5851">
            <v>124250</v>
          </cell>
          <cell r="C5851" t="str">
            <v>BRADESCO FIM FPP ALM</v>
          </cell>
          <cell r="D5851" t="str">
            <v>BRADESCO FIM FPP ALM</v>
          </cell>
          <cell r="E5851" t="str">
            <v>BRADESCO FIM FPP ALM</v>
          </cell>
        </row>
        <row r="5852">
          <cell r="B5852">
            <v>124253</v>
          </cell>
          <cell r="C5852" t="str">
            <v>BRADESCO FI RF PRATIGI</v>
          </cell>
          <cell r="D5852" t="str">
            <v>BRADESCO FI RF PRATIGI</v>
          </cell>
          <cell r="E5852" t="str">
            <v>BRADESCO FI RF PRATIGI</v>
          </cell>
        </row>
        <row r="5853">
          <cell r="B5853">
            <v>124254</v>
          </cell>
          <cell r="C5853" t="str">
            <v>BRADESCO FIM FUNSEJEM MULTIESTRATEGIA</v>
          </cell>
          <cell r="D5853" t="str">
            <v>BRADESCO FIM FUNSEJEM MULTIESTRATEGIA</v>
          </cell>
          <cell r="E5853" t="str">
            <v>BRADESCO FIM FUNSEJEM MULTIESTRATEGIA</v>
          </cell>
        </row>
        <row r="5854">
          <cell r="B5854">
            <v>124255</v>
          </cell>
          <cell r="C5854" t="str">
            <v>BRADESCO FIA PROMON</v>
          </cell>
          <cell r="D5854" t="str">
            <v>BRADESCO FIA PROMON</v>
          </cell>
          <cell r="E5854" t="str">
            <v>BRAM - BRADESCO ASSET MANAGEMENT S/A DTVM</v>
          </cell>
        </row>
        <row r="5855">
          <cell r="B5855">
            <v>124256</v>
          </cell>
          <cell r="C5855" t="str">
            <v>BRADESCO FIM FUNSEJEM CONSERVADOR</v>
          </cell>
          <cell r="D5855" t="str">
            <v>BRADESCO FIM FUNSEJEM CONSERVADOR</v>
          </cell>
          <cell r="E5855" t="str">
            <v>BRADESCO FIM FUNSEJEM CONSERVADOR</v>
          </cell>
        </row>
        <row r="5856">
          <cell r="B5856">
            <v>124259</v>
          </cell>
          <cell r="C5856" t="str">
            <v>BRADESCO FIM PLANOS CD</v>
          </cell>
          <cell r="D5856" t="str">
            <v>BRADESCO FIM PLANOS CD</v>
          </cell>
          <cell r="E5856" t="str">
            <v>BRAM - BRADESCO ASSET MANAGEMENT S/A DTVM</v>
          </cell>
        </row>
        <row r="5857">
          <cell r="B5857">
            <v>124260</v>
          </cell>
          <cell r="C5857" t="str">
            <v>BRADESCO FI RF REFERENCIADO DP CP GIPPEL</v>
          </cell>
          <cell r="D5857" t="str">
            <v>BRADESCO FI RF REFERENCIADO DP CP GIPPEL</v>
          </cell>
          <cell r="E5857" t="str">
            <v>BRADESCO FI RF REFERENCIADO DP CP GIPPEL</v>
          </cell>
        </row>
        <row r="5858">
          <cell r="B5858">
            <v>124261</v>
          </cell>
          <cell r="C5858" t="str">
            <v>BRADESCO FI RF CP FIRENZE</v>
          </cell>
          <cell r="D5858" t="str">
            <v>BRADESCO FI RF CP FIRENZE</v>
          </cell>
          <cell r="E5858" t="str">
            <v>BRADESCO FI RF CP FIRENZE</v>
          </cell>
        </row>
        <row r="5859">
          <cell r="B5859">
            <v>124262</v>
          </cell>
          <cell r="C5859" t="str">
            <v>BRADESCO FI RF CP VR</v>
          </cell>
          <cell r="D5859" t="str">
            <v>BRADESCO FI RF CP VR</v>
          </cell>
          <cell r="E5859" t="str">
            <v>BRADESCO FI RF CP VR</v>
          </cell>
        </row>
        <row r="5860">
          <cell r="B5860">
            <v>124263</v>
          </cell>
          <cell r="C5860" t="str">
            <v>BRADESCO FIA STOCK PICKING</v>
          </cell>
          <cell r="D5860" t="str">
            <v>BRADESCO FIA STOCK PICKING</v>
          </cell>
          <cell r="E5860" t="str">
            <v>BRAM - BRADESCO ASSET MANAGEMENT S/A DTVM</v>
          </cell>
        </row>
        <row r="5861">
          <cell r="B5861">
            <v>124264</v>
          </cell>
          <cell r="C5861" t="str">
            <v>BRADESCO FI RF MAXI PODER PUBLICO</v>
          </cell>
          <cell r="D5861" t="str">
            <v>BRADESCO FI RF MAXI PODER PUBLICO</v>
          </cell>
          <cell r="E5861" t="str">
            <v>BRADESCO FI RF MAXI PODER PUBLICO</v>
          </cell>
        </row>
        <row r="5862">
          <cell r="B5862">
            <v>124265</v>
          </cell>
          <cell r="C5862" t="str">
            <v>FI FINANCEIRO MULTIMERCADO UNIPREV IV</v>
          </cell>
          <cell r="D5862" t="str">
            <v>FI FINANCEIRO MULTIMERCADO UNIPREV IV</v>
          </cell>
          <cell r="E5862" t="str">
            <v>FI FINANCEIRO MULTIMERCADO UNIPREV IV</v>
          </cell>
        </row>
        <row r="5863">
          <cell r="B5863">
            <v>124266</v>
          </cell>
          <cell r="C5863" t="str">
            <v>BRADESCO FIA CIELO</v>
          </cell>
          <cell r="D5863" t="str">
            <v>BRADESCO FIA CIELO</v>
          </cell>
          <cell r="E5863" t="str">
            <v>BRAM - BRADESCO ASSET MANAGEMENT S/A DTVM</v>
          </cell>
        </row>
        <row r="5864">
          <cell r="B5864">
            <v>124267</v>
          </cell>
          <cell r="C5864" t="str">
            <v>BRADESCO FIM CP LONTRAS</v>
          </cell>
          <cell r="D5864" t="str">
            <v>BRADESCO FIM CP LONTRAS</v>
          </cell>
          <cell r="E5864" t="str">
            <v>BRAM - BRADESCO ASSET MANAGEMENT S/A DTVM</v>
          </cell>
        </row>
        <row r="5865">
          <cell r="B5865">
            <v>124268</v>
          </cell>
          <cell r="C5865" t="str">
            <v>BRADESCO FIM MACRO</v>
          </cell>
          <cell r="D5865" t="str">
            <v>BRADESCO FIM MACRO</v>
          </cell>
          <cell r="E5865" t="str">
            <v>BRADESCO FIM MACRO</v>
          </cell>
        </row>
        <row r="5866">
          <cell r="B5866">
            <v>124269</v>
          </cell>
          <cell r="C5866" t="str">
            <v>BRADESCO FIC DE FIM MACRO</v>
          </cell>
          <cell r="D5866" t="str">
            <v>BRADESCO FIC DE FIM MACRO</v>
          </cell>
          <cell r="E5866" t="str">
            <v>BRAM - BRADESCO ASSET MANAGEMENT S/A DTVM</v>
          </cell>
        </row>
        <row r="5867">
          <cell r="B5867">
            <v>124270</v>
          </cell>
          <cell r="C5867" t="str">
            <v>BRADESCO FIA LONG BIASED</v>
          </cell>
          <cell r="D5867" t="str">
            <v>BRADESCO FIA LONG BIASED</v>
          </cell>
          <cell r="E5867" t="str">
            <v>BRADESCO FIA LONG BIASED</v>
          </cell>
        </row>
        <row r="5868">
          <cell r="B5868">
            <v>124271</v>
          </cell>
          <cell r="C5868" t="str">
            <v>BB GESTAO DE RECURSOS DTVM LTDA</v>
          </cell>
          <cell r="D5868" t="str">
            <v>BB GESTAO DE RECURSOS DTVM LTDA</v>
          </cell>
          <cell r="E5868" t="str">
            <v>BB GESTAO DE RECURSOS DTVM LTDA</v>
          </cell>
        </row>
        <row r="5869">
          <cell r="B5869">
            <v>124273</v>
          </cell>
          <cell r="C5869" t="str">
            <v>FIM ANGRA CP</v>
          </cell>
          <cell r="D5869" t="str">
            <v>FIM ANGRA CP</v>
          </cell>
          <cell r="E5869" t="str">
            <v>FIM ANGRA CP</v>
          </cell>
        </row>
        <row r="5870">
          <cell r="B5870">
            <v>124274</v>
          </cell>
          <cell r="C5870" t="str">
            <v>FI MOCAMBIQUE MULTIMERCADO</v>
          </cell>
          <cell r="D5870" t="str">
            <v>FI MOCAMBIQUE MULTIMERCADO</v>
          </cell>
          <cell r="E5870" t="str">
            <v>FI MOCAMBIQUE MULTIMERCADO</v>
          </cell>
        </row>
        <row r="5871">
          <cell r="B5871">
            <v>124275</v>
          </cell>
          <cell r="C5871" t="str">
            <v>FIM BARRA VELHA II</v>
          </cell>
          <cell r="D5871" t="str">
            <v>FIM BARRA VELHA II</v>
          </cell>
          <cell r="E5871" t="str">
            <v>FIM BARRA VELHA II</v>
          </cell>
        </row>
        <row r="5872">
          <cell r="B5872">
            <v>124276</v>
          </cell>
          <cell r="C5872" t="str">
            <v>BRADESCO FMP FGTS PRIVATE IV PETROBRAS</v>
          </cell>
          <cell r="D5872" t="str">
            <v>BRADESCO FMP FGTS PRIVATE IV PETROBRAS</v>
          </cell>
          <cell r="E5872" t="str">
            <v>BRAM - BRADESCO ASSET MANAGEMENT S/A DTVM</v>
          </cell>
        </row>
        <row r="5873">
          <cell r="B5873">
            <v>124277</v>
          </cell>
          <cell r="C5873" t="str">
            <v>FUNDO FORCA - BRADESCO FMP FGTS VALE DO RIO DOCE</v>
          </cell>
          <cell r="D5873" t="str">
            <v>FUNDO FORCA - BRADESCO FMP FGTS VALE DO RIO DOCE</v>
          </cell>
          <cell r="E5873" t="str">
            <v>BRAM - BRADESCO ASSET MANAGEMENT S/A DTVM</v>
          </cell>
        </row>
        <row r="5874">
          <cell r="B5874">
            <v>124278</v>
          </cell>
          <cell r="C5874" t="str">
            <v>BRADESCO BA FMP FGTS VALE</v>
          </cell>
          <cell r="D5874" t="str">
            <v>BRADESCO BA FMP FGTS VALE</v>
          </cell>
          <cell r="E5874" t="str">
            <v>BRAM - BRADESCO ASSET MANAGEMENT S/A DTVM</v>
          </cell>
        </row>
        <row r="5875">
          <cell r="B5875">
            <v>124279</v>
          </cell>
          <cell r="C5875" t="str">
            <v>BRADESCO FIM CP MURALHA</v>
          </cell>
          <cell r="D5875" t="str">
            <v>BRADESCO FIM CP MURALHA</v>
          </cell>
          <cell r="E5875" t="str">
            <v>BRADESCO FIM CP MURALHA</v>
          </cell>
        </row>
        <row r="5876">
          <cell r="B5876">
            <v>12428</v>
          </cell>
          <cell r="C5876" t="str">
            <v>QUANTITAS GESTAO DE RECURSOS LTDA</v>
          </cell>
          <cell r="D5876" t="str">
            <v>QUANTITAS GESTAO DE RECURSOS LTDA</v>
          </cell>
          <cell r="E5876" t="str">
            <v>QUANTITAS GESTAO DE RECURSOS LTDA</v>
          </cell>
        </row>
        <row r="5877">
          <cell r="B5877">
            <v>124280</v>
          </cell>
          <cell r="C5877" t="str">
            <v>BRADESCO FIM CP FRT100</v>
          </cell>
          <cell r="D5877" t="str">
            <v>BRADESCO FIM CP FRT100</v>
          </cell>
          <cell r="E5877" t="str">
            <v>BRADESCO FIM CP FRT100</v>
          </cell>
        </row>
        <row r="5878">
          <cell r="B5878">
            <v>124281</v>
          </cell>
          <cell r="C5878" t="str">
            <v>BRADESCO FIM CP MERCURY</v>
          </cell>
          <cell r="D5878" t="str">
            <v>BRADESCO FIM CP MERCURY</v>
          </cell>
          <cell r="E5878" t="str">
            <v>BRADESCO FIM CP MERCURY</v>
          </cell>
        </row>
        <row r="5879">
          <cell r="B5879">
            <v>124282</v>
          </cell>
          <cell r="C5879" t="str">
            <v>BRADESCO H FIC DE FIA SUSTENTABILIDADE</v>
          </cell>
          <cell r="D5879" t="str">
            <v>BRADESCO H FIC DE FIA SUSTENTABILIDADE</v>
          </cell>
          <cell r="E5879" t="str">
            <v>BRADESCO H FIC DE FIA SUSTENTABILIDADE</v>
          </cell>
        </row>
        <row r="5880">
          <cell r="B5880">
            <v>124284</v>
          </cell>
          <cell r="C5880" t="str">
            <v>BRADESCO FIM CP IE ANDROMEDA</v>
          </cell>
          <cell r="D5880" t="str">
            <v>BRADESCO FIM CP IE ANDROMEDA</v>
          </cell>
          <cell r="E5880" t="str">
            <v>BRADESCO FIM CP IE ANDROMEDA</v>
          </cell>
        </row>
        <row r="5881">
          <cell r="B5881">
            <v>124285</v>
          </cell>
          <cell r="C5881" t="str">
            <v>BRADESCO FIM PREVCUMMINS</v>
          </cell>
          <cell r="D5881" t="str">
            <v>BRADESCO FIM PREVCUMMINS</v>
          </cell>
          <cell r="E5881" t="str">
            <v>BRAM - BRADESCO ASSET MANAGEMENT S/A DTVM</v>
          </cell>
        </row>
        <row r="5882">
          <cell r="B5882">
            <v>124287</v>
          </cell>
          <cell r="C5882" t="str">
            <v>MAUA MACRO R FIM</v>
          </cell>
          <cell r="D5882" t="str">
            <v>MAUA MACRO R FIM</v>
          </cell>
          <cell r="E5882" t="str">
            <v>MAUA INVESTIMENTOS LTDA</v>
          </cell>
        </row>
        <row r="5883">
          <cell r="B5883">
            <v>124288</v>
          </cell>
          <cell r="C5883" t="str">
            <v>MAUA IPCA HEDGE MASTER FIM</v>
          </cell>
          <cell r="D5883" t="str">
            <v>MAUA IPCA HEDGE MASTER FIM</v>
          </cell>
          <cell r="E5883" t="str">
            <v>MAUA INVESTIMENTOS LTDA</v>
          </cell>
        </row>
        <row r="5884">
          <cell r="B5884">
            <v>124289</v>
          </cell>
          <cell r="C5884" t="str">
            <v>MAUA INSTITUCIONAL MASTER FIM</v>
          </cell>
          <cell r="D5884" t="str">
            <v>MAUA INSTITUCIONAL MASTER FIM</v>
          </cell>
          <cell r="E5884" t="str">
            <v>MAUA INVESTIMENTOS LTDA</v>
          </cell>
        </row>
        <row r="5885">
          <cell r="B5885">
            <v>124291</v>
          </cell>
          <cell r="C5885" t="str">
            <v>BRADESCO FIM CP PALMART</v>
          </cell>
          <cell r="D5885" t="str">
            <v>BRADESCO FIM CP PALMART</v>
          </cell>
          <cell r="E5885" t="str">
            <v>BRADESCO FIM CP PALMART</v>
          </cell>
        </row>
        <row r="5886">
          <cell r="B5886">
            <v>124293</v>
          </cell>
          <cell r="C5886" t="str">
            <v>BRADESCO FIM CP ROMANEE</v>
          </cell>
          <cell r="D5886" t="str">
            <v>BRADESCO FIM CP ROMANEE</v>
          </cell>
          <cell r="E5886" t="str">
            <v>BRADESCO FIM CP ROMANEE</v>
          </cell>
        </row>
        <row r="5887">
          <cell r="B5887">
            <v>124294</v>
          </cell>
          <cell r="C5887" t="str">
            <v>FIM CP FRATELLI</v>
          </cell>
          <cell r="D5887" t="str">
            <v>FIM CP FRATELLI</v>
          </cell>
          <cell r="E5887" t="str">
            <v>BRAM - BRADESCO ASSET MANAGEMENT S/A DTVM</v>
          </cell>
        </row>
        <row r="5888">
          <cell r="B5888">
            <v>124295</v>
          </cell>
          <cell r="C5888" t="str">
            <v>BRADESCO FIA IBRX PLUS</v>
          </cell>
          <cell r="D5888" t="str">
            <v>BRADESCO FIA IBRX PLUS</v>
          </cell>
          <cell r="E5888" t="str">
            <v>BRAM - BRADESCO ASSET MANAGEMENT S/A DTVM</v>
          </cell>
        </row>
        <row r="5889">
          <cell r="B5889">
            <v>124296</v>
          </cell>
          <cell r="C5889" t="str">
            <v>BRADESCO FIA INDICE QUALIDADE</v>
          </cell>
          <cell r="D5889" t="str">
            <v>BRADESCO FIA INDICE QUALIDADE</v>
          </cell>
          <cell r="E5889" t="str">
            <v>BRAM - BRADESCO ASSET MANAGEMENT S/A DTVM</v>
          </cell>
        </row>
        <row r="5890">
          <cell r="B5890">
            <v>124297</v>
          </cell>
          <cell r="C5890" t="str">
            <v>BRADESCO FIM CP BRANSCHIN 21</v>
          </cell>
          <cell r="D5890" t="str">
            <v>BRADESCO FIM CP BRANSCHIN 21</v>
          </cell>
          <cell r="E5890" t="str">
            <v>BRAM - BRADESCO ASSET MANAGEMENT S/A DTVM</v>
          </cell>
        </row>
        <row r="5891">
          <cell r="B5891">
            <v>124299</v>
          </cell>
          <cell r="C5891" t="str">
            <v>BRADESCO FIM SUPREMO</v>
          </cell>
          <cell r="D5891" t="str">
            <v>BRADESCO FIM SUPREMO</v>
          </cell>
          <cell r="E5891" t="str">
            <v>BRADESCO FIM SUPREMO</v>
          </cell>
        </row>
        <row r="5892">
          <cell r="B5892">
            <v>124301</v>
          </cell>
          <cell r="C5892" t="str">
            <v>NOVOS TEMPOS FIM CP IE</v>
          </cell>
          <cell r="D5892" t="str">
            <v>NOVOS TEMPOS FIM CP IE</v>
          </cell>
          <cell r="E5892" t="str">
            <v>NOVOS TEMPOS FIM CP IE</v>
          </cell>
        </row>
        <row r="5893">
          <cell r="B5893">
            <v>124303</v>
          </cell>
          <cell r="C5893" t="str">
            <v>BRADESCO FIA MASTER IBOVESPA</v>
          </cell>
          <cell r="D5893" t="str">
            <v>BRADESCO FIA MASTER IBOVESPA</v>
          </cell>
          <cell r="E5893" t="str">
            <v>BRAM - BRADESCO ASSET MANAGEMENT S/A DTVM</v>
          </cell>
        </row>
        <row r="5894">
          <cell r="B5894">
            <v>124304</v>
          </cell>
          <cell r="C5894" t="str">
            <v>FIA IBOVESPA 157</v>
          </cell>
          <cell r="D5894" t="str">
            <v>FIA IBOVESPA 157</v>
          </cell>
          <cell r="E5894" t="str">
            <v>BRAM - BRADESCO ASSET MANAGEMENT S/A DTVM</v>
          </cell>
        </row>
        <row r="5895">
          <cell r="B5895">
            <v>124305</v>
          </cell>
          <cell r="C5895" t="str">
            <v>BRADESCO FI RF CP HEMATITA</v>
          </cell>
          <cell r="D5895" t="str">
            <v>BRADESCO FI RF CP HEMATITA</v>
          </cell>
          <cell r="E5895" t="str">
            <v>BRADESCO FI RF CP HEMATITA</v>
          </cell>
        </row>
        <row r="5896">
          <cell r="B5896">
            <v>124306</v>
          </cell>
          <cell r="C5896" t="str">
            <v>BRAM PRIVATE FIM DINAMICO</v>
          </cell>
          <cell r="D5896" t="str">
            <v>BRAM PRIVATE FIM DINAMICO</v>
          </cell>
          <cell r="E5896" t="str">
            <v>BRAM PRIVATE FIM DINAMICO</v>
          </cell>
        </row>
        <row r="5897">
          <cell r="B5897">
            <v>124307</v>
          </cell>
          <cell r="C5897" t="str">
            <v>BRADESCO FMP - FGTS VALE - PRIVATE</v>
          </cell>
          <cell r="D5897" t="str">
            <v>BRADESCO FMP - FGTS VALE - PRIVATE</v>
          </cell>
          <cell r="E5897" t="str">
            <v>BRAM - BRADESCO ASSET MANAGEMENT S/A DTVM</v>
          </cell>
        </row>
        <row r="5898">
          <cell r="B5898">
            <v>124308</v>
          </cell>
          <cell r="C5898" t="str">
            <v>AT FIM CP IE</v>
          </cell>
          <cell r="D5898" t="str">
            <v>AT FIM CP IE</v>
          </cell>
          <cell r="E5898" t="str">
            <v>BRAM - BRADESCO ASSET MANAGEMENT S/A DTVM</v>
          </cell>
        </row>
        <row r="5899">
          <cell r="B5899">
            <v>124309</v>
          </cell>
          <cell r="C5899" t="str">
            <v>BRADESCO FIA INFRA - ESTRUTURA</v>
          </cell>
          <cell r="D5899" t="str">
            <v>BRADESCO FIA INFRA - ESTRUTURA</v>
          </cell>
          <cell r="E5899" t="str">
            <v>BRAM - BRADESCO ASSET MANAGEMENT S/A DTVM</v>
          </cell>
        </row>
        <row r="5900">
          <cell r="B5900">
            <v>124310</v>
          </cell>
          <cell r="C5900" t="str">
            <v>BRADESCO FI EM PIBBS I - AÃ‡Ã•ES</v>
          </cell>
          <cell r="D5900" t="str">
            <v>BRADESCO FI EM PIBBS I - AÃ‡Ã•ES</v>
          </cell>
          <cell r="E5900" t="str">
            <v>BRAM - BRADESCO ASSET MANAGEMENT S/A DTVM</v>
          </cell>
        </row>
        <row r="5901">
          <cell r="B5901">
            <v>124311</v>
          </cell>
          <cell r="C5901" t="str">
            <v>BRADESCO FIM CP APREV</v>
          </cell>
          <cell r="D5901" t="str">
            <v>BRADESCO FIM CP APREV</v>
          </cell>
          <cell r="E5901" t="str">
            <v>BRAM - BRADESCO ASSET MANAGEMENT S/A DTVM</v>
          </cell>
        </row>
        <row r="5902">
          <cell r="B5902">
            <v>124312</v>
          </cell>
          <cell r="C5902" t="str">
            <v>BRADESCO FI EM PIBBS II - AÃ‡Ã•ES</v>
          </cell>
          <cell r="D5902" t="str">
            <v>BRADESCO FI EM PIBBS II - AÃ‡Ã•ES</v>
          </cell>
          <cell r="E5902" t="str">
            <v>BRAM - BRADESCO ASSET MANAGEMENT S/A DTVM</v>
          </cell>
        </row>
        <row r="5903">
          <cell r="B5903">
            <v>124313</v>
          </cell>
          <cell r="C5903" t="str">
            <v>VX5 FUNDO IE MULTIMERCADO CP</v>
          </cell>
          <cell r="D5903" t="str">
            <v>VX5 FUNDO IE MULTIMERCADO CP</v>
          </cell>
          <cell r="E5903" t="str">
            <v>VX5 FUNDO IE MULTIMERCADO CP</v>
          </cell>
        </row>
        <row r="5904">
          <cell r="B5904">
            <v>124314</v>
          </cell>
          <cell r="C5904" t="str">
            <v>RANDONPREV FUNDO DE PENSAO</v>
          </cell>
          <cell r="D5904" t="str">
            <v>RANDONPREV FUNDO DE PENSAO</v>
          </cell>
          <cell r="E5904" t="str">
            <v>BRAM - BRADESCO ASSET MANAGEMENT S/A DTVM</v>
          </cell>
        </row>
        <row r="5905">
          <cell r="B5905">
            <v>124315</v>
          </cell>
          <cell r="C5905" t="str">
            <v>IAJA - INSTITUTO ADVESTISTA DE JUBILACAO E ASSISTENCIA II</v>
          </cell>
          <cell r="D5905" t="str">
            <v>IAJA - INSTITUTO ADVESTISTA DE JUBILACAO E ASSISTENCIA II</v>
          </cell>
          <cell r="E5905" t="str">
            <v>IAJA - INSTITUTO ADVESTISTA DE JUBILACAO E ASSISTENCIA II</v>
          </cell>
        </row>
        <row r="5906">
          <cell r="B5906">
            <v>82901</v>
          </cell>
          <cell r="C5906" t="str">
            <v>MORE TOTAL RETURN FI FINANCEIRO MULTIMERCADO</v>
          </cell>
          <cell r="D5906" t="str">
            <v>MORE TOTAL RETURN FI FINANCEIRO MULTIMERCADO</v>
          </cell>
          <cell r="E5906" t="str">
            <v>MORE INVEST GESTORA DE RECURSOS LTDA</v>
          </cell>
        </row>
        <row r="5907">
          <cell r="B5907">
            <v>124317</v>
          </cell>
          <cell r="C5907" t="str">
            <v>8 GLOBAL MASTER FIM CP</v>
          </cell>
          <cell r="D5907" t="str">
            <v>8 GLOBAL MASTER FIM CP</v>
          </cell>
          <cell r="E5907" t="str">
            <v>OCTANTE GESTAO DE RECURSOS LTDA</v>
          </cell>
        </row>
        <row r="5908">
          <cell r="B5908">
            <v>124318</v>
          </cell>
          <cell r="C5908" t="str">
            <v>MULTIPENSIONS BRADESCO - FUNDO MULTIPATROCINADO DE PREVI PRI</v>
          </cell>
          <cell r="D5908" t="str">
            <v>MULTIPENSIONS BRADESCO - FUNDO MULTIPATROCINADO DE PREVI PRI</v>
          </cell>
          <cell r="E5908" t="str">
            <v>BRAM - BRADESCO ASSET MANAGEMENT S/A DTVM</v>
          </cell>
        </row>
        <row r="5909">
          <cell r="B5909">
            <v>124320</v>
          </cell>
          <cell r="C5909" t="str">
            <v>P&amp;G PREV - SOCIEDADE DE PREVIDENCIA PRIVADA</v>
          </cell>
          <cell r="D5909" t="str">
            <v>P&amp;G PREV - SOCIEDADE DE PREVIDENCIA PRIVADA</v>
          </cell>
          <cell r="E5909" t="str">
            <v>BRAM - BRADESCO ASSET MANAGEMENT S/A DTVM</v>
          </cell>
        </row>
        <row r="5910">
          <cell r="B5910">
            <v>124321</v>
          </cell>
          <cell r="C5910" t="str">
            <v>BRADESCO FMP - FGTS VALE DO RIO DOCE - PRIVATE I</v>
          </cell>
          <cell r="D5910" t="str">
            <v>BRADESCO FMP - FGTS VALE DO RIO DOCE - PRIVATE I</v>
          </cell>
          <cell r="E5910" t="str">
            <v>BRAM - BRADESCO ASSET MANAGEMENT S/A DTVM</v>
          </cell>
        </row>
        <row r="5911">
          <cell r="B5911">
            <v>124322</v>
          </cell>
          <cell r="C5911" t="str">
            <v>BRADESCO FIM CP ESTRELA D ALVA</v>
          </cell>
          <cell r="D5911" t="str">
            <v>BRADESCO FIM CP ESTRELA D ALVA</v>
          </cell>
          <cell r="E5911" t="str">
            <v>BRAM - BRADESCO ASSET MANAGEMENT S/A DTVM</v>
          </cell>
        </row>
        <row r="5912">
          <cell r="B5912">
            <v>124324</v>
          </cell>
          <cell r="C5912" t="str">
            <v>BRADESCO MULTIPORTIFOLIO FMP - FGTS - CARTEIRA LIVRE</v>
          </cell>
          <cell r="D5912" t="str">
            <v>BRADESCO MULTIPORTIFOLIO FMP - FGTS - CARTEIRA LIVRE</v>
          </cell>
          <cell r="E5912" t="str">
            <v>BRAM - BRADESCO ASSET MANAGEMENT S/A DTVM</v>
          </cell>
        </row>
        <row r="5913">
          <cell r="B5913">
            <v>124325</v>
          </cell>
          <cell r="C5913" t="str">
            <v>BRADESCO FI RF CAROF LENCOIS</v>
          </cell>
          <cell r="D5913" t="str">
            <v>BRADESCO FI RF CAROF LENCOIS</v>
          </cell>
          <cell r="E5913" t="str">
            <v>BRAM - BRADESCO ASSET MANAGEMENT S/A DTVM</v>
          </cell>
        </row>
        <row r="5914">
          <cell r="B5914">
            <v>124326</v>
          </cell>
          <cell r="C5914" t="str">
            <v>BRADESCO FIM CP IE YIELD EXPLORER</v>
          </cell>
          <cell r="D5914" t="str">
            <v>BRADESCO FIM CP IE YIELD EXPLORER</v>
          </cell>
          <cell r="E5914" t="str">
            <v>BRADESCO FIM CP IE YIELD EXPLORER</v>
          </cell>
        </row>
        <row r="5915">
          <cell r="B5915">
            <v>124327</v>
          </cell>
          <cell r="C5915" t="str">
            <v>BRADESCO FI RF CP GUAIBA</v>
          </cell>
          <cell r="D5915" t="str">
            <v>BRADESCO FI RF CP GUAIBA</v>
          </cell>
          <cell r="E5915" t="str">
            <v>BRADESCO FI RF CP GUAIBA</v>
          </cell>
        </row>
        <row r="5916">
          <cell r="B5916">
            <v>124328</v>
          </cell>
          <cell r="C5916" t="str">
            <v>BRADESCO FI RF CP VIRADA</v>
          </cell>
          <cell r="D5916" t="str">
            <v>BRADESCO FI RF CP VIRADA</v>
          </cell>
          <cell r="E5916" t="str">
            <v>BRADESCO FI RF CP VIRADA</v>
          </cell>
        </row>
        <row r="5917">
          <cell r="B5917">
            <v>124330</v>
          </cell>
          <cell r="C5917" t="str">
            <v>BRADESCO FIM COMMODITIES</v>
          </cell>
          <cell r="D5917" t="str">
            <v>BRADESCO FIM COMMODITIES</v>
          </cell>
          <cell r="E5917" t="str">
            <v>BRADESCO FIM COMMODITIES</v>
          </cell>
        </row>
        <row r="5918">
          <cell r="B5918">
            <v>124331</v>
          </cell>
          <cell r="C5918" t="str">
            <v>FIM CMD</v>
          </cell>
          <cell r="D5918" t="str">
            <v>FIM CMD</v>
          </cell>
          <cell r="E5918" t="str">
            <v>FIM CMD</v>
          </cell>
        </row>
        <row r="5919">
          <cell r="B5919">
            <v>124332</v>
          </cell>
          <cell r="C5919" t="str">
            <v>FIM CMD</v>
          </cell>
          <cell r="D5919" t="str">
            <v>FIM CMD</v>
          </cell>
          <cell r="E5919" t="str">
            <v>BRAM - BRADESCO ASSET MANAGEMENT S/A DTVM</v>
          </cell>
        </row>
        <row r="5920">
          <cell r="B5920">
            <v>124333</v>
          </cell>
          <cell r="C5920" t="str">
            <v>BRADESCO FIM CP GALILEO</v>
          </cell>
          <cell r="D5920" t="str">
            <v>BRADESCO FIM CP GALILEO</v>
          </cell>
          <cell r="E5920" t="str">
            <v>BRADESCO FIM CP GALILEO</v>
          </cell>
        </row>
        <row r="5921">
          <cell r="B5921">
            <v>124334</v>
          </cell>
          <cell r="C5921" t="str">
            <v>BRADESCO FIM CP DINI</v>
          </cell>
          <cell r="D5921" t="str">
            <v>BRADESCO FIM CP DINI</v>
          </cell>
          <cell r="E5921" t="str">
            <v>BRADESCO FIM CP DINI</v>
          </cell>
        </row>
        <row r="5922">
          <cell r="B5922">
            <v>124335</v>
          </cell>
          <cell r="C5922" t="str">
            <v>PORTUS INSTITUTO DE SEGURIDADE SOCIAL</v>
          </cell>
          <cell r="D5922" t="str">
            <v>PORTUS INSTITUTO DE SEGURIDADE SOCIAL</v>
          </cell>
          <cell r="E5922" t="str">
            <v>PORTUS INSTITUTO DE SEGURIDADE SOCIAL</v>
          </cell>
        </row>
        <row r="5923">
          <cell r="B5923">
            <v>124336</v>
          </cell>
          <cell r="C5923" t="str">
            <v>ARTESANAL MASTER FIM</v>
          </cell>
          <cell r="D5923" t="str">
            <v>ARTESANAL MASTER FIM</v>
          </cell>
          <cell r="E5923" t="str">
            <v>ARTESANAL INVESTIMENTOS LTDA</v>
          </cell>
        </row>
        <row r="5924">
          <cell r="B5924">
            <v>124337</v>
          </cell>
          <cell r="C5924" t="str">
            <v>VERTRA PSE FIA</v>
          </cell>
          <cell r="D5924" t="str">
            <v>VERTRA PSE FIA</v>
          </cell>
          <cell r="E5924" t="str">
            <v>FRONTIER CAPITAL GESTAO DE RECURSOS LTDA</v>
          </cell>
        </row>
        <row r="5925">
          <cell r="B5925">
            <v>124338</v>
          </cell>
          <cell r="C5925" t="str">
            <v>BTG PACTUAL ARF INVESTMENTS LP</v>
          </cell>
          <cell r="D5925" t="str">
            <v>BTG PACTUAL ARF INVESTMENTS LP</v>
          </cell>
          <cell r="E5925" t="str">
            <v>BTG PACTUAL ASSET MANAGEMENT SA DTVM</v>
          </cell>
        </row>
        <row r="5926">
          <cell r="B5926">
            <v>124340</v>
          </cell>
          <cell r="C5926" t="str">
            <v>BB GESTAO DE RECURSOS DTVM LTDA</v>
          </cell>
          <cell r="D5926" t="str">
            <v>BB GESTAO DE RECURSOS DTVM LTDA</v>
          </cell>
          <cell r="E5926" t="str">
            <v>BB GESTAO DE RECURSOS DTVM LTDA</v>
          </cell>
        </row>
        <row r="5927">
          <cell r="B5927">
            <v>124341</v>
          </cell>
          <cell r="C5927" t="str">
            <v>AZ QUEST MULTI MAX MASTER FIM</v>
          </cell>
          <cell r="D5927" t="str">
            <v>AZ QUEST MULTI MAX MASTER FIM</v>
          </cell>
          <cell r="E5927" t="str">
            <v>AZ QUEST INVESTIMENTOS LTDA</v>
          </cell>
        </row>
        <row r="5928">
          <cell r="B5928">
            <v>124342</v>
          </cell>
          <cell r="C5928" t="str">
            <v>BB GESTAO DE RECURSOS DTVM LTDA</v>
          </cell>
          <cell r="D5928" t="str">
            <v>BB GESTAO DE RECURSOS DTVM LTDA</v>
          </cell>
          <cell r="E5928" t="str">
            <v>BB GESTAO DE RECURSOS DTVM LTDA</v>
          </cell>
        </row>
        <row r="5929">
          <cell r="B5929">
            <v>124343</v>
          </cell>
          <cell r="C5929" t="str">
            <v>KONDOR PREVIDENCIA FIFE FIM CP</v>
          </cell>
          <cell r="D5929" t="str">
            <v>KONDOR PREVIDENCIA FIFE FIM CP</v>
          </cell>
          <cell r="E5929" t="str">
            <v>KONDOR ADMINISTRADORA E GESTORA DE RECURSOS FINANCEIROS LTDA</v>
          </cell>
        </row>
        <row r="5930">
          <cell r="B5930">
            <v>124344</v>
          </cell>
          <cell r="C5930" t="str">
            <v>ERMINIO OLIVI LUCCI</v>
          </cell>
          <cell r="D5930" t="str">
            <v>ERMINIO OLIVI LUCCI</v>
          </cell>
          <cell r="E5930" t="str">
            <v>ERMINIO OLIVI LUCCI</v>
          </cell>
        </row>
        <row r="5931">
          <cell r="B5931">
            <v>124345</v>
          </cell>
          <cell r="C5931" t="str">
            <v>BB ADELINO MULTIMERCADO CP LP</v>
          </cell>
          <cell r="D5931" t="str">
            <v>BB ADELINO MULTIMERCADO CP LP</v>
          </cell>
          <cell r="E5931" t="str">
            <v>BB GESTAO DE RECURSOS DTVM LTDA</v>
          </cell>
        </row>
        <row r="5932">
          <cell r="B5932">
            <v>124346</v>
          </cell>
          <cell r="C5932" t="str">
            <v>SANTANDER CACEIS BRASIL DTVM S.A.</v>
          </cell>
          <cell r="D5932" t="str">
            <v>SANTANDER CACEIS BRASIL DTVM S.A.</v>
          </cell>
          <cell r="E5932" t="str">
            <v>SANTANDER BRASIL GESTAO DE RECURSOS LTDA</v>
          </cell>
        </row>
        <row r="5933">
          <cell r="B5933">
            <v>124347</v>
          </cell>
          <cell r="C5933" t="str">
            <v>BB GESTAO DE RECURSOS DTVM LTDA</v>
          </cell>
          <cell r="D5933" t="str">
            <v>BB GESTAO DE RECURSOS DTVM LTDA</v>
          </cell>
          <cell r="E5933" t="str">
            <v>BB GESTAO DE RECURSOS DTVM LTDA</v>
          </cell>
        </row>
        <row r="5934">
          <cell r="B5934">
            <v>124348</v>
          </cell>
          <cell r="C5934" t="str">
            <v>RIO BRAVO JUROS MASTER FI RF</v>
          </cell>
          <cell r="D5934" t="str">
            <v>RIO BRAVO JUROS MASTER FI RF</v>
          </cell>
          <cell r="E5934" t="str">
            <v>RIO BRAVO INVESTIMENTOS LTDA</v>
          </cell>
        </row>
        <row r="5935">
          <cell r="B5935">
            <v>124349</v>
          </cell>
          <cell r="C5935" t="str">
            <v>RIO BRAVO APOLLO MASTER FIM</v>
          </cell>
          <cell r="D5935" t="str">
            <v>RIO BRAVO APOLLO MASTER FIM</v>
          </cell>
          <cell r="E5935" t="str">
            <v>RIO BRAVO INVESTIMENTOS LTDA</v>
          </cell>
        </row>
        <row r="5936">
          <cell r="B5936">
            <v>12435</v>
          </cell>
          <cell r="C5936" t="str">
            <v>BB GESTAO DE RECURSOS DTVM LTDA</v>
          </cell>
          <cell r="D5936" t="str">
            <v>BB GESTAO DE RECURSOS DTVM LTDA</v>
          </cell>
          <cell r="E5936" t="str">
            <v>BB BANCO DE INVESTIMENTO S/A</v>
          </cell>
        </row>
        <row r="5937">
          <cell r="B5937">
            <v>124350</v>
          </cell>
          <cell r="C5937" t="str">
            <v>ARTESANAL MASTER FIM</v>
          </cell>
          <cell r="D5937" t="str">
            <v>ARTESANAL MASTER FIM</v>
          </cell>
          <cell r="E5937" t="str">
            <v>ARTESANAL MASTER FIM</v>
          </cell>
        </row>
        <row r="5938">
          <cell r="B5938">
            <v>124351</v>
          </cell>
          <cell r="C5938" t="str">
            <v>CSHG GAUSS PLUS MASTER FIM CP IE</v>
          </cell>
          <cell r="D5938" t="str">
            <v>CSHG GAUSS PLUS MASTER FIM CP IE</v>
          </cell>
          <cell r="E5938" t="str">
            <v>ASA ASSET GESTAO EM INVESTIMENTOS LTDA</v>
          </cell>
        </row>
        <row r="5939">
          <cell r="B5939">
            <v>124352</v>
          </cell>
          <cell r="C5939" t="str">
            <v>SANTANDER CACEIS BRASIL DTVM S.A.</v>
          </cell>
          <cell r="D5939" t="str">
            <v>SANTANDER CACEIS BRASIL DTVM S.A.</v>
          </cell>
          <cell r="E5939" t="str">
            <v>SANTANDER BRASIL GESTAO DE RECURSOS LTDA</v>
          </cell>
        </row>
        <row r="5940">
          <cell r="B5940">
            <v>124353</v>
          </cell>
          <cell r="C5940" t="str">
            <v>FIA SABESPREV BAHIA AM VALUATION</v>
          </cell>
          <cell r="D5940" t="str">
            <v>FIA SABESPREV BAHIA AM VALUATION</v>
          </cell>
          <cell r="E5940" t="str">
            <v>FIA SABESPREV BAHIA AM VALUATION</v>
          </cell>
        </row>
        <row r="5941">
          <cell r="B5941">
            <v>124354</v>
          </cell>
          <cell r="C5941" t="str">
            <v>BBM BRAZIL EQUITY FUND LLC</v>
          </cell>
          <cell r="D5941" t="str">
            <v>BBM BRAZIL EQUITY FUND LLC</v>
          </cell>
          <cell r="E5941" t="str">
            <v>BAHIA AM LTDA</v>
          </cell>
        </row>
        <row r="5942">
          <cell r="B5942">
            <v>124355</v>
          </cell>
          <cell r="C5942" t="str">
            <v>ARX ALLOCATION FIC DE FIM</v>
          </cell>
          <cell r="D5942" t="str">
            <v>ARX ALLOCATION FIC DE FIM</v>
          </cell>
          <cell r="E5942" t="str">
            <v>ARX INVESTIMENTOS LTDA</v>
          </cell>
        </row>
        <row r="5943">
          <cell r="B5943">
            <v>124356</v>
          </cell>
          <cell r="C5943" t="str">
            <v>ARX MACRO FUNDO DE INVESTIMENTO MULTIMERCADO</v>
          </cell>
          <cell r="D5943" t="str">
            <v>ARX MACRO FUNDO DE INVESTIMENTO MULTIMERCADO</v>
          </cell>
          <cell r="E5943" t="str">
            <v>ARX INVESTIMENTOS LTDA</v>
          </cell>
        </row>
        <row r="5944">
          <cell r="B5944">
            <v>124357</v>
          </cell>
          <cell r="C5944" t="str">
            <v>FL PREMIUM INSTITUCIONAL FI RF LP</v>
          </cell>
          <cell r="D5944" t="str">
            <v>FL PREMIUM INSTITUCIONAL FI RF LP</v>
          </cell>
          <cell r="E5944" t="str">
            <v>FINGER LAKER GESTORA DE RECURSOS LTDA</v>
          </cell>
        </row>
        <row r="5945">
          <cell r="B5945">
            <v>124358</v>
          </cell>
          <cell r="C5945" t="str">
            <v>FL DOURADO INSTITUCIONAL FIM</v>
          </cell>
          <cell r="D5945" t="str">
            <v>FL DOURADO INSTITUCIONAL FIM</v>
          </cell>
          <cell r="E5945" t="str">
            <v>FL DOURADO INSTITUCIONAL FIM</v>
          </cell>
        </row>
        <row r="5946">
          <cell r="B5946">
            <v>124360</v>
          </cell>
          <cell r="C5946" t="str">
            <v>SANTANDER CACEIS BRASIL DTVM S.A.</v>
          </cell>
          <cell r="D5946" t="str">
            <v>SANTANDER CACEIS BRASIL DTVM S.A.</v>
          </cell>
          <cell r="E5946" t="str">
            <v>SANTANDER BRASIL GESTAO DE RECURSOS LTDA</v>
          </cell>
        </row>
        <row r="5947">
          <cell r="B5947">
            <v>124361</v>
          </cell>
          <cell r="C5947" t="str">
            <v>SANTANDER CACEIS BRASIL DTVM S.A.</v>
          </cell>
          <cell r="D5947" t="str">
            <v>SANTANDER CACEIS BRASIL DTVM S.A.</v>
          </cell>
          <cell r="E5947" t="str">
            <v>SANTANDER BRASIL GESTAO DE RECURSOS LTDA</v>
          </cell>
        </row>
        <row r="5948">
          <cell r="B5948">
            <v>124363</v>
          </cell>
          <cell r="C5948" t="str">
            <v>SANTANDER CACEIS BRASIL DTVM S.A.</v>
          </cell>
          <cell r="D5948" t="str">
            <v>SANTANDER CACEIS BRASIL DTVM S.A.</v>
          </cell>
          <cell r="E5948" t="str">
            <v>SANTANDER BRASIL GESTAO DE RECURSOS LTDA</v>
          </cell>
        </row>
        <row r="5949">
          <cell r="B5949">
            <v>124364</v>
          </cell>
          <cell r="C5949" t="str">
            <v>POLO HIGH YIELD MASTER CP IE FIM</v>
          </cell>
          <cell r="D5949" t="str">
            <v>POLO HIGH YIELD MASTER CP IE FIM</v>
          </cell>
          <cell r="E5949" t="str">
            <v>POLO CAPITAL GESTÃO DE RECURSOS LTDA</v>
          </cell>
        </row>
        <row r="5950">
          <cell r="B5950">
            <v>124365</v>
          </cell>
          <cell r="C5950" t="str">
            <v>GAUSS CAPITAL GESTORA DE RECURSOS LTDA</v>
          </cell>
          <cell r="D5950" t="str">
            <v>GAUSS CAPITAL GESTORA DE RECURSOS LTDA</v>
          </cell>
          <cell r="E5950" t="str">
            <v>ASA ASSET GESTAO EM INVESTIMENTOS LTDA</v>
          </cell>
        </row>
        <row r="5951">
          <cell r="B5951">
            <v>124366</v>
          </cell>
          <cell r="C5951" t="str">
            <v>NEO FUTURE FIA</v>
          </cell>
          <cell r="D5951" t="str">
            <v>NEO FUTURE FIA</v>
          </cell>
          <cell r="E5951" t="str">
            <v>NEO GESTÃO DE RECURSOS LTDA</v>
          </cell>
        </row>
        <row r="5952">
          <cell r="B5952">
            <v>124376</v>
          </cell>
          <cell r="C5952" t="str">
            <v>TRUXT MULTIMANAGER BBDC FIM</v>
          </cell>
          <cell r="D5952" t="str">
            <v>TRUXT MULTIMANAGER BBDC FIM</v>
          </cell>
          <cell r="E5952" t="str">
            <v>TRUXT INVESTIMENTOS LTDA</v>
          </cell>
        </row>
        <row r="5953">
          <cell r="B5953">
            <v>124377</v>
          </cell>
          <cell r="C5953" t="str">
            <v>MORGAN STANLEY CTVM S/A</v>
          </cell>
          <cell r="D5953" t="str">
            <v>MORGAN STANLEY CTVM S/A</v>
          </cell>
          <cell r="E5953" t="str">
            <v>MORGAN STANLEY CTVM S/A</v>
          </cell>
        </row>
        <row r="5954">
          <cell r="B5954">
            <v>124378</v>
          </cell>
          <cell r="C5954" t="str">
            <v>CELOS CLARITAS VALOR FIA</v>
          </cell>
          <cell r="D5954" t="str">
            <v>CELOS CLARITAS VALOR FIA</v>
          </cell>
          <cell r="E5954" t="str">
            <v>PRINCIPAL ASSET MANAGEMENT LTDA</v>
          </cell>
        </row>
        <row r="5955">
          <cell r="B5955">
            <v>124379</v>
          </cell>
          <cell r="C5955" t="str">
            <v>SANTANDER CACEIS BRASIL DTVM S.A.</v>
          </cell>
          <cell r="D5955" t="str">
            <v>SANTANDER CACEIS BRASIL DTVM S.A.</v>
          </cell>
          <cell r="E5955" t="str">
            <v>SANTANDER BRASIL GESTAO DE RECURSOS LTDA</v>
          </cell>
        </row>
        <row r="5956">
          <cell r="B5956">
            <v>124381</v>
          </cell>
          <cell r="C5956" t="str">
            <v>CSHG IBOVESPA ATIVO 70-130 FIM</v>
          </cell>
          <cell r="D5956" t="str">
            <v>CSHG IBOVESPA ATIVO 70-130 FIM</v>
          </cell>
          <cell r="E5956" t="str">
            <v>CSHG IBOVESPA ATIVO 70-130 FIM</v>
          </cell>
        </row>
        <row r="5957">
          <cell r="B5957">
            <v>124383</v>
          </cell>
          <cell r="C5957" t="str">
            <v>CSHG GAUSS PLUS MASTER FIM CP IE</v>
          </cell>
          <cell r="D5957" t="str">
            <v>CSHG GAUSS PLUS MASTER FIM CP IE</v>
          </cell>
          <cell r="E5957" t="str">
            <v>ASA ASSET GESTAO EM INVESTIMENTOS LTDA</v>
          </cell>
        </row>
        <row r="5958">
          <cell r="B5958">
            <v>124385</v>
          </cell>
          <cell r="C5958" t="str">
            <v>GARIN OR FIM</v>
          </cell>
          <cell r="D5958" t="str">
            <v>GARIN OR FIM</v>
          </cell>
          <cell r="E5958" t="str">
            <v>GARIN INVESTIMENTOS LTDA</v>
          </cell>
        </row>
        <row r="5959">
          <cell r="B5959">
            <v>124386</v>
          </cell>
          <cell r="C5959" t="str">
            <v>GARIN CICLICO LONG BIASED FIF MULTIMERCADO</v>
          </cell>
          <cell r="D5959" t="str">
            <v>GARIN CICLICO LONG BIASED FIF MULTIMERCADO</v>
          </cell>
          <cell r="E5959" t="str">
            <v>GARIN INVESTIMENTOS LTDA</v>
          </cell>
        </row>
        <row r="5960">
          <cell r="B5960">
            <v>124387</v>
          </cell>
          <cell r="C5960" t="str">
            <v>RAPIER ALPHA FIM</v>
          </cell>
          <cell r="D5960" t="str">
            <v>RAPIER ALPHA FIM</v>
          </cell>
          <cell r="E5960" t="str">
            <v>RAPIER ALPHA FIM</v>
          </cell>
        </row>
        <row r="5961">
          <cell r="B5961">
            <v>124388</v>
          </cell>
          <cell r="C5961" t="str">
            <v>MONGERAL AEGON SOBERANO FI RF</v>
          </cell>
          <cell r="D5961" t="str">
            <v>MONGERAL AEGON SOBERANO FI RF</v>
          </cell>
          <cell r="E5961" t="str">
            <v>MONGERAL AEGON INVESTIMENTOS LTDA</v>
          </cell>
        </row>
        <row r="5962">
          <cell r="B5962">
            <v>124389</v>
          </cell>
          <cell r="C5962" t="str">
            <v>MONGERAL AEGON SBOTPREV FIM</v>
          </cell>
          <cell r="D5962" t="str">
            <v>MONGERAL AEGON SBOTPREV FIM</v>
          </cell>
          <cell r="E5962" t="str">
            <v>MONGERAL AEGON INVESTIMENTOS LTDA</v>
          </cell>
        </row>
        <row r="5963">
          <cell r="B5963">
            <v>124390</v>
          </cell>
          <cell r="C5963" t="str">
            <v>MONGERAL AEGON CP INSTITUCIONAL FIRF LP</v>
          </cell>
          <cell r="D5963" t="str">
            <v>MONGERAL AEGON CP INSTITUCIONAL FIRF LP</v>
          </cell>
          <cell r="E5963" t="str">
            <v>MONGERAL AEGON INVESTIMENTOS LTDA</v>
          </cell>
        </row>
        <row r="5964">
          <cell r="B5964">
            <v>124391</v>
          </cell>
          <cell r="C5964" t="str">
            <v>MONGERAL AEGON PREVIDENCIA RENDA FIXA FI</v>
          </cell>
          <cell r="D5964" t="str">
            <v>MONGERAL AEGON PREVIDENCIA RENDA FIXA FI</v>
          </cell>
          <cell r="E5964" t="str">
            <v>MONGERAL AEGON INVESTIMENTOS LTDA</v>
          </cell>
        </row>
        <row r="5965">
          <cell r="B5965">
            <v>124392</v>
          </cell>
          <cell r="C5965" t="str">
            <v>MONGERAL AEGON OABPREV GO FIM</v>
          </cell>
          <cell r="D5965" t="str">
            <v>MONGERAL AEGON OABPREV GO FIM</v>
          </cell>
          <cell r="E5965" t="str">
            <v>MONGERAL AEGON INVESTIMENTOS LTDA</v>
          </cell>
        </row>
        <row r="5966">
          <cell r="B5966">
            <v>124393</v>
          </cell>
          <cell r="C5966" t="str">
            <v>MONGERAL AEGON INFLACAO INSTITUCIONAL FI RF</v>
          </cell>
          <cell r="D5966" t="str">
            <v>MONGERAL AEGON INFLACAO INSTITUCIONAL FI RF</v>
          </cell>
          <cell r="E5966" t="str">
            <v>MONGERAL AEGON INVESTIMENTOS LTDA</v>
          </cell>
        </row>
        <row r="5967">
          <cell r="B5967">
            <v>124394</v>
          </cell>
          <cell r="C5967" t="str">
            <v>MONGERAL AEGON RF PREVIDENCIA CP FI</v>
          </cell>
          <cell r="D5967" t="str">
            <v>MONGERAL AEGON RF PREVIDENCIA CP FI</v>
          </cell>
          <cell r="E5967" t="str">
            <v>MONGERAL AEGON INVESTIMENTOS LTDA</v>
          </cell>
        </row>
        <row r="5968">
          <cell r="B5968">
            <v>124395</v>
          </cell>
          <cell r="C5968" t="str">
            <v>MONGERAL AEGON RF PRIVATE PREVIDENCIA IPCA FI</v>
          </cell>
          <cell r="D5968" t="str">
            <v>MONGERAL AEGON RF PRIVATE PREVIDENCIA IPCA FI</v>
          </cell>
          <cell r="E5968" t="str">
            <v>MONGERAL AEGON INVESTIMENTOS LTDA</v>
          </cell>
        </row>
        <row r="5969">
          <cell r="B5969">
            <v>124396</v>
          </cell>
          <cell r="C5969" t="str">
            <v>MONGERAL AEGON PREVIDENCIA ACOES FI</v>
          </cell>
          <cell r="D5969" t="str">
            <v>MONGERAL AEGON PREVIDENCIA ACOES FI</v>
          </cell>
          <cell r="E5969" t="str">
            <v>MONGERAL AEGON INVESTIMENTOS LTDA</v>
          </cell>
        </row>
        <row r="5970">
          <cell r="B5970">
            <v>124397</v>
          </cell>
          <cell r="C5970" t="str">
            <v>MONGERAL AEGON MULTIMERCADO IE FI</v>
          </cell>
          <cell r="D5970" t="str">
            <v>MONGERAL AEGON MULTIMERCADO IE FI</v>
          </cell>
          <cell r="E5970" t="str">
            <v>MONGERAL AEGON INVESTIMENTOS LTDA</v>
          </cell>
        </row>
        <row r="5971">
          <cell r="B5971">
            <v>124398</v>
          </cell>
          <cell r="C5971" t="str">
            <v>MONGERAL AEGON OABPREV SP FIRF</v>
          </cell>
          <cell r="D5971" t="str">
            <v>MONGERAL AEGON OABPREV SP FIRF</v>
          </cell>
          <cell r="E5971" t="str">
            <v>MONGERAL AEGON INVESTIMENTOS LTDA</v>
          </cell>
        </row>
        <row r="5972">
          <cell r="B5972">
            <v>124399</v>
          </cell>
          <cell r="C5972" t="str">
            <v>MONGERAL AEGON INSTITUCIONAL FIM</v>
          </cell>
          <cell r="D5972" t="str">
            <v>MONGERAL AEGON INSTITUCIONAL FIM</v>
          </cell>
          <cell r="E5972" t="str">
            <v>MONGERAL AEGON INVESTIMENTOS LTDA</v>
          </cell>
        </row>
        <row r="5973">
          <cell r="B5973">
            <v>124400</v>
          </cell>
          <cell r="C5973" t="str">
            <v>MONGERAL AEGON RF PRIVATE TOP PREV FI</v>
          </cell>
          <cell r="D5973" t="str">
            <v>MONGERAL AEGON RF PRIVATE TOP PREV FI</v>
          </cell>
          <cell r="E5973" t="str">
            <v>MONGERAL AEGON INVESTIMENTOS LTDA</v>
          </cell>
        </row>
        <row r="5974">
          <cell r="B5974">
            <v>124401</v>
          </cell>
          <cell r="C5974" t="str">
            <v>MONGERAL QP2 FIM</v>
          </cell>
          <cell r="D5974" t="str">
            <v>MONGERAL QP2 FIM</v>
          </cell>
          <cell r="E5974" t="str">
            <v>MONGERAL AEGON INVESTIMENTOS LTDA</v>
          </cell>
        </row>
        <row r="5975">
          <cell r="B5975">
            <v>124402</v>
          </cell>
          <cell r="C5975" t="str">
            <v>PARAGUACU I FI RF PREVIDENCIARIO CP</v>
          </cell>
          <cell r="D5975" t="str">
            <v>PARAGUACU I FI RF PREVIDENCIARIO CP</v>
          </cell>
          <cell r="E5975" t="str">
            <v>MONGERAL AEGON INVESTIMENTOS LTDA</v>
          </cell>
        </row>
        <row r="5976">
          <cell r="B5976">
            <v>124403</v>
          </cell>
          <cell r="C5976" t="str">
            <v>NEUBERGER BERMAN US MULTI CAP FIM IE</v>
          </cell>
          <cell r="D5976" t="str">
            <v>NEUBERGER BERMAN US MULTI CAP FIM IE</v>
          </cell>
          <cell r="E5976" t="str">
            <v>MONGERAL AEGON INVESTIMENTOS LTDA</v>
          </cell>
        </row>
        <row r="5977">
          <cell r="B5977">
            <v>124404</v>
          </cell>
          <cell r="C5977" t="str">
            <v>OABPREV RJ FIM</v>
          </cell>
          <cell r="D5977" t="str">
            <v>OABPREV RJ FIM</v>
          </cell>
          <cell r="E5977" t="str">
            <v>MONGERAL AEGON INVESTIMENTOS LTDA</v>
          </cell>
        </row>
        <row r="5978">
          <cell r="B5978">
            <v>124405</v>
          </cell>
          <cell r="C5978" t="str">
            <v>OABPREV CLASSICO FIM</v>
          </cell>
          <cell r="D5978" t="str">
            <v>OABPREV CLASSICO FIM</v>
          </cell>
          <cell r="E5978" t="str">
            <v>MONGERAL AEGON INVESTIMENTOS LTDA</v>
          </cell>
        </row>
        <row r="5979">
          <cell r="B5979">
            <v>124406</v>
          </cell>
          <cell r="C5979" t="str">
            <v>ACADIAN GLOBAL MANAGED VOLATILITY EQUITY FIM IE</v>
          </cell>
          <cell r="D5979" t="str">
            <v>ACADIAN GLOBAL MANAGED VOLATILITY EQUITY FIM IE</v>
          </cell>
          <cell r="E5979" t="str">
            <v>MONGERAL AEGON INVESTIMENTOS LTDA</v>
          </cell>
        </row>
        <row r="5980">
          <cell r="B5980">
            <v>124407</v>
          </cell>
          <cell r="C5980" t="str">
            <v>VOLKS UP CP FIM</v>
          </cell>
          <cell r="D5980" t="str">
            <v>VOLKS UP CP FIM</v>
          </cell>
          <cell r="E5980" t="str">
            <v>MONGERAL AEGON INVESTIMENTOS LTDA</v>
          </cell>
        </row>
        <row r="5981">
          <cell r="B5981">
            <v>124408</v>
          </cell>
          <cell r="C5981" t="str">
            <v>MONGERAL AEGON SEGUROS E PREVIDENCIA S/A</v>
          </cell>
          <cell r="D5981" t="str">
            <v>MONGERAL AEGON SEGUROS E PREVIDENCIA S/A</v>
          </cell>
          <cell r="E5981" t="str">
            <v>MONGERAL AEGON INVESTIMENTOS LTDA</v>
          </cell>
        </row>
        <row r="5982">
          <cell r="B5982">
            <v>124409</v>
          </cell>
          <cell r="C5982" t="str">
            <v>MONGERAL AEGON MACRO FIM</v>
          </cell>
          <cell r="D5982" t="str">
            <v>MONGERAL AEGON MACRO FIM</v>
          </cell>
          <cell r="E5982" t="str">
            <v>MONGERAL AEGON INVESTIMENTOS LTDA</v>
          </cell>
        </row>
        <row r="5983">
          <cell r="B5983">
            <v>124410</v>
          </cell>
          <cell r="C5983" t="str">
            <v>MONGERAL AEGON MACRO FIC DE FI</v>
          </cell>
          <cell r="D5983" t="str">
            <v>MONGERAL AEGON MACRO FIC DE FI</v>
          </cell>
          <cell r="E5983" t="str">
            <v>MONGERAL AEGON INVESTIMENTOS LTDA</v>
          </cell>
        </row>
        <row r="5984">
          <cell r="B5984">
            <v>124411</v>
          </cell>
          <cell r="C5984" t="str">
            <v>OPUS ALOCAÃ‡ÃƒO RV FIC FIA</v>
          </cell>
          <cell r="D5984" t="str">
            <v>OPUS ALOCAÃ‡ÃƒO RV FIC FIA</v>
          </cell>
          <cell r="E5984" t="str">
            <v>OPUS GESTAO DE RECURSOS LTDA</v>
          </cell>
        </row>
        <row r="5985">
          <cell r="B5985">
            <v>124412</v>
          </cell>
          <cell r="C5985" t="str">
            <v>AREOSA FIM CP</v>
          </cell>
          <cell r="D5985" t="str">
            <v>AREOSA FIM CP</v>
          </cell>
          <cell r="E5985" t="str">
            <v>OPUS GESTAO DE RECURSOS LTDA</v>
          </cell>
        </row>
        <row r="5986">
          <cell r="B5986">
            <v>124413</v>
          </cell>
          <cell r="C5986" t="str">
            <v>OPUS AÃ‡Ã•ES MASTER FIA</v>
          </cell>
          <cell r="D5986" t="str">
            <v>OPUS AÃ‡Ã•ES MASTER FIA</v>
          </cell>
          <cell r="E5986" t="str">
            <v>OPUS AÃ‡Ã•ES MASTER FIA</v>
          </cell>
        </row>
        <row r="5987">
          <cell r="B5987">
            <v>124414</v>
          </cell>
          <cell r="C5987" t="str">
            <v>BB GESTAO DE RECURSOS DTVM LTDA</v>
          </cell>
          <cell r="D5987" t="str">
            <v>BB GESTAO DE RECURSOS DTVM LTDA</v>
          </cell>
          <cell r="E5987" t="str">
            <v>BB GESTAO DE RECURSOS DTVM LTDA</v>
          </cell>
        </row>
        <row r="5988">
          <cell r="B5988">
            <v>124415</v>
          </cell>
          <cell r="C5988" t="str">
            <v>BB GESTAO DE RECURSOS DTVM LTDA</v>
          </cell>
          <cell r="D5988" t="str">
            <v>BB GESTAO DE RECURSOS DTVM LTDA</v>
          </cell>
          <cell r="E5988" t="str">
            <v>BB GESTAO DE RECURSOS DTVM LTDA</v>
          </cell>
        </row>
        <row r="5989">
          <cell r="B5989">
            <v>124417</v>
          </cell>
          <cell r="C5989" t="str">
            <v>BB GESTAO DE RECURSOS DTVM LTDA</v>
          </cell>
          <cell r="D5989" t="str">
            <v>BB GESTAO DE RECURSOS DTVM LTDA</v>
          </cell>
          <cell r="E5989" t="str">
            <v>BB GESTAO DE RECURSOS DTVM LTDA</v>
          </cell>
        </row>
        <row r="5990">
          <cell r="B5990">
            <v>124418</v>
          </cell>
          <cell r="C5990" t="str">
            <v>BB GESTAO DE RECURSOS DTVM LTDA</v>
          </cell>
          <cell r="D5990" t="str">
            <v>BB GESTAO DE RECURSOS DTVM LTDA</v>
          </cell>
          <cell r="E5990" t="str">
            <v>BB GESTAO DE RECURSOS DTVM LTDA</v>
          </cell>
        </row>
        <row r="5991">
          <cell r="B5991">
            <v>124420</v>
          </cell>
          <cell r="C5991" t="str">
            <v>RIVIERA MASTER STRATEGY I FI RF</v>
          </cell>
          <cell r="D5991" t="str">
            <v>RIVIERA MASTER STRATEGY I FI RF</v>
          </cell>
          <cell r="E5991" t="str">
            <v>RIVIERA MASTER STRATEGY I FI RF</v>
          </cell>
        </row>
        <row r="5992">
          <cell r="B5992">
            <v>124421</v>
          </cell>
          <cell r="C5992" t="str">
            <v>FIM RIVIERA</v>
          </cell>
          <cell r="D5992" t="str">
            <v>FIM RIVIERA</v>
          </cell>
          <cell r="E5992" t="str">
            <v>RIVIERA GESTORA DE RECURSOS LTDA</v>
          </cell>
        </row>
        <row r="5993">
          <cell r="B5993">
            <v>124422</v>
          </cell>
          <cell r="C5993" t="str">
            <v>OABPREV - RJ MULTIMERCADO PREVIDENCIA FI</v>
          </cell>
          <cell r="D5993" t="str">
            <v>OABPREV - RJ MULTIMERCADO PREVIDENCIA FI</v>
          </cell>
          <cell r="E5993" t="str">
            <v>RIVIERA GESTORA DE RECURSOS LTDA</v>
          </cell>
        </row>
        <row r="5994">
          <cell r="B5994">
            <v>124424</v>
          </cell>
          <cell r="C5994" t="str">
            <v>TRUXT INVESTIMENTS- EQUITY LONG SHORT MASTER FUND LLC</v>
          </cell>
          <cell r="D5994" t="str">
            <v>TRUXT INVESTIMENTS- EQUITY LONG SHORT MASTER FUND LLC</v>
          </cell>
          <cell r="E5994" t="str">
            <v>TRUXT INVESTIMENTOS LTDA</v>
          </cell>
        </row>
        <row r="5995">
          <cell r="B5995">
            <v>124433</v>
          </cell>
          <cell r="C5995" t="str">
            <v>BNP PARIBAS RADICE AÃ‡Ã•ES - FI</v>
          </cell>
          <cell r="D5995" t="str">
            <v>BNP PARIBAS RADICE AÃ‡Ã•ES - FI</v>
          </cell>
          <cell r="E5995" t="str">
            <v>BNP PARIBAS ASSET MANAGEMENT BRASIL LTDA</v>
          </cell>
        </row>
        <row r="5996">
          <cell r="B5996">
            <v>124426</v>
          </cell>
          <cell r="C5996" t="str">
            <v>ITAU K2 MULTIMERCADO FI</v>
          </cell>
          <cell r="D5996" t="str">
            <v>ITAU K2 MULTIMERCADO FI</v>
          </cell>
          <cell r="E5996" t="str">
            <v>ITAU UNIBANCO ASSET - TACO</v>
          </cell>
        </row>
        <row r="5997">
          <cell r="B5997">
            <v>124427</v>
          </cell>
          <cell r="C5997" t="str">
            <v>ITAU AÃ‡OES DUNAMIS FI</v>
          </cell>
          <cell r="D5997" t="str">
            <v>ITAU AÃ‡OES DUNAMIS FI</v>
          </cell>
          <cell r="E5997" t="str">
            <v>ITAU AÃ‡OES DUNAMIS FI</v>
          </cell>
        </row>
        <row r="5998">
          <cell r="B5998">
            <v>124428</v>
          </cell>
          <cell r="C5998" t="str">
            <v>ITAU SOLUTIONS LONG AND SHORT FIM</v>
          </cell>
          <cell r="D5998" t="str">
            <v>ITAU SOLUTIONS LONG AND SHORT FIM</v>
          </cell>
          <cell r="E5998" t="str">
            <v>ITAU UNIBANCO ASSET - TACO</v>
          </cell>
        </row>
        <row r="5999">
          <cell r="B5999">
            <v>124429</v>
          </cell>
          <cell r="C5999" t="str">
            <v>TEXAS FIA</v>
          </cell>
          <cell r="D5999" t="str">
            <v>TEXAS FIA</v>
          </cell>
          <cell r="E5999" t="str">
            <v>ITAU UNIBANCO ASSET - TACO</v>
          </cell>
        </row>
        <row r="6000">
          <cell r="B6000">
            <v>124430</v>
          </cell>
          <cell r="C6000" t="str">
            <v>MZL IMA-B FI RF</v>
          </cell>
          <cell r="D6000" t="str">
            <v>MZL IMA-B FI RF</v>
          </cell>
          <cell r="E6000" t="str">
            <v>ELLEVEN GESTORA DE RECURSOS LTDA</v>
          </cell>
        </row>
        <row r="6001">
          <cell r="B6001">
            <v>124431</v>
          </cell>
          <cell r="C6001" t="str">
            <v>ITAU FLEXPREV IBOVESPA ATIVO AÃ‡Ã•ES FI</v>
          </cell>
          <cell r="D6001" t="str">
            <v>ITAU FLEXPREV IBOVESPA ATIVO AÃ‡Ã•ES FI</v>
          </cell>
          <cell r="E6001" t="str">
            <v>ITAU FLEXPREV IBOVESPA ATIVO AÃ‡Ã•ES FI</v>
          </cell>
        </row>
        <row r="6002">
          <cell r="B6002">
            <v>79135</v>
          </cell>
          <cell r="C6002" t="str">
            <v>BNP PARIBAS ASSET MANAGEMENT BRASIL LTDA</v>
          </cell>
          <cell r="D6002" t="str">
            <v>BNP PARIBAS ASSET MANAGEMENT BRASIL LTDA</v>
          </cell>
          <cell r="E6002" t="str">
            <v>BNP PARIBAS ASSET MANAGEMENT BRASIL LTDA</v>
          </cell>
        </row>
        <row r="6003">
          <cell r="B6003">
            <v>124434</v>
          </cell>
          <cell r="C6003" t="str">
            <v>ITAU ACOES AGUIA FI</v>
          </cell>
          <cell r="D6003" t="str">
            <v>ITAU ACOES AGUIA FI</v>
          </cell>
          <cell r="E6003" t="str">
            <v>ITAU ACOES AGUIA FI</v>
          </cell>
        </row>
        <row r="6004">
          <cell r="B6004">
            <v>124435</v>
          </cell>
          <cell r="C6004" t="str">
            <v>ITAU BRASIL EUA MULTIMERCADO - FI</v>
          </cell>
          <cell r="D6004" t="str">
            <v>ITAU BRASIL EUA MULTIMERCADO - FI</v>
          </cell>
          <cell r="E6004" t="str">
            <v>ITAU BRASIL EUA MULTIMERCADO - FI</v>
          </cell>
        </row>
        <row r="6005">
          <cell r="B6005">
            <v>124436</v>
          </cell>
          <cell r="C6005" t="str">
            <v>ITAU AÃ‡Ã•ES DIVIDENDOS MASTER II FI</v>
          </cell>
          <cell r="D6005" t="str">
            <v>ITAU AÃ‡Ã•ES DIVIDENDOS MASTER II FI</v>
          </cell>
          <cell r="E6005" t="str">
            <v>ITAU AÃ‡Ã•ES DIVIDENDOS MASTER II FI</v>
          </cell>
        </row>
        <row r="6006">
          <cell r="B6006">
            <v>124437</v>
          </cell>
          <cell r="C6006" t="str">
            <v>FI FORD FPP AÃ‡Ã•ES</v>
          </cell>
          <cell r="D6006" t="str">
            <v>FI FORD FPP AÃ‡Ã•ES</v>
          </cell>
          <cell r="E6006" t="str">
            <v>ITAU UNIBANCO ASSET - TACO</v>
          </cell>
        </row>
        <row r="6007">
          <cell r="B6007">
            <v>124438</v>
          </cell>
          <cell r="C6007" t="str">
            <v>EVEREST 2 AÃ‡Ã•ES - FI</v>
          </cell>
          <cell r="D6007" t="str">
            <v>EVEREST 2 AÃ‡Ã•ES - FI</v>
          </cell>
          <cell r="E6007" t="str">
            <v>ITAU UNIBANCO ASSET - TACO</v>
          </cell>
        </row>
        <row r="6008">
          <cell r="B6008">
            <v>124439</v>
          </cell>
          <cell r="C6008" t="str">
            <v>ITAU SMALL CAP VALUATION FIA</v>
          </cell>
          <cell r="D6008" t="str">
            <v>ITAU SMALL CAP VALUATION FIA</v>
          </cell>
          <cell r="E6008" t="str">
            <v>ITAU SMALL CAP VALUATION FIA</v>
          </cell>
        </row>
        <row r="6009">
          <cell r="B6009">
            <v>124440</v>
          </cell>
          <cell r="C6009" t="str">
            <v>ITAU INSTITUCIONAL SMALL CAP FIA</v>
          </cell>
          <cell r="D6009" t="str">
            <v>ITAU INSTITUCIONAL SMALL CAP FIA</v>
          </cell>
          <cell r="E6009" t="str">
            <v>ITAU INSTITUCIONAL SMALL CAP FIA</v>
          </cell>
        </row>
        <row r="6010">
          <cell r="B6010">
            <v>124441</v>
          </cell>
          <cell r="C6010" t="str">
            <v>FIA SML4</v>
          </cell>
          <cell r="D6010" t="str">
            <v>FIA SML4</v>
          </cell>
          <cell r="E6010" t="str">
            <v>FIA SML4</v>
          </cell>
        </row>
        <row r="6011">
          <cell r="B6011">
            <v>124442</v>
          </cell>
          <cell r="C6011" t="str">
            <v>ITAU SELEÃ‡ÃƒO AÃ‡Ã•ES- FI</v>
          </cell>
          <cell r="D6011" t="str">
            <v>ITAU SELEÃ‡ÃƒO AÃ‡Ã•ES- FI</v>
          </cell>
          <cell r="E6011" t="str">
            <v>ITAU SELEÃ‡ÃƒO AÃ‡Ã•ES- FI</v>
          </cell>
        </row>
        <row r="6012">
          <cell r="B6012">
            <v>124443</v>
          </cell>
          <cell r="C6012" t="str">
            <v>ITAU AÃ‡Ã•ES SMALL CAP FI</v>
          </cell>
          <cell r="D6012" t="str">
            <v>ITAU AÃ‡Ã•ES SMALL CAP FI</v>
          </cell>
          <cell r="E6012" t="str">
            <v>ITAU AÃ‡Ã•ES SMALL CAP FI</v>
          </cell>
        </row>
        <row r="6013">
          <cell r="B6013">
            <v>124444</v>
          </cell>
          <cell r="C6013" t="str">
            <v>SANTA RITA - FIA</v>
          </cell>
          <cell r="D6013" t="str">
            <v>SANTA RITA - FIA</v>
          </cell>
          <cell r="E6013" t="str">
            <v>ITAU UNIBANCO S/A</v>
          </cell>
        </row>
        <row r="6014">
          <cell r="B6014">
            <v>124445</v>
          </cell>
          <cell r="C6014" t="str">
            <v>UNILEVERPREV- SOCIEDADE DE PREVIDENCIA PRIVADA</v>
          </cell>
          <cell r="D6014" t="str">
            <v>UNILEVERPREV- SOCIEDADE DE PREVIDENCIA PRIVADA</v>
          </cell>
          <cell r="E6014" t="str">
            <v>UNILEVERPREV- SOCIEDADE DE PREVIDENCIA PRIVADA</v>
          </cell>
        </row>
        <row r="6015">
          <cell r="B6015">
            <v>124446</v>
          </cell>
          <cell r="C6015" t="str">
            <v>ITAU AÃ‡Ã•ES VALUATION MASTER - FI</v>
          </cell>
          <cell r="D6015" t="str">
            <v>ITAU AÃ‡Ã•ES VALUATION MASTER - FI</v>
          </cell>
          <cell r="E6015" t="str">
            <v>ITAU AÃ‡Ã•ES VALUATION MASTER - FI</v>
          </cell>
        </row>
        <row r="6016">
          <cell r="B6016">
            <v>124447</v>
          </cell>
          <cell r="C6016" t="str">
            <v>BRADESCO CAPITALIZAÃ‡ÃƒO S/A - LIVRE RV</v>
          </cell>
          <cell r="D6016" t="str">
            <v>BRADESCO CAPITALIZAÃ‡ÃƒO S/A - LIVRE RV</v>
          </cell>
          <cell r="E6016" t="str">
            <v>BRADESCO CAPITALIZAÃ‡ÃƒO S/A - LIVRE RV</v>
          </cell>
        </row>
        <row r="6017">
          <cell r="B6017">
            <v>124448</v>
          </cell>
          <cell r="C6017" t="str">
            <v>BRADESCO VIDA E PREVIDENCIA S.A - LIVRE RV</v>
          </cell>
          <cell r="D6017" t="str">
            <v>BRADESCO VIDA E PREVIDENCIA S.A - LIVRE RV</v>
          </cell>
          <cell r="E6017" t="str">
            <v>BRAM - BRADESCO ASSET MANAGEMENT S/A DTVM</v>
          </cell>
        </row>
        <row r="6018">
          <cell r="B6018">
            <v>124449</v>
          </cell>
          <cell r="C6018" t="str">
            <v>BRADESCO SEGUROS S/A</v>
          </cell>
          <cell r="D6018" t="str">
            <v>BRADESCO SEGUROS S/A</v>
          </cell>
          <cell r="E6018" t="str">
            <v>BRAM - BRADESCO ASSET MANAGEMENT S/A DTVM</v>
          </cell>
        </row>
        <row r="6019">
          <cell r="B6019">
            <v>124450</v>
          </cell>
          <cell r="C6019" t="str">
            <v>BRADESCO SAUDE S/A - LIVRE RV</v>
          </cell>
          <cell r="D6019" t="str">
            <v>BRADESCO SAUDE S/A - LIVRE RV</v>
          </cell>
          <cell r="E6019" t="str">
            <v>BRADESCO SAUDE S/A - LIVRE RV</v>
          </cell>
        </row>
        <row r="6020">
          <cell r="B6020">
            <v>124451</v>
          </cell>
          <cell r="C6020" t="str">
            <v>BRADESCO CARTEIRA IMOBILIARIA ATIVA - FFII IMOBILIARIO - FII</v>
          </cell>
          <cell r="D6020" t="str">
            <v>BRADESCO CARTEIRA IMOBILIARIA ATIVA - FFII IMOBILIARIO - FII</v>
          </cell>
          <cell r="E6020" t="str">
            <v>BRAM - BRADESCO ASSET MANAGEMENT S/A DTVM</v>
          </cell>
        </row>
        <row r="6021">
          <cell r="B6021">
            <v>124452</v>
          </cell>
          <cell r="C6021" t="str">
            <v>SANTANDER CACEIS BRASIL DTVM S.A.</v>
          </cell>
          <cell r="D6021" t="str">
            <v>SANTANDER CACEIS BRASIL DTVM S.A.</v>
          </cell>
          <cell r="E6021" t="str">
            <v>SANTANDER BRASIL GESTAO DE RECURSOS LTDA</v>
          </cell>
        </row>
        <row r="6022">
          <cell r="B6022">
            <v>124453</v>
          </cell>
          <cell r="C6022" t="str">
            <v>BB GESTAO DE RECURSOS DTVM LTDA</v>
          </cell>
          <cell r="D6022" t="str">
            <v>BB GESTAO DE RECURSOS DTVM LTDA</v>
          </cell>
          <cell r="E6022" t="str">
            <v>BB GESTAO DE RECURSOS DTVM LTDA</v>
          </cell>
        </row>
        <row r="6023">
          <cell r="B6023">
            <v>124455</v>
          </cell>
          <cell r="C6023" t="str">
            <v>FIM BELGRADO</v>
          </cell>
          <cell r="D6023" t="str">
            <v>FIM BELGRADO</v>
          </cell>
          <cell r="E6023" t="str">
            <v>FIM BELGRADO</v>
          </cell>
        </row>
        <row r="6024">
          <cell r="B6024">
            <v>124456</v>
          </cell>
          <cell r="C6024" t="str">
            <v>IDRA FI RF</v>
          </cell>
          <cell r="D6024" t="str">
            <v>IDRA FI RF</v>
          </cell>
          <cell r="E6024" t="str">
            <v>FUNDACAO VALE DO RIO DOCE DE SEGURIDADE SOCIAL - VALIA</v>
          </cell>
        </row>
        <row r="6025">
          <cell r="B6025">
            <v>124457</v>
          </cell>
          <cell r="C6025" t="str">
            <v>FIM TOPAZIO CP</v>
          </cell>
          <cell r="D6025" t="str">
            <v>FIM TOPAZIO CP</v>
          </cell>
          <cell r="E6025" t="str">
            <v>FUNDACAO VALE DO RIO DOCE DE SEGURIDADE SOCIAL - VALIA</v>
          </cell>
        </row>
        <row r="6026">
          <cell r="B6026">
            <v>124458</v>
          </cell>
          <cell r="C6026" t="str">
            <v>NELSON VIDAL LACERDA DE GODOY</v>
          </cell>
          <cell r="D6026" t="str">
            <v>NELSON VIDAL LACERDA DE GODOY</v>
          </cell>
          <cell r="E6026" t="str">
            <v>NELSON VIDAL LACERDA DE GODOY</v>
          </cell>
        </row>
        <row r="6027">
          <cell r="B6027">
            <v>124460</v>
          </cell>
          <cell r="C6027" t="str">
            <v>MORGAN STANLEY CTVM S/A</v>
          </cell>
          <cell r="D6027" t="str">
            <v>MORGAN STANLEY CTVM S/A</v>
          </cell>
          <cell r="E6027" t="str">
            <v>MORGAN STANLEY CTVM S/A</v>
          </cell>
        </row>
        <row r="6028">
          <cell r="B6028">
            <v>124461</v>
          </cell>
          <cell r="C6028" t="str">
            <v>MORGAN STANLEY CTVM S/A</v>
          </cell>
          <cell r="D6028" t="str">
            <v>MORGAN STANLEY CTVM S/A</v>
          </cell>
          <cell r="E6028" t="str">
            <v>MORGAN STANLEY CTVM S/A</v>
          </cell>
        </row>
        <row r="6029">
          <cell r="B6029">
            <v>124463</v>
          </cell>
          <cell r="C6029" t="str">
            <v>ANDRE WATT VIANNA</v>
          </cell>
          <cell r="D6029" t="str">
            <v>ANDRE WATT VIANNA</v>
          </cell>
          <cell r="E6029" t="str">
            <v>ANDRE WATT VIANNA</v>
          </cell>
        </row>
        <row r="6030">
          <cell r="B6030">
            <v>124464</v>
          </cell>
          <cell r="C6030" t="str">
            <v>SANTANDER CACEIS BRASIL DTVM S.A.</v>
          </cell>
          <cell r="D6030" t="str">
            <v>SANTANDER CACEIS BRASIL DTVM S.A.</v>
          </cell>
          <cell r="E6030" t="str">
            <v>SANTANDER BRASIL GESTAO DE RECURSOS LTDA</v>
          </cell>
        </row>
        <row r="6031">
          <cell r="B6031">
            <v>124467</v>
          </cell>
          <cell r="C6031" t="str">
            <v>TAVOLA ABSOLUTO FIA</v>
          </cell>
          <cell r="D6031" t="str">
            <v>TAVOLA ABSOLUTO FIA</v>
          </cell>
          <cell r="E6031" t="str">
            <v>TAVOLA CAPITAL GESTAO DE RECURSOS LTDA</v>
          </cell>
        </row>
        <row r="6032">
          <cell r="B6032">
            <v>124469</v>
          </cell>
          <cell r="C6032" t="str">
            <v>JGP STRATEGY MASTER FIM</v>
          </cell>
          <cell r="D6032" t="str">
            <v>JGP STRATEGY MASTER FIM</v>
          </cell>
          <cell r="E6032" t="str">
            <v>JGP STRATEGY MASTER FIM</v>
          </cell>
        </row>
        <row r="6033">
          <cell r="B6033">
            <v>124470</v>
          </cell>
          <cell r="C6033" t="str">
            <v>JGP MAX MASTER FIM</v>
          </cell>
          <cell r="D6033" t="str">
            <v>JGP MAX MASTER FIM</v>
          </cell>
          <cell r="E6033" t="str">
            <v>JGP MAX MASTER FIM</v>
          </cell>
        </row>
        <row r="6034">
          <cell r="B6034">
            <v>124471</v>
          </cell>
          <cell r="C6034" t="str">
            <v>SANTANDER CACEIS BRASIL DTVM S.A.</v>
          </cell>
          <cell r="D6034" t="str">
            <v>SANTANDER CACEIS BRASIL DTVM S.A.</v>
          </cell>
          <cell r="E6034" t="str">
            <v>SANTANDER BRASIL GESTAO DE RECURSOS LTDA</v>
          </cell>
        </row>
        <row r="6035">
          <cell r="B6035">
            <v>124472</v>
          </cell>
          <cell r="C6035" t="str">
            <v>SANTANDER CACEIS BRASIL DTVM S.A.</v>
          </cell>
          <cell r="D6035" t="str">
            <v>SANTANDER CACEIS BRASIL DTVM S.A.</v>
          </cell>
          <cell r="E6035" t="str">
            <v>SANTANDER BRASIL GESTAO DE RECURSOS LTDA</v>
          </cell>
        </row>
        <row r="6036">
          <cell r="B6036">
            <v>124473</v>
          </cell>
          <cell r="C6036" t="str">
            <v>DUO HIX CAPITAL FIA</v>
          </cell>
          <cell r="D6036" t="str">
            <v>DUO HIX CAPITAL FIA</v>
          </cell>
          <cell r="E6036" t="str">
            <v>DUO HIX CAPITAL FIA</v>
          </cell>
        </row>
        <row r="6037">
          <cell r="B6037">
            <v>124474</v>
          </cell>
          <cell r="C6037" t="str">
            <v>BANCO BRADESCO S/A</v>
          </cell>
          <cell r="D6037" t="str">
            <v>BANCO BRADESCO S/A</v>
          </cell>
          <cell r="E6037" t="str">
            <v>BANCO BRADESCO S/A</v>
          </cell>
        </row>
        <row r="6038">
          <cell r="B6038">
            <v>124476</v>
          </cell>
          <cell r="C6038" t="str">
            <v>FIM COLISEU</v>
          </cell>
          <cell r="D6038" t="str">
            <v>FIM COLISEU</v>
          </cell>
          <cell r="E6038" t="str">
            <v>FIM COLISEU</v>
          </cell>
        </row>
        <row r="6039">
          <cell r="B6039">
            <v>124479</v>
          </cell>
          <cell r="C6039" t="str">
            <v>ALFA AÃ‡Ã•ES PREMIUM - FIA</v>
          </cell>
          <cell r="D6039" t="str">
            <v>ALFA AÃ‡Ã•ES PREMIUM - FIA</v>
          </cell>
          <cell r="E6039" t="str">
            <v>BANCO ALFA DE INVESTIMENTO S/A</v>
          </cell>
        </row>
        <row r="6040">
          <cell r="B6040">
            <v>124480</v>
          </cell>
          <cell r="C6040" t="str">
            <v>LNX - FIM IE CP IP</v>
          </cell>
          <cell r="D6040" t="str">
            <v>LNX - FIM IE CP IP</v>
          </cell>
          <cell r="E6040" t="str">
            <v>BANCO ALFA DE INVESTIMENTO S/A</v>
          </cell>
        </row>
        <row r="6041">
          <cell r="B6041">
            <v>124481</v>
          </cell>
          <cell r="C6041" t="str">
            <v>ALFA INVESTOR 20 FIM IQ</v>
          </cell>
          <cell r="D6041" t="str">
            <v>ALFA INVESTOR 20 FIM IQ</v>
          </cell>
          <cell r="E6041" t="str">
            <v>BANCO ALFA DE INVESTIMENTO S/A</v>
          </cell>
        </row>
        <row r="6042">
          <cell r="B6042">
            <v>124482</v>
          </cell>
          <cell r="C6042" t="str">
            <v>ALFA INVESTOR 035 FIM CP IE IP</v>
          </cell>
          <cell r="D6042" t="str">
            <v>ALFA INVESTOR 035 FIM CP IE IP</v>
          </cell>
          <cell r="E6042" t="str">
            <v>BANCO ALFA DE INVESTIMENTO S/A</v>
          </cell>
        </row>
        <row r="6043">
          <cell r="B6043">
            <v>124483</v>
          </cell>
          <cell r="C6043" t="str">
            <v>ALFA DYNAMIC FIM CP INVESTIDOR PROFISSIONAL</v>
          </cell>
          <cell r="D6043" t="str">
            <v>ALFA DYNAMIC FIM CP INVESTIDOR PROFISSIONAL</v>
          </cell>
          <cell r="E6043" t="str">
            <v>BANCO ALFA DE INVESTIMENTO S/A</v>
          </cell>
        </row>
        <row r="6044">
          <cell r="B6044">
            <v>124484</v>
          </cell>
          <cell r="C6044" t="str">
            <v>ALFA INVESTOR 60 FIM CP IP</v>
          </cell>
          <cell r="D6044" t="str">
            <v>ALFA INVESTOR 60 FIM CP IP</v>
          </cell>
          <cell r="E6044" t="str">
            <v>BANCO ALFA DE INVESTIMENTO S/A</v>
          </cell>
        </row>
        <row r="6045">
          <cell r="B6045">
            <v>124485</v>
          </cell>
          <cell r="C6045" t="str">
            <v>ILHABELA FIM CP IE IP</v>
          </cell>
          <cell r="D6045" t="str">
            <v>ILHABELA FIM CP IE IP</v>
          </cell>
          <cell r="E6045" t="str">
            <v>BANCO ALFA DE INVESTIMENTO S/A</v>
          </cell>
        </row>
        <row r="6046">
          <cell r="B6046">
            <v>124486</v>
          </cell>
          <cell r="C6046" t="str">
            <v>ALFA PRIVATE MIDAS FIM CP IP</v>
          </cell>
          <cell r="D6046" t="str">
            <v>ALFA PRIVATE MIDAS FIM CP IP</v>
          </cell>
          <cell r="E6046" t="str">
            <v>BANCO ALFA DE INVESTIMENTO S/A</v>
          </cell>
        </row>
        <row r="6047">
          <cell r="B6047">
            <v>124487</v>
          </cell>
          <cell r="C6047" t="str">
            <v>TRANSAMERICA ESTRATEGIA FIM</v>
          </cell>
          <cell r="D6047" t="str">
            <v>TRANSAMERICA ESTRATEGIA FIM</v>
          </cell>
          <cell r="E6047" t="str">
            <v>TRANSAMERICA ESTRATEGIA FIM</v>
          </cell>
        </row>
        <row r="6048">
          <cell r="B6048">
            <v>124488</v>
          </cell>
          <cell r="C6048" t="str">
            <v>TRANSAMERICA RV ALFAPREV MASTER FIA PREVIDENCIARIO</v>
          </cell>
          <cell r="D6048" t="str">
            <v>TRANSAMERICA RV ALFAPREV MASTER FIA PREVIDENCIARIO</v>
          </cell>
          <cell r="E6048" t="str">
            <v>BANCO ALFA DE INVESTIMENTO S/A</v>
          </cell>
        </row>
        <row r="6049">
          <cell r="B6049">
            <v>124489</v>
          </cell>
          <cell r="C6049" t="str">
            <v>VEYRON FIM CP IP</v>
          </cell>
          <cell r="D6049" t="str">
            <v>VEYRON FIM CP IP</v>
          </cell>
          <cell r="E6049" t="str">
            <v>VEYRON FIM CP IP</v>
          </cell>
        </row>
        <row r="6050">
          <cell r="B6050">
            <v>124490</v>
          </cell>
          <cell r="C6050" t="str">
            <v>ALFA DIVIDENDOS FIA IQ</v>
          </cell>
          <cell r="D6050" t="str">
            <v>ALFA DIVIDENDOS FIA IQ</v>
          </cell>
          <cell r="E6050" t="str">
            <v>ALFA DIVIDENDOS FIA IQ</v>
          </cell>
        </row>
        <row r="6051">
          <cell r="B6051">
            <v>124491</v>
          </cell>
          <cell r="C6051" t="str">
            <v>SAINT - EMILION FIM CP IE IP</v>
          </cell>
          <cell r="D6051" t="str">
            <v>SAINT - EMILION FIM CP IE IP</v>
          </cell>
          <cell r="E6051" t="str">
            <v>SAINT - EMILION FIM CP IE IP</v>
          </cell>
        </row>
        <row r="6052">
          <cell r="B6052">
            <v>124492</v>
          </cell>
          <cell r="C6052" t="str">
            <v>MARCELLA - FIM CP IP</v>
          </cell>
          <cell r="D6052" t="str">
            <v>MARCELLA - FIM CP IP</v>
          </cell>
          <cell r="E6052" t="str">
            <v>BANCO ALFA DE INVESTIMENTO S/A</v>
          </cell>
        </row>
        <row r="6053">
          <cell r="B6053">
            <v>124493</v>
          </cell>
          <cell r="C6053" t="str">
            <v>DIOFEL - FIA IE IP</v>
          </cell>
          <cell r="D6053" t="str">
            <v>DIOFEL - FIA IE IP</v>
          </cell>
          <cell r="E6053" t="str">
            <v>BANCO ALFA DE INVESTIMENTO S/A</v>
          </cell>
        </row>
        <row r="6054">
          <cell r="B6054">
            <v>124494</v>
          </cell>
          <cell r="C6054" t="str">
            <v>ALFA INVESTOR 197 FIM CP IP</v>
          </cell>
          <cell r="D6054" t="str">
            <v>ALFA INVESTOR 197 FIM CP IP</v>
          </cell>
          <cell r="E6054" t="str">
            <v>BANCO ALFA DE INVESTIMENTO S/A</v>
          </cell>
        </row>
        <row r="6055">
          <cell r="B6055">
            <v>124495</v>
          </cell>
          <cell r="C6055" t="str">
            <v>MIRAMAR - FIM CP IP</v>
          </cell>
          <cell r="D6055" t="str">
            <v>MIRAMAR - FIM CP IP</v>
          </cell>
          <cell r="E6055" t="str">
            <v>BANCO ALFA DE INVESTIMENTO S/A</v>
          </cell>
        </row>
        <row r="6056">
          <cell r="B6056">
            <v>124496</v>
          </cell>
          <cell r="C6056" t="str">
            <v>NAXOS FIM CP IE IP</v>
          </cell>
          <cell r="D6056" t="str">
            <v>NAXOS FIM CP IE IP</v>
          </cell>
          <cell r="E6056" t="str">
            <v>BANCO ALFA DE INVESTIMENTO S/A</v>
          </cell>
        </row>
        <row r="6057">
          <cell r="B6057">
            <v>124497</v>
          </cell>
          <cell r="C6057" t="str">
            <v>SANTORINI FIM CP IE IP</v>
          </cell>
          <cell r="D6057" t="str">
            <v>SANTORINI FIM CP IE IP</v>
          </cell>
          <cell r="E6057" t="str">
            <v>SANTORINI FIM CP IE IP</v>
          </cell>
        </row>
        <row r="6058">
          <cell r="B6058">
            <v>124498</v>
          </cell>
          <cell r="C6058" t="str">
            <v>TMB FIM IP</v>
          </cell>
          <cell r="D6058" t="str">
            <v>TMB FIM IP</v>
          </cell>
          <cell r="E6058" t="str">
            <v>TMB FIM IP</v>
          </cell>
        </row>
        <row r="6059">
          <cell r="B6059">
            <v>124499</v>
          </cell>
          <cell r="C6059" t="str">
            <v>ALFA SCORPIUS MASTER - FUNDO DE INVESTIMENTO MULTIMERCADO</v>
          </cell>
          <cell r="D6059" t="str">
            <v>ALFA SCORPIUS MASTER - FUNDO DE INVESTIMENTO MULTIMERCADO</v>
          </cell>
          <cell r="E6059" t="str">
            <v>BANCO ALFA DE INVESTIMENTO S/A</v>
          </cell>
        </row>
        <row r="6060">
          <cell r="B6060">
            <v>124500</v>
          </cell>
          <cell r="C6060" t="str">
            <v>ALFA FEAG FIM IE CP IP</v>
          </cell>
          <cell r="D6060" t="str">
            <v>ALFA FEAG FIM IE CP IP</v>
          </cell>
          <cell r="E6060" t="str">
            <v>BANCO ALFA DE INVESTIMENTO S/A</v>
          </cell>
        </row>
        <row r="6061">
          <cell r="B6061">
            <v>124501</v>
          </cell>
          <cell r="C6061" t="str">
            <v>CARANDAI FIM LP CP IP IE</v>
          </cell>
          <cell r="D6061" t="str">
            <v>CARANDAI FIM LP CP IP IE</v>
          </cell>
          <cell r="E6061" t="str">
            <v>BANCO ALFA DE INVESTIMENTO S/A</v>
          </cell>
        </row>
        <row r="6062">
          <cell r="B6062">
            <v>124502</v>
          </cell>
          <cell r="C6062" t="str">
            <v>DIOLIPE- FIM IE CP IP</v>
          </cell>
          <cell r="D6062" t="str">
            <v>DIOLIPE- FIM IE CP IP</v>
          </cell>
          <cell r="E6062" t="str">
            <v>BANCO ALFA DE INVESTIMENTO S/A</v>
          </cell>
        </row>
        <row r="6063">
          <cell r="B6063">
            <v>124503</v>
          </cell>
          <cell r="C6063" t="str">
            <v>ALFAPREV DINAMICO MASTER - FIM PREVIDENCIARIO</v>
          </cell>
          <cell r="D6063" t="str">
            <v>ALFAPREV DINAMICO MASTER - FIM PREVIDENCIARIO</v>
          </cell>
          <cell r="E6063" t="str">
            <v>BANCO ALFA DE INVESTIMENTO S/A</v>
          </cell>
        </row>
        <row r="6064">
          <cell r="B6064">
            <v>124506</v>
          </cell>
          <cell r="C6064" t="str">
            <v>FCOPEL  FIA II</v>
          </cell>
          <cell r="D6064" t="str">
            <v>FCOPEL  FIA II</v>
          </cell>
          <cell r="E6064" t="str">
            <v>AZ QUEST INVESTIMENTOS LTDA</v>
          </cell>
        </row>
        <row r="6065">
          <cell r="B6065">
            <v>124507</v>
          </cell>
          <cell r="C6065" t="str">
            <v>AZ QUEST MULTIMANAGER BBDC FIM</v>
          </cell>
          <cell r="D6065" t="str">
            <v>AZ QUEST MULTIMANAGER BBDC FIM</v>
          </cell>
          <cell r="E6065" t="str">
            <v>AZ QUEST INVESTIMENTOS LTDA</v>
          </cell>
        </row>
        <row r="6066">
          <cell r="B6066">
            <v>124508</v>
          </cell>
          <cell r="C6066" t="str">
            <v>FP ATLANTIS FIM</v>
          </cell>
          <cell r="D6066" t="str">
            <v>FP ATLANTIS FIM</v>
          </cell>
          <cell r="E6066" t="str">
            <v>AZ QUEST INVESTIMENTOS LTDA</v>
          </cell>
        </row>
        <row r="6067">
          <cell r="B6067">
            <v>124509</v>
          </cell>
          <cell r="C6067" t="str">
            <v>AZ LEGAN BRASIL FIA</v>
          </cell>
          <cell r="D6067" t="str">
            <v>AZ LEGAN BRASIL FIA</v>
          </cell>
          <cell r="E6067" t="str">
            <v>AZ QUEST INVESTIMENTOS LTDA</v>
          </cell>
        </row>
        <row r="6068">
          <cell r="B6068">
            <v>124510</v>
          </cell>
          <cell r="C6068" t="str">
            <v>AZ LEGAN VALORE FI RF CP</v>
          </cell>
          <cell r="D6068" t="str">
            <v>AZ LEGAN VALORE FI RF CP</v>
          </cell>
          <cell r="E6068" t="str">
            <v>AZ QUEST INVESTIMENTOS LTDA</v>
          </cell>
        </row>
        <row r="6069">
          <cell r="B6069">
            <v>124511</v>
          </cell>
          <cell r="C6069" t="str">
            <v>AZ QUEST QUALITY FIA</v>
          </cell>
          <cell r="D6069" t="str">
            <v>AZ QUEST QUALITY FIA</v>
          </cell>
          <cell r="E6069" t="str">
            <v>AZ QUEST INVESTIMENTOS LTDA</v>
          </cell>
        </row>
        <row r="6070">
          <cell r="B6070">
            <v>124512</v>
          </cell>
          <cell r="C6070" t="str">
            <v>AZ QUEST ICATU MULTI PREV MASTER FIFE FUNDO DE INVESTIMENTO</v>
          </cell>
          <cell r="D6070" t="str">
            <v>AZ QUEST ICATU MULTI PREV MASTER FIFE FUNDO DE INVESTIMENTO</v>
          </cell>
          <cell r="E6070" t="str">
            <v>AZ QUEST INVESTIMENTOS LTDA</v>
          </cell>
        </row>
        <row r="6071">
          <cell r="B6071">
            <v>124514</v>
          </cell>
          <cell r="C6071" t="str">
            <v>SANTANDER CACEIS BRASIL DTVM S.A.</v>
          </cell>
          <cell r="D6071" t="str">
            <v>SANTANDER CACEIS BRASIL DTVM S.A.</v>
          </cell>
          <cell r="E6071" t="str">
            <v>SANTANDER BRASIL GESTAO DE RECURSOS LTDA</v>
          </cell>
        </row>
        <row r="6072">
          <cell r="B6072">
            <v>124515</v>
          </cell>
          <cell r="C6072" t="str">
            <v>DAYCOVAL IBOVESPA ATIVO FIA</v>
          </cell>
          <cell r="D6072" t="str">
            <v>DAYCOVAL IBOVESPA ATIVO FIA</v>
          </cell>
          <cell r="E6072" t="str">
            <v>DAYCOVAL ASSET MANAGEMENT ADMINISTRACAO DE RECURSOS LTDA</v>
          </cell>
        </row>
        <row r="6073">
          <cell r="B6073">
            <v>124516</v>
          </cell>
          <cell r="C6073" t="str">
            <v>DAYCOVAL MULTIESTRATÃ‰GIA FIM</v>
          </cell>
          <cell r="D6073" t="str">
            <v>DAYCOVAL MULTIESTRATÃ‰GIA FIM</v>
          </cell>
          <cell r="E6073" t="str">
            <v>DAYCOVAL MULTIESTRATÃ‰GIA FIM</v>
          </cell>
        </row>
        <row r="6074">
          <cell r="B6074">
            <v>124517</v>
          </cell>
          <cell r="C6074" t="str">
            <v>IJK FIM CP IE</v>
          </cell>
          <cell r="D6074" t="str">
            <v>IJK FIM CP IE</v>
          </cell>
          <cell r="E6074" t="str">
            <v>DAYCOVAL ASSET MANAGEMENT ADMINISTRACAO DE RECURSOS LTDA</v>
          </cell>
        </row>
        <row r="6075">
          <cell r="B6075">
            <v>124518</v>
          </cell>
          <cell r="C6075" t="str">
            <v>FIA CAIXA BRASIL IBX 50</v>
          </cell>
          <cell r="D6075" t="str">
            <v>FIA CAIXA BRASIL IBX 50</v>
          </cell>
          <cell r="E6075" t="str">
            <v>CAIXA ECONOMICA FEDERAL</v>
          </cell>
        </row>
        <row r="6076">
          <cell r="B6076">
            <v>124519</v>
          </cell>
          <cell r="C6076" t="str">
            <v>FIA CAIXA IBRX ATIVO</v>
          </cell>
          <cell r="D6076" t="str">
            <v>FIA CAIXA IBRX ATIVO</v>
          </cell>
          <cell r="E6076" t="str">
            <v>CAIXA ECONOMICA FEDERAL</v>
          </cell>
        </row>
        <row r="6077">
          <cell r="B6077">
            <v>124520</v>
          </cell>
          <cell r="C6077" t="str">
            <v>CAIXA MASTER ESTRATEGICO FIF MULT LP RL</v>
          </cell>
          <cell r="D6077" t="str">
            <v>CAIXA MASTER ESTRATEGICO FIF MULT LP RL</v>
          </cell>
          <cell r="E6077" t="str">
            <v>CAIXA ECONOMICA FEDERAL</v>
          </cell>
        </row>
        <row r="6078">
          <cell r="B6078">
            <v>124521</v>
          </cell>
          <cell r="C6078" t="str">
            <v>FIA CAIXA IBOVESPA ATIVO</v>
          </cell>
          <cell r="D6078" t="str">
            <v>FIA CAIXA IBOVESPA ATIVO</v>
          </cell>
          <cell r="E6078" t="str">
            <v>CAIXA ECONOMICA FEDERAL</v>
          </cell>
        </row>
        <row r="6079">
          <cell r="B6079">
            <v>124522</v>
          </cell>
          <cell r="C6079" t="str">
            <v>FI CAIXA MASTER LONG SHORT MULTIMERCADO LP</v>
          </cell>
          <cell r="D6079" t="str">
            <v>FI CAIXA MASTER LONG SHORT MULTIMERCADO LP</v>
          </cell>
          <cell r="E6079" t="str">
            <v>CAIXA ECONOMICA FEDERAL</v>
          </cell>
        </row>
        <row r="6080">
          <cell r="B6080">
            <v>124523</v>
          </cell>
          <cell r="C6080" t="str">
            <v>FIA CAIXA SMALL CAPS ATIVO</v>
          </cell>
          <cell r="D6080" t="str">
            <v>FIA CAIXA SMALL CAPS ATIVO</v>
          </cell>
          <cell r="E6080" t="str">
            <v>CAIXA ECONOMICA FEDERAL</v>
          </cell>
        </row>
        <row r="6081">
          <cell r="B6081">
            <v>124524</v>
          </cell>
          <cell r="C6081" t="str">
            <v>SKOPOS GUPEMA FUNDO DE INVESTIMENTO EM ACOES</v>
          </cell>
          <cell r="D6081" t="str">
            <v>SKOPOS GUPEMA FUNDO DE INVESTIMENTO EM ACOES</v>
          </cell>
          <cell r="E6081" t="str">
            <v>SKOPOS INVESTIMENTOS LTDA</v>
          </cell>
        </row>
        <row r="6082">
          <cell r="B6082">
            <v>124525</v>
          </cell>
          <cell r="C6082" t="str">
            <v>SKOPOS BLUE BIRDS LONG ONLY FUNDO DE INVESTIMENTO DE ACOES</v>
          </cell>
          <cell r="D6082" t="str">
            <v>SKOPOS BLUE BIRDS LONG ONLY FUNDO DE INVESTIMENTO DE ACOES</v>
          </cell>
          <cell r="E6082" t="str">
            <v>SKOPOS INVESTIMENTOS LTDA</v>
          </cell>
        </row>
        <row r="6083">
          <cell r="B6083">
            <v>124526</v>
          </cell>
          <cell r="C6083" t="str">
            <v>SKOPOS MARATHON I FIA</v>
          </cell>
          <cell r="D6083" t="str">
            <v>SKOPOS MARATHON I FIA</v>
          </cell>
          <cell r="E6083" t="str">
            <v>SKOPOS MARATHON I FIA</v>
          </cell>
        </row>
        <row r="6084">
          <cell r="B6084">
            <v>124527</v>
          </cell>
          <cell r="C6084" t="str">
            <v>SKOPOS VIX FIM</v>
          </cell>
          <cell r="D6084" t="str">
            <v>SKOPOS VIX FIM</v>
          </cell>
          <cell r="E6084" t="str">
            <v>SKOPOS INVESTIMENTOS LTDA</v>
          </cell>
        </row>
        <row r="6085">
          <cell r="B6085">
            <v>124528</v>
          </cell>
          <cell r="C6085" t="str">
            <v>BB GESTAO DE RECURSOS DTVM LTDA</v>
          </cell>
          <cell r="D6085" t="str">
            <v>BB GESTAO DE RECURSOS DTVM LTDA</v>
          </cell>
          <cell r="E6085" t="str">
            <v>BB GESTAO DE RECURSOS DTVM LTDA</v>
          </cell>
        </row>
        <row r="6086">
          <cell r="B6086">
            <v>124529</v>
          </cell>
          <cell r="C6086" t="str">
            <v>TAGUS TOP FI EM COTAS FIM</v>
          </cell>
          <cell r="D6086" t="str">
            <v>TAGUS TOP FI EM COTAS FIM</v>
          </cell>
          <cell r="E6086" t="str">
            <v>TAGUS TOP FI EM COTAS FIM</v>
          </cell>
        </row>
        <row r="6087">
          <cell r="B6087">
            <v>124530</v>
          </cell>
          <cell r="C6087" t="str">
            <v>TAGUS EQUITY HEDGE FIM</v>
          </cell>
          <cell r="D6087" t="str">
            <v>TAGUS EQUITY HEDGE FIM</v>
          </cell>
          <cell r="E6087" t="str">
            <v>TAGUS INVESTIMENTOS LTDA</v>
          </cell>
        </row>
        <row r="6088">
          <cell r="B6088">
            <v>124531</v>
          </cell>
          <cell r="C6088" t="str">
            <v>TAGUS TOSCANA LOW VOL FIM</v>
          </cell>
          <cell r="D6088" t="str">
            <v>TAGUS TOSCANA LOW VOL FIM</v>
          </cell>
          <cell r="E6088" t="str">
            <v>TAGUS INVESTIMENTOS LTDA</v>
          </cell>
        </row>
        <row r="6089">
          <cell r="B6089">
            <v>124532</v>
          </cell>
          <cell r="C6089" t="str">
            <v>JPA FUNDO DE INVESTIMENTO MULTIMERCADO</v>
          </cell>
          <cell r="D6089" t="str">
            <v>JPA FUNDO DE INVESTIMENTO MULTIMERCADO</v>
          </cell>
          <cell r="E6089" t="str">
            <v>TAGUS INVESTIMENTOS LTDA</v>
          </cell>
        </row>
        <row r="6090">
          <cell r="B6090">
            <v>124534</v>
          </cell>
          <cell r="C6090" t="str">
            <v>TAGUS RF FI</v>
          </cell>
          <cell r="D6090" t="str">
            <v>TAGUS RF FI</v>
          </cell>
          <cell r="E6090" t="str">
            <v>TAGUS INVESTIMENTOS LTDA</v>
          </cell>
        </row>
        <row r="6091">
          <cell r="B6091">
            <v>124535</v>
          </cell>
          <cell r="C6091" t="str">
            <v>TAGUS INSTITUCIONAL FIM CP</v>
          </cell>
          <cell r="D6091" t="str">
            <v>TAGUS INSTITUCIONAL FIM CP</v>
          </cell>
          <cell r="E6091" t="str">
            <v>JGP GESTAO DE CREDITO LTDA</v>
          </cell>
        </row>
        <row r="6092">
          <cell r="B6092">
            <v>124537</v>
          </cell>
          <cell r="C6092" t="str">
            <v>TAGUS TOP FI RF CP</v>
          </cell>
          <cell r="D6092" t="str">
            <v>TAGUS TOP FI RF CP</v>
          </cell>
          <cell r="E6092" t="str">
            <v>TAGUS TOP FI RF CP</v>
          </cell>
        </row>
        <row r="6093">
          <cell r="B6093">
            <v>124539</v>
          </cell>
          <cell r="C6093" t="str">
            <v>FACT TOTAL RETURN MASTER FIM</v>
          </cell>
          <cell r="D6093" t="str">
            <v>FACT TOTAL RETURN MASTER FIM</v>
          </cell>
          <cell r="E6093" t="str">
            <v>FACT INVESTMENTS GESTAO DE RECURSOS LTDA</v>
          </cell>
        </row>
        <row r="6094">
          <cell r="B6094">
            <v>124540</v>
          </cell>
          <cell r="C6094" t="str">
            <v>FACT ACTIVE FIA</v>
          </cell>
          <cell r="D6094" t="str">
            <v>FACT ACTIVE FIA</v>
          </cell>
          <cell r="E6094" t="str">
            <v>FACT INVESTMENTS GESTAO DE RECURSOS LTDA</v>
          </cell>
        </row>
        <row r="6095">
          <cell r="B6095">
            <v>124541</v>
          </cell>
          <cell r="C6095" t="str">
            <v>TMJ FIA</v>
          </cell>
          <cell r="D6095" t="str">
            <v>TMJ FIA</v>
          </cell>
          <cell r="E6095" t="str">
            <v>ELLEVEN GESTORA DE RECURSOS LTDA</v>
          </cell>
        </row>
        <row r="6096">
          <cell r="B6096">
            <v>124542</v>
          </cell>
          <cell r="C6096" t="str">
            <v>SAFIRA FIM</v>
          </cell>
          <cell r="D6096" t="str">
            <v>SAFIRA FIM</v>
          </cell>
          <cell r="E6096" t="str">
            <v>SAFIRA FIM</v>
          </cell>
        </row>
        <row r="6097">
          <cell r="B6097">
            <v>124543</v>
          </cell>
          <cell r="C6097" t="str">
            <v>TMJ HEDGE FIM</v>
          </cell>
          <cell r="D6097" t="str">
            <v>TMJ HEDGE FIM</v>
          </cell>
          <cell r="E6097" t="str">
            <v>TMJ HEDGE FIM</v>
          </cell>
        </row>
        <row r="6098">
          <cell r="B6098">
            <v>124544</v>
          </cell>
          <cell r="C6098" t="str">
            <v>HIX CAPITAL MASTER FIA</v>
          </cell>
          <cell r="D6098" t="str">
            <v>HIX CAPITAL MASTER FIA</v>
          </cell>
          <cell r="E6098" t="str">
            <v>HIX INVESTIMENTOS LTDA</v>
          </cell>
        </row>
        <row r="6099">
          <cell r="B6099">
            <v>124545</v>
          </cell>
          <cell r="C6099" t="str">
            <v>SANTANDER CACEIS BRASIL DTVM S.A.</v>
          </cell>
          <cell r="D6099" t="str">
            <v>SANTANDER CACEIS BRASIL DTVM S.A.</v>
          </cell>
          <cell r="E6099" t="str">
            <v>SANTANDER BRASIL GESTAO DE RECURSOS LTDA</v>
          </cell>
        </row>
        <row r="6100">
          <cell r="B6100">
            <v>124546</v>
          </cell>
          <cell r="C6100" t="str">
            <v>SANTANDER CACEIS BRASIL DTVM S.A.</v>
          </cell>
          <cell r="D6100" t="str">
            <v>SANTANDER CACEIS BRASIL DTVM S.A.</v>
          </cell>
          <cell r="E6100" t="str">
            <v>SANTANDER BRASIL GESTAO DE RECURSOS LTDA</v>
          </cell>
        </row>
        <row r="6101">
          <cell r="B6101">
            <v>124547</v>
          </cell>
          <cell r="C6101" t="str">
            <v>GAVEA MACRO PLUS MASTER FIM</v>
          </cell>
          <cell r="D6101" t="str">
            <v>GAVEA MACRO PLUS MASTER FIM</v>
          </cell>
          <cell r="E6101" t="str">
            <v>GAVEA MACRO PLUS MASTER FIM</v>
          </cell>
        </row>
        <row r="6102">
          <cell r="B6102">
            <v>124548</v>
          </cell>
          <cell r="C6102" t="str">
            <v>GAVEA CAPITAL HOLDINGS LLC</v>
          </cell>
          <cell r="D6102" t="str">
            <v>GAVEA CAPITAL HOLDINGS LLC</v>
          </cell>
          <cell r="E6102" t="str">
            <v>GAVEA CAPITAL HOLDINGS LLC</v>
          </cell>
        </row>
        <row r="6103">
          <cell r="B6103">
            <v>124549</v>
          </cell>
          <cell r="C6103" t="str">
            <v>GBW CAPITAL HOLDINGS LLC</v>
          </cell>
          <cell r="D6103" t="str">
            <v>GBW CAPITAL HOLDINGS LLC</v>
          </cell>
          <cell r="E6103" t="str">
            <v>GBW CAPITAL HOLDINGS LLC</v>
          </cell>
        </row>
        <row r="6104">
          <cell r="B6104">
            <v>124550</v>
          </cell>
          <cell r="C6104" t="str">
            <v>GF PLUS CAPITAL HOLDINGS LLC</v>
          </cell>
          <cell r="D6104" t="str">
            <v>GF PLUS CAPITAL HOLDINGS LLC</v>
          </cell>
          <cell r="E6104" t="str">
            <v>GF PLUS CAPITAL HOLDINGS LLC</v>
          </cell>
        </row>
        <row r="6105">
          <cell r="B6105">
            <v>124551</v>
          </cell>
          <cell r="C6105" t="str">
            <v>JGP SELECT PREMIUM FIM CP IE</v>
          </cell>
          <cell r="D6105" t="str">
            <v>JGP SELECT PREMIUM FIM CP IE</v>
          </cell>
          <cell r="E6105" t="str">
            <v>JGP SELECT PREMIUM FIM CP IE</v>
          </cell>
        </row>
        <row r="6106">
          <cell r="B6106">
            <v>124552</v>
          </cell>
          <cell r="C6106" t="str">
            <v>JGP SELECT MASTER FIM CP</v>
          </cell>
          <cell r="D6106" t="str">
            <v>JGP SELECT MASTER FIM CP</v>
          </cell>
          <cell r="E6106" t="str">
            <v>JGP SELECT MASTER FIM CP</v>
          </cell>
        </row>
        <row r="6107">
          <cell r="B6107">
            <v>124553</v>
          </cell>
          <cell r="C6107" t="str">
            <v>JGP CORPORATE PLUS MASTER FIM CP</v>
          </cell>
          <cell r="D6107" t="str">
            <v>JGP CORPORATE PLUS MASTER FIM CP</v>
          </cell>
          <cell r="E6107" t="str">
            <v>JGP CORPORATE PLUS MASTER FIM CP</v>
          </cell>
        </row>
        <row r="6108">
          <cell r="B6108">
            <v>124554</v>
          </cell>
          <cell r="C6108" t="str">
            <v>JGP CORPORATE MASTER FI RF CP LP</v>
          </cell>
          <cell r="D6108" t="str">
            <v>JGP CORPORATE MASTER FI RF CP LP</v>
          </cell>
          <cell r="E6108" t="str">
            <v>JGP CORPORATE MASTER FI RF CP LP</v>
          </cell>
        </row>
        <row r="6109">
          <cell r="B6109">
            <v>124555</v>
          </cell>
          <cell r="C6109" t="str">
            <v>GRUMARI FIA</v>
          </cell>
          <cell r="D6109" t="str">
            <v>GRUMARI FIA</v>
          </cell>
          <cell r="E6109" t="str">
            <v>GRUMARI FIA</v>
          </cell>
        </row>
        <row r="6110">
          <cell r="B6110">
            <v>124556</v>
          </cell>
          <cell r="C6110" t="str">
            <v>JGP LONG ONLY INSTITUCIONAL 60 FIA</v>
          </cell>
          <cell r="D6110" t="str">
            <v>JGP LONG ONLY INSTITUCIONAL 60 FIA</v>
          </cell>
          <cell r="E6110" t="str">
            <v>JGP LONG ONLY INSTITUCIONAL 60 FIA</v>
          </cell>
        </row>
        <row r="6111">
          <cell r="B6111">
            <v>124557</v>
          </cell>
          <cell r="C6111" t="str">
            <v>FCOPEL FIA I</v>
          </cell>
          <cell r="D6111" t="str">
            <v>FCOPEL FIA I</v>
          </cell>
          <cell r="E6111" t="str">
            <v>JGP GESTAO PATRIMONIAL LTDA</v>
          </cell>
        </row>
        <row r="6112">
          <cell r="B6112">
            <v>124558</v>
          </cell>
          <cell r="C6112" t="str">
            <v>FIM CP ALBATROZ</v>
          </cell>
          <cell r="D6112" t="str">
            <v>FIM CP ALBATROZ</v>
          </cell>
          <cell r="E6112" t="str">
            <v>FIM CP ALBATROZ</v>
          </cell>
        </row>
        <row r="6113">
          <cell r="B6113">
            <v>124559</v>
          </cell>
          <cell r="C6113" t="str">
            <v>JGP CREDITO XP FIM CP</v>
          </cell>
          <cell r="D6113" t="str">
            <v>JGP CREDITO XP FIM CP</v>
          </cell>
          <cell r="E6113" t="str">
            <v>JGP CREDITO XP FIM CP</v>
          </cell>
        </row>
        <row r="6114">
          <cell r="B6114">
            <v>124563</v>
          </cell>
          <cell r="C6114" t="str">
            <v>JGP STRATEGY MASTER FIM</v>
          </cell>
          <cell r="D6114" t="str">
            <v>JGP STRATEGY MASTER FIM</v>
          </cell>
          <cell r="E6114" t="str">
            <v>JGP GESTAO PATRIMONIAL LTDA</v>
          </cell>
        </row>
        <row r="6115">
          <cell r="B6115">
            <v>124564</v>
          </cell>
          <cell r="C6115" t="str">
            <v>JGP MAX MASTER FIM</v>
          </cell>
          <cell r="D6115" t="str">
            <v>JGP MAX MASTER FIM</v>
          </cell>
          <cell r="E6115" t="str">
            <v>JGP GESTAO PATRIMONIAL LTDA</v>
          </cell>
        </row>
        <row r="6116">
          <cell r="B6116">
            <v>124565</v>
          </cell>
          <cell r="C6116" t="str">
            <v>JGP HEDGE MASTER FIM</v>
          </cell>
          <cell r="D6116" t="str">
            <v>JGP HEDGE MASTER FIM</v>
          </cell>
          <cell r="E6116" t="str">
            <v>JGP GESTAO PATRIMONIAL LTDA</v>
          </cell>
        </row>
        <row r="6117">
          <cell r="B6117">
            <v>124566</v>
          </cell>
          <cell r="C6117" t="str">
            <v>NORTHERN GATE LLC</v>
          </cell>
          <cell r="D6117" t="str">
            <v>NORTHERN GATE LLC</v>
          </cell>
          <cell r="E6117" t="str">
            <v>JGP GESTAO PATRIMONIAL LTDA</v>
          </cell>
        </row>
        <row r="6118">
          <cell r="B6118">
            <v>124567</v>
          </cell>
          <cell r="C6118" t="str">
            <v>SOLOIST CAPITAL , LLC</v>
          </cell>
          <cell r="D6118" t="str">
            <v>SOLOIST CAPITAL , LLC</v>
          </cell>
          <cell r="E6118" t="str">
            <v>JGP GESTAO PATRIMONIAL LTDA</v>
          </cell>
        </row>
        <row r="6119">
          <cell r="B6119">
            <v>124568</v>
          </cell>
          <cell r="C6119" t="str">
            <v>MODAL XP ICATU PREVIDENCIA FIM</v>
          </cell>
          <cell r="D6119" t="str">
            <v>MODAL XP ICATU PREVIDENCIA FIM</v>
          </cell>
          <cell r="E6119" t="str">
            <v>MODAL ASSET MANAGEMENT LTDA</v>
          </cell>
        </row>
        <row r="6120">
          <cell r="B6120">
            <v>124570</v>
          </cell>
          <cell r="C6120" t="str">
            <v>CLARITAS ADVISORY ICATU PREVIDENCIA FIM</v>
          </cell>
          <cell r="D6120" t="str">
            <v>CLARITAS ADVISORY ICATU PREVIDENCIA FIM</v>
          </cell>
          <cell r="E6120" t="str">
            <v>PRINCIPAL ASSET MANAGEMENT LTDA</v>
          </cell>
        </row>
        <row r="6121">
          <cell r="B6121">
            <v>124571</v>
          </cell>
          <cell r="C6121" t="str">
            <v>BRADESCO FIM CP IE LD</v>
          </cell>
          <cell r="D6121" t="str">
            <v>BRADESCO FIM CP IE LD</v>
          </cell>
          <cell r="E6121" t="str">
            <v>BRAM - BRADESCO ASSET MANAGEMENT S/A DTVM</v>
          </cell>
        </row>
        <row r="6122">
          <cell r="B6122">
            <v>124577</v>
          </cell>
          <cell r="C6122" t="str">
            <v>ESH THETA 18 FIC DE FIM</v>
          </cell>
          <cell r="D6122" t="str">
            <v>ESH THETA 18 FIC DE FIM</v>
          </cell>
          <cell r="E6122" t="str">
            <v>ESH CAPITAL INVESTIMENTOS LTDA.</v>
          </cell>
        </row>
        <row r="6123">
          <cell r="B6123">
            <v>124578</v>
          </cell>
          <cell r="C6123" t="str">
            <v>BB GESTAO DE RECURSOS DTVM LTDA</v>
          </cell>
          <cell r="D6123" t="str">
            <v>BB GESTAO DE RECURSOS DTVM LTDA</v>
          </cell>
          <cell r="E6123" t="str">
            <v>BB GESTAO DE RECURSOS DTVM LTDA</v>
          </cell>
        </row>
        <row r="6124">
          <cell r="B6124">
            <v>124579</v>
          </cell>
          <cell r="C6124" t="str">
            <v>GROUPER EQUITY LLC</v>
          </cell>
          <cell r="D6124" t="str">
            <v>GROUPER EQUITY LLC</v>
          </cell>
          <cell r="E6124" t="str">
            <v>SQUADRA INVESTIMENTOS GESTÃƒO DE RECURSOS LTDA</v>
          </cell>
        </row>
        <row r="6125">
          <cell r="B6125">
            <v>124580</v>
          </cell>
          <cell r="C6125" t="str">
            <v>SNAPPER EQUITY LLC</v>
          </cell>
          <cell r="D6125" t="str">
            <v>SNAPPER EQUITY LLC</v>
          </cell>
          <cell r="E6125" t="str">
            <v>SQUADRA INVESTIMENTOS GESTÃƒO DE RECURSOS LTDA</v>
          </cell>
        </row>
        <row r="6126">
          <cell r="B6126">
            <v>124581</v>
          </cell>
          <cell r="C6126" t="str">
            <v>SQUADRA VE I FIA</v>
          </cell>
          <cell r="D6126" t="str">
            <v>SQUADRA VE I FIA</v>
          </cell>
          <cell r="E6126" t="str">
            <v>SQUADRA INVESTIMENTOS GESTÃƒO DE RECURSOS LTDA</v>
          </cell>
        </row>
        <row r="6127">
          <cell r="B6127">
            <v>124582</v>
          </cell>
          <cell r="C6127" t="str">
            <v>TUNA EQUITY LLC</v>
          </cell>
          <cell r="D6127" t="str">
            <v>TUNA EQUITY LLC</v>
          </cell>
          <cell r="E6127" t="str">
            <v>SQUADRA INVESTIMENTOS GESTÃƒO DE RECURSOS LTDA</v>
          </cell>
        </row>
        <row r="6128">
          <cell r="B6128">
            <v>124585</v>
          </cell>
          <cell r="C6128" t="str">
            <v>MANDATTO CONSOLIDADOR RENDA VARIAVEL FIA</v>
          </cell>
          <cell r="D6128" t="str">
            <v>MANDATTO CONSOLIDADOR RENDA VARIAVEL FIA</v>
          </cell>
          <cell r="E6128" t="str">
            <v>MANDATTO GESTAO DE INVESTIMENTOS LTDA</v>
          </cell>
        </row>
        <row r="6129">
          <cell r="B6129">
            <v>124587</v>
          </cell>
          <cell r="C6129" t="str">
            <v>SANTANDER CACEIS BRASIL DTVM S.A.</v>
          </cell>
          <cell r="D6129" t="str">
            <v>SANTANDER CACEIS BRASIL DTVM S.A.</v>
          </cell>
          <cell r="E6129" t="str">
            <v>SANTANDER BRASIL GESTAO DE RECURSOS LTDA</v>
          </cell>
        </row>
        <row r="6130">
          <cell r="B6130">
            <v>124588</v>
          </cell>
          <cell r="C6130" t="str">
            <v>SANTANDER CACEIS BRASIL DTVM S.A.</v>
          </cell>
          <cell r="D6130" t="str">
            <v>SANTANDER CACEIS BRASIL DTVM S.A.</v>
          </cell>
          <cell r="E6130" t="str">
            <v>SANTANDER BRASIL GESTAO DE RECURSOS LTDA</v>
          </cell>
        </row>
        <row r="6131">
          <cell r="B6131">
            <v>124589</v>
          </cell>
          <cell r="C6131" t="str">
            <v>KONDOR ANDES MASTER FIM</v>
          </cell>
          <cell r="D6131" t="str">
            <v>KONDOR ANDES MASTER FIM</v>
          </cell>
          <cell r="E6131" t="str">
            <v>KONDOR ADMINISTRADORA E GESTORA DE RECURSOS FINANCEIROS LTDA</v>
          </cell>
        </row>
        <row r="6132">
          <cell r="B6132">
            <v>124590</v>
          </cell>
          <cell r="C6132" t="str">
            <v>ITAU MASTER GLOBAL DINAMICO MULTIMERCADO FI</v>
          </cell>
          <cell r="D6132" t="str">
            <v>ITAU MASTER GLOBAL DINAMICO MULTIMERCADO FI</v>
          </cell>
          <cell r="E6132" t="str">
            <v>ITAU UNIBANCO ASSET - TACO</v>
          </cell>
        </row>
        <row r="6133">
          <cell r="B6133">
            <v>124591</v>
          </cell>
          <cell r="C6133" t="str">
            <v>ITAU FLEXPREV MACRO MULTIMERCADO FI</v>
          </cell>
          <cell r="D6133" t="str">
            <v>ITAU FLEXPREV MACRO MULTIMERCADO FI</v>
          </cell>
          <cell r="E6133" t="str">
            <v>ITAU UNIBANCO S/A</v>
          </cell>
        </row>
        <row r="6134">
          <cell r="B6134">
            <v>124592</v>
          </cell>
          <cell r="C6134" t="str">
            <v>VENEZA INSTITUCIONAL FIA</v>
          </cell>
          <cell r="D6134" t="str">
            <v>VENEZA INSTITUCIONAL FIA</v>
          </cell>
          <cell r="E6134" t="str">
            <v>VENEZA INSTITUCIONAL FIA</v>
          </cell>
        </row>
        <row r="6135">
          <cell r="B6135">
            <v>124593</v>
          </cell>
          <cell r="C6135" t="str">
            <v>WM MACRO ALLOCATION FIM</v>
          </cell>
          <cell r="D6135" t="str">
            <v>WM MACRO ALLOCATION FIM</v>
          </cell>
          <cell r="E6135" t="str">
            <v>ITAU UNIBANCO S/A</v>
          </cell>
        </row>
        <row r="6136">
          <cell r="B6136">
            <v>124594</v>
          </cell>
          <cell r="C6136" t="str">
            <v>WM IBOVESPA PLUS FIA</v>
          </cell>
          <cell r="D6136" t="str">
            <v>WM IBOVESPA PLUS FIA</v>
          </cell>
          <cell r="E6136" t="str">
            <v>ITAU UNIBANCO S/A</v>
          </cell>
        </row>
        <row r="6137">
          <cell r="B6137">
            <v>124596</v>
          </cell>
          <cell r="C6137" t="str">
            <v>REISC FI PREVIDENCIARIO MULTIMERCADO II</v>
          </cell>
          <cell r="D6137" t="str">
            <v>REISC FI PREVIDENCIARIO MULTIMERCADO II</v>
          </cell>
          <cell r="E6137" t="str">
            <v>REISC FI PREVIDENCIARIO MULTIMERCADO II</v>
          </cell>
        </row>
        <row r="6138">
          <cell r="B6138">
            <v>124599</v>
          </cell>
          <cell r="C6138" t="str">
            <v>LUMA FIM IE</v>
          </cell>
          <cell r="D6138" t="str">
            <v>LUMA FIM IE</v>
          </cell>
          <cell r="E6138" t="str">
            <v>ESH CAPITAL INVESTIMENTOS LTDA.</v>
          </cell>
        </row>
        <row r="6139">
          <cell r="B6139">
            <v>124602</v>
          </cell>
          <cell r="C6139" t="str">
            <v>ABSOLUTE ICATU PREV MASTER FIM</v>
          </cell>
          <cell r="D6139" t="str">
            <v>ABSOLUTE ICATU PREV MASTER FIM</v>
          </cell>
          <cell r="E6139" t="str">
            <v>ABSOLUTE GESTAO DE INVESTIMENTOS LTDA</v>
          </cell>
        </row>
        <row r="6140">
          <cell r="B6140">
            <v>124603</v>
          </cell>
          <cell r="C6140" t="str">
            <v>WRIGHT GLOBAL ALLOCATION FIM CRED PRIV IE</v>
          </cell>
          <cell r="D6140" t="str">
            <v>WRIGHT GLOBAL ALLOCATION FIM CRED PRIV IE</v>
          </cell>
          <cell r="E6140" t="str">
            <v>WRIGHT GLOBAL ALLOCATION FIM CRED PRIV IE</v>
          </cell>
        </row>
        <row r="6141">
          <cell r="B6141">
            <v>124604</v>
          </cell>
          <cell r="C6141" t="str">
            <v>KUWAIT INVESTMENT AUTHORITY - CITIBANK DTVM S.A</v>
          </cell>
          <cell r="D6141" t="str">
            <v>KUWAIT INVESTMENT AUTHORITY - CITIBANK DTVM S.A</v>
          </cell>
          <cell r="E6141" t="str">
            <v>FRANKLIN TEMPLETON INVESTIMENTOS (BRASIL) LTDA</v>
          </cell>
        </row>
        <row r="6142">
          <cell r="B6142">
            <v>124605</v>
          </cell>
          <cell r="C6142" t="str">
            <v>BB GESTAO DE RECURSOS DTVM LTDA</v>
          </cell>
          <cell r="D6142" t="str">
            <v>BB GESTAO DE RECURSOS DTVM LTDA</v>
          </cell>
          <cell r="E6142" t="str">
            <v>BB GESTAO DE RECURSOS DTVM LTDA</v>
          </cell>
        </row>
        <row r="6143">
          <cell r="B6143">
            <v>124606</v>
          </cell>
          <cell r="C6143" t="str">
            <v>FORPUS KOI FIA</v>
          </cell>
          <cell r="D6143" t="str">
            <v>FORPUS KOI FIA</v>
          </cell>
          <cell r="E6143" t="str">
            <v>FORPUS CAPITAL GESTÃƒO DE RECURSOS LTDA</v>
          </cell>
        </row>
        <row r="6144">
          <cell r="B6144">
            <v>124608</v>
          </cell>
          <cell r="C6144" t="str">
            <v>BB GESTAO DE RECURSOS DTVM LTDA</v>
          </cell>
          <cell r="D6144" t="str">
            <v>BB GESTAO DE RECURSOS DTVM LTDA</v>
          </cell>
          <cell r="E6144" t="str">
            <v>BB GESTAO DE RECURSOS DTVM LTDA</v>
          </cell>
        </row>
        <row r="6145">
          <cell r="B6145">
            <v>124609</v>
          </cell>
          <cell r="C6145" t="str">
            <v>BB GESTAO DE RECURSOS DTVM LTDA</v>
          </cell>
          <cell r="D6145" t="str">
            <v>BB GESTAO DE RECURSOS DTVM LTDA</v>
          </cell>
          <cell r="E6145" t="str">
            <v>BB GESTAO DE RECURSOS DTVM LTDA</v>
          </cell>
        </row>
        <row r="6146">
          <cell r="B6146">
            <v>124611</v>
          </cell>
          <cell r="C6146" t="str">
            <v>GUSTAVO DE CASTRO SHORT</v>
          </cell>
          <cell r="D6146" t="str">
            <v>GUSTAVO DE CASTRO SHORT</v>
          </cell>
          <cell r="E6146" t="str">
            <v>GUSTAVO DE CASTRO SHORT</v>
          </cell>
        </row>
        <row r="6147">
          <cell r="B6147">
            <v>124612</v>
          </cell>
          <cell r="C6147" t="str">
            <v>QUANTITAS FIA MONTECRISTO</v>
          </cell>
          <cell r="D6147" t="str">
            <v>QUANTITAS FIA MONTECRISTO</v>
          </cell>
          <cell r="E6147" t="str">
            <v>QUANTITAS FIA MONTECRISTO</v>
          </cell>
        </row>
        <row r="6148">
          <cell r="B6148">
            <v>124613</v>
          </cell>
          <cell r="C6148" t="str">
            <v>ANTHURIUM FIM CP IE</v>
          </cell>
          <cell r="D6148" t="str">
            <v>ANTHURIUM FIM CP IE</v>
          </cell>
          <cell r="E6148" t="str">
            <v>BANCO SAFRA S/A</v>
          </cell>
        </row>
        <row r="6149">
          <cell r="B6149">
            <v>124614</v>
          </cell>
          <cell r="C6149" t="str">
            <v>EARTH FIM CP</v>
          </cell>
          <cell r="D6149" t="str">
            <v>EARTH FIM CP</v>
          </cell>
          <cell r="E6149" t="str">
            <v>EARTH FIM CP</v>
          </cell>
        </row>
        <row r="6150">
          <cell r="B6150">
            <v>124616</v>
          </cell>
          <cell r="C6150" t="str">
            <v>CIRCINUS FIM CP IE</v>
          </cell>
          <cell r="D6150" t="str">
            <v>CIRCINUS FIM CP IE</v>
          </cell>
          <cell r="E6150" t="str">
            <v>EMERALD GESTAO DE INVESTIMENTOS LTDA</v>
          </cell>
        </row>
        <row r="6151">
          <cell r="B6151">
            <v>124617</v>
          </cell>
          <cell r="C6151" t="str">
            <v>VIRGO FIM CP IE</v>
          </cell>
          <cell r="D6151" t="str">
            <v>VIRGO FIM CP IE</v>
          </cell>
          <cell r="E6151" t="str">
            <v>BANCO SAFRA S/A</v>
          </cell>
        </row>
        <row r="6152">
          <cell r="B6152">
            <v>124618</v>
          </cell>
          <cell r="C6152" t="str">
            <v>AUSTRALE FIM</v>
          </cell>
          <cell r="D6152" t="str">
            <v>AUSTRALE FIM</v>
          </cell>
          <cell r="E6152" t="str">
            <v>BANCO SAFRA S/A</v>
          </cell>
        </row>
        <row r="6153">
          <cell r="B6153">
            <v>124620</v>
          </cell>
          <cell r="C6153" t="str">
            <v>EARTH FIM CP</v>
          </cell>
          <cell r="D6153" t="str">
            <v>EARTH FIM CP</v>
          </cell>
          <cell r="E6153" t="str">
            <v>EARTH FIM CP</v>
          </cell>
        </row>
        <row r="6154">
          <cell r="B6154">
            <v>124621</v>
          </cell>
          <cell r="C6154" t="str">
            <v>BB GESTAO DE RECURSOS DTVM LTDA</v>
          </cell>
          <cell r="D6154" t="str">
            <v>BB GESTAO DE RECURSOS DTVM LTDA</v>
          </cell>
          <cell r="E6154" t="str">
            <v>BB GESTAO DE RECURSOS DTVM LTDA</v>
          </cell>
        </row>
        <row r="6155">
          <cell r="B6155">
            <v>124622</v>
          </cell>
          <cell r="C6155" t="str">
            <v>FP NEO TOTAL RETURN FIA</v>
          </cell>
          <cell r="D6155" t="str">
            <v>FP NEO TOTAL RETURN FIA</v>
          </cell>
          <cell r="E6155" t="str">
            <v>NEO GESTÃO DE RECURSOS LTDA</v>
          </cell>
        </row>
        <row r="6156">
          <cell r="B6156">
            <v>12568</v>
          </cell>
          <cell r="C6156" t="str">
            <v>BB BANCO DE INVESTIMENTO S/A</v>
          </cell>
          <cell r="D6156" t="str">
            <v>BB BANCO DE INVESTIMENTO S/A</v>
          </cell>
          <cell r="E6156" t="str">
            <v>BB BANCO DE INVESTIMENTO S/A</v>
          </cell>
        </row>
        <row r="6157">
          <cell r="B6157">
            <v>12578</v>
          </cell>
          <cell r="C6157" t="str">
            <v>LACAN PARTICIPACOES LTDA</v>
          </cell>
          <cell r="D6157" t="str">
            <v>LACAN PARTICIPACOES LTDA</v>
          </cell>
          <cell r="E6157" t="str">
            <v>LACAN PARTICIPACOES LTDA</v>
          </cell>
        </row>
        <row r="6158">
          <cell r="B6158">
            <v>12587</v>
          </cell>
          <cell r="C6158" t="str">
            <v>ABB LTDA</v>
          </cell>
          <cell r="D6158" t="str">
            <v>ABB LTDA</v>
          </cell>
          <cell r="E6158" t="str">
            <v>ABB LTDA</v>
          </cell>
        </row>
        <row r="6159">
          <cell r="B6159">
            <v>12622</v>
          </cell>
          <cell r="C6159" t="str">
            <v>MARIO SERGIO GONCALVES LEITE</v>
          </cell>
          <cell r="D6159" t="str">
            <v>MARIO SERGIO GONCALVES LEITE</v>
          </cell>
          <cell r="E6159" t="str">
            <v>MARIO SERGIO GONCALVES LEITE</v>
          </cell>
        </row>
        <row r="6160">
          <cell r="B6160">
            <v>12644</v>
          </cell>
          <cell r="C6160" t="str">
            <v>PAULO VICENTE VIANNA DA SILVA JUNIOR</v>
          </cell>
          <cell r="D6160" t="str">
            <v>PAULO VICENTE VIANNA DA SILVA JUNIOR</v>
          </cell>
          <cell r="E6160" t="str">
            <v>PAULO VICENTE VIANNA DA SILVA JUNIOR</v>
          </cell>
        </row>
        <row r="6161">
          <cell r="B6161">
            <v>12680</v>
          </cell>
          <cell r="C6161" t="str">
            <v>LEOPOLDO PIMENTEL B. VIEIRA CAETANO</v>
          </cell>
          <cell r="D6161" t="str">
            <v>LEOPOLDO PIMENTEL B. VIEIRA CAETANO</v>
          </cell>
          <cell r="E6161" t="str">
            <v>LEOPOLDO PIMENTEL B. VIEIRA CAETANO</v>
          </cell>
        </row>
        <row r="6162">
          <cell r="B6162">
            <v>127</v>
          </cell>
          <cell r="C6162" t="str">
            <v>TULLETT PREBON BRASIL CVC (ANTIGA CONVENÃ‡AO)</v>
          </cell>
          <cell r="D6162" t="str">
            <v>TULLETT PREBON BRASIL CVC (ANTIGA CONVENÃ‡AO)</v>
          </cell>
          <cell r="E6162" t="str">
            <v>TULLETT PREBON BRASIL CVC LTDA</v>
          </cell>
        </row>
        <row r="6163">
          <cell r="B6163">
            <v>12730</v>
          </cell>
          <cell r="C6163" t="str">
            <v>CLAUDIO ADOLFO VEGA RIVEROS</v>
          </cell>
          <cell r="D6163" t="str">
            <v>CLAUDIO ADOLFO VEGA RIVEROS</v>
          </cell>
          <cell r="E6163" t="str">
            <v>CLAUDIO ADOLFO VEGA RIVEROS</v>
          </cell>
        </row>
        <row r="6164">
          <cell r="B6164">
            <v>13</v>
          </cell>
          <cell r="C6164" t="str">
            <v>MERRILL LYNCH S/A CTVM</v>
          </cell>
          <cell r="D6164" t="str">
            <v>MERRILL LYNCH S/A CTVM</v>
          </cell>
          <cell r="E6164" t="str">
            <v>MERRILL LYNCH S/A CTVM</v>
          </cell>
        </row>
        <row r="6165">
          <cell r="B6165">
            <v>130</v>
          </cell>
          <cell r="C6165" t="str">
            <v>SANTANDER S/A CCT</v>
          </cell>
          <cell r="D6165" t="str">
            <v>SANTANDER S/A CCT</v>
          </cell>
          <cell r="E6165" t="str">
            <v>SANTANDER S/A CCT</v>
          </cell>
        </row>
        <row r="6166">
          <cell r="B6166">
            <v>131</v>
          </cell>
          <cell r="C6166" t="str">
            <v>FATOR S/A CV</v>
          </cell>
          <cell r="D6166" t="str">
            <v>FATOR S/A CV</v>
          </cell>
          <cell r="E6166" t="str">
            <v>FATOR S/A CV</v>
          </cell>
        </row>
        <row r="6167">
          <cell r="B6167">
            <v>13111</v>
          </cell>
          <cell r="C6167" t="str">
            <v>BB GESTAO DE RECURSOS DTVM LTDA</v>
          </cell>
          <cell r="D6167" t="str">
            <v>BB GESTAO DE RECURSOS DTVM LTDA</v>
          </cell>
          <cell r="E6167" t="str">
            <v>BB BANCO DE INVESTIMENTO S/A</v>
          </cell>
        </row>
        <row r="6168">
          <cell r="B6168">
            <v>13194</v>
          </cell>
          <cell r="C6168" t="str">
            <v>BB GESTAO DE RECURSOS DTVM LTDA</v>
          </cell>
          <cell r="D6168" t="str">
            <v>BB GESTAO DE RECURSOS DTVM LTDA</v>
          </cell>
          <cell r="E6168" t="str">
            <v>BB BANCO DE INVESTIMENTO S/A</v>
          </cell>
        </row>
        <row r="6169">
          <cell r="B6169">
            <v>13258</v>
          </cell>
          <cell r="C6169" t="str">
            <v>VIVIANNE MENDONÃ‡A BATISTA</v>
          </cell>
          <cell r="D6169" t="str">
            <v>VIVIANNE MENDONÃ‡A BATISTA</v>
          </cell>
          <cell r="E6169" t="str">
            <v>VIVIANNE MENDONÃ‡A BATISTA</v>
          </cell>
        </row>
        <row r="6170">
          <cell r="B6170">
            <v>13259</v>
          </cell>
          <cell r="C6170" t="str">
            <v>BANCO VOITER S/A</v>
          </cell>
          <cell r="D6170" t="str">
            <v>BANCO VOITER S/A</v>
          </cell>
          <cell r="E6170" t="str">
            <v>BANCO VOITER S/A</v>
          </cell>
        </row>
        <row r="6171">
          <cell r="B6171">
            <v>133</v>
          </cell>
          <cell r="C6171" t="str">
            <v>BB GESTAO DE RECURSOS DTVM LTDA</v>
          </cell>
          <cell r="D6171" t="str">
            <v>BB GESTAO DE RECURSOS DTVM LTDA</v>
          </cell>
          <cell r="E6171" t="str">
            <v>BB GESTAO DE RECURSOS DTVM LTDA</v>
          </cell>
        </row>
        <row r="6172">
          <cell r="B6172">
            <v>134</v>
          </cell>
          <cell r="C6172" t="str">
            <v>BB GESTAO DE RECURSOS DTVM LTDA</v>
          </cell>
          <cell r="D6172" t="str">
            <v>BB GESTAO DE RECURSOS DTVM LTDA</v>
          </cell>
          <cell r="E6172" t="str">
            <v>BB GESTAO DE RECURSOS DTVM LTDA</v>
          </cell>
        </row>
        <row r="6173">
          <cell r="B6173">
            <v>13458</v>
          </cell>
          <cell r="C6173" t="str">
            <v>BB BANCO DE INVESTIMENTO S/A</v>
          </cell>
          <cell r="D6173" t="str">
            <v>BB BANCO DE INVESTIMENTO S/A</v>
          </cell>
          <cell r="E6173" t="str">
            <v>BB BANCO DE INVESTIMENTO S/A</v>
          </cell>
        </row>
        <row r="6174">
          <cell r="B6174">
            <v>135</v>
          </cell>
          <cell r="C6174" t="str">
            <v>BB GESTAO DE RECURSOS DTVM LTDA</v>
          </cell>
          <cell r="D6174" t="str">
            <v>BB GESTAO DE RECURSOS DTVM LTDA</v>
          </cell>
          <cell r="E6174" t="str">
            <v>BB GESTAO DE RECURSOS DTVM LTDA</v>
          </cell>
        </row>
        <row r="6175">
          <cell r="B6175">
            <v>13520</v>
          </cell>
          <cell r="C6175" t="str">
            <v>MOACIR MARIO KANG</v>
          </cell>
          <cell r="D6175" t="str">
            <v>MOACIR MARIO KANG</v>
          </cell>
          <cell r="E6175" t="str">
            <v>MOACIR MARIO KANG</v>
          </cell>
        </row>
        <row r="6176">
          <cell r="B6176">
            <v>13546</v>
          </cell>
          <cell r="C6176" t="str">
            <v>MERCATTO ARPOADOR PRINCIPAL PROTEGIDO FIF</v>
          </cell>
          <cell r="D6176" t="str">
            <v>MERCATTO ARPOADOR PRINCIPAL PROTEGIDO FIF</v>
          </cell>
          <cell r="E6176" t="str">
            <v>MERCATTO ARPOADOR PRINCIPAL PROTEGIDO FIF</v>
          </cell>
        </row>
        <row r="6177">
          <cell r="B6177">
            <v>136</v>
          </cell>
          <cell r="C6177" t="str">
            <v>BB GESTAO DE RECURSOS DTVM LTDA</v>
          </cell>
          <cell r="D6177" t="str">
            <v>BB GESTAO DE RECURSOS DTVM LTDA</v>
          </cell>
          <cell r="E6177" t="str">
            <v>BB GESTAO DE RECURSOS DTVM LTDA</v>
          </cell>
        </row>
        <row r="6178">
          <cell r="B6178">
            <v>137</v>
          </cell>
          <cell r="C6178" t="str">
            <v>BB GESTAO DE RECURSOS DTVM LTDA</v>
          </cell>
          <cell r="D6178" t="str">
            <v>BB GESTAO DE RECURSOS DTVM LTDA</v>
          </cell>
          <cell r="E6178" t="str">
            <v>BB GESTAO DE RECURSOS DTVM LTDA</v>
          </cell>
        </row>
        <row r="6179">
          <cell r="B6179">
            <v>138</v>
          </cell>
          <cell r="C6179" t="str">
            <v>BB GESTAO DE RECURSOS DTVM LTDA</v>
          </cell>
          <cell r="D6179" t="str">
            <v>BB GESTAO DE RECURSOS DTVM LTDA</v>
          </cell>
          <cell r="E6179" t="str">
            <v>BB GESTAO DE RECURSOS DTVM LTDA</v>
          </cell>
        </row>
        <row r="6180">
          <cell r="B6180">
            <v>13877</v>
          </cell>
          <cell r="C6180" t="str">
            <v>CELSO PIRES MARTINS</v>
          </cell>
          <cell r="D6180" t="str">
            <v>CELSO PIRES MARTINS</v>
          </cell>
          <cell r="E6180" t="str">
            <v>CELSO PIRES MARTINS</v>
          </cell>
        </row>
        <row r="6181">
          <cell r="B6181">
            <v>139</v>
          </cell>
          <cell r="C6181" t="str">
            <v>BB GESTAO DE RECURSOS DTVM LTDA</v>
          </cell>
          <cell r="D6181" t="str">
            <v>BB GESTAO DE RECURSOS DTVM LTDA</v>
          </cell>
          <cell r="E6181" t="str">
            <v>BB GESTAO DE RECURSOS DTVM LTDA</v>
          </cell>
        </row>
        <row r="6182">
          <cell r="B6182">
            <v>14</v>
          </cell>
          <cell r="C6182" t="str">
            <v>ANDREA DE CASTRO NEVES GARUTI</v>
          </cell>
          <cell r="D6182" t="str">
            <v>ANDREA DE CASTRO NEVES GARUTI</v>
          </cell>
          <cell r="E6182" t="str">
            <v>ANDREA DE CASTRO NEVES GARUTI</v>
          </cell>
        </row>
        <row r="6183">
          <cell r="B6183">
            <v>140</v>
          </cell>
          <cell r="C6183" t="str">
            <v>BB GESTAO DE RECURSOS DTVM LTDA</v>
          </cell>
          <cell r="D6183" t="str">
            <v>BB GESTAO DE RECURSOS DTVM LTDA</v>
          </cell>
          <cell r="E6183" t="str">
            <v>BB GESTAO DE RECURSOS DTVM LTDA</v>
          </cell>
        </row>
        <row r="6184">
          <cell r="B6184">
            <v>141</v>
          </cell>
          <cell r="C6184" t="str">
            <v>BB GESTAO DE RECURSOS DTVM LTDA</v>
          </cell>
          <cell r="D6184" t="str">
            <v>BB GESTAO DE RECURSOS DTVM LTDA</v>
          </cell>
          <cell r="E6184" t="str">
            <v>BB GESTAO DE RECURSOS DTVM LTDA</v>
          </cell>
        </row>
        <row r="6185">
          <cell r="B6185">
            <v>142</v>
          </cell>
          <cell r="C6185" t="str">
            <v>BB GESTAO DE RECURSOS DTVM LTDA</v>
          </cell>
          <cell r="D6185" t="str">
            <v>BB GESTAO DE RECURSOS DTVM LTDA</v>
          </cell>
          <cell r="E6185" t="str">
            <v>BB GESTAO DE RECURSOS DTVM LTDA</v>
          </cell>
        </row>
        <row r="6186">
          <cell r="B6186">
            <v>14235</v>
          </cell>
          <cell r="C6186" t="str">
            <v>BANCO BANESTADO S/A</v>
          </cell>
          <cell r="D6186" t="str">
            <v>BANCO BANESTADO S/A</v>
          </cell>
          <cell r="E6186" t="str">
            <v>BANCO BANESTADO S/A</v>
          </cell>
        </row>
        <row r="6187">
          <cell r="B6187">
            <v>14252</v>
          </cell>
          <cell r="C6187" t="str">
            <v>QUELUZ ALOCACAO FIC DE FIM</v>
          </cell>
          <cell r="D6187" t="str">
            <v>QUELUZ ALOCACAO FIC DE FIM</v>
          </cell>
          <cell r="E6187" t="str">
            <v>QLZ GESTAO DE RECURSOS FINANCEIROS LTDA</v>
          </cell>
        </row>
        <row r="6188">
          <cell r="B6188">
            <v>14253</v>
          </cell>
          <cell r="C6188" t="str">
            <v>QUELUZ VALOR FUNDO DE INVESTIMENTO EM AÃ‡Ã•ES</v>
          </cell>
          <cell r="D6188" t="str">
            <v>QUELUZ VALOR FUNDO DE INVESTIMENTO EM AÃ‡Ã•ES</v>
          </cell>
          <cell r="E6188" t="str">
            <v>QLZ GESTAO DE RECURSOS FINANCEIROS LTDA</v>
          </cell>
        </row>
        <row r="6189">
          <cell r="B6189">
            <v>14254</v>
          </cell>
          <cell r="C6189" t="str">
            <v>FIM AVANTI CONSERVADOR</v>
          </cell>
          <cell r="D6189" t="str">
            <v>FIM AVANTI CONSERVADOR</v>
          </cell>
          <cell r="E6189" t="str">
            <v>QLZ GESTAO DE RECURSOS FINANCEIROS LTDA</v>
          </cell>
        </row>
        <row r="6190">
          <cell r="B6190">
            <v>14255</v>
          </cell>
          <cell r="C6190" t="str">
            <v>FIM EXCLUSIVO BULL LONGO PRAZO</v>
          </cell>
          <cell r="D6190" t="str">
            <v>FIM EXCLUSIVO BULL LONGO PRAZO</v>
          </cell>
          <cell r="E6190" t="str">
            <v>QLZ GESTAO DE RECURSOS FINANCEIROS LTDA</v>
          </cell>
        </row>
        <row r="6191">
          <cell r="B6191">
            <v>14256</v>
          </cell>
          <cell r="C6191" t="str">
            <v>FIM EXCLUSIVO WIT LONGO PRAZO</v>
          </cell>
          <cell r="D6191" t="str">
            <v>FIM EXCLUSIVO WIT LONGO PRAZO</v>
          </cell>
          <cell r="E6191" t="str">
            <v>FIM EXCLUSIVO WIT LONGO PRAZO</v>
          </cell>
        </row>
        <row r="6192">
          <cell r="B6192">
            <v>14257</v>
          </cell>
          <cell r="C6192" t="str">
            <v>BANCO PECUNIA S/A</v>
          </cell>
          <cell r="D6192" t="str">
            <v>BANCO PECUNIA S/A</v>
          </cell>
          <cell r="E6192" t="str">
            <v>BANCO PECUNIA S/A</v>
          </cell>
        </row>
        <row r="6193">
          <cell r="B6193">
            <v>14258</v>
          </cell>
          <cell r="C6193" t="str">
            <v>BANCO PINE S/A</v>
          </cell>
          <cell r="D6193" t="str">
            <v>BANCO PINE S/A</v>
          </cell>
          <cell r="E6193" t="str">
            <v>BANCO PINE S/A</v>
          </cell>
        </row>
        <row r="6194">
          <cell r="B6194">
            <v>14260</v>
          </cell>
          <cell r="C6194" t="str">
            <v>TAGUS TOP FI EM COTAS FIM</v>
          </cell>
          <cell r="D6194" t="str">
            <v>TAGUS TOP FI EM COTAS FIM</v>
          </cell>
          <cell r="E6194" t="str">
            <v>TAGUS TOP FI EM COTAS FIM</v>
          </cell>
        </row>
        <row r="6195">
          <cell r="B6195">
            <v>82858</v>
          </cell>
          <cell r="C6195" t="str">
            <v>GOLDMAN SACHS INTERNATIONAL - CITI</v>
          </cell>
          <cell r="D6195" t="str">
            <v>GOLDMAN SACHS INTERNATIONAL - CITI</v>
          </cell>
          <cell r="E6195" t="str">
            <v>GOLDMAN SACHS DO BRASIL BANCO MULTIPLO S/A</v>
          </cell>
        </row>
        <row r="6196">
          <cell r="B6196">
            <v>143</v>
          </cell>
          <cell r="C6196" t="str">
            <v>BB GESTAO DE RECURSOS DTVM LTDA</v>
          </cell>
          <cell r="D6196" t="str">
            <v>BB GESTAO DE RECURSOS DTVM LTDA</v>
          </cell>
          <cell r="E6196" t="str">
            <v>BB GESTAO DE RECURSOS DTVM LTDA</v>
          </cell>
        </row>
        <row r="6197">
          <cell r="B6197">
            <v>14320</v>
          </cell>
          <cell r="C6197" t="str">
            <v>BANK OF CHINA (BRASIL) BANCO MULTIPLO S/A</v>
          </cell>
          <cell r="D6197" t="str">
            <v>BANK OF CHINA (BRASIL) BANCO MULTIPLO S/A</v>
          </cell>
          <cell r="E6197" t="str">
            <v>BANCO DA CHINA BRASIL S/A</v>
          </cell>
        </row>
        <row r="6198">
          <cell r="B6198">
            <v>14323</v>
          </cell>
          <cell r="C6198" t="str">
            <v>TEORICA FIM</v>
          </cell>
          <cell r="D6198" t="str">
            <v>TEORICA FIM</v>
          </cell>
          <cell r="E6198" t="str">
            <v>TEORICA FIM</v>
          </cell>
        </row>
        <row r="6199">
          <cell r="B6199">
            <v>14330</v>
          </cell>
          <cell r="C6199" t="str">
            <v>ADIPAR EMPREENDIMENTOS E PARTICIPAÃ‡OES LTDA</v>
          </cell>
          <cell r="D6199" t="str">
            <v>ADIPAR EMPREENDIMENTOS E PARTICIPAÃ‡OES LTDA</v>
          </cell>
          <cell r="E6199" t="str">
            <v>ADIPAR EMPREENDIMENTOS E PARTICIPAÃ‡OES LTDA</v>
          </cell>
        </row>
        <row r="6200">
          <cell r="B6200">
            <v>14331</v>
          </cell>
          <cell r="C6200" t="str">
            <v>BANCO SUMITOMO MITSUI BRASILEIRO S.A</v>
          </cell>
          <cell r="D6200" t="str">
            <v>BANCO SUMITOMO MITSUI BRASILEIRO S.A</v>
          </cell>
          <cell r="E6200" t="str">
            <v>BANCO SUMITOMO MITSUI BRASILEIRO S/A</v>
          </cell>
        </row>
        <row r="6201">
          <cell r="B6201">
            <v>14332</v>
          </cell>
          <cell r="C6201" t="str">
            <v>BANCO DE LA PROVINCIA DE BUENOS AIRES</v>
          </cell>
          <cell r="D6201" t="str">
            <v>BANCO DE LA PROVINCIA DE BUENOS AIRES</v>
          </cell>
          <cell r="E6201" t="str">
            <v>BANCO DE LA PROVINCIA DE BUENOS AIRES</v>
          </cell>
        </row>
        <row r="6202">
          <cell r="B6202">
            <v>14333</v>
          </cell>
          <cell r="C6202" t="str">
            <v>BANCO PAULISTA S/A</v>
          </cell>
          <cell r="D6202" t="str">
            <v>BANCO PAULISTA S/A</v>
          </cell>
          <cell r="E6202" t="str">
            <v>BANCO PAULISTA S/A</v>
          </cell>
        </row>
        <row r="6203">
          <cell r="B6203">
            <v>14334</v>
          </cell>
          <cell r="C6203" t="str">
            <v>BANCO SOCIETE GENERALE BRASIL S/A</v>
          </cell>
          <cell r="D6203" t="str">
            <v>BANCO SOCIETE GENERALE BRASIL S/A</v>
          </cell>
          <cell r="E6203" t="str">
            <v>BANCO SOCIETE GENERALE BRASIL S/A</v>
          </cell>
        </row>
        <row r="6204">
          <cell r="B6204">
            <v>14335</v>
          </cell>
          <cell r="C6204" t="str">
            <v>BANCO ABC BRASIL S/A</v>
          </cell>
          <cell r="D6204" t="str">
            <v>BANCO ABC BRASIL S/A</v>
          </cell>
          <cell r="E6204" t="str">
            <v>BANCO ABC BRASIL S/A</v>
          </cell>
        </row>
        <row r="6205">
          <cell r="B6205">
            <v>14336</v>
          </cell>
          <cell r="C6205" t="str">
            <v>SPARTA ADMINISTRADORA DE RECURSOS LTDA</v>
          </cell>
          <cell r="D6205" t="str">
            <v>SPARTA ADMINISTRADORA DE RECURSOS LTDA</v>
          </cell>
          <cell r="E6205" t="str">
            <v>SPARTA ADMINISTRADORA DE RECURSOS LTDA</v>
          </cell>
        </row>
        <row r="6206">
          <cell r="B6206">
            <v>14337</v>
          </cell>
          <cell r="C6206" t="str">
            <v>SPARTA ANTI-CICLICO FIM</v>
          </cell>
          <cell r="D6206" t="str">
            <v>SPARTA ANTI-CICLICO FIM</v>
          </cell>
          <cell r="E6206" t="str">
            <v>SPARTA ANTI-CICLICO FIM</v>
          </cell>
        </row>
        <row r="6207">
          <cell r="B6207">
            <v>14338</v>
          </cell>
          <cell r="C6207" t="str">
            <v>SPARTA CICLICO FIM</v>
          </cell>
          <cell r="D6207" t="str">
            <v>SPARTA CICLICO FIM</v>
          </cell>
          <cell r="E6207" t="str">
            <v>SPARTA CICLICO FIM</v>
          </cell>
        </row>
        <row r="6208">
          <cell r="B6208">
            <v>14350</v>
          </cell>
          <cell r="C6208" t="str">
            <v>BANCO SUDAMERIS BRASIL S/A</v>
          </cell>
          <cell r="D6208" t="str">
            <v>BANCO SUDAMERIS BRASIL S/A</v>
          </cell>
          <cell r="E6208" t="str">
            <v>BANCO SUDAMERIS BRASIL S/A</v>
          </cell>
        </row>
        <row r="6209">
          <cell r="B6209">
            <v>14360</v>
          </cell>
          <cell r="C6209" t="str">
            <v>HOYA CORRETORA DE VALORES E CAMBIO LTDA</v>
          </cell>
          <cell r="D6209" t="str">
            <v>HOYA CORRETORA DE VALORES E CAMBIO LTDA</v>
          </cell>
          <cell r="E6209" t="str">
            <v>HOYA CORRETORA DE VALORES E CAMBIO LTDA</v>
          </cell>
        </row>
        <row r="6210">
          <cell r="B6210">
            <v>14361</v>
          </cell>
          <cell r="C6210" t="str">
            <v>HOYA CORRETORA DE VALORES E CAMBIO LTDA</v>
          </cell>
          <cell r="D6210" t="str">
            <v>HOYA CORRETORA DE VALORES E CAMBIO LTDA</v>
          </cell>
          <cell r="E6210" t="str">
            <v>HOYA CORRETORA DE VALORES E CAMBIO LTDA</v>
          </cell>
        </row>
        <row r="6211">
          <cell r="B6211">
            <v>5748</v>
          </cell>
          <cell r="C6211" t="str">
            <v>BANCO COOPERATIVO SICREDI S/A</v>
          </cell>
          <cell r="D6211" t="str">
            <v>BANCO COOPERATIVO SICREDI S/A</v>
          </cell>
          <cell r="E6211" t="str">
            <v>BANCO COOPERATIVO SICREDI S/A</v>
          </cell>
        </row>
        <row r="6212">
          <cell r="B6212">
            <v>14379</v>
          </cell>
          <cell r="C6212" t="str">
            <v>OLIVEIRA TRUST DTVM LTDA</v>
          </cell>
          <cell r="D6212" t="str">
            <v>OLIVEIRA TRUST DTVM LTDA</v>
          </cell>
          <cell r="E6212" t="str">
            <v>OLIVEIRA TRUST DTVM LTDA</v>
          </cell>
        </row>
        <row r="6213">
          <cell r="B6213">
            <v>14380</v>
          </cell>
          <cell r="C6213" t="str">
            <v>LACAN INVESTIMENTOS E PARTICIPACOES LTDA</v>
          </cell>
          <cell r="D6213" t="str">
            <v>LACAN INVESTIMENTOS E PARTICIPACOES LTDA</v>
          </cell>
          <cell r="E6213" t="str">
            <v>LACAN INVESTIMENTOS E PARTICIPACOES LTDA</v>
          </cell>
        </row>
        <row r="6214">
          <cell r="B6214">
            <v>14381</v>
          </cell>
          <cell r="C6214" t="str">
            <v>BTG PACTUAL SERVICOS FINANCEIROS SA DTVM</v>
          </cell>
          <cell r="D6214" t="str">
            <v>BTG PACTUAL SERVICOS FINANCEIROS SA DTVM</v>
          </cell>
          <cell r="E6214" t="str">
            <v>BTG PACTUAL ASSET MANAGEMENT SA DTVM</v>
          </cell>
        </row>
        <row r="6215">
          <cell r="B6215">
            <v>14382</v>
          </cell>
          <cell r="C6215" t="str">
            <v>FOCO ASSET MANAGEMENT LTDA</v>
          </cell>
          <cell r="D6215" t="str">
            <v>FOCO ASSET MANAGEMENT LTDA</v>
          </cell>
          <cell r="E6215" t="str">
            <v>FOCO ASSET MANAGEMENT LTDA</v>
          </cell>
        </row>
        <row r="6216">
          <cell r="B6216">
            <v>80928</v>
          </cell>
          <cell r="C6216" t="str">
            <v>UBS AG, LONDON BRANCH NOVO</v>
          </cell>
          <cell r="D6216" t="str">
            <v>UBS AG, LONDON BRANCH NOVO</v>
          </cell>
          <cell r="E6216" t="str">
            <v>UBS AG, LONDON BRANCH NOVO</v>
          </cell>
        </row>
        <row r="6217">
          <cell r="B6217">
            <v>14384</v>
          </cell>
          <cell r="C6217" t="str">
            <v>SAFRA DISTRIBUIDORA DE TITULOS E VALORES MOBILIARIOS LTDA.</v>
          </cell>
          <cell r="D6217" t="str">
            <v>SAFRA DISTRIBUIDORA DE TITULOS E VALORES MOBILIARIOS LTDA.</v>
          </cell>
          <cell r="E6217" t="str">
            <v>SAFRA ASSET MANAGEMENT LTDA</v>
          </cell>
        </row>
        <row r="6218">
          <cell r="B6218">
            <v>14385</v>
          </cell>
          <cell r="C6218" t="str">
            <v>TAVOLA CAPITAL GESTAO DE RECURSOS LTDA</v>
          </cell>
          <cell r="D6218" t="str">
            <v>TAVOLA CAPITAL GESTAO DE RECURSOS LTDA</v>
          </cell>
          <cell r="E6218" t="str">
            <v>TAVOLA CAPITAL GESTAO DE RECURSOS LTDA</v>
          </cell>
        </row>
        <row r="6219">
          <cell r="B6219">
            <v>14386</v>
          </cell>
          <cell r="C6219" t="str">
            <v>LEME INVESTIMENTOS LTDA</v>
          </cell>
          <cell r="D6219" t="str">
            <v>LEME INVESTIMENTOS LTDA</v>
          </cell>
          <cell r="E6219" t="str">
            <v>LEME INVESTIMENTOS LTDA</v>
          </cell>
        </row>
        <row r="6220">
          <cell r="B6220">
            <v>14387</v>
          </cell>
          <cell r="C6220" t="str">
            <v>PLATINA INVESTIMENTOS LTDA</v>
          </cell>
          <cell r="D6220" t="str">
            <v>PLATINA INVESTIMENTOS LTDA</v>
          </cell>
          <cell r="E6220" t="str">
            <v>PLATINA INVESTIMENTOS LTDA</v>
          </cell>
        </row>
        <row r="6221">
          <cell r="B6221">
            <v>14388</v>
          </cell>
          <cell r="C6221" t="str">
            <v>PERSONALE CONSULTORIA E GESTAO DE CARTEIRAS LTDA</v>
          </cell>
          <cell r="D6221" t="str">
            <v>PERSONALE CONSULTORIA E GESTAO DE CARTEIRAS LTDA</v>
          </cell>
          <cell r="E6221" t="str">
            <v>PERSONALE CONSULTORIA E GESTAO DE CARTEIRAS LTDA</v>
          </cell>
        </row>
        <row r="6222">
          <cell r="B6222">
            <v>14389</v>
          </cell>
          <cell r="C6222" t="str">
            <v>SPARTA ADMINISTRADORA DE RECURSOS LTDA</v>
          </cell>
          <cell r="D6222" t="str">
            <v>SPARTA ADMINISTRADORA DE RECURSOS LTDA</v>
          </cell>
          <cell r="E6222" t="str">
            <v>SPARTA ADMINISTRADORA DE RECURSOS LTDA</v>
          </cell>
        </row>
        <row r="6223">
          <cell r="B6223">
            <v>14390</v>
          </cell>
          <cell r="C6223" t="str">
            <v>UPSIDE GESTAO DE RECURSOS LTDA</v>
          </cell>
          <cell r="D6223" t="str">
            <v>UPSIDE GESTAO DE RECURSOS LTDA</v>
          </cell>
          <cell r="E6223" t="str">
            <v>UPSIDE GESTAO DE RECURSOS LTDA</v>
          </cell>
        </row>
        <row r="6224">
          <cell r="B6224">
            <v>80402</v>
          </cell>
          <cell r="C6224" t="str">
            <v>BRAM - BRADESCO ASSET MANAGEMENT SA DTVM</v>
          </cell>
          <cell r="D6224" t="str">
            <v>BRAM - BRADESCO ASSET MANAGEMENT SA DTVM</v>
          </cell>
          <cell r="E6224" t="str">
            <v>BRAM - BRADESCO ASSET MANAGEMENT S/A DTVM</v>
          </cell>
        </row>
        <row r="6225">
          <cell r="B6225">
            <v>14394</v>
          </cell>
          <cell r="C6225" t="str">
            <v>NOBEL GESTAO DE RECURSOS LTDA</v>
          </cell>
          <cell r="D6225" t="str">
            <v>NOBEL GESTAO DE RECURSOS LTDA</v>
          </cell>
          <cell r="E6225" t="str">
            <v>NOBEL GESTAO DE RECURSOS LTDA</v>
          </cell>
        </row>
        <row r="6226">
          <cell r="B6226">
            <v>14395</v>
          </cell>
          <cell r="C6226" t="str">
            <v>NEO GESTAO DE RECURSOS LTDA.</v>
          </cell>
          <cell r="D6226" t="str">
            <v>NEO GESTAO DE RECURSOS LTDA.</v>
          </cell>
          <cell r="E6226" t="str">
            <v>NEO GESTÃO DE RECURSOS LTDA</v>
          </cell>
        </row>
        <row r="6227">
          <cell r="B6227">
            <v>14396</v>
          </cell>
          <cell r="C6227" t="str">
            <v>MORGAN STANLEY ADMINISTRADORA DE CARTEIRAS S/A</v>
          </cell>
          <cell r="D6227" t="str">
            <v>MORGAN STANLEY ADMINISTRADORA DE CARTEIRAS S/A</v>
          </cell>
          <cell r="E6227" t="str">
            <v>MORGAN STANLEY ADMINISTRADORA DE CARTEIRAS S/A</v>
          </cell>
        </row>
        <row r="6228">
          <cell r="B6228">
            <v>14398</v>
          </cell>
          <cell r="C6228" t="str">
            <v>DIRECIONAL ADMINISTRAÃ‡ÃƒO DE RECURSOS LTDA</v>
          </cell>
          <cell r="D6228" t="str">
            <v>DIRECIONAL ADMINISTRAÃ‡ÃƒO DE RECURSOS LTDA</v>
          </cell>
          <cell r="E6228" t="str">
            <v>DIRECIONAL ADMINISTRAÃ‡ÃƒO DE RECURSOS LTDA</v>
          </cell>
        </row>
        <row r="6229">
          <cell r="B6229">
            <v>144</v>
          </cell>
          <cell r="C6229" t="str">
            <v>BB GESTAO DE RECURSOS DTVM LTDA</v>
          </cell>
          <cell r="D6229" t="str">
            <v>BB GESTAO DE RECURSOS DTVM LTDA</v>
          </cell>
          <cell r="E6229" t="str">
            <v>BB GESTAO DE RECURSOS DTVM LTDA</v>
          </cell>
        </row>
        <row r="6230">
          <cell r="B6230">
            <v>14400</v>
          </cell>
          <cell r="C6230" t="str">
            <v>BESAF BES ATIVOS FINANCEIROS LTDA</v>
          </cell>
          <cell r="D6230" t="str">
            <v>BESAF BES ATIVOS FINANCEIROS LTDA</v>
          </cell>
          <cell r="E6230" t="str">
            <v>BESAF BES ATIVOS FINANCEIROS LTDA</v>
          </cell>
        </row>
        <row r="6231">
          <cell r="B6231">
            <v>144008</v>
          </cell>
          <cell r="C6231" t="str">
            <v>ARBITRAGEM FIM</v>
          </cell>
          <cell r="D6231" t="str">
            <v>ARBITRAGEM FIM</v>
          </cell>
          <cell r="E6231" t="str">
            <v>ARBITRAGEM FIM</v>
          </cell>
        </row>
        <row r="6232">
          <cell r="B6232">
            <v>14401</v>
          </cell>
          <cell r="C6232" t="str">
            <v>VENTURESTAR SERVICOS FINANCEIROS LTDA</v>
          </cell>
          <cell r="D6232" t="str">
            <v>VENTURESTAR SERVICOS FINANCEIROS LTDA</v>
          </cell>
          <cell r="E6232" t="str">
            <v>VENTURESTAR SERVICOS FINANCEIROS LTDA</v>
          </cell>
        </row>
        <row r="6233">
          <cell r="B6233">
            <v>14402</v>
          </cell>
          <cell r="C6233" t="str">
            <v>MODAL ADMINISTRADORA DE RECURSOS SA</v>
          </cell>
          <cell r="D6233" t="str">
            <v>MODAL ADMINISTRADORA DE RECURSOS SA</v>
          </cell>
          <cell r="E6233" t="str">
            <v>MODAL ADMINISTRADORA DE RECURSOS SA</v>
          </cell>
        </row>
        <row r="6234">
          <cell r="B6234">
            <v>14403</v>
          </cell>
          <cell r="C6234" t="str">
            <v>MODAL ASSET MANAGEMENT LTDA</v>
          </cell>
          <cell r="D6234" t="str">
            <v>MODAL ASSET MANAGEMENT LTDA</v>
          </cell>
          <cell r="E6234" t="str">
            <v>MODAL ASSET MANAGEMENT LTDA</v>
          </cell>
        </row>
        <row r="6235">
          <cell r="B6235">
            <v>144030</v>
          </cell>
          <cell r="C6235" t="str">
            <v>JP MORGAN CHASE BANK LONDON BRANCH</v>
          </cell>
          <cell r="D6235" t="str">
            <v>JP MORGAN CHASE BANK LONDON BRANCH</v>
          </cell>
          <cell r="E6235" t="str">
            <v>JP MORGAN CHASE BANK LONDON BRANCH</v>
          </cell>
        </row>
        <row r="6236">
          <cell r="B6236">
            <v>14404</v>
          </cell>
          <cell r="C6236" t="str">
            <v>META ASSET MANAGEMENT LTDA</v>
          </cell>
          <cell r="D6236" t="str">
            <v>META ASSET MANAGEMENT LTDA</v>
          </cell>
          <cell r="E6236" t="str">
            <v>META ASSET MANAGEMENT LTDA</v>
          </cell>
        </row>
        <row r="6237">
          <cell r="B6237">
            <v>14405</v>
          </cell>
          <cell r="C6237" t="str">
            <v>OPUS GESTAO DE RECURSOS LTDA</v>
          </cell>
          <cell r="D6237" t="str">
            <v>OPUS GESTAO DE RECURSOS LTDA</v>
          </cell>
          <cell r="E6237" t="str">
            <v>OPUS GESTAO DE RECURSOS LTDA</v>
          </cell>
        </row>
        <row r="6238">
          <cell r="B6238">
            <v>14406</v>
          </cell>
          <cell r="C6238" t="str">
            <v>ARX INVESTIMENTOS LTDA</v>
          </cell>
          <cell r="D6238" t="str">
            <v>ARX INVESTIMENTOS LTDA</v>
          </cell>
          <cell r="E6238" t="str">
            <v>ARX INVESTIMENTOS LTDA</v>
          </cell>
        </row>
        <row r="6239">
          <cell r="B6239">
            <v>14407</v>
          </cell>
          <cell r="C6239" t="str">
            <v>BNY MELLON ADMINISTRAÃ‡ÃƒO DE ATIVOS LTDA</v>
          </cell>
          <cell r="D6239" t="str">
            <v>BNY MELLON ADMINISTRAÃ‡ÃƒO DE ATIVOS LTDA</v>
          </cell>
          <cell r="E6239" t="str">
            <v>BNY MELLON ADMINISTRAÃ‡ÃƒO DE ATIVOS LTDA</v>
          </cell>
        </row>
        <row r="6240">
          <cell r="B6240">
            <v>144078</v>
          </cell>
          <cell r="C6240" t="str">
            <v>SANTANDER BRASIL S/A CTVM</v>
          </cell>
          <cell r="D6240" t="str">
            <v>SANTANDER BRASIL S/A CTVM</v>
          </cell>
          <cell r="E6240" t="str">
            <v>MAXIMA S/A CTVM</v>
          </cell>
        </row>
        <row r="6241">
          <cell r="B6241">
            <v>14408</v>
          </cell>
          <cell r="C6241" t="str">
            <v>MAXIMA MANDARIM INVESTIMENTOS GESTORA DE RECURSOS LTDA</v>
          </cell>
          <cell r="D6241" t="str">
            <v>MAXIMA MANDARIM INVESTIMENTOS GESTORA DE RECURSOS LTDA</v>
          </cell>
          <cell r="E6241" t="str">
            <v>MAXIMA MANDARIM INVESTIMENTOS GESTORA DE RECURSOS LTDA</v>
          </cell>
        </row>
        <row r="6242">
          <cell r="B6242">
            <v>14409</v>
          </cell>
          <cell r="C6242" t="str">
            <v>GLOBAL EQUITY ADMINISTRADORA DE RECURSOS S/A</v>
          </cell>
          <cell r="D6242" t="str">
            <v>GLOBAL EQUITY ADMINISTRADORA DE RECURSOS S/A</v>
          </cell>
          <cell r="E6242" t="str">
            <v>GLOBAL EQUITY ADMINISTRADORA DE RECURSOS S/A</v>
          </cell>
        </row>
        <row r="6243">
          <cell r="B6243">
            <v>14411</v>
          </cell>
          <cell r="C6243" t="str">
            <v>GLOBAL CAPITAL2000 ADMINISTRADORA DE RECURSOS FINANCEIROS S/</v>
          </cell>
          <cell r="D6243" t="str">
            <v>GLOBAL CAPITAL2000 ADMINISTRADORA DE RECURSOS FINANCEIROS S/</v>
          </cell>
          <cell r="E6243" t="str">
            <v>GLOBAL CAPITAL2000 ADMINISTRADORA DE RECURSOS FINANCEIROS S/</v>
          </cell>
        </row>
        <row r="6244">
          <cell r="B6244">
            <v>144112</v>
          </cell>
          <cell r="C6244" t="str">
            <v>ING BANK NV</v>
          </cell>
          <cell r="D6244" t="str">
            <v>ING BANK NV</v>
          </cell>
          <cell r="E6244" t="str">
            <v>ING BANK NV</v>
          </cell>
        </row>
        <row r="6245">
          <cell r="B6245">
            <v>144113</v>
          </cell>
          <cell r="C6245" t="str">
            <v>ING BANK NV</v>
          </cell>
          <cell r="D6245" t="str">
            <v>ING BANK NV</v>
          </cell>
          <cell r="E6245" t="str">
            <v>ING BANK NV</v>
          </cell>
        </row>
        <row r="6246">
          <cell r="B6246">
            <v>144114</v>
          </cell>
          <cell r="C6246" t="str">
            <v>ING BANK NV</v>
          </cell>
          <cell r="D6246" t="str">
            <v>ING BANK NV</v>
          </cell>
          <cell r="E6246" t="str">
            <v>ING BANK NV</v>
          </cell>
        </row>
        <row r="6247">
          <cell r="B6247">
            <v>144115</v>
          </cell>
          <cell r="C6247" t="str">
            <v>ING BANK NV</v>
          </cell>
          <cell r="D6247" t="str">
            <v>ING BANK NV</v>
          </cell>
          <cell r="E6247" t="str">
            <v>ING BANK NV</v>
          </cell>
        </row>
        <row r="6248">
          <cell r="B6248">
            <v>144116</v>
          </cell>
          <cell r="C6248" t="str">
            <v>ING BANK NV</v>
          </cell>
          <cell r="D6248" t="str">
            <v>ING BANK NV</v>
          </cell>
          <cell r="E6248" t="str">
            <v>ING BANK NV</v>
          </cell>
        </row>
        <row r="6249">
          <cell r="B6249">
            <v>144117</v>
          </cell>
          <cell r="C6249" t="str">
            <v>ING BANK NV</v>
          </cell>
          <cell r="D6249" t="str">
            <v>ING BANK NV</v>
          </cell>
          <cell r="E6249" t="str">
            <v>ING BANK NV</v>
          </cell>
        </row>
        <row r="6250">
          <cell r="B6250">
            <v>14412</v>
          </cell>
          <cell r="C6250" t="str">
            <v>BANCOOB ADMINISTRAÃ‡ÃƒO E GESTÃƒO DE RECURSOS LTDA</v>
          </cell>
          <cell r="D6250" t="str">
            <v>BANCOOB ADMINISTRAÃ‡ÃƒO E GESTÃƒO DE RECURSOS LTDA</v>
          </cell>
          <cell r="E6250" t="str">
            <v>BANCO COOPERATIVO SICOOB S/A</v>
          </cell>
        </row>
        <row r="6251">
          <cell r="B6251">
            <v>14413</v>
          </cell>
          <cell r="C6251" t="str">
            <v>QLZ GESTAO DE RECURSOS FINANCEIROS LTDA</v>
          </cell>
          <cell r="D6251" t="str">
            <v>QLZ GESTAO DE RECURSOS FINANCEIROS LTDA</v>
          </cell>
          <cell r="E6251" t="str">
            <v>QLZ GESTAO DE RECURSOS FINANCEIROS LTDA</v>
          </cell>
        </row>
        <row r="6252">
          <cell r="B6252">
            <v>14414</v>
          </cell>
          <cell r="C6252" t="str">
            <v>BP GESTORA DE ATIVOS FINANACEIROS E VALORES MOBILIARIOS LTDA</v>
          </cell>
          <cell r="D6252" t="str">
            <v>BP GESTORA DE ATIVOS FINANACEIROS E VALORES MOBILIARIOS LTDA</v>
          </cell>
          <cell r="E6252" t="str">
            <v>BP GESTORA DE ATIVOS FINANACEIROS E VALORES MOBILIARIOS LTDA</v>
          </cell>
        </row>
        <row r="6253">
          <cell r="B6253">
            <v>14415</v>
          </cell>
          <cell r="C6253" t="str">
            <v>GS ALLOCATION INVESTIMENTOS</v>
          </cell>
          <cell r="D6253" t="str">
            <v>GS ALLOCATION INVESTIMENTOS</v>
          </cell>
          <cell r="E6253" t="str">
            <v>GS ALLOCATION INVESTIMENTOS</v>
          </cell>
        </row>
        <row r="6254">
          <cell r="B6254">
            <v>14416</v>
          </cell>
          <cell r="C6254" t="str">
            <v>BANCO JP MORGAN S/A</v>
          </cell>
          <cell r="D6254" t="str">
            <v>BANCO JP MORGAN S/A</v>
          </cell>
          <cell r="E6254" t="str">
            <v>BANCO JP MORGAN S/A</v>
          </cell>
        </row>
        <row r="6255">
          <cell r="B6255">
            <v>14417</v>
          </cell>
          <cell r="C6255" t="str">
            <v>VITORIA ASSET MANAGEMENT S.A</v>
          </cell>
          <cell r="D6255" t="str">
            <v>VITORIA ASSET MANAGEMENT S.A</v>
          </cell>
          <cell r="E6255" t="str">
            <v>VITORIA ASSET MANAGEMENT S.A</v>
          </cell>
        </row>
        <row r="6256">
          <cell r="B6256">
            <v>14419</v>
          </cell>
          <cell r="C6256" t="str">
            <v>ATACAMA MULTIMERCADO FI</v>
          </cell>
          <cell r="D6256" t="str">
            <v>ATACAMA MULTIMERCADO FI</v>
          </cell>
          <cell r="E6256" t="str">
            <v>BANCO JP MORGAN S/A</v>
          </cell>
        </row>
        <row r="6257">
          <cell r="B6257">
            <v>14420</v>
          </cell>
          <cell r="C6257" t="str">
            <v>LAWTON MULTIMERCADO EXCLUSIVO FUNDO DE INVESTIMENTO CP IE</v>
          </cell>
          <cell r="D6257" t="str">
            <v>LAWTON MULTIMERCADO EXCLUSIVO FUNDO DE INVESTIMENTO CP IE</v>
          </cell>
          <cell r="E6257" t="str">
            <v>BANCO JP MORGAN S/A</v>
          </cell>
        </row>
        <row r="6258">
          <cell r="B6258">
            <v>14421</v>
          </cell>
          <cell r="C6258" t="str">
            <v>JP MORGAN S/A DTVM</v>
          </cell>
          <cell r="D6258" t="str">
            <v>JP MORGAN S/A DTVM</v>
          </cell>
          <cell r="E6258" t="str">
            <v>JP MORGAN S/A DTVM</v>
          </cell>
        </row>
        <row r="6259">
          <cell r="B6259">
            <v>14422</v>
          </cell>
          <cell r="C6259" t="str">
            <v>JP MORGAN OVERSEAS CAPITAL CORPORATION</v>
          </cell>
          <cell r="D6259" t="str">
            <v>JP MORGAN OVERSEAS CAPITAL CORPORATION</v>
          </cell>
          <cell r="E6259" t="str">
            <v>JP MORGAN OVERSEAS CAPITAL CORPORATION</v>
          </cell>
        </row>
        <row r="6260">
          <cell r="B6260">
            <v>14423</v>
          </cell>
          <cell r="C6260" t="str">
            <v>VINLAND CAPITAL MANAGEMENT GESTORA DE RECURSOS LTDA</v>
          </cell>
          <cell r="D6260" t="str">
            <v>VINLAND CAPITAL MANAGEMENT GESTORA DE RECURSOS LTDA</v>
          </cell>
          <cell r="E6260" t="str">
            <v>VINLAND CAPITAL MANAGEMENT GESTORA DE RECURSOS LTDA</v>
          </cell>
        </row>
        <row r="6261">
          <cell r="B6261">
            <v>144231</v>
          </cell>
          <cell r="C6261" t="str">
            <v>ANTONIO MANUEL DE CARVALHO BAPTISTA VIEIRA</v>
          </cell>
          <cell r="D6261" t="str">
            <v>ANTONIO MANUEL DE CARVALHO BAPTISTA VIEIRA</v>
          </cell>
          <cell r="E6261" t="str">
            <v>ANTONIO MANUEL DE CARVALHO BAPTISTA VIEIRA</v>
          </cell>
        </row>
        <row r="6262">
          <cell r="B6262">
            <v>14426</v>
          </cell>
          <cell r="C6262" t="str">
            <v>LANX CAPITAL INVESTIMENTOS LTDA</v>
          </cell>
          <cell r="D6262" t="str">
            <v>LANX CAPITAL INVESTIMENTOS LTDA</v>
          </cell>
          <cell r="E6262" t="str">
            <v>LANX CAPITAL INVESTIMENTOS LTDA</v>
          </cell>
        </row>
        <row r="6263">
          <cell r="B6263">
            <v>14427</v>
          </cell>
          <cell r="C6263" t="str">
            <v>GAVEA GESTAO DE INVESTIMENTOS LTDA</v>
          </cell>
          <cell r="D6263" t="str">
            <v>GAVEA GESTAO DE INVESTIMENTOS LTDA</v>
          </cell>
          <cell r="E6263" t="str">
            <v>GAVEA GESTAO DE INVESTIMENTOS LTDA</v>
          </cell>
        </row>
        <row r="6264">
          <cell r="B6264">
            <v>14428</v>
          </cell>
          <cell r="C6264" t="str">
            <v>TELOS FUNDACAO EMBRATEL DE SEGURIDADE SOCIAL</v>
          </cell>
          <cell r="D6264" t="str">
            <v>TELOS FUNDACAO EMBRATEL DE SEGURIDADE SOCIAL</v>
          </cell>
          <cell r="E6264" t="str">
            <v>TELOS FUNDACAO EMBRATEL DE SEGURIDADE SOCIAL</v>
          </cell>
        </row>
        <row r="6265">
          <cell r="B6265">
            <v>14429</v>
          </cell>
          <cell r="C6265" t="str">
            <v>FRAM CAPITAL GESTAO DE ATIVOS LTDA</v>
          </cell>
          <cell r="D6265" t="str">
            <v>FRAM CAPITAL GESTAO DE ATIVOS LTDA</v>
          </cell>
          <cell r="E6265" t="str">
            <v>FRAM CAPITAL GESTAO DE ATIVOS LTDA</v>
          </cell>
        </row>
        <row r="6266">
          <cell r="B6266">
            <v>14431</v>
          </cell>
          <cell r="C6266" t="str">
            <v>TELEMAR NORTE LESTE S/A</v>
          </cell>
          <cell r="D6266" t="str">
            <v>TELEMAR NORTE LESTE S/A</v>
          </cell>
          <cell r="E6266" t="str">
            <v>TELEMAR NORTE LESTE S/A</v>
          </cell>
        </row>
        <row r="6267">
          <cell r="B6267">
            <v>14432</v>
          </cell>
          <cell r="C6267" t="str">
            <v>BB GESTAO DE RECURSOS DTVM LTDA</v>
          </cell>
          <cell r="D6267" t="str">
            <v>BB GESTAO DE RECURSOS DTVM LTDA</v>
          </cell>
          <cell r="E6267" t="str">
            <v>BB GESTAO DE RECURSOS DTVM LTDA</v>
          </cell>
        </row>
        <row r="6268">
          <cell r="B6268">
            <v>14433</v>
          </cell>
          <cell r="C6268" t="str">
            <v>BB GESTAO DE RECURSOS DTVM LTDA</v>
          </cell>
          <cell r="D6268" t="str">
            <v>BB GESTAO DE RECURSOS DTVM LTDA</v>
          </cell>
          <cell r="E6268" t="str">
            <v>BB GESTAO DE RECURSOS DTVM LTDA</v>
          </cell>
        </row>
        <row r="6269">
          <cell r="B6269">
            <v>14434</v>
          </cell>
          <cell r="C6269" t="str">
            <v>NP ADMINISTRAÃ‡ÃƒO DE RECURSOS LTDA</v>
          </cell>
          <cell r="D6269" t="str">
            <v>NP ADMINISTRAÃ‡ÃƒO DE RECURSOS LTDA</v>
          </cell>
          <cell r="E6269" t="str">
            <v>NP ADMINISTRAÃ‡ÃƒO DE RECURSOS LTDA</v>
          </cell>
        </row>
        <row r="6270">
          <cell r="B6270">
            <v>14435</v>
          </cell>
          <cell r="C6270" t="str">
            <v>SIP CAPITAL EQUITIES INVESTIMENTOS LTDA</v>
          </cell>
          <cell r="D6270" t="str">
            <v>SIP CAPITAL EQUITIES INVESTIMENTOS LTDA</v>
          </cell>
          <cell r="E6270" t="str">
            <v>SIP CAPITAL EQUITIES INVESTIMENTOS LTDA</v>
          </cell>
        </row>
        <row r="6271">
          <cell r="B6271">
            <v>14436</v>
          </cell>
          <cell r="C6271" t="str">
            <v>ICATU GESTAO PATRIMONIAL LTDA</v>
          </cell>
          <cell r="D6271" t="str">
            <v>ICATU GESTAO PATRIMONIAL LTDA</v>
          </cell>
          <cell r="E6271" t="str">
            <v>ICATU VANGUARDA GESTAO DE RECURSOS LTDA</v>
          </cell>
        </row>
        <row r="6272">
          <cell r="B6272">
            <v>144369</v>
          </cell>
          <cell r="C6272" t="str">
            <v>144 R STEARNS &amp; CO INC</v>
          </cell>
          <cell r="D6272" t="str">
            <v>144 R STEARNS &amp; CO INC</v>
          </cell>
          <cell r="E6272" t="str">
            <v>144 R STEARNS &amp; CO INC</v>
          </cell>
        </row>
        <row r="6273">
          <cell r="B6273">
            <v>14437</v>
          </cell>
          <cell r="C6273" t="str">
            <v>MONGERAL AEGON SEGUROS E PREVIDENCIA S/A</v>
          </cell>
          <cell r="D6273" t="str">
            <v>MONGERAL AEGON SEGUROS E PREVIDENCIA S/A</v>
          </cell>
          <cell r="E6273" t="str">
            <v>MONGERAL AEGON INVESTIMENTOS LTDA</v>
          </cell>
        </row>
        <row r="6274">
          <cell r="B6274">
            <v>144370</v>
          </cell>
          <cell r="C6274" t="str">
            <v>BEAR STEARNS INTERNATIONAL LIMITED</v>
          </cell>
          <cell r="D6274" t="str">
            <v>BEAR STEARNS INTERNATIONAL LIMITED</v>
          </cell>
          <cell r="E6274" t="str">
            <v>BEAR STEARNS INTERNATIONAL LIMITED</v>
          </cell>
        </row>
        <row r="6275">
          <cell r="B6275">
            <v>144371</v>
          </cell>
          <cell r="C6275" t="str">
            <v>BEAR STEARNS SECURITIES CORP</v>
          </cell>
          <cell r="D6275" t="str">
            <v>BEAR STEARNS SECURITIES CORP</v>
          </cell>
          <cell r="E6275" t="str">
            <v>BEAR STEARNS SECURITIES CORP</v>
          </cell>
        </row>
        <row r="6276">
          <cell r="B6276">
            <v>14438</v>
          </cell>
          <cell r="C6276" t="str">
            <v>LAPB GESTAO DE RECURSOS FINANCEIROS LTDA ( ANTIGO MCAP)</v>
          </cell>
          <cell r="D6276" t="str">
            <v>LAPB GESTAO DE RECURSOS FINANCEIROS LTDA ( ANTIGO MCAP)</v>
          </cell>
          <cell r="E6276" t="str">
            <v>LAPB GESTAO DE RECURSOS FINANCEIROS LTDA ( ANTIGO MCAP)</v>
          </cell>
        </row>
        <row r="6277">
          <cell r="B6277">
            <v>122480</v>
          </cell>
          <cell r="C6277" t="str">
            <v>ORION I FIM</v>
          </cell>
          <cell r="D6277" t="str">
            <v>ORION I FIM</v>
          </cell>
          <cell r="E6277" t="str">
            <v>PLURAL GESTÃO DE RECURSOS LTDA</v>
          </cell>
        </row>
        <row r="6278">
          <cell r="B6278">
            <v>14441</v>
          </cell>
          <cell r="C6278" t="str">
            <v>MERCATTO GESTAO DE RECURSOS LTDA</v>
          </cell>
          <cell r="D6278" t="str">
            <v>MERCATTO GESTAO DE RECURSOS LTDA</v>
          </cell>
          <cell r="E6278" t="str">
            <v>MERCATTO GESTAO DE RECURSOS LTDA</v>
          </cell>
        </row>
        <row r="6279">
          <cell r="B6279">
            <v>14442</v>
          </cell>
          <cell r="C6279" t="str">
            <v>VINCI SECURITAS GESTORA DE RECURSOS LTDA</v>
          </cell>
          <cell r="D6279" t="str">
            <v>VINCI SECURITAS GESTORA DE RECURSOS LTDA</v>
          </cell>
          <cell r="E6279" t="str">
            <v>VINCI GESTORA DE RECURSOS LTDA</v>
          </cell>
        </row>
        <row r="6280">
          <cell r="B6280">
            <v>144421</v>
          </cell>
          <cell r="C6280" t="str">
            <v>KOSMOS ADM DE CARTEIRA DE VALORES MOBILIARIOS LTDA</v>
          </cell>
          <cell r="D6280" t="str">
            <v>KOSMOS ADM DE CARTEIRA DE VALORES MOBILIARIOS LTDA</v>
          </cell>
          <cell r="E6280" t="str">
            <v>KOSMOS ADM DE CARTEIRA DE VALORES MOBILIARIOS LTDA</v>
          </cell>
        </row>
        <row r="6281">
          <cell r="B6281">
            <v>144424</v>
          </cell>
          <cell r="C6281" t="str">
            <v>SDA GESTAO DE RECURSOS LTDA</v>
          </cell>
          <cell r="D6281" t="str">
            <v>SDA GESTAO DE RECURSOS LTDA</v>
          </cell>
          <cell r="E6281" t="str">
            <v>SDA GESTAO DE RECURSOS LTDA</v>
          </cell>
        </row>
        <row r="6282">
          <cell r="B6282">
            <v>144427</v>
          </cell>
          <cell r="C6282" t="str">
            <v>UNIBANCO CONSULTORIA DE INVESTIMENTO LTDA</v>
          </cell>
          <cell r="D6282" t="str">
            <v>UNIBANCO CONSULTORIA DE INVESTIMENTO LTDA</v>
          </cell>
          <cell r="E6282" t="str">
            <v>UNIBANCO CONSULTORIA DE INVESTIMENTO LTDA</v>
          </cell>
        </row>
        <row r="6283">
          <cell r="B6283">
            <v>144428</v>
          </cell>
          <cell r="C6283" t="str">
            <v>INVESTIDOR PROFISSIONAL GESTAO DE RECURSOS LTDA</v>
          </cell>
          <cell r="D6283" t="str">
            <v>INVESTIDOR PROFISSIONAL GESTAO DE RECURSOS LTDA</v>
          </cell>
          <cell r="E6283" t="str">
            <v>INVESTIDOR PROFISSIONAL GESTAO DE RECURSOS LTDA</v>
          </cell>
        </row>
        <row r="6284">
          <cell r="B6284">
            <v>144429</v>
          </cell>
          <cell r="C6284" t="str">
            <v>NORTE INVESTIMENTOS ADMINISTRADORES DE RECURSOS</v>
          </cell>
          <cell r="D6284" t="str">
            <v>NORTE INVESTIMENTOS ADMINISTRADORES DE RECURSOS</v>
          </cell>
          <cell r="E6284" t="str">
            <v>NORTE INVESTIMENTOS ADMINISTRADORES DE RECURSOS</v>
          </cell>
        </row>
        <row r="6285">
          <cell r="B6285">
            <v>122859</v>
          </cell>
          <cell r="C6285" t="str">
            <v>CAPITANIA EQUITIES MASTER FIA</v>
          </cell>
          <cell r="D6285" t="str">
            <v>CAPITANIA EQUITIES MASTER FIA</v>
          </cell>
          <cell r="E6285" t="str">
            <v>CAPITÂNIA INVEST S/A</v>
          </cell>
        </row>
        <row r="6286">
          <cell r="B6286">
            <v>144431</v>
          </cell>
          <cell r="C6286" t="str">
            <v>VISION BRAZIL GESTÃƒO DE INVESTIMENTOS E PARTICIPAÃ‡Ã•ES LTDA</v>
          </cell>
          <cell r="D6286" t="str">
            <v>VISION BRAZIL GESTÃƒO DE INVESTIMENTOS E PARTICIPAÃ‡Ã•ES LTDA</v>
          </cell>
          <cell r="E6286" t="str">
            <v>VISION BRAZIL GESTÃƒO DE INVESTIMENTOS E PARTICIPAÃ‡Ã•ES LTDA</v>
          </cell>
        </row>
        <row r="6287">
          <cell r="B6287">
            <v>144432</v>
          </cell>
          <cell r="C6287" t="str">
            <v>ATICO ADMINISTRACAO DE RECURSOS LTDA</v>
          </cell>
          <cell r="D6287" t="str">
            <v>ATICO ADMINISTRACAO DE RECURSOS LTDA</v>
          </cell>
          <cell r="E6287" t="str">
            <v>ATICO ADMINISTRACAO DE RECURSOS LTDA</v>
          </cell>
        </row>
        <row r="6288">
          <cell r="B6288">
            <v>144433</v>
          </cell>
          <cell r="C6288" t="str">
            <v>ARSENAL INVESTIMENTOS LTDA</v>
          </cell>
          <cell r="D6288" t="str">
            <v>ARSENAL INVESTIMENTOS LTDA</v>
          </cell>
          <cell r="E6288" t="str">
            <v>ARSENAL INVESTIMENTOS LTDA</v>
          </cell>
        </row>
        <row r="6289">
          <cell r="B6289">
            <v>144434</v>
          </cell>
          <cell r="C6289" t="str">
            <v>SPRINGS CAPITAL LTDA</v>
          </cell>
          <cell r="D6289" t="str">
            <v>SPRINGS CAPITAL LTDA</v>
          </cell>
          <cell r="E6289" t="str">
            <v>SPRINGS CAPITAL LTDA</v>
          </cell>
        </row>
        <row r="6290">
          <cell r="B6290">
            <v>144435</v>
          </cell>
          <cell r="C6290" t="str">
            <v>MAXIMA MANDARIM INVESTIMENTOS GESTORA DE RECURSOS LTDA</v>
          </cell>
          <cell r="D6290" t="str">
            <v>MAXIMA MANDARIM INVESTIMENTOS GESTORA DE RECURSOS LTDA</v>
          </cell>
          <cell r="E6290" t="str">
            <v>MAXIMA MANDARIM INVESTIMENTOS GESTORA DE RECURSOS LTDA</v>
          </cell>
        </row>
        <row r="6291">
          <cell r="B6291">
            <v>144436</v>
          </cell>
          <cell r="C6291" t="str">
            <v>VETORIAL GESTAO DE RECURSOS LTDA</v>
          </cell>
          <cell r="D6291" t="str">
            <v>VETORIAL GESTAO DE RECURSOS LTDA</v>
          </cell>
          <cell r="E6291" t="str">
            <v>VETORIAL GESTAO DE RECURSOS LTDA</v>
          </cell>
        </row>
        <row r="6292">
          <cell r="B6292">
            <v>144437</v>
          </cell>
          <cell r="C6292" t="str">
            <v>ICATU SEGUROS S/A</v>
          </cell>
          <cell r="D6292" t="str">
            <v>ICATU SEGUROS S/A</v>
          </cell>
          <cell r="E6292" t="str">
            <v>ICATU VANGUARDA GESTAO DE RECURSOS LTDA</v>
          </cell>
        </row>
        <row r="6293">
          <cell r="B6293">
            <v>144438</v>
          </cell>
          <cell r="C6293" t="str">
            <v>ICATU VANGUARDA GESTÃƒO DE RECURSOS LTDA</v>
          </cell>
          <cell r="D6293" t="str">
            <v>ICATU VANGUARDA GESTÃƒO DE RECURSOS LTDA</v>
          </cell>
          <cell r="E6293" t="str">
            <v>ICATU VANGUARDA GESTAO DE RECURSOS LTDA</v>
          </cell>
        </row>
        <row r="6294">
          <cell r="B6294">
            <v>144439</v>
          </cell>
          <cell r="C6294" t="str">
            <v>BNY MELLON ALOCACAO DE PATRIMONIO LTDA</v>
          </cell>
          <cell r="D6294" t="str">
            <v>BNY MELLON ALOCACAO DE PATRIMONIO LTDA</v>
          </cell>
          <cell r="E6294" t="str">
            <v>BNY MELLON ALOCACAO DE PATRIMONIO LTDA</v>
          </cell>
        </row>
        <row r="6295">
          <cell r="B6295">
            <v>14444</v>
          </cell>
          <cell r="C6295" t="str">
            <v>BANCO JP MORGAN S/A</v>
          </cell>
          <cell r="D6295" t="str">
            <v>BANCO JP MORGAN S/A</v>
          </cell>
          <cell r="E6295" t="str">
            <v>BANCO JP MORGAN S/A</v>
          </cell>
        </row>
        <row r="6296">
          <cell r="B6296">
            <v>144440</v>
          </cell>
          <cell r="C6296" t="str">
            <v>UV GESTORA DE ATIVOS FINANCEIROS LTDA</v>
          </cell>
          <cell r="D6296" t="str">
            <v>UV GESTORA DE ATIVOS FINANCEIROS LTDA</v>
          </cell>
          <cell r="E6296" t="str">
            <v>UV GESTORA DE ATIVOS FINANCEIROS LTDA</v>
          </cell>
        </row>
        <row r="6297">
          <cell r="B6297">
            <v>144441</v>
          </cell>
          <cell r="C6297" t="str">
            <v>PLATINA INVESTIMENTOS LTDA</v>
          </cell>
          <cell r="D6297" t="str">
            <v>PLATINA INVESTIMENTOS LTDA</v>
          </cell>
          <cell r="E6297" t="str">
            <v>PLATINA INVESTIMENTOS LTDA</v>
          </cell>
        </row>
        <row r="6298">
          <cell r="B6298">
            <v>144442</v>
          </cell>
          <cell r="C6298" t="str">
            <v>BRZ INVESTIMENTOS LTDA</v>
          </cell>
          <cell r="D6298" t="str">
            <v>BRZ INVESTIMENTOS LTDA</v>
          </cell>
          <cell r="E6298" t="str">
            <v>BRZ INVESTIMENTOS LTDA</v>
          </cell>
        </row>
        <row r="6299">
          <cell r="B6299">
            <v>144443</v>
          </cell>
          <cell r="C6299" t="str">
            <v>TARGET GESTÃƒO DE RECURSOS LTDA</v>
          </cell>
          <cell r="D6299" t="str">
            <v>TARGET GESTÃƒO DE RECURSOS LTDA</v>
          </cell>
          <cell r="E6299" t="str">
            <v>TARGET GESTÃƒO DE RECURSOS LTDA</v>
          </cell>
        </row>
        <row r="6300">
          <cell r="B6300">
            <v>144445</v>
          </cell>
          <cell r="C6300" t="str">
            <v>BNY MELLON SERVIÃ‡OS FINANCEIROS DTVM S/A</v>
          </cell>
          <cell r="D6300" t="str">
            <v>BNY MELLON SERVIÃ‡OS FINANCEIROS DTVM S/A</v>
          </cell>
          <cell r="E6300" t="str">
            <v>BNY MELLON SERVIÃ‡OS FINANCEIROS DTVM S/A</v>
          </cell>
        </row>
        <row r="6301">
          <cell r="B6301">
            <v>144446</v>
          </cell>
          <cell r="C6301" t="str">
            <v>LEBLON EQUITIES GESTAO DE RECURSOS LTDA</v>
          </cell>
          <cell r="D6301" t="str">
            <v>LEBLON EQUITIES GESTAO DE RECURSOS LTDA</v>
          </cell>
          <cell r="E6301" t="str">
            <v>LEBLON EQUITIES GESTAO DE RECURSOS LTDA</v>
          </cell>
        </row>
        <row r="6302">
          <cell r="B6302">
            <v>144447</v>
          </cell>
          <cell r="C6302" t="str">
            <v>NEST INVESTIMENTOS LTDA</v>
          </cell>
          <cell r="D6302" t="str">
            <v>NEST INVESTIMENTOS LTDA</v>
          </cell>
          <cell r="E6302" t="str">
            <v>NEST INVESTIMENTOS LTDA</v>
          </cell>
        </row>
        <row r="6303">
          <cell r="B6303">
            <v>144448</v>
          </cell>
          <cell r="C6303" t="str">
            <v>SAFDIE DTVM LTDA</v>
          </cell>
          <cell r="D6303" t="str">
            <v>SAFDIE DTVM LTDA</v>
          </cell>
          <cell r="E6303" t="str">
            <v>SAFDIE DTVM LTDA</v>
          </cell>
        </row>
        <row r="6304">
          <cell r="B6304">
            <v>144449</v>
          </cell>
          <cell r="C6304" t="str">
            <v>SECURITY ADMINISTRADORA DE RECURSOS LTDA</v>
          </cell>
          <cell r="D6304" t="str">
            <v>SECURITY ADMINISTRADORA DE RECURSOS LTDA</v>
          </cell>
          <cell r="E6304" t="str">
            <v>SECURITY ADMINISTRADORA DE RECURSOS LTDA</v>
          </cell>
        </row>
        <row r="6305">
          <cell r="B6305">
            <v>14445</v>
          </cell>
          <cell r="C6305" t="str">
            <v>HEDGING GRIFFO CV S/A</v>
          </cell>
          <cell r="D6305" t="str">
            <v>HEDGING GRIFFO CV S/A</v>
          </cell>
          <cell r="E6305" t="str">
            <v>HEDGING GRIFFO CV S/A</v>
          </cell>
        </row>
        <row r="6306">
          <cell r="B6306">
            <v>144450</v>
          </cell>
          <cell r="C6306" t="str">
            <v>NOVINVEST CVM LTDA</v>
          </cell>
          <cell r="D6306" t="str">
            <v>NOVINVEST CVM LTDA</v>
          </cell>
          <cell r="E6306" t="str">
            <v>NOVINVEST CVM LTDA</v>
          </cell>
        </row>
        <row r="6307">
          <cell r="B6307">
            <v>144451</v>
          </cell>
          <cell r="C6307" t="str">
            <v>LATITUDE INVEST PARTNERS GESTÃƒO E FIN LTDA</v>
          </cell>
          <cell r="D6307" t="str">
            <v>LATITUDE INVEST PARTNERS GESTÃƒO E FIN LTDA</v>
          </cell>
          <cell r="E6307" t="str">
            <v>LATITUDE INVEST PARTNERS GESTÃƒO E FIN LTDA</v>
          </cell>
        </row>
        <row r="6308">
          <cell r="B6308">
            <v>144452</v>
          </cell>
          <cell r="C6308" t="str">
            <v>CONSENSO INVESTIMENTOS LTDA</v>
          </cell>
          <cell r="D6308" t="str">
            <v>CONSENSO INVESTIMENTOS LTDA</v>
          </cell>
          <cell r="E6308" t="str">
            <v>CONSENSO INVESTIMENTOS LTDA</v>
          </cell>
        </row>
        <row r="6309">
          <cell r="B6309">
            <v>144453</v>
          </cell>
          <cell r="C6309" t="str">
            <v>IPANEMA GESTORA DE RECURSOS LTDA</v>
          </cell>
          <cell r="D6309" t="str">
            <v>IPANEMA GESTORA DE RECURSOS LTDA</v>
          </cell>
          <cell r="E6309" t="str">
            <v>IPANEMA GESTORA DE RECURSOS LTDA</v>
          </cell>
        </row>
        <row r="6310">
          <cell r="B6310">
            <v>144454</v>
          </cell>
          <cell r="C6310" t="str">
            <v>AZ QUEST INVESTIMENTOS LTDA</v>
          </cell>
          <cell r="D6310" t="str">
            <v>AZ QUEST INVESTIMENTOS LTDA</v>
          </cell>
          <cell r="E6310" t="str">
            <v>AZ QUEST INVESTIMENTOS LTDA</v>
          </cell>
        </row>
        <row r="6311">
          <cell r="B6311">
            <v>144458</v>
          </cell>
          <cell r="C6311" t="str">
            <v>PATRIA INVESTIMENTOS LTDA</v>
          </cell>
          <cell r="D6311" t="str">
            <v>PATRIA INVESTIMENTOS LTDA</v>
          </cell>
          <cell r="E6311" t="str">
            <v>PATRIA INVESTIMENTOS LTDA</v>
          </cell>
        </row>
        <row r="6312">
          <cell r="B6312">
            <v>144459</v>
          </cell>
          <cell r="C6312" t="str">
            <v>BI CAPITAL GESTÃƒO DE RECURSOS LTDA</v>
          </cell>
          <cell r="D6312" t="str">
            <v>BI CAPITAL GESTÃƒO DE RECURSOS LTDA</v>
          </cell>
          <cell r="E6312" t="str">
            <v>BI CAPITAL GESTÃƒO DE RECURSOS LTDA</v>
          </cell>
        </row>
        <row r="6313">
          <cell r="B6313">
            <v>14446</v>
          </cell>
          <cell r="C6313" t="str">
            <v>ROOT CAPITAL GESTAO DE RECURSOS LTDA</v>
          </cell>
          <cell r="D6313" t="str">
            <v>ROOT CAPITAL GESTAO DE RECURSOS LTDA</v>
          </cell>
          <cell r="E6313" t="str">
            <v>ROOT CAPITAL - GESTÃO DE RECURSOS LTDA</v>
          </cell>
        </row>
        <row r="6314">
          <cell r="B6314">
            <v>144460</v>
          </cell>
          <cell r="C6314" t="str">
            <v>ADVIS INVESTIMENTOS LTDA (ANTIGO ADVISOR ADM DE RECURSOS)</v>
          </cell>
          <cell r="D6314" t="str">
            <v>ADVIS INVESTIMENTOS LTDA (ANTIGO ADVISOR ADM DE RECURSOS)</v>
          </cell>
          <cell r="E6314" t="str">
            <v>ADVIS INVESTIMENTOS LTDA (ANTIGO ADVISOR ADM DE RECURSOS)</v>
          </cell>
        </row>
        <row r="6315">
          <cell r="B6315">
            <v>14447</v>
          </cell>
          <cell r="C6315" t="str">
            <v>BANCO BOCOM BBM S.A</v>
          </cell>
          <cell r="D6315" t="str">
            <v>BANCO BOCOM BBM S.A</v>
          </cell>
          <cell r="E6315" t="str">
            <v>BANCO BOCOM BBM S/A</v>
          </cell>
        </row>
        <row r="6316">
          <cell r="B6316">
            <v>144475</v>
          </cell>
          <cell r="C6316" t="str">
            <v>VINCI GESTORA DE RECURSOS LTDA</v>
          </cell>
          <cell r="D6316" t="str">
            <v>VINCI GESTORA DE RECURSOS LTDA</v>
          </cell>
          <cell r="E6316" t="str">
            <v>VINCI GESTORA DE RECURSOS LTDA</v>
          </cell>
        </row>
        <row r="6317">
          <cell r="B6317">
            <v>14448</v>
          </cell>
          <cell r="C6317" t="str">
            <v>BANCO BOCOM BBM S.A</v>
          </cell>
          <cell r="D6317" t="str">
            <v>BANCO BOCOM BBM S.A</v>
          </cell>
          <cell r="E6317" t="str">
            <v>BANCO BOCOM BBM S/A</v>
          </cell>
        </row>
        <row r="6318">
          <cell r="B6318">
            <v>144482</v>
          </cell>
          <cell r="C6318" t="str">
            <v>FORSIX ADMINISTRADORA DE RECURSOS LTDA</v>
          </cell>
          <cell r="D6318" t="str">
            <v>FORSIX ADMINISTRADORA DE RECURSOS LTDA</v>
          </cell>
          <cell r="E6318" t="str">
            <v>FORSIX ADMINISTRADORA DE RECURSOS LTDA</v>
          </cell>
        </row>
        <row r="6319">
          <cell r="B6319">
            <v>144483</v>
          </cell>
          <cell r="C6319" t="str">
            <v>BANK OF AMERICA MERRILL LYNCH BANCO MULTIPLO S/A</v>
          </cell>
          <cell r="D6319" t="str">
            <v>BANK OF AMERICA MERRILL LYNCH BANCO MULTIPLO S/A</v>
          </cell>
          <cell r="E6319" t="str">
            <v>BANK OF AMERICA MERRILL LYNCH BANCO MULTIPLO S/A</v>
          </cell>
        </row>
        <row r="6320">
          <cell r="B6320">
            <v>144484</v>
          </cell>
          <cell r="C6320" t="str">
            <v>APOENA GESTORA DE RECURSOS LTDA</v>
          </cell>
          <cell r="D6320" t="str">
            <v>APOENA GESTORA DE RECURSOS LTDA</v>
          </cell>
          <cell r="E6320" t="str">
            <v>APOENA GESTORA DE RECURSOS LTDA</v>
          </cell>
        </row>
        <row r="6321">
          <cell r="B6321">
            <v>144485</v>
          </cell>
          <cell r="C6321" t="str">
            <v>GAP GESTORA DE RECURSOS LTDA</v>
          </cell>
          <cell r="D6321" t="str">
            <v>GAP GESTORA DE RECURSOS LTDA</v>
          </cell>
          <cell r="E6321" t="str">
            <v>GAP GESTORA DE RECURSOS LTDA</v>
          </cell>
        </row>
        <row r="6322">
          <cell r="B6322">
            <v>144486</v>
          </cell>
          <cell r="C6322" t="str">
            <v>GAP PRUDENTIAL LT GESTAO DE RECURSOS LTDA</v>
          </cell>
          <cell r="D6322" t="str">
            <v>GAP PRUDENTIAL LT GESTAO DE RECURSOS LTDA</v>
          </cell>
          <cell r="E6322" t="str">
            <v>GAP PRUDENTIAL LT GESTAO DE RECURSOS LTDA</v>
          </cell>
        </row>
        <row r="6323">
          <cell r="B6323">
            <v>144487</v>
          </cell>
          <cell r="C6323" t="str">
            <v>CITIBANK DTVM S/A</v>
          </cell>
          <cell r="D6323" t="str">
            <v>CITIBANK DTVM S/A</v>
          </cell>
          <cell r="E6323" t="str">
            <v>CITIBANK DTVM S/A</v>
          </cell>
        </row>
        <row r="6324">
          <cell r="B6324">
            <v>144488</v>
          </cell>
          <cell r="C6324" t="str">
            <v>KONDOR ADMINISTRADORA E GESTORA DE RECURSOS FINANCEIROS LTDA</v>
          </cell>
          <cell r="D6324" t="str">
            <v>KONDOR ADMINISTRADORA E GESTORA DE RECURSOS FINANCEIROS LTDA</v>
          </cell>
          <cell r="E6324" t="str">
            <v>KONDOR ADMINISTRADORA E GESTORA DE RECURSOS FINANCEIROS LTDA</v>
          </cell>
        </row>
        <row r="6325">
          <cell r="B6325">
            <v>144489</v>
          </cell>
          <cell r="C6325" t="str">
            <v>DYNAMO ADMINISTRACAO DE RECURSOS LTDA</v>
          </cell>
          <cell r="D6325" t="str">
            <v>DYNAMO ADMINISTRACAO DE RECURSOS LTDA</v>
          </cell>
          <cell r="E6325" t="str">
            <v>DYNAMO ADMINISTRACAO DE RECURSOS LTDA</v>
          </cell>
        </row>
        <row r="6326">
          <cell r="B6326">
            <v>14449</v>
          </cell>
          <cell r="C6326" t="str">
            <v>BBM HIGH YIELD 1 FIM</v>
          </cell>
          <cell r="D6326" t="str">
            <v>BBM HIGH YIELD 1 FIM</v>
          </cell>
          <cell r="E6326" t="str">
            <v>BBM HIGH YIELD 1 FIM</v>
          </cell>
        </row>
        <row r="6327">
          <cell r="B6327">
            <v>144491</v>
          </cell>
          <cell r="C6327" t="str">
            <v>MAXIMA ASSET MANAGEMENT LTDA</v>
          </cell>
          <cell r="D6327" t="str">
            <v>MAXIMA ASSET MANAGEMENT LTDA</v>
          </cell>
          <cell r="E6327" t="str">
            <v>MAXIMA ASSET MANAGEMENT LTDA</v>
          </cell>
        </row>
        <row r="6328">
          <cell r="B6328">
            <v>144492</v>
          </cell>
          <cell r="C6328" t="str">
            <v>TEMPO CAPITAL GESTAO DE RECURSOS LTDA</v>
          </cell>
          <cell r="D6328" t="str">
            <v>TEMPO CAPITAL GESTAO DE RECURSOS LTDA</v>
          </cell>
          <cell r="E6328" t="str">
            <v>TEMPO CAPITAL GESTAO DE RECURSOS LTDA</v>
          </cell>
        </row>
        <row r="6329">
          <cell r="B6329">
            <v>144493</v>
          </cell>
          <cell r="C6329" t="str">
            <v>BEHAVIOR GESTAO DE CAPITAL LTDA</v>
          </cell>
          <cell r="D6329" t="str">
            <v>BEHAVIOR GESTAO DE CAPITAL LTDA</v>
          </cell>
          <cell r="E6329" t="str">
            <v>BEHAVIOR GESTAO DE CAPITAL LTDA</v>
          </cell>
        </row>
        <row r="6330">
          <cell r="B6330">
            <v>144494</v>
          </cell>
          <cell r="C6330" t="str">
            <v>ADVIS EQUITIES ADMINISTRAÃ‡ÃƒO DE RECURSOS LTDA</v>
          </cell>
          <cell r="D6330" t="str">
            <v>ADVIS EQUITIES ADMINISTRAÃ‡ÃƒO DE RECURSOS LTDA</v>
          </cell>
          <cell r="E6330" t="str">
            <v>REAG ASSET MANAGEMENT LTDA</v>
          </cell>
        </row>
        <row r="6331">
          <cell r="B6331">
            <v>144495</v>
          </cell>
          <cell r="C6331" t="str">
            <v>KADIMA GESTAO DE INVESTIMENTOS LTDA</v>
          </cell>
          <cell r="D6331" t="str">
            <v>KADIMA GESTAO DE INVESTIMENTOS LTDA</v>
          </cell>
          <cell r="E6331" t="str">
            <v>KADIMA GESTAO DE INVESTIMENTOS LTDA</v>
          </cell>
        </row>
        <row r="6332">
          <cell r="B6332">
            <v>123715</v>
          </cell>
          <cell r="C6332" t="str">
            <v>XP FIA BDR NIVEL I</v>
          </cell>
          <cell r="D6332" t="str">
            <v>XP FIA BDR NIVEL I</v>
          </cell>
          <cell r="E6332" t="str">
            <v>XP FIA BDR NIVEL I</v>
          </cell>
        </row>
        <row r="6333">
          <cell r="B6333">
            <v>144497</v>
          </cell>
          <cell r="C6333" t="str">
            <v>APPIA PRIME GESTAO DE RECURSOS LTDA</v>
          </cell>
          <cell r="D6333" t="str">
            <v>APPIA PRIME GESTAO DE RECURSOS LTDA</v>
          </cell>
          <cell r="E6333" t="str">
            <v>APPIA PRIME GESTAO DE RECURSOS LTDA</v>
          </cell>
        </row>
        <row r="6334">
          <cell r="B6334">
            <v>144498</v>
          </cell>
          <cell r="C6334" t="str">
            <v>AMPLIO CAPITAL LTDA</v>
          </cell>
          <cell r="D6334" t="str">
            <v>AMPLIO CAPITAL LTDA</v>
          </cell>
          <cell r="E6334" t="str">
            <v>AMPLIO CAPITAL LTDA</v>
          </cell>
        </row>
        <row r="6335">
          <cell r="B6335">
            <v>79125</v>
          </cell>
          <cell r="C6335" t="str">
            <v>IBIUNA MACRO GESTÃƒO DE RECURSOS LTDA</v>
          </cell>
          <cell r="D6335" t="str">
            <v>IBIUNA MACRO GESTÃƒO DE RECURSOS LTDA</v>
          </cell>
          <cell r="E6335" t="str">
            <v>IBIUNA GESTAO DE RECURSOS LTDA</v>
          </cell>
        </row>
        <row r="6336">
          <cell r="B6336">
            <v>14450</v>
          </cell>
          <cell r="C6336" t="str">
            <v>BBM IBOV FMIA - CARTEIRA LIVRE</v>
          </cell>
          <cell r="D6336" t="str">
            <v>BBM IBOV FMIA - CARTEIRA LIVRE</v>
          </cell>
          <cell r="E6336" t="str">
            <v>BBM IBOV FMIA - CARTEIRA LIVRE</v>
          </cell>
        </row>
        <row r="6337">
          <cell r="B6337">
            <v>144500</v>
          </cell>
          <cell r="C6337" t="str">
            <v>BANCO SOCIETE GENERALE BRASIL S/A</v>
          </cell>
          <cell r="D6337" t="str">
            <v>BANCO SOCIETE GENERALE BRASIL S/A</v>
          </cell>
          <cell r="E6337" t="str">
            <v>BANCO SOCIETE GENERALE BRASIL S/A</v>
          </cell>
        </row>
        <row r="6338">
          <cell r="B6338">
            <v>144501</v>
          </cell>
          <cell r="C6338" t="str">
            <v>BNY MELLON ALOCACAO DE PATRIMONIO LTDA</v>
          </cell>
          <cell r="D6338" t="str">
            <v>BNY MELLON ALOCACAO DE PATRIMONIO LTDA</v>
          </cell>
          <cell r="E6338" t="str">
            <v>BNY MELLON ALOCACAO DE PATRIMONIO LTDA</v>
          </cell>
        </row>
        <row r="6339">
          <cell r="B6339">
            <v>144502</v>
          </cell>
          <cell r="C6339" t="str">
            <v>KINITRO CAPITAL GESTAO DE RECURSOS DE TERCEIROS LTDA</v>
          </cell>
          <cell r="D6339" t="str">
            <v>KINITRO CAPITAL GESTAO DE RECURSOS DE TERCEIROS LTDA</v>
          </cell>
          <cell r="E6339" t="str">
            <v>KINITRO CAPITAL GESTAO DE RECURSOS DE TERCEIROS LTDA</v>
          </cell>
        </row>
        <row r="6340">
          <cell r="B6340">
            <v>144503</v>
          </cell>
          <cell r="C6340" t="str">
            <v>ABSOLUTE GESTAO DE INVESTIMENTOS LTDA</v>
          </cell>
          <cell r="D6340" t="str">
            <v>ABSOLUTE GESTAO DE INVESTIMENTOS LTDA</v>
          </cell>
          <cell r="E6340" t="str">
            <v>ABSOLUTE GESTAO DE INVESTIMENTOS LTDA</v>
          </cell>
        </row>
        <row r="6341">
          <cell r="B6341">
            <v>122862</v>
          </cell>
          <cell r="C6341" t="str">
            <v>OCCAM RETORNO ABSOLUTO FIF MULTIMERCADO RESP LTDA</v>
          </cell>
          <cell r="D6341" t="str">
            <v>OCCAM RETORNO ABSOLUTO FIF MULTIMERCADO RESP LTDA</v>
          </cell>
          <cell r="E6341" t="str">
            <v>PLURAL GESTÃO DE RECURSOS LTDA</v>
          </cell>
        </row>
        <row r="6342">
          <cell r="B6342">
            <v>144505</v>
          </cell>
          <cell r="C6342" t="str">
            <v>MERCATTO GESTAO DE RECURSOS LTDA</v>
          </cell>
          <cell r="D6342" t="str">
            <v>MERCATTO GESTAO DE RECURSOS LTDA</v>
          </cell>
          <cell r="E6342" t="str">
            <v>MERCATTO GESTAO DE RECURSOS LTDA</v>
          </cell>
        </row>
        <row r="6343">
          <cell r="B6343">
            <v>144506</v>
          </cell>
          <cell r="C6343" t="str">
            <v>QUANTITAS GESTAO DE RECURSOS LTDA</v>
          </cell>
          <cell r="D6343" t="str">
            <v>QUANTITAS GESTAO DE RECURSOS LTDA</v>
          </cell>
          <cell r="E6343" t="str">
            <v>QUANTITAS GESTAO DE RECURSOS LTDA</v>
          </cell>
        </row>
        <row r="6344">
          <cell r="B6344">
            <v>144507</v>
          </cell>
          <cell r="C6344" t="str">
            <v>IPANEMA GESTORA DE RECURSOS LTDA</v>
          </cell>
          <cell r="D6344" t="str">
            <v>IPANEMA GESTORA DE RECURSOS LTDA</v>
          </cell>
          <cell r="E6344" t="str">
            <v>IPANEMA GESTORA DE RECURSOS LTDA</v>
          </cell>
        </row>
        <row r="6345">
          <cell r="B6345">
            <v>144508</v>
          </cell>
          <cell r="C6345" t="str">
            <v>CITIBANK DTVM S/A</v>
          </cell>
          <cell r="D6345" t="str">
            <v>CITIBANK DTVM S/A</v>
          </cell>
          <cell r="E6345" t="str">
            <v>CITIBANK DTVM S/A</v>
          </cell>
        </row>
        <row r="6346">
          <cell r="B6346">
            <v>144509</v>
          </cell>
          <cell r="C6346" t="str">
            <v>CAIXA SEGURADORA S/A</v>
          </cell>
          <cell r="D6346" t="str">
            <v>CAIXA SEGURADORA S/A</v>
          </cell>
          <cell r="E6346" t="str">
            <v>CAIXA SEGURADORA S/A</v>
          </cell>
        </row>
        <row r="6347">
          <cell r="B6347">
            <v>14451</v>
          </cell>
          <cell r="C6347" t="str">
            <v>BANCO CITIBANK S/A</v>
          </cell>
          <cell r="D6347" t="str">
            <v>BANCO CITIBANK S/A</v>
          </cell>
          <cell r="E6347" t="str">
            <v>BANCO CITIBANK S/A</v>
          </cell>
        </row>
        <row r="6348">
          <cell r="B6348">
            <v>144510</v>
          </cell>
          <cell r="C6348" t="str">
            <v>DAYCOVAL ASSET MANAGEMENT ADMINISTRACAO DE RECURSOS LTDA</v>
          </cell>
          <cell r="D6348" t="str">
            <v>DAYCOVAL ASSET MANAGEMENT ADMINISTRACAO DE RECURSOS LTDA</v>
          </cell>
          <cell r="E6348" t="str">
            <v>DAYCOVAL ASSET MANAGEMENT ADMINISTRACAO DE RECURSOS LTDA</v>
          </cell>
        </row>
        <row r="6349">
          <cell r="B6349">
            <v>80402</v>
          </cell>
          <cell r="C6349" t="str">
            <v>BRAM - BRADESCO ASSET MANAGEMENT SA DTVM</v>
          </cell>
          <cell r="D6349" t="str">
            <v>BRAM - BRADESCO ASSET MANAGEMENT SA DTVM</v>
          </cell>
          <cell r="E6349" t="str">
            <v>BRAM - BRADESCO ASSET MANAGEMENT S/A DTVM</v>
          </cell>
        </row>
        <row r="6350">
          <cell r="B6350">
            <v>144512</v>
          </cell>
          <cell r="C6350" t="str">
            <v>RIVIERA GESTORA DE RECURSOS LTDA</v>
          </cell>
          <cell r="D6350" t="str">
            <v>RIVIERA GESTORA DE RECURSOS LTDA</v>
          </cell>
          <cell r="E6350" t="str">
            <v>RIVIERA GESTORA DE RECURSOS LTDA</v>
          </cell>
        </row>
        <row r="6351">
          <cell r="B6351">
            <v>79593</v>
          </cell>
          <cell r="C6351" t="str">
            <v>IBIUNA HEDGE FIM</v>
          </cell>
          <cell r="D6351" t="str">
            <v>IBIUNA HEDGE FIM</v>
          </cell>
          <cell r="E6351" t="str">
            <v>IBIUNA GESTAO DE RECURSOS LTDA</v>
          </cell>
        </row>
        <row r="6352">
          <cell r="B6352">
            <v>144514</v>
          </cell>
          <cell r="C6352" t="str">
            <v>REAG WM GESTORA DE PATRIMÃ”NIO LTDA</v>
          </cell>
          <cell r="D6352" t="str">
            <v>REAG WM GESTORA DE PATRIMÃ”NIO LTDA</v>
          </cell>
          <cell r="E6352" t="str">
            <v>REAG ASSET MANAGEMENT LTDA</v>
          </cell>
        </row>
        <row r="6353">
          <cell r="B6353">
            <v>144515</v>
          </cell>
          <cell r="C6353" t="str">
            <v>QUATA GESTAO DE RECURSOS LTDA</v>
          </cell>
          <cell r="D6353" t="str">
            <v>QUATA GESTAO DE RECURSOS LTDA</v>
          </cell>
          <cell r="E6353" t="str">
            <v>QUATA GESTAO DE RECURSOS LTDA</v>
          </cell>
        </row>
        <row r="6354">
          <cell r="B6354">
            <v>144516</v>
          </cell>
          <cell r="C6354" t="str">
            <v>IRIS INVESTIMENTOS E GESTAO DE RECURSOS LTDA</v>
          </cell>
          <cell r="D6354" t="str">
            <v>IRIS INVESTIMENTOS E GESTAO DE RECURSOS LTDA</v>
          </cell>
          <cell r="E6354" t="str">
            <v>IRIS INVESTIMENTOS E GESTAO DE RECURSOS LTDA</v>
          </cell>
        </row>
        <row r="6355">
          <cell r="B6355">
            <v>144517</v>
          </cell>
          <cell r="C6355" t="str">
            <v>INVESTIDOR PROFISSIONAL GESTAO DE RECURSOS LTDA</v>
          </cell>
          <cell r="D6355" t="str">
            <v>INVESTIDOR PROFISSIONAL GESTAO DE RECURSOS LTDA</v>
          </cell>
          <cell r="E6355" t="str">
            <v>INVESTIDOR PROFISSIONAL GESTAO DE RECURSOS LTDA</v>
          </cell>
        </row>
        <row r="6356">
          <cell r="B6356">
            <v>144518</v>
          </cell>
          <cell r="C6356" t="str">
            <v>IP ADMINISTRAÃ‡ÃƒO DE CARTEIRAS GLOBAL LTDA</v>
          </cell>
          <cell r="D6356" t="str">
            <v>IP ADMINISTRAÃ‡ÃƒO DE CARTEIRAS GLOBAL LTDA</v>
          </cell>
          <cell r="E6356" t="str">
            <v>IP ADMINISTRAÃ‡ÃƒO DE CARTEIRAS GLOBAL LTDA</v>
          </cell>
        </row>
        <row r="6357">
          <cell r="B6357">
            <v>144519</v>
          </cell>
          <cell r="C6357" t="str">
            <v>VINCI SOLUÃ‡Ã•ES DE INVESTIMENTOS LTDA</v>
          </cell>
          <cell r="D6357" t="str">
            <v>VINCI SOLUÃ‡Ã•ES DE INVESTIMENTOS LTDA</v>
          </cell>
          <cell r="E6357" t="str">
            <v>VINCI GESTORA DE RECURSOS LTDA</v>
          </cell>
        </row>
        <row r="6358">
          <cell r="B6358">
            <v>226</v>
          </cell>
          <cell r="C6358" t="str">
            <v>BANCO SANTANDER (BRASIL) S/A</v>
          </cell>
          <cell r="D6358" t="str">
            <v>BANCO SANTANDER (BRASIL) S/A</v>
          </cell>
          <cell r="E6358" t="str">
            <v>BANCO SANTANDER (BRASIL) S/A</v>
          </cell>
        </row>
        <row r="6359">
          <cell r="B6359">
            <v>144520</v>
          </cell>
          <cell r="C6359" t="str">
            <v>BB GESTAO DE RECURSOS DTVM LTDA</v>
          </cell>
          <cell r="D6359" t="str">
            <v>BB GESTAO DE RECURSOS DTVM LTDA</v>
          </cell>
          <cell r="E6359" t="str">
            <v>BB GESTAO DE RECURSOS DTVM LTDA</v>
          </cell>
        </row>
        <row r="6360">
          <cell r="B6360">
            <v>144521</v>
          </cell>
          <cell r="C6360" t="str">
            <v>ADVIS INVESTIMENTOS LTDA (ANTIGO ADVISOR ADM DE RECURSOS)</v>
          </cell>
          <cell r="D6360" t="str">
            <v>ADVIS INVESTIMENTOS LTDA (ANTIGO ADVISOR ADM DE RECURSOS)</v>
          </cell>
          <cell r="E6360" t="str">
            <v>ADVIS INVESTIMENTOS LTDA (ANTIGO ADVISOR ADM DE RECURSOS)</v>
          </cell>
        </row>
        <row r="6361">
          <cell r="B6361">
            <v>144522</v>
          </cell>
          <cell r="C6361" t="str">
            <v>OPUS GESTAO DE RECURSOS LTDA</v>
          </cell>
          <cell r="D6361" t="str">
            <v>OPUS GESTAO DE RECURSOS LTDA</v>
          </cell>
          <cell r="E6361" t="str">
            <v>OPUS GESTAO DE RECURSOS LTDA</v>
          </cell>
        </row>
        <row r="6362">
          <cell r="B6362">
            <v>144523</v>
          </cell>
          <cell r="C6362" t="str">
            <v>QUANTITAS GESTAO DE RECURSOS LTDA</v>
          </cell>
          <cell r="D6362" t="str">
            <v>QUANTITAS GESTAO DE RECURSOS LTDA</v>
          </cell>
          <cell r="E6362" t="str">
            <v>QUANTITAS GESTAO DE RECURSOS LTDA</v>
          </cell>
        </row>
        <row r="6363">
          <cell r="B6363">
            <v>144524</v>
          </cell>
          <cell r="C6363" t="str">
            <v>RIO PERFORMANCE GESTAO DE RECURSOS LTDA</v>
          </cell>
          <cell r="D6363" t="str">
            <v>RIO PERFORMANCE GESTAO DE RECURSOS LTDA</v>
          </cell>
          <cell r="E6363" t="str">
            <v>RIO PERFORMANCE GESTAO DE RECURSOS LTDA</v>
          </cell>
        </row>
        <row r="6364">
          <cell r="B6364">
            <v>144525</v>
          </cell>
          <cell r="C6364" t="str">
            <v>KADIMA GESTAO DE INVESTIMENTOS LTDA</v>
          </cell>
          <cell r="D6364" t="str">
            <v>KADIMA GESTAO DE INVESTIMENTOS LTDA</v>
          </cell>
          <cell r="E6364" t="str">
            <v>KADIMA GESTAO DE INVESTIMENTOS LTDA</v>
          </cell>
        </row>
        <row r="6365">
          <cell r="B6365">
            <v>123715</v>
          </cell>
          <cell r="C6365" t="str">
            <v>XP FIA BDR NIVEL I</v>
          </cell>
          <cell r="D6365" t="str">
            <v>XP FIA BDR NIVEL I</v>
          </cell>
          <cell r="E6365" t="str">
            <v>XP FIA BDR NIVEL I</v>
          </cell>
        </row>
        <row r="6366">
          <cell r="B6366">
            <v>144527</v>
          </cell>
          <cell r="C6366" t="str">
            <v>PRINCIPAL ASSET MANAGEMENT LTDA</v>
          </cell>
          <cell r="D6366" t="str">
            <v>PRINCIPAL ASSET MANAGEMENT LTDA</v>
          </cell>
          <cell r="E6366" t="str">
            <v>PRINCIPAL ASSET MANAGEMENT LTDA</v>
          </cell>
        </row>
        <row r="6367">
          <cell r="B6367">
            <v>144528</v>
          </cell>
          <cell r="C6367" t="str">
            <v>TF GESTAO DE RECURSOS LTDA</v>
          </cell>
          <cell r="D6367" t="str">
            <v>TF GESTAO DE RECURSOS LTDA</v>
          </cell>
          <cell r="E6367" t="str">
            <v>TF GESTAO DE RECURSOS LTDA</v>
          </cell>
        </row>
        <row r="6368">
          <cell r="B6368">
            <v>144529</v>
          </cell>
          <cell r="C6368" t="str">
            <v>UNICA ADMINISTRACAO E GESTAO DE RECURSOS LTDA</v>
          </cell>
          <cell r="D6368" t="str">
            <v>UNICA ADMINISTRACAO E GESTAO DE RECURSOS LTDA</v>
          </cell>
          <cell r="E6368" t="str">
            <v>UNICA ADMINISTRACAO E GESTAO DE RECURSOS LTDA</v>
          </cell>
        </row>
        <row r="6369">
          <cell r="B6369">
            <v>14453</v>
          </cell>
          <cell r="C6369" t="str">
            <v>BANCO BOCOM BBM S.A</v>
          </cell>
          <cell r="D6369" t="str">
            <v>BANCO BOCOM BBM S.A</v>
          </cell>
          <cell r="E6369" t="str">
            <v>BANCO BOCOM BBM S/A</v>
          </cell>
        </row>
        <row r="6370">
          <cell r="B6370">
            <v>144530</v>
          </cell>
          <cell r="C6370" t="str">
            <v>VINCI GESTORA DE RECURSOS LTDA</v>
          </cell>
          <cell r="D6370" t="str">
            <v>VINCI GESTORA DE RECURSOS LTDA</v>
          </cell>
          <cell r="E6370" t="str">
            <v>VINCI GESTORA DE RECURSOS LTDA</v>
          </cell>
        </row>
        <row r="6371">
          <cell r="B6371">
            <v>144531</v>
          </cell>
          <cell r="C6371" t="str">
            <v>CITRINO GESTAO DE RECURSOS LTDA</v>
          </cell>
          <cell r="D6371" t="str">
            <v>CITRINO GESTAO DE RECURSOS LTDA</v>
          </cell>
          <cell r="E6371" t="str">
            <v>CITRINO GESTAO DE RECURSOS LTDA</v>
          </cell>
        </row>
        <row r="6372">
          <cell r="B6372">
            <v>144532</v>
          </cell>
          <cell r="C6372" t="str">
            <v>GARDE ASSET MANAGEMENT GESTAO DE RECURSOS LTDA</v>
          </cell>
          <cell r="D6372" t="str">
            <v>GARDE ASSET MANAGEMENT GESTAO DE RECURSOS LTDA</v>
          </cell>
          <cell r="E6372" t="str">
            <v>GARDE ASSET MANAGEMENT GESTAO DE RECURSOS LTDA</v>
          </cell>
        </row>
        <row r="6373">
          <cell r="B6373" t="str">
            <v>M21813.291000107</v>
          </cell>
          <cell r="C6373" t="str">
            <v>SUL AMERICA INVESTIMENTOS GESTORA DE RECURSOS S/A</v>
          </cell>
          <cell r="D6373" t="str">
            <v>SUL AMERICA INVESTIMENTOS GESTORA DE RECURSOS S/A</v>
          </cell>
          <cell r="E6373" t="str">
            <v>SUL AMERICA INVESTIMENTOS GESTORA DE RECURSOS S/A</v>
          </cell>
        </row>
        <row r="6374">
          <cell r="B6374">
            <v>144534</v>
          </cell>
          <cell r="C6374" t="str">
            <v>IRB BRASIL RESSEGUROS S.A.</v>
          </cell>
          <cell r="D6374" t="str">
            <v>IRB BRASIL RESSEGUROS S.A.</v>
          </cell>
          <cell r="E6374" t="str">
            <v>IRB BRASIL RESSEGUROS S.A.</v>
          </cell>
        </row>
        <row r="6375">
          <cell r="B6375">
            <v>144535</v>
          </cell>
          <cell r="C6375" t="str">
            <v>GRIMPER CAPITAL GESTORA DE RECURSOS LTDA</v>
          </cell>
          <cell r="D6375" t="str">
            <v>GRIMPER CAPITAL GESTORA DE RECURSOS LTDA</v>
          </cell>
          <cell r="E6375" t="str">
            <v>GRIMPER CAPITAL GESTORA DE RECURSOS LTDA</v>
          </cell>
        </row>
        <row r="6376">
          <cell r="B6376">
            <v>144536</v>
          </cell>
          <cell r="C6376" t="str">
            <v>GRIMPER CAPITAL GESTORA DE RECURSOS LTDA</v>
          </cell>
          <cell r="D6376" t="str">
            <v>GRIMPER CAPITAL GESTORA DE RECURSOS LTDA</v>
          </cell>
          <cell r="E6376" t="str">
            <v>GRIMPER CAPITAL GESTORA DE RECURSOS LTDA</v>
          </cell>
        </row>
        <row r="6377">
          <cell r="B6377">
            <v>144537</v>
          </cell>
          <cell r="C6377" t="str">
            <v>DYNAMO ADMINISTRACAO DE RECURSOS LTDA</v>
          </cell>
          <cell r="D6377" t="str">
            <v>DYNAMO ADMINISTRACAO DE RECURSOS LTDA</v>
          </cell>
          <cell r="E6377" t="str">
            <v>DYNAMO ADMINISTRACAO DE RECURSOS LTDA</v>
          </cell>
        </row>
        <row r="6378">
          <cell r="B6378">
            <v>144538</v>
          </cell>
          <cell r="C6378" t="str">
            <v>NOVUS CAPITAL GESTORA DE RECURSOS LTDA</v>
          </cell>
          <cell r="D6378" t="str">
            <v>NOVUS CAPITAL GESTORA DE RECURSOS LTDA</v>
          </cell>
          <cell r="E6378" t="str">
            <v>NOVUS CAPITAL GESTORA DE RECURSOS LTDA</v>
          </cell>
        </row>
        <row r="6379">
          <cell r="B6379">
            <v>144539</v>
          </cell>
          <cell r="C6379" t="str">
            <v>BRASIF GESTAO INTERNACIONAL LTDA</v>
          </cell>
          <cell r="D6379" t="str">
            <v>BRASIF GESTAO INTERNACIONAL LTDA</v>
          </cell>
          <cell r="E6379" t="str">
            <v>BRASIF GESTAO INTERNACIONAL LTDA</v>
          </cell>
        </row>
        <row r="6380">
          <cell r="B6380">
            <v>14454</v>
          </cell>
          <cell r="C6380" t="str">
            <v>BANCO BOCOM BBM S.A</v>
          </cell>
          <cell r="D6380" t="str">
            <v>BANCO BOCOM BBM S.A</v>
          </cell>
          <cell r="E6380" t="str">
            <v>BANCO BOCOM BBM S/A</v>
          </cell>
        </row>
        <row r="6381">
          <cell r="B6381">
            <v>144540</v>
          </cell>
          <cell r="C6381" t="str">
            <v>WRIGHT CAPITAL GESTAO DE RECURSOS LTDA</v>
          </cell>
          <cell r="D6381" t="str">
            <v>WRIGHT CAPITAL GESTAO DE RECURSOS LTDA</v>
          </cell>
          <cell r="E6381" t="str">
            <v>WRIGHT CAPITAL GESTAO DE RECURSOS LTDA</v>
          </cell>
        </row>
        <row r="6382">
          <cell r="B6382">
            <v>144541</v>
          </cell>
          <cell r="C6382" t="str">
            <v>VISTA CAPITAL GESTORA DE RECURSOS LTDA.</v>
          </cell>
          <cell r="D6382" t="str">
            <v>VISTA CAPITAL GESTORA DE RECURSOS LTDA.</v>
          </cell>
          <cell r="E6382" t="str">
            <v>VISTA CAPITAL GESTORA DE RECURSOS LTDA</v>
          </cell>
        </row>
        <row r="6383">
          <cell r="B6383">
            <v>144542</v>
          </cell>
          <cell r="C6383" t="str">
            <v>WRIGHT CAPITAL GESTAO DE RECURSOS LTDA</v>
          </cell>
          <cell r="D6383" t="str">
            <v>WRIGHT CAPITAL GESTAO DE RECURSOS LTDA</v>
          </cell>
          <cell r="E6383" t="str">
            <v>WRIGHT CAPITAL GESTAO DE RECURSOS LTDA</v>
          </cell>
        </row>
        <row r="6384">
          <cell r="B6384">
            <v>144543</v>
          </cell>
          <cell r="C6384" t="str">
            <v>ARGUCIACAPITAL GESTAO DE RECURSOS LTDA</v>
          </cell>
          <cell r="D6384" t="str">
            <v>ARGUCIACAPITAL GESTAO DE RECURSOS LTDA</v>
          </cell>
          <cell r="E6384" t="str">
            <v>ARGUCIA CAPITAL GESTAO DE RECURSOS LTDA</v>
          </cell>
        </row>
        <row r="6385">
          <cell r="B6385">
            <v>144544</v>
          </cell>
          <cell r="C6385" t="str">
            <v>ELLEVEN GESTORA DE RECURSOS LTDA</v>
          </cell>
          <cell r="D6385" t="str">
            <v>ELLEVEN GESTORA DE RECURSOS LTDA</v>
          </cell>
          <cell r="E6385" t="str">
            <v>ELLEVEN GESTORA DE RECURSOS LTDA</v>
          </cell>
        </row>
        <row r="6386">
          <cell r="B6386">
            <v>144545</v>
          </cell>
          <cell r="C6386" t="str">
            <v>ARIA CAPITAL ASSET ADM DE RECURSOS LTDA</v>
          </cell>
          <cell r="D6386" t="str">
            <v>ARIA CAPITAL ASSET ADM DE RECURSOS LTDA</v>
          </cell>
          <cell r="E6386" t="str">
            <v>ARIA CAPITAL ASSET ADM DE RECURSOS LTDA</v>
          </cell>
        </row>
        <row r="6387">
          <cell r="B6387">
            <v>144546</v>
          </cell>
          <cell r="C6387" t="str">
            <v>FINGER LAKER GESTORA DE RECURSOS LTDA</v>
          </cell>
          <cell r="D6387" t="str">
            <v>FINGER LAKER GESTORA DE RECURSOS LTDA</v>
          </cell>
          <cell r="E6387" t="str">
            <v>FINGER LAKER GESTORA DE RECURSOS LTDA</v>
          </cell>
        </row>
        <row r="6388">
          <cell r="B6388">
            <v>14457</v>
          </cell>
          <cell r="C6388" t="str">
            <v>BANCO BOCOM BBM S.A</v>
          </cell>
          <cell r="D6388" t="str">
            <v>BANCO BOCOM BBM S.A</v>
          </cell>
          <cell r="E6388" t="str">
            <v>BANCO BOCOM BBM S/A</v>
          </cell>
        </row>
        <row r="6389">
          <cell r="B6389">
            <v>14458</v>
          </cell>
          <cell r="C6389" t="str">
            <v>BBM ADMINISTRACAO DE RECURSOS</v>
          </cell>
          <cell r="D6389" t="str">
            <v>BBM ADMINISTRACAO DE RECURSOS</v>
          </cell>
          <cell r="E6389" t="str">
            <v>BBM ADMINISTRACAO DE RECURSOS</v>
          </cell>
        </row>
        <row r="6390">
          <cell r="B6390">
            <v>1446</v>
          </cell>
          <cell r="C6390" t="str">
            <v>BGC LIQUIDEZ DTVM LTDA</v>
          </cell>
          <cell r="D6390" t="str">
            <v>BGC LIQUIDEZ DTVM LTDA</v>
          </cell>
          <cell r="E6390" t="str">
            <v>BGC LIQUIDEZ DTVM LTDA</v>
          </cell>
        </row>
        <row r="6391">
          <cell r="B6391">
            <v>14460</v>
          </cell>
          <cell r="C6391" t="str">
            <v>BANCO BOCOM BBM S.A</v>
          </cell>
          <cell r="D6391" t="str">
            <v>BANCO BOCOM BBM S.A</v>
          </cell>
          <cell r="E6391" t="str">
            <v>BANCO BOCOM BBM S/A</v>
          </cell>
        </row>
        <row r="6392">
          <cell r="B6392">
            <v>14461</v>
          </cell>
          <cell r="C6392" t="str">
            <v>BANCO BOCOM BBM S.A</v>
          </cell>
          <cell r="D6392" t="str">
            <v>BANCO BOCOM BBM S.A</v>
          </cell>
          <cell r="E6392" t="str">
            <v>BANCO BOCOM BBM S/A</v>
          </cell>
        </row>
        <row r="6393">
          <cell r="B6393">
            <v>14462</v>
          </cell>
          <cell r="C6393" t="str">
            <v>BANCO BOCOM BBM S.A</v>
          </cell>
          <cell r="D6393" t="str">
            <v>BANCO BOCOM BBM S.A</v>
          </cell>
          <cell r="E6393" t="str">
            <v>BANCO BOCOM BBM S/A</v>
          </cell>
        </row>
        <row r="6394">
          <cell r="B6394">
            <v>14464</v>
          </cell>
          <cell r="C6394" t="str">
            <v>BANCO BOCOM BBM S.A</v>
          </cell>
          <cell r="D6394" t="str">
            <v>BANCO BOCOM BBM S.A</v>
          </cell>
          <cell r="E6394" t="str">
            <v>BANCO BOCOM BBM S/A</v>
          </cell>
        </row>
        <row r="6395">
          <cell r="B6395">
            <v>14465</v>
          </cell>
          <cell r="C6395" t="str">
            <v>KRAKATOA FUNDO DE INVESTIMENTO MULTIMERCADO</v>
          </cell>
          <cell r="D6395" t="str">
            <v>KRAKATOA FUNDO DE INVESTIMENTO MULTIMERCADO</v>
          </cell>
          <cell r="E6395" t="str">
            <v>KRAKATOA FUNDO DE INVESTIMENTO MULTIMERCADO</v>
          </cell>
        </row>
        <row r="6396">
          <cell r="B6396">
            <v>14467</v>
          </cell>
          <cell r="C6396" t="str">
            <v>BANCO BOCOM BBM S.A</v>
          </cell>
          <cell r="D6396" t="str">
            <v>BANCO BOCOM BBM S.A</v>
          </cell>
          <cell r="E6396" t="str">
            <v>BANCO BOCOM BBM S/A</v>
          </cell>
        </row>
        <row r="6397">
          <cell r="B6397">
            <v>14468</v>
          </cell>
          <cell r="C6397" t="str">
            <v>BANCO BOCOM BBM S.A</v>
          </cell>
          <cell r="D6397" t="str">
            <v>BANCO BOCOM BBM S.A</v>
          </cell>
          <cell r="E6397" t="str">
            <v>BANCO BOCOM BBM S/A</v>
          </cell>
        </row>
        <row r="6398">
          <cell r="B6398">
            <v>1447</v>
          </cell>
          <cell r="C6398" t="str">
            <v>BGC LIQUIDEZ DTVM LTDA - GFI</v>
          </cell>
          <cell r="D6398" t="str">
            <v>BGC LIQUIDEZ DTVM LTDA - GFI</v>
          </cell>
          <cell r="E6398" t="str">
            <v>BGC LIQUIDEZ DTVM LTDA - GFI</v>
          </cell>
        </row>
        <row r="6399">
          <cell r="B6399">
            <v>14471</v>
          </cell>
          <cell r="C6399" t="str">
            <v>BANCO BOCOM BBM S.A</v>
          </cell>
          <cell r="D6399" t="str">
            <v>BANCO BOCOM BBM S.A</v>
          </cell>
          <cell r="E6399" t="str">
            <v>BANCO BOCOM BBM S/A</v>
          </cell>
        </row>
        <row r="6400">
          <cell r="B6400">
            <v>14473</v>
          </cell>
          <cell r="C6400" t="str">
            <v>BANCO BOCOM BBM S.A</v>
          </cell>
          <cell r="D6400" t="str">
            <v>BANCO BOCOM BBM S.A</v>
          </cell>
          <cell r="E6400" t="str">
            <v>BANCO BOCOM BBM S/A</v>
          </cell>
        </row>
        <row r="6401">
          <cell r="B6401">
            <v>14475</v>
          </cell>
          <cell r="C6401" t="str">
            <v>BANCO BOCOM BBM S.A</v>
          </cell>
          <cell r="D6401" t="str">
            <v>BANCO BOCOM BBM S.A</v>
          </cell>
          <cell r="E6401" t="str">
            <v>BANCO BOCOM BBM S/A</v>
          </cell>
        </row>
        <row r="6402">
          <cell r="B6402">
            <v>14476</v>
          </cell>
          <cell r="C6402" t="str">
            <v>BANCO BOCOM BBM S.A</v>
          </cell>
          <cell r="D6402" t="str">
            <v>BANCO BOCOM BBM S.A</v>
          </cell>
          <cell r="E6402" t="str">
            <v>BANCO BOCOM BBM S/A</v>
          </cell>
        </row>
        <row r="6403">
          <cell r="B6403">
            <v>14477</v>
          </cell>
          <cell r="C6403" t="str">
            <v>BANCO BOCOM BBM S.A</v>
          </cell>
          <cell r="D6403" t="str">
            <v>BANCO BOCOM BBM S.A</v>
          </cell>
          <cell r="E6403" t="str">
            <v>BANCO BOCOM BBM S/A</v>
          </cell>
        </row>
        <row r="6404">
          <cell r="B6404">
            <v>228</v>
          </cell>
          <cell r="C6404" t="str">
            <v>BANCO SANTANDER (BRASIL) S/A</v>
          </cell>
          <cell r="D6404" t="str">
            <v>BANCO SANTANDER (BRASIL) S/A</v>
          </cell>
          <cell r="E6404" t="str">
            <v>BANCO SANTANDER (BRASIL) S/A</v>
          </cell>
        </row>
        <row r="6405">
          <cell r="B6405">
            <v>1448</v>
          </cell>
          <cell r="C6405" t="str">
            <v>BGC LIQUIDEZ DTVM LTDA</v>
          </cell>
          <cell r="D6405" t="str">
            <v>BGC LIQUIDEZ DTVM LTDA</v>
          </cell>
          <cell r="E6405" t="str">
            <v>BGC LIQUIDEZ DTVM LTDA</v>
          </cell>
        </row>
        <row r="6406">
          <cell r="B6406">
            <v>229</v>
          </cell>
          <cell r="C6406" t="str">
            <v>BANCO SANTANDER (BRASIL) S/A</v>
          </cell>
          <cell r="D6406" t="str">
            <v>BANCO SANTANDER (BRASIL) S/A</v>
          </cell>
          <cell r="E6406" t="str">
            <v>BANCO SANTANDER (BRASIL) S/A</v>
          </cell>
        </row>
        <row r="6407">
          <cell r="B6407">
            <v>231</v>
          </cell>
          <cell r="C6407" t="str">
            <v>BANCO SANTANDER (BRASIL) S/A</v>
          </cell>
          <cell r="D6407" t="str">
            <v>BANCO SANTANDER (BRASIL) S/A</v>
          </cell>
          <cell r="E6407" t="str">
            <v>BANCO SANTANDER (BRASIL) S/A</v>
          </cell>
        </row>
        <row r="6408">
          <cell r="B6408">
            <v>232</v>
          </cell>
          <cell r="C6408" t="str">
            <v>BANCO SANTANDER (BRASIL) S/A</v>
          </cell>
          <cell r="D6408" t="str">
            <v>BANCO SANTANDER (BRASIL) S/A</v>
          </cell>
          <cell r="E6408" t="str">
            <v>BANCO SANTANDER (BRASIL) S/A</v>
          </cell>
        </row>
        <row r="6409">
          <cell r="B6409">
            <v>14483</v>
          </cell>
          <cell r="C6409" t="str">
            <v>BANCO BOCOM BBM S.A</v>
          </cell>
          <cell r="D6409" t="str">
            <v>BANCO BOCOM BBM S.A</v>
          </cell>
          <cell r="E6409" t="str">
            <v>BANCO BOCOM BBM S/A</v>
          </cell>
        </row>
        <row r="6410">
          <cell r="B6410">
            <v>14484</v>
          </cell>
          <cell r="C6410" t="str">
            <v>BANCO BOCOM BBM S.A</v>
          </cell>
          <cell r="D6410" t="str">
            <v>BANCO BOCOM BBM S.A</v>
          </cell>
          <cell r="E6410" t="str">
            <v>BANCO BOCOM BBM S/A</v>
          </cell>
        </row>
        <row r="6411">
          <cell r="B6411">
            <v>14485</v>
          </cell>
          <cell r="C6411" t="str">
            <v>BANCO BOCOM BBM S.A</v>
          </cell>
          <cell r="D6411" t="str">
            <v>BANCO BOCOM BBM S.A</v>
          </cell>
          <cell r="E6411" t="str">
            <v>BANCO BOCOM BBM S/A</v>
          </cell>
        </row>
        <row r="6412">
          <cell r="B6412">
            <v>14486</v>
          </cell>
          <cell r="C6412" t="str">
            <v>ITAU CORRETORA DE VALORES S.A.</v>
          </cell>
          <cell r="D6412" t="str">
            <v>ITAU CORRETORA DE VALORES S.A.</v>
          </cell>
          <cell r="E6412" t="str">
            <v>ITAU CV S/A</v>
          </cell>
        </row>
        <row r="6413">
          <cell r="B6413">
            <v>14487</v>
          </cell>
          <cell r="C6413" t="str">
            <v>ITAU CORRETORA DE VALORES S.A.</v>
          </cell>
          <cell r="D6413" t="str">
            <v>ITAU CORRETORA DE VALORES S.A.</v>
          </cell>
          <cell r="E6413" t="str">
            <v>ITAU CV S/A</v>
          </cell>
        </row>
        <row r="6414">
          <cell r="B6414">
            <v>14488</v>
          </cell>
          <cell r="C6414" t="str">
            <v>ITAU CORRETORA DE VALORES S.A.</v>
          </cell>
          <cell r="D6414" t="str">
            <v>ITAU CORRETORA DE VALORES S.A.</v>
          </cell>
          <cell r="E6414" t="str">
            <v>ITAU CV S/A</v>
          </cell>
        </row>
        <row r="6415">
          <cell r="B6415">
            <v>14489</v>
          </cell>
          <cell r="C6415" t="str">
            <v>ITAU CORRETORA DE VALORES S.A.</v>
          </cell>
          <cell r="D6415" t="str">
            <v>ITAU CORRETORA DE VALORES S.A.</v>
          </cell>
          <cell r="E6415" t="str">
            <v>ITAU CV S/A</v>
          </cell>
        </row>
        <row r="6416">
          <cell r="B6416">
            <v>1449</v>
          </cell>
          <cell r="C6416" t="str">
            <v>BGC LIQUIDEZ DTVM LTDA</v>
          </cell>
          <cell r="D6416" t="str">
            <v>BGC LIQUIDEZ DTVM LTDA</v>
          </cell>
          <cell r="E6416" t="str">
            <v>BGC LIQUIDEZ DTVM LTDA</v>
          </cell>
        </row>
        <row r="6417">
          <cell r="B6417">
            <v>14490</v>
          </cell>
          <cell r="C6417" t="str">
            <v>BANCO BOCOM BBM S.A</v>
          </cell>
          <cell r="D6417" t="str">
            <v>BANCO BOCOM BBM S.A</v>
          </cell>
          <cell r="E6417" t="str">
            <v>BANCO BOCOM BBM S/A</v>
          </cell>
        </row>
        <row r="6418">
          <cell r="B6418">
            <v>14491</v>
          </cell>
          <cell r="C6418" t="str">
            <v>BANKBOSTON, N.A. ( CARTEIRA 51 )</v>
          </cell>
          <cell r="D6418" t="str">
            <v>BANKBOSTON, N.A. ( CARTEIRA 51 )</v>
          </cell>
          <cell r="E6418" t="str">
            <v>BANKBOSTON, N.A. ( CARTEIRA 51 )</v>
          </cell>
        </row>
        <row r="6419">
          <cell r="B6419">
            <v>14492</v>
          </cell>
          <cell r="C6419" t="str">
            <v>BANCO BMC S/A</v>
          </cell>
          <cell r="D6419" t="str">
            <v>BANCO BMC S/A</v>
          </cell>
          <cell r="E6419" t="str">
            <v>BANCO BMC S/A</v>
          </cell>
        </row>
        <row r="6420">
          <cell r="B6420">
            <v>14493</v>
          </cell>
          <cell r="C6420" t="str">
            <v>BANKBOSTON, N.A. ( CARTEIRA 51 )</v>
          </cell>
          <cell r="D6420" t="str">
            <v>BANKBOSTON, N.A. ( CARTEIRA 51 )</v>
          </cell>
          <cell r="E6420" t="str">
            <v>BANKBOSTON, N.A. ( CARTEIRA 51 )</v>
          </cell>
        </row>
        <row r="6421">
          <cell r="B6421">
            <v>14494</v>
          </cell>
          <cell r="C6421" t="str">
            <v>BANCO BOCOM BBM S.A</v>
          </cell>
          <cell r="D6421" t="str">
            <v>BANCO BOCOM BBM S.A</v>
          </cell>
          <cell r="E6421" t="str">
            <v>BANCO BOCOM BBM S/A</v>
          </cell>
        </row>
        <row r="6422">
          <cell r="B6422">
            <v>14495</v>
          </cell>
          <cell r="C6422" t="str">
            <v>BANCO BOCOM BBM S.A</v>
          </cell>
          <cell r="D6422" t="str">
            <v>BANCO BOCOM BBM S.A</v>
          </cell>
          <cell r="E6422" t="str">
            <v>BANCO BOCOM BBM S/A</v>
          </cell>
        </row>
        <row r="6423">
          <cell r="B6423">
            <v>14496</v>
          </cell>
          <cell r="C6423" t="str">
            <v>BANCO BOCOM BBM S.A</v>
          </cell>
          <cell r="D6423" t="str">
            <v>BANCO BOCOM BBM S.A</v>
          </cell>
          <cell r="E6423" t="str">
            <v>BANCO BOCOM BBM S/A</v>
          </cell>
        </row>
        <row r="6424">
          <cell r="B6424">
            <v>14497</v>
          </cell>
          <cell r="C6424" t="str">
            <v>KIRTON BANK S.A. - BANCO MULTIPLO</v>
          </cell>
          <cell r="D6424" t="str">
            <v>KIRTON BANK S.A. - BANCO MULTIPLO</v>
          </cell>
          <cell r="E6424" t="str">
            <v>KIRTON BANK S.A. - BANCO MULTIPLO</v>
          </cell>
        </row>
        <row r="6425">
          <cell r="B6425">
            <v>14498</v>
          </cell>
          <cell r="C6425" t="str">
            <v>BANCO BOCOM BBM S.A</v>
          </cell>
          <cell r="D6425" t="str">
            <v>BANCO BOCOM BBM S.A</v>
          </cell>
          <cell r="E6425" t="str">
            <v>BANCO BOCOM BBM S/A</v>
          </cell>
        </row>
        <row r="6426">
          <cell r="B6426">
            <v>145</v>
          </cell>
          <cell r="C6426" t="str">
            <v>BB GESTAO DE RECURSOS DTVM LTDA</v>
          </cell>
          <cell r="D6426" t="str">
            <v>BB GESTAO DE RECURSOS DTVM LTDA</v>
          </cell>
          <cell r="E6426" t="str">
            <v>BB GESTAO DE RECURSOS DTVM LTDA</v>
          </cell>
        </row>
        <row r="6427">
          <cell r="B6427">
            <v>1450</v>
          </cell>
          <cell r="C6427" t="str">
            <v>BGC LIQUIDEZ DTVM LTDA</v>
          </cell>
          <cell r="D6427" t="str">
            <v>BGC LIQUIDEZ DTVM LTDA</v>
          </cell>
          <cell r="E6427" t="str">
            <v>BGC LIQUIDEZ DTVM LTDA</v>
          </cell>
        </row>
        <row r="6428">
          <cell r="B6428">
            <v>14505</v>
          </cell>
          <cell r="C6428" t="str">
            <v>BANCO BARCLAYS S/A</v>
          </cell>
          <cell r="D6428" t="str">
            <v>BANCO BARCLAYS S/A</v>
          </cell>
          <cell r="E6428" t="str">
            <v>BARCLAYS BANK PLC</v>
          </cell>
        </row>
        <row r="6429">
          <cell r="B6429">
            <v>1451</v>
          </cell>
          <cell r="C6429" t="str">
            <v>BGC LIQUIDEZ DTVM LTDA</v>
          </cell>
          <cell r="D6429" t="str">
            <v>BGC LIQUIDEZ DTVM LTDA</v>
          </cell>
          <cell r="E6429" t="str">
            <v>BGC LIQUIDEZ DTVM LTDA</v>
          </cell>
        </row>
        <row r="6430">
          <cell r="B6430">
            <v>14516</v>
          </cell>
          <cell r="C6430" t="str">
            <v>SDA HEDGE FUNDO DE INVESTIMENTO MULTIMERCADO</v>
          </cell>
          <cell r="D6430" t="str">
            <v>SDA HEDGE FUNDO DE INVESTIMENTO MULTIMERCADO</v>
          </cell>
          <cell r="E6430" t="str">
            <v>SDA HEDGE FUNDO DE INVESTIMENTO MULTIMERCADO</v>
          </cell>
        </row>
        <row r="6431">
          <cell r="B6431">
            <v>14517</v>
          </cell>
          <cell r="C6431" t="str">
            <v>SDA ABSOLUTO MASTER FIM</v>
          </cell>
          <cell r="D6431" t="str">
            <v>SDA ABSOLUTO MASTER FIM</v>
          </cell>
          <cell r="E6431" t="str">
            <v>SDA GESTAO DE RECURSOS LTDA</v>
          </cell>
        </row>
        <row r="6432">
          <cell r="B6432">
            <v>14518</v>
          </cell>
          <cell r="C6432" t="str">
            <v>SDA 130-130 FIA</v>
          </cell>
          <cell r="D6432" t="str">
            <v>SDA 130-130 FIA</v>
          </cell>
          <cell r="E6432" t="str">
            <v>SDA GESTAO DE RECURSOS LTDA</v>
          </cell>
        </row>
        <row r="6433">
          <cell r="B6433">
            <v>14519</v>
          </cell>
          <cell r="C6433" t="str">
            <v>SDA HEDGE FIM</v>
          </cell>
          <cell r="D6433" t="str">
            <v>SDA HEDGE FIM</v>
          </cell>
          <cell r="E6433" t="str">
            <v>SDA GESTAO DE RECURSOS LTDA</v>
          </cell>
        </row>
        <row r="6434">
          <cell r="B6434">
            <v>1452</v>
          </cell>
          <cell r="C6434" t="str">
            <v>BGC LIQUIDEZ DTVM LTDA</v>
          </cell>
          <cell r="D6434" t="str">
            <v>BGC LIQUIDEZ DTVM LTDA</v>
          </cell>
          <cell r="E6434" t="str">
            <v>BGC LIQUIDEZ DTVM LTDA</v>
          </cell>
        </row>
        <row r="6435">
          <cell r="B6435">
            <v>14520</v>
          </cell>
          <cell r="C6435" t="str">
            <v>ICAP DO BRASIL CTVM LTDA ( ATUAL TULLET)</v>
          </cell>
          <cell r="D6435" t="str">
            <v>ICAP DO BRASIL CTVM LTDA ( ATUAL TULLET)</v>
          </cell>
          <cell r="E6435" t="str">
            <v>ICAP DO BRASIL CTVM LTDA ( ATUAL TULLET)</v>
          </cell>
        </row>
        <row r="6436">
          <cell r="B6436">
            <v>14532</v>
          </cell>
          <cell r="C6436" t="str">
            <v>VETORIAL FIM TOP</v>
          </cell>
          <cell r="D6436" t="str">
            <v>VETORIAL FIM TOP</v>
          </cell>
          <cell r="E6436" t="str">
            <v>VETORIAL FIM TOP</v>
          </cell>
        </row>
        <row r="6437">
          <cell r="B6437">
            <v>14533</v>
          </cell>
          <cell r="C6437" t="str">
            <v>VETORIAL FIM FDC</v>
          </cell>
          <cell r="D6437" t="str">
            <v>VETORIAL FIM FDC</v>
          </cell>
          <cell r="E6437" t="str">
            <v>VETORIAL FIM FDC</v>
          </cell>
        </row>
        <row r="6438">
          <cell r="B6438">
            <v>14534</v>
          </cell>
          <cell r="C6438" t="str">
            <v>ICONE ABSOLUTO FIM</v>
          </cell>
          <cell r="D6438" t="str">
            <v>ICONE ABSOLUTO FIM</v>
          </cell>
          <cell r="E6438" t="str">
            <v>VETORIAL GESTAO DE RECURSOS LTDA</v>
          </cell>
        </row>
        <row r="6439">
          <cell r="B6439">
            <v>14546</v>
          </cell>
          <cell r="C6439" t="str">
            <v>SUNSHINE OVERSEAS LLC - MELLON SERVIÃ‡OS FINANCEIROS DTVM S.A</v>
          </cell>
          <cell r="D6439" t="str">
            <v>SUNSHINE OVERSEAS LLC - MELLON SERVIÃ‡OS FINANCEIROS DTVM S.A</v>
          </cell>
          <cell r="E6439" t="str">
            <v>SUNSHINE OVERSEAS LLC - MELLON SERVIÃ‡OS FINANCEIROS DTVM S.A</v>
          </cell>
        </row>
        <row r="6440">
          <cell r="B6440">
            <v>14559</v>
          </cell>
          <cell r="C6440" t="str">
            <v>TARGET PERSONAL FUNDO DE INVESTIMENTO MULTIMERCADO</v>
          </cell>
          <cell r="D6440" t="str">
            <v>TARGET PERSONAL FUNDO DE INVESTIMENTO MULTIMERCADO</v>
          </cell>
          <cell r="E6440" t="str">
            <v>TARGET PERSONAL FUNDO DE INVESTIMENTO MULTIMERCADO</v>
          </cell>
        </row>
        <row r="6441">
          <cell r="B6441">
            <v>14563</v>
          </cell>
          <cell r="C6441" t="str">
            <v>UV ABSOLUTO FIM</v>
          </cell>
          <cell r="D6441" t="str">
            <v>UV ABSOLUTO FIM</v>
          </cell>
          <cell r="E6441" t="str">
            <v>UV GESTORA DE ATIVOS FINANCEIROS LTDA</v>
          </cell>
        </row>
        <row r="6442">
          <cell r="B6442">
            <v>14564</v>
          </cell>
          <cell r="C6442" t="str">
            <v>UV BAOBA FIM INVESTIMENTO NO EXTERIOR</v>
          </cell>
          <cell r="D6442" t="str">
            <v>UV BAOBA FIM INVESTIMENTO NO EXTERIOR</v>
          </cell>
          <cell r="E6442" t="str">
            <v>UV GESTORA DE ATIVOS FINANCEIROS LTDA</v>
          </cell>
        </row>
        <row r="6443">
          <cell r="B6443">
            <v>14565</v>
          </cell>
          <cell r="C6443" t="str">
            <v>UV EQUITY BRASIL FIA</v>
          </cell>
          <cell r="D6443" t="str">
            <v>UV EQUITY BRASIL FIA</v>
          </cell>
          <cell r="E6443" t="str">
            <v>UV EQUITY BRASIL FIA</v>
          </cell>
        </row>
        <row r="6444">
          <cell r="B6444">
            <v>14566</v>
          </cell>
          <cell r="C6444" t="str">
            <v>UV PLATANO FIM INV. NO EXTERIOR</v>
          </cell>
          <cell r="D6444" t="str">
            <v>UV PLATANO FIM INV. NO EXTERIOR</v>
          </cell>
          <cell r="E6444" t="str">
            <v>UV GESTORA DE ATIVOS FINANCEIROS LTDA</v>
          </cell>
        </row>
        <row r="6445">
          <cell r="B6445">
            <v>14567</v>
          </cell>
          <cell r="C6445" t="str">
            <v>UV IPE FIM INVESTIMENTO NO EXTERIOR</v>
          </cell>
          <cell r="D6445" t="str">
            <v>UV IPE FIM INVESTIMENTO NO EXTERIOR</v>
          </cell>
          <cell r="E6445" t="str">
            <v>UV GESTORA DE ATIVOS FINANCEIROS LTDA</v>
          </cell>
        </row>
        <row r="6446">
          <cell r="B6446">
            <v>14568</v>
          </cell>
          <cell r="C6446" t="str">
            <v>THOR FIM CREDITO PRIVADO (UV SEQUOIA FIM)</v>
          </cell>
          <cell r="D6446" t="str">
            <v>THOR FIM CREDITO PRIVADO (UV SEQUOIA FIM)</v>
          </cell>
          <cell r="E6446" t="str">
            <v>UV GESTORA DE ATIVOS FINANCEIROS LTDA</v>
          </cell>
        </row>
        <row r="6447">
          <cell r="B6447">
            <v>14569</v>
          </cell>
          <cell r="C6447" t="str">
            <v>MIRA FIM</v>
          </cell>
          <cell r="D6447" t="str">
            <v>MIRA FIM</v>
          </cell>
          <cell r="E6447" t="str">
            <v>MIRA FIM</v>
          </cell>
        </row>
        <row r="6448">
          <cell r="B6448">
            <v>14595</v>
          </cell>
          <cell r="C6448" t="str">
            <v>HEDGING GRIFFO CV S/A</v>
          </cell>
          <cell r="D6448" t="str">
            <v>HEDGING GRIFFO CV S/A</v>
          </cell>
          <cell r="E6448" t="str">
            <v>HEDGING GRIFFO CV S/A</v>
          </cell>
        </row>
        <row r="6449">
          <cell r="B6449">
            <v>14598</v>
          </cell>
          <cell r="C6449" t="str">
            <v>BANCO ITAUCARD S/A</v>
          </cell>
          <cell r="D6449" t="str">
            <v>BANCO ITAUCARD S/A</v>
          </cell>
          <cell r="E6449" t="str">
            <v>BANCO   ITAUCARD S/A</v>
          </cell>
        </row>
        <row r="6450">
          <cell r="B6450">
            <v>146</v>
          </cell>
          <cell r="C6450" t="str">
            <v>BB GESTAO DE RECURSOS DTVM LTDA</v>
          </cell>
          <cell r="D6450" t="str">
            <v>BB GESTAO DE RECURSOS DTVM LTDA</v>
          </cell>
          <cell r="E6450" t="str">
            <v>BB GESTAO DE RECURSOS DTVM LTDA</v>
          </cell>
        </row>
        <row r="6451">
          <cell r="B6451">
            <v>14620</v>
          </cell>
          <cell r="C6451" t="str">
            <v>META MULTIMERCADO FIM</v>
          </cell>
          <cell r="D6451" t="str">
            <v>META MULTIMERCADO FIM</v>
          </cell>
          <cell r="E6451" t="str">
            <v>META MULTIMERCADO FIM</v>
          </cell>
        </row>
        <row r="6452">
          <cell r="B6452">
            <v>14624</v>
          </cell>
          <cell r="C6452" t="str">
            <v>META 5 FIM</v>
          </cell>
          <cell r="D6452" t="str">
            <v>META 5 FIM</v>
          </cell>
          <cell r="E6452" t="str">
            <v>META 5 FIM</v>
          </cell>
        </row>
        <row r="6453">
          <cell r="B6453">
            <v>14625</v>
          </cell>
          <cell r="C6453" t="str">
            <v>META INSTITUCIONAL FIF</v>
          </cell>
          <cell r="D6453" t="str">
            <v>META INSTITUCIONAL FIF</v>
          </cell>
          <cell r="E6453" t="str">
            <v>META INSTITUCIONAL FIF</v>
          </cell>
        </row>
        <row r="6454">
          <cell r="B6454">
            <v>14626</v>
          </cell>
          <cell r="C6454" t="str">
            <v>META PLUS FIM</v>
          </cell>
          <cell r="D6454" t="str">
            <v>META PLUS FIM</v>
          </cell>
          <cell r="E6454" t="str">
            <v>META PLUS FIM</v>
          </cell>
        </row>
        <row r="6455">
          <cell r="B6455">
            <v>14627</v>
          </cell>
          <cell r="C6455" t="str">
            <v>M89 FUNDO DE INVESTIMENTO EM AÃ‡OES</v>
          </cell>
          <cell r="D6455" t="str">
            <v>M89 FUNDO DE INVESTIMENTO EM AÃ‡OES</v>
          </cell>
          <cell r="E6455" t="str">
            <v>M89 FUNDO DE INVESTIMENTO EM AÃ‡OES</v>
          </cell>
        </row>
        <row r="6456">
          <cell r="B6456">
            <v>14629</v>
          </cell>
          <cell r="C6456" t="str">
            <v>ILMAR MENDES GOMES</v>
          </cell>
          <cell r="D6456" t="str">
            <v>ILMAR MENDES GOMES</v>
          </cell>
          <cell r="E6456" t="str">
            <v>ILMAR MENDES GOMES</v>
          </cell>
        </row>
        <row r="6457">
          <cell r="B6457">
            <v>14631</v>
          </cell>
          <cell r="C6457" t="str">
            <v>SDA INSTITUCIONAL I FI MULTI. EXCLUSIVO</v>
          </cell>
          <cell r="D6457" t="str">
            <v>SDA INSTITUCIONAL I FI MULTI. EXCLUSIVO</v>
          </cell>
          <cell r="E6457" t="str">
            <v>SDA INSTITUCIONAL I FI MULTI. EXCLUSIVO</v>
          </cell>
        </row>
        <row r="6458">
          <cell r="B6458">
            <v>14632</v>
          </cell>
          <cell r="C6458" t="str">
            <v>UPSIDE FI MULTIMERCADO</v>
          </cell>
          <cell r="D6458" t="str">
            <v>UPSIDE FI MULTIMERCADO</v>
          </cell>
          <cell r="E6458" t="str">
            <v>UPSIDE FI MULTIMERCADO</v>
          </cell>
        </row>
        <row r="6459">
          <cell r="B6459">
            <v>14633</v>
          </cell>
          <cell r="C6459" t="str">
            <v>UPSIDE FUNDO DE INVESTIMENTO RENDA FIXA LONGO PRAZO</v>
          </cell>
          <cell r="D6459" t="str">
            <v>UPSIDE FUNDO DE INVESTIMENTO RENDA FIXA LONGO PRAZO</v>
          </cell>
          <cell r="E6459" t="str">
            <v>UPSIDE FUNDO DE INVESTIMENTO RENDA FIXA LONGO PRAZO</v>
          </cell>
        </row>
        <row r="6460">
          <cell r="B6460">
            <v>14635</v>
          </cell>
          <cell r="C6460" t="str">
            <v>FRAM CAPITAL AMUNDSEN FIM</v>
          </cell>
          <cell r="D6460" t="str">
            <v>FRAM CAPITAL AMUNDSEN FIM</v>
          </cell>
          <cell r="E6460" t="str">
            <v>FRAM CAPITAL AMUNDSEN FIM</v>
          </cell>
        </row>
        <row r="6461">
          <cell r="B6461">
            <v>14637</v>
          </cell>
          <cell r="C6461" t="str">
            <v>BB MIRANTE IBX FIA</v>
          </cell>
          <cell r="D6461" t="str">
            <v>BB MIRANTE IBX FIA</v>
          </cell>
          <cell r="E6461" t="str">
            <v>BB MIRANTE IBX FIA</v>
          </cell>
        </row>
        <row r="6462">
          <cell r="B6462">
            <v>14657</v>
          </cell>
          <cell r="C6462" t="str">
            <v>BB MILENIO 23 FIM LP</v>
          </cell>
          <cell r="D6462" t="str">
            <v>BB MILENIO 23 FIM LP</v>
          </cell>
          <cell r="E6462" t="str">
            <v>BANCO DO BRASIL S/A</v>
          </cell>
        </row>
        <row r="6463">
          <cell r="B6463">
            <v>14658</v>
          </cell>
          <cell r="C6463" t="str">
            <v>BB MIRANTE FI RF</v>
          </cell>
          <cell r="D6463" t="str">
            <v>BB MIRANTE FI RF</v>
          </cell>
          <cell r="E6463" t="str">
            <v>BANCO DO BRASIL S/A</v>
          </cell>
        </row>
        <row r="6464">
          <cell r="B6464">
            <v>14659</v>
          </cell>
          <cell r="C6464" t="str">
            <v>BB VULCANO FI RF</v>
          </cell>
          <cell r="D6464" t="str">
            <v>BB VULCANO FI RF</v>
          </cell>
          <cell r="E6464" t="str">
            <v>BANCO DO BRASIL S/A</v>
          </cell>
        </row>
        <row r="6465">
          <cell r="B6465">
            <v>14660</v>
          </cell>
          <cell r="C6465" t="str">
            <v>BB IRAI FI RF</v>
          </cell>
          <cell r="D6465" t="str">
            <v>BB IRAI FI RF</v>
          </cell>
          <cell r="E6465" t="str">
            <v>BANCO DO BRASIL S/A</v>
          </cell>
        </row>
        <row r="6466">
          <cell r="B6466">
            <v>14661</v>
          </cell>
          <cell r="C6466" t="str">
            <v>FI RF FAELCE QUIXABA</v>
          </cell>
          <cell r="D6466" t="str">
            <v>FI RF FAELCE QUIXABA</v>
          </cell>
          <cell r="E6466" t="str">
            <v>FI RF FAELCE QUIXABA</v>
          </cell>
        </row>
        <row r="6467">
          <cell r="B6467">
            <v>14662</v>
          </cell>
          <cell r="C6467" t="str">
            <v>BB MILENIO 33 FI RF</v>
          </cell>
          <cell r="D6467" t="str">
            <v>BB MILENIO 33 FI RF</v>
          </cell>
          <cell r="E6467" t="str">
            <v>BANCO DO BRASIL S/A</v>
          </cell>
        </row>
        <row r="6468">
          <cell r="B6468">
            <v>14663</v>
          </cell>
          <cell r="C6468" t="str">
            <v>BB FORTALEZA FIM</v>
          </cell>
          <cell r="D6468" t="str">
            <v>BB FORTALEZA FIM</v>
          </cell>
          <cell r="E6468" t="str">
            <v>BANCO DO BRASIL S/A</v>
          </cell>
        </row>
        <row r="6469">
          <cell r="B6469">
            <v>14664</v>
          </cell>
          <cell r="C6469" t="str">
            <v>BB PREVSAN FUNDO DE INVESTIMENTO RENDA FIXA</v>
          </cell>
          <cell r="D6469" t="str">
            <v>BB PREVSAN FUNDO DE INVESTIMENTO RENDA FIXA</v>
          </cell>
          <cell r="E6469" t="str">
            <v>BANCO DO BRASIL S/A</v>
          </cell>
        </row>
        <row r="6470">
          <cell r="B6470">
            <v>14665</v>
          </cell>
          <cell r="C6470" t="str">
            <v>BB PRIME 18 FI RF</v>
          </cell>
          <cell r="D6470" t="str">
            <v>BB PRIME 18 FI RF</v>
          </cell>
          <cell r="E6470" t="str">
            <v>BANCO DO BRASIL S/A</v>
          </cell>
        </row>
        <row r="6471">
          <cell r="B6471">
            <v>14666</v>
          </cell>
          <cell r="C6471" t="str">
            <v>BB PRIME 19 - 4 FIM</v>
          </cell>
          <cell r="D6471" t="str">
            <v>BB PRIME 19 - 4 FIM</v>
          </cell>
          <cell r="E6471" t="str">
            <v>BANCO DO BRASIL S/A</v>
          </cell>
        </row>
        <row r="6472">
          <cell r="B6472">
            <v>14667</v>
          </cell>
          <cell r="C6472" t="str">
            <v>BB EUROPIO NUC FI RF</v>
          </cell>
          <cell r="D6472" t="str">
            <v>BB EUROPIO NUC FI RF</v>
          </cell>
          <cell r="E6472" t="str">
            <v>BANCO DO BRASIL S/A</v>
          </cell>
        </row>
        <row r="6473">
          <cell r="B6473">
            <v>14668</v>
          </cell>
          <cell r="C6473" t="str">
            <v>BB POLO 24 FI RF</v>
          </cell>
          <cell r="D6473" t="str">
            <v>BB POLO 24 FI RF</v>
          </cell>
          <cell r="E6473" t="str">
            <v>BANCO DO BRASIL S/A</v>
          </cell>
        </row>
        <row r="6474">
          <cell r="B6474">
            <v>14669</v>
          </cell>
          <cell r="C6474" t="str">
            <v>FIM SAO PAULO</v>
          </cell>
          <cell r="D6474" t="str">
            <v>FIM SAO PAULO</v>
          </cell>
          <cell r="E6474" t="str">
            <v>BANCO DO BRASIL S/A</v>
          </cell>
        </row>
        <row r="6475">
          <cell r="B6475">
            <v>14670</v>
          </cell>
          <cell r="C6475" t="str">
            <v>BB PARANAGUA FI RF PREVIDENCIARIO</v>
          </cell>
          <cell r="D6475" t="str">
            <v>BB PARANAGUA FI RF PREVIDENCIARIO</v>
          </cell>
          <cell r="E6475" t="str">
            <v>BANCO DO BRASIL S/A</v>
          </cell>
        </row>
        <row r="6476">
          <cell r="B6476">
            <v>14676</v>
          </cell>
          <cell r="C6476" t="str">
            <v>BB BELPART 2 FIM</v>
          </cell>
          <cell r="D6476" t="str">
            <v>BB BELPART 2 FIM</v>
          </cell>
          <cell r="E6476" t="str">
            <v>BANCO DO BRASIL S/A</v>
          </cell>
        </row>
        <row r="6477">
          <cell r="B6477">
            <v>14680</v>
          </cell>
          <cell r="C6477" t="str">
            <v>BB INFRAPREV ATUARIAL PLUS FIM</v>
          </cell>
          <cell r="D6477" t="str">
            <v>BB INFRAPREV ATUARIAL PLUS FIM</v>
          </cell>
          <cell r="E6477" t="str">
            <v>BANCO DO BRASIL S/A</v>
          </cell>
        </row>
        <row r="6478">
          <cell r="B6478">
            <v>14687</v>
          </cell>
          <cell r="C6478" t="str">
            <v>BB MILENIO 8 FIM</v>
          </cell>
          <cell r="D6478" t="str">
            <v>BB MILENIO 8 FIM</v>
          </cell>
          <cell r="E6478" t="str">
            <v>BANCO DO BRASIL S/A</v>
          </cell>
        </row>
        <row r="6479">
          <cell r="B6479">
            <v>14693</v>
          </cell>
          <cell r="C6479" t="str">
            <v>MORGAN STANLEY AND CO LLC</v>
          </cell>
          <cell r="D6479" t="str">
            <v>MORGAN STANLEY AND CO LLC</v>
          </cell>
          <cell r="E6479" t="str">
            <v>MORGAN STANLEY AND CO LLC</v>
          </cell>
        </row>
        <row r="6480">
          <cell r="B6480">
            <v>147</v>
          </cell>
          <cell r="C6480" t="str">
            <v>BB GESTAO DE RECURSOS DTVM LTDA</v>
          </cell>
          <cell r="D6480" t="str">
            <v>BB GESTAO DE RECURSOS DTVM LTDA</v>
          </cell>
          <cell r="E6480" t="str">
            <v>BB GESTAO DE RECURSOS DTVM LTDA</v>
          </cell>
        </row>
        <row r="6481">
          <cell r="B6481">
            <v>14730</v>
          </cell>
          <cell r="C6481" t="str">
            <v>FDO DE INVEST.MULTIMERCADO MODERADO RONCADOR</v>
          </cell>
          <cell r="D6481" t="str">
            <v>FDO DE INVEST.MULTIMERCADO MODERADO RONCADOR</v>
          </cell>
          <cell r="E6481" t="str">
            <v>FDO DE INVEST.MULTIMERCADO MODERADO RONCADOR</v>
          </cell>
        </row>
        <row r="6482">
          <cell r="B6482">
            <v>14731</v>
          </cell>
          <cell r="C6482" t="str">
            <v>BB ANTARES 3 FI RF</v>
          </cell>
          <cell r="D6482" t="str">
            <v>BB ANTARES 3 FI RF</v>
          </cell>
          <cell r="E6482" t="str">
            <v>BANCO DO BRASIL S/A</v>
          </cell>
        </row>
        <row r="6483">
          <cell r="B6483">
            <v>14732</v>
          </cell>
          <cell r="C6483" t="str">
            <v>BB ANTARES 8 BD FIM</v>
          </cell>
          <cell r="D6483" t="str">
            <v>BB ANTARES 8 BD FIM</v>
          </cell>
          <cell r="E6483" t="str">
            <v>BANCO DO BRASIL S/A</v>
          </cell>
        </row>
        <row r="6484">
          <cell r="B6484">
            <v>14740</v>
          </cell>
          <cell r="C6484" t="str">
            <v>MARCILIO TEIXEIRA MARINHO FILHO</v>
          </cell>
          <cell r="D6484" t="str">
            <v>MARCILIO TEIXEIRA MARINHO FILHO</v>
          </cell>
          <cell r="E6484" t="str">
            <v>MARCILIO TEIXEIRA MARINHO FILHO</v>
          </cell>
        </row>
        <row r="6485">
          <cell r="B6485">
            <v>14752</v>
          </cell>
          <cell r="C6485" t="str">
            <v>ABN AMRO ASSET MANAGEMENT DTVM S/A</v>
          </cell>
          <cell r="D6485" t="str">
            <v>ABN AMRO ASSET MANAGEMENT DTVM S/A</v>
          </cell>
          <cell r="E6485" t="str">
            <v>SANTANDER BRASIL GESTAO DE RECURSOS LTDA</v>
          </cell>
        </row>
        <row r="6486">
          <cell r="B6486">
            <v>14789</v>
          </cell>
          <cell r="C6486" t="str">
            <v>BANCO FATOR S/A</v>
          </cell>
          <cell r="D6486" t="str">
            <v>BANCO FATOR S/A</v>
          </cell>
          <cell r="E6486" t="str">
            <v>BANCO FATOR S/A</v>
          </cell>
        </row>
        <row r="6487">
          <cell r="B6487">
            <v>148</v>
          </cell>
          <cell r="C6487" t="str">
            <v>BB GESTAO DE RECURSOS DTVM LTDA</v>
          </cell>
          <cell r="D6487" t="str">
            <v>BB GESTAO DE RECURSOS DTVM LTDA</v>
          </cell>
          <cell r="E6487" t="str">
            <v>BB GESTAO DE RECURSOS DTVM LTDA</v>
          </cell>
        </row>
        <row r="6488">
          <cell r="B6488">
            <v>14896</v>
          </cell>
          <cell r="C6488" t="str">
            <v>CRISTHIAN ALMEIDA REGO</v>
          </cell>
          <cell r="D6488" t="str">
            <v>CRISTHIAN ALMEIDA REGO</v>
          </cell>
          <cell r="E6488" t="str">
            <v>CRISTHIAN ALMEIDA REGO</v>
          </cell>
        </row>
        <row r="6489">
          <cell r="B6489">
            <v>149</v>
          </cell>
          <cell r="C6489" t="str">
            <v>BB GESTAO DE RECURSOS DTVM LTDA</v>
          </cell>
          <cell r="D6489" t="str">
            <v>BB GESTAO DE RECURSOS DTVM LTDA</v>
          </cell>
          <cell r="E6489" t="str">
            <v>BB GESTAO DE RECURSOS DTVM LTDA</v>
          </cell>
        </row>
        <row r="6490">
          <cell r="B6490">
            <v>14915</v>
          </cell>
          <cell r="C6490" t="str">
            <v>BANCOOB CAPITAL FUNDO DE INV. FINANCEIRO</v>
          </cell>
          <cell r="D6490" t="str">
            <v>BANCOOB CAPITAL FUNDO DE INV. FINANCEIRO</v>
          </cell>
          <cell r="E6490" t="str">
            <v>BANCOOB CAPITAL FUNDO DE INV. FINANCEIRO</v>
          </cell>
        </row>
        <row r="6491">
          <cell r="B6491">
            <v>14916</v>
          </cell>
          <cell r="C6491" t="str">
            <v>BLUCREDI SICOOB FIF</v>
          </cell>
          <cell r="D6491" t="str">
            <v>BLUCREDI SICOOB FIF</v>
          </cell>
          <cell r="E6491" t="str">
            <v>BANCO COOPERATIVO SICOOB S/A</v>
          </cell>
        </row>
        <row r="6492">
          <cell r="B6492">
            <v>14917</v>
          </cell>
          <cell r="C6492" t="str">
            <v>COOPMUTUO FUNDO DE INVESTIMENTO FINANCEIRO</v>
          </cell>
          <cell r="D6492" t="str">
            <v>COOPMUTUO FUNDO DE INVESTIMENTO FINANCEIRO</v>
          </cell>
          <cell r="E6492" t="str">
            <v>COOPMUTUO FUNDO DE INVESTIMENTO FINANCEIRO</v>
          </cell>
        </row>
        <row r="6493">
          <cell r="B6493">
            <v>14919</v>
          </cell>
          <cell r="C6493" t="str">
            <v>DIAMANTE FUNDO DE INVESTIMENTO FINANCEIRO</v>
          </cell>
          <cell r="D6493" t="str">
            <v>DIAMANTE FUNDO DE INVESTIMENTO FINANCEIRO</v>
          </cell>
          <cell r="E6493" t="str">
            <v>DIAMANTE FUNDO DE INVESTIMENTO FINANCEIRO</v>
          </cell>
        </row>
        <row r="6494">
          <cell r="B6494">
            <v>15</v>
          </cell>
          <cell r="C6494" t="str">
            <v>SAFRA ASSET CORRETORA DE TITULOS E VALORES MOBILIARIOS S.A.</v>
          </cell>
          <cell r="D6494" t="str">
            <v>SAFRA ASSET CORRETORA DE TITULOS E VALORES MOBILIARIOS S.A.</v>
          </cell>
          <cell r="E6494" t="str">
            <v>SAFRA ASSET MANAGEMENT LTDA</v>
          </cell>
        </row>
        <row r="6495">
          <cell r="B6495">
            <v>150</v>
          </cell>
          <cell r="C6495" t="str">
            <v>BB GESTAO DE RECURSOS DTVM LTDA</v>
          </cell>
          <cell r="D6495" t="str">
            <v>BB GESTAO DE RECURSOS DTVM LTDA</v>
          </cell>
          <cell r="E6495" t="str">
            <v>BB GESTAO DE RECURSOS DTVM LTDA</v>
          </cell>
        </row>
        <row r="6496">
          <cell r="B6496">
            <v>15000</v>
          </cell>
          <cell r="C6496" t="str">
            <v>FDO IP PARTICI. MUTUO DE INV. EM AÃ‡Ã•ES C. LIVRE</v>
          </cell>
          <cell r="D6496" t="str">
            <v>FDO IP PARTICI. MUTUO DE INV. EM AÃ‡Ã•ES C. LIVRE</v>
          </cell>
          <cell r="E6496" t="str">
            <v>INVESTIDOR PROFISSIONAL GESTAO DE RECURSOS LTDA</v>
          </cell>
        </row>
        <row r="6497">
          <cell r="B6497">
            <v>15001</v>
          </cell>
          <cell r="C6497" t="str">
            <v>FPRV IP ANDORINHAS FIA PREVIDENCIARIO</v>
          </cell>
          <cell r="D6497" t="str">
            <v>FPRV IP ANDORINHAS FIA PREVIDENCIARIO</v>
          </cell>
          <cell r="E6497" t="str">
            <v>INVESTIDOR PROFISSIONAL GESTAO DE RECURSOS LTDA</v>
          </cell>
        </row>
        <row r="6498">
          <cell r="B6498">
            <v>15002</v>
          </cell>
          <cell r="C6498" t="str">
            <v>IP EQUITY HEDGE FIF</v>
          </cell>
          <cell r="D6498" t="str">
            <v>IP EQUITY HEDGE FIF</v>
          </cell>
          <cell r="E6498" t="str">
            <v>INVESTIDOR PROFISSIONAL GESTAO DE RECURSOS LTDA</v>
          </cell>
        </row>
        <row r="6499">
          <cell r="B6499">
            <v>15003</v>
          </cell>
          <cell r="C6499" t="str">
            <v>IP VALUE HEDGE FI EM AÃ‡Ã•ES</v>
          </cell>
          <cell r="D6499" t="str">
            <v>IP VALUE HEDGE FI EM AÃ‡Ã•ES</v>
          </cell>
          <cell r="E6499" t="str">
            <v>INVESTIDOR PROFISSIONAL GESTAO DE RECURSOS LTDA</v>
          </cell>
        </row>
        <row r="6500">
          <cell r="B6500">
            <v>15004</v>
          </cell>
          <cell r="C6500" t="str">
            <v>GIBRALTAR FIP</v>
          </cell>
          <cell r="D6500" t="str">
            <v>GIBRALTAR FIP</v>
          </cell>
          <cell r="E6500" t="str">
            <v>INVESTIDOR PROFISSIONAL GESTAO DE RECURSOS LTDA</v>
          </cell>
        </row>
        <row r="6501">
          <cell r="B6501">
            <v>15005</v>
          </cell>
          <cell r="C6501" t="str">
            <v>SOUTHWOOD FUNDO DE INVEST EM COTAS DE FIM</v>
          </cell>
          <cell r="D6501" t="str">
            <v>SOUTHWOOD FUNDO DE INVEST EM COTAS DE FIM</v>
          </cell>
          <cell r="E6501" t="str">
            <v>INVESTIDOR PROFISSIONAL GESTAO DE RECURSOS LTDA</v>
          </cell>
        </row>
        <row r="6502">
          <cell r="B6502">
            <v>15006</v>
          </cell>
          <cell r="C6502" t="str">
            <v>LARGE CAPS SELECT FIA</v>
          </cell>
          <cell r="D6502" t="str">
            <v>LARGE CAPS SELECT FIA</v>
          </cell>
          <cell r="E6502" t="str">
            <v>INVESTIDOR PROFISSIONAL GESTAO DE RECURSOS LTDA</v>
          </cell>
        </row>
        <row r="6503">
          <cell r="B6503">
            <v>15007</v>
          </cell>
          <cell r="C6503" t="str">
            <v>FUNDO IP PARTIC INSTITUC FMIA CL ADMINISTR</v>
          </cell>
          <cell r="D6503" t="str">
            <v>FUNDO IP PARTIC INSTITUC FMIA CL ADMINISTR</v>
          </cell>
          <cell r="E6503" t="str">
            <v>INVESTIDOR PROFISSIONAL GESTAO DE RECURSOS LTDA</v>
          </cell>
        </row>
        <row r="6504">
          <cell r="B6504">
            <v>15008</v>
          </cell>
          <cell r="C6504" t="str">
            <v>BANESPREV MAIS VALOR AÇOES FI</v>
          </cell>
          <cell r="D6504" t="str">
            <v>BANESPREV MAIS VALOR AÇOES FI</v>
          </cell>
          <cell r="E6504" t="str">
            <v>INVESTIDOR PROFISSIONAL GESTAO DE RECURSOS LTDA</v>
          </cell>
        </row>
        <row r="6505">
          <cell r="B6505">
            <v>15009</v>
          </cell>
          <cell r="C6505" t="str">
            <v>IP SELECAO FIA</v>
          </cell>
          <cell r="D6505" t="str">
            <v>IP SELECAO FIA</v>
          </cell>
          <cell r="E6505" t="str">
            <v>INVESTIDOR PROFISSIONAL GESTAO DE RECURSOS LTDA</v>
          </cell>
        </row>
        <row r="6506">
          <cell r="B6506">
            <v>15010</v>
          </cell>
          <cell r="C6506" t="str">
            <v>SAMAMBAIA V FUNDO DE INVEST. EM AÃ‡Ã•ES</v>
          </cell>
          <cell r="D6506" t="str">
            <v>SAMAMBAIA V FUNDO DE INVEST. EM AÃ‡Ã•ES</v>
          </cell>
          <cell r="E6506" t="str">
            <v>UNIBANCO CONSULTORIA DE INVESTIMENTO LTDA</v>
          </cell>
        </row>
        <row r="6507">
          <cell r="B6507">
            <v>15011</v>
          </cell>
          <cell r="C6507" t="str">
            <v>HATTERAS LLC</v>
          </cell>
          <cell r="D6507" t="str">
            <v>HATTERAS LLC</v>
          </cell>
          <cell r="E6507" t="str">
            <v>HATTERAS LLC</v>
          </cell>
        </row>
        <row r="6508">
          <cell r="B6508">
            <v>15014</v>
          </cell>
          <cell r="C6508" t="str">
            <v>IP EQUITY HEDGE II FIM</v>
          </cell>
          <cell r="D6508" t="str">
            <v>IP EQUITY HEDGE II FIM</v>
          </cell>
          <cell r="E6508" t="str">
            <v>INVESTIDOR PROFISSIONAL GESTAO DE RECURSOS LTDA</v>
          </cell>
        </row>
        <row r="6509">
          <cell r="B6509">
            <v>151</v>
          </cell>
          <cell r="C6509" t="str">
            <v>BB GESTAO DE RECURSOS DTVM LTDA</v>
          </cell>
          <cell r="D6509" t="str">
            <v>BB GESTAO DE RECURSOS DTVM LTDA</v>
          </cell>
          <cell r="E6509" t="str">
            <v>BB GESTAO DE RECURSOS DTVM LTDA</v>
          </cell>
        </row>
        <row r="6510">
          <cell r="B6510">
            <v>233</v>
          </cell>
          <cell r="C6510" t="str">
            <v>BANCO SANTANDER (BRASIL) S/A</v>
          </cell>
          <cell r="D6510" t="str">
            <v>BANCO SANTANDER (BRASIL) S/A</v>
          </cell>
          <cell r="E6510" t="str">
            <v>BANCO SANTANDER (BRASIL) S/A</v>
          </cell>
        </row>
        <row r="6511">
          <cell r="B6511">
            <v>15115</v>
          </cell>
          <cell r="C6511" t="str">
            <v>BANCO STANDARD DE INVESTIMENTOS S/A</v>
          </cell>
          <cell r="D6511" t="str">
            <v>BANCO STANDARD DE INVESTIMENTOS S/A</v>
          </cell>
          <cell r="E6511" t="str">
            <v>BANCO STANDARD DE INVESTIMENTOS S/A</v>
          </cell>
        </row>
        <row r="6512">
          <cell r="B6512">
            <v>15153</v>
          </cell>
          <cell r="C6512" t="str">
            <v>ROSALI FINKIELSZTEJN</v>
          </cell>
          <cell r="D6512" t="str">
            <v>ROSALI FINKIELSZTEJN</v>
          </cell>
          <cell r="E6512" t="str">
            <v>ROSALI FINKIELSZTEJN</v>
          </cell>
        </row>
        <row r="6513">
          <cell r="B6513">
            <v>152</v>
          </cell>
          <cell r="C6513" t="str">
            <v>BB GESTAO DE RECURSOS DTVM LTDA</v>
          </cell>
          <cell r="D6513" t="str">
            <v>BB GESTAO DE RECURSOS DTVM LTDA</v>
          </cell>
          <cell r="E6513" t="str">
            <v>BB GESTAO DE RECURSOS DTVM LTDA</v>
          </cell>
        </row>
        <row r="6514">
          <cell r="B6514">
            <v>15237</v>
          </cell>
          <cell r="C6514" t="str">
            <v>CIA SIDERURGIA NACIONAL CSN</v>
          </cell>
          <cell r="D6514" t="str">
            <v>CIA SIDERURGIA NACIONAL CSN</v>
          </cell>
          <cell r="E6514" t="str">
            <v>CIA SIDERURGIA NACIONAL CSN</v>
          </cell>
        </row>
        <row r="6515">
          <cell r="B6515">
            <v>15238</v>
          </cell>
          <cell r="C6515" t="str">
            <v>FIM NORTE MODERADO</v>
          </cell>
          <cell r="D6515" t="str">
            <v>FIM NORTE MODERADO</v>
          </cell>
          <cell r="E6515" t="str">
            <v>NORTE INVESTIMENTOS ADMINISTRADORES DE RECURSOS</v>
          </cell>
        </row>
        <row r="6516">
          <cell r="B6516">
            <v>153</v>
          </cell>
          <cell r="C6516" t="str">
            <v>BB GESTAO DE RECURSOS DTVM LTDA</v>
          </cell>
          <cell r="D6516" t="str">
            <v>BB GESTAO DE RECURSOS DTVM LTDA</v>
          </cell>
          <cell r="E6516" t="str">
            <v>BB GESTAO DE RECURSOS DTVM LTDA</v>
          </cell>
        </row>
        <row r="6517">
          <cell r="B6517">
            <v>15345</v>
          </cell>
          <cell r="C6517" t="str">
            <v>DIRECIONAL FUNDO DE INVESTIMENTO MULTIMERCADO</v>
          </cell>
          <cell r="D6517" t="str">
            <v>DIRECIONAL FUNDO DE INVESTIMENTO MULTIMERCADO</v>
          </cell>
          <cell r="E6517" t="str">
            <v>DIRECIONAL FUNDO DE INVESTIMENTO MULTIMERCADO</v>
          </cell>
        </row>
        <row r="6518">
          <cell r="B6518">
            <v>15346</v>
          </cell>
          <cell r="C6518" t="str">
            <v>DIRECIONAL 30 FUNDO DE INVESTIMENTO MULTIMERCADO</v>
          </cell>
          <cell r="D6518" t="str">
            <v>DIRECIONAL 30 FUNDO DE INVESTIMENTO MULTIMERCADO</v>
          </cell>
          <cell r="E6518" t="str">
            <v>DIRECIONAL 30 FUNDO DE INVESTIMENTO MULTIMERCADO</v>
          </cell>
        </row>
        <row r="6519">
          <cell r="B6519">
            <v>154</v>
          </cell>
          <cell r="C6519" t="str">
            <v>BB GESTAO DE RECURSOS DTVM LTDA</v>
          </cell>
          <cell r="D6519" t="str">
            <v>BB GESTAO DE RECURSOS DTVM LTDA</v>
          </cell>
          <cell r="E6519" t="str">
            <v>BB GESTAO DE RECURSOS DTVM LTDA</v>
          </cell>
        </row>
        <row r="6520">
          <cell r="B6520">
            <v>15470</v>
          </cell>
          <cell r="C6520" t="str">
            <v>BANCO VOTORANTIM S/A</v>
          </cell>
          <cell r="D6520" t="str">
            <v>BANCO VOTORANTIM S/A</v>
          </cell>
          <cell r="E6520" t="str">
            <v>BANCO VOTORANTIM S/A</v>
          </cell>
        </row>
        <row r="6521">
          <cell r="B6521">
            <v>15471</v>
          </cell>
          <cell r="C6521" t="str">
            <v>BANCO VOTORANTIM S/A</v>
          </cell>
          <cell r="D6521" t="str">
            <v>BANCO VOTORANTIM S/A</v>
          </cell>
          <cell r="E6521" t="str">
            <v>BANCO VOTORANTIM S/A</v>
          </cell>
        </row>
        <row r="6522">
          <cell r="B6522">
            <v>15472</v>
          </cell>
          <cell r="C6522" t="str">
            <v>BANCO VOTORANTIM S/A</v>
          </cell>
          <cell r="D6522" t="str">
            <v>BANCO VOTORANTIM S/A</v>
          </cell>
          <cell r="E6522" t="str">
            <v>BANCO VOTORANTIM S/A</v>
          </cell>
        </row>
        <row r="6523">
          <cell r="B6523">
            <v>15473</v>
          </cell>
          <cell r="C6523" t="str">
            <v>TIVIO CAPITAL DISTRIBUIDORA DE TITULOS E VALORES MOBILIARIOS</v>
          </cell>
          <cell r="D6523" t="str">
            <v>TIVIO CAPITAL DISTRIBUIDORA DE TITULOS E VALORES MOBILIARIOS</v>
          </cell>
          <cell r="E6523" t="str">
            <v>TIVIO CAPITAL DISTRIBUIDORA DE TITULOS E VALORES MOBILIARIOS</v>
          </cell>
        </row>
        <row r="6524">
          <cell r="B6524">
            <v>15474</v>
          </cell>
          <cell r="C6524" t="str">
            <v>BANCO VOTORANTIM S/A</v>
          </cell>
          <cell r="D6524" t="str">
            <v>BANCO VOTORANTIM S/A</v>
          </cell>
          <cell r="E6524" t="str">
            <v>BANCO VOTORANTIM S/A</v>
          </cell>
        </row>
        <row r="6525">
          <cell r="B6525">
            <v>15475</v>
          </cell>
          <cell r="C6525" t="str">
            <v>BANCO VOTORANTIM S/A</v>
          </cell>
          <cell r="D6525" t="str">
            <v>BANCO VOTORANTIM S/A</v>
          </cell>
          <cell r="E6525" t="str">
            <v>BANCO VOTORANTIM S/A</v>
          </cell>
        </row>
        <row r="6526">
          <cell r="B6526">
            <v>15476</v>
          </cell>
          <cell r="C6526" t="str">
            <v>BANCO VOTORANTIM S/A</v>
          </cell>
          <cell r="D6526" t="str">
            <v>BANCO VOTORANTIM S/A</v>
          </cell>
          <cell r="E6526" t="str">
            <v>BANCO VOTORANTIM S/A</v>
          </cell>
        </row>
        <row r="6527">
          <cell r="B6527">
            <v>155</v>
          </cell>
          <cell r="C6527" t="str">
            <v>BB GESTAO DE RECURSOS DTVM LTDA</v>
          </cell>
          <cell r="D6527" t="str">
            <v>BB GESTAO DE RECURSOS DTVM LTDA</v>
          </cell>
          <cell r="E6527" t="str">
            <v>BB GESTAO DE RECURSOS DTVM LTDA</v>
          </cell>
        </row>
        <row r="6528">
          <cell r="B6528">
            <v>15500</v>
          </cell>
          <cell r="C6528" t="str">
            <v>BTG PACTUAL GESTORA DE INV ALTERNATIVOS LTDA</v>
          </cell>
          <cell r="D6528" t="str">
            <v>BTG PACTUAL GESTORA DE INV ALTERNATIVOS LTDA</v>
          </cell>
          <cell r="E6528" t="str">
            <v>BTG PACTUAL ASSET MANAGEMENT SA DTVM</v>
          </cell>
        </row>
        <row r="6529">
          <cell r="B6529">
            <v>15502</v>
          </cell>
          <cell r="C6529" t="str">
            <v>BTG PACTUAL GESTORA DE RECURSOS LTDA</v>
          </cell>
          <cell r="D6529" t="str">
            <v>BTG PACTUAL GESTORA DE RECURSOS LTDA</v>
          </cell>
          <cell r="E6529" t="str">
            <v>BTG PACTUAL ASSET MANAGEMENT SA DTVM</v>
          </cell>
        </row>
        <row r="6530">
          <cell r="B6530">
            <v>156</v>
          </cell>
          <cell r="C6530" t="str">
            <v>BB GESTAO DE RECURSOS DTVM LTDA</v>
          </cell>
          <cell r="D6530" t="str">
            <v>BB GESTAO DE RECURSOS DTVM LTDA</v>
          </cell>
          <cell r="E6530" t="str">
            <v>BB GESTAO DE RECURSOS DTVM LTDA</v>
          </cell>
        </row>
        <row r="6531">
          <cell r="B6531">
            <v>157</v>
          </cell>
          <cell r="C6531" t="str">
            <v>BB GESTAO DE RECURSOS DTVM LTDA</v>
          </cell>
          <cell r="D6531" t="str">
            <v>BB GESTAO DE RECURSOS DTVM LTDA</v>
          </cell>
          <cell r="E6531" t="str">
            <v>BB GESTAO DE RECURSOS DTVM LTDA</v>
          </cell>
        </row>
        <row r="6532">
          <cell r="B6532">
            <v>15700</v>
          </cell>
          <cell r="C6532" t="str">
            <v>FREDERICO DE OLIVA MORGENROTH</v>
          </cell>
          <cell r="D6532" t="str">
            <v>FREDERICO DE OLIVA MORGENROTH</v>
          </cell>
          <cell r="E6532" t="str">
            <v>FREDERICO DE OLIVA MORGENROTH</v>
          </cell>
        </row>
        <row r="6533">
          <cell r="B6533">
            <v>15781</v>
          </cell>
          <cell r="C6533" t="str">
            <v>BANCO SAFRA S/A</v>
          </cell>
          <cell r="D6533" t="str">
            <v>BANCO SAFRA S/A</v>
          </cell>
          <cell r="E6533" t="str">
            <v>BANCO SAFRA S/A</v>
          </cell>
        </row>
        <row r="6534">
          <cell r="B6534">
            <v>15787</v>
          </cell>
          <cell r="C6534" t="str">
            <v>LEME BRASPREV FI RF LP PREVIDENCIARIO CP</v>
          </cell>
          <cell r="D6534" t="str">
            <v>LEME BRASPREV FI RF LP PREVIDENCIARIO CP</v>
          </cell>
          <cell r="E6534" t="str">
            <v>LEME BRASPREV FI RF LP PREVIDENCIARIO CP</v>
          </cell>
        </row>
        <row r="6535">
          <cell r="B6535">
            <v>15788</v>
          </cell>
          <cell r="C6535" t="str">
            <v>LEME  MULTIMERCADO FIF</v>
          </cell>
          <cell r="D6535" t="str">
            <v>LEME  MULTIMERCADO FIF</v>
          </cell>
          <cell r="E6535" t="str">
            <v>LEME  MULTIMERCADO FIF</v>
          </cell>
        </row>
        <row r="6536">
          <cell r="B6536">
            <v>15789</v>
          </cell>
          <cell r="C6536" t="str">
            <v>JBS S/A</v>
          </cell>
          <cell r="D6536" t="str">
            <v>JBS S/A</v>
          </cell>
          <cell r="E6536" t="str">
            <v>JBS S/A</v>
          </cell>
        </row>
        <row r="6537">
          <cell r="B6537">
            <v>15790</v>
          </cell>
          <cell r="C6537" t="str">
            <v>TOTAL RETURN LLC</v>
          </cell>
          <cell r="D6537" t="str">
            <v>TOTAL RETURN LLC</v>
          </cell>
          <cell r="E6537" t="str">
            <v>TOTAL RETURN LLC</v>
          </cell>
        </row>
        <row r="6538">
          <cell r="B6538">
            <v>158</v>
          </cell>
          <cell r="C6538" t="str">
            <v>BB GESTAO DE RECURSOS DTVM LTDA</v>
          </cell>
          <cell r="D6538" t="str">
            <v>BB GESTAO DE RECURSOS DTVM LTDA</v>
          </cell>
          <cell r="E6538" t="str">
            <v>BB GESTAO DE RECURSOS DTVM LTDA</v>
          </cell>
        </row>
        <row r="6539">
          <cell r="B6539">
            <v>15860</v>
          </cell>
          <cell r="C6539" t="str">
            <v>TOKIO MARINE BRASIL SEGURADORA S/A</v>
          </cell>
          <cell r="D6539" t="str">
            <v>TOKIO MARINE BRASIL SEGURADORA S/A</v>
          </cell>
          <cell r="E6539" t="str">
            <v>TOKIO MARINE BRASIL SEGURADORA S/A</v>
          </cell>
        </row>
        <row r="6540">
          <cell r="B6540">
            <v>15870</v>
          </cell>
          <cell r="C6540" t="str">
            <v>TOKIO MARINE SEGURADORA S/A</v>
          </cell>
          <cell r="D6540" t="str">
            <v>TOKIO MARINE SEGURADORA S/A</v>
          </cell>
          <cell r="E6540" t="str">
            <v>TOKIO MARINE SEGURADORA S/A</v>
          </cell>
        </row>
        <row r="6541">
          <cell r="B6541">
            <v>15895</v>
          </cell>
          <cell r="C6541" t="str">
            <v>OPPORTUNITY DTVM LTDA</v>
          </cell>
          <cell r="D6541" t="str">
            <v>OPPORTUNITY DTVM LTDA</v>
          </cell>
          <cell r="E6541" t="str">
            <v>OPPORTUNITY DTVM LTDA</v>
          </cell>
        </row>
        <row r="6542">
          <cell r="B6542">
            <v>15896</v>
          </cell>
          <cell r="C6542" t="str">
            <v>OPPORTUNITY DTVM LTDA</v>
          </cell>
          <cell r="D6542" t="str">
            <v>OPPORTUNITY DTVM LTDA</v>
          </cell>
          <cell r="E6542" t="str">
            <v>OPPORTUNITY DTVM LTDA</v>
          </cell>
        </row>
        <row r="6543">
          <cell r="B6543">
            <v>15897</v>
          </cell>
          <cell r="C6543" t="str">
            <v>OPPORTUNITY DTVM LTDA</v>
          </cell>
          <cell r="D6543" t="str">
            <v>OPPORTUNITY DTVM LTDA</v>
          </cell>
          <cell r="E6543" t="str">
            <v>OPPORTUNITY DTVM LTDA</v>
          </cell>
        </row>
        <row r="6544">
          <cell r="B6544">
            <v>159</v>
          </cell>
          <cell r="C6544" t="str">
            <v>BB GESTAO DE RECURSOS DTVM LTDA</v>
          </cell>
          <cell r="D6544" t="str">
            <v>BB GESTAO DE RECURSOS DTVM LTDA</v>
          </cell>
          <cell r="E6544" t="str">
            <v>BB GESTAO DE RECURSOS DTVM LTDA</v>
          </cell>
        </row>
        <row r="6545">
          <cell r="B6545">
            <v>16</v>
          </cell>
          <cell r="C6545" t="str">
            <v>PERSONALE LEBLON FIM</v>
          </cell>
          <cell r="D6545" t="str">
            <v>PERSONALE LEBLON FIM</v>
          </cell>
          <cell r="E6545" t="str">
            <v>PERSONALE CONSULTORIA E GESTAO DE CARTEIRAS LTDA</v>
          </cell>
        </row>
        <row r="6546">
          <cell r="B6546">
            <v>160</v>
          </cell>
          <cell r="C6546" t="str">
            <v>BB GESTAO DE RECURSOS DTVM LTDA</v>
          </cell>
          <cell r="D6546" t="str">
            <v>BB GESTAO DE RECURSOS DTVM LTDA</v>
          </cell>
          <cell r="E6546" t="str">
            <v>BB GESTAO DE RECURSOS DTVM LTDA</v>
          </cell>
        </row>
        <row r="6547">
          <cell r="B6547">
            <v>161</v>
          </cell>
          <cell r="C6547" t="str">
            <v>BB GESTAO DE RECURSOS DTVM LTDA</v>
          </cell>
          <cell r="D6547" t="str">
            <v>BB GESTAO DE RECURSOS DTVM LTDA</v>
          </cell>
          <cell r="E6547" t="str">
            <v>BB GESTAO DE RECURSOS DTVM LTDA</v>
          </cell>
        </row>
        <row r="6548">
          <cell r="B6548">
            <v>16125</v>
          </cell>
          <cell r="C6548" t="str">
            <v>LLOYDSTSB BANK PLC</v>
          </cell>
          <cell r="D6548" t="str">
            <v>LLOYDSTSB BANK PLC</v>
          </cell>
          <cell r="E6548" t="str">
            <v>LLOYDSTSB BANK PLC</v>
          </cell>
        </row>
        <row r="6549">
          <cell r="B6549">
            <v>16166</v>
          </cell>
          <cell r="C6549" t="str">
            <v>ITAU UNIBANCO S.A.</v>
          </cell>
          <cell r="D6549" t="str">
            <v>ITAU UNIBANCO S.A.</v>
          </cell>
          <cell r="E6549" t="str">
            <v>ITAU UNIBANCO S/A</v>
          </cell>
        </row>
        <row r="6550">
          <cell r="B6550">
            <v>16167</v>
          </cell>
          <cell r="C6550" t="str">
            <v>ITAU UNIBANCO S.A.</v>
          </cell>
          <cell r="D6550" t="str">
            <v>ITAU UNIBANCO S.A.</v>
          </cell>
          <cell r="E6550" t="str">
            <v>ITAU UNIBANCO S/A</v>
          </cell>
        </row>
        <row r="6551">
          <cell r="B6551">
            <v>16168</v>
          </cell>
          <cell r="C6551" t="str">
            <v>ITAU UNIBANCO S.A.</v>
          </cell>
          <cell r="D6551" t="str">
            <v>ITAU UNIBANCO S.A.</v>
          </cell>
          <cell r="E6551" t="str">
            <v>ITAU UNIBANCO S/A</v>
          </cell>
        </row>
        <row r="6552">
          <cell r="B6552">
            <v>16169</v>
          </cell>
          <cell r="C6552" t="str">
            <v>ITAU UNIBANCO S.A.</v>
          </cell>
          <cell r="D6552" t="str">
            <v>ITAU UNIBANCO S.A.</v>
          </cell>
          <cell r="E6552" t="str">
            <v>ITAU UNIBANCO S/A</v>
          </cell>
        </row>
        <row r="6553">
          <cell r="B6553">
            <v>162</v>
          </cell>
          <cell r="C6553" t="str">
            <v>BB GESTAO DE RECURSOS DTVM LTDA</v>
          </cell>
          <cell r="D6553" t="str">
            <v>BB GESTAO DE RECURSOS DTVM LTDA</v>
          </cell>
          <cell r="E6553" t="str">
            <v>BB GESTAO DE RECURSOS DTVM LTDA</v>
          </cell>
        </row>
        <row r="6554">
          <cell r="B6554">
            <v>163</v>
          </cell>
          <cell r="C6554" t="str">
            <v>BB GESTAO DE RECURSOS DTVM LTDA</v>
          </cell>
          <cell r="D6554" t="str">
            <v>BB GESTAO DE RECURSOS DTVM LTDA</v>
          </cell>
          <cell r="E6554" t="str">
            <v>BB GESTAO DE RECURSOS DTVM LTDA</v>
          </cell>
        </row>
        <row r="6555">
          <cell r="B6555">
            <v>16309</v>
          </cell>
          <cell r="C6555" t="str">
            <v>VISION BRAZIL FIDC AGRO - MULTIMERCADO</v>
          </cell>
          <cell r="D6555" t="str">
            <v>VISION BRAZIL FIDC AGRO - MULTIMERCADO</v>
          </cell>
          <cell r="E6555" t="str">
            <v>VISION BRAZIL GESTÃƒO DE INVESTIMENTOS E PARTICIPAÃ‡Ã•ES LTDA</v>
          </cell>
        </row>
        <row r="6556">
          <cell r="B6556">
            <v>164</v>
          </cell>
          <cell r="C6556" t="str">
            <v>BB GESTAO DE RECURSOS DTVM LTDA</v>
          </cell>
          <cell r="D6556" t="str">
            <v>BB GESTAO DE RECURSOS DTVM LTDA</v>
          </cell>
          <cell r="E6556" t="str">
            <v>BB GESTAO DE RECURSOS DTVM LTDA</v>
          </cell>
        </row>
        <row r="6557">
          <cell r="B6557">
            <v>165</v>
          </cell>
          <cell r="C6557" t="str">
            <v>BB GESTAO DE RECURSOS DTVM LTDA</v>
          </cell>
          <cell r="D6557" t="str">
            <v>BB GESTAO DE RECURSOS DTVM LTDA</v>
          </cell>
          <cell r="E6557" t="str">
            <v>BB GESTAO DE RECURSOS DTVM LTDA</v>
          </cell>
        </row>
        <row r="6558">
          <cell r="B6558">
            <v>16500</v>
          </cell>
          <cell r="C6558" t="str">
            <v>TIAGO MARTINI BRRII</v>
          </cell>
          <cell r="D6558" t="str">
            <v>TIAGO MARTINI BRRII</v>
          </cell>
          <cell r="E6558" t="str">
            <v>TIAGO MARTINI BRRII</v>
          </cell>
        </row>
        <row r="6559">
          <cell r="B6559">
            <v>16524</v>
          </cell>
          <cell r="C6559" t="str">
            <v>FIM VOLT GLOBAL</v>
          </cell>
          <cell r="D6559" t="str">
            <v>FIM VOLT GLOBAL</v>
          </cell>
          <cell r="E6559" t="str">
            <v>LANX CAPITAL INVESTIMENTOS LTDA</v>
          </cell>
        </row>
        <row r="6560">
          <cell r="B6560">
            <v>16567</v>
          </cell>
          <cell r="C6560" t="str">
            <v>LLOYDSTSB BANK PLC</v>
          </cell>
          <cell r="D6560" t="str">
            <v>LLOYDSTSB BANK PLC</v>
          </cell>
          <cell r="E6560" t="str">
            <v>LLOYDSTSB BANK PLC</v>
          </cell>
        </row>
        <row r="6561">
          <cell r="B6561">
            <v>166</v>
          </cell>
          <cell r="C6561" t="str">
            <v>BB GESTAO DE RECURSOS DTVM LTDA</v>
          </cell>
          <cell r="D6561" t="str">
            <v>BB GESTAO DE RECURSOS DTVM LTDA</v>
          </cell>
          <cell r="E6561" t="str">
            <v>BB GESTAO DE RECURSOS DTVM LTDA</v>
          </cell>
        </row>
        <row r="6562">
          <cell r="B6562">
            <v>16605</v>
          </cell>
          <cell r="C6562" t="str">
            <v>CLAUDIO LEAL FRANCA</v>
          </cell>
          <cell r="D6562" t="str">
            <v>CLAUDIO LEAL FRANCA</v>
          </cell>
          <cell r="E6562" t="str">
            <v>CLAUDIO LEAL FRANCA</v>
          </cell>
        </row>
        <row r="6563">
          <cell r="B6563">
            <v>166666</v>
          </cell>
          <cell r="C6563" t="str">
            <v>J.P. MORGAN OVERSEAS CAPITAL LLC - J.P. MORGAN S.A. DTVM</v>
          </cell>
          <cell r="D6563" t="str">
            <v>J.P. MORGAN OVERSEAS CAPITAL LLC - J.P. MORGAN S.A. DTVM</v>
          </cell>
          <cell r="E6563" t="str">
            <v>BANCO JP MORGAN S/A</v>
          </cell>
        </row>
        <row r="6564">
          <cell r="B6564">
            <v>167</v>
          </cell>
          <cell r="C6564" t="str">
            <v>BB GESTAO DE RECURSOS DTVM LTDA</v>
          </cell>
          <cell r="D6564" t="str">
            <v>BB GESTAO DE RECURSOS DTVM LTDA</v>
          </cell>
          <cell r="E6564" t="str">
            <v>BB GESTAO DE RECURSOS DTVM LTDA</v>
          </cell>
        </row>
        <row r="6565">
          <cell r="B6565">
            <v>16702</v>
          </cell>
          <cell r="C6565" t="str">
            <v>BANCO BRADESCO S/A</v>
          </cell>
          <cell r="D6565" t="str">
            <v>BANCO BRADESCO S/A</v>
          </cell>
          <cell r="E6565" t="str">
            <v>BANCO BRADESCO S/A</v>
          </cell>
        </row>
        <row r="6566">
          <cell r="B6566">
            <v>16704</v>
          </cell>
          <cell r="C6566" t="str">
            <v>BANCO BRADESCO BBI S/A</v>
          </cell>
          <cell r="D6566" t="str">
            <v>BANCO BRADESCO BBI S/A</v>
          </cell>
          <cell r="E6566" t="str">
            <v>BANCO BRADESCO BBI S/A</v>
          </cell>
        </row>
        <row r="6567">
          <cell r="B6567">
            <v>16705</v>
          </cell>
          <cell r="C6567" t="str">
            <v>BANCO BRADESCO S/A</v>
          </cell>
          <cell r="D6567" t="str">
            <v>BANCO BRADESCO S/A</v>
          </cell>
          <cell r="E6567" t="str">
            <v>BANCO BRADESCO S/A</v>
          </cell>
        </row>
        <row r="6568">
          <cell r="B6568">
            <v>16742</v>
          </cell>
          <cell r="C6568" t="str">
            <v>MONAZITA FIF NUC</v>
          </cell>
          <cell r="D6568" t="str">
            <v>MONAZITA FIF NUC</v>
          </cell>
          <cell r="E6568" t="str">
            <v>MONAZITA FIF NUC</v>
          </cell>
        </row>
        <row r="6569">
          <cell r="B6569">
            <v>16750</v>
          </cell>
          <cell r="C6569" t="str">
            <v>BOREAL DTVM S/A</v>
          </cell>
          <cell r="D6569" t="str">
            <v>BOREAL DTVM S/A</v>
          </cell>
          <cell r="E6569" t="str">
            <v>BOREAL DTVM S/A</v>
          </cell>
        </row>
        <row r="6570">
          <cell r="B6570">
            <v>16751</v>
          </cell>
          <cell r="C6570" t="str">
            <v>BOREAL DTVM S/A</v>
          </cell>
          <cell r="D6570" t="str">
            <v>BOREAL DTVM S/A</v>
          </cell>
          <cell r="E6570" t="str">
            <v>BOREAL DTVM S/A</v>
          </cell>
        </row>
        <row r="6571">
          <cell r="B6571">
            <v>168</v>
          </cell>
          <cell r="C6571" t="str">
            <v>BB GESTAO DE RECURSOS DTVM LTDA</v>
          </cell>
          <cell r="D6571" t="str">
            <v>BB GESTAO DE RECURSOS DTVM LTDA</v>
          </cell>
          <cell r="E6571" t="str">
            <v>BB GESTAO DE RECURSOS DTVM LTDA</v>
          </cell>
        </row>
        <row r="6572">
          <cell r="B6572">
            <v>16803</v>
          </cell>
          <cell r="C6572" t="str">
            <v>PERSONALE LEBLON FIM</v>
          </cell>
          <cell r="D6572" t="str">
            <v>PERSONALE LEBLON FIM</v>
          </cell>
          <cell r="E6572" t="str">
            <v>PERSONALE LEBLON FIM</v>
          </cell>
        </row>
        <row r="6573">
          <cell r="B6573">
            <v>16804</v>
          </cell>
          <cell r="C6573" t="str">
            <v>PERSONALE BRAVO FUNDO DE INVESTIMENTO MULTIMERCADO</v>
          </cell>
          <cell r="D6573" t="str">
            <v>PERSONALE BRAVO FUNDO DE INVESTIMENTO MULTIMERCADO</v>
          </cell>
          <cell r="E6573" t="str">
            <v>PERSONALE BRAVO FUNDO DE INVESTIMENTO MULTIMERCADO</v>
          </cell>
        </row>
        <row r="6574">
          <cell r="B6574">
            <v>16805</v>
          </cell>
          <cell r="C6574" t="str">
            <v>PERSONALE ORION FIF</v>
          </cell>
          <cell r="D6574" t="str">
            <v>PERSONALE ORION FIF</v>
          </cell>
          <cell r="E6574" t="str">
            <v>PERSONALE ORION FIF</v>
          </cell>
        </row>
        <row r="6575">
          <cell r="B6575">
            <v>16806</v>
          </cell>
          <cell r="C6575" t="str">
            <v>PERSONALE PODIUM FIA</v>
          </cell>
          <cell r="D6575" t="str">
            <v>PERSONALE PODIUM FIA</v>
          </cell>
          <cell r="E6575" t="str">
            <v>PERSONALE PODIUM FIA</v>
          </cell>
        </row>
        <row r="6576">
          <cell r="B6576">
            <v>16807</v>
          </cell>
          <cell r="C6576" t="str">
            <v>FI PERSONALE ONIX MULTIMERCADO</v>
          </cell>
          <cell r="D6576" t="str">
            <v>FI PERSONALE ONIX MULTIMERCADO</v>
          </cell>
          <cell r="E6576" t="str">
            <v>FI PERSONALE ONIX MULTIMERCADO</v>
          </cell>
        </row>
        <row r="6577">
          <cell r="B6577">
            <v>16808</v>
          </cell>
          <cell r="C6577" t="str">
            <v>CLUBE DE INVESTIMENTO INTERSET</v>
          </cell>
          <cell r="D6577" t="str">
            <v>CLUBE DE INVESTIMENTO INTERSET</v>
          </cell>
          <cell r="E6577" t="str">
            <v>CLUBE DE INVESTIMENTO INTERSET</v>
          </cell>
        </row>
        <row r="6578">
          <cell r="B6578">
            <v>16809</v>
          </cell>
          <cell r="C6578" t="str">
            <v>PERSONALE DRIVE FIM</v>
          </cell>
          <cell r="D6578" t="str">
            <v>PERSONALE DRIVE FIM</v>
          </cell>
          <cell r="E6578" t="str">
            <v>PERSONALE CONSULTORIA E GESTAO DE CARTEIRAS LTDA</v>
          </cell>
        </row>
        <row r="6579">
          <cell r="B6579">
            <v>16810</v>
          </cell>
          <cell r="C6579" t="str">
            <v>FIM KROISOS IE</v>
          </cell>
          <cell r="D6579" t="str">
            <v>FIM KROISOS IE</v>
          </cell>
          <cell r="E6579" t="str">
            <v>FIM KROISOS IE</v>
          </cell>
        </row>
        <row r="6580">
          <cell r="B6580">
            <v>16811</v>
          </cell>
          <cell r="C6580" t="str">
            <v>PERSONALE AFRODITE FIM</v>
          </cell>
          <cell r="D6580" t="str">
            <v>PERSONALE AFRODITE FIM</v>
          </cell>
          <cell r="E6580" t="str">
            <v>PERSONALE CONSULTORIA E GESTAO DE CARTEIRAS LTDA</v>
          </cell>
        </row>
        <row r="6581">
          <cell r="B6581">
            <v>16812</v>
          </cell>
          <cell r="C6581" t="str">
            <v>PERSONALE DINAMICO FIA</v>
          </cell>
          <cell r="D6581" t="str">
            <v>PERSONALE DINAMICO FIA</v>
          </cell>
          <cell r="E6581" t="str">
            <v>PERSONALE CONSULTORIA E GESTAO DE CARTEIRAS LTDA</v>
          </cell>
        </row>
        <row r="6582">
          <cell r="B6582">
            <v>16813</v>
          </cell>
          <cell r="C6582" t="str">
            <v>PERSONALE DINAMICO II FIA</v>
          </cell>
          <cell r="D6582" t="str">
            <v>PERSONALE DINAMICO II FIA</v>
          </cell>
          <cell r="E6582" t="str">
            <v>PERSONALE DINAMICO II FIA</v>
          </cell>
        </row>
        <row r="6583">
          <cell r="B6583">
            <v>16814</v>
          </cell>
          <cell r="C6583" t="str">
            <v>FIM VITORIA MULTIESTRATEGIA I</v>
          </cell>
          <cell r="D6583" t="str">
            <v>FIM VITORIA MULTIESTRATEGIA I</v>
          </cell>
          <cell r="E6583" t="str">
            <v>FIM VITORIA MULTIESTRATEGIA I</v>
          </cell>
        </row>
        <row r="6584">
          <cell r="B6584">
            <v>16815</v>
          </cell>
          <cell r="C6584" t="str">
            <v>PERSONALE HDN FIM</v>
          </cell>
          <cell r="D6584" t="str">
            <v>PERSONALE HDN FIM</v>
          </cell>
          <cell r="E6584" t="str">
            <v>PERSONALE CONSULTORIA E GESTAO DE CARTEIRAS LTDA</v>
          </cell>
        </row>
        <row r="6585">
          <cell r="B6585">
            <v>16850</v>
          </cell>
          <cell r="C6585" t="str">
            <v>FGF REPRESENTACAO E CONSULT EM INFORM LTDA</v>
          </cell>
          <cell r="D6585" t="str">
            <v>FGF REPRESENTACAO E CONSULT EM INFORM LTDA</v>
          </cell>
          <cell r="E6585" t="str">
            <v>FGF REPRESENTACAO E CONSULT EM INFORM LTDA</v>
          </cell>
        </row>
        <row r="6586">
          <cell r="B6586">
            <v>169</v>
          </cell>
          <cell r="C6586" t="str">
            <v>BB GESTAO DE RECURSOS DTVM LTDA</v>
          </cell>
          <cell r="D6586" t="str">
            <v>BB GESTAO DE RECURSOS DTVM LTDA</v>
          </cell>
          <cell r="E6586" t="str">
            <v>BB GESTAO DE RECURSOS DTVM LTDA</v>
          </cell>
        </row>
        <row r="6587">
          <cell r="B6587">
            <v>17</v>
          </cell>
          <cell r="C6587" t="str">
            <v>THIAGO DE CASTRO NEVES GARUTI</v>
          </cell>
          <cell r="D6587" t="str">
            <v>THIAGO DE CASTRO NEVES GARUTI</v>
          </cell>
          <cell r="E6587" t="str">
            <v>THIAGO DE CASTRO NEVES GARUTI</v>
          </cell>
        </row>
        <row r="6588">
          <cell r="B6588">
            <v>170</v>
          </cell>
          <cell r="C6588" t="str">
            <v>BB GESTAO DE RECURSOS DTVM LTDA</v>
          </cell>
          <cell r="D6588" t="str">
            <v>BB GESTAO DE RECURSOS DTVM LTDA</v>
          </cell>
          <cell r="E6588" t="str">
            <v>BB GESTAO DE RECURSOS DTVM LTDA</v>
          </cell>
        </row>
        <row r="6589">
          <cell r="B6589">
            <v>171</v>
          </cell>
          <cell r="C6589" t="str">
            <v>BB GESTAO DE RECURSOS DTVM LTDA</v>
          </cell>
          <cell r="D6589" t="str">
            <v>BB GESTAO DE RECURSOS DTVM LTDA</v>
          </cell>
          <cell r="E6589" t="str">
            <v>BB GESTAO DE RECURSOS DTVM LTDA</v>
          </cell>
        </row>
        <row r="6590">
          <cell r="B6590">
            <v>17172</v>
          </cell>
          <cell r="C6590" t="str">
            <v>PAULO GUILHERME MENEZES FELIX.</v>
          </cell>
          <cell r="D6590" t="str">
            <v>PAULO GUILHERME MENEZES FELIX.</v>
          </cell>
          <cell r="E6590" t="str">
            <v>PAULO GUILHERME MENEZES FELIX.</v>
          </cell>
        </row>
        <row r="6591">
          <cell r="B6591">
            <v>17178</v>
          </cell>
          <cell r="C6591" t="str">
            <v>MARIO URZEDO PAIVA</v>
          </cell>
          <cell r="D6591" t="str">
            <v>MARIO URZEDO PAIVA</v>
          </cell>
          <cell r="E6591" t="str">
            <v>MARIO URZEDO PAIVA</v>
          </cell>
        </row>
        <row r="6592">
          <cell r="B6592">
            <v>17179</v>
          </cell>
          <cell r="C6592" t="str">
            <v>VICTOR JUNIOR PINHEIRO</v>
          </cell>
          <cell r="D6592" t="str">
            <v>VICTOR JUNIOR PINHEIRO</v>
          </cell>
          <cell r="E6592" t="str">
            <v>VICTOR JUNIOR PINHEIRO</v>
          </cell>
        </row>
        <row r="6593">
          <cell r="B6593">
            <v>17180</v>
          </cell>
          <cell r="C6593" t="str">
            <v>SIGFRIED MAX BOETTCHER</v>
          </cell>
          <cell r="D6593" t="str">
            <v>SIGFRIED MAX BOETTCHER</v>
          </cell>
          <cell r="E6593" t="str">
            <v>SIGFRIED MAX BOETTCHER</v>
          </cell>
        </row>
        <row r="6594">
          <cell r="B6594">
            <v>17181</v>
          </cell>
          <cell r="C6594" t="str">
            <v>DUILIO CESAR PERUFFO AZZOLIN</v>
          </cell>
          <cell r="D6594" t="str">
            <v>DUILIO CESAR PERUFFO AZZOLIN</v>
          </cell>
          <cell r="E6594" t="str">
            <v>DUILIO CESAR PERUFFO AZZOLIN</v>
          </cell>
        </row>
        <row r="6595">
          <cell r="B6595">
            <v>17185</v>
          </cell>
          <cell r="C6595" t="str">
            <v>RAUL DAVIES MENDEZ</v>
          </cell>
          <cell r="D6595" t="str">
            <v>RAUL DAVIES MENDEZ</v>
          </cell>
          <cell r="E6595" t="str">
            <v>RAUL DAVIES MENDEZ</v>
          </cell>
        </row>
        <row r="6596">
          <cell r="B6596">
            <v>172</v>
          </cell>
          <cell r="C6596" t="str">
            <v>BB GESTAO DE RECURSOS DTVM LTDA</v>
          </cell>
          <cell r="D6596" t="str">
            <v>BB GESTAO DE RECURSOS DTVM LTDA</v>
          </cell>
          <cell r="E6596" t="str">
            <v>BB GESTAO DE RECURSOS DTVM LTDA</v>
          </cell>
        </row>
        <row r="6597">
          <cell r="B6597">
            <v>17200</v>
          </cell>
          <cell r="C6597" t="str">
            <v>HERMANN MIRANDA SANTOS</v>
          </cell>
          <cell r="D6597" t="str">
            <v>HERMANN MIRANDA SANTOS</v>
          </cell>
          <cell r="E6597" t="str">
            <v>HERMANN MIRANDA SANTOS</v>
          </cell>
        </row>
        <row r="6598">
          <cell r="B6598">
            <v>172500</v>
          </cell>
          <cell r="C6598" t="str">
            <v>BANCO BARCLAYS S/A</v>
          </cell>
          <cell r="D6598" t="str">
            <v>BANCO BARCLAYS S/A</v>
          </cell>
          <cell r="E6598" t="str">
            <v>BARCLAYS BANK PLC</v>
          </cell>
        </row>
        <row r="6599">
          <cell r="B6599">
            <v>172501</v>
          </cell>
          <cell r="C6599" t="str">
            <v>BARCLAYS BANK PLC</v>
          </cell>
          <cell r="D6599" t="str">
            <v>BARCLAYS BANK PLC</v>
          </cell>
          <cell r="E6599" t="str">
            <v>BARCLAYS BANK PLC</v>
          </cell>
        </row>
        <row r="6600">
          <cell r="B6600">
            <v>172502</v>
          </cell>
          <cell r="C6600" t="str">
            <v>BARCLAYS FIM CP INVESTIMENTO NO EXTERIOR</v>
          </cell>
          <cell r="D6600" t="str">
            <v>BARCLAYS FIM CP INVESTIMENTO NO EXTERIOR</v>
          </cell>
          <cell r="E6600" t="str">
            <v>BARCLAYS FIM CP INVESTIMENTO NO EXTERIOR</v>
          </cell>
        </row>
        <row r="6601">
          <cell r="B6601">
            <v>173</v>
          </cell>
          <cell r="C6601" t="str">
            <v>BB GESTAO DE RECURSOS DTVM LTDA</v>
          </cell>
          <cell r="D6601" t="str">
            <v>BB GESTAO DE RECURSOS DTVM LTDA</v>
          </cell>
          <cell r="E6601" t="str">
            <v>BB GESTAO DE RECURSOS DTVM LTDA</v>
          </cell>
        </row>
        <row r="6602">
          <cell r="B6602">
            <v>17393</v>
          </cell>
          <cell r="C6602" t="str">
            <v>UNIBANCO UNIAO DE BANCOS BRASILEIROS S/A</v>
          </cell>
          <cell r="D6602" t="str">
            <v>UNIBANCO UNIAO DE BANCOS BRASILEIROS S/A</v>
          </cell>
          <cell r="E6602" t="str">
            <v>UNIBANCO UNIAO DE BANCOS BRASILEIROS S/A</v>
          </cell>
        </row>
        <row r="6603">
          <cell r="B6603">
            <v>174</v>
          </cell>
          <cell r="C6603" t="str">
            <v>BB GESTAO DE RECURSOS DTVM LTDA</v>
          </cell>
          <cell r="D6603" t="str">
            <v>BB GESTAO DE RECURSOS DTVM LTDA</v>
          </cell>
          <cell r="E6603" t="str">
            <v>BB GESTAO DE RECURSOS DTVM LTDA</v>
          </cell>
        </row>
        <row r="6604">
          <cell r="B6604">
            <v>175</v>
          </cell>
          <cell r="C6604" t="str">
            <v>BB GESTAO DE RECURSOS DTVM LTDA</v>
          </cell>
          <cell r="D6604" t="str">
            <v>BB GESTAO DE RECURSOS DTVM LTDA</v>
          </cell>
          <cell r="E6604" t="str">
            <v>BB GESTAO DE RECURSOS DTVM LTDA</v>
          </cell>
        </row>
        <row r="6605">
          <cell r="B6605">
            <v>17500</v>
          </cell>
          <cell r="C6605" t="str">
            <v>JOSE MAURICIO GOMES TEIXEIRA</v>
          </cell>
          <cell r="D6605" t="str">
            <v>JOSE MAURICIO GOMES TEIXEIRA</v>
          </cell>
          <cell r="E6605" t="str">
            <v>JOSE MAURICIO GOMES TEIXEIRA</v>
          </cell>
        </row>
        <row r="6606">
          <cell r="B6606">
            <v>176</v>
          </cell>
          <cell r="C6606" t="str">
            <v>BB GESTAO DE RECURSOS DTVM LTDA</v>
          </cell>
          <cell r="D6606" t="str">
            <v>BB GESTAO DE RECURSOS DTVM LTDA</v>
          </cell>
          <cell r="E6606" t="str">
            <v>BB GESTAO DE RECURSOS DTVM LTDA</v>
          </cell>
        </row>
        <row r="6607">
          <cell r="B6607">
            <v>17662</v>
          </cell>
          <cell r="C6607" t="str">
            <v>ATICO HEDGE FIM</v>
          </cell>
          <cell r="D6607" t="str">
            <v>ATICO HEDGE FIM</v>
          </cell>
          <cell r="E6607" t="str">
            <v>ATICO HEDGE FIM</v>
          </cell>
        </row>
        <row r="6608">
          <cell r="B6608">
            <v>177</v>
          </cell>
          <cell r="C6608" t="str">
            <v>BB GESTAO DE RECURSOS DTVM LTDA</v>
          </cell>
          <cell r="D6608" t="str">
            <v>BB GESTAO DE RECURSOS DTVM LTDA</v>
          </cell>
          <cell r="E6608" t="str">
            <v>BB GESTAO DE RECURSOS DTVM LTDA</v>
          </cell>
        </row>
        <row r="6609">
          <cell r="B6609">
            <v>178</v>
          </cell>
          <cell r="C6609" t="str">
            <v>BB GESTAO DE RECURSOS DTVM LTDA</v>
          </cell>
          <cell r="D6609" t="str">
            <v>BB GESTAO DE RECURSOS DTVM LTDA</v>
          </cell>
          <cell r="E6609" t="str">
            <v>BB GESTAO DE RECURSOS DTVM LTDA</v>
          </cell>
        </row>
        <row r="6610">
          <cell r="B6610">
            <v>17800</v>
          </cell>
          <cell r="C6610" t="str">
            <v>ROGERIO ALVES DE FREITAS</v>
          </cell>
          <cell r="D6610" t="str">
            <v>ROGERIO ALVES DE FREITAS</v>
          </cell>
          <cell r="E6610" t="str">
            <v>ROGERIO ALVES DE FREITAS</v>
          </cell>
        </row>
        <row r="6611">
          <cell r="B6611">
            <v>17820</v>
          </cell>
          <cell r="C6611" t="str">
            <v>MARCO NICOLINO VIGGIANI</v>
          </cell>
          <cell r="D6611" t="str">
            <v>MARCO NICOLINO VIGGIANI</v>
          </cell>
          <cell r="E6611" t="str">
            <v>MARCO NICOLINO VIGGIANI</v>
          </cell>
        </row>
        <row r="6612">
          <cell r="B6612">
            <v>17850</v>
          </cell>
          <cell r="C6612" t="str">
            <v>EDUARDO COTRIM KNOTT</v>
          </cell>
          <cell r="D6612" t="str">
            <v>EDUARDO COTRIM KNOTT</v>
          </cell>
          <cell r="E6612" t="str">
            <v>EDUARDO COTRIM KNOTT</v>
          </cell>
        </row>
        <row r="6613">
          <cell r="B6613">
            <v>17852</v>
          </cell>
          <cell r="C6613" t="str">
            <v>SAULO COLOZIO MELLES</v>
          </cell>
          <cell r="D6613" t="str">
            <v>SAULO COLOZIO MELLES</v>
          </cell>
          <cell r="E6613" t="str">
            <v>SAULO COLOZIO MELLES</v>
          </cell>
        </row>
        <row r="6614">
          <cell r="B6614">
            <v>179</v>
          </cell>
          <cell r="C6614" t="str">
            <v>BB GESTAO DE RECURSOS DTVM LTDA</v>
          </cell>
          <cell r="D6614" t="str">
            <v>BB GESTAO DE RECURSOS DTVM LTDA</v>
          </cell>
          <cell r="E6614" t="str">
            <v>BB GESTAO DE RECURSOS DTVM LTDA</v>
          </cell>
        </row>
        <row r="6615">
          <cell r="B6615">
            <v>17900</v>
          </cell>
          <cell r="C6615" t="str">
            <v>MIGUEL COELHO NETTO PIRES GONCALVES</v>
          </cell>
          <cell r="D6615" t="str">
            <v>MIGUEL COELHO NETTO PIRES GONCALVES</v>
          </cell>
          <cell r="E6615" t="str">
            <v>MIGUEL COELHO NETTO PIRES GONCALVES</v>
          </cell>
        </row>
        <row r="6616">
          <cell r="B6616">
            <v>17915</v>
          </cell>
          <cell r="C6616" t="str">
            <v>CARLOS ALBERTO BRUNELLI</v>
          </cell>
          <cell r="D6616" t="str">
            <v>CARLOS ALBERTO BRUNELLI</v>
          </cell>
          <cell r="E6616" t="str">
            <v>CARLOS ALBERTO BRUNELLI</v>
          </cell>
        </row>
        <row r="6617">
          <cell r="B6617">
            <v>17950</v>
          </cell>
          <cell r="C6617" t="str">
            <v>JOSE ELENO RORIZ</v>
          </cell>
          <cell r="D6617" t="str">
            <v>JOSE ELENO RORIZ</v>
          </cell>
          <cell r="E6617" t="str">
            <v>JOSE ELENO RORIZ</v>
          </cell>
        </row>
        <row r="6618">
          <cell r="B6618">
            <v>18</v>
          </cell>
          <cell r="C6618" t="str">
            <v>FI PERSONALE ONIX MULTIMERCADO</v>
          </cell>
          <cell r="D6618" t="str">
            <v>FI PERSONALE ONIX MULTIMERCADO</v>
          </cell>
          <cell r="E6618" t="str">
            <v>PERSONALE CONSULTORIA E GESTAO DE CARTEIRAS LTDA</v>
          </cell>
        </row>
        <row r="6619">
          <cell r="B6619">
            <v>180</v>
          </cell>
          <cell r="C6619" t="str">
            <v>BB GESTAO DE RECURSOS DTVM LTDA</v>
          </cell>
          <cell r="D6619" t="str">
            <v>BB GESTAO DE RECURSOS DTVM LTDA</v>
          </cell>
          <cell r="E6619" t="str">
            <v>BB GESTAO DE RECURSOS DTVM LTDA</v>
          </cell>
        </row>
        <row r="6620">
          <cell r="B6620">
            <v>181</v>
          </cell>
          <cell r="C6620" t="str">
            <v>BB GESTAO DE RECURSOS DTVM LTDA</v>
          </cell>
          <cell r="D6620" t="str">
            <v>BB GESTAO DE RECURSOS DTVM LTDA</v>
          </cell>
          <cell r="E6620" t="str">
            <v>BB GESTAO DE RECURSOS DTVM LTDA</v>
          </cell>
        </row>
        <row r="6621">
          <cell r="B6621">
            <v>182</v>
          </cell>
          <cell r="C6621" t="str">
            <v>BB GESTAO DE RECURSOS DTVM LTDA</v>
          </cell>
          <cell r="D6621" t="str">
            <v>BB GESTAO DE RECURSOS DTVM LTDA</v>
          </cell>
          <cell r="E6621" t="str">
            <v>BB GESTAO DE RECURSOS DTVM LTDA</v>
          </cell>
        </row>
        <row r="6622">
          <cell r="B6622">
            <v>18200</v>
          </cell>
          <cell r="C6622" t="str">
            <v>MATOLA AGROPECUARIA E PARTICIPACOES</v>
          </cell>
          <cell r="D6622" t="str">
            <v>MATOLA AGROPECUARIA E PARTICIPACOES</v>
          </cell>
          <cell r="E6622" t="str">
            <v>MATOLA AGROPECUARIA E PARTICIPACOES</v>
          </cell>
        </row>
        <row r="6623">
          <cell r="B6623">
            <v>18201</v>
          </cell>
          <cell r="C6623" t="str">
            <v>SUN MORITZ ADMINISTRADORA DE BENS S/C LTDA</v>
          </cell>
          <cell r="D6623" t="str">
            <v>SUN MORITZ ADMINISTRADORA DE BENS S/C LTDA</v>
          </cell>
          <cell r="E6623" t="str">
            <v>SUN MORITZ ADMINISTRADORA DE BENS S/C LTDA</v>
          </cell>
        </row>
        <row r="6624">
          <cell r="B6624">
            <v>18234</v>
          </cell>
          <cell r="C6624" t="str">
            <v>BANCO ITAU BBA S/A</v>
          </cell>
          <cell r="D6624" t="str">
            <v>BANCO ITAU BBA S/A</v>
          </cell>
          <cell r="E6624" t="str">
            <v>BANCO ITAU BBA S/A</v>
          </cell>
        </row>
        <row r="6625">
          <cell r="B6625">
            <v>18235</v>
          </cell>
          <cell r="C6625" t="str">
            <v>BANCO ITAU BBA S/A</v>
          </cell>
          <cell r="D6625" t="str">
            <v>BANCO ITAU BBA S/A</v>
          </cell>
          <cell r="E6625" t="str">
            <v>BANCO ITAU BBA S/A</v>
          </cell>
        </row>
        <row r="6626">
          <cell r="B6626">
            <v>18236</v>
          </cell>
          <cell r="C6626" t="str">
            <v>BANCO ITAU BBA S/A</v>
          </cell>
          <cell r="D6626" t="str">
            <v>BANCO ITAU BBA S/A</v>
          </cell>
          <cell r="E6626" t="str">
            <v>BANCO ITAU BBA S/A</v>
          </cell>
        </row>
        <row r="6627">
          <cell r="B6627">
            <v>18237</v>
          </cell>
          <cell r="C6627" t="str">
            <v>BANCO ITAU BBA S/A</v>
          </cell>
          <cell r="D6627" t="str">
            <v>BANCO ITAU BBA S/A</v>
          </cell>
          <cell r="E6627" t="str">
            <v>BANCO ITAU BBA S/A</v>
          </cell>
        </row>
        <row r="6628">
          <cell r="B6628">
            <v>18238</v>
          </cell>
          <cell r="C6628" t="str">
            <v>BANCO ITAU BBA S/A</v>
          </cell>
          <cell r="D6628" t="str">
            <v>BANCO ITAU BBA S/A</v>
          </cell>
          <cell r="E6628" t="str">
            <v>BANCO ITAU BBA S/A</v>
          </cell>
        </row>
        <row r="6629">
          <cell r="B6629">
            <v>18239</v>
          </cell>
          <cell r="C6629" t="str">
            <v>BANCO ITAU BBA S/A</v>
          </cell>
          <cell r="D6629" t="str">
            <v>BANCO ITAU BBA S/A</v>
          </cell>
          <cell r="E6629" t="str">
            <v>BANCO ITAU BBA S/A</v>
          </cell>
        </row>
        <row r="6630">
          <cell r="B6630">
            <v>18240</v>
          </cell>
          <cell r="C6630" t="str">
            <v>COMERCIAL ASSET MANAGEMENT ADM RECURSOS S/A</v>
          </cell>
          <cell r="D6630" t="str">
            <v>COMERCIAL ASSET MANAGEMENT ADM RECURSOS S/A</v>
          </cell>
          <cell r="E6630" t="str">
            <v>COMERCIAL ASSET MANAGEMENT ADM RECURSOS S/A</v>
          </cell>
        </row>
        <row r="6631">
          <cell r="B6631">
            <v>18241</v>
          </cell>
          <cell r="C6631" t="str">
            <v>BANCO ITAU BBA S/A</v>
          </cell>
          <cell r="D6631" t="str">
            <v>BANCO ITAU BBA S/A</v>
          </cell>
          <cell r="E6631" t="str">
            <v>BANCO ITAU BBA S/A</v>
          </cell>
        </row>
        <row r="6632">
          <cell r="B6632">
            <v>18242</v>
          </cell>
          <cell r="C6632" t="str">
            <v>BANCO ITAU BBA S/A</v>
          </cell>
          <cell r="D6632" t="str">
            <v>BANCO ITAU BBA S/A</v>
          </cell>
          <cell r="E6632" t="str">
            <v>BANCO ITAU BBA S/A</v>
          </cell>
        </row>
        <row r="6633">
          <cell r="B6633">
            <v>18243</v>
          </cell>
          <cell r="C6633" t="str">
            <v>BANCO ITAU BBA S/A</v>
          </cell>
          <cell r="D6633" t="str">
            <v>BANCO ITAU BBA S/A</v>
          </cell>
          <cell r="E6633" t="str">
            <v>BANCO ITAU BBA S/A</v>
          </cell>
        </row>
        <row r="6634">
          <cell r="B6634">
            <v>183</v>
          </cell>
          <cell r="C6634" t="str">
            <v>BB GESTAO DE RECURSOS DTVM LTDA</v>
          </cell>
          <cell r="D6634" t="str">
            <v>BB GESTAO DE RECURSOS DTVM LTDA</v>
          </cell>
          <cell r="E6634" t="str">
            <v>BB GESTAO DE RECURSOS DTVM LTDA</v>
          </cell>
        </row>
        <row r="6635">
          <cell r="B6635">
            <v>18330</v>
          </cell>
          <cell r="C6635" t="str">
            <v>MODAL EAGLE 60 FIM</v>
          </cell>
          <cell r="D6635" t="str">
            <v>MODAL EAGLE 60 FIM</v>
          </cell>
          <cell r="E6635" t="str">
            <v>MODAL EAGLE 60 FIM</v>
          </cell>
        </row>
        <row r="6636">
          <cell r="B6636">
            <v>18331</v>
          </cell>
          <cell r="C6636" t="str">
            <v>FIF MODAL SHARK</v>
          </cell>
          <cell r="D6636" t="str">
            <v>FIF MODAL SHARK</v>
          </cell>
          <cell r="E6636" t="str">
            <v>MODAL ASSET MANAGEMENT LTDA</v>
          </cell>
        </row>
        <row r="6637">
          <cell r="B6637">
            <v>18332</v>
          </cell>
          <cell r="C6637" t="str">
            <v>MODAL INSTITUCIONAL FIM</v>
          </cell>
          <cell r="D6637" t="str">
            <v>MODAL INSTITUCIONAL FIM</v>
          </cell>
          <cell r="E6637" t="str">
            <v>MODAL INSTITUCIONAL FIM</v>
          </cell>
        </row>
        <row r="6638">
          <cell r="B6638">
            <v>18333</v>
          </cell>
          <cell r="C6638" t="str">
            <v>MODAL RECEBIVEIS FI EM DIREITOS CREDITORIOS</v>
          </cell>
          <cell r="D6638" t="str">
            <v>MODAL RECEBIVEIS FI EM DIREITOS CREDITORIOS</v>
          </cell>
          <cell r="E6638" t="str">
            <v>MODAL RECEBIVEIS FI EM DIREITOS CREDITORIOS</v>
          </cell>
        </row>
        <row r="6639">
          <cell r="B6639">
            <v>18334</v>
          </cell>
          <cell r="C6639" t="str">
            <v>MODAL LION FIM CP</v>
          </cell>
          <cell r="D6639" t="str">
            <v>MODAL LION FIM CP</v>
          </cell>
          <cell r="E6639" t="str">
            <v>MODAL LION FIM CP</v>
          </cell>
        </row>
        <row r="6640">
          <cell r="B6640">
            <v>18335</v>
          </cell>
          <cell r="C6640" t="str">
            <v>MODAL PHOENIX FIM</v>
          </cell>
          <cell r="D6640" t="str">
            <v>MODAL PHOENIX FIM</v>
          </cell>
          <cell r="E6640" t="str">
            <v>MODAL PHOENIX FIM</v>
          </cell>
        </row>
        <row r="6641">
          <cell r="B6641">
            <v>18336</v>
          </cell>
          <cell r="C6641" t="str">
            <v>BANCO MODAL S/A</v>
          </cell>
          <cell r="D6641" t="str">
            <v>BANCO MODAL S/A</v>
          </cell>
          <cell r="E6641" t="str">
            <v>BANCO MODAL S/A</v>
          </cell>
        </row>
        <row r="6642">
          <cell r="B6642">
            <v>18337</v>
          </cell>
          <cell r="C6642" t="str">
            <v>GLOBAL EMERGING MARKET</v>
          </cell>
          <cell r="D6642" t="str">
            <v>GLOBAL EMERGING MARKET</v>
          </cell>
          <cell r="E6642" t="str">
            <v>GLOBAL EMERGING MARKET</v>
          </cell>
        </row>
        <row r="6643">
          <cell r="B6643">
            <v>18338</v>
          </cell>
          <cell r="C6643" t="str">
            <v>MODAL EAGLE FIC DE FIM</v>
          </cell>
          <cell r="D6643" t="str">
            <v>MODAL EAGLE FIC DE FIM</v>
          </cell>
          <cell r="E6643" t="str">
            <v>MODAL EAGLE FIC DE FIM</v>
          </cell>
        </row>
        <row r="6644">
          <cell r="B6644">
            <v>18339</v>
          </cell>
          <cell r="C6644" t="str">
            <v>FIF MODAL FOX</v>
          </cell>
          <cell r="D6644" t="str">
            <v>FIF MODAL FOX</v>
          </cell>
          <cell r="E6644" t="str">
            <v>BANCO MODAL S/A</v>
          </cell>
        </row>
        <row r="6645">
          <cell r="B6645">
            <v>18340</v>
          </cell>
          <cell r="C6645" t="str">
            <v>MODAL BULL FIA</v>
          </cell>
          <cell r="D6645" t="str">
            <v>MODAL BULL FIA</v>
          </cell>
          <cell r="E6645" t="str">
            <v>MODAL BULL FIA</v>
          </cell>
        </row>
        <row r="6646">
          <cell r="B6646">
            <v>18341</v>
          </cell>
          <cell r="C6646" t="str">
            <v>FUNDO  DE INVEST. MULTI INFRA</v>
          </cell>
          <cell r="D6646" t="str">
            <v>FUNDO  DE INVEST. MULTI INFRA</v>
          </cell>
          <cell r="E6646" t="str">
            <v>FUNDO  DE INVEST. MULTI INFRA</v>
          </cell>
        </row>
        <row r="6647">
          <cell r="B6647">
            <v>18342</v>
          </cell>
          <cell r="C6647" t="str">
            <v>MODAL FIM PETROS CP</v>
          </cell>
          <cell r="D6647" t="str">
            <v>MODAL FIM PETROS CP</v>
          </cell>
          <cell r="E6647" t="str">
            <v>MODAL ASSET MANAGEMENT LTDA</v>
          </cell>
        </row>
        <row r="6648">
          <cell r="B6648">
            <v>18343</v>
          </cell>
          <cell r="C6648" t="str">
            <v>MODAL EAGLE MASTER FIM</v>
          </cell>
          <cell r="D6648" t="str">
            <v>MODAL EAGLE MASTER FIM</v>
          </cell>
          <cell r="E6648" t="str">
            <v>MODAL EAGLE MASTER FIM</v>
          </cell>
        </row>
        <row r="6649">
          <cell r="B6649">
            <v>18344</v>
          </cell>
          <cell r="C6649" t="str">
            <v>RENO FIM CP IE</v>
          </cell>
          <cell r="D6649" t="str">
            <v>RENO FIM CP IE</v>
          </cell>
          <cell r="E6649" t="str">
            <v>RENO FIM CP IE</v>
          </cell>
        </row>
        <row r="6650">
          <cell r="B6650">
            <v>18345</v>
          </cell>
          <cell r="C6650" t="str">
            <v>FUNDO DE INVESTIMENTO MINAS</v>
          </cell>
          <cell r="D6650" t="str">
            <v>FUNDO DE INVESTIMENTO MINAS</v>
          </cell>
          <cell r="E6650" t="str">
            <v>FUNDO DE INVESTIMENTO MINAS</v>
          </cell>
        </row>
        <row r="6651">
          <cell r="B6651">
            <v>18347</v>
          </cell>
          <cell r="C6651" t="str">
            <v>SANDVIKA FUNDO DE INVESTIMENTO MULTIMERCADO</v>
          </cell>
          <cell r="D6651" t="str">
            <v>SANDVIKA FUNDO DE INVESTIMENTO MULTIMERCADO</v>
          </cell>
          <cell r="E6651" t="str">
            <v>SANDVIKA FUNDO DE INVESTIMENTO MULTIMERCADO</v>
          </cell>
        </row>
        <row r="6652">
          <cell r="B6652">
            <v>18348</v>
          </cell>
          <cell r="C6652" t="str">
            <v>GAP HEDGE FIM</v>
          </cell>
          <cell r="D6652" t="str">
            <v>GAP HEDGE FIM</v>
          </cell>
          <cell r="E6652" t="str">
            <v>GAP GESTORA DE RECURSOS LTDA</v>
          </cell>
        </row>
        <row r="6653">
          <cell r="B6653">
            <v>18349</v>
          </cell>
          <cell r="C6653" t="str">
            <v>ZEFIRO INVESTIMENTS LLC - BANCO MODAL SA</v>
          </cell>
          <cell r="D6653" t="str">
            <v>ZEFIRO INVESTIMENTS LLC - BANCO MODAL SA</v>
          </cell>
          <cell r="E6653" t="str">
            <v>ZEFIRO INVESTIMENTS LLC - BANCO MODAL SA</v>
          </cell>
        </row>
        <row r="6654">
          <cell r="B6654">
            <v>18350</v>
          </cell>
          <cell r="C6654" t="str">
            <v>ATENAS FUNDO DE INVESTIMENTO MULTIMERCADO CP</v>
          </cell>
          <cell r="D6654" t="str">
            <v>ATENAS FUNDO DE INVESTIMENTO MULTIMERCADO CP</v>
          </cell>
          <cell r="E6654" t="str">
            <v>ATENAS FUNDO DE INVESTIMENTO MULTIMERCADO CP</v>
          </cell>
        </row>
        <row r="6655">
          <cell r="B6655">
            <v>18352</v>
          </cell>
          <cell r="C6655" t="str">
            <v>VERONA INST.GEAP FIM</v>
          </cell>
          <cell r="D6655" t="str">
            <v>VERONA INST.GEAP FIM</v>
          </cell>
          <cell r="E6655" t="str">
            <v>MODAL ASSET MANAGEMENT LTDA</v>
          </cell>
        </row>
        <row r="6656">
          <cell r="B6656">
            <v>18353</v>
          </cell>
          <cell r="C6656" t="str">
            <v>NUCLEOS II MODAL FUNDO DE INVESTIMENTO MULTIMERCADO</v>
          </cell>
          <cell r="D6656" t="str">
            <v>NUCLEOS II MODAL FUNDO DE INVESTIMENTO MULTIMERCADO</v>
          </cell>
          <cell r="E6656" t="str">
            <v>MODAL ASSET MANAGEMENT LTDA</v>
          </cell>
        </row>
        <row r="6657">
          <cell r="B6657">
            <v>18354</v>
          </cell>
          <cell r="C6657" t="str">
            <v>TAVEX MODAL RECEBIVEIS PERFORMADOS II FIDC</v>
          </cell>
          <cell r="D6657" t="str">
            <v>TAVEX MODAL RECEBIVEIS PERFORMADOS II FIDC</v>
          </cell>
          <cell r="E6657" t="str">
            <v>MODAL ADMINISTRADORA DE RECURSOS SA</v>
          </cell>
        </row>
        <row r="6658">
          <cell r="B6658">
            <v>18355</v>
          </cell>
          <cell r="C6658" t="str">
            <v>FUNDO DE INVESTIMENTO MULTIMERCADO  NISSEN</v>
          </cell>
          <cell r="D6658" t="str">
            <v>FUNDO DE INVESTIMENTO MULTIMERCADO  NISSEN</v>
          </cell>
          <cell r="E6658" t="str">
            <v>PERSONALE CONSULTORIA E GESTAO DE CARTEIRAS LTDA</v>
          </cell>
        </row>
        <row r="6659">
          <cell r="B6659">
            <v>18356</v>
          </cell>
          <cell r="C6659" t="str">
            <v>WARRIOR VI FIM CREDITO PRIVADO</v>
          </cell>
          <cell r="D6659" t="str">
            <v>WARRIOR VI FIM CREDITO PRIVADO</v>
          </cell>
          <cell r="E6659" t="str">
            <v>WARRIOR VI FIM CREDITO PRIVADO</v>
          </cell>
        </row>
        <row r="6660">
          <cell r="B6660">
            <v>18359</v>
          </cell>
          <cell r="C6660" t="str">
            <v>GAP HEDGE INSTITUCIONAL FIF</v>
          </cell>
          <cell r="D6660" t="str">
            <v>GAP HEDGE INSTITUCIONAL FIF</v>
          </cell>
          <cell r="E6660" t="str">
            <v>GAP HEDGE INSTITUCIONAL FIF</v>
          </cell>
        </row>
        <row r="6661">
          <cell r="B6661">
            <v>184</v>
          </cell>
          <cell r="C6661" t="str">
            <v>BB GESTAO DE RECURSOS DTVM LTDA</v>
          </cell>
          <cell r="D6661" t="str">
            <v>BB GESTAO DE RECURSOS DTVM LTDA</v>
          </cell>
          <cell r="E6661" t="str">
            <v>BB GESTAO DE RECURSOS DTVM LTDA</v>
          </cell>
        </row>
        <row r="6662">
          <cell r="B6662">
            <v>18439</v>
          </cell>
          <cell r="C6662" t="str">
            <v>WARRIOR II FUNDO DE INVESTIMENTO MULTIMERCADO</v>
          </cell>
          <cell r="D6662" t="str">
            <v>WARRIOR II FUNDO DE INVESTIMENTO MULTIMERCADO</v>
          </cell>
          <cell r="E6662" t="str">
            <v>WARRIOR II FUNDO DE INVESTIMENTO MULTIMERCADO</v>
          </cell>
        </row>
        <row r="6663">
          <cell r="B6663">
            <v>18440</v>
          </cell>
          <cell r="C6663" t="str">
            <v>WARRIOR FDO DE INVEST. MULT. CREDITO PRIVADO</v>
          </cell>
          <cell r="D6663" t="str">
            <v>WARRIOR FDO DE INVEST. MULT. CREDITO PRIVADO</v>
          </cell>
          <cell r="E6663" t="str">
            <v>WARRIOR FDO DE INVEST. MULT. CREDITO PRIVADO</v>
          </cell>
        </row>
        <row r="6664">
          <cell r="B6664">
            <v>18441</v>
          </cell>
          <cell r="C6664" t="str">
            <v>MODAL TENDA FIM CP</v>
          </cell>
          <cell r="D6664" t="str">
            <v>MODAL TENDA FIM CP</v>
          </cell>
          <cell r="E6664" t="str">
            <v>MODAL TENDA FIM CP</v>
          </cell>
        </row>
        <row r="6665">
          <cell r="B6665">
            <v>18456</v>
          </cell>
          <cell r="C6665" t="str">
            <v>MODAL LONG AND SHORT FIA</v>
          </cell>
          <cell r="D6665" t="str">
            <v>MODAL LONG AND SHORT FIA</v>
          </cell>
          <cell r="E6665" t="str">
            <v>MODAL LONG AND SHORT FIA</v>
          </cell>
        </row>
        <row r="6666">
          <cell r="B6666">
            <v>18467</v>
          </cell>
          <cell r="C6666" t="str">
            <v>BB BANCO DE INVESTIMENTO S/A</v>
          </cell>
          <cell r="D6666" t="str">
            <v>BB BANCO DE INVESTIMENTO S/A</v>
          </cell>
          <cell r="E6666" t="str">
            <v>BB BANCO DE INVESTIMENTO S/A</v>
          </cell>
        </row>
        <row r="6667">
          <cell r="B6667">
            <v>18468</v>
          </cell>
          <cell r="C6667" t="str">
            <v>BB BANCO DE INVESTIMENTO S/A</v>
          </cell>
          <cell r="D6667" t="str">
            <v>BB BANCO DE INVESTIMENTO S/A</v>
          </cell>
          <cell r="E6667" t="str">
            <v>BB BANCO DE INVESTIMENTO S/A</v>
          </cell>
        </row>
        <row r="6668">
          <cell r="B6668">
            <v>18469</v>
          </cell>
          <cell r="C6668" t="str">
            <v>BB BANCO DE INVESTIMENTO S/A</v>
          </cell>
          <cell r="D6668" t="str">
            <v>BB BANCO DE INVESTIMENTO S/A</v>
          </cell>
          <cell r="E6668" t="str">
            <v>BB BANCO DE INVESTIMENTO S/A</v>
          </cell>
        </row>
        <row r="6669">
          <cell r="B6669">
            <v>185</v>
          </cell>
          <cell r="C6669" t="str">
            <v>BB GESTAO DE RECURSOS DTVM LTDA</v>
          </cell>
          <cell r="D6669" t="str">
            <v>BB GESTAO DE RECURSOS DTVM LTDA</v>
          </cell>
          <cell r="E6669" t="str">
            <v>BB GESTAO DE RECURSOS DTVM LTDA</v>
          </cell>
        </row>
        <row r="6670">
          <cell r="B6670">
            <v>18504</v>
          </cell>
          <cell r="C6670" t="str">
            <v>FUNDO NOBEL ADVANCED FIM</v>
          </cell>
          <cell r="D6670" t="str">
            <v>FUNDO NOBEL ADVANCED FIM</v>
          </cell>
          <cell r="E6670" t="str">
            <v>FUNDO NOBEL ADVANCED FIM</v>
          </cell>
        </row>
        <row r="6671">
          <cell r="B6671">
            <v>18505</v>
          </cell>
          <cell r="C6671" t="str">
            <v>NOBEL TOTAL 60 FUNDO DE INVESTIMENTO MULTIMERCADO</v>
          </cell>
          <cell r="D6671" t="str">
            <v>NOBEL TOTAL 60 FUNDO DE INVESTIMENTO MULTIMERCADO</v>
          </cell>
          <cell r="E6671" t="str">
            <v>NOBEL TOTAL 60 FUNDO DE INVESTIMENTO MULTIMERCADO</v>
          </cell>
        </row>
        <row r="6672">
          <cell r="B6672">
            <v>18543</v>
          </cell>
          <cell r="C6672" t="str">
            <v>RICARDO HESPANHA DINIZ KOVACH</v>
          </cell>
          <cell r="D6672" t="str">
            <v>RICARDO HESPANHA DINIZ KOVACH</v>
          </cell>
          <cell r="E6672" t="str">
            <v>RICARDO HESPANHA DINIZ KOVACH</v>
          </cell>
        </row>
        <row r="6673">
          <cell r="B6673">
            <v>18566</v>
          </cell>
          <cell r="C6673" t="str">
            <v>BB FEF SALVADOR CD FIA</v>
          </cell>
          <cell r="D6673" t="str">
            <v>BB FEF SALVADOR CD FIA</v>
          </cell>
          <cell r="E6673" t="str">
            <v>BANCO DO BRASIL S/A</v>
          </cell>
        </row>
        <row r="6674">
          <cell r="B6674">
            <v>18568</v>
          </cell>
          <cell r="C6674" t="str">
            <v>BB FEF CD FIM</v>
          </cell>
          <cell r="D6674" t="str">
            <v>BB FEF CD FIM</v>
          </cell>
          <cell r="E6674" t="str">
            <v>BANCO DO BRASIL S/A</v>
          </cell>
        </row>
        <row r="6675">
          <cell r="B6675">
            <v>18569</v>
          </cell>
          <cell r="C6675" t="str">
            <v>BB UNIMED RF 100C FI EM RF</v>
          </cell>
          <cell r="D6675" t="str">
            <v>BB UNIMED RF 100C FI EM RF</v>
          </cell>
          <cell r="E6675" t="str">
            <v>BANCO DO BRASIL S/A</v>
          </cell>
        </row>
        <row r="6676">
          <cell r="B6676">
            <v>186</v>
          </cell>
          <cell r="C6676" t="str">
            <v>BB GESTAO DE RECURSOS DTVM LTDA</v>
          </cell>
          <cell r="D6676" t="str">
            <v>BB GESTAO DE RECURSOS DTVM LTDA</v>
          </cell>
          <cell r="E6676" t="str">
            <v>BB GESTAO DE RECURSOS DTVM LTDA</v>
          </cell>
        </row>
        <row r="6677">
          <cell r="B6677">
            <v>18613</v>
          </cell>
          <cell r="C6677" t="str">
            <v>BANCO BVA S/A</v>
          </cell>
          <cell r="D6677" t="str">
            <v>BANCO BVA S/A</v>
          </cell>
          <cell r="E6677" t="str">
            <v>BANCO BVA S/A</v>
          </cell>
        </row>
        <row r="6678">
          <cell r="B6678">
            <v>18614</v>
          </cell>
          <cell r="C6678" t="str">
            <v>BVA FAST LAP FIF 60 DIAS</v>
          </cell>
          <cell r="D6678" t="str">
            <v>BVA FAST LAP FIF 60 DIAS</v>
          </cell>
          <cell r="E6678" t="str">
            <v>BVA FAST LAP FIF 60 DIAS</v>
          </cell>
        </row>
        <row r="6679">
          <cell r="B6679">
            <v>18620</v>
          </cell>
          <cell r="C6679" t="str">
            <v>BANCO ARBI S/A</v>
          </cell>
          <cell r="D6679" t="str">
            <v>BANCO ARBI S/A</v>
          </cell>
          <cell r="E6679" t="str">
            <v>BANCO ARBI S/A</v>
          </cell>
        </row>
        <row r="6680">
          <cell r="B6680">
            <v>18634</v>
          </cell>
          <cell r="C6680" t="str">
            <v>ENGUIA GEN BA LTDA</v>
          </cell>
          <cell r="D6680" t="str">
            <v>ENGUIA GEN BA LTDA</v>
          </cell>
          <cell r="E6680" t="str">
            <v>ENGUIA GEN BA LTDA</v>
          </cell>
        </row>
        <row r="6681">
          <cell r="B6681">
            <v>18646</v>
          </cell>
          <cell r="C6681" t="str">
            <v>ENGUIA GEN CE LTDA</v>
          </cell>
          <cell r="D6681" t="str">
            <v>ENGUIA GEN CE LTDA</v>
          </cell>
          <cell r="E6681" t="str">
            <v>ENGUIA GEN CE LTDA</v>
          </cell>
        </row>
        <row r="6682">
          <cell r="B6682">
            <v>18651</v>
          </cell>
          <cell r="C6682" t="str">
            <v>ENGUIA GEN PI LTDA</v>
          </cell>
          <cell r="D6682" t="str">
            <v>ENGUIA GEN PI LTDA</v>
          </cell>
          <cell r="E6682" t="str">
            <v>ENGUIA GEN PI LTDA</v>
          </cell>
        </row>
        <row r="6683">
          <cell r="B6683">
            <v>18657</v>
          </cell>
          <cell r="C6683" t="str">
            <v>DRESDNER BANK LATEINAMERIKA A.G.</v>
          </cell>
          <cell r="D6683" t="str">
            <v>DRESDNER BANK LATEINAMERIKA A.G.</v>
          </cell>
          <cell r="E6683" t="str">
            <v>DRESDNER BANK LATEINAMERIKA A.G.</v>
          </cell>
        </row>
        <row r="6684">
          <cell r="B6684">
            <v>18658</v>
          </cell>
          <cell r="C6684" t="str">
            <v>SCOTIABANK BRASILS/A BANCO MULTIPLO(ANTIGO DRESDNER BANK BR)</v>
          </cell>
          <cell r="D6684" t="str">
            <v>SCOTIABANK BRASILS/A BANCO MULTIPLO(ANTIGO DRESDNER BANK BR)</v>
          </cell>
          <cell r="E6684" t="str">
            <v>SCOTIABANK BRASIL S/A</v>
          </cell>
        </row>
        <row r="6685">
          <cell r="B6685">
            <v>187</v>
          </cell>
          <cell r="C6685" t="str">
            <v>BB GESTAO DE RECURSOS DTVM LTDA</v>
          </cell>
          <cell r="D6685" t="str">
            <v>BB GESTAO DE RECURSOS DTVM LTDA</v>
          </cell>
          <cell r="E6685" t="str">
            <v>BB GESTAO DE RECURSOS DTVM LTDA</v>
          </cell>
        </row>
        <row r="6686">
          <cell r="B6686">
            <v>18705</v>
          </cell>
          <cell r="C6686" t="str">
            <v>BANCO CACIQUE S/A</v>
          </cell>
          <cell r="D6686" t="str">
            <v>BANCO CACIQUE S/A</v>
          </cell>
          <cell r="E6686" t="str">
            <v>BANCO CACIQUE S/A</v>
          </cell>
        </row>
        <row r="6687">
          <cell r="B6687">
            <v>18707</v>
          </cell>
          <cell r="C6687" t="str">
            <v>CACIQUE PROMOTORA DE VENDAS LTDA</v>
          </cell>
          <cell r="D6687" t="str">
            <v>CACIQUE PROMOTORA DE VENDAS LTDA</v>
          </cell>
          <cell r="E6687" t="str">
            <v>CACIQUE PROMOTORA DE VENDAS LTDA</v>
          </cell>
        </row>
        <row r="6688">
          <cell r="B6688">
            <v>18743</v>
          </cell>
          <cell r="C6688" t="str">
            <v>OPPORTUNITY DTVM LTDA</v>
          </cell>
          <cell r="D6688" t="str">
            <v>OPPORTUNITY DTVM LTDA</v>
          </cell>
          <cell r="E6688" t="str">
            <v>OPPORTUNITY DTVM LTDA</v>
          </cell>
        </row>
        <row r="6689">
          <cell r="B6689">
            <v>18754</v>
          </cell>
          <cell r="C6689" t="str">
            <v>ESTRATEGIA INVESTIMENTOS S/A CVC</v>
          </cell>
          <cell r="D6689" t="str">
            <v>ESTRATEGIA INVESTIMENTOS S/A CVC</v>
          </cell>
          <cell r="E6689" t="str">
            <v>ESTRATEGIA INVESTIMENTOS S/A CVC</v>
          </cell>
        </row>
        <row r="6690">
          <cell r="B6690">
            <v>188</v>
          </cell>
          <cell r="C6690" t="str">
            <v>BB GESTAO DE RECURSOS DTVM LTDA</v>
          </cell>
          <cell r="D6690" t="str">
            <v>BB GESTAO DE RECURSOS DTVM LTDA</v>
          </cell>
          <cell r="E6690" t="str">
            <v>BB GESTAO DE RECURSOS DTVM LTDA</v>
          </cell>
        </row>
        <row r="6691">
          <cell r="B6691">
            <v>18852</v>
          </cell>
          <cell r="C6691" t="str">
            <v>BANCO DO BRASIL S/A</v>
          </cell>
          <cell r="D6691" t="str">
            <v>BANCO DO BRASIL S/A</v>
          </cell>
          <cell r="E6691" t="str">
            <v>BANCO DO BRASIL S/A</v>
          </cell>
        </row>
        <row r="6692">
          <cell r="B6692">
            <v>18853</v>
          </cell>
          <cell r="C6692" t="str">
            <v>BB BANCO DE INVESTIMENTO S/A</v>
          </cell>
          <cell r="D6692" t="str">
            <v>BB BANCO DE INVESTIMENTO S/A</v>
          </cell>
          <cell r="E6692" t="str">
            <v>BB BANCO DE INVESTIMENTO S/A</v>
          </cell>
        </row>
        <row r="6693">
          <cell r="B6693">
            <v>18857</v>
          </cell>
          <cell r="C6693" t="str">
            <v>BANCO DO BRASIL S/A</v>
          </cell>
          <cell r="D6693" t="str">
            <v>BANCO DO BRASIL S/A</v>
          </cell>
          <cell r="E6693" t="str">
            <v>BANCO DO BRASIL S/A</v>
          </cell>
        </row>
        <row r="6694">
          <cell r="B6694">
            <v>188888</v>
          </cell>
          <cell r="C6694" t="str">
            <v>BNP PARIBAS PROPRIETARIO FIM CP IE</v>
          </cell>
          <cell r="D6694" t="str">
            <v>BNP PARIBAS PROPRIETARIO FIM CP IE</v>
          </cell>
          <cell r="E6694" t="str">
            <v>BANCO BNP PARIBAS BRASIL S/A</v>
          </cell>
        </row>
        <row r="6695">
          <cell r="B6695">
            <v>189</v>
          </cell>
          <cell r="C6695" t="str">
            <v>BB GESTAO DE RECURSOS DTVM LTDA</v>
          </cell>
          <cell r="D6695" t="str">
            <v>BB GESTAO DE RECURSOS DTVM LTDA</v>
          </cell>
          <cell r="E6695" t="str">
            <v>BB GESTAO DE RECURSOS DTVM LTDA</v>
          </cell>
        </row>
        <row r="6696">
          <cell r="B6696">
            <v>18915</v>
          </cell>
          <cell r="C6696" t="str">
            <v>ARNALDO DAVID CEZAR COELHO</v>
          </cell>
          <cell r="D6696" t="str">
            <v>ARNALDO DAVID CEZAR COELHO</v>
          </cell>
          <cell r="E6696" t="str">
            <v>ARNALDO DAVID CEZAR COELHO</v>
          </cell>
        </row>
        <row r="6697">
          <cell r="B6697">
            <v>18950</v>
          </cell>
          <cell r="C6697" t="str">
            <v>LAURA FONSECA</v>
          </cell>
          <cell r="D6697" t="str">
            <v>LAURA FONSECA</v>
          </cell>
          <cell r="E6697" t="str">
            <v>LAURA FONSECA</v>
          </cell>
        </row>
        <row r="6698">
          <cell r="B6698">
            <v>19</v>
          </cell>
          <cell r="C6698" t="str">
            <v>PERSONALE PODIUM FIA</v>
          </cell>
          <cell r="D6698" t="str">
            <v>PERSONALE PODIUM FIA</v>
          </cell>
          <cell r="E6698" t="str">
            <v>PERSONALE CONSULTORIA E GESTAO DE CARTEIRAS LTDA</v>
          </cell>
        </row>
        <row r="6699">
          <cell r="B6699">
            <v>190</v>
          </cell>
          <cell r="C6699" t="str">
            <v>BB GESTAO DE RECURSOS DTVM LTDA</v>
          </cell>
          <cell r="D6699" t="str">
            <v>BB GESTAO DE RECURSOS DTVM LTDA</v>
          </cell>
          <cell r="E6699" t="str">
            <v>BB GESTAO DE RECURSOS DTVM LTDA</v>
          </cell>
        </row>
        <row r="6700">
          <cell r="B6700">
            <v>19017</v>
          </cell>
          <cell r="C6700" t="str">
            <v>BB BANCO DE INVESTIMENTO S/A</v>
          </cell>
          <cell r="D6700" t="str">
            <v>BB BANCO DE INVESTIMENTO S/A</v>
          </cell>
          <cell r="E6700" t="str">
            <v>BB BANCO DE INVESTIMENTO S/A</v>
          </cell>
        </row>
        <row r="6701">
          <cell r="B6701">
            <v>19022</v>
          </cell>
          <cell r="C6701" t="str">
            <v>BB BANCO DE INVESTIMENTO S/A</v>
          </cell>
          <cell r="D6701" t="str">
            <v>BB BANCO DE INVESTIMENTO S/A</v>
          </cell>
          <cell r="E6701" t="str">
            <v>BB BANCO DE INVESTIMENTO S/A</v>
          </cell>
        </row>
        <row r="6702">
          <cell r="B6702">
            <v>19028</v>
          </cell>
          <cell r="C6702" t="str">
            <v>BB BANCO DE INVESTIMENTO S/A</v>
          </cell>
          <cell r="D6702" t="str">
            <v>BB BANCO DE INVESTIMENTO S/A</v>
          </cell>
          <cell r="E6702" t="str">
            <v>BB BANCO DE INVESTIMENTO S/A</v>
          </cell>
        </row>
        <row r="6703">
          <cell r="B6703">
            <v>19063</v>
          </cell>
          <cell r="C6703" t="str">
            <v>BB BANCO DE INVESTIMENTO S/A</v>
          </cell>
          <cell r="D6703" t="str">
            <v>BB BANCO DE INVESTIMENTO S/A</v>
          </cell>
          <cell r="E6703" t="str">
            <v>BB BANCO DE INVESTIMENTO S/A</v>
          </cell>
        </row>
        <row r="6704">
          <cell r="B6704">
            <v>19074</v>
          </cell>
          <cell r="C6704" t="str">
            <v>BB BANCO DE INVESTIMENTO S/A</v>
          </cell>
          <cell r="D6704" t="str">
            <v>BB BANCO DE INVESTIMENTO S/A</v>
          </cell>
          <cell r="E6704" t="str">
            <v>BB BANCO DE INVESTIMENTO S/A</v>
          </cell>
        </row>
        <row r="6705">
          <cell r="B6705">
            <v>19089</v>
          </cell>
          <cell r="C6705" t="str">
            <v>BB GESTAO DE RECURSOS DTVM LTDA</v>
          </cell>
          <cell r="D6705" t="str">
            <v>BB GESTAO DE RECURSOS DTVM LTDA</v>
          </cell>
          <cell r="E6705" t="str">
            <v>BB GESTAO DE RECURSOS DTVM LTDA</v>
          </cell>
        </row>
        <row r="6706">
          <cell r="B6706">
            <v>191</v>
          </cell>
          <cell r="C6706" t="str">
            <v>BB GESTAO DE RECURSOS DTVM LTDA</v>
          </cell>
          <cell r="D6706" t="str">
            <v>BB GESTAO DE RECURSOS DTVM LTDA</v>
          </cell>
          <cell r="E6706" t="str">
            <v>BB GESTAO DE RECURSOS DTVM LTDA</v>
          </cell>
        </row>
        <row r="6707">
          <cell r="B6707">
            <v>19101</v>
          </cell>
          <cell r="C6707" t="str">
            <v>BB BANCO DE INVESTIMENTO S/A</v>
          </cell>
          <cell r="D6707" t="str">
            <v>BB BANCO DE INVESTIMENTO S/A</v>
          </cell>
          <cell r="E6707" t="str">
            <v>BB BANCO DE INVESTIMENTO S/A</v>
          </cell>
        </row>
        <row r="6708">
          <cell r="B6708">
            <v>19106</v>
          </cell>
          <cell r="C6708" t="str">
            <v>BB BANCO DE INVESTIMENTO S/A</v>
          </cell>
          <cell r="D6708" t="str">
            <v>BB BANCO DE INVESTIMENTO S/A</v>
          </cell>
          <cell r="E6708" t="str">
            <v>BB BANCO DE INVESTIMENTO S/A</v>
          </cell>
        </row>
        <row r="6709">
          <cell r="B6709">
            <v>19189</v>
          </cell>
          <cell r="C6709" t="str">
            <v>BB GESTAO DE RECURSOS DTVM LTDA</v>
          </cell>
          <cell r="D6709" t="str">
            <v>BB GESTAO DE RECURSOS DTVM LTDA</v>
          </cell>
          <cell r="E6709" t="str">
            <v>BB BANCO DE INVESTIMENTO S/A</v>
          </cell>
        </row>
        <row r="6710">
          <cell r="B6710">
            <v>192</v>
          </cell>
          <cell r="C6710" t="str">
            <v>BB FEF SALVADOR CD FIA</v>
          </cell>
          <cell r="D6710" t="str">
            <v>BB FEF SALVADOR CD FIA</v>
          </cell>
          <cell r="E6710" t="str">
            <v>BB GESTAO DE RECURSOS DTVM LTDA</v>
          </cell>
        </row>
        <row r="6711">
          <cell r="B6711">
            <v>19285</v>
          </cell>
          <cell r="C6711" t="str">
            <v>BB BANCO DE INVESTIMENTO S/A</v>
          </cell>
          <cell r="D6711" t="str">
            <v>BB BANCO DE INVESTIMENTO S/A</v>
          </cell>
          <cell r="E6711" t="str">
            <v>BB BANCO DE INVESTIMENTO S/A</v>
          </cell>
        </row>
        <row r="6712">
          <cell r="B6712">
            <v>19289</v>
          </cell>
          <cell r="C6712" t="str">
            <v>BB BANCO DE INVESTIMENTO S/A</v>
          </cell>
          <cell r="D6712" t="str">
            <v>BB BANCO DE INVESTIMENTO S/A</v>
          </cell>
          <cell r="E6712" t="str">
            <v>BB BANCO DE INVESTIMENTO S/A</v>
          </cell>
        </row>
        <row r="6713">
          <cell r="B6713">
            <v>193</v>
          </cell>
          <cell r="C6713" t="str">
            <v>BB MIRANTE IBX FIA</v>
          </cell>
          <cell r="D6713" t="str">
            <v>BB MIRANTE IBX FIA</v>
          </cell>
          <cell r="E6713" t="str">
            <v>BB GESTAO DE RECURSOS DTVM LTDA</v>
          </cell>
        </row>
        <row r="6714">
          <cell r="B6714">
            <v>19310</v>
          </cell>
          <cell r="C6714" t="str">
            <v>BB BANCO DE INVESTIMENTO S/A</v>
          </cell>
          <cell r="D6714" t="str">
            <v>BB BANCO DE INVESTIMENTO S/A</v>
          </cell>
          <cell r="E6714" t="str">
            <v>BB BANCO DE INVESTIMENTO S/A</v>
          </cell>
        </row>
        <row r="6715">
          <cell r="B6715">
            <v>19320</v>
          </cell>
          <cell r="C6715" t="str">
            <v>BB BANCO DE INVESTIMENTO S/A</v>
          </cell>
          <cell r="D6715" t="str">
            <v>BB BANCO DE INVESTIMENTO S/A</v>
          </cell>
          <cell r="E6715" t="str">
            <v>BB BANCO DE INVESTIMENTO S/A</v>
          </cell>
        </row>
        <row r="6716">
          <cell r="B6716">
            <v>19333</v>
          </cell>
          <cell r="C6716" t="str">
            <v>BB BANCO DE INVESTIMENTO S/A</v>
          </cell>
          <cell r="D6716" t="str">
            <v>BB BANCO DE INVESTIMENTO S/A</v>
          </cell>
          <cell r="E6716" t="str">
            <v>BB BANCO DE INVESTIMENTO S/A</v>
          </cell>
        </row>
        <row r="6717">
          <cell r="B6717">
            <v>19334</v>
          </cell>
          <cell r="C6717" t="str">
            <v>BB BANCO DE INVESTIMENTO S/A</v>
          </cell>
          <cell r="D6717" t="str">
            <v>BB BANCO DE INVESTIMENTO S/A</v>
          </cell>
          <cell r="E6717" t="str">
            <v>BB BANCO DE INVESTIMENTO S/A</v>
          </cell>
        </row>
        <row r="6718">
          <cell r="B6718">
            <v>19335</v>
          </cell>
          <cell r="C6718" t="str">
            <v>BB BANCO DE INVESTIMENTO S/A</v>
          </cell>
          <cell r="D6718" t="str">
            <v>BB BANCO DE INVESTIMENTO S/A</v>
          </cell>
          <cell r="E6718" t="str">
            <v>BB BANCO DE INVESTIMENTO S/A</v>
          </cell>
        </row>
        <row r="6719">
          <cell r="B6719">
            <v>19336</v>
          </cell>
          <cell r="C6719" t="str">
            <v>BB BANCO DE INVESTIMENTO S/A</v>
          </cell>
          <cell r="D6719" t="str">
            <v>BB BANCO DE INVESTIMENTO S/A</v>
          </cell>
          <cell r="E6719" t="str">
            <v>BB BANCO DE INVESTIMENTO S/A</v>
          </cell>
        </row>
        <row r="6720">
          <cell r="B6720">
            <v>19338</v>
          </cell>
          <cell r="C6720" t="str">
            <v>BB BANCO DE INVESTIMENTO S/A</v>
          </cell>
          <cell r="D6720" t="str">
            <v>BB BANCO DE INVESTIMENTO S/A</v>
          </cell>
          <cell r="E6720" t="str">
            <v>BB BANCO DE INVESTIMENTO S/A</v>
          </cell>
        </row>
        <row r="6721">
          <cell r="B6721">
            <v>19339</v>
          </cell>
          <cell r="C6721" t="str">
            <v>BB BANCO DE INVESTIMENTO S/A</v>
          </cell>
          <cell r="D6721" t="str">
            <v>BB BANCO DE INVESTIMENTO S/A</v>
          </cell>
          <cell r="E6721" t="str">
            <v>BB BANCO DE INVESTIMENTO S/A</v>
          </cell>
        </row>
        <row r="6722">
          <cell r="B6722">
            <v>19340</v>
          </cell>
          <cell r="C6722" t="str">
            <v>BB BANCO DE INVESTIMENTO S/A</v>
          </cell>
          <cell r="D6722" t="str">
            <v>BB BANCO DE INVESTIMENTO S/A</v>
          </cell>
          <cell r="E6722" t="str">
            <v>BB BANCO DE INVESTIMENTO S/A</v>
          </cell>
        </row>
        <row r="6723">
          <cell r="B6723">
            <v>19341</v>
          </cell>
          <cell r="C6723" t="str">
            <v>BB BANCO DE INVESTIMENTO S/A</v>
          </cell>
          <cell r="D6723" t="str">
            <v>BB BANCO DE INVESTIMENTO S/A</v>
          </cell>
          <cell r="E6723" t="str">
            <v>BB BANCO DE INVESTIMENTO S/A</v>
          </cell>
        </row>
        <row r="6724">
          <cell r="B6724">
            <v>19342</v>
          </cell>
          <cell r="C6724" t="str">
            <v>BB BANCO DE INVESTIMENTO S/A</v>
          </cell>
          <cell r="D6724" t="str">
            <v>BB BANCO DE INVESTIMENTO S/A</v>
          </cell>
          <cell r="E6724" t="str">
            <v>BB BANCO DE INVESTIMENTO S/A</v>
          </cell>
        </row>
        <row r="6725">
          <cell r="B6725">
            <v>19343</v>
          </cell>
          <cell r="C6725" t="str">
            <v>BB BANCO DE INVESTIMENTO S/A</v>
          </cell>
          <cell r="D6725" t="str">
            <v>BB BANCO DE INVESTIMENTO S/A</v>
          </cell>
          <cell r="E6725" t="str">
            <v>BB BANCO DE INVESTIMENTO S/A</v>
          </cell>
        </row>
        <row r="6726">
          <cell r="B6726">
            <v>19344</v>
          </cell>
          <cell r="C6726" t="str">
            <v>BB BANCO DE INVESTIMENTO S/A</v>
          </cell>
          <cell r="D6726" t="str">
            <v>BB BANCO DE INVESTIMENTO S/A</v>
          </cell>
          <cell r="E6726" t="str">
            <v>BB BANCO DE INVESTIMENTO S/A</v>
          </cell>
        </row>
        <row r="6727">
          <cell r="B6727">
            <v>19345</v>
          </cell>
          <cell r="C6727" t="str">
            <v>BB BANCO DE INVESTIMENTO S/A</v>
          </cell>
          <cell r="D6727" t="str">
            <v>BB BANCO DE INVESTIMENTO S/A</v>
          </cell>
          <cell r="E6727" t="str">
            <v>BB BANCO DE INVESTIMENTO S/A</v>
          </cell>
        </row>
        <row r="6728">
          <cell r="B6728">
            <v>19347</v>
          </cell>
          <cell r="C6728" t="str">
            <v>BB BANCO DE INVESTIMENTO S/A</v>
          </cell>
          <cell r="D6728" t="str">
            <v>BB BANCO DE INVESTIMENTO S/A</v>
          </cell>
          <cell r="E6728" t="str">
            <v>BB BANCO DE INVESTIMENTO S/A</v>
          </cell>
        </row>
        <row r="6729">
          <cell r="B6729">
            <v>19348</v>
          </cell>
          <cell r="C6729" t="str">
            <v>BB BANCO DE INVESTIMENTO S/A</v>
          </cell>
          <cell r="D6729" t="str">
            <v>BB BANCO DE INVESTIMENTO S/A</v>
          </cell>
          <cell r="E6729" t="str">
            <v>BB BANCO DE INVESTIMENTO S/A</v>
          </cell>
        </row>
        <row r="6730">
          <cell r="B6730">
            <v>19349</v>
          </cell>
          <cell r="C6730" t="str">
            <v>BB BANCO DE INVESTIMENTO S/A</v>
          </cell>
          <cell r="D6730" t="str">
            <v>BB BANCO DE INVESTIMENTO S/A</v>
          </cell>
          <cell r="E6730" t="str">
            <v>BB BANCO DE INVESTIMENTO S/A</v>
          </cell>
        </row>
        <row r="6731">
          <cell r="B6731">
            <v>19350</v>
          </cell>
          <cell r="C6731" t="str">
            <v>BB BANCO DE INVESTIMENTO S/A</v>
          </cell>
          <cell r="D6731" t="str">
            <v>BB BANCO DE INVESTIMENTO S/A</v>
          </cell>
          <cell r="E6731" t="str">
            <v>BB BANCO DE INVESTIMENTO S/A</v>
          </cell>
        </row>
        <row r="6732">
          <cell r="B6732">
            <v>19351</v>
          </cell>
          <cell r="C6732" t="str">
            <v>BB BANCO DE INVESTIMENTO S/A</v>
          </cell>
          <cell r="D6732" t="str">
            <v>BB BANCO DE INVESTIMENTO S/A</v>
          </cell>
          <cell r="E6732" t="str">
            <v>BB BANCO DE INVESTIMENTO S/A</v>
          </cell>
        </row>
        <row r="6733">
          <cell r="B6733">
            <v>19352</v>
          </cell>
          <cell r="C6733" t="str">
            <v>BB BANCO DE INVESTIMENTO S/A</v>
          </cell>
          <cell r="D6733" t="str">
            <v>BB BANCO DE INVESTIMENTO S/A</v>
          </cell>
          <cell r="E6733" t="str">
            <v>BB BANCO DE INVESTIMENTO S/A</v>
          </cell>
        </row>
        <row r="6734">
          <cell r="B6734">
            <v>19353</v>
          </cell>
          <cell r="C6734" t="str">
            <v>BB BANCO DE INVESTIMENTO S/A</v>
          </cell>
          <cell r="D6734" t="str">
            <v>BB BANCO DE INVESTIMENTO S/A</v>
          </cell>
          <cell r="E6734" t="str">
            <v>BB BANCO DE INVESTIMENTO S/A</v>
          </cell>
        </row>
        <row r="6735">
          <cell r="B6735">
            <v>19354</v>
          </cell>
          <cell r="C6735" t="str">
            <v>BB BANCO DE INVESTIMENTO S/A</v>
          </cell>
          <cell r="D6735" t="str">
            <v>BB BANCO DE INVESTIMENTO S/A</v>
          </cell>
          <cell r="E6735" t="str">
            <v>BB BANCO DE INVESTIMENTO S/A</v>
          </cell>
        </row>
        <row r="6736">
          <cell r="B6736">
            <v>19355</v>
          </cell>
          <cell r="C6736" t="str">
            <v>BB BANCO DE INVESTIMENTO S/A</v>
          </cell>
          <cell r="D6736" t="str">
            <v>BB BANCO DE INVESTIMENTO S/A</v>
          </cell>
          <cell r="E6736" t="str">
            <v>BB BANCO DE INVESTIMENTO S/A</v>
          </cell>
        </row>
        <row r="6737">
          <cell r="B6737">
            <v>19356</v>
          </cell>
          <cell r="C6737" t="str">
            <v>BB BANCO DE INVESTIMENTO S/A</v>
          </cell>
          <cell r="D6737" t="str">
            <v>BB BANCO DE INVESTIMENTO S/A</v>
          </cell>
          <cell r="E6737" t="str">
            <v>BB BANCO DE INVESTIMENTO S/A</v>
          </cell>
        </row>
        <row r="6738">
          <cell r="B6738">
            <v>19357</v>
          </cell>
          <cell r="C6738" t="str">
            <v>BB BANCO DE INVESTIMENTO S/A</v>
          </cell>
          <cell r="D6738" t="str">
            <v>BB BANCO DE INVESTIMENTO S/A</v>
          </cell>
          <cell r="E6738" t="str">
            <v>BB BANCO DE INVESTIMENTO S/A</v>
          </cell>
        </row>
        <row r="6739">
          <cell r="B6739">
            <v>19358</v>
          </cell>
          <cell r="C6739" t="str">
            <v>BB GESTAO DE RECURSOS DTVM LTDA</v>
          </cell>
          <cell r="D6739" t="str">
            <v>BB GESTAO DE RECURSOS DTVM LTDA</v>
          </cell>
          <cell r="E6739" t="str">
            <v>BB BANCO DE INVESTIMENTO S/A</v>
          </cell>
        </row>
        <row r="6740">
          <cell r="B6740">
            <v>19359</v>
          </cell>
          <cell r="C6740" t="str">
            <v>BB BANCO DE INVESTIMENTO S/A</v>
          </cell>
          <cell r="D6740" t="str">
            <v>BB BANCO DE INVESTIMENTO S/A</v>
          </cell>
          <cell r="E6740" t="str">
            <v>BB BANCO DE INVESTIMENTO S/A</v>
          </cell>
        </row>
        <row r="6741">
          <cell r="B6741">
            <v>19360</v>
          </cell>
          <cell r="C6741" t="str">
            <v>BB BANCO DE INVESTIMENTO S/A</v>
          </cell>
          <cell r="D6741" t="str">
            <v>BB BANCO DE INVESTIMENTO S/A</v>
          </cell>
          <cell r="E6741" t="str">
            <v>BB BANCO DE INVESTIMENTO S/A</v>
          </cell>
        </row>
        <row r="6742">
          <cell r="B6742">
            <v>19361</v>
          </cell>
          <cell r="C6742" t="str">
            <v>BB BANCO DE INVESTIMENTO S/A</v>
          </cell>
          <cell r="D6742" t="str">
            <v>BB BANCO DE INVESTIMENTO S/A</v>
          </cell>
          <cell r="E6742" t="str">
            <v>BB BANCO DE INVESTIMENTO S/A</v>
          </cell>
        </row>
        <row r="6743">
          <cell r="B6743">
            <v>19362</v>
          </cell>
          <cell r="C6743" t="str">
            <v>BB BANCO DE INVESTIMENTO S/A</v>
          </cell>
          <cell r="D6743" t="str">
            <v>BB BANCO DE INVESTIMENTO S/A</v>
          </cell>
          <cell r="E6743" t="str">
            <v>BB BANCO DE INVESTIMENTO S/A</v>
          </cell>
        </row>
        <row r="6744">
          <cell r="B6744">
            <v>19363</v>
          </cell>
          <cell r="C6744" t="str">
            <v>BB BANCO DE INVESTIMENTO S/A</v>
          </cell>
          <cell r="D6744" t="str">
            <v>BB BANCO DE INVESTIMENTO S/A</v>
          </cell>
          <cell r="E6744" t="str">
            <v>BB BANCO DE INVESTIMENTO S/A</v>
          </cell>
        </row>
        <row r="6745">
          <cell r="B6745">
            <v>19364</v>
          </cell>
          <cell r="C6745" t="str">
            <v>BB BANCO DE INVESTIMENTO S/A</v>
          </cell>
          <cell r="D6745" t="str">
            <v>BB BANCO DE INVESTIMENTO S/A</v>
          </cell>
          <cell r="E6745" t="str">
            <v>BB BANCO DE INVESTIMENTO S/A</v>
          </cell>
        </row>
        <row r="6746">
          <cell r="B6746">
            <v>19370</v>
          </cell>
          <cell r="C6746" t="str">
            <v>BB BANCO DE INVESTIMENTO S/A</v>
          </cell>
          <cell r="D6746" t="str">
            <v>BB BANCO DE INVESTIMENTO S/A</v>
          </cell>
          <cell r="E6746" t="str">
            <v>BB BANCO DE INVESTIMENTO S/A</v>
          </cell>
        </row>
        <row r="6747">
          <cell r="B6747">
            <v>19371</v>
          </cell>
          <cell r="C6747" t="str">
            <v>BB BANCO DE INVESTIMENTO S/A</v>
          </cell>
          <cell r="D6747" t="str">
            <v>BB BANCO DE INVESTIMENTO S/A</v>
          </cell>
          <cell r="E6747" t="str">
            <v>BB BANCO DE INVESTIMENTO S/A</v>
          </cell>
        </row>
        <row r="6748">
          <cell r="B6748">
            <v>19372</v>
          </cell>
          <cell r="C6748" t="str">
            <v>BB BANCO DE INVESTIMENTO S/A</v>
          </cell>
          <cell r="D6748" t="str">
            <v>BB BANCO DE INVESTIMENTO S/A</v>
          </cell>
          <cell r="E6748" t="str">
            <v>BB BANCO DE INVESTIMENTO S/A</v>
          </cell>
        </row>
        <row r="6749">
          <cell r="B6749">
            <v>19373</v>
          </cell>
          <cell r="C6749" t="str">
            <v>BB BANCO DE INVESTIMENTO S/A</v>
          </cell>
          <cell r="D6749" t="str">
            <v>BB BANCO DE INVESTIMENTO S/A</v>
          </cell>
          <cell r="E6749" t="str">
            <v>BB BANCO DE INVESTIMENTO S/A</v>
          </cell>
        </row>
        <row r="6750">
          <cell r="B6750">
            <v>19374</v>
          </cell>
          <cell r="C6750" t="str">
            <v>BB BANCO DE INVESTIMENTO S/A</v>
          </cell>
          <cell r="D6750" t="str">
            <v>BB BANCO DE INVESTIMENTO S/A</v>
          </cell>
          <cell r="E6750" t="str">
            <v>BB BANCO DE INVESTIMENTO S/A</v>
          </cell>
        </row>
        <row r="6751">
          <cell r="B6751">
            <v>19375</v>
          </cell>
          <cell r="C6751" t="str">
            <v>BB BANCO DE INVESTIMENTO S/A</v>
          </cell>
          <cell r="D6751" t="str">
            <v>BB BANCO DE INVESTIMENTO S/A</v>
          </cell>
          <cell r="E6751" t="str">
            <v>BB BANCO DE INVESTIMENTO S/A</v>
          </cell>
        </row>
        <row r="6752">
          <cell r="B6752">
            <v>19376</v>
          </cell>
          <cell r="C6752" t="str">
            <v>BB BANCO DE INVESTIMENTO S/A</v>
          </cell>
          <cell r="D6752" t="str">
            <v>BB BANCO DE INVESTIMENTO S/A</v>
          </cell>
          <cell r="E6752" t="str">
            <v>BB BANCO DE INVESTIMENTO S/A</v>
          </cell>
        </row>
        <row r="6753">
          <cell r="B6753">
            <v>19377</v>
          </cell>
          <cell r="C6753" t="str">
            <v>BB BANCO DE INVESTIMENTO S/A</v>
          </cell>
          <cell r="D6753" t="str">
            <v>BB BANCO DE INVESTIMENTO S/A</v>
          </cell>
          <cell r="E6753" t="str">
            <v>BB BANCO DE INVESTIMENTO S/A</v>
          </cell>
        </row>
        <row r="6754">
          <cell r="B6754">
            <v>19378</v>
          </cell>
          <cell r="C6754" t="str">
            <v>BB BANCO DE INVESTIMENTO S/A</v>
          </cell>
          <cell r="D6754" t="str">
            <v>BB BANCO DE INVESTIMENTO S/A</v>
          </cell>
          <cell r="E6754" t="str">
            <v>BB BANCO DE INVESTIMENTO S/A</v>
          </cell>
        </row>
        <row r="6755">
          <cell r="B6755">
            <v>19379</v>
          </cell>
          <cell r="C6755" t="str">
            <v>BB BANCO DE INVESTIMENTO S/A</v>
          </cell>
          <cell r="D6755" t="str">
            <v>BB BANCO DE INVESTIMENTO S/A</v>
          </cell>
          <cell r="E6755" t="str">
            <v>BB BANCO DE INVESTIMENTO S/A</v>
          </cell>
        </row>
        <row r="6756">
          <cell r="B6756">
            <v>19380</v>
          </cell>
          <cell r="C6756" t="str">
            <v>BB GESTAO DE RECURSOS DTVM LTDA</v>
          </cell>
          <cell r="D6756" t="str">
            <v>BB GESTAO DE RECURSOS DTVM LTDA</v>
          </cell>
          <cell r="E6756" t="str">
            <v>BB BANCO DE INVESTIMENTO S/A</v>
          </cell>
        </row>
        <row r="6757">
          <cell r="B6757">
            <v>19381</v>
          </cell>
          <cell r="C6757" t="str">
            <v>BB BANCO DE INVESTIMENTO S/A</v>
          </cell>
          <cell r="D6757" t="str">
            <v>BB BANCO DE INVESTIMENTO S/A</v>
          </cell>
          <cell r="E6757" t="str">
            <v>BB BANCO DE INVESTIMENTO S/A</v>
          </cell>
        </row>
        <row r="6758">
          <cell r="B6758">
            <v>19382</v>
          </cell>
          <cell r="C6758" t="str">
            <v>BB BANCO DE INVESTIMENTO S/A</v>
          </cell>
          <cell r="D6758" t="str">
            <v>BB BANCO DE INVESTIMENTO S/A</v>
          </cell>
          <cell r="E6758" t="str">
            <v>BB BANCO DE INVESTIMENTO S/A</v>
          </cell>
        </row>
        <row r="6759">
          <cell r="B6759">
            <v>19383</v>
          </cell>
          <cell r="C6759" t="str">
            <v>BB BANCO DE INVESTIMENTO S/A</v>
          </cell>
          <cell r="D6759" t="str">
            <v>BB BANCO DE INVESTIMENTO S/A</v>
          </cell>
          <cell r="E6759" t="str">
            <v>BB BANCO DE INVESTIMENTO S/A</v>
          </cell>
        </row>
        <row r="6760">
          <cell r="B6760">
            <v>19384</v>
          </cell>
          <cell r="C6760" t="str">
            <v>BB BANCO DE INVESTIMENTO S/A</v>
          </cell>
          <cell r="D6760" t="str">
            <v>BB BANCO DE INVESTIMENTO S/A</v>
          </cell>
          <cell r="E6760" t="str">
            <v>BB BANCO DE INVESTIMENTO S/A</v>
          </cell>
        </row>
        <row r="6761">
          <cell r="B6761">
            <v>19385</v>
          </cell>
          <cell r="C6761" t="str">
            <v>BB BANCO DE INVESTIMENTO S/A</v>
          </cell>
          <cell r="D6761" t="str">
            <v>BB BANCO DE INVESTIMENTO S/A</v>
          </cell>
          <cell r="E6761" t="str">
            <v>BB BANCO DE INVESTIMENTO S/A</v>
          </cell>
        </row>
        <row r="6762">
          <cell r="B6762">
            <v>19386</v>
          </cell>
          <cell r="C6762" t="str">
            <v>BB BANCO DE INVESTIMENTO S/A</v>
          </cell>
          <cell r="D6762" t="str">
            <v>BB BANCO DE INVESTIMENTO S/A</v>
          </cell>
          <cell r="E6762" t="str">
            <v>BB BANCO DE INVESTIMENTO S/A</v>
          </cell>
        </row>
        <row r="6763">
          <cell r="B6763">
            <v>19387</v>
          </cell>
          <cell r="C6763" t="str">
            <v>BB BANCO DE INVESTIMENTO S/A</v>
          </cell>
          <cell r="D6763" t="str">
            <v>BB BANCO DE INVESTIMENTO S/A</v>
          </cell>
          <cell r="E6763" t="str">
            <v>BB BANCO DE INVESTIMENTO S/A</v>
          </cell>
        </row>
        <row r="6764">
          <cell r="B6764">
            <v>19388</v>
          </cell>
          <cell r="C6764" t="str">
            <v>BB BANCO DE INVESTIMENTO S/A</v>
          </cell>
          <cell r="D6764" t="str">
            <v>BB BANCO DE INVESTIMENTO S/A</v>
          </cell>
          <cell r="E6764" t="str">
            <v>BB BANCO DE INVESTIMENTO S/A</v>
          </cell>
        </row>
        <row r="6765">
          <cell r="B6765">
            <v>19389</v>
          </cell>
          <cell r="C6765" t="str">
            <v>BB BANCO DE INVESTIMENTO S/A</v>
          </cell>
          <cell r="D6765" t="str">
            <v>BB BANCO DE INVESTIMENTO S/A</v>
          </cell>
          <cell r="E6765" t="str">
            <v>BB BANCO DE INVESTIMENTO S/A</v>
          </cell>
        </row>
        <row r="6766">
          <cell r="B6766">
            <v>1939</v>
          </cell>
          <cell r="C6766" t="str">
            <v>LINK CM LTDA</v>
          </cell>
          <cell r="D6766" t="str">
            <v>LINK CM LTDA</v>
          </cell>
        </row>
        <row r="6767">
          <cell r="B6767">
            <v>19390</v>
          </cell>
          <cell r="C6767" t="str">
            <v>BB BANCO DE INVESTIMENTO S/A</v>
          </cell>
          <cell r="D6767" t="str">
            <v>BB BANCO DE INVESTIMENTO S/A</v>
          </cell>
          <cell r="E6767" t="str">
            <v>BB BANCO DE INVESTIMENTO S/A</v>
          </cell>
        </row>
        <row r="6768">
          <cell r="B6768">
            <v>19391</v>
          </cell>
          <cell r="C6768" t="str">
            <v>BB BANCO DE INVESTIMENTO S/A</v>
          </cell>
          <cell r="D6768" t="str">
            <v>BB BANCO DE INVESTIMENTO S/A</v>
          </cell>
          <cell r="E6768" t="str">
            <v>BB BANCO DE INVESTIMENTO S/A</v>
          </cell>
        </row>
        <row r="6769">
          <cell r="B6769">
            <v>19392</v>
          </cell>
          <cell r="C6769" t="str">
            <v>BB BANCO DE INVESTIMENTO S/A</v>
          </cell>
          <cell r="D6769" t="str">
            <v>BB BANCO DE INVESTIMENTO S/A</v>
          </cell>
          <cell r="E6769" t="str">
            <v>BB BANCO DE INVESTIMENTO S/A</v>
          </cell>
        </row>
        <row r="6770">
          <cell r="B6770">
            <v>19393</v>
          </cell>
          <cell r="C6770" t="str">
            <v>BB BANCO DE INVESTIMENTO S/A</v>
          </cell>
          <cell r="D6770" t="str">
            <v>BB BANCO DE INVESTIMENTO S/A</v>
          </cell>
          <cell r="E6770" t="str">
            <v>BB BANCO DE INVESTIMENTO S/A</v>
          </cell>
        </row>
        <row r="6771">
          <cell r="B6771">
            <v>19394</v>
          </cell>
          <cell r="C6771" t="str">
            <v>BB BANCO DE INVESTIMENTO S/A</v>
          </cell>
          <cell r="D6771" t="str">
            <v>BB BANCO DE INVESTIMENTO S/A</v>
          </cell>
          <cell r="E6771" t="str">
            <v>BB BANCO DE INVESTIMENTO S/A</v>
          </cell>
        </row>
        <row r="6772">
          <cell r="B6772">
            <v>19398</v>
          </cell>
          <cell r="C6772" t="str">
            <v>BB BANCO DE INVESTIMENTO S/A</v>
          </cell>
          <cell r="D6772" t="str">
            <v>BB BANCO DE INVESTIMENTO S/A</v>
          </cell>
          <cell r="E6772" t="str">
            <v>BB BANCO DE INVESTIMENTO S/A</v>
          </cell>
        </row>
        <row r="6773">
          <cell r="B6773">
            <v>194</v>
          </cell>
          <cell r="C6773" t="str">
            <v>FIM SAO PAULO</v>
          </cell>
          <cell r="D6773" t="str">
            <v>FIM SAO PAULO</v>
          </cell>
          <cell r="E6773" t="str">
            <v>FIM SAO PAULO</v>
          </cell>
        </row>
        <row r="6774">
          <cell r="B6774">
            <v>19400</v>
          </cell>
          <cell r="C6774" t="str">
            <v>BB BANCO DE INVESTIMENTO S/A</v>
          </cell>
          <cell r="D6774" t="str">
            <v>BB BANCO DE INVESTIMENTO S/A</v>
          </cell>
          <cell r="E6774" t="str">
            <v>BB BANCO DE INVESTIMENTO S/A</v>
          </cell>
        </row>
        <row r="6775">
          <cell r="B6775">
            <v>19401</v>
          </cell>
          <cell r="C6775" t="str">
            <v>BB BANCO DE INVESTIMENTO S/A</v>
          </cell>
          <cell r="D6775" t="str">
            <v>BB BANCO DE INVESTIMENTO S/A</v>
          </cell>
          <cell r="E6775" t="str">
            <v>BB BANCO DE INVESTIMENTO S/A</v>
          </cell>
        </row>
        <row r="6776">
          <cell r="B6776">
            <v>19402</v>
          </cell>
          <cell r="C6776" t="str">
            <v>BB BANCO DE INVESTIMENTO S/A</v>
          </cell>
          <cell r="D6776" t="str">
            <v>BB BANCO DE INVESTIMENTO S/A</v>
          </cell>
          <cell r="E6776" t="str">
            <v>BB BANCO DE INVESTIMENTO S/A</v>
          </cell>
        </row>
        <row r="6777">
          <cell r="B6777">
            <v>19403</v>
          </cell>
          <cell r="C6777" t="str">
            <v>BB BANCO DE INVESTIMENTO S/A</v>
          </cell>
          <cell r="D6777" t="str">
            <v>BB BANCO DE INVESTIMENTO S/A</v>
          </cell>
          <cell r="E6777" t="str">
            <v>BB BANCO DE INVESTIMENTO S/A</v>
          </cell>
        </row>
        <row r="6778">
          <cell r="B6778">
            <v>19404</v>
          </cell>
          <cell r="C6778" t="str">
            <v>BB BANCO DE INVESTIMENTO S/A</v>
          </cell>
          <cell r="D6778" t="str">
            <v>BB BANCO DE INVESTIMENTO S/A</v>
          </cell>
          <cell r="E6778" t="str">
            <v>BB BANCO DE INVESTIMENTO S/A</v>
          </cell>
        </row>
        <row r="6779">
          <cell r="B6779">
            <v>19405</v>
          </cell>
          <cell r="C6779" t="str">
            <v>BB BANCO DE INVESTIMENTO S/A</v>
          </cell>
          <cell r="D6779" t="str">
            <v>BB BANCO DE INVESTIMENTO S/A</v>
          </cell>
          <cell r="E6779" t="str">
            <v>BB BANCO DE INVESTIMENTO S/A</v>
          </cell>
        </row>
        <row r="6780">
          <cell r="B6780">
            <v>19410</v>
          </cell>
          <cell r="C6780" t="str">
            <v>BB BANCO DE INVESTIMENTO S/A</v>
          </cell>
          <cell r="D6780" t="str">
            <v>BB BANCO DE INVESTIMENTO S/A</v>
          </cell>
          <cell r="E6780" t="str">
            <v>BB BANCO DE INVESTIMENTO S/A</v>
          </cell>
        </row>
        <row r="6781">
          <cell r="B6781">
            <v>19415</v>
          </cell>
          <cell r="C6781" t="str">
            <v>BB BANCO DE INVESTIMENTO S/A</v>
          </cell>
          <cell r="D6781" t="str">
            <v>BB BANCO DE INVESTIMENTO S/A</v>
          </cell>
          <cell r="E6781" t="str">
            <v>BB BANCO DE INVESTIMENTO S/A</v>
          </cell>
        </row>
        <row r="6782">
          <cell r="B6782">
            <v>19424</v>
          </cell>
          <cell r="C6782" t="str">
            <v>BB BANCO DE INVESTIMENTO S/A</v>
          </cell>
          <cell r="D6782" t="str">
            <v>BB BANCO DE INVESTIMENTO S/A</v>
          </cell>
          <cell r="E6782" t="str">
            <v>BB BANCO DE INVESTIMENTO S/A</v>
          </cell>
        </row>
        <row r="6783">
          <cell r="B6783">
            <v>19430</v>
          </cell>
          <cell r="C6783" t="str">
            <v>BB BANCO DE INVESTIMENTO S/A</v>
          </cell>
          <cell r="D6783" t="str">
            <v>BB BANCO DE INVESTIMENTO S/A</v>
          </cell>
          <cell r="E6783" t="str">
            <v>BB BANCO DE INVESTIMENTO S/A</v>
          </cell>
        </row>
        <row r="6784">
          <cell r="B6784">
            <v>19436</v>
          </cell>
          <cell r="C6784" t="str">
            <v>BB BANCO DE INVESTIMENTO S/A</v>
          </cell>
          <cell r="D6784" t="str">
            <v>BB BANCO DE INVESTIMENTO S/A</v>
          </cell>
          <cell r="E6784" t="str">
            <v>BB BANCO DE INVESTIMENTO S/A</v>
          </cell>
        </row>
        <row r="6785">
          <cell r="B6785">
            <v>19447</v>
          </cell>
          <cell r="C6785" t="str">
            <v>BB BANCO DE INVESTIMENTO S/A</v>
          </cell>
          <cell r="D6785" t="str">
            <v>BB BANCO DE INVESTIMENTO S/A</v>
          </cell>
          <cell r="E6785" t="str">
            <v>BB BANCO DE INVESTIMENTO S/A</v>
          </cell>
        </row>
        <row r="6786">
          <cell r="B6786">
            <v>19451</v>
          </cell>
          <cell r="C6786" t="str">
            <v>BB GESTAO DE RECURSOS DTVM LTDA</v>
          </cell>
          <cell r="D6786" t="str">
            <v>BB GESTAO DE RECURSOS DTVM LTDA</v>
          </cell>
          <cell r="E6786" t="str">
            <v>BB GESTAO DE RECURSOS DTVM LTDA</v>
          </cell>
        </row>
        <row r="6787">
          <cell r="B6787">
            <v>19460</v>
          </cell>
          <cell r="C6787" t="str">
            <v>BB BANCO DE INVESTIMENTO S/A</v>
          </cell>
          <cell r="D6787" t="str">
            <v>BB BANCO DE INVESTIMENTO S/A</v>
          </cell>
          <cell r="E6787" t="str">
            <v>BB BANCO DE INVESTIMENTO S/A</v>
          </cell>
        </row>
        <row r="6788">
          <cell r="B6788">
            <v>19470</v>
          </cell>
          <cell r="C6788" t="str">
            <v>BB BANCO DE INVESTIMENTO S/A</v>
          </cell>
          <cell r="D6788" t="str">
            <v>BB BANCO DE INVESTIMENTO S/A</v>
          </cell>
          <cell r="E6788" t="str">
            <v>BB BANCO DE INVESTIMENTO S/A</v>
          </cell>
        </row>
        <row r="6789">
          <cell r="B6789">
            <v>195</v>
          </cell>
          <cell r="C6789" t="str">
            <v>BB EUROPIO NUC FI RF</v>
          </cell>
          <cell r="D6789" t="str">
            <v>BB EUROPIO NUC FI RF</v>
          </cell>
          <cell r="E6789" t="str">
            <v>BB EUROPIO NUC FI RF</v>
          </cell>
        </row>
        <row r="6790">
          <cell r="B6790">
            <v>19528</v>
          </cell>
          <cell r="C6790" t="str">
            <v>BB BANCO DE INVESTIMENTO S/A</v>
          </cell>
          <cell r="D6790" t="str">
            <v>BB BANCO DE INVESTIMENTO S/A</v>
          </cell>
          <cell r="E6790" t="str">
            <v>BB BANCO DE INVESTIMENTO S/A</v>
          </cell>
        </row>
        <row r="6791">
          <cell r="B6791">
            <v>19578</v>
          </cell>
          <cell r="C6791" t="str">
            <v>MARCIO HENRIQUE CAMARGO PIMENTA</v>
          </cell>
          <cell r="D6791" t="str">
            <v>MARCIO HENRIQUE CAMARGO PIMENTA</v>
          </cell>
          <cell r="E6791" t="str">
            <v>MARCIO HENRIQUE CAMARGO PIMENTA</v>
          </cell>
        </row>
        <row r="6792">
          <cell r="B6792">
            <v>19582</v>
          </cell>
          <cell r="C6792" t="str">
            <v>BB BANCO DE INVESTIMENTO S/A</v>
          </cell>
          <cell r="D6792" t="str">
            <v>BB BANCO DE INVESTIMENTO S/A</v>
          </cell>
          <cell r="E6792" t="str">
            <v>BB BANCO DE INVESTIMENTO S/A</v>
          </cell>
        </row>
        <row r="6793">
          <cell r="B6793">
            <v>19583</v>
          </cell>
          <cell r="C6793" t="str">
            <v>BB BANCO DE INVESTIMENTO S/A</v>
          </cell>
          <cell r="D6793" t="str">
            <v>BB BANCO DE INVESTIMENTO S/A</v>
          </cell>
          <cell r="E6793" t="str">
            <v>BB BANCO DE INVESTIMENTO S/A</v>
          </cell>
        </row>
        <row r="6794">
          <cell r="B6794">
            <v>19584</v>
          </cell>
          <cell r="C6794" t="str">
            <v>BB BANCO DE INVESTIMENTO S/A</v>
          </cell>
          <cell r="D6794" t="str">
            <v>BB BANCO DE INVESTIMENTO S/A</v>
          </cell>
          <cell r="E6794" t="str">
            <v>BB BANCO DE INVESTIMENTO S/A</v>
          </cell>
        </row>
        <row r="6795">
          <cell r="B6795">
            <v>19585</v>
          </cell>
          <cell r="C6795" t="str">
            <v>BB BANCO DE INVESTIMENTO S/A</v>
          </cell>
          <cell r="D6795" t="str">
            <v>BB BANCO DE INVESTIMENTO S/A</v>
          </cell>
          <cell r="E6795" t="str">
            <v>BB BANCO DE INVESTIMENTO S/A</v>
          </cell>
        </row>
        <row r="6796">
          <cell r="B6796">
            <v>19586</v>
          </cell>
          <cell r="C6796" t="str">
            <v>BB BANCO DE INVESTIMENTO S/A</v>
          </cell>
          <cell r="D6796" t="str">
            <v>BB BANCO DE INVESTIMENTO S/A</v>
          </cell>
          <cell r="E6796" t="str">
            <v>BB BANCO DE INVESTIMENTO S/A</v>
          </cell>
        </row>
        <row r="6797">
          <cell r="B6797">
            <v>19587</v>
          </cell>
          <cell r="C6797" t="str">
            <v>BB BANCO DE INVESTIMENTO S/A</v>
          </cell>
          <cell r="D6797" t="str">
            <v>BB BANCO DE INVESTIMENTO S/A</v>
          </cell>
          <cell r="E6797" t="str">
            <v>BB BANCO DE INVESTIMENTO S/A</v>
          </cell>
        </row>
        <row r="6798">
          <cell r="B6798">
            <v>19588</v>
          </cell>
          <cell r="C6798" t="str">
            <v>BB GESTAO DE RECURSOS DTVM LTDA</v>
          </cell>
          <cell r="D6798" t="str">
            <v>BB GESTAO DE RECURSOS DTVM LTDA</v>
          </cell>
          <cell r="E6798" t="str">
            <v>BB BANCO DE INVESTIMENTO S/A</v>
          </cell>
        </row>
        <row r="6799">
          <cell r="B6799">
            <v>19589</v>
          </cell>
          <cell r="C6799" t="str">
            <v>BB BANCO DE INVESTIMENTO S/A</v>
          </cell>
          <cell r="D6799" t="str">
            <v>BB BANCO DE INVESTIMENTO S/A</v>
          </cell>
          <cell r="E6799" t="str">
            <v>BB BANCO DE INVESTIMENTO S/A</v>
          </cell>
        </row>
        <row r="6800">
          <cell r="B6800">
            <v>19590</v>
          </cell>
          <cell r="C6800" t="str">
            <v>BB BANCO DE INVESTIMENTO S/A</v>
          </cell>
          <cell r="D6800" t="str">
            <v>BB BANCO DE INVESTIMENTO S/A</v>
          </cell>
          <cell r="E6800" t="str">
            <v>BB BANCO DE INVESTIMENTO S/A</v>
          </cell>
        </row>
        <row r="6801">
          <cell r="B6801">
            <v>19591</v>
          </cell>
          <cell r="C6801" t="str">
            <v>BB BANCO DE INVESTIMENTO S/A</v>
          </cell>
          <cell r="D6801" t="str">
            <v>BB BANCO DE INVESTIMENTO S/A</v>
          </cell>
          <cell r="E6801" t="str">
            <v>BB BANCO DE INVESTIMENTO S/A</v>
          </cell>
        </row>
        <row r="6802">
          <cell r="B6802">
            <v>19592</v>
          </cell>
          <cell r="C6802" t="str">
            <v>BB BANCO DE INVESTIMENTO S/A</v>
          </cell>
          <cell r="D6802" t="str">
            <v>BB BANCO DE INVESTIMENTO S/A</v>
          </cell>
          <cell r="E6802" t="str">
            <v>BB BANCO DE INVESTIMENTO S/A</v>
          </cell>
        </row>
        <row r="6803">
          <cell r="B6803">
            <v>19598</v>
          </cell>
          <cell r="C6803" t="str">
            <v>BB BANCO DE INVESTIMENTO S/A</v>
          </cell>
          <cell r="D6803" t="str">
            <v>BB BANCO DE INVESTIMENTO S/A</v>
          </cell>
          <cell r="E6803" t="str">
            <v>BB BANCO DE INVESTIMENTO S/A</v>
          </cell>
        </row>
        <row r="6804">
          <cell r="B6804">
            <v>19599</v>
          </cell>
          <cell r="C6804" t="str">
            <v>BB BANCO DE INVESTIMENTO S/A</v>
          </cell>
          <cell r="D6804" t="str">
            <v>BB BANCO DE INVESTIMENTO S/A</v>
          </cell>
          <cell r="E6804" t="str">
            <v>BB BANCO DE INVESTIMENTO S/A</v>
          </cell>
        </row>
        <row r="6805">
          <cell r="B6805">
            <v>196</v>
          </cell>
          <cell r="C6805" t="str">
            <v>BB IRAI FI RF</v>
          </cell>
          <cell r="D6805" t="str">
            <v>BB IRAI FI RF</v>
          </cell>
          <cell r="E6805" t="str">
            <v>BB GESTAO DE RECURSOS DTVM LTDA</v>
          </cell>
        </row>
        <row r="6806">
          <cell r="B6806">
            <v>19600</v>
          </cell>
          <cell r="C6806" t="str">
            <v>BB BANCO DE INVESTIMENTO S/A</v>
          </cell>
          <cell r="D6806" t="str">
            <v>BB BANCO DE INVESTIMENTO S/A</v>
          </cell>
          <cell r="E6806" t="str">
            <v>BB BANCO DE INVESTIMENTO S/A</v>
          </cell>
        </row>
        <row r="6807">
          <cell r="B6807">
            <v>19601</v>
          </cell>
          <cell r="C6807" t="str">
            <v>BB BANCO DE INVESTIMENTO S/A</v>
          </cell>
          <cell r="D6807" t="str">
            <v>BB BANCO DE INVESTIMENTO S/A</v>
          </cell>
          <cell r="E6807" t="str">
            <v>BB BANCO DE INVESTIMENTO S/A</v>
          </cell>
        </row>
        <row r="6808">
          <cell r="B6808">
            <v>19602</v>
          </cell>
          <cell r="C6808" t="str">
            <v>BB BANCO DE INVESTIMENTO S/A</v>
          </cell>
          <cell r="D6808" t="str">
            <v>BB BANCO DE INVESTIMENTO S/A</v>
          </cell>
          <cell r="E6808" t="str">
            <v>BB BANCO DE INVESTIMENTO S/A</v>
          </cell>
        </row>
        <row r="6809">
          <cell r="B6809">
            <v>19603</v>
          </cell>
          <cell r="C6809" t="str">
            <v>BB BANCO DE INVESTIMENTO S/A</v>
          </cell>
          <cell r="D6809" t="str">
            <v>BB BANCO DE INVESTIMENTO S/A</v>
          </cell>
          <cell r="E6809" t="str">
            <v>BB BANCO DE INVESTIMENTO S/A</v>
          </cell>
        </row>
        <row r="6810">
          <cell r="B6810">
            <v>19604</v>
          </cell>
          <cell r="C6810" t="str">
            <v>BB BANCO DE INVESTIMENTO S/A</v>
          </cell>
          <cell r="D6810" t="str">
            <v>BB BANCO DE INVESTIMENTO S/A</v>
          </cell>
          <cell r="E6810" t="str">
            <v>BB BANCO DE INVESTIMENTO S/A</v>
          </cell>
        </row>
        <row r="6811">
          <cell r="B6811">
            <v>19605</v>
          </cell>
          <cell r="C6811" t="str">
            <v>BB BANCO DE INVESTIMENTO S/A</v>
          </cell>
          <cell r="D6811" t="str">
            <v>BB BANCO DE INVESTIMENTO S/A</v>
          </cell>
          <cell r="E6811" t="str">
            <v>BB BANCO DE INVESTIMENTO S/A</v>
          </cell>
        </row>
        <row r="6812">
          <cell r="B6812">
            <v>19606</v>
          </cell>
          <cell r="C6812" t="str">
            <v>BB BANCO DE INVESTIMENTO S/A</v>
          </cell>
          <cell r="D6812" t="str">
            <v>BB BANCO DE INVESTIMENTO S/A</v>
          </cell>
          <cell r="E6812" t="str">
            <v>BB BANCO DE INVESTIMENTO S/A</v>
          </cell>
        </row>
        <row r="6813">
          <cell r="B6813">
            <v>19670</v>
          </cell>
          <cell r="C6813" t="str">
            <v>BB BANCO DE INVESTIMENTO S/A</v>
          </cell>
          <cell r="D6813" t="str">
            <v>BB BANCO DE INVESTIMENTO S/A</v>
          </cell>
          <cell r="E6813" t="str">
            <v>BB BANCO DE INVESTIMENTO S/A</v>
          </cell>
        </row>
        <row r="6814">
          <cell r="B6814">
            <v>19674</v>
          </cell>
          <cell r="C6814" t="str">
            <v>BB BANCO DE INVESTIMENTO S/A</v>
          </cell>
          <cell r="D6814" t="str">
            <v>BB BANCO DE INVESTIMENTO S/A</v>
          </cell>
          <cell r="E6814" t="str">
            <v>BB BANCO DE INVESTIMENTO S/A</v>
          </cell>
        </row>
        <row r="6815">
          <cell r="B6815">
            <v>19695</v>
          </cell>
          <cell r="C6815" t="str">
            <v>BB BANCO DE INVESTIMENTO S/A</v>
          </cell>
          <cell r="D6815" t="str">
            <v>BB BANCO DE INVESTIMENTO S/A</v>
          </cell>
          <cell r="E6815" t="str">
            <v>BB BANCO DE INVESTIMENTO S/A</v>
          </cell>
        </row>
        <row r="6816">
          <cell r="B6816">
            <v>197</v>
          </cell>
          <cell r="C6816" t="str">
            <v>FI RF FAELCE QUIXABA</v>
          </cell>
          <cell r="D6816" t="str">
            <v>FI RF FAELCE QUIXABA</v>
          </cell>
          <cell r="E6816" t="str">
            <v>BB GESTAO DE RECURSOS DTVM LTDA</v>
          </cell>
        </row>
        <row r="6817">
          <cell r="B6817">
            <v>19706</v>
          </cell>
          <cell r="C6817" t="str">
            <v>BB BANCO DE INVESTIMENTO S/A</v>
          </cell>
          <cell r="D6817" t="str">
            <v>BB BANCO DE INVESTIMENTO S/A</v>
          </cell>
          <cell r="E6817" t="str">
            <v>BB BANCO DE INVESTIMENTO S/A</v>
          </cell>
        </row>
        <row r="6818">
          <cell r="B6818">
            <v>19707</v>
          </cell>
          <cell r="C6818" t="str">
            <v>BB BANCO DE INVESTIMENTO S/A</v>
          </cell>
          <cell r="D6818" t="str">
            <v>BB BANCO DE INVESTIMENTO S/A</v>
          </cell>
          <cell r="E6818" t="str">
            <v>BB BANCO DE INVESTIMENTO S/A</v>
          </cell>
        </row>
        <row r="6819">
          <cell r="B6819">
            <v>19708</v>
          </cell>
          <cell r="C6819" t="str">
            <v>BB BANCO DE INVESTIMENTO S/A</v>
          </cell>
          <cell r="D6819" t="str">
            <v>BB BANCO DE INVESTIMENTO S/A</v>
          </cell>
          <cell r="E6819" t="str">
            <v>BB BANCO DE INVESTIMENTO S/A</v>
          </cell>
        </row>
        <row r="6820">
          <cell r="B6820">
            <v>19709</v>
          </cell>
          <cell r="C6820" t="str">
            <v>BB BANCO DE INVESTIMENTO S/A</v>
          </cell>
          <cell r="D6820" t="str">
            <v>BB BANCO DE INVESTIMENTO S/A</v>
          </cell>
          <cell r="E6820" t="str">
            <v>BB BANCO DE INVESTIMENTO S/A</v>
          </cell>
        </row>
        <row r="6821">
          <cell r="B6821">
            <v>19710</v>
          </cell>
          <cell r="C6821" t="str">
            <v>BB BANCO DE INVESTIMENTO S/A</v>
          </cell>
          <cell r="D6821" t="str">
            <v>BB BANCO DE INVESTIMENTO S/A</v>
          </cell>
          <cell r="E6821" t="str">
            <v>BB BANCO DE INVESTIMENTO S/A</v>
          </cell>
        </row>
        <row r="6822">
          <cell r="B6822">
            <v>19711</v>
          </cell>
          <cell r="C6822" t="str">
            <v>BB BANCO DE INVESTIMENTO S/A</v>
          </cell>
          <cell r="D6822" t="str">
            <v>BB BANCO DE INVESTIMENTO S/A</v>
          </cell>
          <cell r="E6822" t="str">
            <v>BB BANCO DE INVESTIMENTO S/A</v>
          </cell>
        </row>
        <row r="6823">
          <cell r="B6823">
            <v>19712</v>
          </cell>
          <cell r="C6823" t="str">
            <v>BB BANCO DE INVESTIMENTO S/A</v>
          </cell>
          <cell r="D6823" t="str">
            <v>BB BANCO DE INVESTIMENTO S/A</v>
          </cell>
          <cell r="E6823" t="str">
            <v>BB BANCO DE INVESTIMENTO S/A</v>
          </cell>
        </row>
        <row r="6824">
          <cell r="B6824">
            <v>19713</v>
          </cell>
          <cell r="C6824" t="str">
            <v>BB BANCO DE INVESTIMENTO S/A</v>
          </cell>
          <cell r="D6824" t="str">
            <v>BB BANCO DE INVESTIMENTO S/A</v>
          </cell>
          <cell r="E6824" t="str">
            <v>BB BANCO DE INVESTIMENTO S/A</v>
          </cell>
        </row>
        <row r="6825">
          <cell r="B6825">
            <v>19714</v>
          </cell>
          <cell r="C6825" t="str">
            <v>BB BANCO DE INVESTIMENTO S/A</v>
          </cell>
          <cell r="D6825" t="str">
            <v>BB BANCO DE INVESTIMENTO S/A</v>
          </cell>
          <cell r="E6825" t="str">
            <v>BB BANCO DE INVESTIMENTO S/A</v>
          </cell>
        </row>
        <row r="6826">
          <cell r="B6826">
            <v>19715</v>
          </cell>
          <cell r="C6826" t="str">
            <v>BB BANCO DE INVESTIMENTO S/A</v>
          </cell>
          <cell r="D6826" t="str">
            <v>BB BANCO DE INVESTIMENTO S/A</v>
          </cell>
          <cell r="E6826" t="str">
            <v>BB BANCO DE INVESTIMENTO S/A</v>
          </cell>
        </row>
        <row r="6827">
          <cell r="B6827">
            <v>19716</v>
          </cell>
          <cell r="C6827" t="str">
            <v>BB BANCO DE INVESTIMENTO S/A</v>
          </cell>
          <cell r="D6827" t="str">
            <v>BB BANCO DE INVESTIMENTO S/A</v>
          </cell>
          <cell r="E6827" t="str">
            <v>BB BANCO DE INVESTIMENTO S/A</v>
          </cell>
        </row>
        <row r="6828">
          <cell r="B6828">
            <v>19717</v>
          </cell>
          <cell r="C6828" t="str">
            <v>BB BANCO DE INVESTIMENTO S/A</v>
          </cell>
          <cell r="D6828" t="str">
            <v>BB BANCO DE INVESTIMENTO S/A</v>
          </cell>
          <cell r="E6828" t="str">
            <v>BB BANCO DE INVESTIMENTO S/A</v>
          </cell>
        </row>
        <row r="6829">
          <cell r="B6829">
            <v>19718</v>
          </cell>
          <cell r="C6829" t="str">
            <v>BB BANCO DE INVESTIMENTO S/A</v>
          </cell>
          <cell r="D6829" t="str">
            <v>BB BANCO DE INVESTIMENTO S/A</v>
          </cell>
          <cell r="E6829" t="str">
            <v>BB BANCO DE INVESTIMENTO S/A</v>
          </cell>
        </row>
        <row r="6830">
          <cell r="B6830">
            <v>19719</v>
          </cell>
          <cell r="C6830" t="str">
            <v>BB BANCO DE INVESTIMENTO S/A</v>
          </cell>
          <cell r="D6830" t="str">
            <v>BB BANCO DE INVESTIMENTO S/A</v>
          </cell>
          <cell r="E6830" t="str">
            <v>BB BANCO DE INVESTIMENTO S/A</v>
          </cell>
        </row>
        <row r="6831">
          <cell r="B6831">
            <v>19720</v>
          </cell>
          <cell r="C6831" t="str">
            <v>BB BANCO DE INVESTIMENTO S/A</v>
          </cell>
          <cell r="D6831" t="str">
            <v>BB BANCO DE INVESTIMENTO S/A</v>
          </cell>
          <cell r="E6831" t="str">
            <v>BB BANCO DE INVESTIMENTO S/A</v>
          </cell>
        </row>
        <row r="6832">
          <cell r="B6832">
            <v>19721</v>
          </cell>
          <cell r="C6832" t="str">
            <v>BB BANCO DE INVESTIMENTO S/A</v>
          </cell>
          <cell r="D6832" t="str">
            <v>BB BANCO DE INVESTIMENTO S/A</v>
          </cell>
          <cell r="E6832" t="str">
            <v>BB BANCO DE INVESTIMENTO S/A</v>
          </cell>
        </row>
        <row r="6833">
          <cell r="B6833">
            <v>19722</v>
          </cell>
          <cell r="C6833" t="str">
            <v>BB GESTAO DE RECURSOS DTVM LTDA</v>
          </cell>
          <cell r="D6833" t="str">
            <v>BB GESTAO DE RECURSOS DTVM LTDA</v>
          </cell>
          <cell r="E6833" t="str">
            <v>BB BANCO DE INVESTIMENTO S/A</v>
          </cell>
        </row>
        <row r="6834">
          <cell r="B6834">
            <v>19723</v>
          </cell>
          <cell r="C6834" t="str">
            <v>BB BANCO DE INVESTIMENTO S/A</v>
          </cell>
          <cell r="D6834" t="str">
            <v>BB BANCO DE INVESTIMENTO S/A</v>
          </cell>
          <cell r="E6834" t="str">
            <v>BB BANCO DE INVESTIMENTO S/A</v>
          </cell>
        </row>
        <row r="6835">
          <cell r="B6835">
            <v>19724</v>
          </cell>
          <cell r="C6835" t="str">
            <v>BB BANCO DE INVESTIMENTO S/A</v>
          </cell>
          <cell r="D6835" t="str">
            <v>BB BANCO DE INVESTIMENTO S/A</v>
          </cell>
          <cell r="E6835" t="str">
            <v>BB BANCO DE INVESTIMENTO S/A</v>
          </cell>
        </row>
        <row r="6836">
          <cell r="B6836">
            <v>19725</v>
          </cell>
          <cell r="C6836" t="str">
            <v>BB BANCO DE INVESTIMENTO S/A</v>
          </cell>
          <cell r="D6836" t="str">
            <v>BB BANCO DE INVESTIMENTO S/A</v>
          </cell>
          <cell r="E6836" t="str">
            <v>BB BANCO DE INVESTIMENTO S/A</v>
          </cell>
        </row>
        <row r="6837">
          <cell r="B6837">
            <v>19726</v>
          </cell>
          <cell r="C6837" t="str">
            <v>BB BANCO DE INVESTIMENTO S/A</v>
          </cell>
          <cell r="D6837" t="str">
            <v>BB BANCO DE INVESTIMENTO S/A</v>
          </cell>
          <cell r="E6837" t="str">
            <v>BB BANCO DE INVESTIMENTO S/A</v>
          </cell>
        </row>
        <row r="6838">
          <cell r="B6838">
            <v>19727</v>
          </cell>
          <cell r="C6838" t="str">
            <v>BB BANCO DE INVESTIMENTO S/A</v>
          </cell>
          <cell r="D6838" t="str">
            <v>BB BANCO DE INVESTIMENTO S/A</v>
          </cell>
          <cell r="E6838" t="str">
            <v>BB BANCO DE INVESTIMENTO S/A</v>
          </cell>
        </row>
        <row r="6839">
          <cell r="B6839">
            <v>19728</v>
          </cell>
          <cell r="C6839" t="str">
            <v>BB BANCO DE INVESTIMENTO S/A</v>
          </cell>
          <cell r="D6839" t="str">
            <v>BB BANCO DE INVESTIMENTO S/A</v>
          </cell>
          <cell r="E6839" t="str">
            <v>BB BANCO DE INVESTIMENTO S/A</v>
          </cell>
        </row>
        <row r="6840">
          <cell r="B6840">
            <v>19729</v>
          </cell>
          <cell r="C6840" t="str">
            <v>BB BANCO DE INVESTIMENTO S/A</v>
          </cell>
          <cell r="D6840" t="str">
            <v>BB BANCO DE INVESTIMENTO S/A</v>
          </cell>
          <cell r="E6840" t="str">
            <v>BB BANCO DE INVESTIMENTO S/A</v>
          </cell>
        </row>
        <row r="6841">
          <cell r="B6841">
            <v>19730</v>
          </cell>
          <cell r="C6841" t="str">
            <v>BB BANCO DE INVESTIMENTO S/A</v>
          </cell>
          <cell r="D6841" t="str">
            <v>BB BANCO DE INVESTIMENTO S/A</v>
          </cell>
          <cell r="E6841" t="str">
            <v>BB BANCO DE INVESTIMENTO S/A</v>
          </cell>
        </row>
        <row r="6842">
          <cell r="B6842">
            <v>19731</v>
          </cell>
          <cell r="C6842" t="str">
            <v>BB BANCO DE INVESTIMENTO S/A</v>
          </cell>
          <cell r="D6842" t="str">
            <v>BB BANCO DE INVESTIMENTO S/A</v>
          </cell>
          <cell r="E6842" t="str">
            <v>BB BANCO DE INVESTIMENTO S/A</v>
          </cell>
        </row>
        <row r="6843">
          <cell r="B6843">
            <v>19752</v>
          </cell>
          <cell r="C6843" t="str">
            <v>BB BANCO DE INVESTIMENTO S/A</v>
          </cell>
          <cell r="D6843" t="str">
            <v>BB BANCO DE INVESTIMENTO S/A</v>
          </cell>
          <cell r="E6843" t="str">
            <v>BB BANCO DE INVESTIMENTO S/A</v>
          </cell>
        </row>
        <row r="6844">
          <cell r="B6844">
            <v>19759</v>
          </cell>
          <cell r="C6844" t="str">
            <v>BB BANCO DE INVESTIMENTO S/A</v>
          </cell>
          <cell r="D6844" t="str">
            <v>BB BANCO DE INVESTIMENTO S/A</v>
          </cell>
          <cell r="E6844" t="str">
            <v>BB BANCO DE INVESTIMENTO S/A</v>
          </cell>
        </row>
        <row r="6845">
          <cell r="B6845">
            <v>19760</v>
          </cell>
          <cell r="C6845" t="str">
            <v>BB BANCO DE INVESTIMENTO S/A</v>
          </cell>
          <cell r="D6845" t="str">
            <v>BB BANCO DE INVESTIMENTO S/A</v>
          </cell>
          <cell r="E6845" t="str">
            <v>BB BANCO DE INVESTIMENTO S/A</v>
          </cell>
        </row>
        <row r="6846">
          <cell r="B6846">
            <v>198</v>
          </cell>
          <cell r="C6846" t="str">
            <v>BB PARANAGUA FI RF PREVIDENCIARIO</v>
          </cell>
          <cell r="D6846" t="str">
            <v>BB PARANAGUA FI RF PREVIDENCIARIO</v>
          </cell>
          <cell r="E6846" t="str">
            <v>BB GESTAO DE RECURSOS DTVM LTDA</v>
          </cell>
        </row>
        <row r="6847">
          <cell r="B6847">
            <v>19808</v>
          </cell>
          <cell r="C6847" t="str">
            <v>BB BANCO DE INVESTIMENTO S/A</v>
          </cell>
          <cell r="D6847" t="str">
            <v>BB BANCO DE INVESTIMENTO S/A</v>
          </cell>
          <cell r="E6847" t="str">
            <v>BB BANCO DE INVESTIMENTO S/A</v>
          </cell>
        </row>
        <row r="6848">
          <cell r="B6848">
            <v>19848</v>
          </cell>
          <cell r="C6848" t="str">
            <v>BB BANCO DE INVESTIMENTO S/A</v>
          </cell>
          <cell r="D6848" t="str">
            <v>BB BANCO DE INVESTIMENTO S/A</v>
          </cell>
          <cell r="E6848" t="str">
            <v>BB BANCO DE INVESTIMENTO S/A</v>
          </cell>
        </row>
        <row r="6849">
          <cell r="B6849">
            <v>19852</v>
          </cell>
          <cell r="C6849" t="str">
            <v>BANCO SCHAHIN S/A</v>
          </cell>
          <cell r="D6849" t="str">
            <v>BANCO SCHAHIN S/A</v>
          </cell>
          <cell r="E6849" t="str">
            <v>BANCO SCHAHIN S/A</v>
          </cell>
        </row>
        <row r="6850">
          <cell r="B6850">
            <v>19855</v>
          </cell>
          <cell r="C6850" t="str">
            <v>BB BANCO DE INVESTIMENTO S/A</v>
          </cell>
          <cell r="D6850" t="str">
            <v>BB BANCO DE INVESTIMENTO S/A</v>
          </cell>
          <cell r="E6850" t="str">
            <v>BB BANCO DE INVESTIMENTO S/A</v>
          </cell>
        </row>
        <row r="6851">
          <cell r="B6851">
            <v>19857</v>
          </cell>
          <cell r="C6851" t="str">
            <v>FORESSE INTERACTION FIF</v>
          </cell>
          <cell r="D6851" t="str">
            <v>FORESSE INTERACTION FIF</v>
          </cell>
          <cell r="E6851" t="str">
            <v>FORESSE INTERACTION FIF</v>
          </cell>
        </row>
        <row r="6852">
          <cell r="B6852">
            <v>19870</v>
          </cell>
          <cell r="C6852" t="str">
            <v>BB GESTAO DE RECURSOS DTVM LTDA</v>
          </cell>
          <cell r="D6852" t="str">
            <v>BB GESTAO DE RECURSOS DTVM LTDA</v>
          </cell>
          <cell r="E6852" t="str">
            <v>BB BANCO DE INVESTIMENTO S/A</v>
          </cell>
        </row>
        <row r="6853">
          <cell r="B6853">
            <v>19875</v>
          </cell>
          <cell r="C6853" t="str">
            <v>BB GESTAO DE RECURSOS DTVM LTDA</v>
          </cell>
          <cell r="D6853" t="str">
            <v>BB GESTAO DE RECURSOS DTVM LTDA</v>
          </cell>
          <cell r="E6853" t="str">
            <v>BB BANCO DE INVESTIMENTO S/A</v>
          </cell>
        </row>
        <row r="6854">
          <cell r="B6854">
            <v>19885</v>
          </cell>
          <cell r="C6854" t="str">
            <v>BB GESTAO DE RECURSOS DTVM LTDA</v>
          </cell>
          <cell r="D6854" t="str">
            <v>BB GESTAO DE RECURSOS DTVM LTDA</v>
          </cell>
          <cell r="E6854" t="str">
            <v>BB BANCO DE INVESTIMENTO S/A</v>
          </cell>
        </row>
        <row r="6855">
          <cell r="B6855">
            <v>19887</v>
          </cell>
          <cell r="C6855" t="str">
            <v>BB BANCO DE INVESTIMENTO S/A</v>
          </cell>
          <cell r="D6855" t="str">
            <v>BB BANCO DE INVESTIMENTO S/A</v>
          </cell>
          <cell r="E6855" t="str">
            <v>BB BANCO DE INVESTIMENTO S/A</v>
          </cell>
        </row>
        <row r="6856">
          <cell r="B6856">
            <v>19894</v>
          </cell>
          <cell r="C6856" t="str">
            <v>BB BANCO DE INVESTIMENTO S/A</v>
          </cell>
          <cell r="D6856" t="str">
            <v>BB BANCO DE INVESTIMENTO S/A</v>
          </cell>
          <cell r="E6856" t="str">
            <v>BB BANCO DE INVESTIMENTO S/A</v>
          </cell>
        </row>
        <row r="6857">
          <cell r="B6857">
            <v>199</v>
          </cell>
          <cell r="C6857" t="str">
            <v>BB GESTAO DE RECURSOS DTVM LTDA</v>
          </cell>
          <cell r="D6857" t="str">
            <v>BB GESTAO DE RECURSOS DTVM LTDA</v>
          </cell>
          <cell r="E6857" t="str">
            <v>BB GESTAO DE RECURSOS DTVM LTDA</v>
          </cell>
        </row>
        <row r="6858">
          <cell r="B6858">
            <v>19923</v>
          </cell>
          <cell r="C6858" t="str">
            <v>BB BANCO DE INVESTIMENTO S/A</v>
          </cell>
          <cell r="D6858" t="str">
            <v>BB BANCO DE INVESTIMENTO S/A</v>
          </cell>
          <cell r="E6858" t="str">
            <v>BB BANCO DE INVESTIMENTO S/A</v>
          </cell>
        </row>
        <row r="6859">
          <cell r="B6859">
            <v>19929</v>
          </cell>
          <cell r="C6859" t="str">
            <v>BB BANCO DE INVESTIMENTO S/A</v>
          </cell>
          <cell r="D6859" t="str">
            <v>BB BANCO DE INVESTIMENTO S/A</v>
          </cell>
          <cell r="E6859" t="str">
            <v>BB BANCO DE INVESTIMENTO S/A</v>
          </cell>
        </row>
        <row r="6860">
          <cell r="B6860">
            <v>19930</v>
          </cell>
          <cell r="C6860" t="str">
            <v>BB BANCO DE INVESTIMENTO S/A</v>
          </cell>
          <cell r="D6860" t="str">
            <v>BB BANCO DE INVESTIMENTO S/A</v>
          </cell>
          <cell r="E6860" t="str">
            <v>BB BANCO DE INVESTIMENTO S/A</v>
          </cell>
        </row>
        <row r="6861">
          <cell r="B6861">
            <v>19931</v>
          </cell>
          <cell r="C6861" t="str">
            <v>BB BANCO DE INVESTIMENTO S/A</v>
          </cell>
          <cell r="D6861" t="str">
            <v>BB BANCO DE INVESTIMENTO S/A</v>
          </cell>
          <cell r="E6861" t="str">
            <v>BB BANCO DE INVESTIMENTO S/A</v>
          </cell>
        </row>
        <row r="6862">
          <cell r="B6862">
            <v>19933</v>
          </cell>
          <cell r="C6862" t="str">
            <v>BB BANCO DE INVESTIMENTO S/A</v>
          </cell>
          <cell r="D6862" t="str">
            <v>BB BANCO DE INVESTIMENTO S/A</v>
          </cell>
          <cell r="E6862" t="str">
            <v>BB BANCO DE INVESTIMENTO S/A</v>
          </cell>
        </row>
        <row r="6863">
          <cell r="B6863">
            <v>19934</v>
          </cell>
          <cell r="C6863" t="str">
            <v>BB BANCO DE INVESTIMENTO S/A</v>
          </cell>
          <cell r="D6863" t="str">
            <v>BB BANCO DE INVESTIMENTO S/A</v>
          </cell>
          <cell r="E6863" t="str">
            <v>BB BANCO DE INVESTIMENTO S/A</v>
          </cell>
        </row>
        <row r="6864">
          <cell r="B6864">
            <v>19938</v>
          </cell>
          <cell r="C6864" t="str">
            <v>BB BANCO DE INVESTIMENTO S/A</v>
          </cell>
          <cell r="D6864" t="str">
            <v>BB BANCO DE INVESTIMENTO S/A</v>
          </cell>
          <cell r="E6864" t="str">
            <v>BB BANCO DE INVESTIMENTO S/A</v>
          </cell>
        </row>
        <row r="6865">
          <cell r="B6865">
            <v>19966</v>
          </cell>
          <cell r="C6865" t="str">
            <v>BB BANCO DE INVESTIMENTO S/A</v>
          </cell>
          <cell r="D6865" t="str">
            <v>BB BANCO DE INVESTIMENTO S/A</v>
          </cell>
          <cell r="E6865" t="str">
            <v>BB BANCO DE INVESTIMENTO S/A</v>
          </cell>
        </row>
        <row r="6866">
          <cell r="B6866">
            <v>19968</v>
          </cell>
          <cell r="C6866" t="str">
            <v>BB BANCO DE INVESTIMENTO S/A</v>
          </cell>
          <cell r="D6866" t="str">
            <v>BB BANCO DE INVESTIMENTO S/A</v>
          </cell>
          <cell r="E6866" t="str">
            <v>BB BANCO DE INVESTIMENTO S/A</v>
          </cell>
        </row>
        <row r="6867">
          <cell r="B6867">
            <v>19971</v>
          </cell>
          <cell r="C6867" t="str">
            <v>BB BANCO DE INVESTIMENTO S/A</v>
          </cell>
          <cell r="D6867" t="str">
            <v>BB BANCO DE INVESTIMENTO S/A</v>
          </cell>
          <cell r="E6867" t="str">
            <v>BB BANCO DE INVESTIMENTO S/A</v>
          </cell>
        </row>
        <row r="6868">
          <cell r="B6868">
            <v>19973</v>
          </cell>
          <cell r="C6868" t="str">
            <v>BB BANCO DE INVESTIMENTO S/A</v>
          </cell>
          <cell r="D6868" t="str">
            <v>BB BANCO DE INVESTIMENTO S/A</v>
          </cell>
          <cell r="E6868" t="str">
            <v>BB BANCO DE INVESTIMENTO S/A</v>
          </cell>
        </row>
        <row r="6869">
          <cell r="B6869">
            <v>19981</v>
          </cell>
          <cell r="C6869" t="str">
            <v>BB BANCO DE INVESTIMENTO S/A</v>
          </cell>
          <cell r="D6869" t="str">
            <v>BB BANCO DE INVESTIMENTO S/A</v>
          </cell>
          <cell r="E6869" t="str">
            <v>BB BANCO DE INVESTIMENTO S/A</v>
          </cell>
        </row>
        <row r="6870">
          <cell r="B6870">
            <v>19986</v>
          </cell>
          <cell r="C6870" t="str">
            <v>BB BANCO DE INVESTIMENTO S/A</v>
          </cell>
          <cell r="D6870" t="str">
            <v>BB BANCO DE INVESTIMENTO S/A</v>
          </cell>
          <cell r="E6870" t="str">
            <v>BB BANCO DE INVESTIMENTO S/A</v>
          </cell>
        </row>
        <row r="6871">
          <cell r="B6871">
            <v>19989</v>
          </cell>
          <cell r="C6871" t="str">
            <v>BB BANCO DE INVESTIMENTO S/A</v>
          </cell>
          <cell r="D6871" t="str">
            <v>BB BANCO DE INVESTIMENTO S/A</v>
          </cell>
          <cell r="E6871" t="str">
            <v>BB BANCO DE INVESTIMENTO S/A</v>
          </cell>
        </row>
        <row r="6872">
          <cell r="B6872">
            <v>19990</v>
          </cell>
          <cell r="C6872" t="str">
            <v>BB BANCO DE INVESTIMENTO S/A</v>
          </cell>
          <cell r="D6872" t="str">
            <v>BB BANCO DE INVESTIMENTO S/A</v>
          </cell>
          <cell r="E6872" t="str">
            <v>BB BANCO DE INVESTIMENTO S/A</v>
          </cell>
        </row>
        <row r="6873">
          <cell r="B6873">
            <v>19991</v>
          </cell>
          <cell r="C6873" t="str">
            <v>BB BANCO DE INVESTIMENTO S/A</v>
          </cell>
          <cell r="D6873" t="str">
            <v>BB BANCO DE INVESTIMENTO S/A</v>
          </cell>
          <cell r="E6873" t="str">
            <v>BB BANCO DE INVESTIMENTO S/A</v>
          </cell>
        </row>
        <row r="6874">
          <cell r="B6874">
            <v>19992</v>
          </cell>
          <cell r="C6874" t="str">
            <v>BB BANCO DE INVESTIMENTO S/A</v>
          </cell>
          <cell r="D6874" t="str">
            <v>BB BANCO DE INVESTIMENTO S/A</v>
          </cell>
          <cell r="E6874" t="str">
            <v>BB BANCO DE INVESTIMENTO S/A</v>
          </cell>
        </row>
        <row r="6875">
          <cell r="B6875">
            <v>2</v>
          </cell>
          <cell r="C6875" t="str">
            <v>EDUARDO FRANÃ‡A DE LA PENA</v>
          </cell>
          <cell r="D6875" t="str">
            <v>EDUARDO FRANÃ‡A DE LA PENA</v>
          </cell>
          <cell r="E6875" t="str">
            <v>EDUARDO FRANÃ‡A DE LA PENA</v>
          </cell>
        </row>
        <row r="6876">
          <cell r="B6876">
            <v>20</v>
          </cell>
          <cell r="C6876" t="str">
            <v>ADALBERO DE ARAUJO CAVALCANTI</v>
          </cell>
          <cell r="D6876" t="str">
            <v>ADALBERO DE ARAUJO CAVALCANTI</v>
          </cell>
          <cell r="E6876" t="str">
            <v>ADALBERO DE ARAUJO CAVALCANTI</v>
          </cell>
        </row>
        <row r="6877">
          <cell r="B6877">
            <v>200</v>
          </cell>
          <cell r="C6877" t="str">
            <v>BB PRIME 18 FI RF</v>
          </cell>
          <cell r="D6877" t="str">
            <v>BB PRIME 18 FI RF</v>
          </cell>
          <cell r="E6877" t="str">
            <v>BB GESTAO DE RECURSOS DTVM LTDA</v>
          </cell>
        </row>
        <row r="6878">
          <cell r="B6878">
            <v>2000</v>
          </cell>
          <cell r="C6878" t="str">
            <v>FATOR S/A CV</v>
          </cell>
          <cell r="D6878" t="str">
            <v>FATOR S/A CV</v>
          </cell>
          <cell r="E6878" t="str">
            <v>FATOR S/A CV</v>
          </cell>
        </row>
        <row r="6879">
          <cell r="B6879">
            <v>20002</v>
          </cell>
          <cell r="C6879" t="str">
            <v>HERMANN ALEXANDRE LEITAO S. VON USLAR</v>
          </cell>
          <cell r="D6879" t="str">
            <v>HERMANN ALEXANDRE LEITAO S. VON USLAR</v>
          </cell>
          <cell r="E6879" t="str">
            <v>HERMANN ALEXANDRE LEITAO S. VON USLAR</v>
          </cell>
        </row>
        <row r="6880">
          <cell r="B6880">
            <v>20004</v>
          </cell>
          <cell r="C6880" t="str">
            <v>OTACILIO FORZAN DE MORAIS</v>
          </cell>
          <cell r="D6880" t="str">
            <v>OTACILIO FORZAN DE MORAIS</v>
          </cell>
          <cell r="E6880" t="str">
            <v>OTACILIO FORZAN DE MORAIS</v>
          </cell>
        </row>
        <row r="6881">
          <cell r="B6881">
            <v>20008</v>
          </cell>
          <cell r="C6881" t="str">
            <v>FIDUCIA ASSET MANAGEMENT</v>
          </cell>
          <cell r="D6881" t="str">
            <v>FIDUCIA ASSET MANAGEMENT</v>
          </cell>
          <cell r="E6881" t="str">
            <v>FIDUCIA ASSET MANAGEMENT</v>
          </cell>
        </row>
        <row r="6882">
          <cell r="B6882">
            <v>20009</v>
          </cell>
          <cell r="C6882" t="str">
            <v>JONAS LUIZ SUCOLOTTI</v>
          </cell>
          <cell r="D6882" t="str">
            <v>JONAS LUIZ SUCOLOTTI</v>
          </cell>
          <cell r="E6882" t="str">
            <v>JONAS LUIZ SUCOLOTTI</v>
          </cell>
        </row>
        <row r="6883">
          <cell r="B6883">
            <v>201</v>
          </cell>
          <cell r="C6883" t="str">
            <v>BB ANTARES 3 FI RF</v>
          </cell>
          <cell r="D6883" t="str">
            <v>BB ANTARES 3 FI RF</v>
          </cell>
          <cell r="E6883" t="str">
            <v>BB ANTARES 3 FI RF</v>
          </cell>
        </row>
        <row r="6884">
          <cell r="B6884">
            <v>20100</v>
          </cell>
          <cell r="C6884" t="str">
            <v>IPANEMA FIM</v>
          </cell>
          <cell r="D6884" t="str">
            <v>IPANEMA FIM</v>
          </cell>
          <cell r="E6884" t="str">
            <v>IPANEMA FIM</v>
          </cell>
        </row>
        <row r="6885">
          <cell r="B6885">
            <v>20130</v>
          </cell>
          <cell r="C6885" t="str">
            <v>DIEGO TRAESEL COELHO</v>
          </cell>
          <cell r="D6885" t="str">
            <v>DIEGO TRAESEL COELHO</v>
          </cell>
          <cell r="E6885" t="str">
            <v>DIEGO TRAESEL COELHO</v>
          </cell>
        </row>
        <row r="6886">
          <cell r="B6886">
            <v>202</v>
          </cell>
          <cell r="C6886" t="str">
            <v>BB GESTAO DE RECURSOS DTVM LTDA</v>
          </cell>
          <cell r="D6886" t="str">
            <v>BB GESTAO DE RECURSOS DTVM LTDA</v>
          </cell>
          <cell r="E6886" t="str">
            <v>BB GESTAO DE RECURSOS DTVM LTDA</v>
          </cell>
        </row>
        <row r="6887">
          <cell r="B6887">
            <v>203</v>
          </cell>
          <cell r="C6887" t="str">
            <v>POSTALPREV FUNDO DE INVESTIMENTO RENDA FIXA</v>
          </cell>
          <cell r="D6887" t="str">
            <v>POSTALPREV FUNDO DE INVESTIMENTO RENDA FIXA</v>
          </cell>
          <cell r="E6887" t="str">
            <v>BB GESTAO DE RECURSOS DTVM LTDA</v>
          </cell>
        </row>
        <row r="6888">
          <cell r="B6888">
            <v>204</v>
          </cell>
          <cell r="C6888" t="str">
            <v>BB NIQUEL FI RF LP CP</v>
          </cell>
          <cell r="D6888" t="str">
            <v>BB NIQUEL FI RF LP CP</v>
          </cell>
          <cell r="E6888" t="str">
            <v>BB GESTAO DE RECURSOS DTVM LTDA</v>
          </cell>
        </row>
        <row r="6889">
          <cell r="B6889">
            <v>205</v>
          </cell>
          <cell r="C6889" t="str">
            <v>KRAKATOA FUNDO DE INVESTIMENTO MULTIMERCADO</v>
          </cell>
          <cell r="D6889" t="str">
            <v>KRAKATOA FUNDO DE INVESTIMENTO MULTIMERCADO</v>
          </cell>
          <cell r="E6889" t="str">
            <v>KRAKATOA FUNDO DE INVESTIMENTO MULTIMERCADO</v>
          </cell>
        </row>
        <row r="6890">
          <cell r="B6890">
            <v>20538</v>
          </cell>
          <cell r="C6890" t="str">
            <v>OPPORTUNITY DTVM LTDA</v>
          </cell>
          <cell r="D6890" t="str">
            <v>OPPORTUNITY DTVM LTDA</v>
          </cell>
          <cell r="E6890" t="str">
            <v>OPPORTUNITY DTVM LTDA</v>
          </cell>
        </row>
        <row r="6891">
          <cell r="B6891">
            <v>20560</v>
          </cell>
          <cell r="C6891" t="str">
            <v>PAULO PFAENDER</v>
          </cell>
          <cell r="D6891" t="str">
            <v>PAULO PFAENDER</v>
          </cell>
          <cell r="E6891" t="str">
            <v>PAULO PFAENDER</v>
          </cell>
        </row>
        <row r="6892">
          <cell r="B6892">
            <v>206</v>
          </cell>
          <cell r="C6892" t="str">
            <v>BB GESTAO DE RECURSOS DTVM LTDA</v>
          </cell>
          <cell r="D6892" t="str">
            <v>BB GESTAO DE RECURSOS DTVM LTDA</v>
          </cell>
          <cell r="E6892" t="str">
            <v>BB GESTAO DE RECURSOS DTVM LTDA</v>
          </cell>
        </row>
        <row r="6893">
          <cell r="B6893">
            <v>207</v>
          </cell>
          <cell r="C6893" t="str">
            <v>BB PREVSAN FUNDO DE INVESTIMENTO RENDA FIXA</v>
          </cell>
          <cell r="D6893" t="str">
            <v>BB PREVSAN FUNDO DE INVESTIMENTO RENDA FIXA</v>
          </cell>
          <cell r="E6893" t="str">
            <v>BB GESTAO DE RECURSOS DTVM LTDA</v>
          </cell>
        </row>
        <row r="6894">
          <cell r="B6894">
            <v>208</v>
          </cell>
          <cell r="C6894" t="str">
            <v>BB PREVIDENCIA AÃ‡OES FUNDO DE INVESTIMENTO</v>
          </cell>
          <cell r="D6894" t="str">
            <v>BB PREVIDENCIA AÃ‡OES FUNDO DE INVESTIMENTO</v>
          </cell>
          <cell r="E6894" t="str">
            <v>BB GESTAO DE RECURSOS DTVM LTDA</v>
          </cell>
        </row>
        <row r="6895">
          <cell r="B6895">
            <v>234</v>
          </cell>
          <cell r="C6895" t="str">
            <v>BANCO SANTANDER (BRASIL) S/A</v>
          </cell>
          <cell r="D6895" t="str">
            <v>BANCO SANTANDER (BRASIL) S/A</v>
          </cell>
          <cell r="E6895" t="str">
            <v>BANCO SANTANDER (BRASIL) S/A</v>
          </cell>
        </row>
        <row r="6896">
          <cell r="B6896">
            <v>20810</v>
          </cell>
          <cell r="C6896" t="str">
            <v>ROGERIA COSTA BEBER</v>
          </cell>
          <cell r="D6896" t="str">
            <v>ROGERIA COSTA BEBER</v>
          </cell>
          <cell r="E6896" t="str">
            <v>ROGERIA COSTA BEBER</v>
          </cell>
        </row>
        <row r="6897">
          <cell r="B6897">
            <v>209</v>
          </cell>
          <cell r="C6897" t="str">
            <v>NORMA MUSITANO DE ANDRADE</v>
          </cell>
          <cell r="D6897" t="str">
            <v>NORMA MUSITANO DE ANDRADE</v>
          </cell>
          <cell r="E6897" t="str">
            <v>NORMA MUSITANO DE ANDRADE</v>
          </cell>
        </row>
        <row r="6898">
          <cell r="B6898">
            <v>235</v>
          </cell>
          <cell r="C6898" t="str">
            <v>BANCO SANTANDER (BRASIL) S/A</v>
          </cell>
          <cell r="D6898" t="str">
            <v>BANCO SANTANDER (BRASIL) S/A</v>
          </cell>
          <cell r="E6898" t="str">
            <v>BANCO SANTANDER (BRASIL) S/A</v>
          </cell>
        </row>
        <row r="6899">
          <cell r="B6899">
            <v>21085</v>
          </cell>
          <cell r="C6899" t="str">
            <v>BRENO BARBOSA LIMA FERNANDES</v>
          </cell>
          <cell r="D6899" t="str">
            <v>BRENO BARBOSA LIMA FERNANDES</v>
          </cell>
          <cell r="E6899" t="str">
            <v>BRENO BARBOSA LIMA FERNANDES</v>
          </cell>
        </row>
        <row r="6900">
          <cell r="B6900">
            <v>236</v>
          </cell>
          <cell r="C6900" t="str">
            <v>BANCO SANTANDER (BRASIL) S/A</v>
          </cell>
          <cell r="D6900" t="str">
            <v>BANCO SANTANDER (BRASIL) S/A</v>
          </cell>
          <cell r="E6900" t="str">
            <v>BANCO SANTANDER (BRASIL) S/A</v>
          </cell>
        </row>
        <row r="6901">
          <cell r="B6901">
            <v>21144</v>
          </cell>
          <cell r="C6901" t="str">
            <v>EMPR.BRASILEIRA DE TELECOMUNICAOES S/A-EMBRA</v>
          </cell>
          <cell r="D6901" t="str">
            <v>EMPR.BRASILEIRA DE TELECOMUNICAOES S/A-EMBRA</v>
          </cell>
          <cell r="E6901" t="str">
            <v>EMPR.BRASILEIRA DE TELECOMUNICAOES S/A-EMBRA</v>
          </cell>
        </row>
        <row r="6902">
          <cell r="B6902">
            <v>213</v>
          </cell>
          <cell r="C6902" t="str">
            <v>BB GESTAO DE RECURSOS DTVM LTDA</v>
          </cell>
          <cell r="D6902" t="str">
            <v>BB GESTAO DE RECURSOS DTVM LTDA</v>
          </cell>
          <cell r="E6902" t="str">
            <v>BB GESTAO DE RECURSOS DTVM LTDA</v>
          </cell>
        </row>
        <row r="6903">
          <cell r="B6903">
            <v>2130</v>
          </cell>
          <cell r="C6903" t="str">
            <v>LOPEZ LEON DERIVATIVOS CM S/A</v>
          </cell>
          <cell r="D6903" t="str">
            <v>LOPEZ LEON DERIVATIVOS CM S/A</v>
          </cell>
        </row>
        <row r="6904">
          <cell r="B6904">
            <v>2132</v>
          </cell>
          <cell r="C6904" t="str">
            <v>LOPEZ LEON DERIVATIVOS CM S/A</v>
          </cell>
          <cell r="D6904" t="str">
            <v>LOPEZ LEON DERIVATIVOS CM S/A</v>
          </cell>
        </row>
        <row r="6905">
          <cell r="B6905">
            <v>237</v>
          </cell>
          <cell r="C6905" t="str">
            <v>BANCO SANTANDER (BRASIL) S/A</v>
          </cell>
          <cell r="D6905" t="str">
            <v>BANCO SANTANDER (BRASIL) S/A</v>
          </cell>
          <cell r="E6905" t="str">
            <v>BANCO SANTANDER (BRASIL) S/A</v>
          </cell>
        </row>
        <row r="6906">
          <cell r="B6906">
            <v>238</v>
          </cell>
          <cell r="C6906" t="str">
            <v>BANCO SANTANDER (BRASIL) S/A</v>
          </cell>
          <cell r="D6906" t="str">
            <v>BANCO SANTANDER (BRASIL) S/A</v>
          </cell>
          <cell r="E6906" t="str">
            <v>BANCO SANTANDER (BRASIL) S/A</v>
          </cell>
        </row>
        <row r="6907">
          <cell r="B6907">
            <v>239</v>
          </cell>
          <cell r="C6907" t="str">
            <v>BANCO SANTANDER (BRASIL) S/A</v>
          </cell>
          <cell r="D6907" t="str">
            <v>BANCO SANTANDER (BRASIL) S/A</v>
          </cell>
          <cell r="E6907" t="str">
            <v>BANCO SANTANDER (BRASIL) S/A</v>
          </cell>
        </row>
        <row r="6908">
          <cell r="B6908">
            <v>240</v>
          </cell>
          <cell r="C6908" t="str">
            <v>BANCO SANTANDER (BRASIL) S/A</v>
          </cell>
          <cell r="D6908" t="str">
            <v>BANCO SANTANDER (BRASIL) S/A</v>
          </cell>
          <cell r="E6908" t="str">
            <v>BANCO SANTANDER (BRASIL) S/A</v>
          </cell>
        </row>
        <row r="6909">
          <cell r="B6909">
            <v>241</v>
          </cell>
          <cell r="C6909" t="str">
            <v>BANCO SANTANDER (BRASIL) S/A</v>
          </cell>
          <cell r="D6909" t="str">
            <v>BANCO SANTANDER (BRASIL) S/A</v>
          </cell>
          <cell r="E6909" t="str">
            <v>BANCO SANTANDER (BRASIL) S/A</v>
          </cell>
        </row>
        <row r="6910">
          <cell r="B6910">
            <v>243</v>
          </cell>
          <cell r="C6910" t="str">
            <v>BANCO SANTANDER (BRASIL) S/A</v>
          </cell>
          <cell r="D6910" t="str">
            <v>BANCO SANTANDER (BRASIL) S/A</v>
          </cell>
          <cell r="E6910" t="str">
            <v>BANCO SANTANDER (BRASIL) S/A</v>
          </cell>
        </row>
        <row r="6911">
          <cell r="B6911">
            <v>22</v>
          </cell>
          <cell r="C6911" t="str">
            <v>BRASCAN S/A CTV</v>
          </cell>
          <cell r="D6911" t="str">
            <v>BRASCAN S/A CTV</v>
          </cell>
          <cell r="E6911" t="str">
            <v>BRASCAN S/A CTV</v>
          </cell>
        </row>
        <row r="6912">
          <cell r="B6912">
            <v>244</v>
          </cell>
          <cell r="C6912" t="str">
            <v>BANCO SANTANDER (BRASIL) S/A</v>
          </cell>
          <cell r="D6912" t="str">
            <v>BANCO SANTANDER (BRASIL) S/A</v>
          </cell>
          <cell r="E6912" t="str">
            <v>BANCO SANTANDER (BRASIL) S/A</v>
          </cell>
        </row>
        <row r="6913">
          <cell r="B6913">
            <v>22004</v>
          </cell>
          <cell r="C6913" t="str">
            <v>BB BANCO DE INVESTIMENTO S/A</v>
          </cell>
          <cell r="D6913" t="str">
            <v>BB BANCO DE INVESTIMENTO S/A</v>
          </cell>
          <cell r="E6913" t="str">
            <v>BB BANCO DE INVESTIMENTO S/A</v>
          </cell>
        </row>
        <row r="6914">
          <cell r="B6914">
            <v>22005</v>
          </cell>
          <cell r="C6914" t="str">
            <v>BB GESTAO DE RECURSOS DTVM LTDA</v>
          </cell>
          <cell r="D6914" t="str">
            <v>BB GESTAO DE RECURSOS DTVM LTDA</v>
          </cell>
          <cell r="E6914" t="str">
            <v>BB BANCO DE INVESTIMENTO S/A</v>
          </cell>
        </row>
        <row r="6915">
          <cell r="B6915">
            <v>22006</v>
          </cell>
          <cell r="C6915" t="str">
            <v>BB BANCO DE INVESTIMENTO S/A</v>
          </cell>
          <cell r="D6915" t="str">
            <v>BB BANCO DE INVESTIMENTO S/A</v>
          </cell>
          <cell r="E6915" t="str">
            <v>BB BANCO DE INVESTIMENTO S/A</v>
          </cell>
        </row>
        <row r="6916">
          <cell r="B6916">
            <v>22010</v>
          </cell>
          <cell r="C6916" t="str">
            <v>BB BANCO DE INVESTIMENTO S/A</v>
          </cell>
          <cell r="D6916" t="str">
            <v>BB BANCO DE INVESTIMENTO S/A</v>
          </cell>
          <cell r="E6916" t="str">
            <v>BB BANCO DE INVESTIMENTO S/A</v>
          </cell>
        </row>
        <row r="6917">
          <cell r="B6917">
            <v>22011</v>
          </cell>
          <cell r="C6917" t="str">
            <v>BB BANCO DE INVESTIMENTO S/A</v>
          </cell>
          <cell r="D6917" t="str">
            <v>BB BANCO DE INVESTIMENTO S/A</v>
          </cell>
          <cell r="E6917" t="str">
            <v>BB BANCO DE INVESTIMENTO S/A</v>
          </cell>
        </row>
        <row r="6918">
          <cell r="B6918">
            <v>22012</v>
          </cell>
          <cell r="C6918" t="str">
            <v>BB BANCO DE INVESTIMENTO S/A</v>
          </cell>
          <cell r="D6918" t="str">
            <v>BB BANCO DE INVESTIMENTO S/A</v>
          </cell>
          <cell r="E6918" t="str">
            <v>BB BANCO DE INVESTIMENTO S/A</v>
          </cell>
        </row>
        <row r="6919">
          <cell r="B6919">
            <v>22016</v>
          </cell>
          <cell r="C6919" t="str">
            <v>BB BANCO DE INVESTIMENTO S/A</v>
          </cell>
          <cell r="D6919" t="str">
            <v>BB BANCO DE INVESTIMENTO S/A</v>
          </cell>
          <cell r="E6919" t="str">
            <v>BB BANCO DE INVESTIMENTO S/A</v>
          </cell>
        </row>
        <row r="6920">
          <cell r="B6920">
            <v>22022</v>
          </cell>
          <cell r="C6920" t="str">
            <v>BB BANCO DE INVESTIMENTO S/A</v>
          </cell>
          <cell r="D6920" t="str">
            <v>BB BANCO DE INVESTIMENTO S/A</v>
          </cell>
          <cell r="E6920" t="str">
            <v>BB BANCO DE INVESTIMENTO S/A</v>
          </cell>
        </row>
        <row r="6921">
          <cell r="B6921">
            <v>22026</v>
          </cell>
          <cell r="C6921" t="str">
            <v>BB BANCO DE INVESTIMENTO S/A</v>
          </cell>
          <cell r="D6921" t="str">
            <v>BB BANCO DE INVESTIMENTO S/A</v>
          </cell>
          <cell r="E6921" t="str">
            <v>BB BANCO DE INVESTIMENTO S/A</v>
          </cell>
        </row>
        <row r="6922">
          <cell r="B6922">
            <v>22028</v>
          </cell>
          <cell r="C6922" t="str">
            <v>BB BANCO DE INVESTIMENTO S/A</v>
          </cell>
          <cell r="D6922" t="str">
            <v>BB BANCO DE INVESTIMENTO S/A</v>
          </cell>
          <cell r="E6922" t="str">
            <v>BB BANCO DE INVESTIMENTO S/A</v>
          </cell>
        </row>
        <row r="6923">
          <cell r="B6923">
            <v>22029</v>
          </cell>
          <cell r="C6923" t="str">
            <v>BB BANCO DE INVESTIMENTO S/A</v>
          </cell>
          <cell r="D6923" t="str">
            <v>BB BANCO DE INVESTIMENTO S/A</v>
          </cell>
          <cell r="E6923" t="str">
            <v>BB BANCO DE INVESTIMENTO S/A</v>
          </cell>
        </row>
        <row r="6924">
          <cell r="B6924">
            <v>22030</v>
          </cell>
          <cell r="C6924" t="str">
            <v>BB BANCO DE INVESTIMENTO S/A</v>
          </cell>
          <cell r="D6924" t="str">
            <v>BB BANCO DE INVESTIMENTO S/A</v>
          </cell>
          <cell r="E6924" t="str">
            <v>BB BANCO DE INVESTIMENTO S/A</v>
          </cell>
        </row>
        <row r="6925">
          <cell r="B6925">
            <v>22031</v>
          </cell>
          <cell r="C6925" t="str">
            <v>BB BANCO DE INVESTIMENTO S/A</v>
          </cell>
          <cell r="D6925" t="str">
            <v>BB BANCO DE INVESTIMENTO S/A</v>
          </cell>
          <cell r="E6925" t="str">
            <v>BB BANCO DE INVESTIMENTO S/A</v>
          </cell>
        </row>
        <row r="6926">
          <cell r="B6926">
            <v>22032</v>
          </cell>
          <cell r="C6926" t="str">
            <v>BB BANCO DE INVESTIMENTO S/A</v>
          </cell>
          <cell r="D6926" t="str">
            <v>BB BANCO DE INVESTIMENTO S/A</v>
          </cell>
          <cell r="E6926" t="str">
            <v>BB BANCO DE INVESTIMENTO S/A</v>
          </cell>
        </row>
        <row r="6927">
          <cell r="B6927">
            <v>22047</v>
          </cell>
          <cell r="C6927" t="str">
            <v>BB BANCO DE INVESTIMENTO S/A</v>
          </cell>
          <cell r="D6927" t="str">
            <v>BB BANCO DE INVESTIMENTO S/A</v>
          </cell>
          <cell r="E6927" t="str">
            <v>BB BANCO DE INVESTIMENTO S/A</v>
          </cell>
        </row>
        <row r="6928">
          <cell r="B6928">
            <v>22048</v>
          </cell>
          <cell r="C6928" t="str">
            <v>BB BANCO DE INVESTIMENTO S/A</v>
          </cell>
          <cell r="D6928" t="str">
            <v>BB BANCO DE INVESTIMENTO S/A</v>
          </cell>
          <cell r="E6928" t="str">
            <v>BB BANCO DE INVESTIMENTO S/A</v>
          </cell>
        </row>
        <row r="6929">
          <cell r="B6929">
            <v>22049</v>
          </cell>
          <cell r="C6929" t="str">
            <v>BB BANCO DE INVESTIMENTO S/A</v>
          </cell>
          <cell r="D6929" t="str">
            <v>BB BANCO DE INVESTIMENTO S/A</v>
          </cell>
          <cell r="E6929" t="str">
            <v>BB BANCO DE INVESTIMENTO S/A</v>
          </cell>
        </row>
        <row r="6930">
          <cell r="B6930">
            <v>22052</v>
          </cell>
          <cell r="C6930" t="str">
            <v>BB BANCO DE INVESTIMENTO S/A</v>
          </cell>
          <cell r="D6930" t="str">
            <v>BB BANCO DE INVESTIMENTO S/A</v>
          </cell>
          <cell r="E6930" t="str">
            <v>BB BANCO DE INVESTIMENTO S/A</v>
          </cell>
        </row>
        <row r="6931">
          <cell r="B6931">
            <v>22057</v>
          </cell>
          <cell r="C6931" t="str">
            <v>BB BANCO DE INVESTIMENTO S/A</v>
          </cell>
          <cell r="D6931" t="str">
            <v>BB BANCO DE INVESTIMENTO S/A</v>
          </cell>
          <cell r="E6931" t="str">
            <v>BB BANCO DE INVESTIMENTO S/A</v>
          </cell>
        </row>
        <row r="6932">
          <cell r="B6932">
            <v>22058</v>
          </cell>
          <cell r="C6932" t="str">
            <v>BB BANCO DE INVESTIMENTO S/A</v>
          </cell>
          <cell r="D6932" t="str">
            <v>BB BANCO DE INVESTIMENTO S/A</v>
          </cell>
          <cell r="E6932" t="str">
            <v>BB BANCO DE INVESTIMENTO S/A</v>
          </cell>
        </row>
        <row r="6933">
          <cell r="B6933">
            <v>22067</v>
          </cell>
          <cell r="C6933" t="str">
            <v>BB BANCO DE INVESTIMENTO S/A</v>
          </cell>
          <cell r="D6933" t="str">
            <v>BB BANCO DE INVESTIMENTO S/A</v>
          </cell>
          <cell r="E6933" t="str">
            <v>BB BANCO DE INVESTIMENTO S/A</v>
          </cell>
        </row>
        <row r="6934">
          <cell r="B6934">
            <v>22073</v>
          </cell>
          <cell r="C6934" t="str">
            <v>BB BANCO DE INVESTIMENTO S/A</v>
          </cell>
          <cell r="D6934" t="str">
            <v>BB BANCO DE INVESTIMENTO S/A</v>
          </cell>
          <cell r="E6934" t="str">
            <v>BB BANCO DE INVESTIMENTO S/A</v>
          </cell>
        </row>
        <row r="6935">
          <cell r="B6935">
            <v>22077</v>
          </cell>
          <cell r="C6935" t="str">
            <v>BB BANCO DE INVESTIMENTO S/A</v>
          </cell>
          <cell r="D6935" t="str">
            <v>BB BANCO DE INVESTIMENTO S/A</v>
          </cell>
          <cell r="E6935" t="str">
            <v>BB BANCO DE INVESTIMENTO S/A</v>
          </cell>
        </row>
        <row r="6936">
          <cell r="B6936">
            <v>22080</v>
          </cell>
          <cell r="C6936" t="str">
            <v>BB BANCO DE INVESTIMENTO S/A</v>
          </cell>
          <cell r="D6936" t="str">
            <v>BB BANCO DE INVESTIMENTO S/A</v>
          </cell>
          <cell r="E6936" t="str">
            <v>BB BANCO DE INVESTIMENTO S/A</v>
          </cell>
        </row>
        <row r="6937">
          <cell r="B6937">
            <v>22085</v>
          </cell>
          <cell r="C6937" t="str">
            <v>BB BANCO DE INVESTIMENTO S/A</v>
          </cell>
          <cell r="D6937" t="str">
            <v>BB BANCO DE INVESTIMENTO S/A</v>
          </cell>
          <cell r="E6937" t="str">
            <v>BB BANCO DE INVESTIMENTO S/A</v>
          </cell>
        </row>
        <row r="6938">
          <cell r="B6938">
            <v>22086</v>
          </cell>
          <cell r="C6938" t="str">
            <v>BB BANCO DE INVESTIMENTO S/A</v>
          </cell>
          <cell r="D6938" t="str">
            <v>BB BANCO DE INVESTIMENTO S/A</v>
          </cell>
          <cell r="E6938" t="str">
            <v>BB BANCO DE INVESTIMENTO S/A</v>
          </cell>
        </row>
        <row r="6939">
          <cell r="B6939">
            <v>22089</v>
          </cell>
          <cell r="C6939" t="str">
            <v>BB BANCO DE INVESTIMENTO S/A</v>
          </cell>
          <cell r="D6939" t="str">
            <v>BB BANCO DE INVESTIMENTO S/A</v>
          </cell>
          <cell r="E6939" t="str">
            <v>BB BANCO DE INVESTIMENTO S/A</v>
          </cell>
        </row>
        <row r="6940">
          <cell r="B6940">
            <v>22093</v>
          </cell>
          <cell r="C6940" t="str">
            <v>BB BANCO DE INVESTIMENTO S/A</v>
          </cell>
          <cell r="D6940" t="str">
            <v>BB BANCO DE INVESTIMENTO S/A</v>
          </cell>
          <cell r="E6940" t="str">
            <v>BB BANCO DE INVESTIMENTO S/A</v>
          </cell>
        </row>
        <row r="6941">
          <cell r="B6941">
            <v>22094</v>
          </cell>
          <cell r="C6941" t="str">
            <v>BB GESTAO DE RECURSOS DTVM LTDA</v>
          </cell>
          <cell r="D6941" t="str">
            <v>BB GESTAO DE RECURSOS DTVM LTDA</v>
          </cell>
          <cell r="E6941" t="str">
            <v>BB BANCO DE INVESTIMENTO S/A</v>
          </cell>
        </row>
        <row r="6942">
          <cell r="B6942">
            <v>22097</v>
          </cell>
          <cell r="C6942" t="str">
            <v>BB BANCO DE INVESTIMENTO S/A</v>
          </cell>
          <cell r="D6942" t="str">
            <v>BB BANCO DE INVESTIMENTO S/A</v>
          </cell>
          <cell r="E6942" t="str">
            <v>BB BANCO DE INVESTIMENTO S/A</v>
          </cell>
        </row>
        <row r="6943">
          <cell r="B6943">
            <v>245</v>
          </cell>
          <cell r="C6943" t="str">
            <v>BANCO SANTANDER (BRASIL) S/A</v>
          </cell>
          <cell r="D6943" t="str">
            <v>BANCO SANTANDER (BRASIL) S/A</v>
          </cell>
          <cell r="E6943" t="str">
            <v>BANCO SANTANDER (BRASIL) S/A</v>
          </cell>
        </row>
        <row r="6944">
          <cell r="B6944">
            <v>22100</v>
          </cell>
          <cell r="C6944" t="str">
            <v>BB BANCO DE INVESTIMENTO S/A</v>
          </cell>
          <cell r="D6944" t="str">
            <v>BB BANCO DE INVESTIMENTO S/A</v>
          </cell>
          <cell r="E6944" t="str">
            <v>BB BANCO DE INVESTIMENTO S/A</v>
          </cell>
        </row>
        <row r="6945">
          <cell r="B6945">
            <v>22101</v>
          </cell>
          <cell r="C6945" t="str">
            <v>BB BANCO DE INVESTIMENTO S/A</v>
          </cell>
          <cell r="D6945" t="str">
            <v>BB BANCO DE INVESTIMENTO S/A</v>
          </cell>
          <cell r="E6945" t="str">
            <v>BB BANCO DE INVESTIMENTO S/A</v>
          </cell>
        </row>
        <row r="6946">
          <cell r="B6946">
            <v>22102</v>
          </cell>
          <cell r="C6946" t="str">
            <v>BB BANCO DE INVESTIMENTO S/A</v>
          </cell>
          <cell r="D6946" t="str">
            <v>BB BANCO DE INVESTIMENTO S/A</v>
          </cell>
          <cell r="E6946" t="str">
            <v>BB BANCO DE INVESTIMENTO S/A</v>
          </cell>
        </row>
        <row r="6947">
          <cell r="B6947">
            <v>22106</v>
          </cell>
          <cell r="C6947" t="str">
            <v>BB BANCO DE INVESTIMENTO S/A</v>
          </cell>
          <cell r="D6947" t="str">
            <v>BB BANCO DE INVESTIMENTO S/A</v>
          </cell>
          <cell r="E6947" t="str">
            <v>BB BANCO DE INVESTIMENTO S/A</v>
          </cell>
        </row>
        <row r="6948">
          <cell r="B6948">
            <v>22107</v>
          </cell>
          <cell r="C6948" t="str">
            <v>BB GESTAO DE RECURSOS DTVM LTDA</v>
          </cell>
          <cell r="D6948" t="str">
            <v>BB GESTAO DE RECURSOS DTVM LTDA</v>
          </cell>
          <cell r="E6948" t="str">
            <v>BB BANCO DE INVESTIMENTO S/A</v>
          </cell>
        </row>
        <row r="6949">
          <cell r="B6949">
            <v>22109</v>
          </cell>
          <cell r="C6949" t="str">
            <v>BB BANCO DE INVESTIMENTO S/A</v>
          </cell>
          <cell r="D6949" t="str">
            <v>BB BANCO DE INVESTIMENTO S/A</v>
          </cell>
          <cell r="E6949" t="str">
            <v>BB BANCO DE INVESTIMENTO S/A</v>
          </cell>
        </row>
        <row r="6950">
          <cell r="B6950">
            <v>22110</v>
          </cell>
          <cell r="C6950" t="str">
            <v>BB BANCO DE INVESTIMENTO S/A</v>
          </cell>
          <cell r="D6950" t="str">
            <v>BB BANCO DE INVESTIMENTO S/A</v>
          </cell>
          <cell r="E6950" t="str">
            <v>BB BANCO DE INVESTIMENTO S/A</v>
          </cell>
        </row>
        <row r="6951">
          <cell r="B6951">
            <v>22111</v>
          </cell>
          <cell r="C6951" t="str">
            <v>BB GESTAO DE RECURSOS DTVM LTDA</v>
          </cell>
          <cell r="D6951" t="str">
            <v>BB GESTAO DE RECURSOS DTVM LTDA</v>
          </cell>
          <cell r="E6951" t="str">
            <v>BB BANCO DE INVESTIMENTO S/A</v>
          </cell>
        </row>
        <row r="6952">
          <cell r="B6952">
            <v>22112</v>
          </cell>
          <cell r="C6952" t="str">
            <v>BB BANCO DE INVESTIMENTO S/A</v>
          </cell>
          <cell r="D6952" t="str">
            <v>BB BANCO DE INVESTIMENTO S/A</v>
          </cell>
          <cell r="E6952" t="str">
            <v>BB BANCO DE INVESTIMENTO S/A</v>
          </cell>
        </row>
        <row r="6953">
          <cell r="B6953">
            <v>22113</v>
          </cell>
          <cell r="C6953" t="str">
            <v>BB BANCO DE INVESTIMENTO S/A</v>
          </cell>
          <cell r="D6953" t="str">
            <v>BB BANCO DE INVESTIMENTO S/A</v>
          </cell>
          <cell r="E6953" t="str">
            <v>BB BANCO DE INVESTIMENTO S/A</v>
          </cell>
        </row>
        <row r="6954">
          <cell r="B6954">
            <v>22115</v>
          </cell>
          <cell r="C6954" t="str">
            <v>BB BANCO DE INVESTIMENTO S/A</v>
          </cell>
          <cell r="D6954" t="str">
            <v>BB BANCO DE INVESTIMENTO S/A</v>
          </cell>
          <cell r="E6954" t="str">
            <v>BB BANCO DE INVESTIMENTO S/A</v>
          </cell>
        </row>
        <row r="6955">
          <cell r="B6955">
            <v>22116</v>
          </cell>
          <cell r="C6955" t="str">
            <v>BB BANCO DE INVESTIMENTO S/A</v>
          </cell>
          <cell r="D6955" t="str">
            <v>BB BANCO DE INVESTIMENTO S/A</v>
          </cell>
          <cell r="E6955" t="str">
            <v>BB BANCO DE INVESTIMENTO S/A</v>
          </cell>
        </row>
        <row r="6956">
          <cell r="B6956">
            <v>22127</v>
          </cell>
          <cell r="C6956" t="str">
            <v>BB BANCO DE INVESTIMENTO S/A</v>
          </cell>
          <cell r="D6956" t="str">
            <v>BB BANCO DE INVESTIMENTO S/A</v>
          </cell>
          <cell r="E6956" t="str">
            <v>BB BANCO DE INVESTIMENTO S/A</v>
          </cell>
        </row>
        <row r="6957">
          <cell r="B6957">
            <v>22131</v>
          </cell>
          <cell r="C6957" t="str">
            <v>BB BANCO DE INVESTIMENTO S/A</v>
          </cell>
          <cell r="D6957" t="str">
            <v>BB BANCO DE INVESTIMENTO S/A</v>
          </cell>
          <cell r="E6957" t="str">
            <v>BB BANCO DE INVESTIMENTO S/A</v>
          </cell>
        </row>
        <row r="6958">
          <cell r="B6958">
            <v>22135</v>
          </cell>
          <cell r="C6958" t="str">
            <v>BB BANCO DE INVESTIMENTO S/A</v>
          </cell>
          <cell r="D6958" t="str">
            <v>BB BANCO DE INVESTIMENTO S/A</v>
          </cell>
          <cell r="E6958" t="str">
            <v>BB BANCO DE INVESTIMENTO S/A</v>
          </cell>
        </row>
        <row r="6959">
          <cell r="B6959">
            <v>22141</v>
          </cell>
          <cell r="C6959" t="str">
            <v>BB BANCO DE INVESTIMENTO S/A</v>
          </cell>
          <cell r="D6959" t="str">
            <v>BB BANCO DE INVESTIMENTO S/A</v>
          </cell>
          <cell r="E6959" t="str">
            <v>BB BANCO DE INVESTIMENTO S/A</v>
          </cell>
        </row>
        <row r="6960">
          <cell r="B6960">
            <v>22142</v>
          </cell>
          <cell r="C6960" t="str">
            <v>BB BANCO DE INVESTIMENTO S/A</v>
          </cell>
          <cell r="D6960" t="str">
            <v>BB BANCO DE INVESTIMENTO S/A</v>
          </cell>
          <cell r="E6960" t="str">
            <v>BB BANCO DE INVESTIMENTO S/A</v>
          </cell>
        </row>
        <row r="6961">
          <cell r="B6961">
            <v>22145</v>
          </cell>
          <cell r="C6961" t="str">
            <v>BB BANCO DE INVESTIMENTO S/A</v>
          </cell>
          <cell r="D6961" t="str">
            <v>BB BANCO DE INVESTIMENTO S/A</v>
          </cell>
          <cell r="E6961" t="str">
            <v>BB BANCO DE INVESTIMENTO S/A</v>
          </cell>
        </row>
        <row r="6962">
          <cell r="B6962">
            <v>22146</v>
          </cell>
          <cell r="C6962" t="str">
            <v>BB BANCO DE INVESTIMENTO S/A</v>
          </cell>
          <cell r="D6962" t="str">
            <v>BB BANCO DE INVESTIMENTO S/A</v>
          </cell>
          <cell r="E6962" t="str">
            <v>BB BANCO DE INVESTIMENTO S/A</v>
          </cell>
        </row>
        <row r="6963">
          <cell r="B6963">
            <v>22147</v>
          </cell>
          <cell r="C6963" t="str">
            <v>BB BANCO DE INVESTIMENTO S/A</v>
          </cell>
          <cell r="D6963" t="str">
            <v>BB BANCO DE INVESTIMENTO S/A</v>
          </cell>
          <cell r="E6963" t="str">
            <v>BB BANCO DE INVESTIMENTO S/A</v>
          </cell>
        </row>
        <row r="6964">
          <cell r="B6964">
            <v>22148</v>
          </cell>
          <cell r="C6964" t="str">
            <v>BB BANCO DE INVESTIMENTO S/A</v>
          </cell>
          <cell r="D6964" t="str">
            <v>BB BANCO DE INVESTIMENTO S/A</v>
          </cell>
          <cell r="E6964" t="str">
            <v>BB BANCO DE INVESTIMENTO S/A</v>
          </cell>
        </row>
        <row r="6965">
          <cell r="B6965">
            <v>22153</v>
          </cell>
          <cell r="C6965" t="str">
            <v>BB BANCO DE INVESTIMENTO S/A</v>
          </cell>
          <cell r="D6965" t="str">
            <v>BB BANCO DE INVESTIMENTO S/A</v>
          </cell>
          <cell r="E6965" t="str">
            <v>BB BANCO DE INVESTIMENTO S/A</v>
          </cell>
        </row>
        <row r="6966">
          <cell r="B6966">
            <v>22162</v>
          </cell>
          <cell r="C6966" t="str">
            <v>BB BANCO DE INVESTIMENTO S/A</v>
          </cell>
          <cell r="D6966" t="str">
            <v>BB BANCO DE INVESTIMENTO S/A</v>
          </cell>
          <cell r="E6966" t="str">
            <v>BB BANCO DE INVESTIMENTO S/A</v>
          </cell>
        </row>
        <row r="6967">
          <cell r="B6967">
            <v>22164</v>
          </cell>
          <cell r="C6967" t="str">
            <v>BB BANCO DE INVESTIMENTO S/A</v>
          </cell>
          <cell r="D6967" t="str">
            <v>BB BANCO DE INVESTIMENTO S/A</v>
          </cell>
          <cell r="E6967" t="str">
            <v>BB BANCO DE INVESTIMENTO S/A</v>
          </cell>
        </row>
        <row r="6968">
          <cell r="B6968">
            <v>22165</v>
          </cell>
          <cell r="C6968" t="str">
            <v>BB BANCO DE INVESTIMENTO S/A</v>
          </cell>
          <cell r="D6968" t="str">
            <v>BB BANCO DE INVESTIMENTO S/A</v>
          </cell>
          <cell r="E6968" t="str">
            <v>BB BANCO DE INVESTIMENTO S/A</v>
          </cell>
        </row>
        <row r="6969">
          <cell r="B6969">
            <v>22170</v>
          </cell>
          <cell r="C6969" t="str">
            <v>BB BANCO DE INVESTIMENTO S/A</v>
          </cell>
          <cell r="D6969" t="str">
            <v>BB BANCO DE INVESTIMENTO S/A</v>
          </cell>
          <cell r="E6969" t="str">
            <v>BB BANCO DE INVESTIMENTO S/A</v>
          </cell>
        </row>
        <row r="6970">
          <cell r="B6970">
            <v>22180</v>
          </cell>
          <cell r="C6970" t="str">
            <v>BB BANCO DE INVESTIMENTO S/A</v>
          </cell>
          <cell r="D6970" t="str">
            <v>BB BANCO DE INVESTIMENTO S/A</v>
          </cell>
          <cell r="E6970" t="str">
            <v>BB BANCO DE INVESTIMENTO S/A</v>
          </cell>
        </row>
        <row r="6971">
          <cell r="B6971">
            <v>22181</v>
          </cell>
          <cell r="C6971" t="str">
            <v>BB BANCO DE INVESTIMENTO S/A</v>
          </cell>
          <cell r="D6971" t="str">
            <v>BB BANCO DE INVESTIMENTO S/A</v>
          </cell>
          <cell r="E6971" t="str">
            <v>BB BANCO DE INVESTIMENTO S/A</v>
          </cell>
        </row>
        <row r="6972">
          <cell r="B6972">
            <v>22182</v>
          </cell>
          <cell r="C6972" t="str">
            <v>BB BANCO DE INVESTIMENTO S/A</v>
          </cell>
          <cell r="D6972" t="str">
            <v>BB BANCO DE INVESTIMENTO S/A</v>
          </cell>
          <cell r="E6972" t="str">
            <v>BB BANCO DE INVESTIMENTO S/A</v>
          </cell>
        </row>
        <row r="6973">
          <cell r="B6973">
            <v>22184</v>
          </cell>
          <cell r="C6973" t="str">
            <v>BB BANCO DE INVESTIMENTO S/A</v>
          </cell>
          <cell r="D6973" t="str">
            <v>BB BANCO DE INVESTIMENTO S/A</v>
          </cell>
          <cell r="E6973" t="str">
            <v>BB BANCO DE INVESTIMENTO S/A</v>
          </cell>
        </row>
        <row r="6974">
          <cell r="B6974">
            <v>22185</v>
          </cell>
          <cell r="C6974" t="str">
            <v>BB BANCO DE INVESTIMENTO S/A</v>
          </cell>
          <cell r="D6974" t="str">
            <v>BB BANCO DE INVESTIMENTO S/A</v>
          </cell>
          <cell r="E6974" t="str">
            <v>BB BANCO DE INVESTIMENTO S/A</v>
          </cell>
        </row>
        <row r="6975">
          <cell r="B6975">
            <v>22186</v>
          </cell>
          <cell r="C6975" t="str">
            <v>BB BANCO DE INVESTIMENTO S/A</v>
          </cell>
          <cell r="D6975" t="str">
            <v>BB BANCO DE INVESTIMENTO S/A</v>
          </cell>
          <cell r="E6975" t="str">
            <v>BB BANCO DE INVESTIMENTO S/A</v>
          </cell>
        </row>
        <row r="6976">
          <cell r="B6976">
            <v>22187</v>
          </cell>
          <cell r="C6976" t="str">
            <v>BB BANCO DE INVESTIMENTO S/A</v>
          </cell>
          <cell r="D6976" t="str">
            <v>BB BANCO DE INVESTIMENTO S/A</v>
          </cell>
          <cell r="E6976" t="str">
            <v>BB BANCO DE INVESTIMENTO S/A</v>
          </cell>
        </row>
        <row r="6977">
          <cell r="B6977">
            <v>22188</v>
          </cell>
          <cell r="C6977" t="str">
            <v>BB BANCO DE INVESTIMENTO S/A</v>
          </cell>
          <cell r="D6977" t="str">
            <v>BB BANCO DE INVESTIMENTO S/A</v>
          </cell>
          <cell r="E6977" t="str">
            <v>BB BANCO DE INVESTIMENTO S/A</v>
          </cell>
        </row>
        <row r="6978">
          <cell r="B6978">
            <v>22191</v>
          </cell>
          <cell r="C6978" t="str">
            <v>BB BANCO DE INVESTIMENTO S/A</v>
          </cell>
          <cell r="D6978" t="str">
            <v>BB BANCO DE INVESTIMENTO S/A</v>
          </cell>
          <cell r="E6978" t="str">
            <v>BB BANCO DE INVESTIMENTO S/A</v>
          </cell>
        </row>
        <row r="6979">
          <cell r="B6979">
            <v>22192</v>
          </cell>
          <cell r="C6979" t="str">
            <v>BB BANCO DE INVESTIMENTO S/A</v>
          </cell>
          <cell r="D6979" t="str">
            <v>BB BANCO DE INVESTIMENTO S/A</v>
          </cell>
          <cell r="E6979" t="str">
            <v>BB BANCO DE INVESTIMENTO S/A</v>
          </cell>
        </row>
        <row r="6980">
          <cell r="B6980">
            <v>22199</v>
          </cell>
          <cell r="C6980" t="str">
            <v>BB GESTAO DE RECURSOS DTVM LTDA</v>
          </cell>
          <cell r="D6980" t="str">
            <v>BB GESTAO DE RECURSOS DTVM LTDA</v>
          </cell>
          <cell r="E6980" t="str">
            <v>BB BANCO DE INVESTIMENTO S/A</v>
          </cell>
        </row>
        <row r="6981">
          <cell r="B6981">
            <v>246</v>
          </cell>
          <cell r="C6981" t="str">
            <v>BANCO SANTANDER (BRASIL) S/A</v>
          </cell>
          <cell r="D6981" t="str">
            <v>BANCO SANTANDER (BRASIL) S/A</v>
          </cell>
          <cell r="E6981" t="str">
            <v>BANCO SANTANDER (BRASIL) S/A</v>
          </cell>
        </row>
        <row r="6982">
          <cell r="B6982">
            <v>22205</v>
          </cell>
          <cell r="C6982" t="str">
            <v>BB BANCO DE INVESTIMENTO S/A</v>
          </cell>
          <cell r="D6982" t="str">
            <v>BB BANCO DE INVESTIMENTO S/A</v>
          </cell>
          <cell r="E6982" t="str">
            <v>BB BANCO DE INVESTIMENTO S/A</v>
          </cell>
        </row>
        <row r="6983">
          <cell r="B6983">
            <v>22207</v>
          </cell>
          <cell r="C6983" t="str">
            <v>BB BANCO DE INVESTIMENTO S/A</v>
          </cell>
          <cell r="D6983" t="str">
            <v>BB BANCO DE INVESTIMENTO S/A</v>
          </cell>
          <cell r="E6983" t="str">
            <v>BB BANCO DE INVESTIMENTO S/A</v>
          </cell>
        </row>
        <row r="6984">
          <cell r="B6984">
            <v>22208</v>
          </cell>
          <cell r="C6984" t="str">
            <v>BB BANCO DE INVESTIMENTO S/A</v>
          </cell>
          <cell r="D6984" t="str">
            <v>BB BANCO DE INVESTIMENTO S/A</v>
          </cell>
          <cell r="E6984" t="str">
            <v>BB BANCO DE INVESTIMENTO S/A</v>
          </cell>
        </row>
        <row r="6985">
          <cell r="B6985">
            <v>22209</v>
          </cell>
          <cell r="C6985" t="str">
            <v>BB BANCO DE INVESTIMENTO S/A</v>
          </cell>
          <cell r="D6985" t="str">
            <v>BB BANCO DE INVESTIMENTO S/A</v>
          </cell>
          <cell r="E6985" t="str">
            <v>BB BANCO DE INVESTIMENTO S/A</v>
          </cell>
        </row>
        <row r="6986">
          <cell r="B6986">
            <v>22210</v>
          </cell>
          <cell r="C6986" t="str">
            <v>BB BANCO DE INVESTIMENTO S/A</v>
          </cell>
          <cell r="D6986" t="str">
            <v>BB BANCO DE INVESTIMENTO S/A</v>
          </cell>
          <cell r="E6986" t="str">
            <v>BB BANCO DE INVESTIMENTO S/A</v>
          </cell>
        </row>
        <row r="6987">
          <cell r="B6987">
            <v>22211</v>
          </cell>
          <cell r="C6987" t="str">
            <v>BB BANCO DE INVESTIMENTO S/A</v>
          </cell>
          <cell r="D6987" t="str">
            <v>BB BANCO DE INVESTIMENTO S/A</v>
          </cell>
          <cell r="E6987" t="str">
            <v>BB BANCO DE INVESTIMENTO S/A</v>
          </cell>
        </row>
        <row r="6988">
          <cell r="B6988">
            <v>22216</v>
          </cell>
          <cell r="C6988" t="str">
            <v>BB GESTAO DE RECURSOS DTVM LTDA</v>
          </cell>
          <cell r="D6988" t="str">
            <v>BB GESTAO DE RECURSOS DTVM LTDA</v>
          </cell>
          <cell r="E6988" t="str">
            <v>BB BANCO DE INVESTIMENTO S/A</v>
          </cell>
        </row>
        <row r="6989">
          <cell r="B6989">
            <v>22220</v>
          </cell>
          <cell r="C6989" t="str">
            <v>BB BANCO DE INVESTIMENTO S/A</v>
          </cell>
          <cell r="D6989" t="str">
            <v>BB BANCO DE INVESTIMENTO S/A</v>
          </cell>
          <cell r="E6989" t="str">
            <v>BB BANCO DE INVESTIMENTO S/A</v>
          </cell>
        </row>
        <row r="6990">
          <cell r="B6990">
            <v>22222</v>
          </cell>
          <cell r="C6990" t="str">
            <v>BB GESTAO DE RECURSOS DTVM LTDA</v>
          </cell>
          <cell r="D6990" t="str">
            <v>BB GESTAO DE RECURSOS DTVM LTDA</v>
          </cell>
          <cell r="E6990" t="str">
            <v>BB BANCO DE INVESTIMENTO S/A</v>
          </cell>
        </row>
        <row r="6991">
          <cell r="B6991">
            <v>22226</v>
          </cell>
          <cell r="C6991" t="str">
            <v>BB BANCO DE INVESTIMENTO S/A</v>
          </cell>
          <cell r="D6991" t="str">
            <v>BB BANCO DE INVESTIMENTO S/A</v>
          </cell>
          <cell r="E6991" t="str">
            <v>BB BANCO DE INVESTIMENTO S/A</v>
          </cell>
        </row>
        <row r="6992">
          <cell r="B6992">
            <v>22230</v>
          </cell>
          <cell r="C6992" t="str">
            <v>BB BANCO DE INVESTIMENTO S/A</v>
          </cell>
          <cell r="D6992" t="str">
            <v>BB BANCO DE INVESTIMENTO S/A</v>
          </cell>
          <cell r="E6992" t="str">
            <v>BB BANCO DE INVESTIMENTO S/A</v>
          </cell>
        </row>
        <row r="6993">
          <cell r="B6993">
            <v>22232</v>
          </cell>
          <cell r="C6993" t="str">
            <v>BB BANCO DE INVESTIMENTO S/A</v>
          </cell>
          <cell r="D6993" t="str">
            <v>BB BANCO DE INVESTIMENTO S/A</v>
          </cell>
          <cell r="E6993" t="str">
            <v>BB BANCO DE INVESTIMENTO S/A</v>
          </cell>
        </row>
        <row r="6994">
          <cell r="B6994">
            <v>22233</v>
          </cell>
          <cell r="C6994" t="str">
            <v>BB BANCO DE INVESTIMENTO S/A</v>
          </cell>
          <cell r="D6994" t="str">
            <v>BB BANCO DE INVESTIMENTO S/A</v>
          </cell>
          <cell r="E6994" t="str">
            <v>BB BANCO DE INVESTIMENTO S/A</v>
          </cell>
        </row>
        <row r="6995">
          <cell r="B6995">
            <v>22234</v>
          </cell>
          <cell r="C6995" t="str">
            <v>BB BANCO DE INVESTIMENTO S/A</v>
          </cell>
          <cell r="D6995" t="str">
            <v>BB BANCO DE INVESTIMENTO S/A</v>
          </cell>
          <cell r="E6995" t="str">
            <v>BB BANCO DE INVESTIMENTO S/A</v>
          </cell>
        </row>
        <row r="6996">
          <cell r="B6996">
            <v>22237</v>
          </cell>
          <cell r="C6996" t="str">
            <v>BB GESTAO DE RECURSOS DTVM LTDA</v>
          </cell>
          <cell r="D6996" t="str">
            <v>BB GESTAO DE RECURSOS DTVM LTDA</v>
          </cell>
          <cell r="E6996" t="str">
            <v>BB BANCO DE INVESTIMENTO S/A</v>
          </cell>
        </row>
        <row r="6997">
          <cell r="B6997">
            <v>22238</v>
          </cell>
          <cell r="C6997" t="str">
            <v>BB BANCO DE INVESTIMENTO S/A</v>
          </cell>
          <cell r="D6997" t="str">
            <v>BB BANCO DE INVESTIMENTO S/A</v>
          </cell>
          <cell r="E6997" t="str">
            <v>BB BANCO DE INVESTIMENTO S/A</v>
          </cell>
        </row>
        <row r="6998">
          <cell r="B6998">
            <v>22240</v>
          </cell>
          <cell r="C6998" t="str">
            <v>BB GESTAO DE RECURSOS DTVM LTDA</v>
          </cell>
          <cell r="D6998" t="str">
            <v>BB GESTAO DE RECURSOS DTVM LTDA</v>
          </cell>
          <cell r="E6998" t="str">
            <v>BB GESTAO DE RECURSOS DTVM LTDA</v>
          </cell>
        </row>
        <row r="6999">
          <cell r="B6999">
            <v>22244</v>
          </cell>
          <cell r="C6999" t="str">
            <v>BB BANCO DE INVESTIMENTO S/A</v>
          </cell>
          <cell r="D6999" t="str">
            <v>BB BANCO DE INVESTIMENTO S/A</v>
          </cell>
          <cell r="E6999" t="str">
            <v>BB BANCO DE INVESTIMENTO S/A</v>
          </cell>
        </row>
        <row r="7000">
          <cell r="B7000">
            <v>22245</v>
          </cell>
          <cell r="C7000" t="str">
            <v>BB BANCO DE INVESTIMENTO S/A</v>
          </cell>
          <cell r="D7000" t="str">
            <v>BB BANCO DE INVESTIMENTO S/A</v>
          </cell>
          <cell r="E7000" t="str">
            <v>BB BANCO DE INVESTIMENTO S/A</v>
          </cell>
        </row>
        <row r="7001">
          <cell r="B7001">
            <v>22249</v>
          </cell>
          <cell r="C7001" t="str">
            <v>BB BANCO DE INVESTIMENTO S/A</v>
          </cell>
          <cell r="D7001" t="str">
            <v>BB BANCO DE INVESTIMENTO S/A</v>
          </cell>
          <cell r="E7001" t="str">
            <v>BB BANCO DE INVESTIMENTO S/A</v>
          </cell>
        </row>
        <row r="7002">
          <cell r="B7002">
            <v>22258</v>
          </cell>
          <cell r="C7002" t="str">
            <v>BB BANCO DE INVESTIMENTO S/A</v>
          </cell>
          <cell r="D7002" t="str">
            <v>BB BANCO DE INVESTIMENTO S/A</v>
          </cell>
          <cell r="E7002" t="str">
            <v>BB BANCO DE INVESTIMENTO S/A</v>
          </cell>
        </row>
        <row r="7003">
          <cell r="B7003">
            <v>222650</v>
          </cell>
          <cell r="C7003" t="str">
            <v>BB BANCO DE INVESTIMENTO S/A</v>
          </cell>
          <cell r="D7003" t="str">
            <v>BB BANCO DE INVESTIMENTO S/A</v>
          </cell>
          <cell r="E7003" t="str">
            <v>BB BANCO DE INVESTIMENTO S/A</v>
          </cell>
        </row>
        <row r="7004">
          <cell r="B7004">
            <v>22268</v>
          </cell>
          <cell r="C7004" t="str">
            <v>BB GESTAO DE RECURSOS DTVM LTDA</v>
          </cell>
          <cell r="D7004" t="str">
            <v>BB GESTAO DE RECURSOS DTVM LTDA</v>
          </cell>
          <cell r="E7004" t="str">
            <v>BB BANCO DE INVESTIMENTO S/A</v>
          </cell>
        </row>
        <row r="7005">
          <cell r="B7005">
            <v>22269</v>
          </cell>
          <cell r="C7005" t="str">
            <v>BB BANCO DE INVESTIMENTO S/A</v>
          </cell>
          <cell r="D7005" t="str">
            <v>BB BANCO DE INVESTIMENTO S/A</v>
          </cell>
          <cell r="E7005" t="str">
            <v>BB BANCO DE INVESTIMENTO S/A</v>
          </cell>
        </row>
        <row r="7006">
          <cell r="B7006">
            <v>22272</v>
          </cell>
          <cell r="C7006" t="str">
            <v>BB BANCO DE INVESTIMENTO S/A</v>
          </cell>
          <cell r="D7006" t="str">
            <v>BB BANCO DE INVESTIMENTO S/A</v>
          </cell>
          <cell r="E7006" t="str">
            <v>BB BANCO DE INVESTIMENTO S/A</v>
          </cell>
        </row>
        <row r="7007">
          <cell r="B7007">
            <v>22274</v>
          </cell>
          <cell r="C7007" t="str">
            <v>BB BANCO DE INVESTIMENTO S/A</v>
          </cell>
          <cell r="D7007" t="str">
            <v>BB BANCO DE INVESTIMENTO S/A</v>
          </cell>
          <cell r="E7007" t="str">
            <v>BB BANCO DE INVESTIMENTO S/A</v>
          </cell>
        </row>
        <row r="7008">
          <cell r="B7008">
            <v>22278</v>
          </cell>
          <cell r="C7008" t="str">
            <v>BB BANCO DE INVESTIMENTO S/A</v>
          </cell>
          <cell r="D7008" t="str">
            <v>BB BANCO DE INVESTIMENTO S/A</v>
          </cell>
          <cell r="E7008" t="str">
            <v>BB BANCO DE INVESTIMENTO S/A</v>
          </cell>
        </row>
        <row r="7009">
          <cell r="B7009">
            <v>22280</v>
          </cell>
          <cell r="C7009" t="str">
            <v>BB BANCO DE INVESTIMENTO S/A</v>
          </cell>
          <cell r="D7009" t="str">
            <v>BB BANCO DE INVESTIMENTO S/A</v>
          </cell>
          <cell r="E7009" t="str">
            <v>BB BANCO DE INVESTIMENTO S/A</v>
          </cell>
        </row>
        <row r="7010">
          <cell r="B7010">
            <v>22281</v>
          </cell>
          <cell r="C7010" t="str">
            <v>BB BANCO DE INVESTIMENTO S/A</v>
          </cell>
          <cell r="D7010" t="str">
            <v>BB BANCO DE INVESTIMENTO S/A</v>
          </cell>
          <cell r="E7010" t="str">
            <v>BB BANCO DE INVESTIMENTO S/A</v>
          </cell>
        </row>
        <row r="7011">
          <cell r="B7011">
            <v>22282</v>
          </cell>
          <cell r="C7011" t="str">
            <v>BB BANCO DE INVESTIMENTO S/A</v>
          </cell>
          <cell r="D7011" t="str">
            <v>BB BANCO DE INVESTIMENTO S/A</v>
          </cell>
          <cell r="E7011" t="str">
            <v>BB BANCO DE INVESTIMENTO S/A</v>
          </cell>
        </row>
        <row r="7012">
          <cell r="B7012">
            <v>22285</v>
          </cell>
          <cell r="C7012" t="str">
            <v>BB BANCO DE INVESTIMENTO S/A</v>
          </cell>
          <cell r="D7012" t="str">
            <v>BB BANCO DE INVESTIMENTO S/A</v>
          </cell>
          <cell r="E7012" t="str">
            <v>BB BANCO DE INVESTIMENTO S/A</v>
          </cell>
        </row>
        <row r="7013">
          <cell r="B7013">
            <v>22286</v>
          </cell>
          <cell r="C7013" t="str">
            <v>BB BANCO DE INVESTIMENTO S/A</v>
          </cell>
          <cell r="D7013" t="str">
            <v>BB BANCO DE INVESTIMENTO S/A</v>
          </cell>
          <cell r="E7013" t="str">
            <v>BB BANCO DE INVESTIMENTO S/A</v>
          </cell>
        </row>
        <row r="7014">
          <cell r="B7014">
            <v>22287</v>
          </cell>
          <cell r="C7014" t="str">
            <v>BB GESTAO DE RECURSOS DTVM LTDA</v>
          </cell>
          <cell r="D7014" t="str">
            <v>BB GESTAO DE RECURSOS DTVM LTDA</v>
          </cell>
          <cell r="E7014" t="str">
            <v>BB GESTAO DE RECURSOS DTVM LTDA</v>
          </cell>
        </row>
        <row r="7015">
          <cell r="B7015">
            <v>22288</v>
          </cell>
          <cell r="C7015" t="str">
            <v>BB BANCO DE INVESTIMENTO S/A</v>
          </cell>
          <cell r="D7015" t="str">
            <v>BB BANCO DE INVESTIMENTO S/A</v>
          </cell>
          <cell r="E7015" t="str">
            <v>BB BANCO DE INVESTIMENTO S/A</v>
          </cell>
        </row>
        <row r="7016">
          <cell r="B7016">
            <v>22289</v>
          </cell>
          <cell r="C7016" t="str">
            <v>BB BANCO DE INVESTIMENTO S/A</v>
          </cell>
          <cell r="D7016" t="str">
            <v>BB BANCO DE INVESTIMENTO S/A</v>
          </cell>
          <cell r="E7016" t="str">
            <v>BB BANCO DE INVESTIMENTO S/A</v>
          </cell>
        </row>
        <row r="7017">
          <cell r="B7017">
            <v>22290</v>
          </cell>
          <cell r="C7017" t="str">
            <v>BB BANCO DE INVESTIMENTO S/A</v>
          </cell>
          <cell r="D7017" t="str">
            <v>BB BANCO DE INVESTIMENTO S/A</v>
          </cell>
          <cell r="E7017" t="str">
            <v>BB BANCO DE INVESTIMENTO S/A</v>
          </cell>
        </row>
        <row r="7018">
          <cell r="B7018">
            <v>22291</v>
          </cell>
          <cell r="C7018" t="str">
            <v>BB BANCO DE INVESTIMENTO S/A</v>
          </cell>
          <cell r="D7018" t="str">
            <v>BB BANCO DE INVESTIMENTO S/A</v>
          </cell>
          <cell r="E7018" t="str">
            <v>BB BANCO DE INVESTIMENTO S/A</v>
          </cell>
        </row>
        <row r="7019">
          <cell r="B7019">
            <v>22292</v>
          </cell>
          <cell r="C7019" t="str">
            <v>BB BANCO DE INVESTIMENTO S/A</v>
          </cell>
          <cell r="D7019" t="str">
            <v>BB BANCO DE INVESTIMENTO S/A</v>
          </cell>
          <cell r="E7019" t="str">
            <v>BB BANCO DE INVESTIMENTO S/A</v>
          </cell>
        </row>
        <row r="7020">
          <cell r="B7020">
            <v>22294</v>
          </cell>
          <cell r="C7020" t="str">
            <v>BB BANCO DE INVESTIMENTO S/A</v>
          </cell>
          <cell r="D7020" t="str">
            <v>BB BANCO DE INVESTIMENTO S/A</v>
          </cell>
          <cell r="E7020" t="str">
            <v>BB BANCO DE INVESTIMENTO S/A</v>
          </cell>
        </row>
        <row r="7021">
          <cell r="B7021">
            <v>22299</v>
          </cell>
          <cell r="C7021" t="str">
            <v>BB BANCO DE INVESTIMENTO S/A</v>
          </cell>
          <cell r="D7021" t="str">
            <v>BB BANCO DE INVESTIMENTO S/A</v>
          </cell>
          <cell r="E7021" t="str">
            <v>BB BANCO DE INVESTIMENTO S/A</v>
          </cell>
        </row>
        <row r="7022">
          <cell r="B7022">
            <v>247</v>
          </cell>
          <cell r="C7022" t="str">
            <v>BANCO SANTANDER (BRASIL) S/A</v>
          </cell>
          <cell r="D7022" t="str">
            <v>BANCO SANTANDER (BRASIL) S/A</v>
          </cell>
          <cell r="E7022" t="str">
            <v>BANCO SANTANDER (BRASIL) S/A</v>
          </cell>
        </row>
        <row r="7023">
          <cell r="B7023">
            <v>22300</v>
          </cell>
          <cell r="C7023" t="str">
            <v>BB GESTAO DE RECURSOS DTVM LTDA</v>
          </cell>
          <cell r="D7023" t="str">
            <v>BB GESTAO DE RECURSOS DTVM LTDA</v>
          </cell>
          <cell r="E7023" t="str">
            <v>BB BANCO DE INVESTIMENTO S/A</v>
          </cell>
        </row>
        <row r="7024">
          <cell r="B7024">
            <v>22301</v>
          </cell>
          <cell r="C7024" t="str">
            <v>BB BANCO DE INVESTIMENTO S/A</v>
          </cell>
          <cell r="D7024" t="str">
            <v>BB BANCO DE INVESTIMENTO S/A</v>
          </cell>
          <cell r="E7024" t="str">
            <v>BB BANCO DE INVESTIMENTO S/A</v>
          </cell>
        </row>
        <row r="7025">
          <cell r="B7025">
            <v>22307</v>
          </cell>
          <cell r="C7025" t="str">
            <v>BB BANCO DE INVESTIMENTO S/A</v>
          </cell>
          <cell r="D7025" t="str">
            <v>BB BANCO DE INVESTIMENTO S/A</v>
          </cell>
          <cell r="E7025" t="str">
            <v>BB BANCO DE INVESTIMENTO S/A</v>
          </cell>
        </row>
        <row r="7026">
          <cell r="B7026">
            <v>22310</v>
          </cell>
          <cell r="C7026" t="str">
            <v>BB BANCO DE INVESTIMENTO S/A</v>
          </cell>
          <cell r="D7026" t="str">
            <v>BB BANCO DE INVESTIMENTO S/A</v>
          </cell>
          <cell r="E7026" t="str">
            <v>BB BANCO DE INVESTIMENTO S/A</v>
          </cell>
        </row>
        <row r="7027">
          <cell r="B7027">
            <v>22311</v>
          </cell>
          <cell r="C7027" t="str">
            <v>BB GESTAO DE RECURSOS DTVM LTDA</v>
          </cell>
          <cell r="D7027" t="str">
            <v>BB GESTAO DE RECURSOS DTVM LTDA</v>
          </cell>
          <cell r="E7027" t="str">
            <v>BB GESTAO DE RECURSOS DTVM LTDA</v>
          </cell>
        </row>
        <row r="7028">
          <cell r="B7028">
            <v>22320</v>
          </cell>
          <cell r="C7028" t="str">
            <v>BB BANCO DE INVESTIMENTO S/A</v>
          </cell>
          <cell r="D7028" t="str">
            <v>BB BANCO DE INVESTIMENTO S/A</v>
          </cell>
          <cell r="E7028" t="str">
            <v>BB BANCO DE INVESTIMENTO S/A</v>
          </cell>
        </row>
        <row r="7029">
          <cell r="B7029">
            <v>22327</v>
          </cell>
          <cell r="C7029" t="str">
            <v>BB BANCO DE INVESTIMENTO S/A</v>
          </cell>
          <cell r="D7029" t="str">
            <v>BB BANCO DE INVESTIMENTO S/A</v>
          </cell>
          <cell r="E7029" t="str">
            <v>BB BANCO DE INVESTIMENTO S/A</v>
          </cell>
        </row>
        <row r="7030">
          <cell r="B7030">
            <v>22328</v>
          </cell>
          <cell r="C7030" t="str">
            <v>BB BANCO DE INVESTIMENTO S/A</v>
          </cell>
          <cell r="D7030" t="str">
            <v>BB BANCO DE INVESTIMENTO S/A</v>
          </cell>
          <cell r="E7030" t="str">
            <v>BB BANCO DE INVESTIMENTO S/A</v>
          </cell>
        </row>
        <row r="7031">
          <cell r="B7031">
            <v>22329</v>
          </cell>
          <cell r="C7031" t="str">
            <v>BB BANCO DE INVESTIMENTO S/A</v>
          </cell>
          <cell r="D7031" t="str">
            <v>BB BANCO DE INVESTIMENTO S/A</v>
          </cell>
          <cell r="E7031" t="str">
            <v>BB BANCO DE INVESTIMENTO S/A</v>
          </cell>
        </row>
        <row r="7032">
          <cell r="B7032">
            <v>22331</v>
          </cell>
          <cell r="C7032" t="str">
            <v>BB BANCO DE INVESTIMENTO S/A</v>
          </cell>
          <cell r="D7032" t="str">
            <v>BB BANCO DE INVESTIMENTO S/A</v>
          </cell>
          <cell r="E7032" t="str">
            <v>BB BANCO DE INVESTIMENTO S/A</v>
          </cell>
        </row>
        <row r="7033">
          <cell r="B7033">
            <v>22332</v>
          </cell>
          <cell r="C7033" t="str">
            <v>BB BANCO DE INVESTIMENTO S/A</v>
          </cell>
          <cell r="D7033" t="str">
            <v>BB BANCO DE INVESTIMENTO S/A</v>
          </cell>
          <cell r="E7033" t="str">
            <v>BB BANCO DE INVESTIMENTO S/A</v>
          </cell>
        </row>
        <row r="7034">
          <cell r="B7034">
            <v>22333</v>
          </cell>
          <cell r="C7034" t="str">
            <v>BB BANCO DE INVESTIMENTO S/A</v>
          </cell>
          <cell r="D7034" t="str">
            <v>BB BANCO DE INVESTIMENTO S/A</v>
          </cell>
          <cell r="E7034" t="str">
            <v>BB BANCO DE INVESTIMENTO S/A</v>
          </cell>
        </row>
        <row r="7035">
          <cell r="B7035">
            <v>22334</v>
          </cell>
          <cell r="C7035" t="str">
            <v>BB BANCO DE INVESTIMENTO S/A</v>
          </cell>
          <cell r="D7035" t="str">
            <v>BB BANCO DE INVESTIMENTO S/A</v>
          </cell>
          <cell r="E7035" t="str">
            <v>BB BANCO DE INVESTIMENTO S/A</v>
          </cell>
        </row>
        <row r="7036">
          <cell r="B7036">
            <v>22337</v>
          </cell>
          <cell r="C7036" t="str">
            <v>BB GESTAO DE RECURSOS DTVM LTDA</v>
          </cell>
          <cell r="D7036" t="str">
            <v>BB GESTAO DE RECURSOS DTVM LTDA</v>
          </cell>
          <cell r="E7036" t="str">
            <v>BB BANCO DE INVESTIMENTO S/A</v>
          </cell>
        </row>
        <row r="7037">
          <cell r="B7037">
            <v>22339</v>
          </cell>
          <cell r="C7037" t="str">
            <v>BB BANCO DE INVESTIMENTO S/A</v>
          </cell>
          <cell r="D7037" t="str">
            <v>BB BANCO DE INVESTIMENTO S/A</v>
          </cell>
          <cell r="E7037" t="str">
            <v>BB BANCO DE INVESTIMENTO S/A</v>
          </cell>
        </row>
        <row r="7038">
          <cell r="B7038">
            <v>22340</v>
          </cell>
          <cell r="C7038" t="str">
            <v>BB BANCO DE INVESTIMENTO S/A</v>
          </cell>
          <cell r="D7038" t="str">
            <v>BB BANCO DE INVESTIMENTO S/A</v>
          </cell>
          <cell r="E7038" t="str">
            <v>BB BANCO DE INVESTIMENTO S/A</v>
          </cell>
        </row>
        <row r="7039">
          <cell r="B7039">
            <v>22341</v>
          </cell>
          <cell r="C7039" t="str">
            <v>BB BANCO DE INVESTIMENTO S/A</v>
          </cell>
          <cell r="D7039" t="str">
            <v>BB BANCO DE INVESTIMENTO S/A</v>
          </cell>
          <cell r="E7039" t="str">
            <v>BB BANCO DE INVESTIMENTO S/A</v>
          </cell>
        </row>
        <row r="7040">
          <cell r="B7040">
            <v>22342</v>
          </cell>
          <cell r="C7040" t="str">
            <v>BB BANCO DE INVESTIMENTO S/A</v>
          </cell>
          <cell r="D7040" t="str">
            <v>BB BANCO DE INVESTIMENTO S/A</v>
          </cell>
          <cell r="E7040" t="str">
            <v>BB BANCO DE INVESTIMENTO S/A</v>
          </cell>
        </row>
        <row r="7041">
          <cell r="B7041">
            <v>22344</v>
          </cell>
          <cell r="C7041" t="str">
            <v>BB BANCO DE INVESTIMENTO S/A</v>
          </cell>
          <cell r="D7041" t="str">
            <v>BB BANCO DE INVESTIMENTO S/A</v>
          </cell>
          <cell r="E7041" t="str">
            <v>BB BANCO DE INVESTIMENTO S/A</v>
          </cell>
        </row>
        <row r="7042">
          <cell r="B7042">
            <v>22349</v>
          </cell>
          <cell r="C7042" t="str">
            <v>BB BANCO DE INVESTIMENTO S/A</v>
          </cell>
          <cell r="D7042" t="str">
            <v>BB BANCO DE INVESTIMENTO S/A</v>
          </cell>
          <cell r="E7042" t="str">
            <v>BB BANCO DE INVESTIMENTO S/A</v>
          </cell>
        </row>
        <row r="7043">
          <cell r="B7043">
            <v>22352</v>
          </cell>
          <cell r="C7043" t="str">
            <v>BB BANCO DE INVESTIMENTO S/A</v>
          </cell>
          <cell r="D7043" t="str">
            <v>BB BANCO DE INVESTIMENTO S/A</v>
          </cell>
          <cell r="E7043" t="str">
            <v>BB BANCO DE INVESTIMENTO S/A</v>
          </cell>
        </row>
        <row r="7044">
          <cell r="B7044">
            <v>22354</v>
          </cell>
          <cell r="C7044" t="str">
            <v>BB BANCO DE INVESTIMENTO S/A</v>
          </cell>
          <cell r="D7044" t="str">
            <v>BB BANCO DE INVESTIMENTO S/A</v>
          </cell>
          <cell r="E7044" t="str">
            <v>BB BANCO DE INVESTIMENTO S/A</v>
          </cell>
        </row>
        <row r="7045">
          <cell r="B7045">
            <v>22355</v>
          </cell>
          <cell r="C7045" t="str">
            <v>BB BANCO DE INVESTIMENTO S/A</v>
          </cell>
          <cell r="D7045" t="str">
            <v>BB BANCO DE INVESTIMENTO S/A</v>
          </cell>
          <cell r="E7045" t="str">
            <v>BB BANCO DE INVESTIMENTO S/A</v>
          </cell>
        </row>
        <row r="7046">
          <cell r="B7046">
            <v>22356</v>
          </cell>
          <cell r="C7046" t="str">
            <v>BB BANCO DE INVESTIMENTO S/A</v>
          </cell>
          <cell r="D7046" t="str">
            <v>BB BANCO DE INVESTIMENTO S/A</v>
          </cell>
          <cell r="E7046" t="str">
            <v>BB BANCO DE INVESTIMENTO S/A</v>
          </cell>
        </row>
        <row r="7047">
          <cell r="B7047">
            <v>22357</v>
          </cell>
          <cell r="C7047" t="str">
            <v>BB BANCO DE INVESTIMENTO S/A</v>
          </cell>
          <cell r="D7047" t="str">
            <v>BB BANCO DE INVESTIMENTO S/A</v>
          </cell>
          <cell r="E7047" t="str">
            <v>BB BANCO DE INVESTIMENTO S/A</v>
          </cell>
        </row>
        <row r="7048">
          <cell r="B7048">
            <v>22360</v>
          </cell>
          <cell r="C7048" t="str">
            <v>BB BANCO DE INVESTIMENTO S/A</v>
          </cell>
          <cell r="D7048" t="str">
            <v>BB BANCO DE INVESTIMENTO S/A</v>
          </cell>
          <cell r="E7048" t="str">
            <v>BB BANCO DE INVESTIMENTO S/A</v>
          </cell>
        </row>
        <row r="7049">
          <cell r="B7049">
            <v>22364</v>
          </cell>
          <cell r="C7049" t="str">
            <v>BB BANCO DE INVESTIMENTO S/A</v>
          </cell>
          <cell r="D7049" t="str">
            <v>BB BANCO DE INVESTIMENTO S/A</v>
          </cell>
          <cell r="E7049" t="str">
            <v>BB BANCO DE INVESTIMENTO S/A</v>
          </cell>
        </row>
        <row r="7050">
          <cell r="B7050">
            <v>22368</v>
          </cell>
          <cell r="C7050" t="str">
            <v>BB BANCO DE INVESTIMENTO S/A</v>
          </cell>
          <cell r="D7050" t="str">
            <v>BB BANCO DE INVESTIMENTO S/A</v>
          </cell>
          <cell r="E7050" t="str">
            <v>BB BANCO DE INVESTIMENTO S/A</v>
          </cell>
        </row>
        <row r="7051">
          <cell r="B7051">
            <v>22369</v>
          </cell>
          <cell r="C7051" t="str">
            <v>BB BANCO DE INVESTIMENTO S/A</v>
          </cell>
          <cell r="D7051" t="str">
            <v>BB BANCO DE INVESTIMENTO S/A</v>
          </cell>
          <cell r="E7051" t="str">
            <v>BB BANCO DE INVESTIMENTO S/A</v>
          </cell>
        </row>
        <row r="7052">
          <cell r="B7052">
            <v>22372</v>
          </cell>
          <cell r="C7052" t="str">
            <v>BB BANCO DE INVESTIMENTO S/A</v>
          </cell>
          <cell r="D7052" t="str">
            <v>BB BANCO DE INVESTIMENTO S/A</v>
          </cell>
          <cell r="E7052" t="str">
            <v>BB BANCO DE INVESTIMENTO S/A</v>
          </cell>
        </row>
        <row r="7053">
          <cell r="B7053">
            <v>22373</v>
          </cell>
          <cell r="C7053" t="str">
            <v>BB BANCO DE INVESTIMENTO S/A</v>
          </cell>
          <cell r="D7053" t="str">
            <v>BB BANCO DE INVESTIMENTO S/A</v>
          </cell>
          <cell r="E7053" t="str">
            <v>BB BANCO DE INVESTIMENTO S/A</v>
          </cell>
        </row>
        <row r="7054">
          <cell r="B7054">
            <v>22379</v>
          </cell>
          <cell r="C7054" t="str">
            <v>BB BANCO DE INVESTIMENTO S/A</v>
          </cell>
          <cell r="D7054" t="str">
            <v>BB BANCO DE INVESTIMENTO S/A</v>
          </cell>
          <cell r="E7054" t="str">
            <v>BB BANCO DE INVESTIMENTO S/A</v>
          </cell>
        </row>
        <row r="7055">
          <cell r="B7055">
            <v>22381</v>
          </cell>
          <cell r="C7055" t="str">
            <v>BB BANCO DE INVESTIMENTO S/A</v>
          </cell>
          <cell r="D7055" t="str">
            <v>BB BANCO DE INVESTIMENTO S/A</v>
          </cell>
          <cell r="E7055" t="str">
            <v>BB BANCO DE INVESTIMENTO S/A</v>
          </cell>
        </row>
        <row r="7056">
          <cell r="B7056">
            <v>22382</v>
          </cell>
          <cell r="C7056" t="str">
            <v>BB BANCO DE INVESTIMENTO S/A</v>
          </cell>
          <cell r="D7056" t="str">
            <v>BB BANCO DE INVESTIMENTO S/A</v>
          </cell>
          <cell r="E7056" t="str">
            <v>BB BANCO DE INVESTIMENTO S/A</v>
          </cell>
        </row>
        <row r="7057">
          <cell r="B7057">
            <v>22391</v>
          </cell>
          <cell r="C7057" t="str">
            <v>BB GESTAO DE RECURSOS DTVM LTDA</v>
          </cell>
          <cell r="D7057" t="str">
            <v>BB GESTAO DE RECURSOS DTVM LTDA</v>
          </cell>
          <cell r="E7057" t="str">
            <v>BB BANCO DE INVESTIMENTO S/A</v>
          </cell>
        </row>
        <row r="7058">
          <cell r="B7058">
            <v>22393</v>
          </cell>
          <cell r="C7058" t="str">
            <v>BB BANCO DE INVESTIMENTO S/A</v>
          </cell>
          <cell r="D7058" t="str">
            <v>BB BANCO DE INVESTIMENTO S/A</v>
          </cell>
          <cell r="E7058" t="str">
            <v>BB BANCO DE INVESTIMENTO S/A</v>
          </cell>
        </row>
        <row r="7059">
          <cell r="B7059">
            <v>22394</v>
          </cell>
          <cell r="C7059" t="str">
            <v>BB BANCO DE INVESTIMENTO S/A</v>
          </cell>
          <cell r="D7059" t="str">
            <v>BB BANCO DE INVESTIMENTO S/A</v>
          </cell>
          <cell r="E7059" t="str">
            <v>BB BANCO DE INVESTIMENTO S/A</v>
          </cell>
        </row>
        <row r="7060">
          <cell r="B7060">
            <v>22395</v>
          </cell>
          <cell r="C7060" t="str">
            <v>BB GESTAO DE RECURSOS DTVM LTDA</v>
          </cell>
          <cell r="D7060" t="str">
            <v>BB GESTAO DE RECURSOS DTVM LTDA</v>
          </cell>
          <cell r="E7060" t="str">
            <v>BB GESTAO DE RECURSOS DTVM LTDA</v>
          </cell>
        </row>
        <row r="7061">
          <cell r="B7061">
            <v>22397</v>
          </cell>
          <cell r="C7061" t="str">
            <v>BB BANCO DE INVESTIMENTO S/A</v>
          </cell>
          <cell r="D7061" t="str">
            <v>BB BANCO DE INVESTIMENTO S/A</v>
          </cell>
          <cell r="E7061" t="str">
            <v>BB BANCO DE INVESTIMENTO S/A</v>
          </cell>
        </row>
        <row r="7062">
          <cell r="B7062">
            <v>248</v>
          </cell>
          <cell r="C7062" t="str">
            <v>BANCO SANTANDER (BRASIL) S/A</v>
          </cell>
          <cell r="D7062" t="str">
            <v>BANCO SANTANDER (BRASIL) S/A</v>
          </cell>
          <cell r="E7062" t="str">
            <v>BANCO SANTANDER (BRASIL) S/A</v>
          </cell>
        </row>
        <row r="7063">
          <cell r="B7063">
            <v>22400</v>
          </cell>
          <cell r="C7063" t="str">
            <v>BB BANCO DE INVESTIMENTO S/A</v>
          </cell>
          <cell r="D7063" t="str">
            <v>BB BANCO DE INVESTIMENTO S/A</v>
          </cell>
          <cell r="E7063" t="str">
            <v>BB BANCO DE INVESTIMENTO S/A</v>
          </cell>
        </row>
        <row r="7064">
          <cell r="B7064">
            <v>22402</v>
          </cell>
          <cell r="C7064" t="str">
            <v>BB BANCO DE INVESTIMENTO S/A</v>
          </cell>
          <cell r="D7064" t="str">
            <v>BB BANCO DE INVESTIMENTO S/A</v>
          </cell>
          <cell r="E7064" t="str">
            <v>BB BANCO DE INVESTIMENTO S/A</v>
          </cell>
        </row>
        <row r="7065">
          <cell r="B7065">
            <v>22403</v>
          </cell>
          <cell r="C7065" t="str">
            <v>BB BANCO DE INVESTIMENTO S/A</v>
          </cell>
          <cell r="D7065" t="str">
            <v>BB BANCO DE INVESTIMENTO S/A</v>
          </cell>
          <cell r="E7065" t="str">
            <v>BB BANCO DE INVESTIMENTO S/A</v>
          </cell>
        </row>
        <row r="7066">
          <cell r="B7066">
            <v>22404</v>
          </cell>
          <cell r="C7066" t="str">
            <v>BB BANCO DE INVESTIMENTO S/A</v>
          </cell>
          <cell r="D7066" t="str">
            <v>BB BANCO DE INVESTIMENTO S/A</v>
          </cell>
          <cell r="E7066" t="str">
            <v>BB BANCO DE INVESTIMENTO S/A</v>
          </cell>
        </row>
        <row r="7067">
          <cell r="B7067">
            <v>22405</v>
          </cell>
          <cell r="C7067" t="str">
            <v>BB BANCO DE INVESTIMENTO S/A</v>
          </cell>
          <cell r="D7067" t="str">
            <v>BB BANCO DE INVESTIMENTO S/A</v>
          </cell>
          <cell r="E7067" t="str">
            <v>BB BANCO DE INVESTIMENTO S/A</v>
          </cell>
        </row>
        <row r="7068">
          <cell r="B7068">
            <v>22407</v>
          </cell>
          <cell r="C7068" t="str">
            <v>BB GESTAO DE RECURSOS DTVM LTDA</v>
          </cell>
          <cell r="D7068" t="str">
            <v>BB GESTAO DE RECURSOS DTVM LTDA</v>
          </cell>
          <cell r="E7068" t="str">
            <v>BANCO DO BRASIL S/A</v>
          </cell>
        </row>
        <row r="7069">
          <cell r="B7069">
            <v>22409</v>
          </cell>
          <cell r="C7069" t="str">
            <v>BB BANCO DE INVESTIMENTO S/A</v>
          </cell>
          <cell r="D7069" t="str">
            <v>BB BANCO DE INVESTIMENTO S/A</v>
          </cell>
          <cell r="E7069" t="str">
            <v>BB BANCO DE INVESTIMENTO S/A</v>
          </cell>
        </row>
        <row r="7070">
          <cell r="B7070">
            <v>22415</v>
          </cell>
          <cell r="C7070" t="str">
            <v>BB BANCO DE INVESTIMENTO S/A</v>
          </cell>
          <cell r="D7070" t="str">
            <v>BB BANCO DE INVESTIMENTO S/A</v>
          </cell>
          <cell r="E7070" t="str">
            <v>BB BANCO DE INVESTIMENTO S/A</v>
          </cell>
        </row>
        <row r="7071">
          <cell r="B7071">
            <v>22416</v>
          </cell>
          <cell r="C7071" t="str">
            <v>BB GESTAO DE RECURSOS DTVM LTDA</v>
          </cell>
          <cell r="D7071" t="str">
            <v>BB GESTAO DE RECURSOS DTVM LTDA</v>
          </cell>
          <cell r="E7071" t="str">
            <v>BB GESTAO DE RECURSOS DTVM LTDA</v>
          </cell>
        </row>
        <row r="7072">
          <cell r="B7072">
            <v>22419</v>
          </cell>
          <cell r="C7072" t="str">
            <v>BB BANCO DE INVESTIMENTO S/A</v>
          </cell>
          <cell r="D7072" t="str">
            <v>BB BANCO DE INVESTIMENTO S/A</v>
          </cell>
          <cell r="E7072" t="str">
            <v>BB BANCO DE INVESTIMENTO S/A</v>
          </cell>
        </row>
        <row r="7073">
          <cell r="B7073">
            <v>22422</v>
          </cell>
          <cell r="C7073" t="str">
            <v>BB GESTAO DE RECURSOS DTVM LTDA</v>
          </cell>
          <cell r="D7073" t="str">
            <v>BB GESTAO DE RECURSOS DTVM LTDA</v>
          </cell>
          <cell r="E7073" t="str">
            <v>BB BANCO DE INVESTIMENTO S/A</v>
          </cell>
        </row>
        <row r="7074">
          <cell r="B7074">
            <v>22426</v>
          </cell>
          <cell r="C7074" t="str">
            <v>BB BANCO DE INVESTIMENTO S/A</v>
          </cell>
          <cell r="D7074" t="str">
            <v>BB BANCO DE INVESTIMENTO S/A</v>
          </cell>
          <cell r="E7074" t="str">
            <v>BB BANCO DE INVESTIMENTO S/A</v>
          </cell>
        </row>
        <row r="7075">
          <cell r="B7075">
            <v>22435</v>
          </cell>
          <cell r="C7075" t="str">
            <v>MELLON IBX STRATEGY FIA</v>
          </cell>
          <cell r="D7075" t="str">
            <v>MELLON IBX STRATEGY FIA</v>
          </cell>
          <cell r="E7075" t="str">
            <v>MELLON IBX STRATEGY FIA</v>
          </cell>
        </row>
        <row r="7076">
          <cell r="B7076">
            <v>22437</v>
          </cell>
          <cell r="C7076" t="str">
            <v>BB BANCO DE INVESTIMENTO S/A</v>
          </cell>
          <cell r="D7076" t="str">
            <v>BB BANCO DE INVESTIMENTO S/A</v>
          </cell>
          <cell r="E7076" t="str">
            <v>BB BANCO DE INVESTIMENTO S/A</v>
          </cell>
        </row>
        <row r="7077">
          <cell r="B7077">
            <v>22438</v>
          </cell>
          <cell r="C7077" t="str">
            <v>BB GESTAO DE RECURSOS DTVM LTDA</v>
          </cell>
          <cell r="D7077" t="str">
            <v>BB GESTAO DE RECURSOS DTVM LTDA</v>
          </cell>
          <cell r="E7077" t="str">
            <v>BB GESTAO DE RECURSOS DTVM LTDA</v>
          </cell>
        </row>
        <row r="7078">
          <cell r="B7078">
            <v>22439</v>
          </cell>
          <cell r="C7078" t="str">
            <v>BB BANCO DE INVESTIMENTO S/A</v>
          </cell>
          <cell r="D7078" t="str">
            <v>BB BANCO DE INVESTIMENTO S/A</v>
          </cell>
          <cell r="E7078" t="str">
            <v>BB BANCO DE INVESTIMENTO S/A</v>
          </cell>
        </row>
        <row r="7079">
          <cell r="B7079">
            <v>22442</v>
          </cell>
          <cell r="C7079" t="str">
            <v>BB BANCO DE INVESTIMENTO S/A</v>
          </cell>
          <cell r="D7079" t="str">
            <v>BB BANCO DE INVESTIMENTO S/A</v>
          </cell>
          <cell r="E7079" t="str">
            <v>BB BANCO DE INVESTIMENTO S/A</v>
          </cell>
        </row>
        <row r="7080">
          <cell r="B7080">
            <v>22447</v>
          </cell>
          <cell r="C7080" t="str">
            <v>BB BANCO DE INVESTIMENTO S/A</v>
          </cell>
          <cell r="D7080" t="str">
            <v>BB BANCO DE INVESTIMENTO S/A</v>
          </cell>
          <cell r="E7080" t="str">
            <v>BB BANCO DE INVESTIMENTO S/A</v>
          </cell>
        </row>
        <row r="7081">
          <cell r="B7081">
            <v>22449</v>
          </cell>
          <cell r="C7081" t="str">
            <v>BB BANCO DE INVESTIMENTO S/A</v>
          </cell>
          <cell r="D7081" t="str">
            <v>BB BANCO DE INVESTIMENTO S/A</v>
          </cell>
          <cell r="E7081" t="str">
            <v>BB BANCO DE INVESTIMENTO S/A</v>
          </cell>
        </row>
        <row r="7082">
          <cell r="B7082">
            <v>22450</v>
          </cell>
          <cell r="C7082" t="str">
            <v>BB BANCO DE INVESTIMENTO S/A</v>
          </cell>
          <cell r="D7082" t="str">
            <v>BB BANCO DE INVESTIMENTO S/A</v>
          </cell>
          <cell r="E7082" t="str">
            <v>BB BANCO DE INVESTIMENTO S/A</v>
          </cell>
        </row>
        <row r="7083">
          <cell r="B7083">
            <v>22454</v>
          </cell>
          <cell r="C7083" t="str">
            <v>BB BANCO DE INVESTIMENTO S/A</v>
          </cell>
          <cell r="D7083" t="str">
            <v>BB BANCO DE INVESTIMENTO S/A</v>
          </cell>
          <cell r="E7083" t="str">
            <v>BB BANCO DE INVESTIMENTO S/A</v>
          </cell>
        </row>
        <row r="7084">
          <cell r="B7084">
            <v>22457</v>
          </cell>
          <cell r="C7084" t="str">
            <v>BB BANCO DE INVESTIMENTO S/A</v>
          </cell>
          <cell r="D7084" t="str">
            <v>BB BANCO DE INVESTIMENTO S/A</v>
          </cell>
          <cell r="E7084" t="str">
            <v>BB BANCO DE INVESTIMENTO S/A</v>
          </cell>
        </row>
        <row r="7085">
          <cell r="B7085">
            <v>22460</v>
          </cell>
          <cell r="C7085" t="str">
            <v>BB BANCO DE INVESTIMENTO S/A</v>
          </cell>
          <cell r="D7085" t="str">
            <v>BB BANCO DE INVESTIMENTO S/A</v>
          </cell>
          <cell r="E7085" t="str">
            <v>BB BANCO DE INVESTIMENTO S/A</v>
          </cell>
        </row>
        <row r="7086">
          <cell r="B7086">
            <v>22466</v>
          </cell>
          <cell r="C7086" t="str">
            <v>BB BANCO DE INVESTIMENTO S/A</v>
          </cell>
          <cell r="D7086" t="str">
            <v>BB BANCO DE INVESTIMENTO S/A</v>
          </cell>
          <cell r="E7086" t="str">
            <v>BB BANCO DE INVESTIMENTO S/A</v>
          </cell>
        </row>
        <row r="7087">
          <cell r="B7087">
            <v>22469</v>
          </cell>
          <cell r="C7087" t="str">
            <v>BB BANCO DE INVESTIMENTO S/A</v>
          </cell>
          <cell r="D7087" t="str">
            <v>BB BANCO DE INVESTIMENTO S/A</v>
          </cell>
          <cell r="E7087" t="str">
            <v>BB BANCO DE INVESTIMENTO S/A</v>
          </cell>
        </row>
        <row r="7088">
          <cell r="B7088">
            <v>22470</v>
          </cell>
          <cell r="C7088" t="str">
            <v>BB BANCO DE INVESTIMENTO S/A</v>
          </cell>
          <cell r="D7088" t="str">
            <v>BB BANCO DE INVESTIMENTO S/A</v>
          </cell>
          <cell r="E7088" t="str">
            <v>BB BANCO DE INVESTIMENTO S/A</v>
          </cell>
        </row>
        <row r="7089">
          <cell r="B7089">
            <v>22472</v>
          </cell>
          <cell r="C7089" t="str">
            <v>BB BANCO DE INVESTIMENTO S/A</v>
          </cell>
          <cell r="D7089" t="str">
            <v>BB BANCO DE INVESTIMENTO S/A</v>
          </cell>
          <cell r="E7089" t="str">
            <v>BB BANCO DE INVESTIMENTO S/A</v>
          </cell>
        </row>
        <row r="7090">
          <cell r="B7090">
            <v>22473</v>
          </cell>
          <cell r="C7090" t="str">
            <v>BB BANCO DE INVESTIMENTO S/A</v>
          </cell>
          <cell r="D7090" t="str">
            <v>BB BANCO DE INVESTIMENTO S/A</v>
          </cell>
          <cell r="E7090" t="str">
            <v>BB BANCO DE INVESTIMENTO S/A</v>
          </cell>
        </row>
        <row r="7091">
          <cell r="B7091">
            <v>22474</v>
          </cell>
          <cell r="C7091" t="str">
            <v>BB BANCO DE INVESTIMENTO S/A</v>
          </cell>
          <cell r="D7091" t="str">
            <v>BB BANCO DE INVESTIMENTO S/A</v>
          </cell>
          <cell r="E7091" t="str">
            <v>BB BANCO DE INVESTIMENTO S/A</v>
          </cell>
        </row>
        <row r="7092">
          <cell r="B7092">
            <v>22491</v>
          </cell>
          <cell r="C7092" t="str">
            <v>BB BANCO DE INVESTIMENTO S/A</v>
          </cell>
          <cell r="D7092" t="str">
            <v>BB BANCO DE INVESTIMENTO S/A</v>
          </cell>
          <cell r="E7092" t="str">
            <v>BB BANCO DE INVESTIMENTO S/A</v>
          </cell>
        </row>
        <row r="7093">
          <cell r="B7093">
            <v>22492</v>
          </cell>
          <cell r="C7093" t="str">
            <v>BB BANCO DE INVESTIMENTO S/A</v>
          </cell>
          <cell r="D7093" t="str">
            <v>BB BANCO DE INVESTIMENTO S/A</v>
          </cell>
          <cell r="E7093" t="str">
            <v>BB BANCO DE INVESTIMENTO S/A</v>
          </cell>
        </row>
        <row r="7094">
          <cell r="B7094">
            <v>22493</v>
          </cell>
          <cell r="C7094" t="str">
            <v>BB BANCO DE INVESTIMENTO S/A</v>
          </cell>
          <cell r="D7094" t="str">
            <v>BB BANCO DE INVESTIMENTO S/A</v>
          </cell>
          <cell r="E7094" t="str">
            <v>BB BANCO DE INVESTIMENTO S/A</v>
          </cell>
        </row>
        <row r="7095">
          <cell r="B7095">
            <v>22496</v>
          </cell>
          <cell r="C7095" t="str">
            <v>BB BANCO DE INVESTIMENTO S/A</v>
          </cell>
          <cell r="D7095" t="str">
            <v>BB BANCO DE INVESTIMENTO S/A</v>
          </cell>
          <cell r="E7095" t="str">
            <v>BB BANCO DE INVESTIMENTO S/A</v>
          </cell>
        </row>
        <row r="7096">
          <cell r="B7096">
            <v>22499</v>
          </cell>
          <cell r="C7096" t="str">
            <v>BB BANCO DE INVESTIMENTO S/A</v>
          </cell>
          <cell r="D7096" t="str">
            <v>BB BANCO DE INVESTIMENTO S/A</v>
          </cell>
          <cell r="E7096" t="str">
            <v>BB BANCO DE INVESTIMENTO S/A</v>
          </cell>
        </row>
        <row r="7097">
          <cell r="B7097">
            <v>249</v>
          </cell>
          <cell r="C7097" t="str">
            <v>BANCO SANTANDER (BRASIL) S/A</v>
          </cell>
          <cell r="D7097" t="str">
            <v>BANCO SANTANDER (BRASIL) S/A</v>
          </cell>
          <cell r="E7097" t="str">
            <v>BANCO SANTANDER (BRASIL) S/A</v>
          </cell>
        </row>
        <row r="7098">
          <cell r="B7098">
            <v>22501</v>
          </cell>
          <cell r="C7098" t="str">
            <v>BB GESTAO DE RECURSOS DTVM LTDA</v>
          </cell>
          <cell r="D7098" t="str">
            <v>BB GESTAO DE RECURSOS DTVM LTDA</v>
          </cell>
          <cell r="E7098" t="str">
            <v>BB BANCO DE INVESTIMENTO S/A</v>
          </cell>
        </row>
        <row r="7099">
          <cell r="B7099">
            <v>22503</v>
          </cell>
          <cell r="C7099" t="str">
            <v>BB BANCO DE INVESTIMENTO S/A</v>
          </cell>
          <cell r="D7099" t="str">
            <v>BB BANCO DE INVESTIMENTO S/A</v>
          </cell>
          <cell r="E7099" t="str">
            <v>BB BANCO DE INVESTIMENTO S/A</v>
          </cell>
        </row>
        <row r="7100">
          <cell r="B7100">
            <v>22505</v>
          </cell>
          <cell r="C7100" t="str">
            <v>BB BANCO DE INVESTIMENTO S/A</v>
          </cell>
          <cell r="D7100" t="str">
            <v>BB BANCO DE INVESTIMENTO S/A</v>
          </cell>
          <cell r="E7100" t="str">
            <v>BB BANCO DE INVESTIMENTO S/A</v>
          </cell>
        </row>
        <row r="7101">
          <cell r="B7101">
            <v>22510</v>
          </cell>
          <cell r="C7101" t="str">
            <v>BB BANCO DE INVESTIMENTO S/A</v>
          </cell>
          <cell r="D7101" t="str">
            <v>BB BANCO DE INVESTIMENTO S/A</v>
          </cell>
          <cell r="E7101" t="str">
            <v>BB BANCO DE INVESTIMENTO S/A</v>
          </cell>
        </row>
        <row r="7102">
          <cell r="B7102">
            <v>22511</v>
          </cell>
          <cell r="C7102" t="str">
            <v>BB BANCO DE INVESTIMENTO S/A</v>
          </cell>
          <cell r="D7102" t="str">
            <v>BB BANCO DE INVESTIMENTO S/A</v>
          </cell>
          <cell r="E7102" t="str">
            <v>BB BANCO DE INVESTIMENTO S/A</v>
          </cell>
        </row>
        <row r="7103">
          <cell r="B7103">
            <v>22512</v>
          </cell>
          <cell r="C7103" t="str">
            <v>BB BANCO DE INVESTIMENTO S/A</v>
          </cell>
          <cell r="D7103" t="str">
            <v>BB BANCO DE INVESTIMENTO S/A</v>
          </cell>
          <cell r="E7103" t="str">
            <v>BB BANCO DE INVESTIMENTO S/A</v>
          </cell>
        </row>
        <row r="7104">
          <cell r="B7104">
            <v>22513</v>
          </cell>
          <cell r="C7104" t="str">
            <v>BB BANCO DE INVESTIMENTO S/A</v>
          </cell>
          <cell r="D7104" t="str">
            <v>BB BANCO DE INVESTIMENTO S/A</v>
          </cell>
          <cell r="E7104" t="str">
            <v>BB BANCO DE INVESTIMENTO S/A</v>
          </cell>
        </row>
        <row r="7105">
          <cell r="B7105">
            <v>22517</v>
          </cell>
          <cell r="C7105" t="str">
            <v>BB BANCO DE INVESTIMENTO S/A</v>
          </cell>
          <cell r="D7105" t="str">
            <v>BB BANCO DE INVESTIMENTO S/A</v>
          </cell>
          <cell r="E7105" t="str">
            <v>BB BANCO DE INVESTIMENTO S/A</v>
          </cell>
        </row>
        <row r="7106">
          <cell r="B7106">
            <v>22519</v>
          </cell>
          <cell r="C7106" t="str">
            <v>BB BANCO DE INVESTIMENTO S/A</v>
          </cell>
          <cell r="D7106" t="str">
            <v>BB BANCO DE INVESTIMENTO S/A</v>
          </cell>
          <cell r="E7106" t="str">
            <v>BB BANCO DE INVESTIMENTO S/A</v>
          </cell>
        </row>
        <row r="7107">
          <cell r="B7107">
            <v>22520</v>
          </cell>
          <cell r="C7107" t="str">
            <v>BB BANCO DE INVESTIMENTO S/A</v>
          </cell>
          <cell r="D7107" t="str">
            <v>BB BANCO DE INVESTIMENTO S/A</v>
          </cell>
          <cell r="E7107" t="str">
            <v>BB BANCO DE INVESTIMENTO S/A</v>
          </cell>
        </row>
        <row r="7108">
          <cell r="B7108">
            <v>22521</v>
          </cell>
          <cell r="C7108" t="str">
            <v>BB BANCO DE INVESTIMENTO S/A</v>
          </cell>
          <cell r="D7108" t="str">
            <v>BB BANCO DE INVESTIMENTO S/A</v>
          </cell>
          <cell r="E7108" t="str">
            <v>BB BANCO DE INVESTIMENTO S/A</v>
          </cell>
        </row>
        <row r="7109">
          <cell r="B7109">
            <v>22522</v>
          </cell>
          <cell r="C7109" t="str">
            <v>BB BANCO DE INVESTIMENTO S/A</v>
          </cell>
          <cell r="D7109" t="str">
            <v>BB BANCO DE INVESTIMENTO S/A</v>
          </cell>
          <cell r="E7109" t="str">
            <v>BB BANCO DE INVESTIMENTO S/A</v>
          </cell>
        </row>
        <row r="7110">
          <cell r="B7110">
            <v>22523</v>
          </cell>
          <cell r="C7110" t="str">
            <v>BB GESTAO DE RECURSOS DTVM LTDA</v>
          </cell>
          <cell r="D7110" t="str">
            <v>BB GESTAO DE RECURSOS DTVM LTDA</v>
          </cell>
          <cell r="E7110" t="str">
            <v>BB BANCO DE INVESTIMENTO S/A</v>
          </cell>
        </row>
        <row r="7111">
          <cell r="B7111">
            <v>22524</v>
          </cell>
          <cell r="C7111" t="str">
            <v>BB BANCO DE INVESTIMENTO S/A</v>
          </cell>
          <cell r="D7111" t="str">
            <v>BB BANCO DE INVESTIMENTO S/A</v>
          </cell>
          <cell r="E7111" t="str">
            <v>BB BANCO DE INVESTIMENTO S/A</v>
          </cell>
        </row>
        <row r="7112">
          <cell r="B7112">
            <v>22525</v>
          </cell>
          <cell r="C7112" t="str">
            <v>BB BANCO DE INVESTIMENTO S/A</v>
          </cell>
          <cell r="D7112" t="str">
            <v>BB BANCO DE INVESTIMENTO S/A</v>
          </cell>
          <cell r="E7112" t="str">
            <v>BB BANCO DE INVESTIMENTO S/A</v>
          </cell>
        </row>
        <row r="7113">
          <cell r="B7113">
            <v>22528</v>
          </cell>
          <cell r="C7113" t="str">
            <v>BB BANCO DE INVESTIMENTO S/A</v>
          </cell>
          <cell r="D7113" t="str">
            <v>BB BANCO DE INVESTIMENTO S/A</v>
          </cell>
          <cell r="E7113" t="str">
            <v>BB BANCO DE INVESTIMENTO S/A</v>
          </cell>
        </row>
        <row r="7114">
          <cell r="B7114">
            <v>22529</v>
          </cell>
          <cell r="C7114" t="str">
            <v>BB BANCO DE INVESTIMENTO S/A</v>
          </cell>
          <cell r="D7114" t="str">
            <v>BB BANCO DE INVESTIMENTO S/A</v>
          </cell>
          <cell r="E7114" t="str">
            <v>BB BANCO DE INVESTIMENTO S/A</v>
          </cell>
        </row>
        <row r="7115">
          <cell r="B7115">
            <v>22530</v>
          </cell>
          <cell r="C7115" t="str">
            <v>BB BANCO DE INVESTIMENTO S/A</v>
          </cell>
          <cell r="D7115" t="str">
            <v>BB BANCO DE INVESTIMENTO S/A</v>
          </cell>
          <cell r="E7115" t="str">
            <v>BB BANCO DE INVESTIMENTO S/A</v>
          </cell>
        </row>
        <row r="7116">
          <cell r="B7116">
            <v>22531</v>
          </cell>
          <cell r="C7116" t="str">
            <v>BB BANCO DE INVESTIMENTO S/A</v>
          </cell>
          <cell r="D7116" t="str">
            <v>BB BANCO DE INVESTIMENTO S/A</v>
          </cell>
          <cell r="E7116" t="str">
            <v>BB BANCO DE INVESTIMENTO S/A</v>
          </cell>
        </row>
        <row r="7117">
          <cell r="B7117">
            <v>22536</v>
          </cell>
          <cell r="C7117" t="str">
            <v>BB BANCO DE INVESTIMENTO S/A</v>
          </cell>
          <cell r="D7117" t="str">
            <v>BB BANCO DE INVESTIMENTO S/A</v>
          </cell>
          <cell r="E7117" t="str">
            <v>BB BANCO DE INVESTIMENTO S/A</v>
          </cell>
        </row>
        <row r="7118">
          <cell r="B7118">
            <v>22537</v>
          </cell>
          <cell r="C7118" t="str">
            <v>BB GESTAO DE RECURSOS DTVM LTDA</v>
          </cell>
          <cell r="D7118" t="str">
            <v>BB GESTAO DE RECURSOS DTVM LTDA</v>
          </cell>
          <cell r="E7118" t="str">
            <v>BB GESTAO DE RECURSOS DTVM LTDA</v>
          </cell>
        </row>
        <row r="7119">
          <cell r="B7119">
            <v>22538</v>
          </cell>
          <cell r="C7119" t="str">
            <v>BB BANCO DE INVESTIMENTO S/A</v>
          </cell>
          <cell r="D7119" t="str">
            <v>BB BANCO DE INVESTIMENTO S/A</v>
          </cell>
          <cell r="E7119" t="str">
            <v>BB BANCO DE INVESTIMENTO S/A</v>
          </cell>
        </row>
        <row r="7120">
          <cell r="B7120">
            <v>22540</v>
          </cell>
          <cell r="C7120" t="str">
            <v>BB BANCO DE INVESTIMENTO S/A</v>
          </cell>
          <cell r="D7120" t="str">
            <v>BB BANCO DE INVESTIMENTO S/A</v>
          </cell>
          <cell r="E7120" t="str">
            <v>BB BANCO DE INVESTIMENTO S/A</v>
          </cell>
        </row>
        <row r="7121">
          <cell r="B7121">
            <v>22541</v>
          </cell>
          <cell r="C7121" t="str">
            <v>BB BANCO DE INVESTIMENTO S/A</v>
          </cell>
          <cell r="D7121" t="str">
            <v>BB BANCO DE INVESTIMENTO S/A</v>
          </cell>
          <cell r="E7121" t="str">
            <v>BB BANCO DE INVESTIMENTO S/A</v>
          </cell>
        </row>
        <row r="7122">
          <cell r="B7122">
            <v>22542</v>
          </cell>
          <cell r="C7122" t="str">
            <v>BB BANCO DE INVESTIMENTO S/A</v>
          </cell>
          <cell r="D7122" t="str">
            <v>BB BANCO DE INVESTIMENTO S/A</v>
          </cell>
          <cell r="E7122" t="str">
            <v>BB BANCO DE INVESTIMENTO S/A</v>
          </cell>
        </row>
        <row r="7123">
          <cell r="B7123">
            <v>22544</v>
          </cell>
          <cell r="C7123" t="str">
            <v>BB BANCO DE INVESTIMENTO S/A</v>
          </cell>
          <cell r="D7123" t="str">
            <v>BB BANCO DE INVESTIMENTO S/A</v>
          </cell>
          <cell r="E7123" t="str">
            <v>BB BANCO DE INVESTIMENTO S/A</v>
          </cell>
        </row>
        <row r="7124">
          <cell r="B7124">
            <v>22545</v>
          </cell>
          <cell r="C7124" t="str">
            <v>BB BANCO DE INVESTIMENTO S/A</v>
          </cell>
          <cell r="D7124" t="str">
            <v>BB BANCO DE INVESTIMENTO S/A</v>
          </cell>
          <cell r="E7124" t="str">
            <v>BB BANCO DE INVESTIMENTO S/A</v>
          </cell>
        </row>
        <row r="7125">
          <cell r="B7125">
            <v>22548</v>
          </cell>
          <cell r="C7125" t="str">
            <v>BB GESTAO DE RECURSOS DTVM LTDA</v>
          </cell>
          <cell r="D7125" t="str">
            <v>BB GESTAO DE RECURSOS DTVM LTDA</v>
          </cell>
          <cell r="E7125" t="str">
            <v>BB GESTAO DE RECURSOS DTVM LTDA</v>
          </cell>
        </row>
        <row r="7126">
          <cell r="B7126">
            <v>22549</v>
          </cell>
          <cell r="C7126" t="str">
            <v>BB BANCO DE INVESTIMENTO S/A</v>
          </cell>
          <cell r="D7126" t="str">
            <v>BB BANCO DE INVESTIMENTO S/A</v>
          </cell>
          <cell r="E7126" t="str">
            <v>BB BANCO DE INVESTIMENTO S/A</v>
          </cell>
        </row>
        <row r="7127">
          <cell r="B7127">
            <v>22550</v>
          </cell>
          <cell r="C7127" t="str">
            <v>BB BANCO DE INVESTIMENTO S/A</v>
          </cell>
          <cell r="D7127" t="str">
            <v>BB BANCO DE INVESTIMENTO S/A</v>
          </cell>
          <cell r="E7127" t="str">
            <v>BB BANCO DE INVESTIMENTO S/A</v>
          </cell>
        </row>
        <row r="7128">
          <cell r="B7128">
            <v>22551</v>
          </cell>
          <cell r="C7128" t="str">
            <v>BB BANCO DE INVESTIMENTO S/A</v>
          </cell>
          <cell r="D7128" t="str">
            <v>BB BANCO DE INVESTIMENTO S/A</v>
          </cell>
          <cell r="E7128" t="str">
            <v>BB BANCO DE INVESTIMENTO S/A</v>
          </cell>
        </row>
        <row r="7129">
          <cell r="B7129">
            <v>22553</v>
          </cell>
          <cell r="C7129" t="str">
            <v>BB BANCO DE INVESTIMENTO S/A</v>
          </cell>
          <cell r="D7129" t="str">
            <v>BB BANCO DE INVESTIMENTO S/A</v>
          </cell>
          <cell r="E7129" t="str">
            <v>BB BANCO DE INVESTIMENTO S/A</v>
          </cell>
        </row>
        <row r="7130">
          <cell r="B7130">
            <v>22554</v>
          </cell>
          <cell r="C7130" t="str">
            <v>BB BANCO DE INVESTIMENTO S/A</v>
          </cell>
          <cell r="D7130" t="str">
            <v>BB BANCO DE INVESTIMENTO S/A</v>
          </cell>
          <cell r="E7130" t="str">
            <v>BB BANCO DE INVESTIMENTO S/A</v>
          </cell>
        </row>
        <row r="7131">
          <cell r="B7131">
            <v>22555</v>
          </cell>
          <cell r="C7131" t="str">
            <v>BB BANCO DE INVESTIMENTO S/A</v>
          </cell>
          <cell r="D7131" t="str">
            <v>BB BANCO DE INVESTIMENTO S/A</v>
          </cell>
          <cell r="E7131" t="str">
            <v>BB BANCO DE INVESTIMENTO S/A</v>
          </cell>
        </row>
        <row r="7132">
          <cell r="B7132">
            <v>22557</v>
          </cell>
          <cell r="C7132" t="str">
            <v>BB BANCO DE INVESTIMENTO S/A</v>
          </cell>
          <cell r="D7132" t="str">
            <v>BB BANCO DE INVESTIMENTO S/A</v>
          </cell>
          <cell r="E7132" t="str">
            <v>BB BANCO DE INVESTIMENTO S/A</v>
          </cell>
        </row>
        <row r="7133">
          <cell r="B7133">
            <v>22558</v>
          </cell>
          <cell r="C7133" t="str">
            <v>BB BANCO DE INVESTIMENTO S/A</v>
          </cell>
          <cell r="D7133" t="str">
            <v>BB BANCO DE INVESTIMENTO S/A</v>
          </cell>
          <cell r="E7133" t="str">
            <v>BB BANCO DE INVESTIMENTO S/A</v>
          </cell>
        </row>
        <row r="7134">
          <cell r="B7134">
            <v>22559</v>
          </cell>
          <cell r="C7134" t="str">
            <v>BB BANCO DE INVESTIMENTO S/A</v>
          </cell>
          <cell r="D7134" t="str">
            <v>BB BANCO DE INVESTIMENTO S/A</v>
          </cell>
          <cell r="E7134" t="str">
            <v>BB BANCO DE INVESTIMENTO S/A</v>
          </cell>
        </row>
        <row r="7135">
          <cell r="B7135">
            <v>22560</v>
          </cell>
          <cell r="C7135" t="str">
            <v>BB BANCO DE INVESTIMENTO S/A</v>
          </cell>
          <cell r="D7135" t="str">
            <v>BB BANCO DE INVESTIMENTO S/A</v>
          </cell>
          <cell r="E7135" t="str">
            <v>BB BANCO DE INVESTIMENTO S/A</v>
          </cell>
        </row>
        <row r="7136">
          <cell r="B7136">
            <v>22561</v>
          </cell>
          <cell r="C7136" t="str">
            <v>BB BANCO DE INVESTIMENTO S/A</v>
          </cell>
          <cell r="D7136" t="str">
            <v>BB BANCO DE INVESTIMENTO S/A</v>
          </cell>
          <cell r="E7136" t="str">
            <v>BB BANCO DE INVESTIMENTO S/A</v>
          </cell>
        </row>
        <row r="7137">
          <cell r="B7137">
            <v>22562</v>
          </cell>
          <cell r="C7137" t="str">
            <v>BB BANCO DE INVESTIMENTO S/A</v>
          </cell>
          <cell r="D7137" t="str">
            <v>BB BANCO DE INVESTIMENTO S/A</v>
          </cell>
          <cell r="E7137" t="str">
            <v>BB BANCO DE INVESTIMENTO S/A</v>
          </cell>
        </row>
        <row r="7138">
          <cell r="B7138">
            <v>22564</v>
          </cell>
          <cell r="C7138" t="str">
            <v>BB BANCO DE INVESTIMENTO S/A</v>
          </cell>
          <cell r="D7138" t="str">
            <v>BB BANCO DE INVESTIMENTO S/A</v>
          </cell>
          <cell r="E7138" t="str">
            <v>BB BANCO DE INVESTIMENTO S/A</v>
          </cell>
        </row>
        <row r="7139">
          <cell r="B7139">
            <v>22565</v>
          </cell>
          <cell r="C7139" t="str">
            <v>BB BANCO DE INVESTIMENTO S/A</v>
          </cell>
          <cell r="D7139" t="str">
            <v>BB BANCO DE INVESTIMENTO S/A</v>
          </cell>
          <cell r="E7139" t="str">
            <v>BB BANCO DE INVESTIMENTO S/A</v>
          </cell>
        </row>
        <row r="7140">
          <cell r="B7140">
            <v>22568</v>
          </cell>
          <cell r="C7140" t="str">
            <v>MELLON CAPIBARIBE FIA</v>
          </cell>
          <cell r="D7140" t="str">
            <v>MELLON CAPIBARIBE FIA</v>
          </cell>
          <cell r="E7140" t="str">
            <v>MELLON CAPIBARIBE FIA</v>
          </cell>
        </row>
        <row r="7141">
          <cell r="B7141">
            <v>22570</v>
          </cell>
          <cell r="C7141" t="str">
            <v>BB BANCO DE INVESTIMENTO S/A</v>
          </cell>
          <cell r="D7141" t="str">
            <v>BB BANCO DE INVESTIMENTO S/A</v>
          </cell>
          <cell r="E7141" t="str">
            <v>BB BANCO DE INVESTIMENTO S/A</v>
          </cell>
        </row>
        <row r="7142">
          <cell r="B7142">
            <v>22574</v>
          </cell>
          <cell r="C7142" t="str">
            <v>BB BANCO DE INVESTIMENTO S/A</v>
          </cell>
          <cell r="D7142" t="str">
            <v>BB BANCO DE INVESTIMENTO S/A</v>
          </cell>
          <cell r="E7142" t="str">
            <v>BB BANCO DE INVESTIMENTO S/A</v>
          </cell>
        </row>
        <row r="7143">
          <cell r="B7143">
            <v>22575</v>
          </cell>
          <cell r="C7143" t="str">
            <v>BB BANCO DE INVESTIMENTO S/A</v>
          </cell>
          <cell r="D7143" t="str">
            <v>BB BANCO DE INVESTIMENTO S/A</v>
          </cell>
          <cell r="E7143" t="str">
            <v>BB BANCO DE INVESTIMENTO S/A</v>
          </cell>
        </row>
        <row r="7144">
          <cell r="B7144">
            <v>22576</v>
          </cell>
          <cell r="C7144" t="str">
            <v>BB BANCO DE INVESTIMENTO S/A</v>
          </cell>
          <cell r="D7144" t="str">
            <v>BB BANCO DE INVESTIMENTO S/A</v>
          </cell>
          <cell r="E7144" t="str">
            <v>BB BANCO DE INVESTIMENTO S/A</v>
          </cell>
        </row>
        <row r="7145">
          <cell r="B7145">
            <v>22578</v>
          </cell>
          <cell r="C7145" t="str">
            <v>BB BANCO DE INVESTIMENTO S/A</v>
          </cell>
          <cell r="D7145" t="str">
            <v>BB BANCO DE INVESTIMENTO S/A</v>
          </cell>
          <cell r="E7145" t="str">
            <v>BB BANCO DE INVESTIMENTO S/A</v>
          </cell>
        </row>
        <row r="7146">
          <cell r="B7146">
            <v>22580</v>
          </cell>
          <cell r="C7146" t="str">
            <v>BB BANCO DE INVESTIMENTO S/A</v>
          </cell>
          <cell r="D7146" t="str">
            <v>BB BANCO DE INVESTIMENTO S/A</v>
          </cell>
          <cell r="E7146" t="str">
            <v>BB BANCO DE INVESTIMENTO S/A</v>
          </cell>
        </row>
        <row r="7147">
          <cell r="B7147">
            <v>22581</v>
          </cell>
          <cell r="C7147" t="str">
            <v>BB BANCO DE INVESTIMENTO S/A</v>
          </cell>
          <cell r="D7147" t="str">
            <v>BB BANCO DE INVESTIMENTO S/A</v>
          </cell>
          <cell r="E7147" t="str">
            <v>BB BANCO DE INVESTIMENTO S/A</v>
          </cell>
        </row>
        <row r="7148">
          <cell r="B7148">
            <v>22583</v>
          </cell>
          <cell r="C7148" t="str">
            <v>BB BANCO DE INVESTIMENTO S/A</v>
          </cell>
          <cell r="D7148" t="str">
            <v>BB BANCO DE INVESTIMENTO S/A</v>
          </cell>
          <cell r="E7148" t="str">
            <v>BB BANCO DE INVESTIMENTO S/A</v>
          </cell>
        </row>
        <row r="7149">
          <cell r="B7149">
            <v>22584</v>
          </cell>
          <cell r="C7149" t="str">
            <v>BB BANCO DE INVESTIMENTO S/A</v>
          </cell>
          <cell r="D7149" t="str">
            <v>BB BANCO DE INVESTIMENTO S/A</v>
          </cell>
          <cell r="E7149" t="str">
            <v>BB BANCO DE INVESTIMENTO S/A</v>
          </cell>
        </row>
        <row r="7150">
          <cell r="B7150">
            <v>22586</v>
          </cell>
          <cell r="C7150" t="str">
            <v>BB BANCO DE INVESTIMENTO S/A</v>
          </cell>
          <cell r="D7150" t="str">
            <v>BB BANCO DE INVESTIMENTO S/A</v>
          </cell>
          <cell r="E7150" t="str">
            <v>BB BANCO DE INVESTIMENTO S/A</v>
          </cell>
        </row>
        <row r="7151">
          <cell r="B7151">
            <v>22591</v>
          </cell>
          <cell r="C7151" t="str">
            <v>BB BANCO DE INVESTIMENTO S/A</v>
          </cell>
          <cell r="D7151" t="str">
            <v>BB BANCO DE INVESTIMENTO S/A</v>
          </cell>
          <cell r="E7151" t="str">
            <v>BB BANCO DE INVESTIMENTO S/A</v>
          </cell>
        </row>
        <row r="7152">
          <cell r="B7152">
            <v>22592</v>
          </cell>
          <cell r="C7152" t="str">
            <v>BB BANCO DE INVESTIMENTO S/A</v>
          </cell>
          <cell r="D7152" t="str">
            <v>BB BANCO DE INVESTIMENTO S/A</v>
          </cell>
          <cell r="E7152" t="str">
            <v>BB BANCO DE INVESTIMENTO S/A</v>
          </cell>
        </row>
        <row r="7153">
          <cell r="B7153">
            <v>22595</v>
          </cell>
          <cell r="C7153" t="str">
            <v>BB BANCO DE INVESTIMENTO S/A</v>
          </cell>
          <cell r="D7153" t="str">
            <v>BB BANCO DE INVESTIMENTO S/A</v>
          </cell>
          <cell r="E7153" t="str">
            <v>BB BANCO DE INVESTIMENTO S/A</v>
          </cell>
        </row>
        <row r="7154">
          <cell r="B7154">
            <v>22596</v>
          </cell>
          <cell r="C7154" t="str">
            <v>BB BANCO DE INVESTIMENTO S/A</v>
          </cell>
          <cell r="D7154" t="str">
            <v>BB BANCO DE INVESTIMENTO S/A</v>
          </cell>
          <cell r="E7154" t="str">
            <v>BB BANCO DE INVESTIMENTO S/A</v>
          </cell>
        </row>
        <row r="7155">
          <cell r="B7155">
            <v>22598</v>
          </cell>
          <cell r="C7155" t="str">
            <v>BB BANCO DE INVESTIMENTO S/A</v>
          </cell>
          <cell r="D7155" t="str">
            <v>BB BANCO DE INVESTIMENTO S/A</v>
          </cell>
          <cell r="E7155" t="str">
            <v>BB BANCO DE INVESTIMENTO S/A</v>
          </cell>
        </row>
        <row r="7156">
          <cell r="B7156">
            <v>250</v>
          </cell>
          <cell r="C7156" t="str">
            <v>BANCO SANTANDER (BRASIL) S/A</v>
          </cell>
          <cell r="D7156" t="str">
            <v>BANCO SANTANDER (BRASIL) S/A</v>
          </cell>
          <cell r="E7156" t="str">
            <v>BANCO SANTANDER (BRASIL) S/A</v>
          </cell>
        </row>
        <row r="7157">
          <cell r="B7157">
            <v>22600</v>
          </cell>
          <cell r="C7157" t="str">
            <v>BB BANCO DE INVESTIMENTO S/A</v>
          </cell>
          <cell r="D7157" t="str">
            <v>BB BANCO DE INVESTIMENTO S/A</v>
          </cell>
          <cell r="E7157" t="str">
            <v>BB BANCO DE INVESTIMENTO S/A</v>
          </cell>
        </row>
        <row r="7158">
          <cell r="B7158">
            <v>22601</v>
          </cell>
          <cell r="C7158" t="str">
            <v>BB BANCO DE INVESTIMENTO S/A</v>
          </cell>
          <cell r="D7158" t="str">
            <v>BB BANCO DE INVESTIMENTO S/A</v>
          </cell>
          <cell r="E7158" t="str">
            <v>BB BANCO DE INVESTIMENTO S/A</v>
          </cell>
        </row>
        <row r="7159">
          <cell r="B7159">
            <v>22602</v>
          </cell>
          <cell r="C7159" t="str">
            <v>BB BANCO DE INVESTIMENTO S/A</v>
          </cell>
          <cell r="D7159" t="str">
            <v>BB BANCO DE INVESTIMENTO S/A</v>
          </cell>
          <cell r="E7159" t="str">
            <v>BB BANCO DE INVESTIMENTO S/A</v>
          </cell>
        </row>
        <row r="7160">
          <cell r="B7160">
            <v>22603</v>
          </cell>
          <cell r="C7160" t="str">
            <v>BB BANCO DE INVESTIMENTO S/A</v>
          </cell>
          <cell r="D7160" t="str">
            <v>BB BANCO DE INVESTIMENTO S/A</v>
          </cell>
          <cell r="E7160" t="str">
            <v>BB BANCO DE INVESTIMENTO S/A</v>
          </cell>
        </row>
        <row r="7161">
          <cell r="B7161">
            <v>22606</v>
          </cell>
          <cell r="C7161" t="str">
            <v>BB BANCO DE INVESTIMENTO S/A</v>
          </cell>
          <cell r="D7161" t="str">
            <v>BB BANCO DE INVESTIMENTO S/A</v>
          </cell>
          <cell r="E7161" t="str">
            <v>BB BANCO DE INVESTIMENTO S/A</v>
          </cell>
        </row>
        <row r="7162">
          <cell r="B7162">
            <v>22610</v>
          </cell>
          <cell r="C7162" t="str">
            <v>BB BANCO DE INVESTIMENTO S/A</v>
          </cell>
          <cell r="D7162" t="str">
            <v>BB BANCO DE INVESTIMENTO S/A</v>
          </cell>
          <cell r="E7162" t="str">
            <v>BB BANCO DE INVESTIMENTO S/A</v>
          </cell>
        </row>
        <row r="7163">
          <cell r="B7163">
            <v>22612</v>
          </cell>
          <cell r="C7163" t="str">
            <v>BB BANCO DE INVESTIMENTO S/A</v>
          </cell>
          <cell r="D7163" t="str">
            <v>BB BANCO DE INVESTIMENTO S/A</v>
          </cell>
          <cell r="E7163" t="str">
            <v>BB BANCO DE INVESTIMENTO S/A</v>
          </cell>
        </row>
        <row r="7164">
          <cell r="B7164">
            <v>22618</v>
          </cell>
          <cell r="C7164" t="str">
            <v>BB BANCO DE INVESTIMENTO S/A</v>
          </cell>
          <cell r="D7164" t="str">
            <v>BB BANCO DE INVESTIMENTO S/A</v>
          </cell>
          <cell r="E7164" t="str">
            <v>BB BANCO DE INVESTIMENTO S/A</v>
          </cell>
        </row>
        <row r="7165">
          <cell r="B7165">
            <v>22620</v>
          </cell>
          <cell r="C7165" t="str">
            <v>BB BANCO DE INVESTIMENTO S/A</v>
          </cell>
          <cell r="D7165" t="str">
            <v>BB BANCO DE INVESTIMENTO S/A</v>
          </cell>
          <cell r="E7165" t="str">
            <v>BB BANCO DE INVESTIMENTO S/A</v>
          </cell>
        </row>
        <row r="7166">
          <cell r="B7166">
            <v>22626</v>
          </cell>
          <cell r="C7166" t="str">
            <v>BB GESTAO DE RECURSOS DTVM LTDA</v>
          </cell>
          <cell r="D7166" t="str">
            <v>BB GESTAO DE RECURSOS DTVM LTDA</v>
          </cell>
          <cell r="E7166" t="str">
            <v>BB BANCO DE INVESTIMENTO S/A</v>
          </cell>
        </row>
        <row r="7167">
          <cell r="B7167">
            <v>22631</v>
          </cell>
          <cell r="C7167" t="str">
            <v>BB GESTAO DE RECURSOS DTVM LTDA</v>
          </cell>
          <cell r="D7167" t="str">
            <v>BB GESTAO DE RECURSOS DTVM LTDA</v>
          </cell>
          <cell r="E7167" t="str">
            <v>BB GESTAO DE RECURSOS DTVM LTDA</v>
          </cell>
        </row>
        <row r="7168">
          <cell r="B7168">
            <v>22633</v>
          </cell>
          <cell r="C7168" t="str">
            <v>BB GESTAO DE RECURSOS DTVM LTDA</v>
          </cell>
          <cell r="D7168" t="str">
            <v>BB GESTAO DE RECURSOS DTVM LTDA</v>
          </cell>
          <cell r="E7168" t="str">
            <v>BB GESTAO DE RECURSOS DTVM LTDA</v>
          </cell>
        </row>
        <row r="7169">
          <cell r="B7169">
            <v>22634</v>
          </cell>
          <cell r="C7169" t="str">
            <v>BB BANCO DE INVESTIMENTO S/A</v>
          </cell>
          <cell r="D7169" t="str">
            <v>BB BANCO DE INVESTIMENTO S/A</v>
          </cell>
          <cell r="E7169" t="str">
            <v>BB BANCO DE INVESTIMENTO S/A</v>
          </cell>
        </row>
        <row r="7170">
          <cell r="B7170">
            <v>22635</v>
          </cell>
          <cell r="C7170" t="str">
            <v>BB BANCO DE INVESTIMENTO S/A</v>
          </cell>
          <cell r="D7170" t="str">
            <v>BB BANCO DE INVESTIMENTO S/A</v>
          </cell>
          <cell r="E7170" t="str">
            <v>BB BANCO DE INVESTIMENTO S/A</v>
          </cell>
        </row>
        <row r="7171">
          <cell r="B7171">
            <v>22637</v>
          </cell>
          <cell r="C7171" t="str">
            <v>BB GESTAO DE RECURSOS DTVM LTDA</v>
          </cell>
          <cell r="D7171" t="str">
            <v>BB GESTAO DE RECURSOS DTVM LTDA</v>
          </cell>
          <cell r="E7171" t="str">
            <v>BB GESTAO DE RECURSOS DTVM LTDA</v>
          </cell>
        </row>
        <row r="7172">
          <cell r="B7172">
            <v>22648</v>
          </cell>
          <cell r="C7172" t="str">
            <v>BB GESTAO DE RECURSOS DTVM LTDA</v>
          </cell>
          <cell r="D7172" t="str">
            <v>BB GESTAO DE RECURSOS DTVM LTDA</v>
          </cell>
          <cell r="E7172" t="str">
            <v>BB BANCO DE INVESTIMENTO S/A</v>
          </cell>
        </row>
        <row r="7173">
          <cell r="B7173">
            <v>22662</v>
          </cell>
          <cell r="C7173" t="str">
            <v>BB GESTAO DE RECURSOS DTVM LTDA</v>
          </cell>
          <cell r="D7173" t="str">
            <v>BB GESTAO DE RECURSOS DTVM LTDA</v>
          </cell>
          <cell r="E7173" t="str">
            <v>BB GESTAO DE RECURSOS DTVM LTDA</v>
          </cell>
        </row>
        <row r="7174">
          <cell r="B7174">
            <v>22669</v>
          </cell>
          <cell r="C7174" t="str">
            <v>BB BANCO DE INVESTIMENTO S/A</v>
          </cell>
          <cell r="D7174" t="str">
            <v>BB BANCO DE INVESTIMENTO S/A</v>
          </cell>
          <cell r="E7174" t="str">
            <v>BB BANCO DE INVESTIMENTO S/A</v>
          </cell>
        </row>
        <row r="7175">
          <cell r="B7175">
            <v>22673</v>
          </cell>
          <cell r="C7175" t="str">
            <v>BB GESTAO DE RECURSOS DTVM LTDA</v>
          </cell>
          <cell r="D7175" t="str">
            <v>BB GESTAO DE RECURSOS DTVM LTDA</v>
          </cell>
          <cell r="E7175" t="str">
            <v>BB BANCO DE INVESTIMENTO S/A</v>
          </cell>
        </row>
        <row r="7176">
          <cell r="B7176">
            <v>22675</v>
          </cell>
          <cell r="C7176" t="str">
            <v>BB GESTAO DE RECURSOS DTVM LTDA</v>
          </cell>
          <cell r="D7176" t="str">
            <v>BB GESTAO DE RECURSOS DTVM LTDA</v>
          </cell>
          <cell r="E7176" t="str">
            <v>BB BANCO DE INVESTIMENTO S/A</v>
          </cell>
        </row>
        <row r="7177">
          <cell r="B7177">
            <v>22677</v>
          </cell>
          <cell r="C7177" t="str">
            <v>BB BANCO DE INVESTIMENTO S/A</v>
          </cell>
          <cell r="D7177" t="str">
            <v>BB BANCO DE INVESTIMENTO S/A</v>
          </cell>
          <cell r="E7177" t="str">
            <v>BB BANCO DE INVESTIMENTO S/A</v>
          </cell>
        </row>
        <row r="7178">
          <cell r="B7178">
            <v>22683</v>
          </cell>
          <cell r="C7178" t="str">
            <v>BB GESTAO DE RECURSOS DTVM LTDA</v>
          </cell>
          <cell r="D7178" t="str">
            <v>BB GESTAO DE RECURSOS DTVM LTDA</v>
          </cell>
          <cell r="E7178" t="str">
            <v>BB BANCO DE INVESTIMENTO S/A</v>
          </cell>
        </row>
        <row r="7179">
          <cell r="B7179">
            <v>22689</v>
          </cell>
          <cell r="C7179" t="str">
            <v>BB BANCO DE INVESTIMENTO S/A</v>
          </cell>
          <cell r="D7179" t="str">
            <v>BB BANCO DE INVESTIMENTO S/A</v>
          </cell>
          <cell r="E7179" t="str">
            <v>BB BANCO DE INVESTIMENTO S/A</v>
          </cell>
        </row>
        <row r="7180">
          <cell r="B7180">
            <v>22690</v>
          </cell>
          <cell r="C7180" t="str">
            <v>BB GESTAO DE RECURSOS DTVM LTDA</v>
          </cell>
          <cell r="D7180" t="str">
            <v>BB GESTAO DE RECURSOS DTVM LTDA</v>
          </cell>
          <cell r="E7180" t="str">
            <v>BB GESTAO DE RECURSOS DTVM LTDA</v>
          </cell>
        </row>
        <row r="7181">
          <cell r="B7181">
            <v>22694</v>
          </cell>
          <cell r="C7181" t="str">
            <v>BB GESTAO DE RECURSOS DTVM LTDA</v>
          </cell>
          <cell r="D7181" t="str">
            <v>BB GESTAO DE RECURSOS DTVM LTDA</v>
          </cell>
          <cell r="E7181" t="str">
            <v>BB BANCO DE INVESTIMENTO S/A</v>
          </cell>
        </row>
        <row r="7182">
          <cell r="B7182">
            <v>227</v>
          </cell>
          <cell r="C7182" t="str">
            <v>BB GESTAO DE RECURSOS DTVM LTDA</v>
          </cell>
          <cell r="D7182" t="str">
            <v>BB GESTAO DE RECURSOS DTVM LTDA</v>
          </cell>
          <cell r="E7182" t="str">
            <v>BB GESTAO DE RECURSOS DTVM LTDA</v>
          </cell>
        </row>
        <row r="7183">
          <cell r="B7183">
            <v>22704</v>
          </cell>
          <cell r="C7183" t="str">
            <v>BB BANCO DE INVESTIMENTO S/A</v>
          </cell>
          <cell r="D7183" t="str">
            <v>BB BANCO DE INVESTIMENTO S/A</v>
          </cell>
          <cell r="E7183" t="str">
            <v>BB BANCO DE INVESTIMENTO S/A</v>
          </cell>
        </row>
        <row r="7184">
          <cell r="B7184">
            <v>22710</v>
          </cell>
          <cell r="C7184" t="str">
            <v>BB GESTAO DE RECURSOS DTVM LTDA</v>
          </cell>
          <cell r="D7184" t="str">
            <v>BB GESTAO DE RECURSOS DTVM LTDA</v>
          </cell>
          <cell r="E7184" t="str">
            <v>BB BANCO DE INVESTIMENTO S/A</v>
          </cell>
        </row>
        <row r="7185">
          <cell r="B7185">
            <v>22719</v>
          </cell>
          <cell r="C7185" t="str">
            <v>BB BANCO DE INVESTIMENTO S/A</v>
          </cell>
          <cell r="D7185" t="str">
            <v>BB BANCO DE INVESTIMENTO S/A</v>
          </cell>
          <cell r="E7185" t="str">
            <v>BB BANCO DE INVESTIMENTO S/A</v>
          </cell>
        </row>
        <row r="7186">
          <cell r="B7186">
            <v>22726</v>
          </cell>
          <cell r="C7186" t="str">
            <v>BB GESTAO DE RECURSOS DTVM LTDA</v>
          </cell>
          <cell r="D7186" t="str">
            <v>BB GESTAO DE RECURSOS DTVM LTDA</v>
          </cell>
          <cell r="E7186" t="str">
            <v>BB GESTAO DE RECURSOS DTVM LTDA</v>
          </cell>
        </row>
        <row r="7187">
          <cell r="B7187">
            <v>22728</v>
          </cell>
          <cell r="C7187" t="str">
            <v>BB GESTAO DE RECURSOS DTVM LTDA</v>
          </cell>
          <cell r="D7187" t="str">
            <v>BB GESTAO DE RECURSOS DTVM LTDA</v>
          </cell>
          <cell r="E7187" t="str">
            <v>BB BANCO DE INVESTIMENTO S/A</v>
          </cell>
        </row>
        <row r="7188">
          <cell r="B7188">
            <v>22729</v>
          </cell>
          <cell r="C7188" t="str">
            <v>BB BANCO DE INVESTIMENTO S/A</v>
          </cell>
          <cell r="D7188" t="str">
            <v>BB BANCO DE INVESTIMENTO S/A</v>
          </cell>
          <cell r="E7188" t="str">
            <v>BB BANCO DE INVESTIMENTO S/A</v>
          </cell>
        </row>
        <row r="7189">
          <cell r="B7189">
            <v>22734</v>
          </cell>
          <cell r="C7189" t="str">
            <v>BB GESTAO DE RECURSOS DTVM LTDA</v>
          </cell>
          <cell r="D7189" t="str">
            <v>BB GESTAO DE RECURSOS DTVM LTDA</v>
          </cell>
          <cell r="E7189" t="str">
            <v>BB BANCO DE INVESTIMENTO S/A</v>
          </cell>
        </row>
        <row r="7190">
          <cell r="B7190">
            <v>22736</v>
          </cell>
          <cell r="C7190" t="str">
            <v>BB GESTAO DE RECURSOS DTVM LTDA</v>
          </cell>
          <cell r="D7190" t="str">
            <v>BB GESTAO DE RECURSOS DTVM LTDA</v>
          </cell>
          <cell r="E7190" t="str">
            <v>BB BANCO DE INVESTIMENTO S/A</v>
          </cell>
        </row>
        <row r="7191">
          <cell r="B7191">
            <v>22739</v>
          </cell>
          <cell r="C7191" t="str">
            <v>BB BANCO DE INVESTIMENTO S/A</v>
          </cell>
          <cell r="D7191" t="str">
            <v>BB BANCO DE INVESTIMENTO S/A</v>
          </cell>
          <cell r="E7191" t="str">
            <v>BB BANCO DE INVESTIMENTO S/A</v>
          </cell>
        </row>
        <row r="7192">
          <cell r="B7192">
            <v>22747</v>
          </cell>
          <cell r="C7192" t="str">
            <v>BB GESTAO DE RECURSOS DTVM LTDA</v>
          </cell>
          <cell r="D7192" t="str">
            <v>BB GESTAO DE RECURSOS DTVM LTDA</v>
          </cell>
          <cell r="E7192" t="str">
            <v>BB BANCO DE INVESTIMENTO S/A</v>
          </cell>
        </row>
        <row r="7193">
          <cell r="B7193">
            <v>22748</v>
          </cell>
          <cell r="C7193" t="str">
            <v>BB BANCO DE INVESTIMENTO S/A</v>
          </cell>
          <cell r="D7193" t="str">
            <v>BB BANCO DE INVESTIMENTO S/A</v>
          </cell>
          <cell r="E7193" t="str">
            <v>BB BANCO DE INVESTIMENTO S/A</v>
          </cell>
        </row>
        <row r="7194">
          <cell r="B7194">
            <v>22750</v>
          </cell>
          <cell r="C7194" t="str">
            <v>BB GESTAO DE RECURSOS DTVM LTDA</v>
          </cell>
          <cell r="D7194" t="str">
            <v>BB GESTAO DE RECURSOS DTVM LTDA</v>
          </cell>
          <cell r="E7194" t="str">
            <v>BB BANCO DE INVESTIMENTO S/A</v>
          </cell>
        </row>
        <row r="7195">
          <cell r="B7195">
            <v>22751</v>
          </cell>
          <cell r="C7195" t="str">
            <v>BB GESTAO DE RECURSOS DTVM LTDA</v>
          </cell>
          <cell r="D7195" t="str">
            <v>BB GESTAO DE RECURSOS DTVM LTDA</v>
          </cell>
          <cell r="E7195" t="str">
            <v>BB BANCO DE INVESTIMENTO S/A</v>
          </cell>
        </row>
        <row r="7196">
          <cell r="B7196">
            <v>22754</v>
          </cell>
          <cell r="C7196" t="str">
            <v>BB BANCO DE INVESTIMENTO S/A</v>
          </cell>
          <cell r="D7196" t="str">
            <v>BB BANCO DE INVESTIMENTO S/A</v>
          </cell>
          <cell r="E7196" t="str">
            <v>BB BANCO DE INVESTIMENTO S/A</v>
          </cell>
        </row>
        <row r="7197">
          <cell r="B7197">
            <v>22757</v>
          </cell>
          <cell r="C7197" t="str">
            <v>BB GESTAO DE RECURSOS DTVM LTDA</v>
          </cell>
          <cell r="D7197" t="str">
            <v>BB GESTAO DE RECURSOS DTVM LTDA</v>
          </cell>
          <cell r="E7197" t="str">
            <v>BB BANCO DE INVESTIMENTO S/A</v>
          </cell>
        </row>
        <row r="7198">
          <cell r="B7198">
            <v>22758</v>
          </cell>
          <cell r="C7198" t="str">
            <v>BB BANCO DE INVESTIMENTO S/A</v>
          </cell>
          <cell r="D7198" t="str">
            <v>BB BANCO DE INVESTIMENTO S/A</v>
          </cell>
          <cell r="E7198" t="str">
            <v>BB BANCO DE INVESTIMENTO S/A</v>
          </cell>
        </row>
        <row r="7199">
          <cell r="B7199">
            <v>22763</v>
          </cell>
          <cell r="C7199" t="str">
            <v>BB GESTAO DE RECURSOS DTVM LTDA</v>
          </cell>
          <cell r="D7199" t="str">
            <v>BB GESTAO DE RECURSOS DTVM LTDA</v>
          </cell>
          <cell r="E7199" t="str">
            <v>BB BANCO DE INVESTIMENTO S/A</v>
          </cell>
        </row>
        <row r="7200">
          <cell r="B7200">
            <v>22766</v>
          </cell>
          <cell r="C7200" t="str">
            <v>BB GESTAO DE RECURSOS DTVM LTDA</v>
          </cell>
          <cell r="D7200" t="str">
            <v>BB GESTAO DE RECURSOS DTVM LTDA</v>
          </cell>
          <cell r="E7200" t="str">
            <v>BB BANCO DE INVESTIMENTO S/A</v>
          </cell>
        </row>
        <row r="7201">
          <cell r="B7201">
            <v>22768</v>
          </cell>
          <cell r="C7201" t="str">
            <v>BB GESTAO DE RECURSOS DTVM LTDA</v>
          </cell>
          <cell r="D7201" t="str">
            <v>BB GESTAO DE RECURSOS DTVM LTDA</v>
          </cell>
          <cell r="E7201" t="str">
            <v>BB BANCO DE INVESTIMENTO S/A</v>
          </cell>
        </row>
        <row r="7202">
          <cell r="B7202">
            <v>22772</v>
          </cell>
          <cell r="C7202" t="str">
            <v>BB GESTAO DE RECURSOS DTVM LTDA</v>
          </cell>
          <cell r="D7202" t="str">
            <v>BB GESTAO DE RECURSOS DTVM LTDA</v>
          </cell>
          <cell r="E7202" t="str">
            <v>BB GESTAO DE RECURSOS DTVM LTDA</v>
          </cell>
        </row>
        <row r="7203">
          <cell r="B7203">
            <v>22774</v>
          </cell>
          <cell r="C7203" t="str">
            <v>BB BANCO DE INVESTIMENTO S/A</v>
          </cell>
          <cell r="D7203" t="str">
            <v>BB BANCO DE INVESTIMENTO S/A</v>
          </cell>
          <cell r="E7203" t="str">
            <v>BB BANCO DE INVESTIMENTO S/A</v>
          </cell>
        </row>
        <row r="7204">
          <cell r="B7204">
            <v>22775</v>
          </cell>
          <cell r="C7204" t="str">
            <v>BB BANCO DE INVESTIMENTO S/A</v>
          </cell>
          <cell r="D7204" t="str">
            <v>BB BANCO DE INVESTIMENTO S/A</v>
          </cell>
          <cell r="E7204" t="str">
            <v>BB BANCO DE INVESTIMENTO S/A</v>
          </cell>
        </row>
        <row r="7205">
          <cell r="B7205">
            <v>22776</v>
          </cell>
          <cell r="C7205" t="str">
            <v>BB BANCO DE INVESTIMENTO S/A</v>
          </cell>
          <cell r="D7205" t="str">
            <v>BB BANCO DE INVESTIMENTO S/A</v>
          </cell>
          <cell r="E7205" t="str">
            <v>BB BANCO DE INVESTIMENTO S/A</v>
          </cell>
        </row>
        <row r="7206">
          <cell r="B7206">
            <v>22781</v>
          </cell>
          <cell r="C7206" t="str">
            <v>BB BANCO DE INVESTIMENTO S/A</v>
          </cell>
          <cell r="D7206" t="str">
            <v>BB BANCO DE INVESTIMENTO S/A</v>
          </cell>
          <cell r="E7206" t="str">
            <v>BB BANCO DE INVESTIMENTO S/A</v>
          </cell>
        </row>
        <row r="7207">
          <cell r="B7207">
            <v>22782</v>
          </cell>
          <cell r="C7207" t="str">
            <v>BB BANCO DE INVESTIMENTO S/A</v>
          </cell>
          <cell r="D7207" t="str">
            <v>BB BANCO DE INVESTIMENTO S/A</v>
          </cell>
          <cell r="E7207" t="str">
            <v>BB BANCO DE INVESTIMENTO S/A</v>
          </cell>
        </row>
        <row r="7208">
          <cell r="B7208">
            <v>251</v>
          </cell>
          <cell r="C7208" t="str">
            <v>BANCO SANTANDER (BRASIL) S/A</v>
          </cell>
          <cell r="D7208" t="str">
            <v>BANCO SANTANDER (BRASIL) S/A</v>
          </cell>
          <cell r="E7208" t="str">
            <v>BANCO SANTANDER (BRASIL) S/A</v>
          </cell>
        </row>
        <row r="7209">
          <cell r="B7209">
            <v>22801</v>
          </cell>
          <cell r="C7209" t="str">
            <v>BB GESTAO DE RECURSOS DTVM LTDA</v>
          </cell>
          <cell r="D7209" t="str">
            <v>BB GESTAO DE RECURSOS DTVM LTDA</v>
          </cell>
          <cell r="E7209" t="str">
            <v>BB BANCO DE INVESTIMENTO S/A</v>
          </cell>
        </row>
        <row r="7210">
          <cell r="B7210">
            <v>22804</v>
          </cell>
          <cell r="C7210" t="str">
            <v>BB BANCO DE INVESTIMENTO S/A</v>
          </cell>
          <cell r="D7210" t="str">
            <v>BB BANCO DE INVESTIMENTO S/A</v>
          </cell>
          <cell r="E7210" t="str">
            <v>BB BANCO DE INVESTIMENTO S/A</v>
          </cell>
        </row>
        <row r="7211">
          <cell r="B7211">
            <v>22806</v>
          </cell>
          <cell r="C7211" t="str">
            <v>BB GESTAO DE RECURSOS DTVM LTDA</v>
          </cell>
          <cell r="D7211" t="str">
            <v>BB GESTAO DE RECURSOS DTVM LTDA</v>
          </cell>
          <cell r="E7211" t="str">
            <v>BB BANCO DE INVESTIMENTO S/A</v>
          </cell>
        </row>
        <row r="7212">
          <cell r="B7212">
            <v>22819</v>
          </cell>
          <cell r="C7212" t="str">
            <v>BB BANCO DE INVESTIMENTO S/A</v>
          </cell>
          <cell r="D7212" t="str">
            <v>BB BANCO DE INVESTIMENTO S/A</v>
          </cell>
          <cell r="E7212" t="str">
            <v>BB BANCO DE INVESTIMENTO S/A</v>
          </cell>
        </row>
        <row r="7213">
          <cell r="B7213">
            <v>22821</v>
          </cell>
          <cell r="C7213" t="str">
            <v>BB BANCO DE INVESTIMENTO S/A</v>
          </cell>
          <cell r="D7213" t="str">
            <v>BB BANCO DE INVESTIMENTO S/A</v>
          </cell>
          <cell r="E7213" t="str">
            <v>BB BANCO DE INVESTIMENTO S/A</v>
          </cell>
        </row>
        <row r="7214">
          <cell r="B7214">
            <v>22823</v>
          </cell>
          <cell r="C7214" t="str">
            <v>BB GESTAO DE RECURSOS DTVM LTDA</v>
          </cell>
          <cell r="D7214" t="str">
            <v>BB GESTAO DE RECURSOS DTVM LTDA</v>
          </cell>
          <cell r="E7214" t="str">
            <v>BB GESTAO DE RECURSOS DTVM LTDA</v>
          </cell>
        </row>
        <row r="7215">
          <cell r="B7215">
            <v>22826</v>
          </cell>
          <cell r="C7215" t="str">
            <v>BB BANCO DE INVESTIMENTO S/A</v>
          </cell>
          <cell r="D7215" t="str">
            <v>BB BANCO DE INVESTIMENTO S/A</v>
          </cell>
          <cell r="E7215" t="str">
            <v>BB BANCO DE INVESTIMENTO S/A</v>
          </cell>
        </row>
        <row r="7216">
          <cell r="B7216">
            <v>22830</v>
          </cell>
          <cell r="C7216" t="str">
            <v>BB BANCO DE INVESTIMENTO S/A</v>
          </cell>
          <cell r="D7216" t="str">
            <v>BB BANCO DE INVESTIMENTO S/A</v>
          </cell>
          <cell r="E7216" t="str">
            <v>BB BANCO DE INVESTIMENTO S/A</v>
          </cell>
        </row>
        <row r="7217">
          <cell r="B7217">
            <v>22831</v>
          </cell>
          <cell r="C7217" t="str">
            <v>BB BANCO DE INVESTIMENTO S/A</v>
          </cell>
          <cell r="D7217" t="str">
            <v>BB BANCO DE INVESTIMENTO S/A</v>
          </cell>
          <cell r="E7217" t="str">
            <v>BB BANCO DE INVESTIMENTO S/A</v>
          </cell>
        </row>
        <row r="7218">
          <cell r="B7218">
            <v>22832</v>
          </cell>
          <cell r="C7218" t="str">
            <v>BB BANCO DE INVESTIMENTO S/A</v>
          </cell>
          <cell r="D7218" t="str">
            <v>BB BANCO DE INVESTIMENTO S/A</v>
          </cell>
          <cell r="E7218" t="str">
            <v>BB BANCO DE INVESTIMENTO S/A</v>
          </cell>
        </row>
        <row r="7219">
          <cell r="B7219">
            <v>22834</v>
          </cell>
          <cell r="C7219" t="str">
            <v>BB BANCO DE INVESTIMENTO S/A</v>
          </cell>
          <cell r="D7219" t="str">
            <v>BB BANCO DE INVESTIMENTO S/A</v>
          </cell>
          <cell r="E7219" t="str">
            <v>BB BANCO DE INVESTIMENTO S/A</v>
          </cell>
        </row>
        <row r="7220">
          <cell r="B7220">
            <v>22838</v>
          </cell>
          <cell r="C7220" t="str">
            <v>BB BANCO DE INVESTIMENTO S/A</v>
          </cell>
          <cell r="D7220" t="str">
            <v>BB BANCO DE INVESTIMENTO S/A</v>
          </cell>
          <cell r="E7220" t="str">
            <v>BB BANCO DE INVESTIMENTO S/A</v>
          </cell>
        </row>
        <row r="7221">
          <cell r="B7221">
            <v>228384</v>
          </cell>
          <cell r="C7221" t="str">
            <v>BB BANCO DE INVESTIMENTO S/A</v>
          </cell>
          <cell r="D7221" t="str">
            <v>BB BANCO DE INVESTIMENTO S/A</v>
          </cell>
          <cell r="E7221" t="str">
            <v>BB BANCO DE INVESTIMENTO S/A</v>
          </cell>
        </row>
        <row r="7222">
          <cell r="B7222">
            <v>22839</v>
          </cell>
          <cell r="C7222" t="str">
            <v>BB BANCO DE INVESTIMENTO S/A</v>
          </cell>
          <cell r="D7222" t="str">
            <v>BB BANCO DE INVESTIMENTO S/A</v>
          </cell>
          <cell r="E7222" t="str">
            <v>BB BANCO DE INVESTIMENTO S/A</v>
          </cell>
        </row>
        <row r="7223">
          <cell r="B7223">
            <v>22840</v>
          </cell>
          <cell r="C7223" t="str">
            <v>BB GESTAO DE RECURSOS DTVM LTDA</v>
          </cell>
          <cell r="D7223" t="str">
            <v>BB GESTAO DE RECURSOS DTVM LTDA</v>
          </cell>
          <cell r="E7223" t="str">
            <v>BB GESTAO DE RECURSOS DTVM LTDA</v>
          </cell>
        </row>
        <row r="7224">
          <cell r="B7224">
            <v>22842</v>
          </cell>
          <cell r="C7224" t="str">
            <v>BB GESTAO DE RECURSOS DTVM LTDA</v>
          </cell>
          <cell r="D7224" t="str">
            <v>BB GESTAO DE RECURSOS DTVM LTDA</v>
          </cell>
          <cell r="E7224" t="str">
            <v>BB BANCO DE INVESTIMENTO S/A</v>
          </cell>
        </row>
        <row r="7225">
          <cell r="B7225">
            <v>22843</v>
          </cell>
          <cell r="C7225" t="str">
            <v>BB GESTAO DE RECURSOS DTVM LTDA</v>
          </cell>
          <cell r="D7225" t="str">
            <v>BB GESTAO DE RECURSOS DTVM LTDA</v>
          </cell>
          <cell r="E7225" t="str">
            <v>BB BANCO DE INVESTIMENTO S/A</v>
          </cell>
        </row>
        <row r="7226">
          <cell r="B7226">
            <v>22844</v>
          </cell>
          <cell r="C7226" t="str">
            <v>BB GESTAO DE RECURSOS DTVM LTDA</v>
          </cell>
          <cell r="D7226" t="str">
            <v>BB GESTAO DE RECURSOS DTVM LTDA</v>
          </cell>
          <cell r="E7226" t="str">
            <v>BB BANCO DE INVESTIMENTO S/A</v>
          </cell>
        </row>
        <row r="7227">
          <cell r="B7227">
            <v>22846</v>
          </cell>
          <cell r="C7227" t="str">
            <v>BB GESTAO DE RECURSOS DTVM LTDA</v>
          </cell>
          <cell r="D7227" t="str">
            <v>BB GESTAO DE RECURSOS DTVM LTDA</v>
          </cell>
          <cell r="E7227" t="str">
            <v>BB BANCO DE INVESTIMENTO S/A</v>
          </cell>
        </row>
        <row r="7228">
          <cell r="B7228">
            <v>22848</v>
          </cell>
          <cell r="C7228" t="str">
            <v>BB GESTAO DE RECURSOS DTVM LTDA</v>
          </cell>
          <cell r="D7228" t="str">
            <v>BB GESTAO DE RECURSOS DTVM LTDA</v>
          </cell>
          <cell r="E7228" t="str">
            <v>BB BANCO DE INVESTIMENTO S/A</v>
          </cell>
        </row>
        <row r="7229">
          <cell r="B7229">
            <v>22849</v>
          </cell>
          <cell r="C7229" t="str">
            <v>BB BANCO DE INVESTIMENTO S/A</v>
          </cell>
          <cell r="D7229" t="str">
            <v>BB BANCO DE INVESTIMENTO S/A</v>
          </cell>
          <cell r="E7229" t="str">
            <v>BB BANCO DE INVESTIMENTO S/A</v>
          </cell>
        </row>
        <row r="7230">
          <cell r="B7230">
            <v>22850</v>
          </cell>
          <cell r="C7230" t="str">
            <v>BB GESTAO DE RECURSOS DTVM LTDA</v>
          </cell>
          <cell r="D7230" t="str">
            <v>BB GESTAO DE RECURSOS DTVM LTDA</v>
          </cell>
          <cell r="E7230" t="str">
            <v>BB BANCO DE INVESTIMENTO S/A</v>
          </cell>
        </row>
        <row r="7231">
          <cell r="B7231">
            <v>22851</v>
          </cell>
          <cell r="C7231" t="str">
            <v>BB BANCO DE INVESTIMENTO S/A</v>
          </cell>
          <cell r="D7231" t="str">
            <v>BB BANCO DE INVESTIMENTO S/A</v>
          </cell>
          <cell r="E7231" t="str">
            <v>BB BANCO DE INVESTIMENTO S/A</v>
          </cell>
        </row>
        <row r="7232">
          <cell r="B7232">
            <v>22853</v>
          </cell>
          <cell r="C7232" t="str">
            <v>BB GESTAO DE RECURSOS DTVM LTDA</v>
          </cell>
          <cell r="D7232" t="str">
            <v>BB GESTAO DE RECURSOS DTVM LTDA</v>
          </cell>
          <cell r="E7232" t="str">
            <v>BB BANCO DE INVESTIMENTO S/A</v>
          </cell>
        </row>
        <row r="7233">
          <cell r="B7233">
            <v>22854</v>
          </cell>
          <cell r="C7233" t="str">
            <v>BB GESTAO DE RECURSOS DTVM LTDA</v>
          </cell>
          <cell r="D7233" t="str">
            <v>BB GESTAO DE RECURSOS DTVM LTDA</v>
          </cell>
          <cell r="E7233" t="str">
            <v>BB BANCO DE INVESTIMENTO S/A</v>
          </cell>
        </row>
        <row r="7234">
          <cell r="B7234">
            <v>22856</v>
          </cell>
          <cell r="C7234" t="str">
            <v>BB GESTAO DE RECURSOS DTVM LTDA</v>
          </cell>
          <cell r="D7234" t="str">
            <v>BB GESTAO DE RECURSOS DTVM LTDA</v>
          </cell>
          <cell r="E7234" t="str">
            <v>BB BANCO DE INVESTIMENTO S/A</v>
          </cell>
        </row>
        <row r="7235">
          <cell r="B7235">
            <v>22857</v>
          </cell>
          <cell r="C7235" t="str">
            <v>BB GESTAO DE RECURSOS DTVM LTDA</v>
          </cell>
          <cell r="D7235" t="str">
            <v>BB GESTAO DE RECURSOS DTVM LTDA</v>
          </cell>
          <cell r="E7235" t="str">
            <v>BB BANCO DE INVESTIMENTO S/A</v>
          </cell>
        </row>
        <row r="7236">
          <cell r="B7236">
            <v>22858</v>
          </cell>
          <cell r="C7236" t="str">
            <v>BB BANCO DE INVESTIMENTO S/A</v>
          </cell>
          <cell r="D7236" t="str">
            <v>BB BANCO DE INVESTIMENTO S/A</v>
          </cell>
          <cell r="E7236" t="str">
            <v>BB BANCO DE INVESTIMENTO S/A</v>
          </cell>
        </row>
        <row r="7237">
          <cell r="B7237">
            <v>22861</v>
          </cell>
          <cell r="C7237" t="str">
            <v>BB GESTAO DE RECURSOS DTVM LTDA</v>
          </cell>
          <cell r="D7237" t="str">
            <v>BB GESTAO DE RECURSOS DTVM LTDA</v>
          </cell>
          <cell r="E7237" t="str">
            <v>BB BANCO DE INVESTIMENTO S/A</v>
          </cell>
        </row>
        <row r="7238">
          <cell r="B7238">
            <v>22862</v>
          </cell>
          <cell r="C7238" t="str">
            <v>BB GESTAO DE RECURSOS DTVM LTDA</v>
          </cell>
          <cell r="D7238" t="str">
            <v>BB GESTAO DE RECURSOS DTVM LTDA</v>
          </cell>
          <cell r="E7238" t="str">
            <v>BB BANCO DE INVESTIMENTO S/A</v>
          </cell>
        </row>
        <row r="7239">
          <cell r="B7239">
            <v>22863</v>
          </cell>
          <cell r="C7239" t="str">
            <v>BB GESTAO DE RECURSOS DTVM LTDA</v>
          </cell>
          <cell r="D7239" t="str">
            <v>BB GESTAO DE RECURSOS DTVM LTDA</v>
          </cell>
          <cell r="E7239" t="str">
            <v>BB BANCO DE INVESTIMENTO S/A</v>
          </cell>
        </row>
        <row r="7240">
          <cell r="B7240">
            <v>22871</v>
          </cell>
          <cell r="C7240" t="str">
            <v>BB BANCO DE INVESTIMENTO S/A</v>
          </cell>
          <cell r="D7240" t="str">
            <v>BB BANCO DE INVESTIMENTO S/A</v>
          </cell>
          <cell r="E7240" t="str">
            <v>BB BANCO DE INVESTIMENTO S/A</v>
          </cell>
        </row>
        <row r="7241">
          <cell r="B7241">
            <v>22873</v>
          </cell>
          <cell r="C7241" t="str">
            <v>BB BANCO DE INVESTIMENTO S/A</v>
          </cell>
          <cell r="D7241" t="str">
            <v>BB BANCO DE INVESTIMENTO S/A</v>
          </cell>
          <cell r="E7241" t="str">
            <v>BB BANCO DE INVESTIMENTO S/A</v>
          </cell>
        </row>
        <row r="7242">
          <cell r="B7242">
            <v>22874</v>
          </cell>
          <cell r="C7242" t="str">
            <v>BB BANCO DE INVESTIMENTO S/A</v>
          </cell>
          <cell r="D7242" t="str">
            <v>BB BANCO DE INVESTIMENTO S/A</v>
          </cell>
          <cell r="E7242" t="str">
            <v>BB BANCO DE INVESTIMENTO S/A</v>
          </cell>
        </row>
        <row r="7243">
          <cell r="B7243">
            <v>22875</v>
          </cell>
          <cell r="C7243" t="str">
            <v>BB BANCO DE INVESTIMENTO S/A</v>
          </cell>
          <cell r="D7243" t="str">
            <v>BB BANCO DE INVESTIMENTO S/A</v>
          </cell>
          <cell r="E7243" t="str">
            <v>BB BANCO DE INVESTIMENTO S/A</v>
          </cell>
        </row>
        <row r="7244">
          <cell r="B7244">
            <v>22876</v>
          </cell>
          <cell r="C7244" t="str">
            <v>BB BANCO DE INVESTIMENTO S/A</v>
          </cell>
          <cell r="D7244" t="str">
            <v>BB BANCO DE INVESTIMENTO S/A</v>
          </cell>
          <cell r="E7244" t="str">
            <v>BB BANCO DE INVESTIMENTO S/A</v>
          </cell>
        </row>
        <row r="7245">
          <cell r="B7245">
            <v>22881</v>
          </cell>
          <cell r="C7245" t="str">
            <v>BB BANCO DE INVESTIMENTO S/A</v>
          </cell>
          <cell r="D7245" t="str">
            <v>BB BANCO DE INVESTIMENTO S/A</v>
          </cell>
          <cell r="E7245" t="str">
            <v>BB BANCO DE INVESTIMENTO S/A</v>
          </cell>
        </row>
        <row r="7246">
          <cell r="B7246">
            <v>22882</v>
          </cell>
          <cell r="C7246" t="str">
            <v>BB BANCO DE INVESTIMENTO S/A</v>
          </cell>
          <cell r="D7246" t="str">
            <v>BB BANCO DE INVESTIMENTO S/A</v>
          </cell>
          <cell r="E7246" t="str">
            <v>BB BANCO DE INVESTIMENTO S/A</v>
          </cell>
        </row>
        <row r="7247">
          <cell r="B7247">
            <v>22891</v>
          </cell>
          <cell r="C7247" t="str">
            <v>BB BANCO DE INVESTIMENTO S/A</v>
          </cell>
          <cell r="D7247" t="str">
            <v>BB BANCO DE INVESTIMENTO S/A</v>
          </cell>
          <cell r="E7247" t="str">
            <v>BB BANCO DE INVESTIMENTO S/A</v>
          </cell>
        </row>
        <row r="7248">
          <cell r="B7248">
            <v>252</v>
          </cell>
          <cell r="C7248" t="str">
            <v>BANCO SANTANDER (BRASIL) S/A</v>
          </cell>
          <cell r="D7248" t="str">
            <v>BANCO SANTANDER (BRASIL) S/A</v>
          </cell>
          <cell r="E7248" t="str">
            <v>BANCO SANTANDER (BRASIL) S/A</v>
          </cell>
        </row>
        <row r="7249">
          <cell r="B7249">
            <v>22900</v>
          </cell>
          <cell r="C7249" t="str">
            <v>BB BANCO DE INVESTIMENTO S/A</v>
          </cell>
          <cell r="D7249" t="str">
            <v>BB BANCO DE INVESTIMENTO S/A</v>
          </cell>
          <cell r="E7249" t="str">
            <v>BB BANCO DE INVESTIMENTO S/A</v>
          </cell>
        </row>
        <row r="7250">
          <cell r="B7250">
            <v>22905</v>
          </cell>
          <cell r="C7250" t="str">
            <v>BB BANCO DE INVESTIMENTO S/A</v>
          </cell>
          <cell r="D7250" t="str">
            <v>BB BANCO DE INVESTIMENTO S/A</v>
          </cell>
          <cell r="E7250" t="str">
            <v>BB BANCO DE INVESTIMENTO S/A</v>
          </cell>
        </row>
        <row r="7251">
          <cell r="B7251">
            <v>22907</v>
          </cell>
          <cell r="C7251" t="str">
            <v>BB BANCO DE INVESTIMENTO S/A</v>
          </cell>
          <cell r="D7251" t="str">
            <v>BB BANCO DE INVESTIMENTO S/A</v>
          </cell>
          <cell r="E7251" t="str">
            <v>BB BANCO DE INVESTIMENTO S/A</v>
          </cell>
        </row>
        <row r="7252">
          <cell r="B7252">
            <v>22912</v>
          </cell>
          <cell r="C7252" t="str">
            <v>BB BANCO DE INVESTIMENTO S/A</v>
          </cell>
          <cell r="D7252" t="str">
            <v>BB BANCO DE INVESTIMENTO S/A</v>
          </cell>
          <cell r="E7252" t="str">
            <v>BB BANCO DE INVESTIMENTO S/A</v>
          </cell>
        </row>
        <row r="7253">
          <cell r="B7253">
            <v>22919</v>
          </cell>
          <cell r="C7253" t="str">
            <v>BB BANCO DE INVESTIMENTO S/A</v>
          </cell>
          <cell r="D7253" t="str">
            <v>BB BANCO DE INVESTIMENTO S/A</v>
          </cell>
          <cell r="E7253" t="str">
            <v>BB BANCO DE INVESTIMENTO S/A</v>
          </cell>
        </row>
        <row r="7254">
          <cell r="B7254">
            <v>22920</v>
          </cell>
          <cell r="C7254" t="str">
            <v>BB BANCO DE INVESTIMENTO S/A</v>
          </cell>
          <cell r="D7254" t="str">
            <v>BB BANCO DE INVESTIMENTO S/A</v>
          </cell>
          <cell r="E7254" t="str">
            <v>BB BANCO DE INVESTIMENTO S/A</v>
          </cell>
        </row>
        <row r="7255">
          <cell r="B7255">
            <v>22921</v>
          </cell>
          <cell r="C7255" t="str">
            <v>BB BANCO DE INVESTIMENTO S/A</v>
          </cell>
          <cell r="D7255" t="str">
            <v>BB BANCO DE INVESTIMENTO S/A</v>
          </cell>
          <cell r="E7255" t="str">
            <v>BB BANCO DE INVESTIMENTO S/A</v>
          </cell>
        </row>
        <row r="7256">
          <cell r="B7256">
            <v>22922</v>
          </cell>
          <cell r="C7256" t="str">
            <v>BB BANCO DE INVESTIMENTO S/A</v>
          </cell>
          <cell r="D7256" t="str">
            <v>BB BANCO DE INVESTIMENTO S/A</v>
          </cell>
          <cell r="E7256" t="str">
            <v>BB BANCO DE INVESTIMENTO S/A</v>
          </cell>
        </row>
        <row r="7257">
          <cell r="B7257">
            <v>22923</v>
          </cell>
          <cell r="C7257" t="str">
            <v>BB BANCO DE INVESTIMENTO S/A</v>
          </cell>
          <cell r="D7257" t="str">
            <v>BB BANCO DE INVESTIMENTO S/A</v>
          </cell>
          <cell r="E7257" t="str">
            <v>BB BANCO DE INVESTIMENTO S/A</v>
          </cell>
        </row>
        <row r="7258">
          <cell r="B7258">
            <v>22924</v>
          </cell>
          <cell r="C7258" t="str">
            <v>BB BANCO DE INVESTIMENTO S/A</v>
          </cell>
          <cell r="D7258" t="str">
            <v>BB BANCO DE INVESTIMENTO S/A</v>
          </cell>
          <cell r="E7258" t="str">
            <v>BB BANCO DE INVESTIMENTO S/A</v>
          </cell>
        </row>
        <row r="7259">
          <cell r="B7259">
            <v>22925</v>
          </cell>
          <cell r="C7259" t="str">
            <v>BB BANCO DE INVESTIMENTO S/A</v>
          </cell>
          <cell r="D7259" t="str">
            <v>BB BANCO DE INVESTIMENTO S/A</v>
          </cell>
          <cell r="E7259" t="str">
            <v>BB BANCO DE INVESTIMENTO S/A</v>
          </cell>
        </row>
        <row r="7260">
          <cell r="B7260">
            <v>22927</v>
          </cell>
          <cell r="C7260" t="str">
            <v>BB BANCO DE INVESTIMENTO S/A</v>
          </cell>
          <cell r="D7260" t="str">
            <v>BB BANCO DE INVESTIMENTO S/A</v>
          </cell>
          <cell r="E7260" t="str">
            <v>BB BANCO DE INVESTIMENTO S/A</v>
          </cell>
        </row>
        <row r="7261">
          <cell r="B7261">
            <v>22928</v>
          </cell>
          <cell r="C7261" t="str">
            <v>BB BANCO DE INVESTIMENTO S/A</v>
          </cell>
          <cell r="D7261" t="str">
            <v>BB BANCO DE INVESTIMENTO S/A</v>
          </cell>
          <cell r="E7261" t="str">
            <v>BB BANCO DE INVESTIMENTO S/A</v>
          </cell>
        </row>
        <row r="7262">
          <cell r="B7262">
            <v>22929</v>
          </cell>
          <cell r="C7262" t="str">
            <v>BB GESTAO DE RECURSOS DTVM LTDA</v>
          </cell>
          <cell r="D7262" t="str">
            <v>BB GESTAO DE RECURSOS DTVM LTDA</v>
          </cell>
          <cell r="E7262" t="str">
            <v>BB BANCO DE INVESTIMENTO S/A</v>
          </cell>
        </row>
        <row r="7263">
          <cell r="B7263">
            <v>22932</v>
          </cell>
          <cell r="C7263" t="str">
            <v>BB GESTAO DE RECURSOS DTVM LTDA</v>
          </cell>
          <cell r="D7263" t="str">
            <v>BB GESTAO DE RECURSOS DTVM LTDA</v>
          </cell>
          <cell r="E7263" t="str">
            <v>BB BANCO DE INVESTIMENTO S/A</v>
          </cell>
        </row>
        <row r="7264">
          <cell r="B7264">
            <v>22933</v>
          </cell>
          <cell r="C7264" t="str">
            <v>BB BANCO DE INVESTIMENTO S/A</v>
          </cell>
          <cell r="D7264" t="str">
            <v>BB BANCO DE INVESTIMENTO S/A</v>
          </cell>
          <cell r="E7264" t="str">
            <v>BB BANCO DE INVESTIMENTO S/A</v>
          </cell>
        </row>
        <row r="7265">
          <cell r="B7265">
            <v>22935</v>
          </cell>
          <cell r="C7265" t="str">
            <v>BB BANCO DE INVESTIMENTO S/A</v>
          </cell>
          <cell r="D7265" t="str">
            <v>BB BANCO DE INVESTIMENTO S/A</v>
          </cell>
          <cell r="E7265" t="str">
            <v>BB BANCO DE INVESTIMENTO S/A</v>
          </cell>
        </row>
        <row r="7266">
          <cell r="B7266">
            <v>22937</v>
          </cell>
          <cell r="C7266" t="str">
            <v>BB GESTAO DE RECURSOS DTVM LTDA</v>
          </cell>
          <cell r="D7266" t="str">
            <v>BB GESTAO DE RECURSOS DTVM LTDA</v>
          </cell>
          <cell r="E7266" t="str">
            <v>BB GESTAO DE RECURSOS DTVM LTDA</v>
          </cell>
        </row>
        <row r="7267">
          <cell r="B7267">
            <v>22943</v>
          </cell>
          <cell r="C7267" t="str">
            <v>BB BANCO DE INVESTIMENTO S/A</v>
          </cell>
          <cell r="D7267" t="str">
            <v>BB BANCO DE INVESTIMENTO S/A</v>
          </cell>
          <cell r="E7267" t="str">
            <v>BB BANCO DE INVESTIMENTO S/A</v>
          </cell>
        </row>
        <row r="7268">
          <cell r="B7268">
            <v>22944</v>
          </cell>
          <cell r="C7268" t="str">
            <v>BB BANCO DE INVESTIMENTO S/A</v>
          </cell>
          <cell r="D7268" t="str">
            <v>BB BANCO DE INVESTIMENTO S/A</v>
          </cell>
          <cell r="E7268" t="str">
            <v>BB BANCO DE INVESTIMENTO S/A</v>
          </cell>
        </row>
        <row r="7269">
          <cell r="B7269">
            <v>22946</v>
          </cell>
          <cell r="C7269" t="str">
            <v>BB BANCO DE INVESTIMENTO S/A</v>
          </cell>
          <cell r="D7269" t="str">
            <v>BB BANCO DE INVESTIMENTO S/A</v>
          </cell>
          <cell r="E7269" t="str">
            <v>BB BANCO DE INVESTIMENTO S/A</v>
          </cell>
        </row>
        <row r="7270">
          <cell r="B7270">
            <v>22947</v>
          </cell>
          <cell r="C7270" t="str">
            <v>BB BANCO DE INVESTIMENTO S/A</v>
          </cell>
          <cell r="D7270" t="str">
            <v>BB BANCO DE INVESTIMENTO S/A</v>
          </cell>
          <cell r="E7270" t="str">
            <v>BB BANCO DE INVESTIMENTO S/A</v>
          </cell>
        </row>
        <row r="7271">
          <cell r="B7271">
            <v>22949</v>
          </cell>
          <cell r="C7271" t="str">
            <v>BB BANCO DE INVESTIMENTO S/A</v>
          </cell>
          <cell r="D7271" t="str">
            <v>BB BANCO DE INVESTIMENTO S/A</v>
          </cell>
          <cell r="E7271" t="str">
            <v>BB BANCO DE INVESTIMENTO S/A</v>
          </cell>
        </row>
        <row r="7272">
          <cell r="B7272">
            <v>22952</v>
          </cell>
          <cell r="C7272" t="str">
            <v>BB BANCO DE INVESTIMENTO S/A</v>
          </cell>
          <cell r="D7272" t="str">
            <v>BB BANCO DE INVESTIMENTO S/A</v>
          </cell>
          <cell r="E7272" t="str">
            <v>BB BANCO DE INVESTIMENTO S/A</v>
          </cell>
        </row>
        <row r="7273">
          <cell r="B7273">
            <v>22953</v>
          </cell>
          <cell r="C7273" t="str">
            <v>BB BANCO DE INVESTIMENTO S/A</v>
          </cell>
          <cell r="D7273" t="str">
            <v>BB BANCO DE INVESTIMENTO S/A</v>
          </cell>
          <cell r="E7273" t="str">
            <v>BB BANCO DE INVESTIMENTO S/A</v>
          </cell>
        </row>
        <row r="7274">
          <cell r="B7274">
            <v>22955</v>
          </cell>
          <cell r="C7274" t="str">
            <v>BB BANCO DE INVESTIMENTO S/A</v>
          </cell>
          <cell r="D7274" t="str">
            <v>BB BANCO DE INVESTIMENTO S/A</v>
          </cell>
          <cell r="E7274" t="str">
            <v>BB BANCO DE INVESTIMENTO S/A</v>
          </cell>
        </row>
        <row r="7275">
          <cell r="B7275">
            <v>22956</v>
          </cell>
          <cell r="C7275" t="str">
            <v>BB BANCO DE INVESTIMENTO S/A</v>
          </cell>
          <cell r="D7275" t="str">
            <v>BB BANCO DE INVESTIMENTO S/A</v>
          </cell>
          <cell r="E7275" t="str">
            <v>BB BANCO DE INVESTIMENTO S/A</v>
          </cell>
        </row>
        <row r="7276">
          <cell r="B7276">
            <v>22960</v>
          </cell>
          <cell r="C7276" t="str">
            <v>BB BANCO DE INVESTIMENTO S/A</v>
          </cell>
          <cell r="D7276" t="str">
            <v>BB BANCO DE INVESTIMENTO S/A</v>
          </cell>
          <cell r="E7276" t="str">
            <v>BB BANCO DE INVESTIMENTO S/A</v>
          </cell>
        </row>
        <row r="7277">
          <cell r="B7277">
            <v>22962</v>
          </cell>
          <cell r="C7277" t="str">
            <v>BB BANCO DE INVESTIMENTO S/A</v>
          </cell>
          <cell r="D7277" t="str">
            <v>BB BANCO DE INVESTIMENTO S/A</v>
          </cell>
          <cell r="E7277" t="str">
            <v>BB BANCO DE INVESTIMENTO S/A</v>
          </cell>
        </row>
        <row r="7278">
          <cell r="B7278">
            <v>22974</v>
          </cell>
          <cell r="C7278" t="str">
            <v>BB GESTAO DE RECURSOS DTVM LTDA</v>
          </cell>
          <cell r="D7278" t="str">
            <v>BB GESTAO DE RECURSOS DTVM LTDA</v>
          </cell>
          <cell r="E7278" t="str">
            <v>BB BANCO DE INVESTIMENTO S/A</v>
          </cell>
        </row>
        <row r="7279">
          <cell r="B7279">
            <v>22975</v>
          </cell>
          <cell r="C7279" t="str">
            <v>BB GESTAO DE RECURSOS DTVM LTDA</v>
          </cell>
          <cell r="D7279" t="str">
            <v>BB GESTAO DE RECURSOS DTVM LTDA</v>
          </cell>
          <cell r="E7279" t="str">
            <v>BB BANCO DE INVESTIMENTO S/A</v>
          </cell>
        </row>
        <row r="7280">
          <cell r="B7280">
            <v>22977</v>
          </cell>
          <cell r="C7280" t="str">
            <v>BB BANCO DE INVESTIMENTO S/A</v>
          </cell>
          <cell r="D7280" t="str">
            <v>BB BANCO DE INVESTIMENTO S/A</v>
          </cell>
          <cell r="E7280" t="str">
            <v>BB BANCO DE INVESTIMENTO S/A</v>
          </cell>
        </row>
        <row r="7281">
          <cell r="B7281">
            <v>22978</v>
          </cell>
          <cell r="C7281" t="str">
            <v>BB GESTAO DE RECURSOS DTVM LTDA</v>
          </cell>
          <cell r="D7281" t="str">
            <v>BB GESTAO DE RECURSOS DTVM LTDA</v>
          </cell>
          <cell r="E7281" t="str">
            <v>BB BANCO DE INVESTIMENTO S/A</v>
          </cell>
        </row>
        <row r="7282">
          <cell r="B7282">
            <v>22979</v>
          </cell>
          <cell r="C7282" t="str">
            <v>BB BANCO DE INVESTIMENTO S/A</v>
          </cell>
          <cell r="D7282" t="str">
            <v>BB BANCO DE INVESTIMENTO S/A</v>
          </cell>
          <cell r="E7282" t="str">
            <v>BB BANCO DE INVESTIMENTO S/A</v>
          </cell>
        </row>
        <row r="7283">
          <cell r="B7283">
            <v>22980</v>
          </cell>
          <cell r="C7283" t="str">
            <v>BB BANCO DE INVESTIMENTO S/A</v>
          </cell>
          <cell r="D7283" t="str">
            <v>BB BANCO DE INVESTIMENTO S/A</v>
          </cell>
          <cell r="E7283" t="str">
            <v>BB BANCO DE INVESTIMENTO S/A</v>
          </cell>
        </row>
        <row r="7284">
          <cell r="B7284">
            <v>22981</v>
          </cell>
          <cell r="C7284" t="str">
            <v>BB GESTAO DE RECURSOS DTVM LTDA</v>
          </cell>
          <cell r="D7284" t="str">
            <v>BB GESTAO DE RECURSOS DTVM LTDA</v>
          </cell>
          <cell r="E7284" t="str">
            <v>BB GESTAO DE RECURSOS DTVM LTDA</v>
          </cell>
        </row>
        <row r="7285">
          <cell r="B7285">
            <v>22983</v>
          </cell>
          <cell r="C7285" t="str">
            <v>BB BANCO DE INVESTIMENTO S/A</v>
          </cell>
          <cell r="D7285" t="str">
            <v>BB BANCO DE INVESTIMENTO S/A</v>
          </cell>
          <cell r="E7285" t="str">
            <v>BB BANCO DE INVESTIMENTO S/A</v>
          </cell>
        </row>
        <row r="7286">
          <cell r="B7286">
            <v>22985</v>
          </cell>
          <cell r="C7286" t="str">
            <v>BB BANCO DE INVESTIMENTO S/A</v>
          </cell>
          <cell r="D7286" t="str">
            <v>BB BANCO DE INVESTIMENTO S/A</v>
          </cell>
          <cell r="E7286" t="str">
            <v>BB BANCO DE INVESTIMENTO S/A</v>
          </cell>
        </row>
        <row r="7287">
          <cell r="B7287">
            <v>22986</v>
          </cell>
          <cell r="C7287" t="str">
            <v>BB BANCO DE INVESTIMENTO S/A</v>
          </cell>
          <cell r="D7287" t="str">
            <v>BB BANCO DE INVESTIMENTO S/A</v>
          </cell>
          <cell r="E7287" t="str">
            <v>BB BANCO DE INVESTIMENTO S/A</v>
          </cell>
        </row>
        <row r="7288">
          <cell r="B7288">
            <v>22987</v>
          </cell>
          <cell r="C7288" t="str">
            <v>BB BANCO DE INVESTIMENTO S/A</v>
          </cell>
          <cell r="D7288" t="str">
            <v>BB BANCO DE INVESTIMENTO S/A</v>
          </cell>
          <cell r="E7288" t="str">
            <v>BB BANCO DE INVESTIMENTO S/A</v>
          </cell>
        </row>
        <row r="7289">
          <cell r="B7289">
            <v>22989</v>
          </cell>
          <cell r="C7289" t="str">
            <v>BB BANCO DE INVESTIMENTO S/A</v>
          </cell>
          <cell r="D7289" t="str">
            <v>BB BANCO DE INVESTIMENTO S/A</v>
          </cell>
          <cell r="E7289" t="str">
            <v>BB BANCO DE INVESTIMENTO S/A</v>
          </cell>
        </row>
        <row r="7290">
          <cell r="B7290">
            <v>22990</v>
          </cell>
          <cell r="C7290" t="str">
            <v>BB GESTAO DE RECURSOS DTVM LTDA</v>
          </cell>
          <cell r="D7290" t="str">
            <v>BB GESTAO DE RECURSOS DTVM LTDA</v>
          </cell>
          <cell r="E7290" t="str">
            <v>BB GESTAO DE RECURSOS DTVM LTDA</v>
          </cell>
        </row>
        <row r="7291">
          <cell r="B7291">
            <v>22991</v>
          </cell>
          <cell r="C7291" t="str">
            <v>BB BANCO DE INVESTIMENTO S/A</v>
          </cell>
          <cell r="D7291" t="str">
            <v>BB BANCO DE INVESTIMENTO S/A</v>
          </cell>
          <cell r="E7291" t="str">
            <v>BB BANCO DE INVESTIMENTO S/A</v>
          </cell>
        </row>
        <row r="7292">
          <cell r="B7292">
            <v>22999</v>
          </cell>
          <cell r="C7292" t="str">
            <v>BB GESTAO DE RECURSOS DTVM LTDA</v>
          </cell>
          <cell r="D7292" t="str">
            <v>BB GESTAO DE RECURSOS DTVM LTDA</v>
          </cell>
          <cell r="E7292" t="str">
            <v>BB BANCO DE INVESTIMENTO S/A</v>
          </cell>
        </row>
        <row r="7293">
          <cell r="B7293">
            <v>23</v>
          </cell>
          <cell r="C7293" t="str">
            <v>CONCORDIA S/A CVMCC</v>
          </cell>
          <cell r="D7293" t="str">
            <v>CONCORDIA S/A CVMCC</v>
          </cell>
          <cell r="E7293" t="str">
            <v>CONCORDIA S/A CVMCC</v>
          </cell>
        </row>
        <row r="7294">
          <cell r="B7294">
            <v>230</v>
          </cell>
          <cell r="C7294" t="str">
            <v>BB GESTAO DE RECURSOS DTVM LTDA</v>
          </cell>
          <cell r="D7294" t="str">
            <v>BB GESTAO DE RECURSOS DTVM LTDA</v>
          </cell>
          <cell r="E7294" t="str">
            <v>BB GESTAO DE RECURSOS DTVM LTDA</v>
          </cell>
        </row>
        <row r="7295">
          <cell r="B7295">
            <v>23002</v>
          </cell>
          <cell r="C7295" t="str">
            <v>BB BANCO DE INVESTIMENTO S/A</v>
          </cell>
          <cell r="D7295" t="str">
            <v>BB BANCO DE INVESTIMENTO S/A</v>
          </cell>
          <cell r="E7295" t="str">
            <v>BB BANCO DE INVESTIMENTO S/A</v>
          </cell>
        </row>
        <row r="7296">
          <cell r="B7296">
            <v>23006</v>
          </cell>
          <cell r="C7296" t="str">
            <v>BB BANCO DE INVESTIMENTO S/A</v>
          </cell>
          <cell r="D7296" t="str">
            <v>BB BANCO DE INVESTIMENTO S/A</v>
          </cell>
          <cell r="E7296" t="str">
            <v>BB BANCO DE INVESTIMENTO S/A</v>
          </cell>
        </row>
        <row r="7297">
          <cell r="B7297">
            <v>23011</v>
          </cell>
          <cell r="C7297" t="str">
            <v>CONCORDIA S/A CVMCC</v>
          </cell>
          <cell r="D7297" t="str">
            <v>CONCORDIA S/A CVMCC</v>
          </cell>
          <cell r="E7297" t="str">
            <v>CONCORDIA S/A CVMCC</v>
          </cell>
        </row>
        <row r="7298">
          <cell r="B7298">
            <v>23012</v>
          </cell>
          <cell r="C7298" t="str">
            <v>BB BANCO DE INVESTIMENTO S/A</v>
          </cell>
          <cell r="D7298" t="str">
            <v>BB BANCO DE INVESTIMENTO S/A</v>
          </cell>
          <cell r="E7298" t="str">
            <v>BB BANCO DE INVESTIMENTO S/A</v>
          </cell>
        </row>
        <row r="7299">
          <cell r="B7299">
            <v>23017</v>
          </cell>
          <cell r="C7299" t="str">
            <v>BB BANCO DE INVESTIMENTO S/A</v>
          </cell>
          <cell r="D7299" t="str">
            <v>BB BANCO DE INVESTIMENTO S/A</v>
          </cell>
          <cell r="E7299" t="str">
            <v>BB BANCO DE INVESTIMENTO S/A</v>
          </cell>
        </row>
        <row r="7300">
          <cell r="B7300">
            <v>23023</v>
          </cell>
          <cell r="C7300" t="str">
            <v>BB BANCO DE INVESTIMENTO S/A</v>
          </cell>
          <cell r="D7300" t="str">
            <v>BB BANCO DE INVESTIMENTO S/A</v>
          </cell>
          <cell r="E7300" t="str">
            <v>BB BANCO DE INVESTIMENTO S/A</v>
          </cell>
        </row>
        <row r="7301">
          <cell r="B7301">
            <v>23024</v>
          </cell>
          <cell r="C7301" t="str">
            <v>BB BANCO DE INVESTIMENTO S/A</v>
          </cell>
          <cell r="D7301" t="str">
            <v>BB BANCO DE INVESTIMENTO S/A</v>
          </cell>
          <cell r="E7301" t="str">
            <v>BB BANCO DE INVESTIMENTO S/A</v>
          </cell>
        </row>
        <row r="7302">
          <cell r="B7302">
            <v>23026</v>
          </cell>
          <cell r="C7302" t="str">
            <v>BB BANCO DE INVESTIMENTO S/A</v>
          </cell>
          <cell r="D7302" t="str">
            <v>BB BANCO DE INVESTIMENTO S/A</v>
          </cell>
          <cell r="E7302" t="str">
            <v>BB BANCO DE INVESTIMENTO S/A</v>
          </cell>
        </row>
        <row r="7303">
          <cell r="B7303">
            <v>23030</v>
          </cell>
          <cell r="C7303" t="str">
            <v>BB GESTAO DE RECURSOS DTVM LTDA</v>
          </cell>
          <cell r="D7303" t="str">
            <v>BB GESTAO DE RECURSOS DTVM LTDA</v>
          </cell>
          <cell r="E7303" t="str">
            <v>BB BANCO DE INVESTIMENTO S/A</v>
          </cell>
        </row>
        <row r="7304">
          <cell r="B7304">
            <v>23031</v>
          </cell>
          <cell r="C7304" t="str">
            <v>BB BANCO DE INVESTIMENTO S/A</v>
          </cell>
          <cell r="D7304" t="str">
            <v>BB BANCO DE INVESTIMENTO S/A</v>
          </cell>
          <cell r="E7304" t="str">
            <v>BB BANCO DE INVESTIMENTO S/A</v>
          </cell>
        </row>
        <row r="7305">
          <cell r="B7305">
            <v>23034</v>
          </cell>
          <cell r="C7305" t="str">
            <v>BB BANCO DE INVESTIMENTO S/A</v>
          </cell>
          <cell r="D7305" t="str">
            <v>BB BANCO DE INVESTIMENTO S/A</v>
          </cell>
          <cell r="E7305" t="str">
            <v>BB BANCO DE INVESTIMENTO S/A</v>
          </cell>
        </row>
        <row r="7306">
          <cell r="B7306">
            <v>23036</v>
          </cell>
          <cell r="C7306" t="str">
            <v>BB GESTAO DE RECURSOS DTVM LTDA</v>
          </cell>
          <cell r="D7306" t="str">
            <v>BB GESTAO DE RECURSOS DTVM LTDA</v>
          </cell>
          <cell r="E7306" t="str">
            <v>BB BANCO DE INVESTIMENTO S/A</v>
          </cell>
        </row>
        <row r="7307">
          <cell r="B7307">
            <v>23039</v>
          </cell>
          <cell r="C7307" t="str">
            <v>BB BANCO DE INVESTIMENTO S/A</v>
          </cell>
          <cell r="D7307" t="str">
            <v>BB BANCO DE INVESTIMENTO S/A</v>
          </cell>
          <cell r="E7307" t="str">
            <v>BB BANCO DE INVESTIMENTO S/A</v>
          </cell>
        </row>
        <row r="7308">
          <cell r="B7308">
            <v>23044</v>
          </cell>
          <cell r="C7308" t="str">
            <v>BB BANCO DE INVESTIMENTO S/A</v>
          </cell>
          <cell r="D7308" t="str">
            <v>BB BANCO DE INVESTIMENTO S/A</v>
          </cell>
          <cell r="E7308" t="str">
            <v>BB BANCO DE INVESTIMENTO S/A</v>
          </cell>
        </row>
        <row r="7309">
          <cell r="B7309">
            <v>23046</v>
          </cell>
          <cell r="C7309" t="str">
            <v>BB GESTAO DE RECURSOS DTVM LTDA</v>
          </cell>
          <cell r="D7309" t="str">
            <v>BB GESTAO DE RECURSOS DTVM LTDA</v>
          </cell>
          <cell r="E7309" t="str">
            <v>BB BANCO DE INVESTIMENTO S/A</v>
          </cell>
        </row>
        <row r="7310">
          <cell r="B7310">
            <v>23052</v>
          </cell>
          <cell r="C7310" t="str">
            <v>BB BANCO DE INVESTIMENTO S/A</v>
          </cell>
          <cell r="D7310" t="str">
            <v>BB BANCO DE INVESTIMENTO S/A</v>
          </cell>
          <cell r="E7310" t="str">
            <v>BB BANCO DE INVESTIMENTO S/A</v>
          </cell>
        </row>
        <row r="7311">
          <cell r="B7311">
            <v>23061</v>
          </cell>
          <cell r="C7311" t="str">
            <v>BB BANCO DE INVESTIMENTO S/A</v>
          </cell>
          <cell r="D7311" t="str">
            <v>BB BANCO DE INVESTIMENTO S/A</v>
          </cell>
          <cell r="E7311" t="str">
            <v>BB BANCO DE INVESTIMENTO S/A</v>
          </cell>
        </row>
        <row r="7312">
          <cell r="B7312">
            <v>23065</v>
          </cell>
          <cell r="C7312" t="str">
            <v>BB GESTAO DE RECURSOS DTVM LTDA</v>
          </cell>
          <cell r="D7312" t="str">
            <v>BB GESTAO DE RECURSOS DTVM LTDA</v>
          </cell>
          <cell r="E7312" t="str">
            <v>BB BANCO DE INVESTIMENTO S/A</v>
          </cell>
        </row>
        <row r="7313">
          <cell r="B7313">
            <v>23066</v>
          </cell>
          <cell r="C7313" t="str">
            <v>BB BANCO DE INVESTIMENTO S/A</v>
          </cell>
          <cell r="D7313" t="str">
            <v>BB BANCO DE INVESTIMENTO S/A</v>
          </cell>
          <cell r="E7313" t="str">
            <v>BB BANCO DE INVESTIMENTO S/A</v>
          </cell>
        </row>
        <row r="7314">
          <cell r="B7314">
            <v>23067</v>
          </cell>
          <cell r="C7314" t="str">
            <v>BB GESTAO DE RECURSOS DTVM LTDA</v>
          </cell>
          <cell r="D7314" t="str">
            <v>BB GESTAO DE RECURSOS DTVM LTDA</v>
          </cell>
          <cell r="E7314" t="str">
            <v>BB BANCO DE INVESTIMENTO S/A</v>
          </cell>
        </row>
        <row r="7315">
          <cell r="B7315">
            <v>23070</v>
          </cell>
          <cell r="C7315" t="str">
            <v>BB BANCO DE INVESTIMENTO S/A</v>
          </cell>
          <cell r="D7315" t="str">
            <v>BB BANCO DE INVESTIMENTO S/A</v>
          </cell>
          <cell r="E7315" t="str">
            <v>BB BANCO DE INVESTIMENTO S/A</v>
          </cell>
        </row>
        <row r="7316">
          <cell r="B7316">
            <v>23073</v>
          </cell>
          <cell r="C7316" t="str">
            <v>BB GESTAO DE RECURSOS DTVM LTDA</v>
          </cell>
          <cell r="D7316" t="str">
            <v>BB GESTAO DE RECURSOS DTVM LTDA</v>
          </cell>
          <cell r="E7316" t="str">
            <v>BB BANCO DE INVESTIMENTO S/A</v>
          </cell>
        </row>
        <row r="7317">
          <cell r="B7317">
            <v>23074</v>
          </cell>
          <cell r="C7317" t="str">
            <v>BB GESTAO DE RECURSOS DTVM LTDA</v>
          </cell>
          <cell r="D7317" t="str">
            <v>BB GESTAO DE RECURSOS DTVM LTDA</v>
          </cell>
          <cell r="E7317" t="str">
            <v>BB BANCO DE INVESTIMENTO S/A</v>
          </cell>
        </row>
        <row r="7318">
          <cell r="B7318">
            <v>23076</v>
          </cell>
          <cell r="C7318" t="str">
            <v>BB GESTAO DE RECURSOS DTVM LTDA</v>
          </cell>
          <cell r="D7318" t="str">
            <v>BB GESTAO DE RECURSOS DTVM LTDA</v>
          </cell>
          <cell r="E7318" t="str">
            <v>BB BANCO DE INVESTIMENTO S/A</v>
          </cell>
        </row>
        <row r="7319">
          <cell r="B7319">
            <v>23079</v>
          </cell>
          <cell r="C7319" t="str">
            <v>BB BANCO DE INVESTIMENTO S/A</v>
          </cell>
          <cell r="D7319" t="str">
            <v>BB BANCO DE INVESTIMENTO S/A</v>
          </cell>
          <cell r="E7319" t="str">
            <v>BB BANCO DE INVESTIMENTO S/A</v>
          </cell>
        </row>
        <row r="7320">
          <cell r="B7320">
            <v>23081</v>
          </cell>
          <cell r="C7320" t="str">
            <v>BB BANCO DE INVESTIMENTO S/A</v>
          </cell>
          <cell r="D7320" t="str">
            <v>BB BANCO DE INVESTIMENTO S/A</v>
          </cell>
          <cell r="E7320" t="str">
            <v>BB BANCO DE INVESTIMENTO S/A</v>
          </cell>
        </row>
        <row r="7321">
          <cell r="B7321">
            <v>23085</v>
          </cell>
          <cell r="C7321" t="str">
            <v>BB BANCO DE INVESTIMENTO S/A</v>
          </cell>
          <cell r="D7321" t="str">
            <v>BB BANCO DE INVESTIMENTO S/A</v>
          </cell>
          <cell r="E7321" t="str">
            <v>BB BANCO DE INVESTIMENTO S/A</v>
          </cell>
        </row>
        <row r="7322">
          <cell r="B7322">
            <v>23091</v>
          </cell>
          <cell r="C7322" t="str">
            <v>BB GESTAO DE RECURSOS DTVM LTDA</v>
          </cell>
          <cell r="D7322" t="str">
            <v>BB GESTAO DE RECURSOS DTVM LTDA</v>
          </cell>
          <cell r="E7322" t="str">
            <v>BB BANCO DE INVESTIMENTO S/A</v>
          </cell>
        </row>
        <row r="7323">
          <cell r="B7323">
            <v>23095</v>
          </cell>
          <cell r="C7323" t="str">
            <v>BB GESTAO DE RECURSOS DTVM LTDA</v>
          </cell>
          <cell r="D7323" t="str">
            <v>BB GESTAO DE RECURSOS DTVM LTDA</v>
          </cell>
          <cell r="E7323" t="str">
            <v>BB BANCO DE INVESTIMENTO S/A</v>
          </cell>
        </row>
        <row r="7324">
          <cell r="B7324">
            <v>23096</v>
          </cell>
          <cell r="C7324" t="str">
            <v>BB GESTAO DE RECURSOS DTVM LTDA</v>
          </cell>
          <cell r="D7324" t="str">
            <v>BB GESTAO DE RECURSOS DTVM LTDA</v>
          </cell>
          <cell r="E7324" t="str">
            <v>BB BANCO DE INVESTIMENTO S/A</v>
          </cell>
        </row>
        <row r="7325">
          <cell r="B7325">
            <v>23099</v>
          </cell>
          <cell r="C7325" t="str">
            <v>BB BANCO DE INVESTIMENTO S/A</v>
          </cell>
          <cell r="D7325" t="str">
            <v>BB BANCO DE INVESTIMENTO S/A</v>
          </cell>
          <cell r="E7325" t="str">
            <v>BB BANCO DE INVESTIMENTO S/A</v>
          </cell>
        </row>
        <row r="7326">
          <cell r="B7326">
            <v>253</v>
          </cell>
          <cell r="C7326" t="str">
            <v>BANCO SANTANDER (BRASIL) S/A</v>
          </cell>
          <cell r="D7326" t="str">
            <v>BANCO SANTANDER (BRASIL) S/A</v>
          </cell>
          <cell r="E7326" t="str">
            <v>BANCO SANTANDER (BRASIL) S/A</v>
          </cell>
        </row>
        <row r="7327">
          <cell r="B7327">
            <v>23101</v>
          </cell>
          <cell r="C7327" t="str">
            <v>BB BANCO DE INVESTIMENTO S/A</v>
          </cell>
          <cell r="D7327" t="str">
            <v>BB BANCO DE INVESTIMENTO S/A</v>
          </cell>
          <cell r="E7327" t="str">
            <v>BB BANCO DE INVESTIMENTO S/A</v>
          </cell>
        </row>
        <row r="7328">
          <cell r="B7328">
            <v>23104</v>
          </cell>
          <cell r="C7328" t="str">
            <v>BB BANCO DE INVESTIMENTO S/A</v>
          </cell>
          <cell r="D7328" t="str">
            <v>BB BANCO DE INVESTIMENTO S/A</v>
          </cell>
          <cell r="E7328" t="str">
            <v>BB BANCO DE INVESTIMENTO S/A</v>
          </cell>
        </row>
        <row r="7329">
          <cell r="B7329">
            <v>23107</v>
          </cell>
          <cell r="C7329" t="str">
            <v>BB BANCO DE INVESTIMENTO S/A</v>
          </cell>
          <cell r="D7329" t="str">
            <v>BB BANCO DE INVESTIMENTO S/A</v>
          </cell>
          <cell r="E7329" t="str">
            <v>BB BANCO DE INVESTIMENTO S/A</v>
          </cell>
        </row>
        <row r="7330">
          <cell r="B7330">
            <v>23110</v>
          </cell>
          <cell r="C7330" t="str">
            <v>BB BANCO DE INVESTIMENTO S/A</v>
          </cell>
          <cell r="D7330" t="str">
            <v>BB BANCO DE INVESTIMENTO S/A</v>
          </cell>
          <cell r="E7330" t="str">
            <v>BB BANCO DE INVESTIMENTO S/A</v>
          </cell>
        </row>
        <row r="7331">
          <cell r="B7331">
            <v>23116</v>
          </cell>
          <cell r="C7331" t="str">
            <v>BB BANCO DE INVESTIMENTO S/A</v>
          </cell>
          <cell r="D7331" t="str">
            <v>BB BANCO DE INVESTIMENTO S/A</v>
          </cell>
          <cell r="E7331" t="str">
            <v>BB BANCO DE INVESTIMENTO S/A</v>
          </cell>
        </row>
        <row r="7332">
          <cell r="B7332">
            <v>23117</v>
          </cell>
          <cell r="C7332" t="str">
            <v>BB BANCO DE INVESTIMENTO S/A</v>
          </cell>
          <cell r="D7332" t="str">
            <v>BB BANCO DE INVESTIMENTO S/A</v>
          </cell>
          <cell r="E7332" t="str">
            <v>BB BANCO DE INVESTIMENTO S/A</v>
          </cell>
        </row>
        <row r="7333">
          <cell r="B7333">
            <v>23118</v>
          </cell>
          <cell r="C7333" t="str">
            <v>BB GESTAO DE RECURSOS DTVM LTDA</v>
          </cell>
          <cell r="D7333" t="str">
            <v>BB GESTAO DE RECURSOS DTVM LTDA</v>
          </cell>
          <cell r="E7333" t="str">
            <v>BB BANCO DE INVESTIMENTO S/A</v>
          </cell>
        </row>
        <row r="7334">
          <cell r="B7334">
            <v>23119</v>
          </cell>
          <cell r="C7334" t="str">
            <v>BB GESTAO DE RECURSOS DTVM LTDA</v>
          </cell>
          <cell r="D7334" t="str">
            <v>BB GESTAO DE RECURSOS DTVM LTDA</v>
          </cell>
          <cell r="E7334" t="str">
            <v>BB BANCO DE INVESTIMENTO S/A</v>
          </cell>
        </row>
        <row r="7335">
          <cell r="B7335">
            <v>23123</v>
          </cell>
          <cell r="C7335" t="str">
            <v>BB BANCO DE INVESTIMENTO S/A</v>
          </cell>
          <cell r="D7335" t="str">
            <v>BB BANCO DE INVESTIMENTO S/A</v>
          </cell>
          <cell r="E7335" t="str">
            <v>BB BANCO DE INVESTIMENTO S/A</v>
          </cell>
        </row>
        <row r="7336">
          <cell r="B7336">
            <v>23126</v>
          </cell>
          <cell r="C7336" t="str">
            <v>BB GESTAO DE RECURSOS DTVM LTDA</v>
          </cell>
          <cell r="D7336" t="str">
            <v>BB GESTAO DE RECURSOS DTVM LTDA</v>
          </cell>
          <cell r="E7336" t="str">
            <v>BB BANCO DE INVESTIMENTO S/A</v>
          </cell>
        </row>
        <row r="7337">
          <cell r="B7337">
            <v>23127</v>
          </cell>
          <cell r="C7337" t="str">
            <v>BB GESTAO DE RECURSOS DTVM LTDA</v>
          </cell>
          <cell r="D7337" t="str">
            <v>BB GESTAO DE RECURSOS DTVM LTDA</v>
          </cell>
          <cell r="E7337" t="str">
            <v>BB BANCO DE INVESTIMENTO S/A</v>
          </cell>
        </row>
        <row r="7338">
          <cell r="B7338">
            <v>23128</v>
          </cell>
          <cell r="C7338" t="str">
            <v>BB BANCO DE INVESTIMENTO S/A</v>
          </cell>
          <cell r="D7338" t="str">
            <v>BB BANCO DE INVESTIMENTO S/A</v>
          </cell>
          <cell r="E7338" t="str">
            <v>BB BANCO DE INVESTIMENTO S/A</v>
          </cell>
        </row>
        <row r="7339">
          <cell r="B7339">
            <v>23133</v>
          </cell>
          <cell r="C7339" t="str">
            <v>BB GESTAO DE RECURSOS DTVM LTDA</v>
          </cell>
          <cell r="D7339" t="str">
            <v>BB GESTAO DE RECURSOS DTVM LTDA</v>
          </cell>
          <cell r="E7339" t="str">
            <v>BB BANCO DE INVESTIMENTO S/A</v>
          </cell>
        </row>
        <row r="7340">
          <cell r="B7340">
            <v>23139</v>
          </cell>
          <cell r="C7340" t="str">
            <v>BB BANCO DE INVESTIMENTO S/A</v>
          </cell>
          <cell r="D7340" t="str">
            <v>BB BANCO DE INVESTIMENTO S/A</v>
          </cell>
          <cell r="E7340" t="str">
            <v>BB BANCO DE INVESTIMENTO S/A</v>
          </cell>
        </row>
        <row r="7341">
          <cell r="B7341">
            <v>23142</v>
          </cell>
          <cell r="C7341" t="str">
            <v>BB GESTAO DE RECURSOS DTVM LTDA</v>
          </cell>
          <cell r="D7341" t="str">
            <v>BB GESTAO DE RECURSOS DTVM LTDA</v>
          </cell>
          <cell r="E7341" t="str">
            <v>BB GESTAO DE RECURSOS DTVM LTDA</v>
          </cell>
        </row>
        <row r="7342">
          <cell r="B7342">
            <v>23143</v>
          </cell>
          <cell r="C7342" t="str">
            <v>BB GESTAO DE RECURSOS DTVM LTDA</v>
          </cell>
          <cell r="D7342" t="str">
            <v>BB GESTAO DE RECURSOS DTVM LTDA</v>
          </cell>
          <cell r="E7342" t="str">
            <v>BB BANCO DE INVESTIMENTO S/A</v>
          </cell>
        </row>
        <row r="7343">
          <cell r="B7343">
            <v>23144</v>
          </cell>
          <cell r="C7343" t="str">
            <v>BB BANCO DE INVESTIMENTO S/A</v>
          </cell>
          <cell r="D7343" t="str">
            <v>BB BANCO DE INVESTIMENTO S/A</v>
          </cell>
          <cell r="E7343" t="str">
            <v>BB BANCO DE INVESTIMENTO S/A</v>
          </cell>
        </row>
        <row r="7344">
          <cell r="B7344">
            <v>23146</v>
          </cell>
          <cell r="C7344" t="str">
            <v>BB BANCO DE INVESTIMENTO S/A</v>
          </cell>
          <cell r="D7344" t="str">
            <v>BB BANCO DE INVESTIMENTO S/A</v>
          </cell>
          <cell r="E7344" t="str">
            <v>BB BANCO DE INVESTIMENTO S/A</v>
          </cell>
        </row>
        <row r="7345">
          <cell r="B7345">
            <v>23147</v>
          </cell>
          <cell r="C7345" t="str">
            <v>BB BANCO DE INVESTIMENTO S/A</v>
          </cell>
          <cell r="D7345" t="str">
            <v>BB BANCO DE INVESTIMENTO S/A</v>
          </cell>
          <cell r="E7345" t="str">
            <v>BB BANCO DE INVESTIMENTO S/A</v>
          </cell>
        </row>
        <row r="7346">
          <cell r="B7346">
            <v>23153</v>
          </cell>
          <cell r="C7346" t="str">
            <v>BB GESTAO DE RECURSOS DTVM LTDA</v>
          </cell>
          <cell r="D7346" t="str">
            <v>BB GESTAO DE RECURSOS DTVM LTDA</v>
          </cell>
          <cell r="E7346" t="str">
            <v>BB BANCO DE INVESTIMENTO S/A</v>
          </cell>
        </row>
        <row r="7347">
          <cell r="B7347">
            <v>23157</v>
          </cell>
          <cell r="C7347" t="str">
            <v>BB GESTAO DE RECURSOS DTVM LTDA</v>
          </cell>
          <cell r="D7347" t="str">
            <v>BB GESTAO DE RECURSOS DTVM LTDA</v>
          </cell>
          <cell r="E7347" t="str">
            <v>BB BANCO DE INVESTIMENTO S/A</v>
          </cell>
        </row>
        <row r="7348">
          <cell r="B7348">
            <v>23158</v>
          </cell>
          <cell r="C7348" t="str">
            <v>BB GESTAO DE RECURSOS DTVM LTDA</v>
          </cell>
          <cell r="D7348" t="str">
            <v>BB GESTAO DE RECURSOS DTVM LTDA</v>
          </cell>
          <cell r="E7348" t="str">
            <v>BB BANCO DE INVESTIMENTO S/A</v>
          </cell>
        </row>
        <row r="7349">
          <cell r="B7349">
            <v>23163</v>
          </cell>
          <cell r="C7349" t="str">
            <v>BB GESTAO DE RECURSOS DTVM LTDA</v>
          </cell>
          <cell r="D7349" t="str">
            <v>BB GESTAO DE RECURSOS DTVM LTDA</v>
          </cell>
          <cell r="E7349" t="str">
            <v>BB GESTAO DE RECURSOS DTVM LTDA</v>
          </cell>
        </row>
        <row r="7350">
          <cell r="B7350">
            <v>23168</v>
          </cell>
          <cell r="C7350" t="str">
            <v>BB GESTAO DE RECURSOS DTVM LTDA</v>
          </cell>
          <cell r="D7350" t="str">
            <v>BB GESTAO DE RECURSOS DTVM LTDA</v>
          </cell>
          <cell r="E7350" t="str">
            <v>BB BANCO DE INVESTIMENTO S/A</v>
          </cell>
        </row>
        <row r="7351">
          <cell r="B7351">
            <v>23172</v>
          </cell>
          <cell r="C7351" t="str">
            <v>BB BANCO DE INVESTIMENTO S/A</v>
          </cell>
          <cell r="D7351" t="str">
            <v>BB BANCO DE INVESTIMENTO S/A</v>
          </cell>
          <cell r="E7351" t="str">
            <v>BB BANCO DE INVESTIMENTO S/A</v>
          </cell>
        </row>
        <row r="7352">
          <cell r="B7352">
            <v>23173</v>
          </cell>
          <cell r="C7352" t="str">
            <v>BB BANCO DE INVESTIMENTO S/A</v>
          </cell>
          <cell r="D7352" t="str">
            <v>BB BANCO DE INVESTIMENTO S/A</v>
          </cell>
          <cell r="E7352" t="str">
            <v>BB BANCO DE INVESTIMENTO S/A</v>
          </cell>
        </row>
        <row r="7353">
          <cell r="B7353">
            <v>23175</v>
          </cell>
          <cell r="C7353" t="str">
            <v>BB GESTAO DE RECURSOS DTVM LTDA</v>
          </cell>
          <cell r="D7353" t="str">
            <v>BB GESTAO DE RECURSOS DTVM LTDA</v>
          </cell>
          <cell r="E7353" t="str">
            <v>BANCO DO BRASIL S/A</v>
          </cell>
        </row>
        <row r="7354">
          <cell r="B7354">
            <v>23179</v>
          </cell>
          <cell r="C7354" t="str">
            <v>BB BANCO DE INVESTIMENTO S/A</v>
          </cell>
          <cell r="D7354" t="str">
            <v>BB BANCO DE INVESTIMENTO S/A</v>
          </cell>
          <cell r="E7354" t="str">
            <v>BB BANCO DE INVESTIMENTO S/A</v>
          </cell>
        </row>
        <row r="7355">
          <cell r="B7355">
            <v>23180</v>
          </cell>
          <cell r="C7355" t="str">
            <v>BB GESTAO DE RECURSOS DTVM LTDA</v>
          </cell>
          <cell r="D7355" t="str">
            <v>BB GESTAO DE RECURSOS DTVM LTDA</v>
          </cell>
          <cell r="E7355" t="str">
            <v>BB GESTAO DE RECURSOS DTVM LTDA</v>
          </cell>
        </row>
        <row r="7356">
          <cell r="B7356">
            <v>23181</v>
          </cell>
          <cell r="C7356" t="str">
            <v>BB BANCO DE INVESTIMENTO S/A</v>
          </cell>
          <cell r="D7356" t="str">
            <v>BB BANCO DE INVESTIMENTO S/A</v>
          </cell>
          <cell r="E7356" t="str">
            <v>BB BANCO DE INVESTIMENTO S/A</v>
          </cell>
        </row>
        <row r="7357">
          <cell r="B7357">
            <v>23183</v>
          </cell>
          <cell r="C7357" t="str">
            <v>BB GESTAO DE RECURSOS DTVM LTDA</v>
          </cell>
          <cell r="D7357" t="str">
            <v>BB GESTAO DE RECURSOS DTVM LTDA</v>
          </cell>
          <cell r="E7357" t="str">
            <v>BANCO DO BRASIL S/A</v>
          </cell>
        </row>
        <row r="7358">
          <cell r="B7358">
            <v>23185</v>
          </cell>
          <cell r="C7358" t="str">
            <v>BB BANCO DE INVESTIMENTO S/A</v>
          </cell>
          <cell r="D7358" t="str">
            <v>BB BANCO DE INVESTIMENTO S/A</v>
          </cell>
          <cell r="E7358" t="str">
            <v>BB BANCO DE INVESTIMENTO S/A</v>
          </cell>
        </row>
        <row r="7359">
          <cell r="B7359">
            <v>23186</v>
          </cell>
          <cell r="C7359" t="str">
            <v>BB BANCO DE INVESTIMENTO S/A</v>
          </cell>
          <cell r="D7359" t="str">
            <v>BB BANCO DE INVESTIMENTO S/A</v>
          </cell>
          <cell r="E7359" t="str">
            <v>BB BANCO DE INVESTIMENTO S/A</v>
          </cell>
        </row>
        <row r="7360">
          <cell r="B7360">
            <v>23187</v>
          </cell>
          <cell r="C7360" t="str">
            <v>BB BANCO DE INVESTIMENTO S/A</v>
          </cell>
          <cell r="D7360" t="str">
            <v>BB BANCO DE INVESTIMENTO S/A</v>
          </cell>
          <cell r="E7360" t="str">
            <v>BB BANCO DE INVESTIMENTO S/A</v>
          </cell>
        </row>
        <row r="7361">
          <cell r="B7361">
            <v>23188</v>
          </cell>
          <cell r="C7361" t="str">
            <v>BB BANCO DE INVESTIMENTO S/A</v>
          </cell>
          <cell r="D7361" t="str">
            <v>BB BANCO DE INVESTIMENTO S/A</v>
          </cell>
          <cell r="E7361" t="str">
            <v>BB BANCO DE INVESTIMENTO S/A</v>
          </cell>
        </row>
        <row r="7362">
          <cell r="B7362">
            <v>23189</v>
          </cell>
          <cell r="C7362" t="str">
            <v>BB BANCO DE INVESTIMENTO S/A</v>
          </cell>
          <cell r="D7362" t="str">
            <v>BB BANCO DE INVESTIMENTO S/A</v>
          </cell>
          <cell r="E7362" t="str">
            <v>BB BANCO DE INVESTIMENTO S/A</v>
          </cell>
        </row>
        <row r="7363">
          <cell r="B7363">
            <v>23190</v>
          </cell>
          <cell r="C7363" t="str">
            <v>BB BANCO DE INVESTIMENTO S/A</v>
          </cell>
          <cell r="D7363" t="str">
            <v>BB BANCO DE INVESTIMENTO S/A</v>
          </cell>
          <cell r="E7363" t="str">
            <v>BB BANCO DE INVESTIMENTO S/A</v>
          </cell>
        </row>
        <row r="7364">
          <cell r="B7364">
            <v>23191</v>
          </cell>
          <cell r="C7364" t="str">
            <v>BB BANCO DE INVESTIMENTO S/A</v>
          </cell>
          <cell r="D7364" t="str">
            <v>BB BANCO DE INVESTIMENTO S/A</v>
          </cell>
          <cell r="E7364" t="str">
            <v>BB BANCO DE INVESTIMENTO S/A</v>
          </cell>
        </row>
        <row r="7365">
          <cell r="B7365">
            <v>23192</v>
          </cell>
          <cell r="C7365" t="str">
            <v>BB GESTAO DE RECURSOS DTVM LTDA</v>
          </cell>
          <cell r="D7365" t="str">
            <v>BB GESTAO DE RECURSOS DTVM LTDA</v>
          </cell>
          <cell r="E7365" t="str">
            <v>BANCO DO BRASIL S/A</v>
          </cell>
        </row>
        <row r="7366">
          <cell r="B7366">
            <v>23193</v>
          </cell>
          <cell r="C7366" t="str">
            <v>BB GESTAO DE RECURSOS DTVM LTDA</v>
          </cell>
          <cell r="D7366" t="str">
            <v>BB GESTAO DE RECURSOS DTVM LTDA</v>
          </cell>
          <cell r="E7366" t="str">
            <v>BANCO DO BRASIL S/A</v>
          </cell>
        </row>
        <row r="7367">
          <cell r="B7367">
            <v>23194</v>
          </cell>
          <cell r="C7367" t="str">
            <v>BB GESTAO DE RECURSOS DTVM LTDA</v>
          </cell>
          <cell r="D7367" t="str">
            <v>BB GESTAO DE RECURSOS DTVM LTDA</v>
          </cell>
          <cell r="E7367" t="str">
            <v>BANCO DO BRASIL S/A</v>
          </cell>
        </row>
        <row r="7368">
          <cell r="B7368">
            <v>23197</v>
          </cell>
          <cell r="C7368" t="str">
            <v>BB BANCO DE INVESTIMENTO S/A</v>
          </cell>
          <cell r="D7368" t="str">
            <v>BB BANCO DE INVESTIMENTO S/A</v>
          </cell>
          <cell r="E7368" t="str">
            <v>BB BANCO DE INVESTIMENTO S/A</v>
          </cell>
        </row>
        <row r="7369">
          <cell r="B7369">
            <v>23198</v>
          </cell>
          <cell r="C7369" t="str">
            <v>BB BANCO DE INVESTIMENTO S/A</v>
          </cell>
          <cell r="D7369" t="str">
            <v>BB BANCO DE INVESTIMENTO S/A</v>
          </cell>
          <cell r="E7369" t="str">
            <v>BB BANCO DE INVESTIMENTO S/A</v>
          </cell>
        </row>
        <row r="7370">
          <cell r="B7370">
            <v>23199</v>
          </cell>
          <cell r="C7370" t="str">
            <v>BB BANCO DE INVESTIMENTO S/A</v>
          </cell>
          <cell r="D7370" t="str">
            <v>BB BANCO DE INVESTIMENTO S/A</v>
          </cell>
          <cell r="E7370" t="str">
            <v>BB BANCO DE INVESTIMENTO S/A</v>
          </cell>
        </row>
        <row r="7371">
          <cell r="B7371">
            <v>254</v>
          </cell>
          <cell r="C7371" t="str">
            <v>BANCO SANTANDER (BRASIL) S/A</v>
          </cell>
          <cell r="D7371" t="str">
            <v>BANCO SANTANDER (BRASIL) S/A</v>
          </cell>
          <cell r="E7371" t="str">
            <v>BANCO SANTANDER (BRASIL) S/A</v>
          </cell>
        </row>
        <row r="7372">
          <cell r="B7372">
            <v>23200</v>
          </cell>
          <cell r="C7372" t="str">
            <v>BB BANCO DE INVESTIMENTO S/A</v>
          </cell>
          <cell r="D7372" t="str">
            <v>BB BANCO DE INVESTIMENTO S/A</v>
          </cell>
          <cell r="E7372" t="str">
            <v>BB BANCO DE INVESTIMENTO S/A</v>
          </cell>
        </row>
        <row r="7373">
          <cell r="B7373">
            <v>23201</v>
          </cell>
          <cell r="C7373" t="str">
            <v>BB BANCO DE INVESTIMENTO S/A</v>
          </cell>
          <cell r="D7373" t="str">
            <v>BB BANCO DE INVESTIMENTO S/A</v>
          </cell>
          <cell r="E7373" t="str">
            <v>BB BANCO DE INVESTIMENTO S/A</v>
          </cell>
        </row>
        <row r="7374">
          <cell r="B7374">
            <v>23202</v>
          </cell>
          <cell r="C7374" t="str">
            <v>BB GESTAO DE RECURSOS DTVM LTDA</v>
          </cell>
          <cell r="D7374" t="str">
            <v>BB GESTAO DE RECURSOS DTVM LTDA</v>
          </cell>
          <cell r="E7374" t="str">
            <v>BANCO DO BRASIL S/A</v>
          </cell>
        </row>
        <row r="7375">
          <cell r="B7375">
            <v>23203</v>
          </cell>
          <cell r="C7375" t="str">
            <v>BB BANCO DE INVESTIMENTO S/A</v>
          </cell>
          <cell r="D7375" t="str">
            <v>BB BANCO DE INVESTIMENTO S/A</v>
          </cell>
          <cell r="E7375" t="str">
            <v>BB BANCO DE INVESTIMENTO S/A</v>
          </cell>
        </row>
        <row r="7376">
          <cell r="B7376">
            <v>23204</v>
          </cell>
          <cell r="C7376" t="str">
            <v>BB BANCO DE INVESTIMENTO S/A</v>
          </cell>
          <cell r="D7376" t="str">
            <v>BB BANCO DE INVESTIMENTO S/A</v>
          </cell>
          <cell r="E7376" t="str">
            <v>BB BANCO DE INVESTIMENTO S/A</v>
          </cell>
        </row>
        <row r="7377">
          <cell r="B7377">
            <v>23205</v>
          </cell>
          <cell r="C7377" t="str">
            <v>BB BANCO DE INVESTIMENTO S/A</v>
          </cell>
          <cell r="D7377" t="str">
            <v>BB BANCO DE INVESTIMENTO S/A</v>
          </cell>
          <cell r="E7377" t="str">
            <v>BB BANCO DE INVESTIMENTO S/A</v>
          </cell>
        </row>
        <row r="7378">
          <cell r="B7378">
            <v>23206</v>
          </cell>
          <cell r="C7378" t="str">
            <v>BB BANCO DE INVESTIMENTO S/A</v>
          </cell>
          <cell r="D7378" t="str">
            <v>BB BANCO DE INVESTIMENTO S/A</v>
          </cell>
          <cell r="E7378" t="str">
            <v>BB BANCO DE INVESTIMENTO S/A</v>
          </cell>
        </row>
        <row r="7379">
          <cell r="B7379">
            <v>23207</v>
          </cell>
          <cell r="C7379" t="str">
            <v>BB BANCO DE INVESTIMENTO S/A</v>
          </cell>
          <cell r="D7379" t="str">
            <v>BB BANCO DE INVESTIMENTO S/A</v>
          </cell>
          <cell r="E7379" t="str">
            <v>BB BANCO DE INVESTIMENTO S/A</v>
          </cell>
        </row>
        <row r="7380">
          <cell r="B7380">
            <v>23208</v>
          </cell>
          <cell r="C7380" t="str">
            <v>BB BANCO DE INVESTIMENTO S/A</v>
          </cell>
          <cell r="D7380" t="str">
            <v>BB BANCO DE INVESTIMENTO S/A</v>
          </cell>
          <cell r="E7380" t="str">
            <v>BB BANCO DE INVESTIMENTO S/A</v>
          </cell>
        </row>
        <row r="7381">
          <cell r="B7381">
            <v>23209</v>
          </cell>
          <cell r="C7381" t="str">
            <v>BB BANCO DE INVESTIMENTO S/A</v>
          </cell>
          <cell r="D7381" t="str">
            <v>BB BANCO DE INVESTIMENTO S/A</v>
          </cell>
          <cell r="E7381" t="str">
            <v>BB BANCO DE INVESTIMENTO S/A</v>
          </cell>
        </row>
        <row r="7382">
          <cell r="B7382">
            <v>23211</v>
          </cell>
          <cell r="C7382" t="str">
            <v>BB BANCO DE INVESTIMENTO S/A</v>
          </cell>
          <cell r="D7382" t="str">
            <v>BB BANCO DE INVESTIMENTO S/A</v>
          </cell>
          <cell r="E7382" t="str">
            <v>BB BANCO DE INVESTIMENTO S/A</v>
          </cell>
        </row>
        <row r="7383">
          <cell r="B7383">
            <v>23212</v>
          </cell>
          <cell r="C7383" t="str">
            <v>BB BANCO DE INVESTIMENTO S/A</v>
          </cell>
          <cell r="D7383" t="str">
            <v>BB BANCO DE INVESTIMENTO S/A</v>
          </cell>
          <cell r="E7383" t="str">
            <v>BB BANCO DE INVESTIMENTO S/A</v>
          </cell>
        </row>
        <row r="7384">
          <cell r="B7384">
            <v>23213</v>
          </cell>
          <cell r="C7384" t="str">
            <v>BB BANCO DE INVESTIMENTO S/A</v>
          </cell>
          <cell r="D7384" t="str">
            <v>BB BANCO DE INVESTIMENTO S/A</v>
          </cell>
          <cell r="E7384" t="str">
            <v>BB BANCO DE INVESTIMENTO S/A</v>
          </cell>
        </row>
        <row r="7385">
          <cell r="B7385">
            <v>23216</v>
          </cell>
          <cell r="C7385" t="str">
            <v>BB BANCO DE INVESTIMENTO S/A</v>
          </cell>
          <cell r="D7385" t="str">
            <v>BB BANCO DE INVESTIMENTO S/A</v>
          </cell>
          <cell r="E7385" t="str">
            <v>BB BANCO DE INVESTIMENTO S/A</v>
          </cell>
        </row>
        <row r="7386">
          <cell r="B7386">
            <v>23217</v>
          </cell>
          <cell r="C7386" t="str">
            <v>BB GESTAO DE RECURSOS DTVM LTDA</v>
          </cell>
          <cell r="D7386" t="str">
            <v>BB GESTAO DE RECURSOS DTVM LTDA</v>
          </cell>
          <cell r="E7386" t="str">
            <v>BB GESTAO DE RECURSOS DTVM LTDA</v>
          </cell>
        </row>
        <row r="7387">
          <cell r="B7387">
            <v>23218</v>
          </cell>
          <cell r="C7387" t="str">
            <v>BB BANCO DE INVESTIMENTO S/A</v>
          </cell>
          <cell r="D7387" t="str">
            <v>BB BANCO DE INVESTIMENTO S/A</v>
          </cell>
          <cell r="E7387" t="str">
            <v>BB BANCO DE INVESTIMENTO S/A</v>
          </cell>
        </row>
        <row r="7388">
          <cell r="B7388">
            <v>23219</v>
          </cell>
          <cell r="C7388" t="str">
            <v>BB GESTAO DE RECURSOS DTVM LTDA</v>
          </cell>
          <cell r="D7388" t="str">
            <v>BB GESTAO DE RECURSOS DTVM LTDA</v>
          </cell>
          <cell r="E7388" t="str">
            <v>BANCO DO BRASIL S/A</v>
          </cell>
        </row>
        <row r="7389">
          <cell r="B7389">
            <v>23221</v>
          </cell>
          <cell r="C7389" t="str">
            <v>BB BANCO DE INVESTIMENTO S/A</v>
          </cell>
          <cell r="D7389" t="str">
            <v>BB BANCO DE INVESTIMENTO S/A</v>
          </cell>
          <cell r="E7389" t="str">
            <v>BB BANCO DE INVESTIMENTO S/A</v>
          </cell>
        </row>
        <row r="7390">
          <cell r="B7390">
            <v>23222</v>
          </cell>
          <cell r="C7390" t="str">
            <v>BB BANCO DE INVESTIMENTO S/A</v>
          </cell>
          <cell r="D7390" t="str">
            <v>BB BANCO DE INVESTIMENTO S/A</v>
          </cell>
          <cell r="E7390" t="str">
            <v>BB BANCO DE INVESTIMENTO S/A</v>
          </cell>
        </row>
        <row r="7391">
          <cell r="B7391">
            <v>23223</v>
          </cell>
          <cell r="C7391" t="str">
            <v>BB BANCO DE INVESTIMENTO S/A</v>
          </cell>
          <cell r="D7391" t="str">
            <v>BB BANCO DE INVESTIMENTO S/A</v>
          </cell>
          <cell r="E7391" t="str">
            <v>BB BANCO DE INVESTIMENTO S/A</v>
          </cell>
        </row>
        <row r="7392">
          <cell r="B7392">
            <v>23224</v>
          </cell>
          <cell r="C7392" t="str">
            <v>BB GESTAO DE RECURSOS DTVM LTDA</v>
          </cell>
          <cell r="D7392" t="str">
            <v>BB GESTAO DE RECURSOS DTVM LTDA</v>
          </cell>
          <cell r="E7392" t="str">
            <v>BB GESTAO DE RECURSOS DTVM LTDA</v>
          </cell>
        </row>
        <row r="7393">
          <cell r="B7393">
            <v>23225</v>
          </cell>
          <cell r="C7393" t="str">
            <v>BB GESTAO DE RECURSOS DTVM LTDA</v>
          </cell>
          <cell r="D7393" t="str">
            <v>BB GESTAO DE RECURSOS DTVM LTDA</v>
          </cell>
          <cell r="E7393" t="str">
            <v>BANCO DO BRASIL S/A</v>
          </cell>
        </row>
        <row r="7394">
          <cell r="B7394">
            <v>23228</v>
          </cell>
          <cell r="C7394" t="str">
            <v>BB GESTAO DE RECURSOS DTVM LTDA</v>
          </cell>
          <cell r="D7394" t="str">
            <v>BB GESTAO DE RECURSOS DTVM LTDA</v>
          </cell>
          <cell r="E7394" t="str">
            <v>BANCO DO BRASIL S/A</v>
          </cell>
        </row>
        <row r="7395">
          <cell r="B7395">
            <v>23233</v>
          </cell>
          <cell r="C7395" t="str">
            <v>BB GESTAO DE RECURSOS DTVM LTDA</v>
          </cell>
          <cell r="D7395" t="str">
            <v>BB GESTAO DE RECURSOS DTVM LTDA</v>
          </cell>
          <cell r="E7395" t="str">
            <v>BANCO DO BRASIL S/A</v>
          </cell>
        </row>
        <row r="7396">
          <cell r="B7396">
            <v>23234</v>
          </cell>
          <cell r="C7396" t="str">
            <v>BB GESTAO DE RECURSOS DTVM LTDA</v>
          </cell>
          <cell r="D7396" t="str">
            <v>BB GESTAO DE RECURSOS DTVM LTDA</v>
          </cell>
          <cell r="E7396" t="str">
            <v>BANCO DO BRASIL S/A</v>
          </cell>
        </row>
        <row r="7397">
          <cell r="B7397">
            <v>23238</v>
          </cell>
          <cell r="C7397" t="str">
            <v>BB GESTAO DE RECURSOS DTVM LTDA</v>
          </cell>
          <cell r="D7397" t="str">
            <v>BB GESTAO DE RECURSOS DTVM LTDA</v>
          </cell>
          <cell r="E7397" t="str">
            <v>BANCO DO BRASIL S/A</v>
          </cell>
        </row>
        <row r="7398">
          <cell r="B7398">
            <v>23242</v>
          </cell>
          <cell r="C7398" t="str">
            <v>BB GESTAO DE RECURSOS DTVM LTDA</v>
          </cell>
          <cell r="D7398" t="str">
            <v>BB GESTAO DE RECURSOS DTVM LTDA</v>
          </cell>
          <cell r="E7398" t="str">
            <v>BANCO DO BRASIL S/A</v>
          </cell>
        </row>
        <row r="7399">
          <cell r="B7399">
            <v>23252</v>
          </cell>
          <cell r="C7399" t="str">
            <v>BB GESTAO DE RECURSOS DTVM LTDA</v>
          </cell>
          <cell r="D7399" t="str">
            <v>BB GESTAO DE RECURSOS DTVM LTDA</v>
          </cell>
          <cell r="E7399" t="str">
            <v>BANCO DO BRASIL S/A</v>
          </cell>
        </row>
        <row r="7400">
          <cell r="B7400">
            <v>23257</v>
          </cell>
          <cell r="C7400" t="str">
            <v>BB BANCO DE INVESTIMENTO S/A</v>
          </cell>
          <cell r="D7400" t="str">
            <v>BB BANCO DE INVESTIMENTO S/A</v>
          </cell>
          <cell r="E7400" t="str">
            <v>BB BANCO DE INVESTIMENTO S/A</v>
          </cell>
        </row>
        <row r="7401">
          <cell r="B7401">
            <v>23268</v>
          </cell>
          <cell r="C7401" t="str">
            <v>BB BANCO DE INVESTIMENTO S/A</v>
          </cell>
          <cell r="D7401" t="str">
            <v>BB BANCO DE INVESTIMENTO S/A</v>
          </cell>
          <cell r="E7401" t="str">
            <v>BB BANCO DE INVESTIMENTO S/A</v>
          </cell>
        </row>
        <row r="7402">
          <cell r="B7402">
            <v>23270</v>
          </cell>
          <cell r="C7402" t="str">
            <v>BB GESTAO DE RECURSOS DTVM LTDA</v>
          </cell>
          <cell r="D7402" t="str">
            <v>BB GESTAO DE RECURSOS DTVM LTDA</v>
          </cell>
          <cell r="E7402" t="str">
            <v>BANCO DO BRASIL S/A</v>
          </cell>
        </row>
        <row r="7403">
          <cell r="B7403">
            <v>23272</v>
          </cell>
          <cell r="C7403" t="str">
            <v>BB BANCO DE INVESTIMENTO S/A</v>
          </cell>
          <cell r="D7403" t="str">
            <v>BB BANCO DE INVESTIMENTO S/A</v>
          </cell>
          <cell r="E7403" t="str">
            <v>BB BANCO DE INVESTIMENTO S/A</v>
          </cell>
        </row>
        <row r="7404">
          <cell r="B7404">
            <v>23276</v>
          </cell>
          <cell r="C7404" t="str">
            <v>BB BANCO DE INVESTIMENTO S/A</v>
          </cell>
          <cell r="D7404" t="str">
            <v>BB BANCO DE INVESTIMENTO S/A</v>
          </cell>
          <cell r="E7404" t="str">
            <v>BB BANCO DE INVESTIMENTO S/A</v>
          </cell>
        </row>
        <row r="7405">
          <cell r="B7405">
            <v>23279</v>
          </cell>
          <cell r="C7405" t="str">
            <v>BB BANCO DE INVESTIMENTO S/A</v>
          </cell>
          <cell r="D7405" t="str">
            <v>BB BANCO DE INVESTIMENTO S/A</v>
          </cell>
          <cell r="E7405" t="str">
            <v>BB BANCO DE INVESTIMENTO S/A</v>
          </cell>
        </row>
        <row r="7406">
          <cell r="B7406">
            <v>23285</v>
          </cell>
          <cell r="C7406" t="str">
            <v>BB BANCO DE INVESTIMENTO S/A</v>
          </cell>
          <cell r="D7406" t="str">
            <v>BB BANCO DE INVESTIMENTO S/A</v>
          </cell>
          <cell r="E7406" t="str">
            <v>BB BANCO DE INVESTIMENTO S/A</v>
          </cell>
        </row>
        <row r="7407">
          <cell r="B7407">
            <v>23289</v>
          </cell>
          <cell r="C7407" t="str">
            <v>BB BANCO DE INVESTIMENTO S/A</v>
          </cell>
          <cell r="D7407" t="str">
            <v>BB BANCO DE INVESTIMENTO S/A</v>
          </cell>
          <cell r="E7407" t="str">
            <v>BB BANCO DE INVESTIMENTO S/A</v>
          </cell>
        </row>
        <row r="7408">
          <cell r="B7408">
            <v>23292</v>
          </cell>
          <cell r="C7408" t="str">
            <v>BB GESTAO DE RECURSOS DTVM LTDA</v>
          </cell>
          <cell r="D7408" t="str">
            <v>BB GESTAO DE RECURSOS DTVM LTDA</v>
          </cell>
          <cell r="E7408" t="str">
            <v>BANCO DO BRASIL S/A</v>
          </cell>
        </row>
        <row r="7409">
          <cell r="B7409">
            <v>23294</v>
          </cell>
          <cell r="C7409" t="str">
            <v>BB GESTAO DE RECURSOS DTVM LTDA</v>
          </cell>
          <cell r="D7409" t="str">
            <v>BB GESTAO DE RECURSOS DTVM LTDA</v>
          </cell>
          <cell r="E7409" t="str">
            <v>BANCO DO BRASIL S/A</v>
          </cell>
        </row>
        <row r="7410">
          <cell r="B7410">
            <v>23295</v>
          </cell>
          <cell r="C7410" t="str">
            <v>BB GESTAO DE RECURSOS DTVM LTDA</v>
          </cell>
          <cell r="D7410" t="str">
            <v>BB GESTAO DE RECURSOS DTVM LTDA</v>
          </cell>
          <cell r="E7410" t="str">
            <v>BANCO DO BRASIL S/A</v>
          </cell>
        </row>
        <row r="7411">
          <cell r="B7411">
            <v>23298</v>
          </cell>
          <cell r="C7411" t="str">
            <v>BB GESTAO DE RECURSOS DTVM LTDA</v>
          </cell>
          <cell r="D7411" t="str">
            <v>BB GESTAO DE RECURSOS DTVM LTDA</v>
          </cell>
          <cell r="E7411" t="str">
            <v>BANCO DO BRASIL S/A</v>
          </cell>
        </row>
        <row r="7412">
          <cell r="B7412">
            <v>255</v>
          </cell>
          <cell r="C7412" t="str">
            <v>BANCO SANTANDER (BRASIL) S/A</v>
          </cell>
          <cell r="D7412" t="str">
            <v>BANCO SANTANDER (BRASIL) S/A</v>
          </cell>
          <cell r="E7412" t="str">
            <v>BANCO SANTANDER (BRASIL) S/A</v>
          </cell>
        </row>
        <row r="7413">
          <cell r="B7413">
            <v>23300</v>
          </cell>
          <cell r="C7413" t="str">
            <v>BB GESTAO DE RECURSOS DTVM LTDA</v>
          </cell>
          <cell r="D7413" t="str">
            <v>BB GESTAO DE RECURSOS DTVM LTDA</v>
          </cell>
          <cell r="E7413" t="str">
            <v>BANCO DO BRASIL S/A</v>
          </cell>
        </row>
        <row r="7414">
          <cell r="B7414">
            <v>23302</v>
          </cell>
          <cell r="C7414" t="str">
            <v>BB BANCO DE INVESTIMENTO S/A</v>
          </cell>
          <cell r="D7414" t="str">
            <v>BB BANCO DE INVESTIMENTO S/A</v>
          </cell>
          <cell r="E7414" t="str">
            <v>BB BANCO DE INVESTIMENTO S/A</v>
          </cell>
        </row>
        <row r="7415">
          <cell r="B7415">
            <v>23305</v>
          </cell>
          <cell r="C7415" t="str">
            <v>BB GESTAO DE RECURSOS DTVM LTDA</v>
          </cell>
          <cell r="D7415" t="str">
            <v>BB GESTAO DE RECURSOS DTVM LTDA</v>
          </cell>
          <cell r="E7415" t="str">
            <v>BANCO DO BRASIL S/A</v>
          </cell>
        </row>
        <row r="7416">
          <cell r="B7416">
            <v>23308</v>
          </cell>
          <cell r="C7416" t="str">
            <v>BB BANCO DE INVESTIMENTO S/A</v>
          </cell>
          <cell r="D7416" t="str">
            <v>BB BANCO DE INVESTIMENTO S/A</v>
          </cell>
          <cell r="E7416" t="str">
            <v>BB BANCO DE INVESTIMENTO S/A</v>
          </cell>
        </row>
        <row r="7417">
          <cell r="B7417">
            <v>23312</v>
          </cell>
          <cell r="C7417" t="str">
            <v>BB BANCO DE INVESTIMENTO S/A</v>
          </cell>
          <cell r="D7417" t="str">
            <v>BB BANCO DE INVESTIMENTO S/A</v>
          </cell>
          <cell r="E7417" t="str">
            <v>BB BANCO DE INVESTIMENTO S/A</v>
          </cell>
        </row>
        <row r="7418">
          <cell r="B7418">
            <v>23314</v>
          </cell>
          <cell r="C7418" t="str">
            <v>BB GESTAO DE RECURSOS DTVM LTDA</v>
          </cell>
          <cell r="D7418" t="str">
            <v>BB GESTAO DE RECURSOS DTVM LTDA</v>
          </cell>
          <cell r="E7418" t="str">
            <v>BANCO DO BRASIL S/A</v>
          </cell>
        </row>
        <row r="7419">
          <cell r="B7419">
            <v>23317</v>
          </cell>
          <cell r="C7419" t="str">
            <v>BB BANCO DE INVESTIMENTO S/A</v>
          </cell>
          <cell r="D7419" t="str">
            <v>BB BANCO DE INVESTIMENTO S/A</v>
          </cell>
          <cell r="E7419" t="str">
            <v>BB BANCO DE INVESTIMENTO S/A</v>
          </cell>
        </row>
        <row r="7420">
          <cell r="B7420">
            <v>23321</v>
          </cell>
          <cell r="C7420" t="str">
            <v>BB BANCO DE INVESTIMENTO S/A</v>
          </cell>
          <cell r="D7420" t="str">
            <v>BB BANCO DE INVESTIMENTO S/A</v>
          </cell>
          <cell r="E7420" t="str">
            <v>BB BANCO DE INVESTIMENTO S/A</v>
          </cell>
        </row>
        <row r="7421">
          <cell r="B7421">
            <v>23329</v>
          </cell>
          <cell r="C7421" t="str">
            <v>BB BANCO DE INVESTIMENTO S/A</v>
          </cell>
          <cell r="D7421" t="str">
            <v>BB BANCO DE INVESTIMENTO S/A</v>
          </cell>
          <cell r="E7421" t="str">
            <v>BB BANCO DE INVESTIMENTO S/A</v>
          </cell>
        </row>
        <row r="7422">
          <cell r="B7422">
            <v>23330</v>
          </cell>
          <cell r="C7422" t="str">
            <v>BB BANCO DE INVESTIMENTO S/A</v>
          </cell>
          <cell r="D7422" t="str">
            <v>BB BANCO DE INVESTIMENTO S/A</v>
          </cell>
          <cell r="E7422" t="str">
            <v>BB BANCO DE INVESTIMENTO S/A</v>
          </cell>
        </row>
        <row r="7423">
          <cell r="B7423">
            <v>23332</v>
          </cell>
          <cell r="C7423" t="str">
            <v>BB BANCO DE INVESTIMENTO S/A</v>
          </cell>
          <cell r="D7423" t="str">
            <v>BB BANCO DE INVESTIMENTO S/A</v>
          </cell>
          <cell r="E7423" t="str">
            <v>BB BANCO DE INVESTIMENTO S/A</v>
          </cell>
        </row>
        <row r="7424">
          <cell r="B7424">
            <v>23334</v>
          </cell>
          <cell r="C7424" t="str">
            <v>BB BANCO DE INVESTIMENTO S/A</v>
          </cell>
          <cell r="D7424" t="str">
            <v>BB BANCO DE INVESTIMENTO S/A</v>
          </cell>
          <cell r="E7424" t="str">
            <v>BB BANCO DE INVESTIMENTO S/A</v>
          </cell>
        </row>
        <row r="7425">
          <cell r="B7425">
            <v>23335</v>
          </cell>
          <cell r="C7425" t="str">
            <v>BB GESTAO DE RECURSOS DTVM LTDA</v>
          </cell>
          <cell r="D7425" t="str">
            <v>BB GESTAO DE RECURSOS DTVM LTDA</v>
          </cell>
          <cell r="E7425" t="str">
            <v>BB GESTAO DE RECURSOS DTVM LTDA</v>
          </cell>
        </row>
        <row r="7426">
          <cell r="B7426">
            <v>23337</v>
          </cell>
          <cell r="C7426" t="str">
            <v>BB BANCO DE INVESTIMENTO S/A</v>
          </cell>
          <cell r="D7426" t="str">
            <v>BB BANCO DE INVESTIMENTO S/A</v>
          </cell>
          <cell r="E7426" t="str">
            <v>BB BANCO DE INVESTIMENTO S/A</v>
          </cell>
        </row>
        <row r="7427">
          <cell r="B7427">
            <v>23340</v>
          </cell>
          <cell r="C7427" t="str">
            <v>BB BANCO DE INVESTIMENTO S/A</v>
          </cell>
          <cell r="D7427" t="str">
            <v>BB BANCO DE INVESTIMENTO S/A</v>
          </cell>
          <cell r="E7427" t="str">
            <v>BB BANCO DE INVESTIMENTO S/A</v>
          </cell>
        </row>
        <row r="7428">
          <cell r="B7428">
            <v>23344</v>
          </cell>
          <cell r="C7428" t="str">
            <v>BB GESTAO DE RECURSOS DTVM LTDA</v>
          </cell>
          <cell r="D7428" t="str">
            <v>BB GESTAO DE RECURSOS DTVM LTDA</v>
          </cell>
          <cell r="E7428" t="str">
            <v>BANCO DO BRASIL S/A</v>
          </cell>
        </row>
        <row r="7429">
          <cell r="B7429">
            <v>23345</v>
          </cell>
          <cell r="C7429" t="str">
            <v>BB GESTAO DE RECURSOS DTVM LTDA</v>
          </cell>
          <cell r="D7429" t="str">
            <v>BB GESTAO DE RECURSOS DTVM LTDA</v>
          </cell>
          <cell r="E7429" t="str">
            <v>BANCO DO BRASIL S/A</v>
          </cell>
        </row>
        <row r="7430">
          <cell r="B7430">
            <v>23348</v>
          </cell>
          <cell r="C7430" t="str">
            <v>BB GESTAO DE RECURSOS DTVM LTDA</v>
          </cell>
          <cell r="D7430" t="str">
            <v>BB GESTAO DE RECURSOS DTVM LTDA</v>
          </cell>
          <cell r="E7430" t="str">
            <v>BANCO DO BRASIL S/A</v>
          </cell>
        </row>
        <row r="7431">
          <cell r="B7431">
            <v>23350</v>
          </cell>
          <cell r="C7431" t="str">
            <v>BB GESTAO DE RECURSOS DTVM LTDA</v>
          </cell>
          <cell r="D7431" t="str">
            <v>BB GESTAO DE RECURSOS DTVM LTDA</v>
          </cell>
          <cell r="E7431" t="str">
            <v>BANCO DO BRASIL S/A</v>
          </cell>
        </row>
        <row r="7432">
          <cell r="B7432">
            <v>23351</v>
          </cell>
          <cell r="C7432" t="str">
            <v>BB GESTAO DE RECURSOS DTVM LTDA</v>
          </cell>
          <cell r="D7432" t="str">
            <v>BB GESTAO DE RECURSOS DTVM LTDA</v>
          </cell>
          <cell r="E7432" t="str">
            <v>BANCO DO BRASIL S/A</v>
          </cell>
        </row>
        <row r="7433">
          <cell r="B7433">
            <v>23352</v>
          </cell>
          <cell r="C7433" t="str">
            <v>BB BANCO DE INVESTIMENTO S/A</v>
          </cell>
          <cell r="D7433" t="str">
            <v>BB BANCO DE INVESTIMENTO S/A</v>
          </cell>
          <cell r="E7433" t="str">
            <v>BB BANCO DE INVESTIMENTO S/A</v>
          </cell>
        </row>
        <row r="7434">
          <cell r="B7434">
            <v>23358</v>
          </cell>
          <cell r="C7434" t="str">
            <v>BB BANCO DE INVESTIMENTO S/A</v>
          </cell>
          <cell r="D7434" t="str">
            <v>BB BANCO DE INVESTIMENTO S/A</v>
          </cell>
          <cell r="E7434" t="str">
            <v>BB BANCO DE INVESTIMENTO S/A</v>
          </cell>
        </row>
        <row r="7435">
          <cell r="B7435">
            <v>23359</v>
          </cell>
          <cell r="C7435" t="str">
            <v>BB BANCO DE INVESTIMENTO S/A</v>
          </cell>
          <cell r="D7435" t="str">
            <v>BB BANCO DE INVESTIMENTO S/A</v>
          </cell>
          <cell r="E7435" t="str">
            <v>BB BANCO DE INVESTIMENTO S/A</v>
          </cell>
        </row>
        <row r="7436">
          <cell r="B7436">
            <v>23360</v>
          </cell>
          <cell r="C7436" t="str">
            <v>BB BANCO DE INVESTIMENTO S/A</v>
          </cell>
          <cell r="D7436" t="str">
            <v>BB BANCO DE INVESTIMENTO S/A</v>
          </cell>
          <cell r="E7436" t="str">
            <v>BB BANCO DE INVESTIMENTO S/A</v>
          </cell>
        </row>
        <row r="7437">
          <cell r="B7437">
            <v>23361</v>
          </cell>
          <cell r="C7437" t="str">
            <v>BB BANCO DE INVESTIMENTO S/A</v>
          </cell>
          <cell r="D7437" t="str">
            <v>BB BANCO DE INVESTIMENTO S/A</v>
          </cell>
          <cell r="E7437" t="str">
            <v>BB BANCO DE INVESTIMENTO S/A</v>
          </cell>
        </row>
        <row r="7438">
          <cell r="B7438">
            <v>23365</v>
          </cell>
          <cell r="C7438" t="str">
            <v>BB BANCO DE INVESTIMENTO S/A</v>
          </cell>
          <cell r="D7438" t="str">
            <v>BB BANCO DE INVESTIMENTO S/A</v>
          </cell>
          <cell r="E7438" t="str">
            <v>BB BANCO DE INVESTIMENTO S/A</v>
          </cell>
        </row>
        <row r="7439">
          <cell r="B7439">
            <v>23366</v>
          </cell>
          <cell r="C7439" t="str">
            <v>BB BANCO DE INVESTIMENTO S/A</v>
          </cell>
          <cell r="D7439" t="str">
            <v>BB BANCO DE INVESTIMENTO S/A</v>
          </cell>
          <cell r="E7439" t="str">
            <v>BB BANCO DE INVESTIMENTO S/A</v>
          </cell>
        </row>
        <row r="7440">
          <cell r="B7440">
            <v>23371</v>
          </cell>
          <cell r="C7440" t="str">
            <v>BB BANCO DE INVESTIMENTO S/A</v>
          </cell>
          <cell r="D7440" t="str">
            <v>BB BANCO DE INVESTIMENTO S/A</v>
          </cell>
          <cell r="E7440" t="str">
            <v>BB BANCO DE INVESTIMENTO S/A</v>
          </cell>
        </row>
        <row r="7441">
          <cell r="B7441">
            <v>23374</v>
          </cell>
          <cell r="C7441" t="str">
            <v>BB GESTAO DE RECURSOS DTVM LTDA</v>
          </cell>
          <cell r="D7441" t="str">
            <v>BB GESTAO DE RECURSOS DTVM LTDA</v>
          </cell>
          <cell r="E7441" t="str">
            <v>BANCO DO BRASIL S/A</v>
          </cell>
        </row>
        <row r="7442">
          <cell r="B7442">
            <v>23375</v>
          </cell>
          <cell r="C7442" t="str">
            <v>BB GESTAO DE RECURSOS DTVM LTDA</v>
          </cell>
          <cell r="D7442" t="str">
            <v>BB GESTAO DE RECURSOS DTVM LTDA</v>
          </cell>
          <cell r="E7442" t="str">
            <v>BANCO DO BRASIL S/A</v>
          </cell>
        </row>
        <row r="7443">
          <cell r="B7443">
            <v>23377</v>
          </cell>
          <cell r="C7443" t="str">
            <v>BB GESTAO DE RECURSOS DTVM LTDA</v>
          </cell>
          <cell r="D7443" t="str">
            <v>BB GESTAO DE RECURSOS DTVM LTDA</v>
          </cell>
          <cell r="E7443" t="str">
            <v>BANCO DO BRASIL S/A</v>
          </cell>
        </row>
        <row r="7444">
          <cell r="B7444">
            <v>23378</v>
          </cell>
          <cell r="C7444" t="str">
            <v>BB BANCO DE INVESTIMENTO S/A</v>
          </cell>
          <cell r="D7444" t="str">
            <v>BB BANCO DE INVESTIMENTO S/A</v>
          </cell>
          <cell r="E7444" t="str">
            <v>BB BANCO DE INVESTIMENTO S/A</v>
          </cell>
        </row>
        <row r="7445">
          <cell r="B7445">
            <v>23379</v>
          </cell>
          <cell r="C7445" t="str">
            <v>BB BANCO DE INVESTIMENTO S/A</v>
          </cell>
          <cell r="D7445" t="str">
            <v>BB BANCO DE INVESTIMENTO S/A</v>
          </cell>
          <cell r="E7445" t="str">
            <v>BB BANCO DE INVESTIMENTO S/A</v>
          </cell>
        </row>
        <row r="7446">
          <cell r="B7446">
            <v>23382</v>
          </cell>
          <cell r="C7446" t="str">
            <v>BB BANCO DE INVESTIMENTO S/A</v>
          </cell>
          <cell r="D7446" t="str">
            <v>BB BANCO DE INVESTIMENTO S/A</v>
          </cell>
          <cell r="E7446" t="str">
            <v>BB BANCO DE INVESTIMENTO S/A</v>
          </cell>
        </row>
        <row r="7447">
          <cell r="B7447">
            <v>23383</v>
          </cell>
          <cell r="C7447" t="str">
            <v>BB GESTAO DE RECURSOS DTVM LTDA</v>
          </cell>
          <cell r="D7447" t="str">
            <v>BB GESTAO DE RECURSOS DTVM LTDA</v>
          </cell>
          <cell r="E7447" t="str">
            <v>BANCO DO BRASIL S/A</v>
          </cell>
        </row>
        <row r="7448">
          <cell r="B7448">
            <v>23385</v>
          </cell>
          <cell r="C7448" t="str">
            <v>BB GESTAO DE RECURSOS DTVM LTDA</v>
          </cell>
          <cell r="D7448" t="str">
            <v>BB GESTAO DE RECURSOS DTVM LTDA</v>
          </cell>
          <cell r="E7448" t="str">
            <v>BANCO DO BRASIL S/A</v>
          </cell>
        </row>
        <row r="7449">
          <cell r="B7449">
            <v>23387</v>
          </cell>
          <cell r="C7449" t="str">
            <v>BB GESTAO DE RECURSOS DTVM LTDA</v>
          </cell>
          <cell r="D7449" t="str">
            <v>BB GESTAO DE RECURSOS DTVM LTDA</v>
          </cell>
          <cell r="E7449" t="str">
            <v>BANCO DO BRASIL S/A</v>
          </cell>
        </row>
        <row r="7450">
          <cell r="B7450">
            <v>23390</v>
          </cell>
          <cell r="C7450" t="str">
            <v>BB BANCO DE INVESTIMENTO S/A</v>
          </cell>
          <cell r="D7450" t="str">
            <v>BB BANCO DE INVESTIMENTO S/A</v>
          </cell>
          <cell r="E7450" t="str">
            <v>BB BANCO DE INVESTIMENTO S/A</v>
          </cell>
        </row>
        <row r="7451">
          <cell r="B7451">
            <v>23391</v>
          </cell>
          <cell r="C7451" t="str">
            <v>BB BANCO DE INVESTIMENTO S/A</v>
          </cell>
          <cell r="D7451" t="str">
            <v>BB BANCO DE INVESTIMENTO S/A</v>
          </cell>
          <cell r="E7451" t="str">
            <v>BB BANCO DE INVESTIMENTO S/A</v>
          </cell>
        </row>
        <row r="7452">
          <cell r="B7452">
            <v>23393</v>
          </cell>
          <cell r="C7452" t="str">
            <v>BB BANCO DE INVESTIMENTO S/A</v>
          </cell>
          <cell r="D7452" t="str">
            <v>BB BANCO DE INVESTIMENTO S/A</v>
          </cell>
          <cell r="E7452" t="str">
            <v>BB BANCO DE INVESTIMENTO S/A</v>
          </cell>
        </row>
        <row r="7453">
          <cell r="B7453">
            <v>23394</v>
          </cell>
          <cell r="C7453" t="str">
            <v>BB BANCO DE INVESTIMENTO S/A</v>
          </cell>
          <cell r="D7453" t="str">
            <v>BB BANCO DE INVESTIMENTO S/A</v>
          </cell>
          <cell r="E7453" t="str">
            <v>BB BANCO DE INVESTIMENTO S/A</v>
          </cell>
        </row>
        <row r="7454">
          <cell r="B7454">
            <v>23397</v>
          </cell>
          <cell r="C7454" t="str">
            <v>BB BANCO DE INVESTIMENTO S/A</v>
          </cell>
          <cell r="D7454" t="str">
            <v>BB BANCO DE INVESTIMENTO S/A</v>
          </cell>
          <cell r="E7454" t="str">
            <v>BB BANCO DE INVESTIMENTO S/A</v>
          </cell>
        </row>
        <row r="7455">
          <cell r="B7455">
            <v>23398</v>
          </cell>
          <cell r="C7455" t="str">
            <v>BB BANCO DE INVESTIMENTO S/A</v>
          </cell>
          <cell r="D7455" t="str">
            <v>BB BANCO DE INVESTIMENTO S/A</v>
          </cell>
          <cell r="E7455" t="str">
            <v>BB BANCO DE INVESTIMENTO S/A</v>
          </cell>
        </row>
        <row r="7456">
          <cell r="B7456">
            <v>256</v>
          </cell>
          <cell r="C7456" t="str">
            <v>BANCO SANTANDER (BRASIL) S/A</v>
          </cell>
          <cell r="D7456" t="str">
            <v>BANCO SANTANDER (BRASIL) S/A</v>
          </cell>
          <cell r="E7456" t="str">
            <v>BANCO SANTANDER (BRASIL) S/A</v>
          </cell>
        </row>
        <row r="7457">
          <cell r="B7457">
            <v>23400</v>
          </cell>
          <cell r="C7457" t="str">
            <v>BB GESTAO DE RECURSOS DTVM LTDA</v>
          </cell>
          <cell r="D7457" t="str">
            <v>BB GESTAO DE RECURSOS DTVM LTDA</v>
          </cell>
          <cell r="E7457" t="str">
            <v>BANCO DO BRASIL S/A</v>
          </cell>
        </row>
        <row r="7458">
          <cell r="B7458">
            <v>23406</v>
          </cell>
          <cell r="C7458" t="str">
            <v>BB GESTAO DE RECURSOS DTVM LTDA</v>
          </cell>
          <cell r="D7458" t="str">
            <v>BB GESTAO DE RECURSOS DTVM LTDA</v>
          </cell>
          <cell r="E7458" t="str">
            <v>BANCO DO BRASIL S/A</v>
          </cell>
        </row>
        <row r="7459">
          <cell r="B7459">
            <v>23407</v>
          </cell>
          <cell r="C7459" t="str">
            <v>BB GESTAO DE RECURSOS DTVM LTDA</v>
          </cell>
          <cell r="D7459" t="str">
            <v>BB GESTAO DE RECURSOS DTVM LTDA</v>
          </cell>
          <cell r="E7459" t="str">
            <v>BANCO DO BRASIL S/A</v>
          </cell>
        </row>
        <row r="7460">
          <cell r="B7460">
            <v>23408</v>
          </cell>
          <cell r="C7460" t="str">
            <v>BB GESTAO DE RECURSOS DTVM LTDA</v>
          </cell>
          <cell r="D7460" t="str">
            <v>BB GESTAO DE RECURSOS DTVM LTDA</v>
          </cell>
          <cell r="E7460" t="str">
            <v>BANCO DO BRASIL S/A</v>
          </cell>
        </row>
        <row r="7461">
          <cell r="B7461">
            <v>23409</v>
          </cell>
          <cell r="C7461" t="str">
            <v>BB BANCO DE INVESTIMENTO S/A</v>
          </cell>
          <cell r="D7461" t="str">
            <v>BB BANCO DE INVESTIMENTO S/A</v>
          </cell>
          <cell r="E7461" t="str">
            <v>BB BANCO DE INVESTIMENTO S/A</v>
          </cell>
        </row>
        <row r="7462">
          <cell r="B7462">
            <v>23410</v>
          </cell>
          <cell r="C7462" t="str">
            <v>BB BANCO DE INVESTIMENTO S/A</v>
          </cell>
          <cell r="D7462" t="str">
            <v>BB BANCO DE INVESTIMENTO S/A</v>
          </cell>
          <cell r="E7462" t="str">
            <v>BB BANCO DE INVESTIMENTO S/A</v>
          </cell>
        </row>
        <row r="7463">
          <cell r="B7463">
            <v>23411</v>
          </cell>
          <cell r="C7463" t="str">
            <v>BB BANCO DE INVESTIMENTO S/A</v>
          </cell>
          <cell r="D7463" t="str">
            <v>BB BANCO DE INVESTIMENTO S/A</v>
          </cell>
          <cell r="E7463" t="str">
            <v>BB BANCO DE INVESTIMENTO S/A</v>
          </cell>
        </row>
        <row r="7464">
          <cell r="B7464">
            <v>23415</v>
          </cell>
          <cell r="C7464" t="str">
            <v>BB BANCO DE INVESTIMENTO S/A</v>
          </cell>
          <cell r="D7464" t="str">
            <v>BB BANCO DE INVESTIMENTO S/A</v>
          </cell>
          <cell r="E7464" t="str">
            <v>BB BANCO DE INVESTIMENTO S/A</v>
          </cell>
        </row>
        <row r="7465">
          <cell r="B7465">
            <v>23418</v>
          </cell>
          <cell r="C7465" t="str">
            <v>BB BANCO DE INVESTIMENTO S/A</v>
          </cell>
          <cell r="D7465" t="str">
            <v>BB BANCO DE INVESTIMENTO S/A</v>
          </cell>
          <cell r="E7465" t="str">
            <v>BB BANCO DE INVESTIMENTO S/A</v>
          </cell>
        </row>
        <row r="7466">
          <cell r="B7466">
            <v>23424</v>
          </cell>
          <cell r="C7466" t="str">
            <v>BB GESTAO DE RECURSOS DTVM LTDA</v>
          </cell>
          <cell r="D7466" t="str">
            <v>BB GESTAO DE RECURSOS DTVM LTDA</v>
          </cell>
          <cell r="E7466" t="str">
            <v>BANCO DO BRASIL S/A</v>
          </cell>
        </row>
        <row r="7467">
          <cell r="B7467">
            <v>23427</v>
          </cell>
          <cell r="C7467" t="str">
            <v>BB GESTAO DE RECURSOS DTVM LTDA</v>
          </cell>
          <cell r="D7467" t="str">
            <v>BB GESTAO DE RECURSOS DTVM LTDA</v>
          </cell>
          <cell r="E7467" t="str">
            <v>BANCO DO BRASIL S/A</v>
          </cell>
        </row>
        <row r="7468">
          <cell r="B7468">
            <v>23429</v>
          </cell>
          <cell r="C7468" t="str">
            <v>BB GESTAO DE RECURSOS DTVM LTDA</v>
          </cell>
          <cell r="D7468" t="str">
            <v>BB GESTAO DE RECURSOS DTVM LTDA</v>
          </cell>
          <cell r="E7468" t="str">
            <v>BANCO DO BRASIL S/A</v>
          </cell>
        </row>
        <row r="7469">
          <cell r="B7469">
            <v>23430</v>
          </cell>
          <cell r="C7469" t="str">
            <v>BB GESTAO DE RECURSOS DTVM LTDA</v>
          </cell>
          <cell r="D7469" t="str">
            <v>BB GESTAO DE RECURSOS DTVM LTDA</v>
          </cell>
          <cell r="E7469" t="str">
            <v>BANCO DO BRASIL S/A</v>
          </cell>
        </row>
        <row r="7470">
          <cell r="B7470">
            <v>23431</v>
          </cell>
          <cell r="C7470" t="str">
            <v>BB GESTAO DE RECURSOS DTVM LTDA</v>
          </cell>
          <cell r="D7470" t="str">
            <v>BB GESTAO DE RECURSOS DTVM LTDA</v>
          </cell>
          <cell r="E7470" t="str">
            <v>BANCO DO BRASIL S/A</v>
          </cell>
        </row>
        <row r="7471">
          <cell r="B7471">
            <v>23432</v>
          </cell>
          <cell r="C7471" t="str">
            <v>BB GESTAO DE RECURSOS DTVM LTDA</v>
          </cell>
          <cell r="D7471" t="str">
            <v>BB GESTAO DE RECURSOS DTVM LTDA</v>
          </cell>
          <cell r="E7471" t="str">
            <v>BANCO DO BRASIL S/A</v>
          </cell>
        </row>
        <row r="7472">
          <cell r="B7472">
            <v>23433</v>
          </cell>
          <cell r="C7472" t="str">
            <v>BB GESTAO DE RECURSOS DTVM LTDA</v>
          </cell>
          <cell r="D7472" t="str">
            <v>BB GESTAO DE RECURSOS DTVM LTDA</v>
          </cell>
          <cell r="E7472" t="str">
            <v>BANCO DO BRASIL S/A</v>
          </cell>
        </row>
        <row r="7473">
          <cell r="B7473">
            <v>23437</v>
          </cell>
          <cell r="C7473" t="str">
            <v>BB BANCO DE INVESTIMENTO S/A</v>
          </cell>
          <cell r="D7473" t="str">
            <v>BB BANCO DE INVESTIMENTO S/A</v>
          </cell>
          <cell r="E7473" t="str">
            <v>BB BANCO DE INVESTIMENTO S/A</v>
          </cell>
        </row>
        <row r="7474">
          <cell r="B7474">
            <v>23439</v>
          </cell>
          <cell r="C7474" t="str">
            <v>BB BANCO DE INVESTIMENTO S/A</v>
          </cell>
          <cell r="D7474" t="str">
            <v>BB BANCO DE INVESTIMENTO S/A</v>
          </cell>
          <cell r="E7474" t="str">
            <v>BB BANCO DE INVESTIMENTO S/A</v>
          </cell>
        </row>
        <row r="7475">
          <cell r="B7475">
            <v>23440</v>
          </cell>
          <cell r="C7475" t="str">
            <v>BB BANCO DE INVESTIMENTO S/A</v>
          </cell>
          <cell r="D7475" t="str">
            <v>BB BANCO DE INVESTIMENTO S/A</v>
          </cell>
          <cell r="E7475" t="str">
            <v>BB BANCO DE INVESTIMENTO S/A</v>
          </cell>
        </row>
        <row r="7476">
          <cell r="B7476">
            <v>23441</v>
          </cell>
          <cell r="C7476" t="str">
            <v>BB BANCO DE INVESTIMENTO S/A</v>
          </cell>
          <cell r="D7476" t="str">
            <v>BB BANCO DE INVESTIMENTO S/A</v>
          </cell>
          <cell r="E7476" t="str">
            <v>BB BANCO DE INVESTIMENTO S/A</v>
          </cell>
        </row>
        <row r="7477">
          <cell r="B7477">
            <v>23442</v>
          </cell>
          <cell r="C7477" t="str">
            <v>BB BANCO DE INVESTIMENTO S/A</v>
          </cell>
          <cell r="D7477" t="str">
            <v>BB BANCO DE INVESTIMENTO S/A</v>
          </cell>
          <cell r="E7477" t="str">
            <v>BB BANCO DE INVESTIMENTO S/A</v>
          </cell>
        </row>
        <row r="7478">
          <cell r="B7478">
            <v>23443</v>
          </cell>
          <cell r="C7478" t="str">
            <v>BB BANCO DE INVESTIMENTO S/A</v>
          </cell>
          <cell r="D7478" t="str">
            <v>BB BANCO DE INVESTIMENTO S/A</v>
          </cell>
          <cell r="E7478" t="str">
            <v>BB BANCO DE INVESTIMENTO S/A</v>
          </cell>
        </row>
        <row r="7479">
          <cell r="B7479">
            <v>23444</v>
          </cell>
          <cell r="C7479" t="str">
            <v>BB BANCO DE INVESTIMENTO S/A</v>
          </cell>
          <cell r="D7479" t="str">
            <v>BB BANCO DE INVESTIMENTO S/A</v>
          </cell>
          <cell r="E7479" t="str">
            <v>BB BANCO DE INVESTIMENTO S/A</v>
          </cell>
        </row>
        <row r="7480">
          <cell r="B7480">
            <v>23453</v>
          </cell>
          <cell r="C7480" t="str">
            <v>BB BANCO DE INVESTIMENTO S/A</v>
          </cell>
          <cell r="D7480" t="str">
            <v>BB BANCO DE INVESTIMENTO S/A</v>
          </cell>
          <cell r="E7480" t="str">
            <v>BB BANCO DE INVESTIMENTO S/A</v>
          </cell>
        </row>
        <row r="7481">
          <cell r="B7481">
            <v>23457</v>
          </cell>
          <cell r="C7481" t="str">
            <v>BB GESTAO DE RECURSOS DTVM LTDA</v>
          </cell>
          <cell r="D7481" t="str">
            <v>BB GESTAO DE RECURSOS DTVM LTDA</v>
          </cell>
          <cell r="E7481" t="str">
            <v>BANCO DO BRASIL S/A</v>
          </cell>
        </row>
        <row r="7482">
          <cell r="B7482">
            <v>122335</v>
          </cell>
          <cell r="C7482" t="str">
            <v>SUL AMERICA INVESTIMENTOS DTVM S/A</v>
          </cell>
          <cell r="D7482" t="str">
            <v>SUL AMERICA INVESTIMENTOS DTVM S/A</v>
          </cell>
          <cell r="E7482" t="str">
            <v>SUL AMERICA INVESTIMENTOS GESTORA DE RECURSOS S/A</v>
          </cell>
        </row>
        <row r="7483">
          <cell r="B7483">
            <v>23460</v>
          </cell>
          <cell r="C7483" t="str">
            <v>BB GESTAO DE RECURSOS DTVM LTDA</v>
          </cell>
          <cell r="D7483" t="str">
            <v>BB GESTAO DE RECURSOS DTVM LTDA</v>
          </cell>
          <cell r="E7483" t="str">
            <v>BANCO DO BRASIL S/A</v>
          </cell>
        </row>
        <row r="7484">
          <cell r="B7484">
            <v>23462</v>
          </cell>
          <cell r="C7484" t="str">
            <v>BB BANCO DE INVESTIMENTO S/A</v>
          </cell>
          <cell r="D7484" t="str">
            <v>BB BANCO DE INVESTIMENTO S/A</v>
          </cell>
          <cell r="E7484" t="str">
            <v>BB BANCO DE INVESTIMENTO S/A</v>
          </cell>
        </row>
        <row r="7485">
          <cell r="B7485">
            <v>23464</v>
          </cell>
          <cell r="C7485" t="str">
            <v>BB GESTAO DE RECURSOS DTVM LTDA</v>
          </cell>
          <cell r="D7485" t="str">
            <v>BB GESTAO DE RECURSOS DTVM LTDA</v>
          </cell>
          <cell r="E7485" t="str">
            <v>BANCO DO BRASIL S/A</v>
          </cell>
        </row>
        <row r="7486">
          <cell r="B7486">
            <v>23482</v>
          </cell>
          <cell r="C7486" t="str">
            <v>BB BANCO DE INVESTIMENTO S/A</v>
          </cell>
          <cell r="D7486" t="str">
            <v>BB BANCO DE INVESTIMENTO S/A</v>
          </cell>
          <cell r="E7486" t="str">
            <v>BB BANCO DE INVESTIMENTO S/A</v>
          </cell>
        </row>
        <row r="7487">
          <cell r="B7487">
            <v>23483</v>
          </cell>
          <cell r="C7487" t="str">
            <v>BB BANCO DE INVESTIMENTO S/A</v>
          </cell>
          <cell r="D7487" t="str">
            <v>BB BANCO DE INVESTIMENTO S/A</v>
          </cell>
          <cell r="E7487" t="str">
            <v>BB BANCO DE INVESTIMENTO S/A</v>
          </cell>
        </row>
        <row r="7488">
          <cell r="B7488">
            <v>23486</v>
          </cell>
          <cell r="C7488" t="str">
            <v>BB BANCO DE INVESTIMENTO S/A</v>
          </cell>
          <cell r="D7488" t="str">
            <v>BB BANCO DE INVESTIMENTO S/A</v>
          </cell>
          <cell r="E7488" t="str">
            <v>BB BANCO DE INVESTIMENTO S/A</v>
          </cell>
        </row>
        <row r="7489">
          <cell r="B7489">
            <v>23487</v>
          </cell>
          <cell r="C7489" t="str">
            <v>BB BANCO DE INVESTIMENTO S/A</v>
          </cell>
          <cell r="D7489" t="str">
            <v>BB BANCO DE INVESTIMENTO S/A</v>
          </cell>
          <cell r="E7489" t="str">
            <v>BB BANCO DE INVESTIMENTO S/A</v>
          </cell>
        </row>
        <row r="7490">
          <cell r="B7490">
            <v>23489</v>
          </cell>
          <cell r="C7490" t="str">
            <v>BB GESTAO DE RECURSOS DTVM LTDA</v>
          </cell>
          <cell r="D7490" t="str">
            <v>BB GESTAO DE RECURSOS DTVM LTDA</v>
          </cell>
          <cell r="E7490" t="str">
            <v>BANCO DO BRASIL S/A</v>
          </cell>
        </row>
        <row r="7491">
          <cell r="B7491">
            <v>23490</v>
          </cell>
          <cell r="C7491" t="str">
            <v>BB GESTAO DE RECURSOS DTVM LTDA</v>
          </cell>
          <cell r="D7491" t="str">
            <v>BB GESTAO DE RECURSOS DTVM LTDA</v>
          </cell>
          <cell r="E7491" t="str">
            <v>BB GESTAO DE RECURSOS DTVM LTDA</v>
          </cell>
        </row>
        <row r="7492">
          <cell r="B7492">
            <v>23493</v>
          </cell>
          <cell r="C7492" t="str">
            <v>BB GESTAO DE RECURSOS DTVM LTDA</v>
          </cell>
          <cell r="D7492" t="str">
            <v>BB GESTAO DE RECURSOS DTVM LTDA</v>
          </cell>
          <cell r="E7492" t="str">
            <v>BB GESTAO DE RECURSOS DTVM LTDA</v>
          </cell>
        </row>
        <row r="7493">
          <cell r="B7493">
            <v>257</v>
          </cell>
          <cell r="C7493" t="str">
            <v>BANCO SANTANDER (BRASIL) S/A</v>
          </cell>
          <cell r="D7493" t="str">
            <v>BANCO SANTANDER (BRASIL) S/A</v>
          </cell>
          <cell r="E7493" t="str">
            <v>BANCO SANTANDER (BRASIL) S/A</v>
          </cell>
        </row>
        <row r="7494">
          <cell r="B7494">
            <v>23508</v>
          </cell>
          <cell r="C7494" t="str">
            <v>BB BANCO DE INVESTIMENTO S/A</v>
          </cell>
          <cell r="D7494" t="str">
            <v>BB BANCO DE INVESTIMENTO S/A</v>
          </cell>
          <cell r="E7494" t="str">
            <v>BB BANCO DE INVESTIMENTO S/A</v>
          </cell>
        </row>
        <row r="7495">
          <cell r="B7495">
            <v>23512</v>
          </cell>
          <cell r="C7495" t="str">
            <v>BB GESTAO DE RECURSOS DTVM LTDA</v>
          </cell>
          <cell r="D7495" t="str">
            <v>BB GESTAO DE RECURSOS DTVM LTDA</v>
          </cell>
          <cell r="E7495" t="str">
            <v>BANCO DO BRASIL S/A</v>
          </cell>
        </row>
        <row r="7496">
          <cell r="B7496">
            <v>23513</v>
          </cell>
          <cell r="C7496" t="str">
            <v>BB BANCO DE INVESTIMENTO S/A</v>
          </cell>
          <cell r="D7496" t="str">
            <v>BB BANCO DE INVESTIMENTO S/A</v>
          </cell>
          <cell r="E7496" t="str">
            <v>BB BANCO DE INVESTIMENTO S/A</v>
          </cell>
        </row>
        <row r="7497">
          <cell r="B7497">
            <v>23514</v>
          </cell>
          <cell r="C7497" t="str">
            <v>BB GESTAO DE RECURSOS DTVM LTDA</v>
          </cell>
          <cell r="D7497" t="str">
            <v>BB GESTAO DE RECURSOS DTVM LTDA</v>
          </cell>
          <cell r="E7497" t="str">
            <v>BB GESTAO DE RECURSOS DTVM LTDA</v>
          </cell>
        </row>
        <row r="7498">
          <cell r="B7498">
            <v>23518</v>
          </cell>
          <cell r="C7498" t="str">
            <v>BB GESTAO DE RECURSOS DTVM LTDA</v>
          </cell>
          <cell r="D7498" t="str">
            <v>BB GESTAO DE RECURSOS DTVM LTDA</v>
          </cell>
          <cell r="E7498" t="str">
            <v>BANCO DO BRASIL S/A</v>
          </cell>
        </row>
        <row r="7499">
          <cell r="B7499">
            <v>23520</v>
          </cell>
          <cell r="C7499" t="str">
            <v>BB BANCO DE INVESTIMENTO S/A</v>
          </cell>
          <cell r="D7499" t="str">
            <v>BB BANCO DE INVESTIMENTO S/A</v>
          </cell>
          <cell r="E7499" t="str">
            <v>BB BANCO DE INVESTIMENTO S/A</v>
          </cell>
        </row>
        <row r="7500">
          <cell r="B7500">
            <v>23522</v>
          </cell>
          <cell r="C7500" t="str">
            <v>BB GESTAO DE RECURSOS DTVM LTDA</v>
          </cell>
          <cell r="D7500" t="str">
            <v>BB GESTAO DE RECURSOS DTVM LTDA</v>
          </cell>
          <cell r="E7500" t="str">
            <v>BANCO DO BRASIL S/A</v>
          </cell>
        </row>
        <row r="7501">
          <cell r="B7501">
            <v>23525</v>
          </cell>
          <cell r="C7501" t="str">
            <v>BB BANCO DE INVESTIMENTO S/A</v>
          </cell>
          <cell r="D7501" t="str">
            <v>BB BANCO DE INVESTIMENTO S/A</v>
          </cell>
          <cell r="E7501" t="str">
            <v>BB BANCO DE INVESTIMENTO S/A</v>
          </cell>
        </row>
        <row r="7502">
          <cell r="B7502">
            <v>23549</v>
          </cell>
          <cell r="C7502" t="str">
            <v>BB GESTAO DE RECURSOS DTVM LTDA</v>
          </cell>
          <cell r="D7502" t="str">
            <v>BB GESTAO DE RECURSOS DTVM LTDA</v>
          </cell>
          <cell r="E7502" t="str">
            <v>BANCO DO BRASIL S/A</v>
          </cell>
        </row>
        <row r="7503">
          <cell r="B7503">
            <v>23551</v>
          </cell>
          <cell r="C7503" t="str">
            <v>BB GESTAO DE RECURSOS DTVM LTDA</v>
          </cell>
          <cell r="D7503" t="str">
            <v>BB GESTAO DE RECURSOS DTVM LTDA</v>
          </cell>
          <cell r="E7503" t="str">
            <v>BANCO DO BRASIL S/A</v>
          </cell>
        </row>
        <row r="7504">
          <cell r="B7504">
            <v>23554</v>
          </cell>
          <cell r="C7504" t="str">
            <v>BB GESTAO DE RECURSOS DTVM LTDA</v>
          </cell>
          <cell r="D7504" t="str">
            <v>BB GESTAO DE RECURSOS DTVM LTDA</v>
          </cell>
          <cell r="E7504" t="str">
            <v>BANCO DO BRASIL S/A</v>
          </cell>
        </row>
        <row r="7505">
          <cell r="B7505">
            <v>23566</v>
          </cell>
          <cell r="C7505" t="str">
            <v>EVANDRO CAVALIERE SILVA</v>
          </cell>
          <cell r="D7505" t="str">
            <v>EVANDRO CAVALIERE SILVA</v>
          </cell>
          <cell r="E7505" t="str">
            <v>EVANDRO CAVALIERE SILVA</v>
          </cell>
        </row>
        <row r="7506">
          <cell r="B7506">
            <v>23577</v>
          </cell>
          <cell r="C7506" t="str">
            <v>BB BANCO DE INVESTIMENTO S/A</v>
          </cell>
          <cell r="D7506" t="str">
            <v>BB BANCO DE INVESTIMENTO S/A</v>
          </cell>
          <cell r="E7506" t="str">
            <v>BB BANCO DE INVESTIMENTO S/A</v>
          </cell>
        </row>
        <row r="7507">
          <cell r="B7507">
            <v>23581</v>
          </cell>
          <cell r="C7507" t="str">
            <v>BB BANCO DE INVESTIMENTO S/A</v>
          </cell>
          <cell r="D7507" t="str">
            <v>BB BANCO DE INVESTIMENTO S/A</v>
          </cell>
          <cell r="E7507" t="str">
            <v>BB BANCO DE INVESTIMENTO S/A</v>
          </cell>
        </row>
        <row r="7508">
          <cell r="B7508">
            <v>23588</v>
          </cell>
          <cell r="C7508" t="str">
            <v>BB BANCO DE INVESTIMENTO S/A</v>
          </cell>
          <cell r="D7508" t="str">
            <v>BB BANCO DE INVESTIMENTO S/A</v>
          </cell>
          <cell r="E7508" t="str">
            <v>BB BANCO DE INVESTIMENTO S/A</v>
          </cell>
        </row>
        <row r="7509">
          <cell r="B7509">
            <v>23591</v>
          </cell>
          <cell r="C7509" t="str">
            <v>BB GESTAO DE RECURSOS DTVM LTDA</v>
          </cell>
          <cell r="D7509" t="str">
            <v>BB GESTAO DE RECURSOS DTVM LTDA</v>
          </cell>
          <cell r="E7509" t="str">
            <v>BANCO DO BRASIL S/A</v>
          </cell>
        </row>
        <row r="7510">
          <cell r="B7510">
            <v>23593</v>
          </cell>
          <cell r="C7510" t="str">
            <v>BB BANCO DE INVESTIMENTO S/A</v>
          </cell>
          <cell r="D7510" t="str">
            <v>BB BANCO DE INVESTIMENTO S/A</v>
          </cell>
          <cell r="E7510" t="str">
            <v>BB BANCO DE INVESTIMENTO S/A</v>
          </cell>
        </row>
        <row r="7511">
          <cell r="B7511">
            <v>23597</v>
          </cell>
          <cell r="C7511" t="str">
            <v>BB GESTAO DE RECURSOS DTVM LTDA</v>
          </cell>
          <cell r="D7511" t="str">
            <v>BB GESTAO DE RECURSOS DTVM LTDA</v>
          </cell>
          <cell r="E7511" t="str">
            <v>BB GESTAO DE RECURSOS DTVM LTDA</v>
          </cell>
        </row>
        <row r="7512">
          <cell r="B7512">
            <v>258</v>
          </cell>
          <cell r="C7512" t="str">
            <v>BANCO SANTANDER (BRASIL) S/A</v>
          </cell>
          <cell r="D7512" t="str">
            <v>BANCO SANTANDER (BRASIL) S/A</v>
          </cell>
          <cell r="E7512" t="str">
            <v>BANCO SANTANDER (BRASIL) S/A</v>
          </cell>
        </row>
        <row r="7513">
          <cell r="B7513">
            <v>23603</v>
          </cell>
          <cell r="C7513" t="str">
            <v>BB GESTAO DE RECURSOS DTVM LTDA</v>
          </cell>
          <cell r="D7513" t="str">
            <v>BB GESTAO DE RECURSOS DTVM LTDA</v>
          </cell>
          <cell r="E7513" t="str">
            <v>BB GESTAO DE RECURSOS DTVM LTDA</v>
          </cell>
        </row>
        <row r="7514">
          <cell r="B7514">
            <v>23604</v>
          </cell>
          <cell r="C7514" t="str">
            <v>BB GESTAO DE RECURSOS DTVM LTDA</v>
          </cell>
          <cell r="D7514" t="str">
            <v>BB GESTAO DE RECURSOS DTVM LTDA</v>
          </cell>
          <cell r="E7514" t="str">
            <v>BANCO DO BRASIL S/A</v>
          </cell>
        </row>
        <row r="7515">
          <cell r="B7515">
            <v>23605</v>
          </cell>
          <cell r="C7515" t="str">
            <v>BB GESTAO DE RECURSOS DTVM LTDA</v>
          </cell>
          <cell r="D7515" t="str">
            <v>BB GESTAO DE RECURSOS DTVM LTDA</v>
          </cell>
          <cell r="E7515" t="str">
            <v>BANCO DO BRASIL S/A</v>
          </cell>
        </row>
        <row r="7516">
          <cell r="B7516">
            <v>23606</v>
          </cell>
          <cell r="C7516" t="str">
            <v>BB GESTAO DE RECURSOS DTVM LTDA</v>
          </cell>
          <cell r="D7516" t="str">
            <v>BB GESTAO DE RECURSOS DTVM LTDA</v>
          </cell>
          <cell r="E7516" t="str">
            <v>BANCO DO BRASIL S/A</v>
          </cell>
        </row>
        <row r="7517">
          <cell r="B7517">
            <v>23612</v>
          </cell>
          <cell r="C7517" t="str">
            <v>BB BANCO DE INVESTIMENTO S/A</v>
          </cell>
          <cell r="D7517" t="str">
            <v>BB BANCO DE INVESTIMENTO S/A</v>
          </cell>
          <cell r="E7517" t="str">
            <v>BB BANCO DE INVESTIMENTO S/A</v>
          </cell>
        </row>
        <row r="7518">
          <cell r="B7518">
            <v>23613</v>
          </cell>
          <cell r="C7518" t="str">
            <v>BB GESTAO DE RECURSOS DTVM LTDA</v>
          </cell>
          <cell r="D7518" t="str">
            <v>BB GESTAO DE RECURSOS DTVM LTDA</v>
          </cell>
          <cell r="E7518" t="str">
            <v>BB GESTAO DE RECURSOS DTVM LTDA</v>
          </cell>
        </row>
        <row r="7519">
          <cell r="B7519">
            <v>23614</v>
          </cell>
          <cell r="C7519" t="str">
            <v>BB GESTAO DE RECURSOS DTVM LTDA</v>
          </cell>
          <cell r="D7519" t="str">
            <v>BB GESTAO DE RECURSOS DTVM LTDA</v>
          </cell>
          <cell r="E7519" t="str">
            <v>BB GESTAO DE RECURSOS DTVM LTDA</v>
          </cell>
        </row>
        <row r="7520">
          <cell r="B7520">
            <v>23616</v>
          </cell>
          <cell r="C7520" t="str">
            <v>BB BANCO DE INVESTIMENTO S/A</v>
          </cell>
          <cell r="D7520" t="str">
            <v>BB BANCO DE INVESTIMENTO S/A</v>
          </cell>
          <cell r="E7520" t="str">
            <v>BB BANCO DE INVESTIMENTO S/A</v>
          </cell>
        </row>
        <row r="7521">
          <cell r="B7521">
            <v>23625</v>
          </cell>
          <cell r="C7521" t="str">
            <v>BB GESTAO DE RECURSOS DTVM LTDA</v>
          </cell>
          <cell r="D7521" t="str">
            <v>BB GESTAO DE RECURSOS DTVM LTDA</v>
          </cell>
          <cell r="E7521" t="str">
            <v>BANCO DO BRASIL S/A</v>
          </cell>
        </row>
        <row r="7522">
          <cell r="B7522">
            <v>23630</v>
          </cell>
          <cell r="C7522" t="str">
            <v>BB BANCO DE INVESTIMENTO S/A</v>
          </cell>
          <cell r="D7522" t="str">
            <v>BB BANCO DE INVESTIMENTO S/A</v>
          </cell>
          <cell r="E7522" t="str">
            <v>BB BANCO DE INVESTIMENTO S/A</v>
          </cell>
        </row>
        <row r="7523">
          <cell r="B7523">
            <v>23655</v>
          </cell>
          <cell r="C7523" t="str">
            <v>BB GESTAO DE RECURSOS DTVM LTDA</v>
          </cell>
          <cell r="D7523" t="str">
            <v>BB GESTAO DE RECURSOS DTVM LTDA</v>
          </cell>
          <cell r="E7523" t="str">
            <v>BANCO DO BRASIL S/A</v>
          </cell>
        </row>
        <row r="7524">
          <cell r="B7524">
            <v>23661</v>
          </cell>
          <cell r="C7524" t="str">
            <v>BB GESTAO DE RECURSOS DTVM LTDA</v>
          </cell>
          <cell r="D7524" t="str">
            <v>BB GESTAO DE RECURSOS DTVM LTDA</v>
          </cell>
          <cell r="E7524" t="str">
            <v>BANCO DO BRASIL S/A</v>
          </cell>
        </row>
        <row r="7525">
          <cell r="B7525">
            <v>23674</v>
          </cell>
          <cell r="C7525" t="str">
            <v>BB BANCO DE INVESTIMENTO S/A</v>
          </cell>
          <cell r="D7525" t="str">
            <v>BB BANCO DE INVESTIMENTO S/A</v>
          </cell>
          <cell r="E7525" t="str">
            <v>BB BANCO DE INVESTIMENTO S/A</v>
          </cell>
        </row>
        <row r="7526">
          <cell r="B7526">
            <v>23675</v>
          </cell>
          <cell r="C7526" t="str">
            <v>BB BANCO DE INVESTIMENTO S/A</v>
          </cell>
          <cell r="D7526" t="str">
            <v>BB BANCO DE INVESTIMENTO S/A</v>
          </cell>
          <cell r="E7526" t="str">
            <v>BB BANCO DE INVESTIMENTO S/A</v>
          </cell>
        </row>
        <row r="7527">
          <cell r="B7527">
            <v>23678</v>
          </cell>
          <cell r="C7527" t="str">
            <v>BB GESTAO DE RECURSOS DTVM LTDA</v>
          </cell>
          <cell r="D7527" t="str">
            <v>BB GESTAO DE RECURSOS DTVM LTDA</v>
          </cell>
          <cell r="E7527" t="str">
            <v>BANCO DO BRASIL S/A</v>
          </cell>
        </row>
        <row r="7528">
          <cell r="B7528">
            <v>23688</v>
          </cell>
          <cell r="C7528" t="str">
            <v>BB GESTAO DE RECURSOS DTVM LTDA</v>
          </cell>
          <cell r="D7528" t="str">
            <v>BB GESTAO DE RECURSOS DTVM LTDA</v>
          </cell>
          <cell r="E7528" t="str">
            <v>BB GESTAO DE RECURSOS DTVM LTDA</v>
          </cell>
        </row>
        <row r="7529">
          <cell r="B7529">
            <v>23689</v>
          </cell>
          <cell r="C7529" t="str">
            <v>BB GESTAO DE RECURSOS DTVM LTDA</v>
          </cell>
          <cell r="D7529" t="str">
            <v>BB GESTAO DE RECURSOS DTVM LTDA</v>
          </cell>
          <cell r="E7529" t="str">
            <v>BB GESTAO DE RECURSOS DTVM LTDA</v>
          </cell>
        </row>
        <row r="7530">
          <cell r="B7530">
            <v>23693</v>
          </cell>
          <cell r="C7530" t="str">
            <v>BB BANCO DE INVESTIMENTO S/A</v>
          </cell>
          <cell r="D7530" t="str">
            <v>BB BANCO DE INVESTIMENTO S/A</v>
          </cell>
          <cell r="E7530" t="str">
            <v>BB BANCO DE INVESTIMENTO S/A</v>
          </cell>
        </row>
        <row r="7531">
          <cell r="B7531">
            <v>23699</v>
          </cell>
          <cell r="C7531" t="str">
            <v>BB BANCO DE INVESTIMENTO S/A</v>
          </cell>
          <cell r="D7531" t="str">
            <v>BB BANCO DE INVESTIMENTO S/A</v>
          </cell>
          <cell r="E7531" t="str">
            <v>BB BANCO DE INVESTIMENTO S/A</v>
          </cell>
        </row>
        <row r="7532">
          <cell r="B7532">
            <v>259</v>
          </cell>
          <cell r="C7532" t="str">
            <v>BANCO SANTANDER (BRASIL) S/A</v>
          </cell>
          <cell r="D7532" t="str">
            <v>BANCO SANTANDER (BRASIL) S/A</v>
          </cell>
          <cell r="E7532" t="str">
            <v>BANCO SANTANDER (BRASIL) S/A</v>
          </cell>
        </row>
        <row r="7533">
          <cell r="B7533">
            <v>23705</v>
          </cell>
          <cell r="C7533" t="str">
            <v>BB GESTAO DE RECURSOS DTVM LTDA</v>
          </cell>
          <cell r="D7533" t="str">
            <v>BB GESTAO DE RECURSOS DTVM LTDA</v>
          </cell>
          <cell r="E7533" t="str">
            <v>BB GESTAO DE RECURSOS DTVM LTDA</v>
          </cell>
        </row>
        <row r="7534">
          <cell r="B7534">
            <v>23707</v>
          </cell>
          <cell r="C7534" t="str">
            <v>BB BANCO DE INVESTIMENTO S/A</v>
          </cell>
          <cell r="D7534" t="str">
            <v>BB BANCO DE INVESTIMENTO S/A</v>
          </cell>
          <cell r="E7534" t="str">
            <v>BB BANCO DE INVESTIMENTO S/A</v>
          </cell>
        </row>
        <row r="7535">
          <cell r="B7535">
            <v>23725</v>
          </cell>
          <cell r="C7535" t="str">
            <v>BB BANCO DE INVESTIMENTO S/A</v>
          </cell>
          <cell r="D7535" t="str">
            <v>BB BANCO DE INVESTIMENTO S/A</v>
          </cell>
          <cell r="E7535" t="str">
            <v>BB BANCO DE INVESTIMENTO S/A</v>
          </cell>
        </row>
        <row r="7536">
          <cell r="B7536">
            <v>23726</v>
          </cell>
          <cell r="C7536" t="str">
            <v>BB GESTAO DE RECURSOS DTVM LTDA</v>
          </cell>
          <cell r="D7536" t="str">
            <v>BB GESTAO DE RECURSOS DTVM LTDA</v>
          </cell>
          <cell r="E7536" t="str">
            <v>BANCO DO BRASIL S/A</v>
          </cell>
        </row>
        <row r="7537">
          <cell r="B7537">
            <v>23727</v>
          </cell>
          <cell r="C7537" t="str">
            <v>BB GESTAO DE RECURSOS DTVM LTDA</v>
          </cell>
          <cell r="D7537" t="str">
            <v>BB GESTAO DE RECURSOS DTVM LTDA</v>
          </cell>
          <cell r="E7537" t="str">
            <v>BANCO DO BRASIL S/A</v>
          </cell>
        </row>
        <row r="7538">
          <cell r="B7538">
            <v>23728</v>
          </cell>
          <cell r="C7538" t="str">
            <v>BB GESTAO DE RECURSOS DTVM LTDA</v>
          </cell>
          <cell r="D7538" t="str">
            <v>BB GESTAO DE RECURSOS DTVM LTDA</v>
          </cell>
          <cell r="E7538" t="str">
            <v>BANCO DO BRASIL S/A</v>
          </cell>
        </row>
        <row r="7539">
          <cell r="B7539">
            <v>23736</v>
          </cell>
          <cell r="C7539" t="str">
            <v>BB BANCO DE INVESTIMENTO S/A</v>
          </cell>
          <cell r="D7539" t="str">
            <v>BB BANCO DE INVESTIMENTO S/A</v>
          </cell>
          <cell r="E7539" t="str">
            <v>BB BANCO DE INVESTIMENTO S/A</v>
          </cell>
        </row>
        <row r="7540">
          <cell r="B7540">
            <v>23737</v>
          </cell>
          <cell r="C7540" t="str">
            <v>BB BANCO DE INVESTIMENTO S/A</v>
          </cell>
          <cell r="D7540" t="str">
            <v>BB BANCO DE INVESTIMENTO S/A</v>
          </cell>
          <cell r="E7540" t="str">
            <v>BB BANCO DE INVESTIMENTO S/A</v>
          </cell>
        </row>
        <row r="7541">
          <cell r="B7541">
            <v>23739</v>
          </cell>
          <cell r="C7541" t="str">
            <v>BB BANCO DE INVESTIMENTO S/A</v>
          </cell>
          <cell r="D7541" t="str">
            <v>BB BANCO DE INVESTIMENTO S/A</v>
          </cell>
          <cell r="E7541" t="str">
            <v>BB BANCO DE INVESTIMENTO S/A</v>
          </cell>
        </row>
        <row r="7542">
          <cell r="B7542">
            <v>23740</v>
          </cell>
          <cell r="C7542" t="str">
            <v>BB BANCO DE INVESTIMENTO S/A</v>
          </cell>
          <cell r="D7542" t="str">
            <v>BB BANCO DE INVESTIMENTO S/A</v>
          </cell>
          <cell r="E7542" t="str">
            <v>BB BANCO DE INVESTIMENTO S/A</v>
          </cell>
        </row>
        <row r="7543">
          <cell r="B7543">
            <v>23742</v>
          </cell>
          <cell r="C7543" t="str">
            <v>BB GESTAO DE RECURSOS DTVM LTDA</v>
          </cell>
          <cell r="D7543" t="str">
            <v>BB GESTAO DE RECURSOS DTVM LTDA</v>
          </cell>
          <cell r="E7543" t="str">
            <v>BB GESTAO DE RECURSOS DTVM LTDA</v>
          </cell>
        </row>
        <row r="7544">
          <cell r="B7544">
            <v>23767</v>
          </cell>
          <cell r="C7544" t="str">
            <v>BB GESTAO DE RECURSOS DTVM LTDA</v>
          </cell>
          <cell r="D7544" t="str">
            <v>BB GESTAO DE RECURSOS DTVM LTDA</v>
          </cell>
          <cell r="E7544" t="str">
            <v>BB GESTAO DE RECURSOS DTVM LTDA</v>
          </cell>
        </row>
        <row r="7545">
          <cell r="B7545">
            <v>23770</v>
          </cell>
          <cell r="C7545" t="str">
            <v>BB GESTAO DE RECURSOS DTVM LTDA</v>
          </cell>
          <cell r="D7545" t="str">
            <v>BB GESTAO DE RECURSOS DTVM LTDA</v>
          </cell>
          <cell r="E7545" t="str">
            <v>BB GESTAO DE RECURSOS DTVM LTDA</v>
          </cell>
        </row>
        <row r="7546">
          <cell r="B7546">
            <v>23772</v>
          </cell>
          <cell r="C7546" t="str">
            <v>BB BANCO DE INVESTIMENTO S/A</v>
          </cell>
          <cell r="D7546" t="str">
            <v>BB BANCO DE INVESTIMENTO S/A</v>
          </cell>
          <cell r="E7546" t="str">
            <v>BB BANCO DE INVESTIMENTO S/A</v>
          </cell>
        </row>
        <row r="7547">
          <cell r="B7547">
            <v>23773</v>
          </cell>
          <cell r="C7547" t="str">
            <v>BB GESTAO DE RECURSOS DTVM LTDA</v>
          </cell>
          <cell r="D7547" t="str">
            <v>BB GESTAO DE RECURSOS DTVM LTDA</v>
          </cell>
          <cell r="E7547" t="str">
            <v>BANCO DO BRASIL S/A</v>
          </cell>
        </row>
        <row r="7548">
          <cell r="B7548">
            <v>23774</v>
          </cell>
          <cell r="C7548" t="str">
            <v>BB GESTAO DE RECURSOS DTVM LTDA</v>
          </cell>
          <cell r="D7548" t="str">
            <v>BB GESTAO DE RECURSOS DTVM LTDA</v>
          </cell>
          <cell r="E7548" t="str">
            <v>BB GESTAO DE RECURSOS DTVM LTDA</v>
          </cell>
        </row>
        <row r="7549">
          <cell r="B7549">
            <v>23775</v>
          </cell>
          <cell r="C7549" t="str">
            <v>BB GESTAO DE RECURSOS DTVM LTDA</v>
          </cell>
          <cell r="D7549" t="str">
            <v>BB GESTAO DE RECURSOS DTVM LTDA</v>
          </cell>
          <cell r="E7549" t="str">
            <v>BANCO DO BRASIL S/A</v>
          </cell>
        </row>
        <row r="7550">
          <cell r="B7550">
            <v>23777</v>
          </cell>
          <cell r="C7550" t="str">
            <v>BB GESTAO DE RECURSOS DTVM LTDA</v>
          </cell>
          <cell r="D7550" t="str">
            <v>BB GESTAO DE RECURSOS DTVM LTDA</v>
          </cell>
          <cell r="E7550" t="str">
            <v>BB GESTAO DE RECURSOS DTVM LTDA</v>
          </cell>
        </row>
        <row r="7551">
          <cell r="B7551">
            <v>23780</v>
          </cell>
          <cell r="C7551" t="str">
            <v>BB GESTAO DE RECURSOS DTVM LTDA</v>
          </cell>
          <cell r="D7551" t="str">
            <v>BB GESTAO DE RECURSOS DTVM LTDA</v>
          </cell>
          <cell r="E7551" t="str">
            <v>BANCO DO BRASIL S/A</v>
          </cell>
        </row>
        <row r="7552">
          <cell r="B7552">
            <v>23781</v>
          </cell>
          <cell r="C7552" t="str">
            <v>BB GESTAO DE RECURSOS DTVM LTDA</v>
          </cell>
          <cell r="D7552" t="str">
            <v>BB GESTAO DE RECURSOS DTVM LTDA</v>
          </cell>
          <cell r="E7552" t="str">
            <v>BANCO DO BRASIL S/A</v>
          </cell>
        </row>
        <row r="7553">
          <cell r="B7553">
            <v>23787</v>
          </cell>
          <cell r="C7553" t="str">
            <v>BB GESTAO DE RECURSOS DTVM LTDA</v>
          </cell>
          <cell r="D7553" t="str">
            <v>BB GESTAO DE RECURSOS DTVM LTDA</v>
          </cell>
          <cell r="E7553" t="str">
            <v>BANCO DO BRASIL S/A</v>
          </cell>
        </row>
        <row r="7554">
          <cell r="B7554">
            <v>260</v>
          </cell>
          <cell r="C7554" t="str">
            <v>BANCO SANTANDER (BRASIL) S/A</v>
          </cell>
          <cell r="D7554" t="str">
            <v>BANCO SANTANDER (BRASIL) S/A</v>
          </cell>
          <cell r="E7554" t="str">
            <v>BANCO SANTANDER (BRASIL) S/A</v>
          </cell>
        </row>
        <row r="7555">
          <cell r="B7555">
            <v>23803</v>
          </cell>
          <cell r="C7555" t="str">
            <v>BB GESTAO DE RECURSOS DTVM LTDA</v>
          </cell>
          <cell r="D7555" t="str">
            <v>BB GESTAO DE RECURSOS DTVM LTDA</v>
          </cell>
          <cell r="E7555" t="str">
            <v>BB GESTAO DE RECURSOS DTVM LTDA</v>
          </cell>
        </row>
        <row r="7556">
          <cell r="B7556">
            <v>23808</v>
          </cell>
          <cell r="C7556" t="str">
            <v>BB BANCO DE INVESTIMENTO S/A</v>
          </cell>
          <cell r="D7556" t="str">
            <v>BB BANCO DE INVESTIMENTO S/A</v>
          </cell>
          <cell r="E7556" t="str">
            <v>BB BANCO DE INVESTIMENTO S/A</v>
          </cell>
        </row>
        <row r="7557">
          <cell r="B7557">
            <v>23816</v>
          </cell>
          <cell r="C7557" t="str">
            <v>BB BANCO DE INVESTIMENTO S/A</v>
          </cell>
          <cell r="D7557" t="str">
            <v>BB BANCO DE INVESTIMENTO S/A</v>
          </cell>
          <cell r="E7557" t="str">
            <v>BB BANCO DE INVESTIMENTO S/A</v>
          </cell>
        </row>
        <row r="7558">
          <cell r="B7558">
            <v>23830</v>
          </cell>
          <cell r="C7558" t="str">
            <v>BB GESTAO DE RECURSOS DTVM LTDA</v>
          </cell>
          <cell r="D7558" t="str">
            <v>BB GESTAO DE RECURSOS DTVM LTDA</v>
          </cell>
          <cell r="E7558" t="str">
            <v>BB GESTAO DE RECURSOS DTVM LTDA</v>
          </cell>
        </row>
        <row r="7559">
          <cell r="B7559">
            <v>23839</v>
          </cell>
          <cell r="C7559" t="str">
            <v>BB GESTAO DE RECURSOS DTVM LTDA</v>
          </cell>
          <cell r="D7559" t="str">
            <v>BB GESTAO DE RECURSOS DTVM LTDA</v>
          </cell>
          <cell r="E7559" t="str">
            <v>BANCO DO BRASIL S/A</v>
          </cell>
        </row>
        <row r="7560">
          <cell r="B7560">
            <v>23841</v>
          </cell>
          <cell r="C7560" t="str">
            <v>BB GESTAO DE RECURSOS DTVM LTDA</v>
          </cell>
          <cell r="D7560" t="str">
            <v>BB GESTAO DE RECURSOS DTVM LTDA</v>
          </cell>
          <cell r="E7560" t="str">
            <v>BB GESTAO DE RECURSOS DTVM LTDA</v>
          </cell>
        </row>
        <row r="7561">
          <cell r="B7561">
            <v>23842</v>
          </cell>
          <cell r="C7561" t="str">
            <v>BB GESTAO DE RECURSOS DTVM LTDA</v>
          </cell>
          <cell r="D7561" t="str">
            <v>BB GESTAO DE RECURSOS DTVM LTDA</v>
          </cell>
          <cell r="E7561" t="str">
            <v>BANCO DO BRASIL S/A</v>
          </cell>
        </row>
        <row r="7562">
          <cell r="B7562">
            <v>23843</v>
          </cell>
          <cell r="C7562" t="str">
            <v>BB GESTAO DE RECURSOS DTVM LTDA</v>
          </cell>
          <cell r="D7562" t="str">
            <v>BB GESTAO DE RECURSOS DTVM LTDA</v>
          </cell>
          <cell r="E7562" t="str">
            <v>BANCO DO BRASIL S/A</v>
          </cell>
        </row>
        <row r="7563">
          <cell r="B7563">
            <v>23844</v>
          </cell>
          <cell r="C7563" t="str">
            <v>BB GESTAO DE RECURSOS DTVM LTDA</v>
          </cell>
          <cell r="D7563" t="str">
            <v>BB GESTAO DE RECURSOS DTVM LTDA</v>
          </cell>
          <cell r="E7563" t="str">
            <v>BANCO DO BRASIL S/A</v>
          </cell>
        </row>
        <row r="7564">
          <cell r="B7564">
            <v>23846</v>
          </cell>
          <cell r="C7564" t="str">
            <v>BB GESTAO DE RECURSOS DTVM LTDA</v>
          </cell>
          <cell r="D7564" t="str">
            <v>BB GESTAO DE RECURSOS DTVM LTDA</v>
          </cell>
          <cell r="E7564" t="str">
            <v>BANCO DO BRASIL S/A</v>
          </cell>
        </row>
        <row r="7565">
          <cell r="B7565">
            <v>23847</v>
          </cell>
          <cell r="C7565" t="str">
            <v>BB GESTAO DE RECURSOS DTVM LTDA</v>
          </cell>
          <cell r="D7565" t="str">
            <v>BB GESTAO DE RECURSOS DTVM LTDA</v>
          </cell>
          <cell r="E7565" t="str">
            <v>BANCO DO BRASIL S/A</v>
          </cell>
        </row>
        <row r="7566">
          <cell r="B7566">
            <v>23849</v>
          </cell>
          <cell r="C7566" t="str">
            <v>BB GESTAO DE RECURSOS DTVM LTDA</v>
          </cell>
          <cell r="D7566" t="str">
            <v>BB GESTAO DE RECURSOS DTVM LTDA</v>
          </cell>
          <cell r="E7566" t="str">
            <v>BB GESTAO DE RECURSOS DTVM LTDA</v>
          </cell>
        </row>
        <row r="7567">
          <cell r="B7567">
            <v>23853</v>
          </cell>
          <cell r="C7567" t="str">
            <v>BB GESTAO DE RECURSOS DTVM LTDA</v>
          </cell>
          <cell r="D7567" t="str">
            <v>BB GESTAO DE RECURSOS DTVM LTDA</v>
          </cell>
          <cell r="E7567" t="str">
            <v>BANCO DO BRASIL S/A</v>
          </cell>
        </row>
        <row r="7568">
          <cell r="B7568">
            <v>23854</v>
          </cell>
          <cell r="C7568" t="str">
            <v>BB GESTAO DE RECURSOS DTVM LTDA</v>
          </cell>
          <cell r="D7568" t="str">
            <v>BB GESTAO DE RECURSOS DTVM LTDA</v>
          </cell>
          <cell r="E7568" t="str">
            <v>BANCO DO BRASIL S/A</v>
          </cell>
        </row>
        <row r="7569">
          <cell r="B7569">
            <v>23856</v>
          </cell>
          <cell r="C7569" t="str">
            <v>BB GESTAO DE RECURSOS DTVM LTDA</v>
          </cell>
          <cell r="D7569" t="str">
            <v>BB GESTAO DE RECURSOS DTVM LTDA</v>
          </cell>
          <cell r="E7569" t="str">
            <v>BANCO DO BRASIL S/A</v>
          </cell>
        </row>
        <row r="7570">
          <cell r="B7570">
            <v>23859</v>
          </cell>
          <cell r="C7570" t="str">
            <v>BB GESTAO DE RECURSOS DTVM LTDA</v>
          </cell>
          <cell r="D7570" t="str">
            <v>BB GESTAO DE RECURSOS DTVM LTDA</v>
          </cell>
          <cell r="E7570" t="str">
            <v>BANCO DO BRASIL S/A</v>
          </cell>
        </row>
        <row r="7571">
          <cell r="B7571">
            <v>23860</v>
          </cell>
          <cell r="C7571" t="str">
            <v>BB GESTAO DE RECURSOS DTVM LTDA</v>
          </cell>
          <cell r="D7571" t="str">
            <v>BB GESTAO DE RECURSOS DTVM LTDA</v>
          </cell>
          <cell r="E7571" t="str">
            <v>BANCO DO BRASIL S/A</v>
          </cell>
        </row>
        <row r="7572">
          <cell r="B7572">
            <v>23861</v>
          </cell>
          <cell r="C7572" t="str">
            <v>BB GESTAO DE RECURSOS DTVM LTDA</v>
          </cell>
          <cell r="D7572" t="str">
            <v>BB GESTAO DE RECURSOS DTVM LTDA</v>
          </cell>
          <cell r="E7572" t="str">
            <v>BANCO DO BRASIL S/A</v>
          </cell>
        </row>
        <row r="7573">
          <cell r="B7573">
            <v>23862</v>
          </cell>
          <cell r="C7573" t="str">
            <v>BB GESTAO DE RECURSOS DTVM LTDA</v>
          </cell>
          <cell r="D7573" t="str">
            <v>BB GESTAO DE RECURSOS DTVM LTDA</v>
          </cell>
          <cell r="E7573" t="str">
            <v>BANCO DO BRASIL S/A</v>
          </cell>
        </row>
        <row r="7574">
          <cell r="B7574">
            <v>23868</v>
          </cell>
          <cell r="C7574" t="str">
            <v>BB GESTAO DE RECURSOS DTVM LTDA</v>
          </cell>
          <cell r="D7574" t="str">
            <v>BB GESTAO DE RECURSOS DTVM LTDA</v>
          </cell>
          <cell r="E7574" t="str">
            <v>BANCO DO BRASIL S/A</v>
          </cell>
        </row>
        <row r="7575">
          <cell r="B7575">
            <v>23869</v>
          </cell>
          <cell r="C7575" t="str">
            <v>BB GESTAO DE RECURSOS DTVM LTDA</v>
          </cell>
          <cell r="D7575" t="str">
            <v>BB GESTAO DE RECURSOS DTVM LTDA</v>
          </cell>
          <cell r="E7575" t="str">
            <v>BANCO DO BRASIL S/A</v>
          </cell>
        </row>
        <row r="7576">
          <cell r="B7576">
            <v>23871</v>
          </cell>
          <cell r="C7576" t="str">
            <v>BB BANCO DE INVESTIMENTO S/A</v>
          </cell>
          <cell r="D7576" t="str">
            <v>BB BANCO DE INVESTIMENTO S/A</v>
          </cell>
          <cell r="E7576" t="str">
            <v>BB BANCO DE INVESTIMENTO S/A</v>
          </cell>
        </row>
        <row r="7577">
          <cell r="B7577">
            <v>23872</v>
          </cell>
          <cell r="C7577" t="str">
            <v>BB BANCO DE INVESTIMENTO S/A</v>
          </cell>
          <cell r="D7577" t="str">
            <v>BB BANCO DE INVESTIMENTO S/A</v>
          </cell>
          <cell r="E7577" t="str">
            <v>BB BANCO DE INVESTIMENTO S/A</v>
          </cell>
        </row>
        <row r="7578">
          <cell r="B7578">
            <v>23873</v>
          </cell>
          <cell r="C7578" t="str">
            <v>BB BANCO DE INVESTIMENTO S/A</v>
          </cell>
          <cell r="D7578" t="str">
            <v>BB BANCO DE INVESTIMENTO S/A</v>
          </cell>
          <cell r="E7578" t="str">
            <v>BB BANCO DE INVESTIMENTO S/A</v>
          </cell>
        </row>
        <row r="7579">
          <cell r="B7579">
            <v>23877</v>
          </cell>
          <cell r="C7579" t="str">
            <v>BB GESTAO DE RECURSOS DTVM LTDA</v>
          </cell>
          <cell r="D7579" t="str">
            <v>BB GESTAO DE RECURSOS DTVM LTDA</v>
          </cell>
          <cell r="E7579" t="str">
            <v>BANCO DO BRASIL S/A</v>
          </cell>
        </row>
        <row r="7580">
          <cell r="B7580">
            <v>23881</v>
          </cell>
          <cell r="C7580" t="str">
            <v>BB GESTAO DE RECURSOS DTVM LTDA</v>
          </cell>
          <cell r="D7580" t="str">
            <v>BB GESTAO DE RECURSOS DTVM LTDA</v>
          </cell>
          <cell r="E7580" t="str">
            <v>BB GESTAO DE RECURSOS DTVM LTDA</v>
          </cell>
        </row>
        <row r="7581">
          <cell r="B7581">
            <v>23882</v>
          </cell>
          <cell r="C7581" t="str">
            <v>BB BANCO DE INVESTIMENTO S/A</v>
          </cell>
          <cell r="D7581" t="str">
            <v>BB BANCO DE INVESTIMENTO S/A</v>
          </cell>
          <cell r="E7581" t="str">
            <v>BB BANCO DE INVESTIMENTO S/A</v>
          </cell>
        </row>
        <row r="7582">
          <cell r="B7582">
            <v>23885</v>
          </cell>
          <cell r="C7582" t="str">
            <v>BB GESTAO DE RECURSOS DTVM LTDA</v>
          </cell>
          <cell r="D7582" t="str">
            <v>BB GESTAO DE RECURSOS DTVM LTDA</v>
          </cell>
          <cell r="E7582" t="str">
            <v>BANCO DO BRASIL S/A</v>
          </cell>
        </row>
        <row r="7583">
          <cell r="B7583">
            <v>23888</v>
          </cell>
          <cell r="C7583" t="str">
            <v>BANCO DAYCOVAL S/A</v>
          </cell>
          <cell r="D7583" t="str">
            <v>BANCO DAYCOVAL S/A</v>
          </cell>
          <cell r="E7583" t="str">
            <v>BANCO DAYCOVAL S/A</v>
          </cell>
        </row>
        <row r="7584">
          <cell r="B7584">
            <v>23896</v>
          </cell>
          <cell r="C7584" t="str">
            <v>BB GESTAO DE RECURSOS DTVM LTDA</v>
          </cell>
          <cell r="D7584" t="str">
            <v>BB GESTAO DE RECURSOS DTVM LTDA</v>
          </cell>
          <cell r="E7584" t="str">
            <v>BANCO DO BRASIL S/A</v>
          </cell>
        </row>
        <row r="7585">
          <cell r="B7585">
            <v>261</v>
          </cell>
          <cell r="C7585" t="str">
            <v>BANCO SANTANDER (BRASIL) S/A</v>
          </cell>
          <cell r="D7585" t="str">
            <v>BANCO SANTANDER (BRASIL) S/A</v>
          </cell>
          <cell r="E7585" t="str">
            <v>BANCO SANTANDER (BRASIL) S/A</v>
          </cell>
        </row>
        <row r="7586">
          <cell r="B7586">
            <v>23905</v>
          </cell>
          <cell r="C7586" t="str">
            <v>BB GESTAO DE RECURSOS DTVM LTDA</v>
          </cell>
          <cell r="D7586" t="str">
            <v>BB GESTAO DE RECURSOS DTVM LTDA</v>
          </cell>
          <cell r="E7586" t="str">
            <v>BB GESTAO DE RECURSOS DTVM LTDA</v>
          </cell>
        </row>
        <row r="7587">
          <cell r="B7587">
            <v>23913</v>
          </cell>
          <cell r="C7587" t="str">
            <v>BB GESTAO DE RECURSOS DTVM LTDA</v>
          </cell>
          <cell r="D7587" t="str">
            <v>BB GESTAO DE RECURSOS DTVM LTDA</v>
          </cell>
          <cell r="E7587" t="str">
            <v>BB GESTAO DE RECURSOS DTVM LTDA</v>
          </cell>
        </row>
        <row r="7588">
          <cell r="B7588">
            <v>23921</v>
          </cell>
          <cell r="C7588" t="str">
            <v>BB BANCO DE INVESTIMENTO S/A</v>
          </cell>
          <cell r="D7588" t="str">
            <v>BB BANCO DE INVESTIMENTO S/A</v>
          </cell>
          <cell r="E7588" t="str">
            <v>BB BANCO DE INVESTIMENTO S/A</v>
          </cell>
        </row>
        <row r="7589">
          <cell r="B7589">
            <v>23922</v>
          </cell>
          <cell r="C7589" t="str">
            <v>BB BANCO DE INVESTIMENTO S/A</v>
          </cell>
          <cell r="D7589" t="str">
            <v>BB BANCO DE INVESTIMENTO S/A</v>
          </cell>
          <cell r="E7589" t="str">
            <v>BB BANCO DE INVESTIMENTO S/A</v>
          </cell>
        </row>
        <row r="7590">
          <cell r="B7590">
            <v>23933</v>
          </cell>
          <cell r="C7590" t="str">
            <v>BB GESTAO DE RECURSOS DTVM LTDA</v>
          </cell>
          <cell r="D7590" t="str">
            <v>BB GESTAO DE RECURSOS DTVM LTDA</v>
          </cell>
          <cell r="E7590" t="str">
            <v>BANCO DO BRASIL S/A</v>
          </cell>
        </row>
        <row r="7591">
          <cell r="B7591">
            <v>23946</v>
          </cell>
          <cell r="C7591" t="str">
            <v>BB BANCO DE INVESTIMENTO S/A</v>
          </cell>
          <cell r="D7591" t="str">
            <v>BB BANCO DE INVESTIMENTO S/A</v>
          </cell>
          <cell r="E7591" t="str">
            <v>BB BANCO DE INVESTIMENTO S/A</v>
          </cell>
        </row>
        <row r="7592">
          <cell r="B7592">
            <v>23967</v>
          </cell>
          <cell r="C7592" t="str">
            <v>BB BANCO DE INVESTIMENTO S/A</v>
          </cell>
          <cell r="D7592" t="str">
            <v>BB BANCO DE INVESTIMENTO S/A</v>
          </cell>
          <cell r="E7592" t="str">
            <v>BB BANCO DE INVESTIMENTO S/A</v>
          </cell>
        </row>
        <row r="7593">
          <cell r="B7593">
            <v>23970</v>
          </cell>
          <cell r="C7593" t="str">
            <v>BB BANCO DE INVESTIMENTO S/A</v>
          </cell>
          <cell r="D7593" t="str">
            <v>BB BANCO DE INVESTIMENTO S/A</v>
          </cell>
          <cell r="E7593" t="str">
            <v>BB BANCO DE INVESTIMENTO S/A</v>
          </cell>
        </row>
        <row r="7594">
          <cell r="B7594">
            <v>23976</v>
          </cell>
          <cell r="C7594" t="str">
            <v>BB BANCO DE INVESTIMENTO S/A</v>
          </cell>
          <cell r="D7594" t="str">
            <v>BB BANCO DE INVESTIMENTO S/A</v>
          </cell>
          <cell r="E7594" t="str">
            <v>BB BANCO DE INVESTIMENTO S/A</v>
          </cell>
        </row>
        <row r="7595">
          <cell r="B7595">
            <v>23979</v>
          </cell>
          <cell r="C7595" t="str">
            <v>BB BANCO DE INVESTIMENTO S/A</v>
          </cell>
          <cell r="D7595" t="str">
            <v>BB BANCO DE INVESTIMENTO S/A</v>
          </cell>
          <cell r="E7595" t="str">
            <v>BB BANCO DE INVESTIMENTO S/A</v>
          </cell>
        </row>
        <row r="7596">
          <cell r="B7596">
            <v>23981</v>
          </cell>
          <cell r="C7596" t="str">
            <v>BB GESTAO DE RECURSOS DTVM LTDA</v>
          </cell>
          <cell r="D7596" t="str">
            <v>BB GESTAO DE RECURSOS DTVM LTDA</v>
          </cell>
          <cell r="E7596" t="str">
            <v>BANCO DO BRASIL S/A</v>
          </cell>
        </row>
        <row r="7597">
          <cell r="B7597">
            <v>23984</v>
          </cell>
          <cell r="C7597" t="str">
            <v>BB BANCO DE INVESTIMENTO S/A</v>
          </cell>
          <cell r="D7597" t="str">
            <v>BB BANCO DE INVESTIMENTO S/A</v>
          </cell>
          <cell r="E7597" t="str">
            <v>BB BANCO DE INVESTIMENTO S/A</v>
          </cell>
        </row>
        <row r="7598">
          <cell r="B7598">
            <v>23990</v>
          </cell>
          <cell r="C7598" t="str">
            <v>BB GESTAO DE RECURSOS DTVM LTDA</v>
          </cell>
          <cell r="D7598" t="str">
            <v>BB GESTAO DE RECURSOS DTVM LTDA</v>
          </cell>
          <cell r="E7598" t="str">
            <v>BANCO DO BRASIL S/A</v>
          </cell>
        </row>
        <row r="7599">
          <cell r="B7599">
            <v>24</v>
          </cell>
          <cell r="C7599" t="str">
            <v>FRAM CAPITAL WISTING FIA</v>
          </cell>
          <cell r="D7599" t="str">
            <v>FRAM CAPITAL WISTING FIA</v>
          </cell>
          <cell r="E7599" t="str">
            <v>FRAM CAPITAL EQUITIES GESTAO DE ATIVOS LTDA</v>
          </cell>
        </row>
        <row r="7600">
          <cell r="B7600">
            <v>262</v>
          </cell>
          <cell r="C7600" t="str">
            <v>BANCO SANTANDER (BRASIL) S/A</v>
          </cell>
          <cell r="D7600" t="str">
            <v>BANCO SANTANDER (BRASIL) S/A</v>
          </cell>
          <cell r="E7600" t="str">
            <v>BANCO SANTANDER (BRASIL) S/A</v>
          </cell>
        </row>
        <row r="7601">
          <cell r="B7601">
            <v>24002</v>
          </cell>
          <cell r="C7601" t="str">
            <v>BB BANCO DE INVESTIMENTO S/A</v>
          </cell>
          <cell r="D7601" t="str">
            <v>BB BANCO DE INVESTIMENTO S/A</v>
          </cell>
          <cell r="E7601" t="str">
            <v>BB BANCO DE INVESTIMENTO S/A</v>
          </cell>
        </row>
        <row r="7602">
          <cell r="B7602">
            <v>24012</v>
          </cell>
          <cell r="C7602" t="str">
            <v>BB GESTAO DE RECURSOS DTVM LTDA</v>
          </cell>
          <cell r="D7602" t="str">
            <v>BB GESTAO DE RECURSOS DTVM LTDA</v>
          </cell>
          <cell r="E7602" t="str">
            <v>BANCO DO BRASIL S/A</v>
          </cell>
        </row>
        <row r="7603">
          <cell r="B7603">
            <v>24014</v>
          </cell>
          <cell r="C7603" t="str">
            <v>BB GESTAO DE RECURSOS DTVM LTDA</v>
          </cell>
          <cell r="D7603" t="str">
            <v>BB GESTAO DE RECURSOS DTVM LTDA</v>
          </cell>
          <cell r="E7603" t="str">
            <v>BANCO DO BRASIL S/A</v>
          </cell>
        </row>
        <row r="7604">
          <cell r="B7604">
            <v>24017</v>
          </cell>
          <cell r="C7604" t="str">
            <v>BB GESTAO DE RECURSOS DTVM LTDA</v>
          </cell>
          <cell r="D7604" t="str">
            <v>BB GESTAO DE RECURSOS DTVM LTDA</v>
          </cell>
          <cell r="E7604" t="str">
            <v>BANCO DO BRASIL S/A</v>
          </cell>
        </row>
        <row r="7605">
          <cell r="B7605">
            <v>24029</v>
          </cell>
          <cell r="C7605" t="str">
            <v>BB GESTAO DE RECURSOS DTVM LTDA</v>
          </cell>
          <cell r="D7605" t="str">
            <v>BB GESTAO DE RECURSOS DTVM LTDA</v>
          </cell>
          <cell r="E7605" t="str">
            <v>BANCO DO BRASIL S/A</v>
          </cell>
        </row>
        <row r="7606">
          <cell r="B7606">
            <v>24037</v>
          </cell>
          <cell r="C7606" t="str">
            <v>BB BANCO DE INVESTIMENTO S/A</v>
          </cell>
          <cell r="D7606" t="str">
            <v>BB BANCO DE INVESTIMENTO S/A</v>
          </cell>
          <cell r="E7606" t="str">
            <v>BB BANCO DE INVESTIMENTO S/A</v>
          </cell>
        </row>
        <row r="7607">
          <cell r="B7607">
            <v>24047</v>
          </cell>
          <cell r="C7607" t="str">
            <v>BB GESTAO DE RECURSOS DTVM LTDA</v>
          </cell>
          <cell r="D7607" t="str">
            <v>BB GESTAO DE RECURSOS DTVM LTDA</v>
          </cell>
          <cell r="E7607" t="str">
            <v>BANCO DO BRASIL S/A</v>
          </cell>
        </row>
        <row r="7608">
          <cell r="B7608">
            <v>24053</v>
          </cell>
          <cell r="C7608" t="str">
            <v>OPPORTUNITY DTVM LTDA</v>
          </cell>
          <cell r="D7608" t="str">
            <v>OPPORTUNITY DTVM LTDA</v>
          </cell>
          <cell r="E7608" t="str">
            <v>OPPORTUNITY DTVM LTDA</v>
          </cell>
        </row>
        <row r="7609">
          <cell r="B7609">
            <v>24056</v>
          </cell>
          <cell r="C7609" t="str">
            <v>BB GESTAO DE RECURSOS DTVM LTDA</v>
          </cell>
          <cell r="D7609" t="str">
            <v>BB GESTAO DE RECURSOS DTVM LTDA</v>
          </cell>
          <cell r="E7609" t="str">
            <v>BANCO DO BRASIL S/A</v>
          </cell>
        </row>
        <row r="7610">
          <cell r="B7610">
            <v>24057</v>
          </cell>
          <cell r="C7610" t="str">
            <v>BB BANCO DE INVESTIMENTO S/A</v>
          </cell>
          <cell r="D7610" t="str">
            <v>BB BANCO DE INVESTIMENTO S/A</v>
          </cell>
          <cell r="E7610" t="str">
            <v>BB BANCO DE INVESTIMENTO S/A</v>
          </cell>
        </row>
        <row r="7611">
          <cell r="B7611">
            <v>24058</v>
          </cell>
          <cell r="C7611" t="str">
            <v>BB BANCO DE INVESTIMENTO S/A</v>
          </cell>
          <cell r="D7611" t="str">
            <v>BB BANCO DE INVESTIMENTO S/A</v>
          </cell>
          <cell r="E7611" t="str">
            <v>BB BANCO DE INVESTIMENTO S/A</v>
          </cell>
        </row>
        <row r="7612">
          <cell r="B7612">
            <v>24059</v>
          </cell>
          <cell r="C7612" t="str">
            <v>BB GESTAO DE RECURSOS DTVM LTDA</v>
          </cell>
          <cell r="D7612" t="str">
            <v>BB GESTAO DE RECURSOS DTVM LTDA</v>
          </cell>
          <cell r="E7612" t="str">
            <v>BANCO DO BRASIL S/A</v>
          </cell>
        </row>
        <row r="7613">
          <cell r="B7613">
            <v>24089</v>
          </cell>
          <cell r="C7613" t="str">
            <v>BB BANCO DE INVESTIMENTO S/A</v>
          </cell>
          <cell r="D7613" t="str">
            <v>BB BANCO DE INVESTIMENTO S/A</v>
          </cell>
          <cell r="E7613" t="str">
            <v>BB BANCO DE INVESTIMENTO S/A</v>
          </cell>
        </row>
        <row r="7614">
          <cell r="B7614">
            <v>24099</v>
          </cell>
          <cell r="C7614" t="str">
            <v>BB BANCO DE INVESTIMENTO S/A</v>
          </cell>
          <cell r="D7614" t="str">
            <v>BB BANCO DE INVESTIMENTO S/A</v>
          </cell>
          <cell r="E7614" t="str">
            <v>BB BANCO DE INVESTIMENTO S/A</v>
          </cell>
        </row>
        <row r="7615">
          <cell r="B7615">
            <v>263</v>
          </cell>
          <cell r="C7615" t="str">
            <v>BANCO SANTANDER (BRASIL) S/A</v>
          </cell>
          <cell r="D7615" t="str">
            <v>BANCO SANTANDER (BRASIL) S/A</v>
          </cell>
          <cell r="E7615" t="str">
            <v>BANCO SANTANDER (BRASIL) S/A</v>
          </cell>
        </row>
        <row r="7616">
          <cell r="B7616">
            <v>24100</v>
          </cell>
          <cell r="C7616" t="str">
            <v>BB BANCO DE INVESTIMENTO S/A</v>
          </cell>
          <cell r="D7616" t="str">
            <v>BB BANCO DE INVESTIMENTO S/A</v>
          </cell>
          <cell r="E7616" t="str">
            <v>BB BANCO DE INVESTIMENTO S/A</v>
          </cell>
        </row>
        <row r="7617">
          <cell r="B7617">
            <v>24105</v>
          </cell>
          <cell r="C7617" t="str">
            <v>BB BANCO DE INVESTIMENTO S/A</v>
          </cell>
          <cell r="D7617" t="str">
            <v>BB BANCO DE INVESTIMENTO S/A</v>
          </cell>
          <cell r="E7617" t="str">
            <v>BB BANCO DE INVESTIMENTO S/A</v>
          </cell>
        </row>
        <row r="7618">
          <cell r="B7618">
            <v>24109</v>
          </cell>
          <cell r="C7618" t="str">
            <v>BB BANCO DE INVESTIMENTO S/A</v>
          </cell>
          <cell r="D7618" t="str">
            <v>BB BANCO DE INVESTIMENTO S/A</v>
          </cell>
          <cell r="E7618" t="str">
            <v>BB BANCO DE INVESTIMENTO S/A</v>
          </cell>
        </row>
        <row r="7619">
          <cell r="B7619">
            <v>24113</v>
          </cell>
          <cell r="C7619" t="str">
            <v>BB GESTAO DE RECURSOS DTVM LTDA</v>
          </cell>
          <cell r="D7619" t="str">
            <v>BB GESTAO DE RECURSOS DTVM LTDA</v>
          </cell>
          <cell r="E7619" t="str">
            <v>BANCO DO BRASIL S/A</v>
          </cell>
        </row>
        <row r="7620">
          <cell r="B7620">
            <v>24116</v>
          </cell>
          <cell r="C7620" t="str">
            <v>BB BANCO DE INVESTIMENTO S/A</v>
          </cell>
          <cell r="D7620" t="str">
            <v>BB BANCO DE INVESTIMENTO S/A</v>
          </cell>
          <cell r="E7620" t="str">
            <v>BB BANCO DE INVESTIMENTO S/A</v>
          </cell>
        </row>
        <row r="7621">
          <cell r="B7621">
            <v>24122</v>
          </cell>
          <cell r="C7621" t="str">
            <v>BB GESTAO DE RECURSOS DTVM LTDA</v>
          </cell>
          <cell r="D7621" t="str">
            <v>BB GESTAO DE RECURSOS DTVM LTDA</v>
          </cell>
          <cell r="E7621" t="str">
            <v>BANCO DO BRASIL S/A</v>
          </cell>
        </row>
        <row r="7622">
          <cell r="B7622">
            <v>24125</v>
          </cell>
          <cell r="C7622" t="str">
            <v>BB BANCO DE INVESTIMENTO S/A</v>
          </cell>
          <cell r="D7622" t="str">
            <v>BB BANCO DE INVESTIMENTO S/A</v>
          </cell>
          <cell r="E7622" t="str">
            <v>BB BANCO DE INVESTIMENTO S/A</v>
          </cell>
        </row>
        <row r="7623">
          <cell r="B7623">
            <v>24141</v>
          </cell>
          <cell r="C7623" t="str">
            <v>BB GESTAO DE RECURSOS DTVM LTDA</v>
          </cell>
          <cell r="D7623" t="str">
            <v>BB GESTAO DE RECURSOS DTVM LTDA</v>
          </cell>
          <cell r="E7623" t="str">
            <v>BANCO DO BRASIL S/A</v>
          </cell>
        </row>
        <row r="7624">
          <cell r="B7624">
            <v>24144</v>
          </cell>
          <cell r="C7624" t="str">
            <v>BB BANCO DE INVESTIMENTO S/A</v>
          </cell>
          <cell r="D7624" t="str">
            <v>BB BANCO DE INVESTIMENTO S/A</v>
          </cell>
          <cell r="E7624" t="str">
            <v>BB BANCO DE INVESTIMENTO S/A</v>
          </cell>
        </row>
        <row r="7625">
          <cell r="B7625">
            <v>24145</v>
          </cell>
          <cell r="C7625" t="str">
            <v>BB GESTAO DE RECURSOS DTVM LTDA</v>
          </cell>
          <cell r="D7625" t="str">
            <v>BB GESTAO DE RECURSOS DTVM LTDA</v>
          </cell>
          <cell r="E7625" t="str">
            <v>BB BANCO DE INVESTIMENTO S/A</v>
          </cell>
        </row>
        <row r="7626">
          <cell r="B7626">
            <v>24146</v>
          </cell>
          <cell r="C7626" t="str">
            <v>BB BANCO DE INVESTIMENTO S/A</v>
          </cell>
          <cell r="D7626" t="str">
            <v>BB BANCO DE INVESTIMENTO S/A</v>
          </cell>
          <cell r="E7626" t="str">
            <v>BB BANCO DE INVESTIMENTO S/A</v>
          </cell>
        </row>
        <row r="7627">
          <cell r="B7627">
            <v>24170</v>
          </cell>
          <cell r="C7627" t="str">
            <v>BB GESTAO DE RECURSOS DTVM LTDA</v>
          </cell>
          <cell r="D7627" t="str">
            <v>BB GESTAO DE RECURSOS DTVM LTDA</v>
          </cell>
          <cell r="E7627" t="str">
            <v>BB GESTAO DE RECURSOS DTVM LTDA</v>
          </cell>
        </row>
        <row r="7628">
          <cell r="B7628">
            <v>24172</v>
          </cell>
          <cell r="C7628" t="str">
            <v>BB BANCO DE INVESTIMENTO S/A</v>
          </cell>
          <cell r="D7628" t="str">
            <v>BB BANCO DE INVESTIMENTO S/A</v>
          </cell>
          <cell r="E7628" t="str">
            <v>BB BANCO DE INVESTIMENTO S/A</v>
          </cell>
        </row>
        <row r="7629">
          <cell r="B7629">
            <v>24182</v>
          </cell>
          <cell r="C7629" t="str">
            <v>BB BANCO DE INVESTIMENTO S/A</v>
          </cell>
          <cell r="D7629" t="str">
            <v>BB BANCO DE INVESTIMENTO S/A</v>
          </cell>
          <cell r="E7629" t="str">
            <v>BB BANCO DE INVESTIMENTO S/A</v>
          </cell>
        </row>
        <row r="7630">
          <cell r="B7630">
            <v>24185</v>
          </cell>
          <cell r="C7630" t="str">
            <v>BB GESTAO DE RECURSOS DTVM LTDA</v>
          </cell>
          <cell r="D7630" t="str">
            <v>BB GESTAO DE RECURSOS DTVM LTDA</v>
          </cell>
          <cell r="E7630" t="str">
            <v>BANCO DO BRASIL S/A</v>
          </cell>
        </row>
        <row r="7631">
          <cell r="B7631">
            <v>24189</v>
          </cell>
          <cell r="C7631" t="str">
            <v>BB GESTAO DE RECURSOS DTVM LTDA</v>
          </cell>
          <cell r="D7631" t="str">
            <v>BB GESTAO DE RECURSOS DTVM LTDA</v>
          </cell>
          <cell r="E7631" t="str">
            <v>BB GESTAO DE RECURSOS DTVM LTDA</v>
          </cell>
        </row>
        <row r="7632">
          <cell r="B7632">
            <v>242</v>
          </cell>
          <cell r="C7632" t="str">
            <v>BB GESTAO DE RECURSOS DTVM LTDA</v>
          </cell>
          <cell r="D7632" t="str">
            <v>BB GESTAO DE RECURSOS DTVM LTDA</v>
          </cell>
          <cell r="E7632" t="str">
            <v>BB GESTAO DE RECURSOS DTVM LTDA</v>
          </cell>
        </row>
        <row r="7633">
          <cell r="B7633">
            <v>24204</v>
          </cell>
          <cell r="C7633" t="str">
            <v>BB BANCO DE INVESTIMENTO S/A</v>
          </cell>
          <cell r="D7633" t="str">
            <v>BB BANCO DE INVESTIMENTO S/A</v>
          </cell>
          <cell r="E7633" t="str">
            <v>BB BANCO DE INVESTIMENTO S/A</v>
          </cell>
        </row>
        <row r="7634">
          <cell r="B7634">
            <v>24217</v>
          </cell>
          <cell r="C7634" t="str">
            <v>BB BANCO DE INVESTIMENTO S/A</v>
          </cell>
          <cell r="D7634" t="str">
            <v>BB BANCO DE INVESTIMENTO S/A</v>
          </cell>
          <cell r="E7634" t="str">
            <v>BB BANCO DE INVESTIMENTO S/A</v>
          </cell>
        </row>
        <row r="7635">
          <cell r="B7635">
            <v>24221</v>
          </cell>
          <cell r="C7635" t="str">
            <v>BB BANCO DE INVESTIMENTO S/A</v>
          </cell>
          <cell r="D7635" t="str">
            <v>BB BANCO DE INVESTIMENTO S/A</v>
          </cell>
          <cell r="E7635" t="str">
            <v>BB BANCO DE INVESTIMENTO S/A</v>
          </cell>
        </row>
        <row r="7636">
          <cell r="B7636">
            <v>24223</v>
          </cell>
          <cell r="C7636" t="str">
            <v>BB GESTAO DE RECURSOS DTVM LTDA</v>
          </cell>
          <cell r="D7636" t="str">
            <v>BB GESTAO DE RECURSOS DTVM LTDA</v>
          </cell>
          <cell r="E7636" t="str">
            <v>BANCO DO BRASIL S/A</v>
          </cell>
        </row>
        <row r="7637">
          <cell r="B7637">
            <v>24228</v>
          </cell>
          <cell r="C7637" t="str">
            <v>BB BANCO DE INVESTIMENTO S/A</v>
          </cell>
          <cell r="D7637" t="str">
            <v>BB BANCO DE INVESTIMENTO S/A</v>
          </cell>
          <cell r="E7637" t="str">
            <v>BB BANCO DE INVESTIMENTO S/A</v>
          </cell>
        </row>
        <row r="7638">
          <cell r="B7638">
            <v>24237</v>
          </cell>
          <cell r="C7638" t="str">
            <v>BB GESTAO DE RECURSOS DTVM LTDA</v>
          </cell>
          <cell r="D7638" t="str">
            <v>BB GESTAO DE RECURSOS DTVM LTDA</v>
          </cell>
          <cell r="E7638" t="str">
            <v>BANCO DO BRASIL S/A</v>
          </cell>
        </row>
        <row r="7639">
          <cell r="B7639">
            <v>24253</v>
          </cell>
          <cell r="C7639" t="str">
            <v>BB GESTAO DE RECURSOS DTVM LTDA</v>
          </cell>
          <cell r="D7639" t="str">
            <v>BB GESTAO DE RECURSOS DTVM LTDA</v>
          </cell>
          <cell r="E7639" t="str">
            <v>BB GESTAO DE RECURSOS DTVM LTDA</v>
          </cell>
        </row>
        <row r="7640">
          <cell r="B7640">
            <v>24257</v>
          </cell>
          <cell r="C7640" t="str">
            <v>BB GESTAO DE RECURSOS DTVM LTDA</v>
          </cell>
          <cell r="D7640" t="str">
            <v>BB GESTAO DE RECURSOS DTVM LTDA</v>
          </cell>
          <cell r="E7640" t="str">
            <v>BANCO DO BRASIL S/A</v>
          </cell>
        </row>
        <row r="7641">
          <cell r="B7641">
            <v>24263</v>
          </cell>
          <cell r="C7641" t="str">
            <v>BB GESTAO DE RECURSOS DTVM LTDA</v>
          </cell>
          <cell r="D7641" t="str">
            <v>BB GESTAO DE RECURSOS DTVM LTDA</v>
          </cell>
          <cell r="E7641" t="str">
            <v>BANCO DO BRASIL S/A</v>
          </cell>
        </row>
        <row r="7642">
          <cell r="B7642">
            <v>24273</v>
          </cell>
          <cell r="C7642" t="str">
            <v>BB GESTAO DE RECURSOS DTVM LTDA</v>
          </cell>
          <cell r="D7642" t="str">
            <v>BB GESTAO DE RECURSOS DTVM LTDA</v>
          </cell>
          <cell r="E7642" t="str">
            <v>BANCO DO BRASIL S/A</v>
          </cell>
        </row>
        <row r="7643">
          <cell r="B7643">
            <v>24297</v>
          </cell>
          <cell r="C7643" t="str">
            <v>BB GESTAO DE RECURSOS DTVM LTDA</v>
          </cell>
          <cell r="D7643" t="str">
            <v>BB GESTAO DE RECURSOS DTVM LTDA</v>
          </cell>
          <cell r="E7643" t="str">
            <v>BB GESTAO DE RECURSOS DTVM LTDA</v>
          </cell>
        </row>
        <row r="7644">
          <cell r="B7644">
            <v>264</v>
          </cell>
          <cell r="C7644" t="str">
            <v>BANCO SANTANDER (BRASIL) S/A</v>
          </cell>
          <cell r="D7644" t="str">
            <v>BANCO SANTANDER (BRASIL) S/A</v>
          </cell>
          <cell r="E7644" t="str">
            <v>BANCO SANTANDER (BRASIL) S/A</v>
          </cell>
        </row>
        <row r="7645">
          <cell r="B7645">
            <v>24310</v>
          </cell>
          <cell r="C7645" t="str">
            <v>BB BANCO DE INVESTIMENTO S/A</v>
          </cell>
          <cell r="D7645" t="str">
            <v>BB BANCO DE INVESTIMENTO S/A</v>
          </cell>
          <cell r="E7645" t="str">
            <v>BB BANCO DE INVESTIMENTO S/A</v>
          </cell>
        </row>
        <row r="7646">
          <cell r="B7646">
            <v>24315</v>
          </cell>
          <cell r="C7646" t="str">
            <v>BB GESTAO DE RECURSOS DTVM LTDA</v>
          </cell>
          <cell r="D7646" t="str">
            <v>BB GESTAO DE RECURSOS DTVM LTDA</v>
          </cell>
          <cell r="E7646" t="str">
            <v>BB GESTAO DE RECURSOS DTVM LTDA</v>
          </cell>
        </row>
        <row r="7647">
          <cell r="B7647">
            <v>24319</v>
          </cell>
          <cell r="C7647" t="str">
            <v>BB BANCO DE INVESTIMENTO S/A</v>
          </cell>
          <cell r="D7647" t="str">
            <v>BB BANCO DE INVESTIMENTO S/A</v>
          </cell>
          <cell r="E7647" t="str">
            <v>BB BANCO DE INVESTIMENTO S/A</v>
          </cell>
        </row>
        <row r="7648">
          <cell r="B7648">
            <v>24323</v>
          </cell>
          <cell r="C7648" t="str">
            <v>BB BANCO DE INVESTIMENTO S/A</v>
          </cell>
          <cell r="D7648" t="str">
            <v>BB BANCO DE INVESTIMENTO S/A</v>
          </cell>
          <cell r="E7648" t="str">
            <v>BB BANCO DE INVESTIMENTO S/A</v>
          </cell>
        </row>
        <row r="7649">
          <cell r="B7649">
            <v>24329</v>
          </cell>
          <cell r="C7649" t="str">
            <v>BB BANCO DE INVESTIMENTO S/A</v>
          </cell>
          <cell r="D7649" t="str">
            <v>BB BANCO DE INVESTIMENTO S/A</v>
          </cell>
          <cell r="E7649" t="str">
            <v>BB BANCO DE INVESTIMENTO S/A</v>
          </cell>
        </row>
        <row r="7650">
          <cell r="B7650">
            <v>24332</v>
          </cell>
          <cell r="C7650" t="str">
            <v>BB BANCO DE INVESTIMENTO S/A</v>
          </cell>
          <cell r="D7650" t="str">
            <v>BB BANCO DE INVESTIMENTO S/A</v>
          </cell>
          <cell r="E7650" t="str">
            <v>BB BANCO DE INVESTIMENTO S/A</v>
          </cell>
        </row>
        <row r="7651">
          <cell r="B7651">
            <v>24345</v>
          </cell>
          <cell r="C7651" t="str">
            <v>BB BANCO DE INVESTIMENTO S/A</v>
          </cell>
          <cell r="D7651" t="str">
            <v>BB BANCO DE INVESTIMENTO S/A</v>
          </cell>
          <cell r="E7651" t="str">
            <v>BB BANCO DE INVESTIMENTO S/A</v>
          </cell>
        </row>
        <row r="7652">
          <cell r="B7652">
            <v>24354</v>
          </cell>
          <cell r="C7652" t="str">
            <v>BB BANCO DE INVESTIMENTO S/A</v>
          </cell>
          <cell r="D7652" t="str">
            <v>BB BANCO DE INVESTIMENTO S/A</v>
          </cell>
          <cell r="E7652" t="str">
            <v>BB BANCO DE INVESTIMENTO S/A</v>
          </cell>
        </row>
        <row r="7653">
          <cell r="B7653">
            <v>24356</v>
          </cell>
          <cell r="C7653" t="str">
            <v>BB GESTAO DE RECURSOS DTVM LTDA</v>
          </cell>
          <cell r="D7653" t="str">
            <v>BB GESTAO DE RECURSOS DTVM LTDA</v>
          </cell>
          <cell r="E7653" t="str">
            <v>BANCO DO BRASIL S/A</v>
          </cell>
        </row>
        <row r="7654">
          <cell r="B7654">
            <v>24361</v>
          </cell>
          <cell r="C7654" t="str">
            <v>BB GESTAO DE RECURSOS DTVM LTDA</v>
          </cell>
          <cell r="D7654" t="str">
            <v>BB GESTAO DE RECURSOS DTVM LTDA</v>
          </cell>
          <cell r="E7654" t="str">
            <v>BANCO DO BRASIL S/A</v>
          </cell>
        </row>
        <row r="7655">
          <cell r="B7655">
            <v>24365</v>
          </cell>
          <cell r="C7655" t="str">
            <v>BB BANCO DE INVESTIMENTO S/A</v>
          </cell>
          <cell r="D7655" t="str">
            <v>BB BANCO DE INVESTIMENTO S/A</v>
          </cell>
          <cell r="E7655" t="str">
            <v>BB BANCO DE INVESTIMENTO S/A</v>
          </cell>
        </row>
        <row r="7656">
          <cell r="B7656">
            <v>24366</v>
          </cell>
          <cell r="C7656" t="str">
            <v>BB BANCO DE INVESTIMENTO S/A</v>
          </cell>
          <cell r="D7656" t="str">
            <v>BB BANCO DE INVESTIMENTO S/A</v>
          </cell>
          <cell r="E7656" t="str">
            <v>BB BANCO DE INVESTIMENTO S/A</v>
          </cell>
        </row>
        <row r="7657">
          <cell r="B7657">
            <v>24390</v>
          </cell>
          <cell r="C7657" t="str">
            <v>BB BANCO DE INVESTIMENTO S/A</v>
          </cell>
          <cell r="D7657" t="str">
            <v>BB BANCO DE INVESTIMENTO S/A</v>
          </cell>
          <cell r="E7657" t="str">
            <v>BB BANCO DE INVESTIMENTO S/A</v>
          </cell>
        </row>
        <row r="7658">
          <cell r="B7658">
            <v>24391</v>
          </cell>
          <cell r="C7658" t="str">
            <v>BB BANCO DE INVESTIMENTO S/A</v>
          </cell>
          <cell r="D7658" t="str">
            <v>BB BANCO DE INVESTIMENTO S/A</v>
          </cell>
          <cell r="E7658" t="str">
            <v>BB BANCO DE INVESTIMENTO S/A</v>
          </cell>
        </row>
        <row r="7659">
          <cell r="B7659">
            <v>24395</v>
          </cell>
          <cell r="C7659" t="str">
            <v>BB GESTAO DE RECURSOS DTVM LTDA</v>
          </cell>
          <cell r="D7659" t="str">
            <v>BB GESTAO DE RECURSOS DTVM LTDA</v>
          </cell>
          <cell r="E7659" t="str">
            <v>BANCO DO BRASIL S/A</v>
          </cell>
        </row>
        <row r="7660">
          <cell r="B7660">
            <v>24398</v>
          </cell>
          <cell r="C7660" t="str">
            <v>BB BANCO DE INVESTIMENTO S/A</v>
          </cell>
          <cell r="D7660" t="str">
            <v>BB BANCO DE INVESTIMENTO S/A</v>
          </cell>
          <cell r="E7660" t="str">
            <v>BB BANCO DE INVESTIMENTO S/A</v>
          </cell>
        </row>
        <row r="7661">
          <cell r="B7661">
            <v>265</v>
          </cell>
          <cell r="C7661" t="str">
            <v>BANCO SANTANDER (BRASIL) S/A</v>
          </cell>
          <cell r="D7661" t="str">
            <v>BANCO SANTANDER (BRASIL) S/A</v>
          </cell>
          <cell r="E7661" t="str">
            <v>BANCO SANTANDER (BRASIL) S/A</v>
          </cell>
        </row>
        <row r="7662">
          <cell r="B7662">
            <v>24405</v>
          </cell>
          <cell r="C7662" t="str">
            <v>BB BANCO DE INVESTIMENTO S/A</v>
          </cell>
          <cell r="D7662" t="str">
            <v>BB BANCO DE INVESTIMENTO S/A</v>
          </cell>
          <cell r="E7662" t="str">
            <v>BB BANCO DE INVESTIMENTO S/A</v>
          </cell>
        </row>
        <row r="7663">
          <cell r="B7663">
            <v>24408</v>
          </cell>
          <cell r="C7663" t="str">
            <v>BB GESTAO DE RECURSOS DTVM LTDA</v>
          </cell>
          <cell r="D7663" t="str">
            <v>BB GESTAO DE RECURSOS DTVM LTDA</v>
          </cell>
          <cell r="E7663" t="str">
            <v>BANCO DO BRASIL S/A</v>
          </cell>
        </row>
        <row r="7664">
          <cell r="B7664">
            <v>24436</v>
          </cell>
          <cell r="C7664" t="str">
            <v>BB BANCO DE INVESTIMENTO S/A</v>
          </cell>
          <cell r="D7664" t="str">
            <v>BB BANCO DE INVESTIMENTO S/A</v>
          </cell>
          <cell r="E7664" t="str">
            <v>BB BANCO DE INVESTIMENTO S/A</v>
          </cell>
        </row>
        <row r="7665">
          <cell r="B7665">
            <v>24443</v>
          </cell>
          <cell r="C7665" t="str">
            <v>BB BANCO DE INVESTIMENTO S/A</v>
          </cell>
          <cell r="D7665" t="str">
            <v>BB BANCO DE INVESTIMENTO S/A</v>
          </cell>
          <cell r="E7665" t="str">
            <v>BB BANCO DE INVESTIMENTO S/A</v>
          </cell>
        </row>
        <row r="7666">
          <cell r="B7666">
            <v>24460</v>
          </cell>
          <cell r="C7666" t="str">
            <v>BB BANCO DE INVESTIMENTO S/A</v>
          </cell>
          <cell r="D7666" t="str">
            <v>BB BANCO DE INVESTIMENTO S/A</v>
          </cell>
          <cell r="E7666" t="str">
            <v>BB BANCO DE INVESTIMENTO S/A</v>
          </cell>
        </row>
        <row r="7667">
          <cell r="B7667">
            <v>24463</v>
          </cell>
          <cell r="C7667" t="str">
            <v>BB BANCO DE INVESTIMENTO S/A</v>
          </cell>
          <cell r="D7667" t="str">
            <v>BB BANCO DE INVESTIMENTO S/A</v>
          </cell>
          <cell r="E7667" t="str">
            <v>BB BANCO DE INVESTIMENTO S/A</v>
          </cell>
        </row>
        <row r="7668">
          <cell r="B7668">
            <v>24480</v>
          </cell>
          <cell r="C7668" t="str">
            <v>BB BANCO DE INVESTIMENTO S/A</v>
          </cell>
          <cell r="D7668" t="str">
            <v>BB BANCO DE INVESTIMENTO S/A</v>
          </cell>
          <cell r="E7668" t="str">
            <v>BB BANCO DE INVESTIMENTO S/A</v>
          </cell>
        </row>
        <row r="7669">
          <cell r="B7669">
            <v>24481</v>
          </cell>
          <cell r="C7669" t="str">
            <v>BB BANCO DE INVESTIMENTO S/A</v>
          </cell>
          <cell r="D7669" t="str">
            <v>BB BANCO DE INVESTIMENTO S/A</v>
          </cell>
          <cell r="E7669" t="str">
            <v>BB BANCO DE INVESTIMENTO S/A</v>
          </cell>
        </row>
        <row r="7670">
          <cell r="B7670">
            <v>24489</v>
          </cell>
          <cell r="C7670" t="str">
            <v>BB BANCO DE INVESTIMENTO S/A</v>
          </cell>
          <cell r="D7670" t="str">
            <v>BB BANCO DE INVESTIMENTO S/A</v>
          </cell>
          <cell r="E7670" t="str">
            <v>BB BANCO DE INVESTIMENTO S/A</v>
          </cell>
        </row>
        <row r="7671">
          <cell r="B7671">
            <v>24494</v>
          </cell>
          <cell r="C7671" t="str">
            <v>BB BANCO DE INVESTIMENTO S/A</v>
          </cell>
          <cell r="D7671" t="str">
            <v>BB BANCO DE INVESTIMENTO S/A</v>
          </cell>
          <cell r="E7671" t="str">
            <v>BB BANCO DE INVESTIMENTO S/A</v>
          </cell>
        </row>
        <row r="7672">
          <cell r="B7672">
            <v>24497</v>
          </cell>
          <cell r="C7672" t="str">
            <v>BB GESTAO DE RECURSOS DTVM LTDA</v>
          </cell>
          <cell r="D7672" t="str">
            <v>BB GESTAO DE RECURSOS DTVM LTDA</v>
          </cell>
          <cell r="E7672" t="str">
            <v>BANCO DO BRASIL S/A</v>
          </cell>
        </row>
        <row r="7673">
          <cell r="B7673">
            <v>24499</v>
          </cell>
          <cell r="C7673" t="str">
            <v>BB BANCO DE INVESTIMENTO S/A</v>
          </cell>
          <cell r="D7673" t="str">
            <v>BB BANCO DE INVESTIMENTO S/A</v>
          </cell>
          <cell r="E7673" t="str">
            <v>BB BANCO DE INVESTIMENTO S/A</v>
          </cell>
        </row>
        <row r="7674">
          <cell r="B7674">
            <v>267</v>
          </cell>
          <cell r="C7674" t="str">
            <v>BANCO SANTANDER (BRASIL) S/A</v>
          </cell>
          <cell r="D7674">
            <v>266</v>
          </cell>
          <cell r="E7674" t="str">
            <v>BANCO SANTANDER (BRASIL) S/A</v>
          </cell>
        </row>
        <row r="7675">
          <cell r="B7675">
            <v>24502</v>
          </cell>
          <cell r="C7675" t="str">
            <v>BB BANCO DE INVESTIMENTO S/A</v>
          </cell>
          <cell r="D7675" t="str">
            <v>BB BANCO DE INVESTIMENTO S/A</v>
          </cell>
          <cell r="E7675" t="str">
            <v>BB BANCO DE INVESTIMENTO S/A</v>
          </cell>
        </row>
        <row r="7676">
          <cell r="B7676">
            <v>24510</v>
          </cell>
          <cell r="C7676" t="str">
            <v>BB BANCO DE INVESTIMENTO S/A</v>
          </cell>
          <cell r="D7676" t="str">
            <v>BB BANCO DE INVESTIMENTO S/A</v>
          </cell>
          <cell r="E7676" t="str">
            <v>BB BANCO DE INVESTIMENTO S/A</v>
          </cell>
        </row>
        <row r="7677">
          <cell r="B7677">
            <v>24513</v>
          </cell>
          <cell r="C7677" t="str">
            <v>BB BANCO DE INVESTIMENTO S/A</v>
          </cell>
          <cell r="D7677" t="str">
            <v>BB BANCO DE INVESTIMENTO S/A</v>
          </cell>
          <cell r="E7677" t="str">
            <v>BB BANCO DE INVESTIMENTO S/A</v>
          </cell>
        </row>
        <row r="7678">
          <cell r="B7678">
            <v>24562</v>
          </cell>
          <cell r="C7678" t="str">
            <v>BB BANCO DE INVESTIMENTO S/A</v>
          </cell>
          <cell r="D7678" t="str">
            <v>BB BANCO DE INVESTIMENTO S/A</v>
          </cell>
          <cell r="E7678" t="str">
            <v>BB BANCO DE INVESTIMENTO S/A</v>
          </cell>
        </row>
        <row r="7679">
          <cell r="B7679">
            <v>24565</v>
          </cell>
          <cell r="C7679" t="str">
            <v>BB BANCO DE INVESTIMENTO S/A</v>
          </cell>
          <cell r="D7679" t="str">
            <v>BB BANCO DE INVESTIMENTO S/A</v>
          </cell>
          <cell r="E7679" t="str">
            <v>BB BANCO DE INVESTIMENTO S/A</v>
          </cell>
        </row>
        <row r="7680">
          <cell r="B7680">
            <v>24566</v>
          </cell>
          <cell r="C7680" t="str">
            <v>BB BANCO DE INVESTIMENTO S/A</v>
          </cell>
          <cell r="D7680" t="str">
            <v>BB BANCO DE INVESTIMENTO S/A</v>
          </cell>
          <cell r="E7680" t="str">
            <v>BB BANCO DE INVESTIMENTO S/A</v>
          </cell>
        </row>
        <row r="7681">
          <cell r="B7681">
            <v>24574</v>
          </cell>
          <cell r="C7681" t="str">
            <v>BB BANCO DE INVESTIMENTO S/A</v>
          </cell>
          <cell r="D7681" t="str">
            <v>BB BANCO DE INVESTIMENTO S/A</v>
          </cell>
          <cell r="E7681" t="str">
            <v>BB BANCO DE INVESTIMENTO S/A</v>
          </cell>
        </row>
        <row r="7682">
          <cell r="B7682">
            <v>24576</v>
          </cell>
          <cell r="C7682" t="str">
            <v>BB BANCO DE INVESTIMENTO S/A</v>
          </cell>
          <cell r="D7682" t="str">
            <v>BB BANCO DE INVESTIMENTO S/A</v>
          </cell>
          <cell r="E7682" t="str">
            <v>BB BANCO DE INVESTIMENTO S/A</v>
          </cell>
        </row>
        <row r="7683">
          <cell r="B7683">
            <v>24577</v>
          </cell>
          <cell r="C7683" t="str">
            <v>BB BANCO DE INVESTIMENTO S/A</v>
          </cell>
          <cell r="D7683" t="str">
            <v>BB BANCO DE INVESTIMENTO S/A</v>
          </cell>
          <cell r="E7683" t="str">
            <v>BB BANCO DE INVESTIMENTO S/A</v>
          </cell>
        </row>
        <row r="7684">
          <cell r="B7684">
            <v>24579</v>
          </cell>
          <cell r="C7684" t="str">
            <v>OTTO DOS SANTOS</v>
          </cell>
          <cell r="D7684" t="str">
            <v>OTTO DOS SANTOS</v>
          </cell>
          <cell r="E7684" t="str">
            <v>OTTO DOS SANTOS</v>
          </cell>
        </row>
        <row r="7685">
          <cell r="B7685">
            <v>24580</v>
          </cell>
          <cell r="C7685" t="str">
            <v>BB BANCO DE INVESTIMENTO S/A</v>
          </cell>
          <cell r="D7685" t="str">
            <v>BB BANCO DE INVESTIMENTO S/A</v>
          </cell>
          <cell r="E7685" t="str">
            <v>BB BANCO DE INVESTIMENTO S/A</v>
          </cell>
        </row>
        <row r="7686">
          <cell r="B7686">
            <v>24581</v>
          </cell>
          <cell r="C7686" t="str">
            <v>BB BANCO DE INVESTIMENTO S/A</v>
          </cell>
          <cell r="D7686" t="str">
            <v>BB BANCO DE INVESTIMENTO S/A</v>
          </cell>
          <cell r="E7686" t="str">
            <v>BB BANCO DE INVESTIMENTO S/A</v>
          </cell>
        </row>
        <row r="7687">
          <cell r="B7687">
            <v>24583</v>
          </cell>
          <cell r="C7687" t="str">
            <v>BB BANCO DE INVESTIMENTO S/A</v>
          </cell>
          <cell r="D7687" t="str">
            <v>BB BANCO DE INVESTIMENTO S/A</v>
          </cell>
          <cell r="E7687" t="str">
            <v>BB BANCO DE INVESTIMENTO S/A</v>
          </cell>
        </row>
        <row r="7688">
          <cell r="B7688">
            <v>24599</v>
          </cell>
          <cell r="C7688" t="str">
            <v>BB BANCO DE INVESTIMENTO S/A</v>
          </cell>
          <cell r="D7688" t="str">
            <v>BB BANCO DE INVESTIMENTO S/A</v>
          </cell>
          <cell r="E7688" t="str">
            <v>BB BANCO DE INVESTIMENTO S/A</v>
          </cell>
        </row>
        <row r="7689">
          <cell r="B7689">
            <v>268</v>
          </cell>
          <cell r="C7689" t="str">
            <v>BANCO SANTANDER (BRASIL) S/A</v>
          </cell>
          <cell r="D7689" t="str">
            <v>BANCO SANTANDER (BRASIL) S/A</v>
          </cell>
          <cell r="E7689" t="str">
            <v>BANCO SANTANDER (BRASIL) S/A</v>
          </cell>
        </row>
        <row r="7690">
          <cell r="B7690">
            <v>24604</v>
          </cell>
          <cell r="C7690" t="str">
            <v>BB BANCO DE INVESTIMENTO S/A</v>
          </cell>
          <cell r="D7690" t="str">
            <v>BB BANCO DE INVESTIMENTO S/A</v>
          </cell>
          <cell r="E7690" t="str">
            <v>BB BANCO DE INVESTIMENTO S/A</v>
          </cell>
        </row>
        <row r="7691">
          <cell r="B7691">
            <v>24614</v>
          </cell>
          <cell r="C7691" t="str">
            <v>BB BANCO DE INVESTIMENTO S/A</v>
          </cell>
          <cell r="D7691" t="str">
            <v>BB BANCO DE INVESTIMENTO S/A</v>
          </cell>
          <cell r="E7691" t="str">
            <v>BB BANCO DE INVESTIMENTO S/A</v>
          </cell>
        </row>
        <row r="7692">
          <cell r="B7692">
            <v>24629</v>
          </cell>
          <cell r="C7692" t="str">
            <v>BB BANCO DE INVESTIMENTO S/A</v>
          </cell>
          <cell r="D7692" t="str">
            <v>BB BANCO DE INVESTIMENTO S/A</v>
          </cell>
          <cell r="E7692" t="str">
            <v>BB BANCO DE INVESTIMENTO S/A</v>
          </cell>
        </row>
        <row r="7693">
          <cell r="B7693">
            <v>24637</v>
          </cell>
          <cell r="C7693" t="str">
            <v>BB BANCO DE INVESTIMENTO S/A</v>
          </cell>
          <cell r="D7693" t="str">
            <v>BB BANCO DE INVESTIMENTO S/A</v>
          </cell>
          <cell r="E7693" t="str">
            <v>BB BANCO DE INVESTIMENTO S/A</v>
          </cell>
        </row>
        <row r="7694">
          <cell r="B7694">
            <v>24644</v>
          </cell>
          <cell r="C7694" t="str">
            <v>BB GESTAO DE RECURSOS DTVM LTDA</v>
          </cell>
          <cell r="D7694" t="str">
            <v>BB GESTAO DE RECURSOS DTVM LTDA</v>
          </cell>
          <cell r="E7694" t="str">
            <v>BANCO DO BRASIL S/A</v>
          </cell>
        </row>
        <row r="7695">
          <cell r="B7695">
            <v>24667</v>
          </cell>
          <cell r="C7695" t="str">
            <v>BB BANCO DE INVESTIMENTO S/A</v>
          </cell>
          <cell r="D7695" t="str">
            <v>BB BANCO DE INVESTIMENTO S/A</v>
          </cell>
          <cell r="E7695" t="str">
            <v>BB BANCO DE INVESTIMENTO S/A</v>
          </cell>
        </row>
        <row r="7696">
          <cell r="B7696">
            <v>24671</v>
          </cell>
          <cell r="C7696" t="str">
            <v>BB GESTAO DE RECURSOS DTVM LTDA</v>
          </cell>
          <cell r="D7696" t="str">
            <v>BB GESTAO DE RECURSOS DTVM LTDA</v>
          </cell>
          <cell r="E7696" t="str">
            <v>BB GESTAO DE RECURSOS DTVM LTDA</v>
          </cell>
        </row>
        <row r="7697">
          <cell r="B7697">
            <v>24684</v>
          </cell>
          <cell r="C7697" t="str">
            <v>BB BANCO DE INVESTIMENTO S/A</v>
          </cell>
          <cell r="D7697" t="str">
            <v>BB BANCO DE INVESTIMENTO S/A</v>
          </cell>
          <cell r="E7697" t="str">
            <v>BB BANCO DE INVESTIMENTO S/A</v>
          </cell>
        </row>
        <row r="7698">
          <cell r="B7698">
            <v>24690</v>
          </cell>
          <cell r="C7698" t="str">
            <v>BB BANCO DE INVESTIMENTO S/A</v>
          </cell>
          <cell r="D7698" t="str">
            <v>BB BANCO DE INVESTIMENTO S/A</v>
          </cell>
          <cell r="E7698" t="str">
            <v>BB BANCO DE INVESTIMENTO S/A</v>
          </cell>
        </row>
        <row r="7699">
          <cell r="B7699">
            <v>24694</v>
          </cell>
          <cell r="C7699" t="str">
            <v>BB BANCO DE INVESTIMENTO S/A</v>
          </cell>
          <cell r="D7699" t="str">
            <v>BB BANCO DE INVESTIMENTO S/A</v>
          </cell>
          <cell r="E7699" t="str">
            <v>BB BANCO DE INVESTIMENTO S/A</v>
          </cell>
        </row>
        <row r="7700">
          <cell r="B7700">
            <v>24699</v>
          </cell>
          <cell r="C7700" t="str">
            <v>BB GESTAO DE RECURSOS DTVM LTDA</v>
          </cell>
          <cell r="D7700" t="str">
            <v>BB GESTAO DE RECURSOS DTVM LTDA</v>
          </cell>
          <cell r="E7700" t="str">
            <v>BB GESTAO DE RECURSOS DTVM LTDA</v>
          </cell>
        </row>
        <row r="7701">
          <cell r="B7701">
            <v>3008</v>
          </cell>
          <cell r="C7701" t="str">
            <v>BANCO SANTANDER (BRASIL) S/A</v>
          </cell>
          <cell r="D7701" t="str">
            <v>BANCO SANTANDER (BRASIL) S/A</v>
          </cell>
          <cell r="E7701" t="str">
            <v>BANCO SANTANDER (BRASIL) S/A</v>
          </cell>
        </row>
        <row r="7702">
          <cell r="B7702">
            <v>24700</v>
          </cell>
          <cell r="C7702" t="str">
            <v>BB GESTAO DE RECURSOS DTVM LTDA</v>
          </cell>
          <cell r="D7702" t="str">
            <v>BB GESTAO DE RECURSOS DTVM LTDA</v>
          </cell>
          <cell r="E7702" t="str">
            <v>BANCO DO BRASIL S/A</v>
          </cell>
        </row>
        <row r="7703">
          <cell r="B7703">
            <v>24701</v>
          </cell>
          <cell r="C7703" t="str">
            <v>BB GESTAO DE RECURSOS DTVM LTDA</v>
          </cell>
          <cell r="D7703" t="str">
            <v>BB GESTAO DE RECURSOS DTVM LTDA</v>
          </cell>
          <cell r="E7703" t="str">
            <v>BB GESTAO DE RECURSOS DTVM LTDA</v>
          </cell>
        </row>
        <row r="7704">
          <cell r="B7704">
            <v>24716</v>
          </cell>
          <cell r="C7704" t="str">
            <v>BB BANCO DE INVESTIMENTO S/A</v>
          </cell>
          <cell r="D7704" t="str">
            <v>BB BANCO DE INVESTIMENTO S/A</v>
          </cell>
          <cell r="E7704" t="str">
            <v>BB BANCO DE INVESTIMENTO S/A</v>
          </cell>
        </row>
        <row r="7705">
          <cell r="B7705">
            <v>24722</v>
          </cell>
          <cell r="C7705" t="str">
            <v>BB BANCO DE INVESTIMENTO S/A</v>
          </cell>
          <cell r="D7705" t="str">
            <v>BB BANCO DE INVESTIMENTO S/A</v>
          </cell>
          <cell r="E7705" t="str">
            <v>BB BANCO DE INVESTIMENTO S/A</v>
          </cell>
        </row>
        <row r="7706">
          <cell r="B7706">
            <v>24727</v>
          </cell>
          <cell r="C7706" t="str">
            <v>BB GESTAO DE RECURSOS DTVM LTDA</v>
          </cell>
          <cell r="D7706" t="str">
            <v>BB GESTAO DE RECURSOS DTVM LTDA</v>
          </cell>
          <cell r="E7706" t="str">
            <v>BANCO DO BRASIL S/A</v>
          </cell>
        </row>
        <row r="7707">
          <cell r="B7707">
            <v>24728</v>
          </cell>
          <cell r="C7707" t="str">
            <v>BB GESTAO DE RECURSOS DTVM LTDA</v>
          </cell>
          <cell r="D7707" t="str">
            <v>BB GESTAO DE RECURSOS DTVM LTDA</v>
          </cell>
          <cell r="E7707" t="str">
            <v>BANCO DO BRASIL S/A</v>
          </cell>
        </row>
        <row r="7708">
          <cell r="B7708">
            <v>24729</v>
          </cell>
          <cell r="C7708" t="str">
            <v>BB BANCO DE INVESTIMENTO S/A</v>
          </cell>
          <cell r="D7708" t="str">
            <v>BB BANCO DE INVESTIMENTO S/A</v>
          </cell>
          <cell r="E7708" t="str">
            <v>BB BANCO DE INVESTIMENTO S/A</v>
          </cell>
        </row>
        <row r="7709">
          <cell r="B7709">
            <v>24730</v>
          </cell>
          <cell r="C7709" t="str">
            <v>BB GESTAO DE RECURSOS DTVM LTDA</v>
          </cell>
          <cell r="D7709" t="str">
            <v>BB GESTAO DE RECURSOS DTVM LTDA</v>
          </cell>
          <cell r="E7709" t="str">
            <v>BANCO DO BRASIL S/A</v>
          </cell>
        </row>
        <row r="7710">
          <cell r="B7710">
            <v>24735</v>
          </cell>
          <cell r="C7710" t="str">
            <v>BB BANCO DE INVESTIMENTO S/A</v>
          </cell>
          <cell r="D7710" t="str">
            <v>BB BANCO DE INVESTIMENTO S/A</v>
          </cell>
          <cell r="E7710" t="str">
            <v>BB BANCO DE INVESTIMENTO S/A</v>
          </cell>
        </row>
        <row r="7711">
          <cell r="B7711">
            <v>24738</v>
          </cell>
          <cell r="C7711" t="str">
            <v>BB BANCO DE INVESTIMENTO S/A</v>
          </cell>
          <cell r="D7711" t="str">
            <v>BB BANCO DE INVESTIMENTO S/A</v>
          </cell>
          <cell r="E7711" t="str">
            <v>BB BANCO DE INVESTIMENTO S/A</v>
          </cell>
        </row>
        <row r="7712">
          <cell r="B7712">
            <v>24740</v>
          </cell>
          <cell r="C7712" t="str">
            <v>BB BANCO DE INVESTIMENTO S/A</v>
          </cell>
          <cell r="D7712" t="str">
            <v>BB BANCO DE INVESTIMENTO S/A</v>
          </cell>
          <cell r="E7712" t="str">
            <v>BB BANCO DE INVESTIMENTO S/A</v>
          </cell>
        </row>
        <row r="7713">
          <cell r="B7713">
            <v>24759</v>
          </cell>
          <cell r="C7713" t="str">
            <v>BB GESTAO DE RECURSOS DTVM LTDA</v>
          </cell>
          <cell r="D7713" t="str">
            <v>BB GESTAO DE RECURSOS DTVM LTDA</v>
          </cell>
          <cell r="E7713" t="str">
            <v>BANCO DO BRASIL S/A</v>
          </cell>
        </row>
        <row r="7714">
          <cell r="B7714">
            <v>24764</v>
          </cell>
          <cell r="C7714" t="str">
            <v>BB BANCO DE INVESTIMENTO S/A</v>
          </cell>
          <cell r="D7714" t="str">
            <v>BB BANCO DE INVESTIMENTO S/A</v>
          </cell>
          <cell r="E7714" t="str">
            <v>BB BANCO DE INVESTIMENTO S/A</v>
          </cell>
        </row>
        <row r="7715">
          <cell r="B7715">
            <v>24774</v>
          </cell>
          <cell r="C7715" t="str">
            <v>BB BANCO DE INVESTIMENTO S/A</v>
          </cell>
          <cell r="D7715" t="str">
            <v>BB BANCO DE INVESTIMENTO S/A</v>
          </cell>
          <cell r="E7715" t="str">
            <v>BB BANCO DE INVESTIMENTO S/A</v>
          </cell>
        </row>
        <row r="7716">
          <cell r="B7716">
            <v>24784</v>
          </cell>
          <cell r="C7716" t="str">
            <v>BB BANCO DE INVESTIMENTO S/A</v>
          </cell>
          <cell r="D7716" t="str">
            <v>BB BANCO DE INVESTIMENTO S/A</v>
          </cell>
          <cell r="E7716" t="str">
            <v>BB BANCO DE INVESTIMENTO S/A</v>
          </cell>
        </row>
        <row r="7717">
          <cell r="B7717">
            <v>24785</v>
          </cell>
          <cell r="C7717" t="str">
            <v>BB BANCO DE INVESTIMENTO S/A</v>
          </cell>
          <cell r="D7717" t="str">
            <v>BB BANCO DE INVESTIMENTO S/A</v>
          </cell>
          <cell r="E7717" t="str">
            <v>BB BANCO DE INVESTIMENTO S/A</v>
          </cell>
        </row>
        <row r="7718">
          <cell r="B7718">
            <v>24794</v>
          </cell>
          <cell r="C7718" t="str">
            <v>BB GESTAO DE RECURSOS DTVM LTDA</v>
          </cell>
          <cell r="D7718" t="str">
            <v>BB GESTAO DE RECURSOS DTVM LTDA</v>
          </cell>
          <cell r="E7718" t="str">
            <v>BANCO DO BRASIL S/A</v>
          </cell>
        </row>
        <row r="7719">
          <cell r="B7719">
            <v>24795</v>
          </cell>
          <cell r="C7719" t="str">
            <v>BB GESTAO DE RECURSOS DTVM LTDA</v>
          </cell>
          <cell r="D7719" t="str">
            <v>BB GESTAO DE RECURSOS DTVM LTDA</v>
          </cell>
          <cell r="E7719" t="str">
            <v>BANCO DO BRASIL S/A</v>
          </cell>
        </row>
        <row r="7720">
          <cell r="B7720">
            <v>24797</v>
          </cell>
          <cell r="C7720" t="str">
            <v>BB GESTAO DE RECURSOS DTVM LTDA</v>
          </cell>
          <cell r="D7720" t="str">
            <v>BB GESTAO DE RECURSOS DTVM LTDA</v>
          </cell>
          <cell r="E7720" t="str">
            <v>BANCO DO BRASIL S/A</v>
          </cell>
        </row>
        <row r="7721">
          <cell r="B7721">
            <v>24799</v>
          </cell>
          <cell r="C7721" t="str">
            <v>BB GESTAO DE RECURSOS DTVM LTDA</v>
          </cell>
          <cell r="D7721" t="str">
            <v>BB GESTAO DE RECURSOS DTVM LTDA</v>
          </cell>
          <cell r="E7721" t="str">
            <v>BANCO DO BRASIL S/A</v>
          </cell>
        </row>
        <row r="7722">
          <cell r="B7722">
            <v>3010</v>
          </cell>
          <cell r="C7722" t="str">
            <v>BANCO SANTANDER (BRASIL) S/A</v>
          </cell>
          <cell r="D7722" t="str">
            <v>BANCO SANTANDER (BRASIL) S/A</v>
          </cell>
          <cell r="E7722" t="str">
            <v>BANCO SANTANDER (BRASIL) S/A</v>
          </cell>
        </row>
        <row r="7723">
          <cell r="B7723">
            <v>24800</v>
          </cell>
          <cell r="C7723" t="str">
            <v>BB BANCO DE INVESTIMENTO S/A</v>
          </cell>
          <cell r="D7723" t="str">
            <v>BB BANCO DE INVESTIMENTO S/A</v>
          </cell>
          <cell r="E7723" t="str">
            <v>BB BANCO DE INVESTIMENTO S/A</v>
          </cell>
        </row>
        <row r="7724">
          <cell r="B7724">
            <v>24801</v>
          </cell>
          <cell r="C7724" t="str">
            <v>BB BANCO DE INVESTIMENTO S/A</v>
          </cell>
          <cell r="D7724" t="str">
            <v>BB BANCO DE INVESTIMENTO S/A</v>
          </cell>
          <cell r="E7724" t="str">
            <v>BB BANCO DE INVESTIMENTO S/A</v>
          </cell>
        </row>
        <row r="7725">
          <cell r="B7725">
            <v>24802</v>
          </cell>
          <cell r="C7725" t="str">
            <v>BB BANCO DE INVESTIMENTO S/A</v>
          </cell>
          <cell r="D7725" t="str">
            <v>BB BANCO DE INVESTIMENTO S/A</v>
          </cell>
          <cell r="E7725" t="str">
            <v>BB BANCO DE INVESTIMENTO S/A</v>
          </cell>
        </row>
        <row r="7726">
          <cell r="B7726">
            <v>24806</v>
          </cell>
          <cell r="C7726" t="str">
            <v>BB GESTAO DE RECURSOS DTVM LTDA</v>
          </cell>
          <cell r="D7726" t="str">
            <v>BB GESTAO DE RECURSOS DTVM LTDA</v>
          </cell>
          <cell r="E7726" t="str">
            <v>BANCO DO BRASIL S/A</v>
          </cell>
        </row>
        <row r="7727">
          <cell r="B7727">
            <v>24810</v>
          </cell>
          <cell r="C7727" t="str">
            <v>BB GESTAO DE RECURSOS DTVM LTDA</v>
          </cell>
          <cell r="D7727" t="str">
            <v>BB GESTAO DE RECURSOS DTVM LTDA</v>
          </cell>
          <cell r="E7727" t="str">
            <v>BANCO DO BRASIL S/A</v>
          </cell>
        </row>
        <row r="7728">
          <cell r="B7728">
            <v>24811</v>
          </cell>
          <cell r="C7728" t="str">
            <v>BB BANCO DE INVESTIMENTO S/A</v>
          </cell>
          <cell r="D7728" t="str">
            <v>BB BANCO DE INVESTIMENTO S/A</v>
          </cell>
          <cell r="E7728" t="str">
            <v>BB BANCO DE INVESTIMENTO S/A</v>
          </cell>
        </row>
        <row r="7729">
          <cell r="B7729">
            <v>24818</v>
          </cell>
          <cell r="C7729" t="str">
            <v>BB BANCO DE INVESTIMENTO S/A</v>
          </cell>
          <cell r="D7729" t="str">
            <v>BB BANCO DE INVESTIMENTO S/A</v>
          </cell>
          <cell r="E7729" t="str">
            <v>BB BANCO DE INVESTIMENTO S/A</v>
          </cell>
        </row>
        <row r="7730">
          <cell r="B7730">
            <v>24819</v>
          </cell>
          <cell r="C7730" t="str">
            <v>BB GESTAO DE RECURSOS DTVM LTDA</v>
          </cell>
          <cell r="D7730" t="str">
            <v>BB GESTAO DE RECURSOS DTVM LTDA</v>
          </cell>
          <cell r="E7730" t="str">
            <v>BANCO DO BRASIL S/A</v>
          </cell>
        </row>
        <row r="7731">
          <cell r="B7731">
            <v>24821</v>
          </cell>
          <cell r="C7731" t="str">
            <v>BB GESTAO DE RECURSOS DTVM LTDA</v>
          </cell>
          <cell r="D7731" t="str">
            <v>BB GESTAO DE RECURSOS DTVM LTDA</v>
          </cell>
          <cell r="E7731" t="str">
            <v>BB GESTAO DE RECURSOS DTVM LTDA</v>
          </cell>
        </row>
        <row r="7732">
          <cell r="B7732">
            <v>24823</v>
          </cell>
          <cell r="C7732" t="str">
            <v>BB BANCO DE INVESTIMENTO S/A</v>
          </cell>
          <cell r="D7732" t="str">
            <v>BB BANCO DE INVESTIMENTO S/A</v>
          </cell>
          <cell r="E7732" t="str">
            <v>BB BANCO DE INVESTIMENTO S/A</v>
          </cell>
        </row>
        <row r="7733">
          <cell r="B7733">
            <v>24824</v>
          </cell>
          <cell r="C7733" t="str">
            <v>BB GESTAO DE RECURSOS DTVM LTDA</v>
          </cell>
          <cell r="D7733" t="str">
            <v>BB GESTAO DE RECURSOS DTVM LTDA</v>
          </cell>
          <cell r="E7733" t="str">
            <v>BANCO DO BRASIL S/A</v>
          </cell>
        </row>
        <row r="7734">
          <cell r="B7734">
            <v>24829</v>
          </cell>
          <cell r="C7734" t="str">
            <v>BB BANCO DE INVESTIMENTO S/A</v>
          </cell>
          <cell r="D7734" t="str">
            <v>BB BANCO DE INVESTIMENTO S/A</v>
          </cell>
          <cell r="E7734" t="str">
            <v>BB BANCO DE INVESTIMENTO S/A</v>
          </cell>
        </row>
        <row r="7735">
          <cell r="B7735">
            <v>24830</v>
          </cell>
          <cell r="C7735" t="str">
            <v>BB BANCO DE INVESTIMENTO S/A</v>
          </cell>
          <cell r="D7735" t="str">
            <v>BB BANCO DE INVESTIMENTO S/A</v>
          </cell>
          <cell r="E7735" t="str">
            <v>BB BANCO DE INVESTIMENTO S/A</v>
          </cell>
        </row>
        <row r="7736">
          <cell r="B7736">
            <v>24832</v>
          </cell>
          <cell r="C7736" t="str">
            <v>BB GESTAO DE RECURSOS DTVM LTDA</v>
          </cell>
          <cell r="D7736" t="str">
            <v>BB GESTAO DE RECURSOS DTVM LTDA</v>
          </cell>
          <cell r="E7736" t="str">
            <v>BB GESTAO DE RECURSOS DTVM LTDA</v>
          </cell>
        </row>
        <row r="7737">
          <cell r="B7737">
            <v>24833</v>
          </cell>
          <cell r="C7737" t="str">
            <v>BB GESTAO DE RECURSOS DTVM LTDA</v>
          </cell>
          <cell r="D7737" t="str">
            <v>BB GESTAO DE RECURSOS DTVM LTDA</v>
          </cell>
          <cell r="E7737" t="str">
            <v>BANCO DO BRASIL S/A</v>
          </cell>
        </row>
        <row r="7738">
          <cell r="B7738">
            <v>24836</v>
          </cell>
          <cell r="C7738" t="str">
            <v>BB BANCO DE INVESTIMENTO S/A</v>
          </cell>
          <cell r="D7738" t="str">
            <v>BB BANCO DE INVESTIMENTO S/A</v>
          </cell>
          <cell r="E7738" t="str">
            <v>BB BANCO DE INVESTIMENTO S/A</v>
          </cell>
        </row>
        <row r="7739">
          <cell r="B7739">
            <v>24837</v>
          </cell>
          <cell r="C7739" t="str">
            <v>BB BANCO DE INVESTIMENTO S/A</v>
          </cell>
          <cell r="D7739" t="str">
            <v>BB BANCO DE INVESTIMENTO S/A</v>
          </cell>
          <cell r="E7739" t="str">
            <v>BB BANCO DE INVESTIMENTO S/A</v>
          </cell>
        </row>
        <row r="7740">
          <cell r="B7740">
            <v>24838</v>
          </cell>
          <cell r="C7740" t="str">
            <v>BB BANCO DE INVESTIMENTO S/A</v>
          </cell>
          <cell r="D7740" t="str">
            <v>BB BANCO DE INVESTIMENTO S/A</v>
          </cell>
          <cell r="E7740" t="str">
            <v>BB BANCO DE INVESTIMENTO S/A</v>
          </cell>
        </row>
        <row r="7741">
          <cell r="B7741">
            <v>24839</v>
          </cell>
          <cell r="C7741" t="str">
            <v>BB GESTAO DE RECURSOS DTVM LTDA</v>
          </cell>
          <cell r="D7741" t="str">
            <v>BB GESTAO DE RECURSOS DTVM LTDA</v>
          </cell>
          <cell r="E7741" t="str">
            <v>BB GESTAO DE RECURSOS DTVM LTDA</v>
          </cell>
        </row>
        <row r="7742">
          <cell r="B7742">
            <v>24850</v>
          </cell>
          <cell r="C7742" t="str">
            <v>BB BANCO DE INVESTIMENTO S/A</v>
          </cell>
          <cell r="D7742" t="str">
            <v>BB BANCO DE INVESTIMENTO S/A</v>
          </cell>
          <cell r="E7742" t="str">
            <v>BB BANCO DE INVESTIMENTO S/A</v>
          </cell>
        </row>
        <row r="7743">
          <cell r="B7743">
            <v>24853</v>
          </cell>
          <cell r="C7743" t="str">
            <v>BB BANCO DE INVESTIMENTO S/A</v>
          </cell>
          <cell r="D7743" t="str">
            <v>BB BANCO DE INVESTIMENTO S/A</v>
          </cell>
          <cell r="E7743" t="str">
            <v>BB BANCO DE INVESTIMENTO S/A</v>
          </cell>
        </row>
        <row r="7744">
          <cell r="B7744">
            <v>24863</v>
          </cell>
          <cell r="C7744" t="str">
            <v>BB BANCO DE INVESTIMENTO S/A</v>
          </cell>
          <cell r="D7744" t="str">
            <v>BB BANCO DE INVESTIMENTO S/A</v>
          </cell>
          <cell r="E7744" t="str">
            <v>BB BANCO DE INVESTIMENTO S/A</v>
          </cell>
        </row>
        <row r="7745">
          <cell r="B7745">
            <v>24867</v>
          </cell>
          <cell r="C7745" t="str">
            <v>BB GESTAO DE RECURSOS DTVM LTDA</v>
          </cell>
          <cell r="D7745" t="str">
            <v>BB GESTAO DE RECURSOS DTVM LTDA</v>
          </cell>
          <cell r="E7745" t="str">
            <v>BANCO DO BRASIL S/A</v>
          </cell>
        </row>
        <row r="7746">
          <cell r="B7746">
            <v>24872</v>
          </cell>
          <cell r="C7746" t="str">
            <v>BB GESTAO DE RECURSOS DTVM LTDA</v>
          </cell>
          <cell r="D7746" t="str">
            <v>BB GESTAO DE RECURSOS DTVM LTDA</v>
          </cell>
          <cell r="E7746" t="str">
            <v>BANCO DO BRASIL S/A</v>
          </cell>
        </row>
        <row r="7747">
          <cell r="B7747">
            <v>24879</v>
          </cell>
          <cell r="C7747" t="str">
            <v>BB GESTAO DE RECURSOS DTVM LTDA</v>
          </cell>
          <cell r="D7747" t="str">
            <v>BB GESTAO DE RECURSOS DTVM LTDA</v>
          </cell>
          <cell r="E7747" t="str">
            <v>BANCO DO BRASIL S/A</v>
          </cell>
        </row>
        <row r="7748">
          <cell r="B7748">
            <v>24882</v>
          </cell>
          <cell r="C7748" t="str">
            <v>BB BANCO DE INVESTIMENTO S/A</v>
          </cell>
          <cell r="D7748" t="str">
            <v>BB BANCO DE INVESTIMENTO S/A</v>
          </cell>
          <cell r="E7748" t="str">
            <v>BB BANCO DE INVESTIMENTO S/A</v>
          </cell>
        </row>
        <row r="7749">
          <cell r="B7749">
            <v>24885</v>
          </cell>
          <cell r="C7749" t="str">
            <v>BB GESTAO DE RECURSOS DTVM LTDA</v>
          </cell>
          <cell r="D7749" t="str">
            <v>BB GESTAO DE RECURSOS DTVM LTDA</v>
          </cell>
          <cell r="E7749" t="str">
            <v>BB GESTAO DE RECURSOS DTVM LTDA</v>
          </cell>
        </row>
        <row r="7750">
          <cell r="B7750">
            <v>347</v>
          </cell>
          <cell r="C7750" t="str">
            <v>BANCO SANTANDER (BRASIL) S/A</v>
          </cell>
          <cell r="D7750" t="str">
            <v>BANCO SANTANDER (BRASIL) S/A</v>
          </cell>
          <cell r="E7750" t="str">
            <v>BANCO SANTANDER (BRASIL) S/A</v>
          </cell>
        </row>
        <row r="7751">
          <cell r="B7751">
            <v>24901</v>
          </cell>
          <cell r="C7751" t="str">
            <v>BB BANCO DE INVESTIMENTO S/A</v>
          </cell>
          <cell r="D7751" t="str">
            <v>BB BANCO DE INVESTIMENTO S/A</v>
          </cell>
          <cell r="E7751" t="str">
            <v>BB BANCO DE INVESTIMENTO S/A</v>
          </cell>
        </row>
        <row r="7752">
          <cell r="B7752">
            <v>24902</v>
          </cell>
          <cell r="C7752" t="str">
            <v>BB GESTAO DE RECURSOS DTVM LTDA</v>
          </cell>
          <cell r="D7752" t="str">
            <v>BB GESTAO DE RECURSOS DTVM LTDA</v>
          </cell>
          <cell r="E7752" t="str">
            <v>BANCO DO BRASIL S/A</v>
          </cell>
        </row>
        <row r="7753">
          <cell r="B7753">
            <v>24905</v>
          </cell>
          <cell r="C7753" t="str">
            <v>BB BANCO DE INVESTIMENTO S/A</v>
          </cell>
          <cell r="D7753" t="str">
            <v>BB BANCO DE INVESTIMENTO S/A</v>
          </cell>
          <cell r="E7753" t="str">
            <v>BB BANCO DE INVESTIMENTO S/A</v>
          </cell>
        </row>
        <row r="7754">
          <cell r="B7754">
            <v>24915</v>
          </cell>
          <cell r="C7754" t="str">
            <v>BB GESTAO DE RECURSOS DTVM LTDA</v>
          </cell>
          <cell r="D7754" t="str">
            <v>BB GESTAO DE RECURSOS DTVM LTDA</v>
          </cell>
          <cell r="E7754" t="str">
            <v>BB GESTAO DE RECURSOS DTVM LTDA</v>
          </cell>
        </row>
        <row r="7755">
          <cell r="B7755">
            <v>24916</v>
          </cell>
          <cell r="C7755" t="str">
            <v>BB GESTAO DE RECURSOS DTVM LTDA</v>
          </cell>
          <cell r="D7755" t="str">
            <v>BB GESTAO DE RECURSOS DTVM LTDA</v>
          </cell>
          <cell r="E7755" t="str">
            <v>BANCO DO BRASIL S/A</v>
          </cell>
        </row>
        <row r="7756">
          <cell r="B7756">
            <v>24918</v>
          </cell>
          <cell r="C7756" t="str">
            <v>BB GESTAO DE RECURSOS DTVM LTDA</v>
          </cell>
          <cell r="D7756" t="str">
            <v>BB GESTAO DE RECURSOS DTVM LTDA</v>
          </cell>
          <cell r="E7756" t="str">
            <v>BB GESTAO DE RECURSOS DTVM LTDA</v>
          </cell>
        </row>
        <row r="7757">
          <cell r="B7757">
            <v>24920</v>
          </cell>
          <cell r="C7757" t="str">
            <v>BB BANCO DE INVESTIMENTO S/A</v>
          </cell>
          <cell r="D7757" t="str">
            <v>BB BANCO DE INVESTIMENTO S/A</v>
          </cell>
          <cell r="E7757" t="str">
            <v>BB BANCO DE INVESTIMENTO S/A</v>
          </cell>
        </row>
        <row r="7758">
          <cell r="B7758">
            <v>24921</v>
          </cell>
          <cell r="C7758" t="str">
            <v>BB BANCO DE INVESTIMENTO S/A</v>
          </cell>
          <cell r="D7758" t="str">
            <v>BB BANCO DE INVESTIMENTO S/A</v>
          </cell>
          <cell r="E7758" t="str">
            <v>BB BANCO DE INVESTIMENTO S/A</v>
          </cell>
        </row>
        <row r="7759">
          <cell r="B7759">
            <v>24924</v>
          </cell>
          <cell r="C7759" t="str">
            <v>BB GESTAO DE RECURSOS DTVM LTDA</v>
          </cell>
          <cell r="D7759" t="str">
            <v>BB GESTAO DE RECURSOS DTVM LTDA</v>
          </cell>
          <cell r="E7759" t="str">
            <v>BB GESTAO DE RECURSOS DTVM LTDA</v>
          </cell>
        </row>
        <row r="7760">
          <cell r="B7760">
            <v>24925</v>
          </cell>
          <cell r="C7760" t="str">
            <v>BB GESTAO DE RECURSOS DTVM LTDA</v>
          </cell>
          <cell r="D7760" t="str">
            <v>BB GESTAO DE RECURSOS DTVM LTDA</v>
          </cell>
          <cell r="E7760" t="str">
            <v>BB GESTAO DE RECURSOS DTVM LTDA</v>
          </cell>
        </row>
        <row r="7761">
          <cell r="B7761">
            <v>24929</v>
          </cell>
          <cell r="C7761" t="str">
            <v>BB GESTAO DE RECURSOS DTVM LTDA</v>
          </cell>
          <cell r="D7761" t="str">
            <v>BB GESTAO DE RECURSOS DTVM LTDA</v>
          </cell>
          <cell r="E7761" t="str">
            <v>BANCO DO BRASIL S/A</v>
          </cell>
        </row>
        <row r="7762">
          <cell r="B7762">
            <v>24930</v>
          </cell>
          <cell r="C7762" t="str">
            <v>BB BANCO DE INVESTIMENTO S/A</v>
          </cell>
          <cell r="D7762" t="str">
            <v>BB BANCO DE INVESTIMENTO S/A</v>
          </cell>
          <cell r="E7762" t="str">
            <v>BB BANCO DE INVESTIMENTO S/A</v>
          </cell>
        </row>
        <row r="7763">
          <cell r="B7763">
            <v>24931</v>
          </cell>
          <cell r="C7763" t="str">
            <v>BB GESTAO DE RECURSOS DTVM LTDA</v>
          </cell>
          <cell r="D7763" t="str">
            <v>BB GESTAO DE RECURSOS DTVM LTDA</v>
          </cell>
          <cell r="E7763" t="str">
            <v>BANCO DO BRASIL S/A</v>
          </cell>
        </row>
        <row r="7764">
          <cell r="B7764">
            <v>24932</v>
          </cell>
          <cell r="C7764" t="str">
            <v>BB GESTAO DE RECURSOS DTVM LTDA</v>
          </cell>
          <cell r="D7764" t="str">
            <v>BB GESTAO DE RECURSOS DTVM LTDA</v>
          </cell>
          <cell r="E7764" t="str">
            <v>BANCO DO BRASIL S/A</v>
          </cell>
        </row>
        <row r="7765">
          <cell r="B7765">
            <v>24934</v>
          </cell>
          <cell r="C7765" t="str">
            <v>BB BANCO DE INVESTIMENTO S/A</v>
          </cell>
          <cell r="D7765" t="str">
            <v>BB BANCO DE INVESTIMENTO S/A</v>
          </cell>
          <cell r="E7765" t="str">
            <v>BB BANCO DE INVESTIMENTO S/A</v>
          </cell>
        </row>
        <row r="7766">
          <cell r="B7766">
            <v>24942</v>
          </cell>
          <cell r="C7766" t="str">
            <v>BB GESTAO DE RECURSOS DTVM LTDA</v>
          </cell>
          <cell r="D7766" t="str">
            <v>BB GESTAO DE RECURSOS DTVM LTDA</v>
          </cell>
          <cell r="E7766" t="str">
            <v>BANCO DO BRASIL S/A</v>
          </cell>
        </row>
        <row r="7767">
          <cell r="B7767">
            <v>24953</v>
          </cell>
          <cell r="C7767" t="str">
            <v>BB GESTAO DE RECURSOS DTVM LTDA</v>
          </cell>
          <cell r="D7767" t="str">
            <v>BB GESTAO DE RECURSOS DTVM LTDA</v>
          </cell>
          <cell r="E7767" t="str">
            <v>BANCO DO BRASIL S/A</v>
          </cell>
        </row>
        <row r="7768">
          <cell r="B7768">
            <v>24954</v>
          </cell>
          <cell r="C7768" t="str">
            <v>BB BANCO DE INVESTIMENTO S/A</v>
          </cell>
          <cell r="D7768" t="str">
            <v>BB BANCO DE INVESTIMENTO S/A</v>
          </cell>
          <cell r="E7768" t="str">
            <v>BB BANCO DE INVESTIMENTO S/A</v>
          </cell>
        </row>
        <row r="7769">
          <cell r="B7769">
            <v>24955</v>
          </cell>
          <cell r="C7769" t="str">
            <v>BB BANCO DE INVESTIMENTO S/A</v>
          </cell>
          <cell r="D7769" t="str">
            <v>BB BANCO DE INVESTIMENTO S/A</v>
          </cell>
          <cell r="E7769" t="str">
            <v>BB BANCO DE INVESTIMENTO S/A</v>
          </cell>
        </row>
        <row r="7770">
          <cell r="B7770">
            <v>24956</v>
          </cell>
          <cell r="C7770" t="str">
            <v>BB GESTAO DE RECURSOS DTVM LTDA</v>
          </cell>
          <cell r="D7770" t="str">
            <v>BB GESTAO DE RECURSOS DTVM LTDA</v>
          </cell>
          <cell r="E7770" t="str">
            <v>BANCO DO BRASIL S/A</v>
          </cell>
        </row>
        <row r="7771">
          <cell r="B7771">
            <v>24957</v>
          </cell>
          <cell r="C7771" t="str">
            <v>BB GESTAO DE RECURSOS DTVM LTDA</v>
          </cell>
          <cell r="D7771" t="str">
            <v>BB GESTAO DE RECURSOS DTVM LTDA</v>
          </cell>
          <cell r="E7771" t="str">
            <v>BANCO DO BRASIL S/A</v>
          </cell>
        </row>
        <row r="7772">
          <cell r="B7772">
            <v>24964</v>
          </cell>
          <cell r="C7772" t="str">
            <v>BB GESTAO DE RECURSOS DTVM LTDA</v>
          </cell>
          <cell r="D7772" t="str">
            <v>BB GESTAO DE RECURSOS DTVM LTDA</v>
          </cell>
          <cell r="E7772" t="str">
            <v>BANCO DO BRASIL S/A</v>
          </cell>
        </row>
        <row r="7773">
          <cell r="B7773">
            <v>24965</v>
          </cell>
          <cell r="C7773" t="str">
            <v>BB BANCO DE INVESTIMENTO S/A</v>
          </cell>
          <cell r="D7773" t="str">
            <v>BB BANCO DE INVESTIMENTO S/A</v>
          </cell>
          <cell r="E7773" t="str">
            <v>BB BANCO DE INVESTIMENTO S/A</v>
          </cell>
        </row>
        <row r="7774">
          <cell r="B7774">
            <v>24968</v>
          </cell>
          <cell r="C7774" t="str">
            <v>BB GESTAO DE RECURSOS DTVM LTDA</v>
          </cell>
          <cell r="D7774" t="str">
            <v>BB GESTAO DE RECURSOS DTVM LTDA</v>
          </cell>
          <cell r="E7774" t="str">
            <v>BANCO DO BRASIL S/A</v>
          </cell>
        </row>
        <row r="7775">
          <cell r="B7775">
            <v>24993</v>
          </cell>
          <cell r="C7775" t="str">
            <v>BB GESTAO DE RECURSOS DTVM LTDA</v>
          </cell>
          <cell r="D7775" t="str">
            <v>BB GESTAO DE RECURSOS DTVM LTDA</v>
          </cell>
          <cell r="E7775" t="str">
            <v>BANCO DO BRASIL S/A</v>
          </cell>
        </row>
        <row r="7776">
          <cell r="B7776">
            <v>24994</v>
          </cell>
          <cell r="C7776" t="str">
            <v>BB GESTAO DE RECURSOS DTVM LTDA</v>
          </cell>
          <cell r="D7776" t="str">
            <v>BB GESTAO DE RECURSOS DTVM LTDA</v>
          </cell>
          <cell r="E7776" t="str">
            <v>BANCO DO BRASIL S/A</v>
          </cell>
        </row>
        <row r="7777">
          <cell r="B7777">
            <v>24995</v>
          </cell>
          <cell r="C7777" t="str">
            <v>BB BANCO DE INVESTIMENTO S/A</v>
          </cell>
          <cell r="D7777" t="str">
            <v>BB BANCO DE INVESTIMENTO S/A</v>
          </cell>
          <cell r="E7777" t="str">
            <v>BB BANCO DE INVESTIMENTO S/A</v>
          </cell>
        </row>
        <row r="7778">
          <cell r="B7778">
            <v>24998</v>
          </cell>
          <cell r="C7778" t="str">
            <v>BB GESTAO DE RECURSOS DTVM LTDA</v>
          </cell>
          <cell r="D7778" t="str">
            <v>BB GESTAO DE RECURSOS DTVM LTDA</v>
          </cell>
          <cell r="E7778" t="str">
            <v>BANCO DO BRASIL S/A</v>
          </cell>
        </row>
        <row r="7779">
          <cell r="B7779">
            <v>25</v>
          </cell>
          <cell r="C7779" t="str">
            <v>MAUA FIX MASTER FUNDO DE INVESTIMENTO MULTIMERCADO</v>
          </cell>
          <cell r="D7779" t="str">
            <v>MAUA FIX MASTER FUNDO DE INVESTIMENTO MULTIMERCADO</v>
          </cell>
          <cell r="E7779" t="str">
            <v>MAUA INVESTIMENTOS LTDA</v>
          </cell>
        </row>
        <row r="7780">
          <cell r="B7780">
            <v>348</v>
          </cell>
          <cell r="C7780" t="str">
            <v>BANCO SANTANDER (BRASIL) S/A</v>
          </cell>
          <cell r="D7780" t="str">
            <v>BANCO SANTANDER (BRASIL) S/A</v>
          </cell>
          <cell r="E7780" t="str">
            <v>BANCO SANTANDER (BRASIL) S/A</v>
          </cell>
        </row>
        <row r="7781">
          <cell r="B7781">
            <v>25001</v>
          </cell>
          <cell r="C7781" t="str">
            <v>BB GESTAO DE RECURSOS DTVM LTDA</v>
          </cell>
          <cell r="D7781" t="str">
            <v>BB GESTAO DE RECURSOS DTVM LTDA</v>
          </cell>
          <cell r="E7781" t="str">
            <v>BANCO DO BRASIL S/A</v>
          </cell>
        </row>
        <row r="7782">
          <cell r="B7782">
            <v>25004</v>
          </cell>
          <cell r="C7782" t="str">
            <v>BB BANCO DE INVESTIMENTO S/A</v>
          </cell>
          <cell r="D7782" t="str">
            <v>BB BANCO DE INVESTIMENTO S/A</v>
          </cell>
          <cell r="E7782" t="str">
            <v>BB BANCO DE INVESTIMENTO S/A</v>
          </cell>
        </row>
        <row r="7783">
          <cell r="B7783">
            <v>25015</v>
          </cell>
          <cell r="C7783" t="str">
            <v>BB BANCO DE INVESTIMENTO S/A</v>
          </cell>
          <cell r="D7783" t="str">
            <v>BB BANCO DE INVESTIMENTO S/A</v>
          </cell>
          <cell r="E7783" t="str">
            <v>BB BANCO DE INVESTIMENTO S/A</v>
          </cell>
        </row>
        <row r="7784">
          <cell r="B7784">
            <v>25086</v>
          </cell>
          <cell r="C7784" t="str">
            <v>BB BANCO DE INVESTIMENTO S/A</v>
          </cell>
          <cell r="D7784" t="str">
            <v>BB BANCO DE INVESTIMENTO S/A</v>
          </cell>
          <cell r="E7784" t="str">
            <v>BB BANCO DE INVESTIMENTO S/A</v>
          </cell>
        </row>
        <row r="7785">
          <cell r="B7785">
            <v>25087</v>
          </cell>
          <cell r="C7785" t="str">
            <v>BB GESTAO DE RECURSOS DTVM LTDA</v>
          </cell>
          <cell r="D7785" t="str">
            <v>BB GESTAO DE RECURSOS DTVM LTDA</v>
          </cell>
          <cell r="E7785" t="str">
            <v>BANCO DO BRASIL S/A</v>
          </cell>
        </row>
        <row r="7786">
          <cell r="B7786">
            <v>349</v>
          </cell>
          <cell r="C7786" t="str">
            <v>BANCO SANTANDER (BRASIL) S/A</v>
          </cell>
          <cell r="D7786" t="str">
            <v>BANCO SANTANDER (BRASIL) S/A</v>
          </cell>
          <cell r="E7786" t="str">
            <v>BANCO SANTANDER (BRASIL) S/A</v>
          </cell>
        </row>
        <row r="7787">
          <cell r="B7787">
            <v>25153</v>
          </cell>
          <cell r="C7787" t="str">
            <v>LOUIS DREYFUS COMPANY BRASIL S/A</v>
          </cell>
          <cell r="D7787" t="str">
            <v>LOUIS DREYFUS COMPANY BRASIL S/A</v>
          </cell>
          <cell r="E7787" t="str">
            <v>LOUIS DREYFUS COMPANY BRASIL S/A</v>
          </cell>
        </row>
        <row r="7788">
          <cell r="B7788">
            <v>25170</v>
          </cell>
          <cell r="C7788" t="str">
            <v>BB GESTAO DE RECURSOS DTVM LTDA</v>
          </cell>
          <cell r="D7788" t="str">
            <v>BB GESTAO DE RECURSOS DTVM LTDA</v>
          </cell>
          <cell r="E7788" t="str">
            <v>BB GESTAO DE RECURSOS DTVM LTDA</v>
          </cell>
        </row>
        <row r="7789">
          <cell r="B7789">
            <v>25175</v>
          </cell>
          <cell r="C7789" t="str">
            <v>BB BANCO DE INVESTIMENTO S/A</v>
          </cell>
          <cell r="D7789" t="str">
            <v>BB BANCO DE INVESTIMENTO S/A</v>
          </cell>
          <cell r="E7789" t="str">
            <v>BB BANCO DE INVESTIMENTO S/A</v>
          </cell>
        </row>
        <row r="7790">
          <cell r="B7790">
            <v>25176</v>
          </cell>
          <cell r="C7790" t="str">
            <v>BB BANCO DE INVESTIMENTO S/A</v>
          </cell>
          <cell r="D7790" t="str">
            <v>BB BANCO DE INVESTIMENTO S/A</v>
          </cell>
          <cell r="E7790" t="str">
            <v>BB BANCO DE INVESTIMENTO S/A</v>
          </cell>
        </row>
        <row r="7791">
          <cell r="B7791">
            <v>25186</v>
          </cell>
          <cell r="C7791" t="str">
            <v>BB BANCO DE INVESTIMENTO S/A</v>
          </cell>
          <cell r="D7791" t="str">
            <v>BB BANCO DE INVESTIMENTO S/A</v>
          </cell>
          <cell r="E7791" t="str">
            <v>BB BANCO DE INVESTIMENTO S/A</v>
          </cell>
        </row>
        <row r="7792">
          <cell r="B7792">
            <v>25187</v>
          </cell>
          <cell r="C7792" t="str">
            <v>BB BANCO DE INVESTIMENTO S/A</v>
          </cell>
          <cell r="D7792" t="str">
            <v>BB BANCO DE INVESTIMENTO S/A</v>
          </cell>
          <cell r="E7792" t="str">
            <v>BB BANCO DE INVESTIMENTO S/A</v>
          </cell>
        </row>
        <row r="7793">
          <cell r="B7793">
            <v>350</v>
          </cell>
          <cell r="C7793" t="str">
            <v>BANCO SANTANDER (BRASIL) S/A</v>
          </cell>
          <cell r="D7793" t="str">
            <v>BANCO SANTANDER (BRASIL) S/A</v>
          </cell>
          <cell r="E7793" t="str">
            <v>BANCO SANTANDER (BRASIL) S/A</v>
          </cell>
        </row>
        <row r="7794">
          <cell r="B7794">
            <v>25202</v>
          </cell>
          <cell r="C7794" t="str">
            <v>BB BANCO DE INVESTIMENTO S/A</v>
          </cell>
          <cell r="D7794" t="str">
            <v>BB BANCO DE INVESTIMENTO S/A</v>
          </cell>
          <cell r="E7794" t="str">
            <v>BB BANCO DE INVESTIMENTO S/A</v>
          </cell>
        </row>
        <row r="7795">
          <cell r="B7795">
            <v>25203</v>
          </cell>
          <cell r="C7795" t="str">
            <v>BB GESTAO DE RECURSOS DTVM LTDA</v>
          </cell>
          <cell r="D7795" t="str">
            <v>BB GESTAO DE RECURSOS DTVM LTDA</v>
          </cell>
          <cell r="E7795" t="str">
            <v>BB GESTAO DE RECURSOS DTVM LTDA</v>
          </cell>
        </row>
        <row r="7796">
          <cell r="B7796">
            <v>25204</v>
          </cell>
          <cell r="C7796" t="str">
            <v>BB BANCO DE INVESTIMENTO S/A</v>
          </cell>
          <cell r="D7796" t="str">
            <v>BB BANCO DE INVESTIMENTO S/A</v>
          </cell>
          <cell r="E7796" t="str">
            <v>BB BANCO DE INVESTIMENTO S/A</v>
          </cell>
        </row>
        <row r="7797">
          <cell r="B7797">
            <v>25226</v>
          </cell>
          <cell r="C7797" t="str">
            <v>BB BANCO DE INVESTIMENTO S/A</v>
          </cell>
          <cell r="D7797" t="str">
            <v>BB BANCO DE INVESTIMENTO S/A</v>
          </cell>
          <cell r="E7797" t="str">
            <v>BB BANCO DE INVESTIMENTO S/A</v>
          </cell>
        </row>
        <row r="7798">
          <cell r="B7798">
            <v>25231</v>
          </cell>
          <cell r="C7798" t="str">
            <v>BB GESTAO DE RECURSOS DTVM LTDA</v>
          </cell>
          <cell r="D7798" t="str">
            <v>BB GESTAO DE RECURSOS DTVM LTDA</v>
          </cell>
          <cell r="E7798" t="str">
            <v>BANCO DO BRASIL S/A</v>
          </cell>
        </row>
        <row r="7799">
          <cell r="B7799">
            <v>351</v>
          </cell>
          <cell r="C7799" t="str">
            <v>BANCO SANTANDER (BRASIL) S/A</v>
          </cell>
          <cell r="D7799" t="str">
            <v>BANCO SANTANDER (BRASIL) S/A</v>
          </cell>
          <cell r="E7799" t="str">
            <v>BANCO SANTANDER (BRASIL) S/A</v>
          </cell>
        </row>
        <row r="7800">
          <cell r="B7800">
            <v>25345</v>
          </cell>
          <cell r="C7800" t="str">
            <v>BB GESTAO DE RECURSOS DTVM LTDA</v>
          </cell>
          <cell r="D7800" t="str">
            <v>BB GESTAO DE RECURSOS DTVM LTDA</v>
          </cell>
          <cell r="E7800" t="str">
            <v>BB GESTAO DE RECURSOS DTVM LTDA</v>
          </cell>
        </row>
        <row r="7801">
          <cell r="B7801">
            <v>25383</v>
          </cell>
          <cell r="C7801" t="str">
            <v>BB BANCO DE INVESTIMENTO S/A</v>
          </cell>
          <cell r="D7801" t="str">
            <v>BB BANCO DE INVESTIMENTO S/A</v>
          </cell>
          <cell r="E7801" t="str">
            <v>BB BANCO DE INVESTIMENTO S/A</v>
          </cell>
        </row>
        <row r="7802">
          <cell r="B7802">
            <v>25385</v>
          </cell>
          <cell r="C7802" t="str">
            <v>BB GESTAO DE RECURSOS DTVM LTDA</v>
          </cell>
          <cell r="D7802" t="str">
            <v>BB GESTAO DE RECURSOS DTVM LTDA</v>
          </cell>
          <cell r="E7802" t="str">
            <v>BANCO DO BRASIL S/A</v>
          </cell>
        </row>
        <row r="7803">
          <cell r="B7803">
            <v>25390</v>
          </cell>
          <cell r="C7803" t="str">
            <v>BB BANCO DE INVESTIMENTO S/A</v>
          </cell>
          <cell r="D7803" t="str">
            <v>BB BANCO DE INVESTIMENTO S/A</v>
          </cell>
          <cell r="E7803" t="str">
            <v>BB BANCO DE INVESTIMENTO S/A</v>
          </cell>
        </row>
        <row r="7804">
          <cell r="B7804">
            <v>352</v>
          </cell>
          <cell r="C7804" t="str">
            <v>BANCO SANTANDER (BRASIL) S/A</v>
          </cell>
          <cell r="D7804" t="str">
            <v>BANCO SANTANDER (BRASIL) S/A</v>
          </cell>
          <cell r="E7804" t="str">
            <v>BANCO SANTANDER (BRASIL) S/A</v>
          </cell>
        </row>
        <row r="7805">
          <cell r="B7805">
            <v>25449</v>
          </cell>
          <cell r="C7805" t="str">
            <v>BB BANCO DE INVESTIMENTO S/A</v>
          </cell>
          <cell r="D7805" t="str">
            <v>BB BANCO DE INVESTIMENTO S/A</v>
          </cell>
          <cell r="E7805" t="str">
            <v>BB BANCO DE INVESTIMENTO S/A</v>
          </cell>
        </row>
        <row r="7806">
          <cell r="B7806">
            <v>25471</v>
          </cell>
          <cell r="C7806" t="str">
            <v>BB BANCO DE INVESTIMENTO S/A</v>
          </cell>
          <cell r="D7806" t="str">
            <v>BB BANCO DE INVESTIMENTO S/A</v>
          </cell>
          <cell r="E7806" t="str">
            <v>BB BANCO DE INVESTIMENTO S/A</v>
          </cell>
        </row>
        <row r="7807">
          <cell r="B7807">
            <v>353</v>
          </cell>
          <cell r="C7807" t="str">
            <v>BANCO SANTANDER (BRASIL) S/A</v>
          </cell>
          <cell r="D7807" t="str">
            <v>BANCO SANTANDER (BRASIL) S/A</v>
          </cell>
          <cell r="E7807" t="str">
            <v>BANCO SANTANDER (BRASIL) S/A</v>
          </cell>
        </row>
        <row r="7808">
          <cell r="B7808">
            <v>25506</v>
          </cell>
          <cell r="C7808" t="str">
            <v>BB BANCO DE INVESTIMENTO S/A</v>
          </cell>
          <cell r="D7808" t="str">
            <v>BB BANCO DE INVESTIMENTO S/A</v>
          </cell>
          <cell r="E7808" t="str">
            <v>BB BANCO DE INVESTIMENTO S/A</v>
          </cell>
        </row>
        <row r="7809">
          <cell r="B7809">
            <v>25511</v>
          </cell>
          <cell r="C7809" t="str">
            <v>BB BANCO DE INVESTIMENTO S/A</v>
          </cell>
          <cell r="D7809" t="str">
            <v>BB BANCO DE INVESTIMENTO S/A</v>
          </cell>
          <cell r="E7809" t="str">
            <v>BB BANCO DE INVESTIMENTO S/A</v>
          </cell>
        </row>
        <row r="7810">
          <cell r="B7810">
            <v>25512</v>
          </cell>
          <cell r="C7810" t="str">
            <v>BB BANCO DE INVESTIMENTO S/A</v>
          </cell>
          <cell r="D7810" t="str">
            <v>BB BANCO DE INVESTIMENTO S/A</v>
          </cell>
          <cell r="E7810" t="str">
            <v>BB BANCO DE INVESTIMENTO S/A</v>
          </cell>
        </row>
        <row r="7811">
          <cell r="B7811">
            <v>25513</v>
          </cell>
          <cell r="C7811" t="str">
            <v>BB BANCO DE INVESTIMENTO S/A</v>
          </cell>
          <cell r="D7811" t="str">
            <v>BB BANCO DE INVESTIMENTO S/A</v>
          </cell>
          <cell r="E7811" t="str">
            <v>BB BANCO DE INVESTIMENTO S/A</v>
          </cell>
        </row>
        <row r="7812">
          <cell r="B7812">
            <v>25514</v>
          </cell>
          <cell r="C7812" t="str">
            <v>BB BANCO DE INVESTIMENTO S/A</v>
          </cell>
          <cell r="D7812" t="str">
            <v>BB BANCO DE INVESTIMENTO S/A</v>
          </cell>
          <cell r="E7812" t="str">
            <v>BB BANCO DE INVESTIMENTO S/A</v>
          </cell>
        </row>
        <row r="7813">
          <cell r="B7813">
            <v>25548</v>
          </cell>
          <cell r="C7813" t="str">
            <v>BB BANCO DE INVESTIMENTO S/A</v>
          </cell>
          <cell r="D7813" t="str">
            <v>BB BANCO DE INVESTIMENTO S/A</v>
          </cell>
          <cell r="E7813" t="str">
            <v>BB BANCO DE INVESTIMENTO S/A</v>
          </cell>
        </row>
        <row r="7814">
          <cell r="B7814">
            <v>25556</v>
          </cell>
          <cell r="C7814" t="str">
            <v>BB GESTAO DE RECURSOS DTVM LTDA</v>
          </cell>
          <cell r="D7814" t="str">
            <v>BB GESTAO DE RECURSOS DTVM LTDA</v>
          </cell>
          <cell r="E7814" t="str">
            <v>BANCO DO BRASIL S/A</v>
          </cell>
        </row>
        <row r="7815">
          <cell r="B7815">
            <v>25565</v>
          </cell>
          <cell r="C7815" t="str">
            <v>BB BANCO DE INVESTIMENTO S/A</v>
          </cell>
          <cell r="D7815" t="str">
            <v>BB BANCO DE INVESTIMENTO S/A</v>
          </cell>
          <cell r="E7815" t="str">
            <v>BB BANCO DE INVESTIMENTO S/A</v>
          </cell>
        </row>
        <row r="7816">
          <cell r="B7816">
            <v>25568</v>
          </cell>
          <cell r="C7816" t="str">
            <v>BB GESTAO DE RECURSOS DTVM LTDA</v>
          </cell>
          <cell r="D7816" t="str">
            <v>BB GESTAO DE RECURSOS DTVM LTDA</v>
          </cell>
          <cell r="E7816" t="str">
            <v>BANCO DO BRASIL S/A</v>
          </cell>
        </row>
        <row r="7817">
          <cell r="B7817">
            <v>25587</v>
          </cell>
          <cell r="C7817" t="str">
            <v>BB BANCO DE INVESTIMENTO S/A</v>
          </cell>
          <cell r="D7817" t="str">
            <v>BB BANCO DE INVESTIMENTO S/A</v>
          </cell>
          <cell r="E7817" t="str">
            <v>BB BANCO DE INVESTIMENTO S/A</v>
          </cell>
        </row>
        <row r="7818">
          <cell r="B7818">
            <v>25589</v>
          </cell>
          <cell r="C7818" t="str">
            <v>BB BANCO DE INVESTIMENTO S/A</v>
          </cell>
          <cell r="D7818" t="str">
            <v>BB BANCO DE INVESTIMENTO S/A</v>
          </cell>
          <cell r="E7818" t="str">
            <v>BB BANCO DE INVESTIMENTO S/A</v>
          </cell>
        </row>
        <row r="7819">
          <cell r="B7819">
            <v>25590</v>
          </cell>
          <cell r="C7819" t="str">
            <v>BB BANCO DE INVESTIMENTO S/A</v>
          </cell>
          <cell r="D7819" t="str">
            <v>BB BANCO DE INVESTIMENTO S/A</v>
          </cell>
          <cell r="E7819" t="str">
            <v>BB BANCO DE INVESTIMENTO S/A</v>
          </cell>
        </row>
        <row r="7820">
          <cell r="B7820">
            <v>25591</v>
          </cell>
          <cell r="C7820" t="str">
            <v>BB GESTAO DE RECURSOS DTVM LTDA</v>
          </cell>
          <cell r="D7820" t="str">
            <v>BB GESTAO DE RECURSOS DTVM LTDA</v>
          </cell>
          <cell r="E7820" t="str">
            <v>BB GESTAO DE RECURSOS DTVM LTDA</v>
          </cell>
        </row>
        <row r="7821">
          <cell r="B7821">
            <v>25596</v>
          </cell>
          <cell r="C7821" t="str">
            <v>BB BANCO DE INVESTIMENTO S/A</v>
          </cell>
          <cell r="D7821" t="str">
            <v>BB BANCO DE INVESTIMENTO S/A</v>
          </cell>
          <cell r="E7821" t="str">
            <v>BB BANCO DE INVESTIMENTO S/A</v>
          </cell>
        </row>
        <row r="7822">
          <cell r="B7822">
            <v>354</v>
          </cell>
          <cell r="C7822" t="str">
            <v>BANCO SANTANDER (BRASIL) S/A</v>
          </cell>
          <cell r="D7822" t="str">
            <v>BANCO SANTANDER (BRASIL) S/A</v>
          </cell>
          <cell r="E7822" t="str">
            <v>BANCO SANTANDER (BRASIL) S/A</v>
          </cell>
        </row>
        <row r="7823">
          <cell r="B7823">
            <v>25603</v>
          </cell>
          <cell r="C7823" t="str">
            <v>BB BANCO DE INVESTIMENTO S/A</v>
          </cell>
          <cell r="D7823" t="str">
            <v>BB BANCO DE INVESTIMENTO S/A</v>
          </cell>
          <cell r="E7823" t="str">
            <v>BB BANCO DE INVESTIMENTO S/A</v>
          </cell>
        </row>
        <row r="7824">
          <cell r="B7824">
            <v>25605</v>
          </cell>
          <cell r="C7824" t="str">
            <v>BB GESTAO DE RECURSOS DTVM LTDA</v>
          </cell>
          <cell r="D7824" t="str">
            <v>BB GESTAO DE RECURSOS DTVM LTDA</v>
          </cell>
          <cell r="E7824" t="str">
            <v>BANCO DO BRASIL S/A</v>
          </cell>
        </row>
        <row r="7825">
          <cell r="B7825">
            <v>25606</v>
          </cell>
          <cell r="C7825" t="str">
            <v>BB BANCO DE INVESTIMENTO S/A</v>
          </cell>
          <cell r="D7825" t="str">
            <v>BB BANCO DE INVESTIMENTO S/A</v>
          </cell>
          <cell r="E7825" t="str">
            <v>BB BANCO DE INVESTIMENTO S/A</v>
          </cell>
        </row>
        <row r="7826">
          <cell r="B7826">
            <v>25607</v>
          </cell>
          <cell r="C7826" t="str">
            <v>BB BANCO DE INVESTIMENTO S/A</v>
          </cell>
          <cell r="D7826" t="str">
            <v>BB BANCO DE INVESTIMENTO S/A</v>
          </cell>
          <cell r="E7826" t="str">
            <v>BB BANCO DE INVESTIMENTO S/A</v>
          </cell>
        </row>
        <row r="7827">
          <cell r="B7827">
            <v>25608</v>
          </cell>
          <cell r="C7827" t="str">
            <v>BB GESTAO DE RECURSOS DTVM LTDA</v>
          </cell>
          <cell r="D7827" t="str">
            <v>BB GESTAO DE RECURSOS DTVM LTDA</v>
          </cell>
          <cell r="E7827" t="str">
            <v>BANCO DO BRASIL S/A</v>
          </cell>
        </row>
        <row r="7828">
          <cell r="B7828">
            <v>25611</v>
          </cell>
          <cell r="C7828" t="str">
            <v>BB GESTAO DE RECURSOS DTVM LTDA</v>
          </cell>
          <cell r="D7828" t="str">
            <v>BB GESTAO DE RECURSOS DTVM LTDA</v>
          </cell>
          <cell r="E7828" t="str">
            <v>BANCO DO BRASIL S/A</v>
          </cell>
        </row>
        <row r="7829">
          <cell r="B7829">
            <v>25612</v>
          </cell>
          <cell r="C7829" t="str">
            <v>BB BANCO DE INVESTIMENTO S/A</v>
          </cell>
          <cell r="D7829" t="str">
            <v>BB BANCO DE INVESTIMENTO S/A</v>
          </cell>
          <cell r="E7829" t="str">
            <v>BB BANCO DE INVESTIMENTO S/A</v>
          </cell>
        </row>
        <row r="7830">
          <cell r="B7830">
            <v>25614</v>
          </cell>
          <cell r="C7830" t="str">
            <v>BB BANCO DE INVESTIMENTO S/A</v>
          </cell>
          <cell r="D7830" t="str">
            <v>BB BANCO DE INVESTIMENTO S/A</v>
          </cell>
          <cell r="E7830" t="str">
            <v>BB BANCO DE INVESTIMENTO S/A</v>
          </cell>
        </row>
        <row r="7831">
          <cell r="B7831">
            <v>25617</v>
          </cell>
          <cell r="C7831" t="str">
            <v>BB BANCO DE INVESTIMENTO S/A</v>
          </cell>
          <cell r="D7831" t="str">
            <v>BB BANCO DE INVESTIMENTO S/A</v>
          </cell>
          <cell r="E7831" t="str">
            <v>BB BANCO DE INVESTIMENTO S/A</v>
          </cell>
        </row>
        <row r="7832">
          <cell r="B7832">
            <v>25621</v>
          </cell>
          <cell r="C7832" t="str">
            <v>BB BANCO DE INVESTIMENTO S/A</v>
          </cell>
          <cell r="D7832" t="str">
            <v>BB BANCO DE INVESTIMENTO S/A</v>
          </cell>
          <cell r="E7832" t="str">
            <v>BB BANCO DE INVESTIMENTO S/A</v>
          </cell>
        </row>
        <row r="7833">
          <cell r="B7833">
            <v>25622</v>
          </cell>
          <cell r="C7833" t="str">
            <v>BB BANCO DE INVESTIMENTO S/A</v>
          </cell>
          <cell r="D7833" t="str">
            <v>BB BANCO DE INVESTIMENTO S/A</v>
          </cell>
          <cell r="E7833" t="str">
            <v>BB BANCO DE INVESTIMENTO S/A</v>
          </cell>
        </row>
        <row r="7834">
          <cell r="B7834">
            <v>25625</v>
          </cell>
          <cell r="C7834" t="str">
            <v>BB BANCO DE INVESTIMENTO S/A</v>
          </cell>
          <cell r="D7834" t="str">
            <v>BB BANCO DE INVESTIMENTO S/A</v>
          </cell>
          <cell r="E7834" t="str">
            <v>BB BANCO DE INVESTIMENTO S/A</v>
          </cell>
        </row>
        <row r="7835">
          <cell r="B7835">
            <v>25633</v>
          </cell>
          <cell r="C7835" t="str">
            <v>BB GESTAO DE RECURSOS DTVM LTDA</v>
          </cell>
          <cell r="D7835" t="str">
            <v>BB GESTAO DE RECURSOS DTVM LTDA</v>
          </cell>
          <cell r="E7835" t="str">
            <v>BANCO DO BRASIL S/A</v>
          </cell>
        </row>
        <row r="7836">
          <cell r="B7836">
            <v>25644</v>
          </cell>
          <cell r="C7836" t="str">
            <v>BB GESTAO DE RECURSOS DTVM LTDA</v>
          </cell>
          <cell r="D7836" t="str">
            <v>BB GESTAO DE RECURSOS DTVM LTDA</v>
          </cell>
          <cell r="E7836" t="str">
            <v>BANCO DO BRASIL S/A</v>
          </cell>
        </row>
        <row r="7837">
          <cell r="B7837">
            <v>2568</v>
          </cell>
          <cell r="C7837" t="str">
            <v>JP MORGAN CHASE BANK NATIONAL ASSOCIATION</v>
          </cell>
          <cell r="D7837" t="str">
            <v>JP MORGAN CHASE BANK NATIONAL ASSOCIATION</v>
          </cell>
          <cell r="E7837" t="str">
            <v>JP MORGAN CHASE BANK NATIONAL ASSOCIATION</v>
          </cell>
        </row>
        <row r="7838">
          <cell r="B7838">
            <v>25681</v>
          </cell>
          <cell r="C7838" t="str">
            <v>KOSMOS GLOBAL FUND (ANTIGO KAIROS)</v>
          </cell>
          <cell r="D7838" t="str">
            <v>KOSMOS GLOBAL FUND (ANTIGO KAIROS)</v>
          </cell>
          <cell r="E7838" t="str">
            <v>KOSMOS GLOBAL FUND (ANTIGO KAIROS)</v>
          </cell>
        </row>
        <row r="7839">
          <cell r="B7839">
            <v>25682</v>
          </cell>
          <cell r="C7839" t="str">
            <v>KOSMOS GLOBAL FUND (ANTIGO KAIROS)</v>
          </cell>
          <cell r="D7839" t="str">
            <v>KOSMOS GLOBAL FUND (ANTIGO KAIROS)</v>
          </cell>
          <cell r="E7839" t="str">
            <v>KOSMOS GLOBAL FUND (ANTIGO KAIROS)</v>
          </cell>
        </row>
        <row r="7840">
          <cell r="B7840">
            <v>25683</v>
          </cell>
          <cell r="C7840" t="str">
            <v>BB GESTAO DE RECURSOS DTVM LTDA</v>
          </cell>
          <cell r="D7840" t="str">
            <v>BB GESTAO DE RECURSOS DTVM LTDA</v>
          </cell>
          <cell r="E7840" t="str">
            <v>BANCO DO BRASIL S/A</v>
          </cell>
        </row>
        <row r="7841">
          <cell r="B7841">
            <v>25685</v>
          </cell>
          <cell r="C7841" t="str">
            <v>BB GESTAO DE RECURSOS DTVM LTDA</v>
          </cell>
          <cell r="D7841" t="str">
            <v>BB GESTAO DE RECURSOS DTVM LTDA</v>
          </cell>
          <cell r="E7841" t="str">
            <v>BANCO DO BRASIL S/A</v>
          </cell>
        </row>
        <row r="7842">
          <cell r="B7842">
            <v>355</v>
          </cell>
          <cell r="C7842" t="str">
            <v>BANCO SANTANDER (BRASIL) S/A</v>
          </cell>
          <cell r="D7842" t="str">
            <v>BANCO SANTANDER (BRASIL) S/A</v>
          </cell>
          <cell r="E7842" t="str">
            <v>BANCO SANTANDER (BRASIL) S/A</v>
          </cell>
        </row>
        <row r="7843">
          <cell r="B7843">
            <v>25700</v>
          </cell>
          <cell r="C7843" t="str">
            <v>BB GESTAO DE RECURSOS DTVM LTDA</v>
          </cell>
          <cell r="D7843" t="str">
            <v>BB GESTAO DE RECURSOS DTVM LTDA</v>
          </cell>
          <cell r="E7843" t="str">
            <v>BANCO DO BRASIL S/A</v>
          </cell>
        </row>
        <row r="7844">
          <cell r="B7844">
            <v>25705</v>
          </cell>
          <cell r="C7844" t="str">
            <v>BB BANCO DE INVESTIMENTO S/A</v>
          </cell>
          <cell r="D7844" t="str">
            <v>BB BANCO DE INVESTIMENTO S/A</v>
          </cell>
          <cell r="E7844" t="str">
            <v>BB BANCO DE INVESTIMENTO S/A</v>
          </cell>
        </row>
        <row r="7845">
          <cell r="B7845">
            <v>25707</v>
          </cell>
          <cell r="C7845" t="str">
            <v>BB GESTAO DE RECURSOS DTVM LTDA</v>
          </cell>
          <cell r="D7845" t="str">
            <v>BB GESTAO DE RECURSOS DTVM LTDA</v>
          </cell>
          <cell r="E7845" t="str">
            <v>BANCO DO BRASIL S/A</v>
          </cell>
        </row>
        <row r="7846">
          <cell r="B7846">
            <v>25737</v>
          </cell>
          <cell r="C7846" t="str">
            <v>BB GESTAO DE RECURSOS DTVM LTDA</v>
          </cell>
          <cell r="D7846" t="str">
            <v>BB GESTAO DE RECURSOS DTVM LTDA</v>
          </cell>
          <cell r="E7846" t="str">
            <v>BANCO DO BRASIL S/A</v>
          </cell>
        </row>
        <row r="7847">
          <cell r="B7847">
            <v>25740</v>
          </cell>
          <cell r="C7847" t="str">
            <v>BB GESTAO DE RECURSOS DTVM LTDA</v>
          </cell>
          <cell r="D7847" t="str">
            <v>BB GESTAO DE RECURSOS DTVM LTDA</v>
          </cell>
          <cell r="E7847" t="str">
            <v>BANCO DO BRASIL S/A</v>
          </cell>
        </row>
        <row r="7848">
          <cell r="B7848">
            <v>25745</v>
          </cell>
          <cell r="C7848" t="str">
            <v>BB GESTAO DE RECURSOS DTVM LTDA</v>
          </cell>
          <cell r="D7848" t="str">
            <v>BB GESTAO DE RECURSOS DTVM LTDA</v>
          </cell>
          <cell r="E7848" t="str">
            <v>BANCO DO BRASIL S/A</v>
          </cell>
        </row>
        <row r="7849">
          <cell r="B7849">
            <v>25746</v>
          </cell>
          <cell r="C7849" t="str">
            <v>BB GESTAO DE RECURSOS DTVM LTDA</v>
          </cell>
          <cell r="D7849" t="str">
            <v>BB GESTAO DE RECURSOS DTVM LTDA</v>
          </cell>
          <cell r="E7849" t="str">
            <v>BANCO DO BRASIL S/A</v>
          </cell>
        </row>
        <row r="7850">
          <cell r="B7850">
            <v>25752</v>
          </cell>
          <cell r="C7850" t="str">
            <v>BB GESTAO DE RECURSOS DTVM LTDA</v>
          </cell>
          <cell r="D7850" t="str">
            <v>BB GESTAO DE RECURSOS DTVM LTDA</v>
          </cell>
          <cell r="E7850" t="str">
            <v>BANCO DO BRASIL S/A</v>
          </cell>
        </row>
        <row r="7851">
          <cell r="B7851">
            <v>25760</v>
          </cell>
          <cell r="C7851" t="str">
            <v>BB BANCO DE INVESTIMENTO S/A</v>
          </cell>
          <cell r="D7851" t="str">
            <v>BB BANCO DE INVESTIMENTO S/A</v>
          </cell>
          <cell r="E7851" t="str">
            <v>BB BANCO DE INVESTIMENTO S/A</v>
          </cell>
        </row>
        <row r="7852">
          <cell r="B7852">
            <v>25763</v>
          </cell>
          <cell r="C7852" t="str">
            <v>BB BANCO DE INVESTIMENTO S/A</v>
          </cell>
          <cell r="D7852" t="str">
            <v>BB BANCO DE INVESTIMENTO S/A</v>
          </cell>
          <cell r="E7852" t="str">
            <v>BB BANCO DE INVESTIMENTO S/A</v>
          </cell>
        </row>
        <row r="7853">
          <cell r="B7853">
            <v>25766</v>
          </cell>
          <cell r="C7853" t="str">
            <v>BB BANCO DE INVESTIMENTO S/A</v>
          </cell>
          <cell r="D7853" t="str">
            <v>BB BANCO DE INVESTIMENTO S/A</v>
          </cell>
          <cell r="E7853" t="str">
            <v>BB BANCO DE INVESTIMENTO S/A</v>
          </cell>
        </row>
        <row r="7854">
          <cell r="B7854">
            <v>25778</v>
          </cell>
          <cell r="C7854" t="str">
            <v>BB GESTAO DE RECURSOS DTVM LTDA</v>
          </cell>
          <cell r="D7854" t="str">
            <v>BB GESTAO DE RECURSOS DTVM LTDA</v>
          </cell>
          <cell r="E7854" t="str">
            <v>BANCO DO BRASIL S/A</v>
          </cell>
        </row>
        <row r="7855">
          <cell r="B7855">
            <v>25785</v>
          </cell>
          <cell r="C7855" t="str">
            <v>CORINGA FI MULTIMERCADO CP</v>
          </cell>
          <cell r="D7855" t="str">
            <v>CORINGA FI MULTIMERCADO CP</v>
          </cell>
          <cell r="E7855" t="str">
            <v>ARSENAL INVESTIMENTOS LTDA</v>
          </cell>
        </row>
        <row r="7856">
          <cell r="B7856">
            <v>25786</v>
          </cell>
          <cell r="C7856" t="str">
            <v>AL RF FIM CREDITO PRIVADO</v>
          </cell>
          <cell r="D7856" t="str">
            <v>AL RF FIM CREDITO PRIVADO</v>
          </cell>
          <cell r="E7856" t="str">
            <v>ARSENAL INVESTIMENTOS LTDA</v>
          </cell>
        </row>
        <row r="7857">
          <cell r="B7857">
            <v>25787</v>
          </cell>
          <cell r="C7857" t="str">
            <v>FIA ARSENAL GLOBAL</v>
          </cell>
          <cell r="D7857" t="str">
            <v>FIA ARSENAL GLOBAL</v>
          </cell>
          <cell r="E7857" t="str">
            <v>ARSENAL INVESTIMENTOS LTDA</v>
          </cell>
        </row>
        <row r="7858">
          <cell r="B7858">
            <v>25788</v>
          </cell>
          <cell r="C7858" t="str">
            <v>AL PIBB FUNDO DE INVESTIMENTO DE AÃ‡Ã•ES</v>
          </cell>
          <cell r="D7858" t="str">
            <v>AL PIBB FUNDO DE INVESTIMENTO DE AÃ‡Ã•ES</v>
          </cell>
          <cell r="E7858" t="str">
            <v>ARSENAL INVESTIMENTOS LTDA</v>
          </cell>
        </row>
        <row r="7859">
          <cell r="B7859">
            <v>25789</v>
          </cell>
          <cell r="C7859" t="str">
            <v>BB BANCO DE INVESTIMENTO S/A</v>
          </cell>
          <cell r="D7859" t="str">
            <v>BB BANCO DE INVESTIMENTO S/A</v>
          </cell>
          <cell r="E7859" t="str">
            <v>BB BANCO DE INVESTIMENTO S/A</v>
          </cell>
        </row>
        <row r="7860">
          <cell r="B7860">
            <v>25790</v>
          </cell>
          <cell r="C7860" t="str">
            <v>TORA FUNDO DE INVESTIMENTO MULTIMERCADO CP</v>
          </cell>
          <cell r="D7860" t="str">
            <v>TORA FUNDO DE INVESTIMENTO MULTIMERCADO CP</v>
          </cell>
          <cell r="E7860" t="str">
            <v>JULIUS BAER FAMILY OFFICE BRASIL GESTAO DE PATRIMONIO LTDA</v>
          </cell>
        </row>
        <row r="7861">
          <cell r="B7861">
            <v>25792</v>
          </cell>
          <cell r="C7861" t="str">
            <v>BB BANCO DE INVESTIMENTO S/A</v>
          </cell>
          <cell r="D7861" t="str">
            <v>BB BANCO DE INVESTIMENTO S/A</v>
          </cell>
          <cell r="E7861" t="str">
            <v>BB BANCO DE INVESTIMENTO S/A</v>
          </cell>
        </row>
        <row r="7862">
          <cell r="B7862">
            <v>25799</v>
          </cell>
          <cell r="C7862" t="str">
            <v>BB GESTAO DE RECURSOS DTVM LTDA</v>
          </cell>
          <cell r="D7862" t="str">
            <v>BB GESTAO DE RECURSOS DTVM LTDA</v>
          </cell>
          <cell r="E7862" t="str">
            <v>BANCO DO BRASIL S/A</v>
          </cell>
        </row>
        <row r="7863">
          <cell r="B7863">
            <v>356</v>
          </cell>
          <cell r="C7863" t="str">
            <v>BANCO SANTANDER (BRASIL) S/A</v>
          </cell>
          <cell r="D7863" t="str">
            <v>BANCO SANTANDER (BRASIL) S/A</v>
          </cell>
          <cell r="E7863" t="str">
            <v>BANCO SANTANDER (BRASIL) S/A</v>
          </cell>
        </row>
        <row r="7864">
          <cell r="B7864">
            <v>25836</v>
          </cell>
          <cell r="C7864" t="str">
            <v>BB GESTAO DE RECURSOS DTVM LTDA</v>
          </cell>
          <cell r="D7864" t="str">
            <v>BB GESTAO DE RECURSOS DTVM LTDA</v>
          </cell>
          <cell r="E7864" t="str">
            <v>BANCO DO BRASIL S/A</v>
          </cell>
        </row>
        <row r="7865">
          <cell r="B7865">
            <v>25847</v>
          </cell>
          <cell r="C7865" t="str">
            <v>BB GESTAO DE RECURSOS DTVM LTDA</v>
          </cell>
          <cell r="D7865" t="str">
            <v>BB GESTAO DE RECURSOS DTVM LTDA</v>
          </cell>
          <cell r="E7865" t="str">
            <v>BANCO DO BRASIL S/A</v>
          </cell>
        </row>
        <row r="7866">
          <cell r="B7866">
            <v>25851</v>
          </cell>
          <cell r="C7866" t="str">
            <v>BB BANCO DE INVESTIMENTO S/A</v>
          </cell>
          <cell r="D7866" t="str">
            <v>BB BANCO DE INVESTIMENTO S/A</v>
          </cell>
          <cell r="E7866" t="str">
            <v>BB BANCO DE INVESTIMENTO S/A</v>
          </cell>
        </row>
        <row r="7867">
          <cell r="B7867">
            <v>25869</v>
          </cell>
          <cell r="C7867" t="str">
            <v>BB BANCO DE INVESTIMENTO S/A</v>
          </cell>
          <cell r="D7867" t="str">
            <v>BB BANCO DE INVESTIMENTO S/A</v>
          </cell>
          <cell r="E7867" t="str">
            <v>BB BANCO DE INVESTIMENTO S/A</v>
          </cell>
        </row>
        <row r="7868">
          <cell r="B7868">
            <v>25877</v>
          </cell>
          <cell r="C7868" t="str">
            <v>BB GESTAO DE RECURSOS DTVM LTDA</v>
          </cell>
          <cell r="D7868" t="str">
            <v>BB GESTAO DE RECURSOS DTVM LTDA</v>
          </cell>
          <cell r="E7868" t="str">
            <v>BANCO DO BRASIL S/A</v>
          </cell>
        </row>
        <row r="7869">
          <cell r="B7869">
            <v>25880</v>
          </cell>
          <cell r="C7869" t="str">
            <v>BB GESTAO DE RECURSOS DTVM LTDA</v>
          </cell>
          <cell r="D7869" t="str">
            <v>BB GESTAO DE RECURSOS DTVM LTDA</v>
          </cell>
          <cell r="E7869" t="str">
            <v>BANCO DO BRASIL S/A</v>
          </cell>
        </row>
        <row r="7870">
          <cell r="B7870">
            <v>25881</v>
          </cell>
          <cell r="C7870" t="str">
            <v>BB BANCO DE INVESTIMENTO S/A</v>
          </cell>
          <cell r="D7870" t="str">
            <v>BB BANCO DE INVESTIMENTO S/A</v>
          </cell>
          <cell r="E7870" t="str">
            <v>BB BANCO DE INVESTIMENTO S/A</v>
          </cell>
        </row>
        <row r="7871">
          <cell r="B7871">
            <v>25886</v>
          </cell>
          <cell r="C7871" t="str">
            <v>BB GESTAO DE RECURSOS DTVM LTDA</v>
          </cell>
          <cell r="D7871" t="str">
            <v>BB GESTAO DE RECURSOS DTVM LTDA</v>
          </cell>
          <cell r="E7871" t="str">
            <v>BANCO DO BRASIL S/A</v>
          </cell>
        </row>
        <row r="7872">
          <cell r="B7872">
            <v>25896</v>
          </cell>
          <cell r="C7872" t="str">
            <v>BB BANCO DE INVESTIMENTO S/A</v>
          </cell>
          <cell r="D7872" t="str">
            <v>BB BANCO DE INVESTIMENTO S/A</v>
          </cell>
          <cell r="E7872" t="str">
            <v>BB BANCO DE INVESTIMENTO S/A</v>
          </cell>
        </row>
        <row r="7873">
          <cell r="B7873">
            <v>357</v>
          </cell>
          <cell r="C7873" t="str">
            <v>BANCO SANTANDER (BRASIL) S/A</v>
          </cell>
          <cell r="D7873" t="str">
            <v>BANCO SANTANDER (BRASIL) S/A</v>
          </cell>
          <cell r="E7873" t="str">
            <v>BANCO SANTANDER (BRASIL) S/A</v>
          </cell>
        </row>
        <row r="7874">
          <cell r="B7874">
            <v>25903</v>
          </cell>
          <cell r="C7874" t="str">
            <v>BB BANCO DE INVESTIMENTO S/A</v>
          </cell>
          <cell r="D7874" t="str">
            <v>BB BANCO DE INVESTIMENTO S/A</v>
          </cell>
          <cell r="E7874" t="str">
            <v>BB BANCO DE INVESTIMENTO S/A</v>
          </cell>
        </row>
        <row r="7875">
          <cell r="B7875">
            <v>25905</v>
          </cell>
          <cell r="C7875" t="str">
            <v>BB BANCO DE INVESTIMENTO S/A</v>
          </cell>
          <cell r="D7875" t="str">
            <v>BB BANCO DE INVESTIMENTO S/A</v>
          </cell>
          <cell r="E7875" t="str">
            <v>BB BANCO DE INVESTIMENTO S/A</v>
          </cell>
        </row>
        <row r="7876">
          <cell r="B7876">
            <v>25907</v>
          </cell>
          <cell r="C7876" t="str">
            <v>BB BANCO DE INVESTIMENTO S/A</v>
          </cell>
          <cell r="D7876" t="str">
            <v>BB BANCO DE INVESTIMENTO S/A</v>
          </cell>
          <cell r="E7876" t="str">
            <v>BB BANCO DE INVESTIMENTO S/A</v>
          </cell>
        </row>
        <row r="7877">
          <cell r="B7877">
            <v>25909</v>
          </cell>
          <cell r="C7877" t="str">
            <v>BB BANCO DE INVESTIMENTO S/A</v>
          </cell>
          <cell r="D7877" t="str">
            <v>BB BANCO DE INVESTIMENTO S/A</v>
          </cell>
          <cell r="E7877" t="str">
            <v>BB BANCO DE INVESTIMENTO S/A</v>
          </cell>
        </row>
        <row r="7878">
          <cell r="B7878">
            <v>25910</v>
          </cell>
          <cell r="C7878" t="str">
            <v>BB BANCO DE INVESTIMENTO S/A</v>
          </cell>
          <cell r="D7878" t="str">
            <v>BB BANCO DE INVESTIMENTO S/A</v>
          </cell>
          <cell r="E7878" t="str">
            <v>BB BANCO DE INVESTIMENTO S/A</v>
          </cell>
        </row>
        <row r="7879">
          <cell r="B7879">
            <v>25911</v>
          </cell>
          <cell r="C7879" t="str">
            <v>BB GESTAO DE RECURSOS DTVM LTDA</v>
          </cell>
          <cell r="D7879" t="str">
            <v>BB GESTAO DE RECURSOS DTVM LTDA</v>
          </cell>
          <cell r="E7879" t="str">
            <v>BANCO DO BRASIL S/A</v>
          </cell>
        </row>
        <row r="7880">
          <cell r="B7880">
            <v>25997</v>
          </cell>
          <cell r="C7880" t="str">
            <v>BB GESTAO DE RECURSOS DTVM LTDA</v>
          </cell>
          <cell r="D7880" t="str">
            <v>BB GESTAO DE RECURSOS DTVM LTDA</v>
          </cell>
          <cell r="E7880" t="str">
            <v>BB GESTAO DE RECURSOS DTVM LTDA</v>
          </cell>
        </row>
        <row r="7881">
          <cell r="B7881">
            <v>26</v>
          </cell>
          <cell r="C7881" t="str">
            <v>FABIO ROBERTO BAUMFELD ISAACK</v>
          </cell>
          <cell r="D7881" t="str">
            <v>FABIO ROBERTO BAUMFELD ISAACK</v>
          </cell>
          <cell r="E7881" t="str">
            <v>FABIO ROBERTO BAUMFELD ISAACK</v>
          </cell>
        </row>
        <row r="7882">
          <cell r="B7882">
            <v>364</v>
          </cell>
          <cell r="C7882" t="str">
            <v>BANCO SANTANDER (BRASIL) S/A</v>
          </cell>
          <cell r="D7882" t="str">
            <v>BANCO SANTANDER (BRASIL) S/A</v>
          </cell>
          <cell r="E7882" t="str">
            <v>BANCO SANTANDER (BRASIL) S/A</v>
          </cell>
        </row>
        <row r="7883">
          <cell r="B7883">
            <v>26004</v>
          </cell>
          <cell r="C7883" t="str">
            <v>BB BANCO DE INVESTIMENTO S/A</v>
          </cell>
          <cell r="D7883" t="str">
            <v>BB BANCO DE INVESTIMENTO S/A</v>
          </cell>
          <cell r="E7883" t="str">
            <v>BB BANCO DE INVESTIMENTO S/A</v>
          </cell>
        </row>
        <row r="7884">
          <cell r="B7884">
            <v>26018</v>
          </cell>
          <cell r="C7884" t="str">
            <v>BB BANCO DE INVESTIMENTO S/A</v>
          </cell>
          <cell r="D7884" t="str">
            <v>BB BANCO DE INVESTIMENTO S/A</v>
          </cell>
          <cell r="E7884" t="str">
            <v>BB BANCO DE INVESTIMENTO S/A</v>
          </cell>
        </row>
        <row r="7885">
          <cell r="B7885">
            <v>26022</v>
          </cell>
          <cell r="C7885" t="str">
            <v>BB BANCO DE INVESTIMENTO S/A</v>
          </cell>
          <cell r="D7885" t="str">
            <v>BB BANCO DE INVESTIMENTO S/A</v>
          </cell>
          <cell r="E7885" t="str">
            <v>BB BANCO DE INVESTIMENTO S/A</v>
          </cell>
        </row>
        <row r="7886">
          <cell r="B7886">
            <v>26023</v>
          </cell>
          <cell r="C7886" t="str">
            <v>BB BANCO DE INVESTIMENTO S/A</v>
          </cell>
          <cell r="D7886" t="str">
            <v>BB BANCO DE INVESTIMENTO S/A</v>
          </cell>
          <cell r="E7886" t="str">
            <v>BB BANCO DE INVESTIMENTO S/A</v>
          </cell>
        </row>
        <row r="7887">
          <cell r="B7887">
            <v>26050</v>
          </cell>
          <cell r="C7887" t="str">
            <v>BB GESTAO DE RECURSOS DTVM LTDA</v>
          </cell>
          <cell r="D7887" t="str">
            <v>BB GESTAO DE RECURSOS DTVM LTDA</v>
          </cell>
          <cell r="E7887" t="str">
            <v>BANCO DO BRASIL S/A</v>
          </cell>
        </row>
        <row r="7888">
          <cell r="B7888">
            <v>26051</v>
          </cell>
          <cell r="C7888" t="str">
            <v>BB BANCO DE INVESTIMENTO S/A</v>
          </cell>
          <cell r="D7888" t="str">
            <v>BB BANCO DE INVESTIMENTO S/A</v>
          </cell>
          <cell r="E7888" t="str">
            <v>BB BANCO DE INVESTIMENTO S/A</v>
          </cell>
        </row>
        <row r="7889">
          <cell r="B7889">
            <v>26053</v>
          </cell>
          <cell r="C7889" t="str">
            <v>BB GESTAO DE RECURSOS DTVM LTDA</v>
          </cell>
          <cell r="D7889" t="str">
            <v>BB GESTAO DE RECURSOS DTVM LTDA</v>
          </cell>
          <cell r="E7889" t="str">
            <v>BB GESTAO DE RECURSOS DTVM LTDA</v>
          </cell>
        </row>
        <row r="7890">
          <cell r="B7890">
            <v>26062</v>
          </cell>
          <cell r="C7890" t="str">
            <v>BB BANCO DE INVESTIMENTO S/A</v>
          </cell>
          <cell r="D7890" t="str">
            <v>BB BANCO DE INVESTIMENTO S/A</v>
          </cell>
          <cell r="E7890" t="str">
            <v>BB BANCO DE INVESTIMENTO S/A</v>
          </cell>
        </row>
        <row r="7891">
          <cell r="B7891">
            <v>26064</v>
          </cell>
          <cell r="C7891" t="str">
            <v>BB GESTAO DE RECURSOS DTVM LTDA</v>
          </cell>
          <cell r="D7891" t="str">
            <v>BB GESTAO DE RECURSOS DTVM LTDA</v>
          </cell>
          <cell r="E7891" t="str">
            <v>BANCO DO BRASIL S/A</v>
          </cell>
        </row>
        <row r="7892">
          <cell r="B7892">
            <v>26066</v>
          </cell>
          <cell r="C7892" t="str">
            <v>BB GESTAO DE RECURSOS DTVM LTDA</v>
          </cell>
          <cell r="D7892" t="str">
            <v>BB GESTAO DE RECURSOS DTVM LTDA</v>
          </cell>
          <cell r="E7892" t="str">
            <v>BANCO DO BRASIL S/A</v>
          </cell>
        </row>
        <row r="7893">
          <cell r="B7893">
            <v>26077</v>
          </cell>
          <cell r="C7893" t="str">
            <v>BB BANCO DE INVESTIMENTO S/A</v>
          </cell>
          <cell r="D7893" t="str">
            <v>BB BANCO DE INVESTIMENTO S/A</v>
          </cell>
          <cell r="E7893" t="str">
            <v>BB BANCO DE INVESTIMENTO S/A</v>
          </cell>
        </row>
        <row r="7894">
          <cell r="B7894">
            <v>26099</v>
          </cell>
          <cell r="C7894" t="str">
            <v>BB BANCO DE INVESTIMENTO S/A</v>
          </cell>
          <cell r="D7894" t="str">
            <v>BB BANCO DE INVESTIMENTO S/A</v>
          </cell>
          <cell r="E7894" t="str">
            <v>BB BANCO DE INVESTIMENTO S/A</v>
          </cell>
        </row>
        <row r="7895">
          <cell r="B7895">
            <v>365</v>
          </cell>
          <cell r="C7895" t="str">
            <v>BANCO SANTANDER (BRASIL) S/A</v>
          </cell>
          <cell r="D7895" t="str">
            <v>BANCO SANTANDER (BRASIL) S/A</v>
          </cell>
          <cell r="E7895" t="str">
            <v>BANCO SANTANDER (BRASIL) S/A</v>
          </cell>
        </row>
        <row r="7896">
          <cell r="B7896">
            <v>26108</v>
          </cell>
          <cell r="C7896" t="str">
            <v>BB GESTAO DE RECURSOS DTVM LTDA</v>
          </cell>
          <cell r="D7896" t="str">
            <v>BB GESTAO DE RECURSOS DTVM LTDA</v>
          </cell>
          <cell r="E7896" t="str">
            <v>BANCO DO BRASIL S/A</v>
          </cell>
        </row>
        <row r="7897">
          <cell r="B7897">
            <v>26121</v>
          </cell>
          <cell r="C7897" t="str">
            <v>BB GESTAO DE RECURSOS DTVM LTDA</v>
          </cell>
          <cell r="D7897" t="str">
            <v>BB GESTAO DE RECURSOS DTVM LTDA</v>
          </cell>
          <cell r="E7897" t="str">
            <v>BANCO DO BRASIL S/A</v>
          </cell>
        </row>
        <row r="7898">
          <cell r="B7898">
            <v>26142</v>
          </cell>
          <cell r="C7898" t="str">
            <v>BB BANCO DE INVESTIMENTO S/A</v>
          </cell>
          <cell r="D7898" t="str">
            <v>BB BANCO DE INVESTIMENTO S/A</v>
          </cell>
          <cell r="E7898" t="str">
            <v>BB BANCO DE INVESTIMENTO S/A</v>
          </cell>
        </row>
        <row r="7899">
          <cell r="B7899">
            <v>26149</v>
          </cell>
          <cell r="C7899" t="str">
            <v>BB GESTAO DE RECURSOS DTVM LTDA</v>
          </cell>
          <cell r="D7899" t="str">
            <v>BB GESTAO DE RECURSOS DTVM LTDA</v>
          </cell>
          <cell r="E7899" t="str">
            <v>BANCO DO BRASIL S/A</v>
          </cell>
        </row>
        <row r="7900">
          <cell r="B7900">
            <v>26188</v>
          </cell>
          <cell r="C7900" t="str">
            <v>BB GESTAO DE RECURSOS DTVM LTDA</v>
          </cell>
          <cell r="D7900" t="str">
            <v>BB GESTAO DE RECURSOS DTVM LTDA</v>
          </cell>
          <cell r="E7900" t="str">
            <v>BANCO DO BRASIL S/A</v>
          </cell>
        </row>
        <row r="7901">
          <cell r="B7901">
            <v>26198</v>
          </cell>
          <cell r="C7901" t="str">
            <v>BB BANCO DE INVESTIMENTO S/A</v>
          </cell>
          <cell r="D7901" t="str">
            <v>BB BANCO DE INVESTIMENTO S/A</v>
          </cell>
          <cell r="E7901" t="str">
            <v>BB BANCO DE INVESTIMENTO S/A</v>
          </cell>
        </row>
        <row r="7902">
          <cell r="B7902">
            <v>366</v>
          </cell>
          <cell r="C7902" t="str">
            <v>BANCO SANTANDER (BRASIL) S/A</v>
          </cell>
          <cell r="D7902" t="str">
            <v>BANCO SANTANDER (BRASIL) S/A</v>
          </cell>
          <cell r="E7902" t="str">
            <v>BANCO SANTANDER (BRASIL) S/A</v>
          </cell>
        </row>
        <row r="7903">
          <cell r="B7903">
            <v>26200</v>
          </cell>
          <cell r="C7903" t="str">
            <v>BB GESTAO DE RECURSOS DTVM LTDA</v>
          </cell>
          <cell r="D7903" t="str">
            <v>BB GESTAO DE RECURSOS DTVM LTDA</v>
          </cell>
          <cell r="E7903" t="str">
            <v>BANCO DO BRASIL S/A</v>
          </cell>
        </row>
        <row r="7904">
          <cell r="B7904">
            <v>26205</v>
          </cell>
          <cell r="C7904" t="str">
            <v>BB BANCO DE INVESTIMENTO S/A</v>
          </cell>
          <cell r="D7904" t="str">
            <v>BB BANCO DE INVESTIMENTO S/A</v>
          </cell>
          <cell r="E7904" t="str">
            <v>BB BANCO DE INVESTIMENTO S/A</v>
          </cell>
        </row>
        <row r="7905">
          <cell r="B7905">
            <v>26216</v>
          </cell>
          <cell r="C7905" t="str">
            <v>BB GESTAO DE RECURSOS DTVM LTDA</v>
          </cell>
          <cell r="D7905" t="str">
            <v>BB GESTAO DE RECURSOS DTVM LTDA</v>
          </cell>
          <cell r="E7905" t="str">
            <v>BANCO DO BRASIL S/A</v>
          </cell>
        </row>
        <row r="7906">
          <cell r="B7906">
            <v>26237</v>
          </cell>
          <cell r="C7906" t="str">
            <v>BB BANCO DE INVESTIMENTO S/A</v>
          </cell>
          <cell r="D7906" t="str">
            <v>BB BANCO DE INVESTIMENTO S/A</v>
          </cell>
          <cell r="E7906" t="str">
            <v>BB BANCO DE INVESTIMENTO S/A</v>
          </cell>
        </row>
        <row r="7907">
          <cell r="B7907">
            <v>26248</v>
          </cell>
          <cell r="C7907" t="str">
            <v>BB GESTAO DE RECURSOS DTVM LTDA</v>
          </cell>
          <cell r="D7907" t="str">
            <v>BB GESTAO DE RECURSOS DTVM LTDA</v>
          </cell>
          <cell r="E7907" t="str">
            <v>BANCO DO BRASIL S/A</v>
          </cell>
        </row>
        <row r="7908">
          <cell r="B7908">
            <v>26249</v>
          </cell>
          <cell r="C7908" t="str">
            <v>BB GESTAO DE RECURSOS DTVM LTDA</v>
          </cell>
          <cell r="D7908" t="str">
            <v>BB GESTAO DE RECURSOS DTVM LTDA</v>
          </cell>
          <cell r="E7908" t="str">
            <v>BANCO DO BRASIL S/A</v>
          </cell>
        </row>
        <row r="7909">
          <cell r="B7909">
            <v>26251</v>
          </cell>
          <cell r="C7909" t="str">
            <v>BB BANCO DE INVESTIMENTO S/A</v>
          </cell>
          <cell r="D7909" t="str">
            <v>BB BANCO DE INVESTIMENTO S/A</v>
          </cell>
          <cell r="E7909" t="str">
            <v>BB BANCO DE INVESTIMENTO S/A</v>
          </cell>
        </row>
        <row r="7910">
          <cell r="B7910">
            <v>26253</v>
          </cell>
          <cell r="C7910" t="str">
            <v>BB GESTAO DE RECURSOS DTVM LTDA</v>
          </cell>
          <cell r="D7910" t="str">
            <v>BB GESTAO DE RECURSOS DTVM LTDA</v>
          </cell>
          <cell r="E7910" t="str">
            <v>BANCO DO BRASIL S/A</v>
          </cell>
        </row>
        <row r="7911">
          <cell r="B7911">
            <v>367</v>
          </cell>
          <cell r="C7911" t="str">
            <v>BANCO SANTANDER (BRASIL) S/A</v>
          </cell>
          <cell r="D7911" t="str">
            <v>BANCO SANTANDER (BRASIL) S/A</v>
          </cell>
          <cell r="E7911" t="str">
            <v>BANCO SANTANDER (BRASIL) S/A</v>
          </cell>
        </row>
        <row r="7912">
          <cell r="B7912">
            <v>26306</v>
          </cell>
          <cell r="C7912" t="str">
            <v>BB GESTAO DE RECURSOS DTVM LTDA</v>
          </cell>
          <cell r="D7912" t="str">
            <v>BB GESTAO DE RECURSOS DTVM LTDA</v>
          </cell>
          <cell r="E7912" t="str">
            <v>BANCO DO BRASIL S/A</v>
          </cell>
        </row>
        <row r="7913">
          <cell r="B7913">
            <v>26313</v>
          </cell>
          <cell r="C7913" t="str">
            <v>BB BANCO DE INVESTIMENTO S/A</v>
          </cell>
          <cell r="D7913" t="str">
            <v>BB BANCO DE INVESTIMENTO S/A</v>
          </cell>
          <cell r="E7913" t="str">
            <v>BB BANCO DE INVESTIMENTO S/A</v>
          </cell>
        </row>
        <row r="7914">
          <cell r="B7914">
            <v>26322</v>
          </cell>
          <cell r="C7914" t="str">
            <v>BB GESTAO DE RECURSOS DTVM LTDA</v>
          </cell>
          <cell r="D7914" t="str">
            <v>BB GESTAO DE RECURSOS DTVM LTDA</v>
          </cell>
          <cell r="E7914" t="str">
            <v>BB GESTAO DE RECURSOS DTVM LTDA</v>
          </cell>
        </row>
        <row r="7915">
          <cell r="B7915">
            <v>26337</v>
          </cell>
          <cell r="C7915" t="str">
            <v>BB BANCO DE INVESTIMENTO S/A</v>
          </cell>
          <cell r="D7915" t="str">
            <v>BB BANCO DE INVESTIMENTO S/A</v>
          </cell>
          <cell r="E7915" t="str">
            <v>BB BANCO DE INVESTIMENTO S/A</v>
          </cell>
        </row>
        <row r="7916">
          <cell r="B7916">
            <v>26339</v>
          </cell>
          <cell r="C7916" t="str">
            <v>BB GESTAO DE RECURSOS DTVM LTDA</v>
          </cell>
          <cell r="D7916" t="str">
            <v>BB GESTAO DE RECURSOS DTVM LTDA</v>
          </cell>
          <cell r="E7916" t="str">
            <v>BANCO DO BRASIL S/A</v>
          </cell>
        </row>
        <row r="7917">
          <cell r="B7917">
            <v>26340</v>
          </cell>
          <cell r="C7917" t="str">
            <v>BB GESTAO DE RECURSOS DTVM LTDA</v>
          </cell>
          <cell r="D7917" t="str">
            <v>BB GESTAO DE RECURSOS DTVM LTDA</v>
          </cell>
          <cell r="E7917" t="str">
            <v>BANCO DO BRASIL S/A</v>
          </cell>
        </row>
        <row r="7918">
          <cell r="B7918">
            <v>26386</v>
          </cell>
          <cell r="C7918" t="str">
            <v>BB GESTAO DE RECURSOS DTVM LTDA</v>
          </cell>
          <cell r="D7918" t="str">
            <v>BB GESTAO DE RECURSOS DTVM LTDA</v>
          </cell>
          <cell r="E7918" t="str">
            <v>BANCO DO BRASIL S/A</v>
          </cell>
        </row>
        <row r="7919">
          <cell r="B7919">
            <v>368</v>
          </cell>
          <cell r="C7919" t="str">
            <v>BANCO SANTANDER (BRASIL) S/A</v>
          </cell>
          <cell r="D7919" t="str">
            <v>BANCO SANTANDER (BRASIL) S/A</v>
          </cell>
          <cell r="E7919" t="str">
            <v>BANCO SANTANDER (BRASIL) S/A</v>
          </cell>
        </row>
        <row r="7920">
          <cell r="B7920">
            <v>26420</v>
          </cell>
          <cell r="C7920" t="str">
            <v>BB BANCO DE INVESTIMENTO S/A</v>
          </cell>
          <cell r="D7920" t="str">
            <v>BB BANCO DE INVESTIMENTO S/A</v>
          </cell>
          <cell r="E7920" t="str">
            <v>BB BANCO DE INVESTIMENTO S/A</v>
          </cell>
        </row>
        <row r="7921">
          <cell r="B7921">
            <v>26433</v>
          </cell>
          <cell r="C7921" t="str">
            <v>BB GESTAO DE RECURSOS DTVM LTDA</v>
          </cell>
          <cell r="D7921" t="str">
            <v>BB GESTAO DE RECURSOS DTVM LTDA</v>
          </cell>
          <cell r="E7921" t="str">
            <v>BANCO DO BRASIL S/A</v>
          </cell>
        </row>
        <row r="7922">
          <cell r="B7922">
            <v>26437</v>
          </cell>
          <cell r="C7922" t="str">
            <v>BB BANCO DE INVESTIMENTO S/A</v>
          </cell>
          <cell r="D7922" t="str">
            <v>BB BANCO DE INVESTIMENTO S/A</v>
          </cell>
          <cell r="E7922" t="str">
            <v>BB BANCO DE INVESTIMENTO S/A</v>
          </cell>
        </row>
        <row r="7923">
          <cell r="B7923">
            <v>26440</v>
          </cell>
          <cell r="C7923" t="str">
            <v>BB GESTAO DE RECURSOS DTVM LTDA</v>
          </cell>
          <cell r="D7923" t="str">
            <v>BB GESTAO DE RECURSOS DTVM LTDA</v>
          </cell>
          <cell r="E7923" t="str">
            <v>BANCO DO BRASIL S/A</v>
          </cell>
        </row>
        <row r="7924">
          <cell r="B7924">
            <v>26443</v>
          </cell>
          <cell r="C7924" t="str">
            <v>BB BANCO DE INVESTIMENTO S/A</v>
          </cell>
          <cell r="D7924" t="str">
            <v>BB BANCO DE INVESTIMENTO S/A</v>
          </cell>
          <cell r="E7924" t="str">
            <v>BB BANCO DE INVESTIMENTO S/A</v>
          </cell>
        </row>
        <row r="7925">
          <cell r="B7925">
            <v>26450</v>
          </cell>
          <cell r="C7925" t="str">
            <v>BB GESTAO DE RECURSOS DTVM LTDA</v>
          </cell>
          <cell r="D7925" t="str">
            <v>BB GESTAO DE RECURSOS DTVM LTDA</v>
          </cell>
          <cell r="E7925" t="str">
            <v>BB GESTAO DE RECURSOS DTVM LTDA</v>
          </cell>
        </row>
        <row r="7926">
          <cell r="B7926">
            <v>26457</v>
          </cell>
          <cell r="C7926" t="str">
            <v>BB GESTAO DE RECURSOS DTVM LTDA</v>
          </cell>
          <cell r="D7926" t="str">
            <v>BB GESTAO DE RECURSOS DTVM LTDA</v>
          </cell>
          <cell r="E7926" t="str">
            <v>BANCO DO BRASIL S/A</v>
          </cell>
        </row>
        <row r="7927">
          <cell r="B7927">
            <v>26458</v>
          </cell>
          <cell r="C7927" t="str">
            <v>BB BANCO DE INVESTIMENTO S/A</v>
          </cell>
          <cell r="D7927" t="str">
            <v>BB BANCO DE INVESTIMENTO S/A</v>
          </cell>
          <cell r="E7927" t="str">
            <v>BB BANCO DE INVESTIMENTO S/A</v>
          </cell>
        </row>
        <row r="7928">
          <cell r="B7928">
            <v>26469</v>
          </cell>
          <cell r="C7928" t="str">
            <v>BB GESTAO DE RECURSOS DTVM LTDA</v>
          </cell>
          <cell r="D7928" t="str">
            <v>BB GESTAO DE RECURSOS DTVM LTDA</v>
          </cell>
          <cell r="E7928" t="str">
            <v>BANCO DO BRASIL S/A</v>
          </cell>
        </row>
        <row r="7929">
          <cell r="B7929">
            <v>26492</v>
          </cell>
          <cell r="C7929" t="str">
            <v>BB GESTAO DE RECURSOS DTVM LTDA</v>
          </cell>
          <cell r="D7929" t="str">
            <v>BB GESTAO DE RECURSOS DTVM LTDA</v>
          </cell>
          <cell r="E7929" t="str">
            <v>BANCO DO BRASIL S/A</v>
          </cell>
        </row>
        <row r="7930">
          <cell r="B7930">
            <v>26493</v>
          </cell>
          <cell r="C7930" t="str">
            <v>BB BANCO DE INVESTIMENTO S/A</v>
          </cell>
          <cell r="D7930" t="str">
            <v>BB BANCO DE INVESTIMENTO S/A</v>
          </cell>
          <cell r="E7930" t="str">
            <v>BB BANCO DE INVESTIMENTO S/A</v>
          </cell>
        </row>
        <row r="7931">
          <cell r="B7931">
            <v>369</v>
          </cell>
          <cell r="C7931" t="str">
            <v>BANCO SANTANDER (BRASIL) S/A</v>
          </cell>
          <cell r="D7931" t="str">
            <v>BANCO SANTANDER (BRASIL) S/A</v>
          </cell>
          <cell r="E7931" t="str">
            <v>BANCO SANTANDER (BRASIL) S/A</v>
          </cell>
        </row>
        <row r="7932">
          <cell r="B7932">
            <v>26506</v>
          </cell>
          <cell r="C7932" t="str">
            <v>BB GESTAO DE RECURSOS DTVM LTDA</v>
          </cell>
          <cell r="D7932" t="str">
            <v>BB GESTAO DE RECURSOS DTVM LTDA</v>
          </cell>
          <cell r="E7932" t="str">
            <v>BB GESTAO DE RECURSOS DTVM LTDA</v>
          </cell>
        </row>
        <row r="7933">
          <cell r="B7933">
            <v>26511</v>
          </cell>
          <cell r="C7933" t="str">
            <v>BB GESTAO DE RECURSOS DTVM LTDA</v>
          </cell>
          <cell r="D7933" t="str">
            <v>BB GESTAO DE RECURSOS DTVM LTDA</v>
          </cell>
          <cell r="E7933" t="str">
            <v>BB GESTAO DE RECURSOS DTVM LTDA</v>
          </cell>
        </row>
        <row r="7934">
          <cell r="B7934">
            <v>26516</v>
          </cell>
          <cell r="C7934" t="str">
            <v>BB BANCO DE INVESTIMENTO S/A</v>
          </cell>
          <cell r="D7934" t="str">
            <v>BB BANCO DE INVESTIMENTO S/A</v>
          </cell>
          <cell r="E7934" t="str">
            <v>BB BANCO DE INVESTIMENTO S/A</v>
          </cell>
        </row>
        <row r="7935">
          <cell r="B7935">
            <v>26518</v>
          </cell>
          <cell r="C7935" t="str">
            <v>BB BANCO DE INVESTIMENTO S/A</v>
          </cell>
          <cell r="D7935" t="str">
            <v>BB BANCO DE INVESTIMENTO S/A</v>
          </cell>
          <cell r="E7935" t="str">
            <v>BB BANCO DE INVESTIMENTO S/A</v>
          </cell>
        </row>
        <row r="7936">
          <cell r="B7936">
            <v>26522</v>
          </cell>
          <cell r="C7936" t="str">
            <v>BB GESTAO DE RECURSOS DTVM LTDA</v>
          </cell>
          <cell r="D7936" t="str">
            <v>BB GESTAO DE RECURSOS DTVM LTDA</v>
          </cell>
          <cell r="E7936" t="str">
            <v>BB GESTAO DE RECURSOS DTVM LTDA</v>
          </cell>
        </row>
        <row r="7937">
          <cell r="B7937">
            <v>26525</v>
          </cell>
          <cell r="C7937" t="str">
            <v>BRAL LLC</v>
          </cell>
          <cell r="D7937" t="str">
            <v>BRAL LLC</v>
          </cell>
          <cell r="E7937" t="str">
            <v>BRAL LLC</v>
          </cell>
        </row>
        <row r="7938">
          <cell r="B7938">
            <v>26527</v>
          </cell>
          <cell r="C7938" t="str">
            <v>BB GESTAO DE RECURSOS DTVM LTDA</v>
          </cell>
          <cell r="D7938" t="str">
            <v>BB GESTAO DE RECURSOS DTVM LTDA</v>
          </cell>
          <cell r="E7938" t="str">
            <v>BANCO DO BRASIL S/A</v>
          </cell>
        </row>
        <row r="7939">
          <cell r="B7939">
            <v>26530</v>
          </cell>
          <cell r="C7939" t="str">
            <v>BB BANCO DE INVESTIMENTO S/A</v>
          </cell>
          <cell r="D7939" t="str">
            <v>BB BANCO DE INVESTIMENTO S/A</v>
          </cell>
          <cell r="E7939" t="str">
            <v>BB BANCO DE INVESTIMENTO S/A</v>
          </cell>
        </row>
        <row r="7940">
          <cell r="B7940">
            <v>26538</v>
          </cell>
          <cell r="C7940" t="str">
            <v>BB BANCO DE INVESTIMENTO S/A</v>
          </cell>
          <cell r="D7940" t="str">
            <v>BB BANCO DE INVESTIMENTO S/A</v>
          </cell>
          <cell r="E7940" t="str">
            <v>BB BANCO DE INVESTIMENTO S/A</v>
          </cell>
        </row>
        <row r="7941">
          <cell r="B7941">
            <v>26548</v>
          </cell>
          <cell r="C7941" t="str">
            <v>BB BANCO DE INVESTIMENTO S/A</v>
          </cell>
          <cell r="D7941" t="str">
            <v>BB BANCO DE INVESTIMENTO S/A</v>
          </cell>
          <cell r="E7941" t="str">
            <v>BB BANCO DE INVESTIMENTO S/A</v>
          </cell>
        </row>
        <row r="7942">
          <cell r="B7942">
            <v>26644</v>
          </cell>
          <cell r="C7942" t="str">
            <v>BB BANCO DE INVESTIMENTO S/A</v>
          </cell>
          <cell r="D7942" t="str">
            <v>BB BANCO DE INVESTIMENTO S/A</v>
          </cell>
          <cell r="E7942" t="str">
            <v>BB BANCO DE INVESTIMENTO S/A</v>
          </cell>
        </row>
        <row r="7943">
          <cell r="B7943">
            <v>26686</v>
          </cell>
          <cell r="C7943" t="str">
            <v>BB GESTAO DE RECURSOS DTVM LTDA</v>
          </cell>
          <cell r="D7943" t="str">
            <v>BB GESTAO DE RECURSOS DTVM LTDA</v>
          </cell>
          <cell r="E7943" t="str">
            <v>BB GESTAO DE RECURSOS DTVM LTDA</v>
          </cell>
        </row>
        <row r="7944">
          <cell r="B7944">
            <v>370</v>
          </cell>
          <cell r="C7944" t="str">
            <v>BANCO SANTANDER (BRASIL) S/A</v>
          </cell>
          <cell r="D7944" t="str">
            <v>BANCO SANTANDER (BRASIL) S/A</v>
          </cell>
          <cell r="E7944" t="str">
            <v>BANCO SANTANDER (BRASIL) S/A</v>
          </cell>
        </row>
        <row r="7945">
          <cell r="B7945">
            <v>26722</v>
          </cell>
          <cell r="C7945" t="str">
            <v>BB BANCO DE INVESTIMENTO S/A</v>
          </cell>
          <cell r="D7945" t="str">
            <v>BB BANCO DE INVESTIMENTO S/A</v>
          </cell>
          <cell r="E7945" t="str">
            <v>BB BANCO DE INVESTIMENTO S/A</v>
          </cell>
        </row>
        <row r="7946">
          <cell r="B7946">
            <v>26747</v>
          </cell>
          <cell r="C7946" t="str">
            <v>BB BANCO DE INVESTIMENTO S/A</v>
          </cell>
          <cell r="D7946" t="str">
            <v>BB BANCO DE INVESTIMENTO S/A</v>
          </cell>
          <cell r="E7946" t="str">
            <v>BB BANCO DE INVESTIMENTO S/A</v>
          </cell>
        </row>
        <row r="7947">
          <cell r="B7947">
            <v>26759</v>
          </cell>
          <cell r="C7947" t="str">
            <v>BB BANCO DE INVESTIMENTO S/A</v>
          </cell>
          <cell r="D7947" t="str">
            <v>BB BANCO DE INVESTIMENTO S/A</v>
          </cell>
          <cell r="E7947" t="str">
            <v>BB BANCO DE INVESTIMENTO S/A</v>
          </cell>
        </row>
        <row r="7948">
          <cell r="B7948">
            <v>26761</v>
          </cell>
          <cell r="C7948" t="str">
            <v>BB BANCO DE INVESTIMENTO S/A</v>
          </cell>
          <cell r="D7948" t="str">
            <v>BB BANCO DE INVESTIMENTO S/A</v>
          </cell>
          <cell r="E7948" t="str">
            <v>BB BANCO DE INVESTIMENTO S/A</v>
          </cell>
        </row>
        <row r="7949">
          <cell r="B7949">
            <v>26762</v>
          </cell>
          <cell r="C7949" t="str">
            <v>BB GESTAO DE RECURSOS DTVM LTDA</v>
          </cell>
          <cell r="D7949" t="str">
            <v>BB GESTAO DE RECURSOS DTVM LTDA</v>
          </cell>
          <cell r="E7949" t="str">
            <v>BB GESTAO DE RECURSOS DTVM LTDA</v>
          </cell>
        </row>
        <row r="7950">
          <cell r="B7950">
            <v>26768</v>
          </cell>
          <cell r="C7950" t="str">
            <v>BB BANCO DE INVESTIMENTO S/A</v>
          </cell>
          <cell r="D7950" t="str">
            <v>BB BANCO DE INVESTIMENTO S/A</v>
          </cell>
          <cell r="E7950" t="str">
            <v>BB BANCO DE INVESTIMENTO S/A</v>
          </cell>
        </row>
        <row r="7951">
          <cell r="B7951">
            <v>26773</v>
          </cell>
          <cell r="C7951" t="str">
            <v>BB GESTAO DE RECURSOS DTVM LTDA</v>
          </cell>
          <cell r="D7951" t="str">
            <v>BB GESTAO DE RECURSOS DTVM LTDA</v>
          </cell>
          <cell r="E7951" t="str">
            <v>BANCO DO BRASIL S/A</v>
          </cell>
        </row>
        <row r="7952">
          <cell r="B7952">
            <v>26792</v>
          </cell>
          <cell r="C7952" t="str">
            <v>BB GESTAO DE RECURSOS DTVM LTDA</v>
          </cell>
          <cell r="D7952" t="str">
            <v>BB GESTAO DE RECURSOS DTVM LTDA</v>
          </cell>
          <cell r="E7952" t="str">
            <v>BANCO DO BRASIL S/A</v>
          </cell>
        </row>
        <row r="7953">
          <cell r="B7953">
            <v>26798</v>
          </cell>
          <cell r="C7953" t="str">
            <v>BB BANCO DE INVESTIMENTO S/A</v>
          </cell>
          <cell r="D7953" t="str">
            <v>BB BANCO DE INVESTIMENTO S/A</v>
          </cell>
          <cell r="E7953" t="str">
            <v>BB BANCO DE INVESTIMENTO S/A</v>
          </cell>
        </row>
        <row r="7954">
          <cell r="B7954">
            <v>371</v>
          </cell>
          <cell r="C7954" t="str">
            <v>BANCO SANTANDER (BRASIL) S/A</v>
          </cell>
          <cell r="D7954" t="str">
            <v>BANCO SANTANDER (BRASIL) S/A</v>
          </cell>
          <cell r="E7954" t="str">
            <v>BANCO SANTANDER (BRASIL) S/A</v>
          </cell>
        </row>
        <row r="7955">
          <cell r="B7955">
            <v>26803</v>
          </cell>
          <cell r="C7955" t="str">
            <v>BB GESTAO DE RECURSOS DTVM LTDA</v>
          </cell>
          <cell r="D7955" t="str">
            <v>BB GESTAO DE RECURSOS DTVM LTDA</v>
          </cell>
          <cell r="E7955" t="str">
            <v>BB GESTAO DE RECURSOS DTVM LTDA</v>
          </cell>
        </row>
        <row r="7956">
          <cell r="B7956">
            <v>26804</v>
          </cell>
          <cell r="C7956" t="str">
            <v>BB BANCO DE INVESTIMENTO S/A</v>
          </cell>
          <cell r="D7956" t="str">
            <v>BB BANCO DE INVESTIMENTO S/A</v>
          </cell>
          <cell r="E7956" t="str">
            <v>BB BANCO DE INVESTIMENTO S/A</v>
          </cell>
        </row>
        <row r="7957">
          <cell r="B7957">
            <v>26859</v>
          </cell>
          <cell r="C7957" t="str">
            <v>BB GESTAO DE RECURSOS DTVM LTDA</v>
          </cell>
          <cell r="D7957" t="str">
            <v>BB GESTAO DE RECURSOS DTVM LTDA</v>
          </cell>
          <cell r="E7957" t="str">
            <v>BB GESTAO DE RECURSOS DTVM LTDA</v>
          </cell>
        </row>
        <row r="7958">
          <cell r="B7958">
            <v>26869</v>
          </cell>
          <cell r="C7958" t="str">
            <v>BB BANCO DE INVESTIMENTO S/A</v>
          </cell>
          <cell r="D7958" t="str">
            <v>BB BANCO DE INVESTIMENTO S/A</v>
          </cell>
          <cell r="E7958" t="str">
            <v>BB BANCO DE INVESTIMENTO S/A</v>
          </cell>
        </row>
        <row r="7959">
          <cell r="B7959">
            <v>26872</v>
          </cell>
          <cell r="C7959" t="str">
            <v>BB BANCO DE INVESTIMENTO S/A</v>
          </cell>
          <cell r="D7959" t="str">
            <v>BB BANCO DE INVESTIMENTO S/A</v>
          </cell>
          <cell r="E7959" t="str">
            <v>BB BANCO DE INVESTIMENTO S/A</v>
          </cell>
        </row>
        <row r="7960">
          <cell r="B7960">
            <v>26884</v>
          </cell>
          <cell r="C7960" t="str">
            <v>BB BANCO DE INVESTIMENTO S/A</v>
          </cell>
          <cell r="D7960" t="str">
            <v>BB BANCO DE INVESTIMENTO S/A</v>
          </cell>
          <cell r="E7960" t="str">
            <v>BB BANCO DE INVESTIMENTO S/A</v>
          </cell>
        </row>
        <row r="7961">
          <cell r="B7961">
            <v>26912</v>
          </cell>
          <cell r="C7961" t="str">
            <v>BB BANCO DE INVESTIMENTO S/A</v>
          </cell>
          <cell r="D7961" t="str">
            <v>BB BANCO DE INVESTIMENTO S/A</v>
          </cell>
          <cell r="E7961" t="str">
            <v>BB BANCO DE INVESTIMENTO S/A</v>
          </cell>
        </row>
        <row r="7962">
          <cell r="B7962">
            <v>26920</v>
          </cell>
          <cell r="C7962" t="str">
            <v>BB BANCO DE INVESTIMENTO S/A</v>
          </cell>
          <cell r="D7962" t="str">
            <v>BB BANCO DE INVESTIMENTO S/A</v>
          </cell>
          <cell r="E7962" t="str">
            <v>BB BANCO DE INVESTIMENTO S/A</v>
          </cell>
        </row>
        <row r="7963">
          <cell r="B7963">
            <v>26927</v>
          </cell>
          <cell r="C7963" t="str">
            <v>BB BANCO DE INVESTIMENTO S/A</v>
          </cell>
          <cell r="D7963" t="str">
            <v>BB BANCO DE INVESTIMENTO S/A</v>
          </cell>
          <cell r="E7963" t="str">
            <v>BB BANCO DE INVESTIMENTO S/A</v>
          </cell>
        </row>
        <row r="7964">
          <cell r="B7964">
            <v>26931</v>
          </cell>
          <cell r="C7964" t="str">
            <v>BB BANCO DE INVESTIMENTO S/A</v>
          </cell>
          <cell r="D7964" t="str">
            <v>BB BANCO DE INVESTIMENTO S/A</v>
          </cell>
          <cell r="E7964" t="str">
            <v>BB BANCO DE INVESTIMENTO S/A</v>
          </cell>
        </row>
        <row r="7965">
          <cell r="B7965">
            <v>26939</v>
          </cell>
          <cell r="C7965" t="str">
            <v>BB BANCO DE INVESTIMENTO S/A</v>
          </cell>
          <cell r="D7965" t="str">
            <v>BB BANCO DE INVESTIMENTO S/A</v>
          </cell>
          <cell r="E7965" t="str">
            <v>BB BANCO DE INVESTIMENTO S/A</v>
          </cell>
        </row>
        <row r="7966">
          <cell r="B7966">
            <v>26947</v>
          </cell>
          <cell r="C7966" t="str">
            <v>BB BANCO DE INVESTIMENTO S/A</v>
          </cell>
          <cell r="D7966" t="str">
            <v>BB BANCO DE INVESTIMENTO S/A</v>
          </cell>
          <cell r="E7966" t="str">
            <v>BB BANCO DE INVESTIMENTO S/A</v>
          </cell>
        </row>
        <row r="7967">
          <cell r="B7967">
            <v>26954</v>
          </cell>
          <cell r="C7967" t="str">
            <v>BB BANCO DE INVESTIMENTO S/A</v>
          </cell>
          <cell r="D7967" t="str">
            <v>BB BANCO DE INVESTIMENTO S/A</v>
          </cell>
          <cell r="E7967" t="str">
            <v>BB BANCO DE INVESTIMENTO S/A</v>
          </cell>
        </row>
        <row r="7968">
          <cell r="B7968">
            <v>26966</v>
          </cell>
          <cell r="C7968" t="str">
            <v>BB BANCO DE INVESTIMENTO S/A</v>
          </cell>
          <cell r="D7968" t="str">
            <v>BB BANCO DE INVESTIMENTO S/A</v>
          </cell>
          <cell r="E7968" t="str">
            <v>BB BANCO DE INVESTIMENTO S/A</v>
          </cell>
        </row>
        <row r="7969">
          <cell r="B7969">
            <v>27</v>
          </cell>
          <cell r="C7969" t="str">
            <v>ALEXANDRE FERNANDES SOUZA</v>
          </cell>
          <cell r="D7969" t="str">
            <v>ALEXANDRE FERNANDES SOUZA</v>
          </cell>
          <cell r="E7969" t="str">
            <v>ALEXANDRE FERNANDES SOUZA</v>
          </cell>
        </row>
        <row r="7970">
          <cell r="B7970">
            <v>270</v>
          </cell>
          <cell r="C7970" t="str">
            <v>BB GESTAO DE RECURSOS DTVM LTDA</v>
          </cell>
          <cell r="D7970" t="str">
            <v>BB GESTAO DE RECURSOS DTVM LTDA</v>
          </cell>
          <cell r="E7970" t="str">
            <v>BB GESTAO DE RECURSOS DTVM LTDA</v>
          </cell>
        </row>
        <row r="7971">
          <cell r="B7971">
            <v>27087</v>
          </cell>
          <cell r="C7971" t="str">
            <v>BB BANCO DE INVESTIMENTO S/A</v>
          </cell>
          <cell r="D7971" t="str">
            <v>BB BANCO DE INVESTIMENTO S/A</v>
          </cell>
          <cell r="E7971" t="str">
            <v>BB BANCO DE INVESTIMENTO S/A</v>
          </cell>
        </row>
        <row r="7972">
          <cell r="B7972">
            <v>271</v>
          </cell>
          <cell r="C7972" t="str">
            <v>BB GESTAO DE RECURSOS DTVM LTDA</v>
          </cell>
          <cell r="D7972" t="str">
            <v>BB GESTAO DE RECURSOS DTVM LTDA</v>
          </cell>
          <cell r="E7972" t="str">
            <v>BB GESTAO DE RECURSOS DTVM LTDA</v>
          </cell>
        </row>
        <row r="7973">
          <cell r="B7973">
            <v>27150</v>
          </cell>
          <cell r="C7973" t="str">
            <v>BB BANCO DE INVESTIMENTO S/A</v>
          </cell>
          <cell r="D7973" t="str">
            <v>BB BANCO DE INVESTIMENTO S/A</v>
          </cell>
          <cell r="E7973" t="str">
            <v>BB BANCO DE INVESTIMENTO S/A</v>
          </cell>
        </row>
        <row r="7974">
          <cell r="B7974">
            <v>272</v>
          </cell>
          <cell r="C7974" t="str">
            <v>BB GESTAO DE RECURSOS DTVM LTDA</v>
          </cell>
          <cell r="D7974" t="str">
            <v>BB GESTAO DE RECURSOS DTVM LTDA</v>
          </cell>
          <cell r="E7974" t="str">
            <v>BB GESTAO DE RECURSOS DTVM LTDA</v>
          </cell>
        </row>
        <row r="7975">
          <cell r="B7975">
            <v>27235</v>
          </cell>
          <cell r="C7975" t="str">
            <v>BB BANCO DE INVESTIMENTO S/A</v>
          </cell>
          <cell r="D7975" t="str">
            <v>BB BANCO DE INVESTIMENTO S/A</v>
          </cell>
          <cell r="E7975" t="str">
            <v>BB BANCO DE INVESTIMENTO S/A</v>
          </cell>
        </row>
        <row r="7976">
          <cell r="B7976">
            <v>27264</v>
          </cell>
          <cell r="C7976" t="str">
            <v>BB BANCO DE INVESTIMENTO S/A</v>
          </cell>
          <cell r="D7976" t="str">
            <v>BB BANCO DE INVESTIMENTO S/A</v>
          </cell>
          <cell r="E7976" t="str">
            <v>BB BANCO DE INVESTIMENTO S/A</v>
          </cell>
        </row>
        <row r="7977">
          <cell r="B7977">
            <v>273</v>
          </cell>
          <cell r="C7977" t="str">
            <v>TOUAREG FIM PREVIDENCIARIO</v>
          </cell>
          <cell r="D7977" t="str">
            <v>TOUAREG FIM PREVIDENCIARIO</v>
          </cell>
          <cell r="E7977" t="str">
            <v>BB GESTAO DE RECURSOS DTVM LTDA</v>
          </cell>
        </row>
        <row r="7978">
          <cell r="B7978">
            <v>274</v>
          </cell>
          <cell r="C7978" t="str">
            <v>FEF BRASIL BD - FIM CP</v>
          </cell>
          <cell r="D7978" t="str">
            <v>FEF BRASIL BD - FIM CP</v>
          </cell>
          <cell r="E7978" t="str">
            <v>BB GESTAO DE RECURSOS DTVM LTDA</v>
          </cell>
        </row>
        <row r="7979">
          <cell r="B7979">
            <v>2749</v>
          </cell>
          <cell r="C7979" t="str">
            <v>LINK CM LTDA</v>
          </cell>
          <cell r="D7979" t="str">
            <v>LINK CM LTDA</v>
          </cell>
        </row>
        <row r="7980">
          <cell r="B7980">
            <v>275</v>
          </cell>
          <cell r="C7980" t="str">
            <v>14 BIS FIM</v>
          </cell>
          <cell r="D7980" t="str">
            <v>14 BIS FIM</v>
          </cell>
          <cell r="E7980" t="str">
            <v>BB GESTAO DE RECURSOS DTVM LTDA</v>
          </cell>
        </row>
        <row r="7981">
          <cell r="B7981">
            <v>27563</v>
          </cell>
          <cell r="C7981" t="str">
            <v>BB BANCO DE INVESTIMENTO S/A</v>
          </cell>
          <cell r="D7981" t="str">
            <v>BB BANCO DE INVESTIMENTO S/A</v>
          </cell>
          <cell r="E7981" t="str">
            <v>BB BANCO DE INVESTIMENTO S/A</v>
          </cell>
        </row>
        <row r="7982">
          <cell r="B7982">
            <v>27573</v>
          </cell>
          <cell r="C7982" t="str">
            <v>RENATO GOMES DE ASSIS</v>
          </cell>
          <cell r="D7982" t="str">
            <v>RENATO GOMES DE ASSIS</v>
          </cell>
          <cell r="E7982" t="str">
            <v>RENATO GOMES DE ASSIS</v>
          </cell>
        </row>
        <row r="7983">
          <cell r="B7983">
            <v>27578</v>
          </cell>
          <cell r="C7983" t="str">
            <v>JANE ZVEITER DE MORAES</v>
          </cell>
          <cell r="D7983" t="str">
            <v>JANE ZVEITER DE MORAES</v>
          </cell>
          <cell r="E7983" t="str">
            <v>JANE ZVEITER DE MORAES</v>
          </cell>
        </row>
        <row r="7984">
          <cell r="B7984">
            <v>276</v>
          </cell>
          <cell r="C7984" t="str">
            <v>FUNDO DE INVESTIMENTO RENDA FIXA EMB II</v>
          </cell>
          <cell r="D7984" t="str">
            <v>FUNDO DE INVESTIMENTO RENDA FIXA EMB II</v>
          </cell>
          <cell r="E7984" t="str">
            <v>BB GESTAO DE RECURSOS DTVM LTDA</v>
          </cell>
        </row>
        <row r="7985">
          <cell r="B7985">
            <v>27630</v>
          </cell>
          <cell r="C7985" t="str">
            <v>ROSS ICE SHELF LLC</v>
          </cell>
          <cell r="D7985" t="str">
            <v>ROSS ICE SHELF LLC</v>
          </cell>
          <cell r="E7985" t="str">
            <v>ROSS ICE SHELF LLC</v>
          </cell>
        </row>
        <row r="7986">
          <cell r="B7986">
            <v>27631</v>
          </cell>
          <cell r="C7986" t="str">
            <v>VINSON FUND LLC</v>
          </cell>
          <cell r="D7986" t="str">
            <v>VINSON FUND LLC</v>
          </cell>
          <cell r="E7986" t="str">
            <v>VINSON FUND LLC</v>
          </cell>
        </row>
        <row r="7987">
          <cell r="B7987">
            <v>27632</v>
          </cell>
          <cell r="C7987" t="str">
            <v>MERIDIANO F I EM DIREITOS CREDITORIOS MULTISEGMENTOS NÃƒO PAD</v>
          </cell>
          <cell r="D7987" t="str">
            <v>MERIDIANO F I EM DIREITOS CREDITORIOS MULTISEGMENTOS NÃƒO PAD</v>
          </cell>
          <cell r="E7987" t="str">
            <v>MERIDIANO F I EM DIREITOS CREDITORIOS MULTISEGMENTOS NÃƒO PAD</v>
          </cell>
        </row>
        <row r="7988">
          <cell r="B7988">
            <v>27633</v>
          </cell>
          <cell r="C7988" t="str">
            <v>PAS FIM CREDITO PRIVADO</v>
          </cell>
          <cell r="D7988" t="str">
            <v>PAS FIM CREDITO PRIVADO</v>
          </cell>
          <cell r="E7988" t="str">
            <v>PAS FIM CREDITO PRIVADO</v>
          </cell>
        </row>
        <row r="7989">
          <cell r="B7989">
            <v>27634</v>
          </cell>
          <cell r="C7989" t="str">
            <v>NUNAVUT PRECATORIO FI EM DIREITOS CREDITORIOS</v>
          </cell>
          <cell r="D7989" t="str">
            <v>NUNAVUT PRECATORIO FI EM DIREITOS CREDITORIOS</v>
          </cell>
          <cell r="E7989" t="str">
            <v>OLIVEIRA TRUST DTVM LTDA</v>
          </cell>
        </row>
        <row r="7990">
          <cell r="B7990">
            <v>14290</v>
          </cell>
          <cell r="C7990" t="str">
            <v>GOLDMAN SACHS DO BRASIL BANCO MULTIPLO S/A</v>
          </cell>
          <cell r="D7990" t="str">
            <v>GOLDMAN SACHS DO BRASIL BANCO MULTIPLO S/A</v>
          </cell>
          <cell r="E7990" t="str">
            <v>GOLDMAN SACHS DO BRASIL BANCO MULTIPLO S/A</v>
          </cell>
        </row>
        <row r="7991">
          <cell r="B7991">
            <v>27645</v>
          </cell>
          <cell r="C7991" t="str">
            <v>GOLDMAN SACHS DO BRASIL BANCO MULTIPLO S/A</v>
          </cell>
          <cell r="D7991" t="str">
            <v>GOLDMAN SACHS DO BRASIL BANCO MULTIPLO S/A</v>
          </cell>
          <cell r="E7991" t="str">
            <v>GOLDMAN SACHS DO BRASIL BANCO MULTIPLO S/A</v>
          </cell>
        </row>
        <row r="7992">
          <cell r="B7992">
            <v>79256</v>
          </cell>
          <cell r="C7992" t="str">
            <v>GOLDMAN SACHS INTERNATIONAL - CITI</v>
          </cell>
          <cell r="D7992" t="str">
            <v>GOLDMAN SACHS INTERNATIONAL - CITI</v>
          </cell>
          <cell r="E7992" t="str">
            <v>GOLDMAN SACHS DO BRASIL BANCO MULTIPLO S/A</v>
          </cell>
        </row>
        <row r="7993">
          <cell r="B7993">
            <v>27784</v>
          </cell>
          <cell r="C7993" t="str">
            <v>BB BANCO DE INVESTIMENTO S/A</v>
          </cell>
          <cell r="D7993" t="str">
            <v>BB BANCO DE INVESTIMENTO S/A</v>
          </cell>
          <cell r="E7993" t="str">
            <v>BB BANCO DE INVESTIMENTO S/A</v>
          </cell>
        </row>
        <row r="7994">
          <cell r="B7994">
            <v>27805</v>
          </cell>
          <cell r="C7994" t="str">
            <v>BB BANCO DE INVESTIMENTO S/A</v>
          </cell>
          <cell r="D7994" t="str">
            <v>BB BANCO DE INVESTIMENTO S/A</v>
          </cell>
          <cell r="E7994" t="str">
            <v>BB BANCO DE INVESTIMENTO S/A</v>
          </cell>
        </row>
        <row r="7995">
          <cell r="B7995">
            <v>27842</v>
          </cell>
          <cell r="C7995" t="str">
            <v>BB BANCO DE INVESTIMENTO S/A</v>
          </cell>
          <cell r="D7995" t="str">
            <v>BB BANCO DE INVESTIMENTO S/A</v>
          </cell>
          <cell r="E7995" t="str">
            <v>BB BANCO DE INVESTIMENTO S/A</v>
          </cell>
        </row>
        <row r="7996">
          <cell r="B7996">
            <v>27896</v>
          </cell>
          <cell r="C7996" t="str">
            <v>MORRIS SAFDIE</v>
          </cell>
          <cell r="D7996" t="str">
            <v>MORRIS SAFDIE</v>
          </cell>
          <cell r="E7996" t="str">
            <v>MORRIS SAFDIE</v>
          </cell>
        </row>
        <row r="7997">
          <cell r="B7997">
            <v>28</v>
          </cell>
          <cell r="C7997" t="str">
            <v>ICAP DO BRASIL CTVM LTDA ( ATUAL TULLET)</v>
          </cell>
          <cell r="D7997" t="str">
            <v>ICAP DO BRASIL CTVM LTDA ( ATUAL TULLET)</v>
          </cell>
          <cell r="E7997" t="str">
            <v>ICAP DO BRASIL CTVM LTDA ( ATUAL TULLET)</v>
          </cell>
        </row>
        <row r="7998">
          <cell r="B7998">
            <v>28102</v>
          </cell>
          <cell r="C7998" t="str">
            <v>STANDARD CHARTERED BANK (BRASIL) S.A BCO DE INVESTIMENTO</v>
          </cell>
          <cell r="D7998" t="str">
            <v>STANDARD CHARTERED BANK (BRASIL) S.A BCO DE INVESTIMENTO</v>
          </cell>
          <cell r="E7998" t="str">
            <v>STANDARD CHARTERED BANK (BRASIL) S.A BCO DE INVESTIMENTO</v>
          </cell>
        </row>
        <row r="7999">
          <cell r="B7999">
            <v>28283</v>
          </cell>
          <cell r="C7999" t="str">
            <v>VALENCIA FUNDO DE INVESTIMENTO FINANCEIRO</v>
          </cell>
          <cell r="D7999" t="str">
            <v>VALENCIA FUNDO DE INVESTIMENTO FINANCEIRO</v>
          </cell>
          <cell r="E7999" t="str">
            <v>VALENCIA FUNDO DE INVESTIMENTO FINANCEIRO</v>
          </cell>
        </row>
        <row r="8000">
          <cell r="B8000">
            <v>28284</v>
          </cell>
          <cell r="C8000" t="str">
            <v>FIBRA PRO FIT FDO DE INVESTIMENTO FINANCEIRO</v>
          </cell>
          <cell r="D8000" t="str">
            <v>FIBRA PRO FIT FDO DE INVESTIMENTO FINANCEIRO</v>
          </cell>
          <cell r="E8000" t="str">
            <v>FIBRA PRO FIT FDO DE INVESTIMENTO FINANCEIRO</v>
          </cell>
        </row>
        <row r="8001">
          <cell r="B8001">
            <v>28285</v>
          </cell>
          <cell r="C8001" t="str">
            <v>FIBRA DIPLIC FDO DE INVEST.MULTIMERCADO</v>
          </cell>
          <cell r="D8001" t="str">
            <v>FIBRA DIPLIC FDO DE INVEST.MULTIMERCADO</v>
          </cell>
          <cell r="E8001" t="str">
            <v>FIBRA DIPLIC FDO DE INVEST.MULTIMERCADO</v>
          </cell>
        </row>
        <row r="8002">
          <cell r="B8002">
            <v>28520</v>
          </cell>
          <cell r="C8002" t="str">
            <v>BB BANCO DE INVESTIMENTO S/A</v>
          </cell>
          <cell r="D8002" t="str">
            <v>BB BANCO DE INVESTIMENTO S/A</v>
          </cell>
          <cell r="E8002" t="str">
            <v>BB BANCO DE INVESTIMENTO S/A</v>
          </cell>
        </row>
        <row r="8003">
          <cell r="B8003">
            <v>28719</v>
          </cell>
          <cell r="C8003" t="str">
            <v>BB BANCO DE INVESTIMENTO S/A</v>
          </cell>
          <cell r="D8003" t="str">
            <v>BB BANCO DE INVESTIMENTO S/A</v>
          </cell>
          <cell r="E8003" t="str">
            <v>BB BANCO DE INVESTIMENTO S/A</v>
          </cell>
        </row>
        <row r="8004">
          <cell r="B8004">
            <v>29</v>
          </cell>
          <cell r="C8004" t="str">
            <v>ITAU INSTITUCIONAL DERIVATIVOS MULTIMERCADO FI</v>
          </cell>
          <cell r="D8004" t="str">
            <v>ITAU INSTITUCIONAL DERIVATIVOS MULTIMERCADO FI</v>
          </cell>
          <cell r="E8004" t="str">
            <v>ITAU INSTITUCIONAL DERIVATIVOS MULTIMERCADO FI</v>
          </cell>
        </row>
        <row r="8005">
          <cell r="B8005">
            <v>29015</v>
          </cell>
          <cell r="C8005" t="str">
            <v>BB BANCO DE INVESTIMENTO S/A</v>
          </cell>
          <cell r="D8005" t="str">
            <v>BB BANCO DE INVESTIMENTO S/A</v>
          </cell>
          <cell r="E8005" t="str">
            <v>BB BANCO DE INVESTIMENTO S/A</v>
          </cell>
        </row>
        <row r="8006">
          <cell r="B8006">
            <v>29035</v>
          </cell>
          <cell r="C8006" t="str">
            <v>BB BANCO DE INVESTIMENTO S/A</v>
          </cell>
          <cell r="D8006" t="str">
            <v>BB BANCO DE INVESTIMENTO S/A</v>
          </cell>
          <cell r="E8006" t="str">
            <v>BB BANCO DE INVESTIMENTO S/A</v>
          </cell>
        </row>
        <row r="8007">
          <cell r="B8007">
            <v>29080</v>
          </cell>
          <cell r="C8007" t="str">
            <v>BB BANCO DE INVESTIMENTO S/A</v>
          </cell>
          <cell r="D8007" t="str">
            <v>BB BANCO DE INVESTIMENTO S/A</v>
          </cell>
          <cell r="E8007" t="str">
            <v>BB BANCO DE INVESTIMENTO S/A</v>
          </cell>
        </row>
        <row r="8008">
          <cell r="B8008">
            <v>29225</v>
          </cell>
          <cell r="C8008" t="str">
            <v>BB BANCO DE INVESTIMENTO S/A</v>
          </cell>
          <cell r="D8008" t="str">
            <v>BB BANCO DE INVESTIMENTO S/A</v>
          </cell>
          <cell r="E8008" t="str">
            <v>BB BANCO DE INVESTIMENTO S/A</v>
          </cell>
        </row>
        <row r="8009">
          <cell r="B8009">
            <v>29242</v>
          </cell>
          <cell r="C8009" t="str">
            <v>BB BANCO DE INVESTIMENTO S/A</v>
          </cell>
          <cell r="D8009" t="str">
            <v>BB BANCO DE INVESTIMENTO S/A</v>
          </cell>
          <cell r="E8009" t="str">
            <v>BB BANCO DE INVESTIMENTO S/A</v>
          </cell>
        </row>
        <row r="8010">
          <cell r="B8010">
            <v>29271</v>
          </cell>
          <cell r="C8010" t="str">
            <v>BB BANCO DE INVESTIMENTO S/A</v>
          </cell>
          <cell r="D8010" t="str">
            <v>BB BANCO DE INVESTIMENTO S/A</v>
          </cell>
          <cell r="E8010" t="str">
            <v>BB BANCO DE INVESTIMENTO S/A</v>
          </cell>
        </row>
        <row r="8011">
          <cell r="B8011">
            <v>29337</v>
          </cell>
          <cell r="C8011" t="str">
            <v>BB BANCO DE INVESTIMENTO S/A</v>
          </cell>
          <cell r="D8011" t="str">
            <v>BB BANCO DE INVESTIMENTO S/A</v>
          </cell>
          <cell r="E8011" t="str">
            <v>BB BANCO DE INVESTIMENTO S/A</v>
          </cell>
        </row>
        <row r="8012">
          <cell r="B8012">
            <v>29369</v>
          </cell>
          <cell r="C8012" t="str">
            <v>BB BANCO DE INVESTIMENTO S/A</v>
          </cell>
          <cell r="D8012" t="str">
            <v>BB BANCO DE INVESTIMENTO S/A</v>
          </cell>
          <cell r="E8012" t="str">
            <v>BB BANCO DE INVESTIMENTO S/A</v>
          </cell>
        </row>
        <row r="8013">
          <cell r="B8013">
            <v>29396</v>
          </cell>
          <cell r="C8013" t="str">
            <v>BB BANCO DE INVESTIMENTO S/A</v>
          </cell>
          <cell r="D8013" t="str">
            <v>BB BANCO DE INVESTIMENTO S/A</v>
          </cell>
          <cell r="E8013" t="str">
            <v>BB BANCO DE INVESTIMENTO S/A</v>
          </cell>
        </row>
        <row r="8014">
          <cell r="B8014">
            <v>29397</v>
          </cell>
          <cell r="C8014" t="str">
            <v>BB BANCO DE INVESTIMENTO S/A</v>
          </cell>
          <cell r="D8014" t="str">
            <v>BB BANCO DE INVESTIMENTO S/A</v>
          </cell>
          <cell r="E8014" t="str">
            <v>BB BANCO DE INVESTIMENTO S/A</v>
          </cell>
        </row>
        <row r="8015">
          <cell r="B8015">
            <v>29399</v>
          </cell>
          <cell r="C8015" t="str">
            <v>BB GESTAO DE RECURSOS DTVM LTDA</v>
          </cell>
          <cell r="D8015" t="str">
            <v>BB GESTAO DE RECURSOS DTVM LTDA</v>
          </cell>
          <cell r="E8015" t="str">
            <v>BANCO DO BRASIL S/A</v>
          </cell>
        </row>
        <row r="8016">
          <cell r="B8016">
            <v>29412</v>
          </cell>
          <cell r="C8016" t="str">
            <v>BB BANCO DE INVESTIMENTO S/A</v>
          </cell>
          <cell r="D8016" t="str">
            <v>BB BANCO DE INVESTIMENTO S/A</v>
          </cell>
          <cell r="E8016" t="str">
            <v>BB BANCO DE INVESTIMENTO S/A</v>
          </cell>
        </row>
        <row r="8017">
          <cell r="B8017">
            <v>29416</v>
          </cell>
          <cell r="C8017" t="str">
            <v>BB BANCO DE INVESTIMENTO S/A</v>
          </cell>
          <cell r="D8017" t="str">
            <v>BB BANCO DE INVESTIMENTO S/A</v>
          </cell>
          <cell r="E8017" t="str">
            <v>BB BANCO DE INVESTIMENTO S/A</v>
          </cell>
        </row>
        <row r="8018">
          <cell r="B8018">
            <v>29417</v>
          </cell>
          <cell r="C8018" t="str">
            <v>BB BANCO DE INVESTIMENTO S/A</v>
          </cell>
          <cell r="D8018" t="str">
            <v>BB BANCO DE INVESTIMENTO S/A</v>
          </cell>
          <cell r="E8018" t="str">
            <v>BB BANCO DE INVESTIMENTO S/A</v>
          </cell>
        </row>
        <row r="8019">
          <cell r="B8019">
            <v>29418</v>
          </cell>
          <cell r="C8019" t="str">
            <v>BB BANCO DE INVESTIMENTO S/A</v>
          </cell>
          <cell r="D8019" t="str">
            <v>BB BANCO DE INVESTIMENTO S/A</v>
          </cell>
          <cell r="E8019" t="str">
            <v>BB BANCO DE INVESTIMENTO S/A</v>
          </cell>
        </row>
        <row r="8020">
          <cell r="B8020">
            <v>29430</v>
          </cell>
          <cell r="C8020" t="str">
            <v>BB BANCO DE INVESTIMENTO S/A</v>
          </cell>
          <cell r="D8020" t="str">
            <v>BB BANCO DE INVESTIMENTO S/A</v>
          </cell>
          <cell r="E8020" t="str">
            <v>BB BANCO DE INVESTIMENTO S/A</v>
          </cell>
        </row>
        <row r="8021">
          <cell r="B8021">
            <v>29433</v>
          </cell>
          <cell r="C8021" t="str">
            <v>BB BANCO DE INVESTIMENTO S/A</v>
          </cell>
          <cell r="D8021" t="str">
            <v>BB BANCO DE INVESTIMENTO S/A</v>
          </cell>
          <cell r="E8021" t="str">
            <v>BB BANCO DE INVESTIMENTO S/A</v>
          </cell>
        </row>
        <row r="8022">
          <cell r="B8022">
            <v>29441</v>
          </cell>
          <cell r="C8022" t="str">
            <v>BB BANCO DE INVESTIMENTO S/A</v>
          </cell>
          <cell r="D8022" t="str">
            <v>BB BANCO DE INVESTIMENTO S/A</v>
          </cell>
          <cell r="E8022" t="str">
            <v>BB BANCO DE INVESTIMENTO S/A</v>
          </cell>
        </row>
        <row r="8023">
          <cell r="B8023">
            <v>29454</v>
          </cell>
          <cell r="C8023" t="str">
            <v>BB BANCO DE INVESTIMENTO S/A</v>
          </cell>
          <cell r="D8023" t="str">
            <v>BB BANCO DE INVESTIMENTO S/A</v>
          </cell>
          <cell r="E8023" t="str">
            <v>BB BANCO DE INVESTIMENTO S/A</v>
          </cell>
        </row>
        <row r="8024">
          <cell r="B8024">
            <v>29458</v>
          </cell>
          <cell r="C8024" t="str">
            <v>BB BANCO DE INVESTIMENTO S/A</v>
          </cell>
          <cell r="D8024" t="str">
            <v>BB BANCO DE INVESTIMENTO S/A</v>
          </cell>
          <cell r="E8024" t="str">
            <v>BB BANCO DE INVESTIMENTO S/A</v>
          </cell>
        </row>
        <row r="8025">
          <cell r="B8025">
            <v>29520</v>
          </cell>
          <cell r="C8025" t="str">
            <v>BB BANCO DE INVESTIMENTO S/A</v>
          </cell>
          <cell r="D8025" t="str">
            <v>BB BANCO DE INVESTIMENTO S/A</v>
          </cell>
          <cell r="E8025" t="str">
            <v>BB BANCO DE INVESTIMENTO S/A</v>
          </cell>
        </row>
        <row r="8026">
          <cell r="B8026">
            <v>29575</v>
          </cell>
          <cell r="C8026" t="str">
            <v>BB BANCO DE INVESTIMENTO S/A</v>
          </cell>
          <cell r="D8026" t="str">
            <v>BB BANCO DE INVESTIMENTO S/A</v>
          </cell>
          <cell r="E8026" t="str">
            <v>BB BANCO DE INVESTIMENTO S/A</v>
          </cell>
        </row>
        <row r="8027">
          <cell r="B8027">
            <v>29601</v>
          </cell>
          <cell r="C8027" t="str">
            <v>BB BANCO DE INVESTIMENTO S/A</v>
          </cell>
          <cell r="D8027" t="str">
            <v>BB BANCO DE INVESTIMENTO S/A</v>
          </cell>
          <cell r="E8027" t="str">
            <v>BB BANCO DE INVESTIMENTO S/A</v>
          </cell>
        </row>
        <row r="8028">
          <cell r="B8028">
            <v>29602</v>
          </cell>
          <cell r="C8028" t="str">
            <v>BB BANCO DE INVESTIMENTO S/A</v>
          </cell>
          <cell r="D8028" t="str">
            <v>BB BANCO DE INVESTIMENTO S/A</v>
          </cell>
          <cell r="E8028" t="str">
            <v>BB BANCO DE INVESTIMENTO S/A</v>
          </cell>
        </row>
        <row r="8029">
          <cell r="B8029">
            <v>29603</v>
          </cell>
          <cell r="C8029" t="str">
            <v>BB BANCO DE INVESTIMENTO S/A</v>
          </cell>
          <cell r="D8029" t="str">
            <v>BB BANCO DE INVESTIMENTO S/A</v>
          </cell>
          <cell r="E8029" t="str">
            <v>BB BANCO DE INVESTIMENTO S/A</v>
          </cell>
        </row>
        <row r="8030">
          <cell r="B8030">
            <v>29604</v>
          </cell>
          <cell r="C8030" t="str">
            <v>BB BANCO DE INVESTIMENTO S/A</v>
          </cell>
          <cell r="D8030" t="str">
            <v>BB BANCO DE INVESTIMENTO S/A</v>
          </cell>
          <cell r="E8030" t="str">
            <v>BB BANCO DE INVESTIMENTO S/A</v>
          </cell>
        </row>
        <row r="8031">
          <cell r="B8031">
            <v>29605</v>
          </cell>
          <cell r="C8031" t="str">
            <v>BB BANCO DE INVESTIMENTO S/A</v>
          </cell>
          <cell r="D8031" t="str">
            <v>BB BANCO DE INVESTIMENTO S/A</v>
          </cell>
          <cell r="E8031" t="str">
            <v>BB BANCO DE INVESTIMENTO S/A</v>
          </cell>
        </row>
        <row r="8032">
          <cell r="B8032">
            <v>29606</v>
          </cell>
          <cell r="C8032" t="str">
            <v>BB BANCO DE INVESTIMENTO S/A</v>
          </cell>
          <cell r="D8032" t="str">
            <v>BB BANCO DE INVESTIMENTO S/A</v>
          </cell>
          <cell r="E8032" t="str">
            <v>BB BANCO DE INVESTIMENTO S/A</v>
          </cell>
        </row>
        <row r="8033">
          <cell r="B8033">
            <v>29627</v>
          </cell>
          <cell r="C8033" t="str">
            <v>BB BANCO DE INVESTIMENTO S/A</v>
          </cell>
          <cell r="D8033" t="str">
            <v>BB BANCO DE INVESTIMENTO S/A</v>
          </cell>
          <cell r="E8033" t="str">
            <v>BB BANCO DE INVESTIMENTO S/A</v>
          </cell>
        </row>
        <row r="8034">
          <cell r="B8034">
            <v>29663</v>
          </cell>
          <cell r="C8034" t="str">
            <v>BB BANCO DE INVESTIMENTO S/A</v>
          </cell>
          <cell r="D8034" t="str">
            <v>BB BANCO DE INVESTIMENTO S/A</v>
          </cell>
          <cell r="E8034" t="str">
            <v>BB BANCO DE INVESTIMENTO S/A</v>
          </cell>
        </row>
        <row r="8035">
          <cell r="B8035">
            <v>29680</v>
          </cell>
          <cell r="C8035" t="str">
            <v>BB BANCO DE INVESTIMENTO S/A</v>
          </cell>
          <cell r="D8035" t="str">
            <v>BB BANCO DE INVESTIMENTO S/A</v>
          </cell>
          <cell r="E8035" t="str">
            <v>BB BANCO DE INVESTIMENTO S/A</v>
          </cell>
        </row>
        <row r="8036">
          <cell r="B8036">
            <v>29691</v>
          </cell>
          <cell r="C8036" t="str">
            <v>BB BANCO DE INVESTIMENTO S/A</v>
          </cell>
          <cell r="D8036" t="str">
            <v>BB BANCO DE INVESTIMENTO S/A</v>
          </cell>
          <cell r="E8036" t="str">
            <v>BB BANCO DE INVESTIMENTO S/A</v>
          </cell>
        </row>
        <row r="8037">
          <cell r="B8037">
            <v>29737</v>
          </cell>
          <cell r="C8037" t="str">
            <v>BB BANCO DE INVESTIMENTO S/A</v>
          </cell>
          <cell r="D8037" t="str">
            <v>BB BANCO DE INVESTIMENTO S/A</v>
          </cell>
          <cell r="E8037" t="str">
            <v>BB BANCO DE INVESTIMENTO S/A</v>
          </cell>
        </row>
        <row r="8038">
          <cell r="B8038">
            <v>29769</v>
          </cell>
          <cell r="C8038" t="str">
            <v>BB BANCO DE INVESTIMENTO S/A</v>
          </cell>
          <cell r="D8038" t="str">
            <v>BB BANCO DE INVESTIMENTO S/A</v>
          </cell>
          <cell r="E8038" t="str">
            <v>BB BANCO DE INVESTIMENTO S/A</v>
          </cell>
        </row>
        <row r="8039">
          <cell r="B8039">
            <v>29776</v>
          </cell>
          <cell r="C8039" t="str">
            <v>BB BANCO DE INVESTIMENTO S/A</v>
          </cell>
          <cell r="D8039" t="str">
            <v>BB BANCO DE INVESTIMENTO S/A</v>
          </cell>
          <cell r="E8039" t="str">
            <v>BB BANCO DE INVESTIMENTO S/A</v>
          </cell>
        </row>
        <row r="8040">
          <cell r="B8040">
            <v>29780</v>
          </cell>
          <cell r="C8040" t="str">
            <v>BB BANCO DE INVESTIMENTO S/A</v>
          </cell>
          <cell r="D8040" t="str">
            <v>BB BANCO DE INVESTIMENTO S/A</v>
          </cell>
          <cell r="E8040" t="str">
            <v>BB BANCO DE INVESTIMENTO S/A</v>
          </cell>
        </row>
        <row r="8041">
          <cell r="B8041">
            <v>29816</v>
          </cell>
          <cell r="C8041" t="str">
            <v>BB BANCO DE INVESTIMENTO S/A</v>
          </cell>
          <cell r="D8041" t="str">
            <v>BB BANCO DE INVESTIMENTO S/A</v>
          </cell>
          <cell r="E8041" t="str">
            <v>BB BANCO DE INVESTIMENTO S/A</v>
          </cell>
        </row>
        <row r="8042">
          <cell r="B8042">
            <v>29823</v>
          </cell>
          <cell r="C8042" t="str">
            <v>BB BANCO DE INVESTIMENTO S/A</v>
          </cell>
          <cell r="D8042" t="str">
            <v>BB BANCO DE INVESTIMENTO S/A</v>
          </cell>
          <cell r="E8042" t="str">
            <v>BB BANCO DE INVESTIMENTO S/A</v>
          </cell>
        </row>
        <row r="8043">
          <cell r="B8043">
            <v>29893</v>
          </cell>
          <cell r="C8043" t="str">
            <v>BB BANCO DE INVESTIMENTO S/A</v>
          </cell>
          <cell r="D8043" t="str">
            <v>BB BANCO DE INVESTIMENTO S/A</v>
          </cell>
          <cell r="E8043" t="str">
            <v>BB BANCO DE INVESTIMENTO S/A</v>
          </cell>
        </row>
        <row r="8044">
          <cell r="B8044">
            <v>29895</v>
          </cell>
          <cell r="C8044" t="str">
            <v>BB BANCO DE INVESTIMENTO S/A</v>
          </cell>
          <cell r="D8044" t="str">
            <v>BB BANCO DE INVESTIMENTO S/A</v>
          </cell>
          <cell r="E8044" t="str">
            <v>BB BANCO DE INVESTIMENTO S/A</v>
          </cell>
        </row>
        <row r="8045">
          <cell r="B8045">
            <v>29903</v>
          </cell>
          <cell r="C8045" t="str">
            <v>BB BANCO DE INVESTIMENTO S/A</v>
          </cell>
          <cell r="D8045" t="str">
            <v>BB BANCO DE INVESTIMENTO S/A</v>
          </cell>
          <cell r="E8045" t="str">
            <v>BB BANCO DE INVESTIMENTO S/A</v>
          </cell>
        </row>
        <row r="8046">
          <cell r="B8046">
            <v>29919</v>
          </cell>
          <cell r="C8046" t="str">
            <v>BB BANCO DE INVESTIMENTO S/A</v>
          </cell>
          <cell r="D8046" t="str">
            <v>BB BANCO DE INVESTIMENTO S/A</v>
          </cell>
          <cell r="E8046" t="str">
            <v>BB BANCO DE INVESTIMENTO S/A</v>
          </cell>
        </row>
        <row r="8047">
          <cell r="B8047">
            <v>29952</v>
          </cell>
          <cell r="C8047" t="str">
            <v>BB BANCO DE INVESTIMENTO S/A</v>
          </cell>
          <cell r="D8047" t="str">
            <v>BB BANCO DE INVESTIMENTO S/A</v>
          </cell>
          <cell r="E8047" t="str">
            <v>BB BANCO DE INVESTIMENTO S/A</v>
          </cell>
        </row>
        <row r="8048">
          <cell r="B8048">
            <v>29957</v>
          </cell>
          <cell r="C8048" t="str">
            <v>BB BANCO DE INVESTIMENTO S/A</v>
          </cell>
          <cell r="D8048" t="str">
            <v>BB BANCO DE INVESTIMENTO S/A</v>
          </cell>
          <cell r="E8048" t="str">
            <v>BB BANCO DE INVESTIMENTO S/A</v>
          </cell>
        </row>
        <row r="8049">
          <cell r="B8049">
            <v>29977</v>
          </cell>
          <cell r="C8049" t="str">
            <v>BB BANCO DE INVESTIMENTO S/A</v>
          </cell>
          <cell r="D8049" t="str">
            <v>BB BANCO DE INVESTIMENTO S/A</v>
          </cell>
          <cell r="E8049" t="str">
            <v>BB BANCO DE INVESTIMENTO S/A</v>
          </cell>
        </row>
        <row r="8050">
          <cell r="B8050">
            <v>29995</v>
          </cell>
          <cell r="C8050" t="str">
            <v>BB BANCO DE INVESTIMENTO S/A</v>
          </cell>
          <cell r="D8050" t="str">
            <v>BB BANCO DE INVESTIMENTO S/A</v>
          </cell>
          <cell r="E8050" t="str">
            <v>BB BANCO DE INVESTIMENTO S/A</v>
          </cell>
        </row>
        <row r="8051">
          <cell r="B8051">
            <v>29997</v>
          </cell>
          <cell r="C8051" t="str">
            <v>BB BANCO DE INVESTIMENTO S/A</v>
          </cell>
          <cell r="D8051" t="str">
            <v>BB BANCO DE INVESTIMENTO S/A</v>
          </cell>
          <cell r="E8051" t="str">
            <v>BB BANCO DE INVESTIMENTO S/A</v>
          </cell>
        </row>
        <row r="8052">
          <cell r="B8052">
            <v>29998</v>
          </cell>
          <cell r="C8052" t="str">
            <v>BB GESTAO DE RECURSOS DTVM LTDA</v>
          </cell>
          <cell r="D8052" t="str">
            <v>BB GESTAO DE RECURSOS DTVM LTDA</v>
          </cell>
          <cell r="E8052" t="str">
            <v>BANCO DO BRASIL S/A</v>
          </cell>
        </row>
        <row r="8053">
          <cell r="B8053">
            <v>3</v>
          </cell>
          <cell r="C8053" t="str">
            <v>ARNALDO DAVID CEZAR COELHO</v>
          </cell>
          <cell r="D8053" t="str">
            <v>ARNALDO DAVID CEZAR COELHO</v>
          </cell>
          <cell r="E8053" t="str">
            <v>ABSOLUTE GESTAO DE INVESTIMENTOS LTDA</v>
          </cell>
        </row>
        <row r="8054">
          <cell r="B8054">
            <v>30</v>
          </cell>
          <cell r="C8054" t="str">
            <v>ITAU K2 MULTIMERCADO FI</v>
          </cell>
          <cell r="D8054" t="str">
            <v>ITAU K2 MULTIMERCADO FI</v>
          </cell>
          <cell r="E8054" t="str">
            <v>ITAU K2 MULTIMERCADO FI</v>
          </cell>
        </row>
        <row r="8055">
          <cell r="B8055">
            <v>3000</v>
          </cell>
          <cell r="C8055" t="str">
            <v>FATOR S/A CV</v>
          </cell>
          <cell r="D8055" t="str">
            <v>FATOR S/A CV</v>
          </cell>
          <cell r="E8055" t="str">
            <v>FATOR S/A CV</v>
          </cell>
        </row>
        <row r="8056">
          <cell r="B8056">
            <v>372</v>
          </cell>
          <cell r="C8056" t="str">
            <v>BANCO SANTANDER (BRASIL) S/A</v>
          </cell>
          <cell r="D8056" t="str">
            <v>BANCO SANTANDER (BRASIL) S/A</v>
          </cell>
          <cell r="E8056" t="str">
            <v>BANCO SANTANDER (BRASIL) S/A</v>
          </cell>
        </row>
        <row r="8057">
          <cell r="B8057">
            <v>3009</v>
          </cell>
          <cell r="C8057" t="str">
            <v>VOTORANTIM CTVM LTDA</v>
          </cell>
          <cell r="D8057" t="str">
            <v>VOTORANTIM CTVM LTDA</v>
          </cell>
          <cell r="E8057" t="str">
            <v>VOTORANTIM CTVM LTDA</v>
          </cell>
        </row>
        <row r="8058">
          <cell r="B8058">
            <v>373</v>
          </cell>
          <cell r="C8058" t="str">
            <v>BANCO SANTANDER (BRASIL) S/A</v>
          </cell>
          <cell r="D8058" t="str">
            <v>BANCO SANTANDER (BRASIL) S/A</v>
          </cell>
          <cell r="E8058" t="str">
            <v>BANCO SANTANDER (BRASIL) S/A</v>
          </cell>
        </row>
        <row r="8059">
          <cell r="B8059">
            <v>30220</v>
          </cell>
          <cell r="C8059" t="str">
            <v>MARIO JAMIL CHADUD</v>
          </cell>
          <cell r="D8059" t="str">
            <v>MARIO JAMIL CHADUD</v>
          </cell>
          <cell r="E8059" t="str">
            <v>MARIO JAMIL CHADUD</v>
          </cell>
        </row>
        <row r="8060">
          <cell r="B8060">
            <v>30337</v>
          </cell>
          <cell r="C8060" t="str">
            <v>ASM FAPA DE INVESTIMENTO FINANCEIRO</v>
          </cell>
          <cell r="D8060" t="str">
            <v>ASM FAPA DE INVESTIMENTO FINANCEIRO</v>
          </cell>
          <cell r="E8060" t="str">
            <v>ASM FAPA DE INVESTIMENTO FINANCEIRO</v>
          </cell>
        </row>
        <row r="8061">
          <cell r="B8061">
            <v>30338</v>
          </cell>
          <cell r="C8061" t="str">
            <v>ASM MEGA INSTITUCIONAL FIF</v>
          </cell>
          <cell r="D8061" t="str">
            <v>ASM MEGA INSTITUCIONAL FIF</v>
          </cell>
          <cell r="E8061" t="str">
            <v>ASM MEGA INSTITUCIONAL FIF</v>
          </cell>
        </row>
        <row r="8062">
          <cell r="B8062">
            <v>30339</v>
          </cell>
          <cell r="C8062" t="str">
            <v>ASM EXPERTISE FIF</v>
          </cell>
          <cell r="D8062" t="str">
            <v>ASM EXPERTISE FIF</v>
          </cell>
          <cell r="E8062" t="str">
            <v>ASM EXPERTISE FIF</v>
          </cell>
        </row>
        <row r="8063">
          <cell r="B8063">
            <v>30340</v>
          </cell>
          <cell r="C8063" t="str">
            <v>ASM CSN INVEST RENDA FIXA PLUS FIF</v>
          </cell>
          <cell r="D8063" t="str">
            <v>ASM CSN INVEST RENDA FIXA PLUS FIF</v>
          </cell>
          <cell r="E8063" t="str">
            <v>ASM CSN INVEST RENDA FIXA PLUS FIF</v>
          </cell>
        </row>
        <row r="8064">
          <cell r="B8064">
            <v>30341</v>
          </cell>
          <cell r="C8064" t="str">
            <v>FIBRA CSN INVEST.MULTICARTEIRA PLUS FIF</v>
          </cell>
          <cell r="D8064" t="str">
            <v>FIBRA CSN INVEST.MULTICARTEIRA PLUS FIF</v>
          </cell>
          <cell r="E8064" t="str">
            <v>FIBRA CSN INVEST.MULTICARTEIRA PLUS FIF</v>
          </cell>
        </row>
        <row r="8065">
          <cell r="B8065">
            <v>30342</v>
          </cell>
          <cell r="C8065" t="str">
            <v>CREDIT SUISSE CAUEIRA FDO INV.MULTIMERCADO</v>
          </cell>
          <cell r="D8065" t="str">
            <v>CREDIT SUISSE CAUEIRA FDO INV.MULTIMERCADO</v>
          </cell>
          <cell r="E8065" t="str">
            <v>CREDIT SUISSE CAUEIRA FDO INV.MULTIMERCADO</v>
          </cell>
        </row>
        <row r="8066">
          <cell r="B8066">
            <v>30343</v>
          </cell>
          <cell r="C8066" t="str">
            <v>ASM GUARA FIF</v>
          </cell>
          <cell r="D8066" t="str">
            <v>ASM GUARA FIF</v>
          </cell>
          <cell r="E8066" t="str">
            <v>ASM GUARA FIF</v>
          </cell>
        </row>
        <row r="8067">
          <cell r="B8067">
            <v>30344</v>
          </cell>
          <cell r="C8067" t="str">
            <v>MELLON BRASCAN GALES FIF</v>
          </cell>
          <cell r="D8067" t="str">
            <v>MELLON BRASCAN GALES FIF</v>
          </cell>
          <cell r="E8067" t="str">
            <v>MELLON BRASCAN GALES FIF</v>
          </cell>
        </row>
        <row r="8068">
          <cell r="B8068">
            <v>30345</v>
          </cell>
          <cell r="C8068" t="str">
            <v>MA CONSULTORIA &amp; ASSESSORIA FINANCEIRA LTDA</v>
          </cell>
          <cell r="D8068" t="str">
            <v>MA CONSULTORIA &amp; ASSESSORIA FINANCEIRA LTDA</v>
          </cell>
          <cell r="E8068" t="str">
            <v>MA CONSULTORIA &amp; ASSESSORIA FINANCEIRA LTDA</v>
          </cell>
        </row>
        <row r="8069">
          <cell r="B8069">
            <v>30346</v>
          </cell>
          <cell r="C8069" t="str">
            <v>ASM ARUANA FUNDO DE INVESTIMENTO FINANCEIRO</v>
          </cell>
          <cell r="D8069" t="str">
            <v>ASM ARUANA FUNDO DE INVESTIMENTO FINANCEIRO</v>
          </cell>
          <cell r="E8069" t="str">
            <v>ASM ARUANA FUNDO DE INVESTIMENTO FINANCEIRO</v>
          </cell>
        </row>
        <row r="8070">
          <cell r="B8070">
            <v>30347</v>
          </cell>
          <cell r="C8070" t="str">
            <v>BES FUNDO DE INVESTIMENTO MULTIMERCADO</v>
          </cell>
          <cell r="D8070" t="str">
            <v>BES FUNDO DE INVESTIMENTO MULTIMERCADO</v>
          </cell>
          <cell r="E8070" t="str">
            <v>BES FUNDO DE INVESTIMENTO MULTIMERCADO</v>
          </cell>
        </row>
        <row r="8071">
          <cell r="B8071">
            <v>30348</v>
          </cell>
          <cell r="C8071" t="str">
            <v>BES FUNDO DE INVESTIMENTO MULTIMERCADO 30</v>
          </cell>
          <cell r="D8071" t="str">
            <v>BES FUNDO DE INVESTIMENTO MULTIMERCADO 30</v>
          </cell>
          <cell r="E8071" t="str">
            <v>BES FUNDO DE INVESTIMENTO MULTIMERCADO 30</v>
          </cell>
        </row>
        <row r="8072">
          <cell r="B8072">
            <v>30349</v>
          </cell>
          <cell r="C8072" t="str">
            <v>BES FUNDO DE INV EM COTAS DE FIM FUCAS</v>
          </cell>
          <cell r="D8072" t="str">
            <v>BES FUNDO DE INV EM COTAS DE FIM FUCAS</v>
          </cell>
          <cell r="E8072" t="str">
            <v>BES FUNDO DE INV EM COTAS DE FIM FUCAS</v>
          </cell>
        </row>
        <row r="8073">
          <cell r="B8073">
            <v>30350</v>
          </cell>
          <cell r="C8073" t="str">
            <v>GAYLE ROZANE GUILHERMES MENDES</v>
          </cell>
          <cell r="D8073" t="str">
            <v>GAYLE ROZANE GUILHERMES MENDES</v>
          </cell>
          <cell r="E8073" t="str">
            <v>GAYLE ROZANE GUILHERMES MENDES</v>
          </cell>
        </row>
        <row r="8074">
          <cell r="B8074">
            <v>30390</v>
          </cell>
          <cell r="C8074" t="str">
            <v>FIF GLOBAL INVEST SAN MARINO</v>
          </cell>
          <cell r="D8074" t="str">
            <v>FIF GLOBAL INVEST SAN MARINO</v>
          </cell>
          <cell r="E8074" t="str">
            <v>FIF GLOBAL INVEST SAN MARINO</v>
          </cell>
        </row>
        <row r="8075">
          <cell r="B8075">
            <v>31</v>
          </cell>
          <cell r="C8075" t="str">
            <v>ITAU MULTIESTRATEGIA MULTIMERCADO FI</v>
          </cell>
          <cell r="D8075" t="str">
            <v>ITAU MULTIESTRATEGIA MULTIMERCADO FI</v>
          </cell>
          <cell r="E8075" t="str">
            <v>ITAU MULTIESTRATEGIA MULTIMERCADO FI</v>
          </cell>
        </row>
        <row r="8076">
          <cell r="B8076">
            <v>31045</v>
          </cell>
          <cell r="C8076" t="str">
            <v>MARCELO CALEFFI SPERB</v>
          </cell>
          <cell r="D8076" t="str">
            <v>MARCELO CALEFFI SPERB</v>
          </cell>
          <cell r="E8076" t="str">
            <v>MARCELO CALEFFI SPERB</v>
          </cell>
        </row>
        <row r="8077">
          <cell r="B8077">
            <v>31107</v>
          </cell>
          <cell r="C8077" t="str">
            <v>BANCO BOCOM BBM S.A</v>
          </cell>
          <cell r="D8077" t="str">
            <v>BANCO BOCOM BBM S.A</v>
          </cell>
          <cell r="E8077" t="str">
            <v>BANCO BOCOM BBM S/A</v>
          </cell>
        </row>
        <row r="8078">
          <cell r="B8078">
            <v>31111</v>
          </cell>
          <cell r="C8078" t="str">
            <v>BANCO CREFISA S.A.</v>
          </cell>
          <cell r="D8078" t="str">
            <v>BANCO CREFISA S.A.</v>
          </cell>
          <cell r="E8078" t="str">
            <v>BANCO CREFISA S.A.</v>
          </cell>
        </row>
        <row r="8079">
          <cell r="B8079">
            <v>31123</v>
          </cell>
          <cell r="C8079" t="str">
            <v>BANCO ALFA DE INVESTIMENTO S/A</v>
          </cell>
          <cell r="D8079" t="str">
            <v>BANCO ALFA DE INVESTIMENTO S/A</v>
          </cell>
          <cell r="E8079" t="str">
            <v>BANCO ALFA DE INVESTIMENTO S/A</v>
          </cell>
        </row>
        <row r="8080">
          <cell r="B8080">
            <v>31144</v>
          </cell>
          <cell r="C8080" t="str">
            <v>TELE NORTE LESTE PARTICIPACOES SA</v>
          </cell>
          <cell r="D8080" t="str">
            <v>TELE NORTE LESTE PARTICIPACOES SA</v>
          </cell>
          <cell r="E8080" t="str">
            <v>TELE NORTE LESTE PARTICIPACOES SA</v>
          </cell>
        </row>
        <row r="8081">
          <cell r="B8081">
            <v>31161</v>
          </cell>
          <cell r="C8081" t="str">
            <v>BANCO DE INVESTIMENTOS UBS (BRASIL) S.A.</v>
          </cell>
          <cell r="D8081" t="str">
            <v>BANCO DE INVESTIMENTOS UBS (BRASIL) S.A.</v>
          </cell>
          <cell r="E8081" t="str">
            <v>BANCO DE INVESTIMENTO CREDIT SUISSE (BRASIL) S/A</v>
          </cell>
        </row>
        <row r="8082">
          <cell r="B8082">
            <v>31162</v>
          </cell>
          <cell r="C8082" t="str">
            <v>BANCO DE INVESTIMENTOS UBS (BRASIL) S.A.</v>
          </cell>
          <cell r="D8082" t="str">
            <v>BANCO DE INVESTIMENTOS UBS (BRASIL) S.A.</v>
          </cell>
          <cell r="E8082" t="str">
            <v>BANCO DE INVESTIMENTO CREDIT SUISSE (BRASIL) S/A</v>
          </cell>
        </row>
        <row r="8083">
          <cell r="B8083">
            <v>3133</v>
          </cell>
          <cell r="C8083" t="str">
            <v>LINK CM LTDA</v>
          </cell>
          <cell r="D8083" t="str">
            <v>LINK CM LTDA</v>
          </cell>
        </row>
        <row r="8084">
          <cell r="B8084">
            <v>31346</v>
          </cell>
          <cell r="C8084" t="str">
            <v>FDO DE INVEST FINANC PARANA CENTE</v>
          </cell>
          <cell r="D8084" t="str">
            <v>FDO DE INVEST FINANC PARANA CENTE</v>
          </cell>
          <cell r="E8084" t="str">
            <v>FDO DE INVEST FINANC PARANA CENTE</v>
          </cell>
        </row>
        <row r="8085">
          <cell r="B8085">
            <v>31707</v>
          </cell>
          <cell r="C8085" t="str">
            <v>BANCO DAYCOVAL S/A</v>
          </cell>
          <cell r="D8085" t="str">
            <v>BANCO DAYCOVAL S/A</v>
          </cell>
          <cell r="E8085" t="str">
            <v>BANCO DAYCOVAL S/A</v>
          </cell>
        </row>
        <row r="8086">
          <cell r="B8086">
            <v>31726</v>
          </cell>
          <cell r="C8086" t="str">
            <v>BANCO BVA S/A</v>
          </cell>
          <cell r="D8086" t="str">
            <v>BANCO BVA S/A</v>
          </cell>
          <cell r="E8086" t="str">
            <v>BANCO BVA S/A</v>
          </cell>
        </row>
        <row r="8087">
          <cell r="B8087">
            <v>32</v>
          </cell>
          <cell r="C8087" t="str">
            <v>ITAU HEDGE MULTIMERCADO FI</v>
          </cell>
          <cell r="D8087" t="str">
            <v>ITAU HEDGE MULTIMERCADO FI</v>
          </cell>
          <cell r="E8087" t="str">
            <v>ITAU HEDGE MULTIMERCADO FI</v>
          </cell>
        </row>
        <row r="8088">
          <cell r="B8088">
            <v>32045</v>
          </cell>
          <cell r="C8088" t="str">
            <v>MARCO ANTONIO FRANKLIN</v>
          </cell>
          <cell r="D8088" t="str">
            <v>MARCO ANTONIO FRANKLIN</v>
          </cell>
          <cell r="E8088" t="str">
            <v>MARCO ANTONIO FRANKLIN</v>
          </cell>
        </row>
        <row r="8089">
          <cell r="B8089">
            <v>32100</v>
          </cell>
          <cell r="C8089" t="str">
            <v>BRZ LONG SHORT ADVANCED FUNDO DE INVESTIMENTO MULTIMERCADO</v>
          </cell>
          <cell r="D8089" t="str">
            <v>BRZ LONG SHORT ADVANCED FUNDO DE INVESTIMENTO MULTIMERCADO</v>
          </cell>
          <cell r="E8089" t="str">
            <v>BRZ INVESTIMENTOS LTDA</v>
          </cell>
        </row>
        <row r="8090">
          <cell r="B8090">
            <v>32101</v>
          </cell>
          <cell r="C8090" t="str">
            <v>ARARAS FUNDO DE INVESTIMENTO MULTIMERCADO</v>
          </cell>
          <cell r="D8090" t="str">
            <v>ARARAS FUNDO DE INVESTIMENTO MULTIMERCADO</v>
          </cell>
          <cell r="E8090" t="str">
            <v>BRZ INVESTIMENTOS LTDA</v>
          </cell>
        </row>
        <row r="8091">
          <cell r="B8091">
            <v>32102</v>
          </cell>
          <cell r="C8091" t="str">
            <v>BRZ VALOR FUNDO DE INVESTIMENTO DE AÃ‡Ã•ES</v>
          </cell>
          <cell r="D8091" t="str">
            <v>BRZ VALOR FUNDO DE INVESTIMENTO DE AÃ‡Ã•ES</v>
          </cell>
          <cell r="E8091" t="str">
            <v>BRZ INVESTIMENTOS LTDA</v>
          </cell>
        </row>
        <row r="8092">
          <cell r="B8092">
            <v>32103</v>
          </cell>
          <cell r="C8092" t="str">
            <v>BRZ LONG SHORT FUNDO DE INVESTIMENTO MULTIMERCADO</v>
          </cell>
          <cell r="D8092" t="str">
            <v>BRZ LONG SHORT FUNDO DE INVESTIMENTO MULTIMERCADO</v>
          </cell>
          <cell r="E8092" t="str">
            <v>BRZ INVESTIMENTOS LTDA</v>
          </cell>
        </row>
        <row r="8093">
          <cell r="B8093">
            <v>32104</v>
          </cell>
          <cell r="C8093" t="str">
            <v>PETROPOLIS PLUS FIF</v>
          </cell>
          <cell r="D8093" t="str">
            <v>PETROPOLIS PLUS FIF</v>
          </cell>
          <cell r="E8093" t="str">
            <v>BRZ INVESTIMENTOS LTDA</v>
          </cell>
        </row>
        <row r="8094">
          <cell r="B8094">
            <v>32220</v>
          </cell>
          <cell r="C8094" t="str">
            <v>ITATIAIA FIM</v>
          </cell>
          <cell r="D8094" t="str">
            <v>ITATIAIA FIM</v>
          </cell>
          <cell r="E8094" t="str">
            <v>ITATIAIA FIM</v>
          </cell>
        </row>
        <row r="8095">
          <cell r="B8095">
            <v>32221</v>
          </cell>
          <cell r="C8095" t="str">
            <v>MANTIQUEIRA FI MULTIMERCADO CREDITO PRIVADO</v>
          </cell>
          <cell r="D8095" t="str">
            <v>MANTIQUEIRA FI MULTIMERCADO CREDITO PRIVADO</v>
          </cell>
          <cell r="E8095" t="str">
            <v>MANTIQUEIRA FI MULTIMERCADO CREDITO PRIVADO</v>
          </cell>
        </row>
        <row r="8096">
          <cell r="B8096">
            <v>32424</v>
          </cell>
          <cell r="C8096" t="str">
            <v>FLAVIO NUNES BYRON</v>
          </cell>
          <cell r="D8096" t="str">
            <v>FLAVIO NUNES BYRON</v>
          </cell>
          <cell r="E8096" t="str">
            <v>FLAVIO NUNES BYRON</v>
          </cell>
        </row>
        <row r="8097">
          <cell r="B8097">
            <v>32426</v>
          </cell>
          <cell r="C8097" t="str">
            <v>FABIO SOARES PFAENDER</v>
          </cell>
          <cell r="D8097" t="str">
            <v>FABIO SOARES PFAENDER</v>
          </cell>
          <cell r="E8097" t="str">
            <v>FABIO SOARES PFAENDER</v>
          </cell>
        </row>
        <row r="8098">
          <cell r="B8098">
            <v>32525</v>
          </cell>
          <cell r="C8098" t="str">
            <v>RODRIGO ZARKO VITAL BRASIL</v>
          </cell>
          <cell r="D8098" t="str">
            <v>RODRIGO ZARKO VITAL BRASIL</v>
          </cell>
          <cell r="E8098" t="str">
            <v>RODRIGO ZARKO VITAL BRASIL</v>
          </cell>
        </row>
        <row r="8099">
          <cell r="B8099">
            <v>32556</v>
          </cell>
          <cell r="C8099" t="str">
            <v>GUSTAVO ALONSO MORON</v>
          </cell>
          <cell r="D8099" t="str">
            <v>GUSTAVO ALONSO MORON</v>
          </cell>
          <cell r="E8099" t="str">
            <v>GUSTAVO ALONSO MORON</v>
          </cell>
        </row>
        <row r="8100">
          <cell r="B8100">
            <v>33</v>
          </cell>
          <cell r="C8100" t="str">
            <v>PORTIFOLIO IB MULTIMERCADO FUNDO DE INVESTIMENTO</v>
          </cell>
          <cell r="D8100" t="str">
            <v>PORTIFOLIO IB MULTIMERCADO FUNDO DE INVESTIMENTO</v>
          </cell>
          <cell r="E8100" t="str">
            <v>PORTIFOLIO IB MULTIMERCADO FUNDO DE INVESTIMENTO</v>
          </cell>
        </row>
        <row r="8101">
          <cell r="B8101">
            <v>34</v>
          </cell>
          <cell r="C8101" t="str">
            <v>STRATEGY IB MULTIMERCADO FUNDO DE INVESTIMENTO</v>
          </cell>
          <cell r="D8101" t="str">
            <v>STRATEGY IB MULTIMERCADO FUNDO DE INVESTIMENTO</v>
          </cell>
          <cell r="E8101" t="str">
            <v>ITAU CV S/A</v>
          </cell>
        </row>
        <row r="8102">
          <cell r="B8102">
            <v>374</v>
          </cell>
          <cell r="C8102" t="str">
            <v>BANCO SANTANDER (BRASIL) S/A</v>
          </cell>
          <cell r="D8102" t="str">
            <v>BANCO SANTANDER (BRASIL) S/A</v>
          </cell>
          <cell r="E8102" t="str">
            <v>BANCO SANTANDER (BRASIL) S/A</v>
          </cell>
        </row>
        <row r="8103">
          <cell r="B8103">
            <v>375</v>
          </cell>
          <cell r="C8103" t="str">
            <v>BANCO SANTANDER (BRASIL) S/A</v>
          </cell>
          <cell r="D8103" t="str">
            <v>BANCO SANTANDER (BRASIL) S/A</v>
          </cell>
          <cell r="E8103" t="str">
            <v>BANCO SANTANDER (BRASIL) S/A</v>
          </cell>
        </row>
        <row r="8104">
          <cell r="B8104">
            <v>376</v>
          </cell>
          <cell r="C8104" t="str">
            <v>BANCO SANTANDER (BRASIL) S/A</v>
          </cell>
          <cell r="D8104" t="str">
            <v>BANCO SANTANDER (BRASIL) S/A</v>
          </cell>
          <cell r="E8104" t="str">
            <v>BANCO SANTANDER (BRASIL) S/A</v>
          </cell>
        </row>
        <row r="8105">
          <cell r="B8105">
            <v>79162</v>
          </cell>
          <cell r="C8105" t="str">
            <v>XP MACRO FIM</v>
          </cell>
          <cell r="D8105" t="str">
            <v>XP MACRO FIM</v>
          </cell>
          <cell r="E8105" t="str">
            <v>XP GESTAO DE RECURSOS LTDA</v>
          </cell>
        </row>
        <row r="8106">
          <cell r="B8106">
            <v>377</v>
          </cell>
          <cell r="C8106" t="str">
            <v>BANCO SANTANDER (BRASIL) S/A</v>
          </cell>
          <cell r="D8106" t="str">
            <v>BANCO SANTANDER (BRASIL) S/A</v>
          </cell>
          <cell r="E8106" t="str">
            <v>BANCO SANTANDER (BRASIL) S/A</v>
          </cell>
        </row>
        <row r="8107">
          <cell r="B8107">
            <v>35010</v>
          </cell>
          <cell r="C8107" t="str">
            <v>EURO CARVALHO LEAL</v>
          </cell>
          <cell r="D8107" t="str">
            <v>EURO CARVALHO LEAL</v>
          </cell>
          <cell r="E8107" t="str">
            <v>EURO CARVALHO LEAL</v>
          </cell>
        </row>
        <row r="8108">
          <cell r="B8108">
            <v>378</v>
          </cell>
          <cell r="C8108" t="str">
            <v>BANCO SANTANDER (BRASIL) S/A</v>
          </cell>
          <cell r="D8108" t="str">
            <v>BANCO SANTANDER (BRASIL) S/A</v>
          </cell>
          <cell r="E8108" t="str">
            <v>BANCO SANTANDER (BRASIL) S/A</v>
          </cell>
        </row>
        <row r="8109">
          <cell r="B8109">
            <v>379</v>
          </cell>
          <cell r="C8109" t="str">
            <v>BANCO SANTANDER (BRASIL) S/A</v>
          </cell>
          <cell r="D8109" t="str">
            <v>BANCO SANTANDER (BRASIL) S/A</v>
          </cell>
          <cell r="E8109" t="str">
            <v>BANCO SANTANDER (BRASIL) S/A</v>
          </cell>
        </row>
        <row r="8110">
          <cell r="B8110">
            <v>380</v>
          </cell>
          <cell r="C8110" t="str">
            <v>BANCO SANTANDER (BRASIL) S/A</v>
          </cell>
          <cell r="D8110" t="str">
            <v>BANCO SANTANDER (BRASIL) S/A</v>
          </cell>
          <cell r="E8110" t="str">
            <v>BANCO SANTANDER (BRASIL) S/A</v>
          </cell>
        </row>
        <row r="8111">
          <cell r="B8111">
            <v>381</v>
          </cell>
          <cell r="C8111" t="str">
            <v>BANCO SANTANDER (BRASIL) S/A</v>
          </cell>
          <cell r="D8111" t="str">
            <v>BANCO SANTANDER (BRASIL) S/A</v>
          </cell>
          <cell r="E8111" t="str">
            <v>BANCO SANTANDER (BRASIL) S/A</v>
          </cell>
        </row>
        <row r="8112">
          <cell r="B8112">
            <v>35468</v>
          </cell>
          <cell r="C8112" t="str">
            <v>RENATO MOTTA VAZ DE CARVALHO.</v>
          </cell>
          <cell r="D8112" t="str">
            <v>RENATO MOTTA VAZ DE CARVALHO.</v>
          </cell>
          <cell r="E8112" t="str">
            <v>RENATO MOTTA VAZ DE CARVALHO.</v>
          </cell>
        </row>
        <row r="8113">
          <cell r="B8113">
            <v>382</v>
          </cell>
          <cell r="C8113" t="str">
            <v>BANCO SANTANDER (BRASIL) S/A</v>
          </cell>
          <cell r="D8113" t="str">
            <v>BANCO SANTANDER (BRASIL) S/A</v>
          </cell>
          <cell r="E8113" t="str">
            <v>BANCO SANTANDER (BRASIL) S/A</v>
          </cell>
        </row>
        <row r="8114">
          <cell r="B8114">
            <v>383</v>
          </cell>
          <cell r="C8114" t="str">
            <v>BANCO SANTANDER (BRASIL) S/A</v>
          </cell>
          <cell r="D8114" t="str">
            <v>BANCO SANTANDER (BRASIL) S/A</v>
          </cell>
          <cell r="E8114" t="str">
            <v>BANCO SANTANDER (BRASIL) S/A</v>
          </cell>
        </row>
        <row r="8115">
          <cell r="B8115">
            <v>384</v>
          </cell>
          <cell r="C8115" t="str">
            <v>BANCO SANTANDER (BRASIL) S/A</v>
          </cell>
          <cell r="D8115" t="str">
            <v>BANCO SANTANDER (BRASIL) S/A</v>
          </cell>
          <cell r="E8115" t="str">
            <v>BANCO SANTANDER (BRASIL) S/A</v>
          </cell>
        </row>
        <row r="8116">
          <cell r="B8116">
            <v>35798</v>
          </cell>
          <cell r="C8116" t="str">
            <v>MEGAWATT FIF NUC</v>
          </cell>
          <cell r="D8116" t="str">
            <v>MEGAWATT FIF NUC</v>
          </cell>
          <cell r="E8116" t="str">
            <v>MEGAWATT FIF NUC</v>
          </cell>
        </row>
        <row r="8117">
          <cell r="B8117">
            <v>35824</v>
          </cell>
          <cell r="C8117" t="str">
            <v>OPPORTUNITY DTVM LTDA</v>
          </cell>
          <cell r="D8117" t="str">
            <v>OPPORTUNITY DTVM LTDA</v>
          </cell>
          <cell r="E8117" t="str">
            <v>OPPORTUNITY DTVM LTDA</v>
          </cell>
        </row>
        <row r="8118">
          <cell r="B8118">
            <v>35825</v>
          </cell>
          <cell r="C8118" t="str">
            <v>OPPORTUNITY DTVM LTDA</v>
          </cell>
          <cell r="D8118" t="str">
            <v>OPPORTUNITY DTVM LTDA</v>
          </cell>
          <cell r="E8118" t="str">
            <v>OPPORTUNITY DTVM LTDA</v>
          </cell>
        </row>
        <row r="8119">
          <cell r="B8119">
            <v>35826</v>
          </cell>
          <cell r="C8119" t="str">
            <v>OPPORTUNITY DTVM LTDA</v>
          </cell>
          <cell r="D8119" t="str">
            <v>OPPORTUNITY DTVM LTDA</v>
          </cell>
          <cell r="E8119" t="str">
            <v>OPPORTUNITY DTVM LTDA</v>
          </cell>
        </row>
        <row r="8120">
          <cell r="B8120">
            <v>35827</v>
          </cell>
          <cell r="C8120" t="str">
            <v>OPPORTUNITY DTVM LTDA</v>
          </cell>
          <cell r="D8120" t="str">
            <v>OPPORTUNITY DTVM LTDA</v>
          </cell>
          <cell r="E8120" t="str">
            <v>OPPORTUNITY DTVM LTDA</v>
          </cell>
        </row>
        <row r="8121">
          <cell r="B8121">
            <v>35828</v>
          </cell>
          <cell r="C8121" t="str">
            <v>OPPORTUNITY DTVM LTDA</v>
          </cell>
          <cell r="D8121" t="str">
            <v>OPPORTUNITY DTVM LTDA</v>
          </cell>
          <cell r="E8121" t="str">
            <v>OPPORTUNITY DTVM LTDA</v>
          </cell>
        </row>
        <row r="8122">
          <cell r="B8122">
            <v>35829</v>
          </cell>
          <cell r="C8122" t="str">
            <v>OPPORTUNITY DTVM LTDA</v>
          </cell>
          <cell r="D8122" t="str">
            <v>OPPORTUNITY DTVM LTDA</v>
          </cell>
          <cell r="E8122" t="str">
            <v>OPPORTUNITY DTVM LTDA</v>
          </cell>
        </row>
        <row r="8123">
          <cell r="B8123">
            <v>35841</v>
          </cell>
          <cell r="C8123" t="str">
            <v>OPPORTUNITY DTVM LTDA</v>
          </cell>
          <cell r="D8123" t="str">
            <v>OPPORTUNITY DTVM LTDA</v>
          </cell>
          <cell r="E8123" t="str">
            <v>OPPORTUNITY DTVM LTDA</v>
          </cell>
        </row>
        <row r="8124">
          <cell r="B8124">
            <v>35844</v>
          </cell>
          <cell r="C8124" t="str">
            <v>QUANTIX HEDGE FIF</v>
          </cell>
          <cell r="D8124" t="str">
            <v>QUANTIX HEDGE FIF</v>
          </cell>
          <cell r="E8124" t="str">
            <v>QUANTIX HEDGE FIF</v>
          </cell>
        </row>
        <row r="8125">
          <cell r="B8125">
            <v>35850</v>
          </cell>
          <cell r="C8125" t="str">
            <v>QUANTIX HIGH PERFORMANCE F.INV.MULTIMERCADO</v>
          </cell>
          <cell r="D8125" t="str">
            <v>QUANTIX HIGH PERFORMANCE F.INV.MULTIMERCADO</v>
          </cell>
          <cell r="E8125" t="str">
            <v>QUANTIX HIGH PERFORMANCE F.INV.MULTIMERCADO</v>
          </cell>
        </row>
        <row r="8126">
          <cell r="B8126">
            <v>359</v>
          </cell>
          <cell r="C8126" t="str">
            <v>FRAM CAPITAL QUANTI MIX FIM</v>
          </cell>
          <cell r="D8126" t="str">
            <v>FRAM CAPITAL QUANTI MIX FIM</v>
          </cell>
          <cell r="E8126" t="str">
            <v>FRAM CAPITAL QUANTI MIX FIM</v>
          </cell>
        </row>
        <row r="8127">
          <cell r="B8127">
            <v>36</v>
          </cell>
          <cell r="C8127" t="str">
            <v>DENIS MALTA FERRAZ NETO</v>
          </cell>
          <cell r="D8127" t="str">
            <v>DENIS MALTA FERRAZ NETO</v>
          </cell>
          <cell r="E8127" t="str">
            <v>DENIS MALTA FERRAZ NETO</v>
          </cell>
        </row>
        <row r="8128">
          <cell r="B8128">
            <v>360</v>
          </cell>
          <cell r="C8128" t="str">
            <v>BULL PREVIDENCIARIO MULTIMERCADO - FUNDO DE INVESTIMENTO</v>
          </cell>
          <cell r="D8128" t="str">
            <v>BULL PREVIDENCIARIO MULTIMERCADO - FUNDO DE INVESTIMENTO</v>
          </cell>
          <cell r="E8128" t="str">
            <v>ITAU CV S/A</v>
          </cell>
        </row>
        <row r="8129">
          <cell r="B8129">
            <v>36035</v>
          </cell>
          <cell r="C8129" t="str">
            <v>FIF MAPFRE SEG PRIVADO I</v>
          </cell>
          <cell r="D8129" t="str">
            <v>FIF MAPFRE SEG PRIVADO I</v>
          </cell>
          <cell r="E8129" t="str">
            <v>MAPFRE INVESTIMENTOS LTDA.</v>
          </cell>
        </row>
        <row r="8130">
          <cell r="B8130">
            <v>36036</v>
          </cell>
          <cell r="C8130" t="str">
            <v>FIF MAPFRE PREV SOBERANO</v>
          </cell>
          <cell r="D8130" t="str">
            <v>FIF MAPFRE PREV SOBERANO</v>
          </cell>
          <cell r="E8130" t="str">
            <v>MAPFRE INVESTIMENTOS LTDA.</v>
          </cell>
        </row>
        <row r="8131">
          <cell r="B8131">
            <v>36037</v>
          </cell>
          <cell r="C8131" t="str">
            <v>MAPFRE CORPORATE RF FIF</v>
          </cell>
          <cell r="D8131" t="str">
            <v>MAPFRE CORPORATE RF FIF</v>
          </cell>
          <cell r="E8131" t="str">
            <v>MAPFRE INVESTIMENTOS LTDA.</v>
          </cell>
        </row>
        <row r="8132">
          <cell r="B8132">
            <v>36084</v>
          </cell>
          <cell r="C8132" t="str">
            <v>ANTONIO TADEU DA SILVA</v>
          </cell>
          <cell r="D8132" t="str">
            <v>ANTONIO TADEU DA SILVA</v>
          </cell>
          <cell r="E8132" t="str">
            <v>ANTONIO TADEU DA SILVA</v>
          </cell>
        </row>
        <row r="8133">
          <cell r="B8133">
            <v>36087</v>
          </cell>
          <cell r="C8133" t="str">
            <v>FREDERICO PADILHA</v>
          </cell>
          <cell r="D8133" t="str">
            <v>FREDERICO PADILHA</v>
          </cell>
          <cell r="E8133" t="str">
            <v>FREDERICO PADILHA</v>
          </cell>
        </row>
        <row r="8134">
          <cell r="B8134">
            <v>385</v>
          </cell>
          <cell r="C8134" t="str">
            <v>BANCO SANTANDER (BRASIL) S/A</v>
          </cell>
          <cell r="D8134" t="str">
            <v>BANCO SANTANDER (BRASIL) S/A</v>
          </cell>
          <cell r="E8134" t="str">
            <v>BANCO SANTANDER (BRASIL) S/A</v>
          </cell>
        </row>
        <row r="8135">
          <cell r="B8135">
            <v>36438</v>
          </cell>
          <cell r="C8135" t="str">
            <v>SAMAMBAIA EMPREENDIMENTO E PARTICIPAÃ‡Ã•ES LTDA</v>
          </cell>
          <cell r="D8135" t="str">
            <v>SAMAMBAIA EMPREENDIMENTO E PARTICIPAÃ‡Ã•ES LTDA</v>
          </cell>
          <cell r="E8135" t="str">
            <v>SAMAMBAIA EMPREENDIMENTO E PARTICIPAÃ‡Ã•ES LTDA</v>
          </cell>
        </row>
        <row r="8136">
          <cell r="B8136">
            <v>386</v>
          </cell>
          <cell r="C8136" t="str">
            <v>BANCO SANTANDER (BRASIL) S/A</v>
          </cell>
          <cell r="D8136" t="str">
            <v>BANCO SANTANDER (BRASIL) S/A</v>
          </cell>
          <cell r="E8136" t="str">
            <v>BANCO SANTANDER (BRASIL) S/A</v>
          </cell>
        </row>
        <row r="8137">
          <cell r="B8137">
            <v>387</v>
          </cell>
          <cell r="C8137" t="str">
            <v>BANCO SANTANDER (BRASIL) S/A</v>
          </cell>
          <cell r="D8137" t="str">
            <v>BANCO SANTANDER (BRASIL) S/A</v>
          </cell>
          <cell r="E8137" t="str">
            <v>BANCO SANTANDER (BRASIL) S/A</v>
          </cell>
        </row>
        <row r="8138">
          <cell r="B8138">
            <v>388</v>
          </cell>
          <cell r="C8138" t="str">
            <v>BANCO SANTANDER (BRASIL) S/A</v>
          </cell>
          <cell r="D8138" t="str">
            <v>BANCO SANTANDER (BRASIL) S/A</v>
          </cell>
          <cell r="E8138" t="str">
            <v>BANCO SANTANDER (BRASIL) S/A</v>
          </cell>
        </row>
        <row r="8139">
          <cell r="B8139">
            <v>389</v>
          </cell>
          <cell r="C8139" t="str">
            <v>BANCO SANTANDER (BRASIL) S/A</v>
          </cell>
          <cell r="D8139" t="str">
            <v>BANCO SANTANDER (BRASIL) S/A</v>
          </cell>
          <cell r="E8139" t="str">
            <v>BANCO SANTANDER (BRASIL) S/A</v>
          </cell>
        </row>
        <row r="8140">
          <cell r="B8140">
            <v>36820</v>
          </cell>
          <cell r="C8140" t="str">
            <v>BANCO NOSSA CAIXA S/A</v>
          </cell>
          <cell r="D8140" t="str">
            <v>BANCO NOSSA CAIXA S/A</v>
          </cell>
          <cell r="E8140" t="str">
            <v>BANCO NOSSA CAIXA S/A</v>
          </cell>
        </row>
        <row r="8141">
          <cell r="B8141">
            <v>390</v>
          </cell>
          <cell r="C8141" t="str">
            <v>BANCO SANTANDER (BRASIL) S/A</v>
          </cell>
          <cell r="D8141" t="str">
            <v>BANCO SANTANDER (BRASIL) S/A</v>
          </cell>
          <cell r="E8141" t="str">
            <v>BANCO SANTANDER (BRASIL) S/A</v>
          </cell>
        </row>
        <row r="8142">
          <cell r="B8142">
            <v>37</v>
          </cell>
          <cell r="C8142" t="str">
            <v>TARGET PERSONAL FUNDO DE INVESTIMENTO MULTIMERCADO</v>
          </cell>
          <cell r="D8142" t="str">
            <v>TARGET PERSONAL FUNDO DE INVESTIMENTO MULTIMERCADO</v>
          </cell>
          <cell r="E8142" t="str">
            <v>TARGET PERSONAL FUNDO DE INVESTIMENTO MULTIMERCADO</v>
          </cell>
        </row>
        <row r="8143">
          <cell r="B8143">
            <v>391</v>
          </cell>
          <cell r="C8143" t="str">
            <v>BANCO SANTANDER (BRASIL) S/A</v>
          </cell>
          <cell r="D8143" t="str">
            <v>BANCO SANTANDER (BRASIL) S/A</v>
          </cell>
          <cell r="E8143" t="str">
            <v>BANCO SANTANDER (BRASIL) S/A</v>
          </cell>
        </row>
        <row r="8144">
          <cell r="B8144">
            <v>392</v>
          </cell>
          <cell r="C8144" t="str">
            <v>BANCO SANTANDER (BRASIL) S/A</v>
          </cell>
          <cell r="D8144" t="str">
            <v>BANCO SANTANDER (BRASIL) S/A</v>
          </cell>
          <cell r="E8144" t="str">
            <v>BANCO SANTANDER (BRASIL) S/A</v>
          </cell>
        </row>
        <row r="8145">
          <cell r="B8145">
            <v>393</v>
          </cell>
          <cell r="C8145" t="str">
            <v>BANCO SANTANDER (BRASIL) S/A</v>
          </cell>
          <cell r="D8145" t="str">
            <v>BANCO SANTANDER (BRASIL) S/A</v>
          </cell>
          <cell r="E8145" t="str">
            <v>BANCO SANTANDER (BRASIL) S/A</v>
          </cell>
        </row>
        <row r="8146">
          <cell r="B8146">
            <v>394</v>
          </cell>
          <cell r="C8146" t="str">
            <v>BANCO SANTANDER (BRASIL) S/A</v>
          </cell>
          <cell r="D8146" t="str">
            <v>BANCO SANTANDER (BRASIL) S/A</v>
          </cell>
          <cell r="E8146" t="str">
            <v>BANCO SANTANDER (BRASIL) S/A</v>
          </cell>
        </row>
        <row r="8147">
          <cell r="B8147">
            <v>395</v>
          </cell>
          <cell r="C8147" t="str">
            <v>BANCO SANTANDER (BRASIL) S/A</v>
          </cell>
          <cell r="D8147" t="str">
            <v>BANCO SANTANDER (BRASIL) S/A</v>
          </cell>
          <cell r="E8147" t="str">
            <v>BANCO SANTANDER (BRASIL) S/A</v>
          </cell>
        </row>
        <row r="8148">
          <cell r="B8148">
            <v>37456</v>
          </cell>
          <cell r="C8148" t="str">
            <v>ACES FULL FIA</v>
          </cell>
          <cell r="D8148" t="str">
            <v>ACES FULL FIA</v>
          </cell>
          <cell r="E8148" t="str">
            <v>ACES FULL FIA</v>
          </cell>
        </row>
        <row r="8149">
          <cell r="B8149">
            <v>396</v>
          </cell>
          <cell r="C8149" t="str">
            <v>BANCO SANTANDER (BRASIL) S/A</v>
          </cell>
          <cell r="D8149" t="str">
            <v>BANCO SANTANDER (BRASIL) S/A</v>
          </cell>
          <cell r="E8149" t="str">
            <v>BANCO SANTANDER (BRASIL) S/A</v>
          </cell>
        </row>
        <row r="8150">
          <cell r="B8150">
            <v>397</v>
          </cell>
          <cell r="C8150" t="str">
            <v>BANCO SANTANDER (BRASIL) S/A</v>
          </cell>
          <cell r="D8150" t="str">
            <v>BANCO SANTANDER (BRASIL) S/A</v>
          </cell>
          <cell r="E8150" t="str">
            <v>BANCO SANTANDER (BRASIL) S/A</v>
          </cell>
        </row>
        <row r="8151">
          <cell r="B8151">
            <v>398</v>
          </cell>
          <cell r="C8151" t="str">
            <v>BANCO SANTANDER (BRASIL) S/A</v>
          </cell>
          <cell r="D8151" t="str">
            <v>BANCO SANTANDER (BRASIL) S/A</v>
          </cell>
          <cell r="E8151" t="str">
            <v>BANCO SANTANDER (BRASIL) S/A</v>
          </cell>
        </row>
        <row r="8152">
          <cell r="B8152">
            <v>399</v>
          </cell>
          <cell r="C8152" t="str">
            <v>BANCO SANTANDER (BRASIL) S/A</v>
          </cell>
          <cell r="D8152" t="str">
            <v>BANCO SANTANDER (BRASIL) S/A</v>
          </cell>
          <cell r="E8152" t="str">
            <v>BANCO SANTANDER (BRASIL) S/A</v>
          </cell>
        </row>
        <row r="8153">
          <cell r="B8153">
            <v>400</v>
          </cell>
          <cell r="C8153" t="str">
            <v>BANCO SANTANDER (BRASIL) S/A</v>
          </cell>
          <cell r="D8153" t="str">
            <v>BANCO SANTANDER (BRASIL) S/A</v>
          </cell>
          <cell r="E8153" t="str">
            <v>BANCO SANTANDER (BRASIL) S/A</v>
          </cell>
        </row>
        <row r="8154">
          <cell r="B8154">
            <v>37972</v>
          </cell>
          <cell r="C8154" t="str">
            <v>BANCO BM&amp;F DE SERVIÃ‡OS DE LIQUIDAÃ‡ÃƒO E CUSTODIA S.A</v>
          </cell>
          <cell r="D8154" t="str">
            <v>BANCO BM&amp;F DE SERVIÃ‡OS DE LIQUIDAÃ‡ÃƒO E CUSTODIA S.A</v>
          </cell>
          <cell r="E8154" t="str">
            <v>B3 S/A - BRASIL BOLSA BALCÃƒO</v>
          </cell>
        </row>
        <row r="8155">
          <cell r="B8155">
            <v>38</v>
          </cell>
          <cell r="C8155" t="str">
            <v>UPSIDE FI MULTIMERCADO</v>
          </cell>
          <cell r="D8155" t="str">
            <v>UPSIDE FI MULTIMERCADO</v>
          </cell>
          <cell r="E8155" t="str">
            <v>UPSIDE GESTAO DE RECURSOS LTDA</v>
          </cell>
        </row>
        <row r="8156">
          <cell r="B8156">
            <v>401</v>
          </cell>
          <cell r="C8156" t="str">
            <v>BANCO SANTANDER (BRASIL) S/A</v>
          </cell>
          <cell r="D8156" t="str">
            <v>BANCO SANTANDER (BRASIL) S/A</v>
          </cell>
          <cell r="E8156" t="str">
            <v>BANCO SANTANDER (BRASIL) S/A</v>
          </cell>
        </row>
        <row r="8157">
          <cell r="B8157">
            <v>402</v>
          </cell>
          <cell r="C8157" t="str">
            <v>BANCO SANTANDER (BRASIL) S/A</v>
          </cell>
          <cell r="D8157" t="str">
            <v>BANCO SANTANDER (BRASIL) S/A</v>
          </cell>
          <cell r="E8157" t="str">
            <v>BANCO SANTANDER (BRASIL) S/A</v>
          </cell>
        </row>
        <row r="8158">
          <cell r="B8158">
            <v>403</v>
          </cell>
          <cell r="C8158" t="str">
            <v>BANCO SANTANDER (BRASIL) S/A</v>
          </cell>
          <cell r="D8158" t="str">
            <v>BANCO SANTANDER (BRASIL) S/A</v>
          </cell>
          <cell r="E8158" t="str">
            <v>BANCO SANTANDER (BRASIL) S/A</v>
          </cell>
        </row>
        <row r="8159">
          <cell r="B8159">
            <v>38213</v>
          </cell>
          <cell r="C8159" t="str">
            <v>JOSE CARLOS PIEDADE DE FREITAS</v>
          </cell>
          <cell r="D8159" t="str">
            <v>JOSE CARLOS PIEDADE DE FREITAS</v>
          </cell>
          <cell r="E8159" t="str">
            <v>JOSE CARLOS PIEDADE DE FREITAS</v>
          </cell>
        </row>
        <row r="8160">
          <cell r="B8160">
            <v>404</v>
          </cell>
          <cell r="C8160" t="str">
            <v>BANCO SANTANDER (BRASIL) S/A</v>
          </cell>
          <cell r="D8160" t="str">
            <v>BANCO SANTANDER (BRASIL) S/A</v>
          </cell>
          <cell r="E8160" t="str">
            <v>BANCO SANTANDER (BRASIL) S/A</v>
          </cell>
        </row>
        <row r="8161">
          <cell r="B8161">
            <v>405</v>
          </cell>
          <cell r="C8161" t="str">
            <v>BANCO SANTANDER (BRASIL) S/A</v>
          </cell>
          <cell r="D8161" t="str">
            <v>BANCO SANTANDER (BRASIL) S/A</v>
          </cell>
          <cell r="E8161" t="str">
            <v>BANCO SANTANDER (BRASIL) S/A</v>
          </cell>
        </row>
        <row r="8162">
          <cell r="B8162">
            <v>38456</v>
          </cell>
          <cell r="C8162" t="str">
            <v>LATIN AMERICA SECURITIES LLC - AGORA SENIOR CTVM S.A</v>
          </cell>
          <cell r="D8162" t="str">
            <v>LATIN AMERICA SECURITIES LLC - AGORA SENIOR CTVM S.A</v>
          </cell>
          <cell r="E8162" t="str">
            <v>LATIN AMERICA SECURITIES LLC - AGORA SENIOR CTVM S.A</v>
          </cell>
        </row>
        <row r="8163">
          <cell r="B8163">
            <v>38457</v>
          </cell>
          <cell r="C8163" t="str">
            <v>BRAZILIAN EQUITIES LLC</v>
          </cell>
          <cell r="D8163" t="str">
            <v>BRAZILIAN EQUITIES LLC</v>
          </cell>
          <cell r="E8163" t="str">
            <v>BRAZILIAN EQUITIES LLC</v>
          </cell>
        </row>
        <row r="8164">
          <cell r="B8164">
            <v>406</v>
          </cell>
          <cell r="C8164" t="str">
            <v>BANCO SANTANDER (BRASIL) S/A</v>
          </cell>
          <cell r="D8164" t="str">
            <v>BANCO SANTANDER (BRASIL) S/A</v>
          </cell>
          <cell r="E8164" t="str">
            <v>BANCO SANTANDER (BRASIL) S/A</v>
          </cell>
        </row>
        <row r="8165">
          <cell r="B8165">
            <v>407</v>
          </cell>
          <cell r="C8165" t="str">
            <v>BANCO SANTANDER (BRASIL) S/A</v>
          </cell>
          <cell r="D8165" t="str">
            <v>BANCO SANTANDER (BRASIL) S/A</v>
          </cell>
          <cell r="E8165" t="str">
            <v>BANCO SANTANDER (BRASIL) S/A</v>
          </cell>
        </row>
        <row r="8166">
          <cell r="B8166">
            <v>408</v>
          </cell>
          <cell r="C8166" t="str">
            <v>BANCO SANTANDER (BRASIL) S/A</v>
          </cell>
          <cell r="D8166" t="str">
            <v>BANCO SANTANDER (BRASIL) S/A</v>
          </cell>
          <cell r="E8166" t="str">
            <v>BANCO SANTANDER (BRASIL) S/A</v>
          </cell>
        </row>
        <row r="8167">
          <cell r="B8167">
            <v>38756</v>
          </cell>
          <cell r="C8167" t="str">
            <v>RONALDO CEZAR COELHO</v>
          </cell>
          <cell r="D8167" t="str">
            <v>RONALDO CEZAR COELHO</v>
          </cell>
          <cell r="E8167" t="str">
            <v>RONALDO CEZAR COELHO</v>
          </cell>
        </row>
        <row r="8168">
          <cell r="B8168">
            <v>409</v>
          </cell>
          <cell r="C8168" t="str">
            <v>BANCO SANTANDER (BRASIL) S/A</v>
          </cell>
          <cell r="D8168" t="str">
            <v>BANCO SANTANDER (BRASIL) S/A</v>
          </cell>
          <cell r="E8168" t="str">
            <v>BANCO SANTANDER (BRASIL) S/A</v>
          </cell>
        </row>
        <row r="8169">
          <cell r="B8169">
            <v>410</v>
          </cell>
          <cell r="C8169" t="str">
            <v>BANCO SANTANDER (BRASIL) S/A</v>
          </cell>
          <cell r="D8169" t="str">
            <v>BANCO SANTANDER (BRASIL) S/A</v>
          </cell>
          <cell r="E8169" t="str">
            <v>BANCO SANTANDER (BRASIL) S/A</v>
          </cell>
        </row>
        <row r="8170">
          <cell r="B8170">
            <v>3898</v>
          </cell>
          <cell r="C8170" t="str">
            <v>LINK CM LTDA</v>
          </cell>
          <cell r="D8170" t="str">
            <v>LINK CM LTDA</v>
          </cell>
        </row>
        <row r="8171">
          <cell r="B8171">
            <v>39</v>
          </cell>
          <cell r="C8171" t="str">
            <v>AGORA CTVM S/A</v>
          </cell>
          <cell r="D8171" t="str">
            <v>AGORA CTVM S/A</v>
          </cell>
          <cell r="E8171" t="str">
            <v>AGORA GESTAO DE RECURSOS LTDA</v>
          </cell>
        </row>
        <row r="8172">
          <cell r="B8172">
            <v>411</v>
          </cell>
          <cell r="C8172" t="str">
            <v>BANCO SANTANDER (BRASIL) S/A</v>
          </cell>
          <cell r="D8172" t="str">
            <v>BANCO SANTANDER (BRASIL) S/A</v>
          </cell>
          <cell r="E8172" t="str">
            <v>BANCO SANTANDER (BRASIL) S/A</v>
          </cell>
        </row>
        <row r="8173">
          <cell r="B8173">
            <v>390017</v>
          </cell>
          <cell r="C8173" t="str">
            <v>AGORA CTVM S/A</v>
          </cell>
          <cell r="D8173" t="str">
            <v>AGORA CTVM S/A</v>
          </cell>
          <cell r="E8173" t="str">
            <v>AGORA GESTAO DE RECURSOS LTDA</v>
          </cell>
        </row>
        <row r="8174">
          <cell r="B8174">
            <v>390137</v>
          </cell>
          <cell r="C8174" t="str">
            <v>AGORA CTVM S/A</v>
          </cell>
          <cell r="D8174" t="str">
            <v>AGORA CTVM S/A</v>
          </cell>
          <cell r="E8174" t="str">
            <v>AGORA GESTAO DE RECURSOS LTDA</v>
          </cell>
        </row>
        <row r="8175">
          <cell r="B8175">
            <v>412</v>
          </cell>
          <cell r="C8175" t="str">
            <v>BANCO SANTANDER (BRASIL) S/A</v>
          </cell>
          <cell r="D8175" t="str">
            <v>BANCO SANTANDER (BRASIL) S/A</v>
          </cell>
          <cell r="E8175" t="str">
            <v>BANCO SANTANDER (BRASIL) S/A</v>
          </cell>
        </row>
        <row r="8176">
          <cell r="B8176">
            <v>413</v>
          </cell>
          <cell r="C8176" t="str">
            <v>BANCO SANTANDER (BRASIL) S/A</v>
          </cell>
          <cell r="D8176" t="str">
            <v>BANCO SANTANDER (BRASIL) S/A</v>
          </cell>
          <cell r="E8176" t="str">
            <v>BANCO SANTANDER (BRASIL) S/A</v>
          </cell>
        </row>
        <row r="8177">
          <cell r="B8177">
            <v>414</v>
          </cell>
          <cell r="C8177" t="str">
            <v>BANCO SANTANDER (BRASIL) S/A</v>
          </cell>
          <cell r="D8177" t="str">
            <v>BANCO SANTANDER (BRASIL) S/A</v>
          </cell>
          <cell r="E8177" t="str">
            <v>BANCO SANTANDER (BRASIL) S/A</v>
          </cell>
        </row>
        <row r="8178">
          <cell r="B8178">
            <v>415</v>
          </cell>
          <cell r="C8178" t="str">
            <v>BANCO SANTANDER (BRASIL) S/A</v>
          </cell>
          <cell r="D8178" t="str">
            <v>BANCO SANTANDER (BRASIL) S/A</v>
          </cell>
          <cell r="E8178" t="str">
            <v>BANCO SANTANDER (BRASIL) S/A</v>
          </cell>
        </row>
        <row r="8179">
          <cell r="B8179">
            <v>39456</v>
          </cell>
          <cell r="C8179" t="str">
            <v>OPUS HEDGE FIM</v>
          </cell>
          <cell r="D8179" t="str">
            <v>OPUS HEDGE FIM</v>
          </cell>
          <cell r="E8179" t="str">
            <v>OPUS HEDGE FIM</v>
          </cell>
        </row>
        <row r="8180">
          <cell r="B8180">
            <v>39499</v>
          </cell>
          <cell r="C8180" t="str">
            <v>OPPORTUNITY DTVM LTDA</v>
          </cell>
          <cell r="D8180" t="str">
            <v>OPPORTUNITY DTVM LTDA</v>
          </cell>
          <cell r="E8180" t="str">
            <v>OPPORTUNITY DTVM LTDA</v>
          </cell>
        </row>
        <row r="8181">
          <cell r="B8181">
            <v>416</v>
          </cell>
          <cell r="C8181" t="str">
            <v>BANCO SANTANDER (BRASIL) S/A</v>
          </cell>
          <cell r="D8181" t="str">
            <v>BANCO SANTANDER (BRASIL) S/A</v>
          </cell>
          <cell r="E8181" t="str">
            <v>BANCO SANTANDER (BRASIL) S/A</v>
          </cell>
        </row>
        <row r="8182">
          <cell r="B8182">
            <v>417</v>
          </cell>
          <cell r="C8182" t="str">
            <v>BANCO SANTANDER (BRASIL) S/A</v>
          </cell>
          <cell r="D8182" t="str">
            <v>BANCO SANTANDER (BRASIL) S/A</v>
          </cell>
          <cell r="E8182" t="str">
            <v>BANCO SANTANDER (BRASIL) S/A</v>
          </cell>
        </row>
        <row r="8183">
          <cell r="B8183">
            <v>39601</v>
          </cell>
          <cell r="C8183" t="str">
            <v>OPUS EQUITY HEDGE FIM</v>
          </cell>
          <cell r="D8183" t="str">
            <v>OPUS EQUITY HEDGE FIM</v>
          </cell>
          <cell r="E8183" t="str">
            <v>OPUS EQUITY HEDGE FIM</v>
          </cell>
        </row>
        <row r="8184">
          <cell r="B8184">
            <v>39602</v>
          </cell>
          <cell r="C8184" t="str">
            <v>OPUS HEDGE AGRESSIVO FIM</v>
          </cell>
          <cell r="D8184" t="str">
            <v>OPUS HEDGE AGRESSIVO FIM</v>
          </cell>
          <cell r="E8184" t="str">
            <v>OPUS HEDGE AGRESSIVO FIM</v>
          </cell>
        </row>
        <row r="8185">
          <cell r="B8185">
            <v>39603</v>
          </cell>
          <cell r="C8185" t="str">
            <v>OPUS ACOES FIA</v>
          </cell>
          <cell r="D8185" t="str">
            <v>OPUS ACOES FIA</v>
          </cell>
          <cell r="E8185" t="str">
            <v>OPUS ACOES FIA</v>
          </cell>
        </row>
        <row r="8186">
          <cell r="B8186">
            <v>39604</v>
          </cell>
          <cell r="C8186" t="str">
            <v>OPUS MULTIMERCADO FIC FI CP</v>
          </cell>
          <cell r="D8186" t="str">
            <v>OPUS MULTIMERCADO FIC FI CP</v>
          </cell>
          <cell r="E8186" t="str">
            <v>OPUS MULTIMERCADO FIC FI CP</v>
          </cell>
        </row>
        <row r="8187">
          <cell r="B8187">
            <v>39605</v>
          </cell>
          <cell r="C8187" t="str">
            <v>OGR MAKALU FI EM AÃ‡Ã•ES</v>
          </cell>
          <cell r="D8187" t="str">
            <v>OGR MAKALU FI EM AÃ‡Ã•ES</v>
          </cell>
          <cell r="E8187" t="str">
            <v>OPUS GESTAO DE RECURSOS LTDA</v>
          </cell>
        </row>
        <row r="8188">
          <cell r="B8188">
            <v>39606</v>
          </cell>
          <cell r="C8188" t="str">
            <v>ORLA DIST. DE TÃT. E VAL. MOBIL. LTDA</v>
          </cell>
          <cell r="D8188" t="str">
            <v>ORLA DIST. DE TÃT. E VAL. MOBIL. LTDA</v>
          </cell>
          <cell r="E8188" t="str">
            <v>ORLA DIST. DE TÃT. E VAL. MOBIL. LTDA</v>
          </cell>
        </row>
        <row r="8189">
          <cell r="B8189">
            <v>39607</v>
          </cell>
          <cell r="C8189" t="str">
            <v>OPUS SOLUCAO FIM</v>
          </cell>
          <cell r="D8189" t="str">
            <v>OPUS SOLUCAO FIM</v>
          </cell>
          <cell r="E8189" t="str">
            <v>OPUS GESTAO DE RECURSOS LTDA</v>
          </cell>
        </row>
        <row r="8190">
          <cell r="B8190">
            <v>39608</v>
          </cell>
          <cell r="C8190" t="str">
            <v>OPUS ARBITRAGEM FIM</v>
          </cell>
          <cell r="D8190" t="str">
            <v>OPUS ARBITRAGEM FIM</v>
          </cell>
          <cell r="E8190" t="str">
            <v>OPUS GESTAO DE RECURSOS LTDA</v>
          </cell>
        </row>
        <row r="8191">
          <cell r="B8191">
            <v>419</v>
          </cell>
          <cell r="C8191" t="str">
            <v>BANCO SANTANDER (BRASIL) S/A</v>
          </cell>
          <cell r="D8191" t="str">
            <v>BANCO SANTANDER (BRASIL) S/A</v>
          </cell>
          <cell r="E8191" t="str">
            <v>BANCO SANTANDER (BRASIL) S/A</v>
          </cell>
        </row>
        <row r="8192">
          <cell r="B8192">
            <v>422</v>
          </cell>
          <cell r="C8192" t="str">
            <v>BANCO SANTANDER (BRASIL) S/A</v>
          </cell>
          <cell r="D8192" t="str">
            <v>BANCO SANTANDER (BRASIL) S/A</v>
          </cell>
          <cell r="E8192" t="str">
            <v>BANCO SANTANDER (BRASIL) S/A</v>
          </cell>
        </row>
        <row r="8193">
          <cell r="B8193">
            <v>423</v>
          </cell>
          <cell r="C8193" t="str">
            <v>BANCO SANTANDER (BRASIL) S/A</v>
          </cell>
          <cell r="D8193" t="str">
            <v>BANCO SANTANDER (BRASIL) S/A</v>
          </cell>
          <cell r="E8193" t="str">
            <v>BANCO SANTANDER (BRASIL) S/A</v>
          </cell>
        </row>
        <row r="8194">
          <cell r="B8194">
            <v>4</v>
          </cell>
          <cell r="C8194" t="str">
            <v>RODRIGO ZARKO VITAL BRASIL</v>
          </cell>
          <cell r="D8194" t="str">
            <v>RODRIGO ZARKO VITAL BRASIL</v>
          </cell>
          <cell r="E8194" t="str">
            <v>RODRIGO ZARKO VITAL BRASIL</v>
          </cell>
        </row>
        <row r="8195">
          <cell r="B8195">
            <v>40</v>
          </cell>
          <cell r="C8195" t="str">
            <v>UBIRAJARA PENNA PESSOA</v>
          </cell>
          <cell r="D8195" t="str">
            <v>UBIRAJARA PENNA PESSOA</v>
          </cell>
          <cell r="E8195" t="str">
            <v>UBIRAJARA PENNA PESSOA</v>
          </cell>
        </row>
        <row r="8196">
          <cell r="B8196">
            <v>424</v>
          </cell>
          <cell r="C8196" t="str">
            <v>BANCO SANTANDER (BRASIL) S/A</v>
          </cell>
          <cell r="D8196" t="str">
            <v>BANCO SANTANDER (BRASIL) S/A</v>
          </cell>
          <cell r="E8196" t="str">
            <v>BANCO SANTANDER (BRASIL) S/A</v>
          </cell>
        </row>
        <row r="8197">
          <cell r="B8197">
            <v>40055</v>
          </cell>
          <cell r="C8197" t="str">
            <v>GAP SYSTEM FIF</v>
          </cell>
          <cell r="D8197" t="str">
            <v>GAP SYSTEM FIF</v>
          </cell>
          <cell r="E8197" t="str">
            <v>GAP SYSTEM FIF</v>
          </cell>
        </row>
        <row r="8198">
          <cell r="B8198">
            <v>425</v>
          </cell>
          <cell r="C8198" t="str">
            <v>BANCO SANTANDER (BRASIL) S/A</v>
          </cell>
          <cell r="D8198" t="str">
            <v>BANCO SANTANDER (BRASIL) S/A</v>
          </cell>
          <cell r="E8198" t="str">
            <v>BANCO SANTANDER (BRASIL) S/A</v>
          </cell>
        </row>
        <row r="8199">
          <cell r="B8199">
            <v>426</v>
          </cell>
          <cell r="C8199" t="str">
            <v>BANCO SANTANDER (BRASIL) S/A</v>
          </cell>
          <cell r="D8199" t="str">
            <v>BANCO SANTANDER (BRASIL) S/A</v>
          </cell>
          <cell r="E8199" t="str">
            <v>BANCO SANTANDER (BRASIL) S/A</v>
          </cell>
        </row>
        <row r="8200">
          <cell r="B8200">
            <v>4024</v>
          </cell>
          <cell r="C8200" t="str">
            <v>BANCO CAIXA GERAL BRASIL SA</v>
          </cell>
          <cell r="D8200" t="str">
            <v>BANCO CAIXA GERAL BRASIL SA</v>
          </cell>
          <cell r="E8200" t="str">
            <v>BANCO CAIXA GERAL BRASIL S/A</v>
          </cell>
        </row>
        <row r="8201">
          <cell r="B8201">
            <v>427</v>
          </cell>
          <cell r="C8201" t="str">
            <v>BANCO SANTANDER (BRASIL) S/A</v>
          </cell>
          <cell r="D8201" t="str">
            <v>BANCO SANTANDER (BRASIL) S/A</v>
          </cell>
          <cell r="E8201" t="str">
            <v>BANCO SANTANDER (BRASIL) S/A</v>
          </cell>
        </row>
        <row r="8202">
          <cell r="B8202">
            <v>40390</v>
          </cell>
          <cell r="C8202" t="str">
            <v>NEO MULTISTRATEGIA 30 FIM</v>
          </cell>
          <cell r="D8202" t="str">
            <v>NEO MULTISTRATEGIA 30 FIM</v>
          </cell>
        </row>
        <row r="8203">
          <cell r="B8203">
            <v>40391</v>
          </cell>
          <cell r="C8203" t="str">
            <v>NEO MULTI ESTRATEGIA FIC DE FIM</v>
          </cell>
          <cell r="D8203" t="str">
            <v>NEO MULTI ESTRATEGIA FIC DE FIM</v>
          </cell>
          <cell r="E8203" t="str">
            <v>NEO GESTÃO DE RECURSOS LTDA</v>
          </cell>
        </row>
        <row r="8204">
          <cell r="B8204">
            <v>40392</v>
          </cell>
          <cell r="C8204" t="str">
            <v>NEO LONG SHORT FIF MULTIMERCADO</v>
          </cell>
          <cell r="D8204" t="str">
            <v>NEO LONG SHORT FIF MULTIMERCADO</v>
          </cell>
        </row>
        <row r="8205">
          <cell r="B8205">
            <v>40393</v>
          </cell>
          <cell r="C8205" t="str">
            <v>NEO IBIZA FUNDO DE INVESTIMENTO MULTIMERCADO</v>
          </cell>
          <cell r="D8205" t="str">
            <v>NEO IBIZA FUNDO DE INVESTIMENTO MULTIMERCADO</v>
          </cell>
          <cell r="E8205" t="str">
            <v>NEO GESTÃO DE RECURSOS LTDA</v>
          </cell>
        </row>
        <row r="8206">
          <cell r="B8206">
            <v>40394</v>
          </cell>
          <cell r="C8206" t="str">
            <v>NEO MACRO FIM</v>
          </cell>
          <cell r="D8206" t="str">
            <v>NEO MACRO FIM</v>
          </cell>
          <cell r="E8206" t="str">
            <v>NEO GESTÃO DE RECURSOS LTDA</v>
          </cell>
        </row>
        <row r="8207">
          <cell r="B8207">
            <v>40395</v>
          </cell>
          <cell r="C8207" t="str">
            <v>NEO PORTFOLIO FIM</v>
          </cell>
          <cell r="D8207" t="str">
            <v>NEO PORTFOLIO FIM</v>
          </cell>
          <cell r="E8207" t="str">
            <v>NEO GESTÃO DE RECURSOS LTDA</v>
          </cell>
        </row>
        <row r="8208">
          <cell r="B8208">
            <v>40396</v>
          </cell>
          <cell r="C8208" t="str">
            <v>MEDIZ CAPITAL LLC</v>
          </cell>
          <cell r="D8208" t="str">
            <v>MEDIZ CAPITAL LLC</v>
          </cell>
          <cell r="E8208" t="str">
            <v>MEDIZ CAPITAL LLC</v>
          </cell>
        </row>
        <row r="8209">
          <cell r="B8209">
            <v>428</v>
          </cell>
          <cell r="C8209" t="str">
            <v>BANCO SANTANDER (BRASIL) S/A</v>
          </cell>
          <cell r="D8209" t="str">
            <v>BANCO SANTANDER (BRASIL) S/A</v>
          </cell>
          <cell r="E8209" t="str">
            <v>BANCO SANTANDER (BRASIL) S/A</v>
          </cell>
        </row>
        <row r="8210">
          <cell r="B8210">
            <v>4042</v>
          </cell>
          <cell r="C8210" t="str">
            <v>BANCO DO BRASIL S/A</v>
          </cell>
          <cell r="D8210" t="str">
            <v>BANCO DO BRASIL S/A</v>
          </cell>
          <cell r="E8210" t="str">
            <v>BANCO DO BRASIL S/A</v>
          </cell>
        </row>
        <row r="8211">
          <cell r="B8211">
            <v>4048</v>
          </cell>
          <cell r="C8211" t="str">
            <v>BANCO ITAU BBA S/A</v>
          </cell>
          <cell r="D8211" t="str">
            <v>BANCO ITAU BBA S/A</v>
          </cell>
          <cell r="E8211" t="str">
            <v>BANCO ITAU BBA S/A</v>
          </cell>
        </row>
        <row r="8212">
          <cell r="B8212">
            <v>429</v>
          </cell>
          <cell r="C8212" t="str">
            <v>BANCO SANTANDER (BRASIL) S/A</v>
          </cell>
          <cell r="D8212" t="str">
            <v>BANCO SANTANDER (BRASIL) S/A</v>
          </cell>
          <cell r="E8212" t="str">
            <v>BANCO SANTANDER (BRASIL) S/A</v>
          </cell>
        </row>
        <row r="8213">
          <cell r="B8213">
            <v>430</v>
          </cell>
          <cell r="C8213" t="str">
            <v>BANCO SANTANDER (BRASIL) S/A</v>
          </cell>
          <cell r="D8213" t="str">
            <v>BANCO SANTANDER (BRASIL) S/A</v>
          </cell>
          <cell r="E8213" t="str">
            <v>BANCO SANTANDER (BRASIL) S/A</v>
          </cell>
        </row>
        <row r="8214">
          <cell r="B8214">
            <v>432</v>
          </cell>
          <cell r="C8214" t="str">
            <v>BANCO SANTANDER (BRASIL) S/A</v>
          </cell>
          <cell r="D8214" t="str">
            <v>BANCO SANTANDER (BRASIL) S/A</v>
          </cell>
          <cell r="E8214" t="str">
            <v>BANCO SANTANDER (BRASIL) S/A</v>
          </cell>
        </row>
        <row r="8215">
          <cell r="B8215">
            <v>40733</v>
          </cell>
          <cell r="C8215" t="str">
            <v>FLUSHING MEADOW FDO DE INVEST.MULTIMERCADO</v>
          </cell>
          <cell r="D8215" t="str">
            <v>FLUSHING MEADOW FDO DE INVEST.MULTIMERCADO</v>
          </cell>
          <cell r="E8215" t="str">
            <v>FLUSHING MEADOW FDO DE INVEST.MULTIMERCADO</v>
          </cell>
        </row>
        <row r="8216">
          <cell r="B8216">
            <v>40735</v>
          </cell>
          <cell r="C8216" t="str">
            <v>DREYFUS BRASCAN CINCINNATI FIF</v>
          </cell>
          <cell r="D8216" t="str">
            <v>DREYFUS BRASCAN CINCINNATI FIF</v>
          </cell>
          <cell r="E8216" t="str">
            <v>DREYFUS BRASCAN CINCINNATI FIF</v>
          </cell>
        </row>
        <row r="8217">
          <cell r="B8217">
            <v>40750</v>
          </cell>
          <cell r="C8217" t="str">
            <v>STUTTGART FDO. DE INV. EM T. E V. MOBLS.</v>
          </cell>
          <cell r="D8217" t="str">
            <v>STUTTGART FDO. DE INV. EM T. E V. MOBLS.</v>
          </cell>
          <cell r="E8217" t="str">
            <v>STUTTGART FDO. DE INV. EM T. E V. MOBLS.</v>
          </cell>
        </row>
        <row r="8218">
          <cell r="B8218">
            <v>435</v>
          </cell>
          <cell r="C8218" t="str">
            <v>BANCO SANTANDER (BRASIL) S/A</v>
          </cell>
          <cell r="D8218" t="str">
            <v>BANCO SANTANDER (BRASIL) S/A</v>
          </cell>
          <cell r="E8218" t="str">
            <v>BANCO SANTANDER (BRASIL) S/A</v>
          </cell>
        </row>
        <row r="8219">
          <cell r="B8219">
            <v>40800</v>
          </cell>
          <cell r="C8219" t="str">
            <v>HAMBURG FIT E VALORES MOBILIARIOS</v>
          </cell>
          <cell r="D8219" t="str">
            <v>HAMBURG FIT E VALORES MOBILIARIOS</v>
          </cell>
          <cell r="E8219" t="str">
            <v>HAMBURG FIT E VALORES MOBILIARIOS</v>
          </cell>
        </row>
        <row r="8220">
          <cell r="B8220">
            <v>40810</v>
          </cell>
          <cell r="C8220" t="str">
            <v>DREYFUS BRASCAN MIAMI FIF</v>
          </cell>
          <cell r="D8220" t="str">
            <v>DREYFUS BRASCAN MIAMI FIF</v>
          </cell>
          <cell r="E8220" t="str">
            <v>DREYFUS BRASCAN MIAMI FIF</v>
          </cell>
        </row>
        <row r="8221">
          <cell r="B8221">
            <v>40850</v>
          </cell>
          <cell r="C8221" t="str">
            <v>ROLAND GARROS FIF</v>
          </cell>
          <cell r="D8221" t="str">
            <v>ROLAND GARROS FIF</v>
          </cell>
          <cell r="E8221" t="str">
            <v>ROLAND GARROS FIF</v>
          </cell>
        </row>
        <row r="8222">
          <cell r="B8222">
            <v>436</v>
          </cell>
          <cell r="C8222" t="str">
            <v>BANCO SANTANDER (BRASIL) S/A</v>
          </cell>
          <cell r="D8222" t="str">
            <v>BANCO SANTANDER (BRASIL) S/A</v>
          </cell>
          <cell r="E8222" t="str">
            <v>BANCO SANTANDER (BRASIL) S/A</v>
          </cell>
        </row>
        <row r="8223">
          <cell r="B8223">
            <v>437</v>
          </cell>
          <cell r="C8223" t="str">
            <v>BANCO SANTANDER (BRASIL) S/A</v>
          </cell>
          <cell r="D8223" t="str">
            <v>BANCO SANTANDER (BRASIL) S/A</v>
          </cell>
          <cell r="E8223" t="str">
            <v>BANCO SANTANDER (BRASIL) S/A</v>
          </cell>
        </row>
        <row r="8224">
          <cell r="B8224">
            <v>441</v>
          </cell>
          <cell r="C8224" t="str">
            <v>BANCO SANTANDER (BRASIL) S/A</v>
          </cell>
          <cell r="D8224" t="str">
            <v>BANCO SANTANDER (BRASIL) S/A</v>
          </cell>
          <cell r="E8224" t="str">
            <v>BANCO SANTANDER (BRASIL) S/A</v>
          </cell>
        </row>
        <row r="8225">
          <cell r="B8225">
            <v>41132</v>
          </cell>
          <cell r="C8225" t="str">
            <v>USINA STA RITA AGROP CORREGO RICO LTDA</v>
          </cell>
          <cell r="D8225" t="str">
            <v>USINA STA RITA AGROP CORREGO RICO LTDA</v>
          </cell>
          <cell r="E8225" t="str">
            <v>USINA STA RITA AGROP CORREGO RICO LTDA</v>
          </cell>
        </row>
        <row r="8226">
          <cell r="B8226">
            <v>443</v>
          </cell>
          <cell r="C8226" t="str">
            <v>BANCO SANTANDER (BRASIL) S/A</v>
          </cell>
          <cell r="D8226" t="str">
            <v>BANCO SANTANDER (BRASIL) S/A</v>
          </cell>
          <cell r="E8226" t="str">
            <v>BANCO SANTANDER (BRASIL) S/A</v>
          </cell>
        </row>
        <row r="8227">
          <cell r="B8227">
            <v>444</v>
          </cell>
          <cell r="C8227" t="str">
            <v>BANCO SANTANDER (BRASIL) S/A</v>
          </cell>
          <cell r="D8227" t="str">
            <v>BANCO SANTANDER (BRASIL) S/A</v>
          </cell>
          <cell r="E8227" t="str">
            <v>BANCO SANTANDER (BRASIL) S/A</v>
          </cell>
        </row>
        <row r="8228">
          <cell r="B8228">
            <v>447</v>
          </cell>
          <cell r="C8228" t="str">
            <v>BANCO SANTANDER (BRASIL) S/A</v>
          </cell>
          <cell r="D8228" t="str">
            <v>BANCO SANTANDER (BRASIL) S/A</v>
          </cell>
          <cell r="E8228" t="str">
            <v>BANCO SANTANDER (BRASIL) S/A</v>
          </cell>
        </row>
        <row r="8229">
          <cell r="B8229">
            <v>448</v>
          </cell>
          <cell r="C8229" t="str">
            <v>BANCO SANTANDER (BRASIL) S/A</v>
          </cell>
          <cell r="D8229" t="str">
            <v>BANCO SANTANDER (BRASIL) S/A</v>
          </cell>
          <cell r="E8229" t="str">
            <v>BANCO SANTANDER (BRASIL) S/A</v>
          </cell>
        </row>
        <row r="8230">
          <cell r="B8230">
            <v>450</v>
          </cell>
          <cell r="C8230" t="str">
            <v>BANCO SANTANDER (BRASIL) S/A</v>
          </cell>
          <cell r="D8230" t="str">
            <v>BANCO SANTANDER (BRASIL) S/A</v>
          </cell>
          <cell r="E8230" t="str">
            <v>BANCO SANTANDER (BRASIL) S/A</v>
          </cell>
        </row>
        <row r="8231">
          <cell r="B8231">
            <v>451</v>
          </cell>
          <cell r="C8231" t="str">
            <v>BANCO SANTANDER (BRASIL) S/A</v>
          </cell>
          <cell r="D8231" t="str">
            <v>BANCO SANTANDER (BRASIL) S/A</v>
          </cell>
          <cell r="E8231" t="str">
            <v>BANCO SANTANDER (BRASIL) S/A</v>
          </cell>
        </row>
        <row r="8232">
          <cell r="B8232">
            <v>452</v>
          </cell>
          <cell r="C8232" t="str">
            <v>BANCO SANTANDER (BRASIL) S/A</v>
          </cell>
          <cell r="D8232" t="str">
            <v>BANCO SANTANDER (BRASIL) S/A</v>
          </cell>
          <cell r="E8232" t="str">
            <v>BANCO SANTANDER (BRASIL) S/A</v>
          </cell>
        </row>
        <row r="8233">
          <cell r="B8233">
            <v>42</v>
          </cell>
          <cell r="C8233" t="str">
            <v>PERSONALE BRAVO FUNDO DE INVESTIMENTO MULTIMERCADO</v>
          </cell>
          <cell r="D8233" t="str">
            <v>PERSONALE BRAVO FUNDO DE INVESTIMENTO MULTIMERCADO</v>
          </cell>
          <cell r="E8233" t="str">
            <v>PERSONALE CONSULTORIA E GESTAO DE CARTEIRAS LTDA</v>
          </cell>
        </row>
        <row r="8234">
          <cell r="B8234">
            <v>42001</v>
          </cell>
          <cell r="C8234" t="str">
            <v>LEBLON EQUITIES HEDGE MASTER FIA</v>
          </cell>
          <cell r="D8234" t="str">
            <v>LEBLON EQUITIES HEDGE MASTER FIA</v>
          </cell>
          <cell r="E8234" t="str">
            <v>LEBLON EQUITIES HEDGE MASTER FIA</v>
          </cell>
        </row>
        <row r="8235">
          <cell r="B8235">
            <v>42002</v>
          </cell>
          <cell r="C8235" t="str">
            <v>LEBLON AÃ‡Ã•ES MASTER FIA</v>
          </cell>
          <cell r="D8235" t="str">
            <v>LEBLON AÃ‡Ã•ES MASTER FIA</v>
          </cell>
          <cell r="E8235" t="str">
            <v>LEBLON AÃ‡Ã•ES MASTER FIA</v>
          </cell>
        </row>
        <row r="8236">
          <cell r="B8236">
            <v>42003</v>
          </cell>
          <cell r="C8236" t="str">
            <v>LEBLON EQUITIES PARTNERS FIM IE</v>
          </cell>
          <cell r="D8236" t="str">
            <v>LEBLON EQUITIES PARTNERS FIM IE</v>
          </cell>
          <cell r="E8236" t="str">
            <v>LEBLON EQUITIES PARTNERS FIM IE</v>
          </cell>
        </row>
        <row r="8237">
          <cell r="B8237">
            <v>42009</v>
          </cell>
          <cell r="C8237" t="str">
            <v>BANCO ABN AMRO REAL S/A</v>
          </cell>
          <cell r="D8237" t="str">
            <v>BANCO ABN AMRO REAL S/A</v>
          </cell>
          <cell r="E8237" t="str">
            <v>BANCO ABN AMRO S/A</v>
          </cell>
        </row>
        <row r="8238">
          <cell r="B8238">
            <v>42015</v>
          </cell>
          <cell r="C8238" t="str">
            <v>BANCO ABN AMRO REAL S/A</v>
          </cell>
          <cell r="D8238" t="str">
            <v>BANCO ABN AMRO REAL S/A</v>
          </cell>
          <cell r="E8238" t="str">
            <v>BANCO ABN AMRO S/A</v>
          </cell>
        </row>
        <row r="8239">
          <cell r="B8239">
            <v>42018</v>
          </cell>
          <cell r="C8239" t="str">
            <v>BANCO ABN AMRO REAL S/A</v>
          </cell>
          <cell r="D8239" t="str">
            <v>BANCO ABN AMRO REAL S/A</v>
          </cell>
          <cell r="E8239" t="str">
            <v>BANCO ABN AMRO S/A</v>
          </cell>
        </row>
        <row r="8240">
          <cell r="B8240">
            <v>42020</v>
          </cell>
          <cell r="C8240" t="str">
            <v>BANCO ABN AMRO REAL S/A</v>
          </cell>
          <cell r="D8240" t="str">
            <v>BANCO ABN AMRO REAL S/A</v>
          </cell>
          <cell r="E8240" t="str">
            <v>BANCO ABN AMRO S/A</v>
          </cell>
        </row>
        <row r="8241">
          <cell r="B8241">
            <v>42030</v>
          </cell>
          <cell r="C8241" t="str">
            <v>BANCO ABN AMRO REAL S/A</v>
          </cell>
          <cell r="D8241" t="str">
            <v>BANCO ABN AMRO REAL S/A</v>
          </cell>
          <cell r="E8241" t="str">
            <v>BANCO ABN AMRO S/A</v>
          </cell>
        </row>
        <row r="8242">
          <cell r="B8242">
            <v>42040</v>
          </cell>
          <cell r="C8242" t="str">
            <v>BANCO ABN AMRO REAL S/A</v>
          </cell>
          <cell r="D8242" t="str">
            <v>BANCO ABN AMRO REAL S/A</v>
          </cell>
          <cell r="E8242" t="str">
            <v>BANCO ABN AMRO S/A</v>
          </cell>
        </row>
        <row r="8243">
          <cell r="B8243">
            <v>42058</v>
          </cell>
          <cell r="C8243" t="str">
            <v>BANCO ABN AMRO REAL S/A</v>
          </cell>
          <cell r="D8243" t="str">
            <v>BANCO ABN AMRO REAL S/A</v>
          </cell>
          <cell r="E8243" t="str">
            <v>BANCO ABN AMRO S/A</v>
          </cell>
        </row>
        <row r="8244">
          <cell r="B8244">
            <v>42088</v>
          </cell>
          <cell r="C8244" t="str">
            <v>BANCO ABN AMRO REAL S/A</v>
          </cell>
          <cell r="D8244" t="str">
            <v>BANCO ABN AMRO REAL S/A</v>
          </cell>
          <cell r="E8244" t="str">
            <v>BANCO ABN AMRO S/A</v>
          </cell>
        </row>
        <row r="8245">
          <cell r="B8245">
            <v>42127</v>
          </cell>
          <cell r="C8245" t="str">
            <v>BANCO ABN AMRO REAL S/A</v>
          </cell>
          <cell r="D8245" t="str">
            <v>BANCO ABN AMRO REAL S/A</v>
          </cell>
          <cell r="E8245" t="str">
            <v>BANCO ABN AMRO S/A</v>
          </cell>
        </row>
        <row r="8246">
          <cell r="B8246">
            <v>42129</v>
          </cell>
          <cell r="C8246" t="str">
            <v>BANCO ABN AMRO REAL S/A</v>
          </cell>
          <cell r="D8246" t="str">
            <v>BANCO ABN AMRO REAL S/A</v>
          </cell>
          <cell r="E8246" t="str">
            <v>BANCO ABN AMRO S/A</v>
          </cell>
        </row>
        <row r="8247">
          <cell r="B8247">
            <v>42145</v>
          </cell>
          <cell r="C8247" t="str">
            <v>BANCO ABN AMRO REAL S/A</v>
          </cell>
          <cell r="D8247" t="str">
            <v>BANCO ABN AMRO REAL S/A</v>
          </cell>
          <cell r="E8247" t="str">
            <v>BANCO ABN AMRO S/A</v>
          </cell>
        </row>
        <row r="8248">
          <cell r="B8248">
            <v>42149</v>
          </cell>
          <cell r="C8248" t="str">
            <v>BANCO ABN AMRO REAL S/A</v>
          </cell>
          <cell r="D8248" t="str">
            <v>BANCO ABN AMRO REAL S/A</v>
          </cell>
          <cell r="E8248" t="str">
            <v>BANCO ABN AMRO S/A</v>
          </cell>
        </row>
        <row r="8249">
          <cell r="B8249">
            <v>42153</v>
          </cell>
          <cell r="C8249" t="str">
            <v>BANCO ABN AMRO REAL S/A</v>
          </cell>
          <cell r="D8249" t="str">
            <v>BANCO ABN AMRO REAL S/A</v>
          </cell>
          <cell r="E8249" t="str">
            <v>BANCO ABN AMRO S/A</v>
          </cell>
        </row>
        <row r="8250">
          <cell r="B8250">
            <v>42154</v>
          </cell>
          <cell r="C8250" t="str">
            <v>BANCO ABN AMRO REAL S/A</v>
          </cell>
          <cell r="D8250" t="str">
            <v>BANCO ABN AMRO REAL S/A</v>
          </cell>
          <cell r="E8250" t="str">
            <v>BANCO ABN AMRO S/A</v>
          </cell>
        </row>
        <row r="8251">
          <cell r="B8251">
            <v>42162</v>
          </cell>
          <cell r="C8251" t="str">
            <v>BANCO ABN AMRO REAL S/A</v>
          </cell>
          <cell r="D8251" t="str">
            <v>BANCO ABN AMRO REAL S/A</v>
          </cell>
          <cell r="E8251" t="str">
            <v>BANCO ABN AMRO S/A</v>
          </cell>
        </row>
        <row r="8252">
          <cell r="B8252">
            <v>42179</v>
          </cell>
          <cell r="C8252" t="str">
            <v>BANCO ABN AMRO REAL S/A</v>
          </cell>
          <cell r="D8252" t="str">
            <v>BANCO ABN AMRO REAL S/A</v>
          </cell>
          <cell r="E8252" t="str">
            <v>BANCO ABN AMRO S/A</v>
          </cell>
        </row>
        <row r="8253">
          <cell r="B8253">
            <v>42189</v>
          </cell>
          <cell r="C8253" t="str">
            <v>BANCO ABN AMRO REAL S/A</v>
          </cell>
          <cell r="D8253" t="str">
            <v>BANCO ABN AMRO REAL S/A</v>
          </cell>
          <cell r="E8253" t="str">
            <v>BANCO ABN AMRO S/A</v>
          </cell>
        </row>
        <row r="8254">
          <cell r="B8254">
            <v>42190</v>
          </cell>
          <cell r="C8254" t="str">
            <v>BANCO ABN AMRO REAL S/A</v>
          </cell>
          <cell r="D8254" t="str">
            <v>BANCO ABN AMRO REAL S/A</v>
          </cell>
          <cell r="E8254" t="str">
            <v>BANCO ABN AMRO S/A</v>
          </cell>
        </row>
        <row r="8255">
          <cell r="B8255">
            <v>42193</v>
          </cell>
          <cell r="C8255" t="str">
            <v>BANCO ABN AMRO REAL S/A</v>
          </cell>
          <cell r="D8255" t="str">
            <v>BANCO ABN AMRO REAL S/A</v>
          </cell>
          <cell r="E8255" t="str">
            <v>BANCO ABN AMRO S/A</v>
          </cell>
        </row>
        <row r="8256">
          <cell r="B8256">
            <v>42194</v>
          </cell>
          <cell r="C8256" t="str">
            <v>BANCO ABN AMRO REAL S/A</v>
          </cell>
          <cell r="D8256" t="str">
            <v>BANCO ABN AMRO REAL S/A</v>
          </cell>
          <cell r="E8256" t="str">
            <v>BANCO ABN AMRO S/A</v>
          </cell>
        </row>
        <row r="8257">
          <cell r="B8257">
            <v>453</v>
          </cell>
          <cell r="C8257" t="str">
            <v>BANCO SANTANDER (BRASIL) S/A</v>
          </cell>
          <cell r="D8257" t="str">
            <v>BANCO SANTANDER (BRASIL) S/A</v>
          </cell>
          <cell r="E8257" t="str">
            <v>BANCO SANTANDER (BRASIL) S/A</v>
          </cell>
        </row>
        <row r="8258">
          <cell r="B8258">
            <v>42210</v>
          </cell>
          <cell r="C8258" t="str">
            <v>BANCO ABN AMRO REAL S/A</v>
          </cell>
          <cell r="D8258" t="str">
            <v>BANCO ABN AMRO REAL S/A</v>
          </cell>
          <cell r="E8258" t="str">
            <v>BANCO ABN AMRO S/A</v>
          </cell>
        </row>
        <row r="8259">
          <cell r="B8259">
            <v>42213</v>
          </cell>
          <cell r="C8259" t="str">
            <v>BANCO ABN AMRO REAL S/A</v>
          </cell>
          <cell r="D8259" t="str">
            <v>BANCO ABN AMRO REAL S/A</v>
          </cell>
          <cell r="E8259" t="str">
            <v>BANCO ABN AMRO S/A</v>
          </cell>
        </row>
        <row r="8260">
          <cell r="B8260">
            <v>42217</v>
          </cell>
          <cell r="C8260" t="str">
            <v>BANCO ABN AMRO REAL S/A</v>
          </cell>
          <cell r="D8260" t="str">
            <v>BANCO ABN AMRO REAL S/A</v>
          </cell>
          <cell r="E8260" t="str">
            <v>BANCO ABN AMRO S/A</v>
          </cell>
        </row>
        <row r="8261">
          <cell r="B8261">
            <v>42224</v>
          </cell>
          <cell r="C8261" t="str">
            <v>BANCO ABN AMRO REAL S/A</v>
          </cell>
          <cell r="D8261" t="str">
            <v>BANCO ABN AMRO REAL S/A</v>
          </cell>
          <cell r="E8261" t="str">
            <v>BANCO ABN AMRO S/A</v>
          </cell>
        </row>
        <row r="8262">
          <cell r="B8262">
            <v>42249</v>
          </cell>
          <cell r="C8262" t="str">
            <v>BANCO ABN AMRO REAL S/A</v>
          </cell>
          <cell r="D8262" t="str">
            <v>BANCO ABN AMRO REAL S/A</v>
          </cell>
          <cell r="E8262" t="str">
            <v>BANCO ABN AMRO S/A</v>
          </cell>
        </row>
        <row r="8263">
          <cell r="B8263">
            <v>42250</v>
          </cell>
          <cell r="C8263" t="str">
            <v>BANCO ABN AMRO REAL S/A</v>
          </cell>
          <cell r="D8263" t="str">
            <v>BANCO ABN AMRO REAL S/A</v>
          </cell>
          <cell r="E8263" t="str">
            <v>BANCO ABN AMRO S/A</v>
          </cell>
        </row>
        <row r="8264">
          <cell r="B8264">
            <v>42260</v>
          </cell>
          <cell r="C8264" t="str">
            <v>BANCO ABN AMRO REAL S/A</v>
          </cell>
          <cell r="D8264" t="str">
            <v>BANCO ABN AMRO REAL S/A</v>
          </cell>
          <cell r="E8264" t="str">
            <v>BANCO ABN AMRO S/A</v>
          </cell>
        </row>
        <row r="8265">
          <cell r="B8265">
            <v>42270</v>
          </cell>
          <cell r="C8265" t="str">
            <v>BANCO ABN AMRO REAL S/A</v>
          </cell>
          <cell r="D8265" t="str">
            <v>BANCO ABN AMRO REAL S/A</v>
          </cell>
          <cell r="E8265" t="str">
            <v>BANCO ABN AMRO S/A</v>
          </cell>
        </row>
        <row r="8266">
          <cell r="B8266">
            <v>42299</v>
          </cell>
          <cell r="C8266" t="str">
            <v>BANCO ABN AMRO REAL S/A</v>
          </cell>
          <cell r="D8266" t="str">
            <v>BANCO ABN AMRO REAL S/A</v>
          </cell>
          <cell r="E8266" t="str">
            <v>BANCO ABN AMRO S/A</v>
          </cell>
        </row>
        <row r="8267">
          <cell r="B8267">
            <v>454</v>
          </cell>
          <cell r="C8267" t="str">
            <v>BANCO SANTANDER (BRASIL) S/A</v>
          </cell>
          <cell r="D8267" t="str">
            <v>BANCO SANTANDER (BRASIL) S/A</v>
          </cell>
          <cell r="E8267" t="str">
            <v>BANCO SANTANDER (BRASIL) S/A</v>
          </cell>
        </row>
        <row r="8268">
          <cell r="B8268">
            <v>42310</v>
          </cell>
          <cell r="C8268" t="str">
            <v>BANCO ABN AMRO REAL S/A</v>
          </cell>
          <cell r="D8268" t="str">
            <v>BANCO ABN AMRO REAL S/A</v>
          </cell>
          <cell r="E8268" t="str">
            <v>BANCO ABN AMRO S/A</v>
          </cell>
        </row>
        <row r="8269">
          <cell r="B8269">
            <v>42315</v>
          </cell>
          <cell r="C8269" t="str">
            <v>BANCO ABN AMRO REAL S/A</v>
          </cell>
          <cell r="D8269" t="str">
            <v>BANCO ABN AMRO REAL S/A</v>
          </cell>
          <cell r="E8269" t="str">
            <v>BANCO ABN AMRO S/A</v>
          </cell>
        </row>
        <row r="8270">
          <cell r="B8270">
            <v>42319</v>
          </cell>
          <cell r="C8270" t="str">
            <v>BANCO ABN AMRO REAL S/A</v>
          </cell>
          <cell r="D8270" t="str">
            <v>BANCO ABN AMRO REAL S/A</v>
          </cell>
          <cell r="E8270" t="str">
            <v>BANCO ABN AMRO S/A</v>
          </cell>
        </row>
        <row r="8271">
          <cell r="B8271">
            <v>42320</v>
          </cell>
          <cell r="C8271" t="str">
            <v>BANCO ABN AMRO REAL S/A</v>
          </cell>
          <cell r="D8271" t="str">
            <v>BANCO ABN AMRO REAL S/A</v>
          </cell>
          <cell r="E8271" t="str">
            <v>BANCO ABN AMRO S/A</v>
          </cell>
        </row>
        <row r="8272">
          <cell r="B8272">
            <v>42342</v>
          </cell>
          <cell r="C8272" t="str">
            <v>BANCO ABN AMRO REAL S/A</v>
          </cell>
          <cell r="D8272" t="str">
            <v>BANCO ABN AMRO REAL S/A</v>
          </cell>
          <cell r="E8272" t="str">
            <v>BANCO ABN AMRO S/A</v>
          </cell>
        </row>
        <row r="8273">
          <cell r="B8273">
            <v>42343</v>
          </cell>
          <cell r="C8273" t="str">
            <v>BANCO ABN AMRO REAL S/A</v>
          </cell>
          <cell r="D8273" t="str">
            <v>BANCO ABN AMRO REAL S/A</v>
          </cell>
          <cell r="E8273" t="str">
            <v>BANCO ABN AMRO S/A</v>
          </cell>
        </row>
        <row r="8274">
          <cell r="B8274">
            <v>42344</v>
          </cell>
          <cell r="C8274" t="str">
            <v>BANCO ABN AMRO REAL S/A</v>
          </cell>
          <cell r="D8274" t="str">
            <v>BANCO ABN AMRO REAL S/A</v>
          </cell>
          <cell r="E8274" t="str">
            <v>BANCO ABN AMRO S/A</v>
          </cell>
        </row>
        <row r="8275">
          <cell r="B8275">
            <v>42348</v>
          </cell>
          <cell r="C8275" t="str">
            <v>BANCO ABN AMRO REAL S/A</v>
          </cell>
          <cell r="D8275" t="str">
            <v>BANCO ABN AMRO REAL S/A</v>
          </cell>
          <cell r="E8275" t="str">
            <v>BANCO ABN AMRO S/A</v>
          </cell>
        </row>
        <row r="8276">
          <cell r="B8276">
            <v>42349</v>
          </cell>
          <cell r="C8276" t="str">
            <v>BANCO ABN AMRO REAL S/A</v>
          </cell>
          <cell r="D8276" t="str">
            <v>BANCO ABN AMRO REAL S/A</v>
          </cell>
          <cell r="E8276" t="str">
            <v>BANCO ABN AMRO S/A</v>
          </cell>
        </row>
        <row r="8277">
          <cell r="B8277">
            <v>42350</v>
          </cell>
          <cell r="C8277" t="str">
            <v>GILBERTO BRAZ DA CUNHA FILHO</v>
          </cell>
          <cell r="D8277" t="str">
            <v>GILBERTO BRAZ DA CUNHA FILHO</v>
          </cell>
          <cell r="E8277" t="str">
            <v>GILBERTO BRAZ DA CUNHA FILHO</v>
          </cell>
        </row>
        <row r="8278">
          <cell r="B8278">
            <v>42356</v>
          </cell>
          <cell r="C8278" t="str">
            <v>MARCELO AUGUSTO LUSTOSA DE SOUZA</v>
          </cell>
          <cell r="D8278" t="str">
            <v>MARCELO AUGUSTO LUSTOSA DE SOUZA</v>
          </cell>
          <cell r="E8278" t="str">
            <v>MARCELO AUGUSTO LUSTOSA DE SOUZA</v>
          </cell>
        </row>
        <row r="8279">
          <cell r="B8279">
            <v>42357</v>
          </cell>
          <cell r="C8279" t="str">
            <v>KATIA GARCIA ALVES</v>
          </cell>
          <cell r="D8279" t="str">
            <v>KATIA GARCIA ALVES</v>
          </cell>
          <cell r="E8279" t="str">
            <v>KATIA GARCIA ALVES</v>
          </cell>
        </row>
        <row r="8280">
          <cell r="B8280">
            <v>42358</v>
          </cell>
          <cell r="C8280" t="str">
            <v>BANCO ABN AMRO REAL S/A</v>
          </cell>
          <cell r="D8280" t="str">
            <v>BANCO ABN AMRO REAL S/A</v>
          </cell>
          <cell r="E8280" t="str">
            <v>BANCO ABN AMRO S/A</v>
          </cell>
        </row>
        <row r="8281">
          <cell r="B8281">
            <v>42359</v>
          </cell>
          <cell r="C8281" t="str">
            <v>BANCO ABN AMRO REAL S/A</v>
          </cell>
          <cell r="D8281" t="str">
            <v>BANCO ABN AMRO REAL S/A</v>
          </cell>
          <cell r="E8281" t="str">
            <v>BANCO ABN AMRO S/A</v>
          </cell>
        </row>
        <row r="8282">
          <cell r="B8282">
            <v>42361</v>
          </cell>
          <cell r="C8282" t="str">
            <v>BANCO ABN AMRO REAL S/A</v>
          </cell>
          <cell r="D8282" t="str">
            <v>BANCO ABN AMRO REAL S/A</v>
          </cell>
          <cell r="E8282" t="str">
            <v>BANCO ABN AMRO S/A</v>
          </cell>
        </row>
        <row r="8283">
          <cell r="B8283">
            <v>42363</v>
          </cell>
          <cell r="C8283" t="str">
            <v>BANCO ABN AMRO REAL S/A</v>
          </cell>
          <cell r="D8283" t="str">
            <v>BANCO ABN AMRO REAL S/A</v>
          </cell>
          <cell r="E8283" t="str">
            <v>BANCO ABN AMRO S/A</v>
          </cell>
        </row>
        <row r="8284">
          <cell r="B8284">
            <v>455</v>
          </cell>
          <cell r="C8284" t="str">
            <v>BANCO SANTANDER (BRASIL) S/A</v>
          </cell>
          <cell r="D8284" t="str">
            <v>BANCO SANTANDER (BRASIL) S/A</v>
          </cell>
          <cell r="E8284" t="str">
            <v>BANCO SANTANDER (BRASIL) S/A</v>
          </cell>
        </row>
        <row r="8285">
          <cell r="B8285">
            <v>42415</v>
          </cell>
          <cell r="C8285" t="str">
            <v>BANCO ABN AMRO REAL S/A</v>
          </cell>
          <cell r="D8285" t="str">
            <v>BANCO ABN AMRO REAL S/A</v>
          </cell>
          <cell r="E8285" t="str">
            <v>BANCO ABN AMRO S/A</v>
          </cell>
        </row>
        <row r="8286">
          <cell r="B8286">
            <v>42421</v>
          </cell>
          <cell r="C8286" t="str">
            <v>BANCO ABN AMRO REAL S/A</v>
          </cell>
          <cell r="D8286" t="str">
            <v>BANCO ABN AMRO REAL S/A</v>
          </cell>
          <cell r="E8286" t="str">
            <v>BANCO ABN AMRO S/A</v>
          </cell>
        </row>
        <row r="8287">
          <cell r="B8287">
            <v>42422</v>
          </cell>
          <cell r="C8287" t="str">
            <v>BANCO ABN AMRO REAL S/A</v>
          </cell>
          <cell r="D8287" t="str">
            <v>BANCO ABN AMRO REAL S/A</v>
          </cell>
          <cell r="E8287" t="str">
            <v>BANCO ABN AMRO S/A</v>
          </cell>
        </row>
        <row r="8288">
          <cell r="B8288">
            <v>42423</v>
          </cell>
          <cell r="C8288" t="str">
            <v>BANCO ABN AMRO REAL S/A</v>
          </cell>
          <cell r="D8288" t="str">
            <v>BANCO ABN AMRO REAL S/A</v>
          </cell>
          <cell r="E8288" t="str">
            <v>BANCO ABN AMRO S/A</v>
          </cell>
        </row>
        <row r="8289">
          <cell r="B8289">
            <v>456</v>
          </cell>
          <cell r="C8289" t="str">
            <v>BANCO SANTANDER (BRASIL) S/A</v>
          </cell>
          <cell r="D8289" t="str">
            <v>BANCO SANTANDER (BRASIL) S/A</v>
          </cell>
          <cell r="E8289" t="str">
            <v>BANCO SANTANDER (BRASIL) S/A</v>
          </cell>
        </row>
        <row r="8290">
          <cell r="B8290">
            <v>79979</v>
          </cell>
          <cell r="C8290" t="str">
            <v>BANCO COOPERATIVO SICREDI S/A</v>
          </cell>
          <cell r="D8290" t="str">
            <v>BANCO COOPERATIVO SICREDI S/A</v>
          </cell>
          <cell r="E8290" t="str">
            <v>BANCO COOPERATIVO SICREDI S/A</v>
          </cell>
        </row>
        <row r="8291">
          <cell r="B8291">
            <v>42567</v>
          </cell>
          <cell r="C8291" t="str">
            <v>FI RF TITULOS PUBLICOS</v>
          </cell>
          <cell r="D8291" t="str">
            <v>FI RF TITULOS PUBLICOS</v>
          </cell>
          <cell r="E8291" t="str">
            <v>FI RF TITULOS PUBLICOS</v>
          </cell>
        </row>
        <row r="8292">
          <cell r="B8292">
            <v>457</v>
          </cell>
          <cell r="C8292" t="str">
            <v>BANCO SANTANDER (BRASIL) S/A</v>
          </cell>
          <cell r="D8292" t="str">
            <v>BANCO SANTANDER (BRASIL) S/A</v>
          </cell>
          <cell r="E8292" t="str">
            <v>BANCO SANTANDER (BRASIL) S/A</v>
          </cell>
        </row>
        <row r="8293">
          <cell r="B8293">
            <v>458</v>
          </cell>
          <cell r="C8293" t="str">
            <v>BANCO SANTANDER (BRASIL) S/A</v>
          </cell>
          <cell r="D8293" t="str">
            <v>BANCO SANTANDER (BRASIL) S/A</v>
          </cell>
          <cell r="E8293" t="str">
            <v>BANCO SANTANDER (BRASIL) S/A</v>
          </cell>
        </row>
        <row r="8294">
          <cell r="B8294">
            <v>459</v>
          </cell>
          <cell r="C8294" t="str">
            <v>BANCO SANTANDER (BRASIL) S/A</v>
          </cell>
          <cell r="D8294" t="str">
            <v>BANCO SANTANDER (BRASIL) S/A</v>
          </cell>
          <cell r="E8294" t="str">
            <v>BANCO SANTANDER (BRASIL) S/A</v>
          </cell>
        </row>
        <row r="8295">
          <cell r="B8295">
            <v>460</v>
          </cell>
          <cell r="C8295" t="str">
            <v>BANCO SANTANDER (BRASIL) S/A</v>
          </cell>
          <cell r="D8295" t="str">
            <v>BANCO SANTANDER (BRASIL) S/A</v>
          </cell>
          <cell r="E8295" t="str">
            <v>BANCO SANTANDER (BRASIL) S/A</v>
          </cell>
        </row>
        <row r="8296">
          <cell r="B8296">
            <v>42900</v>
          </cell>
          <cell r="C8296" t="str">
            <v>BANCO ABN AMRO REAL S/A</v>
          </cell>
          <cell r="D8296" t="str">
            <v>BANCO ABN AMRO REAL S/A</v>
          </cell>
          <cell r="E8296" t="str">
            <v>BANCO ABN AMRO S/A</v>
          </cell>
        </row>
        <row r="8297">
          <cell r="B8297">
            <v>43</v>
          </cell>
          <cell r="C8297" t="str">
            <v>PERSONALE RADAR FIA</v>
          </cell>
          <cell r="D8297" t="str">
            <v>PERSONALE RADAR FIA</v>
          </cell>
          <cell r="E8297" t="str">
            <v>PERSONALE CONSULTORIA E GESTAO DE CARTEIRAS LTDA</v>
          </cell>
        </row>
        <row r="8298">
          <cell r="B8298">
            <v>461</v>
          </cell>
          <cell r="C8298" t="str">
            <v>BANCO SANTANDER (BRASIL) S/A</v>
          </cell>
          <cell r="D8298" t="str">
            <v>BANCO SANTANDER (BRASIL) S/A</v>
          </cell>
          <cell r="E8298" t="str">
            <v>BANCO SANTANDER (BRASIL) S/A</v>
          </cell>
        </row>
        <row r="8299">
          <cell r="B8299">
            <v>43000</v>
          </cell>
          <cell r="C8299" t="str">
            <v>BANCO ABN AMRO REAL S/A</v>
          </cell>
          <cell r="D8299" t="str">
            <v>BANCO ABN AMRO REAL S/A</v>
          </cell>
          <cell r="E8299" t="str">
            <v>BANCO ABN AMRO S/A</v>
          </cell>
        </row>
        <row r="8300">
          <cell r="B8300">
            <v>43001</v>
          </cell>
          <cell r="C8300" t="str">
            <v>BANCO ABN AMRO REAL S/A</v>
          </cell>
          <cell r="D8300" t="str">
            <v>BANCO ABN AMRO REAL S/A</v>
          </cell>
          <cell r="E8300" t="str">
            <v>BANCO ABN AMRO S/A</v>
          </cell>
        </row>
        <row r="8301">
          <cell r="B8301">
            <v>43002</v>
          </cell>
          <cell r="C8301" t="str">
            <v>BANCO ABN AMRO REAL S/A</v>
          </cell>
          <cell r="D8301" t="str">
            <v>BANCO ABN AMRO REAL S/A</v>
          </cell>
          <cell r="E8301" t="str">
            <v>BANCO ABN AMRO S/A</v>
          </cell>
        </row>
        <row r="8302">
          <cell r="B8302">
            <v>43003</v>
          </cell>
          <cell r="C8302" t="str">
            <v>BANCO ABN AMRO REAL S/A</v>
          </cell>
          <cell r="D8302" t="str">
            <v>BANCO ABN AMRO REAL S/A</v>
          </cell>
          <cell r="E8302" t="str">
            <v>BANCO ABN AMRO S/A</v>
          </cell>
        </row>
        <row r="8303">
          <cell r="B8303">
            <v>43011</v>
          </cell>
          <cell r="C8303" t="str">
            <v>BANCO ABN AMRO REAL S/A</v>
          </cell>
          <cell r="D8303" t="str">
            <v>BANCO ABN AMRO REAL S/A</v>
          </cell>
          <cell r="E8303" t="str">
            <v>BANCO ABN AMRO S/A</v>
          </cell>
        </row>
        <row r="8304">
          <cell r="B8304">
            <v>43021</v>
          </cell>
          <cell r="C8304" t="str">
            <v>BANCO ABN AMRO REAL S/A</v>
          </cell>
          <cell r="D8304" t="str">
            <v>BANCO ABN AMRO REAL S/A</v>
          </cell>
          <cell r="E8304" t="str">
            <v>BANCO ABN AMRO S/A</v>
          </cell>
        </row>
        <row r="8305">
          <cell r="B8305">
            <v>43024</v>
          </cell>
          <cell r="C8305" t="str">
            <v>BANCO ABN AMRO REAL S/A</v>
          </cell>
          <cell r="D8305" t="str">
            <v>BANCO ABN AMRO REAL S/A</v>
          </cell>
          <cell r="E8305" t="str">
            <v>BANCO ABN AMRO S/A</v>
          </cell>
        </row>
        <row r="8306">
          <cell r="B8306">
            <v>43095</v>
          </cell>
          <cell r="C8306" t="str">
            <v>BANCO ABN AMRO REAL S/A</v>
          </cell>
          <cell r="D8306" t="str">
            <v>BANCO ABN AMRO REAL S/A</v>
          </cell>
          <cell r="E8306" t="str">
            <v>BANCO ABN AMRO S/A</v>
          </cell>
        </row>
        <row r="8307">
          <cell r="B8307">
            <v>43111</v>
          </cell>
          <cell r="C8307" t="str">
            <v>BANCO ABN AMRO REAL S/A</v>
          </cell>
          <cell r="D8307" t="str">
            <v>BANCO ABN AMRO REAL S/A</v>
          </cell>
          <cell r="E8307" t="str">
            <v>BANCO ABN AMRO S/A</v>
          </cell>
        </row>
        <row r="8308">
          <cell r="B8308">
            <v>43140</v>
          </cell>
          <cell r="C8308" t="str">
            <v>BANCO ABN AMRO REAL S/A</v>
          </cell>
          <cell r="D8308" t="str">
            <v>BANCO ABN AMRO REAL S/A</v>
          </cell>
          <cell r="E8308" t="str">
            <v>BANCO ABN AMRO S/A</v>
          </cell>
        </row>
        <row r="8309">
          <cell r="B8309">
            <v>43141</v>
          </cell>
          <cell r="C8309" t="str">
            <v>BANCO ABN AMRO REAL S/A</v>
          </cell>
          <cell r="D8309" t="str">
            <v>BANCO ABN AMRO REAL S/A</v>
          </cell>
          <cell r="E8309" t="str">
            <v>BANCO ABN AMRO S/A</v>
          </cell>
        </row>
        <row r="8310">
          <cell r="B8310">
            <v>43144</v>
          </cell>
          <cell r="C8310" t="str">
            <v>BANCO ABN AMRO REAL S/A</v>
          </cell>
          <cell r="D8310" t="str">
            <v>BANCO ABN AMRO REAL S/A</v>
          </cell>
          <cell r="E8310" t="str">
            <v>BANCO ABN AMRO S/A</v>
          </cell>
        </row>
        <row r="8311">
          <cell r="B8311">
            <v>43148</v>
          </cell>
          <cell r="C8311" t="str">
            <v>BANCO ABN AMRO REAL S/A</v>
          </cell>
          <cell r="D8311" t="str">
            <v>BANCO ABN AMRO REAL S/A</v>
          </cell>
          <cell r="E8311" t="str">
            <v>BANCO ABN AMRO S/A</v>
          </cell>
        </row>
        <row r="8312">
          <cell r="B8312">
            <v>43158</v>
          </cell>
          <cell r="C8312" t="str">
            <v>BANCO ABN AMRO REAL S/A</v>
          </cell>
          <cell r="D8312" t="str">
            <v>BANCO ABN AMRO REAL S/A</v>
          </cell>
          <cell r="E8312" t="str">
            <v>BANCO ABN AMRO S/A</v>
          </cell>
        </row>
        <row r="8313">
          <cell r="B8313">
            <v>43175</v>
          </cell>
          <cell r="C8313" t="str">
            <v>BANCO ABN AMRO REAL S/A</v>
          </cell>
          <cell r="D8313" t="str">
            <v>BANCO ABN AMRO REAL S/A</v>
          </cell>
          <cell r="E8313" t="str">
            <v>BANCO ABN AMRO S/A</v>
          </cell>
        </row>
        <row r="8314">
          <cell r="B8314">
            <v>43176</v>
          </cell>
          <cell r="C8314" t="str">
            <v>BANCO ABN AMRO REAL S/A</v>
          </cell>
          <cell r="D8314" t="str">
            <v>BANCO ABN AMRO REAL S/A</v>
          </cell>
          <cell r="E8314" t="str">
            <v>BANCO ABN AMRO S/A</v>
          </cell>
        </row>
        <row r="8315">
          <cell r="B8315">
            <v>43184</v>
          </cell>
          <cell r="C8315" t="str">
            <v>BANCO ABN AMRO REAL S/A</v>
          </cell>
          <cell r="D8315" t="str">
            <v>BANCO ABN AMRO REAL S/A</v>
          </cell>
          <cell r="E8315" t="str">
            <v>BANCO ABN AMRO S/A</v>
          </cell>
        </row>
        <row r="8316">
          <cell r="B8316">
            <v>43189</v>
          </cell>
          <cell r="C8316" t="str">
            <v>BANCO ABN AMRO REAL S/A</v>
          </cell>
          <cell r="D8316" t="str">
            <v>BANCO ABN AMRO REAL S/A</v>
          </cell>
          <cell r="E8316" t="str">
            <v>BANCO ABN AMRO S/A</v>
          </cell>
        </row>
        <row r="8317">
          <cell r="B8317">
            <v>43197</v>
          </cell>
          <cell r="C8317" t="str">
            <v>BANCO ABN AMRO REAL S/A</v>
          </cell>
          <cell r="D8317" t="str">
            <v>BANCO ABN AMRO REAL S/A</v>
          </cell>
          <cell r="E8317" t="str">
            <v>BANCO ABN AMRO S/A</v>
          </cell>
        </row>
        <row r="8318">
          <cell r="B8318">
            <v>462</v>
          </cell>
          <cell r="C8318" t="str">
            <v>BANCO SANTANDER (BRASIL) S/A</v>
          </cell>
          <cell r="D8318" t="str">
            <v>BANCO SANTANDER (BRASIL) S/A</v>
          </cell>
          <cell r="E8318" t="str">
            <v>BANCO SANTANDER (BRASIL) S/A</v>
          </cell>
        </row>
        <row r="8319">
          <cell r="B8319">
            <v>43206</v>
          </cell>
          <cell r="C8319" t="str">
            <v>BANCO ABN AMRO REAL S/A</v>
          </cell>
          <cell r="D8319" t="str">
            <v>BANCO ABN AMRO REAL S/A</v>
          </cell>
          <cell r="E8319" t="str">
            <v>BANCO ABN AMRO S/A</v>
          </cell>
        </row>
        <row r="8320">
          <cell r="B8320">
            <v>43207</v>
          </cell>
          <cell r="C8320" t="str">
            <v>BANCO ABN AMRO REAL S/A</v>
          </cell>
          <cell r="D8320" t="str">
            <v>BANCO ABN AMRO REAL S/A</v>
          </cell>
          <cell r="E8320" t="str">
            <v>BANCO ABN AMRO S/A</v>
          </cell>
        </row>
        <row r="8321">
          <cell r="B8321">
            <v>43213</v>
          </cell>
          <cell r="C8321" t="str">
            <v>BANCO ABN AMRO REAL S/A</v>
          </cell>
          <cell r="D8321" t="str">
            <v>BANCO ABN AMRO REAL S/A</v>
          </cell>
          <cell r="E8321" t="str">
            <v>BANCO ABN AMRO S/A</v>
          </cell>
        </row>
        <row r="8322">
          <cell r="B8322">
            <v>43218</v>
          </cell>
          <cell r="C8322" t="str">
            <v>BANCO ABN AMRO REAL S/A</v>
          </cell>
          <cell r="D8322" t="str">
            <v>BANCO ABN AMRO REAL S/A</v>
          </cell>
          <cell r="E8322" t="str">
            <v>BANCO ABN AMRO S/A</v>
          </cell>
        </row>
        <row r="8323">
          <cell r="B8323">
            <v>43224</v>
          </cell>
          <cell r="C8323" t="str">
            <v>BANCO ABN AMRO REAL S/A</v>
          </cell>
          <cell r="D8323" t="str">
            <v>BANCO ABN AMRO REAL S/A</v>
          </cell>
          <cell r="E8323" t="str">
            <v>BANCO ABN AMRO S/A</v>
          </cell>
        </row>
        <row r="8324">
          <cell r="B8324">
            <v>43229</v>
          </cell>
          <cell r="C8324" t="str">
            <v>BANCO ABN AMRO REAL S/A</v>
          </cell>
          <cell r="D8324" t="str">
            <v>BANCO ABN AMRO REAL S/A</v>
          </cell>
          <cell r="E8324" t="str">
            <v>BANCO ABN AMRO S/A</v>
          </cell>
        </row>
        <row r="8325">
          <cell r="B8325">
            <v>43230</v>
          </cell>
          <cell r="C8325" t="str">
            <v>BANCO ABN AMRO REAL S/A</v>
          </cell>
          <cell r="D8325" t="str">
            <v>BANCO ABN AMRO REAL S/A</v>
          </cell>
          <cell r="E8325" t="str">
            <v>BANCO ABN AMRO S/A</v>
          </cell>
        </row>
        <row r="8326">
          <cell r="B8326">
            <v>43233</v>
          </cell>
          <cell r="C8326" t="str">
            <v>BANCO ABN AMRO REAL S/A</v>
          </cell>
          <cell r="D8326" t="str">
            <v>BANCO ABN AMRO REAL S/A</v>
          </cell>
          <cell r="E8326" t="str">
            <v>BANCO ABN AMRO S/A</v>
          </cell>
        </row>
        <row r="8327">
          <cell r="B8327">
            <v>43236</v>
          </cell>
          <cell r="C8327" t="str">
            <v>BANCO ABN AMRO REAL S/A</v>
          </cell>
          <cell r="D8327" t="str">
            <v>BANCO ABN AMRO REAL S/A</v>
          </cell>
          <cell r="E8327" t="str">
            <v>BANCO ABN AMRO S/A</v>
          </cell>
        </row>
        <row r="8328">
          <cell r="B8328">
            <v>43240</v>
          </cell>
          <cell r="C8328" t="str">
            <v>BANCO ABN AMRO REAL S/A</v>
          </cell>
          <cell r="D8328" t="str">
            <v>BANCO ABN AMRO REAL S/A</v>
          </cell>
          <cell r="E8328" t="str">
            <v>BANCO ABN AMRO S/A</v>
          </cell>
        </row>
        <row r="8329">
          <cell r="B8329">
            <v>43241</v>
          </cell>
          <cell r="C8329" t="str">
            <v>BANCO ABN AMRO REAL S/A</v>
          </cell>
          <cell r="D8329" t="str">
            <v>BANCO ABN AMRO REAL S/A</v>
          </cell>
          <cell r="E8329" t="str">
            <v>BANCO ABN AMRO S/A</v>
          </cell>
        </row>
        <row r="8330">
          <cell r="B8330">
            <v>43248</v>
          </cell>
          <cell r="C8330" t="str">
            <v>BANCO ABN AMRO REAL S/A</v>
          </cell>
          <cell r="D8330" t="str">
            <v>BANCO ABN AMRO REAL S/A</v>
          </cell>
          <cell r="E8330" t="str">
            <v>BANCO ABN AMRO S/A</v>
          </cell>
        </row>
        <row r="8331">
          <cell r="B8331">
            <v>43255</v>
          </cell>
          <cell r="C8331" t="str">
            <v>BANCO ABN AMRO REAL S/A</v>
          </cell>
          <cell r="D8331" t="str">
            <v>BANCO ABN AMRO REAL S/A</v>
          </cell>
          <cell r="E8331" t="str">
            <v>BANCO ABN AMRO S/A</v>
          </cell>
        </row>
        <row r="8332">
          <cell r="B8332">
            <v>43256</v>
          </cell>
          <cell r="C8332" t="str">
            <v>BANCO ABN AMRO REAL S/A</v>
          </cell>
          <cell r="D8332" t="str">
            <v>BANCO ABN AMRO REAL S/A</v>
          </cell>
          <cell r="E8332" t="str">
            <v>BANCO ABN AMRO S/A</v>
          </cell>
        </row>
        <row r="8333">
          <cell r="B8333">
            <v>43265</v>
          </cell>
          <cell r="C8333" t="str">
            <v>BANCO ABN AMRO REAL S/A</v>
          </cell>
          <cell r="D8333" t="str">
            <v>BANCO ABN AMRO REAL S/A</v>
          </cell>
          <cell r="E8333" t="str">
            <v>BANCO ABN AMRO S/A</v>
          </cell>
        </row>
        <row r="8334">
          <cell r="B8334">
            <v>43267</v>
          </cell>
          <cell r="C8334" t="str">
            <v>BANCO ABN AMRO REAL S/A</v>
          </cell>
          <cell r="D8334" t="str">
            <v>BANCO ABN AMRO REAL S/A</v>
          </cell>
          <cell r="E8334" t="str">
            <v>BANCO ABN AMRO S/A</v>
          </cell>
        </row>
        <row r="8335">
          <cell r="B8335">
            <v>43278</v>
          </cell>
          <cell r="C8335" t="str">
            <v>BANCO ABN AMRO REAL S/A</v>
          </cell>
          <cell r="D8335" t="str">
            <v>BANCO ABN AMRO REAL S/A</v>
          </cell>
          <cell r="E8335" t="str">
            <v>BANCO ABN AMRO S/A</v>
          </cell>
        </row>
        <row r="8336">
          <cell r="B8336">
            <v>43288</v>
          </cell>
          <cell r="C8336" t="str">
            <v>BANCO ABN AMRO REAL S/A</v>
          </cell>
          <cell r="D8336" t="str">
            <v>BANCO ABN AMRO REAL S/A</v>
          </cell>
          <cell r="E8336" t="str">
            <v>BANCO ABN AMRO S/A</v>
          </cell>
        </row>
        <row r="8337">
          <cell r="B8337">
            <v>43296</v>
          </cell>
          <cell r="C8337" t="str">
            <v>BANCO ABN AMRO REAL S/A</v>
          </cell>
          <cell r="D8337" t="str">
            <v>BANCO ABN AMRO REAL S/A</v>
          </cell>
          <cell r="E8337" t="str">
            <v>BANCO ABN AMRO S/A</v>
          </cell>
        </row>
        <row r="8338">
          <cell r="B8338">
            <v>43298</v>
          </cell>
          <cell r="C8338" t="str">
            <v>BANCO ABN AMRO REAL S/A</v>
          </cell>
          <cell r="D8338" t="str">
            <v>BANCO ABN AMRO REAL S/A</v>
          </cell>
          <cell r="E8338" t="str">
            <v>BANCO ABN AMRO S/A</v>
          </cell>
        </row>
        <row r="8339">
          <cell r="B8339">
            <v>43311</v>
          </cell>
          <cell r="C8339" t="str">
            <v>BANCO ABN AMRO REAL S/A</v>
          </cell>
          <cell r="D8339" t="str">
            <v>BANCO ABN AMRO REAL S/A</v>
          </cell>
          <cell r="E8339" t="str">
            <v>BANCO ABN AMRO S/A</v>
          </cell>
        </row>
        <row r="8340">
          <cell r="B8340">
            <v>4332</v>
          </cell>
          <cell r="C8340" t="str">
            <v>BANCO DE LA PROVINCIA DE BUENOS AIRES</v>
          </cell>
          <cell r="D8340" t="str">
            <v>BANCO DE LA PROVINCIA DE BUENOS AIRES</v>
          </cell>
          <cell r="E8340" t="str">
            <v>BANCO DE LA PROVINCIA DE BUENOS AIRES</v>
          </cell>
        </row>
        <row r="8341">
          <cell r="B8341">
            <v>43320</v>
          </cell>
          <cell r="C8341" t="str">
            <v>BANCO ABN AMRO REAL S/A</v>
          </cell>
          <cell r="D8341" t="str">
            <v>BANCO ABN AMRO REAL S/A</v>
          </cell>
          <cell r="E8341" t="str">
            <v>BANCO ABN AMRO S/A</v>
          </cell>
        </row>
        <row r="8342">
          <cell r="B8342">
            <v>43322</v>
          </cell>
          <cell r="C8342" t="str">
            <v>BANCO ABN AMRO REAL S/A</v>
          </cell>
          <cell r="D8342" t="str">
            <v>BANCO ABN AMRO REAL S/A</v>
          </cell>
          <cell r="E8342" t="str">
            <v>BANCO ABN AMRO S/A</v>
          </cell>
        </row>
        <row r="8343">
          <cell r="B8343">
            <v>43325</v>
          </cell>
          <cell r="C8343" t="str">
            <v>BANCO ABN AMRO REAL S/A</v>
          </cell>
          <cell r="D8343" t="str">
            <v>BANCO ABN AMRO REAL S/A</v>
          </cell>
          <cell r="E8343" t="str">
            <v>BANCO ABN AMRO S/A</v>
          </cell>
        </row>
        <row r="8344">
          <cell r="B8344">
            <v>43330</v>
          </cell>
          <cell r="C8344" t="str">
            <v>BANCO ABN AMRO REAL S/A</v>
          </cell>
          <cell r="D8344" t="str">
            <v>BANCO ABN AMRO REAL S/A</v>
          </cell>
          <cell r="E8344" t="str">
            <v>BANCO ABN AMRO S/A</v>
          </cell>
        </row>
        <row r="8345">
          <cell r="B8345">
            <v>43331</v>
          </cell>
          <cell r="C8345" t="str">
            <v>BANCO ABN AMRO REAL S/A</v>
          </cell>
          <cell r="D8345" t="str">
            <v>BANCO ABN AMRO REAL S/A</v>
          </cell>
          <cell r="E8345" t="str">
            <v>BANCO ABN AMRO S/A</v>
          </cell>
        </row>
        <row r="8346">
          <cell r="B8346">
            <v>43332</v>
          </cell>
          <cell r="C8346" t="str">
            <v>BANCO ABN AMRO REAL S/A</v>
          </cell>
          <cell r="D8346" t="str">
            <v>BANCO ABN AMRO REAL S/A</v>
          </cell>
          <cell r="E8346" t="str">
            <v>BANCO ABN AMRO S/A</v>
          </cell>
        </row>
        <row r="8347">
          <cell r="B8347">
            <v>43334</v>
          </cell>
          <cell r="C8347" t="str">
            <v>BANCO ABN AMRO REAL S/A</v>
          </cell>
          <cell r="D8347" t="str">
            <v>BANCO ABN AMRO REAL S/A</v>
          </cell>
          <cell r="E8347" t="str">
            <v>BANCO ABN AMRO S/A</v>
          </cell>
        </row>
        <row r="8348">
          <cell r="B8348">
            <v>43337</v>
          </cell>
          <cell r="C8348" t="str">
            <v>BANCO ABN AMRO REAL S/A</v>
          </cell>
          <cell r="D8348" t="str">
            <v>BANCO ABN AMRO REAL S/A</v>
          </cell>
          <cell r="E8348" t="str">
            <v>BANCO ABN AMRO S/A</v>
          </cell>
        </row>
        <row r="8349">
          <cell r="B8349">
            <v>43342</v>
          </cell>
          <cell r="C8349" t="str">
            <v>BANCO ABN AMRO REAL S/A</v>
          </cell>
          <cell r="D8349" t="str">
            <v>BANCO ABN AMRO REAL S/A</v>
          </cell>
          <cell r="E8349" t="str">
            <v>BANCO ABN AMRO S/A</v>
          </cell>
        </row>
        <row r="8350">
          <cell r="B8350">
            <v>43347</v>
          </cell>
          <cell r="C8350" t="str">
            <v>BANCO ABN AMRO REAL S/A</v>
          </cell>
          <cell r="D8350" t="str">
            <v>BANCO ABN AMRO REAL S/A</v>
          </cell>
          <cell r="E8350" t="str">
            <v>BANCO ABN AMRO S/A</v>
          </cell>
        </row>
        <row r="8351">
          <cell r="B8351">
            <v>43348</v>
          </cell>
          <cell r="C8351" t="str">
            <v>BANCO ABN AMRO REAL S/A</v>
          </cell>
          <cell r="D8351" t="str">
            <v>BANCO ABN AMRO REAL S/A</v>
          </cell>
          <cell r="E8351" t="str">
            <v>BANCO ABN AMRO S/A</v>
          </cell>
        </row>
        <row r="8352">
          <cell r="B8352">
            <v>43350</v>
          </cell>
          <cell r="C8352" t="str">
            <v>BANCO ABN AMRO REAL S/A</v>
          </cell>
          <cell r="D8352" t="str">
            <v>BANCO ABN AMRO REAL S/A</v>
          </cell>
          <cell r="E8352" t="str">
            <v>BANCO ABN AMRO S/A</v>
          </cell>
        </row>
        <row r="8353">
          <cell r="B8353">
            <v>43357</v>
          </cell>
          <cell r="C8353" t="str">
            <v>BANCO ABN AMRO REAL S/A</v>
          </cell>
          <cell r="D8353" t="str">
            <v>BANCO ABN AMRO REAL S/A</v>
          </cell>
          <cell r="E8353" t="str">
            <v>BANCO ABN AMRO S/A</v>
          </cell>
        </row>
        <row r="8354">
          <cell r="B8354">
            <v>43364</v>
          </cell>
          <cell r="C8354" t="str">
            <v>BANCO ABN AMRO REAL S/A</v>
          </cell>
          <cell r="D8354" t="str">
            <v>BANCO ABN AMRO REAL S/A</v>
          </cell>
          <cell r="E8354" t="str">
            <v>BANCO ABN AMRO S/A</v>
          </cell>
        </row>
        <row r="8355">
          <cell r="B8355">
            <v>43366</v>
          </cell>
          <cell r="C8355" t="str">
            <v>BANCO ABN AMRO REAL S/A</v>
          </cell>
          <cell r="D8355" t="str">
            <v>BANCO ABN AMRO REAL S/A</v>
          </cell>
          <cell r="E8355" t="str">
            <v>BANCO ABN AMRO S/A</v>
          </cell>
        </row>
        <row r="8356">
          <cell r="B8356">
            <v>43370</v>
          </cell>
          <cell r="C8356" t="str">
            <v>BANCO ABN AMRO REAL S/A</v>
          </cell>
          <cell r="D8356" t="str">
            <v>BANCO ABN AMRO REAL S/A</v>
          </cell>
          <cell r="E8356" t="str">
            <v>BANCO ABN AMRO S/A</v>
          </cell>
        </row>
        <row r="8357">
          <cell r="B8357">
            <v>43371</v>
          </cell>
          <cell r="C8357" t="str">
            <v>BANCO ABN AMRO REAL S/A</v>
          </cell>
          <cell r="D8357" t="str">
            <v>BANCO ABN AMRO REAL S/A</v>
          </cell>
          <cell r="E8357" t="str">
            <v>BANCO ABN AMRO S/A</v>
          </cell>
        </row>
        <row r="8358">
          <cell r="B8358">
            <v>43374</v>
          </cell>
          <cell r="C8358" t="str">
            <v>BANCO ABN AMRO REAL S/A</v>
          </cell>
          <cell r="D8358" t="str">
            <v>BANCO ABN AMRO REAL S/A</v>
          </cell>
          <cell r="E8358" t="str">
            <v>BANCO ABN AMRO S/A</v>
          </cell>
        </row>
        <row r="8359">
          <cell r="B8359">
            <v>43375</v>
          </cell>
          <cell r="C8359" t="str">
            <v>BANCO ABN AMRO REAL S/A</v>
          </cell>
          <cell r="D8359" t="str">
            <v>BANCO ABN AMRO REAL S/A</v>
          </cell>
          <cell r="E8359" t="str">
            <v>BANCO ABN AMRO S/A</v>
          </cell>
        </row>
        <row r="8360">
          <cell r="B8360">
            <v>43382</v>
          </cell>
          <cell r="C8360" t="str">
            <v>BANCO ABN AMRO REAL S/A</v>
          </cell>
          <cell r="D8360" t="str">
            <v>BANCO ABN AMRO REAL S/A</v>
          </cell>
          <cell r="E8360" t="str">
            <v>BANCO ABN AMRO S/A</v>
          </cell>
        </row>
        <row r="8361">
          <cell r="B8361">
            <v>43383</v>
          </cell>
          <cell r="C8361" t="str">
            <v>BANCO ABN AMRO REAL S/A</v>
          </cell>
          <cell r="D8361" t="str">
            <v>BANCO ABN AMRO REAL S/A</v>
          </cell>
          <cell r="E8361" t="str">
            <v>BANCO ABN AMRO S/A</v>
          </cell>
        </row>
        <row r="8362">
          <cell r="B8362">
            <v>43384</v>
          </cell>
          <cell r="C8362" t="str">
            <v>BANCO ABN AMRO REAL S/A</v>
          </cell>
          <cell r="D8362" t="str">
            <v>BANCO ABN AMRO REAL S/A</v>
          </cell>
          <cell r="E8362" t="str">
            <v>BANCO ABN AMRO S/A</v>
          </cell>
        </row>
        <row r="8363">
          <cell r="B8363">
            <v>43391</v>
          </cell>
          <cell r="C8363" t="str">
            <v>BANCO ABN AMRO REAL S/A</v>
          </cell>
          <cell r="D8363" t="str">
            <v>BANCO ABN AMRO REAL S/A</v>
          </cell>
          <cell r="E8363" t="str">
            <v>BANCO ABN AMRO S/A</v>
          </cell>
        </row>
        <row r="8364">
          <cell r="B8364">
            <v>43399</v>
          </cell>
          <cell r="C8364" t="str">
            <v>BANCO ABN AMRO REAL S/A</v>
          </cell>
          <cell r="D8364" t="str">
            <v>BANCO ABN AMRO REAL S/A</v>
          </cell>
          <cell r="E8364" t="str">
            <v>BANCO ABN AMRO S/A</v>
          </cell>
        </row>
        <row r="8365">
          <cell r="B8365">
            <v>43411</v>
          </cell>
          <cell r="C8365" t="str">
            <v>BANCO ABN AMRO REAL S/A</v>
          </cell>
          <cell r="D8365" t="str">
            <v>BANCO ABN AMRO REAL S/A</v>
          </cell>
          <cell r="E8365" t="str">
            <v>BANCO ABN AMRO S/A</v>
          </cell>
        </row>
        <row r="8366">
          <cell r="B8366">
            <v>43413</v>
          </cell>
          <cell r="C8366" t="str">
            <v>BANCO ABN AMRO REAL S/A</v>
          </cell>
          <cell r="D8366" t="str">
            <v>BANCO ABN AMRO REAL S/A</v>
          </cell>
          <cell r="E8366" t="str">
            <v>BANCO ABN AMRO S/A</v>
          </cell>
        </row>
        <row r="8367">
          <cell r="B8367">
            <v>43419</v>
          </cell>
          <cell r="C8367" t="str">
            <v>BANCO ABN AMRO REAL S/A</v>
          </cell>
          <cell r="D8367" t="str">
            <v>BANCO ABN AMRO REAL S/A</v>
          </cell>
          <cell r="E8367" t="str">
            <v>BANCO ABN AMRO S/A</v>
          </cell>
        </row>
        <row r="8368">
          <cell r="B8368">
            <v>43429</v>
          </cell>
          <cell r="C8368" t="str">
            <v>BANCO ABN AMRO REAL S/A</v>
          </cell>
          <cell r="D8368" t="str">
            <v>BANCO ABN AMRO REAL S/A</v>
          </cell>
          <cell r="E8368" t="str">
            <v>BANCO ABN AMRO S/A</v>
          </cell>
        </row>
        <row r="8369">
          <cell r="B8369">
            <v>43431</v>
          </cell>
          <cell r="C8369" t="str">
            <v>BANCO ABN AMRO REAL S/A</v>
          </cell>
          <cell r="D8369" t="str">
            <v>BANCO ABN AMRO REAL S/A</v>
          </cell>
          <cell r="E8369" t="str">
            <v>BANCO ABN AMRO S/A</v>
          </cell>
        </row>
        <row r="8370">
          <cell r="B8370">
            <v>463</v>
          </cell>
          <cell r="C8370" t="str">
            <v>BANCO SANTANDER (BRASIL) S/A</v>
          </cell>
          <cell r="D8370" t="str">
            <v>BANCO SANTANDER (BRASIL) S/A</v>
          </cell>
          <cell r="E8370" t="str">
            <v>BANCO SANTANDER (BRASIL) S/A</v>
          </cell>
        </row>
        <row r="8371">
          <cell r="B8371">
            <v>43511</v>
          </cell>
          <cell r="C8371" t="str">
            <v>BANCO ABN AMRO REAL S/A</v>
          </cell>
          <cell r="D8371" t="str">
            <v>BANCO ABN AMRO REAL S/A</v>
          </cell>
          <cell r="E8371" t="str">
            <v>BANCO ABN AMRO S/A</v>
          </cell>
        </row>
        <row r="8372">
          <cell r="B8372">
            <v>43550</v>
          </cell>
          <cell r="C8372" t="str">
            <v>BANCO ABN AMRO REAL S/A</v>
          </cell>
          <cell r="D8372" t="str">
            <v>BANCO ABN AMRO REAL S/A</v>
          </cell>
          <cell r="E8372" t="str">
            <v>BANCO ABN AMRO S/A</v>
          </cell>
        </row>
        <row r="8373">
          <cell r="B8373">
            <v>43551</v>
          </cell>
          <cell r="C8373" t="str">
            <v>BANCO ABN AMRO REAL S/A</v>
          </cell>
          <cell r="D8373" t="str">
            <v>BANCO ABN AMRO REAL S/A</v>
          </cell>
          <cell r="E8373" t="str">
            <v>BANCO ABN AMRO S/A</v>
          </cell>
        </row>
        <row r="8374">
          <cell r="B8374">
            <v>464</v>
          </cell>
          <cell r="C8374" t="str">
            <v>BANCO SANTANDER (BRASIL) S/A</v>
          </cell>
          <cell r="D8374" t="str">
            <v>BANCO SANTANDER (BRASIL) S/A</v>
          </cell>
          <cell r="E8374" t="str">
            <v>BANCO SANTANDER (BRASIL) S/A</v>
          </cell>
        </row>
        <row r="8375">
          <cell r="B8375">
            <v>43650</v>
          </cell>
          <cell r="C8375" t="str">
            <v>BANCO ABN AMRO REAL S/A</v>
          </cell>
          <cell r="D8375" t="str">
            <v>BANCO ABN AMRO REAL S/A</v>
          </cell>
          <cell r="E8375" t="str">
            <v>BANCO ABN AMRO S/A</v>
          </cell>
        </row>
        <row r="8376">
          <cell r="B8376">
            <v>465</v>
          </cell>
          <cell r="C8376" t="str">
            <v>BANCO SANTANDER (BRASIL) S/A</v>
          </cell>
          <cell r="D8376" t="str">
            <v>BANCO SANTANDER (BRASIL) S/A</v>
          </cell>
          <cell r="E8376" t="str">
            <v>BANCO SANTANDER (BRASIL) S/A</v>
          </cell>
        </row>
        <row r="8377">
          <cell r="B8377">
            <v>43700</v>
          </cell>
          <cell r="C8377" t="str">
            <v>BANCO ABN AMRO REAL S/A</v>
          </cell>
          <cell r="D8377" t="str">
            <v>BANCO ABN AMRO REAL S/A</v>
          </cell>
          <cell r="E8377" t="str">
            <v>BANCO ABN AMRO S/A</v>
          </cell>
        </row>
        <row r="8378">
          <cell r="B8378">
            <v>43705</v>
          </cell>
          <cell r="C8378" t="str">
            <v>BANCO ABN AMRO REAL S/A</v>
          </cell>
          <cell r="D8378" t="str">
            <v>BANCO ABN AMRO REAL S/A</v>
          </cell>
          <cell r="E8378" t="str">
            <v>BANCO ABN AMRO S/A</v>
          </cell>
        </row>
        <row r="8379">
          <cell r="B8379">
            <v>43711</v>
          </cell>
          <cell r="C8379" t="str">
            <v>BANCO ABN AMRO REAL S/A</v>
          </cell>
          <cell r="D8379" t="str">
            <v>BANCO ABN AMRO REAL S/A</v>
          </cell>
          <cell r="E8379" t="str">
            <v>BANCO ABN AMRO S/A</v>
          </cell>
        </row>
        <row r="8380">
          <cell r="B8380">
            <v>43720</v>
          </cell>
          <cell r="C8380" t="str">
            <v>BANCO ABN AMRO REAL S/A</v>
          </cell>
          <cell r="D8380" t="str">
            <v>BANCO ABN AMRO REAL S/A</v>
          </cell>
          <cell r="E8380" t="str">
            <v>BANCO ABN AMRO S/A</v>
          </cell>
        </row>
        <row r="8381">
          <cell r="B8381">
            <v>43721</v>
          </cell>
          <cell r="C8381" t="str">
            <v>LISBOA FIF</v>
          </cell>
          <cell r="D8381" t="str">
            <v>LISBOA FIF</v>
          </cell>
          <cell r="E8381" t="str">
            <v>LISBOA FIF</v>
          </cell>
        </row>
        <row r="8382">
          <cell r="B8382">
            <v>43730</v>
          </cell>
          <cell r="C8382" t="str">
            <v>BANCO ABN AMRO REAL S/A</v>
          </cell>
          <cell r="D8382" t="str">
            <v>BANCO ABN AMRO REAL S/A</v>
          </cell>
          <cell r="E8382" t="str">
            <v>BANCO ABN AMRO S/A</v>
          </cell>
        </row>
        <row r="8383">
          <cell r="B8383">
            <v>43782</v>
          </cell>
          <cell r="C8383" t="str">
            <v>BANCO ABN AMRO REAL S/A</v>
          </cell>
          <cell r="D8383" t="str">
            <v>BANCO ABN AMRO REAL S/A</v>
          </cell>
          <cell r="E8383" t="str">
            <v>BANCO ABN AMRO S/A</v>
          </cell>
        </row>
        <row r="8384">
          <cell r="B8384">
            <v>43790</v>
          </cell>
          <cell r="C8384" t="str">
            <v>BANCO ABN AMRO REAL S/A</v>
          </cell>
          <cell r="D8384" t="str">
            <v>BANCO ABN AMRO REAL S/A</v>
          </cell>
          <cell r="E8384" t="str">
            <v>BANCO ABN AMRO S/A</v>
          </cell>
        </row>
        <row r="8385">
          <cell r="B8385">
            <v>43820</v>
          </cell>
          <cell r="C8385" t="str">
            <v>BANCO ABN AMRO REAL S/A</v>
          </cell>
          <cell r="D8385" t="str">
            <v>BANCO ABN AMRO REAL S/A</v>
          </cell>
          <cell r="E8385" t="str">
            <v>BANCO ABN AMRO S/A</v>
          </cell>
        </row>
        <row r="8386">
          <cell r="B8386">
            <v>43862</v>
          </cell>
          <cell r="C8386" t="str">
            <v>BANCO ABN AMRO REAL S/A</v>
          </cell>
          <cell r="D8386" t="str">
            <v>BANCO ABN AMRO REAL S/A</v>
          </cell>
          <cell r="E8386" t="str">
            <v>BANCO ABN AMRO S/A</v>
          </cell>
        </row>
        <row r="8387">
          <cell r="B8387">
            <v>43865</v>
          </cell>
          <cell r="C8387" t="str">
            <v>BANCO ABN AMRO REAL S/A</v>
          </cell>
          <cell r="D8387" t="str">
            <v>BANCO ABN AMRO REAL S/A</v>
          </cell>
          <cell r="E8387" t="str">
            <v>BANCO ABN AMRO S/A</v>
          </cell>
        </row>
        <row r="8388">
          <cell r="B8388">
            <v>43960</v>
          </cell>
          <cell r="C8388" t="str">
            <v>BANCO ABN AMRO REAL S/A</v>
          </cell>
          <cell r="D8388" t="str">
            <v>BANCO ABN AMRO REAL S/A</v>
          </cell>
          <cell r="E8388" t="str">
            <v>BANCO ABN AMRO S/A</v>
          </cell>
        </row>
        <row r="8389">
          <cell r="B8389">
            <v>43961</v>
          </cell>
          <cell r="C8389" t="str">
            <v>BANCO ABN AMRO REAL S/A</v>
          </cell>
          <cell r="D8389" t="str">
            <v>BANCO ABN AMRO REAL S/A</v>
          </cell>
          <cell r="E8389" t="str">
            <v>BANCO ABN AMRO S/A</v>
          </cell>
        </row>
        <row r="8390">
          <cell r="B8390">
            <v>43962</v>
          </cell>
          <cell r="C8390" t="str">
            <v>BANCO ABN AMRO REAL S/A</v>
          </cell>
          <cell r="D8390" t="str">
            <v>BANCO ABN AMRO REAL S/A</v>
          </cell>
          <cell r="E8390" t="str">
            <v>BANCO ABN AMRO S/A</v>
          </cell>
        </row>
        <row r="8391">
          <cell r="B8391">
            <v>43963</v>
          </cell>
          <cell r="C8391" t="str">
            <v>BANCO ABN AMRO REAL S/A</v>
          </cell>
          <cell r="D8391" t="str">
            <v>BANCO ABN AMRO REAL S/A</v>
          </cell>
          <cell r="E8391" t="str">
            <v>BANCO ABN AMRO S/A</v>
          </cell>
        </row>
        <row r="8392">
          <cell r="B8392">
            <v>43972</v>
          </cell>
          <cell r="C8392" t="str">
            <v>BANCO ABN AMRO REAL S/A</v>
          </cell>
          <cell r="D8392" t="str">
            <v>BANCO ABN AMRO REAL S/A</v>
          </cell>
          <cell r="E8392" t="str">
            <v>BANCO ABN AMRO S/A</v>
          </cell>
        </row>
        <row r="8393">
          <cell r="B8393">
            <v>43981</v>
          </cell>
          <cell r="C8393" t="str">
            <v>BANCO ABN AMRO REAL S/A</v>
          </cell>
          <cell r="D8393" t="str">
            <v>BANCO ABN AMRO REAL S/A</v>
          </cell>
          <cell r="E8393" t="str">
            <v>BANCO ABN AMRO S/A</v>
          </cell>
        </row>
        <row r="8394">
          <cell r="B8394">
            <v>43982</v>
          </cell>
          <cell r="C8394" t="str">
            <v>BANCO ABN AMRO REAL S/A</v>
          </cell>
          <cell r="D8394" t="str">
            <v>BANCO ABN AMRO REAL S/A</v>
          </cell>
          <cell r="E8394" t="str">
            <v>BANCO ABN AMRO S/A</v>
          </cell>
        </row>
        <row r="8395">
          <cell r="B8395">
            <v>43988</v>
          </cell>
          <cell r="C8395" t="str">
            <v>BANCO ABN AMRO REAL S/A</v>
          </cell>
          <cell r="D8395" t="str">
            <v>BANCO ABN AMRO REAL S/A</v>
          </cell>
          <cell r="E8395" t="str">
            <v>BANCO ABN AMRO S/A</v>
          </cell>
        </row>
        <row r="8396">
          <cell r="B8396">
            <v>44</v>
          </cell>
          <cell r="C8396" t="str">
            <v>ITAU MULTIMERCADO ARROJADO FI</v>
          </cell>
          <cell r="D8396" t="str">
            <v>ITAU MULTIMERCADO ARROJADO FI</v>
          </cell>
          <cell r="E8396" t="str">
            <v>ITAU UNIBANCO S/A</v>
          </cell>
        </row>
        <row r="8397">
          <cell r="B8397">
            <v>466</v>
          </cell>
          <cell r="C8397" t="str">
            <v>BANCO SANTANDER (BRASIL) S/A</v>
          </cell>
          <cell r="D8397" t="str">
            <v>BANCO SANTANDER (BRASIL) S/A</v>
          </cell>
          <cell r="E8397" t="str">
            <v>BANCO SANTANDER (BRASIL) S/A</v>
          </cell>
        </row>
        <row r="8398">
          <cell r="B8398">
            <v>441000</v>
          </cell>
          <cell r="C8398" t="str">
            <v>BANCO RABOBANK INTERNATIONAL BRASIL S/A</v>
          </cell>
          <cell r="D8398" t="str">
            <v>BANCO RABOBANK INTERNATIONAL BRASIL S/A</v>
          </cell>
          <cell r="E8398" t="str">
            <v>BANCO RABOBANK INTERNATIONAL BRASIL S/A</v>
          </cell>
        </row>
        <row r="8399">
          <cell r="B8399">
            <v>467</v>
          </cell>
          <cell r="C8399" t="str">
            <v>BANCO SANTANDER (BRASIL) S/A</v>
          </cell>
          <cell r="D8399" t="str">
            <v>BANCO SANTANDER (BRASIL) S/A</v>
          </cell>
          <cell r="E8399" t="str">
            <v>BANCO SANTANDER (BRASIL) S/A</v>
          </cell>
        </row>
        <row r="8400">
          <cell r="B8400">
            <v>468</v>
          </cell>
          <cell r="C8400" t="str">
            <v>BANCO SANTANDER (BRASIL) S/A</v>
          </cell>
          <cell r="D8400" t="str">
            <v>BANCO SANTANDER (BRASIL) S/A</v>
          </cell>
          <cell r="E8400" t="str">
            <v>BANCO SANTANDER (BRASIL) S/A</v>
          </cell>
        </row>
        <row r="8401">
          <cell r="B8401">
            <v>469</v>
          </cell>
          <cell r="C8401" t="str">
            <v>BANCO SANTANDER (BRASIL) S/A</v>
          </cell>
          <cell r="D8401" t="str">
            <v>BANCO SANTANDER (BRASIL) S/A</v>
          </cell>
          <cell r="E8401" t="str">
            <v>BANCO SANTANDER (BRASIL) S/A</v>
          </cell>
        </row>
        <row r="8402">
          <cell r="B8402">
            <v>470</v>
          </cell>
          <cell r="C8402" t="str">
            <v>BANCO SANTANDER (BRASIL) S/A</v>
          </cell>
          <cell r="D8402" t="str">
            <v>BANCO SANTANDER (BRASIL) S/A</v>
          </cell>
          <cell r="E8402" t="str">
            <v>BANCO SANTANDER (BRASIL) S/A</v>
          </cell>
        </row>
        <row r="8403">
          <cell r="B8403">
            <v>45</v>
          </cell>
          <cell r="C8403" t="str">
            <v>ITAU MULTIMERCADO AGRESSIVO FI</v>
          </cell>
          <cell r="D8403" t="str">
            <v>ITAU MULTIMERCADO AGRESSIVO FI</v>
          </cell>
          <cell r="E8403" t="str">
            <v>ITAU UNIBANCO S/A</v>
          </cell>
        </row>
        <row r="8404">
          <cell r="B8404">
            <v>471</v>
          </cell>
          <cell r="C8404" t="str">
            <v>BANCO SANTANDER (BRASIL) S/A</v>
          </cell>
          <cell r="D8404" t="str">
            <v>BANCO SANTANDER (BRASIL) S/A</v>
          </cell>
          <cell r="E8404" t="str">
            <v>BANCO SANTANDER (BRASIL) S/A</v>
          </cell>
        </row>
        <row r="8405">
          <cell r="B8405">
            <v>472</v>
          </cell>
          <cell r="C8405" t="str">
            <v>BANCO SANTANDER (BRASIL) S/A</v>
          </cell>
          <cell r="D8405" t="str">
            <v>BANCO SANTANDER (BRASIL) S/A</v>
          </cell>
          <cell r="E8405" t="str">
            <v>BANCO SANTANDER (BRASIL) S/A</v>
          </cell>
        </row>
        <row r="8406">
          <cell r="B8406">
            <v>473</v>
          </cell>
          <cell r="C8406" t="str">
            <v>BANCO SANTANDER (BRASIL) S/A</v>
          </cell>
          <cell r="D8406" t="str">
            <v>BANCO SANTANDER (BRASIL) S/A</v>
          </cell>
          <cell r="E8406" t="str">
            <v>BANCO SANTANDER (BRASIL) S/A</v>
          </cell>
        </row>
        <row r="8407">
          <cell r="B8407">
            <v>45236</v>
          </cell>
          <cell r="C8407" t="str">
            <v>PARANA BANCO S/A</v>
          </cell>
          <cell r="D8407" t="str">
            <v>PARANA BANCO S/A</v>
          </cell>
          <cell r="E8407" t="str">
            <v>PARANA BANCO S/A</v>
          </cell>
        </row>
        <row r="8408">
          <cell r="B8408">
            <v>474</v>
          </cell>
          <cell r="C8408" t="str">
            <v>BANCO SANTANDER (BRASIL) S/A</v>
          </cell>
          <cell r="D8408" t="str">
            <v>BANCO SANTANDER (BRASIL) S/A</v>
          </cell>
          <cell r="E8408" t="str">
            <v>BANCO SANTANDER (BRASIL) S/A</v>
          </cell>
        </row>
        <row r="8409">
          <cell r="B8409">
            <v>475</v>
          </cell>
          <cell r="C8409" t="str">
            <v>BANCO SANTANDER (BRASIL) S/A</v>
          </cell>
          <cell r="D8409" t="str">
            <v>BANCO SANTANDER (BRASIL) S/A</v>
          </cell>
          <cell r="E8409" t="str">
            <v>BANCO SANTANDER (BRASIL) S/A</v>
          </cell>
        </row>
        <row r="8410">
          <cell r="B8410">
            <v>476</v>
          </cell>
          <cell r="C8410" t="str">
            <v>BANCO SANTANDER (BRASIL) S/A</v>
          </cell>
          <cell r="D8410" t="str">
            <v>BANCO SANTANDER (BRASIL) S/A</v>
          </cell>
          <cell r="E8410" t="str">
            <v>BANCO SANTANDER (BRASIL) S/A</v>
          </cell>
        </row>
        <row r="8411">
          <cell r="B8411">
            <v>477</v>
          </cell>
          <cell r="C8411" t="str">
            <v>BANCO SANTANDER (BRASIL) S/A</v>
          </cell>
          <cell r="D8411" t="str">
            <v>BANCO SANTANDER (BRASIL) S/A</v>
          </cell>
          <cell r="E8411" t="str">
            <v>BANCO SANTANDER (BRASIL) S/A</v>
          </cell>
        </row>
        <row r="8412">
          <cell r="B8412">
            <v>45623</v>
          </cell>
          <cell r="C8412" t="str">
            <v>FIM MODERADO ALBACORA</v>
          </cell>
          <cell r="D8412" t="str">
            <v>FIM MODERADO ALBACORA</v>
          </cell>
          <cell r="E8412" t="str">
            <v>FIM MODERADO ALBACORA</v>
          </cell>
        </row>
        <row r="8413">
          <cell r="B8413">
            <v>45624</v>
          </cell>
          <cell r="C8413" t="str">
            <v>FUNDO DE INVESTIMENTO RENDA FIXA PETROS LIQUIDEZ</v>
          </cell>
          <cell r="D8413" t="str">
            <v>FUNDO DE INVESTIMENTO RENDA FIXA PETROS LIQUIDEZ</v>
          </cell>
          <cell r="E8413" t="str">
            <v>FUNDO DE INVESTIMENTO RENDA FIXA PETROS LIQUIDEZ</v>
          </cell>
        </row>
        <row r="8414">
          <cell r="B8414">
            <v>45632</v>
          </cell>
          <cell r="C8414" t="str">
            <v>SG EQUIPMENT FINANCE S/A ARREND MERC ( ANT SOC GEN LEASING )</v>
          </cell>
          <cell r="D8414" t="str">
            <v>SG EQUIPMENT FINANCE S/A ARREND MERC ( ANT SOC GEN LEASING )</v>
          </cell>
          <cell r="E8414" t="str">
            <v>SG EQUIPMENT FINANCE S/A ARREND MERC ( ANT SOC GEN LEASING )</v>
          </cell>
        </row>
        <row r="8415">
          <cell r="B8415">
            <v>45633</v>
          </cell>
          <cell r="C8415" t="str">
            <v>PARANAPANEMA S/A</v>
          </cell>
          <cell r="D8415" t="str">
            <v>PARANAPANEMA S/A</v>
          </cell>
          <cell r="E8415" t="str">
            <v>PARANAPANEMA S/A</v>
          </cell>
        </row>
        <row r="8416">
          <cell r="B8416">
            <v>45635</v>
          </cell>
          <cell r="C8416" t="str">
            <v>ELUMA S/A INDUSTRIA E COMERCIO</v>
          </cell>
          <cell r="D8416" t="str">
            <v>ELUMA S/A INDUSTRIA E COMERCIO</v>
          </cell>
          <cell r="E8416" t="str">
            <v>ELUMA S/A INDUSTRIA E COMERCIO</v>
          </cell>
        </row>
        <row r="8417">
          <cell r="B8417">
            <v>45644</v>
          </cell>
          <cell r="C8417" t="str">
            <v>CARAIBA METAIS S/A</v>
          </cell>
          <cell r="D8417" t="str">
            <v>CARAIBA METAIS S/A</v>
          </cell>
          <cell r="E8417" t="str">
            <v>CARAIBA METAIS S/A</v>
          </cell>
        </row>
        <row r="8418">
          <cell r="B8418">
            <v>45681</v>
          </cell>
          <cell r="C8418" t="str">
            <v>MARCIO SALOMAO CHADUD</v>
          </cell>
          <cell r="D8418" t="str">
            <v>MARCIO SALOMAO CHADUD</v>
          </cell>
          <cell r="E8418" t="str">
            <v>MARCIO SALOMAO CHADUD</v>
          </cell>
        </row>
        <row r="8419">
          <cell r="B8419">
            <v>45682</v>
          </cell>
          <cell r="C8419" t="str">
            <v>MELLON ARAUA FUNDO DE INV.FINANCEIRO</v>
          </cell>
          <cell r="D8419" t="str">
            <v>MELLON ARAUA FUNDO DE INV.FINANCEIRO</v>
          </cell>
          <cell r="E8419" t="str">
            <v>MELLON ARAUA FUNDO DE INV.FINANCEIRO</v>
          </cell>
        </row>
        <row r="8420">
          <cell r="B8420">
            <v>45683</v>
          </cell>
          <cell r="C8420" t="str">
            <v>FUNDO DE INVESTIMENTO RENDA FIXA PETROS LIQUIDEZ</v>
          </cell>
          <cell r="D8420" t="str">
            <v>FUNDO DE INVESTIMENTO RENDA FIXA PETROS LIQUIDEZ</v>
          </cell>
          <cell r="E8420" t="str">
            <v>FUNDO DE INVESTIMENTO RENDA FIXA PETROS LIQUIDEZ</v>
          </cell>
        </row>
        <row r="8421">
          <cell r="B8421">
            <v>45687</v>
          </cell>
          <cell r="C8421" t="str">
            <v>LYONNAIS DERIVATIVO MASTER FIF</v>
          </cell>
          <cell r="D8421" t="str">
            <v>LYONNAIS DERIVATIVO MASTER FIF</v>
          </cell>
          <cell r="E8421" t="str">
            <v>LYONNAIS DERIVATIVO MASTER FIF</v>
          </cell>
        </row>
        <row r="8422">
          <cell r="B8422">
            <v>45688</v>
          </cell>
          <cell r="C8422" t="str">
            <v>QUALITY IGUACU FDO DE INV.RENDA FIXA</v>
          </cell>
          <cell r="D8422" t="str">
            <v>QUALITY IGUACU FDO DE INV.RENDA FIXA</v>
          </cell>
          <cell r="E8422" t="str">
            <v>QUALITY IGUACU FDO DE INV.RENDA FIXA</v>
          </cell>
        </row>
        <row r="8423">
          <cell r="B8423">
            <v>45689</v>
          </cell>
          <cell r="C8423" t="str">
            <v>BOURGOGNE FIF</v>
          </cell>
          <cell r="D8423" t="str">
            <v>BOURGOGNE FIF</v>
          </cell>
          <cell r="E8423" t="str">
            <v>BOURGOGNE FIF</v>
          </cell>
        </row>
        <row r="8424">
          <cell r="B8424">
            <v>478</v>
          </cell>
          <cell r="C8424" t="str">
            <v>BANCO SANTANDER (BRASIL) S/A</v>
          </cell>
          <cell r="D8424" t="str">
            <v>BANCO SANTANDER (BRASIL) S/A</v>
          </cell>
          <cell r="E8424" t="str">
            <v>BANCO SANTANDER (BRASIL) S/A</v>
          </cell>
        </row>
        <row r="8425">
          <cell r="B8425">
            <v>45712</v>
          </cell>
          <cell r="C8425" t="str">
            <v>TAL FUNDO DE INVESTIMENTO MULTIMERCADO</v>
          </cell>
          <cell r="D8425" t="str">
            <v>TAL FUNDO DE INVESTIMENTO MULTIMERCADO</v>
          </cell>
          <cell r="E8425" t="str">
            <v>TAL FUNDO DE INVESTIMENTO MULTIMERCADO</v>
          </cell>
        </row>
        <row r="8426">
          <cell r="B8426">
            <v>45783</v>
          </cell>
          <cell r="C8426" t="str">
            <v>SAFDIE DTVM LTDA</v>
          </cell>
          <cell r="D8426" t="str">
            <v>SAFDIE DTVM LTDA</v>
          </cell>
          <cell r="E8426" t="str">
            <v>SAFDIE DTVM LTDA</v>
          </cell>
        </row>
        <row r="8427">
          <cell r="B8427">
            <v>479</v>
          </cell>
          <cell r="C8427" t="str">
            <v>BANCO SANTANDER (BRASIL) S/A</v>
          </cell>
          <cell r="D8427" t="str">
            <v>BANCO SANTANDER (BRASIL) S/A</v>
          </cell>
          <cell r="E8427" t="str">
            <v>BANCO SANTANDER (BRASIL) S/A</v>
          </cell>
        </row>
        <row r="8428">
          <cell r="B8428">
            <v>4586</v>
          </cell>
          <cell r="C8428" t="str">
            <v>BANIF BANCO DE INVESTIMENTO (BRASIL) S/A</v>
          </cell>
          <cell r="D8428" t="str">
            <v>BANIF BANCO DE INVESTIMENTO (BRASIL) S/A</v>
          </cell>
          <cell r="E8428" t="str">
            <v>BANIF BANCO DE INVESTIMENTO (BRASIL) S/A</v>
          </cell>
        </row>
        <row r="8429">
          <cell r="B8429">
            <v>480</v>
          </cell>
          <cell r="C8429" t="str">
            <v>BANCO SANTANDER (BRASIL) S/A</v>
          </cell>
          <cell r="D8429" t="str">
            <v>BANCO SANTANDER (BRASIL) S/A</v>
          </cell>
          <cell r="E8429" t="str">
            <v>BANCO SANTANDER (BRASIL) S/A</v>
          </cell>
        </row>
        <row r="8430">
          <cell r="B8430">
            <v>46</v>
          </cell>
          <cell r="C8430" t="str">
            <v>ITAU MULTIMERCADO MODERADO FI</v>
          </cell>
          <cell r="D8430" t="str">
            <v>ITAU MULTIMERCADO MODERADO FI</v>
          </cell>
          <cell r="E8430" t="str">
            <v>ITAU UNIBANCO S/A</v>
          </cell>
        </row>
        <row r="8431">
          <cell r="B8431">
            <v>481</v>
          </cell>
          <cell r="C8431" t="str">
            <v>BANCO SANTANDER (BRASIL) S/A</v>
          </cell>
          <cell r="D8431" t="str">
            <v>BANCO SANTANDER (BRASIL) S/A</v>
          </cell>
          <cell r="E8431" t="str">
            <v>BANCO SANTANDER (BRASIL) S/A</v>
          </cell>
        </row>
        <row r="8432">
          <cell r="B8432">
            <v>482</v>
          </cell>
          <cell r="C8432" t="str">
            <v>BANCO SANTANDER (BRASIL) S/A</v>
          </cell>
          <cell r="D8432" t="str">
            <v>BANCO SANTANDER (BRASIL) S/A</v>
          </cell>
          <cell r="E8432" t="str">
            <v>BANCO SANTANDER (BRASIL) S/A</v>
          </cell>
        </row>
        <row r="8433">
          <cell r="B8433">
            <v>483</v>
          </cell>
          <cell r="C8433" t="str">
            <v>BANCO SANTANDER (BRASIL) S/A</v>
          </cell>
          <cell r="D8433" t="str">
            <v>BANCO SANTANDER (BRASIL) S/A</v>
          </cell>
          <cell r="E8433" t="str">
            <v>BANCO SANTANDER (BRASIL) S/A</v>
          </cell>
        </row>
        <row r="8434">
          <cell r="B8434">
            <v>484</v>
          </cell>
          <cell r="C8434" t="str">
            <v>BANCO SANTANDER (BRASIL) S/A</v>
          </cell>
          <cell r="D8434" t="str">
            <v>BANCO SANTANDER (BRASIL) S/A</v>
          </cell>
          <cell r="E8434" t="str">
            <v>BANCO SANTANDER (BRASIL) S/A</v>
          </cell>
        </row>
        <row r="8435">
          <cell r="B8435">
            <v>485</v>
          </cell>
          <cell r="C8435" t="str">
            <v>BANCO SANTANDER (BRASIL) S/A</v>
          </cell>
          <cell r="D8435" t="str">
            <v>BANCO SANTANDER (BRASIL) S/A</v>
          </cell>
          <cell r="E8435" t="str">
            <v>BANCO SANTANDER (BRASIL) S/A</v>
          </cell>
        </row>
        <row r="8436">
          <cell r="B8436">
            <v>486</v>
          </cell>
          <cell r="C8436" t="str">
            <v>BANCO SANTANDER (BRASIL) S/A</v>
          </cell>
          <cell r="D8436" t="str">
            <v>BANCO SANTANDER (BRASIL) S/A</v>
          </cell>
          <cell r="E8436" t="str">
            <v>BANCO SANTANDER (BRASIL) S/A</v>
          </cell>
        </row>
        <row r="8437">
          <cell r="B8437">
            <v>46523</v>
          </cell>
          <cell r="C8437" t="str">
            <v>ARBOR FDO DE INVEST.MULTIMERCADO LONGO PRAZO</v>
          </cell>
          <cell r="D8437" t="str">
            <v>ARBOR FDO DE INVEST.MULTIMERCADO LONGO PRAZO</v>
          </cell>
          <cell r="E8437" t="str">
            <v>ARBOR FDO DE INVEST.MULTIMERCADO LONGO PRAZO</v>
          </cell>
        </row>
        <row r="8438">
          <cell r="B8438">
            <v>487</v>
          </cell>
          <cell r="C8438" t="str">
            <v>BANCO SANTANDER (BRASIL) S/A</v>
          </cell>
          <cell r="D8438" t="str">
            <v>BANCO SANTANDER (BRASIL) S/A</v>
          </cell>
          <cell r="E8438" t="str">
            <v>BANCO SANTANDER (BRASIL) S/A</v>
          </cell>
        </row>
        <row r="8439">
          <cell r="B8439">
            <v>489</v>
          </cell>
          <cell r="C8439" t="str">
            <v>BANCO SANTANDER (BRASIL) S/A</v>
          </cell>
          <cell r="D8439" t="str">
            <v>BANCO SANTANDER (BRASIL) S/A</v>
          </cell>
          <cell r="E8439" t="str">
            <v>BANCO SANTANDER (BRASIL) S/A</v>
          </cell>
        </row>
        <row r="8440">
          <cell r="B8440">
            <v>490</v>
          </cell>
          <cell r="C8440" t="str">
            <v>BANCO SANTANDER (BRASIL) S/A</v>
          </cell>
          <cell r="D8440" t="str">
            <v>BANCO SANTANDER (BRASIL) S/A</v>
          </cell>
          <cell r="E8440" t="str">
            <v>BANCO SANTANDER (BRASIL) S/A</v>
          </cell>
        </row>
        <row r="8441">
          <cell r="B8441">
            <v>491</v>
          </cell>
          <cell r="C8441" t="str">
            <v>BANCO SANTANDER (BRASIL) S/A</v>
          </cell>
          <cell r="D8441" t="str">
            <v>BANCO SANTANDER (BRASIL) S/A</v>
          </cell>
          <cell r="E8441" t="str">
            <v>BANCO SANTANDER (BRASIL) S/A</v>
          </cell>
        </row>
        <row r="8442">
          <cell r="B8442">
            <v>47</v>
          </cell>
          <cell r="C8442" t="str">
            <v>BANCO RURAL S/A</v>
          </cell>
          <cell r="D8442" t="str">
            <v>BANCO RURAL S/A</v>
          </cell>
          <cell r="E8442" t="str">
            <v>BANCO RURAL S/A</v>
          </cell>
        </row>
        <row r="8443">
          <cell r="B8443">
            <v>492</v>
          </cell>
          <cell r="C8443" t="str">
            <v>BANCO SANTANDER (BRASIL) S/A</v>
          </cell>
          <cell r="D8443" t="str">
            <v>BANCO SANTANDER (BRASIL) S/A</v>
          </cell>
          <cell r="E8443" t="str">
            <v>BANCO SANTANDER (BRASIL) S/A</v>
          </cell>
        </row>
        <row r="8444">
          <cell r="B8444">
            <v>47095</v>
          </cell>
          <cell r="C8444" t="str">
            <v>LUIZ EDUARDO BENTO RIBEIRO GARUTI</v>
          </cell>
          <cell r="D8444" t="str">
            <v>LUIZ EDUARDO BENTO RIBEIRO GARUTI</v>
          </cell>
          <cell r="E8444" t="str">
            <v>LUIZ EDUARDO BENTO RIBEIRO GARUTI</v>
          </cell>
        </row>
        <row r="8445">
          <cell r="B8445">
            <v>493</v>
          </cell>
          <cell r="C8445" t="str">
            <v>BANCO SANTANDER (BRASIL) S/A</v>
          </cell>
          <cell r="D8445" t="str">
            <v>BANCO SANTANDER (BRASIL) S/A</v>
          </cell>
          <cell r="E8445" t="str">
            <v>BANCO SANTANDER (BRASIL) S/A</v>
          </cell>
        </row>
        <row r="8446">
          <cell r="B8446">
            <v>47111</v>
          </cell>
          <cell r="C8446" t="str">
            <v>FIF MERCATTO ALOCACAO</v>
          </cell>
          <cell r="D8446" t="str">
            <v>FIF MERCATTO ALOCACAO</v>
          </cell>
          <cell r="E8446" t="str">
            <v>FIF MERCATTO ALOCACAO</v>
          </cell>
        </row>
        <row r="8447">
          <cell r="B8447">
            <v>47112</v>
          </cell>
          <cell r="C8447" t="str">
            <v>MERCATTO ACOES PLUS FUNDO DE INV. EM ACOES</v>
          </cell>
          <cell r="D8447" t="str">
            <v>MERCATTO ACOES PLUS FUNDO DE INV. EM ACOES</v>
          </cell>
          <cell r="E8447" t="str">
            <v>MERCATTO ACOES PLUS FUNDO DE INV. EM ACOES</v>
          </cell>
        </row>
        <row r="8448">
          <cell r="B8448">
            <v>47114</v>
          </cell>
          <cell r="C8448" t="str">
            <v>MELLON CARDOS FIA PREVIDENCIARIO</v>
          </cell>
          <cell r="D8448" t="str">
            <v>MELLON CARDOS FIA PREVIDENCIARIO</v>
          </cell>
          <cell r="E8448" t="str">
            <v>MELLON CARDOS FIA PREVIDENCIARIO</v>
          </cell>
        </row>
        <row r="8449">
          <cell r="B8449">
            <v>47165</v>
          </cell>
          <cell r="C8449" t="str">
            <v>BAHIA AM RENDA VARIAVEL LTDA  (ANTIGO BBM I)</v>
          </cell>
          <cell r="D8449" t="str">
            <v>BAHIA AM RENDA VARIAVEL LTDA  (ANTIGO BBM I)</v>
          </cell>
          <cell r="E8449" t="str">
            <v>BAHIA AM LTDA</v>
          </cell>
        </row>
        <row r="8450">
          <cell r="B8450">
            <v>47166</v>
          </cell>
          <cell r="C8450" t="str">
            <v>BAHIA AM RENDA FIXA LTDA ( ANTIGO BBM II)</v>
          </cell>
          <cell r="D8450" t="str">
            <v>BAHIA AM RENDA FIXA LTDA ( ANTIGO BBM II)</v>
          </cell>
          <cell r="E8450" t="str">
            <v>BAHIA AM LTDA</v>
          </cell>
        </row>
        <row r="8451">
          <cell r="B8451">
            <v>494</v>
          </cell>
          <cell r="C8451" t="str">
            <v>BANCO SANTANDER (BRASIL) S/A</v>
          </cell>
          <cell r="D8451" t="str">
            <v>BANCO SANTANDER (BRASIL) S/A</v>
          </cell>
          <cell r="E8451" t="str">
            <v>BANCO SANTANDER (BRASIL) S/A</v>
          </cell>
        </row>
        <row r="8452">
          <cell r="B8452">
            <v>47268</v>
          </cell>
          <cell r="C8452" t="str">
            <v>HIGH SEAR CAPITAL INVEST LLC</v>
          </cell>
          <cell r="D8452" t="str">
            <v>HIGH SEAR CAPITAL INVEST LLC</v>
          </cell>
          <cell r="E8452" t="str">
            <v>HIGH SEAR CAPITAL INVEST LLC</v>
          </cell>
        </row>
        <row r="8453">
          <cell r="B8453">
            <v>495</v>
          </cell>
          <cell r="C8453" t="str">
            <v>BANCO SANTANDER (BRASIL) S/A</v>
          </cell>
          <cell r="D8453" t="str">
            <v>BANCO SANTANDER (BRASIL) S/A</v>
          </cell>
          <cell r="E8453" t="str">
            <v>BANCO SANTANDER (BRASIL) S/A</v>
          </cell>
        </row>
        <row r="8454">
          <cell r="B8454">
            <v>47301</v>
          </cell>
          <cell r="C8454" t="str">
            <v>BNY MELLON BANESE APERIPE FI MULTIMERCADO</v>
          </cell>
          <cell r="D8454" t="str">
            <v>BNY MELLON BANESE APERIPE FI MULTIMERCADO</v>
          </cell>
          <cell r="E8454" t="str">
            <v>BNY MELLON BANESE APERIPE FI MULTIMERCADO</v>
          </cell>
        </row>
        <row r="8455">
          <cell r="B8455">
            <v>47302</v>
          </cell>
          <cell r="C8455" t="str">
            <v>MERCATTO ATALAIA CREDITO PRIVADO MULTIMERCADO FI</v>
          </cell>
          <cell r="D8455" t="str">
            <v>MERCATTO ATALAIA CREDITO PRIVADO MULTIMERCADO FI</v>
          </cell>
          <cell r="E8455" t="str">
            <v>MERCATTO ATALAIA CREDITO PRIVADO MULTIMERCADO FI</v>
          </cell>
        </row>
        <row r="8456">
          <cell r="B8456">
            <v>47303</v>
          </cell>
          <cell r="C8456" t="str">
            <v>FI MULTIMERCADO PREVIDENC.MERCATTO AMARAJI</v>
          </cell>
          <cell r="D8456" t="str">
            <v>FI MULTIMERCADO PREVIDENC.MERCATTO AMARAJI</v>
          </cell>
          <cell r="E8456" t="str">
            <v>FI MULTIMERCADO PREVIDENC.MERCATTO AMARAJI</v>
          </cell>
        </row>
        <row r="8457">
          <cell r="B8457">
            <v>47304</v>
          </cell>
          <cell r="C8457" t="str">
            <v>MERCATTO PAJUÃ‡ARA FIC DE FIM</v>
          </cell>
          <cell r="D8457" t="str">
            <v>MERCATTO PAJUÃ‡ARA FIC DE FIM</v>
          </cell>
          <cell r="E8457" t="str">
            <v>MERCATTO PAJUÃ‡ARA FIC DE FIM</v>
          </cell>
        </row>
        <row r="8458">
          <cell r="B8458">
            <v>47305</v>
          </cell>
          <cell r="C8458" t="str">
            <v>MELLON BRASCAN BADEJO FIF</v>
          </cell>
          <cell r="D8458" t="str">
            <v>MELLON BRASCAN BADEJO FIF</v>
          </cell>
          <cell r="E8458" t="str">
            <v>ARX HEDGE FIM</v>
          </cell>
        </row>
        <row r="8459">
          <cell r="B8459">
            <v>47306</v>
          </cell>
          <cell r="C8459" t="str">
            <v>ARX HEDGE FIM</v>
          </cell>
          <cell r="D8459" t="str">
            <v>ARX HEDGE FIM</v>
          </cell>
          <cell r="E8459" t="str">
            <v>ARX HEDGE FIM</v>
          </cell>
        </row>
        <row r="8460">
          <cell r="B8460">
            <v>47307</v>
          </cell>
          <cell r="C8460" t="str">
            <v>ARX TARGET FIM</v>
          </cell>
          <cell r="D8460" t="str">
            <v>ARX TARGET FIM</v>
          </cell>
          <cell r="E8460" t="str">
            <v>ARX TARGET FIM</v>
          </cell>
        </row>
        <row r="8461">
          <cell r="B8461">
            <v>47308</v>
          </cell>
          <cell r="C8461" t="str">
            <v>ARX HEDGE PLUS FIM</v>
          </cell>
          <cell r="D8461" t="str">
            <v>ARX HEDGE PLUS FIM</v>
          </cell>
          <cell r="E8461" t="str">
            <v>ARX HEDGE PLUS FIM</v>
          </cell>
        </row>
        <row r="8462">
          <cell r="B8462">
            <v>47309</v>
          </cell>
          <cell r="C8462" t="str">
            <v>BNY MELLON ARX TARGET PLUS FIM</v>
          </cell>
          <cell r="D8462" t="str">
            <v>BNY MELLON ARX TARGET PLUS FIM</v>
          </cell>
          <cell r="E8462" t="str">
            <v>BNY MELLON ARX TARGET PLUS FIM</v>
          </cell>
        </row>
        <row r="8463">
          <cell r="B8463">
            <v>47310</v>
          </cell>
          <cell r="C8463" t="str">
            <v>SAMBAQUI FDO DE INVESTIMENTO RENDA FIXA</v>
          </cell>
          <cell r="D8463" t="str">
            <v>SAMBAQUI FDO DE INVESTIMENTO RENDA FIXA</v>
          </cell>
          <cell r="E8463" t="str">
            <v>SAMBAQUI FDO DE INVESTIMENTO RENDA FIXA</v>
          </cell>
        </row>
        <row r="8464">
          <cell r="B8464">
            <v>47311</v>
          </cell>
          <cell r="C8464" t="str">
            <v>XINGU I FUNDO DE INVESTIMENTO FINANCEIRO</v>
          </cell>
          <cell r="D8464" t="str">
            <v>XINGU I FUNDO DE INVESTIMENTO FINANCEIRO</v>
          </cell>
          <cell r="E8464" t="str">
            <v>XINGU I FUNDO DE INVESTIMENTO FINANCEIRO</v>
          </cell>
        </row>
        <row r="8465">
          <cell r="B8465">
            <v>47312</v>
          </cell>
          <cell r="C8465" t="str">
            <v>MELLON  BRAZIL MS INVEST LLC</v>
          </cell>
          <cell r="D8465" t="str">
            <v>MELLON  BRAZIL MS INVEST LLC</v>
          </cell>
          <cell r="E8465" t="str">
            <v>MELLON  BRAZIL MS INVEST LLC</v>
          </cell>
        </row>
        <row r="8466">
          <cell r="B8466">
            <v>47313</v>
          </cell>
          <cell r="C8466" t="str">
            <v>FUNDACAO DE SEGURIDADE SOCIAL BRASLIGHT</v>
          </cell>
          <cell r="D8466" t="str">
            <v>FUNDACAO DE SEGURIDADE SOCIAL BRASLIGHT</v>
          </cell>
          <cell r="E8466" t="str">
            <v>FUNDACAO DE SEGURIDADE SOCIAL BRASLIGHT</v>
          </cell>
        </row>
        <row r="8467">
          <cell r="B8467">
            <v>47314</v>
          </cell>
          <cell r="C8467" t="str">
            <v>ARX HEDGE II FIM</v>
          </cell>
          <cell r="D8467" t="str">
            <v>ARX HEDGE II FIM</v>
          </cell>
          <cell r="E8467" t="str">
            <v>ARX HEDGE II FIM</v>
          </cell>
        </row>
        <row r="8468">
          <cell r="B8468">
            <v>47315</v>
          </cell>
          <cell r="C8468" t="str">
            <v>BNY MELLON ARX IBIZA FIM</v>
          </cell>
          <cell r="D8468" t="str">
            <v>BNY MELLON ARX IBIZA FIM</v>
          </cell>
          <cell r="E8468" t="str">
            <v>BNY MELLON ARX IBIZA FIM</v>
          </cell>
        </row>
        <row r="8469">
          <cell r="B8469">
            <v>47316</v>
          </cell>
          <cell r="C8469" t="str">
            <v>ARX PLUS FDO INVESTIMENTO MULTIMERCADO</v>
          </cell>
          <cell r="D8469" t="str">
            <v>ARX PLUS FDO INVESTIMENTO MULTIMERCADO</v>
          </cell>
          <cell r="E8469" t="str">
            <v>ARX PLUS FDO INVESTIMENTO MULTIMERCADO</v>
          </cell>
        </row>
        <row r="8470">
          <cell r="B8470">
            <v>47317</v>
          </cell>
          <cell r="C8470" t="str">
            <v>ARX INSTITUCIONAL FIF</v>
          </cell>
          <cell r="D8470" t="str">
            <v>ARX INSTITUCIONAL FIF</v>
          </cell>
          <cell r="E8470" t="str">
            <v>ARX INVESTIMENTOS LTDA</v>
          </cell>
        </row>
        <row r="8471">
          <cell r="B8471">
            <v>47318</v>
          </cell>
          <cell r="C8471" t="str">
            <v>MATCH POINT INVESTMENTS LLC - BANCO BTG PACTUAL S/A</v>
          </cell>
          <cell r="D8471" t="str">
            <v>MATCH POINT INVESTMENTS LLC - BANCO BTG PACTUAL S/A</v>
          </cell>
          <cell r="E8471" t="str">
            <v>MATCH POINT INVESTMENTS LLC - BANCO BTG PACTUAL S/A</v>
          </cell>
        </row>
        <row r="8472">
          <cell r="B8472">
            <v>47319</v>
          </cell>
          <cell r="C8472" t="str">
            <v>FIM ALAGOAS</v>
          </cell>
          <cell r="D8472" t="str">
            <v>FIM ALAGOAS</v>
          </cell>
          <cell r="E8472" t="str">
            <v>FIM ALAGOAS</v>
          </cell>
        </row>
        <row r="8473">
          <cell r="B8473">
            <v>47320</v>
          </cell>
          <cell r="C8473" t="str">
            <v>LAGOA FIM EM COTAS FIM</v>
          </cell>
          <cell r="D8473" t="str">
            <v>LAGOA FIM EM COTAS FIM</v>
          </cell>
          <cell r="E8473" t="str">
            <v>ARX HEDGE FIM</v>
          </cell>
        </row>
        <row r="8474">
          <cell r="B8474">
            <v>47330</v>
          </cell>
          <cell r="C8474" t="str">
            <v>BENJAMIN NASARIO FERNANDES FILHO</v>
          </cell>
          <cell r="D8474" t="str">
            <v>BENJAMIN NASARIO FERNANDES FILHO</v>
          </cell>
          <cell r="E8474" t="str">
            <v>BENJAMIN NASARIO FERNANDES FILHO</v>
          </cell>
        </row>
        <row r="8475">
          <cell r="B8475">
            <v>81217</v>
          </cell>
          <cell r="C8475" t="str">
            <v>BANCO INTER S/A</v>
          </cell>
          <cell r="D8475" t="str">
            <v>BANCO INTER S/A</v>
          </cell>
          <cell r="E8475" t="str">
            <v>BANCO INTER S/A</v>
          </cell>
        </row>
        <row r="8476">
          <cell r="B8476">
            <v>47340</v>
          </cell>
          <cell r="C8476" t="str">
            <v>ADOLPHO VAZ ARRUDA NETO</v>
          </cell>
          <cell r="D8476" t="str">
            <v>ADOLPHO VAZ ARRUDA NETO</v>
          </cell>
          <cell r="E8476" t="str">
            <v>ADOLPHO VAZ ARRUDA NETO</v>
          </cell>
        </row>
        <row r="8477">
          <cell r="B8477">
            <v>47388</v>
          </cell>
          <cell r="C8477" t="str">
            <v>USINA MOEMA AÃ‡UCAR E ALCOOL LTDA</v>
          </cell>
          <cell r="D8477" t="str">
            <v>USINA MOEMA AÃ‡UCAR E ALCOOL LTDA</v>
          </cell>
          <cell r="E8477" t="str">
            <v>USINA MOEMA AÃ‡UCAR E ALCOOL LTDA</v>
          </cell>
        </row>
        <row r="8478">
          <cell r="B8478">
            <v>47389</v>
          </cell>
          <cell r="C8478" t="str">
            <v>CENARIO FUNDO DE INVESTIMENTOS MULTIMERCADO</v>
          </cell>
          <cell r="D8478" t="str">
            <v>CENARIO FUNDO DE INVESTIMENTOS MULTIMERCADO</v>
          </cell>
          <cell r="E8478" t="str">
            <v>CENARIO FUNDO DE INVESTIMENTOS MULTIMERCADO</v>
          </cell>
        </row>
        <row r="8479">
          <cell r="B8479">
            <v>496</v>
          </cell>
          <cell r="C8479" t="str">
            <v>BANCO SANTANDER (BRASIL) S/A</v>
          </cell>
          <cell r="D8479" t="str">
            <v>BANCO SANTANDER (BRASIL) S/A</v>
          </cell>
          <cell r="E8479" t="str">
            <v>BANCO SANTANDER (BRASIL) S/A</v>
          </cell>
        </row>
        <row r="8480">
          <cell r="B8480">
            <v>47401</v>
          </cell>
          <cell r="C8480" t="str">
            <v>FIF MERCATTO REDENCAO</v>
          </cell>
          <cell r="D8480" t="str">
            <v>FIF MERCATTO REDENCAO</v>
          </cell>
          <cell r="E8480" t="str">
            <v>FIF MERCATTO REDENCAO</v>
          </cell>
        </row>
        <row r="8481">
          <cell r="B8481">
            <v>497</v>
          </cell>
          <cell r="C8481" t="str">
            <v>BANCO SANTANDER (BRASIL) S/A</v>
          </cell>
          <cell r="D8481" t="str">
            <v>BANCO SANTANDER (BRASIL) S/A</v>
          </cell>
          <cell r="E8481" t="str">
            <v>BANCO SANTANDER (BRASIL) S/A</v>
          </cell>
        </row>
        <row r="8482">
          <cell r="B8482">
            <v>498</v>
          </cell>
          <cell r="C8482" t="str">
            <v>BANCO SANTANDER (BRASIL) S/A</v>
          </cell>
          <cell r="D8482" t="str">
            <v>BANCO SANTANDER (BRASIL) S/A</v>
          </cell>
          <cell r="E8482" t="str">
            <v>BANCO SANTANDER (BRASIL) S/A</v>
          </cell>
        </row>
        <row r="8483">
          <cell r="B8483">
            <v>499</v>
          </cell>
          <cell r="C8483" t="str">
            <v>BANCO SANTANDER (BRASIL) S/A</v>
          </cell>
          <cell r="D8483" t="str">
            <v>BANCO SANTANDER (BRASIL) S/A</v>
          </cell>
          <cell r="E8483" t="str">
            <v>BANCO SANTANDER (BRASIL) S/A</v>
          </cell>
        </row>
        <row r="8484">
          <cell r="B8484">
            <v>500</v>
          </cell>
          <cell r="C8484" t="str">
            <v>BANCO SANTANDER (BRASIL) S/A</v>
          </cell>
          <cell r="D8484" t="str">
            <v>BANCO SANTANDER (BRASIL) S/A</v>
          </cell>
          <cell r="E8484" t="str">
            <v>BANCO SANTANDER (BRASIL) S/A</v>
          </cell>
        </row>
        <row r="8485">
          <cell r="B8485">
            <v>501</v>
          </cell>
          <cell r="C8485" t="str">
            <v>BANCO SANTANDER (BRASIL) S/A</v>
          </cell>
          <cell r="D8485" t="str">
            <v>BANCO SANTANDER (BRASIL) S/A</v>
          </cell>
          <cell r="E8485" t="str">
            <v>BANCO SANTANDER (BRASIL) S/A</v>
          </cell>
        </row>
        <row r="8486">
          <cell r="B8486">
            <v>502</v>
          </cell>
          <cell r="C8486" t="str">
            <v>BANCO SANTANDER (BRASIL) S/A</v>
          </cell>
          <cell r="D8486" t="str">
            <v>BANCO SANTANDER (BRASIL) S/A</v>
          </cell>
          <cell r="E8486" t="str">
            <v>BANCO SANTANDER (BRASIL) S/A</v>
          </cell>
        </row>
        <row r="8487">
          <cell r="B8487">
            <v>503</v>
          </cell>
          <cell r="C8487" t="str">
            <v>BANCO SANTANDER (BRASIL) S/A</v>
          </cell>
          <cell r="D8487" t="str">
            <v>BANCO SANTANDER (BRASIL) S/A</v>
          </cell>
          <cell r="E8487" t="str">
            <v>BANCO SANTANDER (BRASIL) S/A</v>
          </cell>
        </row>
        <row r="8488">
          <cell r="B8488">
            <v>504</v>
          </cell>
          <cell r="C8488" t="str">
            <v>BANCO SANTANDER (BRASIL) S/A</v>
          </cell>
          <cell r="D8488" t="str">
            <v>BANCO SANTANDER (BRASIL) S/A</v>
          </cell>
          <cell r="E8488" t="str">
            <v>BANCO SANTANDER (BRASIL) S/A</v>
          </cell>
        </row>
        <row r="8489">
          <cell r="B8489">
            <v>505</v>
          </cell>
          <cell r="C8489" t="str">
            <v>BANCO SANTANDER (BRASIL) S/A</v>
          </cell>
          <cell r="D8489" t="str">
            <v>BANCO SANTANDER (BRASIL) S/A</v>
          </cell>
          <cell r="E8489" t="str">
            <v>BANCO SANTANDER (BRASIL) S/A</v>
          </cell>
        </row>
        <row r="8490">
          <cell r="B8490">
            <v>48321</v>
          </cell>
          <cell r="C8490" t="str">
            <v>BANCO CREFISA S.A.</v>
          </cell>
          <cell r="D8490" t="str">
            <v>BANCO CREFISA S.A.</v>
          </cell>
          <cell r="E8490" t="str">
            <v>BANCO CREFISA S.A.</v>
          </cell>
        </row>
        <row r="8491">
          <cell r="B8491">
            <v>506</v>
          </cell>
          <cell r="C8491" t="str">
            <v>BANCO SANTANDER (BRASIL) S/A</v>
          </cell>
          <cell r="D8491" t="str">
            <v>BANCO SANTANDER (BRASIL) S/A</v>
          </cell>
          <cell r="E8491" t="str">
            <v>BANCO SANTANDER (BRASIL) S/A</v>
          </cell>
        </row>
        <row r="8492">
          <cell r="B8492">
            <v>507</v>
          </cell>
          <cell r="C8492" t="str">
            <v>BANCO SANTANDER (BRASIL) S/A</v>
          </cell>
          <cell r="D8492" t="str">
            <v>BANCO SANTANDER (BRASIL) S/A</v>
          </cell>
          <cell r="E8492" t="str">
            <v>BANCO SANTANDER (BRASIL) S/A</v>
          </cell>
        </row>
        <row r="8493">
          <cell r="B8493">
            <v>48561</v>
          </cell>
          <cell r="C8493" t="str">
            <v>FABRICIO NORONHA GARCIA</v>
          </cell>
          <cell r="D8493" t="str">
            <v>FABRICIO NORONHA GARCIA</v>
          </cell>
          <cell r="E8493" t="str">
            <v>FABRICIO NORONHA GARCIA</v>
          </cell>
        </row>
        <row r="8494">
          <cell r="B8494">
            <v>48583</v>
          </cell>
          <cell r="C8494" t="str">
            <v>OFIR ELIAS FILHO</v>
          </cell>
          <cell r="D8494" t="str">
            <v>OFIR ELIAS FILHO</v>
          </cell>
          <cell r="E8494" t="str">
            <v>OFIR ELIAS FILHO</v>
          </cell>
        </row>
        <row r="8495">
          <cell r="B8495">
            <v>508</v>
          </cell>
          <cell r="C8495" t="str">
            <v>BANCO SANTANDER (BRASIL) S/A</v>
          </cell>
          <cell r="D8495" t="str">
            <v>BANCO SANTANDER (BRASIL) S/A</v>
          </cell>
          <cell r="E8495" t="str">
            <v>BANCO SANTANDER (BRASIL) S/A</v>
          </cell>
        </row>
        <row r="8496">
          <cell r="B8496">
            <v>509</v>
          </cell>
          <cell r="C8496" t="str">
            <v>BANCO SANTANDER (BRASIL) S/A</v>
          </cell>
          <cell r="D8496" t="str">
            <v>BANCO SANTANDER (BRASIL) S/A</v>
          </cell>
          <cell r="E8496" t="str">
            <v>BANCO SANTANDER (BRASIL) S/A</v>
          </cell>
        </row>
        <row r="8497">
          <cell r="B8497">
            <v>48757</v>
          </cell>
          <cell r="C8497" t="str">
            <v>TRUXT MULTIMANAGER BBDC FIM</v>
          </cell>
          <cell r="D8497" t="str">
            <v>TRUXT MULTIMANAGER BBDC FIM</v>
          </cell>
          <cell r="E8497" t="str">
            <v>TRUXT INVESTIMENTOS LTDA</v>
          </cell>
        </row>
        <row r="8498">
          <cell r="B8498">
            <v>510</v>
          </cell>
          <cell r="C8498" t="str">
            <v>BANCO SANTANDER (BRASIL) S/A</v>
          </cell>
          <cell r="D8498" t="str">
            <v>BANCO SANTANDER (BRASIL) S/A</v>
          </cell>
          <cell r="E8498" t="str">
            <v>BANCO SANTANDER (BRASIL) S/A</v>
          </cell>
        </row>
        <row r="8499">
          <cell r="B8499">
            <v>49</v>
          </cell>
          <cell r="C8499" t="str">
            <v>RENATO ANDERSON NEVES PINTO DA SILVA</v>
          </cell>
          <cell r="D8499" t="str">
            <v>RENATO ANDERSON NEVES PINTO DA SILVA</v>
          </cell>
          <cell r="E8499" t="str">
            <v>RENATO ANDERSON NEVES PINTO DA SILVA</v>
          </cell>
        </row>
        <row r="8500">
          <cell r="B8500">
            <v>511</v>
          </cell>
          <cell r="C8500" t="str">
            <v>BANCO SANTANDER (BRASIL) S/A</v>
          </cell>
          <cell r="D8500" t="str">
            <v>BANCO SANTANDER (BRASIL) S/A</v>
          </cell>
          <cell r="E8500" t="str">
            <v>BANCO SANTANDER (BRASIL) S/A</v>
          </cell>
        </row>
        <row r="8501">
          <cell r="B8501">
            <v>512</v>
          </cell>
          <cell r="C8501" t="str">
            <v>BANCO SANTANDER (BRASIL) S/A</v>
          </cell>
          <cell r="D8501" t="str">
            <v>BANCO SANTANDER (BRASIL) S/A</v>
          </cell>
          <cell r="E8501" t="str">
            <v>BANCO SANTANDER (BRASIL) S/A</v>
          </cell>
        </row>
        <row r="8502">
          <cell r="B8502">
            <v>49107</v>
          </cell>
          <cell r="C8502" t="str">
            <v>MONTE CARLO FIF</v>
          </cell>
          <cell r="D8502" t="str">
            <v>MONTE CARLO FIF</v>
          </cell>
          <cell r="E8502" t="str">
            <v>MONTE CARLO FIF</v>
          </cell>
        </row>
        <row r="8503">
          <cell r="B8503">
            <v>49131</v>
          </cell>
          <cell r="C8503" t="str">
            <v>FATOR S/A CV</v>
          </cell>
          <cell r="D8503" t="str">
            <v>FATOR S/A CV</v>
          </cell>
          <cell r="E8503" t="str">
            <v>FATOR S/A CV</v>
          </cell>
        </row>
        <row r="8504">
          <cell r="B8504">
            <v>513</v>
          </cell>
          <cell r="C8504" t="str">
            <v>BANCO SANTANDER (BRASIL) S/A</v>
          </cell>
          <cell r="D8504" t="str">
            <v>BANCO SANTANDER (BRASIL) S/A</v>
          </cell>
          <cell r="E8504" t="str">
            <v>BANCO SANTANDER (BRASIL) S/A</v>
          </cell>
        </row>
        <row r="8505">
          <cell r="B8505">
            <v>514</v>
          </cell>
          <cell r="C8505" t="str">
            <v>BANCO SANTANDER (BRASIL) S/A</v>
          </cell>
          <cell r="D8505" t="str">
            <v>BANCO SANTANDER (BRASIL) S/A</v>
          </cell>
          <cell r="E8505" t="str">
            <v>BANCO SANTANDER (BRASIL) S/A</v>
          </cell>
        </row>
        <row r="8506">
          <cell r="B8506">
            <v>515</v>
          </cell>
          <cell r="C8506" t="str">
            <v>BANCO SANTANDER (BRASIL) S/A</v>
          </cell>
          <cell r="D8506" t="str">
            <v>BANCO SANTANDER (BRASIL) S/A</v>
          </cell>
          <cell r="E8506" t="str">
            <v>BANCO SANTANDER (BRASIL) S/A</v>
          </cell>
        </row>
        <row r="8507">
          <cell r="B8507">
            <v>49409</v>
          </cell>
          <cell r="C8507" t="str">
            <v>DELTA PARTICIPAÃ‡Ã•ES S/A</v>
          </cell>
          <cell r="D8507" t="str">
            <v>DELTA PARTICIPAÃ‡Ã•ES S/A</v>
          </cell>
          <cell r="E8507" t="str">
            <v>DELTA PARTICIPAÃ‡Ã•ES S/A</v>
          </cell>
        </row>
        <row r="8508">
          <cell r="B8508">
            <v>49450</v>
          </cell>
          <cell r="C8508" t="str">
            <v>BP HEDGE MULTIMERCADO FUNDO DE INVESTIMENTO</v>
          </cell>
          <cell r="D8508" t="str">
            <v>BP HEDGE MULTIMERCADO FUNDO DE INVESTIMENTO</v>
          </cell>
          <cell r="E8508" t="str">
            <v>BP HEDGE MULTIMERCADO FUNDO DE INVESTIMENTO</v>
          </cell>
        </row>
        <row r="8509">
          <cell r="B8509">
            <v>49451</v>
          </cell>
          <cell r="C8509" t="str">
            <v>BP RENDA FIXA FUNDO DE INVESTIMENTO</v>
          </cell>
          <cell r="D8509" t="str">
            <v>BP RENDA FIXA FUNDO DE INVESTIMENTO</v>
          </cell>
          <cell r="E8509" t="str">
            <v>BP RENDA FIXA FUNDO DE INVESTIMENTO</v>
          </cell>
        </row>
        <row r="8510">
          <cell r="B8510">
            <v>49452</v>
          </cell>
          <cell r="C8510" t="str">
            <v>BP PRIVATE FIC DE FI MULTIMERCADO CREDITO PRIVADO</v>
          </cell>
          <cell r="D8510" t="str">
            <v>BP PRIVATE FIC DE FI MULTIMERCADO CREDITO PRIVADO</v>
          </cell>
          <cell r="E8510" t="str">
            <v>BP PRIVATE FIC DE FI MULTIMERCADO CREDITO PRIVADO</v>
          </cell>
        </row>
        <row r="8511">
          <cell r="B8511">
            <v>49453</v>
          </cell>
          <cell r="C8511" t="str">
            <v>BP PLUS FUNDO DE INVESTIMENTO MULTIMERCADO CREDITO PRIVADO</v>
          </cell>
          <cell r="D8511" t="str">
            <v>BP PLUS FUNDO DE INVESTIMENTO MULTIMERCADO CREDITO PRIVADO</v>
          </cell>
          <cell r="E8511" t="str">
            <v>BP PLUS FUNDO DE INVESTIMENTO MULTIMERCADO CREDITO PRIVADO</v>
          </cell>
        </row>
        <row r="8512">
          <cell r="B8512">
            <v>49454</v>
          </cell>
          <cell r="C8512" t="str">
            <v>BP NOTES I FUNDO DE INVESTIMENTO CREDITO PRIVADO</v>
          </cell>
          <cell r="D8512" t="str">
            <v>BP NOTES I FUNDO DE INVESTIMENTO CREDITO PRIVADO</v>
          </cell>
          <cell r="E8512" t="str">
            <v>BP HEDGE MULTIMERCADO FUNDO DE INVESTIMENTO</v>
          </cell>
        </row>
        <row r="8513">
          <cell r="B8513">
            <v>516</v>
          </cell>
          <cell r="C8513" t="str">
            <v>BANCO SANTANDER (BRASIL) S/A</v>
          </cell>
          <cell r="D8513" t="str">
            <v>BANCO SANTANDER (BRASIL) S/A</v>
          </cell>
          <cell r="E8513" t="str">
            <v>BANCO SANTANDER (BRASIL) S/A</v>
          </cell>
        </row>
        <row r="8514">
          <cell r="B8514">
            <v>517</v>
          </cell>
          <cell r="C8514" t="str">
            <v>BANCO SANTANDER (BRASIL) S/A</v>
          </cell>
          <cell r="D8514" t="str">
            <v>BANCO SANTANDER (BRASIL) S/A</v>
          </cell>
          <cell r="E8514" t="str">
            <v>BANCO SANTANDER (BRASIL) S/A</v>
          </cell>
        </row>
        <row r="8515">
          <cell r="B8515">
            <v>518</v>
          </cell>
          <cell r="C8515" t="str">
            <v>BANCO SANTANDER (BRASIL) S/A</v>
          </cell>
          <cell r="D8515" t="str">
            <v>BANCO SANTANDER (BRASIL) S/A</v>
          </cell>
          <cell r="E8515" t="str">
            <v>BANCO SANTANDER (BRASIL) S/A</v>
          </cell>
        </row>
        <row r="8516">
          <cell r="B8516">
            <v>519</v>
          </cell>
          <cell r="C8516" t="str">
            <v>BANCO SANTANDER (BRASIL) S/A</v>
          </cell>
          <cell r="D8516" t="str">
            <v>BANCO SANTANDER (BRASIL) S/A</v>
          </cell>
          <cell r="E8516" t="str">
            <v>BANCO SANTANDER (BRASIL) S/A</v>
          </cell>
        </row>
        <row r="8517">
          <cell r="B8517">
            <v>520</v>
          </cell>
          <cell r="C8517" t="str">
            <v>BANCO SANTANDER (BRASIL) S/A</v>
          </cell>
          <cell r="D8517" t="str">
            <v>BANCO SANTANDER (BRASIL) S/A</v>
          </cell>
          <cell r="E8517" t="str">
            <v>BANCO SANTANDER (BRASIL) S/A</v>
          </cell>
        </row>
        <row r="8518">
          <cell r="B8518">
            <v>5</v>
          </cell>
          <cell r="C8518" t="str">
            <v>FELIPPE AUGUSTO ARANHA DOMINGUES JUNIOR</v>
          </cell>
          <cell r="D8518" t="str">
            <v>FELIPPE AUGUSTO ARANHA DOMINGUES JUNIOR</v>
          </cell>
          <cell r="E8518" t="str">
            <v>FELIPPE AUGUSTO ARANHA DOMINGUES JUNIOR</v>
          </cell>
        </row>
        <row r="8519">
          <cell r="B8519">
            <v>50</v>
          </cell>
          <cell r="C8519" t="str">
            <v>MARCIO HENRIQUE CAMARGO PIMENTA</v>
          </cell>
          <cell r="D8519" t="str">
            <v>MARCIO HENRIQUE CAMARGO PIMENTA</v>
          </cell>
          <cell r="E8519" t="str">
            <v>MARCIO HENRIQUE CAMARGO PIMENTA</v>
          </cell>
        </row>
        <row r="8520">
          <cell r="B8520">
            <v>521</v>
          </cell>
          <cell r="C8520" t="str">
            <v>BANCO SANTANDER (BRASIL) S/A</v>
          </cell>
          <cell r="D8520" t="str">
            <v>BANCO SANTANDER (BRASIL) S/A</v>
          </cell>
          <cell r="E8520" t="str">
            <v>BANCO SANTANDER (BRASIL) S/A</v>
          </cell>
        </row>
        <row r="8521">
          <cell r="B8521">
            <v>522</v>
          </cell>
          <cell r="C8521" t="str">
            <v>BANCO SANTANDER (BRASIL) S/A</v>
          </cell>
          <cell r="D8521" t="str">
            <v>BANCO SANTANDER (BRASIL) S/A</v>
          </cell>
          <cell r="E8521" t="str">
            <v>BANCO SANTANDER (BRASIL) S/A</v>
          </cell>
        </row>
        <row r="8522">
          <cell r="B8522">
            <v>523</v>
          </cell>
          <cell r="C8522" t="str">
            <v>BANCO SANTANDER (BRASIL) S/A</v>
          </cell>
          <cell r="D8522" t="str">
            <v>BANCO SANTANDER (BRASIL) S/A</v>
          </cell>
          <cell r="E8522" t="str">
            <v>BANCO SANTANDER (BRASIL) S/A</v>
          </cell>
        </row>
        <row r="8523">
          <cell r="B8523">
            <v>524</v>
          </cell>
          <cell r="C8523" t="str">
            <v>BANCO SANTANDER (BRASIL) S/A</v>
          </cell>
          <cell r="D8523" t="str">
            <v>BANCO SANTANDER (BRASIL) S/A</v>
          </cell>
          <cell r="E8523" t="str">
            <v>BANCO SANTANDER (BRASIL) S/A</v>
          </cell>
        </row>
        <row r="8524">
          <cell r="B8524">
            <v>525</v>
          </cell>
          <cell r="C8524" t="str">
            <v>BANCO SANTANDER (BRASIL) S/A</v>
          </cell>
          <cell r="D8524" t="str">
            <v>BANCO SANTANDER (BRASIL) S/A</v>
          </cell>
          <cell r="E8524" t="str">
            <v>BANCO SANTANDER (BRASIL) S/A</v>
          </cell>
        </row>
        <row r="8525">
          <cell r="B8525">
            <v>526</v>
          </cell>
          <cell r="C8525" t="str">
            <v>BANCO SANTANDER (BRASIL) S/A</v>
          </cell>
          <cell r="D8525" t="str">
            <v>BANCO SANTANDER (BRASIL) S/A</v>
          </cell>
          <cell r="E8525" t="str">
            <v>BANCO SANTANDER (BRASIL) S/A</v>
          </cell>
        </row>
        <row r="8526">
          <cell r="B8526">
            <v>505746</v>
          </cell>
          <cell r="C8526" t="str">
            <v>ICAP DO BRASIL CTVM LTDA ( ATUAL TULLET)</v>
          </cell>
          <cell r="D8526" t="str">
            <v>ICAP DO BRASIL CTVM LTDA ( ATUAL TULLET)</v>
          </cell>
          <cell r="E8526" t="str">
            <v>ICAP DO BRASIL CTVM LTDA ( ATUAL TULLET)</v>
          </cell>
        </row>
        <row r="8527">
          <cell r="B8527">
            <v>527</v>
          </cell>
          <cell r="C8527" t="str">
            <v>BANCO SANTANDER (BRASIL) S/A</v>
          </cell>
          <cell r="D8527" t="str">
            <v>BANCO SANTANDER (BRASIL) S/A</v>
          </cell>
          <cell r="E8527" t="str">
            <v>BANCO SANTANDER (BRASIL) S/A</v>
          </cell>
        </row>
        <row r="8528">
          <cell r="B8528">
            <v>528</v>
          </cell>
          <cell r="C8528" t="str">
            <v>BANCO SANTANDER (BRASIL) S/A</v>
          </cell>
          <cell r="D8528" t="str">
            <v>BANCO SANTANDER (BRASIL) S/A</v>
          </cell>
          <cell r="E8528" t="str">
            <v>BANCO SANTANDER (BRASIL) S/A</v>
          </cell>
        </row>
        <row r="8529">
          <cell r="B8529">
            <v>529</v>
          </cell>
          <cell r="C8529" t="str">
            <v>BANCO SANTANDER (BRASIL) S/A</v>
          </cell>
          <cell r="D8529" t="str">
            <v>BANCO SANTANDER (BRASIL) S/A</v>
          </cell>
          <cell r="E8529" t="str">
            <v>BANCO SANTANDER (BRASIL) S/A</v>
          </cell>
        </row>
        <row r="8530">
          <cell r="B8530">
            <v>50886</v>
          </cell>
          <cell r="C8530" t="str">
            <v>BB BANCO DE INVESTIMENTO S/A</v>
          </cell>
          <cell r="D8530" t="str">
            <v>BB BANCO DE INVESTIMENTO S/A</v>
          </cell>
          <cell r="E8530" t="str">
            <v>BB BANCO DE INVESTIMENTO S/A</v>
          </cell>
        </row>
        <row r="8531">
          <cell r="B8531">
            <v>531</v>
          </cell>
          <cell r="C8531" t="str">
            <v>BANCO SANTANDER (BRASIL) S/A</v>
          </cell>
          <cell r="D8531" t="str">
            <v>BANCO SANTANDER (BRASIL) S/A</v>
          </cell>
          <cell r="E8531" t="str">
            <v>BANCO SANTANDER (BRASIL) S/A</v>
          </cell>
        </row>
        <row r="8532">
          <cell r="B8532">
            <v>532</v>
          </cell>
          <cell r="C8532" t="str">
            <v>BANCO SANTANDER (BRASIL) S/A</v>
          </cell>
          <cell r="D8532" t="str">
            <v>BANCO SANTANDER (BRASIL) S/A</v>
          </cell>
          <cell r="E8532" t="str">
            <v>BANCO SANTANDER (BRASIL) S/A</v>
          </cell>
        </row>
        <row r="8533">
          <cell r="B8533">
            <v>533</v>
          </cell>
          <cell r="C8533" t="str">
            <v>BANCO SANTANDER (BRASIL) S/A</v>
          </cell>
          <cell r="D8533" t="str">
            <v>BANCO SANTANDER (BRASIL) S/A</v>
          </cell>
          <cell r="E8533" t="str">
            <v>BANCO SANTANDER (BRASIL) S/A</v>
          </cell>
        </row>
        <row r="8534">
          <cell r="B8534">
            <v>534</v>
          </cell>
          <cell r="C8534" t="str">
            <v>BANCO SANTANDER (BRASIL) S/A</v>
          </cell>
          <cell r="D8534" t="str">
            <v>BANCO SANTANDER (BRASIL) S/A</v>
          </cell>
          <cell r="E8534" t="str">
            <v>BANCO SANTANDER (BRASIL) S/A</v>
          </cell>
        </row>
        <row r="8535">
          <cell r="B8535">
            <v>51200</v>
          </cell>
          <cell r="C8535" t="str">
            <v>VENTURESTAR FIM</v>
          </cell>
          <cell r="D8535" t="str">
            <v>VENTURESTAR FIM</v>
          </cell>
          <cell r="E8535" t="str">
            <v>VENTURESTAR FIM</v>
          </cell>
        </row>
        <row r="8536">
          <cell r="B8536">
            <v>538</v>
          </cell>
          <cell r="C8536" t="str">
            <v>FORD PREVIDENCIA PRIVADA</v>
          </cell>
          <cell r="D8536" t="str">
            <v>FORD PREVIDENCIA PRIVADA</v>
          </cell>
          <cell r="E8536" t="str">
            <v>BANCO SANTANDER (BRASIL) S/A</v>
          </cell>
        </row>
        <row r="8537">
          <cell r="B8537">
            <v>51368</v>
          </cell>
          <cell r="C8537" t="str">
            <v>BULLTICK LLC</v>
          </cell>
          <cell r="D8537" t="str">
            <v>BULLTICK LLC</v>
          </cell>
          <cell r="E8537" t="str">
            <v>BULLTICK LLC</v>
          </cell>
        </row>
        <row r="8538">
          <cell r="B8538">
            <v>539</v>
          </cell>
          <cell r="C8538" t="str">
            <v>BOSCH BRASIL IV FIM PREVIDENCIARIO</v>
          </cell>
          <cell r="D8538" t="str">
            <v>BOSCH BRASIL IV FIM PREVIDENCIARIO</v>
          </cell>
          <cell r="E8538" t="str">
            <v>BANCO SANTANDER (BRASIL) S/A</v>
          </cell>
        </row>
        <row r="8539">
          <cell r="B8539">
            <v>540</v>
          </cell>
          <cell r="C8539" t="str">
            <v>BOSCH BRASIL VI FIM PREVIDENCIARIO</v>
          </cell>
          <cell r="D8539" t="str">
            <v>BOSCH BRASIL VI FIM PREVIDENCIARIO</v>
          </cell>
          <cell r="E8539" t="str">
            <v>BANCO SANTANDER (BRASIL) S/A</v>
          </cell>
        </row>
        <row r="8540">
          <cell r="B8540">
            <v>541</v>
          </cell>
          <cell r="C8540" t="str">
            <v>BOSCH BRASIL VI FIM PREVIDENCIARIO</v>
          </cell>
          <cell r="D8540" t="str">
            <v>BOSCH BRASIL VI FIM PREVIDENCIARIO</v>
          </cell>
          <cell r="E8540" t="str">
            <v>BANCO SANTANDER (BRASIL) S/A</v>
          </cell>
        </row>
        <row r="8541">
          <cell r="B8541">
            <v>542</v>
          </cell>
          <cell r="C8541" t="str">
            <v>BOSCH BRASIL VII FIM PREVIDENCIARIO</v>
          </cell>
          <cell r="D8541" t="str">
            <v>BOSCH BRASIL VII FIM PREVIDENCIARIO</v>
          </cell>
          <cell r="E8541" t="str">
            <v>BANCO SANTANDER (BRASIL) S/A</v>
          </cell>
        </row>
        <row r="8542">
          <cell r="B8542">
            <v>543</v>
          </cell>
          <cell r="C8542" t="str">
            <v>FORD PREVIDENCIA PRIVADA</v>
          </cell>
          <cell r="D8542" t="str">
            <v>FORD PREVIDENCIA PRIVADA</v>
          </cell>
          <cell r="E8542" t="str">
            <v>BANCO SANTANDER (BRASIL) S/A</v>
          </cell>
        </row>
        <row r="8543">
          <cell r="B8543">
            <v>75</v>
          </cell>
          <cell r="C8543" t="str">
            <v>BANCO SANTANDER (BRASIL) S/A</v>
          </cell>
          <cell r="D8543" t="str">
            <v>BANCO SANTANDER (BRASIL) S/A</v>
          </cell>
          <cell r="E8543" t="str">
            <v>BANCO SANTANDER (BRASIL) S/A</v>
          </cell>
        </row>
        <row r="8544">
          <cell r="B8544">
            <v>52</v>
          </cell>
          <cell r="C8544" t="str">
            <v>SAMAMBAIA V FUNDO DE INVEST. EM AÃ‡Ã•ES</v>
          </cell>
          <cell r="D8544" t="str">
            <v>SAMAMBAIA V FUNDO DE INVEST. EM AÃ‡Ã•ES</v>
          </cell>
          <cell r="E8544" t="str">
            <v>SAMAMBAIA V FUNDO DE INVEST. EM AÃ‡Ã•ES</v>
          </cell>
        </row>
        <row r="8545">
          <cell r="B8545">
            <v>76</v>
          </cell>
          <cell r="C8545" t="str">
            <v>BANCO SANTANDER (BRASIL) S/A</v>
          </cell>
          <cell r="D8545" t="str">
            <v>BANCO SANTANDER (BRASIL) S/A</v>
          </cell>
          <cell r="E8545" t="str">
            <v>BANCO SANTANDER (BRASIL) S/A</v>
          </cell>
        </row>
        <row r="8546">
          <cell r="B8546">
            <v>5208</v>
          </cell>
          <cell r="C8546" t="str">
            <v>BANCO BTG PACTUAL S/A</v>
          </cell>
          <cell r="D8546" t="str">
            <v>BANCO BTG PACTUAL S/A</v>
          </cell>
          <cell r="E8546" t="str">
            <v>BANCO BTG PACTUAL S/A</v>
          </cell>
        </row>
        <row r="8547">
          <cell r="B8547">
            <v>79</v>
          </cell>
          <cell r="C8547" t="str">
            <v>BANCO SANTANDER (BRASIL) S/A</v>
          </cell>
          <cell r="D8547" t="str">
            <v>BANCO SANTANDER (BRASIL) S/A</v>
          </cell>
          <cell r="E8547" t="str">
            <v>BANCO SANTANDER (BRASIL) S/A</v>
          </cell>
        </row>
        <row r="8548">
          <cell r="B8548">
            <v>79596</v>
          </cell>
          <cell r="C8548" t="str">
            <v>SANTANDER FI AMAZONAS MULT CP IE</v>
          </cell>
          <cell r="D8548" t="str">
            <v>SANTANDER FI AMAZONAS MULT CP IE</v>
          </cell>
          <cell r="E8548" t="str">
            <v>BANCO SANTANDER (BRASIL) S/A</v>
          </cell>
        </row>
        <row r="8549">
          <cell r="B8549">
            <v>5224</v>
          </cell>
          <cell r="C8549" t="str">
            <v>BANCO FIBRA S/A</v>
          </cell>
          <cell r="D8549" t="str">
            <v>BANCO FIBRA S/A</v>
          </cell>
          <cell r="E8549" t="str">
            <v>BANCO FIBRA S/A</v>
          </cell>
        </row>
        <row r="8550">
          <cell r="B8550">
            <v>5229</v>
          </cell>
          <cell r="C8550" t="str">
            <v>BANCO CRUZEIRO DO SUL S/A</v>
          </cell>
          <cell r="D8550" t="str">
            <v>BANCO CRUZEIRO DO SUL S/A</v>
          </cell>
          <cell r="E8550" t="str">
            <v>BANCO CRUZEIRO DO SUL S/A</v>
          </cell>
        </row>
        <row r="8551">
          <cell r="B8551">
            <v>79612</v>
          </cell>
          <cell r="C8551" t="str">
            <v>BANCO SANTANDER (BRASIL) S/A</v>
          </cell>
          <cell r="D8551" t="str">
            <v>BANCO SANTANDER (BRASIL) S/A</v>
          </cell>
          <cell r="E8551" t="str">
            <v>BANCO SANTANDER (BRASIL) S/A</v>
          </cell>
        </row>
        <row r="8552">
          <cell r="B8552">
            <v>52365</v>
          </cell>
          <cell r="C8552" t="str">
            <v>KEHILÃ FUNDO DE INVESTIMENTO MULTIMERCADO</v>
          </cell>
          <cell r="D8552" t="str">
            <v>KEHILÃ FUNDO DE INVESTIMENTO MULTIMERCADO</v>
          </cell>
          <cell r="E8552" t="str">
            <v>KEHILÃ FUNDO DE INVESTIMENTO MULTIMERCADO</v>
          </cell>
        </row>
        <row r="8553">
          <cell r="B8553">
            <v>52366</v>
          </cell>
          <cell r="C8553" t="str">
            <v>FOCO FUNDO DE INVESTIMENTO MULTIMERCADO</v>
          </cell>
          <cell r="D8553" t="str">
            <v>FOCO FUNDO DE INVESTIMENTO MULTIMERCADO</v>
          </cell>
          <cell r="E8553" t="str">
            <v>FOCO FUNDO DE INVESTIMENTO MULTIMERCADO</v>
          </cell>
        </row>
        <row r="8554">
          <cell r="B8554">
            <v>52367</v>
          </cell>
          <cell r="C8554" t="str">
            <v>FOCO FIM AGRESSIVO</v>
          </cell>
          <cell r="D8554" t="str">
            <v>FOCO FIM AGRESSIVO</v>
          </cell>
          <cell r="E8554" t="str">
            <v>FOCO FIM AGRESSIVO</v>
          </cell>
        </row>
        <row r="8555">
          <cell r="B8555">
            <v>52368</v>
          </cell>
          <cell r="C8555" t="str">
            <v>FOCO FIM LONG SHORT</v>
          </cell>
          <cell r="D8555" t="str">
            <v>FOCO FIM LONG SHORT</v>
          </cell>
          <cell r="E8555" t="str">
            <v>FOCO ASSET MANAGEMENT LTDA</v>
          </cell>
        </row>
        <row r="8556">
          <cell r="B8556">
            <v>52369</v>
          </cell>
          <cell r="C8556" t="str">
            <v>FOCO INR FUNDO DE INVESTIMENTO MULTIMERCADO</v>
          </cell>
          <cell r="D8556" t="str">
            <v>FOCO INR FUNDO DE INVESTIMENTO MULTIMERCADO</v>
          </cell>
          <cell r="E8556" t="str">
            <v>FOCO INR FUNDO DE INVESTIMENTO MULTIMERCADO</v>
          </cell>
        </row>
        <row r="8557">
          <cell r="B8557">
            <v>5237</v>
          </cell>
          <cell r="C8557" t="str">
            <v>BANCO BRADESCO S/A</v>
          </cell>
          <cell r="D8557" t="str">
            <v>BANCO BRADESCO S/A</v>
          </cell>
          <cell r="E8557" t="str">
            <v>BANCO BRADESCO S/A</v>
          </cell>
        </row>
        <row r="8558">
          <cell r="B8558">
            <v>52370</v>
          </cell>
          <cell r="C8558" t="str">
            <v>FOCO FIM PLUS</v>
          </cell>
          <cell r="D8558" t="str">
            <v>FOCO FIM PLUS</v>
          </cell>
          <cell r="E8558" t="str">
            <v>FOCO FIM PLUS</v>
          </cell>
        </row>
        <row r="8559">
          <cell r="B8559">
            <v>79613</v>
          </cell>
          <cell r="C8559" t="str">
            <v>BANCO SANTANDER (BRASIL) S/A</v>
          </cell>
          <cell r="D8559" t="str">
            <v>BANCO SANTANDER (BRASIL) S/A</v>
          </cell>
          <cell r="E8559" t="str">
            <v>BANCO SANTANDER (BRASIL) S/A</v>
          </cell>
        </row>
        <row r="8560">
          <cell r="B8560">
            <v>5246</v>
          </cell>
          <cell r="C8560" t="str">
            <v>BANCO ABC BRASIL S/A</v>
          </cell>
          <cell r="D8560" t="str">
            <v>BANCO ABC BRASIL S/A</v>
          </cell>
          <cell r="E8560" t="str">
            <v>BANCO ABC BRASIL S/A</v>
          </cell>
        </row>
        <row r="8561">
          <cell r="B8561">
            <v>79614</v>
          </cell>
          <cell r="C8561" t="str">
            <v>BANCO SANTANDER (BRASIL) S/A</v>
          </cell>
          <cell r="D8561" t="str">
            <v>BANCO SANTANDER (BRASIL) S/A</v>
          </cell>
          <cell r="E8561" t="str">
            <v>BANCO SANTANDER (BRASIL) S/A</v>
          </cell>
        </row>
        <row r="8562">
          <cell r="B8562">
            <v>5250</v>
          </cell>
          <cell r="C8562" t="str">
            <v>BANCO SCHAHIN S/A</v>
          </cell>
          <cell r="D8562" t="str">
            <v>BANCO SCHAHIN S/A</v>
          </cell>
          <cell r="E8562" t="str">
            <v>BANCO SCHAHIN S/A</v>
          </cell>
        </row>
        <row r="8563">
          <cell r="B8563">
            <v>79615</v>
          </cell>
          <cell r="C8563" t="str">
            <v>BANCO SANTANDER (BRASIL) S/A</v>
          </cell>
          <cell r="D8563" t="str">
            <v>BANCO SANTANDER (BRASIL) S/A</v>
          </cell>
          <cell r="E8563" t="str">
            <v>BANCO SANTANDER (BRASIL) S/A</v>
          </cell>
        </row>
        <row r="8564">
          <cell r="B8564">
            <v>5263</v>
          </cell>
          <cell r="C8564" t="str">
            <v>BANCO CACIQUE S/A</v>
          </cell>
          <cell r="D8564" t="str">
            <v>BANCO CACIQUE S/A</v>
          </cell>
          <cell r="E8564" t="str">
            <v>BANCO CACIQUE S/A</v>
          </cell>
        </row>
        <row r="8565">
          <cell r="B8565">
            <v>5265</v>
          </cell>
          <cell r="C8565" t="str">
            <v>BANCO FATOR S/A</v>
          </cell>
          <cell r="D8565" t="str">
            <v>BANCO FATOR S/A</v>
          </cell>
          <cell r="E8565" t="str">
            <v>BANCO FATOR S/A</v>
          </cell>
        </row>
        <row r="8566">
          <cell r="B8566">
            <v>79616</v>
          </cell>
          <cell r="C8566" t="str">
            <v>BANCO SANTANDER (BRASIL) S/A</v>
          </cell>
          <cell r="D8566" t="str">
            <v>BANCO SANTANDER (BRASIL) S/A</v>
          </cell>
          <cell r="E8566" t="str">
            <v>BANCO SANTANDER (BRASIL) S/A</v>
          </cell>
        </row>
        <row r="8567">
          <cell r="B8567">
            <v>79617</v>
          </cell>
          <cell r="C8567" t="str">
            <v>BANCO SANTANDER (BRASIL) S/A</v>
          </cell>
          <cell r="D8567" t="str">
            <v>BANCO SANTANDER (BRASIL) S/A</v>
          </cell>
          <cell r="E8567" t="str">
            <v>BANCO SANTANDER (BRASIL) S/A</v>
          </cell>
        </row>
        <row r="8568">
          <cell r="B8568">
            <v>79618</v>
          </cell>
          <cell r="C8568" t="str">
            <v>BANCO SANTANDER (BRASIL) S/A</v>
          </cell>
          <cell r="D8568" t="str">
            <v>BANCO SANTANDER (BRASIL) S/A</v>
          </cell>
          <cell r="E8568" t="str">
            <v>BANCO SANTANDER (BRASIL) S/A</v>
          </cell>
        </row>
        <row r="8569">
          <cell r="B8569">
            <v>53</v>
          </cell>
          <cell r="C8569" t="str">
            <v>IP EQUITY HEDGE II FIM</v>
          </cell>
          <cell r="D8569" t="str">
            <v>IP EQUITY HEDGE II FIM</v>
          </cell>
          <cell r="E8569" t="str">
            <v>IP EQUITY HEDGE II FIM</v>
          </cell>
        </row>
        <row r="8570">
          <cell r="B8570">
            <v>53000</v>
          </cell>
          <cell r="C8570" t="str">
            <v>MAUA ORION EQUITY HEDGE MASTER FIM</v>
          </cell>
          <cell r="D8570" t="str">
            <v>MAUA ORION EQUITY HEDGE MASTER FIM</v>
          </cell>
          <cell r="E8570" t="str">
            <v>APOENA GESTORA DE RECURSOS LTDA</v>
          </cell>
        </row>
        <row r="8571">
          <cell r="B8571">
            <v>53001</v>
          </cell>
          <cell r="C8571" t="str">
            <v>NEST ACOES MASTER FIA</v>
          </cell>
          <cell r="D8571" t="str">
            <v>NEST ACOES MASTER FIA</v>
          </cell>
          <cell r="E8571" t="str">
            <v>NEST INVESTIMENTOS LTDA</v>
          </cell>
        </row>
        <row r="8572">
          <cell r="B8572">
            <v>53002</v>
          </cell>
          <cell r="C8572" t="str">
            <v>NEST MILE HIGHT MASTER FIM</v>
          </cell>
          <cell r="D8572" t="str">
            <v>NEST MILE HIGHT MASTER FIM</v>
          </cell>
          <cell r="E8572" t="str">
            <v>NEST INVESTIMENTOS LTDA</v>
          </cell>
        </row>
        <row r="8573">
          <cell r="B8573">
            <v>53003</v>
          </cell>
          <cell r="C8573" t="str">
            <v>SHARP MULTIMANAGER BBDC FUNDO DE INVESTIMENTO MULTIMERCADO</v>
          </cell>
          <cell r="D8573" t="str">
            <v>SHARP MULTIMANAGER BBDC FUNDO DE INVESTIMENTO MULTIMERCADO</v>
          </cell>
          <cell r="E8573" t="str">
            <v>SHARP MULTIMANAGER BBDC FUNDO DE INVESTIMENTO MULTIMERCADO</v>
          </cell>
        </row>
        <row r="8574">
          <cell r="B8574">
            <v>53004</v>
          </cell>
          <cell r="C8574" t="str">
            <v>GAP ABSOLUTO FUNDO DE INVESTIMENTO MULTIMERCADO</v>
          </cell>
          <cell r="D8574" t="str">
            <v>GAP ABSOLUTO FUNDO DE INVESTIMENTO MULTIMERCADO</v>
          </cell>
          <cell r="E8574" t="str">
            <v>GAP GESTORA DE RECURSOS LTDA</v>
          </cell>
        </row>
        <row r="8575">
          <cell r="B8575">
            <v>53005</v>
          </cell>
          <cell r="C8575" t="str">
            <v>GAP MULTIPORTIFOLIO 30 FUNDO DE INVESTIMENTO MULTIMERCADO I</v>
          </cell>
          <cell r="D8575" t="str">
            <v>GAP MULTIPORTIFOLIO 30 FUNDO DE INVESTIMENTO MULTIMERCADO I</v>
          </cell>
          <cell r="E8575" t="str">
            <v>GAP GESTORA DE RECURSOS LTDA</v>
          </cell>
        </row>
        <row r="8576">
          <cell r="B8576">
            <v>53007</v>
          </cell>
          <cell r="C8576" t="str">
            <v>GAP MULTIPORTFOLIO FIM</v>
          </cell>
          <cell r="D8576" t="str">
            <v>GAP MULTIPORTFOLIO FIM</v>
          </cell>
          <cell r="E8576" t="str">
            <v>GAP GESTORA DE RECURSOS LTDA</v>
          </cell>
        </row>
        <row r="8577">
          <cell r="B8577">
            <v>53008</v>
          </cell>
          <cell r="C8577" t="str">
            <v>GAP HEDGE FIM</v>
          </cell>
          <cell r="D8577" t="str">
            <v>GAP HEDGE FIM</v>
          </cell>
          <cell r="E8577" t="str">
            <v>GAP GESTORA DE RECURSOS LTDA</v>
          </cell>
        </row>
        <row r="8578">
          <cell r="B8578">
            <v>53009</v>
          </cell>
          <cell r="C8578" t="str">
            <v>FUNDO DE INVESTIMENTO MULTIMERCADO GAP POXIM</v>
          </cell>
          <cell r="D8578" t="str">
            <v>FUNDO DE INVESTIMENTO MULTIMERCADO GAP POXIM</v>
          </cell>
          <cell r="E8578" t="str">
            <v>GAP PRUDENTIAL LT GESTAO DE RECURSOS LTDA</v>
          </cell>
        </row>
        <row r="8579">
          <cell r="B8579">
            <v>53010</v>
          </cell>
          <cell r="C8579" t="str">
            <v>FPRF GAP FALCAO FUNDO DE INVESTIMENTO MULTIMERCADO PREVIDENC</v>
          </cell>
          <cell r="D8579" t="str">
            <v>FPRF GAP FALCAO FUNDO DE INVESTIMENTO MULTIMERCADO PREVIDENC</v>
          </cell>
          <cell r="E8579" t="str">
            <v>GAP PRUDENTIAL LT GESTAO DE RECURSOS LTDA</v>
          </cell>
        </row>
        <row r="8580">
          <cell r="B8580">
            <v>53011</v>
          </cell>
          <cell r="C8580" t="str">
            <v>FUNDO DE INVESTIMENTO MULTIMERCADO ITAPARICA</v>
          </cell>
          <cell r="D8580" t="str">
            <v>FUNDO DE INVESTIMENTO MULTIMERCADO ITAPARICA</v>
          </cell>
          <cell r="E8580" t="str">
            <v>GAP PRUDENTIAL LT GESTAO DE RECURSOS LTDA</v>
          </cell>
        </row>
        <row r="8581">
          <cell r="B8581">
            <v>53012</v>
          </cell>
          <cell r="C8581" t="str">
            <v>GAP INSTITUCIONAL FUNDO DE INVESTIMENTO MULTIMERCADO</v>
          </cell>
          <cell r="D8581" t="str">
            <v>GAP INSTITUCIONAL FUNDO DE INVESTIMENTO MULTIMERCADO</v>
          </cell>
          <cell r="E8581" t="str">
            <v>GAP INSTITUCIONAL FUNDO DE INVESTIMENTO MULTIMERCADO</v>
          </cell>
        </row>
        <row r="8582">
          <cell r="B8582">
            <v>53013</v>
          </cell>
          <cell r="C8582" t="str">
            <v>FUNDO DE INVESTIMENTO MULTIMERCADO PESCADA</v>
          </cell>
          <cell r="D8582" t="str">
            <v>FUNDO DE INVESTIMENTO MULTIMERCADO PESCADA</v>
          </cell>
          <cell r="E8582" t="str">
            <v>FUNDO DE INVESTIMENTO MULTIMERCADO PESCADA</v>
          </cell>
        </row>
        <row r="8583">
          <cell r="B8583">
            <v>79619</v>
          </cell>
          <cell r="C8583" t="str">
            <v>BANCO SANTANDER (BRASIL) S/A</v>
          </cell>
          <cell r="D8583" t="str">
            <v>BANCO SANTANDER (BRASIL) S/A</v>
          </cell>
          <cell r="E8583" t="str">
            <v>BANCO SANTANDER (BRASIL) S/A</v>
          </cell>
        </row>
        <row r="8584">
          <cell r="B8584">
            <v>5318</v>
          </cell>
          <cell r="C8584" t="str">
            <v>BANCO BMG S/A</v>
          </cell>
          <cell r="D8584" t="str">
            <v>BANCO BMG S/A</v>
          </cell>
          <cell r="E8584" t="str">
            <v>BANCO BMG S/A</v>
          </cell>
        </row>
        <row r="8585">
          <cell r="B8585">
            <v>53197</v>
          </cell>
          <cell r="C8585" t="str">
            <v>FIBRA UATUMA FIF</v>
          </cell>
          <cell r="D8585" t="str">
            <v>FIBRA UATUMA FIF</v>
          </cell>
          <cell r="E8585" t="str">
            <v>FIBRA UATUMA FIF</v>
          </cell>
        </row>
        <row r="8586">
          <cell r="B8586">
            <v>79620</v>
          </cell>
          <cell r="C8586" t="str">
            <v>BANCO SANTANDER (BRASIL) S/A</v>
          </cell>
          <cell r="D8586" t="str">
            <v>BANCO SANTANDER (BRASIL) S/A</v>
          </cell>
          <cell r="E8586" t="str">
            <v>BANCO SANTANDER (BRASIL) S/A</v>
          </cell>
        </row>
        <row r="8587">
          <cell r="B8587">
            <v>5320</v>
          </cell>
          <cell r="C8587" t="str">
            <v>BANK OF CHINA (BRASIL) BANCO MULTIPLO S/A</v>
          </cell>
          <cell r="D8587" t="str">
            <v>BANK OF CHINA (BRASIL) BANCO MULTIPLO S/A</v>
          </cell>
          <cell r="E8587" t="str">
            <v>BANCO DA CHINA BRASIL S/A</v>
          </cell>
        </row>
        <row r="8588">
          <cell r="B8588">
            <v>79621</v>
          </cell>
          <cell r="C8588" t="str">
            <v>BANCO SANTANDER (BRASIL) S/A</v>
          </cell>
          <cell r="D8588" t="str">
            <v>BANCO SANTANDER (BRASIL) S/A</v>
          </cell>
          <cell r="E8588" t="str">
            <v>BANCO SANTANDER (BRASIL) S/A</v>
          </cell>
        </row>
        <row r="8589">
          <cell r="B8589">
            <v>79622</v>
          </cell>
          <cell r="C8589" t="str">
            <v>BANCO SANTANDER (BRASIL) S/A</v>
          </cell>
          <cell r="D8589" t="str">
            <v>BANCO SANTANDER (BRASIL) S/A</v>
          </cell>
          <cell r="E8589" t="str">
            <v>BANCO SANTANDER (BRASIL) S/A</v>
          </cell>
        </row>
        <row r="8590">
          <cell r="B8590">
            <v>53456</v>
          </cell>
          <cell r="C8590" t="str">
            <v>GILBERTO PEREIRA COELHO JUNIOR</v>
          </cell>
          <cell r="D8590" t="str">
            <v>GILBERTO PEREIRA COELHO JUNIOR</v>
          </cell>
          <cell r="E8590" t="str">
            <v>GILBERTO PEREIRA COELHO JUNIOR</v>
          </cell>
        </row>
        <row r="8591">
          <cell r="B8591">
            <v>53468</v>
          </cell>
          <cell r="C8591" t="str">
            <v>HORACIO PIRES ADAO</v>
          </cell>
          <cell r="D8591" t="str">
            <v>HORACIO PIRES ADAO</v>
          </cell>
          <cell r="E8591" t="str">
            <v>HORACIO PIRES ADAO</v>
          </cell>
        </row>
        <row r="8592">
          <cell r="B8592">
            <v>53486</v>
          </cell>
          <cell r="C8592" t="str">
            <v>AGROPECUARIA BRUMA LTDA</v>
          </cell>
          <cell r="D8592" t="str">
            <v>AGROPECUARIA BRUMA LTDA</v>
          </cell>
          <cell r="E8592" t="str">
            <v>AGROPECUARIA BRUMA LTDA</v>
          </cell>
        </row>
        <row r="8593">
          <cell r="B8593">
            <v>53534</v>
          </cell>
          <cell r="C8593" t="str">
            <v>ERICK ZDANOWSKI DURIEZ</v>
          </cell>
          <cell r="D8593" t="str">
            <v>ERICK ZDANOWSKI DURIEZ</v>
          </cell>
          <cell r="E8593" t="str">
            <v>ERICK ZDANOWSKI DURIEZ</v>
          </cell>
        </row>
        <row r="8594">
          <cell r="B8594">
            <v>536</v>
          </cell>
          <cell r="C8594" t="str">
            <v>FORMULA XVI FIM CP IE</v>
          </cell>
          <cell r="D8594" t="str">
            <v>FORMULA XVI FIM CP IE</v>
          </cell>
          <cell r="E8594" t="str">
            <v>MORGAN STANLEY ADMINISTRADORA DE CARTEIRAS S/A</v>
          </cell>
        </row>
        <row r="8595">
          <cell r="B8595">
            <v>537</v>
          </cell>
          <cell r="C8595" t="str">
            <v>ERNESTO RODRIGO PINTO</v>
          </cell>
          <cell r="D8595" t="str">
            <v>ERNESTO RODRIGO PINTO</v>
          </cell>
          <cell r="E8595" t="str">
            <v>ERNESTO RODRIGO PINTO</v>
          </cell>
        </row>
        <row r="8596">
          <cell r="B8596">
            <v>53723</v>
          </cell>
          <cell r="C8596" t="str">
            <v>PAULO ROBERTO DOS SANTOS ARAUJO</v>
          </cell>
          <cell r="D8596" t="str">
            <v>PAULO ROBERTO DOS SANTOS ARAUJO</v>
          </cell>
          <cell r="E8596" t="str">
            <v>PAULO ROBERTO DOS SANTOS ARAUJO</v>
          </cell>
        </row>
        <row r="8597">
          <cell r="B8597">
            <v>79623</v>
          </cell>
          <cell r="C8597" t="str">
            <v>BANCO SANTANDER (BRASIL) S/A</v>
          </cell>
          <cell r="D8597" t="str">
            <v>BANCO SANTANDER (BRASIL) S/A</v>
          </cell>
          <cell r="E8597" t="str">
            <v>BANCO SANTANDER (BRASIL) S/A</v>
          </cell>
        </row>
        <row r="8598">
          <cell r="B8598">
            <v>79624</v>
          </cell>
          <cell r="C8598" t="str">
            <v>BANCO SANTANDER (BRASIL) S/A</v>
          </cell>
          <cell r="D8598" t="str">
            <v>BANCO SANTANDER (BRASIL) S/A</v>
          </cell>
          <cell r="E8598" t="str">
            <v>BANCO SANTANDER (BRASIL) S/A</v>
          </cell>
        </row>
        <row r="8599">
          <cell r="B8599">
            <v>53942</v>
          </cell>
          <cell r="C8599" t="str">
            <v>FUNDACAO PETROBRAS DE SEGURIDADE SOCIAL PETROS</v>
          </cell>
          <cell r="D8599" t="str">
            <v>FUNDACAO PETROBRAS DE SEGURIDADE SOCIAL PETROS</v>
          </cell>
          <cell r="E8599" t="str">
            <v>FUNDACAO PETROBRAS DE SEGURIDADE SOCIAL PETROS</v>
          </cell>
        </row>
        <row r="8600">
          <cell r="B8600">
            <v>5399</v>
          </cell>
          <cell r="C8600" t="str">
            <v>KIRTON BANK S.A. - BANCO MULTIPLO</v>
          </cell>
          <cell r="D8600" t="str">
            <v>KIRTON BANK S.A. - BANCO MULTIPLO</v>
          </cell>
          <cell r="E8600" t="str">
            <v>KIRTON BANK S.A. - BANCO MULTIPLO</v>
          </cell>
        </row>
        <row r="8601">
          <cell r="B8601">
            <v>54</v>
          </cell>
          <cell r="C8601" t="str">
            <v>IP SELECAO FIA</v>
          </cell>
          <cell r="D8601" t="str">
            <v>IP SELECAO FIA</v>
          </cell>
          <cell r="E8601" t="str">
            <v>IP SELECAO FIA</v>
          </cell>
        </row>
        <row r="8602">
          <cell r="B8602">
            <v>79625</v>
          </cell>
          <cell r="C8602" t="str">
            <v>BANCO SANTANDER (BRASIL) S/A</v>
          </cell>
          <cell r="D8602" t="str">
            <v>BANCO SANTANDER (BRASIL) S/A</v>
          </cell>
          <cell r="E8602" t="str">
            <v>BANCO SANTANDER (BRASIL) S/A</v>
          </cell>
        </row>
        <row r="8603">
          <cell r="B8603">
            <v>79626</v>
          </cell>
          <cell r="C8603" t="str">
            <v>BANCO SANTANDER (BRASIL) S/A</v>
          </cell>
          <cell r="D8603" t="str">
            <v>BANCO SANTANDER (BRASIL) S/A</v>
          </cell>
          <cell r="E8603" t="str">
            <v>BANCO SANTANDER (BRASIL) S/A</v>
          </cell>
        </row>
        <row r="8604">
          <cell r="B8604">
            <v>79627</v>
          </cell>
          <cell r="C8604" t="str">
            <v>BANCO SANTANDER (BRASIL) S/A</v>
          </cell>
          <cell r="D8604" t="str">
            <v>BANCO SANTANDER (BRASIL) S/A</v>
          </cell>
          <cell r="E8604" t="str">
            <v>BANCO SANTANDER (BRASIL) S/A</v>
          </cell>
        </row>
        <row r="8605">
          <cell r="B8605">
            <v>5422</v>
          </cell>
          <cell r="C8605" t="str">
            <v>BANCO SAFRA S/A</v>
          </cell>
          <cell r="D8605" t="str">
            <v>BANCO SAFRA S/A</v>
          </cell>
          <cell r="E8605" t="str">
            <v>BANCO SAFRA S/A</v>
          </cell>
        </row>
        <row r="8606">
          <cell r="B8606">
            <v>54287</v>
          </cell>
          <cell r="C8606" t="str">
            <v>CP CIMENTO E PARTICIPACOES S/A</v>
          </cell>
          <cell r="D8606" t="str">
            <v>CP CIMENTO E PARTICIPACOES S/A</v>
          </cell>
          <cell r="E8606" t="str">
            <v>CP CIMENTO E PARTICIPACOES S/A</v>
          </cell>
        </row>
        <row r="8607">
          <cell r="B8607">
            <v>79628</v>
          </cell>
          <cell r="C8607" t="str">
            <v>BANCO SANTANDER (BRASIL) S/A</v>
          </cell>
          <cell r="D8607" t="str">
            <v>BANCO SANTANDER (BRASIL) S/A</v>
          </cell>
          <cell r="E8607" t="str">
            <v>BANCO SANTANDER (BRASIL) S/A</v>
          </cell>
        </row>
        <row r="8608">
          <cell r="B8608">
            <v>54300</v>
          </cell>
          <cell r="C8608" t="str">
            <v>FIF CP</v>
          </cell>
          <cell r="D8608" t="str">
            <v>FIF CP</v>
          </cell>
          <cell r="E8608" t="str">
            <v>FIF CP</v>
          </cell>
        </row>
        <row r="8609">
          <cell r="B8609">
            <v>5453</v>
          </cell>
          <cell r="C8609" t="str">
            <v>BANCO RURAL S/A</v>
          </cell>
          <cell r="D8609" t="str">
            <v>BANCO RURAL S/A</v>
          </cell>
          <cell r="E8609" t="str">
            <v>BANCO RURAL S/A</v>
          </cell>
        </row>
        <row r="8610">
          <cell r="B8610">
            <v>54631</v>
          </cell>
          <cell r="C8610" t="str">
            <v>COMPANHIA BRASILEIRA DE BEBIDAS</v>
          </cell>
          <cell r="D8610" t="str">
            <v>COMPANHIA BRASILEIRA DE BEBIDAS</v>
          </cell>
          <cell r="E8610" t="str">
            <v>COMPANHIA BRASILEIRA DE BEBIDAS</v>
          </cell>
        </row>
        <row r="8611">
          <cell r="B8611">
            <v>54632</v>
          </cell>
          <cell r="C8611" t="str">
            <v>CARLOS GLAUCIO PEIXOTO</v>
          </cell>
          <cell r="D8611" t="str">
            <v>CARLOS GLAUCIO PEIXOTO</v>
          </cell>
          <cell r="E8611" t="str">
            <v>CARLOS GLAUCIO PEIXOTO</v>
          </cell>
        </row>
        <row r="8612">
          <cell r="B8612">
            <v>54682</v>
          </cell>
          <cell r="C8612" t="str">
            <v>PAULO BOTELHO PEIXOTO</v>
          </cell>
          <cell r="D8612" t="str">
            <v>PAULO BOTELHO PEIXOTO</v>
          </cell>
          <cell r="E8612" t="str">
            <v>PAULO BOTELHO PEIXOTO</v>
          </cell>
        </row>
        <row r="8613">
          <cell r="B8613">
            <v>54684</v>
          </cell>
          <cell r="C8613" t="str">
            <v>BANCO RENDIMENTO S/A</v>
          </cell>
          <cell r="D8613" t="str">
            <v>BANCO RENDIMENTO S/A</v>
          </cell>
          <cell r="E8613" t="str">
            <v>BANCO RENDIMENTO S/A</v>
          </cell>
        </row>
        <row r="8614">
          <cell r="B8614">
            <v>54687</v>
          </cell>
          <cell r="C8614" t="str">
            <v>JOSE HENRIQUE SECCO PEIXOTO</v>
          </cell>
          <cell r="D8614" t="str">
            <v>JOSE HENRIQUE SECCO PEIXOTO</v>
          </cell>
          <cell r="E8614" t="str">
            <v>JOSE HENRIQUE SECCO PEIXOTO</v>
          </cell>
        </row>
        <row r="8615">
          <cell r="B8615">
            <v>54688</v>
          </cell>
          <cell r="C8615" t="str">
            <v>MARCO ANTONIO BASTOS LIMA</v>
          </cell>
          <cell r="D8615" t="str">
            <v>MARCO ANTONIO BASTOS LIMA</v>
          </cell>
          <cell r="E8615" t="str">
            <v>MARCO ANTONIO BASTOS LIMA</v>
          </cell>
        </row>
        <row r="8616">
          <cell r="B8616">
            <v>547</v>
          </cell>
          <cell r="C8616" t="str">
            <v>CONRADO MICHELI DI BIASE</v>
          </cell>
          <cell r="D8616" t="str">
            <v>CONRADO MICHELI DI BIASE</v>
          </cell>
          <cell r="E8616" t="str">
            <v>CONRADO MICHELI DI BIASE</v>
          </cell>
        </row>
        <row r="8617">
          <cell r="B8617">
            <v>548</v>
          </cell>
          <cell r="C8617" t="str">
            <v>PERSONALE AFRODITE FIM</v>
          </cell>
          <cell r="D8617" t="str">
            <v>PERSONALE AFRODITE FIM</v>
          </cell>
          <cell r="E8617" t="str">
            <v>PERSONALE CONSULTORIA E GESTAO DE CARTEIRAS LTDA</v>
          </cell>
        </row>
        <row r="8618">
          <cell r="B8618">
            <v>54859</v>
          </cell>
          <cell r="C8618" t="str">
            <v>HEDGE SOUTH INVESTMENTS CO LLC</v>
          </cell>
          <cell r="D8618" t="str">
            <v>HEDGE SOUTH INVESTMENTS CO LLC</v>
          </cell>
          <cell r="E8618" t="str">
            <v>HEDGE SOUTH INVESTMENTS CO LLC</v>
          </cell>
        </row>
        <row r="8619">
          <cell r="B8619">
            <v>54878</v>
          </cell>
          <cell r="C8619" t="str">
            <v>LEHMAN BROTHERS SPECIAL FINANCING INC</v>
          </cell>
          <cell r="D8619" t="str">
            <v>LEHMAN BROTHERS SPECIAL FINANCING INC</v>
          </cell>
          <cell r="E8619" t="str">
            <v>LEHMAN BROTHERS SPECIAL FINANCING INC</v>
          </cell>
        </row>
        <row r="8620">
          <cell r="B8620">
            <v>549</v>
          </cell>
          <cell r="C8620" t="str">
            <v>PERSONALE DINAMICO II FIA</v>
          </cell>
          <cell r="D8620" t="str">
            <v>PERSONALE DINAMICO II FIA</v>
          </cell>
          <cell r="E8620" t="str">
            <v>PERSONALE CONSULTORIA E GESTAO DE CARTEIRAS LTDA</v>
          </cell>
        </row>
        <row r="8621">
          <cell r="B8621">
            <v>55</v>
          </cell>
          <cell r="C8621" t="str">
            <v>FTE II FI MULTIMERCADO</v>
          </cell>
          <cell r="D8621" t="str">
            <v>FTE II FI MULTIMERCADO</v>
          </cell>
          <cell r="E8621" t="str">
            <v>FTE II FI MULTIMERCADO</v>
          </cell>
        </row>
        <row r="8622">
          <cell r="B8622">
            <v>550</v>
          </cell>
          <cell r="C8622" t="str">
            <v>MODAL I FUNDO DE INVESTIMENTO EM PARTICIPACOES</v>
          </cell>
          <cell r="D8622" t="str">
            <v>MODAL I FUNDO DE INVESTIMENTO EM PARTICIPACOES</v>
          </cell>
          <cell r="E8622" t="str">
            <v>BANCO MODAL S/A</v>
          </cell>
        </row>
        <row r="8623">
          <cell r="B8623">
            <v>551</v>
          </cell>
          <cell r="C8623" t="str">
            <v>MAUA ABSOLUTO MASTER FUNDO DE INVESTIMENTO MULTIMERCADO</v>
          </cell>
          <cell r="D8623" t="str">
            <v>MAUA ABSOLUTO MASTER FUNDO DE INVESTIMENTO MULTIMERCADO</v>
          </cell>
          <cell r="E8623" t="str">
            <v>MAUA ABSOLUTO MASTER FUNDO DE INVESTIMENTO MULTIMERCADO</v>
          </cell>
        </row>
        <row r="8624">
          <cell r="B8624">
            <v>552</v>
          </cell>
          <cell r="C8624" t="str">
            <v>GABRIEL LOWNDES DE SOUZA PINTO</v>
          </cell>
          <cell r="D8624" t="str">
            <v>GABRIEL LOWNDES DE SOUZA PINTO</v>
          </cell>
          <cell r="E8624" t="str">
            <v>GABRIEL LOWNDES DE SOUZA PINTO</v>
          </cell>
        </row>
        <row r="8625">
          <cell r="B8625">
            <v>55236</v>
          </cell>
          <cell r="C8625" t="str">
            <v>AMERICAN EXPRESS BANK LTD</v>
          </cell>
          <cell r="D8625" t="str">
            <v>AMERICAN EXPRESS BANK LTD</v>
          </cell>
          <cell r="E8625" t="str">
            <v>AMERICAN EXPRESS BANK LTD</v>
          </cell>
        </row>
        <row r="8626">
          <cell r="B8626">
            <v>554</v>
          </cell>
          <cell r="C8626" t="str">
            <v>FABIO NISENBAUM</v>
          </cell>
          <cell r="D8626" t="str">
            <v>FABIO NISENBAUM</v>
          </cell>
          <cell r="E8626" t="str">
            <v>FABIO NISENBAUM</v>
          </cell>
        </row>
        <row r="8627">
          <cell r="B8627">
            <v>555</v>
          </cell>
          <cell r="C8627" t="str">
            <v>ALENTEJO FIM CP</v>
          </cell>
          <cell r="D8627" t="str">
            <v>ALENTEJO FIM CP</v>
          </cell>
          <cell r="E8627" t="str">
            <v>ITAU CV S/A</v>
          </cell>
        </row>
        <row r="8628">
          <cell r="B8628">
            <v>55500</v>
          </cell>
          <cell r="C8628" t="str">
            <v>CIMENTO TUPI S/A</v>
          </cell>
          <cell r="D8628" t="str">
            <v>CIMENTO TUPI S/A</v>
          </cell>
          <cell r="E8628" t="str">
            <v>CIMENTO TUPI S/A</v>
          </cell>
        </row>
        <row r="8629">
          <cell r="B8629">
            <v>55555</v>
          </cell>
          <cell r="C8629" t="str">
            <v>CLIENTE PADRAO</v>
          </cell>
          <cell r="D8629" t="str">
            <v>CLIENTE PADRAO</v>
          </cell>
          <cell r="E8629" t="str">
            <v>CLIENTE PADRAO</v>
          </cell>
        </row>
        <row r="8630">
          <cell r="B8630">
            <v>556</v>
          </cell>
          <cell r="C8630" t="str">
            <v>ITAGUARE FUNDO DE INVESTIMENTO MULTIMERCADO</v>
          </cell>
          <cell r="D8630" t="str">
            <v>ITAGUARE FUNDO DE INVESTIMENTO MULTIMERCADO</v>
          </cell>
          <cell r="E8630" t="str">
            <v>ITAU CV S/A</v>
          </cell>
        </row>
        <row r="8631">
          <cell r="B8631">
            <v>557</v>
          </cell>
          <cell r="C8631" t="str">
            <v>CLAUDIO LEAL FRANCA</v>
          </cell>
          <cell r="D8631" t="str">
            <v>CLAUDIO LEAL FRANCA</v>
          </cell>
          <cell r="E8631" t="str">
            <v>CLAUDIO LEAL FRANCA</v>
          </cell>
        </row>
        <row r="8632">
          <cell r="B8632">
            <v>558</v>
          </cell>
          <cell r="C8632" t="str">
            <v>FUNDO DE INVESTIMENTO EM AÃ‡Ã•ES LOURDES</v>
          </cell>
          <cell r="D8632" t="str">
            <v>FUNDO DE INVESTIMENTO EM AÃ‡Ã•ES LOURDES</v>
          </cell>
          <cell r="E8632" t="str">
            <v>FUNDO DE INVESTIMENTO EM AÃ‡Ã•ES LOURDES</v>
          </cell>
        </row>
        <row r="8633">
          <cell r="B8633">
            <v>559</v>
          </cell>
          <cell r="C8633" t="str">
            <v>MARCELA MARIA GALLINAL CUEBCA</v>
          </cell>
          <cell r="D8633" t="str">
            <v>MARCELA MARIA GALLINAL CUEBCA</v>
          </cell>
          <cell r="E8633" t="str">
            <v>MARCELA MARIA GALLINAL CUEBCA</v>
          </cell>
        </row>
        <row r="8634">
          <cell r="B8634">
            <v>56</v>
          </cell>
          <cell r="C8634" t="str">
            <v>BANESPREV MAIS VALOR AÇOES FI</v>
          </cell>
          <cell r="D8634" t="str">
            <v>BANESPREV MAIS VALOR AÇOES FI</v>
          </cell>
          <cell r="E8634" t="str">
            <v>INVESTIDOR PROFISSIONAL GESTAO DE RECURSOS LTDA</v>
          </cell>
        </row>
        <row r="8635">
          <cell r="B8635">
            <v>561</v>
          </cell>
          <cell r="C8635" t="str">
            <v>CLAUDIO FREIRE DE SOUZA JUNIOR</v>
          </cell>
          <cell r="D8635" t="str">
            <v>CLAUDIO FREIRE DE SOUZA JUNIOR</v>
          </cell>
          <cell r="E8635" t="str">
            <v>CLAUDIO FREIRE DE SOUZA JUNIOR</v>
          </cell>
        </row>
        <row r="8636">
          <cell r="B8636">
            <v>5611</v>
          </cell>
          <cell r="C8636" t="str">
            <v>BANCO PAULISTA S/A</v>
          </cell>
          <cell r="D8636" t="str">
            <v>BANCO PAULISTA S/A</v>
          </cell>
          <cell r="E8636" t="str">
            <v>BANCO PAULISTA S/A</v>
          </cell>
        </row>
        <row r="8637">
          <cell r="B8637">
            <v>562</v>
          </cell>
          <cell r="C8637" t="str">
            <v>FOCUS LONG SHORT FIM</v>
          </cell>
          <cell r="D8637" t="str">
            <v>FOCUS LONG SHORT FIM</v>
          </cell>
          <cell r="E8637" t="str">
            <v>FOCUS LONG SHORT FIM</v>
          </cell>
        </row>
        <row r="8638">
          <cell r="B8638">
            <v>563</v>
          </cell>
          <cell r="C8638" t="str">
            <v>IP BRASIL INSTITUCIONAL MASTER FIA</v>
          </cell>
          <cell r="D8638" t="str">
            <v>IP BRASIL INSTITUCIONAL MASTER FIA</v>
          </cell>
          <cell r="E8638" t="str">
            <v>IP BRASIL INSTITUCIONAL MASTER FIA</v>
          </cell>
        </row>
        <row r="8639">
          <cell r="B8639">
            <v>47339</v>
          </cell>
          <cell r="C8639" t="str">
            <v>BANCO INTERCAP S/A</v>
          </cell>
          <cell r="D8639" t="str">
            <v>BANCO INTERCAP S/A</v>
          </cell>
          <cell r="E8639" t="str">
            <v>BANCO INTERCAP S/A</v>
          </cell>
        </row>
        <row r="8640">
          <cell r="B8640">
            <v>5633</v>
          </cell>
          <cell r="C8640" t="str">
            <v>BANCO RENDIMENTO S/A</v>
          </cell>
          <cell r="D8640" t="str">
            <v>BANCO RENDIMENTO S/A</v>
          </cell>
          <cell r="E8640" t="str">
            <v>BANCO RENDIMENTO S/A</v>
          </cell>
        </row>
        <row r="8641">
          <cell r="B8641">
            <v>5637</v>
          </cell>
          <cell r="C8641" t="str">
            <v>BANCO SOFISA S/A</v>
          </cell>
          <cell r="D8641" t="str">
            <v>BANCO SOFISA S/A</v>
          </cell>
          <cell r="E8641" t="str">
            <v>BANCO SOFISA S/A</v>
          </cell>
        </row>
        <row r="8642">
          <cell r="B8642">
            <v>5638</v>
          </cell>
          <cell r="C8642" t="str">
            <v>BANCO PROSPER S/A</v>
          </cell>
          <cell r="D8642" t="str">
            <v>BANCO PROSPER S/A</v>
          </cell>
          <cell r="E8642" t="str">
            <v>BANCO PROSPER S/A</v>
          </cell>
        </row>
        <row r="8643">
          <cell r="B8643">
            <v>564</v>
          </cell>
          <cell r="C8643" t="str">
            <v>MELLON CORAIS FIA PREVIDENCIARIOS</v>
          </cell>
          <cell r="D8643" t="str">
            <v>MELLON CORAIS FIA PREVIDENCIARIOS</v>
          </cell>
          <cell r="E8643" t="str">
            <v>MELLON CORAIS FIA PREVIDENCIARIOS</v>
          </cell>
        </row>
        <row r="8644">
          <cell r="B8644">
            <v>5643</v>
          </cell>
          <cell r="C8644" t="str">
            <v>BANCO PINE S/A</v>
          </cell>
          <cell r="D8644" t="str">
            <v>BANCO PINE S/A</v>
          </cell>
          <cell r="E8644" t="str">
            <v>BANCO PINE S/A</v>
          </cell>
        </row>
        <row r="8645">
          <cell r="B8645">
            <v>565</v>
          </cell>
          <cell r="C8645" t="str">
            <v>TARGET PERSONAL FUNDO DE INVESTIMENTO MULTIMERCADO</v>
          </cell>
          <cell r="D8645" t="str">
            <v>TARGET PERSONAL FUNDO DE INVESTIMENTO MULTIMERCADO</v>
          </cell>
          <cell r="E8645" t="str">
            <v>TARGET PERSONAL FUNDO DE INVESTIMENTO MULTIMERCADO</v>
          </cell>
        </row>
        <row r="8646">
          <cell r="B8646">
            <v>5653</v>
          </cell>
          <cell r="C8646" t="str">
            <v>BANCO VOITER S/A</v>
          </cell>
          <cell r="D8646" t="str">
            <v>BANCO VOITER S/A</v>
          </cell>
          <cell r="E8646" t="str">
            <v>BANCO VOITER S/A</v>
          </cell>
        </row>
        <row r="8647">
          <cell r="B8647">
            <v>5655</v>
          </cell>
          <cell r="C8647" t="str">
            <v>BANCO VOTORANTIM S/A</v>
          </cell>
          <cell r="D8647" t="str">
            <v>BANCO VOTORANTIM S/A</v>
          </cell>
          <cell r="E8647" t="str">
            <v>BANCO VOTORANTIM S/A</v>
          </cell>
        </row>
        <row r="8648">
          <cell r="B8648">
            <v>5656</v>
          </cell>
          <cell r="C8648" t="str">
            <v>BANCO VOTORANTIM S/A</v>
          </cell>
          <cell r="D8648" t="str">
            <v>BANCO VOTORANTIM S/A</v>
          </cell>
          <cell r="E8648" t="str">
            <v>BANCO VOTORANTIM S/A</v>
          </cell>
        </row>
        <row r="8649">
          <cell r="B8649">
            <v>566</v>
          </cell>
          <cell r="C8649" t="str">
            <v>NEST MILE HIGHT MASTER FIM</v>
          </cell>
          <cell r="D8649" t="str">
            <v>NEST MILE HIGHT MASTER FIM</v>
          </cell>
          <cell r="E8649" t="str">
            <v>NEST INVESTIMENTOS LTDA</v>
          </cell>
        </row>
        <row r="8650">
          <cell r="B8650">
            <v>567</v>
          </cell>
          <cell r="C8650" t="str">
            <v>MAUA ORION EQUITY HEDGE MASTER FIM</v>
          </cell>
          <cell r="D8650" t="str">
            <v>MAUA ORION EQUITY HEDGE MASTER FIM</v>
          </cell>
          <cell r="E8650" t="str">
            <v>MAUA INVESTIMENTOS LTDA</v>
          </cell>
        </row>
        <row r="8651">
          <cell r="B8651">
            <v>568</v>
          </cell>
          <cell r="C8651" t="str">
            <v>CRISTIANO CARVALHO DE MENDONÃ‡A</v>
          </cell>
          <cell r="D8651" t="str">
            <v>CRISTIANO CARVALHO DE MENDONÃ‡A</v>
          </cell>
          <cell r="E8651" t="str">
            <v>CRISTIANO CARVALHO DE MENDONÃ‡A</v>
          </cell>
        </row>
        <row r="8652">
          <cell r="B8652">
            <v>56822</v>
          </cell>
          <cell r="C8652" t="str">
            <v>RICARDO PUBLIO DE OLIVEIRA</v>
          </cell>
          <cell r="D8652" t="str">
            <v>RICARDO PUBLIO DE OLIVEIRA</v>
          </cell>
          <cell r="E8652" t="str">
            <v>RICARDO PUBLIO DE OLIVEIRA</v>
          </cell>
        </row>
        <row r="8653">
          <cell r="B8653">
            <v>56823</v>
          </cell>
          <cell r="C8653" t="str">
            <v>LUIS FELIPE NEIVA SILVEIRA</v>
          </cell>
          <cell r="D8653" t="str">
            <v>LUIS FELIPE NEIVA SILVEIRA</v>
          </cell>
          <cell r="E8653" t="str">
            <v>LUIS FELIPE NEIVA SILVEIRA</v>
          </cell>
        </row>
        <row r="8654">
          <cell r="B8654">
            <v>56824</v>
          </cell>
          <cell r="C8654" t="str">
            <v>DIEGO SIQUEIRA SANTOS</v>
          </cell>
          <cell r="D8654" t="str">
            <v>DIEGO SIQUEIRA SANTOS</v>
          </cell>
          <cell r="E8654" t="str">
            <v>DIEGO SIQUEIRA SANTOS</v>
          </cell>
        </row>
        <row r="8655">
          <cell r="B8655">
            <v>56825</v>
          </cell>
          <cell r="C8655" t="str">
            <v>DINAMICA INVESTIMENTOS E EMPREENDIMENTOS LTDA</v>
          </cell>
          <cell r="D8655" t="str">
            <v>DINAMICA INVESTIMENTOS E EMPREENDIMENTOS LTDA</v>
          </cell>
          <cell r="E8655" t="str">
            <v>DINAMICA INVESTIMENTOS E EMPREENDIMENTOS LTDA</v>
          </cell>
        </row>
        <row r="8656">
          <cell r="B8656">
            <v>56826</v>
          </cell>
          <cell r="C8656" t="str">
            <v>ARIA CAPITAL ONE FUNDO DE INVESTIMENTO MULTIMERCADO</v>
          </cell>
          <cell r="D8656" t="str">
            <v>ARIA CAPITAL ONE FUNDO DE INVESTIMENTO MULTIMERCADO</v>
          </cell>
          <cell r="E8656" t="str">
            <v>ARIA CAPITAL ONE FUNDO DE INVESTIMENTO MULTIMERCADO</v>
          </cell>
        </row>
        <row r="8657">
          <cell r="B8657">
            <v>56827</v>
          </cell>
          <cell r="C8657" t="str">
            <v>NAGIB THIAGO TIBERY LIMA MALUFY</v>
          </cell>
          <cell r="D8657" t="str">
            <v>NAGIB THIAGO TIBERY LIMA MALUFY</v>
          </cell>
          <cell r="E8657" t="str">
            <v>NAGIB THIAGO TIBERY LIMA MALUFY</v>
          </cell>
        </row>
        <row r="8658">
          <cell r="B8658">
            <v>56846</v>
          </cell>
          <cell r="C8658" t="str">
            <v>CIEN COMPANHIA DE INTERCONEXAO ENERG S/A</v>
          </cell>
          <cell r="D8658" t="str">
            <v>CIEN COMPANHIA DE INTERCONEXAO ENERG S/A</v>
          </cell>
          <cell r="E8658" t="str">
            <v>CIEN COMPANHIA DE INTERCONEXAO ENERG S/A</v>
          </cell>
        </row>
        <row r="8659">
          <cell r="B8659">
            <v>569</v>
          </cell>
          <cell r="C8659" t="str">
            <v>ELOA CECILIA SANTOS FONTES FERRAZ</v>
          </cell>
          <cell r="D8659" t="str">
            <v>ELOA CECILIA SANTOS FONTES FERRAZ</v>
          </cell>
          <cell r="E8659" t="str">
            <v>ELOA CECILIA SANTOS FONTES FERRAZ</v>
          </cell>
        </row>
        <row r="8660">
          <cell r="B8660">
            <v>57</v>
          </cell>
          <cell r="C8660" t="str">
            <v>FUNDO IP PARTIC INSTITUC FMIA CL ADMINISTR</v>
          </cell>
          <cell r="D8660" t="str">
            <v>FUNDO IP PARTIC INSTITUC FMIA CL ADMINISTR</v>
          </cell>
          <cell r="E8660" t="str">
            <v>FUNDO IP PARTIC INSTITUC FMIA CL ADMINISTR</v>
          </cell>
        </row>
        <row r="8661">
          <cell r="B8661">
            <v>570</v>
          </cell>
          <cell r="C8661" t="str">
            <v>ALEXANDRO GAYOSO DA SILVA MARCEL</v>
          </cell>
          <cell r="D8661" t="str">
            <v>ALEXANDRO GAYOSO DA SILVA MARCEL</v>
          </cell>
          <cell r="E8661" t="str">
            <v>ALEXANDRO GAYOSO DA SILVA MARCEL</v>
          </cell>
        </row>
        <row r="8662">
          <cell r="B8662">
            <v>571</v>
          </cell>
          <cell r="C8662" t="str">
            <v>BANCO ITAUCARD S/A</v>
          </cell>
          <cell r="D8662" t="str">
            <v>BANCO ITAUCARD S/A</v>
          </cell>
          <cell r="E8662" t="str">
            <v>BANCO   ITAUCARD S/A</v>
          </cell>
        </row>
        <row r="8663">
          <cell r="B8663">
            <v>572</v>
          </cell>
          <cell r="C8663" t="str">
            <v>LAURO HENRIKO GARCIA ALVES DE SOUZA</v>
          </cell>
          <cell r="D8663" t="str">
            <v>LAURO HENRIKO GARCIA ALVES DE SOUZA</v>
          </cell>
          <cell r="E8663" t="str">
            <v>LAURO HENRIKO GARCIA ALVES DE SOUZA</v>
          </cell>
        </row>
        <row r="8664">
          <cell r="B8664">
            <v>573</v>
          </cell>
          <cell r="C8664" t="str">
            <v>EDUARDO VARANDA</v>
          </cell>
          <cell r="D8664" t="str">
            <v>EDUARDO VARANDA</v>
          </cell>
          <cell r="E8664" t="str">
            <v>EDUARDO VARANDA</v>
          </cell>
        </row>
        <row r="8665">
          <cell r="B8665">
            <v>574</v>
          </cell>
          <cell r="C8665" t="str">
            <v>NEST ACOES MASTER FIA</v>
          </cell>
          <cell r="D8665" t="str">
            <v>NEST ACOES MASTER FIA</v>
          </cell>
          <cell r="E8665" t="str">
            <v>NEST INVESTIMENTOS LTDA</v>
          </cell>
        </row>
        <row r="8666">
          <cell r="B8666">
            <v>5746</v>
          </cell>
          <cell r="C8666" t="str">
            <v>BANCO MODAL S/A</v>
          </cell>
          <cell r="D8666" t="str">
            <v>BANCO MODAL S/A</v>
          </cell>
          <cell r="E8666" t="str">
            <v>BANCO MODAL S/A</v>
          </cell>
        </row>
        <row r="8667">
          <cell r="B8667">
            <v>79979</v>
          </cell>
          <cell r="C8667" t="str">
            <v>BANCO COOPERATIVO SICREDI S/A</v>
          </cell>
          <cell r="D8667" t="str">
            <v>BANCO COOPERATIVO SICREDI S/A</v>
          </cell>
          <cell r="E8667" t="str">
            <v>BANCO COOPERATIVO SICREDI S/A</v>
          </cell>
        </row>
        <row r="8668">
          <cell r="B8668">
            <v>575</v>
          </cell>
          <cell r="C8668" t="str">
            <v>PAULO HENRIQUE BARBOSA MAGALHAES</v>
          </cell>
          <cell r="D8668" t="str">
            <v>PAULO HENRIQUE BARBOSA MAGALHAES</v>
          </cell>
          <cell r="E8668" t="str">
            <v>PAULO HENRIQUE BARBOSA MAGALHAES</v>
          </cell>
        </row>
        <row r="8669">
          <cell r="B8669">
            <v>576</v>
          </cell>
          <cell r="C8669" t="str">
            <v>PERSONALE HDN FIM</v>
          </cell>
          <cell r="D8669" t="str">
            <v>PERSONALE HDN FIM</v>
          </cell>
          <cell r="E8669" t="str">
            <v>PERSONALE CONSULTORIA E GESTAO DE CARTEIRAS LTDA</v>
          </cell>
        </row>
        <row r="8670">
          <cell r="B8670">
            <v>577</v>
          </cell>
          <cell r="C8670" t="str">
            <v>ANA MARISA FERES NASCIF</v>
          </cell>
          <cell r="D8670" t="str">
            <v>ANA MARISA FERES NASCIF</v>
          </cell>
          <cell r="E8670" t="str">
            <v>ANA MARISA FERES NASCIF</v>
          </cell>
        </row>
        <row r="8671">
          <cell r="B8671">
            <v>578</v>
          </cell>
          <cell r="C8671" t="str">
            <v>FERNANDO PAIVA FERNANDES</v>
          </cell>
          <cell r="D8671" t="str">
            <v>FERNANDO PAIVA FERNANDES</v>
          </cell>
          <cell r="E8671" t="str">
            <v>FERNANDO PAIVA FERNANDES</v>
          </cell>
        </row>
        <row r="8672">
          <cell r="B8672">
            <v>579</v>
          </cell>
          <cell r="C8672" t="str">
            <v>ALMIR DE OLIVEIRA MENEZES</v>
          </cell>
          <cell r="D8672" t="str">
            <v>ALMIR DE OLIVEIRA MENEZES</v>
          </cell>
          <cell r="E8672" t="str">
            <v>ALMIR DE OLIVEIRA MENEZES</v>
          </cell>
        </row>
        <row r="8673">
          <cell r="B8673">
            <v>58</v>
          </cell>
          <cell r="C8673" t="str">
            <v>GIBRALTAR FIP</v>
          </cell>
          <cell r="D8673" t="str">
            <v>GIBRALTAR FIP</v>
          </cell>
          <cell r="E8673" t="str">
            <v>GIBRALTAR FIP</v>
          </cell>
        </row>
        <row r="8674">
          <cell r="B8674">
            <v>580</v>
          </cell>
          <cell r="C8674" t="str">
            <v>PAULO BOTELHO PEIXOTO</v>
          </cell>
          <cell r="D8674" t="str">
            <v>PAULO BOTELHO PEIXOTO</v>
          </cell>
          <cell r="E8674" t="str">
            <v>PAULO BOTELHO PEIXOTO</v>
          </cell>
        </row>
        <row r="8675">
          <cell r="B8675">
            <v>581</v>
          </cell>
          <cell r="C8675" t="str">
            <v>MATHEUS NASCIF DE FARIA</v>
          </cell>
          <cell r="D8675" t="str">
            <v>MATHEUS NASCIF DE FARIA</v>
          </cell>
          <cell r="E8675" t="str">
            <v>MATHEUS NASCIF DE FARIA</v>
          </cell>
        </row>
        <row r="8676">
          <cell r="B8676">
            <v>582</v>
          </cell>
          <cell r="C8676" t="str">
            <v>VILA SIQUEIRA FIM CREDITO PRIVADO</v>
          </cell>
          <cell r="D8676" t="str">
            <v>VILA SIQUEIRA FIM CREDITO PRIVADO</v>
          </cell>
          <cell r="E8676" t="str">
            <v>VILA SIQUEIRA FIM CREDITO PRIVADO</v>
          </cell>
        </row>
        <row r="8677">
          <cell r="B8677">
            <v>583</v>
          </cell>
          <cell r="C8677" t="str">
            <v>BIOESTRATEGIA FIM CREDITO PRIVADO</v>
          </cell>
          <cell r="D8677" t="str">
            <v>BIOESTRATEGIA FIM CREDITO PRIVADO</v>
          </cell>
          <cell r="E8677" t="str">
            <v>BIOESTRATEGIA FIM CREDITO PRIVADO</v>
          </cell>
        </row>
        <row r="8678">
          <cell r="B8678">
            <v>58336</v>
          </cell>
          <cell r="C8678" t="str">
            <v>JOSE LUIZ AFONSO PEREIRA</v>
          </cell>
          <cell r="D8678" t="str">
            <v>JOSE LUIZ AFONSO PEREIRA</v>
          </cell>
          <cell r="E8678" t="str">
            <v>JOSE LUIZ AFONSO PEREIRA</v>
          </cell>
        </row>
        <row r="8679">
          <cell r="B8679">
            <v>584</v>
          </cell>
          <cell r="C8679" t="str">
            <v>RAMA FIM CREDITO PRIVADO</v>
          </cell>
          <cell r="D8679" t="str">
            <v>RAMA FIM CREDITO PRIVADO</v>
          </cell>
          <cell r="E8679" t="str">
            <v>RAMA FIM CREDITO PRIVADO</v>
          </cell>
        </row>
        <row r="8680">
          <cell r="B8680">
            <v>585</v>
          </cell>
          <cell r="C8680" t="str">
            <v>SAN GIULIANO FIM CREDITO PRIVADO</v>
          </cell>
          <cell r="D8680" t="str">
            <v>SAN GIULIANO FIM CREDITO PRIVADO</v>
          </cell>
          <cell r="E8680" t="str">
            <v>SAN GIULIANO FIM CREDITO PRIVADO</v>
          </cell>
        </row>
        <row r="8681">
          <cell r="B8681">
            <v>586</v>
          </cell>
          <cell r="C8681" t="str">
            <v>TD FIM CREDITO PRIVADO</v>
          </cell>
          <cell r="D8681" t="str">
            <v>TD FIM CREDITO PRIVADO</v>
          </cell>
          <cell r="E8681" t="str">
            <v>TD FIM CREDITO PRIVADO</v>
          </cell>
        </row>
        <row r="8682">
          <cell r="B8682">
            <v>122860</v>
          </cell>
          <cell r="C8682" t="str">
            <v>CAPITANIA AIR FIM CP</v>
          </cell>
          <cell r="D8682" t="str">
            <v>CAPITANIA AIR FIM CP</v>
          </cell>
          <cell r="E8682" t="str">
            <v>CAPITÂNIA INVEST S/A</v>
          </cell>
        </row>
        <row r="8683">
          <cell r="B8683">
            <v>58645</v>
          </cell>
          <cell r="C8683" t="str">
            <v>C.A.R.M. INVESTIMENTS LLC</v>
          </cell>
          <cell r="D8683" t="str">
            <v>C.A.R.M. INVESTIMENTS LLC</v>
          </cell>
          <cell r="E8683" t="str">
            <v>C.A.R.M. INVESTIMENTS LLC</v>
          </cell>
        </row>
        <row r="8684">
          <cell r="B8684">
            <v>587</v>
          </cell>
          <cell r="C8684" t="str">
            <v>FLAVIO NUNES BYRON</v>
          </cell>
          <cell r="D8684" t="str">
            <v>FLAVIO NUNES BYRON</v>
          </cell>
          <cell r="E8684" t="str">
            <v>FLAVIO NUNES BYRON</v>
          </cell>
        </row>
        <row r="8685">
          <cell r="B8685">
            <v>588</v>
          </cell>
          <cell r="C8685" t="str">
            <v>UNIFUND ALPHA CENTAURI LP FIM</v>
          </cell>
          <cell r="D8685" t="str">
            <v>UNIFUND ALPHA CENTAURI LP FIM</v>
          </cell>
          <cell r="E8685" t="str">
            <v>ITAU CV S/A</v>
          </cell>
        </row>
        <row r="8686">
          <cell r="B8686">
            <v>589</v>
          </cell>
          <cell r="C8686" t="str">
            <v>UNIBANCO MASTER RETORNO TOTAL FIM</v>
          </cell>
          <cell r="D8686" t="str">
            <v>UNIBANCO MASTER RETORNO TOTAL FIM</v>
          </cell>
          <cell r="E8686" t="str">
            <v>ITAU CV S/A</v>
          </cell>
        </row>
        <row r="8687">
          <cell r="B8687">
            <v>58964</v>
          </cell>
          <cell r="C8687" t="str">
            <v>DACASA FINANCEIRA S.A SOC DE CREDITO FINANC</v>
          </cell>
          <cell r="D8687" t="str">
            <v>DACASA FINANCEIRA S.A SOC DE CREDITO FINANC</v>
          </cell>
          <cell r="E8687" t="str">
            <v>DACASA FINANCEIRA S.A SOC DE CREDITO FINANC</v>
          </cell>
        </row>
        <row r="8688">
          <cell r="B8688">
            <v>59</v>
          </cell>
          <cell r="C8688" t="str">
            <v>TWEED LLC</v>
          </cell>
          <cell r="D8688" t="str">
            <v>TWEED LLC</v>
          </cell>
          <cell r="E8688" t="str">
            <v>TWEED LLC</v>
          </cell>
        </row>
        <row r="8689">
          <cell r="B8689">
            <v>590</v>
          </cell>
          <cell r="C8689" t="str">
            <v>CRISTHIAN KENGI ABUD YOSHIMA</v>
          </cell>
          <cell r="D8689" t="str">
            <v>CRISTHIAN KENGI ABUD YOSHIMA</v>
          </cell>
          <cell r="E8689" t="str">
            <v>CRISTHIAN KENGI ABUD YOSHIMA</v>
          </cell>
        </row>
        <row r="8690">
          <cell r="B8690">
            <v>591</v>
          </cell>
          <cell r="C8690" t="str">
            <v>BRAZIL LONG SHORT INVESTMENT LLC</v>
          </cell>
          <cell r="D8690" t="str">
            <v>BRAZIL LONG SHORT INVESTMENT LLC</v>
          </cell>
          <cell r="E8690" t="str">
            <v>ITAU CV S/A</v>
          </cell>
        </row>
        <row r="8691">
          <cell r="B8691">
            <v>592</v>
          </cell>
          <cell r="C8691" t="str">
            <v>MARCOS ROBERTO SILVESTRE MARTINES</v>
          </cell>
          <cell r="D8691" t="str">
            <v>MARCOS ROBERTO SILVESTRE MARTINES</v>
          </cell>
          <cell r="E8691" t="str">
            <v>MARCOS ROBERTO SILVESTRE MARTINES</v>
          </cell>
        </row>
        <row r="8692">
          <cell r="B8692">
            <v>593</v>
          </cell>
          <cell r="C8692" t="str">
            <v>CARLOS EDUARDO SINCLAIR LYRA MAGALHAES</v>
          </cell>
          <cell r="D8692" t="str">
            <v>CARLOS EDUARDO SINCLAIR LYRA MAGALHAES</v>
          </cell>
          <cell r="E8692" t="str">
            <v>CARLOS EDUARDO SINCLAIR LYRA MAGALHAES</v>
          </cell>
        </row>
        <row r="8693">
          <cell r="B8693">
            <v>594</v>
          </cell>
          <cell r="C8693" t="str">
            <v>WAGNER BARBOSA MAGALHAES</v>
          </cell>
          <cell r="D8693" t="str">
            <v>WAGNER BARBOSA MAGALHAES</v>
          </cell>
          <cell r="E8693" t="str">
            <v>WAGNER BARBOSA MAGALHAES</v>
          </cell>
        </row>
        <row r="8694">
          <cell r="B8694">
            <v>595</v>
          </cell>
          <cell r="C8694" t="str">
            <v>DOUGLAS RAMOS PINTO</v>
          </cell>
          <cell r="D8694" t="str">
            <v>DOUGLAS RAMOS PINTO</v>
          </cell>
          <cell r="E8694" t="str">
            <v>DOUGLAS RAMOS PINTO</v>
          </cell>
        </row>
        <row r="8695">
          <cell r="B8695">
            <v>596</v>
          </cell>
          <cell r="C8695" t="str">
            <v>BRAZIL HEDGE INVESTMENT LLC</v>
          </cell>
          <cell r="D8695" t="str">
            <v>BRAZIL HEDGE INVESTMENT LLC</v>
          </cell>
          <cell r="E8695" t="str">
            <v>ITAU CV S/A</v>
          </cell>
        </row>
        <row r="8696">
          <cell r="B8696">
            <v>597</v>
          </cell>
          <cell r="C8696" t="str">
            <v>SERGIO RICARDO JURUENA DA COSTA BRAGA</v>
          </cell>
          <cell r="D8696" t="str">
            <v>SERGIO RICARDO JURUENA DA COSTA BRAGA</v>
          </cell>
          <cell r="E8696" t="str">
            <v>SERGIO RICARDO JURUENA DA COSTA BRAGA</v>
          </cell>
        </row>
        <row r="8697">
          <cell r="B8697">
            <v>59876</v>
          </cell>
          <cell r="C8697" t="str">
            <v>RONALD DE OLIVEIRA SOUZA</v>
          </cell>
          <cell r="D8697" t="str">
            <v>RONALD DE OLIVEIRA SOUZA</v>
          </cell>
          <cell r="E8697" t="str">
            <v>RONALD DE OLIVEIRA SOUZA</v>
          </cell>
        </row>
        <row r="8698">
          <cell r="B8698">
            <v>6</v>
          </cell>
          <cell r="C8698" t="str">
            <v>ANDRE BARBOZA FERRAZ SCHIERZ</v>
          </cell>
          <cell r="D8698" t="str">
            <v>ANDRE BARBOZA FERRAZ SCHIERZ</v>
          </cell>
          <cell r="E8698" t="str">
            <v>ANDRE BARBOZA FERRAZ SCHIERZ</v>
          </cell>
        </row>
        <row r="8699">
          <cell r="B8699">
            <v>60</v>
          </cell>
          <cell r="C8699" t="str">
            <v>BRANSFIELD LLC</v>
          </cell>
          <cell r="D8699" t="str">
            <v>BRANSFIELD LLC</v>
          </cell>
          <cell r="E8699" t="str">
            <v>BRANSFIELD LLC</v>
          </cell>
        </row>
        <row r="8700">
          <cell r="B8700">
            <v>600</v>
          </cell>
          <cell r="C8700" t="str">
            <v>UNIBANCO MASTER INSTITUCIONAL FIM</v>
          </cell>
          <cell r="D8700" t="str">
            <v>UNIBANCO MASTER INSTITUCIONAL FIM</v>
          </cell>
          <cell r="E8700" t="str">
            <v>ITAU CV S/A</v>
          </cell>
        </row>
        <row r="8701">
          <cell r="B8701">
            <v>601</v>
          </cell>
          <cell r="C8701" t="str">
            <v>PAULO ALFREDO DAMASCENO FERREIRA</v>
          </cell>
          <cell r="D8701" t="str">
            <v>PAULO ALFREDO DAMASCENO FERREIRA</v>
          </cell>
          <cell r="E8701" t="str">
            <v>PAULO ALFREDO DAMASCENO FERREIRA</v>
          </cell>
        </row>
        <row r="8702">
          <cell r="B8702">
            <v>603</v>
          </cell>
          <cell r="C8702" t="str">
            <v>CRPC MAURITSSTAD FIA</v>
          </cell>
          <cell r="D8702" t="str">
            <v>CRPC MAURITSSTAD FIA</v>
          </cell>
          <cell r="E8702" t="str">
            <v>CRPC ADMINISTRACAO DE RECURSOS FINANCEIROS LTDA</v>
          </cell>
        </row>
        <row r="8703">
          <cell r="B8703">
            <v>604</v>
          </cell>
          <cell r="C8703" t="str">
            <v>LEHMAN BROTHERS SPECIAL FINANCING INC</v>
          </cell>
          <cell r="D8703" t="str">
            <v>LEHMAN BROTHERS SPECIAL FINANCING INC</v>
          </cell>
          <cell r="E8703" t="str">
            <v>LEHMAN BROTHERS SPECIAL FINANCING INC</v>
          </cell>
        </row>
        <row r="8704">
          <cell r="B8704">
            <v>605</v>
          </cell>
          <cell r="C8704" t="str">
            <v>ARBITRAGEM FIM</v>
          </cell>
          <cell r="D8704" t="str">
            <v>ARBITRAGEM FIM</v>
          </cell>
          <cell r="E8704" t="str">
            <v>ARBITRAGEM FIM</v>
          </cell>
        </row>
        <row r="8705">
          <cell r="B8705">
            <v>606</v>
          </cell>
          <cell r="C8705" t="str">
            <v>FIDUCIA MULTIMANAGER ITAU PLUS 15 FIM</v>
          </cell>
          <cell r="D8705" t="str">
            <v>FIDUCIA MULTIMANAGER ITAU PLUS 15 FIM</v>
          </cell>
          <cell r="E8705" t="str">
            <v>FIDUCIA MULTIMANAGER ITAU PLUS 15 FIM</v>
          </cell>
        </row>
        <row r="8706">
          <cell r="B8706">
            <v>607</v>
          </cell>
          <cell r="C8706" t="str">
            <v>IGXG MANAGEMENT LLC</v>
          </cell>
          <cell r="D8706" t="str">
            <v>IGXG MANAGEMENT LLC</v>
          </cell>
          <cell r="E8706" t="str">
            <v>IGXG MANAGEMENT LLC</v>
          </cell>
        </row>
        <row r="8707">
          <cell r="B8707">
            <v>608</v>
          </cell>
          <cell r="C8707" t="str">
            <v>FERNANDO OLIVEIRA PANNO</v>
          </cell>
          <cell r="D8707" t="str">
            <v>FERNANDO OLIVEIRA PANNO</v>
          </cell>
          <cell r="E8707" t="str">
            <v>FERNANDO OLIVEIRA PANNO</v>
          </cell>
        </row>
        <row r="8708">
          <cell r="B8708">
            <v>609</v>
          </cell>
          <cell r="C8708" t="str">
            <v>FIDUCIA DIAMOND FIM</v>
          </cell>
          <cell r="D8708" t="str">
            <v>FIDUCIA DIAMOND FIM</v>
          </cell>
          <cell r="E8708" t="str">
            <v>FIDUCIA ASSET MANAGEMENT LTDA</v>
          </cell>
        </row>
        <row r="8709">
          <cell r="B8709">
            <v>61</v>
          </cell>
          <cell r="C8709" t="str">
            <v>SOUTHWOOD FUNDO DE INVEST EM COTAS DE FIM</v>
          </cell>
          <cell r="D8709" t="str">
            <v>SOUTHWOOD FUNDO DE INVEST EM COTAS DE FIM</v>
          </cell>
          <cell r="E8709" t="str">
            <v>SOUTHWOOD FUNDO DE INVEST EM COTAS DE FIM</v>
          </cell>
        </row>
        <row r="8710">
          <cell r="B8710">
            <v>610</v>
          </cell>
          <cell r="C8710" t="str">
            <v>CLAUDIO VIEIRA DE MELO</v>
          </cell>
          <cell r="D8710" t="str">
            <v>CLAUDIO VIEIRA DE MELO</v>
          </cell>
          <cell r="E8710" t="str">
            <v>CLAUDIO VIEIRA DE MELO</v>
          </cell>
        </row>
        <row r="8711">
          <cell r="B8711">
            <v>611</v>
          </cell>
          <cell r="C8711" t="str">
            <v>ELECTRA FIA</v>
          </cell>
          <cell r="D8711" t="str">
            <v>ELECTRA FIA</v>
          </cell>
          <cell r="E8711" t="str">
            <v>ELECTRA FIA</v>
          </cell>
        </row>
        <row r="8712">
          <cell r="B8712">
            <v>612</v>
          </cell>
          <cell r="C8712" t="str">
            <v>FUNDO DE INVESTIMENTO EM ACOES SAVANA SUSTENTABILIDADE</v>
          </cell>
          <cell r="D8712" t="str">
            <v>FUNDO DE INVESTIMENTO EM ACOES SAVANA SUSTENTABILIDADE</v>
          </cell>
          <cell r="E8712" t="str">
            <v>SANTANDER BRASIL GESTAO DE RECURSOS LTDA</v>
          </cell>
        </row>
        <row r="8713">
          <cell r="B8713">
            <v>613</v>
          </cell>
          <cell r="C8713" t="str">
            <v>FUNDO DE INVESTIMENTO MULTIMERCADO BORDEAUX</v>
          </cell>
          <cell r="D8713" t="str">
            <v>FUNDO DE INVESTIMENTO MULTIMERCADO BORDEAUX</v>
          </cell>
          <cell r="E8713" t="str">
            <v>FUNDO DE INVESTIMENTO MULTIMERCADO BORDEAUX</v>
          </cell>
        </row>
        <row r="8714">
          <cell r="B8714">
            <v>61337</v>
          </cell>
          <cell r="C8714" t="str">
            <v>UNIBANCO UNIAO DE BANCOS BRASILEIROS S/A</v>
          </cell>
          <cell r="D8714" t="str">
            <v>UNIBANCO UNIAO DE BANCOS BRASILEIROS S/A</v>
          </cell>
          <cell r="E8714" t="str">
            <v>UNIBANCO UNIAO DE BANCOS BRASILEIROS S/A</v>
          </cell>
        </row>
        <row r="8715">
          <cell r="B8715">
            <v>61366</v>
          </cell>
          <cell r="C8715" t="str">
            <v>UNIBANCO UNIAO DE BANCOS BRASILEIROS S/A</v>
          </cell>
          <cell r="D8715" t="str">
            <v>UNIBANCO UNIAO DE BANCOS BRASILEIROS S/A</v>
          </cell>
          <cell r="E8715" t="str">
            <v>UNIBANCO UNIAO DE BANCOS BRASILEIROS S/A</v>
          </cell>
        </row>
        <row r="8716">
          <cell r="B8716">
            <v>615</v>
          </cell>
          <cell r="C8716" t="str">
            <v>CHRISTIANO MARCONDES DE BARROS LIMA</v>
          </cell>
          <cell r="D8716" t="str">
            <v>CHRISTIANO MARCONDES DE BARROS LIMA</v>
          </cell>
          <cell r="E8716" t="str">
            <v>CHRISTIANO MARCONDES DE BARROS LIMA</v>
          </cell>
        </row>
        <row r="8717">
          <cell r="B8717">
            <v>61782</v>
          </cell>
          <cell r="C8717" t="str">
            <v>UNIBANCO UNIAO DE BANCOS BRASILEIROS S/A</v>
          </cell>
          <cell r="D8717" t="str">
            <v>UNIBANCO UNIAO DE BANCOS BRASILEIROS S/A</v>
          </cell>
          <cell r="E8717" t="str">
            <v>UNIBANCO UNIAO DE BANCOS BRASILEIROS S/A</v>
          </cell>
        </row>
        <row r="8718">
          <cell r="B8718">
            <v>618</v>
          </cell>
          <cell r="C8718" t="str">
            <v>FIDUCIA PREMIUM INSTITUCIONAL FIM</v>
          </cell>
          <cell r="D8718" t="str">
            <v>FIDUCIA PREMIUM INSTITUCIONAL FIM</v>
          </cell>
          <cell r="E8718" t="str">
            <v>FIDUCIA ASSET MANAGEMENT LTDA</v>
          </cell>
        </row>
        <row r="8719">
          <cell r="B8719">
            <v>619</v>
          </cell>
          <cell r="C8719" t="str">
            <v>FIDUCIA PLATINUM FIM CP</v>
          </cell>
          <cell r="D8719" t="str">
            <v>FIDUCIA PLATINUM FIM CP</v>
          </cell>
          <cell r="E8719" t="str">
            <v>FIDUCIA ASSET MANAGEMENT LTDA</v>
          </cell>
        </row>
        <row r="8720">
          <cell r="B8720">
            <v>62</v>
          </cell>
          <cell r="C8720" t="str">
            <v>LARGE CAPS SELECT FIA</v>
          </cell>
          <cell r="D8720" t="str">
            <v>LARGE CAPS SELECT FIA</v>
          </cell>
          <cell r="E8720" t="str">
            <v>LARGE CAPS SELECT FIA</v>
          </cell>
        </row>
        <row r="8721">
          <cell r="B8721">
            <v>620</v>
          </cell>
          <cell r="C8721" t="str">
            <v>FIDUCIA RUBY CLONE FIA</v>
          </cell>
          <cell r="D8721" t="str">
            <v>FIDUCIA RUBY CLONE FIA</v>
          </cell>
          <cell r="E8721" t="str">
            <v>FIDUCIA ASSET MANAGEMENT LTDA</v>
          </cell>
        </row>
        <row r="8722">
          <cell r="B8722">
            <v>621</v>
          </cell>
          <cell r="C8722" t="str">
            <v>FIDUCIA EQUITY HEDGE FIM</v>
          </cell>
          <cell r="D8722" t="str">
            <v>FIDUCIA EQUITY HEDGE FIM</v>
          </cell>
          <cell r="E8722" t="str">
            <v>FIDUCIA ASSET MANAGEMENT LTDA</v>
          </cell>
        </row>
        <row r="8723">
          <cell r="B8723">
            <v>624</v>
          </cell>
          <cell r="C8723" t="str">
            <v>FABRICIO NORONHA GARCIA</v>
          </cell>
          <cell r="D8723" t="str">
            <v>FABRICIO NORONHA GARCIA</v>
          </cell>
          <cell r="E8723" t="str">
            <v>FABRICIO NORONHA GARCIA</v>
          </cell>
        </row>
        <row r="8724">
          <cell r="B8724">
            <v>625</v>
          </cell>
          <cell r="C8724" t="str">
            <v>AQUILA FIM</v>
          </cell>
          <cell r="D8724" t="str">
            <v>AQUILA FIM</v>
          </cell>
          <cell r="E8724" t="str">
            <v>SANTANDER BRASIL GESTAO DE RECURSOS LTDA</v>
          </cell>
        </row>
        <row r="8725">
          <cell r="B8725">
            <v>626</v>
          </cell>
          <cell r="C8725" t="str">
            <v>LACAN EQUILIBRIO INSTITUCIONAL FIM</v>
          </cell>
          <cell r="D8725" t="str">
            <v>LACAN EQUILIBRIO INSTITUCIONAL FIM</v>
          </cell>
          <cell r="E8725" t="str">
            <v>LACAN INVESTIMENTOS E PARTICIPACOES LTDA</v>
          </cell>
        </row>
        <row r="8726">
          <cell r="B8726">
            <v>62644</v>
          </cell>
          <cell r="C8726" t="str">
            <v>UNIBANCO UNIAO DE BANCOS BRASILEIROS S/A</v>
          </cell>
          <cell r="D8726" t="str">
            <v>UNIBANCO UNIAO DE BANCOS BRASILEIROS S/A</v>
          </cell>
          <cell r="E8726" t="str">
            <v>UNIBANCO UNIAO DE BANCOS BRASILEIROS S/A</v>
          </cell>
        </row>
        <row r="8727">
          <cell r="B8727">
            <v>627</v>
          </cell>
          <cell r="C8727" t="str">
            <v>SDB FUNDO DE INVESTIMENTO MULTIMERCADO</v>
          </cell>
          <cell r="D8727" t="str">
            <v>SDB FUNDO DE INVESTIMENTO MULTIMERCADO</v>
          </cell>
          <cell r="E8727" t="str">
            <v>LACAN INVESTIMENTOS E PARTICIPACOES LTDA</v>
          </cell>
        </row>
        <row r="8728">
          <cell r="B8728">
            <v>628</v>
          </cell>
          <cell r="C8728" t="str">
            <v>GEMINI FUNDO DE INVESTIMENTO DE ACOES EXCLUSIVO</v>
          </cell>
          <cell r="D8728" t="str">
            <v>GEMINI FUNDO DE INVESTIMENTO DE ACOES EXCLUSIVO</v>
          </cell>
          <cell r="E8728" t="str">
            <v>LACAN INVESTIMENTOS E PARTICIPACOES LTDA</v>
          </cell>
        </row>
        <row r="8729">
          <cell r="B8729">
            <v>629</v>
          </cell>
          <cell r="C8729" t="str">
            <v>PANDA FIM EXCLUSIVO</v>
          </cell>
          <cell r="D8729" t="str">
            <v>PANDA FIM EXCLUSIVO</v>
          </cell>
          <cell r="E8729" t="str">
            <v>LACAN INVESTIMENTOS E PARTICIPACOES LTDA</v>
          </cell>
        </row>
        <row r="8730">
          <cell r="B8730">
            <v>62983</v>
          </cell>
          <cell r="C8730" t="str">
            <v>NORTHERN GATE LLC</v>
          </cell>
          <cell r="D8730" t="str">
            <v>NORTHERN GATE LLC</v>
          </cell>
          <cell r="E8730" t="str">
            <v>NORTHERN GATE LLC</v>
          </cell>
        </row>
        <row r="8731">
          <cell r="B8731">
            <v>63</v>
          </cell>
          <cell r="C8731" t="str">
            <v>IP VALUE HEDGE FI EM AÃ‡Ã•ES</v>
          </cell>
          <cell r="D8731" t="str">
            <v>IP VALUE HEDGE FI EM AÃ‡Ã•ES</v>
          </cell>
          <cell r="E8731" t="str">
            <v>IP VALUE HEDGE FI EM AÃ‡Ã•ES</v>
          </cell>
        </row>
        <row r="8732">
          <cell r="B8732">
            <v>630</v>
          </cell>
          <cell r="C8732" t="str">
            <v>DANIEL DE PETRIBU FARIA DE CARVALHO CABRAL</v>
          </cell>
          <cell r="D8732" t="str">
            <v>DANIEL DE PETRIBU FARIA DE CARVALHO CABRAL</v>
          </cell>
          <cell r="E8732" t="str">
            <v>DANIEL DE PETRIBU FARIA DE CARVALHO CABRAL</v>
          </cell>
        </row>
        <row r="8733">
          <cell r="B8733">
            <v>631</v>
          </cell>
          <cell r="C8733" t="str">
            <v>FUNDO DE INVESTIMENTO MULTIMERCADO ITAPARICA</v>
          </cell>
          <cell r="D8733" t="str">
            <v>FUNDO DE INVESTIMENTO MULTIMERCADO ITAPARICA</v>
          </cell>
          <cell r="E8733" t="str">
            <v>FUNDO DE INVESTIMENTO MULTIMERCADO ITAPARICA</v>
          </cell>
        </row>
        <row r="8734">
          <cell r="B8734">
            <v>632</v>
          </cell>
          <cell r="C8734" t="str">
            <v>FRAM CAPITAL PREVIDENCIA FI RF</v>
          </cell>
          <cell r="D8734" t="str">
            <v>FRAM CAPITAL PREVIDENCIA FI RF</v>
          </cell>
          <cell r="E8734" t="str">
            <v>FRAM CAPITAL GESTAO DE ATIVOS LTDA</v>
          </cell>
        </row>
        <row r="8735">
          <cell r="B8735">
            <v>63225</v>
          </cell>
          <cell r="C8735" t="str">
            <v>CREDIT AGRICOLE MAGNO FI MULTIMERCADO</v>
          </cell>
          <cell r="D8735" t="str">
            <v>CREDIT AGRICOLE MAGNO FI MULTIMERCADO</v>
          </cell>
          <cell r="E8735" t="str">
            <v>CREDIT AGRICOLE MAGNO FI MULTIMERCADO</v>
          </cell>
        </row>
        <row r="8736">
          <cell r="B8736">
            <v>63227</v>
          </cell>
          <cell r="C8736" t="str">
            <v>LYONNAIS INTER PROTECTION FDO DE INV. MULTIM</v>
          </cell>
          <cell r="D8736" t="str">
            <v>LYONNAIS INTER PROTECTION FDO DE INV. MULTIM</v>
          </cell>
          <cell r="E8736" t="str">
            <v>LYONNAIS INTER PROTECTION FDO DE INV. MULTIM</v>
          </cell>
        </row>
        <row r="8737">
          <cell r="B8737">
            <v>633</v>
          </cell>
          <cell r="C8737" t="str">
            <v>MANDIN MULTIESTRATEGIA FIM CP IE</v>
          </cell>
          <cell r="D8737" t="str">
            <v>MANDIN MULTIESTRATEGIA FIM CP IE</v>
          </cell>
          <cell r="E8737" t="str">
            <v>FRAM CAPITAL GESTAO DE ATIVOS LTDA</v>
          </cell>
        </row>
        <row r="8738">
          <cell r="B8738">
            <v>63350</v>
          </cell>
          <cell r="C8738" t="str">
            <v>BANCO CREDIT AGRICOLE BRASIL S/A</v>
          </cell>
          <cell r="D8738" t="str">
            <v>BANCO CREDIT AGRICOLE BRASIL S/A</v>
          </cell>
          <cell r="E8738" t="str">
            <v>BANCO CREDIT AGRICOLE BRASIL S/A</v>
          </cell>
        </row>
        <row r="8739">
          <cell r="B8739">
            <v>634</v>
          </cell>
          <cell r="C8739" t="str">
            <v>GAIA MULTIESTRATEGIA FIM</v>
          </cell>
          <cell r="D8739" t="str">
            <v>GAIA MULTIESTRATEGIA FIM</v>
          </cell>
          <cell r="E8739" t="str">
            <v>GAIA MULTIESTRATEGIA FIM</v>
          </cell>
        </row>
        <row r="8740">
          <cell r="B8740">
            <v>63450</v>
          </cell>
          <cell r="C8740" t="str">
            <v>AGRENCO  DO BRASIL S/A</v>
          </cell>
          <cell r="D8740" t="str">
            <v>AGRENCO  DO BRASIL S/A</v>
          </cell>
          <cell r="E8740" t="str">
            <v>AGRENCO  DO BRASIL S/A</v>
          </cell>
        </row>
        <row r="8741">
          <cell r="B8741">
            <v>635</v>
          </cell>
          <cell r="C8741" t="str">
            <v>HELMER HANSSEN MULTIESTRATEGIA FIM CP IE</v>
          </cell>
          <cell r="D8741" t="str">
            <v>HELMER HANSSEN MULTIESTRATEGIA FIM CP IE</v>
          </cell>
          <cell r="E8741" t="str">
            <v>HELMER HANSSEN MULTIESTRATEGIA FIM CP IE</v>
          </cell>
        </row>
        <row r="8742">
          <cell r="B8742">
            <v>6356</v>
          </cell>
          <cell r="C8742" t="str">
            <v>BANCO ABN AMRO REAL S/A</v>
          </cell>
          <cell r="D8742" t="str">
            <v>BANCO ABN AMRO REAL S/A</v>
          </cell>
          <cell r="E8742" t="str">
            <v>BANCO ABN AMRO S/A</v>
          </cell>
        </row>
        <row r="8743">
          <cell r="B8743">
            <v>636</v>
          </cell>
          <cell r="C8743" t="str">
            <v>GDX TERMO FIM</v>
          </cell>
          <cell r="D8743" t="str">
            <v>GDX TERMO FIM</v>
          </cell>
          <cell r="E8743" t="str">
            <v>IPORANGA INVESTIMENTOS LTDA</v>
          </cell>
        </row>
        <row r="8744">
          <cell r="B8744">
            <v>63665</v>
          </cell>
          <cell r="C8744" t="str">
            <v>UNIBANCO UNIAO DE BANCOS BRASILEIROS S/A</v>
          </cell>
          <cell r="D8744" t="str">
            <v>UNIBANCO UNIAO DE BANCOS BRASILEIROS S/A</v>
          </cell>
          <cell r="E8744" t="str">
            <v>UNIBANCO UNIAO DE BANCOS BRASILEIROS S/A</v>
          </cell>
        </row>
        <row r="8745">
          <cell r="B8745">
            <v>63675</v>
          </cell>
          <cell r="C8745" t="str">
            <v>UNIBANCO UNIAO DE BANCOS BRASILEIROS S/A</v>
          </cell>
          <cell r="D8745" t="str">
            <v>UNIBANCO UNIAO DE BANCOS BRASILEIROS S/A</v>
          </cell>
          <cell r="E8745" t="str">
            <v>UNIBANCO UNIAO DE BANCOS BRASILEIROS S/A</v>
          </cell>
        </row>
        <row r="8746">
          <cell r="B8746">
            <v>637</v>
          </cell>
          <cell r="C8746" t="str">
            <v>ANGA PORTFOLIO FIM</v>
          </cell>
          <cell r="D8746" t="str">
            <v>ANGA PORTFOLIO FIM</v>
          </cell>
          <cell r="E8746" t="str">
            <v>ANGÃ ADMINISTRACAO DE RECURSOS LTDA</v>
          </cell>
        </row>
        <row r="8747">
          <cell r="B8747">
            <v>6370</v>
          </cell>
          <cell r="C8747" t="str">
            <v>BANCO MIZUHO DO BRASIL S/A (ANTIGO WESTLB)</v>
          </cell>
          <cell r="D8747" t="str">
            <v>BANCO MIZUHO DO BRASIL S/A (ANTIGO WESTLB)</v>
          </cell>
          <cell r="E8747" t="str">
            <v>BANCO MIZUHO DO BRASIL S/A</v>
          </cell>
        </row>
        <row r="8748">
          <cell r="B8748">
            <v>63784</v>
          </cell>
          <cell r="C8748" t="str">
            <v>UNIBANCO UNIAO DE BANCOS BRASILEIROS S/A</v>
          </cell>
          <cell r="D8748" t="str">
            <v>UNIBANCO UNIAO DE BANCOS BRASILEIROS S/A</v>
          </cell>
          <cell r="E8748" t="str">
            <v>UNIBANCO UNIAO DE BANCOS BRASILEIROS S/A</v>
          </cell>
        </row>
        <row r="8749">
          <cell r="B8749">
            <v>63786</v>
          </cell>
          <cell r="C8749" t="str">
            <v>UNIBANCO UNIAO DE BANCOS BRASILEIROS S/A</v>
          </cell>
          <cell r="D8749" t="str">
            <v>UNIBANCO UNIAO DE BANCOS BRASILEIROS S/A</v>
          </cell>
          <cell r="E8749" t="str">
            <v>UNIBANCO UNIAO DE BANCOS BRASILEIROS S/A</v>
          </cell>
        </row>
        <row r="8750">
          <cell r="B8750">
            <v>638</v>
          </cell>
          <cell r="C8750" t="str">
            <v>BRASIL CAPITAL MASTER FIM</v>
          </cell>
          <cell r="D8750" t="str">
            <v>BRASIL CAPITAL MASTER FIM</v>
          </cell>
          <cell r="E8750" t="str">
            <v>BC GESTAO DE RECURSOS LTDA</v>
          </cell>
        </row>
        <row r="8751">
          <cell r="B8751">
            <v>63816</v>
          </cell>
          <cell r="C8751" t="str">
            <v>UNIBANCO UNIAO DE BANCOS BRASILEIROS S/A</v>
          </cell>
          <cell r="D8751" t="str">
            <v>UNIBANCO UNIAO DE BANCOS BRASILEIROS S/A</v>
          </cell>
          <cell r="E8751" t="str">
            <v>UNIBANCO UNIAO DE BANCOS BRASILEIROS S/A</v>
          </cell>
        </row>
        <row r="8752">
          <cell r="B8752">
            <v>63820</v>
          </cell>
          <cell r="C8752" t="str">
            <v>UNIBANCO UNIAO DE BANCOS BRASILEIROS S/A</v>
          </cell>
          <cell r="D8752" t="str">
            <v>UNIBANCO UNIAO DE BANCOS BRASILEIROS S/A</v>
          </cell>
          <cell r="E8752" t="str">
            <v>UNIBANCO UNIAO DE BANCOS BRASILEIROS S/A</v>
          </cell>
        </row>
        <row r="8753">
          <cell r="B8753">
            <v>63821</v>
          </cell>
          <cell r="C8753" t="str">
            <v>UNIBANCO UNIAO DE BANCOS BRASILEIROS S/A</v>
          </cell>
          <cell r="D8753" t="str">
            <v>UNIBANCO UNIAO DE BANCOS BRASILEIROS S/A</v>
          </cell>
          <cell r="E8753" t="str">
            <v>UNIBANCO UNIAO DE BANCOS BRASILEIROS S/A</v>
          </cell>
        </row>
        <row r="8754">
          <cell r="B8754">
            <v>63823</v>
          </cell>
          <cell r="C8754" t="str">
            <v>UNIBANCO UNIAO DE BANCOS BRASILEIROS S/A</v>
          </cell>
          <cell r="D8754" t="str">
            <v>UNIBANCO UNIAO DE BANCOS BRASILEIROS S/A</v>
          </cell>
          <cell r="E8754" t="str">
            <v>UNIBANCO UNIAO DE BANCOS BRASILEIROS S/A</v>
          </cell>
        </row>
        <row r="8755">
          <cell r="B8755">
            <v>63824</v>
          </cell>
          <cell r="C8755" t="str">
            <v>UNIBANCO UNIAO DE BANCOS BRASILEIROS S/A</v>
          </cell>
          <cell r="D8755" t="str">
            <v>UNIBANCO UNIAO DE BANCOS BRASILEIROS S/A</v>
          </cell>
          <cell r="E8755" t="str">
            <v>UNIBANCO UNIAO DE BANCOS BRASILEIROS S/A</v>
          </cell>
        </row>
        <row r="8756">
          <cell r="B8756">
            <v>63829</v>
          </cell>
          <cell r="C8756" t="str">
            <v>UNIBANCO UNIAO DE BANCOS BRASILEIROS S/A</v>
          </cell>
          <cell r="D8756" t="str">
            <v>UNIBANCO UNIAO DE BANCOS BRASILEIROS S/A</v>
          </cell>
          <cell r="E8756" t="str">
            <v>UNIBANCO UNIAO DE BANCOS BRASILEIROS S/A</v>
          </cell>
        </row>
        <row r="8757">
          <cell r="B8757">
            <v>63830</v>
          </cell>
          <cell r="C8757" t="str">
            <v>UNIBANCO UNIAO DE BANCOS BRASILEIROS S/A</v>
          </cell>
          <cell r="D8757" t="str">
            <v>UNIBANCO UNIAO DE BANCOS BRASILEIROS S/A</v>
          </cell>
          <cell r="E8757" t="str">
            <v>UNIBANCO UNIAO DE BANCOS BRASILEIROS S/A</v>
          </cell>
        </row>
        <row r="8758">
          <cell r="B8758">
            <v>63835</v>
          </cell>
          <cell r="C8758" t="str">
            <v>UNIBANCO UNIAO DE BANCOS BRASILEIROS S/A</v>
          </cell>
          <cell r="D8758" t="str">
            <v>UNIBANCO UNIAO DE BANCOS BRASILEIROS S/A</v>
          </cell>
          <cell r="E8758" t="str">
            <v>UNIBANCO UNIAO DE BANCOS BRASILEIROS S/A</v>
          </cell>
        </row>
        <row r="8759">
          <cell r="B8759">
            <v>63840</v>
          </cell>
          <cell r="C8759" t="str">
            <v>UNIBANCO UNIAO DE BANCOS BRASILEIROS S/A</v>
          </cell>
          <cell r="D8759" t="str">
            <v>UNIBANCO UNIAO DE BANCOS BRASILEIROS S/A</v>
          </cell>
          <cell r="E8759" t="str">
            <v>UNIBANCO UNIAO DE BANCOS BRASILEIROS S/A</v>
          </cell>
        </row>
        <row r="8760">
          <cell r="B8760">
            <v>639</v>
          </cell>
          <cell r="C8760" t="str">
            <v>BRASIL CAPITAL MASTER FIA</v>
          </cell>
          <cell r="D8760" t="str">
            <v>BRASIL CAPITAL MASTER FIA</v>
          </cell>
          <cell r="E8760" t="str">
            <v>BC GESTAO DE RECURSOS LTDA</v>
          </cell>
        </row>
        <row r="8761">
          <cell r="B8761">
            <v>63900</v>
          </cell>
          <cell r="C8761" t="str">
            <v>UNIBANCO UNIAO DE BANCOS BRASILEIROS S/A</v>
          </cell>
          <cell r="D8761" t="str">
            <v>UNIBANCO UNIAO DE BANCOS BRASILEIROS S/A</v>
          </cell>
          <cell r="E8761" t="str">
            <v>UNIBANCO UNIAO DE BANCOS BRASILEIROS S/A</v>
          </cell>
        </row>
        <row r="8762">
          <cell r="B8762">
            <v>63915</v>
          </cell>
          <cell r="C8762" t="str">
            <v>UNIBANCO UNIAO DE BANCOS BRASILEIROS S/A</v>
          </cell>
          <cell r="D8762" t="str">
            <v>UNIBANCO UNIAO DE BANCOS BRASILEIROS S/A</v>
          </cell>
          <cell r="E8762" t="str">
            <v>UNIBANCO UNIAO DE BANCOS BRASILEIROS S/A</v>
          </cell>
        </row>
        <row r="8763">
          <cell r="B8763">
            <v>63917</v>
          </cell>
          <cell r="C8763" t="str">
            <v>UNIBANCO UNIAO DE BANCOS BRASILEIROS S/A</v>
          </cell>
          <cell r="D8763" t="str">
            <v>UNIBANCO UNIAO DE BANCOS BRASILEIROS S/A</v>
          </cell>
          <cell r="E8763" t="str">
            <v>UNIBANCO UNIAO DE BANCOS BRASILEIROS S/A</v>
          </cell>
        </row>
        <row r="8764">
          <cell r="B8764">
            <v>63918</v>
          </cell>
          <cell r="C8764" t="str">
            <v>UNIBANCO UNIAO DE BANCOS BRASILEIROS S/A</v>
          </cell>
          <cell r="D8764" t="str">
            <v>UNIBANCO UNIAO DE BANCOS BRASILEIROS S/A</v>
          </cell>
          <cell r="E8764" t="str">
            <v>UNIBANCO UNIAO DE BANCOS BRASILEIROS S/A</v>
          </cell>
        </row>
        <row r="8765">
          <cell r="B8765">
            <v>63919</v>
          </cell>
          <cell r="C8765" t="str">
            <v>UNIBANCO UNIAO DE BANCOS BRASILEIROS S/A</v>
          </cell>
          <cell r="D8765" t="str">
            <v>UNIBANCO UNIAO DE BANCOS BRASILEIROS S/A</v>
          </cell>
          <cell r="E8765" t="str">
            <v>UNIBANCO UNIAO DE BANCOS BRASILEIROS S/A</v>
          </cell>
        </row>
        <row r="8766">
          <cell r="B8766">
            <v>63955</v>
          </cell>
          <cell r="C8766" t="str">
            <v>UNIBANCO UNIAO DE BANCOS BRASILEIROS S/A</v>
          </cell>
          <cell r="D8766" t="str">
            <v>UNIBANCO UNIAO DE BANCOS BRASILEIROS S/A</v>
          </cell>
          <cell r="E8766" t="str">
            <v>UNIBANCO UNIAO DE BANCOS BRASILEIROS S/A</v>
          </cell>
        </row>
        <row r="8767">
          <cell r="B8767">
            <v>64</v>
          </cell>
          <cell r="C8767" t="str">
            <v>IP EQUITY HEDGE FIF</v>
          </cell>
          <cell r="D8767" t="str">
            <v>IP EQUITY HEDGE FIF</v>
          </cell>
          <cell r="E8767" t="str">
            <v>IP EQUITY HEDGE FIF</v>
          </cell>
        </row>
        <row r="8768">
          <cell r="B8768">
            <v>640</v>
          </cell>
          <cell r="C8768" t="str">
            <v>KLON FIA</v>
          </cell>
          <cell r="D8768" t="str">
            <v>KLON FIA</v>
          </cell>
          <cell r="E8768" t="str">
            <v>LACAN INVESTIMENTOS E PARTICIPACOES LTDA</v>
          </cell>
        </row>
        <row r="8769">
          <cell r="B8769">
            <v>64218</v>
          </cell>
          <cell r="C8769" t="str">
            <v>PARANA TINGUI FIF</v>
          </cell>
          <cell r="D8769" t="str">
            <v>PARANA TINGUI FIF</v>
          </cell>
          <cell r="E8769" t="str">
            <v>PARANA TINGUI FIF</v>
          </cell>
        </row>
        <row r="8770">
          <cell r="B8770">
            <v>64219</v>
          </cell>
          <cell r="C8770" t="str">
            <v>PARANA FIF FAPA</v>
          </cell>
          <cell r="D8770" t="str">
            <v>PARANA FIF FAPA</v>
          </cell>
          <cell r="E8770" t="str">
            <v>PARANA FIF FAPA</v>
          </cell>
        </row>
        <row r="8771">
          <cell r="B8771">
            <v>64220</v>
          </cell>
          <cell r="C8771" t="str">
            <v>FIF PARANA EXECUTIVO</v>
          </cell>
          <cell r="D8771" t="str">
            <v>FIF PARANA EXECUTIVO</v>
          </cell>
          <cell r="E8771" t="str">
            <v>FIF PARANA EXECUTIVO</v>
          </cell>
        </row>
        <row r="8772">
          <cell r="B8772">
            <v>64221</v>
          </cell>
          <cell r="C8772" t="str">
            <v>PARANA FUNDO DE INVESTIMENTO FINAN ALPHA</v>
          </cell>
          <cell r="D8772" t="str">
            <v>PARANA FUNDO DE INVESTIMENTO FINAN ALPHA</v>
          </cell>
          <cell r="E8772" t="str">
            <v>PARANA FUNDO DE INVESTIMENTO FINAN ALPHA</v>
          </cell>
        </row>
        <row r="8773">
          <cell r="B8773">
            <v>64222</v>
          </cell>
          <cell r="C8773" t="str">
            <v>PARANA FIF TIRGUS</v>
          </cell>
          <cell r="D8773" t="str">
            <v>PARANA FIF TIRGUS</v>
          </cell>
          <cell r="E8773" t="str">
            <v>PARANA FIF TIRGUS</v>
          </cell>
        </row>
        <row r="8774">
          <cell r="B8774">
            <v>64223</v>
          </cell>
          <cell r="C8774" t="str">
            <v>PARANA FIF JMCO</v>
          </cell>
          <cell r="D8774" t="str">
            <v>PARANA FIF JMCO</v>
          </cell>
          <cell r="E8774" t="str">
            <v>PARANA FIF JMCO</v>
          </cell>
        </row>
        <row r="8775">
          <cell r="B8775">
            <v>6473</v>
          </cell>
          <cell r="C8775" t="str">
            <v>BANCO CAIXA GERAL BRASIL SA</v>
          </cell>
          <cell r="D8775" t="str">
            <v>BANCO CAIXA GERAL BRASIL SA</v>
          </cell>
          <cell r="E8775" t="str">
            <v>BANCO CAIXA GERAL BRASIL S/A</v>
          </cell>
        </row>
        <row r="8776">
          <cell r="B8776">
            <v>6487</v>
          </cell>
          <cell r="C8776" t="str">
            <v>DEUTSCHE BANK S/A BANCO ALEMÃƒO</v>
          </cell>
          <cell r="D8776" t="str">
            <v>DEUTSCHE BANK S/A BANCO ALEMÃƒO</v>
          </cell>
          <cell r="E8776" t="str">
            <v>DEUTSCHE BANK S/A</v>
          </cell>
        </row>
        <row r="8777">
          <cell r="B8777">
            <v>6492</v>
          </cell>
          <cell r="C8777" t="str">
            <v>ING BANK NV</v>
          </cell>
          <cell r="D8777" t="str">
            <v>ING BANK NV</v>
          </cell>
          <cell r="E8777" t="str">
            <v>ING BANK NV</v>
          </cell>
        </row>
        <row r="8778">
          <cell r="B8778">
            <v>6495</v>
          </cell>
          <cell r="C8778" t="str">
            <v>BANCO DE LA PROVINCIA DE BUENOS AIRES</v>
          </cell>
          <cell r="D8778" t="str">
            <v>BANCO DE LA PROVINCIA DE BUENOS AIRES</v>
          </cell>
          <cell r="E8778" t="str">
            <v>BANCO DE LA PROVINCIA DE BUENOS AIRES</v>
          </cell>
        </row>
        <row r="8779">
          <cell r="B8779">
            <v>65</v>
          </cell>
          <cell r="C8779" t="str">
            <v>PIONEER CM E FUTUROS LTDA</v>
          </cell>
          <cell r="D8779" t="str">
            <v>PIONEER CM E FUTUROS LTDA</v>
          </cell>
          <cell r="E8779" t="str">
            <v>PIONEER CM E FUTUROS LTDA</v>
          </cell>
        </row>
        <row r="8780">
          <cell r="B8780">
            <v>65541</v>
          </cell>
          <cell r="C8780" t="str">
            <v>JULIANA RABELLO MARINHO</v>
          </cell>
          <cell r="D8780" t="str">
            <v>JULIANA RABELLO MARINHO</v>
          </cell>
          <cell r="E8780" t="str">
            <v>JULIANA RABELLO MARINHO</v>
          </cell>
        </row>
        <row r="8781">
          <cell r="B8781">
            <v>66</v>
          </cell>
          <cell r="C8781" t="str">
            <v>UNIBANCO INVESTSHOP-CVMC</v>
          </cell>
          <cell r="D8781" t="str">
            <v>UNIBANCO INVESTSHOP-CVMC</v>
          </cell>
          <cell r="E8781" t="str">
            <v>UNIBANCO INVESTSHOP-CVMC</v>
          </cell>
        </row>
        <row r="8782">
          <cell r="B8782">
            <v>66403</v>
          </cell>
          <cell r="C8782" t="str">
            <v>UNIBANCO UNIAO DE BANCOS BRASILEIROS S/A</v>
          </cell>
          <cell r="D8782" t="str">
            <v>UNIBANCO UNIAO DE BANCOS BRASILEIROS S/A</v>
          </cell>
          <cell r="E8782" t="str">
            <v>UNIBANCO UNIAO DE BANCOS BRASILEIROS S/A</v>
          </cell>
        </row>
        <row r="8783">
          <cell r="B8783">
            <v>666000</v>
          </cell>
          <cell r="C8783" t="str">
            <v>UAM ASSESSORIA E GESTAO DE INVESTIMENTOS LTDA</v>
          </cell>
          <cell r="D8783" t="str">
            <v>UAM ASSESSORIA E GESTAO DE INVESTIMENTOS LTDA</v>
          </cell>
          <cell r="E8783" t="str">
            <v>UAM ASSESSORIA E GESTAO DE INVESTIMENTOS LTDA</v>
          </cell>
        </row>
        <row r="8784">
          <cell r="B8784">
            <v>666111</v>
          </cell>
          <cell r="C8784" t="str">
            <v>UAM ASSESSORIA E GESTAO DE INVESTIMENTOS LTDA</v>
          </cell>
          <cell r="D8784" t="str">
            <v>UAM ASSESSORIA E GESTAO DE INVESTIMENTOS LTDA</v>
          </cell>
          <cell r="E8784" t="str">
            <v>UAM ASSESSORIA E GESTAO DE INVESTIMENTOS LTDA</v>
          </cell>
        </row>
        <row r="8785">
          <cell r="B8785">
            <v>666401</v>
          </cell>
          <cell r="C8785" t="str">
            <v>UNIBANCO UNIAO DE BANCOS BRASILEIROS S/A</v>
          </cell>
          <cell r="D8785" t="str">
            <v>UNIBANCO UNIAO DE BANCOS BRASILEIROS S/A</v>
          </cell>
          <cell r="E8785" t="str">
            <v>UNIBANCO UNIAO DE BANCOS BRASILEIROS S/A</v>
          </cell>
        </row>
        <row r="8786">
          <cell r="B8786">
            <v>666402</v>
          </cell>
          <cell r="C8786" t="str">
            <v>UNIBANCO UNIAO DE BANCOS BRASILEIROS S/A</v>
          </cell>
          <cell r="D8786" t="str">
            <v>UNIBANCO UNIAO DE BANCOS BRASILEIROS S/A</v>
          </cell>
          <cell r="E8786" t="str">
            <v>UNIBANCO UNIAO DE BANCOS BRASILEIROS S/A</v>
          </cell>
        </row>
        <row r="8787">
          <cell r="B8787">
            <v>67</v>
          </cell>
          <cell r="C8787" t="str">
            <v>FPRV IP ANDORINHAS FIA PREVIDENCIARIO</v>
          </cell>
          <cell r="D8787" t="str">
            <v>FPRV IP ANDORINHAS FIA PREVIDENCIARIO</v>
          </cell>
          <cell r="E8787" t="str">
            <v>FPRV IP ANDORINHAS FIA PREVIDENCIARIO</v>
          </cell>
        </row>
        <row r="8788">
          <cell r="B8788">
            <v>6755</v>
          </cell>
          <cell r="C8788" t="str">
            <v>BANK OF AMERICA MERRILL LYNCH BANCO MULTIPLO S/A</v>
          </cell>
          <cell r="D8788" t="str">
            <v>BANK OF AMERICA MERRILL LYNCH BANCO MULTIPLO S/A</v>
          </cell>
          <cell r="E8788" t="str">
            <v>BANK OF AMERICA MERRILL LYNCH BANCO MULTIPLO S/A</v>
          </cell>
        </row>
        <row r="8789">
          <cell r="B8789">
            <v>67775</v>
          </cell>
          <cell r="C8789" t="str">
            <v>GUARANIANA S A</v>
          </cell>
          <cell r="D8789" t="str">
            <v>GUARANIANA S A</v>
          </cell>
          <cell r="E8789" t="str">
            <v>GUARANIANA S A</v>
          </cell>
        </row>
        <row r="8790">
          <cell r="B8790">
            <v>68</v>
          </cell>
          <cell r="C8790" t="str">
            <v>FDO IP PARTICI. MUTUO DE INV. EM AÃ‡Ã•ES C. LIVRE</v>
          </cell>
          <cell r="D8790" t="str">
            <v>FDO IP PARTICI. MUTUO DE INV. EM AÃ‡Ã•ES C. LIVRE</v>
          </cell>
          <cell r="E8790" t="str">
            <v>FDO IP PARTICI. MUTUO DE INV. EM AÃ‡Ã•ES C. LIVRE</v>
          </cell>
        </row>
        <row r="8791">
          <cell r="B8791">
            <v>69</v>
          </cell>
          <cell r="C8791" t="str">
            <v>HATTERAS LLC</v>
          </cell>
          <cell r="D8791" t="str">
            <v>HATTERAS LLC</v>
          </cell>
          <cell r="E8791" t="str">
            <v>HATTERAS LLC</v>
          </cell>
        </row>
        <row r="8792">
          <cell r="B8792">
            <v>7</v>
          </cell>
          <cell r="C8792" t="str">
            <v>JOSE CARLOS PIEDADE DE FREITAS</v>
          </cell>
          <cell r="D8792" t="str">
            <v>JOSE CARLOS PIEDADE DE FREITAS</v>
          </cell>
          <cell r="E8792" t="str">
            <v>JOSE CARLOS PIEDADE DE FREITAS</v>
          </cell>
        </row>
        <row r="8793">
          <cell r="B8793">
            <v>70</v>
          </cell>
          <cell r="C8793" t="str">
            <v>GAVEA MASTER FIEC SR VM</v>
          </cell>
          <cell r="D8793" t="str">
            <v>GAVEA MASTER FIEC SR VM</v>
          </cell>
          <cell r="E8793" t="str">
            <v>GAVEA MASTER FIEC SR VM</v>
          </cell>
        </row>
        <row r="8794">
          <cell r="B8794">
            <v>70063</v>
          </cell>
          <cell r="C8794" t="str">
            <v>ASM STAR FIF</v>
          </cell>
          <cell r="D8794" t="str">
            <v>ASM STAR FIF</v>
          </cell>
          <cell r="E8794" t="str">
            <v>ASM STAR FIF</v>
          </cell>
        </row>
        <row r="8795">
          <cell r="B8795">
            <v>122834</v>
          </cell>
          <cell r="C8795" t="str">
            <v>CLARITAS HEDGE MASTER FIM LP</v>
          </cell>
          <cell r="D8795" t="str">
            <v>CLARITAS HEDGE MASTER FIM LP</v>
          </cell>
          <cell r="E8795" t="str">
            <v>CLARITAS ADMINISTRAÇÃO DE RECURSOS LTDA</v>
          </cell>
        </row>
        <row r="8796">
          <cell r="B8796">
            <v>122834</v>
          </cell>
          <cell r="C8796" t="str">
            <v>CLARITAS HEDGE MASTER FIM LP</v>
          </cell>
          <cell r="D8796" t="str">
            <v>CLARITAS HEDGE MASTER FIM LP</v>
          </cell>
          <cell r="E8796" t="str">
            <v>CLARITAS ADMINISTRAÇÃO DE RECURSOS LTDA</v>
          </cell>
        </row>
        <row r="8797">
          <cell r="B8797">
            <v>70146</v>
          </cell>
          <cell r="C8797" t="str">
            <v>CLARITAS HEDGE SPECIAL 30 FIF</v>
          </cell>
          <cell r="D8797" t="str">
            <v>CLARITAS HEDGE SPECIAL 30 FIF</v>
          </cell>
          <cell r="E8797" t="str">
            <v>CLARITAS ADMINISTRAÇÃO DE RECURSOS LTDA</v>
          </cell>
        </row>
        <row r="8798">
          <cell r="B8798">
            <v>70147</v>
          </cell>
          <cell r="C8798" t="str">
            <v>PORTIFOLIO BRAZIL LLC</v>
          </cell>
          <cell r="D8798" t="str">
            <v>PORTIFOLIO BRAZIL LLC</v>
          </cell>
          <cell r="E8798" t="str">
            <v>PORTIFOLIO BRAZIL LLC</v>
          </cell>
        </row>
        <row r="8799">
          <cell r="B8799">
            <v>701498</v>
          </cell>
          <cell r="C8799" t="str">
            <v>ICAP DO BRASIL CTVM LTDA ( ATUAL TULLET)</v>
          </cell>
          <cell r="D8799" t="str">
            <v>ICAP DO BRASIL CTVM LTDA ( ATUAL TULLET)</v>
          </cell>
          <cell r="E8799" t="str">
            <v>ICAP DO BRASIL CTVM LTDA ( ATUAL TULLET)</v>
          </cell>
        </row>
        <row r="8800">
          <cell r="B8800">
            <v>70171</v>
          </cell>
          <cell r="C8800" t="str">
            <v>BANCO DE INVESTIMENTOS UBS (BRASIL) S.A.</v>
          </cell>
          <cell r="D8800" t="str">
            <v>BANCO DE INVESTIMENTOS UBS (BRASIL) S.A.</v>
          </cell>
          <cell r="E8800" t="str">
            <v>BANCO DE INVESTIMENTO CREDIT SUISSE (BRASIL) S/A</v>
          </cell>
        </row>
        <row r="8801">
          <cell r="B8801">
            <v>70172</v>
          </cell>
          <cell r="C8801" t="str">
            <v>BANCO DE INVESTIMENTOS UBS (BRASIL) S.A.</v>
          </cell>
          <cell r="D8801" t="str">
            <v>BANCO DE INVESTIMENTOS UBS (BRASIL) S.A.</v>
          </cell>
          <cell r="E8801" t="str">
            <v>BANCO DE INVESTIMENTO CREDIT SUISSE (BRASIL) S/A</v>
          </cell>
        </row>
        <row r="8802">
          <cell r="B8802">
            <v>70173</v>
          </cell>
          <cell r="C8802" t="str">
            <v>BANCO DE INVESTIMENTOS UBS (BRASIL) S.A.</v>
          </cell>
          <cell r="D8802" t="str">
            <v>BANCO DE INVESTIMENTOS UBS (BRASIL) S.A.</v>
          </cell>
          <cell r="E8802" t="str">
            <v>BANCO DE INVESTIMENTO CREDIT SUISSE (BRASIL) S/A</v>
          </cell>
        </row>
        <row r="8803">
          <cell r="B8803">
            <v>70174</v>
          </cell>
          <cell r="C8803" t="str">
            <v>BANCO DE INVESTIMENTOS UBS (BRASIL) S.A.</v>
          </cell>
          <cell r="D8803" t="str">
            <v>BANCO DE INVESTIMENTOS UBS (BRASIL) S.A.</v>
          </cell>
          <cell r="E8803" t="str">
            <v>BANCO DE INVESTIMENTO CREDIT SUISSE (BRASIL) S/A</v>
          </cell>
        </row>
        <row r="8804">
          <cell r="B8804">
            <v>71</v>
          </cell>
          <cell r="C8804" t="str">
            <v>GAVEA MASTER FIEC CR VM</v>
          </cell>
          <cell r="D8804" t="str">
            <v>GAVEA MASTER FIEC CR VM</v>
          </cell>
          <cell r="E8804" t="str">
            <v>GAVEA MASTER FIEC CR VM</v>
          </cell>
        </row>
        <row r="8805">
          <cell r="B8805">
            <v>71562</v>
          </cell>
          <cell r="C8805" t="str">
            <v>NAUM ROBERTO RYFER</v>
          </cell>
          <cell r="D8805" t="str">
            <v>NAUM ROBERTO RYFER</v>
          </cell>
          <cell r="E8805" t="str">
            <v>NAUM ROBERTO RYFER</v>
          </cell>
        </row>
        <row r="8806">
          <cell r="B8806">
            <v>71811</v>
          </cell>
          <cell r="C8806" t="str">
            <v>ITAU UNIBANCO S.A.</v>
          </cell>
          <cell r="D8806" t="str">
            <v>ITAU UNIBANCO S.A.</v>
          </cell>
          <cell r="E8806" t="str">
            <v>ITAU UNIBANCO S/A</v>
          </cell>
        </row>
        <row r="8807">
          <cell r="B8807">
            <v>71812</v>
          </cell>
          <cell r="C8807" t="str">
            <v>ITAU UNIBANCO S.A.</v>
          </cell>
          <cell r="D8807" t="str">
            <v>ITAU UNIBANCO S.A.</v>
          </cell>
          <cell r="E8807" t="str">
            <v>ITAU UNIBANCO S/A</v>
          </cell>
        </row>
        <row r="8808">
          <cell r="B8808">
            <v>71813</v>
          </cell>
          <cell r="C8808" t="str">
            <v>ITAU UNIBANCO S.A.</v>
          </cell>
          <cell r="D8808" t="str">
            <v>ITAU UNIBANCO S.A.</v>
          </cell>
          <cell r="E8808" t="str">
            <v>ITAU UNIBANCO S/A</v>
          </cell>
        </row>
        <row r="8809">
          <cell r="B8809">
            <v>71814</v>
          </cell>
          <cell r="C8809" t="str">
            <v>ITAU UNIBANCO S.A.</v>
          </cell>
          <cell r="D8809" t="str">
            <v>ITAU UNIBANCO S.A.</v>
          </cell>
          <cell r="E8809" t="str">
            <v>ITAU UNIBANCO S/A</v>
          </cell>
        </row>
        <row r="8810">
          <cell r="B8810">
            <v>71815</v>
          </cell>
          <cell r="C8810" t="str">
            <v>ITAU UNIBANCO S.A.</v>
          </cell>
          <cell r="D8810" t="str">
            <v>ITAU UNIBANCO S.A.</v>
          </cell>
          <cell r="E8810" t="str">
            <v>ITAU UNIBANCO S/A</v>
          </cell>
        </row>
        <row r="8811">
          <cell r="B8811">
            <v>71816</v>
          </cell>
          <cell r="C8811" t="str">
            <v>BANCO ITAUCARD S/A</v>
          </cell>
          <cell r="D8811" t="str">
            <v>BANCO ITAUCARD S/A</v>
          </cell>
          <cell r="E8811" t="str">
            <v>BANCO   ITAUCARD S/A</v>
          </cell>
        </row>
        <row r="8812">
          <cell r="B8812">
            <v>71817</v>
          </cell>
          <cell r="C8812" t="str">
            <v>BANCO ITAUCARD S/A</v>
          </cell>
          <cell r="D8812" t="str">
            <v>BANCO ITAUCARD S/A</v>
          </cell>
          <cell r="E8812" t="str">
            <v>BANCO   ITAUCARD S/A</v>
          </cell>
        </row>
        <row r="8813">
          <cell r="B8813">
            <v>72</v>
          </cell>
          <cell r="C8813" t="str">
            <v>DANIEL TEIXEIRA SIQUEIRA GONCALVES</v>
          </cell>
          <cell r="D8813" t="str">
            <v>DANIEL TEIXEIRA SIQUEIRA GONCALVES</v>
          </cell>
          <cell r="E8813" t="str">
            <v>DANIEL TEIXEIRA SIQUEIRA GONCALVES</v>
          </cell>
        </row>
        <row r="8814">
          <cell r="B8814">
            <v>72100</v>
          </cell>
          <cell r="C8814" t="str">
            <v>FUNDO DE INVESTIMENTO RENDA FIXA YUCATAN</v>
          </cell>
          <cell r="D8814" t="str">
            <v>FUNDO DE INVESTIMENTO RENDA FIXA YUCATAN</v>
          </cell>
          <cell r="E8814" t="str">
            <v>FUNDO DE INVESTIMENTO RENDA FIXA YUCATAN</v>
          </cell>
        </row>
        <row r="8815">
          <cell r="B8815">
            <v>72102</v>
          </cell>
          <cell r="C8815" t="str">
            <v>K2 FIM</v>
          </cell>
          <cell r="D8815" t="str">
            <v>K2 FIM</v>
          </cell>
          <cell r="E8815" t="str">
            <v>K2 FIM</v>
          </cell>
        </row>
        <row r="8816">
          <cell r="B8816">
            <v>72103</v>
          </cell>
          <cell r="C8816" t="str">
            <v>EVEREST FUNDO DE INVESTIMENTO MULTIMERCADO</v>
          </cell>
          <cell r="D8816" t="str">
            <v>EVEREST FUNDO DE INVESTIMENTO MULTIMERCADO</v>
          </cell>
          <cell r="E8816" t="str">
            <v>EVEREST FUNDO DE INVESTIMENTO MULTIMERCADO</v>
          </cell>
        </row>
        <row r="8817">
          <cell r="B8817">
            <v>72111</v>
          </cell>
          <cell r="C8817" t="str">
            <v>AGULHAS NEGRAS FIM</v>
          </cell>
          <cell r="D8817" t="str">
            <v>AGULHAS NEGRAS FIM</v>
          </cell>
          <cell r="E8817" t="str">
            <v>AGULHAS NEGRAS FIM</v>
          </cell>
        </row>
        <row r="8818">
          <cell r="B8818">
            <v>72112</v>
          </cell>
          <cell r="C8818" t="str">
            <v>TELOS RF MEDIO RISCO LP FI</v>
          </cell>
          <cell r="D8818" t="str">
            <v>TELOS RF MEDIO RISCO LP FI</v>
          </cell>
          <cell r="E8818" t="str">
            <v>TELOS RF MEDIO RISCO LP FI</v>
          </cell>
        </row>
        <row r="8819">
          <cell r="B8819">
            <v>7222</v>
          </cell>
          <cell r="C8819" t="str">
            <v>BANCO CREDIT AGRICOLE BRASIL S/A</v>
          </cell>
          <cell r="D8819" t="str">
            <v>BANCO CREDIT AGRICOLE BRASIL S/A</v>
          </cell>
          <cell r="E8819" t="str">
            <v>BANCO CREDIT AGRICOLE BRASIL S/A</v>
          </cell>
        </row>
        <row r="8820">
          <cell r="B8820">
            <v>72236</v>
          </cell>
          <cell r="C8820" t="str">
            <v>GAP EXCLUSIVO I FDO DE INVEST EM ACOES</v>
          </cell>
          <cell r="D8820" t="str">
            <v>GAP EXCLUSIVO I FDO DE INVEST EM ACOES</v>
          </cell>
          <cell r="E8820" t="str">
            <v>GAP EXCLUSIVO I FDO DE INVEST EM ACOES</v>
          </cell>
        </row>
        <row r="8821">
          <cell r="B8821">
            <v>72238</v>
          </cell>
          <cell r="C8821" t="str">
            <v>MULTI GAP FUNDO DE INVESTIMENTO FINANCEIRO</v>
          </cell>
          <cell r="D8821" t="str">
            <v>MULTI GAP FUNDO DE INVESTIMENTO FINANCEIRO</v>
          </cell>
          <cell r="E8821" t="str">
            <v>MULTI GAP FUNDO DE INVESTIMENTO FINANCEIRO</v>
          </cell>
        </row>
        <row r="8822">
          <cell r="B8822">
            <v>73</v>
          </cell>
          <cell r="C8822" t="str">
            <v>UNIBANCO UNIAO DE BANCOS BRASILEIROS S/A</v>
          </cell>
          <cell r="D8822" t="str">
            <v>UNIBANCO UNIAO DE BANCOS BRASILEIROS S/A</v>
          </cell>
          <cell r="E8822" t="str">
            <v>ITAU CV S/A</v>
          </cell>
        </row>
        <row r="8823">
          <cell r="B8823">
            <v>7341</v>
          </cell>
          <cell r="C8823" t="str">
            <v>ITAU UNIBANCO S.A.</v>
          </cell>
          <cell r="D8823" t="str">
            <v>ITAU UNIBANCO S.A.</v>
          </cell>
          <cell r="E8823" t="str">
            <v>ITAU UNIBANCO S/A</v>
          </cell>
        </row>
        <row r="8824">
          <cell r="B8824">
            <v>73521</v>
          </cell>
          <cell r="C8824" t="str">
            <v>DREYFUS BRASCAN MEGA STAR IX FIF</v>
          </cell>
          <cell r="D8824" t="str">
            <v>DREYFUS BRASCAN MEGA STAR IX FIF</v>
          </cell>
          <cell r="E8824" t="str">
            <v>DREYFUS BRASCAN MEGA STAR IX FIF</v>
          </cell>
        </row>
        <row r="8825">
          <cell r="B8825">
            <v>73522</v>
          </cell>
          <cell r="C8825" t="str">
            <v>DANIEL CORREA VAIRO</v>
          </cell>
          <cell r="D8825" t="str">
            <v>DANIEL CORREA VAIRO</v>
          </cell>
          <cell r="E8825" t="str">
            <v>DANIEL CORREA VAIRO</v>
          </cell>
        </row>
        <row r="8826">
          <cell r="B8826">
            <v>7366</v>
          </cell>
          <cell r="C8826" t="str">
            <v>BANCO SOCIETE GENERALE BRASIL S/A</v>
          </cell>
          <cell r="D8826" t="str">
            <v>BANCO SOCIETE GENERALE BRASIL S/A</v>
          </cell>
          <cell r="E8826" t="str">
            <v>BANCO SOCIETE GENERALE BRASIL S/A</v>
          </cell>
        </row>
        <row r="8827">
          <cell r="B8827">
            <v>73738</v>
          </cell>
          <cell r="C8827" t="str">
            <v>PINNACLE ADMINISTRACAO DE RECURSOS LTDA</v>
          </cell>
          <cell r="D8827" t="str">
            <v>PINNACLE ADMINISTRACAO DE RECURSOS LTDA</v>
          </cell>
          <cell r="E8827" t="str">
            <v>PINNACLE ADMINISTRACAO DE RECURSOS LTDA</v>
          </cell>
        </row>
        <row r="8828">
          <cell r="B8828">
            <v>73739</v>
          </cell>
          <cell r="C8828" t="str">
            <v>PINNACLE SUNSHINE FUNDO DE INVEST. FINANC.</v>
          </cell>
          <cell r="D8828" t="str">
            <v>PINNACLE SUNSHINE FUNDO DE INVEST. FINANC.</v>
          </cell>
          <cell r="E8828" t="str">
            <v>PINNACLE SUNSHINE FUNDO DE INVEST. FINANC.</v>
          </cell>
        </row>
        <row r="8829">
          <cell r="B8829">
            <v>7376</v>
          </cell>
          <cell r="C8829" t="str">
            <v>BANCO JP MORGAN S/A</v>
          </cell>
          <cell r="D8829" t="str">
            <v>BANCO JP MORGAN S/A</v>
          </cell>
          <cell r="E8829" t="str">
            <v>BANCO JP MORGAN S/A</v>
          </cell>
        </row>
        <row r="8830">
          <cell r="B8830">
            <v>79883</v>
          </cell>
          <cell r="C8830" t="str">
            <v>XP INVESTOR LONG BIASED FIM</v>
          </cell>
          <cell r="D8830" t="str">
            <v>XP INVESTOR LONG BIASED FIM</v>
          </cell>
          <cell r="E8830" t="str">
            <v>XP GESTAO DE RECURSOS LTDA</v>
          </cell>
        </row>
        <row r="8831">
          <cell r="B8831">
            <v>7409</v>
          </cell>
          <cell r="C8831" t="str">
            <v>UNIBANCO UNIAO DE BANCOS BRASILEIROS S/A</v>
          </cell>
          <cell r="D8831" t="str">
            <v>UNIBANCO UNIAO DE BANCOS BRASILEIROS S/A</v>
          </cell>
          <cell r="E8831" t="str">
            <v>UNIBANCO UNIAO DE BANCOS BRASILEIROS S/A</v>
          </cell>
        </row>
        <row r="8832">
          <cell r="B8832">
            <v>74331</v>
          </cell>
          <cell r="C8832" t="str">
            <v>CARDIESEL LTDA</v>
          </cell>
          <cell r="D8832" t="str">
            <v>CARDIESEL LTDA</v>
          </cell>
          <cell r="E8832" t="str">
            <v>CARDIESEL LTDA</v>
          </cell>
        </row>
        <row r="8833">
          <cell r="B8833">
            <v>74332</v>
          </cell>
          <cell r="C8833" t="str">
            <v>CALISTO DIESEL DE VEICULOS LTDA</v>
          </cell>
          <cell r="D8833" t="str">
            <v>CALISTO DIESEL DE VEICULOS LTDA</v>
          </cell>
          <cell r="E8833" t="str">
            <v>CALISTO DIESEL DE VEICULOS LTDA</v>
          </cell>
        </row>
        <row r="8834">
          <cell r="B8834">
            <v>74333</v>
          </cell>
          <cell r="C8834" t="str">
            <v>AUTOSETE VEICULOS E PEÃ‡AS LTDA</v>
          </cell>
          <cell r="D8834" t="str">
            <v>AUTOSETE VEICULOS E PEÃ‡AS LTDA</v>
          </cell>
          <cell r="E8834" t="str">
            <v>AUTOSETE VEICULOS E PEÃ‡AS LTDA</v>
          </cell>
        </row>
        <row r="8835">
          <cell r="B8835">
            <v>74334</v>
          </cell>
          <cell r="C8835" t="str">
            <v>VALADARES DIESEL LTDA</v>
          </cell>
          <cell r="D8835" t="str">
            <v>VALADARES DIESEL LTDA</v>
          </cell>
          <cell r="E8835" t="str">
            <v>VALADARES DIESEL LTDA</v>
          </cell>
        </row>
        <row r="8836">
          <cell r="B8836">
            <v>74335</v>
          </cell>
          <cell r="C8836" t="str">
            <v>HORIZONTE TEXTIL LTDA</v>
          </cell>
          <cell r="D8836" t="str">
            <v>HORIZONTE TEXTIL LTDA</v>
          </cell>
          <cell r="E8836" t="str">
            <v>HORIZONTE TEXTIL LTDA</v>
          </cell>
        </row>
        <row r="8837">
          <cell r="B8837">
            <v>74336</v>
          </cell>
          <cell r="C8837" t="str">
            <v>VDL SIDERURGIA LTDA</v>
          </cell>
          <cell r="D8837" t="str">
            <v>VDL SIDERURGIA LTDA</v>
          </cell>
          <cell r="E8837" t="str">
            <v>VDL SIDERURGIA LTDA</v>
          </cell>
        </row>
        <row r="8838">
          <cell r="B8838">
            <v>74337</v>
          </cell>
          <cell r="C8838" t="str">
            <v>VDL PARTICIPAÃ‡Ã•ES LTDA</v>
          </cell>
          <cell r="D8838" t="str">
            <v>VDL PARTICIPAÃ‡Ã•ES LTDA</v>
          </cell>
          <cell r="E8838" t="str">
            <v>VDL PARTICIPAÃ‡Ã•ES LTDA</v>
          </cell>
        </row>
        <row r="8839">
          <cell r="B8839">
            <v>74338</v>
          </cell>
          <cell r="C8839" t="str">
            <v>GOIAS CAMINHOES E ONIBUS LTDA</v>
          </cell>
          <cell r="D8839" t="str">
            <v>GOIAS CAMINHOES E ONIBUS LTDA</v>
          </cell>
          <cell r="E8839" t="str">
            <v>GOIAS CAMINHOES E ONIBUS LTDA</v>
          </cell>
        </row>
        <row r="8840">
          <cell r="B8840">
            <v>74339</v>
          </cell>
          <cell r="C8840" t="str">
            <v>VADIESEL VALE DO AÃ‡O DIESEL LTDA</v>
          </cell>
          <cell r="D8840" t="str">
            <v>VADIESEL VALE DO AÃ‡O DIESEL LTDA</v>
          </cell>
          <cell r="E8840" t="str">
            <v>VADIESEL VALE DO AÃ‡O DIESEL LTDA</v>
          </cell>
        </row>
        <row r="8841">
          <cell r="B8841">
            <v>74340</v>
          </cell>
          <cell r="C8841" t="str">
            <v>ARIZONA INDUSTRIA TEXTIL LTDA</v>
          </cell>
          <cell r="D8841" t="str">
            <v>ARIZONA INDUSTRIA TEXTIL LTDA</v>
          </cell>
          <cell r="E8841" t="str">
            <v>ARIZONA INDUSTRIA TEXTIL LTDA</v>
          </cell>
        </row>
        <row r="8842">
          <cell r="B8842">
            <v>74341</v>
          </cell>
          <cell r="C8842" t="str">
            <v>LGL PARTICIPAÃ‡Ã•ES LTDA</v>
          </cell>
          <cell r="D8842" t="str">
            <v>LGL PARTICIPAÃ‡Ã•ES LTDA</v>
          </cell>
          <cell r="E8842" t="str">
            <v>LGL PARTICIPAÃ‡Ã•ES LTDA</v>
          </cell>
        </row>
        <row r="8843">
          <cell r="B8843">
            <v>74342</v>
          </cell>
          <cell r="C8843" t="str">
            <v>RGL ADMINISTRAÃ‡ÃƒO E PART. LTDA</v>
          </cell>
          <cell r="D8843" t="str">
            <v>RGL ADMINISTRAÃ‡ÃƒO E PART. LTDA</v>
          </cell>
          <cell r="E8843" t="str">
            <v>RGL ADMINISTRAÃ‡ÃƒO E PART. LTDA</v>
          </cell>
        </row>
        <row r="8844">
          <cell r="B8844">
            <v>74343</v>
          </cell>
          <cell r="C8844" t="str">
            <v>LONDRINA CAMINHOES E ONIBUS LTDA</v>
          </cell>
          <cell r="D8844" t="str">
            <v>LONDRINA CAMINHOES E ONIBUS LTDA</v>
          </cell>
          <cell r="E8844" t="str">
            <v>LONDRINA CAMINHOES E ONIBUS LTDA</v>
          </cell>
        </row>
        <row r="8845">
          <cell r="B8845">
            <v>74344</v>
          </cell>
          <cell r="C8845" t="str">
            <v>LESSA ADMINISTRAÃ‡AO E PARTICIPAÃ‡AO LTDA</v>
          </cell>
          <cell r="D8845" t="str">
            <v>LESSA ADMINISTRAÃ‡AO E PARTICIPAÃ‡AO LTDA</v>
          </cell>
          <cell r="E8845" t="str">
            <v>LESSA ADMINISTRAÃ‡AO E PARTICIPAÃ‡AO LTDA</v>
          </cell>
        </row>
        <row r="8846">
          <cell r="B8846">
            <v>74345</v>
          </cell>
          <cell r="C8846" t="str">
            <v>JOTA LESSA PARTICIPAÃ‡OES LTDA</v>
          </cell>
          <cell r="D8846" t="str">
            <v>JOTA LESSA PARTICIPAÃ‡OES LTDA</v>
          </cell>
          <cell r="E8846" t="str">
            <v>JOTA LESSA PARTICIPAÃ‡OES LTDA</v>
          </cell>
        </row>
        <row r="8847">
          <cell r="B8847">
            <v>74346</v>
          </cell>
          <cell r="C8847" t="str">
            <v>VDL FOMENTO MERCANTIL LTDA</v>
          </cell>
          <cell r="D8847" t="str">
            <v>VDL FOMENTO MERCANTIL LTDA</v>
          </cell>
          <cell r="E8847" t="str">
            <v>VDL FOMENTO MERCANTIL LTDA</v>
          </cell>
        </row>
        <row r="8848">
          <cell r="B8848">
            <v>74347</v>
          </cell>
          <cell r="C8848" t="str">
            <v>OVF PARTICIPAÃ‡Ã•ES LTDA</v>
          </cell>
          <cell r="D8848" t="str">
            <v>OVF PARTICIPAÃ‡Ã•ES LTDA</v>
          </cell>
          <cell r="E8848" t="str">
            <v>OVF PARTICIPAÃ‡Ã•ES LTDA</v>
          </cell>
        </row>
        <row r="8849">
          <cell r="B8849">
            <v>74528</v>
          </cell>
          <cell r="C8849" t="str">
            <v>CIA IMPORTADORA E EXPORTADORA COIMEX</v>
          </cell>
          <cell r="D8849" t="str">
            <v>CIA IMPORTADORA E EXPORTADORA COIMEX</v>
          </cell>
          <cell r="E8849" t="str">
            <v>CIA IMPORTADORA E EXPORTADORA COIMEX</v>
          </cell>
        </row>
        <row r="8850">
          <cell r="B8850">
            <v>74529</v>
          </cell>
          <cell r="C8850" t="str">
            <v>COMPANHIA IMPORTADORA E EXPORTADORA COIMEX</v>
          </cell>
          <cell r="D8850" t="str">
            <v>COMPANHIA IMPORTADORA E EXPORTADORA COIMEX</v>
          </cell>
          <cell r="E8850" t="str">
            <v>COMPANHIA IMPORTADORA E EXPORTADORA COIMEX</v>
          </cell>
        </row>
        <row r="8851">
          <cell r="B8851">
            <v>7456</v>
          </cell>
          <cell r="C8851" t="str">
            <v>BANCO MUFG BRASIL S.A.</v>
          </cell>
          <cell r="D8851" t="str">
            <v>BANCO MUFG BRASIL S.A.</v>
          </cell>
          <cell r="E8851" t="str">
            <v>BANCO MUFG BRASIL S/A</v>
          </cell>
        </row>
        <row r="8852">
          <cell r="B8852">
            <v>7464</v>
          </cell>
          <cell r="C8852" t="str">
            <v>BANCO SUMITOMO MITSUI BRASILEIRO S.A</v>
          </cell>
          <cell r="D8852" t="str">
            <v>BANCO SUMITOMO MITSUI BRASILEIRO S.A</v>
          </cell>
          <cell r="E8852" t="str">
            <v>BANCO SUMITOMO MITSUI BRASILEIRO S/A</v>
          </cell>
        </row>
        <row r="8853">
          <cell r="B8853">
            <v>747</v>
          </cell>
          <cell r="C8853" t="str">
            <v>ICAP DO BRASIL CTVM LTDA ( ATUAL TULLET)</v>
          </cell>
          <cell r="D8853" t="str">
            <v>ICAP DO BRASIL CTVM LTDA ( ATUAL TULLET)</v>
          </cell>
        </row>
        <row r="8854">
          <cell r="B8854">
            <v>748</v>
          </cell>
          <cell r="C8854" t="str">
            <v>ICAP DO BRASIL CTVM LTDA ( ATUAL TULLET)</v>
          </cell>
          <cell r="D8854" t="str">
            <v>ICAP DO BRASIL CTVM LTDA ( ATUAL TULLET)</v>
          </cell>
        </row>
        <row r="8855">
          <cell r="B8855">
            <v>79629</v>
          </cell>
          <cell r="C8855" t="str">
            <v>BANCO SANTANDER (BRASIL) S/A</v>
          </cell>
          <cell r="D8855" t="str">
            <v>BANCO SANTANDER (BRASIL) S/A</v>
          </cell>
          <cell r="E8855" t="str">
            <v>BANCO SANTANDER (BRASIL) S/A</v>
          </cell>
        </row>
        <row r="8856">
          <cell r="B8856">
            <v>75122</v>
          </cell>
          <cell r="C8856" t="str">
            <v>TEWKSBURY INVESTMENT FUND LTD</v>
          </cell>
          <cell r="D8856" t="str">
            <v>TEWKSBURY INVESTMENT FUND LTD</v>
          </cell>
          <cell r="E8856" t="str">
            <v>TEWKSBURY INVESTMENT FUND LTD</v>
          </cell>
        </row>
        <row r="8857">
          <cell r="B8857">
            <v>75268</v>
          </cell>
          <cell r="C8857" t="str">
            <v>SECURITY ESTRATEGIAS DISSOCIADAS FIM</v>
          </cell>
          <cell r="D8857" t="str">
            <v>SECURITY ESTRATEGIAS DISSOCIADAS FIM</v>
          </cell>
          <cell r="E8857" t="str">
            <v>SECURITY ADMINISTRADORA DE RECURSOS LTDA</v>
          </cell>
        </row>
        <row r="8858">
          <cell r="B8858">
            <v>42566</v>
          </cell>
          <cell r="C8858" t="str">
            <v>BANCO COOPERATIVO SICREDI S/A</v>
          </cell>
          <cell r="D8858" t="str">
            <v>BANCO COOPERATIVO SICREDI S/A</v>
          </cell>
          <cell r="E8858" t="str">
            <v>BANCO COOPERATIVO SICREDI S/A</v>
          </cell>
        </row>
        <row r="8859">
          <cell r="B8859">
            <v>75334</v>
          </cell>
          <cell r="C8859" t="str">
            <v>FUNDO DE INVESTIMENTO DE RENDA FIXA CREDITO PRIVADO UBR III</v>
          </cell>
          <cell r="D8859" t="str">
            <v>FUNDO DE INVESTIMENTO DE RENDA FIXA CREDITO PRIVADO UBR III</v>
          </cell>
          <cell r="E8859" t="str">
            <v>FUNDO DE INVESTIMENTO DE RENDA FIXA CREDITO PRIVADO UBR III</v>
          </cell>
        </row>
        <row r="8860">
          <cell r="B8860">
            <v>75339</v>
          </cell>
          <cell r="C8860" t="str">
            <v>VILA SIQUEIRA FIM CREDITO PRIVADO</v>
          </cell>
          <cell r="D8860" t="str">
            <v>VILA SIQUEIRA FIM CREDITO PRIVADO</v>
          </cell>
          <cell r="E8860" t="str">
            <v>VILA SIQUEIRA FIM CREDITO PRIVADO</v>
          </cell>
        </row>
        <row r="8861">
          <cell r="B8861">
            <v>75340</v>
          </cell>
          <cell r="C8861" t="str">
            <v>BIOESTRATEGIA FIM CREDITO PRIVADO</v>
          </cell>
          <cell r="D8861" t="str">
            <v>BIOESTRATEGIA FIM CREDITO PRIVADO</v>
          </cell>
          <cell r="E8861" t="str">
            <v>SAFDIE DTVM LTDA</v>
          </cell>
        </row>
        <row r="8862">
          <cell r="B8862">
            <v>75341</v>
          </cell>
          <cell r="C8862" t="str">
            <v>RAMA FIM CREDITO PRIVADO</v>
          </cell>
          <cell r="D8862" t="str">
            <v>RAMA FIM CREDITO PRIVADO</v>
          </cell>
          <cell r="E8862" t="str">
            <v>SAFDIE DTVM LTDA</v>
          </cell>
        </row>
        <row r="8863">
          <cell r="B8863">
            <v>75342</v>
          </cell>
          <cell r="C8863" t="str">
            <v>SAN GIULIANO FIM CREDITO PRIVADO</v>
          </cell>
          <cell r="D8863" t="str">
            <v>SAN GIULIANO FIM CREDITO PRIVADO</v>
          </cell>
          <cell r="E8863" t="str">
            <v>SAN GIULIANO FIM CREDITO PRIVADO</v>
          </cell>
        </row>
        <row r="8864">
          <cell r="B8864">
            <v>75343</v>
          </cell>
          <cell r="C8864" t="str">
            <v>TD FIM CREDITO PRIVADO</v>
          </cell>
          <cell r="D8864" t="str">
            <v>TD FIM CREDITO PRIVADO</v>
          </cell>
          <cell r="E8864" t="str">
            <v>TD FIM CREDITO PRIVADO</v>
          </cell>
        </row>
        <row r="8865">
          <cell r="B8865">
            <v>75344</v>
          </cell>
          <cell r="C8865" t="str">
            <v>FIM CP CENTRAIS SICREDI</v>
          </cell>
          <cell r="D8865" t="str">
            <v>FIM CP CENTRAIS SICREDI</v>
          </cell>
          <cell r="E8865" t="str">
            <v>BANCO COOPERATIVO SICREDI S/A</v>
          </cell>
        </row>
        <row r="8866">
          <cell r="B8866">
            <v>75345</v>
          </cell>
          <cell r="C8866" t="str">
            <v>SICREDI FI RENDA FIXA PREMIUM LP</v>
          </cell>
          <cell r="D8866" t="str">
            <v>SICREDI FI RENDA FIXA PREMIUM LP</v>
          </cell>
          <cell r="E8866" t="str">
            <v>QUANTITAS GESTAO DE RECURSOS LTDA</v>
          </cell>
        </row>
        <row r="8867">
          <cell r="B8867">
            <v>75346</v>
          </cell>
          <cell r="C8867" t="str">
            <v>BANCO SCHAHIN S/A</v>
          </cell>
          <cell r="D8867" t="str">
            <v>BANCO SCHAHIN S/A</v>
          </cell>
          <cell r="E8867" t="str">
            <v>BANCO SCHAHIN S/A</v>
          </cell>
        </row>
        <row r="8868">
          <cell r="B8868">
            <v>75347</v>
          </cell>
          <cell r="C8868" t="str">
            <v>SICREDI FIM LONGO PRAZO UNIQUE</v>
          </cell>
          <cell r="D8868" t="str">
            <v>SICREDI FIM LONGO PRAZO UNIQUE</v>
          </cell>
          <cell r="E8868" t="str">
            <v>QUANTITAS GESTAO DE RECURSOS LTDA</v>
          </cell>
        </row>
        <row r="8869">
          <cell r="B8869">
            <v>75348</v>
          </cell>
          <cell r="C8869" t="str">
            <v>SICREDI FIM RF PRIME LP</v>
          </cell>
          <cell r="D8869" t="str">
            <v>SICREDI FIM RF PRIME LP</v>
          </cell>
          <cell r="E8869" t="str">
            <v>QUANTITAS GESTAO DE RECURSOS LTDA</v>
          </cell>
        </row>
        <row r="8870">
          <cell r="B8870">
            <v>75349</v>
          </cell>
          <cell r="C8870" t="str">
            <v>SERGIO RICARDO JURUENA DA COSTA BRAGA</v>
          </cell>
          <cell r="D8870" t="str">
            <v>SERGIO RICARDO JURUENA DA COSTA BRAGA</v>
          </cell>
          <cell r="E8870" t="str">
            <v>SERGIO RICARDO JURUENA DA COSTA BRAGA</v>
          </cell>
        </row>
        <row r="8871">
          <cell r="B8871">
            <v>75350</v>
          </cell>
          <cell r="C8871" t="str">
            <v>BANCO CAIXA GERAL BRASIL SA</v>
          </cell>
          <cell r="D8871" t="str">
            <v>BANCO CAIXA GERAL BRASIL SA</v>
          </cell>
          <cell r="E8871" t="str">
            <v>BANCO CAIXA GERAL BRASIL S/A</v>
          </cell>
        </row>
        <row r="8872">
          <cell r="B8872">
            <v>75351</v>
          </cell>
          <cell r="C8872" t="str">
            <v>PAULO ALFREDO DAMASCENO FERREIRA</v>
          </cell>
          <cell r="D8872" t="str">
            <v>PAULO ALFREDO DAMASCENO FERREIRA</v>
          </cell>
          <cell r="E8872" t="str">
            <v>PAULO ALFREDO DAMASCENO FERREIRA</v>
          </cell>
        </row>
        <row r="8873">
          <cell r="B8873">
            <v>75344</v>
          </cell>
          <cell r="C8873" t="str">
            <v>FIM CP CENTRAIS SICREDI</v>
          </cell>
          <cell r="D8873" t="str">
            <v>FIM CP CENTRAIS SICREDI</v>
          </cell>
          <cell r="E8873" t="str">
            <v>BANCO COOPERATIVO SICREDI S/A</v>
          </cell>
        </row>
        <row r="8874">
          <cell r="B8874">
            <v>75353</v>
          </cell>
          <cell r="C8874" t="str">
            <v>LFR FIM</v>
          </cell>
          <cell r="D8874" t="str">
            <v>LFR FIM</v>
          </cell>
          <cell r="E8874" t="str">
            <v>LFR FIM</v>
          </cell>
        </row>
        <row r="8875">
          <cell r="B8875">
            <v>75354</v>
          </cell>
          <cell r="C8875" t="str">
            <v>FIM ALOCACAO LONGO PRAZO</v>
          </cell>
          <cell r="D8875" t="str">
            <v>FIM ALOCACAO LONGO PRAZO</v>
          </cell>
          <cell r="E8875" t="str">
            <v>FIM ALOCACAO LONGO PRAZO</v>
          </cell>
        </row>
        <row r="8876">
          <cell r="B8876">
            <v>75355</v>
          </cell>
          <cell r="C8876" t="str">
            <v>FIM CP UBR I</v>
          </cell>
          <cell r="D8876" t="str">
            <v>FIM CP UBR I</v>
          </cell>
          <cell r="E8876" t="str">
            <v>QUANTITAS GESTAO DE RECURSOS LTDA</v>
          </cell>
        </row>
        <row r="8877">
          <cell r="B8877">
            <v>75356</v>
          </cell>
          <cell r="C8877" t="str">
            <v>FI RF CP CENTRAIS UNICRED</v>
          </cell>
          <cell r="D8877" t="str">
            <v>FI RF CP CENTRAIS UNICRED</v>
          </cell>
          <cell r="E8877" t="str">
            <v>FI RF CP CENTRAIS UNICRED</v>
          </cell>
        </row>
        <row r="8878">
          <cell r="B8878">
            <v>75357</v>
          </cell>
          <cell r="C8878" t="str">
            <v>FI RF UNICRED CENTRAL RJ</v>
          </cell>
          <cell r="D8878" t="str">
            <v>FI RF UNICRED CENTRAL RJ</v>
          </cell>
          <cell r="E8878" t="str">
            <v>QUANTITAS GESTAO DE RECURSOS LTDA</v>
          </cell>
        </row>
        <row r="8879">
          <cell r="B8879">
            <v>75333</v>
          </cell>
          <cell r="C8879" t="str">
            <v>FUNDO DE INVESTIMENTO MULTIMERCADO UBR IV</v>
          </cell>
          <cell r="D8879" t="str">
            <v>FUNDO DE INVESTIMENTO MULTIMERCADO UBR IV</v>
          </cell>
          <cell r="E8879" t="str">
            <v>BANCO COOPERATIVO SICREDI S/A</v>
          </cell>
        </row>
        <row r="8880">
          <cell r="B8880">
            <v>75333</v>
          </cell>
          <cell r="C8880" t="str">
            <v>FUNDO DE INVESTIMENTO MULTIMERCADO UBR IV</v>
          </cell>
          <cell r="D8880" t="str">
            <v>FUNDO DE INVESTIMENTO MULTIMERCADO UBR IV</v>
          </cell>
          <cell r="E8880" t="str">
            <v>BANCO COOPERATIVO SICREDI S/A</v>
          </cell>
        </row>
        <row r="8881">
          <cell r="B8881">
            <v>75360</v>
          </cell>
          <cell r="C8881" t="str">
            <v>SICREDI FAPI COMPOSTO FUNDO DE APOSENTADORIA PROGRAMADA INDI</v>
          </cell>
          <cell r="D8881" t="str">
            <v>SICREDI FAPI COMPOSTO FUNDO DE APOSENTADORIA PROGRAMADA INDI</v>
          </cell>
          <cell r="E8881" t="str">
            <v>BANCO COOPERATIVO SICREDI S/A</v>
          </cell>
        </row>
        <row r="8882">
          <cell r="B8882">
            <v>75361</v>
          </cell>
          <cell r="C8882" t="str">
            <v>SICREDI FAPI RF- FUNDO DE APOSENTADORIA PROGAMADA INDIVIDUAL</v>
          </cell>
          <cell r="D8882" t="str">
            <v>SICREDI FAPI RF- FUNDO DE APOSENTADORIA PROGAMADA INDIVIDUAL</v>
          </cell>
          <cell r="E8882" t="str">
            <v>QUANTITAS GESTAO DE RECURSOS LTDA</v>
          </cell>
        </row>
        <row r="8883">
          <cell r="B8883">
            <v>75362</v>
          </cell>
          <cell r="C8883" t="str">
            <v>SICREDI FUNDO DE INVESTIMENTO DE RENDA FIXA IS PREVIDENCIA</v>
          </cell>
          <cell r="D8883" t="str">
            <v>SICREDI FUNDO DE INVESTIMENTO DE RENDA FIXA IS PREVIDENCIA</v>
          </cell>
          <cell r="E8883" t="str">
            <v>QUANTITAS GESTAO DE RECURSOS LTDA</v>
          </cell>
        </row>
        <row r="8884">
          <cell r="B8884">
            <v>75363</v>
          </cell>
          <cell r="C8884" t="str">
            <v>SICREDI FI DE RF PREVIDENC ABERTO IS MASTERPREV</v>
          </cell>
          <cell r="D8884" t="str">
            <v>SICREDI FI DE RF PREVIDENC ABERTO IS MASTERPREV</v>
          </cell>
          <cell r="E8884" t="str">
            <v>QUANTITAS GESTAO DE RECURSOS LTDA</v>
          </cell>
        </row>
        <row r="8885">
          <cell r="B8885">
            <v>75364</v>
          </cell>
          <cell r="C8885" t="str">
            <v>SICREDI FI RF IS PREVIDENCIA III CP</v>
          </cell>
          <cell r="D8885" t="str">
            <v>SICREDI FI RF IS PREVIDENCIA III CP</v>
          </cell>
          <cell r="E8885" t="str">
            <v>QUANTITAS GESTAO DE RECURSOS LTDA</v>
          </cell>
        </row>
        <row r="8886">
          <cell r="B8886">
            <v>75365</v>
          </cell>
          <cell r="C8886" t="str">
            <v>SOBERANO SAUDE FI RF LP DEDICADO AO SETOR SAUDE SUPLEMENTAR</v>
          </cell>
          <cell r="D8886" t="str">
            <v>SOBERANO SAUDE FI RF LP DEDICADO AO SETOR SAUDE SUPLEMENTAR</v>
          </cell>
          <cell r="E8886" t="str">
            <v>QUANTITAS GESTAO DE RECURSOS LTDA</v>
          </cell>
        </row>
        <row r="8887">
          <cell r="B8887">
            <v>75366</v>
          </cell>
          <cell r="C8887" t="str">
            <v>LOUIS DREYFUS COMPANY BRASIL S/A</v>
          </cell>
          <cell r="D8887" t="str">
            <v>LOUIS DREYFUS COMPANY BRASIL S/A</v>
          </cell>
          <cell r="E8887" t="str">
            <v>LOUIS DREYFUS COMPANY BRASIL S/A</v>
          </cell>
        </row>
        <row r="8888">
          <cell r="B8888">
            <v>75367</v>
          </cell>
          <cell r="C8888" t="str">
            <v>SECURITY PLUS MULT. FIM</v>
          </cell>
          <cell r="D8888" t="str">
            <v>SECURITY PLUS MULT. FIM</v>
          </cell>
          <cell r="E8888" t="str">
            <v>SECURITY PLUS MULT. FIM</v>
          </cell>
        </row>
        <row r="8889">
          <cell r="B8889">
            <v>75368</v>
          </cell>
          <cell r="C8889" t="str">
            <v>SUMTER OVERSEAS LLC</v>
          </cell>
          <cell r="D8889" t="str">
            <v>SUMTER OVERSEAS LLC</v>
          </cell>
          <cell r="E8889" t="str">
            <v>SUMTER OVERSEAS LLC</v>
          </cell>
        </row>
        <row r="8890">
          <cell r="B8890">
            <v>75369</v>
          </cell>
          <cell r="C8890" t="str">
            <v>JAU FIM CP INVESTIMENTO NO EXTERIOR</v>
          </cell>
          <cell r="D8890" t="str">
            <v>JAU FIM CP INVESTIMENTO NO EXTERIOR</v>
          </cell>
          <cell r="E8890" t="str">
            <v>CONSENSO INVESTIMENTOS LTDA</v>
          </cell>
        </row>
        <row r="8891">
          <cell r="B8891">
            <v>75370</v>
          </cell>
          <cell r="C8891" t="str">
            <v>NORTEAR FIM CP IE</v>
          </cell>
          <cell r="D8891" t="str">
            <v>NORTEAR FIM CP IE</v>
          </cell>
          <cell r="E8891" t="str">
            <v>NORTEAR FIM CP IE</v>
          </cell>
        </row>
        <row r="8892">
          <cell r="B8892">
            <v>75371</v>
          </cell>
          <cell r="C8892" t="str">
            <v>IPANEMA 4 FIM CP IE</v>
          </cell>
          <cell r="D8892" t="str">
            <v>IPANEMA 4 FIM CP IE</v>
          </cell>
          <cell r="E8892" t="str">
            <v>IPANEMA GESTORA DE RECURSOS LTDA</v>
          </cell>
        </row>
        <row r="8893">
          <cell r="B8893">
            <v>75372</v>
          </cell>
          <cell r="C8893" t="str">
            <v>MIRAMAR II FIM CP INVESTIMENTO NO EXTERIOR</v>
          </cell>
          <cell r="D8893" t="str">
            <v>MIRAMAR II FIM CP INVESTIMENTO NO EXTERIOR</v>
          </cell>
          <cell r="E8893" t="str">
            <v>CONSENSO INVESTIMENTOS LTDA</v>
          </cell>
        </row>
        <row r="8894">
          <cell r="B8894">
            <v>75373</v>
          </cell>
          <cell r="C8894" t="str">
            <v>TRADITION FIM CP IE</v>
          </cell>
          <cell r="D8894" t="str">
            <v>TRADITION FIM CP IE</v>
          </cell>
          <cell r="E8894" t="str">
            <v>TRADITION FIM CP IE</v>
          </cell>
        </row>
        <row r="8895">
          <cell r="B8895">
            <v>75374</v>
          </cell>
          <cell r="C8895" t="str">
            <v>JUPITER FIM CP IE</v>
          </cell>
          <cell r="D8895" t="str">
            <v>JUPITER FIM CP IE</v>
          </cell>
          <cell r="E8895" t="str">
            <v>JUPITER FIM CP IE</v>
          </cell>
        </row>
        <row r="8896">
          <cell r="B8896">
            <v>75375</v>
          </cell>
          <cell r="C8896" t="str">
            <v>CONSENSO FI RF CP</v>
          </cell>
          <cell r="D8896" t="str">
            <v>CONSENSO FI RF CP</v>
          </cell>
          <cell r="E8896" t="str">
            <v>CONSENSO INVESTIMENTOS LTDA</v>
          </cell>
        </row>
        <row r="8897">
          <cell r="B8897">
            <v>75376</v>
          </cell>
          <cell r="C8897" t="str">
            <v>BANCO STANDARD DE INVESTIMENTOS S/A</v>
          </cell>
          <cell r="D8897" t="str">
            <v>BANCO STANDARD DE INVESTIMENTOS S/A</v>
          </cell>
          <cell r="E8897" t="str">
            <v>BANCO STANDARD DE INVESTIMENTOS S/A</v>
          </cell>
        </row>
        <row r="8898">
          <cell r="B8898">
            <v>75377</v>
          </cell>
          <cell r="C8898" t="str">
            <v>STANDARD BANK PLC</v>
          </cell>
          <cell r="D8898" t="str">
            <v>STANDARD BANK PLC</v>
          </cell>
          <cell r="E8898" t="str">
            <v>STANDARD BANK PLC</v>
          </cell>
        </row>
        <row r="8899">
          <cell r="B8899">
            <v>75378</v>
          </cell>
          <cell r="C8899" t="str">
            <v>PRINCIPAL ASSET MANAGEMENT LTDA</v>
          </cell>
          <cell r="D8899" t="str">
            <v>PRINCIPAL ASSET MANAGEMENT LTDA</v>
          </cell>
          <cell r="E8899" t="str">
            <v>PRINCIPAL ASSET MANAGEMENT LTDA</v>
          </cell>
        </row>
        <row r="8900">
          <cell r="B8900">
            <v>75379</v>
          </cell>
          <cell r="C8900" t="str">
            <v>STANDARD CHARTERED BANK (BRASIL) S.A BCO DE INVESTIMENTO</v>
          </cell>
          <cell r="D8900" t="str">
            <v>STANDARD CHARTERED BANK (BRASIL) S.A BCO DE INVESTIMENTO</v>
          </cell>
          <cell r="E8900" t="str">
            <v>STANDARD CHARTERED BANK (BRASIL) S.A BCO DE INVESTIMENTO</v>
          </cell>
        </row>
        <row r="8901">
          <cell r="B8901">
            <v>75380</v>
          </cell>
          <cell r="C8901" t="str">
            <v>BANCO CAIXA GERAL BRASIL SA</v>
          </cell>
          <cell r="D8901" t="str">
            <v>BANCO CAIXA GERAL BRASIL SA</v>
          </cell>
          <cell r="E8901" t="str">
            <v>BANCO CAIXA GERAL BRASIL S/A</v>
          </cell>
        </row>
        <row r="8902">
          <cell r="B8902">
            <v>75389</v>
          </cell>
          <cell r="C8902" t="str">
            <v>SAO PAULO PARTNERS LLC</v>
          </cell>
          <cell r="D8902" t="str">
            <v>SAO PAULO PARTNERS LLC</v>
          </cell>
          <cell r="E8902" t="str">
            <v>SAO PAULO PARTNERS LLC</v>
          </cell>
        </row>
        <row r="8903">
          <cell r="B8903">
            <v>75396</v>
          </cell>
          <cell r="C8903" t="str">
            <v>ELECTRA FIA</v>
          </cell>
          <cell r="D8903" t="str">
            <v>ELECTRA FIA</v>
          </cell>
          <cell r="E8903" t="str">
            <v>ELECTRA FIA</v>
          </cell>
        </row>
        <row r="8904">
          <cell r="B8904">
            <v>75397</v>
          </cell>
          <cell r="C8904" t="str">
            <v>CRPC MAURITSSTAD FIA</v>
          </cell>
          <cell r="D8904" t="str">
            <v>CRPC MAURITSSTAD FIA</v>
          </cell>
          <cell r="E8904" t="str">
            <v>CRPC MAURITSSTAD FIA</v>
          </cell>
        </row>
        <row r="8905">
          <cell r="B8905">
            <v>75398</v>
          </cell>
          <cell r="C8905" t="str">
            <v>UBIRAJARA PENNA PESSOA</v>
          </cell>
          <cell r="D8905" t="str">
            <v>UBIRAJARA PENNA PESSOA</v>
          </cell>
          <cell r="E8905" t="str">
            <v>UBIRAJARA PENNA PESSOA</v>
          </cell>
        </row>
        <row r="8906">
          <cell r="B8906">
            <v>75399</v>
          </cell>
          <cell r="C8906" t="str">
            <v>NOBEL INSTITUCIONAL FIM</v>
          </cell>
          <cell r="D8906" t="str">
            <v>NOBEL INSTITUCIONAL FIM</v>
          </cell>
          <cell r="E8906" t="str">
            <v>NOBEL INSTITUCIONAL FIM</v>
          </cell>
        </row>
        <row r="8907">
          <cell r="B8907">
            <v>75422</v>
          </cell>
          <cell r="C8907" t="str">
            <v>MAINSTAY AÃ‡Ã•ES FIA</v>
          </cell>
          <cell r="D8907" t="str">
            <v>MAINSTAY AÃ‡Ã•ES FIA</v>
          </cell>
          <cell r="E8907" t="str">
            <v>PATRIA INVESTIMENTOS LTDA</v>
          </cell>
        </row>
        <row r="8908">
          <cell r="B8908">
            <v>75426</v>
          </cell>
          <cell r="C8908" t="str">
            <v>14 BIS FIM</v>
          </cell>
          <cell r="D8908" t="str">
            <v>14 BIS FIM</v>
          </cell>
          <cell r="E8908" t="str">
            <v>14 BIS FIM</v>
          </cell>
        </row>
        <row r="8909">
          <cell r="B8909">
            <v>75431</v>
          </cell>
          <cell r="C8909" t="str">
            <v>PAINEIRAS HEDGE FI MULTIMERCADO</v>
          </cell>
          <cell r="D8909" t="str">
            <v>PAINEIRAS HEDGE FI MULTIMERCADO</v>
          </cell>
          <cell r="E8909" t="str">
            <v>IPANEMA GESTORA DE RECURSOS LTDA</v>
          </cell>
        </row>
        <row r="8910">
          <cell r="B8910">
            <v>75433</v>
          </cell>
          <cell r="C8910" t="str">
            <v>PATRIA LONG SHORT FIM</v>
          </cell>
          <cell r="D8910" t="str">
            <v>PATRIA LONG SHORT FIM</v>
          </cell>
          <cell r="E8910" t="str">
            <v>PATRIA LONG SHORT FIM</v>
          </cell>
        </row>
        <row r="8911">
          <cell r="B8911">
            <v>75434</v>
          </cell>
          <cell r="C8911" t="str">
            <v>M SAFRA &amp; CO DTVM S/A</v>
          </cell>
          <cell r="D8911" t="str">
            <v>M SAFRA &amp; CO DTVM S/A</v>
          </cell>
          <cell r="E8911" t="str">
            <v>M SAFRA &amp; CO DTVM S/A</v>
          </cell>
        </row>
        <row r="8912">
          <cell r="B8912">
            <v>75435</v>
          </cell>
          <cell r="C8912" t="str">
            <v>M SAFRA &amp; CO DTVM S/A</v>
          </cell>
          <cell r="D8912" t="str">
            <v>M SAFRA &amp; CO DTVM S/A</v>
          </cell>
          <cell r="E8912" t="str">
            <v>M SAFRA &amp; CO DTVM S/A</v>
          </cell>
        </row>
        <row r="8913">
          <cell r="B8913">
            <v>75444</v>
          </cell>
          <cell r="C8913" t="str">
            <v>MAINSTAY MULTIESTRATEGIA FI EM COTAS DE FI</v>
          </cell>
          <cell r="D8913" t="str">
            <v>MAINSTAY MULTIESTRATEGIA FI EM COTAS DE FI</v>
          </cell>
          <cell r="E8913" t="str">
            <v>PATRIA INVESTIMENTOS LTDA</v>
          </cell>
        </row>
        <row r="8914">
          <cell r="B8914">
            <v>75455</v>
          </cell>
          <cell r="C8914" t="str">
            <v>PATRIA MULTIESTRATEGIA MASTER FIM</v>
          </cell>
          <cell r="D8914" t="str">
            <v>PATRIA MULTIESTRATEGIA MASTER FIM</v>
          </cell>
          <cell r="E8914" t="str">
            <v>PATRIA MULTIESTRATEGIA MASTER FIM</v>
          </cell>
        </row>
        <row r="8915">
          <cell r="B8915">
            <v>75458</v>
          </cell>
          <cell r="C8915" t="str">
            <v>FIM MINKE</v>
          </cell>
          <cell r="D8915" t="str">
            <v>FIM MINKE</v>
          </cell>
          <cell r="E8915" t="str">
            <v>FIM MINKE</v>
          </cell>
        </row>
        <row r="8916">
          <cell r="B8916">
            <v>75466</v>
          </cell>
          <cell r="C8916" t="str">
            <v>TUIAS FUNDO DE INVESTIMENTO DE AÃ‡Ã•ES</v>
          </cell>
          <cell r="D8916" t="str">
            <v>TUIAS FUNDO DE INVESTIMENTO DE AÃ‡Ã•ES</v>
          </cell>
          <cell r="E8916" t="str">
            <v>TUIAS FUNDO DE INVESTIMENTO DE AÃ‡Ã•ES</v>
          </cell>
        </row>
        <row r="8917">
          <cell r="B8917">
            <v>75467</v>
          </cell>
          <cell r="C8917" t="str">
            <v>PATRIA EQUITY MASTER FIA</v>
          </cell>
          <cell r="D8917" t="str">
            <v>PATRIA EQUITY MASTER FIA</v>
          </cell>
          <cell r="E8917" t="str">
            <v>PATRIA EQUITY MASTER FIA</v>
          </cell>
        </row>
        <row r="8918">
          <cell r="B8918">
            <v>75469</v>
          </cell>
          <cell r="C8918" t="str">
            <v>NIDERA SEMENTES LTDA</v>
          </cell>
          <cell r="D8918" t="str">
            <v>NIDERA SEMENTES LTDA</v>
          </cell>
          <cell r="E8918" t="str">
            <v>NIDERA SEMENTES LTDA</v>
          </cell>
        </row>
        <row r="8919">
          <cell r="B8919">
            <v>75477</v>
          </cell>
          <cell r="C8919" t="str">
            <v>BI INVEST PARTICIPAÃ‡Ã•ES E FINANÃ‡AS CORPORATIVAS LTDA</v>
          </cell>
          <cell r="D8919" t="str">
            <v>BI INVEST PARTICIPAÃ‡Ã•ES E FINANÃ‡AS CORPORATIVAS LTDA</v>
          </cell>
          <cell r="E8919" t="str">
            <v>BI INVEST PARTICIPAÃ‡Ã•ES E FINANÃ‡AS CORPORATIVAS LTDA</v>
          </cell>
        </row>
        <row r="8920">
          <cell r="B8920">
            <v>75480</v>
          </cell>
          <cell r="C8920" t="str">
            <v>BRF BRASIL FOODS S/A</v>
          </cell>
          <cell r="D8920" t="str">
            <v>BRF BRASIL FOODS S/A</v>
          </cell>
          <cell r="E8920" t="str">
            <v>BRF PREVIDENCIA</v>
          </cell>
        </row>
        <row r="8921">
          <cell r="B8921">
            <v>75491</v>
          </cell>
          <cell r="C8921" t="str">
            <v>BANCO BMG S/A</v>
          </cell>
          <cell r="D8921" t="str">
            <v>BANCO BMG S/A</v>
          </cell>
          <cell r="E8921" t="str">
            <v>BANCO BMG S/A</v>
          </cell>
        </row>
        <row r="8922">
          <cell r="B8922">
            <v>75499</v>
          </cell>
          <cell r="C8922" t="str">
            <v>INOVAR SERVIÃ‡OS E APOIO ADM LTDA</v>
          </cell>
          <cell r="D8922" t="str">
            <v>INOVAR SERVIÃ‡OS E APOIO ADM LTDA</v>
          </cell>
          <cell r="E8922" t="str">
            <v>INOVAR SERVIÃ‡OS E APOIO ADM LTDA</v>
          </cell>
        </row>
        <row r="8923">
          <cell r="B8923">
            <v>755</v>
          </cell>
          <cell r="C8923" t="str">
            <v>ICAP DO BRASIL CTVM LTDA ( ATUAL TULLET)</v>
          </cell>
          <cell r="D8923" t="str">
            <v>ICAP DO BRASIL CTVM LTDA ( ATUAL TULLET)</v>
          </cell>
        </row>
        <row r="8924">
          <cell r="B8924">
            <v>75684</v>
          </cell>
          <cell r="C8924" t="str">
            <v>SUDAMERIS FIM VENUS</v>
          </cell>
          <cell r="D8924" t="str">
            <v>SUDAMERIS FIM VENUS</v>
          </cell>
          <cell r="E8924" t="str">
            <v>SUDAMERIS FIM VENUS</v>
          </cell>
        </row>
        <row r="8925">
          <cell r="B8925">
            <v>75687</v>
          </cell>
          <cell r="C8925" t="str">
            <v>TERMOPERNAMBUCO SA</v>
          </cell>
          <cell r="D8925" t="str">
            <v>TERMOPERNAMBUCO SA</v>
          </cell>
          <cell r="E8925" t="str">
            <v>TERMOPERNAMBUCO SA</v>
          </cell>
        </row>
        <row r="8926">
          <cell r="B8926">
            <v>75698</v>
          </cell>
          <cell r="C8926" t="str">
            <v>META 11 FIA</v>
          </cell>
          <cell r="D8926" t="str">
            <v>META 11 FIA</v>
          </cell>
          <cell r="E8926" t="str">
            <v>META 11 FIA</v>
          </cell>
        </row>
        <row r="8927">
          <cell r="B8927">
            <v>757</v>
          </cell>
          <cell r="C8927" t="str">
            <v>ICAP DO BRASIL CTVM LTDA ( ATUAL TULLET)</v>
          </cell>
          <cell r="D8927" t="str">
            <v>ICAP DO BRASIL CTVM LTDA ( ATUAL TULLET)</v>
          </cell>
        </row>
        <row r="8928">
          <cell r="B8928">
            <v>75777</v>
          </cell>
          <cell r="C8928" t="str">
            <v>BANK OF AMERICA MERRILL LYNCH BANCO MULTIPLO S/A</v>
          </cell>
          <cell r="D8928" t="str">
            <v>BANK OF AMERICA MERRILL LYNCH BANCO MULTIPLO S/A</v>
          </cell>
          <cell r="E8928" t="str">
            <v>BANK OF AMERICA MERRILL LYNCH BANCO MULTIPLO S/A</v>
          </cell>
        </row>
        <row r="8929">
          <cell r="B8929">
            <v>75778</v>
          </cell>
          <cell r="C8929" t="str">
            <v>FIM VERONA</v>
          </cell>
          <cell r="D8929" t="str">
            <v>FIM VERONA</v>
          </cell>
          <cell r="E8929" t="str">
            <v>FIM VERONA</v>
          </cell>
        </row>
        <row r="8930">
          <cell r="B8930">
            <v>75779</v>
          </cell>
          <cell r="C8930" t="str">
            <v>CLASSE UNICA DO AGATA FIF MULT CP LONGO PRAZO</v>
          </cell>
          <cell r="D8930" t="str">
            <v>CLASSE UNICA DO AGATA FIF MULT CP LONGO PRAZO</v>
          </cell>
          <cell r="E8930" t="str">
            <v>BANK OF AMERICA MERRILL LYNCH BANCO MULTIPLO S/A</v>
          </cell>
        </row>
        <row r="8931">
          <cell r="B8931">
            <v>75781</v>
          </cell>
          <cell r="C8931" t="str">
            <v>FIM FOREIGN INVESTMENT</v>
          </cell>
          <cell r="D8931" t="str">
            <v>FIM FOREIGN INVESTMENT</v>
          </cell>
          <cell r="E8931" t="str">
            <v>CITIBANK DTVM S/A</v>
          </cell>
        </row>
        <row r="8932">
          <cell r="B8932">
            <v>75782</v>
          </cell>
          <cell r="C8932" t="str">
            <v>FIM CONEJO FUND</v>
          </cell>
          <cell r="D8932" t="str">
            <v>FIM CONEJO FUND</v>
          </cell>
          <cell r="E8932" t="str">
            <v>BANCO CITIBANK S/A</v>
          </cell>
        </row>
        <row r="8933">
          <cell r="B8933">
            <v>75833</v>
          </cell>
          <cell r="C8933" t="str">
            <v>HSBC BANK USA, NATIONAL ASSOCIATION</v>
          </cell>
          <cell r="D8933" t="str">
            <v>HSBC BANK USA, NATIONAL ASSOCIATION</v>
          </cell>
          <cell r="E8933" t="str">
            <v>BANCO HSBC S/A</v>
          </cell>
        </row>
        <row r="8934">
          <cell r="B8934">
            <v>75949</v>
          </cell>
          <cell r="C8934" t="str">
            <v>STANDARD CHARTERED BANK</v>
          </cell>
          <cell r="D8934" t="str">
            <v>STANDARD CHARTERED BANK</v>
          </cell>
          <cell r="E8934" t="str">
            <v>STANDARD CHARTERED BANK</v>
          </cell>
        </row>
        <row r="8935">
          <cell r="B8935">
            <v>75987</v>
          </cell>
          <cell r="C8935" t="str">
            <v>ROMA 1947 FIM CP INVESTIMENTO NO EXTERIOR</v>
          </cell>
          <cell r="D8935" t="str">
            <v>ROMA 1947 FIM CP INVESTIMENTO NO EXTERIOR</v>
          </cell>
          <cell r="E8935" t="str">
            <v>ROMA 1947 FIM CP INVESTIMENTO NO EXTERIOR</v>
          </cell>
        </row>
        <row r="8936">
          <cell r="B8936">
            <v>75988</v>
          </cell>
          <cell r="C8936" t="str">
            <v>JURO REAL FI RENDA FIXA CP</v>
          </cell>
          <cell r="D8936" t="str">
            <v>JURO REAL FI RENDA FIXA CP</v>
          </cell>
          <cell r="E8936" t="str">
            <v>JURO REAL FI RENDA FIXA CP</v>
          </cell>
        </row>
        <row r="8937">
          <cell r="B8937">
            <v>75989</v>
          </cell>
          <cell r="C8937" t="str">
            <v>CHRISTIANO MARCONDES DE BARROS LIMA</v>
          </cell>
          <cell r="D8937" t="str">
            <v>CHRISTIANO MARCONDES DE BARROS LIMA</v>
          </cell>
          <cell r="E8937" t="str">
            <v>CHRISTIANO MARCONDES DE BARROS LIMA</v>
          </cell>
        </row>
        <row r="8938">
          <cell r="B8938">
            <v>75999</v>
          </cell>
          <cell r="C8938" t="str">
            <v>ALEXANDRO GAYOSO DA SILVA MARCEL</v>
          </cell>
          <cell r="D8938" t="str">
            <v>ALEXANDRO GAYOSO DA SILVA MARCEL</v>
          </cell>
          <cell r="E8938" t="str">
            <v>ALEXANDRO GAYOSO DA SILVA MARCEL</v>
          </cell>
        </row>
        <row r="8939">
          <cell r="B8939">
            <v>79630</v>
          </cell>
          <cell r="C8939" t="str">
            <v>BANCO SANTANDER (BRASIL) S/A</v>
          </cell>
          <cell r="D8939" t="str">
            <v>BANCO SANTANDER (BRASIL) S/A</v>
          </cell>
          <cell r="E8939" t="str">
            <v>BANCO SANTANDER (BRASIL) S/A</v>
          </cell>
        </row>
        <row r="8940">
          <cell r="B8940">
            <v>77</v>
          </cell>
          <cell r="C8940" t="str">
            <v>MORGAN STANLEY URUGUAY LTDA</v>
          </cell>
          <cell r="D8940" t="str">
            <v>MORGAN STANLEY URUGUAY LTDA</v>
          </cell>
          <cell r="E8940" t="str">
            <v>BANCO MORGAN STANLEY S/A</v>
          </cell>
        </row>
        <row r="8941">
          <cell r="B8941">
            <v>80647</v>
          </cell>
          <cell r="C8941" t="str">
            <v>XP GESTAO DE RECURSOS LTDA</v>
          </cell>
          <cell r="D8941" t="str">
            <v>XP GESTAO DE RECURSOS LTDA</v>
          </cell>
          <cell r="E8941" t="str">
            <v>XP GESTAO DE RECURSOS LTDA</v>
          </cell>
        </row>
        <row r="8942">
          <cell r="B8942">
            <v>7740</v>
          </cell>
          <cell r="C8942" t="str">
            <v>BANCO BARCLAYS S/A</v>
          </cell>
          <cell r="D8942" t="str">
            <v>BANCO BARCLAYS S/A</v>
          </cell>
          <cell r="E8942" t="str">
            <v>BARCLAYS BANK PLC</v>
          </cell>
        </row>
        <row r="8943">
          <cell r="B8943">
            <v>7745</v>
          </cell>
          <cell r="C8943" t="str">
            <v>BANCO CITIBANK S/A</v>
          </cell>
          <cell r="D8943" t="str">
            <v>BANCO CITIBANK S/A</v>
          </cell>
          <cell r="E8943" t="str">
            <v>BANCO CITIBANK S/A</v>
          </cell>
        </row>
        <row r="8944">
          <cell r="B8944">
            <v>7746</v>
          </cell>
          <cell r="C8944" t="str">
            <v>BANCO CITIBANK S/A</v>
          </cell>
          <cell r="D8944" t="str">
            <v>BANCO CITIBANK S/A</v>
          </cell>
          <cell r="E8944" t="str">
            <v>BANCO CITIBANK S/A</v>
          </cell>
        </row>
        <row r="8945">
          <cell r="B8945">
            <v>7747</v>
          </cell>
          <cell r="C8945" t="str">
            <v>BANCO RABOBANK INTERNATIONAL BRASIL S/A</v>
          </cell>
          <cell r="D8945" t="str">
            <v>BANCO RABOBANK INTERNATIONAL BRASIL S/A</v>
          </cell>
          <cell r="E8945" t="str">
            <v>BANCO RABOBANK INTERNATIONAL BRASIL S/A</v>
          </cell>
        </row>
        <row r="8946">
          <cell r="B8946">
            <v>7751</v>
          </cell>
          <cell r="C8946" t="str">
            <v>SCOTIABANK BRASILS/A BANCO MULTIPLO(ANTIGO DRESDNER BANK BR)</v>
          </cell>
          <cell r="D8946" t="str">
            <v>SCOTIABANK BRASILS/A BANCO MULTIPLO(ANTIGO DRESDNER BANK BR)</v>
          </cell>
          <cell r="E8946" t="str">
            <v>SCOTIABANK BRASIL S/A</v>
          </cell>
        </row>
        <row r="8947">
          <cell r="B8947">
            <v>7752</v>
          </cell>
          <cell r="C8947" t="str">
            <v>BANCO BNP PARIBAS BRASIL S/A</v>
          </cell>
          <cell r="D8947" t="str">
            <v>BANCO BNP PARIBAS BRASIL S/A</v>
          </cell>
          <cell r="E8947" t="str">
            <v>BANCO BNP PARIBAS BRASIL S/A</v>
          </cell>
        </row>
        <row r="8948">
          <cell r="B8948">
            <v>7753</v>
          </cell>
          <cell r="C8948" t="str">
            <v>BANCO BS2 S.A.</v>
          </cell>
          <cell r="D8948" t="str">
            <v>BANCO BS2 S.A.</v>
          </cell>
          <cell r="E8948" t="str">
            <v>BANCO BS2 S/A</v>
          </cell>
        </row>
        <row r="8949">
          <cell r="B8949">
            <v>80648</v>
          </cell>
          <cell r="C8949" t="str">
            <v>XP GESTAO DE RECURSOS LTDA</v>
          </cell>
          <cell r="D8949" t="str">
            <v>XP GESTAO DE RECURSOS LTDA</v>
          </cell>
          <cell r="E8949" t="str">
            <v>XP GESTAO DE RECURSOS LTDA</v>
          </cell>
        </row>
        <row r="8950">
          <cell r="B8950">
            <v>78</v>
          </cell>
          <cell r="C8950" t="str">
            <v>MAXIMA S/A CTVM</v>
          </cell>
          <cell r="D8950" t="str">
            <v>MAXIMA S/A CTVM</v>
          </cell>
          <cell r="E8950" t="str">
            <v>MAXIMA S/A CTVM</v>
          </cell>
        </row>
        <row r="8951">
          <cell r="B8951">
            <v>78334</v>
          </cell>
          <cell r="C8951" t="str">
            <v>ANA MARISA FERES NASCIF</v>
          </cell>
          <cell r="D8951" t="str">
            <v>ANA MARISA FERES NASCIF</v>
          </cell>
          <cell r="E8951" t="str">
            <v>ANA MARISA FERES NASCIF</v>
          </cell>
        </row>
        <row r="8952">
          <cell r="B8952">
            <v>78335</v>
          </cell>
          <cell r="C8952" t="str">
            <v>ALMIR DE OLIVEIRA MENEZES</v>
          </cell>
          <cell r="D8952" t="str">
            <v>ALMIR DE OLIVEIRA MENEZES</v>
          </cell>
          <cell r="E8952" t="str">
            <v>ALMIR DE OLIVEIRA MENEZES</v>
          </cell>
        </row>
        <row r="8953">
          <cell r="B8953">
            <v>78336</v>
          </cell>
          <cell r="C8953" t="str">
            <v>ADVIS DELTA FIM</v>
          </cell>
          <cell r="D8953" t="str">
            <v>ADVIS DELTA FIM</v>
          </cell>
          <cell r="E8953" t="str">
            <v>ADVIS DELTA FIM</v>
          </cell>
        </row>
        <row r="8954">
          <cell r="B8954">
            <v>78337</v>
          </cell>
          <cell r="C8954" t="str">
            <v>ADVIS FIA</v>
          </cell>
          <cell r="D8954" t="str">
            <v>ADVIS FIA</v>
          </cell>
          <cell r="E8954" t="str">
            <v>ADVIS INVESTIMENTOS LTDA (ANTIGO ADVISOR ADM DE RECURSOS)</v>
          </cell>
        </row>
        <row r="8955">
          <cell r="B8955">
            <v>78338</v>
          </cell>
          <cell r="C8955" t="str">
            <v>ADVIS MACRO FIM</v>
          </cell>
          <cell r="D8955" t="str">
            <v>ADVIS MACRO FIM</v>
          </cell>
          <cell r="E8955" t="str">
            <v>ADVIS MACRO FIM</v>
          </cell>
        </row>
        <row r="8956">
          <cell r="B8956">
            <v>78339</v>
          </cell>
          <cell r="C8956" t="str">
            <v>ADVIS MACRO MASTER FUNDO DE INVESTIMENTO MULTIMERCADO</v>
          </cell>
          <cell r="D8956" t="str">
            <v>ADVIS MACRO MASTER FUNDO DE INVESTIMENTO MULTIMERCADO</v>
          </cell>
          <cell r="E8956" t="str">
            <v>ADVIS INVESTIMENTOS LTDA (ANTIGO ADVISOR ADM DE RECURSOS)</v>
          </cell>
        </row>
        <row r="8957">
          <cell r="B8957">
            <v>78340</v>
          </cell>
          <cell r="C8957" t="str">
            <v>VINCI FUNDO DE INVESTIMENTO MULTIMERCADO</v>
          </cell>
          <cell r="D8957" t="str">
            <v>VINCI FUNDO DE INVESTIMENTO MULTIMERCADO</v>
          </cell>
          <cell r="E8957" t="str">
            <v>VINCI FUNDO DE INVESTIMENTO MULTIMERCADO</v>
          </cell>
        </row>
        <row r="8958">
          <cell r="B8958">
            <v>78341</v>
          </cell>
          <cell r="C8958" t="str">
            <v>ADVIS DELTA MASTER FUNDO DE INVESTIMENTO MULTIMERCADO</v>
          </cell>
          <cell r="D8958" t="str">
            <v>ADVIS DELTA MASTER FUNDO DE INVESTIMENTO MULTIMERCADO</v>
          </cell>
          <cell r="E8958" t="str">
            <v>ADVIS INVESTIMENTOS LTDA (ANTIGO ADVISOR ADM DE RECURSOS)</v>
          </cell>
        </row>
        <row r="8959">
          <cell r="B8959">
            <v>78342</v>
          </cell>
          <cell r="C8959" t="str">
            <v>ADVIS EQUITY HEDGE MASTER FUNDO DE INVESTIMENTO MULTIMERCADO</v>
          </cell>
          <cell r="D8959" t="str">
            <v>ADVIS EQUITY HEDGE MASTER FUNDO DE INVESTIMENTO MULTIMERCADO</v>
          </cell>
          <cell r="E8959" t="str">
            <v>ADVIS INVESTIMENTOS LTDA (ANTIGO ADVISOR ADM DE RECURSOS)</v>
          </cell>
        </row>
        <row r="8960">
          <cell r="B8960">
            <v>78343</v>
          </cell>
          <cell r="C8960" t="str">
            <v>ADVIS LONG SHORT MASTER FUNDO DE INVESTIMENTO MULTIMERCADO</v>
          </cell>
          <cell r="D8960" t="str">
            <v>ADVIS LONG SHORT MASTER FUNDO DE INVESTIMENTO MULTIMERCADO</v>
          </cell>
          <cell r="E8960" t="str">
            <v>ADVIS INVESTIMENTOS LTDA (ANTIGO ADVISOR ADM DE RECURSOS)</v>
          </cell>
        </row>
        <row r="8961">
          <cell r="B8961">
            <v>78344</v>
          </cell>
          <cell r="C8961" t="str">
            <v>ADVIS ENDURO FUNDO DE INVESTIMENTO MULTIMERCADO</v>
          </cell>
          <cell r="D8961" t="str">
            <v>ADVIS ENDURO FUNDO DE INVESTIMENTO MULTIMERCADO</v>
          </cell>
          <cell r="E8961" t="str">
            <v>ADVIS INVESTIMENTOS LTDA (ANTIGO ADVISOR ADM DE RECURSOS)</v>
          </cell>
        </row>
        <row r="8962">
          <cell r="B8962">
            <v>78440</v>
          </cell>
          <cell r="C8962" t="str">
            <v>NOVO ELDORADO FUNDO DE INVESTIMENTO MULTIMERCADO</v>
          </cell>
          <cell r="D8962" t="str">
            <v>NOVO ELDORADO FUNDO DE INVESTIMENTO MULTIMERCADO</v>
          </cell>
          <cell r="E8962" t="str">
            <v>FORSIX ADMINISTRADORA DE RECURSOS LTDA</v>
          </cell>
        </row>
        <row r="8963">
          <cell r="B8963">
            <v>78441</v>
          </cell>
          <cell r="C8963" t="str">
            <v>EDIOM FUNDO DE INVESTIMENTO MULTIMERCADO</v>
          </cell>
          <cell r="D8963" t="str">
            <v>EDIOM FUNDO DE INVESTIMENTO MULTIMERCADO</v>
          </cell>
          <cell r="E8963" t="str">
            <v>FORSIX ADMINISTRADORA DE RECURSOS LTDA</v>
          </cell>
        </row>
        <row r="8964">
          <cell r="B8964">
            <v>78442</v>
          </cell>
          <cell r="C8964" t="str">
            <v>DEUTSCHE BANK AG LONDON GLOBAL MARKETS</v>
          </cell>
          <cell r="D8964" t="str">
            <v>DEUTSCHE BANK AG LONDON GLOBAL MARKETS</v>
          </cell>
          <cell r="E8964" t="str">
            <v>DEUTSCHE BANK S/A</v>
          </cell>
        </row>
        <row r="8965">
          <cell r="B8965">
            <v>7860</v>
          </cell>
          <cell r="C8965" t="str">
            <v>BANCO MORGAN STANLEY S/A</v>
          </cell>
          <cell r="D8965" t="str">
            <v>BANCO MORGAN STANLEY S/A</v>
          </cell>
          <cell r="E8965" t="str">
            <v>BANCO MORGAN STANLEY S/A</v>
          </cell>
        </row>
        <row r="8966">
          <cell r="B8966">
            <v>79631</v>
          </cell>
          <cell r="C8966" t="str">
            <v>BANCO SANTANDER (BRASIL) S/A</v>
          </cell>
          <cell r="D8966" t="str">
            <v>BANCO SANTANDER (BRASIL) S/A</v>
          </cell>
          <cell r="E8966" t="str">
            <v>BANCO SANTANDER (BRASIL) S/A</v>
          </cell>
        </row>
        <row r="8967">
          <cell r="B8967">
            <v>79122</v>
          </cell>
          <cell r="C8967" t="str">
            <v>BRASIF PLUS FIM</v>
          </cell>
          <cell r="D8967" t="str">
            <v>BRASIF PLUS FIM</v>
          </cell>
          <cell r="E8967" t="str">
            <v>BRASIF PLUS FIM</v>
          </cell>
        </row>
        <row r="8968">
          <cell r="B8968">
            <v>79123</v>
          </cell>
          <cell r="C8968" t="str">
            <v>COLORADO FUNDO DE INVESTIMENTO MULTIMARCADO CP</v>
          </cell>
          <cell r="D8968" t="str">
            <v>COLORADO FUNDO DE INVESTIMENTO MULTIMARCADO CP</v>
          </cell>
          <cell r="E8968" t="str">
            <v>COLORADO FUNDO DE INVESTIMENTO MULTIMARCADO CP</v>
          </cell>
        </row>
        <row r="8969">
          <cell r="B8969">
            <v>79124</v>
          </cell>
          <cell r="C8969" t="str">
            <v>ROYAL BANK OF CANADA - US TRANSIT</v>
          </cell>
          <cell r="D8969" t="str">
            <v>ROYAL BANK OF CANADA - US TRANSIT</v>
          </cell>
          <cell r="E8969" t="str">
            <v>ROYAL BANK OF CANADA - US TRANSIT</v>
          </cell>
        </row>
        <row r="8970">
          <cell r="B8970">
            <v>79594</v>
          </cell>
          <cell r="C8970" t="str">
            <v>IBIUNA HEDGE ST MASTER FIM</v>
          </cell>
          <cell r="D8970" t="str">
            <v>IBIUNA HEDGE ST MASTER FIM</v>
          </cell>
          <cell r="E8970" t="str">
            <v>IBIUNA GESTAO DE RECURSOS LTDA</v>
          </cell>
        </row>
        <row r="8971">
          <cell r="B8971">
            <v>79126</v>
          </cell>
          <cell r="C8971" t="str">
            <v>IPORANGA INVESTIMENTOS LTDA</v>
          </cell>
          <cell r="D8971" t="str">
            <v>IPORANGA INVESTIMENTOS LTDA</v>
          </cell>
          <cell r="E8971" t="str">
            <v>IPORANGA INVESTIMENTOS LTDA</v>
          </cell>
        </row>
        <row r="8972">
          <cell r="B8972">
            <v>79127</v>
          </cell>
          <cell r="C8972" t="str">
            <v>DA VINCI FIM INVEST NO EXTERIOR CP</v>
          </cell>
          <cell r="D8972" t="str">
            <v>DA VINCI FIM INVEST NO EXTERIOR CP</v>
          </cell>
          <cell r="E8972" t="str">
            <v>DA VINCI FIM INVEST NO EXTERIOR CP</v>
          </cell>
        </row>
        <row r="8973">
          <cell r="B8973">
            <v>79128</v>
          </cell>
          <cell r="C8973" t="str">
            <v>GALILEU FIM  INVEST NO EXTERIOR CP</v>
          </cell>
          <cell r="D8973" t="str">
            <v>GALILEU FIM  INVEST NO EXTERIOR CP</v>
          </cell>
          <cell r="E8973" t="str">
            <v>GALILEU FIM  INVEST NO EXTERIOR CP</v>
          </cell>
        </row>
        <row r="8974">
          <cell r="B8974">
            <v>79129</v>
          </cell>
          <cell r="C8974" t="str">
            <v>OMEGA - FIM CP INVESTIMENTO NO EXTERIOR</v>
          </cell>
          <cell r="D8974" t="str">
            <v>OMEGA - FIM CP INVESTIMENTO NO EXTERIOR</v>
          </cell>
          <cell r="E8974" t="str">
            <v>OMEGA - FIM CP INVESTIMENTO NO EXTERIOR</v>
          </cell>
        </row>
        <row r="8975">
          <cell r="B8975">
            <v>79130</v>
          </cell>
          <cell r="C8975" t="str">
            <v>SIGMA FIM CP IE</v>
          </cell>
          <cell r="D8975" t="str">
            <v>SIGMA FIM CP IE</v>
          </cell>
          <cell r="E8975" t="str">
            <v>SIGMA FIM CP IE</v>
          </cell>
        </row>
        <row r="8976">
          <cell r="B8976">
            <v>79131</v>
          </cell>
          <cell r="C8976" t="str">
            <v>DELTA FIM CP IE</v>
          </cell>
          <cell r="D8976" t="str">
            <v>DELTA FIM CP IE</v>
          </cell>
          <cell r="E8976" t="str">
            <v>CONSENSO INVESTIMENTOS LTDA</v>
          </cell>
        </row>
        <row r="8977">
          <cell r="B8977">
            <v>79132</v>
          </cell>
          <cell r="C8977" t="str">
            <v>PE DE MEIA FIM CP IE</v>
          </cell>
          <cell r="D8977" t="str">
            <v>PE DE MEIA FIM CP IE</v>
          </cell>
          <cell r="E8977" t="str">
            <v>PE DE MEIA FIM CP IE</v>
          </cell>
        </row>
        <row r="8978">
          <cell r="B8978">
            <v>79133</v>
          </cell>
          <cell r="C8978" t="str">
            <v>THOR FIM CP IE</v>
          </cell>
          <cell r="D8978" t="str">
            <v>THOR FIM CP IE</v>
          </cell>
          <cell r="E8978" t="str">
            <v>CONSENSO INVESTIMENTOS LTDA</v>
          </cell>
        </row>
        <row r="8979">
          <cell r="B8979">
            <v>79134</v>
          </cell>
          <cell r="C8979" t="str">
            <v>SDB FUNDO DE INVESTIMENTO MULTIMERCADO</v>
          </cell>
          <cell r="D8979" t="str">
            <v>SDB FUNDO DE INVESTIMENTO MULTIMERCADO</v>
          </cell>
          <cell r="E8979" t="str">
            <v>SDB FUNDO DE INVESTIMENTO MULTIMERCADO</v>
          </cell>
        </row>
        <row r="8980">
          <cell r="B8980">
            <v>79161</v>
          </cell>
          <cell r="C8980" t="str">
            <v>BNP PARIBAS CORAL FIM PREVIDENCIARIO</v>
          </cell>
          <cell r="D8980" t="str">
            <v>BNP PARIBAS CORAL FIM PREVIDENCIARIO</v>
          </cell>
          <cell r="E8980" t="str">
            <v>BNP PARIBAS ASSET MANAGEMENT BRASIL LTDA</v>
          </cell>
        </row>
        <row r="8981">
          <cell r="B8981">
            <v>79136</v>
          </cell>
          <cell r="C8981" t="str">
            <v>MTTF INVESTMENTS LLC</v>
          </cell>
          <cell r="D8981" t="str">
            <v>MTTF INVESTMENTS LLC</v>
          </cell>
          <cell r="E8981" t="str">
            <v>SIP CAPITAL EQUITIES INVESTIMENTOS LTDA</v>
          </cell>
        </row>
        <row r="8982">
          <cell r="B8982">
            <v>79137</v>
          </cell>
          <cell r="C8982" t="str">
            <v>SIP CAPITAL FIM INVEST NO EXTERIOR</v>
          </cell>
          <cell r="D8982" t="str">
            <v>SIP CAPITAL FIM INVEST NO EXTERIOR</v>
          </cell>
          <cell r="E8982" t="str">
            <v>SIP CAPITAL EQUITIES INVESTIMENTOS LTDA</v>
          </cell>
        </row>
        <row r="8983">
          <cell r="B8983">
            <v>79138</v>
          </cell>
          <cell r="C8983" t="str">
            <v>MAUA INVESTIMENTOS LTDA</v>
          </cell>
          <cell r="D8983" t="str">
            <v>MAUA INVESTIMENTOS LTDA</v>
          </cell>
          <cell r="E8983" t="str">
            <v>MAUA INVESTIMENTOS LTDA</v>
          </cell>
        </row>
        <row r="8984">
          <cell r="B8984">
            <v>79139</v>
          </cell>
          <cell r="C8984" t="str">
            <v>GAP EQUITY VALUE FIC DE FIA I</v>
          </cell>
          <cell r="D8984" t="str">
            <v>GAP EQUITY VALUE FIC DE FIA I</v>
          </cell>
          <cell r="E8984" t="str">
            <v>GAP EQUITY VALUE FIC DE FIA I</v>
          </cell>
        </row>
        <row r="8985">
          <cell r="B8985">
            <v>79140</v>
          </cell>
          <cell r="C8985" t="str">
            <v>DUO SHARP  FIA</v>
          </cell>
          <cell r="D8985" t="str">
            <v>DUO SHARP  FIA</v>
          </cell>
          <cell r="E8985" t="str">
            <v>DUO SHARP  FIA</v>
          </cell>
        </row>
        <row r="8986">
          <cell r="B8986">
            <v>79141</v>
          </cell>
          <cell r="C8986" t="str">
            <v>EQUITAS EQUITY HEDGE MASTER FIM</v>
          </cell>
          <cell r="D8986" t="str">
            <v>EQUITAS EQUITY HEDGE MASTER FIM</v>
          </cell>
          <cell r="E8986" t="str">
            <v>EQUITAS EQUITY HEDGE MASTER FIM</v>
          </cell>
        </row>
        <row r="8987">
          <cell r="B8987">
            <v>79142</v>
          </cell>
          <cell r="C8987" t="str">
            <v>EQUITAS EQUITY HEDGE FIM</v>
          </cell>
          <cell r="D8987" t="str">
            <v>EQUITAS EQUITY HEDGE FIM</v>
          </cell>
          <cell r="E8987" t="str">
            <v>EQUITAS EQUITY HEDGE FIM</v>
          </cell>
        </row>
        <row r="8988">
          <cell r="B8988">
            <v>79143</v>
          </cell>
          <cell r="C8988" t="str">
            <v>EQUITAS ZENITH FIM</v>
          </cell>
          <cell r="D8988" t="str">
            <v>EQUITAS ZENITH FIM</v>
          </cell>
          <cell r="E8988" t="str">
            <v>EQUITAS ZENITH FIM</v>
          </cell>
        </row>
        <row r="8989">
          <cell r="B8989">
            <v>79145</v>
          </cell>
          <cell r="C8989" t="str">
            <v>LUMA FIM IE</v>
          </cell>
          <cell r="D8989" t="str">
            <v>LUMA FIM IE</v>
          </cell>
          <cell r="E8989" t="str">
            <v>NP ADMINISTRAÃ‡ÃƒO DE RECURSOS LTDA</v>
          </cell>
        </row>
        <row r="8990">
          <cell r="B8990">
            <v>79146</v>
          </cell>
          <cell r="C8990" t="str">
            <v>NP HEDGE FIM</v>
          </cell>
          <cell r="D8990" t="str">
            <v>NP HEDGE FIM</v>
          </cell>
          <cell r="E8990" t="str">
            <v>NP HEDGE FIM</v>
          </cell>
        </row>
        <row r="8991">
          <cell r="B8991">
            <v>79147</v>
          </cell>
          <cell r="C8991" t="str">
            <v>NP FUNDAMENTO FIA</v>
          </cell>
          <cell r="D8991" t="str">
            <v>NP FUNDAMENTO FIA</v>
          </cell>
          <cell r="E8991" t="str">
            <v>NP ADMINISTRAÃ‡ÃƒO DE RECURSOS LTDA</v>
          </cell>
        </row>
        <row r="8992">
          <cell r="B8992">
            <v>79148</v>
          </cell>
          <cell r="C8992" t="str">
            <v>NP TATICO FIM</v>
          </cell>
          <cell r="D8992" t="str">
            <v>NP TATICO FIM</v>
          </cell>
          <cell r="E8992" t="str">
            <v>NP ADMINISTRAÃ‡ÃƒO DE RECURSOS LTDA</v>
          </cell>
        </row>
        <row r="8993">
          <cell r="B8993">
            <v>79149</v>
          </cell>
          <cell r="C8993" t="str">
            <v>NP INSTITUCIONAL FIM</v>
          </cell>
          <cell r="D8993" t="str">
            <v>NP INSTITUCIONAL FIM</v>
          </cell>
          <cell r="E8993" t="str">
            <v>NP ADMINISTRAÃ‡ÃƒO DE RECURSOS LTDA</v>
          </cell>
        </row>
        <row r="8994">
          <cell r="B8994">
            <v>79150</v>
          </cell>
          <cell r="C8994" t="str">
            <v>SPX GESTAO DE RECURSOS LTDA</v>
          </cell>
          <cell r="D8994" t="str">
            <v>SPX GESTAO DE RECURSOS LTDA</v>
          </cell>
          <cell r="E8994" t="str">
            <v>SPX GESTAO DE RECURSOS LTDA</v>
          </cell>
        </row>
        <row r="8995">
          <cell r="B8995">
            <v>79151</v>
          </cell>
          <cell r="C8995" t="str">
            <v>KONDOR LLC</v>
          </cell>
          <cell r="D8995" t="str">
            <v>KONDOR LLC</v>
          </cell>
          <cell r="E8995" t="str">
            <v>KONDOR ADMINISTRADORA E GESTORA DE RECURSOS FINANCEIROS LTDA</v>
          </cell>
        </row>
        <row r="8996">
          <cell r="B8996">
            <v>79152</v>
          </cell>
          <cell r="C8996" t="str">
            <v>SNOWFLAKE FIM</v>
          </cell>
          <cell r="D8996" t="str">
            <v>SNOWFLAKE FIM</v>
          </cell>
          <cell r="E8996" t="str">
            <v>SNOWFLAKE FIM</v>
          </cell>
        </row>
        <row r="8997">
          <cell r="B8997">
            <v>79153</v>
          </cell>
          <cell r="C8997" t="str">
            <v>GRANADA FIM</v>
          </cell>
          <cell r="D8997" t="str">
            <v>GRANADA FIM</v>
          </cell>
          <cell r="E8997" t="str">
            <v>LAPB GESTAO DE RECURSOS FINANCEIROS LTDA ( ANTIGO MCAP)</v>
          </cell>
        </row>
        <row r="8998">
          <cell r="B8998">
            <v>79154</v>
          </cell>
          <cell r="C8998" t="str">
            <v>POLO NORTE FUNDO DE INVESTIMENTO MULTIMERCADO</v>
          </cell>
          <cell r="D8998" t="str">
            <v>POLO NORTE FUNDO DE INVESTIMENTO MULTIMERCADO</v>
          </cell>
          <cell r="E8998" t="str">
            <v>POLO CAPITAL GESTÃO DE RECURSOS LTDA</v>
          </cell>
        </row>
        <row r="8999">
          <cell r="B8999">
            <v>79155</v>
          </cell>
          <cell r="C8999" t="str">
            <v>POLO MACRO FIM</v>
          </cell>
          <cell r="D8999" t="str">
            <v>POLO MACRO FIM</v>
          </cell>
          <cell r="E8999" t="str">
            <v>POLO CAPITAL GESTÃO DE RECURSOS LTDA</v>
          </cell>
        </row>
        <row r="9000">
          <cell r="B9000">
            <v>79156</v>
          </cell>
          <cell r="C9000" t="str">
            <v>HAITONG BANCO DE INVESTIMENTO DO BRASIL S/A</v>
          </cell>
          <cell r="D9000" t="str">
            <v>HAITONG BANCO DE INVESTIMENTO DO BRASIL S/A</v>
          </cell>
          <cell r="E9000" t="str">
            <v>HAITONG BANCO DE INVESTIMENTO DO BRASIL S/A</v>
          </cell>
        </row>
        <row r="9001">
          <cell r="B9001">
            <v>79157</v>
          </cell>
          <cell r="C9001" t="str">
            <v>SOCIETE GENERALE (PARIS)</v>
          </cell>
          <cell r="D9001" t="str">
            <v>SOCIETE GENERALE (PARIS)</v>
          </cell>
          <cell r="E9001" t="str">
            <v>BANCO SOCIETE GENERALE BRASIL S/A</v>
          </cell>
        </row>
        <row r="9002">
          <cell r="B9002">
            <v>79158</v>
          </cell>
          <cell r="C9002" t="str">
            <v>BANCO BOCOM BBM S.A</v>
          </cell>
          <cell r="D9002" t="str">
            <v>BANCO BOCOM BBM S.A</v>
          </cell>
          <cell r="E9002" t="str">
            <v>BANCO BOCOM BBM S/A</v>
          </cell>
        </row>
        <row r="9003">
          <cell r="B9003">
            <v>75360</v>
          </cell>
          <cell r="C9003" t="str">
            <v>SICREDI FAPI COMPOSTO FUNDO DE APOSENTADORIA PROGRAMADA INDI</v>
          </cell>
          <cell r="D9003" t="str">
            <v>SICREDI FAPI COMPOSTO FUNDO DE APOSENTADORIA PROGRAMADA INDI</v>
          </cell>
          <cell r="E9003" t="str">
            <v>BANCO COOPERATIVO SICREDI S/A</v>
          </cell>
        </row>
        <row r="9004">
          <cell r="B9004">
            <v>98</v>
          </cell>
          <cell r="C9004" t="str">
            <v>BANCO SANTANDER (BRASIL) S/A</v>
          </cell>
          <cell r="D9004" t="str">
            <v>BANCO SANTANDER (BRASIL) S/A</v>
          </cell>
          <cell r="E9004" t="str">
            <v>BNP PARIBAS ASSET MANAGEMENT BRASIL LTDA</v>
          </cell>
        </row>
        <row r="9005">
          <cell r="B9005">
            <v>79163</v>
          </cell>
          <cell r="C9005" t="str">
            <v>VINCI EQUITIES GESTORA DE RECURSOS LTDA</v>
          </cell>
          <cell r="D9005" t="str">
            <v>VINCI EQUITIES GESTORA DE RECURSOS LTDA</v>
          </cell>
          <cell r="E9005" t="str">
            <v>VINCI GESTORA DE RECURSOS LTDA</v>
          </cell>
        </row>
        <row r="9006">
          <cell r="B9006">
            <v>79164</v>
          </cell>
          <cell r="C9006" t="str">
            <v>MONGERAL AEGON SOBERANO FI RF</v>
          </cell>
          <cell r="D9006" t="str">
            <v>MONGERAL AEGON SOBERANO FI RF</v>
          </cell>
          <cell r="E9006" t="str">
            <v>MONGERAL AEGON INVESTIMENTOS LTDA</v>
          </cell>
        </row>
        <row r="9007">
          <cell r="B9007">
            <v>79165</v>
          </cell>
          <cell r="C9007" t="str">
            <v>MONGERAL AEGON PREVIDENCIA RENDA FIXA FI</v>
          </cell>
          <cell r="D9007" t="str">
            <v>MONGERAL AEGON PREVIDENCIA RENDA FIXA FI</v>
          </cell>
          <cell r="E9007" t="str">
            <v>MONGERAL AEGON INVESTIMENTOS LTDA</v>
          </cell>
        </row>
        <row r="9008">
          <cell r="B9008">
            <v>79166</v>
          </cell>
          <cell r="C9008" t="str">
            <v>MONGERAL AEGON PREVIDENCIA ACOES FI</v>
          </cell>
          <cell r="D9008" t="str">
            <v>MONGERAL AEGON PREVIDENCIA ACOES FI</v>
          </cell>
          <cell r="E9008" t="str">
            <v>MONGERAL AEGON INVESTIMENTOS LTDA</v>
          </cell>
        </row>
        <row r="9009">
          <cell r="B9009">
            <v>79167</v>
          </cell>
          <cell r="C9009" t="str">
            <v>MONGERAL AEGON INSTITUCIONAL RENDA FIXA FI</v>
          </cell>
          <cell r="D9009" t="str">
            <v>MONGERAL AEGON INSTITUCIONAL RENDA FIXA FI</v>
          </cell>
          <cell r="E9009" t="str">
            <v>MONGERAL AEGON INVESTIMENTOS LTDA</v>
          </cell>
        </row>
        <row r="9010">
          <cell r="B9010">
            <v>82967</v>
          </cell>
          <cell r="C9010" t="str">
            <v>MORE RENDA FIXA ATIVO FI DE IF INFRAESTRUTA RENDA FIXA</v>
          </cell>
          <cell r="D9010" t="str">
            <v>MORE RENDA FIXA ATIVO FI DE IF INFRAESTRUTA RENDA FIXA</v>
          </cell>
          <cell r="E9010" t="str">
            <v>MORE INVEST GESTORA DE RECURSOS LTDA</v>
          </cell>
        </row>
        <row r="9011">
          <cell r="B9011">
            <v>79169</v>
          </cell>
          <cell r="C9011" t="str">
            <v>MCAP MACH FIM</v>
          </cell>
          <cell r="D9011" t="str">
            <v>MCAP MACH FIM</v>
          </cell>
          <cell r="E9011" t="str">
            <v>LAPB GESTAO DE RECURSOS FINANCEIROS LTDA ( ANTIGO MCAP)</v>
          </cell>
        </row>
        <row r="9012">
          <cell r="B9012">
            <v>79170</v>
          </cell>
          <cell r="C9012" t="str">
            <v>MCAP VIRTUS FIA</v>
          </cell>
          <cell r="D9012" t="str">
            <v>MCAP VIRTUS FIA</v>
          </cell>
          <cell r="E9012" t="str">
            <v>LAPB GESTAO DE RECURSOS FINANCEIROS LTDA ( ANTIGO MCAP)</v>
          </cell>
        </row>
        <row r="9013">
          <cell r="B9013">
            <v>79171</v>
          </cell>
          <cell r="C9013" t="str">
            <v>ALASKA RANGE FIM</v>
          </cell>
          <cell r="D9013" t="str">
            <v>ALASKA RANGE FIM</v>
          </cell>
          <cell r="E9013" t="str">
            <v>ALASKA RANGE FIM</v>
          </cell>
        </row>
        <row r="9014">
          <cell r="B9014">
            <v>79172</v>
          </cell>
          <cell r="C9014" t="str">
            <v>MCAP MACH MASTER FEEDER FIM</v>
          </cell>
          <cell r="D9014" t="str">
            <v>MCAP MACH MASTER FEEDER FIM</v>
          </cell>
          <cell r="E9014" t="str">
            <v>MCAP MACH MASTER FEEDER FIM</v>
          </cell>
        </row>
        <row r="9015">
          <cell r="B9015">
            <v>79173</v>
          </cell>
          <cell r="C9015" t="str">
            <v>QUORUM LLC</v>
          </cell>
          <cell r="D9015" t="str">
            <v>QUORUM LLC</v>
          </cell>
          <cell r="E9015" t="str">
            <v>QUORUM LLC</v>
          </cell>
        </row>
        <row r="9016">
          <cell r="B9016">
            <v>123325</v>
          </cell>
          <cell r="C9016" t="str">
            <v>NUCLEOS III BRASIL PLURAL FIA</v>
          </cell>
          <cell r="D9016" t="str">
            <v>NUCLEOS III BRASIL PLURAL FIA</v>
          </cell>
          <cell r="E9016" t="str">
            <v>NUCLEOS III BRASIL PLURAL FIA</v>
          </cell>
        </row>
        <row r="9017">
          <cell r="B9017">
            <v>79175</v>
          </cell>
          <cell r="C9017" t="str">
            <v>FIM CP QUADRA</v>
          </cell>
          <cell r="D9017" t="str">
            <v>FIM CP QUADRA</v>
          </cell>
          <cell r="E9017" t="str">
            <v>FIM CP QUADRA</v>
          </cell>
        </row>
        <row r="9018">
          <cell r="B9018">
            <v>79176</v>
          </cell>
          <cell r="C9018" t="str">
            <v>FIM CP LIVRE</v>
          </cell>
          <cell r="D9018" t="str">
            <v>FIM CP LIVRE</v>
          </cell>
          <cell r="E9018" t="str">
            <v>FIM CP LIVRE</v>
          </cell>
        </row>
        <row r="9019">
          <cell r="B9019">
            <v>123119</v>
          </cell>
          <cell r="C9019" t="str">
            <v>PITUBA FIA</v>
          </cell>
          <cell r="D9019" t="str">
            <v>PITUBA FIA</v>
          </cell>
          <cell r="E9019" t="str">
            <v>PLURAL GESTÃO DE RECURSOS LTDA</v>
          </cell>
        </row>
        <row r="9020">
          <cell r="B9020">
            <v>123302</v>
          </cell>
          <cell r="C9020" t="str">
            <v>BRASPREV FIM PREVIDENCIARIO</v>
          </cell>
          <cell r="D9020" t="str">
            <v>BRASPREV FIM PREVIDENCIARIO</v>
          </cell>
          <cell r="E9020" t="str">
            <v>PLURAL GESTÃO DE RECURSOS LTDA</v>
          </cell>
        </row>
        <row r="9021">
          <cell r="B9021">
            <v>123325</v>
          </cell>
          <cell r="C9021" t="str">
            <v>NUCLEOS III BRASIL PLURAL FIA</v>
          </cell>
          <cell r="D9021" t="str">
            <v>NUCLEOS III BRASIL PLURAL FIA</v>
          </cell>
          <cell r="E9021" t="str">
            <v>NUCLEOS III BRASIL PLURAL FIA</v>
          </cell>
        </row>
        <row r="9022">
          <cell r="B9022">
            <v>80502</v>
          </cell>
          <cell r="C9022" t="str">
            <v>OCCAM BRASIL GESTAO DE RECURSOS LTDA</v>
          </cell>
          <cell r="D9022" t="str">
            <v>OCCAM BRASIL GESTAO DE RECURSOS LTDA</v>
          </cell>
          <cell r="E9022" t="str">
            <v>OCCAM BRASIL GESTAO DE RECURSOS LTDA</v>
          </cell>
        </row>
        <row r="9023">
          <cell r="B9023">
            <v>80502</v>
          </cell>
          <cell r="C9023" t="str">
            <v>OCCAM BRASIL GESTAO DE RECURSOS LTDA</v>
          </cell>
          <cell r="D9023" t="str">
            <v>OCCAM BRASIL GESTAO DE RECURSOS LTDA</v>
          </cell>
          <cell r="E9023" t="str">
            <v>OCCAM BRASIL GESTAO DE RECURSOS LTDA</v>
          </cell>
        </row>
        <row r="9024">
          <cell r="B9024">
            <v>90120</v>
          </cell>
          <cell r="C9024" t="str">
            <v>BRASIL PLURAL CCTVM ( ANTIGA FLOW CCTVM S/A)</v>
          </cell>
          <cell r="D9024" t="str">
            <v>BRASIL PLURAL CCTVM ( ANTIGA FLOW CCTVM S/A)</v>
          </cell>
          <cell r="E9024" t="str">
            <v>PLURAL GESTÃO DE RECURSOS LTDA</v>
          </cell>
        </row>
        <row r="9025">
          <cell r="B9025">
            <v>922121</v>
          </cell>
          <cell r="C9025" t="str">
            <v>BRASIL PLURAL CCTVM ( ANTIGA FLOW CCTVM S/A)</v>
          </cell>
          <cell r="D9025" t="str">
            <v>BRASIL PLURAL CCTVM ( ANTIGA FLOW CCTVM S/A)</v>
          </cell>
          <cell r="E9025" t="str">
            <v>PLURAL GESTÃO DE RECURSOS LTDA</v>
          </cell>
        </row>
        <row r="9026">
          <cell r="B9026">
            <v>79184</v>
          </cell>
          <cell r="C9026" t="str">
            <v>MERCATTO BRADESCO MASTER FIA PREVIDENCIARIO</v>
          </cell>
          <cell r="D9026" t="str">
            <v>MERCATTO BRADESCO MASTER FIA PREVIDENCIARIO</v>
          </cell>
          <cell r="E9026" t="str">
            <v>MERCATTO GESTAO DE RECURSOS LTDA</v>
          </cell>
        </row>
        <row r="9027">
          <cell r="B9027">
            <v>79185</v>
          </cell>
          <cell r="C9027" t="str">
            <v>MERCATTO BRADESCO MASTER FI RF PREVIDENCIARIO</v>
          </cell>
          <cell r="D9027" t="str">
            <v>MERCATTO BRADESCO MASTER FI RF PREVIDENCIARIO</v>
          </cell>
          <cell r="E9027" t="str">
            <v>MERCATTO GESTAO DE RECURSOS LTDA</v>
          </cell>
        </row>
        <row r="9028">
          <cell r="B9028">
            <v>79186</v>
          </cell>
          <cell r="C9028" t="str">
            <v>PARAGUACU I FI RF PREVIDENCIARIO CP</v>
          </cell>
          <cell r="D9028" t="str">
            <v>PARAGUACU I FI RF PREVIDENCIARIO CP</v>
          </cell>
          <cell r="E9028" t="str">
            <v>MERCATTO GESTAO DE RECURSOS LTDA</v>
          </cell>
        </row>
        <row r="9029">
          <cell r="B9029">
            <v>957763</v>
          </cell>
          <cell r="C9029" t="str">
            <v>BRASIL PLURAL CCTVM ( ANTIGA FLOW CCTVM S/A)</v>
          </cell>
          <cell r="D9029" t="str">
            <v>BRASIL PLURAL CCTVM ( ANTIGA FLOW CCTVM S/A)</v>
          </cell>
          <cell r="E9029" t="str">
            <v>PLURAL GESTÃO DE RECURSOS LTDA</v>
          </cell>
        </row>
        <row r="9030">
          <cell r="B9030">
            <v>125393</v>
          </cell>
          <cell r="C9030" t="str">
            <v>OCCAM EQUITY HEDGE FIF MM RL</v>
          </cell>
          <cell r="D9030" t="str">
            <v>OCCAM EQUITY HEDGE FIF MM RL</v>
          </cell>
          <cell r="E9030" t="str">
            <v>OCCAM BRASIL GESTAO DE RECURSOS LTDA</v>
          </cell>
        </row>
        <row r="9031">
          <cell r="B9031">
            <v>79189</v>
          </cell>
          <cell r="C9031" t="str">
            <v>ING BANK NV (MATRIZ)</v>
          </cell>
          <cell r="D9031" t="str">
            <v>ING BANK NV (MATRIZ)</v>
          </cell>
          <cell r="E9031" t="str">
            <v>ING BANK NV (MATRIZ)</v>
          </cell>
        </row>
        <row r="9032">
          <cell r="B9032">
            <v>79190</v>
          </cell>
          <cell r="C9032" t="str">
            <v>MERCATTO DIFERENCIAL MULTIMERCADO FI LP</v>
          </cell>
          <cell r="D9032" t="str">
            <v>MERCATTO DIFERENCIAL MULTIMERCADO FI LP</v>
          </cell>
          <cell r="E9032" t="str">
            <v>MERCATTO DIFERENCIAL MULTIMERCADO FI LP</v>
          </cell>
        </row>
        <row r="9033">
          <cell r="B9033">
            <v>79191</v>
          </cell>
          <cell r="C9033" t="str">
            <v>MERCATTO ESTRATEGIA FIA</v>
          </cell>
          <cell r="D9033" t="str">
            <v>MERCATTO ESTRATEGIA FIA</v>
          </cell>
          <cell r="E9033" t="str">
            <v>MERCATTO GESTAO DE RECURSOS LTDA</v>
          </cell>
        </row>
        <row r="9034">
          <cell r="B9034">
            <v>79192</v>
          </cell>
          <cell r="C9034" t="str">
            <v>MERCATTO ATALAIA CREDITO PRIVADO MULTIMERCADO FI</v>
          </cell>
          <cell r="D9034" t="str">
            <v>MERCATTO ATALAIA CREDITO PRIVADO MULTIMERCADO FI</v>
          </cell>
          <cell r="E9034" t="str">
            <v>MERCATTO GESTAO DE RECURSOS LTDA</v>
          </cell>
        </row>
        <row r="9035">
          <cell r="B9035">
            <v>79193</v>
          </cell>
          <cell r="C9035" t="str">
            <v>MERCATTO ABACO FIA</v>
          </cell>
          <cell r="D9035" t="str">
            <v>MERCATTO ABACO FIA</v>
          </cell>
          <cell r="E9035" t="str">
            <v>MERCATTO GESTAO DE RECURSOS LTDA</v>
          </cell>
        </row>
        <row r="9036">
          <cell r="B9036">
            <v>79194</v>
          </cell>
          <cell r="C9036" t="str">
            <v>MERCATTO PAJUÃ‡ARA FIC DE FIM</v>
          </cell>
          <cell r="D9036" t="str">
            <v>MERCATTO PAJUÃ‡ARA FIC DE FIM</v>
          </cell>
          <cell r="E9036" t="str">
            <v>MERCATTO GESTAO DE RECURSOS LTDA</v>
          </cell>
        </row>
        <row r="9037">
          <cell r="B9037">
            <v>79195</v>
          </cell>
          <cell r="C9037" t="str">
            <v>MERCATTO R2 FIA</v>
          </cell>
          <cell r="D9037" t="str">
            <v>MERCATTO R2 FIA</v>
          </cell>
          <cell r="E9037" t="str">
            <v>MERCATTO GESTAO DE RECURSOS LTDA</v>
          </cell>
        </row>
        <row r="9038">
          <cell r="B9038">
            <v>79196</v>
          </cell>
          <cell r="C9038" t="str">
            <v>BOZANO RENDIMENTO RENDA FIXA FI LONGO PRAZO</v>
          </cell>
          <cell r="D9038" t="str">
            <v>BOZANO RENDIMENTO RENDA FIXA FI LONGO PRAZO</v>
          </cell>
          <cell r="E9038" t="str">
            <v>MERCATTO GESTAO DE RECURSOS LTDA</v>
          </cell>
        </row>
        <row r="9039">
          <cell r="B9039">
            <v>79197</v>
          </cell>
          <cell r="C9039" t="str">
            <v>BOZANO FUNDAMENTAL FIA</v>
          </cell>
          <cell r="D9039" t="str">
            <v>BOZANO FUNDAMENTAL FIA</v>
          </cell>
          <cell r="E9039" t="str">
            <v>MERCATTO GESTAO DE RECURSOS LTDA</v>
          </cell>
        </row>
        <row r="9040">
          <cell r="B9040">
            <v>79198</v>
          </cell>
          <cell r="C9040" t="str">
            <v>BOZANO DIFERENCIAL 30 FIC DE FIM</v>
          </cell>
          <cell r="D9040" t="str">
            <v>BOZANO DIFERENCIAL 30 FIC DE FIM</v>
          </cell>
          <cell r="E9040" t="str">
            <v>MERCATTO GESTAO DE RECURSOS LTDA</v>
          </cell>
        </row>
        <row r="9041">
          <cell r="B9041">
            <v>79199</v>
          </cell>
          <cell r="C9041" t="str">
            <v>BOZANO TI FIC DE FIM</v>
          </cell>
          <cell r="D9041" t="str">
            <v>BOZANO TI FIC DE FIM</v>
          </cell>
          <cell r="E9041" t="str">
            <v>MERCATTO GESTAO DE RECURSOS LTDA</v>
          </cell>
        </row>
        <row r="9042">
          <cell r="B9042">
            <v>79200</v>
          </cell>
          <cell r="C9042" t="str">
            <v>BOZANO TOP CP RF FI LONGO PRAZO</v>
          </cell>
          <cell r="D9042" t="str">
            <v>BOZANO TOP CP RF FI LONGO PRAZO</v>
          </cell>
          <cell r="E9042" t="str">
            <v>MERCATTO GESTAO DE RECURSOS LTDA</v>
          </cell>
        </row>
        <row r="9043">
          <cell r="B9043">
            <v>79201</v>
          </cell>
          <cell r="C9043" t="str">
            <v>NOTA FIM PREVIDENCIARIO</v>
          </cell>
          <cell r="D9043" t="str">
            <v>NOTA FIM PREVIDENCIARIO</v>
          </cell>
          <cell r="E9043" t="str">
            <v>MERCATTO GESTAO DE RECURSOS LTDA</v>
          </cell>
        </row>
        <row r="9044">
          <cell r="B9044">
            <v>79202</v>
          </cell>
          <cell r="C9044" t="str">
            <v>BOZANO DIFERENCIAL INSTITUCIONAL MULTIMERCADO FI LP</v>
          </cell>
          <cell r="D9044" t="str">
            <v>BOZANO DIFERENCIAL INSTITUCIONAL MULTIMERCADO FI LP</v>
          </cell>
          <cell r="E9044" t="str">
            <v>MERCATTO GESTAO DE RECURSOS LTDA</v>
          </cell>
        </row>
        <row r="9045">
          <cell r="B9045">
            <v>79203</v>
          </cell>
          <cell r="C9045" t="str">
            <v>MERCATTO OABPREV-RJ MULTIMERCADO PREVIDENCIARIO FI</v>
          </cell>
          <cell r="D9045" t="str">
            <v>MERCATTO OABPREV-RJ MULTIMERCADO PREVIDENCIARIO FI</v>
          </cell>
          <cell r="E9045" t="str">
            <v>MERCATTO GESTAO DE RECURSOS LTDA</v>
          </cell>
        </row>
        <row r="9046">
          <cell r="B9046">
            <v>79204</v>
          </cell>
          <cell r="C9046" t="str">
            <v>CELI LEGACY BRDR FUNDO DE INVESTIMENTO EM ACOES IE</v>
          </cell>
          <cell r="D9046" t="str">
            <v>CELI LEGACY BRDR FUNDO DE INVESTIMENTO EM ACOES IE</v>
          </cell>
          <cell r="E9046" t="str">
            <v>MERCATTO GESTAO DE RECURSOS LTDA</v>
          </cell>
        </row>
        <row r="9047">
          <cell r="B9047">
            <v>79205</v>
          </cell>
          <cell r="C9047" t="str">
            <v>MERCATTO ITAIPAVA CP MULTIMERCADO FIM</v>
          </cell>
          <cell r="D9047" t="str">
            <v>MERCATTO ITAIPAVA CP MULTIMERCADO FIM</v>
          </cell>
          <cell r="E9047" t="str">
            <v>MERCATTO GESTAO DE RECURSOS LTDA</v>
          </cell>
        </row>
        <row r="9048">
          <cell r="B9048">
            <v>79206</v>
          </cell>
          <cell r="C9048" t="str">
            <v>BOZANO FAROL FIM LONGO PRAZO</v>
          </cell>
          <cell r="D9048" t="str">
            <v>BOZANO FAROL FIM LONGO PRAZO</v>
          </cell>
          <cell r="E9048" t="str">
            <v>MERCATTO GESTAO DE RECURSOS LTDA</v>
          </cell>
        </row>
        <row r="9049">
          <cell r="B9049">
            <v>79207</v>
          </cell>
          <cell r="C9049" t="str">
            <v>FIM MULTICARTEIRA BARRACUDA</v>
          </cell>
          <cell r="D9049" t="str">
            <v>FIM MULTICARTEIRA BARRACUDA</v>
          </cell>
          <cell r="E9049" t="str">
            <v>MERCATTO GESTAO DE RECURSOS LTDA</v>
          </cell>
        </row>
        <row r="9050">
          <cell r="B9050">
            <v>922121</v>
          </cell>
          <cell r="C9050" t="str">
            <v>BRASIL PLURAL CCTVM ( ANTIGA FLOW CCTVM S/A)</v>
          </cell>
          <cell r="D9050" t="str">
            <v>A922121</v>
          </cell>
          <cell r="E9050" t="str">
            <v>PLURAL GESTÃO DE RECURSOS LTDA</v>
          </cell>
        </row>
        <row r="9051">
          <cell r="B9051">
            <v>79209</v>
          </cell>
          <cell r="C9051" t="str">
            <v>FIM CP IE BRADESCO BIT ( ANTIGO FIM IE TELLUS)</v>
          </cell>
          <cell r="D9051" t="str">
            <v>FIM CP IE BRADESCO BIT ( ANTIGO FIM IE TELLUS)</v>
          </cell>
          <cell r="E9051" t="str">
            <v>FIM CP IE BRADESCO BIT ( ANTIGO FIM IE TELLUS)</v>
          </cell>
        </row>
        <row r="9052">
          <cell r="B9052">
            <v>79210</v>
          </cell>
          <cell r="C9052" t="str">
            <v>BOZANO ACAJU FIM PREVIDENCIARIO</v>
          </cell>
          <cell r="D9052" t="str">
            <v>BOZANO ACAJU FIM PREVIDENCIARIO</v>
          </cell>
          <cell r="E9052" t="str">
            <v>MERCATTO GESTAO DE RECURSOS LTDA</v>
          </cell>
        </row>
        <row r="9053">
          <cell r="B9053">
            <v>123849</v>
          </cell>
          <cell r="C9053" t="str">
            <v>PREVICAT FIA</v>
          </cell>
          <cell r="D9053" t="str">
            <v>PREVICAT FIA</v>
          </cell>
          <cell r="E9053" t="str">
            <v>PLURAL GESTÃO DE RECURSOS LTDA</v>
          </cell>
        </row>
        <row r="9054">
          <cell r="B9054">
            <v>12303</v>
          </cell>
          <cell r="C9054" t="str">
            <v>CAPITANIA S/A</v>
          </cell>
          <cell r="D9054" t="str">
            <v>CAPITANIA S/A</v>
          </cell>
          <cell r="E9054" t="str">
            <v>CAPITÂNIA INVEST S/A</v>
          </cell>
        </row>
        <row r="9055">
          <cell r="B9055">
            <v>123131</v>
          </cell>
          <cell r="C9055" t="str">
            <v>CAPITANIA TREASURY MASTER FIM</v>
          </cell>
          <cell r="D9055" t="str">
            <v>CAPITANIA TREASURY MASTER FIM</v>
          </cell>
          <cell r="E9055" t="str">
            <v>CAPITÂNIA INVEST S/A</v>
          </cell>
        </row>
        <row r="9056">
          <cell r="B9056">
            <v>14443</v>
          </cell>
          <cell r="C9056" t="str">
            <v>CAPITANIA S/A</v>
          </cell>
          <cell r="D9056" t="str">
            <v>CAPITANIA S/A</v>
          </cell>
          <cell r="E9056" t="str">
            <v>CAPITÂNIA INVEST S/A</v>
          </cell>
        </row>
        <row r="9057">
          <cell r="B9057">
            <v>79230</v>
          </cell>
          <cell r="C9057" t="str">
            <v>CAPITANIA INCOME FIRF CP</v>
          </cell>
          <cell r="D9057" t="str">
            <v>CAPITANIA INCOME FIRF CP</v>
          </cell>
          <cell r="E9057" t="str">
            <v>CAPITÂNIA INVEST S/A</v>
          </cell>
        </row>
        <row r="9058">
          <cell r="B9058">
            <v>79234</v>
          </cell>
          <cell r="C9058" t="str">
            <v>JGP GESTAO DE RECURSOS LTDA</v>
          </cell>
          <cell r="D9058" t="str">
            <v>JGP GESTAO DE RECURSOS LTDA</v>
          </cell>
          <cell r="E9058" t="str">
            <v>JGP GESTAO PATRIMONIAL LTDA</v>
          </cell>
        </row>
        <row r="9059">
          <cell r="B9059">
            <v>79235</v>
          </cell>
          <cell r="C9059" t="str">
            <v>MERCATTO PAJEU II MULTIMERCADO PREVIDENCIARIO FI</v>
          </cell>
          <cell r="D9059" t="str">
            <v>MERCATTO PAJEU II MULTIMERCADO PREVIDENCIARIO FI</v>
          </cell>
          <cell r="E9059" t="str">
            <v>MERCATTO GESTAO DE RECURSOS LTDA</v>
          </cell>
        </row>
        <row r="9060">
          <cell r="B9060">
            <v>79236</v>
          </cell>
          <cell r="C9060" t="str">
            <v>CARTEIRA ACD</v>
          </cell>
          <cell r="D9060" t="str">
            <v>CARTEIRA ACD</v>
          </cell>
          <cell r="E9060" t="str">
            <v>CARTEIRA ACD</v>
          </cell>
        </row>
        <row r="9061">
          <cell r="B9061">
            <v>79237</v>
          </cell>
          <cell r="C9061" t="str">
            <v>MASTER FIM CREDITO PRIVADO</v>
          </cell>
          <cell r="D9061" t="str">
            <v>MASTER FIM CREDITO PRIVADO</v>
          </cell>
          <cell r="E9061" t="str">
            <v>MASTER FIM CREDITO PRIVADO</v>
          </cell>
        </row>
        <row r="9062">
          <cell r="B9062">
            <v>79238</v>
          </cell>
          <cell r="C9062" t="str">
            <v>ROMA JURO REAL FIM CP</v>
          </cell>
          <cell r="D9062" t="str">
            <v>ROMA JURO REAL FIM CP</v>
          </cell>
          <cell r="E9062" t="str">
            <v>ROMA JURO REAL FIM CP</v>
          </cell>
        </row>
        <row r="9063">
          <cell r="B9063">
            <v>79239</v>
          </cell>
          <cell r="C9063" t="str">
            <v>ICATU VANGUARDA FI RF DAS PREVISOES TECNICAS DOS CONS SEGURO</v>
          </cell>
          <cell r="D9063" t="str">
            <v>ICATU VANGUARDA FI RF DAS PREVISOES TECNICAS DOS CONS SEGURO</v>
          </cell>
          <cell r="E9063" t="str">
            <v>ICATU VANGUARDA GESTAO DE RECURSOS LTDA</v>
          </cell>
        </row>
        <row r="9064">
          <cell r="B9064">
            <v>80966</v>
          </cell>
          <cell r="C9064" t="str">
            <v>XP MACRO PLUS FUNDO DE INVESTIMENTO MULTIMERCADO</v>
          </cell>
          <cell r="D9064" t="str">
            <v>XP MACRO PLUS FUNDO DE INVESTIMENTO MULTIMERCADO</v>
          </cell>
          <cell r="E9064" t="str">
            <v>XP GESTAO DE RECURSOS LTDA</v>
          </cell>
        </row>
        <row r="9065">
          <cell r="B9065">
            <v>79241</v>
          </cell>
          <cell r="C9065" t="str">
            <v>MERRILL LYNCH CAPITAL SERVICES INC</v>
          </cell>
          <cell r="D9065" t="str">
            <v>MERRILL LYNCH CAPITAL SERVICES INC</v>
          </cell>
          <cell r="E9065" t="str">
            <v>BANK OF AMERICA MERRILL LYNCH BANCO MULTIPLO S/A</v>
          </cell>
        </row>
        <row r="9066">
          <cell r="B9066">
            <v>79242</v>
          </cell>
          <cell r="C9066" t="str">
            <v>FLAG MASTER FIM</v>
          </cell>
          <cell r="D9066" t="str">
            <v>FLAG MASTER FIM</v>
          </cell>
          <cell r="E9066" t="str">
            <v>FLAG MASTER FIM</v>
          </cell>
        </row>
        <row r="9067">
          <cell r="B9067">
            <v>79243</v>
          </cell>
          <cell r="C9067" t="str">
            <v>BANCO MASTER S/A</v>
          </cell>
          <cell r="D9067" t="str">
            <v>BANCO MASTER S/A</v>
          </cell>
          <cell r="E9067" t="str">
            <v>BANCO MASTER S/A</v>
          </cell>
        </row>
        <row r="9068">
          <cell r="B9068">
            <v>79244</v>
          </cell>
          <cell r="C9068" t="str">
            <v>MAXIMA ADVANCED FIM</v>
          </cell>
          <cell r="D9068" t="str">
            <v>MAXIMA ADVANCED FIM</v>
          </cell>
          <cell r="E9068" t="str">
            <v>MAXIMA ADVANCED FIM</v>
          </cell>
        </row>
        <row r="9069">
          <cell r="B9069">
            <v>79245</v>
          </cell>
          <cell r="C9069" t="str">
            <v>TEMPO CAPITAL PRINCIPAL FIA</v>
          </cell>
          <cell r="D9069" t="str">
            <v>TEMPO CAPITAL PRINCIPAL FIA</v>
          </cell>
          <cell r="E9069" t="str">
            <v>TEMPO CAPITAL PRINCIPAL FIA</v>
          </cell>
        </row>
        <row r="9070">
          <cell r="B9070">
            <v>79246</v>
          </cell>
          <cell r="C9070" t="str">
            <v>REDFLOWER FIM CP</v>
          </cell>
          <cell r="D9070" t="str">
            <v>REDFLOWER FIM CP</v>
          </cell>
          <cell r="E9070" t="str">
            <v>REDFLOWER FIM CP</v>
          </cell>
        </row>
        <row r="9071">
          <cell r="B9071">
            <v>79247</v>
          </cell>
          <cell r="C9071" t="str">
            <v>ALTIS FIM CP</v>
          </cell>
          <cell r="D9071" t="str">
            <v>ALTIS FIM CP</v>
          </cell>
          <cell r="E9071" t="str">
            <v>ALTIS FIM CP</v>
          </cell>
        </row>
        <row r="9072">
          <cell r="B9072">
            <v>79248</v>
          </cell>
          <cell r="C9072" t="str">
            <v>BARONEZA II FIM CP</v>
          </cell>
          <cell r="D9072" t="str">
            <v>BARONEZA II FIM CP</v>
          </cell>
          <cell r="E9072" t="str">
            <v>BARONEZA II FIM CP</v>
          </cell>
        </row>
        <row r="9073">
          <cell r="B9073">
            <v>79249</v>
          </cell>
          <cell r="C9073" t="str">
            <v>RIO DA BARRA FIM IE CP</v>
          </cell>
          <cell r="D9073" t="str">
            <v>RIO DA BARRA FIM IE CP</v>
          </cell>
          <cell r="E9073" t="str">
            <v>RIO DA BARRA FIM IE CP</v>
          </cell>
        </row>
        <row r="9074">
          <cell r="B9074">
            <v>79250</v>
          </cell>
          <cell r="C9074" t="str">
            <v>PANDA FIM EXCLUSIVO</v>
          </cell>
          <cell r="D9074" t="str">
            <v>PANDA FIM EXCLUSIVO</v>
          </cell>
          <cell r="E9074" t="str">
            <v>LACAN INVESTIMENTOS E PARTICIPACOES LTDA</v>
          </cell>
        </row>
        <row r="9075">
          <cell r="B9075">
            <v>79251</v>
          </cell>
          <cell r="C9075" t="str">
            <v>KLON FIA</v>
          </cell>
          <cell r="D9075" t="str">
            <v>KLON FIA</v>
          </cell>
          <cell r="E9075" t="str">
            <v>LACAN INVESTIMENTOS E PARTICIPACOES LTDA</v>
          </cell>
        </row>
        <row r="9076">
          <cell r="B9076">
            <v>79252</v>
          </cell>
          <cell r="C9076" t="str">
            <v>LACAN VALOR FIA</v>
          </cell>
          <cell r="D9076" t="str">
            <v>LACAN VALOR FIA</v>
          </cell>
          <cell r="E9076" t="str">
            <v>LACAN INVESTIMENTOS E PARTICIPACOES LTDA</v>
          </cell>
        </row>
        <row r="9077">
          <cell r="B9077">
            <v>79253</v>
          </cell>
          <cell r="C9077" t="str">
            <v>KEPLER FIM CP IE</v>
          </cell>
          <cell r="D9077" t="str">
            <v>KEPLER FIM CP IE</v>
          </cell>
          <cell r="E9077" t="str">
            <v>KEPLER FIM CP IE</v>
          </cell>
        </row>
        <row r="9078">
          <cell r="B9078">
            <v>79174</v>
          </cell>
          <cell r="C9078" t="str">
            <v>FIM CP PROPRIETARIO 10</v>
          </cell>
          <cell r="D9078" t="str">
            <v>FIM CP PROPRIETARIO 10</v>
          </cell>
          <cell r="E9078" t="str">
            <v>PLURAL GESTÃO DE RECURSOS LTDA</v>
          </cell>
        </row>
        <row r="9079">
          <cell r="B9079">
            <v>79255</v>
          </cell>
          <cell r="C9079" t="str">
            <v>HOYA CORRETORA DE VALORES E CAMBIO LTDA</v>
          </cell>
          <cell r="D9079" t="str">
            <v>HOYA CORRETORA DE VALORES E CAMBIO LTDA</v>
          </cell>
          <cell r="E9079" t="str">
            <v>HOYA CORRETORA DE VALORES E CAMBIO LTDA</v>
          </cell>
        </row>
        <row r="9080">
          <cell r="B9080">
            <v>79587</v>
          </cell>
          <cell r="C9080" t="str">
            <v>GOLDMAN SACHS INTERNATIONAL - ITAU</v>
          </cell>
          <cell r="D9080" t="str">
            <v>GOLDMAN SACHS INTERNATIONAL - ITAU</v>
          </cell>
          <cell r="E9080" t="str">
            <v>GOLDMAN SACHS DO BRASIL BANCO MULTIPLO S/A</v>
          </cell>
        </row>
        <row r="9081">
          <cell r="B9081">
            <v>79257</v>
          </cell>
          <cell r="C9081" t="str">
            <v>GDX CAMBRIDGE MASTER FIM</v>
          </cell>
          <cell r="D9081" t="str">
            <v>GDX CAMBRIDGE MASTER FIM</v>
          </cell>
          <cell r="E9081" t="str">
            <v>GDX CAMBRIDGE MASTER FIM</v>
          </cell>
        </row>
        <row r="9082">
          <cell r="B9082">
            <v>79258</v>
          </cell>
          <cell r="C9082" t="str">
            <v>ITAU UNIBANCO S.A.</v>
          </cell>
          <cell r="D9082" t="str">
            <v>ITAU UNIBANCO S.A.</v>
          </cell>
          <cell r="E9082" t="str">
            <v>ITAU UNIBANCO S/A</v>
          </cell>
        </row>
        <row r="9083">
          <cell r="B9083">
            <v>79259</v>
          </cell>
          <cell r="C9083" t="str">
            <v>RINZEN  FIM CP IE</v>
          </cell>
          <cell r="D9083" t="str">
            <v>RINZEN  FIM CP IE</v>
          </cell>
          <cell r="E9083" t="str">
            <v>RINZEN  FIM CP IE</v>
          </cell>
        </row>
        <row r="9084">
          <cell r="B9084">
            <v>79260</v>
          </cell>
          <cell r="C9084" t="str">
            <v>TOPAZIO FIM CP IE</v>
          </cell>
          <cell r="D9084" t="str">
            <v>TOPAZIO FIM CP IE</v>
          </cell>
          <cell r="E9084" t="str">
            <v>BANCO TOPAZIO S/A</v>
          </cell>
        </row>
        <row r="9085">
          <cell r="B9085">
            <v>79261</v>
          </cell>
          <cell r="C9085" t="str">
            <v>FREIBURG FIM CP IE</v>
          </cell>
          <cell r="D9085" t="str">
            <v>FREIBURG FIM CP IE</v>
          </cell>
          <cell r="E9085" t="str">
            <v>FREIBURG FIM CP IE</v>
          </cell>
        </row>
        <row r="9086">
          <cell r="B9086">
            <v>79262</v>
          </cell>
          <cell r="C9086" t="str">
            <v>LUCRO 2 FIM CP IE</v>
          </cell>
          <cell r="D9086" t="str">
            <v>LUCRO 2 FIM CP IE</v>
          </cell>
          <cell r="E9086" t="str">
            <v>CONSENSO INVESTIMENTOS LTDA</v>
          </cell>
        </row>
        <row r="9087">
          <cell r="B9087">
            <v>79263</v>
          </cell>
          <cell r="C9087" t="str">
            <v>MOGNO FIM CP IE</v>
          </cell>
          <cell r="D9087" t="str">
            <v>MOGNO FIM CP IE</v>
          </cell>
          <cell r="E9087" t="str">
            <v>MOGNO FIM CP IE</v>
          </cell>
        </row>
        <row r="9088">
          <cell r="B9088">
            <v>79264</v>
          </cell>
          <cell r="C9088" t="str">
            <v>DESAFIO FIM CP IE</v>
          </cell>
          <cell r="D9088" t="str">
            <v>DESAFIO FIM CP IE</v>
          </cell>
          <cell r="E9088" t="str">
            <v>DESAFIO FIM CP IE</v>
          </cell>
        </row>
        <row r="9089">
          <cell r="B9089">
            <v>79265</v>
          </cell>
          <cell r="C9089" t="str">
            <v>CANELA FIM CP IE</v>
          </cell>
          <cell r="D9089" t="str">
            <v>CANELA FIM CP IE</v>
          </cell>
          <cell r="E9089" t="str">
            <v>CANELA FIM CP IE</v>
          </cell>
        </row>
        <row r="9090">
          <cell r="B9090">
            <v>79266</v>
          </cell>
          <cell r="C9090" t="str">
            <v>CP 177 FIM CP IE</v>
          </cell>
          <cell r="D9090" t="str">
            <v>CP 177 FIM CP IE</v>
          </cell>
          <cell r="E9090" t="str">
            <v>CP 177 FIM CP IE</v>
          </cell>
        </row>
        <row r="9091">
          <cell r="B9091">
            <v>79267</v>
          </cell>
          <cell r="C9091" t="str">
            <v>SPX EQUITIES GESTAO DE RECURSOS LTDA</v>
          </cell>
          <cell r="D9091" t="str">
            <v>SPX EQUITIES GESTAO DE RECURSOS LTDA</v>
          </cell>
          <cell r="E9091" t="str">
            <v>SPX GESTAO DE RECURSOS LTDA</v>
          </cell>
        </row>
        <row r="9092">
          <cell r="B9092">
            <v>79268</v>
          </cell>
          <cell r="C9092" t="str">
            <v>ATICO RENDA FIXA INSTITUCIONAL FI IMA-B 5</v>
          </cell>
          <cell r="D9092" t="str">
            <v>ATICO RENDA FIXA INSTITUCIONAL FI IMA-B 5</v>
          </cell>
          <cell r="E9092" t="str">
            <v>ATICO RENDA FIXA INSTITUCIONAL FI IMA-B 5</v>
          </cell>
        </row>
        <row r="9093">
          <cell r="B9093">
            <v>79269</v>
          </cell>
          <cell r="C9093" t="str">
            <v>JP MORGAN WHITEFRIARS LLC</v>
          </cell>
          <cell r="D9093" t="str">
            <v>JP MORGAN WHITEFRIARS LLC</v>
          </cell>
          <cell r="E9093" t="str">
            <v>JP MORGAN WHITEFRIARS LLC</v>
          </cell>
        </row>
        <row r="9094">
          <cell r="B9094">
            <v>79270</v>
          </cell>
          <cell r="C9094" t="str">
            <v>BEHAVIOR MASTER FIM</v>
          </cell>
          <cell r="D9094" t="str">
            <v>BEHAVIOR MASTER FIM</v>
          </cell>
          <cell r="E9094" t="str">
            <v>BEHAVIOR GESTAO DE CAPITAL LTDA</v>
          </cell>
        </row>
        <row r="9095">
          <cell r="B9095">
            <v>79271</v>
          </cell>
          <cell r="C9095" t="str">
            <v>BEHAVIOR IBOVESPA PLUS FIA</v>
          </cell>
          <cell r="D9095" t="str">
            <v>BEHAVIOR IBOVESPA PLUS FIA</v>
          </cell>
          <cell r="E9095" t="str">
            <v>BEHAVIOR GESTAO DE CAPITAL LTDA</v>
          </cell>
        </row>
        <row r="9096">
          <cell r="B9096">
            <v>79272</v>
          </cell>
          <cell r="C9096" t="str">
            <v>BEHAVIOR FIA</v>
          </cell>
          <cell r="D9096" t="str">
            <v>BEHAVIOR FIA</v>
          </cell>
          <cell r="E9096" t="str">
            <v>BEHAVIOR GESTAO DE CAPITAL LTDA</v>
          </cell>
        </row>
        <row r="9097">
          <cell r="B9097">
            <v>79273</v>
          </cell>
          <cell r="C9097" t="str">
            <v>BARCLAYS BANK PLC (NOVO)</v>
          </cell>
          <cell r="D9097" t="str">
            <v>BARCLAYS BANK PLC (NOVO)</v>
          </cell>
          <cell r="E9097" t="str">
            <v>BARCLAYS BANK PLC</v>
          </cell>
        </row>
        <row r="9098">
          <cell r="B9098">
            <v>79274</v>
          </cell>
          <cell r="C9098" t="str">
            <v>RAMP + 8 FIM CP IE</v>
          </cell>
          <cell r="D9098" t="str">
            <v>RAMP + 8 FIM CP IE</v>
          </cell>
          <cell r="E9098" t="str">
            <v>RAMP + 8 FIM CP IE</v>
          </cell>
        </row>
        <row r="9099">
          <cell r="B9099">
            <v>79275</v>
          </cell>
          <cell r="C9099" t="str">
            <v>IPE FIM CP IE</v>
          </cell>
          <cell r="D9099" t="str">
            <v>IPE FIM CP IE</v>
          </cell>
          <cell r="E9099" t="str">
            <v>IPE FIM CP IE</v>
          </cell>
        </row>
        <row r="9100">
          <cell r="B9100">
            <v>79276</v>
          </cell>
          <cell r="C9100" t="str">
            <v>IMBUIA FIM CP IE</v>
          </cell>
          <cell r="D9100" t="str">
            <v>IMBUIA FIM CP IE</v>
          </cell>
          <cell r="E9100" t="str">
            <v>IMBUIA FIM CP IE</v>
          </cell>
        </row>
        <row r="9101">
          <cell r="B9101">
            <v>79277</v>
          </cell>
          <cell r="C9101" t="str">
            <v>AGATHON FIC DE FIM CP IE</v>
          </cell>
          <cell r="D9101" t="str">
            <v>AGATHON FIC DE FIM CP IE</v>
          </cell>
          <cell r="E9101" t="str">
            <v>CONSENSO INVESTIMENTOS LTDA</v>
          </cell>
        </row>
        <row r="9102">
          <cell r="B9102">
            <v>79278</v>
          </cell>
          <cell r="C9102" t="str">
            <v>JACARANDA FIC DE FIM</v>
          </cell>
          <cell r="D9102" t="str">
            <v>JACARANDA FIC DE FIM</v>
          </cell>
          <cell r="E9102" t="str">
            <v>JACARANDA FIC DE FIM</v>
          </cell>
        </row>
        <row r="9103">
          <cell r="B9103">
            <v>79279</v>
          </cell>
          <cell r="C9103" t="str">
            <v>MONGERAL AEGON INSTITUCIONAL FIM</v>
          </cell>
          <cell r="D9103" t="str">
            <v>MONGERAL AEGON INSTITUCIONAL FIM</v>
          </cell>
          <cell r="E9103" t="str">
            <v>MONGERAL AEGON INVESTIMENTOS LTDA</v>
          </cell>
        </row>
        <row r="9104">
          <cell r="B9104">
            <v>79280</v>
          </cell>
          <cell r="C9104" t="str">
            <v>MONGERAL AEGON PREVIDENCIA SUSTENTAVEL RV 45 FIM</v>
          </cell>
          <cell r="D9104" t="str">
            <v>MONGERAL AEGON PREVIDENCIA SUSTENTAVEL RV 45 FIM</v>
          </cell>
          <cell r="E9104" t="str">
            <v>MONGERAL AEGON INVESTIMENTOS LTDA</v>
          </cell>
        </row>
        <row r="9105">
          <cell r="B9105">
            <v>79281</v>
          </cell>
          <cell r="C9105" t="str">
            <v>MONGERAL AEGON INFLACAO INSTITUCIONAL FI RF</v>
          </cell>
          <cell r="D9105" t="str">
            <v>MONGERAL AEGON INFLACAO INSTITUCIONAL FI RF</v>
          </cell>
          <cell r="E9105" t="str">
            <v>MONGERAL AEGON INVESTIMENTOS LTDA</v>
          </cell>
        </row>
        <row r="9106">
          <cell r="B9106">
            <v>79282</v>
          </cell>
          <cell r="C9106" t="str">
            <v>MONGERAL AEGON RF PRIVATE TOP PREV FI</v>
          </cell>
          <cell r="D9106" t="str">
            <v>MONGERAL AEGON RF PRIVATE TOP PREV FI</v>
          </cell>
          <cell r="E9106" t="str">
            <v>MONGERAL AEGON INVESTIMENTOS LTDA</v>
          </cell>
        </row>
        <row r="9107">
          <cell r="B9107">
            <v>79283</v>
          </cell>
          <cell r="C9107" t="str">
            <v>MONGERAL AEGON RF PRIVATE PREVIDENCIA IPCA FI</v>
          </cell>
          <cell r="D9107" t="str">
            <v>MONGERAL AEGON RF PRIVATE PREVIDENCIA IPCA FI</v>
          </cell>
          <cell r="E9107" t="str">
            <v>MONGERAL AEGON INVESTIMENTOS LTDA</v>
          </cell>
        </row>
        <row r="9108">
          <cell r="B9108">
            <v>79177</v>
          </cell>
          <cell r="C9108" t="str">
            <v>FIA MERO 2</v>
          </cell>
          <cell r="D9108" t="str">
            <v>FIA MERO 2</v>
          </cell>
          <cell r="E9108" t="str">
            <v>PLURAL GESTÃO DE RECURSOS LTDA</v>
          </cell>
        </row>
        <row r="9109">
          <cell r="B9109">
            <v>80736</v>
          </cell>
          <cell r="C9109" t="str">
            <v>OCCAM BRASIL GESTAO DE RECURSOS LTDA</v>
          </cell>
          <cell r="D9109" t="str">
            <v>OCCAM BRASIL GESTAO DE RECURSOS LTDA</v>
          </cell>
          <cell r="E9109" t="str">
            <v>OCCAM BRASIL GESTAO DE RECURSOS LTDA</v>
          </cell>
        </row>
        <row r="9110">
          <cell r="B9110">
            <v>79286</v>
          </cell>
          <cell r="C9110" t="str">
            <v>ATICO LONG BIASED FI COTAS FIA</v>
          </cell>
          <cell r="D9110" t="str">
            <v>ATICO LONG BIASED FI COTAS FIA</v>
          </cell>
          <cell r="E9110" t="str">
            <v>ATICO ADMINISTRACAO DE RECURSOS LTDA</v>
          </cell>
        </row>
        <row r="9111">
          <cell r="B9111">
            <v>79287</v>
          </cell>
          <cell r="C9111" t="str">
            <v>ATICO VALUE INSTITUCIONAL FIA</v>
          </cell>
          <cell r="D9111" t="str">
            <v>ATICO VALUE INSTITUCIONAL FIA</v>
          </cell>
          <cell r="E9111" t="str">
            <v>ATICO ADMINISTRACAO DE RECURSOS LTDA</v>
          </cell>
        </row>
        <row r="9112">
          <cell r="B9112">
            <v>79288</v>
          </cell>
          <cell r="C9112" t="str">
            <v>BANCO AGIPLAN S.A</v>
          </cell>
          <cell r="D9112" t="str">
            <v>BANCO AGIPLAN S.A</v>
          </cell>
          <cell r="E9112" t="str">
            <v>BANCO AGIBANK S/A</v>
          </cell>
        </row>
        <row r="9113">
          <cell r="B9113">
            <v>79289</v>
          </cell>
          <cell r="C9113" t="str">
            <v>SONIC FIM CP IE</v>
          </cell>
          <cell r="D9113" t="str">
            <v>SONIC FIM CP IE</v>
          </cell>
          <cell r="E9113" t="str">
            <v>SONIC FIM CP IE</v>
          </cell>
        </row>
        <row r="9114">
          <cell r="B9114">
            <v>79290</v>
          </cell>
          <cell r="C9114" t="str">
            <v>KADIMA HIGH VOL FIM</v>
          </cell>
          <cell r="D9114" t="str">
            <v>KADIMA HIGH VOL FIM</v>
          </cell>
          <cell r="E9114" t="str">
            <v>KADIMA GESTAO DE INVESTIMENTOS LTDA</v>
          </cell>
        </row>
        <row r="9115">
          <cell r="B9115">
            <v>79291</v>
          </cell>
          <cell r="C9115" t="str">
            <v>KADIMA EQUITY HEDGE MASTER FIM</v>
          </cell>
          <cell r="D9115" t="str">
            <v>KADIMA EQUITY HEDGE MASTER FIM</v>
          </cell>
          <cell r="E9115" t="str">
            <v>KADIMA EQUITY HEDGE MASTER FIM</v>
          </cell>
        </row>
        <row r="9116">
          <cell r="B9116">
            <v>79292</v>
          </cell>
          <cell r="C9116" t="str">
            <v>KADIMA MASTER FIM</v>
          </cell>
          <cell r="D9116" t="str">
            <v>KADIMA MASTER FIM</v>
          </cell>
          <cell r="E9116" t="str">
            <v>KADIMA GESTAO DE INVESTIMENTOS LTDA</v>
          </cell>
        </row>
        <row r="9117">
          <cell r="B9117">
            <v>79293</v>
          </cell>
          <cell r="C9117" t="str">
            <v>KADIMA TOTAL MASTER FIM</v>
          </cell>
          <cell r="D9117" t="str">
            <v>KADIMA TOTAL MASTER FIM</v>
          </cell>
          <cell r="E9117" t="str">
            <v>KADIMA TOTAL MASTER FIM</v>
          </cell>
        </row>
        <row r="9118">
          <cell r="B9118">
            <v>79294</v>
          </cell>
          <cell r="C9118" t="str">
            <v>PALMARES FIM CP</v>
          </cell>
          <cell r="D9118" t="str">
            <v>PALMARES FIM CP</v>
          </cell>
          <cell r="E9118" t="str">
            <v>PALMARES FIM CP</v>
          </cell>
        </row>
        <row r="9119">
          <cell r="B9119">
            <v>79295</v>
          </cell>
          <cell r="C9119" t="str">
            <v>FIDES HEDGE PLUS FIM</v>
          </cell>
          <cell r="D9119" t="str">
            <v>FIDES HEDGE PLUS FIM</v>
          </cell>
          <cell r="E9119" t="str">
            <v>FIDES HEDGE PLUS FIM</v>
          </cell>
        </row>
        <row r="9120">
          <cell r="B9120">
            <v>79296</v>
          </cell>
          <cell r="C9120" t="str">
            <v>FIDES ACOES IBOVESPA FIA</v>
          </cell>
          <cell r="D9120" t="str">
            <v>FIDES ACOES IBOVESPA FIA</v>
          </cell>
          <cell r="E9120" t="str">
            <v>TAVOLA CAPITAL GESTAO DE RECURSOS LTDA</v>
          </cell>
        </row>
        <row r="9121">
          <cell r="B9121">
            <v>79297</v>
          </cell>
          <cell r="C9121" t="str">
            <v>TAVOLA  ABSOLUTO FIM</v>
          </cell>
          <cell r="D9121" t="str">
            <v>TAVOLA  ABSOLUTO FIM</v>
          </cell>
          <cell r="E9121" t="str">
            <v>TAVOLA CAPITAL GESTAO DE RECURSOS LTDA</v>
          </cell>
        </row>
        <row r="9122">
          <cell r="B9122">
            <v>79298</v>
          </cell>
          <cell r="C9122" t="str">
            <v>TAVOLA LONG SHORT FIM</v>
          </cell>
          <cell r="D9122" t="str">
            <v>TAVOLA LONG SHORT FIM</v>
          </cell>
          <cell r="E9122" t="str">
            <v>TAVOLA CAPITAL GESTAO DE RECURSOS LTDA</v>
          </cell>
        </row>
        <row r="9123">
          <cell r="B9123">
            <v>79299</v>
          </cell>
          <cell r="C9123" t="str">
            <v>FIDES LONG SHORT FIM</v>
          </cell>
          <cell r="D9123" t="str">
            <v>FIDES LONG SHORT FIM</v>
          </cell>
          <cell r="E9123" t="str">
            <v>FIDES LONG SHORT FIM</v>
          </cell>
        </row>
        <row r="9124">
          <cell r="B9124">
            <v>79300</v>
          </cell>
          <cell r="C9124" t="str">
            <v>BR PARTNERS BANCO DE INVESTIMENTOS SA</v>
          </cell>
          <cell r="D9124" t="str">
            <v>BR PARTNERS BANCO DE INVESTIMENTOS SA</v>
          </cell>
          <cell r="E9124" t="str">
            <v>BR PARTNERS BANCO DE INVESTIMENTOS S/A</v>
          </cell>
        </row>
        <row r="9125">
          <cell r="B9125">
            <v>79301</v>
          </cell>
          <cell r="C9125" t="str">
            <v>GUMP INVESTMENTS C.V.</v>
          </cell>
          <cell r="D9125" t="str">
            <v>GUMP INVESTMENTS C.V.</v>
          </cell>
          <cell r="E9125" t="str">
            <v>GUMP INVESTMENTS C.V.</v>
          </cell>
        </row>
        <row r="9126">
          <cell r="B9126">
            <v>79302</v>
          </cell>
          <cell r="C9126" t="str">
            <v>ITAU MULTIMERCADO HIGH ALPHA QUANT MASTER FI</v>
          </cell>
          <cell r="D9126" t="str">
            <v>ITAU MULTIMERCADO HIGH ALPHA QUANT MASTER FI</v>
          </cell>
          <cell r="E9126" t="str">
            <v>ITAU MULTIMERCADO HIGH ALPHA QUANT MASTER FI</v>
          </cell>
        </row>
        <row r="9127">
          <cell r="B9127">
            <v>81357</v>
          </cell>
          <cell r="C9127" t="str">
            <v>XP LONG BIASED MASTER I FUNDO DE INVESTIMENTO MULTIMERCADO</v>
          </cell>
          <cell r="D9127" t="str">
            <v>XP LONG BIASED MASTER I FUNDO DE INVESTIMENTO MULTIMERCADO</v>
          </cell>
          <cell r="E9127" t="str">
            <v>XP GESTAO DE RECURSOS LTDA</v>
          </cell>
        </row>
        <row r="9128">
          <cell r="B9128">
            <v>79304</v>
          </cell>
          <cell r="C9128" t="str">
            <v>BANCO ABN AMRO CLEARING S.A.</v>
          </cell>
          <cell r="D9128" t="str">
            <v>BANCO ABN AMRO CLEARING S.A.</v>
          </cell>
          <cell r="E9128" t="str">
            <v>BANCO ABN AMRO S/A</v>
          </cell>
        </row>
        <row r="9129">
          <cell r="B9129">
            <v>79305</v>
          </cell>
          <cell r="C9129" t="str">
            <v>EQUITY GESTAO DE RECURSOS LTDA</v>
          </cell>
          <cell r="D9129" t="str">
            <v>EQUITY GESTAO DE RECURSOS LTDA</v>
          </cell>
          <cell r="E9129" t="str">
            <v>EQUITY GESTAO DE RECURSOS LTDA</v>
          </cell>
        </row>
        <row r="9130">
          <cell r="B9130">
            <v>79306</v>
          </cell>
          <cell r="C9130" t="str">
            <v>ICATU SEGUROS S/A</v>
          </cell>
          <cell r="D9130" t="str">
            <v>ICATU SEGUROS S/A</v>
          </cell>
          <cell r="E9130" t="str">
            <v>ICATU VANGUARDA GESTAO DE RECURSOS LTDA</v>
          </cell>
        </row>
        <row r="9131">
          <cell r="B9131">
            <v>79307</v>
          </cell>
          <cell r="C9131" t="str">
            <v>RISK OFFICE S/A</v>
          </cell>
          <cell r="D9131" t="str">
            <v>RISK OFFICE S/A</v>
          </cell>
          <cell r="E9131" t="str">
            <v>RISK OFFICE S/A</v>
          </cell>
        </row>
        <row r="9132">
          <cell r="B9132">
            <v>79308</v>
          </cell>
          <cell r="C9132" t="str">
            <v>BANCO CARGILL S/A</v>
          </cell>
          <cell r="D9132" t="str">
            <v>BANCO CARGILL S/A</v>
          </cell>
          <cell r="E9132" t="str">
            <v>BANCO CARGILL S/A</v>
          </cell>
        </row>
        <row r="9133">
          <cell r="B9133">
            <v>79309</v>
          </cell>
          <cell r="C9133" t="str">
            <v>CARGILL AGRICOLA S/A</v>
          </cell>
          <cell r="D9133" t="str">
            <v>CARGILL AGRICOLA S/A</v>
          </cell>
          <cell r="E9133" t="str">
            <v>BANCO CARGILL S/A</v>
          </cell>
        </row>
        <row r="9134">
          <cell r="B9134">
            <v>79310</v>
          </cell>
          <cell r="C9134" t="str">
            <v>FIM CP IE BRADESCO BIT ( ANTIGO FIM IE TELLUS)</v>
          </cell>
          <cell r="D9134" t="str">
            <v>FIM CP IE BRADESCO BIT ( ANTIGO FIM IE TELLUS)</v>
          </cell>
          <cell r="E9134" t="str">
            <v>FIM CP IE BRADESCO BIT ( ANTIGO FIM IE TELLUS)</v>
          </cell>
        </row>
        <row r="9135">
          <cell r="B9135">
            <v>79311</v>
          </cell>
          <cell r="C9135" t="str">
            <v>LOUIS DREYFUS COMPANY SUCOS S/A (ANTIGO LDC AGROINDUSTRIAL</v>
          </cell>
          <cell r="D9135" t="str">
            <v>LOUIS DREYFUS COMPANY SUCOS S/A (ANTIGO LDC AGROINDUSTRIAL</v>
          </cell>
          <cell r="E9135" t="str">
            <v>LOUIS DREYFUS COMPANY SUCOS S/A (ANTIGO LDC AGROINDUSTRIAL</v>
          </cell>
        </row>
        <row r="9136">
          <cell r="B9136">
            <v>79312</v>
          </cell>
          <cell r="C9136" t="str">
            <v>INFINIUM CAPITAL MANAGEMENT LLC</v>
          </cell>
          <cell r="D9136" t="str">
            <v>INFINIUM CAPITAL MANAGEMENT LLC</v>
          </cell>
          <cell r="E9136" t="str">
            <v>INFINIUM CAPITAL MANAGEMENT LLC</v>
          </cell>
        </row>
        <row r="9137">
          <cell r="B9137">
            <v>80929</v>
          </cell>
          <cell r="C9137" t="str">
            <v>UBS AG, LONDON BRANCH NOVO</v>
          </cell>
          <cell r="D9137" t="str">
            <v>UBS AG, LONDON BRANCH NOVO</v>
          </cell>
          <cell r="E9137" t="str">
            <v>UBS AG, LONDON BRANCH NOVO</v>
          </cell>
        </row>
        <row r="9138">
          <cell r="B9138">
            <v>79314</v>
          </cell>
          <cell r="C9138" t="str">
            <v>BANCO LJ CARREGOSA SA</v>
          </cell>
          <cell r="D9138" t="str">
            <v>BANCO LJ CARREGOSA SA</v>
          </cell>
          <cell r="E9138" t="str">
            <v>BANCO LJ CARREGOSA SA</v>
          </cell>
        </row>
        <row r="9139">
          <cell r="B9139">
            <v>79315</v>
          </cell>
          <cell r="C9139" t="str">
            <v>MAPFRE DTVM S/A</v>
          </cell>
          <cell r="D9139" t="str">
            <v>MAPFRE DTVM S/A</v>
          </cell>
          <cell r="E9139" t="str">
            <v>MAPFRE INVESTIMENTOS LTDA.</v>
          </cell>
        </row>
        <row r="9140">
          <cell r="B9140">
            <v>79316</v>
          </cell>
          <cell r="C9140" t="str">
            <v>SAFRA DISTRIBUIDORA DE TITULOS E VALORES MOBILIARIOS LTDA.</v>
          </cell>
          <cell r="D9140" t="str">
            <v>SAFRA DISTRIBUIDORA DE TITULOS E VALORES MOBILIARIOS LTDA.</v>
          </cell>
          <cell r="E9140" t="str">
            <v>SAFRA ASSET MANAGEMENT LTDA</v>
          </cell>
        </row>
        <row r="9141">
          <cell r="B9141">
            <v>79317</v>
          </cell>
          <cell r="C9141" t="str">
            <v>THE BANK OF NOVA SCOTIA ( TORONTO)</v>
          </cell>
          <cell r="D9141" t="str">
            <v>THE BANK OF NOVA SCOTIA ( TORONTO)</v>
          </cell>
          <cell r="E9141" t="str">
            <v>SCOTIABANK BRASIL S/A</v>
          </cell>
        </row>
        <row r="9142">
          <cell r="B9142">
            <v>79318</v>
          </cell>
          <cell r="C9142" t="str">
            <v>POLO NORTE MASTER II FIM</v>
          </cell>
          <cell r="D9142" t="str">
            <v>POLO NORTE MASTER II FIM</v>
          </cell>
          <cell r="E9142" t="str">
            <v>POLO CAPITAL GESTÃO DE RECURSOS LTDA</v>
          </cell>
        </row>
        <row r="9143">
          <cell r="B9143">
            <v>79319</v>
          </cell>
          <cell r="C9143" t="str">
            <v>PARTNER FIA IE</v>
          </cell>
          <cell r="D9143" t="str">
            <v>PARTNER FIA IE</v>
          </cell>
          <cell r="E9143" t="str">
            <v>PARTNER FIA IE</v>
          </cell>
        </row>
        <row r="9144">
          <cell r="B9144">
            <v>79320</v>
          </cell>
          <cell r="C9144" t="str">
            <v>AGK 5 LLC</v>
          </cell>
          <cell r="D9144" t="str">
            <v>AGK 5 LLC</v>
          </cell>
          <cell r="E9144" t="str">
            <v>AGK 5 LLC</v>
          </cell>
        </row>
        <row r="9145">
          <cell r="B9145">
            <v>79321</v>
          </cell>
          <cell r="C9145" t="str">
            <v>AGK 6 LLC</v>
          </cell>
          <cell r="D9145" t="str">
            <v>AGK 6 LLC</v>
          </cell>
          <cell r="E9145" t="str">
            <v>AGK 6 LLC</v>
          </cell>
        </row>
        <row r="9146">
          <cell r="B9146">
            <v>79323</v>
          </cell>
          <cell r="C9146" t="str">
            <v>GROOVE INVESTMENTS LLC</v>
          </cell>
          <cell r="D9146" t="str">
            <v>GROOVE INVESTMENTS LLC</v>
          </cell>
          <cell r="E9146" t="str">
            <v>GROOVE INVESTMENTS LLC</v>
          </cell>
        </row>
        <row r="9147">
          <cell r="B9147">
            <v>79324</v>
          </cell>
          <cell r="C9147" t="str">
            <v>BRASIL CAPITAL MASTER FIA</v>
          </cell>
          <cell r="D9147" t="str">
            <v>BRASIL CAPITAL MASTER FIA</v>
          </cell>
          <cell r="E9147" t="str">
            <v>BRASIL CAPITAL MASTER FIA</v>
          </cell>
        </row>
        <row r="9148">
          <cell r="B9148">
            <v>79325</v>
          </cell>
          <cell r="C9148" t="str">
            <v>BRASIL CAPITAL MASTER FIM</v>
          </cell>
          <cell r="D9148" t="str">
            <v>BRASIL CAPITAL MASTER FIM</v>
          </cell>
          <cell r="E9148" t="str">
            <v>BRASIL CAPITAL MASTER FIM</v>
          </cell>
        </row>
        <row r="9149">
          <cell r="B9149">
            <v>79326</v>
          </cell>
          <cell r="C9149" t="str">
            <v>AQ3 ASSET MANAGEMENT LTDA</v>
          </cell>
          <cell r="D9149" t="str">
            <v>AQ3 ASSET MANAGEMENT LTDA</v>
          </cell>
          <cell r="E9149" t="str">
            <v>AQ3 ASSET MANAGEMENT LTDA</v>
          </cell>
        </row>
        <row r="9150">
          <cell r="B9150">
            <v>79327</v>
          </cell>
          <cell r="C9150" t="str">
            <v>BANCO RIBEIRAO PRETO S/A</v>
          </cell>
          <cell r="D9150" t="str">
            <v>BANCO RIBEIRAO PRETO S/A</v>
          </cell>
          <cell r="E9150" t="str">
            <v>BANCO RIBEIRAO PRETO S/A</v>
          </cell>
        </row>
        <row r="9151">
          <cell r="B9151">
            <v>79328</v>
          </cell>
          <cell r="C9151" t="str">
            <v>SCHRODER INVESTMENT MANAGEMENT BRASIL LTDA</v>
          </cell>
          <cell r="D9151" t="str">
            <v>SCHRODER INVESTMENT MANAGEMENT BRASIL LTDA</v>
          </cell>
          <cell r="E9151" t="str">
            <v>SCHRODER INVESTMENT MANAGEMENT BRASIL LTDA</v>
          </cell>
        </row>
        <row r="9152">
          <cell r="B9152">
            <v>79329</v>
          </cell>
          <cell r="C9152" t="str">
            <v>BANCO MUFG BRASIL S.A.</v>
          </cell>
          <cell r="D9152" t="str">
            <v>BANCO MUFG BRASIL S.A.</v>
          </cell>
          <cell r="E9152" t="str">
            <v>BANCO MUFG BRASIL S/A</v>
          </cell>
        </row>
        <row r="9153">
          <cell r="B9153">
            <v>79330</v>
          </cell>
          <cell r="C9153" t="str">
            <v>VENTURESTAR GESTAO DE RECURSOS LTDA</v>
          </cell>
          <cell r="D9153" t="str">
            <v>VENTURESTAR GESTAO DE RECURSOS LTDA</v>
          </cell>
          <cell r="E9153" t="str">
            <v>VENTURESTAR GESTAO DE RECURSOS LTDA</v>
          </cell>
        </row>
        <row r="9154">
          <cell r="B9154">
            <v>79331</v>
          </cell>
          <cell r="C9154" t="str">
            <v>CAIXA ECONOMICA FEDERAL</v>
          </cell>
          <cell r="D9154" t="str">
            <v>CAIXA ECONOMICA FEDERAL</v>
          </cell>
          <cell r="E9154" t="str">
            <v>CAIXA ECONOMICA FEDERAL</v>
          </cell>
        </row>
        <row r="9155">
          <cell r="B9155">
            <v>79332</v>
          </cell>
          <cell r="C9155" t="str">
            <v>VINCI SOLUÃ‡Ã•ES DE INVESTIMENTOS LTDA</v>
          </cell>
          <cell r="D9155" t="str">
            <v>VINCI SOLUÃ‡Ã•ES DE INVESTIMENTOS LTDA</v>
          </cell>
          <cell r="E9155" t="str">
            <v>VINCI GESTORA DE RECURSOS LTDA</v>
          </cell>
        </row>
        <row r="9156">
          <cell r="B9156">
            <v>79333</v>
          </cell>
          <cell r="C9156" t="str">
            <v>BR PARTNERS GESTAO DE RECURSOS LTDA</v>
          </cell>
          <cell r="D9156" t="str">
            <v>BR PARTNERS GESTAO DE RECURSOS LTDA</v>
          </cell>
          <cell r="E9156" t="str">
            <v>BR PARTNERS GESTAO DE RECURSOS LTDA</v>
          </cell>
        </row>
        <row r="9157">
          <cell r="B9157">
            <v>79334</v>
          </cell>
          <cell r="C9157" t="str">
            <v>BANIF BANCO DE INVESTIMENTO (BRASIL) S/A</v>
          </cell>
          <cell r="D9157" t="str">
            <v>BANIF BANCO DE INVESTIMENTO (BRASIL) S/A</v>
          </cell>
          <cell r="E9157" t="str">
            <v>BANIF BANCO DE INVESTIMENTO (BRASIL) S/A</v>
          </cell>
        </row>
        <row r="9158">
          <cell r="B9158">
            <v>79335</v>
          </cell>
          <cell r="C9158" t="str">
            <v>PATRIA INVESTIMENTOS LTDA</v>
          </cell>
          <cell r="D9158" t="str">
            <v>PATRIA INVESTIMENTOS LTDA</v>
          </cell>
          <cell r="E9158" t="str">
            <v>PATRIA INVESTIMENTOS LTDA</v>
          </cell>
        </row>
        <row r="9159">
          <cell r="B9159">
            <v>79336</v>
          </cell>
          <cell r="C9159" t="str">
            <v>EAGLE CAPITAL SS LTDA</v>
          </cell>
          <cell r="D9159" t="str">
            <v>EAGLE CAPITAL SS LTDA</v>
          </cell>
          <cell r="E9159" t="str">
            <v>EAGLE CAPITAL SS LTDA</v>
          </cell>
        </row>
        <row r="9160">
          <cell r="B9160">
            <v>79337</v>
          </cell>
          <cell r="C9160" t="str">
            <v>FOX STRATEGY FIM</v>
          </cell>
          <cell r="D9160" t="str">
            <v>FOX STRATEGY FIM</v>
          </cell>
          <cell r="E9160" t="str">
            <v>FOX INVESTIMENTOS LTDA</v>
          </cell>
        </row>
        <row r="9161">
          <cell r="B9161">
            <v>79338</v>
          </cell>
          <cell r="C9161" t="str">
            <v>PROTEUS INVESTIMENTOS LTDA</v>
          </cell>
          <cell r="D9161" t="str">
            <v>PROTEUS INVESTIMENTOS LTDA</v>
          </cell>
          <cell r="E9161" t="str">
            <v>PROTEUS INVESTIMENTOS LTDA</v>
          </cell>
        </row>
        <row r="9162">
          <cell r="B9162">
            <v>79339</v>
          </cell>
          <cell r="C9162" t="str">
            <v>A3 PERFORMANCE GESTAO DE RECURSOS LTDA</v>
          </cell>
          <cell r="D9162" t="str">
            <v>A3 PERFORMANCE GESTAO DE RECURSOS LTDA</v>
          </cell>
          <cell r="E9162" t="str">
            <v>A3 PERFORMANCE GESTAO DE RECURSOS LTDA</v>
          </cell>
        </row>
        <row r="9163">
          <cell r="B9163">
            <v>79340</v>
          </cell>
          <cell r="C9163" t="str">
            <v>XMZ FIM CP IE</v>
          </cell>
          <cell r="D9163" t="str">
            <v>XMZ FIM CP IE</v>
          </cell>
          <cell r="E9163" t="str">
            <v>XMZ FIM CP IE</v>
          </cell>
        </row>
        <row r="9164">
          <cell r="B9164">
            <v>79341</v>
          </cell>
          <cell r="C9164" t="str">
            <v>ANNAPURNA LLC</v>
          </cell>
          <cell r="D9164" t="str">
            <v>ANNAPURNA LLC</v>
          </cell>
          <cell r="E9164" t="str">
            <v>ANNAPURNA LLC</v>
          </cell>
        </row>
        <row r="9165">
          <cell r="B9165">
            <v>79342</v>
          </cell>
          <cell r="C9165" t="str">
            <v>MANASLU LLC</v>
          </cell>
          <cell r="D9165" t="str">
            <v>MANASLU LLC</v>
          </cell>
          <cell r="E9165" t="str">
            <v>MANASLU LLC</v>
          </cell>
        </row>
        <row r="9166">
          <cell r="B9166">
            <v>79343</v>
          </cell>
          <cell r="C9166" t="str">
            <v>TEORICA EQUITY HEDGE MASTER FIM</v>
          </cell>
          <cell r="D9166" t="str">
            <v>TEORICA EQUITY HEDGE MASTER FIM</v>
          </cell>
          <cell r="E9166" t="str">
            <v>TEORICA EQUITY HEDGE MASTER FIM</v>
          </cell>
        </row>
        <row r="9167">
          <cell r="B9167">
            <v>79344</v>
          </cell>
          <cell r="C9167" t="str">
            <v>AZ QUEST INVESTIMENTOS LTDA</v>
          </cell>
          <cell r="D9167" t="str">
            <v>AZ QUEST INVESTIMENTOS LTDA</v>
          </cell>
          <cell r="E9167" t="str">
            <v>AZ QUEST INVESTIMENTOS LTDA</v>
          </cell>
        </row>
        <row r="9168">
          <cell r="B9168">
            <v>79345</v>
          </cell>
          <cell r="C9168" t="str">
            <v>ANGKOR LLC</v>
          </cell>
          <cell r="D9168" t="str">
            <v>ANGKOR LLC</v>
          </cell>
          <cell r="E9168" t="str">
            <v>ANGKOR LLC</v>
          </cell>
        </row>
        <row r="9169">
          <cell r="B9169">
            <v>79346</v>
          </cell>
          <cell r="C9169" t="str">
            <v>OLD CITY INSTITUCIONAL INVESTMENTS</v>
          </cell>
          <cell r="D9169" t="str">
            <v>OLD CITY INSTITUCIONAL INVESTMENTS</v>
          </cell>
          <cell r="E9169" t="str">
            <v>OLD CITY INSTITUCIONAL INVESTMENTS</v>
          </cell>
        </row>
        <row r="9170">
          <cell r="B9170">
            <v>79347</v>
          </cell>
          <cell r="C9170" t="str">
            <v>VERMONT AMERICAN INVESTMENTS LLC</v>
          </cell>
          <cell r="D9170" t="str">
            <v>VERMONT AMERICAN INVESTMENTS LLC</v>
          </cell>
          <cell r="E9170" t="str">
            <v>VERMONT AMERICAN INVESTMENTS LLC</v>
          </cell>
        </row>
        <row r="9171">
          <cell r="B9171">
            <v>79348</v>
          </cell>
          <cell r="C9171" t="str">
            <v>GDX CAMBRIDGE PRIVATE FIM CP IE</v>
          </cell>
          <cell r="D9171" t="str">
            <v>GDX CAMBRIDGE PRIVATE FIM CP IE</v>
          </cell>
          <cell r="E9171" t="str">
            <v>GDX CAMBRIDGE PRIVATE FIM CP IE</v>
          </cell>
        </row>
        <row r="9172">
          <cell r="B9172">
            <v>79349</v>
          </cell>
          <cell r="C9172" t="str">
            <v>NEW CITY EQUITY INVESTMENT LLC</v>
          </cell>
          <cell r="D9172" t="str">
            <v>NEW CITY EQUITY INVESTMENT LLC</v>
          </cell>
          <cell r="E9172" t="str">
            <v>NEW CITY EQUITY INVESTMENT LLC</v>
          </cell>
        </row>
        <row r="9173">
          <cell r="B9173">
            <v>79350</v>
          </cell>
          <cell r="C9173" t="str">
            <v>BLUE SEVEN GLOBAL MARKET LLC</v>
          </cell>
          <cell r="D9173" t="str">
            <v>BLUE SEVEN GLOBAL MARKET LLC</v>
          </cell>
          <cell r="E9173" t="str">
            <v>BLUE SEVEN GLOBAL MARKET LLC</v>
          </cell>
        </row>
        <row r="9174">
          <cell r="B9174">
            <v>79351</v>
          </cell>
          <cell r="C9174" t="str">
            <v>BANCO SOFISA S/A</v>
          </cell>
          <cell r="D9174" t="str">
            <v>BANCO SOFISA S/A</v>
          </cell>
          <cell r="E9174" t="str">
            <v>BANCO SOFISA S/A</v>
          </cell>
        </row>
        <row r="9175">
          <cell r="B9175">
            <v>79352</v>
          </cell>
          <cell r="C9175" t="str">
            <v>TORNADO PARTICIPACOES LTDA</v>
          </cell>
          <cell r="D9175" t="str">
            <v>TORNADO PARTICIPACOES LTDA</v>
          </cell>
          <cell r="E9175" t="str">
            <v>TORNADO PARTICIPACOES LTDA</v>
          </cell>
        </row>
        <row r="9176">
          <cell r="B9176">
            <v>79353</v>
          </cell>
          <cell r="C9176" t="str">
            <v>CONCORDIA GESTAO DE RECURSOS LTDA</v>
          </cell>
          <cell r="D9176" t="str">
            <v>CONCORDIA GESTAO DE RECURSOS LTDA</v>
          </cell>
          <cell r="E9176" t="str">
            <v>CONCORDIA GESTAO DE RECURSOS LTDA</v>
          </cell>
        </row>
        <row r="9177">
          <cell r="B9177">
            <v>79355</v>
          </cell>
          <cell r="C9177" t="str">
            <v>KAPITALO INVESTIMENTOS LTDA</v>
          </cell>
          <cell r="D9177" t="str">
            <v>KAPITALO INVESTIMENTOS LTDA</v>
          </cell>
          <cell r="E9177" t="str">
            <v>KAPITALO INVESTIMENTOS LTDA</v>
          </cell>
        </row>
        <row r="9178">
          <cell r="B9178">
            <v>79356</v>
          </cell>
          <cell r="C9178" t="str">
            <v>RIO DAS PEDRAS ADMINISTRAÃ‡ÃƒO E PARTICIPAÃ‡Ã•ES LTDA</v>
          </cell>
          <cell r="D9178" t="str">
            <v>RIO DAS PEDRAS ADMINISTRAÃ‡ÃƒO E PARTICIPAÃ‡Ã•ES LTDA</v>
          </cell>
          <cell r="E9178" t="str">
            <v>RIO DAS PEDRAS ADMINISTRAÃ‡ÃƒO E PARTICIPAÃ‡Ã•ES LTDA</v>
          </cell>
        </row>
        <row r="9179">
          <cell r="B9179">
            <v>79357</v>
          </cell>
          <cell r="C9179" t="str">
            <v>LYNX LLC</v>
          </cell>
          <cell r="D9179" t="str">
            <v>LYNX LLC</v>
          </cell>
          <cell r="E9179" t="str">
            <v>LYNX LLC</v>
          </cell>
        </row>
        <row r="9180">
          <cell r="B9180">
            <v>79358</v>
          </cell>
          <cell r="C9180" t="str">
            <v>GPM GESTAO DE RECURSOS LTDA</v>
          </cell>
          <cell r="D9180" t="str">
            <v>GPM GESTAO DE RECURSOS LTDA</v>
          </cell>
          <cell r="E9180" t="str">
            <v>GPM GESTAO DE RECURSOS LTDA</v>
          </cell>
        </row>
        <row r="9181">
          <cell r="B9181">
            <v>79359</v>
          </cell>
          <cell r="C9181" t="str">
            <v>FIM DINAMICA CP</v>
          </cell>
          <cell r="D9181" t="str">
            <v>FIM DINAMICA CP</v>
          </cell>
          <cell r="E9181" t="str">
            <v>FIM DINAMICA CP</v>
          </cell>
        </row>
        <row r="9182">
          <cell r="B9182">
            <v>79360</v>
          </cell>
          <cell r="C9182" t="str">
            <v>LYNX FIM</v>
          </cell>
          <cell r="D9182" t="str">
            <v>LYNX FIM</v>
          </cell>
          <cell r="E9182" t="str">
            <v>CITIBANK DTVM S/A</v>
          </cell>
        </row>
        <row r="9183">
          <cell r="B9183">
            <v>79361</v>
          </cell>
          <cell r="C9183" t="str">
            <v>FIM FOREIGN FUND TWO</v>
          </cell>
          <cell r="D9183" t="str">
            <v>FIM FOREIGN FUND TWO</v>
          </cell>
          <cell r="E9183" t="str">
            <v>BANCO CITIBANK S/A</v>
          </cell>
        </row>
        <row r="9184">
          <cell r="B9184">
            <v>79362</v>
          </cell>
          <cell r="C9184" t="str">
            <v>WESTERN ASSET MANAGEMENT COMPANY DTVM LTDA</v>
          </cell>
          <cell r="D9184" t="str">
            <v>WESTERN ASSET MANAGEMENT COMPANY DTVM LTDA</v>
          </cell>
          <cell r="E9184" t="str">
            <v>WESTERN ASSET MANAGEMENT COMPANY DTVM LTDA</v>
          </cell>
        </row>
        <row r="9185">
          <cell r="B9185">
            <v>79363</v>
          </cell>
          <cell r="C9185" t="str">
            <v>TIVIO CAPITAL DISTRIBUIDORA DE TITULOS E VALORES MOBILIARIOS</v>
          </cell>
          <cell r="D9185" t="str">
            <v>TIVIO CAPITAL DISTRIBUIDORA DE TITULOS E VALORES MOBILIARIOS</v>
          </cell>
          <cell r="E9185" t="str">
            <v>TIVIO CAPITAL DISTRIBUIDORA DE TITULOS E VALORES MOBILIARIOS</v>
          </cell>
        </row>
        <row r="9186">
          <cell r="B9186">
            <v>79364</v>
          </cell>
          <cell r="C9186" t="str">
            <v>JASPER INTERNATIONAL INVESTMENT LLC</v>
          </cell>
          <cell r="D9186" t="str">
            <v>JASPER INTERNATIONAL INVESTMENT LLC</v>
          </cell>
          <cell r="E9186" t="str">
            <v>JASPER INTERNATIONAL INVESTMENT LLC</v>
          </cell>
        </row>
        <row r="9187">
          <cell r="B9187">
            <v>79365</v>
          </cell>
          <cell r="C9187" t="str">
            <v>WHITEWATER FINANCIAL SERVICES BRAZIL LLC</v>
          </cell>
          <cell r="D9187" t="str">
            <v>WHITEWATER FINANCIAL SERVICES BRAZIL LLC</v>
          </cell>
          <cell r="E9187" t="str">
            <v>WHITEWATER FINANCIAL SERVICES BRAZIL LLC</v>
          </cell>
        </row>
        <row r="9188">
          <cell r="B9188">
            <v>79366</v>
          </cell>
          <cell r="C9188" t="str">
            <v>BOCA RATON FIM CP IE</v>
          </cell>
          <cell r="D9188" t="str">
            <v>BOCA RATON FIM CP IE</v>
          </cell>
          <cell r="E9188" t="str">
            <v>BOCA RATON FIM CP IE</v>
          </cell>
        </row>
        <row r="9189">
          <cell r="B9189">
            <v>79367</v>
          </cell>
          <cell r="C9189" t="str">
            <v>VINSON FUND LLC</v>
          </cell>
          <cell r="D9189" t="str">
            <v>VINSON FUND LLC</v>
          </cell>
          <cell r="E9189" t="str">
            <v>VINSON FUND LLC</v>
          </cell>
        </row>
        <row r="9190">
          <cell r="B9190">
            <v>79368</v>
          </cell>
          <cell r="C9190" t="str">
            <v>ZARABATANA FIM CP IE</v>
          </cell>
          <cell r="D9190" t="str">
            <v>ZARABATANA FIM CP IE</v>
          </cell>
          <cell r="E9190" t="str">
            <v>ZARABATANA FIM CP IE</v>
          </cell>
        </row>
        <row r="9191">
          <cell r="B9191">
            <v>79369</v>
          </cell>
          <cell r="C9191" t="str">
            <v>TESE GESTÃƒO DE INVESTIMENTOS LTDA</v>
          </cell>
          <cell r="D9191" t="str">
            <v>TESE GESTÃƒO DE INVESTIMENTOS LTDA</v>
          </cell>
          <cell r="E9191" t="str">
            <v>TESE GESTÃƒO DE INVESTIMENTOS LTDA</v>
          </cell>
        </row>
        <row r="9192">
          <cell r="B9192">
            <v>79370</v>
          </cell>
          <cell r="C9192" t="str">
            <v>GLOBAL X BRASIL GESTORA DE INVESTIMENTOS LTDA</v>
          </cell>
          <cell r="D9192" t="str">
            <v>GLOBAL X BRASIL GESTORA DE INVESTIMENTOS LTDA</v>
          </cell>
          <cell r="E9192" t="str">
            <v>GLOBAL X BRASIL GESTORA DE INVESTIMENTOS LTDA</v>
          </cell>
        </row>
        <row r="9193">
          <cell r="B9193">
            <v>79371</v>
          </cell>
          <cell r="C9193" t="str">
            <v>3G CAPITAL GESTORA DE RECURSOS LTDA</v>
          </cell>
          <cell r="D9193" t="str">
            <v>3G CAPITAL GESTORA DE RECURSOS LTDA</v>
          </cell>
          <cell r="E9193" t="str">
            <v>3G CAPITAL GESTORA DE RECURSOS LTDA</v>
          </cell>
        </row>
        <row r="9194">
          <cell r="B9194">
            <v>79373</v>
          </cell>
          <cell r="C9194" t="str">
            <v>KYROS GESTÃƒO DE RECURSOS LTDA</v>
          </cell>
          <cell r="D9194" t="str">
            <v>KYROS GESTÃƒO DE RECURSOS LTDA</v>
          </cell>
          <cell r="E9194" t="str">
            <v>KYROS GESTÃƒO DE RECURSOS LTDA</v>
          </cell>
        </row>
        <row r="9195">
          <cell r="B9195">
            <v>79374</v>
          </cell>
          <cell r="C9195" t="str">
            <v>CREDIT SUISSE HEDGING-GRIFFO WEALTH MANAGEMENT S/A</v>
          </cell>
          <cell r="D9195" t="str">
            <v>CREDIT SUISSE HEDGING-GRIFFO WEALTH MANAGEMENT S/A</v>
          </cell>
          <cell r="E9195" t="str">
            <v>CREDIT SUISSE HEDGING-GRIFFO WEALTH MANAGEMENT S/A</v>
          </cell>
        </row>
        <row r="9196">
          <cell r="B9196">
            <v>79376</v>
          </cell>
          <cell r="C9196" t="str">
            <v>CANVAS CAPITAL S/A</v>
          </cell>
          <cell r="D9196" t="str">
            <v>CANVAS CAPITAL S/A</v>
          </cell>
          <cell r="E9196" t="str">
            <v>CANVAS CAPITAL S/A</v>
          </cell>
        </row>
        <row r="9197">
          <cell r="B9197">
            <v>79377</v>
          </cell>
          <cell r="C9197" t="str">
            <v>KINEA INVESTIMENTOS LTDA</v>
          </cell>
          <cell r="D9197" t="str">
            <v>KINEA INVESTIMENTOS LTDA</v>
          </cell>
          <cell r="E9197" t="str">
            <v>KINEA INVESTIMENTOS LTDA</v>
          </cell>
        </row>
        <row r="9198">
          <cell r="B9198">
            <v>79378</v>
          </cell>
          <cell r="C9198" t="str">
            <v>ARBELA INVESTIMENTOS LTDA</v>
          </cell>
          <cell r="D9198" t="str">
            <v>ARBELA INVESTIMENTOS LTDA</v>
          </cell>
          <cell r="E9198" t="str">
            <v>ARBELA INVESTIMENTOS LTDA</v>
          </cell>
        </row>
        <row r="9199">
          <cell r="B9199">
            <v>79379</v>
          </cell>
          <cell r="C9199" t="str">
            <v>BANCO ITAUCARD S/A</v>
          </cell>
          <cell r="D9199" t="str">
            <v>BANCO ITAUCARD S/A</v>
          </cell>
          <cell r="E9199" t="str">
            <v>BANCO   ITAUCARD S/A</v>
          </cell>
        </row>
        <row r="9200">
          <cell r="B9200">
            <v>79380</v>
          </cell>
          <cell r="C9200" t="str">
            <v>MORGAN STANLEY URUGUAY LTDA</v>
          </cell>
          <cell r="D9200" t="str">
            <v>MORGAN STANLEY URUGUAY LTDA</v>
          </cell>
          <cell r="E9200" t="str">
            <v>BANCO MORGAN STANLEY S/A</v>
          </cell>
        </row>
        <row r="9201">
          <cell r="B9201">
            <v>79381</v>
          </cell>
          <cell r="C9201" t="str">
            <v>POLO CAPITAL GESTÃƒO DE RECURSOS LTDA</v>
          </cell>
          <cell r="D9201" t="str">
            <v>POLO CAPITAL GESTÃƒO DE RECURSOS LTDA</v>
          </cell>
          <cell r="E9201" t="str">
            <v>POLO CAPITAL GESTÃO DE RECURSOS LTDA</v>
          </cell>
        </row>
        <row r="9202">
          <cell r="B9202">
            <v>79382</v>
          </cell>
          <cell r="C9202" t="str">
            <v>VENTOR INVESTIMENTOS LTDA</v>
          </cell>
          <cell r="D9202" t="str">
            <v>VENTOR INVESTIMENTOS LTDA</v>
          </cell>
          <cell r="E9202" t="str">
            <v>VENTOR INVESTIMENTOS LTDA</v>
          </cell>
        </row>
        <row r="9203">
          <cell r="B9203">
            <v>79383</v>
          </cell>
          <cell r="C9203" t="str">
            <v>PHILADELPHIA FIM CP</v>
          </cell>
          <cell r="D9203" t="str">
            <v>PHILADELPHIA FIM CP</v>
          </cell>
          <cell r="E9203" t="str">
            <v>SOW CAPITAL GESTÃƒO DE INVESTIMENTOS LTDA</v>
          </cell>
        </row>
        <row r="9204">
          <cell r="B9204">
            <v>79384</v>
          </cell>
          <cell r="C9204" t="str">
            <v>AMS CAPITAL LTDA ( ANTIGO EVEREST PARTICIPACOES LTDA</v>
          </cell>
          <cell r="D9204" t="str">
            <v>AMS CAPITAL LTDA ( ANTIGO EVEREST PARTICIPACOES LTDA</v>
          </cell>
          <cell r="E9204" t="str">
            <v>AMS CAPITAL LTDA</v>
          </cell>
        </row>
        <row r="9205">
          <cell r="B9205">
            <v>79385</v>
          </cell>
          <cell r="C9205" t="str">
            <v>HELONA INVESTIMENTS LLC</v>
          </cell>
          <cell r="D9205" t="str">
            <v>HELONA INVESTIMENTS LLC</v>
          </cell>
          <cell r="E9205" t="str">
            <v>HELONA INVESTIMENTS LLC</v>
          </cell>
        </row>
        <row r="9206">
          <cell r="B9206">
            <v>79387</v>
          </cell>
          <cell r="C9206" t="str">
            <v>AGK 4 LLC</v>
          </cell>
          <cell r="D9206" t="str">
            <v>AGK 4 LLC</v>
          </cell>
          <cell r="E9206" t="str">
            <v>AGK 4 LLC</v>
          </cell>
        </row>
        <row r="9207">
          <cell r="B9207">
            <v>79388</v>
          </cell>
          <cell r="C9207" t="str">
            <v>GAAL INVESTMENTS LLC</v>
          </cell>
          <cell r="D9207" t="str">
            <v>GAAL INVESTMENTS LLC</v>
          </cell>
          <cell r="E9207" t="str">
            <v>GAAL INVESTMENTS LLC</v>
          </cell>
        </row>
        <row r="9208">
          <cell r="B9208">
            <v>79389</v>
          </cell>
          <cell r="C9208" t="str">
            <v>CARM INVESTMENTS LLC</v>
          </cell>
          <cell r="D9208" t="str">
            <v>CARM INVESTMENTS LLC</v>
          </cell>
          <cell r="E9208" t="str">
            <v>CARM INVESTMENTS LLC</v>
          </cell>
        </row>
        <row r="9209">
          <cell r="B9209">
            <v>79390</v>
          </cell>
          <cell r="C9209" t="str">
            <v>ICGL INVESTMENTS LLC</v>
          </cell>
          <cell r="D9209" t="str">
            <v>ICGL INVESTMENTS LLC</v>
          </cell>
          <cell r="E9209" t="str">
            <v>ICGL INVESTMENTS LLC</v>
          </cell>
        </row>
        <row r="9210">
          <cell r="B9210">
            <v>79391</v>
          </cell>
          <cell r="C9210" t="str">
            <v>BABY INVESTMENTS LLC</v>
          </cell>
          <cell r="D9210" t="str">
            <v>BABY INVESTMENTS LLC</v>
          </cell>
          <cell r="E9210" t="str">
            <v>BABY INVESTMENTS LLC</v>
          </cell>
        </row>
        <row r="9211">
          <cell r="B9211">
            <v>79392</v>
          </cell>
          <cell r="C9211" t="str">
            <v>AGK 2 LLC</v>
          </cell>
          <cell r="D9211" t="str">
            <v>AGK 2 LLC</v>
          </cell>
          <cell r="E9211" t="str">
            <v>AGK 2 LLC</v>
          </cell>
        </row>
        <row r="9212">
          <cell r="B9212">
            <v>79393</v>
          </cell>
          <cell r="C9212" t="str">
            <v>AGK 3 LLC</v>
          </cell>
          <cell r="D9212" t="str">
            <v>AGK 3 LLC</v>
          </cell>
          <cell r="E9212" t="str">
            <v>AGK 3 LLC</v>
          </cell>
        </row>
        <row r="9213">
          <cell r="B9213">
            <v>79394</v>
          </cell>
          <cell r="C9213" t="str">
            <v>AGK LLC</v>
          </cell>
          <cell r="D9213" t="str">
            <v>AGK LLC</v>
          </cell>
          <cell r="E9213" t="str">
            <v>AGK LLC</v>
          </cell>
        </row>
        <row r="9214">
          <cell r="B9214">
            <v>79395</v>
          </cell>
          <cell r="C9214" t="str">
            <v>RIVIERA HIGH YIELD FIM</v>
          </cell>
          <cell r="D9214" t="str">
            <v>RIVIERA HIGH YIELD FIM</v>
          </cell>
          <cell r="E9214" t="str">
            <v>RIVIERA HIGH YIELD FIM</v>
          </cell>
        </row>
        <row r="9215">
          <cell r="B9215">
            <v>79396</v>
          </cell>
          <cell r="C9215" t="str">
            <v>RAIZEN CENTRO SUL SA</v>
          </cell>
          <cell r="D9215" t="str">
            <v>RAIZEN CENTRO SUL SA</v>
          </cell>
          <cell r="E9215" t="str">
            <v>RAIZEN CENTRO SUL SA</v>
          </cell>
        </row>
        <row r="9216">
          <cell r="B9216">
            <v>79397</v>
          </cell>
          <cell r="C9216" t="str">
            <v>FIM ICEBERG IE CP</v>
          </cell>
          <cell r="D9216" t="str">
            <v>FIM ICEBERG IE CP</v>
          </cell>
          <cell r="E9216" t="str">
            <v>BANK OF AMERICA MERRILL LYNCH BANCO MULTIPLO S/A</v>
          </cell>
        </row>
        <row r="9217">
          <cell r="B9217">
            <v>79398</v>
          </cell>
          <cell r="C9217" t="str">
            <v>FRANKLIN TEMPLETON INVESTIMENTOS (BRASIL) LTDA</v>
          </cell>
          <cell r="D9217" t="str">
            <v>FRANKLIN TEMPLETON INVESTIMENTOS (BRASIL) LTDA</v>
          </cell>
          <cell r="E9217" t="str">
            <v>FRANKLIN TEMPLETON INVESTIMENTOS (BRASIL) LTDA</v>
          </cell>
        </row>
        <row r="9218">
          <cell r="B9218">
            <v>79399</v>
          </cell>
          <cell r="C9218" t="str">
            <v>HSBC GESTAO DE RECURSOS LTDA</v>
          </cell>
          <cell r="D9218" t="str">
            <v>HSBC GESTAO DE RECURSOS LTDA</v>
          </cell>
          <cell r="E9218" t="str">
            <v>AGORA GESTAO DE RECURSOS LTDA</v>
          </cell>
        </row>
        <row r="9219">
          <cell r="B9219">
            <v>79400</v>
          </cell>
          <cell r="C9219" t="str">
            <v>MERRILL LYNCH INTERNATIONAL</v>
          </cell>
          <cell r="D9219" t="str">
            <v>MERRILL LYNCH INTERNATIONAL</v>
          </cell>
          <cell r="E9219" t="str">
            <v>BANK OF AMERICA MERRILL LYNCH BANCO MULTIPLO S/A</v>
          </cell>
        </row>
        <row r="9220">
          <cell r="B9220">
            <v>79401</v>
          </cell>
          <cell r="C9220" t="str">
            <v>HSBC FINANCE (BRASIL) S.A. - BANCO MULTIPLO</v>
          </cell>
          <cell r="D9220" t="str">
            <v>HSBC FINANCE (BRASIL) S.A. - BANCO MULTIPLO</v>
          </cell>
          <cell r="E9220" t="str">
            <v>HSBC FINANCE (BRASIL) S.A. - BANCO MULTIPLO</v>
          </cell>
        </row>
        <row r="9221">
          <cell r="B9221">
            <v>79402</v>
          </cell>
          <cell r="C9221" t="str">
            <v>KALAOA FIM IE</v>
          </cell>
          <cell r="D9221" t="str">
            <v>KALAOA FIM IE</v>
          </cell>
          <cell r="E9221" t="str">
            <v>KALAOA FIM IE</v>
          </cell>
        </row>
        <row r="9222">
          <cell r="B9222">
            <v>79403</v>
          </cell>
          <cell r="C9222" t="str">
            <v>BANCO SAFRA S/A</v>
          </cell>
          <cell r="D9222" t="str">
            <v>BANCO SAFRA S/A</v>
          </cell>
          <cell r="E9222" t="str">
            <v>BANCO SAFRA S/A</v>
          </cell>
        </row>
        <row r="9223">
          <cell r="B9223">
            <v>79404</v>
          </cell>
          <cell r="C9223" t="str">
            <v>SAFRA ASSET MANAGEMENT LTDA</v>
          </cell>
          <cell r="D9223" t="str">
            <v>SAFRA ASSET MANAGEMENT LTDA</v>
          </cell>
          <cell r="E9223" t="str">
            <v>SAFRA ASSET MANAGEMENT LTDA</v>
          </cell>
        </row>
        <row r="9224">
          <cell r="B9224">
            <v>79405</v>
          </cell>
          <cell r="C9224" t="str">
            <v>MORGAN STANLEY AND CO LLC</v>
          </cell>
          <cell r="D9224" t="str">
            <v>MORGAN STANLEY AND CO LLC</v>
          </cell>
          <cell r="E9224" t="str">
            <v>MORGAN STANLEY AND CO LLC</v>
          </cell>
        </row>
        <row r="9225">
          <cell r="B9225">
            <v>79406</v>
          </cell>
          <cell r="C9225" t="str">
            <v>MORGAN STANLEY &amp; CO INTERNATIONAL PLC</v>
          </cell>
          <cell r="D9225" t="str">
            <v>MORGAN STANLEY &amp; CO INTERNATIONAL PLC</v>
          </cell>
          <cell r="E9225" t="str">
            <v>MORGAN STANLEY &amp; CO INTERNATIONAL PLC</v>
          </cell>
        </row>
        <row r="9226">
          <cell r="B9226">
            <v>79407</v>
          </cell>
          <cell r="C9226" t="str">
            <v>BANCO MORGAN STANLEY S/A</v>
          </cell>
          <cell r="D9226" t="str">
            <v>BANCO MORGAN STANLEY S/A</v>
          </cell>
          <cell r="E9226" t="str">
            <v>BANCO MORGAN STANLEY S/A</v>
          </cell>
        </row>
        <row r="9227">
          <cell r="B9227">
            <v>5630</v>
          </cell>
          <cell r="C9227" t="str">
            <v>BANCO INTERCAP S/A</v>
          </cell>
          <cell r="D9227" t="str">
            <v>BANCO INTERCAP S/A</v>
          </cell>
          <cell r="E9227" t="str">
            <v>BANCO INTERCAP S/A</v>
          </cell>
        </row>
        <row r="9228">
          <cell r="B9228">
            <v>79410</v>
          </cell>
          <cell r="C9228" t="str">
            <v>NOMURA INTERNATIONAL PLC</v>
          </cell>
          <cell r="D9228" t="str">
            <v>NOMURA INTERNATIONAL PLC</v>
          </cell>
          <cell r="E9228" t="str">
            <v>NOMURA INTERNATIONAL PLC</v>
          </cell>
        </row>
        <row r="9229">
          <cell r="B9229">
            <v>79411</v>
          </cell>
          <cell r="C9229" t="str">
            <v>ROSS ICE SHELF LLC</v>
          </cell>
          <cell r="D9229" t="str">
            <v>ROSS ICE SHELF LLC</v>
          </cell>
          <cell r="E9229" t="str">
            <v>ROSS ICE SHELF LLC</v>
          </cell>
        </row>
        <row r="9230">
          <cell r="B9230">
            <v>144533</v>
          </cell>
          <cell r="C9230" t="str">
            <v>SUL AMERICA INVESTIMENTOS GESTORA DE RECURSOS S/A</v>
          </cell>
          <cell r="D9230" t="str">
            <v>SUL AMERICA INVESTIMENTOS GESTORA DE RECURSOS S/A</v>
          </cell>
          <cell r="E9230" t="str">
            <v>SUL AMERICA INVESTIMENTOS GESTORA DE RECURSOS S/A</v>
          </cell>
        </row>
        <row r="9231">
          <cell r="B9231">
            <v>79413</v>
          </cell>
          <cell r="C9231" t="str">
            <v>INFINITY ASSET MANAG ADM DE RECURSOS LTDA</v>
          </cell>
          <cell r="D9231" t="str">
            <v>INFINITY ASSET MANAG ADM DE RECURSOS LTDA</v>
          </cell>
          <cell r="E9231" t="str">
            <v>INFINITY ASSET MANAG ADM DE RECURSOS LTDA</v>
          </cell>
        </row>
        <row r="9232">
          <cell r="B9232">
            <v>79414</v>
          </cell>
          <cell r="C9232" t="str">
            <v>FAR FATOR ADMINISTRAÃ‡ÃƒO DE RECURSOS LTDA</v>
          </cell>
          <cell r="D9232" t="str">
            <v>FAR FATOR ADMINISTRAÃ‡ÃƒO DE RECURSOS LTDA</v>
          </cell>
          <cell r="E9232" t="str">
            <v>FAR FATOR ADMINISTRAÃ‡ÃƒO DE RECURSOS LTDA</v>
          </cell>
        </row>
        <row r="9233">
          <cell r="B9233">
            <v>79415</v>
          </cell>
          <cell r="C9233" t="str">
            <v>CREDIT SUISSE (BRASIL) S/A CTVM</v>
          </cell>
          <cell r="D9233" t="str">
            <v>CREDIT SUISSE (BRASIL) S/A CTVM</v>
          </cell>
          <cell r="E9233" t="str">
            <v>CREDIT SUISSE (BRASIL) S/A CTVM</v>
          </cell>
        </row>
        <row r="9234">
          <cell r="B9234">
            <v>79417</v>
          </cell>
          <cell r="C9234" t="str">
            <v>NATWEST MARKETS PLC</v>
          </cell>
          <cell r="D9234" t="str">
            <v>NATWEST MARKETS PLC</v>
          </cell>
          <cell r="E9234" t="str">
            <v>NATWEST MARKETS PLC</v>
          </cell>
        </row>
        <row r="9235">
          <cell r="B9235">
            <v>79418</v>
          </cell>
          <cell r="C9235" t="str">
            <v>R&amp;C FIM</v>
          </cell>
          <cell r="D9235" t="str">
            <v>R&amp;C FIM</v>
          </cell>
          <cell r="E9235" t="str">
            <v>MATERA RC GESTÃƒO DE RECURSOS LTDA</v>
          </cell>
        </row>
        <row r="9236">
          <cell r="B9236">
            <v>79408</v>
          </cell>
          <cell r="C9236" t="str">
            <v>BANCO INTERCAP S/A</v>
          </cell>
          <cell r="D9236" t="str">
            <v>BANCO INTERCAP S/A</v>
          </cell>
          <cell r="E9236" t="str">
            <v>BANCO INTERCAP S/A</v>
          </cell>
        </row>
        <row r="9237">
          <cell r="B9237">
            <v>79408</v>
          </cell>
          <cell r="C9237" t="str">
            <v>BANCO INTERCAP S/A</v>
          </cell>
          <cell r="D9237" t="str">
            <v>BANCO INTERCAP S/A</v>
          </cell>
          <cell r="E9237" t="str">
            <v>BANCO INTERCAP S/A</v>
          </cell>
        </row>
        <row r="9238">
          <cell r="B9238">
            <v>79421</v>
          </cell>
          <cell r="C9238" t="str">
            <v>BANCO FATOR S/A</v>
          </cell>
          <cell r="D9238" t="str">
            <v>BANCO FATOR S/A</v>
          </cell>
          <cell r="E9238" t="str">
            <v>BANCO FATOR S/A</v>
          </cell>
        </row>
        <row r="9239">
          <cell r="B9239">
            <v>79422</v>
          </cell>
          <cell r="C9239" t="str">
            <v>KINEA ARKHE FIM</v>
          </cell>
          <cell r="D9239" t="str">
            <v>KINEA ARKHE FIM</v>
          </cell>
          <cell r="E9239" t="str">
            <v>KINEA ARKHE FIM</v>
          </cell>
        </row>
        <row r="9240">
          <cell r="B9240">
            <v>79423</v>
          </cell>
          <cell r="C9240" t="str">
            <v>ALFINOR SOCIEDAD ANONIMA</v>
          </cell>
          <cell r="D9240" t="str">
            <v>ALFINOR SOCIEDAD ANONIMA</v>
          </cell>
          <cell r="E9240" t="str">
            <v>ALFINOR SOCIEDAD ANONIMA</v>
          </cell>
        </row>
        <row r="9241">
          <cell r="B9241">
            <v>79424</v>
          </cell>
          <cell r="C9241" t="str">
            <v>SPINNAKER BRAZIL FUND (URUGUAY) SA</v>
          </cell>
          <cell r="D9241" t="str">
            <v>SPINNAKER BRAZIL FUND (URUGUAY) SA</v>
          </cell>
          <cell r="E9241" t="str">
            <v>SPINNAKER BRAZIL FUND (URUGUAY) SA</v>
          </cell>
        </row>
        <row r="9242">
          <cell r="B9242">
            <v>79425</v>
          </cell>
          <cell r="C9242" t="str">
            <v>FIM EXTREME V</v>
          </cell>
          <cell r="D9242" t="str">
            <v>FIM EXTREME V</v>
          </cell>
          <cell r="E9242" t="str">
            <v>FIM EXTREME V</v>
          </cell>
        </row>
        <row r="9243">
          <cell r="B9243">
            <v>79426</v>
          </cell>
          <cell r="C9243" t="str">
            <v>BANCO VOITER S/A</v>
          </cell>
          <cell r="D9243" t="str">
            <v>BANCO VOITER S/A</v>
          </cell>
          <cell r="E9243" t="str">
            <v>BANCO VOITER S/A</v>
          </cell>
        </row>
        <row r="9244">
          <cell r="B9244">
            <v>79178</v>
          </cell>
          <cell r="C9244" t="str">
            <v>FIM CP MERO</v>
          </cell>
          <cell r="D9244" t="str">
            <v>FIM CP MERO</v>
          </cell>
          <cell r="E9244" t="str">
            <v>PLURAL GESTÃO DE RECURSOS LTDA</v>
          </cell>
        </row>
        <row r="9245">
          <cell r="B9245">
            <v>79179</v>
          </cell>
          <cell r="C9245" t="str">
            <v>FIA PROPRIETARIO 10</v>
          </cell>
          <cell r="D9245" t="str">
            <v>FIA PROPRIETARIO 10</v>
          </cell>
          <cell r="E9245" t="str">
            <v>PLURAL GESTÃO DE RECURSOS LTDA</v>
          </cell>
        </row>
        <row r="9246">
          <cell r="B9246">
            <v>79429</v>
          </cell>
          <cell r="C9246" t="str">
            <v>MERCATTO GESTAO DE RECURSOS LTDA</v>
          </cell>
          <cell r="D9246" t="str">
            <v>MERCATTO GESTAO DE RECURSOS LTDA</v>
          </cell>
          <cell r="E9246" t="str">
            <v>MERCATTO GESTAO DE RECURSOS LTDA</v>
          </cell>
        </row>
        <row r="9247">
          <cell r="B9247">
            <v>79430</v>
          </cell>
          <cell r="C9247" t="str">
            <v>BANCO ITAU BBA S/A</v>
          </cell>
          <cell r="D9247" t="str">
            <v>BANCO ITAU BBA S/A</v>
          </cell>
          <cell r="E9247" t="str">
            <v>BANCO ITAU BBA S/A</v>
          </cell>
        </row>
        <row r="9248">
          <cell r="B9248">
            <v>79431</v>
          </cell>
          <cell r="C9248" t="str">
            <v>BANCO ITAU BBA S/A</v>
          </cell>
          <cell r="D9248" t="str">
            <v>BANCO ITAU BBA S/A</v>
          </cell>
          <cell r="E9248" t="str">
            <v>BANCO ITAU BBA S/A</v>
          </cell>
        </row>
        <row r="9249">
          <cell r="B9249">
            <v>79432</v>
          </cell>
          <cell r="C9249" t="str">
            <v>BANCO ITAU BBA S/A</v>
          </cell>
          <cell r="D9249" t="str">
            <v>BANCO ITAU BBA S/A</v>
          </cell>
          <cell r="E9249" t="str">
            <v>BANCO ITAU BBA S/A</v>
          </cell>
        </row>
        <row r="9250">
          <cell r="B9250">
            <v>79433</v>
          </cell>
          <cell r="C9250" t="str">
            <v>BANCO ITAU BBA S/A</v>
          </cell>
          <cell r="D9250" t="str">
            <v>BANCO ITAU BBA S/A</v>
          </cell>
          <cell r="E9250" t="str">
            <v>BANCO ITAU BBA S/A</v>
          </cell>
        </row>
        <row r="9251">
          <cell r="B9251">
            <v>79434</v>
          </cell>
          <cell r="C9251" t="str">
            <v>BANCO ITAU BBA S/A</v>
          </cell>
          <cell r="D9251" t="str">
            <v>BANCO ITAU BBA S/A</v>
          </cell>
          <cell r="E9251" t="str">
            <v>BANCO ITAU BBA S/A</v>
          </cell>
        </row>
        <row r="9252">
          <cell r="B9252">
            <v>79435</v>
          </cell>
          <cell r="C9252" t="str">
            <v>BANCO ITAU BBA S/A</v>
          </cell>
          <cell r="D9252" t="str">
            <v>BANCO ITAU BBA S/A</v>
          </cell>
          <cell r="E9252" t="str">
            <v>BANCO ITAU BBA S/A</v>
          </cell>
        </row>
        <row r="9253">
          <cell r="B9253">
            <v>79436</v>
          </cell>
          <cell r="C9253" t="str">
            <v>BANCO ITAU BBA S/A</v>
          </cell>
          <cell r="D9253" t="str">
            <v>BANCO ITAU BBA S/A</v>
          </cell>
          <cell r="E9253" t="str">
            <v>BANCO ITAU BBA S/A</v>
          </cell>
        </row>
        <row r="9254">
          <cell r="B9254">
            <v>79437</v>
          </cell>
          <cell r="C9254" t="str">
            <v>BANCO ITAU BBA S/A</v>
          </cell>
          <cell r="D9254" t="str">
            <v>BANCO ITAU BBA S/A</v>
          </cell>
          <cell r="E9254" t="str">
            <v>BANCO ITAU BBA S/A</v>
          </cell>
        </row>
        <row r="9255">
          <cell r="B9255">
            <v>79438</v>
          </cell>
          <cell r="C9255" t="str">
            <v>BANCO ITAU BBA S/A</v>
          </cell>
          <cell r="D9255" t="str">
            <v>BANCO ITAU BBA S/A</v>
          </cell>
          <cell r="E9255" t="str">
            <v>BANCO ITAU BBA S/A</v>
          </cell>
        </row>
        <row r="9256">
          <cell r="B9256">
            <v>79439</v>
          </cell>
          <cell r="C9256" t="str">
            <v>BANCO ITAU BBA S/A</v>
          </cell>
          <cell r="D9256" t="str">
            <v>BANCO ITAU BBA S/A</v>
          </cell>
          <cell r="E9256" t="str">
            <v>BANCO ITAU BBA S/A</v>
          </cell>
        </row>
        <row r="9257">
          <cell r="B9257">
            <v>79440</v>
          </cell>
          <cell r="C9257" t="str">
            <v>BANCO ITAU BBA S/A</v>
          </cell>
          <cell r="D9257" t="str">
            <v>BANCO ITAU BBA S/A</v>
          </cell>
          <cell r="E9257" t="str">
            <v>BANCO ITAU BBA S/A</v>
          </cell>
        </row>
        <row r="9258">
          <cell r="B9258">
            <v>79441</v>
          </cell>
          <cell r="C9258" t="str">
            <v>BANCO ITAU BBA S/A</v>
          </cell>
          <cell r="D9258" t="str">
            <v>BANCO ITAU BBA S/A</v>
          </cell>
          <cell r="E9258" t="str">
            <v>BANCO ITAU BBA S/A</v>
          </cell>
        </row>
        <row r="9259">
          <cell r="B9259">
            <v>79442</v>
          </cell>
          <cell r="C9259" t="str">
            <v>BANCO ITAU BBA S/A</v>
          </cell>
          <cell r="D9259" t="str">
            <v>BANCO ITAU BBA S/A</v>
          </cell>
          <cell r="E9259" t="str">
            <v>BANCO ITAU BBA S/A</v>
          </cell>
        </row>
        <row r="9260">
          <cell r="B9260">
            <v>79443</v>
          </cell>
          <cell r="C9260" t="str">
            <v>BANCO ITAU BBA S/A</v>
          </cell>
          <cell r="D9260" t="str">
            <v>BANCO ITAU BBA S/A</v>
          </cell>
          <cell r="E9260" t="str">
            <v>BANCO ITAU BBA S/A</v>
          </cell>
        </row>
        <row r="9261">
          <cell r="B9261">
            <v>79444</v>
          </cell>
          <cell r="C9261" t="str">
            <v>BANCO ITAU BBA S/A</v>
          </cell>
          <cell r="D9261" t="str">
            <v>BANCO ITAU BBA S/A</v>
          </cell>
          <cell r="E9261" t="str">
            <v>BANCO ITAU BBA S/A</v>
          </cell>
        </row>
        <row r="9262">
          <cell r="B9262">
            <v>79445</v>
          </cell>
          <cell r="C9262" t="str">
            <v>BANCO ITAU BBA S/A</v>
          </cell>
          <cell r="D9262" t="str">
            <v>BANCO ITAU BBA S/A</v>
          </cell>
          <cell r="E9262" t="str">
            <v>BANCO ITAU BBA S/A</v>
          </cell>
        </row>
        <row r="9263">
          <cell r="B9263">
            <v>79446</v>
          </cell>
          <cell r="C9263" t="str">
            <v>BANCO ITAU BBA S/A</v>
          </cell>
          <cell r="D9263" t="str">
            <v>BANCO ITAU BBA S/A</v>
          </cell>
          <cell r="E9263" t="str">
            <v>BANCO ITAU BBA S/A</v>
          </cell>
        </row>
        <row r="9264">
          <cell r="B9264">
            <v>79447</v>
          </cell>
          <cell r="C9264" t="str">
            <v>BANCO ITAU BBA S/A</v>
          </cell>
          <cell r="D9264" t="str">
            <v>BANCO ITAU BBA S/A</v>
          </cell>
          <cell r="E9264" t="str">
            <v>BANCO ITAU BBA S/A</v>
          </cell>
        </row>
        <row r="9265">
          <cell r="B9265">
            <v>79448</v>
          </cell>
          <cell r="C9265" t="str">
            <v>BANCO DAYCOVAL S/A</v>
          </cell>
          <cell r="D9265" t="str">
            <v>BANCO DAYCOVAL S/A</v>
          </cell>
          <cell r="E9265" t="str">
            <v>BANCO DAYCOVAL S/A</v>
          </cell>
        </row>
        <row r="9266">
          <cell r="B9266">
            <v>79449</v>
          </cell>
          <cell r="C9266" t="str">
            <v>BANCO CREDIT AGRICOLE BRASIL S/A</v>
          </cell>
          <cell r="D9266" t="str">
            <v>BANCO CREDIT AGRICOLE BRASIL S/A</v>
          </cell>
          <cell r="E9266" t="str">
            <v>BANCO CREDIT AGRICOLE BRASIL S/A</v>
          </cell>
        </row>
        <row r="9267">
          <cell r="B9267">
            <v>79450</v>
          </cell>
          <cell r="C9267" t="str">
            <v>MAUA INVESTIMENTOS LTDA</v>
          </cell>
          <cell r="D9267" t="str">
            <v>MAUA INVESTIMENTOS LTDA</v>
          </cell>
          <cell r="E9267" t="str">
            <v>MAUA INVESTIMENTOS LTDA</v>
          </cell>
        </row>
        <row r="9268">
          <cell r="B9268">
            <v>79451</v>
          </cell>
          <cell r="C9268" t="str">
            <v>SOCIETE GENERALE (PARIS)</v>
          </cell>
          <cell r="D9268" t="str">
            <v>SOCIETE GENERALE (PARIS)</v>
          </cell>
          <cell r="E9268" t="str">
            <v>BANCO SOCIETE GENERALE BRASIL S/A</v>
          </cell>
        </row>
        <row r="9269">
          <cell r="B9269">
            <v>79453</v>
          </cell>
          <cell r="C9269" t="str">
            <v>ITAU UNIBANCO S.A.</v>
          </cell>
          <cell r="D9269" t="str">
            <v>ITAU UNIBANCO S.A.</v>
          </cell>
          <cell r="E9269" t="str">
            <v>ITAU UNIBANCO S/A</v>
          </cell>
        </row>
        <row r="9270">
          <cell r="B9270">
            <v>79454</v>
          </cell>
          <cell r="C9270" t="str">
            <v>ITAU UNIBANCO S.A.</v>
          </cell>
          <cell r="D9270" t="str">
            <v>ITAU UNIBANCO S.A.</v>
          </cell>
          <cell r="E9270" t="str">
            <v>ITAU UNIBANCO S/A</v>
          </cell>
        </row>
        <row r="9271">
          <cell r="B9271">
            <v>79455</v>
          </cell>
          <cell r="C9271" t="str">
            <v>ITAU UNIBANCO S.A.</v>
          </cell>
          <cell r="D9271" t="str">
            <v>ITAU UNIBANCO S.A.</v>
          </cell>
          <cell r="E9271" t="str">
            <v>ITAU UNIBANCO S/A</v>
          </cell>
        </row>
        <row r="9272">
          <cell r="B9272">
            <v>79456</v>
          </cell>
          <cell r="C9272" t="str">
            <v>ITAU UNIBANCO S.A.</v>
          </cell>
          <cell r="D9272" t="str">
            <v>ITAU UNIBANCO S.A.</v>
          </cell>
          <cell r="E9272" t="str">
            <v>ITAU UNIBANCO S/A</v>
          </cell>
        </row>
        <row r="9273">
          <cell r="B9273">
            <v>79457</v>
          </cell>
          <cell r="C9273" t="str">
            <v>ITAU UNIBANCO S.A.</v>
          </cell>
          <cell r="D9273" t="str">
            <v>ITAU UNIBANCO S.A.</v>
          </cell>
          <cell r="E9273" t="str">
            <v>ITAU UNIBANCO S/A</v>
          </cell>
        </row>
        <row r="9274">
          <cell r="B9274">
            <v>79458</v>
          </cell>
          <cell r="C9274" t="str">
            <v>ITAU UNIBANCO S.A.</v>
          </cell>
          <cell r="D9274" t="str">
            <v>ITAU UNIBANCO S.A.</v>
          </cell>
          <cell r="E9274" t="str">
            <v>ITAU UNIBANCO S/A</v>
          </cell>
        </row>
        <row r="9275">
          <cell r="B9275">
            <v>79459</v>
          </cell>
          <cell r="C9275" t="str">
            <v>ITAU UNIBANCO S.A.</v>
          </cell>
          <cell r="D9275" t="str">
            <v>ITAU UNIBANCO S.A.</v>
          </cell>
          <cell r="E9275" t="str">
            <v>ITAU UNIBANCO S/A</v>
          </cell>
        </row>
        <row r="9276">
          <cell r="B9276">
            <v>79460</v>
          </cell>
          <cell r="C9276" t="str">
            <v>ITAU UNIBANCO S.A.</v>
          </cell>
          <cell r="D9276" t="str">
            <v>ITAU UNIBANCO S.A.</v>
          </cell>
          <cell r="E9276" t="str">
            <v>ITAU UNIBANCO S/A</v>
          </cell>
        </row>
        <row r="9277">
          <cell r="B9277">
            <v>79461</v>
          </cell>
          <cell r="C9277" t="str">
            <v>ITAU UNIBANCO S.A.</v>
          </cell>
          <cell r="D9277" t="str">
            <v>ITAU UNIBANCO S.A.</v>
          </cell>
          <cell r="E9277" t="str">
            <v>ITAU UNIBANCO S/A</v>
          </cell>
        </row>
        <row r="9278">
          <cell r="B9278">
            <v>79462</v>
          </cell>
          <cell r="C9278" t="str">
            <v>ITAU UNIBANCO S.A.</v>
          </cell>
          <cell r="D9278" t="str">
            <v>ITAU UNIBANCO S.A.</v>
          </cell>
          <cell r="E9278" t="str">
            <v>ITAU UNIBANCO S/A</v>
          </cell>
        </row>
        <row r="9279">
          <cell r="B9279">
            <v>79463</v>
          </cell>
          <cell r="C9279" t="str">
            <v>ITAU UNIBANCO S.A.</v>
          </cell>
          <cell r="D9279" t="str">
            <v>ITAU UNIBANCO S.A.</v>
          </cell>
          <cell r="E9279" t="str">
            <v>ITAU UNIBANCO S/A</v>
          </cell>
        </row>
        <row r="9280">
          <cell r="B9280">
            <v>79464</v>
          </cell>
          <cell r="C9280" t="str">
            <v>ITAU UNIBANCO S.A.</v>
          </cell>
          <cell r="D9280" t="str">
            <v>ITAU UNIBANCO S.A.</v>
          </cell>
          <cell r="E9280" t="str">
            <v>ITAU UNIBANCO S/A</v>
          </cell>
        </row>
        <row r="9281">
          <cell r="B9281">
            <v>79465</v>
          </cell>
          <cell r="C9281" t="str">
            <v>ITAU UNIBANCO S.A.</v>
          </cell>
          <cell r="D9281" t="str">
            <v>ITAU UNIBANCO S.A.</v>
          </cell>
          <cell r="E9281" t="str">
            <v>ITAU UNIBANCO S/A</v>
          </cell>
        </row>
        <row r="9282">
          <cell r="B9282">
            <v>79466</v>
          </cell>
          <cell r="C9282" t="str">
            <v>ITAU UNIBANCO S.A.</v>
          </cell>
          <cell r="D9282" t="str">
            <v>ITAU UNIBANCO S.A.</v>
          </cell>
          <cell r="E9282" t="str">
            <v>ITAU UNIBANCO S/A</v>
          </cell>
        </row>
        <row r="9283">
          <cell r="B9283">
            <v>79467</v>
          </cell>
          <cell r="C9283" t="str">
            <v>ITAU UNIBANCO S.A.</v>
          </cell>
          <cell r="D9283" t="str">
            <v>ITAU UNIBANCO S.A.</v>
          </cell>
          <cell r="E9283" t="str">
            <v>ITAU UNIBANCO S/A</v>
          </cell>
        </row>
        <row r="9284">
          <cell r="B9284">
            <v>79468</v>
          </cell>
          <cell r="C9284" t="str">
            <v>ITAU UNIBANCO S.A.</v>
          </cell>
          <cell r="D9284" t="str">
            <v>ITAU UNIBANCO S.A.</v>
          </cell>
          <cell r="E9284" t="str">
            <v>ITAU UNIBANCO S/A</v>
          </cell>
        </row>
        <row r="9285">
          <cell r="B9285">
            <v>79469</v>
          </cell>
          <cell r="C9285" t="str">
            <v>BANCO CARGILL S/A</v>
          </cell>
          <cell r="D9285" t="str">
            <v>BANCO CARGILL S/A</v>
          </cell>
          <cell r="E9285" t="str">
            <v>BANCO CARGILL S/A</v>
          </cell>
        </row>
        <row r="9286">
          <cell r="B9286">
            <v>79470</v>
          </cell>
          <cell r="C9286" t="str">
            <v>CARGILL AGRICOLA S/A</v>
          </cell>
          <cell r="D9286" t="str">
            <v>CARGILL AGRICOLA S/A</v>
          </cell>
          <cell r="E9286" t="str">
            <v>BANCO CARGILL S/A</v>
          </cell>
        </row>
        <row r="9287">
          <cell r="B9287">
            <v>79471</v>
          </cell>
          <cell r="C9287" t="str">
            <v>INFINIUM CAPITAL MANAGEMENT LLC</v>
          </cell>
          <cell r="D9287" t="str">
            <v>INFINIUM CAPITAL MANAGEMENT LLC</v>
          </cell>
          <cell r="E9287" t="str">
            <v>INFINIUM CAPITAL MANAGEMENT LLC</v>
          </cell>
        </row>
        <row r="9288">
          <cell r="B9288">
            <v>79472</v>
          </cell>
          <cell r="C9288" t="str">
            <v>INFINIUM CAPITAL MANAGEMENT LLC</v>
          </cell>
          <cell r="D9288" t="str">
            <v>INFINIUM CAPITAL MANAGEMENT LLC</v>
          </cell>
          <cell r="E9288" t="str">
            <v>INFINIUM CAPITAL MANAGEMENT LLC</v>
          </cell>
        </row>
        <row r="9289">
          <cell r="B9289">
            <v>79473</v>
          </cell>
          <cell r="C9289" t="str">
            <v>PARTNER FIA IE</v>
          </cell>
          <cell r="D9289" t="str">
            <v>PARTNER FIA IE</v>
          </cell>
          <cell r="E9289" t="str">
            <v>PARTNER FIA IE</v>
          </cell>
        </row>
        <row r="9290">
          <cell r="B9290">
            <v>79474</v>
          </cell>
          <cell r="C9290" t="str">
            <v>BANCO MUFG BRASIL S.A.</v>
          </cell>
          <cell r="D9290" t="str">
            <v>BANCO MUFG BRASIL S.A.</v>
          </cell>
          <cell r="E9290" t="str">
            <v>BANCO MUFG BRASIL S/A</v>
          </cell>
        </row>
        <row r="9291">
          <cell r="B9291">
            <v>79475</v>
          </cell>
          <cell r="C9291" t="str">
            <v>CAIXA ECONOMICA FEDERAL</v>
          </cell>
          <cell r="D9291" t="str">
            <v>CAIXA ECONOMICA FEDERAL</v>
          </cell>
          <cell r="E9291" t="str">
            <v>CAIXA ECONOMICA FEDERAL</v>
          </cell>
        </row>
        <row r="9292">
          <cell r="B9292">
            <v>79476</v>
          </cell>
          <cell r="C9292" t="str">
            <v>CAIXA ECONOMICA FEDERAL</v>
          </cell>
          <cell r="D9292" t="str">
            <v>CAIXA ECONOMICA FEDERAL</v>
          </cell>
          <cell r="E9292" t="str">
            <v>CAIXA ECONOMICA FEDERAL</v>
          </cell>
        </row>
        <row r="9293">
          <cell r="B9293">
            <v>79477</v>
          </cell>
          <cell r="C9293" t="str">
            <v>A3 PERFORMANCE GESTAO DE RECURSOS LTDA</v>
          </cell>
          <cell r="D9293" t="str">
            <v>A3 PERFORMANCE GESTAO DE RECURSOS LTDA</v>
          </cell>
          <cell r="E9293" t="str">
            <v>A3 PERFORMANCE GESTAO DE RECURSOS LTDA</v>
          </cell>
        </row>
        <row r="9294">
          <cell r="B9294">
            <v>79478</v>
          </cell>
          <cell r="C9294" t="str">
            <v>WESTERN ASSET MANAGEMENT COMPANY DTVM LTDA</v>
          </cell>
          <cell r="D9294" t="str">
            <v>WESTERN ASSET MANAGEMENT COMPANY DTVM LTDA</v>
          </cell>
          <cell r="E9294" t="str">
            <v>WESTERN ASSET MANAGEMENT COMPANY DTVM LTDA</v>
          </cell>
        </row>
        <row r="9295">
          <cell r="B9295">
            <v>79479</v>
          </cell>
          <cell r="C9295" t="str">
            <v>WESTERN ASSET MANAGEMENT COMPANY DTVM LTDA</v>
          </cell>
          <cell r="D9295" t="str">
            <v>WESTERN ASSET MANAGEMENT COMPANY DTVM LTDA</v>
          </cell>
          <cell r="E9295" t="str">
            <v>WESTERN ASSET MANAGEMENT COMPANY DTVM LTDA</v>
          </cell>
        </row>
        <row r="9296">
          <cell r="B9296">
            <v>79480</v>
          </cell>
          <cell r="C9296" t="str">
            <v>JASPER INTERNATIONAL INVESTMENT LLC</v>
          </cell>
          <cell r="D9296" t="str">
            <v>JASPER INTERNATIONAL INVESTMENT LLC</v>
          </cell>
          <cell r="E9296" t="str">
            <v>JASPER INTERNATIONAL INVESTMENT LLC</v>
          </cell>
        </row>
        <row r="9297">
          <cell r="B9297">
            <v>79481</v>
          </cell>
          <cell r="C9297" t="str">
            <v>JASPER INTERNATIONAL INVESTMENT LLC</v>
          </cell>
          <cell r="D9297" t="str">
            <v>JASPER INTERNATIONAL INVESTMENT LLC</v>
          </cell>
          <cell r="E9297" t="str">
            <v>JASPER INTERNATIONAL INVESTMENT LLC</v>
          </cell>
        </row>
        <row r="9298">
          <cell r="B9298">
            <v>79482</v>
          </cell>
          <cell r="C9298" t="str">
            <v>JASPER INTERNATIONAL INVESTMENT LLC</v>
          </cell>
          <cell r="D9298" t="str">
            <v>JASPER INTERNATIONAL INVESTMENT LLC</v>
          </cell>
          <cell r="E9298" t="str">
            <v>JASPER INTERNATIONAL INVESTMENT LLC</v>
          </cell>
        </row>
        <row r="9299">
          <cell r="B9299">
            <v>79483</v>
          </cell>
          <cell r="C9299" t="str">
            <v>JASPER INTERNATIONAL INVESTMENT LLC</v>
          </cell>
          <cell r="D9299" t="str">
            <v>JASPER INTERNATIONAL INVESTMENT LLC</v>
          </cell>
          <cell r="E9299" t="str">
            <v>JASPER INTERNATIONAL INVESTMENT LLC</v>
          </cell>
        </row>
        <row r="9300">
          <cell r="B9300">
            <v>79484</v>
          </cell>
          <cell r="C9300" t="str">
            <v>JASPER INTERNATIONAL INVESTMENT LLC</v>
          </cell>
          <cell r="D9300" t="str">
            <v>JASPER INTERNATIONAL INVESTMENT LLC</v>
          </cell>
          <cell r="E9300" t="str">
            <v>JASPER INTERNATIONAL INVESTMENT LLC</v>
          </cell>
        </row>
        <row r="9301">
          <cell r="B9301">
            <v>79485</v>
          </cell>
          <cell r="C9301" t="str">
            <v>JASPER INTERNATIONAL INVESTMENT LLC</v>
          </cell>
          <cell r="D9301" t="str">
            <v>JASPER INTERNATIONAL INVESTMENT LLC</v>
          </cell>
          <cell r="E9301" t="str">
            <v>JASPER INTERNATIONAL INVESTMENT LLC</v>
          </cell>
        </row>
        <row r="9302">
          <cell r="B9302">
            <v>79486</v>
          </cell>
          <cell r="C9302" t="str">
            <v>3G CAPITAL GESTORA DE RECURSOS LTDA</v>
          </cell>
          <cell r="D9302" t="str">
            <v>3G CAPITAL GESTORA DE RECURSOS LTDA</v>
          </cell>
          <cell r="E9302" t="str">
            <v>3G CAPITAL GESTORA DE RECURSOS LTDA</v>
          </cell>
        </row>
        <row r="9303">
          <cell r="B9303">
            <v>79487</v>
          </cell>
          <cell r="C9303" t="str">
            <v>CREDIT SUISSE HEDGING-GRIFFO WEALTH MANAGEMENT S/A</v>
          </cell>
          <cell r="D9303" t="str">
            <v>CREDIT SUISSE HEDGING-GRIFFO WEALTH MANAGEMENT S/A</v>
          </cell>
          <cell r="E9303" t="str">
            <v>CREDIT SUISSE HEDGING-GRIFFO WEALTH MANAGEMENT S/A</v>
          </cell>
        </row>
        <row r="9304">
          <cell r="B9304">
            <v>79488</v>
          </cell>
          <cell r="C9304" t="str">
            <v>CREDIT SUISSE HEDGING-GRIFFO WEALTH MANAGEMENT S/A</v>
          </cell>
          <cell r="D9304" t="str">
            <v>CREDIT SUISSE HEDGING-GRIFFO WEALTH MANAGEMENT S/A</v>
          </cell>
          <cell r="E9304" t="str">
            <v>CREDIT SUISSE HEDGING-GRIFFO WEALTH MANAGEMENT S/A</v>
          </cell>
        </row>
        <row r="9305">
          <cell r="B9305">
            <v>79489</v>
          </cell>
          <cell r="C9305" t="str">
            <v>CREDIT SUISSE HEDGING-GRIFFO WEALTH MANAGEMENT S/A</v>
          </cell>
          <cell r="D9305" t="str">
            <v>CREDIT SUISSE HEDGING-GRIFFO WEALTH MANAGEMENT S/A</v>
          </cell>
          <cell r="E9305" t="str">
            <v>CREDIT SUISSE HEDGING-GRIFFO WEALTH MANAGEMENT S/A</v>
          </cell>
        </row>
        <row r="9306">
          <cell r="B9306">
            <v>79490</v>
          </cell>
          <cell r="C9306" t="str">
            <v>CREDIT SUISSE HEDGING-GRIFFO WEALTH MANAGEMENT S/A</v>
          </cell>
          <cell r="D9306" t="str">
            <v>CREDIT SUISSE HEDGING-GRIFFO WEALTH MANAGEMENT S/A</v>
          </cell>
          <cell r="E9306" t="str">
            <v>CREDIT SUISSE HEDGING-GRIFFO WEALTH MANAGEMENT S/A</v>
          </cell>
        </row>
        <row r="9307">
          <cell r="B9307">
            <v>79491</v>
          </cell>
          <cell r="C9307" t="str">
            <v>BANCO ITAUCARD S/A</v>
          </cell>
          <cell r="D9307" t="str">
            <v>BANCO ITAUCARD S/A</v>
          </cell>
          <cell r="E9307" t="str">
            <v>BANCO   ITAUCARD S/A</v>
          </cell>
        </row>
        <row r="9308">
          <cell r="B9308">
            <v>79492</v>
          </cell>
          <cell r="C9308" t="str">
            <v>BANCO ITAUCARD S/A</v>
          </cell>
          <cell r="D9308" t="str">
            <v>BANCO ITAUCARD S/A</v>
          </cell>
          <cell r="E9308" t="str">
            <v>BANCO   ITAUCARD S/A</v>
          </cell>
        </row>
        <row r="9309">
          <cell r="B9309">
            <v>79493</v>
          </cell>
          <cell r="C9309" t="str">
            <v>BANCO MORGAN STANLEY S/A</v>
          </cell>
          <cell r="D9309" t="str">
            <v>BANCO MORGAN STANLEY S/A</v>
          </cell>
          <cell r="E9309" t="str">
            <v>BANCO MORGAN STANLEY S/A</v>
          </cell>
        </row>
        <row r="9310">
          <cell r="B9310">
            <v>79494</v>
          </cell>
          <cell r="C9310" t="str">
            <v>CITIGROUP GLOBAL MARKETS LIMITED</v>
          </cell>
          <cell r="D9310" t="str">
            <v>CITIGROUP GLOBAL MARKETS LIMITED</v>
          </cell>
          <cell r="E9310" t="str">
            <v>BANCO CITIBANK S/A</v>
          </cell>
        </row>
        <row r="9311">
          <cell r="B9311">
            <v>79495</v>
          </cell>
          <cell r="C9311" t="str">
            <v>CITIGROUP GLOBAL MARKETS LIMITED</v>
          </cell>
          <cell r="D9311" t="str">
            <v>CITIGROUP GLOBAL MARKETS LIMITED</v>
          </cell>
          <cell r="E9311" t="str">
            <v>BANCO CITIBANK S/A</v>
          </cell>
        </row>
        <row r="9312">
          <cell r="B9312">
            <v>79496</v>
          </cell>
          <cell r="C9312" t="str">
            <v>ADVIS INVESTIMENTOS LTDA (ANTIGO ADVISOR ADM DE RECURSOS)</v>
          </cell>
          <cell r="D9312" t="str">
            <v>ADVIS INVESTIMENTOS LTDA (ANTIGO ADVISOR ADM DE RECURSOS)</v>
          </cell>
          <cell r="E9312" t="str">
            <v>ADVIS INVESTIMENTOS LTDA (ANTIGO ADVISOR ADM DE RECURSOS)</v>
          </cell>
        </row>
        <row r="9313">
          <cell r="B9313">
            <v>79497</v>
          </cell>
          <cell r="C9313" t="str">
            <v>BANK OF AMERICA MERRILL LYNCH BANCO MULTIPLO S/A</v>
          </cell>
          <cell r="D9313" t="str">
            <v>BANK OF AMERICA MERRILL LYNCH BANCO MULTIPLO S/A</v>
          </cell>
          <cell r="E9313" t="str">
            <v>BANK OF AMERICA MERRILL LYNCH BANCO MULTIPLO S/A</v>
          </cell>
        </row>
        <row r="9314">
          <cell r="B9314">
            <v>79498</v>
          </cell>
          <cell r="C9314" t="str">
            <v>GAP GESTORA DE RECURSOS LTDA</v>
          </cell>
          <cell r="D9314" t="str">
            <v>GAP GESTORA DE RECURSOS LTDA</v>
          </cell>
          <cell r="E9314" t="str">
            <v>GAP GESTORA DE RECURSOS LTDA</v>
          </cell>
        </row>
        <row r="9315">
          <cell r="B9315">
            <v>79499</v>
          </cell>
          <cell r="C9315" t="str">
            <v>GAP GESTORA DE RECURSOS LTDA</v>
          </cell>
          <cell r="D9315" t="str">
            <v>GAP GESTORA DE RECURSOS LTDA</v>
          </cell>
          <cell r="E9315" t="str">
            <v>GAP GESTORA DE RECURSOS LTDA</v>
          </cell>
        </row>
        <row r="9316">
          <cell r="B9316">
            <v>79500</v>
          </cell>
          <cell r="C9316" t="str">
            <v>GAP PRUDENTIAL LT GESTAO DE RECURSOS LTDA</v>
          </cell>
          <cell r="D9316" t="str">
            <v>GAP PRUDENTIAL LT GESTAO DE RECURSOS LTDA</v>
          </cell>
          <cell r="E9316" t="str">
            <v>GAP PRUDENTIAL LT GESTAO DE RECURSOS LTDA</v>
          </cell>
        </row>
        <row r="9317">
          <cell r="B9317">
            <v>79501</v>
          </cell>
          <cell r="C9317" t="str">
            <v>GAP PRUDENTIAL LT GESTAO DE RECURSOS LTDA</v>
          </cell>
          <cell r="D9317" t="str">
            <v>GAP PRUDENTIAL LT GESTAO DE RECURSOS LTDA</v>
          </cell>
          <cell r="E9317" t="str">
            <v>GAP PRUDENTIAL LT GESTAO DE RECURSOS LTDA</v>
          </cell>
        </row>
        <row r="9318">
          <cell r="B9318">
            <v>79502</v>
          </cell>
          <cell r="C9318" t="str">
            <v>CITIBANK DTVM S/A</v>
          </cell>
          <cell r="D9318" t="str">
            <v>CITIBANK DTVM S/A</v>
          </cell>
          <cell r="E9318" t="str">
            <v>CITIBANK DTVM S/A</v>
          </cell>
        </row>
        <row r="9319">
          <cell r="B9319">
            <v>79503</v>
          </cell>
          <cell r="C9319" t="str">
            <v>BANCO SAFRA S/A</v>
          </cell>
          <cell r="D9319" t="str">
            <v>BANCO SAFRA S/A</v>
          </cell>
          <cell r="E9319" t="str">
            <v>BANCO SAFRA S/A</v>
          </cell>
        </row>
        <row r="9320">
          <cell r="B9320">
            <v>79504</v>
          </cell>
          <cell r="C9320" t="str">
            <v>BANCO GENIAL S.A</v>
          </cell>
          <cell r="D9320" t="str">
            <v>BANCO GENIAL S.A</v>
          </cell>
          <cell r="E9320" t="str">
            <v>BANCO GENIAL S/A</v>
          </cell>
        </row>
        <row r="9321">
          <cell r="B9321">
            <v>79506</v>
          </cell>
          <cell r="C9321" t="str">
            <v>BOZANO DIFERENCIAL 30 MASTER FIM</v>
          </cell>
          <cell r="D9321" t="str">
            <v>BOZANO DIFERENCIAL 30 MASTER FIM</v>
          </cell>
          <cell r="E9321" t="str">
            <v>BOZANO DIFERENCIAL 30 MASTER FIM</v>
          </cell>
        </row>
        <row r="9322">
          <cell r="B9322">
            <v>79507</v>
          </cell>
          <cell r="C9322" t="str">
            <v>JPP CAPITAL GESTAO DE RECURSOS LTDA</v>
          </cell>
          <cell r="D9322" t="str">
            <v>JPP CAPITAL GESTAO DE RECURSOS LTDA</v>
          </cell>
          <cell r="E9322" t="str">
            <v>JPP CAPITAL GESTAO DE RECURSOS LTDA</v>
          </cell>
        </row>
        <row r="9323">
          <cell r="B9323">
            <v>79508</v>
          </cell>
          <cell r="C9323" t="str">
            <v>ALBATROZ FIM CP</v>
          </cell>
          <cell r="D9323" t="str">
            <v>ALBATROZ FIM CP</v>
          </cell>
          <cell r="E9323" t="str">
            <v>ALBATROZ FIM CP</v>
          </cell>
        </row>
        <row r="9324">
          <cell r="B9324">
            <v>79509</v>
          </cell>
          <cell r="C9324" t="str">
            <v>ARAUCARIA FIM CP IE</v>
          </cell>
          <cell r="D9324" t="str">
            <v>ARAUCARIA FIM CP IE</v>
          </cell>
          <cell r="E9324" t="str">
            <v>CONSENSO INVESTIMENTOS LTDA</v>
          </cell>
        </row>
        <row r="9325">
          <cell r="B9325">
            <v>79510</v>
          </cell>
          <cell r="C9325" t="str">
            <v>CAJU FIM CP IE</v>
          </cell>
          <cell r="D9325" t="str">
            <v>CAJU FIM CP IE</v>
          </cell>
          <cell r="E9325" t="str">
            <v>CAJU FIM CP IE</v>
          </cell>
        </row>
        <row r="9326">
          <cell r="B9326">
            <v>79511</v>
          </cell>
          <cell r="C9326" t="str">
            <v>LUNA FIM CP IE</v>
          </cell>
          <cell r="D9326" t="str">
            <v>LUNA FIM CP IE</v>
          </cell>
          <cell r="E9326" t="str">
            <v>CONSENSO INVESTIMENTOS LTDA</v>
          </cell>
        </row>
        <row r="9327">
          <cell r="B9327">
            <v>79512</v>
          </cell>
          <cell r="C9327" t="str">
            <v>ODESSA FIM CP  IE</v>
          </cell>
          <cell r="D9327" t="str">
            <v>ODESSA FIM CP  IE</v>
          </cell>
          <cell r="E9327" t="str">
            <v>ODESSA FIM CP  IE</v>
          </cell>
        </row>
        <row r="9328">
          <cell r="B9328">
            <v>79513</v>
          </cell>
          <cell r="C9328" t="str">
            <v>PEGASUS - FUNDO DE INVESTIMENTO MULTIMERCADO CP IE</v>
          </cell>
          <cell r="D9328" t="str">
            <v>PEGASUS - FUNDO DE INVESTIMENTO MULTIMERCADO CP IE</v>
          </cell>
          <cell r="E9328" t="str">
            <v>PEGASUS - FUNDO DE INVESTIMENTO MULTIMERCADO CP IE</v>
          </cell>
        </row>
        <row r="9329">
          <cell r="B9329">
            <v>79514</v>
          </cell>
          <cell r="C9329" t="str">
            <v>SUCESSO FIM CP IE</v>
          </cell>
          <cell r="D9329" t="str">
            <v>SUCESSO FIM CP IE</v>
          </cell>
          <cell r="E9329" t="str">
            <v>JULIUS BAER FAMILY OFFICE BRASIL GESTAO DE PATRIMONIO LTDA</v>
          </cell>
        </row>
        <row r="9330">
          <cell r="B9330">
            <v>79515</v>
          </cell>
          <cell r="C9330" t="str">
            <v>LJB FIM IE</v>
          </cell>
          <cell r="D9330" t="str">
            <v>LJB FIM IE</v>
          </cell>
          <cell r="E9330" t="str">
            <v>LJB FIM IE</v>
          </cell>
        </row>
        <row r="9331">
          <cell r="B9331">
            <v>79516</v>
          </cell>
          <cell r="C9331" t="str">
            <v>RJPT FIM IE CP</v>
          </cell>
          <cell r="D9331" t="str">
            <v>RJPT FIM IE CP</v>
          </cell>
          <cell r="E9331" t="str">
            <v>RJPT FIM IE CP</v>
          </cell>
        </row>
        <row r="9332">
          <cell r="B9332">
            <v>79517</v>
          </cell>
          <cell r="C9332" t="str">
            <v>PROSPERIDADE FIM IE CP</v>
          </cell>
          <cell r="D9332" t="str">
            <v>PROSPERIDADE FIM IE CP</v>
          </cell>
          <cell r="E9332" t="str">
            <v>PROSPERIDADE FIM IE CP</v>
          </cell>
        </row>
        <row r="9333">
          <cell r="B9333">
            <v>79518</v>
          </cell>
          <cell r="C9333" t="str">
            <v>MARACUJA FIM CP IE</v>
          </cell>
          <cell r="D9333" t="str">
            <v>MARACUJA FIM CP IE</v>
          </cell>
          <cell r="E9333" t="str">
            <v>MARACUJA FIM CP IE</v>
          </cell>
        </row>
        <row r="9334">
          <cell r="B9334">
            <v>79519</v>
          </cell>
          <cell r="C9334" t="str">
            <v>SODIX FIM CP IE</v>
          </cell>
          <cell r="D9334" t="str">
            <v>SODIX FIM CP IE</v>
          </cell>
          <cell r="E9334" t="str">
            <v>CONSENSO INVESTIMENTOS LTDA</v>
          </cell>
        </row>
        <row r="9335">
          <cell r="B9335">
            <v>79520</v>
          </cell>
          <cell r="C9335" t="str">
            <v>POLUX FIC FIA</v>
          </cell>
          <cell r="D9335" t="str">
            <v>POLUX FIC FIA</v>
          </cell>
          <cell r="E9335" t="str">
            <v>POLUX FIC FIA</v>
          </cell>
        </row>
        <row r="9336">
          <cell r="B9336">
            <v>79521</v>
          </cell>
          <cell r="C9336" t="str">
            <v>TRAIRAO FIM</v>
          </cell>
          <cell r="D9336" t="str">
            <v>TRAIRAO FIM</v>
          </cell>
          <cell r="E9336" t="str">
            <v>CONSENSO INVESTIMENTOS LTDA</v>
          </cell>
        </row>
        <row r="9337">
          <cell r="B9337">
            <v>79523</v>
          </cell>
          <cell r="C9337" t="str">
            <v>TRIANGULO FIM CP IE</v>
          </cell>
          <cell r="D9337" t="str">
            <v>TRIANGULO FIM CP IE</v>
          </cell>
          <cell r="E9337" t="str">
            <v>TRIANGULO FIM CP IE</v>
          </cell>
        </row>
        <row r="9338">
          <cell r="B9338">
            <v>79524</v>
          </cell>
          <cell r="C9338" t="str">
            <v>QUELUZ MACRO I FIM</v>
          </cell>
          <cell r="D9338" t="str">
            <v>QUELUZ MACRO I FIM</v>
          </cell>
          <cell r="E9338" t="str">
            <v>QLZ GESTAO DE RECURSOS FINANCEIROS LTDA</v>
          </cell>
        </row>
        <row r="9339">
          <cell r="B9339">
            <v>79525</v>
          </cell>
          <cell r="C9339" t="str">
            <v>BANCO FATOR S/A</v>
          </cell>
          <cell r="D9339" t="str">
            <v>BANCO FATOR S/A</v>
          </cell>
          <cell r="E9339" t="str">
            <v>BANCO FATOR S/A</v>
          </cell>
        </row>
        <row r="9340">
          <cell r="B9340">
            <v>79526</v>
          </cell>
          <cell r="C9340" t="str">
            <v>RAIZEN CENTRO SUL SA</v>
          </cell>
          <cell r="D9340" t="str">
            <v>RAIZEN CENTRO SUL SA</v>
          </cell>
          <cell r="E9340" t="str">
            <v>RAIZEN CENTRO SUL SA</v>
          </cell>
        </row>
        <row r="9341">
          <cell r="B9341">
            <v>79527</v>
          </cell>
          <cell r="C9341" t="str">
            <v>KINEA ARKHE FIM</v>
          </cell>
          <cell r="D9341" t="str">
            <v>KINEA ARKHE FIM</v>
          </cell>
          <cell r="E9341" t="str">
            <v>KINEA ARKHE FIM</v>
          </cell>
        </row>
        <row r="9342">
          <cell r="B9342">
            <v>79528</v>
          </cell>
          <cell r="C9342" t="str">
            <v>BANCO SOFISA S/A</v>
          </cell>
          <cell r="D9342" t="str">
            <v>BANCO SOFISA S/A</v>
          </cell>
          <cell r="E9342" t="str">
            <v>BANCO SOFISA S/A</v>
          </cell>
        </row>
        <row r="9343">
          <cell r="B9343">
            <v>79529</v>
          </cell>
          <cell r="C9343" t="str">
            <v>ICAP DO BRASIL CTVM LTDA ( ATUAL TULLET)</v>
          </cell>
          <cell r="D9343" t="str">
            <v>ICAP DO BRASIL CTVM LTDA ( ATUAL TULLET)</v>
          </cell>
          <cell r="E9343" t="str">
            <v>ICAP DO BRASIL CTVM LTDA ( ATUAL TULLET)</v>
          </cell>
        </row>
        <row r="9344">
          <cell r="B9344">
            <v>80930</v>
          </cell>
          <cell r="C9344" t="str">
            <v>UBS AG, LONDON BRANCH NOVO</v>
          </cell>
          <cell r="D9344" t="str">
            <v>UBS AG, LONDON BRANCH NOVO</v>
          </cell>
          <cell r="E9344" t="str">
            <v>UBS AG, LONDON BRANCH NOVO</v>
          </cell>
        </row>
        <row r="9345">
          <cell r="B9345">
            <v>79531</v>
          </cell>
          <cell r="C9345" t="str">
            <v>BANCO CITIBANK S/A</v>
          </cell>
          <cell r="D9345" t="str">
            <v>BANCO CITIBANK S/A</v>
          </cell>
          <cell r="E9345" t="str">
            <v>BANCO CITIBANK S/A</v>
          </cell>
        </row>
        <row r="9346">
          <cell r="B9346">
            <v>79532</v>
          </cell>
          <cell r="C9346" t="str">
            <v>BGC LIQUIDEZ DTVM LTDA</v>
          </cell>
          <cell r="D9346" t="str">
            <v>BGC LIQUIDEZ DTVM LTDA</v>
          </cell>
          <cell r="E9346" t="str">
            <v>BGC LIQUIDEZ DTVM LTDA</v>
          </cell>
        </row>
        <row r="9347">
          <cell r="B9347">
            <v>79533</v>
          </cell>
          <cell r="C9347" t="str">
            <v>BGC LIQUIDEZ DTVM LTDA</v>
          </cell>
          <cell r="D9347" t="str">
            <v>BGC LIQUIDEZ DTVM LTDA</v>
          </cell>
          <cell r="E9347" t="str">
            <v>BGC LIQUIDEZ DTVM LTDA</v>
          </cell>
        </row>
        <row r="9348">
          <cell r="B9348">
            <v>79534</v>
          </cell>
          <cell r="C9348" t="str">
            <v>BGC LIQUIDEZ DTVM LTDA</v>
          </cell>
          <cell r="D9348" t="str">
            <v>BGC LIQUIDEZ DTVM LTDA</v>
          </cell>
          <cell r="E9348" t="str">
            <v>BGC LIQUIDEZ DTVM LTDA</v>
          </cell>
        </row>
        <row r="9349">
          <cell r="B9349">
            <v>81765</v>
          </cell>
          <cell r="C9349" t="str">
            <v>UBS AG, LONDON BRANCH NOVO</v>
          </cell>
          <cell r="D9349" t="str">
            <v>UBS AG, LONDON BRANCH NOVO</v>
          </cell>
          <cell r="E9349" t="str">
            <v>UBS AG, LONDON BRANCH NOVO</v>
          </cell>
        </row>
        <row r="9350">
          <cell r="B9350">
            <v>79536</v>
          </cell>
          <cell r="C9350" t="str">
            <v>CONSENSO INVESTIMENTOS LTDA</v>
          </cell>
          <cell r="D9350" t="str">
            <v>CONSENSO INVESTIMENTOS LTDA</v>
          </cell>
          <cell r="E9350" t="str">
            <v>CONSENSO INVESTIMENTOS LTDA</v>
          </cell>
        </row>
        <row r="9351">
          <cell r="B9351">
            <v>79537</v>
          </cell>
          <cell r="C9351" t="str">
            <v>FI SABESPREV ICATU VANGUARDA IMA-B5 RF</v>
          </cell>
          <cell r="D9351" t="str">
            <v>FI SABESPREV ICATU VANGUARDA IMA-B5 RF</v>
          </cell>
          <cell r="E9351" t="str">
            <v>FI SABESPREV ICATU VANGUARDA IMA-B5 RF</v>
          </cell>
        </row>
        <row r="9352">
          <cell r="B9352">
            <v>79538</v>
          </cell>
          <cell r="C9352" t="str">
            <v>CORTTEX CAPITAL GESTAO DE RECURSOS LTDA</v>
          </cell>
          <cell r="D9352" t="str">
            <v>CORTTEX CAPITAL GESTAO DE RECURSOS LTDA</v>
          </cell>
          <cell r="E9352" t="str">
            <v>CORTTEX CAPITAL GESTAO DE RECURSOS LTDA</v>
          </cell>
        </row>
        <row r="9353">
          <cell r="B9353">
            <v>79539</v>
          </cell>
          <cell r="C9353" t="str">
            <v>IMPERIAL HEDGE FIM</v>
          </cell>
          <cell r="D9353" t="str">
            <v>IMPERIAL HEDGE FIM</v>
          </cell>
          <cell r="E9353" t="str">
            <v>GRIMPER CAPITAL GESTORA DE RECURSOS LTDA</v>
          </cell>
        </row>
        <row r="9354">
          <cell r="B9354">
            <v>79540</v>
          </cell>
          <cell r="C9354" t="str">
            <v>DYNAMO INTERNACIONAL GESTAO DE RECURSOS LTDA</v>
          </cell>
          <cell r="D9354" t="str">
            <v>DYNAMO INTERNACIONAL GESTAO DE RECURSOS LTDA</v>
          </cell>
          <cell r="E9354" t="str">
            <v>DYNAMO ADMINISTRACAO DE RECURSOS LTDA</v>
          </cell>
        </row>
        <row r="9355">
          <cell r="B9355">
            <v>79541</v>
          </cell>
          <cell r="C9355" t="str">
            <v>RENASCENÃ‡A DTVM LTDA</v>
          </cell>
          <cell r="D9355" t="str">
            <v>RENASCENÃ‡A DTVM LTDA</v>
          </cell>
          <cell r="E9355" t="str">
            <v>WARREN BRASIL GESTÃO E ADMINISTRAÇÃO DE RECURSOS LTDA</v>
          </cell>
        </row>
        <row r="9356">
          <cell r="B9356">
            <v>79542</v>
          </cell>
          <cell r="C9356" t="str">
            <v>A7 GESTÃƒO DE RECURSOS LTDA</v>
          </cell>
          <cell r="D9356" t="str">
            <v>A7 GESTÃƒO DE RECURSOS LTDA</v>
          </cell>
          <cell r="E9356" t="str">
            <v>A7 GESTÃƒO DE RECURSOS LTDA</v>
          </cell>
        </row>
        <row r="9357">
          <cell r="B9357">
            <v>79543</v>
          </cell>
          <cell r="C9357" t="str">
            <v>TIVIO CAPITAL DISTRIBUIDORA DE TITULOS E VALORES MOBILIARIOS</v>
          </cell>
          <cell r="D9357" t="str">
            <v>TIVIO CAPITAL DISTRIBUIDORA DE TITULOS E VALORES MOBILIARIOS</v>
          </cell>
          <cell r="E9357" t="str">
            <v>TIVIO CAPITAL DISTRIBUIDORA DE TITULOS E VALORES MOBILIARIOS</v>
          </cell>
        </row>
        <row r="9358">
          <cell r="B9358">
            <v>79544</v>
          </cell>
          <cell r="C9358" t="str">
            <v>ICATU VANGUARDA GESTÃƒO DE RECURSOS LTDA</v>
          </cell>
          <cell r="D9358" t="str">
            <v>ICATU VANGUARDA GESTÃƒO DE RECURSOS LTDA</v>
          </cell>
          <cell r="E9358" t="str">
            <v>ICATU VANGUARDA GESTAO DE RECURSOS LTDA</v>
          </cell>
        </row>
        <row r="9359">
          <cell r="B9359">
            <v>79545</v>
          </cell>
          <cell r="C9359" t="str">
            <v>BGC LIQUIDEZ DTVM LTDA</v>
          </cell>
          <cell r="D9359" t="str">
            <v>BGC LIQUIDEZ DTVM LTDA</v>
          </cell>
          <cell r="E9359" t="str">
            <v>BGC LIQUIDEZ DTVM LTDA</v>
          </cell>
        </row>
        <row r="9360">
          <cell r="B9360">
            <v>79546</v>
          </cell>
          <cell r="C9360" t="str">
            <v>BANCO DE LA NACION ARGENTINA</v>
          </cell>
          <cell r="D9360" t="str">
            <v>BANCO DE LA NACION ARGENTINA</v>
          </cell>
          <cell r="E9360" t="str">
            <v>BANCO DE LA NACION ARGENTINA</v>
          </cell>
        </row>
        <row r="9361">
          <cell r="B9361">
            <v>79547</v>
          </cell>
          <cell r="C9361" t="str">
            <v>BANCO DE LA NACION ARGENTINA</v>
          </cell>
          <cell r="D9361" t="str">
            <v>BANCO DE LA NACION ARGENTINA</v>
          </cell>
          <cell r="E9361" t="str">
            <v>BANCO DE LA NACION ARGENTINA</v>
          </cell>
        </row>
        <row r="9362">
          <cell r="B9362">
            <v>79548</v>
          </cell>
          <cell r="C9362" t="str">
            <v>COPO DE LEITE FIM CP IE</v>
          </cell>
          <cell r="D9362" t="str">
            <v>COPO DE LEITE FIM CP IE</v>
          </cell>
          <cell r="E9362" t="str">
            <v>COPO DE LEITE FIM CP IE</v>
          </cell>
        </row>
        <row r="9363">
          <cell r="B9363">
            <v>79549</v>
          </cell>
          <cell r="C9363" t="str">
            <v>ITAU UNIBANCO S.A.</v>
          </cell>
          <cell r="D9363" t="str">
            <v>ITAU UNIBANCO S.A.</v>
          </cell>
          <cell r="E9363" t="str">
            <v>ITAU UNIBANCO S/A</v>
          </cell>
        </row>
        <row r="9364">
          <cell r="B9364">
            <v>79550</v>
          </cell>
          <cell r="C9364" t="str">
            <v>SAO PAULO PORTO MASTER FIM IE</v>
          </cell>
          <cell r="D9364" t="str">
            <v>SAO PAULO PORTO MASTER FIM IE</v>
          </cell>
          <cell r="E9364" t="str">
            <v>SAO PAULO PORTO MASTER FIM IE</v>
          </cell>
        </row>
        <row r="9365">
          <cell r="B9365">
            <v>79551</v>
          </cell>
          <cell r="C9365" t="str">
            <v>SAO PAULO FI REFERENCIADO DI</v>
          </cell>
          <cell r="D9365" t="str">
            <v>SAO PAULO FI REFERENCIADO DI</v>
          </cell>
          <cell r="E9365" t="str">
            <v>SAO PAULO FI REFERENCIADO DI</v>
          </cell>
        </row>
        <row r="9366">
          <cell r="B9366">
            <v>79553</v>
          </cell>
          <cell r="C9366" t="str">
            <v>OPTIVER V.O.F.</v>
          </cell>
          <cell r="D9366" t="str">
            <v>OPTIVER V.O.F.</v>
          </cell>
          <cell r="E9366" t="str">
            <v>OPTIVER V.O.F.</v>
          </cell>
        </row>
        <row r="9367">
          <cell r="B9367">
            <v>79554</v>
          </cell>
          <cell r="C9367" t="str">
            <v>PLATINA TRADING FIM</v>
          </cell>
          <cell r="D9367" t="str">
            <v>PLATINA TRADING FIM</v>
          </cell>
          <cell r="E9367" t="str">
            <v>PLATINA INVESTIMENTOS LTDA</v>
          </cell>
        </row>
        <row r="9368">
          <cell r="B9368">
            <v>81808</v>
          </cell>
          <cell r="C9368" t="str">
            <v>XP GESTAO DE RECURSOS LTDA</v>
          </cell>
          <cell r="D9368" t="str">
            <v>XP GESTAO DE RECURSOS LTDA</v>
          </cell>
          <cell r="E9368" t="str">
            <v>XP GESTAO DE RECURSOS LTDA</v>
          </cell>
        </row>
        <row r="9369">
          <cell r="B9369">
            <v>81808</v>
          </cell>
          <cell r="C9369" t="str">
            <v>XP GESTAO DE RECURSOS LTDA</v>
          </cell>
          <cell r="D9369" t="str">
            <v>XP GESTAO DE RECURSOS LTDA</v>
          </cell>
          <cell r="E9369" t="str">
            <v>XP GESTAO DE RECURSOS LTDA</v>
          </cell>
        </row>
        <row r="9370">
          <cell r="B9370" t="str">
            <v>M37918829000188</v>
          </cell>
          <cell r="C9370" t="str">
            <v>XP ALLOCATION ASSET MANAGEMENT LTDA.</v>
          </cell>
          <cell r="D9370" t="str">
            <v>XP ALLOCATION ASSET MANAGEMENT LTDA.</v>
          </cell>
          <cell r="E9370" t="str">
            <v>XP GESTAO DE RECURSOS LTDA</v>
          </cell>
        </row>
        <row r="9371">
          <cell r="B9371">
            <v>79558</v>
          </cell>
          <cell r="C9371" t="str">
            <v>HELMER HANSSEN MULTIESTRATEGIA FIM CP IE</v>
          </cell>
          <cell r="D9371" t="str">
            <v>HELMER HANSSEN MULTIESTRATEGIA FIM CP IE</v>
          </cell>
          <cell r="E9371" t="str">
            <v>HELMER HANSSEN MULTIESTRATEGIA FIM CP IE</v>
          </cell>
        </row>
        <row r="9372">
          <cell r="B9372">
            <v>79559</v>
          </cell>
          <cell r="C9372" t="str">
            <v>TEWKSBURY INVESTMENT FUND LTD</v>
          </cell>
          <cell r="D9372" t="str">
            <v>TEWKSBURY INVESTMENT FUND LTD</v>
          </cell>
          <cell r="E9372" t="str">
            <v>TEWKSBURY INVESTMENT FUND LTD</v>
          </cell>
        </row>
        <row r="9373">
          <cell r="B9373">
            <v>79560</v>
          </cell>
          <cell r="C9373" t="str">
            <v>OPTIVER V.O.F.</v>
          </cell>
          <cell r="D9373" t="str">
            <v>OPTIVER V.O.F.</v>
          </cell>
          <cell r="E9373" t="str">
            <v>OPTIVER V.O.F.</v>
          </cell>
        </row>
        <row r="9374">
          <cell r="B9374">
            <v>79561</v>
          </cell>
          <cell r="C9374" t="str">
            <v>ICONE INVESTIMENTOS LTDA</v>
          </cell>
          <cell r="D9374" t="str">
            <v>ICONE INVESTIMENTOS LTDA</v>
          </cell>
          <cell r="E9374" t="str">
            <v>ICONE INVESTIMENTOS LTDA</v>
          </cell>
        </row>
        <row r="9375">
          <cell r="B9375">
            <v>79562</v>
          </cell>
          <cell r="C9375" t="str">
            <v>NATIXIS</v>
          </cell>
          <cell r="D9375" t="str">
            <v>NATIXIS</v>
          </cell>
          <cell r="E9375" t="str">
            <v>NATIXIS, AS</v>
          </cell>
        </row>
        <row r="9376">
          <cell r="B9376">
            <v>79563</v>
          </cell>
          <cell r="C9376" t="str">
            <v>TCEP FIA</v>
          </cell>
          <cell r="D9376" t="str">
            <v>TCEP FIA</v>
          </cell>
          <cell r="E9376" t="str">
            <v>TCEP FIA</v>
          </cell>
        </row>
        <row r="9377">
          <cell r="B9377">
            <v>79564</v>
          </cell>
          <cell r="C9377" t="str">
            <v>LFR FIM</v>
          </cell>
          <cell r="D9377" t="str">
            <v>LFR FIM</v>
          </cell>
          <cell r="E9377" t="str">
            <v>LFR FIM</v>
          </cell>
        </row>
        <row r="9378">
          <cell r="B9378">
            <v>79565</v>
          </cell>
          <cell r="C9378" t="str">
            <v>TAGUS TOSCANA LOW VOL FIM</v>
          </cell>
          <cell r="D9378" t="str">
            <v>TAGUS TOSCANA LOW VOL FIM</v>
          </cell>
          <cell r="E9378" t="str">
            <v>APPIA PRIME GESTAO DE RECURSOS LTDA</v>
          </cell>
        </row>
        <row r="9379">
          <cell r="B9379">
            <v>79566</v>
          </cell>
          <cell r="C9379" t="str">
            <v>APPIA EV FIM EXCLUSIVO</v>
          </cell>
          <cell r="D9379" t="str">
            <v>APPIA EV FIM EXCLUSIVO</v>
          </cell>
          <cell r="E9379" t="str">
            <v>APPIA PRIME GESTAO DE RECURSOS LTDA</v>
          </cell>
        </row>
        <row r="9380">
          <cell r="B9380">
            <v>79567</v>
          </cell>
          <cell r="C9380" t="str">
            <v>JPA FUNDO DE INVESTIMENTO MULTIMERCADO</v>
          </cell>
          <cell r="D9380" t="str">
            <v>JPA FUNDO DE INVESTIMENTO MULTIMERCADO</v>
          </cell>
          <cell r="E9380" t="str">
            <v>APPIA PRIME GESTAO DE RECURSOS LTDA</v>
          </cell>
        </row>
        <row r="9381">
          <cell r="B9381">
            <v>79568</v>
          </cell>
          <cell r="C9381" t="str">
            <v>AMPLIO HEDGE FIM</v>
          </cell>
          <cell r="D9381" t="str">
            <v>AMPLIO HEDGE FIM</v>
          </cell>
          <cell r="E9381" t="str">
            <v>AMPLIO HEDGE FIM</v>
          </cell>
        </row>
        <row r="9382">
          <cell r="B9382">
            <v>79569</v>
          </cell>
          <cell r="C9382" t="str">
            <v>DTW INSTITUCIONAL FIA</v>
          </cell>
          <cell r="D9382" t="str">
            <v>DTW INSTITUCIONAL FIA</v>
          </cell>
          <cell r="E9382" t="str">
            <v>AMPLIO CAPITAL LTDA</v>
          </cell>
        </row>
        <row r="9383">
          <cell r="B9383">
            <v>79570</v>
          </cell>
          <cell r="C9383" t="str">
            <v>DTW FI RF INSTITUCIONAL</v>
          </cell>
          <cell r="D9383" t="str">
            <v>DTW FI RF INSTITUCIONAL</v>
          </cell>
          <cell r="E9383" t="str">
            <v>AMPLIO CAPITAL LTDA</v>
          </cell>
        </row>
        <row r="9384">
          <cell r="B9384">
            <v>79571</v>
          </cell>
          <cell r="C9384" t="str">
            <v>PRINCIPAL ASSET MANAGEMENT LTDA</v>
          </cell>
          <cell r="D9384" t="str">
            <v>PRINCIPAL ASSET MANAGEMENT LTDA</v>
          </cell>
          <cell r="E9384" t="str">
            <v>PRINCIPAL ASSET MANAGEMENT LTDA</v>
          </cell>
        </row>
        <row r="9385">
          <cell r="B9385">
            <v>79572</v>
          </cell>
          <cell r="C9385" t="str">
            <v>JIVE ASSET GESTAO DE RECURSOS LTDA</v>
          </cell>
          <cell r="D9385" t="str">
            <v>JIVE ASSET GESTAO DE RECURSOS LTDA</v>
          </cell>
          <cell r="E9385" t="str">
            <v>JIVE ASSET GESTÃO DE RECURSOS LTDA</v>
          </cell>
        </row>
        <row r="9386">
          <cell r="B9386">
            <v>79573</v>
          </cell>
          <cell r="C9386" t="str">
            <v>CAPSTONE VOL HOLDINGS I, LLC</v>
          </cell>
          <cell r="D9386" t="str">
            <v>CAPSTONE VOL HOLDINGS I, LLC</v>
          </cell>
          <cell r="E9386" t="str">
            <v>CAPSTONE VOL HOLDINGS I, LLC</v>
          </cell>
        </row>
        <row r="9387">
          <cell r="B9387">
            <v>79574</v>
          </cell>
          <cell r="C9387" t="str">
            <v>ALASKA POLAND FIA BDR NIVEL I IE</v>
          </cell>
          <cell r="D9387" t="str">
            <v>ALASKA POLAND FIA BDR NIVEL I IE</v>
          </cell>
          <cell r="E9387" t="str">
            <v>ALASKA INVESTIMENTOS LTDA</v>
          </cell>
        </row>
        <row r="9388">
          <cell r="B9388">
            <v>79575</v>
          </cell>
          <cell r="C9388" t="str">
            <v>PAINEIRAS HEDGE MASTER FIM</v>
          </cell>
          <cell r="D9388" t="str">
            <v>PAINEIRAS HEDGE MASTER FIM</v>
          </cell>
          <cell r="E9388" t="str">
            <v>IPANEMA GESTORA DE RECURSOS LTDA</v>
          </cell>
        </row>
        <row r="9389">
          <cell r="B9389">
            <v>79576</v>
          </cell>
          <cell r="C9389" t="str">
            <v>RUGIR MULTIMERCADO CP IE</v>
          </cell>
          <cell r="D9389" t="str">
            <v>RUGIR MULTIMERCADO CP IE</v>
          </cell>
          <cell r="E9389" t="str">
            <v>CONSENSO INVESTIMENTOS LTDA</v>
          </cell>
        </row>
        <row r="9390">
          <cell r="B9390">
            <v>79577</v>
          </cell>
          <cell r="C9390" t="str">
            <v>PSR FIM CP IE</v>
          </cell>
          <cell r="D9390" t="str">
            <v>PSR FIM CP IE</v>
          </cell>
          <cell r="E9390" t="str">
            <v>PSR FIM CP IE</v>
          </cell>
        </row>
        <row r="9391">
          <cell r="B9391">
            <v>79578</v>
          </cell>
          <cell r="C9391" t="str">
            <v>J.P. MORGAN OVERSEAS CAPITAL LLC - J.P. MORGAN S.A. DTVM</v>
          </cell>
          <cell r="D9391" t="str">
            <v>J.P. MORGAN OVERSEAS CAPITAL LLC - J.P. MORGAN S.A. DTVM</v>
          </cell>
          <cell r="E9391" t="str">
            <v>BANCO JP MORGAN S/A</v>
          </cell>
        </row>
        <row r="9392">
          <cell r="B9392">
            <v>79231</v>
          </cell>
          <cell r="C9392" t="str">
            <v>CAPITANIA AIR FIM CP</v>
          </cell>
          <cell r="D9392" t="str">
            <v>CAPITANIA AIR FIM CP</v>
          </cell>
          <cell r="E9392" t="str">
            <v>CAPITÂNIA INVEST S/A</v>
          </cell>
        </row>
        <row r="9393">
          <cell r="B9393">
            <v>79580</v>
          </cell>
          <cell r="C9393" t="str">
            <v>FSH FIM CP IE</v>
          </cell>
          <cell r="D9393" t="str">
            <v>FSH FIM CP IE</v>
          </cell>
          <cell r="E9393" t="str">
            <v>FSH FIM CP IE</v>
          </cell>
        </row>
        <row r="9394">
          <cell r="B9394">
            <v>79582</v>
          </cell>
          <cell r="C9394" t="str">
            <v>OURIBANK S.A. BANCO MULTIPLO</v>
          </cell>
          <cell r="D9394" t="str">
            <v>OURIBANK S.A. BANCO MULTIPLO</v>
          </cell>
          <cell r="E9394" t="str">
            <v>OURIBANK S.A. BANCO MULTIPLO</v>
          </cell>
        </row>
        <row r="9395">
          <cell r="B9395">
            <v>79583</v>
          </cell>
          <cell r="C9395" t="str">
            <v>OURIBANK S.A. BANCO MULTIPLO</v>
          </cell>
          <cell r="D9395" t="str">
            <v>OURIBANK S.A. BANCO MULTIPLO</v>
          </cell>
          <cell r="E9395" t="str">
            <v>OURIBANK S.A. BANCO MULTIPLO</v>
          </cell>
        </row>
        <row r="9396">
          <cell r="B9396">
            <v>79584</v>
          </cell>
          <cell r="C9396" t="str">
            <v>RAIZEN ENERGIA S.A.</v>
          </cell>
          <cell r="D9396" t="str">
            <v>RAIZEN ENERGIA S.A.</v>
          </cell>
          <cell r="E9396" t="str">
            <v>RAIZEN CENTRO SUL SA</v>
          </cell>
        </row>
        <row r="9397">
          <cell r="B9397">
            <v>79585</v>
          </cell>
          <cell r="C9397" t="str">
            <v>RAIZEN S.A.</v>
          </cell>
          <cell r="D9397" t="str">
            <v>RAIZEN S.A.</v>
          </cell>
          <cell r="E9397" t="str">
            <v>RAIZEN CENTRO SUL SA</v>
          </cell>
        </row>
        <row r="9398">
          <cell r="B9398">
            <v>79586</v>
          </cell>
          <cell r="C9398" t="str">
            <v>MVP CAPITAL GESTAO DE RECURSOS LTDA</v>
          </cell>
          <cell r="D9398" t="str">
            <v>MVP CAPITAL GESTAO DE RECURSOS LTDA</v>
          </cell>
          <cell r="E9398" t="str">
            <v>MVP CAPITAL GESTAO DE RECURSOS LTDA</v>
          </cell>
        </row>
        <row r="9399">
          <cell r="B9399">
            <v>79791</v>
          </cell>
          <cell r="C9399" t="str">
            <v>GOLDMAN SACHS INTERNATIONAL - CITI</v>
          </cell>
          <cell r="D9399" t="str">
            <v>GOLDMAN SACHS INTERNATIONAL - CITI</v>
          </cell>
          <cell r="E9399" t="str">
            <v>GOLDMAN SACHS DO BRASIL BANCO MULTIPLO S/A</v>
          </cell>
        </row>
        <row r="9400">
          <cell r="B9400">
            <v>79588</v>
          </cell>
          <cell r="C9400" t="str">
            <v>ABSOLUTE GESTAO DE INVESTIMENTOS LTDA</v>
          </cell>
          <cell r="D9400" t="str">
            <v>ABSOLUTE GESTAO DE INVESTIMENTOS LTDA</v>
          </cell>
          <cell r="E9400" t="str">
            <v>ABSOLUTE GESTAO DE INVESTIMENTOS LTDA</v>
          </cell>
        </row>
        <row r="9401">
          <cell r="B9401">
            <v>957763</v>
          </cell>
          <cell r="C9401" t="str">
            <v>BRASIL PLURAL CCTVM ( ANTIGA FLOW CCTVM S/A)</v>
          </cell>
          <cell r="D9401" t="str">
            <v>A957763</v>
          </cell>
          <cell r="E9401" t="str">
            <v>PLURAL GESTÃO DE RECURSOS LTDA</v>
          </cell>
        </row>
        <row r="9402">
          <cell r="B9402">
            <v>80736</v>
          </cell>
          <cell r="C9402" t="str">
            <v>OCCAM BRASIL GESTAO DE RECURSOS LTDA</v>
          </cell>
          <cell r="D9402" t="str">
            <v>OCCAM BRASIL GESTAO DE RECURSOS LTDA</v>
          </cell>
          <cell r="E9402" t="str">
            <v>OCCAM BRASIL GESTAO DE RECURSOS LTDA</v>
          </cell>
        </row>
        <row r="9403">
          <cell r="B9403">
            <v>79591</v>
          </cell>
          <cell r="C9403" t="str">
            <v>OURIBANK S.A. BANCO MULTIPLO</v>
          </cell>
          <cell r="D9403" t="str">
            <v>OURIBANK S.A. BANCO MULTIPLO</v>
          </cell>
          <cell r="E9403" t="str">
            <v>OURIBANK S.A. BANCO MULTIPLO</v>
          </cell>
        </row>
        <row r="9404">
          <cell r="B9404">
            <v>79592</v>
          </cell>
          <cell r="C9404" t="str">
            <v>BANK OF AMERICA N.A (BANA)</v>
          </cell>
          <cell r="D9404" t="str">
            <v>BANK OF AMERICA N.A (BANA)</v>
          </cell>
          <cell r="E9404" t="str">
            <v>BANK OF AMERICA MERRILL LYNCH BANCO MULTIPLO S/A</v>
          </cell>
        </row>
        <row r="9405">
          <cell r="B9405">
            <v>79632</v>
          </cell>
          <cell r="C9405" t="str">
            <v>BANCO SANTANDER (BRASIL) S/A</v>
          </cell>
          <cell r="D9405" t="str">
            <v>BANCO SANTANDER (BRASIL) S/A</v>
          </cell>
          <cell r="E9405" t="str">
            <v>BANCO SANTANDER (BRASIL) S/A</v>
          </cell>
        </row>
        <row r="9406">
          <cell r="B9406">
            <v>79597</v>
          </cell>
          <cell r="C9406" t="str">
            <v>OURIBANK S.A. BANCO MULTIPLO</v>
          </cell>
          <cell r="D9406" t="str">
            <v>OURIBANK S.A. BANCO MULTIPLO</v>
          </cell>
          <cell r="E9406" t="str">
            <v>OURIBANK S.A. BANCO MULTIPLO</v>
          </cell>
        </row>
        <row r="9407">
          <cell r="B9407">
            <v>79598</v>
          </cell>
          <cell r="C9407" t="str">
            <v>CM CAPITAL MARKETS CCTVM LTDA</v>
          </cell>
          <cell r="D9407" t="str">
            <v>CM CAPITAL MARKETS CCTVM LTDA</v>
          </cell>
          <cell r="E9407" t="str">
            <v>CM CAPITAL MARKETS CCTVM LTDA</v>
          </cell>
        </row>
        <row r="9408">
          <cell r="B9408">
            <v>79599</v>
          </cell>
          <cell r="C9408" t="str">
            <v>BGC LIQUIDEZ DTVM LTDA</v>
          </cell>
          <cell r="D9408" t="str">
            <v>BGC LIQUIDEZ DTVM LTDA</v>
          </cell>
          <cell r="E9408" t="str">
            <v>BGC LIQUIDEZ DTVM LTDA</v>
          </cell>
        </row>
        <row r="9409">
          <cell r="B9409">
            <v>79600</v>
          </cell>
          <cell r="C9409" t="str">
            <v>CM CAPITAL MARKETS CCTVM LTDA</v>
          </cell>
          <cell r="D9409" t="str">
            <v>CM CAPITAL MARKETS CCTVM LTDA</v>
          </cell>
          <cell r="E9409" t="str">
            <v>CM CAPITAL MARKETS CCTVM LTDA</v>
          </cell>
        </row>
        <row r="9410">
          <cell r="B9410">
            <v>79601</v>
          </cell>
          <cell r="C9410" t="str">
            <v>BGC LIQUIDEZ DTVM LTDA</v>
          </cell>
          <cell r="D9410" t="str">
            <v>BGC LIQUIDEZ DTVM LTDA</v>
          </cell>
          <cell r="E9410" t="str">
            <v>BGC LIQUIDEZ DTVM LTDA</v>
          </cell>
        </row>
        <row r="9411">
          <cell r="B9411">
            <v>79602</v>
          </cell>
          <cell r="C9411" t="str">
            <v>CITIGROUP GLOBAL MARKETS LIMITED</v>
          </cell>
          <cell r="D9411" t="str">
            <v>CITIGROUP GLOBAL MARKETS LIMITED</v>
          </cell>
          <cell r="E9411" t="str">
            <v>BANCO CITIBANK S/A</v>
          </cell>
        </row>
        <row r="9412">
          <cell r="B9412">
            <v>79603</v>
          </cell>
          <cell r="C9412" t="str">
            <v>CITIGROUP GLOBAL MARKETS LIMITED</v>
          </cell>
          <cell r="D9412" t="str">
            <v>CITIGROUP GLOBAL MARKETS LIMITED</v>
          </cell>
          <cell r="E9412" t="str">
            <v>BANCO CITIBANK S/A</v>
          </cell>
        </row>
        <row r="9413">
          <cell r="B9413">
            <v>82967</v>
          </cell>
          <cell r="C9413" t="str">
            <v>MORE RENDA FIXA ATIVO FI DE IF INFRAESTRUTA RENDA FIXA</v>
          </cell>
          <cell r="D9413" t="str">
            <v>MORE RENDA FIXA ATIVO FI DE IF INFRAESTRUTA RENDA FIXA</v>
          </cell>
          <cell r="E9413" t="str">
            <v>MORE INVEST GESTORA DE RECURSOS LTDA</v>
          </cell>
        </row>
        <row r="9414">
          <cell r="B9414">
            <v>79606</v>
          </cell>
          <cell r="C9414" t="str">
            <v>GRANADA FIM</v>
          </cell>
          <cell r="D9414" t="str">
            <v>GRANADA FIM</v>
          </cell>
          <cell r="E9414" t="str">
            <v>GRANADA FIM</v>
          </cell>
        </row>
        <row r="9415">
          <cell r="B9415">
            <v>79607</v>
          </cell>
          <cell r="C9415" t="str">
            <v>BANCO PAN S/A</v>
          </cell>
          <cell r="D9415" t="str">
            <v>BANCO PAN S/A</v>
          </cell>
          <cell r="E9415" t="str">
            <v>BANCO PAN S/A</v>
          </cell>
        </row>
        <row r="9416">
          <cell r="B9416">
            <v>79608</v>
          </cell>
          <cell r="C9416" t="str">
            <v>ICONE INVESTIMENTOS LTDA</v>
          </cell>
          <cell r="D9416" t="str">
            <v>ICONE INVESTIMENTOS LTDA</v>
          </cell>
          <cell r="E9416" t="str">
            <v>ICONE INVESTIMENTOS LTDA</v>
          </cell>
        </row>
        <row r="9417">
          <cell r="B9417">
            <v>79609</v>
          </cell>
          <cell r="C9417" t="str">
            <v>ITAU UNIBANCO S.A.</v>
          </cell>
          <cell r="D9417" t="str">
            <v>ITAU UNIBANCO S.A.</v>
          </cell>
          <cell r="E9417" t="str">
            <v>ITAU UNIBANCO S/A</v>
          </cell>
        </row>
        <row r="9418">
          <cell r="B9418">
            <v>79610</v>
          </cell>
          <cell r="C9418" t="str">
            <v>ITAU UNIBANCO S.A.</v>
          </cell>
          <cell r="D9418" t="str">
            <v>ITAU UNIBANCO S.A.</v>
          </cell>
          <cell r="E9418" t="str">
            <v>ITAU UNIBANCO S/A</v>
          </cell>
        </row>
        <row r="9419">
          <cell r="B9419">
            <v>79611</v>
          </cell>
          <cell r="C9419" t="str">
            <v>ITAU UNIBANCO S.A.</v>
          </cell>
          <cell r="D9419" t="str">
            <v>ITAU UNIBANCO S.A.</v>
          </cell>
          <cell r="E9419" t="str">
            <v>ITAU UNIBANCO S/A</v>
          </cell>
        </row>
        <row r="9420">
          <cell r="B9420">
            <v>79633</v>
          </cell>
          <cell r="C9420" t="str">
            <v>BANCO SANTANDER (BRASIL) S/A</v>
          </cell>
          <cell r="D9420" t="str">
            <v>BANCO SANTANDER (BRASIL) S/A</v>
          </cell>
          <cell r="E9420" t="str">
            <v>BANCO SANTANDER (BRASIL) S/A</v>
          </cell>
        </row>
        <row r="9421">
          <cell r="B9421">
            <v>79634</v>
          </cell>
          <cell r="C9421" t="str">
            <v>BANCO SANTANDER (BRASIL) S/A</v>
          </cell>
          <cell r="D9421" t="str">
            <v>BANCO SANTANDER (BRASIL) S/A</v>
          </cell>
          <cell r="E9421" t="str">
            <v>BANCO SANTANDER (BRASIL) S/A</v>
          </cell>
        </row>
        <row r="9422">
          <cell r="B9422">
            <v>79635</v>
          </cell>
          <cell r="C9422" t="str">
            <v>BANCO SANTANDER (BRASIL) S/A</v>
          </cell>
          <cell r="D9422" t="str">
            <v>BANCO SANTANDER (BRASIL) S/A</v>
          </cell>
          <cell r="E9422" t="str">
            <v>BANCO SANTANDER (BRASIL) S/A</v>
          </cell>
        </row>
        <row r="9423">
          <cell r="B9423">
            <v>79636</v>
          </cell>
          <cell r="C9423" t="str">
            <v>BANCO SANTANDER (BRASIL) S/A</v>
          </cell>
          <cell r="D9423" t="str">
            <v>BANCO SANTANDER (BRASIL) S/A</v>
          </cell>
          <cell r="E9423" t="str">
            <v>BANCO SANTANDER (BRASIL) S/A</v>
          </cell>
        </row>
        <row r="9424">
          <cell r="B9424">
            <v>79645</v>
          </cell>
          <cell r="C9424" t="str">
            <v>SANTANDER FI GUARUJA MULTIMERCADO CP IE</v>
          </cell>
          <cell r="D9424" t="str">
            <v>SANTANDER FI GUARUJA MULTIMERCADO CP IE</v>
          </cell>
          <cell r="E9424" t="str">
            <v>BANCO SANTANDER (BRASIL) S/A</v>
          </cell>
        </row>
        <row r="9425">
          <cell r="B9425">
            <v>79646</v>
          </cell>
          <cell r="C9425" t="str">
            <v>SANTANDER FI GUARUJA MULTIMERCADO CP IE</v>
          </cell>
          <cell r="D9425" t="str">
            <v>SANTANDER FI GUARUJA MULTIMERCADO CP IE</v>
          </cell>
          <cell r="E9425" t="str">
            <v>BANCO SANTANDER (BRASIL) S/A</v>
          </cell>
        </row>
        <row r="9426">
          <cell r="B9426">
            <v>79647</v>
          </cell>
          <cell r="C9426" t="str">
            <v>SANTANDER FI GUARUJA MULTIMERCADO CP IE</v>
          </cell>
          <cell r="D9426" t="str">
            <v>SANTANDER FI GUARUJA MULTIMERCADO CP IE</v>
          </cell>
          <cell r="E9426" t="str">
            <v>BANCO SANTANDER (BRASIL) S/A</v>
          </cell>
        </row>
        <row r="9427">
          <cell r="B9427">
            <v>79648</v>
          </cell>
          <cell r="C9427" t="str">
            <v>SANTANDER FI GUARUJA MULTIMERCADO CP IE</v>
          </cell>
          <cell r="D9427" t="str">
            <v>SANTANDER FI GUARUJA MULTIMERCADO CP IE</v>
          </cell>
          <cell r="E9427" t="str">
            <v>BANCO SANTANDER (BRASIL) S/A</v>
          </cell>
        </row>
        <row r="9428">
          <cell r="B9428">
            <v>79649</v>
          </cell>
          <cell r="C9428" t="str">
            <v>SANTANDER FI GUARUJA MULTIMERCADO CP IE</v>
          </cell>
          <cell r="D9428" t="str">
            <v>SANTANDER FI GUARUJA MULTIMERCADO CP IE</v>
          </cell>
          <cell r="E9428" t="str">
            <v>BANCO SANTANDER (BRASIL) S/A</v>
          </cell>
        </row>
        <row r="9429">
          <cell r="B9429">
            <v>79650</v>
          </cell>
          <cell r="C9429" t="str">
            <v>SANTANDER FI AMAZONAS MULT CP IE</v>
          </cell>
          <cell r="D9429" t="str">
            <v>SANTANDER FI AMAZONAS MULT CP IE</v>
          </cell>
          <cell r="E9429" t="str">
            <v>BANCO SANTANDER (BRASIL) S/A</v>
          </cell>
        </row>
        <row r="9430">
          <cell r="B9430">
            <v>79651</v>
          </cell>
          <cell r="C9430" t="str">
            <v>SANTANDER FI AMAZONAS MULT CP IE</v>
          </cell>
          <cell r="D9430" t="str">
            <v>SANTANDER FI AMAZONAS MULT CP IE</v>
          </cell>
          <cell r="E9430" t="str">
            <v>BANCO SANTANDER (BRASIL) S/A</v>
          </cell>
        </row>
        <row r="9431">
          <cell r="B9431">
            <v>80</v>
          </cell>
          <cell r="C9431" t="str">
            <v>BANCO SANTANDER (BRASIL) S/A</v>
          </cell>
          <cell r="D9431" t="str">
            <v>BANCO SANTANDER (BRASIL) S/A</v>
          </cell>
          <cell r="E9431" t="str">
            <v>BANCO SANTANDER (BRASIL) S/A</v>
          </cell>
        </row>
        <row r="9432">
          <cell r="B9432">
            <v>80007</v>
          </cell>
          <cell r="C9432" t="str">
            <v>BANCO SANTANDER (BRASIL) S/A</v>
          </cell>
          <cell r="D9432" t="str">
            <v>BANCO SANTANDER (BRASIL) S/A</v>
          </cell>
          <cell r="E9432" t="str">
            <v>BANCO SANTANDER (BRASIL) S/A</v>
          </cell>
        </row>
        <row r="9433">
          <cell r="B9433">
            <v>80013</v>
          </cell>
          <cell r="C9433" t="str">
            <v>BANCO SANTANDER (BRASIL) S/A</v>
          </cell>
          <cell r="D9433" t="str">
            <v>BANCO SANTANDER (BRASIL) S/A</v>
          </cell>
          <cell r="E9433" t="str">
            <v>BANCO SANTANDER (BRASIL) S/A</v>
          </cell>
        </row>
        <row r="9434">
          <cell r="B9434">
            <v>80014</v>
          </cell>
          <cell r="C9434" t="str">
            <v>BANCO SANTANDER (BRASIL) S/A</v>
          </cell>
          <cell r="D9434" t="str">
            <v>BANCO SANTANDER (BRASIL) S/A</v>
          </cell>
          <cell r="E9434" t="str">
            <v>BANCO SANTANDER (BRASIL) S/A</v>
          </cell>
        </row>
        <row r="9435">
          <cell r="B9435">
            <v>80015</v>
          </cell>
          <cell r="C9435" t="str">
            <v>BANCO SANTANDER (BRASIL) S/A</v>
          </cell>
          <cell r="D9435" t="str">
            <v>BANCO SANTANDER (BRASIL) S/A</v>
          </cell>
          <cell r="E9435" t="str">
            <v>BANCO SANTANDER (BRASIL) S/A</v>
          </cell>
        </row>
        <row r="9436">
          <cell r="B9436">
            <v>80016</v>
          </cell>
          <cell r="C9436" t="str">
            <v>BANCO SANTANDER (BRASIL) S/A</v>
          </cell>
          <cell r="D9436" t="str">
            <v>BANCO SANTANDER (BRASIL) S/A</v>
          </cell>
          <cell r="E9436" t="str">
            <v>BANCO SANTANDER (BRASIL) S/A</v>
          </cell>
        </row>
        <row r="9437">
          <cell r="B9437">
            <v>80017</v>
          </cell>
          <cell r="C9437" t="str">
            <v>BANCO SANTANDER (BRASIL) S/A</v>
          </cell>
          <cell r="D9437" t="str">
            <v>BANCO SANTANDER (BRASIL) S/A</v>
          </cell>
          <cell r="E9437" t="str">
            <v>BANCO SANTANDER (BRASIL) S/A</v>
          </cell>
        </row>
        <row r="9438">
          <cell r="B9438">
            <v>80018</v>
          </cell>
          <cell r="C9438" t="str">
            <v>BANCO SANTANDER (BRASIL) S/A</v>
          </cell>
          <cell r="D9438" t="str">
            <v>BANCO SANTANDER (BRASIL) S/A</v>
          </cell>
          <cell r="E9438" t="str">
            <v>BANCO SANTANDER (BRASIL) S/A</v>
          </cell>
        </row>
        <row r="9439">
          <cell r="B9439">
            <v>80019</v>
          </cell>
          <cell r="C9439" t="str">
            <v>BANCO SANTANDER (BRASIL) S/A</v>
          </cell>
          <cell r="D9439" t="str">
            <v>BANCO SANTANDER (BRASIL) S/A</v>
          </cell>
          <cell r="E9439" t="str">
            <v>BANCO SANTANDER (BRASIL) S/A</v>
          </cell>
        </row>
        <row r="9440">
          <cell r="B9440">
            <v>80020</v>
          </cell>
          <cell r="C9440" t="str">
            <v>BANCO SANTANDER (BRASIL) S/A</v>
          </cell>
          <cell r="D9440" t="str">
            <v>BANCO SANTANDER (BRASIL) S/A</v>
          </cell>
          <cell r="E9440" t="str">
            <v>BANCO SANTANDER (BRASIL) S/A</v>
          </cell>
        </row>
        <row r="9441">
          <cell r="B9441">
            <v>80021</v>
          </cell>
          <cell r="C9441" t="str">
            <v>BANCO SANTANDER (BRASIL) S/A</v>
          </cell>
          <cell r="D9441" t="str">
            <v>BANCO SANTANDER (BRASIL) S/A</v>
          </cell>
          <cell r="E9441" t="str">
            <v>BANCO SANTANDER (BRASIL) S/A</v>
          </cell>
        </row>
        <row r="9442">
          <cell r="B9442">
            <v>80072</v>
          </cell>
          <cell r="C9442" t="str">
            <v>BANCO SANTANDER (BRASIL) S/A</v>
          </cell>
          <cell r="D9442" t="str">
            <v>BANCO SANTANDER (BRASIL) S/A</v>
          </cell>
          <cell r="E9442" t="str">
            <v>BANCO SANTANDER (BRASIL) S/A</v>
          </cell>
        </row>
        <row r="9443">
          <cell r="B9443">
            <v>80073</v>
          </cell>
          <cell r="C9443" t="str">
            <v>BANCO SANTANDER (BRASIL) S/A</v>
          </cell>
          <cell r="D9443" t="str">
            <v>BANCO SANTANDER (BRASIL) S/A</v>
          </cell>
          <cell r="E9443" t="str">
            <v>BANCO SANTANDER (BRASIL) S/A</v>
          </cell>
        </row>
        <row r="9444">
          <cell r="B9444">
            <v>80074</v>
          </cell>
          <cell r="C9444" t="str">
            <v>BANCO SANTANDER (BRASIL) S/A</v>
          </cell>
          <cell r="D9444" t="str">
            <v>BANCO SANTANDER (BRASIL) S/A</v>
          </cell>
          <cell r="E9444" t="str">
            <v>BANCO SANTANDER (BRASIL) S/A</v>
          </cell>
        </row>
        <row r="9445">
          <cell r="B9445">
            <v>80075</v>
          </cell>
          <cell r="C9445" t="str">
            <v>BANCO SANTANDER (BRASIL) S/A</v>
          </cell>
          <cell r="D9445" t="str">
            <v>BANCO SANTANDER (BRASIL) S/A</v>
          </cell>
          <cell r="E9445" t="str">
            <v>BANCO SANTANDER (BRASIL) S/A</v>
          </cell>
        </row>
        <row r="9446">
          <cell r="B9446">
            <v>80076</v>
          </cell>
          <cell r="C9446" t="str">
            <v>SANTANDER FI GUARUJA MULTIMERCADO CP IE</v>
          </cell>
          <cell r="D9446" t="str">
            <v>SANTANDER FI GUARUJA MULTIMERCADO CP IE</v>
          </cell>
          <cell r="E9446" t="str">
            <v>BANCO SANTANDER (BRASIL) S/A</v>
          </cell>
        </row>
        <row r="9447">
          <cell r="B9447">
            <v>80077</v>
          </cell>
          <cell r="C9447" t="str">
            <v>SANTANDER FI GUARUJA MULTIMERCADO CP IE</v>
          </cell>
          <cell r="D9447" t="str">
            <v>SANTANDER FI GUARUJA MULTIMERCADO CP IE</v>
          </cell>
          <cell r="E9447" t="str">
            <v>BANCO SANTANDER (BRASIL) S/A</v>
          </cell>
        </row>
        <row r="9448">
          <cell r="B9448">
            <v>80078</v>
          </cell>
          <cell r="C9448" t="str">
            <v>SANTANDER FI GUARUJA MULTIMERCADO CP IE</v>
          </cell>
          <cell r="D9448" t="str">
            <v>SANTANDER FI GUARUJA MULTIMERCADO CP IE</v>
          </cell>
          <cell r="E9448" t="str">
            <v>BANCO SANTANDER (BRASIL) S/A</v>
          </cell>
        </row>
        <row r="9449">
          <cell r="B9449">
            <v>80079</v>
          </cell>
          <cell r="C9449" t="str">
            <v>SANTANDER FI GUARUJA MULTIMERCADO CP IE</v>
          </cell>
          <cell r="D9449" t="str">
            <v>SANTANDER FI GUARUJA MULTIMERCADO CP IE</v>
          </cell>
          <cell r="E9449" t="str">
            <v>BANCO SANTANDER (BRASIL) S/A</v>
          </cell>
        </row>
        <row r="9450">
          <cell r="B9450">
            <v>80081</v>
          </cell>
          <cell r="C9450" t="str">
            <v>BANCO SANTANDER (BRASIL) S/A</v>
          </cell>
          <cell r="D9450" t="str">
            <v>BANCO SANTANDER (BRASIL) S/A</v>
          </cell>
          <cell r="E9450" t="str">
            <v>BANCO SANTANDER (BRASIL) S/A</v>
          </cell>
        </row>
        <row r="9451">
          <cell r="B9451">
            <v>80130</v>
          </cell>
          <cell r="C9451" t="str">
            <v>BANCO SANTANDER (BRASIL) S/A</v>
          </cell>
          <cell r="D9451" t="str">
            <v>BANCO SANTANDER (BRASIL) S/A</v>
          </cell>
          <cell r="E9451" t="str">
            <v>BANCO SANTANDER (BRASIL) S/A</v>
          </cell>
        </row>
        <row r="9452">
          <cell r="B9452">
            <v>80243</v>
          </cell>
          <cell r="C9452" t="str">
            <v>BANCO SANTANDER (BRASIL) S/A</v>
          </cell>
          <cell r="D9452" t="str">
            <v>BANCO SANTANDER (BRASIL) S/A</v>
          </cell>
          <cell r="E9452" t="str">
            <v>BANCO SANTANDER (BRASIL) S/A</v>
          </cell>
        </row>
        <row r="9453">
          <cell r="B9453">
            <v>80257</v>
          </cell>
          <cell r="C9453" t="str">
            <v>BANCO SANTANDER (BRASIL) S/A</v>
          </cell>
          <cell r="D9453" t="str">
            <v>BANCO SANTANDER (BRASIL) S/A</v>
          </cell>
          <cell r="E9453" t="str">
            <v>BANCO SANTANDER (BRASIL) S/A</v>
          </cell>
        </row>
        <row r="9454">
          <cell r="B9454">
            <v>80258</v>
          </cell>
          <cell r="C9454" t="str">
            <v>BANCO SANTANDER (BRASIL) S/A</v>
          </cell>
          <cell r="D9454" t="str">
            <v>BANCO SANTANDER (BRASIL) S/A</v>
          </cell>
          <cell r="E9454" t="str">
            <v>BANCO SANTANDER (BRASIL) S/A</v>
          </cell>
        </row>
        <row r="9455">
          <cell r="B9455">
            <v>80259</v>
          </cell>
          <cell r="C9455" t="str">
            <v>BANCO SANTANDER (BRASIL) S/A</v>
          </cell>
          <cell r="D9455" t="str">
            <v>BANCO SANTANDER (BRASIL) S/A</v>
          </cell>
          <cell r="E9455" t="str">
            <v>BANCO SANTANDER (BRASIL) S/A</v>
          </cell>
        </row>
        <row r="9456">
          <cell r="B9456">
            <v>80260</v>
          </cell>
          <cell r="C9456" t="str">
            <v>BANCO SANTANDER (BRASIL) S/A</v>
          </cell>
          <cell r="D9456" t="str">
            <v>BANCO SANTANDER (BRASIL) S/A</v>
          </cell>
          <cell r="E9456" t="str">
            <v>BANCO SANTANDER (BRASIL) S/A</v>
          </cell>
        </row>
        <row r="9457">
          <cell r="B9457">
            <v>80261</v>
          </cell>
          <cell r="C9457" t="str">
            <v>BANCO SANTANDER (BRASIL) S/A</v>
          </cell>
          <cell r="D9457" t="str">
            <v>BANCO SANTANDER (BRASIL) S/A</v>
          </cell>
          <cell r="E9457" t="str">
            <v>BANCO SANTANDER (BRASIL) S/A</v>
          </cell>
        </row>
        <row r="9458">
          <cell r="B9458">
            <v>80262</v>
          </cell>
          <cell r="C9458" t="str">
            <v>BANCO SANTANDER (BRASIL) S/A</v>
          </cell>
          <cell r="D9458" t="str">
            <v>BANCO SANTANDER (BRASIL) S/A</v>
          </cell>
          <cell r="E9458" t="str">
            <v>BANCO SANTANDER (BRASIL) S/A</v>
          </cell>
        </row>
        <row r="9459">
          <cell r="B9459">
            <v>80263</v>
          </cell>
          <cell r="C9459" t="str">
            <v>BANCO SANTANDER (BRASIL) S/A</v>
          </cell>
          <cell r="D9459" t="str">
            <v>BANCO SANTANDER (BRASIL) S/A</v>
          </cell>
          <cell r="E9459" t="str">
            <v>BANCO SANTANDER (BRASIL) S/A</v>
          </cell>
        </row>
        <row r="9460">
          <cell r="B9460">
            <v>79652</v>
          </cell>
          <cell r="C9460" t="str">
            <v>AARDVARK TRADING LLC</v>
          </cell>
          <cell r="D9460" t="str">
            <v>AARDVARK TRADING LLC</v>
          </cell>
          <cell r="E9460" t="str">
            <v>AARDVARK TRADING LLC</v>
          </cell>
        </row>
        <row r="9461">
          <cell r="B9461">
            <v>80737</v>
          </cell>
          <cell r="C9461" t="str">
            <v>OCCAM BRASIL GESTAO DE RECURSOS LTDA</v>
          </cell>
          <cell r="D9461" t="str">
            <v>OCCAM BRASIL GESTAO DE RECURSOS LTDA</v>
          </cell>
          <cell r="E9461" t="str">
            <v>OCCAM BRASIL GESTAO DE RECURSOS LTDA</v>
          </cell>
        </row>
        <row r="9462">
          <cell r="B9462">
            <v>79654</v>
          </cell>
          <cell r="C9462" t="str">
            <v>MONTEFIORE I FIM CP IE</v>
          </cell>
          <cell r="D9462" t="str">
            <v>MONTEFIORE I FIM CP IE</v>
          </cell>
          <cell r="E9462" t="str">
            <v>MONTEFIORE I FIM CP IE</v>
          </cell>
        </row>
        <row r="9463">
          <cell r="B9463">
            <v>79655</v>
          </cell>
          <cell r="C9463" t="str">
            <v>BGC LIQUIDEZ DTVM LTDA</v>
          </cell>
          <cell r="D9463" t="str">
            <v>BGC LIQUIDEZ DTVM LTDA</v>
          </cell>
          <cell r="E9463" t="str">
            <v>BGC LIQUIDEZ DTVM LTDA</v>
          </cell>
        </row>
        <row r="9464">
          <cell r="B9464">
            <v>79656</v>
          </cell>
          <cell r="C9464" t="str">
            <v>BANCO MIZUHO DO BRASIL S/A (ANTIGO WESTLB)</v>
          </cell>
          <cell r="D9464" t="str">
            <v>BANCO MIZUHO DO BRASIL S/A (ANTIGO WESTLB)</v>
          </cell>
          <cell r="E9464" t="str">
            <v>BANCO MIZUHO DO BRASIL S/A</v>
          </cell>
        </row>
        <row r="9465">
          <cell r="B9465">
            <v>79657</v>
          </cell>
          <cell r="C9465" t="str">
            <v>ALDEBARAN FIM</v>
          </cell>
          <cell r="D9465" t="str">
            <v>ALDEBARAN FIM</v>
          </cell>
          <cell r="E9465" t="str">
            <v>ALDEBARAN FIM</v>
          </cell>
        </row>
        <row r="9466">
          <cell r="B9466">
            <v>79658</v>
          </cell>
          <cell r="C9466" t="str">
            <v>SG SD FIM IE</v>
          </cell>
          <cell r="D9466" t="str">
            <v>SG SD FIM IE</v>
          </cell>
          <cell r="E9466" t="str">
            <v>BANCO SOCIETE GENERALE BRASIL S/A</v>
          </cell>
        </row>
        <row r="9467">
          <cell r="B9467">
            <v>79659</v>
          </cell>
          <cell r="C9467" t="str">
            <v>FI CAIXA ANGELIN RF LP</v>
          </cell>
          <cell r="D9467" t="str">
            <v>FI CAIXA ANGELIN RF LP</v>
          </cell>
          <cell r="E9467" t="str">
            <v>FI CAIXA ANGELIN RF LP</v>
          </cell>
        </row>
        <row r="9468">
          <cell r="B9468">
            <v>79660</v>
          </cell>
          <cell r="C9468" t="str">
            <v>BANCO MIZUHO DO BRASIL S/A (ANTIGO WESTLB)</v>
          </cell>
          <cell r="D9468" t="str">
            <v>BANCO MIZUHO DO BRASIL S/A (ANTIGO WESTLB)</v>
          </cell>
          <cell r="E9468" t="str">
            <v>BANCO MIZUHO DO BRASIL S/A</v>
          </cell>
        </row>
        <row r="9469">
          <cell r="B9469">
            <v>79661</v>
          </cell>
          <cell r="C9469" t="str">
            <v>TULLETT PREBON BRASIL CVC (ANTIGA CONVENÃ‡AO)</v>
          </cell>
          <cell r="D9469" t="str">
            <v>TULLETT PREBON BRASIL CVC (ANTIGA CONVENÃ‡AO)</v>
          </cell>
          <cell r="E9469" t="str">
            <v>TULLETT PREBON BRASIL CVC LTDA</v>
          </cell>
        </row>
        <row r="9470">
          <cell r="B9470">
            <v>79663</v>
          </cell>
          <cell r="C9470" t="str">
            <v>ING BANK NV</v>
          </cell>
          <cell r="D9470" t="str">
            <v>ING BANK NV</v>
          </cell>
          <cell r="E9470" t="str">
            <v>ING BANK NV</v>
          </cell>
        </row>
        <row r="9471">
          <cell r="B9471">
            <v>79664</v>
          </cell>
          <cell r="C9471" t="str">
            <v>ING BANK NV</v>
          </cell>
          <cell r="D9471" t="str">
            <v>ING BANK NV</v>
          </cell>
          <cell r="E9471" t="str">
            <v>ING BANK NV</v>
          </cell>
        </row>
        <row r="9472">
          <cell r="B9472">
            <v>79665</v>
          </cell>
          <cell r="C9472" t="str">
            <v>ING BANK NV</v>
          </cell>
          <cell r="D9472" t="str">
            <v>ING BANK NV</v>
          </cell>
          <cell r="E9472" t="str">
            <v>ING BANK NV</v>
          </cell>
        </row>
        <row r="9473">
          <cell r="B9473">
            <v>79666</v>
          </cell>
          <cell r="C9473" t="str">
            <v>NOBEL GESTAO DE RECURSOS LTDA</v>
          </cell>
          <cell r="D9473" t="str">
            <v>NOBEL GESTAO DE RECURSOS LTDA</v>
          </cell>
          <cell r="E9473" t="str">
            <v>NOBEL GESTAO DE RECURSOS LTDA</v>
          </cell>
        </row>
        <row r="9474">
          <cell r="B9474">
            <v>79667</v>
          </cell>
          <cell r="C9474" t="str">
            <v>BANCO MASTER S/A</v>
          </cell>
          <cell r="D9474" t="str">
            <v>BANCO MASTER S/A</v>
          </cell>
          <cell r="E9474" t="str">
            <v>BANCO MASTER S/A</v>
          </cell>
        </row>
        <row r="9475">
          <cell r="B9475">
            <v>79668</v>
          </cell>
          <cell r="C9475" t="str">
            <v>BLUECREST INVESTMENT VEHICLE II LLC</v>
          </cell>
          <cell r="D9475" t="str">
            <v>BLUECREST INVESTMENT VEHICLE II LLC</v>
          </cell>
          <cell r="E9475" t="str">
            <v>BLUECREST INVESTMENT VEHICLE II LLC</v>
          </cell>
        </row>
        <row r="9476">
          <cell r="B9476">
            <v>79669</v>
          </cell>
          <cell r="C9476" t="str">
            <v>FIA LONG BIASED</v>
          </cell>
          <cell r="D9476" t="str">
            <v>FIA LONG BIASED</v>
          </cell>
          <cell r="E9476" t="str">
            <v>FIA LONG BIASED</v>
          </cell>
        </row>
        <row r="9477">
          <cell r="B9477">
            <v>79670</v>
          </cell>
          <cell r="C9477" t="str">
            <v>TULLETT PREBON BRASIL CVC (ANTIGA CONVENÃ‡AO)</v>
          </cell>
          <cell r="D9477" t="str">
            <v>TULLETT PREBON BRASIL CVC (ANTIGA CONVENÃ‡AO)</v>
          </cell>
          <cell r="E9477" t="str">
            <v>TULLETT PREBON BRASIL CVC LTDA</v>
          </cell>
        </row>
        <row r="9478">
          <cell r="B9478">
            <v>79671</v>
          </cell>
          <cell r="C9478" t="str">
            <v>BGC LIQUIDEZ DTVM LTDA</v>
          </cell>
          <cell r="D9478" t="str">
            <v>BGC LIQUIDEZ DTVM LTDA</v>
          </cell>
          <cell r="E9478" t="str">
            <v>BGC LIQUIDEZ DTVM LTDA</v>
          </cell>
        </row>
        <row r="9479">
          <cell r="B9479" t="str">
            <v>M29408732000105</v>
          </cell>
          <cell r="C9479" t="str">
            <v>XP VIDA E PREVIDÃŠNCIA S.A.</v>
          </cell>
          <cell r="D9479" t="str">
            <v>XP VIDA E PREVIDÃŠNCIA S.A.</v>
          </cell>
          <cell r="E9479" t="str">
            <v>XP GESTAO DE RECURSOS LTDA</v>
          </cell>
        </row>
        <row r="9480">
          <cell r="B9480">
            <v>79673</v>
          </cell>
          <cell r="C9480" t="str">
            <v>BGC LIQUIDEZ DTVM LTDA</v>
          </cell>
          <cell r="D9480" t="str">
            <v>BGC LIQUIDEZ DTVM LTDA</v>
          </cell>
          <cell r="E9480" t="str">
            <v>BGC LIQUIDEZ DTVM LTDA</v>
          </cell>
        </row>
        <row r="9481">
          <cell r="B9481">
            <v>79674</v>
          </cell>
          <cell r="C9481" t="str">
            <v>FRANKLIN TEMPLETON INVESTIMENTOS (BRASIL) LTDA</v>
          </cell>
          <cell r="D9481" t="str">
            <v>FRANKLIN TEMPLETON INVESTIMENTOS (BRASIL) LTDA</v>
          </cell>
          <cell r="E9481" t="str">
            <v>FRANKLIN TEMPLETON INVESTIMENTOS (BRASIL) LTDA</v>
          </cell>
        </row>
        <row r="9482">
          <cell r="B9482">
            <v>79675</v>
          </cell>
          <cell r="C9482" t="str">
            <v>TORQUE FIM</v>
          </cell>
          <cell r="D9482" t="str">
            <v>TORQUE FIM</v>
          </cell>
          <cell r="E9482" t="str">
            <v>BNY MELLON ALOCACAO DE PATRIMONIO LTDA</v>
          </cell>
        </row>
        <row r="9483">
          <cell r="B9483">
            <v>79676</v>
          </cell>
          <cell r="C9483" t="str">
            <v>POLAR FIM CP IE</v>
          </cell>
          <cell r="D9483" t="str">
            <v>POLAR FIM CP IE</v>
          </cell>
          <cell r="E9483" t="str">
            <v>BNY MELLON ALOCACAO DE PATRIMONIO LTDA</v>
          </cell>
        </row>
        <row r="9484">
          <cell r="B9484">
            <v>79677</v>
          </cell>
          <cell r="C9484" t="str">
            <v>ITAU CHILE ADMINISTRADORA GENERAL DE FONDOS S/A</v>
          </cell>
          <cell r="D9484" t="str">
            <v>ITAU CHILE ADMINISTRADORA GENERAL DE FONDOS S/A</v>
          </cell>
          <cell r="E9484" t="str">
            <v>ITAU CHILE ADMINISTRADORA GENERAL DE FONDOS S/A</v>
          </cell>
        </row>
        <row r="9485">
          <cell r="B9485">
            <v>79678</v>
          </cell>
          <cell r="C9485" t="str">
            <v>BANCO MASTER S/A</v>
          </cell>
          <cell r="D9485" t="str">
            <v>BANCO MASTER S/A</v>
          </cell>
          <cell r="E9485" t="str">
            <v>BANCO MASTER S/A</v>
          </cell>
        </row>
        <row r="9486">
          <cell r="B9486">
            <v>79679</v>
          </cell>
          <cell r="C9486" t="str">
            <v>SAGA TATICO FIM</v>
          </cell>
          <cell r="D9486" t="str">
            <v>SAGA TATICO FIM</v>
          </cell>
          <cell r="E9486" t="str">
            <v>KINITRO CAPITAL GESTAO DE RECURSOS DE TERCEIROS LTDA</v>
          </cell>
        </row>
        <row r="9487">
          <cell r="B9487">
            <v>79680</v>
          </cell>
          <cell r="C9487" t="str">
            <v>SAGA DINAMICO ABSOLUTO FIM</v>
          </cell>
          <cell r="D9487" t="str">
            <v>SAGA DINAMICO ABSOLUTO FIM</v>
          </cell>
          <cell r="E9487" t="str">
            <v>KINITRO CAPITAL GESTAO DE RECURSOS DE TERCEIROS LTDA</v>
          </cell>
        </row>
        <row r="9488">
          <cell r="B9488">
            <v>79681</v>
          </cell>
          <cell r="C9488" t="str">
            <v>SAGA HAWK MASTER FIM</v>
          </cell>
          <cell r="D9488" t="str">
            <v>SAGA HAWK MASTER FIM</v>
          </cell>
          <cell r="E9488" t="str">
            <v>SAGA HAWK MASTER FIM</v>
          </cell>
        </row>
        <row r="9489">
          <cell r="B9489">
            <v>79682</v>
          </cell>
          <cell r="C9489" t="str">
            <v>TAGUS FUNDAMENTAL FIA</v>
          </cell>
          <cell r="D9489" t="str">
            <v>TAGUS FUNDAMENTAL FIA</v>
          </cell>
          <cell r="E9489" t="str">
            <v>APPIA PRIME GESTAO DE RECURSOS LTDA</v>
          </cell>
        </row>
        <row r="9490">
          <cell r="B9490">
            <v>79684</v>
          </cell>
          <cell r="C9490" t="str">
            <v>BANCO RENDIMENTO S/A</v>
          </cell>
          <cell r="D9490" t="str">
            <v>BANCO RENDIMENTO S/A</v>
          </cell>
          <cell r="E9490" t="str">
            <v>BANCO RENDIMENTO S/A</v>
          </cell>
        </row>
        <row r="9491">
          <cell r="B9491">
            <v>79685</v>
          </cell>
          <cell r="C9491" t="str">
            <v>FI CAIXA ANGELIN RF LP</v>
          </cell>
          <cell r="D9491" t="str">
            <v>FI CAIXA ANGELIN RF LP</v>
          </cell>
          <cell r="E9491" t="str">
            <v>CAIXA SEGURADORA S/A</v>
          </cell>
        </row>
        <row r="9492">
          <cell r="B9492">
            <v>79686</v>
          </cell>
          <cell r="C9492" t="str">
            <v>BLUECREST INVESTMENT VEHICLE II LLC</v>
          </cell>
          <cell r="D9492" t="str">
            <v>BLUECREST INVESTMENT VEHICLE II LLC</v>
          </cell>
          <cell r="E9492" t="str">
            <v>BLUECREST INVESTMENT VEHICLE II LLC</v>
          </cell>
        </row>
        <row r="9493">
          <cell r="B9493">
            <v>79687</v>
          </cell>
          <cell r="C9493" t="str">
            <v>BLUECREST INVESTMENT VEHICLE II LLC</v>
          </cell>
          <cell r="D9493" t="str">
            <v>BLUECREST INVESTMENT VEHICLE II LLC</v>
          </cell>
          <cell r="E9493" t="str">
            <v>BLUECREST INVESTMENT VEHICLE II LLC</v>
          </cell>
        </row>
        <row r="9494">
          <cell r="B9494">
            <v>79688</v>
          </cell>
          <cell r="C9494" t="str">
            <v>BLUECREST INVESTMENT VEHICLE II LLC</v>
          </cell>
          <cell r="D9494" t="str">
            <v>BLUECREST INVESTMENT VEHICLE II LLC</v>
          </cell>
          <cell r="E9494" t="str">
            <v>BLUECREST INVESTMENT VEHICLE II LLC</v>
          </cell>
        </row>
        <row r="9495">
          <cell r="B9495">
            <v>79689</v>
          </cell>
          <cell r="C9495" t="str">
            <v>DEUTSCHE BANK AG LONDON GLOBAL MARKETS</v>
          </cell>
          <cell r="D9495" t="str">
            <v>DEUTSCHE BANK AG LONDON GLOBAL MARKETS</v>
          </cell>
          <cell r="E9495" t="str">
            <v>DEUTSCHE BANK S/A</v>
          </cell>
        </row>
        <row r="9496">
          <cell r="B9496">
            <v>79691</v>
          </cell>
          <cell r="C9496" t="str">
            <v>BANCO GENIAL S.A</v>
          </cell>
          <cell r="D9496" t="str">
            <v>BANCO GENIAL S.A</v>
          </cell>
          <cell r="E9496" t="str">
            <v>BANCO GENIAL S/A</v>
          </cell>
        </row>
        <row r="9497">
          <cell r="B9497">
            <v>79692</v>
          </cell>
          <cell r="C9497" t="str">
            <v>BANCO MODAL S/A</v>
          </cell>
          <cell r="D9497" t="str">
            <v>BANCO MODAL S/A</v>
          </cell>
          <cell r="E9497" t="str">
            <v>BANCO MODAL S/A</v>
          </cell>
        </row>
        <row r="9498">
          <cell r="B9498">
            <v>79693</v>
          </cell>
          <cell r="C9498" t="str">
            <v>LOUIS DREYFUS COMPANY BRASIL S/A</v>
          </cell>
          <cell r="D9498">
            <v>93</v>
          </cell>
          <cell r="E9498" t="str">
            <v>LOUIS DREYFUS COMPANY BRASIL S/A</v>
          </cell>
        </row>
        <row r="9499">
          <cell r="B9499">
            <v>79694</v>
          </cell>
          <cell r="C9499" t="str">
            <v>NOMURA GLOBAL FINANCIAL PRODUCTS INC.</v>
          </cell>
          <cell r="D9499" t="str">
            <v>NOMURA GLOBAL FINANCIAL PRODUCTS INC.</v>
          </cell>
          <cell r="E9499" t="str">
            <v>NOMURA GLOBAL FINANCIAL PRODUCTS INC.</v>
          </cell>
        </row>
        <row r="9500">
          <cell r="B9500">
            <v>79695</v>
          </cell>
          <cell r="C9500" t="str">
            <v>NOMURA GLOBAL FINANCIAL PRODUCTS INC.</v>
          </cell>
          <cell r="D9500" t="str">
            <v>NOMURA GLOBAL FINANCIAL PRODUCTS INC.</v>
          </cell>
          <cell r="E9500" t="str">
            <v>NOMURA GLOBAL FINANCIAL PRODUCTS INC.</v>
          </cell>
        </row>
        <row r="9501">
          <cell r="B9501">
            <v>79696</v>
          </cell>
          <cell r="C9501" t="str">
            <v>HSBC BANK USA, NATIONAL ASSOCIATION</v>
          </cell>
          <cell r="D9501" t="str">
            <v>HSBC BANK USA, NATIONAL ASSOCIATION</v>
          </cell>
          <cell r="E9501" t="str">
            <v>BANCO HSBC S/A</v>
          </cell>
        </row>
        <row r="9502">
          <cell r="B9502">
            <v>79697</v>
          </cell>
          <cell r="C9502" t="str">
            <v>RIVIERA HIGH YIELD FIM</v>
          </cell>
          <cell r="D9502" t="str">
            <v>RIVIERA HIGH YIELD FIM</v>
          </cell>
          <cell r="E9502" t="str">
            <v>RIVIERA HIGH YIELD FIM</v>
          </cell>
        </row>
        <row r="9503">
          <cell r="B9503">
            <v>79698</v>
          </cell>
          <cell r="C9503" t="str">
            <v>GUMP INVESTMENTS C.V.</v>
          </cell>
          <cell r="D9503" t="str">
            <v>GUMP INVESTMENTS C.V.</v>
          </cell>
          <cell r="E9503" t="str">
            <v>GUMP INVESTMENTS C.V.</v>
          </cell>
        </row>
        <row r="9504">
          <cell r="B9504">
            <v>79699</v>
          </cell>
          <cell r="C9504" t="str">
            <v>ABSOLUTE HEDGE MASTER FIM</v>
          </cell>
          <cell r="D9504" t="str">
            <v>ABSOLUTE HEDGE MASTER FIM</v>
          </cell>
          <cell r="E9504" t="str">
            <v>ABSOLUTE GESTAO DE INVESTIMENTOS LTDA</v>
          </cell>
        </row>
        <row r="9505">
          <cell r="B9505">
            <v>79183</v>
          </cell>
          <cell r="C9505" t="str">
            <v>PLURAL CAPITAL LONG EQUITIES (DE) LLC</v>
          </cell>
          <cell r="D9505" t="str">
            <v>PLURAL CAPITAL LONG EQUITIES (DE) LLC</v>
          </cell>
          <cell r="E9505" t="str">
            <v>PLURAL GESTÃO DE RECURSOS LTDA</v>
          </cell>
        </row>
        <row r="9506">
          <cell r="B9506">
            <v>79701</v>
          </cell>
          <cell r="C9506" t="str">
            <v>ITAU UNIBANCO S.A.</v>
          </cell>
          <cell r="D9506" t="str">
            <v>ITAU UNIBANCO S.A.</v>
          </cell>
          <cell r="E9506" t="str">
            <v>ITAU UNIBANCO S/A</v>
          </cell>
        </row>
        <row r="9507">
          <cell r="B9507">
            <v>79702</v>
          </cell>
          <cell r="C9507" t="str">
            <v>TI HEDGE FUNDO DE INVESTIMENTO EM ACOES</v>
          </cell>
          <cell r="D9507" t="str">
            <v>TI HEDGE FUNDO DE INVESTIMENTO EM ACOES</v>
          </cell>
          <cell r="E9507" t="str">
            <v>KINITRO CAPITAL GESTAO DE RECURSOS DE TERCEIROS LTDA</v>
          </cell>
        </row>
        <row r="9508">
          <cell r="B9508">
            <v>79703</v>
          </cell>
          <cell r="C9508" t="str">
            <v>SAGA SF FUNDO DE INVESTIMENTO DE ACOES</v>
          </cell>
          <cell r="D9508" t="str">
            <v>SAGA SF FUNDO DE INVESTIMENTO DE ACOES</v>
          </cell>
          <cell r="E9508" t="str">
            <v>SAGA SF FUNDO DE INVESTIMENTO DE ACOES</v>
          </cell>
        </row>
        <row r="9509">
          <cell r="B9509">
            <v>79706</v>
          </cell>
          <cell r="C9509" t="str">
            <v>VINTAGE INVESTIMENTOS LTDA</v>
          </cell>
          <cell r="D9509" t="str">
            <v>VINTAGE INVESTIMENTOS LTDA</v>
          </cell>
          <cell r="E9509" t="str">
            <v>VINTAGE INVESTIMENTOS LTDA</v>
          </cell>
        </row>
        <row r="9510">
          <cell r="B9510">
            <v>79707</v>
          </cell>
          <cell r="C9510" t="str">
            <v>AMORA FIM CP IE</v>
          </cell>
          <cell r="D9510" t="str">
            <v>AMORA FIM CP IE</v>
          </cell>
          <cell r="E9510" t="str">
            <v>AMORA FIM CP IE</v>
          </cell>
        </row>
        <row r="9511">
          <cell r="B9511">
            <v>79708</v>
          </cell>
          <cell r="C9511" t="str">
            <v>BANCO JP MORGAN S/A</v>
          </cell>
          <cell r="D9511" t="str">
            <v>BANCO JP MORGAN S/A</v>
          </cell>
          <cell r="E9511" t="str">
            <v>BANCO JP MORGAN S/A</v>
          </cell>
        </row>
        <row r="9512">
          <cell r="B9512">
            <v>79709</v>
          </cell>
          <cell r="C9512" t="str">
            <v>BANCO VOITER S/A</v>
          </cell>
          <cell r="D9512" t="str">
            <v>BANCO VOITER S/A</v>
          </cell>
          <cell r="E9512" t="str">
            <v>BANCO VOITER S/A</v>
          </cell>
        </row>
        <row r="9513">
          <cell r="B9513">
            <v>79710</v>
          </cell>
          <cell r="C9513" t="str">
            <v>OASIS FIM</v>
          </cell>
          <cell r="D9513" t="str">
            <v>OASIS FIM</v>
          </cell>
          <cell r="E9513" t="str">
            <v>DAYCOVAL ASSET MANAGEMENT ADMINISTRACAO DE RECURSOS LTDA</v>
          </cell>
        </row>
        <row r="9514">
          <cell r="B9514">
            <v>79711</v>
          </cell>
          <cell r="C9514" t="str">
            <v>DAYCOVAL ORBIS MACRO FIM</v>
          </cell>
          <cell r="D9514" t="str">
            <v>DAYCOVAL ORBIS MACRO FIM</v>
          </cell>
          <cell r="E9514" t="str">
            <v>DAYCOVAL ASSET MANAGEMENT ADMINISTRACAO DE RECURSOS LTDA</v>
          </cell>
        </row>
        <row r="9515">
          <cell r="B9515">
            <v>79712</v>
          </cell>
          <cell r="C9515" t="str">
            <v>DAYCOVAL PLUS FIM</v>
          </cell>
          <cell r="D9515" t="str">
            <v>DAYCOVAL PLUS FIM</v>
          </cell>
          <cell r="E9515" t="str">
            <v>DAYCOVAL ASSET MANAGEMENT ADMINISTRACAO DE RECURSOS LTDA</v>
          </cell>
        </row>
        <row r="9516">
          <cell r="B9516">
            <v>79713</v>
          </cell>
          <cell r="C9516" t="str">
            <v>DAYCOVAL TOTAL LONG BIAS FIA</v>
          </cell>
          <cell r="D9516" t="str">
            <v>DAYCOVAL TOTAL LONG BIAS FIA</v>
          </cell>
          <cell r="E9516" t="str">
            <v>DAYCOVAL ASSET MANAGEMENT ADMINISTRACAO DE RECURSOS LTDA</v>
          </cell>
        </row>
        <row r="9517">
          <cell r="B9517">
            <v>79714</v>
          </cell>
          <cell r="C9517" t="str">
            <v>LEBLON EQUITIES HEDGE MASTER FIA</v>
          </cell>
          <cell r="D9517" t="str">
            <v>LEBLON EQUITIES HEDGE MASTER FIA</v>
          </cell>
          <cell r="E9517" t="str">
            <v>LEBLON EQUITIES GESTAO DE RECURSOS LTDA</v>
          </cell>
        </row>
        <row r="9518">
          <cell r="B9518">
            <v>79715</v>
          </cell>
          <cell r="C9518" t="str">
            <v>LEBLON AÃ‡Ã•ES MASTER FIA</v>
          </cell>
          <cell r="D9518" t="str">
            <v>LEBLON AÃ‡Ã•ES MASTER FIA</v>
          </cell>
          <cell r="E9518" t="str">
            <v>LEBLON EQUITIES GESTAO DE RECURSOS LTDA</v>
          </cell>
        </row>
        <row r="9519">
          <cell r="B9519">
            <v>79716</v>
          </cell>
          <cell r="C9519" t="str">
            <v>LEBLON EQUITIES PARTNERS FIM IE</v>
          </cell>
          <cell r="D9519" t="str">
            <v>LEBLON EQUITIES PARTNERS FIM IE</v>
          </cell>
          <cell r="E9519" t="str">
            <v>LEBLON EQUITIES GESTAO DE RECURSOS LTDA</v>
          </cell>
        </row>
        <row r="9520">
          <cell r="B9520">
            <v>79717</v>
          </cell>
          <cell r="C9520" t="str">
            <v>LEBLON PREVIDENCIA FIM</v>
          </cell>
          <cell r="D9520" t="str">
            <v>LEBLON PREVIDENCIA FIM</v>
          </cell>
          <cell r="E9520" t="str">
            <v>LEBLON EQUITIES GESTAO DE RECURSOS LTDA</v>
          </cell>
        </row>
        <row r="9521">
          <cell r="B9521">
            <v>79718</v>
          </cell>
          <cell r="C9521" t="str">
            <v>LEBLON AÃ‡OES INSTITUCIONAL MASTER FIA</v>
          </cell>
          <cell r="D9521" t="str">
            <v>LEBLON AÃ‡OES INSTITUCIONAL MASTER FIA</v>
          </cell>
          <cell r="E9521" t="str">
            <v>LEBLON EQUITIES GESTAO DE RECURSOS LTDA</v>
          </cell>
        </row>
        <row r="9522">
          <cell r="B9522">
            <v>79719</v>
          </cell>
          <cell r="C9522" t="str">
            <v>ADVANCE BRAZIL LEBLON EQUITIES FUND</v>
          </cell>
          <cell r="D9522" t="str">
            <v>ADVANCE BRAZIL LEBLON EQUITIES FUND</v>
          </cell>
          <cell r="E9522" t="str">
            <v>LEBLON EQUITIES GESTAO DE RECURSOS LTDA</v>
          </cell>
        </row>
        <row r="9523">
          <cell r="B9523">
            <v>79720</v>
          </cell>
          <cell r="C9523" t="str">
            <v>POSTO 12 LLC</v>
          </cell>
          <cell r="D9523" t="str">
            <v>POSTO 12 LLC</v>
          </cell>
          <cell r="E9523" t="str">
            <v>LEBLON EQUITIES GESTAO DE RECURSOS LTDA</v>
          </cell>
        </row>
        <row r="9524">
          <cell r="B9524">
            <v>79721</v>
          </cell>
          <cell r="C9524" t="str">
            <v>ATAULFO LLC</v>
          </cell>
          <cell r="D9524" t="str">
            <v>ATAULFO LLC</v>
          </cell>
          <cell r="E9524" t="str">
            <v>LEBLON EQUITIES GESTAO DE RECURSOS LTDA</v>
          </cell>
        </row>
        <row r="9525">
          <cell r="B9525">
            <v>79722</v>
          </cell>
          <cell r="C9525" t="str">
            <v>BANCO ABN AMRO CLEARING S.A.</v>
          </cell>
          <cell r="D9525" t="str">
            <v>BANCO ABN AMRO CLEARING S.A.</v>
          </cell>
          <cell r="E9525" t="str">
            <v>BANCO ABN AMRO S/A</v>
          </cell>
        </row>
        <row r="9526">
          <cell r="B9526">
            <v>79723</v>
          </cell>
          <cell r="C9526" t="str">
            <v>BANCO ABN AMRO CLEARING S.A.</v>
          </cell>
          <cell r="D9526" t="str">
            <v>BANCO ABN AMRO CLEARING S.A.</v>
          </cell>
          <cell r="E9526" t="str">
            <v>BANCO ABN AMRO S/A</v>
          </cell>
        </row>
        <row r="9527">
          <cell r="B9527">
            <v>79724</v>
          </cell>
          <cell r="C9527" t="str">
            <v>DAMHA AGRONEGOCIOS LTDA</v>
          </cell>
          <cell r="D9527" t="str">
            <v>DAMHA AGRONEGOCIOS LTDA</v>
          </cell>
          <cell r="E9527" t="str">
            <v>DAMHA AGRONEGOCIOS LTDA</v>
          </cell>
        </row>
        <row r="9528">
          <cell r="B9528">
            <v>79725</v>
          </cell>
          <cell r="C9528" t="str">
            <v>BANCO MUFG BRASIL S.A.</v>
          </cell>
          <cell r="D9528" t="str">
            <v>BANCO MUFG BRASIL S.A.</v>
          </cell>
          <cell r="E9528" t="str">
            <v>BANCO MUFG BRASIL S/A</v>
          </cell>
        </row>
        <row r="9529">
          <cell r="B9529">
            <v>79726</v>
          </cell>
          <cell r="C9529" t="str">
            <v>NOMURA GLOBAL FINANCIAL PRODUCTS INC.</v>
          </cell>
          <cell r="D9529" t="str">
            <v>NOMURA GLOBAL FINANCIAL PRODUCTS INC.</v>
          </cell>
          <cell r="E9529" t="str">
            <v>NOMURA GLOBAL FINANCIAL PRODUCTS INC.</v>
          </cell>
        </row>
        <row r="9530">
          <cell r="B9530">
            <v>79727</v>
          </cell>
          <cell r="C9530" t="str">
            <v>NOMURA GLOBAL FINANCIAL PRODUCTS INC.</v>
          </cell>
          <cell r="D9530" t="str">
            <v>NOMURA GLOBAL FINANCIAL PRODUCTS INC.</v>
          </cell>
          <cell r="E9530" t="str">
            <v>NOMURA GLOBAL FINANCIAL PRODUCTS INC.</v>
          </cell>
        </row>
        <row r="9531">
          <cell r="B9531">
            <v>79728</v>
          </cell>
          <cell r="C9531" t="str">
            <v>NOMURA GLOBAL FINANCIAL PRODUCTS INC.</v>
          </cell>
          <cell r="D9531" t="str">
            <v>NOMURA GLOBAL FINANCIAL PRODUCTS INC.</v>
          </cell>
          <cell r="E9531" t="str">
            <v>NOMURA GLOBAL FINANCIAL PRODUCTS INC.</v>
          </cell>
        </row>
        <row r="9532">
          <cell r="B9532">
            <v>79729</v>
          </cell>
          <cell r="C9532" t="str">
            <v>NOMURA GLOBAL FINANCIAL PRODUCTS INC.</v>
          </cell>
          <cell r="D9532" t="str">
            <v>NOMURA GLOBAL FINANCIAL PRODUCTS INC.</v>
          </cell>
          <cell r="E9532" t="str">
            <v>NOMURA GLOBAL FINANCIAL PRODUCTS INC.</v>
          </cell>
        </row>
        <row r="9533">
          <cell r="B9533">
            <v>79730</v>
          </cell>
          <cell r="C9533" t="str">
            <v>INFINITY ASSET MANAG ADM DE RECURSOS LTDA</v>
          </cell>
          <cell r="D9533" t="str">
            <v>INFINITY ASSET MANAG ADM DE RECURSOS LTDA</v>
          </cell>
          <cell r="E9533" t="str">
            <v>INFINITY ASSET MANAG ADM DE RECURSOS LTDA</v>
          </cell>
        </row>
        <row r="9534">
          <cell r="B9534">
            <v>79731</v>
          </cell>
          <cell r="C9534" t="str">
            <v>PLATINA TOP FORCE FIM</v>
          </cell>
          <cell r="D9534" t="str">
            <v>PLATINA TOP FORCE FIM</v>
          </cell>
          <cell r="E9534" t="str">
            <v>PLATINA INVESTIMENTOS LTDA</v>
          </cell>
        </row>
        <row r="9535">
          <cell r="B9535">
            <v>79732</v>
          </cell>
          <cell r="C9535" t="str">
            <v>ICONE INVESTIMENTOS LTDA</v>
          </cell>
          <cell r="D9535" t="str">
            <v>ICONE INVESTIMENTOS LTDA</v>
          </cell>
          <cell r="E9535" t="str">
            <v>ICONE INVESTIMENTOS LTDA</v>
          </cell>
        </row>
        <row r="9536">
          <cell r="B9536">
            <v>79733</v>
          </cell>
          <cell r="C9536" t="str">
            <v>SDB FI RF</v>
          </cell>
          <cell r="D9536" t="str">
            <v>SDB FI RF</v>
          </cell>
          <cell r="E9536" t="str">
            <v>SDB FI RF</v>
          </cell>
        </row>
        <row r="9537">
          <cell r="B9537">
            <v>79734</v>
          </cell>
          <cell r="C9537" t="str">
            <v>LACAN WINGS RENDA FIXA FI</v>
          </cell>
          <cell r="D9537" t="str">
            <v>LACAN WINGS RENDA FIXA FI</v>
          </cell>
          <cell r="E9537" t="str">
            <v>LACAN WINGS RENDA FIXA FI</v>
          </cell>
        </row>
        <row r="9538">
          <cell r="B9538">
            <v>79735</v>
          </cell>
          <cell r="C9538" t="str">
            <v>VINTAGE NZ LIMITED PARTNERSHIP</v>
          </cell>
          <cell r="D9538" t="str">
            <v>VINTAGE NZ LIMITED PARTNERSHIP</v>
          </cell>
          <cell r="E9538" t="str">
            <v>VINTAGE NZ LIMITED PARTNERSHIP</v>
          </cell>
        </row>
        <row r="9539">
          <cell r="B9539">
            <v>79736</v>
          </cell>
          <cell r="C9539" t="str">
            <v>MANDATTO TREASURY FUNDO DE INVESTIMENTO MULTIMERCADO CREDITO</v>
          </cell>
          <cell r="D9539" t="str">
            <v>MANDATTO TREASURY FUNDO DE INVESTIMENTO MULTIMERCADO CREDITO</v>
          </cell>
          <cell r="E9539" t="str">
            <v>TAVOLA CAPITAL GESTAO DE RECURSOS LTDA</v>
          </cell>
        </row>
        <row r="9540">
          <cell r="B9540">
            <v>79737</v>
          </cell>
          <cell r="C9540" t="str">
            <v>TFO HEDGE FIM</v>
          </cell>
          <cell r="D9540" t="str">
            <v>TFO HEDGE FIM</v>
          </cell>
          <cell r="E9540" t="str">
            <v>TFO HEDGE FIM</v>
          </cell>
        </row>
        <row r="9541">
          <cell r="B9541">
            <v>79738</v>
          </cell>
          <cell r="C9541" t="str">
            <v>NOMURA GLOBAL FINANCIAL PRODUCTS INC.</v>
          </cell>
          <cell r="D9541" t="str">
            <v>NOMURA GLOBAL FINANCIAL PRODUCTS INC.</v>
          </cell>
          <cell r="E9541" t="str">
            <v>NOMURA GLOBAL FINANCIAL PRODUCTS INC.</v>
          </cell>
        </row>
        <row r="9542">
          <cell r="B9542">
            <v>79740</v>
          </cell>
          <cell r="C9542" t="str">
            <v>ITAU CORRETORA DE VALORES S.A.</v>
          </cell>
          <cell r="D9542" t="str">
            <v>ITAU CORRETORA DE VALORES S.A.</v>
          </cell>
          <cell r="E9542" t="str">
            <v>ITAU CV S/A</v>
          </cell>
        </row>
        <row r="9543">
          <cell r="B9543">
            <v>79741</v>
          </cell>
          <cell r="C9543" t="str">
            <v>ASA ASSET 2 GESTAO DE RECURSOS LTDA</v>
          </cell>
          <cell r="D9543" t="str">
            <v>ASA ASSET 2 GESTAO DE RECURSOS LTDA</v>
          </cell>
          <cell r="E9543" t="str">
            <v>ASA ASSET GESTAO EM INVESTIMENTOS LTDA</v>
          </cell>
        </row>
        <row r="9544">
          <cell r="B9544">
            <v>79742</v>
          </cell>
          <cell r="C9544" t="str">
            <v>PATRIA PIPE MASTER FIA</v>
          </cell>
          <cell r="D9544" t="str">
            <v>PATRIA PIPE MASTER FIA</v>
          </cell>
          <cell r="E9544" t="str">
            <v>PATRIA INVESTIMENTOS LTDA</v>
          </cell>
        </row>
        <row r="9545">
          <cell r="B9545">
            <v>79743</v>
          </cell>
          <cell r="C9545" t="str">
            <v>NOMURA GLOBAL FINANCIAL PRODUCTS INC.</v>
          </cell>
          <cell r="D9545" t="str">
            <v>NOMURA GLOBAL FINANCIAL PRODUCTS INC.</v>
          </cell>
          <cell r="E9545" t="str">
            <v>NOMURA GLOBAL FINANCIAL PRODUCTS INC.</v>
          </cell>
        </row>
        <row r="9546">
          <cell r="B9546">
            <v>79744</v>
          </cell>
          <cell r="C9546" t="str">
            <v>BANCO BOCOM BBM S.A</v>
          </cell>
          <cell r="D9546" t="str">
            <v>BANCO BOCOM BBM S.A</v>
          </cell>
          <cell r="E9546" t="str">
            <v>BANCO BOCOM BBM S/A</v>
          </cell>
        </row>
        <row r="9547">
          <cell r="B9547">
            <v>79745</v>
          </cell>
          <cell r="C9547" t="str">
            <v>CREDIT SUISSE (BRASIL) DTVM S/A</v>
          </cell>
          <cell r="D9547" t="str">
            <v>CREDIT SUISSE (BRASIL) DTVM S/A</v>
          </cell>
          <cell r="E9547" t="str">
            <v>CREDIT SUISSE (BRASIL) DTVM S/A</v>
          </cell>
        </row>
        <row r="9548">
          <cell r="B9548">
            <v>79746</v>
          </cell>
          <cell r="C9548" t="str">
            <v>BANCO PINE S/A</v>
          </cell>
          <cell r="D9548" t="str">
            <v>BANCO PINE S/A</v>
          </cell>
          <cell r="E9548" t="str">
            <v>BANCO PINE S/A</v>
          </cell>
        </row>
        <row r="9549">
          <cell r="B9549">
            <v>79748</v>
          </cell>
          <cell r="C9549" t="str">
            <v>RIVIERA MASTER STRATEGY II FI RF</v>
          </cell>
          <cell r="D9549" t="str">
            <v>RIVIERA MASTER STRATEGY II FI RF</v>
          </cell>
          <cell r="E9549" t="str">
            <v>RIVIERA MASTER STRATEGY II FI RF</v>
          </cell>
        </row>
        <row r="9550">
          <cell r="B9550">
            <v>79749</v>
          </cell>
          <cell r="C9550" t="str">
            <v>ICAP DO BRASIL CTVM LTDA ( ATUAL TULLET)</v>
          </cell>
          <cell r="D9550" t="str">
            <v>ICAP DO BRASIL CTVM LTDA ( ATUAL TULLET)</v>
          </cell>
          <cell r="E9550" t="str">
            <v>ICAP DO BRASIL CTVM LTDA ( ATUAL TULLET)</v>
          </cell>
        </row>
        <row r="9551">
          <cell r="B9551">
            <v>79750</v>
          </cell>
          <cell r="C9551" t="str">
            <v>BGC LIQUIDEZ DTVM LTDA</v>
          </cell>
          <cell r="D9551" t="str">
            <v>BGC LIQUIDEZ DTVM LTDA</v>
          </cell>
          <cell r="E9551" t="str">
            <v>BGC LIQUIDEZ DTVM LTDA</v>
          </cell>
        </row>
        <row r="9552">
          <cell r="B9552">
            <v>79751</v>
          </cell>
          <cell r="C9552" t="str">
            <v>SAGA INSTITUCIONAL FUNDO DE INVESTIMENTO EM ACOES</v>
          </cell>
          <cell r="D9552" t="str">
            <v>SAGA INSTITUCIONAL FUNDO DE INVESTIMENTO EM ACOES</v>
          </cell>
          <cell r="E9552" t="str">
            <v>SAGA INSTITUCIONAL FUNDO DE INVESTIMENTO EM ACOES</v>
          </cell>
        </row>
        <row r="9553">
          <cell r="B9553">
            <v>79752</v>
          </cell>
          <cell r="C9553" t="str">
            <v>CREDIT AGRICOLE CORPORATE AND INVESTMENT BANK</v>
          </cell>
          <cell r="D9553" t="str">
            <v>CREDIT AGRICOLE CORPORATE AND INVESTMENT BANK</v>
          </cell>
          <cell r="E9553" t="str">
            <v>BANCO CREDIT AGRICOLE BRASIL S/A</v>
          </cell>
        </row>
        <row r="9554">
          <cell r="B9554">
            <v>79753</v>
          </cell>
          <cell r="C9554" t="str">
            <v>RIVIERA GESTORA DE RECURSOS LTDA</v>
          </cell>
          <cell r="D9554" t="str">
            <v>RIVIERA GESTORA DE RECURSOS LTDA</v>
          </cell>
          <cell r="E9554" t="str">
            <v>RIVIERA GESTORA DE RECURSOS LTDA</v>
          </cell>
        </row>
        <row r="9555">
          <cell r="B9555">
            <v>79754</v>
          </cell>
          <cell r="C9555" t="str">
            <v>CREDIT AGRICOLE CORPORATE AND INVESTMENT BANK</v>
          </cell>
          <cell r="D9555" t="str">
            <v>CREDIT AGRICOLE CORPORATE AND INVESTMENT BANK</v>
          </cell>
          <cell r="E9555" t="str">
            <v>BANCO CREDIT AGRICOLE BRASIL S/A</v>
          </cell>
        </row>
        <row r="9556">
          <cell r="B9556">
            <v>79755</v>
          </cell>
          <cell r="C9556" t="str">
            <v>PRINCIPAL ASSET MANAGEMENT LTDA</v>
          </cell>
          <cell r="D9556" t="str">
            <v>PRINCIPAL ASSET MANAGEMENT LTDA</v>
          </cell>
          <cell r="E9556" t="str">
            <v>PRINCIPAL ASSET MANAGEMENT LTDA</v>
          </cell>
        </row>
        <row r="9557">
          <cell r="B9557">
            <v>79756</v>
          </cell>
          <cell r="C9557" t="str">
            <v>BANK OF CHINA (BRASIL) BANCO MULTIPLO S/A</v>
          </cell>
          <cell r="D9557" t="str">
            <v>BANK OF CHINA (BRASIL) BANCO MULTIPLO S/A</v>
          </cell>
          <cell r="E9557" t="str">
            <v>BANCO DA CHINA BRASIL S/A</v>
          </cell>
        </row>
        <row r="9558">
          <cell r="B9558">
            <v>79757</v>
          </cell>
          <cell r="C9558" t="str">
            <v>BANK OF CHINA (BRASIL) BANCO MULTIPLO S/A</v>
          </cell>
          <cell r="D9558" t="str">
            <v>BANK OF CHINA (BRASIL) BANCO MULTIPLO S/A</v>
          </cell>
          <cell r="E9558" t="str">
            <v>BANCO DA CHINA BRASIL S/A</v>
          </cell>
        </row>
        <row r="9559">
          <cell r="B9559">
            <v>79758</v>
          </cell>
          <cell r="C9559" t="str">
            <v>CITRINO GESTAO DE RECURSOS LTDA</v>
          </cell>
          <cell r="D9559" t="str">
            <v>CITRINO GESTAO DE RECURSOS LTDA</v>
          </cell>
          <cell r="E9559" t="str">
            <v>CITRINO GESTAO DE RECURSOS LTDA</v>
          </cell>
        </row>
        <row r="9560">
          <cell r="B9560">
            <v>79759</v>
          </cell>
          <cell r="C9560" t="str">
            <v>FLOWERTECH CV</v>
          </cell>
          <cell r="D9560" t="str">
            <v>FLOWERTECH CV</v>
          </cell>
          <cell r="E9560" t="str">
            <v>FLOWERTECH CV</v>
          </cell>
        </row>
        <row r="9561">
          <cell r="B9561">
            <v>79760</v>
          </cell>
          <cell r="C9561" t="str">
            <v>TAVOLA CAPITAL GESTAO DE RECURSOS LTDA</v>
          </cell>
          <cell r="D9561" t="str">
            <v>TAVOLA CAPITAL GESTAO DE RECURSOS LTDA</v>
          </cell>
          <cell r="E9561" t="str">
            <v>TAVOLA CAPITAL GESTAO DE RECURSOS LTDA</v>
          </cell>
        </row>
        <row r="9562">
          <cell r="B9562">
            <v>79761</v>
          </cell>
          <cell r="C9562" t="str">
            <v>FIM TAQUARI</v>
          </cell>
          <cell r="D9562" t="str">
            <v>FIM TAQUARI</v>
          </cell>
          <cell r="E9562" t="str">
            <v>FIM TAQUARI</v>
          </cell>
        </row>
        <row r="9563">
          <cell r="B9563">
            <v>79762</v>
          </cell>
          <cell r="C9563" t="str">
            <v>BANCO PAULISTA S/A</v>
          </cell>
          <cell r="D9563" t="str">
            <v>BANCO PAULISTA S/A</v>
          </cell>
          <cell r="E9563" t="str">
            <v>BANCO PAULISTA S/A</v>
          </cell>
        </row>
        <row r="9564">
          <cell r="B9564">
            <v>79763</v>
          </cell>
          <cell r="C9564" t="str">
            <v>EMERALD GESTAO DE INVESTIMENTOS SOCIEDADE UNIPESSOAL LTDA</v>
          </cell>
          <cell r="D9564" t="str">
            <v>EMERALD GESTAO DE INVESTIMENTOS SOCIEDADE UNIPESSOAL LTDA</v>
          </cell>
          <cell r="E9564" t="str">
            <v>EMERALD GESTAO DE INVESTIMENTOS LTDA</v>
          </cell>
        </row>
        <row r="9565">
          <cell r="B9565">
            <v>79764</v>
          </cell>
          <cell r="C9565" t="str">
            <v>KIRTON BANK S.A. - BANCO MULTIPLO</v>
          </cell>
          <cell r="D9565" t="str">
            <v>KIRTON BANK S.A. - BANCO MULTIPLO</v>
          </cell>
          <cell r="E9565" t="str">
            <v>KIRTON BANK S.A. - BANCO MULTIPLO</v>
          </cell>
        </row>
        <row r="9566">
          <cell r="B9566">
            <v>79765</v>
          </cell>
          <cell r="C9566" t="str">
            <v>MILENIO CAPITAL GESTAO DE INVESTIMENTOS LTDA</v>
          </cell>
          <cell r="D9566" t="str">
            <v>MILENIO CAPITAL GESTAO DE INVESTIMENTOS LTDA</v>
          </cell>
          <cell r="E9566" t="str">
            <v>MILENIO CAPITAL GESTAO DE INVESTIMENTOS LTDA</v>
          </cell>
        </row>
        <row r="9567">
          <cell r="B9567">
            <v>47339</v>
          </cell>
          <cell r="C9567" t="str">
            <v>BANCO INTERCAP S/A</v>
          </cell>
          <cell r="D9567" t="str">
            <v>BANCO INTERCAP S/A</v>
          </cell>
          <cell r="E9567" t="str">
            <v>BANCO INTERCAP S/A</v>
          </cell>
        </row>
        <row r="9568">
          <cell r="B9568">
            <v>5630</v>
          </cell>
          <cell r="C9568" t="str">
            <v>BANCO INTERCAP S/A</v>
          </cell>
          <cell r="D9568" t="str">
            <v>BANCO INTERCAP S/A</v>
          </cell>
          <cell r="E9568" t="str">
            <v>BANCO INTERCAP S/A</v>
          </cell>
        </row>
        <row r="9569">
          <cell r="B9569">
            <v>79769</v>
          </cell>
          <cell r="C9569" t="str">
            <v>BOZANO LONG BIASED FIA</v>
          </cell>
          <cell r="D9569" t="str">
            <v>BOZANO LONG BIASED FIA</v>
          </cell>
          <cell r="E9569" t="str">
            <v>MERCATTO GESTAO DE RECURSOS LTDA</v>
          </cell>
        </row>
        <row r="9570">
          <cell r="B9570">
            <v>79770</v>
          </cell>
          <cell r="C9570" t="str">
            <v>ANANKE FIM</v>
          </cell>
          <cell r="D9570" t="str">
            <v>ANANKE FIM</v>
          </cell>
          <cell r="E9570" t="str">
            <v>ANANKE FIM</v>
          </cell>
        </row>
        <row r="9571">
          <cell r="B9571">
            <v>79771</v>
          </cell>
          <cell r="C9571" t="str">
            <v>INFINITY ASSET MANAG ADM DE RECURSOS LTDA</v>
          </cell>
          <cell r="D9571" t="str">
            <v>INFINITY ASSET MANAG ADM DE RECURSOS LTDA</v>
          </cell>
          <cell r="E9571" t="str">
            <v>INFINITY ASSET MANAG ADM DE RECURSOS LTDA</v>
          </cell>
        </row>
        <row r="9572">
          <cell r="B9572">
            <v>79772</v>
          </cell>
          <cell r="C9572" t="str">
            <v>VERDE ASSET MANAGEMENT S/A</v>
          </cell>
          <cell r="D9572" t="str">
            <v>VERDE ASSET MANAGEMENT S/A</v>
          </cell>
          <cell r="E9572" t="str">
            <v>VERDE ASSET MANAGEMENT S/A</v>
          </cell>
        </row>
        <row r="9573">
          <cell r="B9573">
            <v>79775</v>
          </cell>
          <cell r="C9573" t="str">
            <v>ICAP DO BRASIL CTVM LTDA ( ATUAL TULLET)</v>
          </cell>
          <cell r="D9573" t="str">
            <v>ICAP DO BRASIL CTVM LTDA ( ATUAL TULLET)</v>
          </cell>
          <cell r="E9573" t="str">
            <v>ICAP DO BRASIL CTVM LTDA ( ATUAL TULLET)</v>
          </cell>
        </row>
        <row r="9574">
          <cell r="B9574">
            <v>79776</v>
          </cell>
          <cell r="C9574" t="str">
            <v>ITAU UNIBANCO S.A.</v>
          </cell>
          <cell r="D9574" t="str">
            <v>ITAU UNIBANCO S.A.</v>
          </cell>
          <cell r="E9574" t="str">
            <v>ITAU UNIBANCO S/A</v>
          </cell>
        </row>
        <row r="9575">
          <cell r="B9575">
            <v>79777</v>
          </cell>
          <cell r="C9575" t="str">
            <v>VINSON FUND, LLC</v>
          </cell>
          <cell r="D9575" t="str">
            <v>VINSON FUND, LLC</v>
          </cell>
          <cell r="E9575" t="str">
            <v>VINSON FUND, LLC</v>
          </cell>
        </row>
        <row r="9576">
          <cell r="B9576">
            <v>79778</v>
          </cell>
          <cell r="C9576" t="str">
            <v>SAFRA DISTRIBUIDORA DE TITULOS E VALORES MOBILIARIOS LTDA.</v>
          </cell>
          <cell r="D9576" t="str">
            <v>SAFRA DISTRIBUIDORA DE TITULOS E VALORES MOBILIARIOS LTDA.</v>
          </cell>
          <cell r="E9576" t="str">
            <v>SAFRA ASSET MANAGEMENT LTDA</v>
          </cell>
        </row>
        <row r="9577">
          <cell r="B9577">
            <v>79779</v>
          </cell>
          <cell r="C9577" t="str">
            <v>BANCO ABC BRASIL S/A</v>
          </cell>
          <cell r="D9577" t="str">
            <v>BANCO ABC BRASIL S/A</v>
          </cell>
          <cell r="E9577" t="str">
            <v>BANCO ABC BRASIL S/A</v>
          </cell>
        </row>
        <row r="9578">
          <cell r="B9578">
            <v>79780</v>
          </cell>
          <cell r="C9578" t="str">
            <v>BLUECREST INVESTIMENTOS BRASIL LTDA</v>
          </cell>
          <cell r="D9578" t="str">
            <v>BLUECREST INVESTIMENTOS BRASIL LTDA</v>
          </cell>
          <cell r="E9578" t="str">
            <v>BLUECREST INVESTIMENTOS BRASIL LTDA</v>
          </cell>
        </row>
        <row r="9579">
          <cell r="B9579">
            <v>79781</v>
          </cell>
          <cell r="C9579" t="str">
            <v>JPP CAPITAL GESTAO DE RECURSOS LTDA</v>
          </cell>
          <cell r="D9579" t="str">
            <v>JPP CAPITAL GESTAO DE RECURSOS LTDA</v>
          </cell>
          <cell r="E9579" t="str">
            <v>JPP CAPITAL GESTAO DE RECURSOS LTDA</v>
          </cell>
        </row>
        <row r="9580">
          <cell r="B9580">
            <v>79782</v>
          </cell>
          <cell r="C9580" t="str">
            <v>SAFRA DISTRIBUIDORA DE TITULOS E VALORES MOBILIARIOS LTDA.</v>
          </cell>
          <cell r="D9580" t="str">
            <v>SAFRA DISTRIBUIDORA DE TITULOS E VALORES MOBILIARIOS LTDA.</v>
          </cell>
          <cell r="E9580" t="str">
            <v>SAFRA ASSET MANAGEMENT LTDA</v>
          </cell>
        </row>
        <row r="9581">
          <cell r="B9581">
            <v>79783</v>
          </cell>
          <cell r="C9581" t="str">
            <v>BLUECREST INVESTIMENTOS BRASIL LTDA</v>
          </cell>
          <cell r="D9581" t="str">
            <v>BLUECREST INVESTIMENTOS BRASIL LTDA</v>
          </cell>
          <cell r="E9581" t="str">
            <v>BLUECREST INVESTIMENTOS BRASIL LTDA</v>
          </cell>
        </row>
        <row r="9582">
          <cell r="B9582">
            <v>79784</v>
          </cell>
          <cell r="C9582" t="str">
            <v>BLUECREST INVESTIMENTOS BRASIL LTDA</v>
          </cell>
          <cell r="D9582" t="str">
            <v>BLUECREST INVESTIMENTOS BRASIL LTDA</v>
          </cell>
          <cell r="E9582" t="str">
            <v>BLUECREST INVESTIMENTOS BRASIL LTDA</v>
          </cell>
        </row>
        <row r="9583">
          <cell r="B9583">
            <v>79785</v>
          </cell>
          <cell r="C9583" t="str">
            <v>BLUECREST INVESTIMENTOS BRASIL LTDA</v>
          </cell>
          <cell r="D9583" t="str">
            <v>BLUECREST INVESTIMENTOS BRASIL LTDA</v>
          </cell>
          <cell r="E9583" t="str">
            <v>BLUECREST INVESTIMENTOS BRASIL LTDA</v>
          </cell>
        </row>
        <row r="9584">
          <cell r="B9584">
            <v>79786</v>
          </cell>
          <cell r="C9584" t="str">
            <v>BLUECREST INVESTIMENTOS BRASIL LTDA</v>
          </cell>
          <cell r="D9584" t="str">
            <v>BLUECREST INVESTIMENTOS BRASIL LTDA</v>
          </cell>
          <cell r="E9584" t="str">
            <v>BLUECREST INVESTIMENTOS BRASIL LTDA</v>
          </cell>
        </row>
        <row r="9585">
          <cell r="B9585">
            <v>79787</v>
          </cell>
          <cell r="C9585" t="str">
            <v>BLUECREST INVESTIMENTOS BRASIL LTDA</v>
          </cell>
          <cell r="D9585" t="str">
            <v>BLUECREST INVESTIMENTOS BRASIL LTDA</v>
          </cell>
          <cell r="E9585" t="str">
            <v>BLUECREST INVESTIMENTOS BRASIL LTDA</v>
          </cell>
        </row>
        <row r="9586">
          <cell r="B9586">
            <v>79788</v>
          </cell>
          <cell r="C9586" t="str">
            <v>BLUECREST INVESTIMENTOS BRASIL LTDA</v>
          </cell>
          <cell r="D9586" t="str">
            <v>BLUECREST INVESTIMENTOS BRASIL LTDA</v>
          </cell>
          <cell r="E9586" t="str">
            <v>BLUECREST INVESTIMENTOS BRASIL LTDA</v>
          </cell>
        </row>
        <row r="9587">
          <cell r="B9587">
            <v>79789</v>
          </cell>
          <cell r="C9587" t="str">
            <v>BLUECREST INVESTIMENTOS BRASIL LTDA</v>
          </cell>
          <cell r="D9587" t="str">
            <v>BLUECREST INVESTIMENTOS BRASIL LTDA</v>
          </cell>
          <cell r="E9587" t="str">
            <v>BLUECREST INVESTIMENTOS BRASIL LTDA</v>
          </cell>
        </row>
        <row r="9588">
          <cell r="B9588">
            <v>79790</v>
          </cell>
          <cell r="C9588" t="str">
            <v>BLUECREST INVESTIMENTOS BRASIL LTDA</v>
          </cell>
          <cell r="D9588" t="str">
            <v>BLUECREST INVESTIMENTOS BRASIL LTDA</v>
          </cell>
          <cell r="E9588" t="str">
            <v>BLUECREST INVESTIMENTOS BRASIL LTDA</v>
          </cell>
        </row>
        <row r="9589">
          <cell r="B9589">
            <v>79256</v>
          </cell>
          <cell r="C9589" t="str">
            <v>GOLDMAN SACHS INTERNATIONAL - CITI</v>
          </cell>
          <cell r="D9589" t="str">
            <v>GOLDMAN SACHS INTERNATIONAL - CITI</v>
          </cell>
          <cell r="E9589" t="str">
            <v>GOLDMAN SACHS DO BRASIL BANCO MULTIPLO S/A</v>
          </cell>
        </row>
        <row r="9590">
          <cell r="B9590">
            <v>79792</v>
          </cell>
          <cell r="C9590" t="str">
            <v>LESTE ADMINISTRAÃ‡ÃƒO DE RECURSOS LTDA</v>
          </cell>
          <cell r="D9590" t="str">
            <v>LESTE ADMINISTRAÃ‡ÃƒO DE RECURSOS LTDA</v>
          </cell>
          <cell r="E9590" t="str">
            <v>LESTE ADMINISTRAÃ‡ÃƒO DE RECURSOS LTDA</v>
          </cell>
        </row>
        <row r="9591">
          <cell r="B9591">
            <v>79793</v>
          </cell>
          <cell r="C9591" t="str">
            <v>EMERALD GESTAO DE INVESTIMENTOS SOCIEDADE UNIPESSOAL LTDA</v>
          </cell>
          <cell r="D9591" t="str">
            <v>EMERALD GESTAO DE INVESTIMENTOS SOCIEDADE UNIPESSOAL LTDA</v>
          </cell>
          <cell r="E9591" t="str">
            <v>EMERALD GESTAO DE INVESTIMENTOS LTDA</v>
          </cell>
        </row>
        <row r="9592">
          <cell r="B9592">
            <v>79794</v>
          </cell>
          <cell r="C9592" t="str">
            <v>AQ3 ASSET MANAGEMENT LTDA</v>
          </cell>
          <cell r="D9592" t="str">
            <v>AQ3 ASSET MANAGEMENT LTDA</v>
          </cell>
          <cell r="E9592" t="str">
            <v>AQ3 ASSET MANAGEMENT LTDA</v>
          </cell>
        </row>
        <row r="9593">
          <cell r="B9593">
            <v>79795</v>
          </cell>
          <cell r="C9593" t="str">
            <v>GAUSS CAPITAL GESTORA DE RECURSOS LTDA</v>
          </cell>
          <cell r="D9593" t="str">
            <v>GAUSS CAPITAL GESTORA DE RECURSOS LTDA</v>
          </cell>
          <cell r="E9593" t="str">
            <v>ASA ASSET GESTAO EM INVESTIMENTOS LTDA</v>
          </cell>
        </row>
        <row r="9594">
          <cell r="B9594">
            <v>79796</v>
          </cell>
          <cell r="C9594" t="str">
            <v>OITI FIM CP IE</v>
          </cell>
          <cell r="D9594" t="str">
            <v>OITI FIM CP IE</v>
          </cell>
          <cell r="E9594" t="str">
            <v>ITAU UNIBANCO S/A</v>
          </cell>
        </row>
        <row r="9595">
          <cell r="B9595">
            <v>79807</v>
          </cell>
          <cell r="C9595" t="str">
            <v>RBC FIA</v>
          </cell>
          <cell r="D9595" t="str">
            <v>RBC FIA</v>
          </cell>
          <cell r="E9595" t="str">
            <v>RBC FIA</v>
          </cell>
        </row>
        <row r="9596">
          <cell r="B9596">
            <v>79808</v>
          </cell>
          <cell r="C9596" t="str">
            <v>VISTA CAPITAL GESTORA DE RECURSOS LTDA.</v>
          </cell>
          <cell r="D9596" t="str">
            <v>VISTA CAPITAL GESTORA DE RECURSOS LTDA.</v>
          </cell>
          <cell r="E9596" t="str">
            <v>VISTA CAPITAL GESTORA DE RECURSOS LTDA</v>
          </cell>
        </row>
        <row r="9597">
          <cell r="B9597">
            <v>79810</v>
          </cell>
          <cell r="C9597" t="str">
            <v>QUELUZ ALPHA FIM</v>
          </cell>
          <cell r="D9597" t="str">
            <v>QUELUZ ALPHA FIM</v>
          </cell>
          <cell r="E9597" t="str">
            <v>QLZ GESTAO DE RECURSOS FINANCEIROS LTDA</v>
          </cell>
        </row>
        <row r="9598">
          <cell r="B9598">
            <v>79811</v>
          </cell>
          <cell r="C9598" t="str">
            <v>QUELUZ TRADER FIM</v>
          </cell>
          <cell r="D9598" t="str">
            <v>QUELUZ TRADER FIM</v>
          </cell>
          <cell r="E9598" t="str">
            <v>QLZ GESTAO DE RECURSOS FINANCEIROS LTDA</v>
          </cell>
        </row>
        <row r="9599">
          <cell r="B9599">
            <v>79812</v>
          </cell>
          <cell r="C9599" t="str">
            <v>FIM DT</v>
          </cell>
          <cell r="D9599" t="str">
            <v>FIM DT</v>
          </cell>
          <cell r="E9599" t="str">
            <v>QLZ GESTAO DE RECURSOS FINANCEIROS LTDA</v>
          </cell>
        </row>
        <row r="9600">
          <cell r="B9600">
            <v>79813</v>
          </cell>
          <cell r="C9600" t="str">
            <v>PLATINA INVESTIMENTOS LTDA</v>
          </cell>
          <cell r="D9600" t="str">
            <v>PLATINA INVESTIMENTOS LTDA</v>
          </cell>
          <cell r="E9600" t="str">
            <v>PLATINA INVESTIMENTOS LTDA</v>
          </cell>
        </row>
        <row r="9601">
          <cell r="B9601">
            <v>79814</v>
          </cell>
          <cell r="C9601" t="str">
            <v>BANCO NACIONAL DE DESENVOLVIMENTO ECONOMICO E SOCIAL - BNDES</v>
          </cell>
          <cell r="D9601" t="str">
            <v>BANCO NACIONAL DE DESENVOLVIMENTO ECONOMICO E SOCIAL - BNDES</v>
          </cell>
          <cell r="E9601" t="str">
            <v>BANCO NACIONAL DE DESENVOLVIMENTO ECONOMICO E SOCIAL - BNDES</v>
          </cell>
        </row>
        <row r="9602">
          <cell r="B9602">
            <v>79815</v>
          </cell>
          <cell r="C9602" t="str">
            <v>VISTA FIA ( ANTIGO L3 FIA)</v>
          </cell>
          <cell r="D9602" t="str">
            <v>VISTA FIA ( ANTIGO L3 FIA)</v>
          </cell>
          <cell r="E9602" t="str">
            <v>VISTA CAPITAL GESTORA DE RECURSOS LTDA</v>
          </cell>
        </row>
        <row r="9603">
          <cell r="B9603">
            <v>79816</v>
          </cell>
          <cell r="C9603" t="str">
            <v>VISTA LONG SHORT FIM</v>
          </cell>
          <cell r="D9603" t="str">
            <v>VISTA LONG SHORT FIM</v>
          </cell>
          <cell r="E9603" t="str">
            <v>VISTA CAPITAL GESTORA DE RECURSOS LTDA</v>
          </cell>
        </row>
        <row r="9604">
          <cell r="B9604">
            <v>79817</v>
          </cell>
          <cell r="C9604" t="str">
            <v>VISTA MULTIESTRATEGIA FIM</v>
          </cell>
          <cell r="D9604" t="str">
            <v>VISTA MULTIESTRATEGIA FIM</v>
          </cell>
          <cell r="E9604" t="str">
            <v>VISTA CAPITAL GESTORA DE RECURSOS LTDA</v>
          </cell>
        </row>
        <row r="9605">
          <cell r="B9605">
            <v>79818</v>
          </cell>
          <cell r="C9605" t="str">
            <v>LACA FIM CP IE</v>
          </cell>
          <cell r="D9605" t="str">
            <v>LACA FIM CP IE</v>
          </cell>
          <cell r="E9605" t="str">
            <v>LACA FIM CP IE</v>
          </cell>
        </row>
        <row r="9606">
          <cell r="B9606">
            <v>79819</v>
          </cell>
          <cell r="C9606" t="str">
            <v>OAK FIM CP IE</v>
          </cell>
          <cell r="D9606" t="str">
            <v>OAK FIM CP IE</v>
          </cell>
          <cell r="E9606" t="str">
            <v>WRIGHT CAPITAL GESTAO DE RECURSOS LTDA</v>
          </cell>
        </row>
        <row r="9607">
          <cell r="B9607">
            <v>79820</v>
          </cell>
          <cell r="C9607" t="str">
            <v>BLUECREST INVESTIMENTOS BRASIL LTDA</v>
          </cell>
          <cell r="D9607" t="str">
            <v>BLUECREST INVESTIMENTOS BRASIL LTDA</v>
          </cell>
          <cell r="E9607" t="str">
            <v>BLUECREST INVESTIMENTOS BRASIL LTDA</v>
          </cell>
        </row>
        <row r="9608">
          <cell r="B9608">
            <v>79821</v>
          </cell>
          <cell r="C9608" t="str">
            <v>GAUSS CAPITAL GESTORA DE RECURSOS LTDA</v>
          </cell>
          <cell r="D9608" t="str">
            <v>GAUSS CAPITAL GESTORA DE RECURSOS LTDA</v>
          </cell>
          <cell r="E9608" t="str">
            <v>ASA ASSET GESTAO EM INVESTIMENTOS LTDA</v>
          </cell>
        </row>
        <row r="9609">
          <cell r="B9609">
            <v>79822</v>
          </cell>
          <cell r="C9609" t="str">
            <v>HERTZ FIM PREVIDENCIARIO</v>
          </cell>
          <cell r="D9609" t="str">
            <v>HERTZ FIM PREVIDENCIARIO</v>
          </cell>
          <cell r="E9609" t="str">
            <v>HERTZ FIM PREVIDENCIARIO</v>
          </cell>
        </row>
        <row r="9610">
          <cell r="B9610">
            <v>79823</v>
          </cell>
          <cell r="C9610" t="str">
            <v>NOVA JAVA FIM CP IE</v>
          </cell>
          <cell r="D9610" t="str">
            <v>NOVA JAVA FIM CP IE</v>
          </cell>
          <cell r="E9610" t="str">
            <v>QUATA GESTAO DE RECURSOS LTDA</v>
          </cell>
        </row>
        <row r="9611">
          <cell r="B9611">
            <v>79824</v>
          </cell>
          <cell r="C9611" t="str">
            <v>FIM CP BERETTA IE</v>
          </cell>
          <cell r="D9611" t="str">
            <v>FIM CP BERETTA IE</v>
          </cell>
          <cell r="E9611" t="str">
            <v>QUATA GESTAO DE RECURSOS LTDA</v>
          </cell>
        </row>
        <row r="9612">
          <cell r="B9612">
            <v>79825</v>
          </cell>
          <cell r="C9612" t="str">
            <v>SELECT FI RF CP</v>
          </cell>
          <cell r="D9612" t="str">
            <v>SELECT FI RF CP</v>
          </cell>
          <cell r="E9612" t="str">
            <v>QUATA GESTAO DE RECURSOS LTDA</v>
          </cell>
        </row>
        <row r="9613">
          <cell r="B9613">
            <v>79826</v>
          </cell>
          <cell r="C9613" t="str">
            <v>RIO PARTNERS BV</v>
          </cell>
          <cell r="D9613" t="str">
            <v>RIO PARTNERS BV</v>
          </cell>
          <cell r="E9613" t="str">
            <v>BANCO BNP PARIBAS BRASIL S/A</v>
          </cell>
        </row>
        <row r="9614">
          <cell r="B9614">
            <v>79827</v>
          </cell>
          <cell r="C9614" t="str">
            <v>LAKESIDE TRADING LLC</v>
          </cell>
          <cell r="D9614" t="str">
            <v>LAKESIDE TRADING LLC</v>
          </cell>
          <cell r="E9614" t="str">
            <v>LAKESIDE TRADING LLC</v>
          </cell>
        </row>
        <row r="9615">
          <cell r="B9615">
            <v>79828</v>
          </cell>
          <cell r="C9615" t="str">
            <v>TACHYON FUNDO DE INVESTIMENTO MULTIMERCADO</v>
          </cell>
          <cell r="D9615" t="str">
            <v>TACHYON FUNDO DE INVESTIMENTO MULTIMERCADO</v>
          </cell>
          <cell r="E9615" t="str">
            <v>TACHYON FUNDO DE INVESTIMENTO MULTIMERCADO</v>
          </cell>
        </row>
        <row r="9616">
          <cell r="B9616">
            <v>79829</v>
          </cell>
          <cell r="C9616" t="str">
            <v>IPORANGA MACRO FIM</v>
          </cell>
          <cell r="D9616" t="str">
            <v>IPORANGA MACRO FIM</v>
          </cell>
          <cell r="E9616" t="str">
            <v>IPORANGA INVESTIMENTOS LTDA</v>
          </cell>
        </row>
        <row r="9617">
          <cell r="B9617">
            <v>79830</v>
          </cell>
          <cell r="C9617" t="str">
            <v>IP VALUE HEDGE MASTER FIA BDR NIVEL I</v>
          </cell>
          <cell r="D9617" t="str">
            <v>IP VALUE HEDGE MASTER FIA BDR NIVEL I</v>
          </cell>
          <cell r="E9617" t="str">
            <v>INVESTIDOR PROFISSIONAL GESTAO DE RECURSOS LTDA</v>
          </cell>
        </row>
        <row r="9618">
          <cell r="B9618">
            <v>79831</v>
          </cell>
          <cell r="C9618" t="str">
            <v>IP PARTICIPAÃ‡Ã•ES MASTER FIA BDR NIVEL I</v>
          </cell>
          <cell r="D9618" t="str">
            <v>IP PARTICIPAÃ‡Ã•ES MASTER FIA BDR NIVEL I</v>
          </cell>
          <cell r="E9618" t="str">
            <v>INVESTIDOR PROFISSIONAL GESTAO DE RECURSOS LTDA</v>
          </cell>
        </row>
        <row r="9619">
          <cell r="B9619">
            <v>79832</v>
          </cell>
          <cell r="C9619" t="str">
            <v>IP BRASIL INSTITUCIONAL MASTER FIA</v>
          </cell>
          <cell r="D9619" t="str">
            <v>IP BRASIL INSTITUCIONAL MASTER FIA</v>
          </cell>
          <cell r="E9619" t="str">
            <v>INVESTIDOR PROFISSIONAL GESTAO DE RECURSOS LTDA</v>
          </cell>
        </row>
        <row r="9620">
          <cell r="B9620">
            <v>79833</v>
          </cell>
          <cell r="C9620" t="str">
            <v>BANESPREV MAIS VALOR AÇOES FI</v>
          </cell>
          <cell r="D9620" t="str">
            <v>BANESPREV MAIS VALOR AÇOES FI</v>
          </cell>
          <cell r="E9620" t="str">
            <v>INVESTIDOR PROFISSIONAL GESTAO DE RECURSOS LTDA</v>
          </cell>
        </row>
        <row r="9621">
          <cell r="B9621">
            <v>79834</v>
          </cell>
          <cell r="C9621" t="str">
            <v>IP GLOBAL MASTER FIA BDR NIVEL I - IE</v>
          </cell>
          <cell r="D9621" t="str">
            <v>IP GLOBAL MASTER FIA BDR NIVEL I - IE</v>
          </cell>
          <cell r="E9621" t="str">
            <v>IP ADMINISTRAÃ‡ÃƒO DE CARTEIRAS GLOBAL LTDA</v>
          </cell>
        </row>
        <row r="9622">
          <cell r="B9622">
            <v>79835</v>
          </cell>
          <cell r="C9622" t="str">
            <v>BRANSFIELD LLC</v>
          </cell>
          <cell r="D9622" t="str">
            <v>BRANSFIELD LLC</v>
          </cell>
          <cell r="E9622" t="str">
            <v>BRANSFIELD LLC</v>
          </cell>
        </row>
        <row r="9623">
          <cell r="B9623">
            <v>79836</v>
          </cell>
          <cell r="C9623" t="str">
            <v>HATTERAS LLC</v>
          </cell>
          <cell r="D9623" t="str">
            <v>HATTERAS LLC</v>
          </cell>
          <cell r="E9623" t="str">
            <v>HATTERAS LLC</v>
          </cell>
        </row>
        <row r="9624">
          <cell r="B9624">
            <v>79837</v>
          </cell>
          <cell r="C9624" t="str">
            <v>SLANEY LLC</v>
          </cell>
          <cell r="D9624" t="str">
            <v>SLANEY LLC</v>
          </cell>
          <cell r="E9624" t="str">
            <v>INVESTIDOR PROFISSIONAL GESTAO DE RECURSOS LTDA</v>
          </cell>
        </row>
        <row r="9625">
          <cell r="B9625">
            <v>79838</v>
          </cell>
          <cell r="C9625" t="str">
            <v>VODKA LLC</v>
          </cell>
          <cell r="D9625" t="str">
            <v>VODKA LLC</v>
          </cell>
          <cell r="E9625" t="str">
            <v>VODKA LLC</v>
          </cell>
        </row>
        <row r="9626">
          <cell r="B9626">
            <v>79839</v>
          </cell>
          <cell r="C9626" t="str">
            <v>GLOBAL X BRASIL GESTORA DE INVESTIMENTOS LTDA</v>
          </cell>
          <cell r="D9626" t="str">
            <v>GLOBAL X BRASIL GESTORA DE INVESTIMENTOS LTDA</v>
          </cell>
          <cell r="E9626" t="str">
            <v>GLOBAL X BRASIL GESTORA DE INVESTIMENTOS LTDA</v>
          </cell>
        </row>
        <row r="9627">
          <cell r="B9627">
            <v>79840</v>
          </cell>
          <cell r="C9627" t="str">
            <v>BIRO BIRO FIM CRED PRIV IE</v>
          </cell>
          <cell r="D9627" t="str">
            <v>BIRO BIRO FIM CRED PRIV IE</v>
          </cell>
          <cell r="E9627" t="str">
            <v>VINCI GESTORA DE RECURSOS LTDA</v>
          </cell>
        </row>
        <row r="9628">
          <cell r="B9628">
            <v>79841</v>
          </cell>
          <cell r="C9628" t="str">
            <v>FIM CP PROPRIETARIO 11 IE</v>
          </cell>
          <cell r="D9628" t="str">
            <v>FIM CP PROPRIETARIO 11 IE</v>
          </cell>
          <cell r="E9628" t="str">
            <v>FIM CP PROPRIETARIO 11 IE</v>
          </cell>
        </row>
        <row r="9629">
          <cell r="B9629">
            <v>79843</v>
          </cell>
          <cell r="C9629" t="str">
            <v>FIM CP NAMSOR IE</v>
          </cell>
          <cell r="D9629" t="str">
            <v>FIM CP NAMSOR IE</v>
          </cell>
          <cell r="E9629" t="str">
            <v>FIM CP NAMSOR IE</v>
          </cell>
        </row>
        <row r="9630">
          <cell r="B9630">
            <v>79845</v>
          </cell>
          <cell r="C9630" t="str">
            <v>JAL FIM CP IE</v>
          </cell>
          <cell r="D9630" t="str">
            <v>JAL FIM CP IE</v>
          </cell>
          <cell r="E9630" t="str">
            <v>JAL FIM CP IE</v>
          </cell>
        </row>
        <row r="9631">
          <cell r="B9631">
            <v>79846</v>
          </cell>
          <cell r="C9631" t="str">
            <v>ICATU SEG VINCI EQUILIBRIO PREV FIM CP</v>
          </cell>
          <cell r="D9631" t="str">
            <v>ICATU SEG VINCI EQUILIBRIO PREV FIM CP</v>
          </cell>
          <cell r="E9631" t="str">
            <v>ICATU SEG VINCI EQUILIBRIO PREV FIM CP</v>
          </cell>
        </row>
        <row r="9632">
          <cell r="B9632">
            <v>79847</v>
          </cell>
          <cell r="C9632" t="str">
            <v>CHATEAUX FIM CP IE</v>
          </cell>
          <cell r="D9632" t="str">
            <v>CHATEAUX FIM CP IE</v>
          </cell>
          <cell r="E9632" t="str">
            <v>CHATEAUX FIM CP IE</v>
          </cell>
        </row>
        <row r="9633">
          <cell r="B9633">
            <v>79848</v>
          </cell>
          <cell r="C9633" t="str">
            <v>MODAL ASSET MANAGEMENT LTDA</v>
          </cell>
          <cell r="D9633" t="str">
            <v>MODAL ASSET MANAGEMENT LTDA</v>
          </cell>
          <cell r="E9633" t="str">
            <v>MODAL ASSET MANAGEMENT LTDA</v>
          </cell>
        </row>
        <row r="9634">
          <cell r="B9634">
            <v>79849</v>
          </cell>
          <cell r="C9634" t="str">
            <v>FI RF EMB II A</v>
          </cell>
          <cell r="D9634" t="str">
            <v>FI RF EMB II A</v>
          </cell>
          <cell r="E9634" t="str">
            <v>FI RF EMB II A</v>
          </cell>
        </row>
        <row r="9635">
          <cell r="B9635">
            <v>79850</v>
          </cell>
          <cell r="C9635" t="str">
            <v>MULTIPLICA CAPITAL ASSET MANAGEMENT LTDA</v>
          </cell>
          <cell r="D9635" t="str">
            <v>MULTIPLICA CAPITAL ASSET MANAGEMENT LTDA</v>
          </cell>
          <cell r="E9635" t="str">
            <v>MULTIPLICA CAPITAL ASSET MANAGEMENT LTDA</v>
          </cell>
        </row>
        <row r="9636">
          <cell r="B9636">
            <v>79851</v>
          </cell>
          <cell r="C9636" t="str">
            <v>SEGREGAR INSTITUCIONAL FI RF</v>
          </cell>
          <cell r="D9636" t="str">
            <v>SEGREGAR INSTITUCIONAL FI RF</v>
          </cell>
          <cell r="E9636" t="str">
            <v>BB GESTAO DE RECURSOS DTVM LTDA</v>
          </cell>
        </row>
        <row r="9637">
          <cell r="B9637">
            <v>79852</v>
          </cell>
          <cell r="C9637" t="str">
            <v>SANTANDER BRASIL GESTAO DE RECURSOS LTDA</v>
          </cell>
          <cell r="D9637" t="str">
            <v>SANTANDER BRASIL GESTAO DE RECURSOS LTDA</v>
          </cell>
          <cell r="E9637" t="str">
            <v>SANTANDER BRASIL GESTAO DE RECURSOS LTDA</v>
          </cell>
        </row>
        <row r="9638">
          <cell r="B9638">
            <v>79853</v>
          </cell>
          <cell r="C9638" t="str">
            <v>BB GESTAO DE RECURSOS DTVM LTDA</v>
          </cell>
          <cell r="D9638" t="str">
            <v>BB GESTAO DE RECURSOS DTVM LTDA</v>
          </cell>
          <cell r="E9638" t="str">
            <v>BB GESTAO DE RECURSOS DTVM LTDA</v>
          </cell>
        </row>
        <row r="9639">
          <cell r="B9639">
            <v>79854</v>
          </cell>
          <cell r="C9639" t="str">
            <v>BANCO RABOBANK INTERNATIONAL BRASIL S/A</v>
          </cell>
          <cell r="D9639" t="str">
            <v>BANCO RABOBANK INTERNATIONAL BRASIL S/A</v>
          </cell>
          <cell r="E9639" t="str">
            <v>BANCO RABOBANK INTERNATIONAL BRASIL S/A</v>
          </cell>
        </row>
        <row r="9640">
          <cell r="B9640">
            <v>79855</v>
          </cell>
          <cell r="C9640" t="str">
            <v>ORI CAPITAL I FIA</v>
          </cell>
          <cell r="D9640" t="str">
            <v>ORI CAPITAL I FIA</v>
          </cell>
          <cell r="E9640" t="str">
            <v>ORI CAPITAL I FIA</v>
          </cell>
        </row>
        <row r="9641">
          <cell r="B9641">
            <v>79856</v>
          </cell>
          <cell r="C9641" t="str">
            <v>PHOENIX FIM CP IE</v>
          </cell>
          <cell r="D9641" t="str">
            <v>PHOENIX FIM CP IE</v>
          </cell>
          <cell r="E9641" t="str">
            <v>PHOENIX FIM CP IE</v>
          </cell>
        </row>
        <row r="9642">
          <cell r="B9642">
            <v>79857</v>
          </cell>
          <cell r="C9642" t="str">
            <v>FIM CP HARMONIA IE</v>
          </cell>
          <cell r="D9642" t="str">
            <v>FIM CP HARMONIA IE</v>
          </cell>
          <cell r="E9642" t="str">
            <v>FIM CP HARMONIA IE</v>
          </cell>
        </row>
        <row r="9643">
          <cell r="B9643">
            <v>79858</v>
          </cell>
          <cell r="C9643" t="str">
            <v>LFR FIM</v>
          </cell>
          <cell r="D9643" t="str">
            <v>LFR FIM</v>
          </cell>
          <cell r="E9643" t="str">
            <v>LFR FIM</v>
          </cell>
        </row>
        <row r="9644">
          <cell r="B9644">
            <v>79859</v>
          </cell>
          <cell r="C9644" t="str">
            <v>NOMURA GLOBAL FINANCIAL PRODUCTS INC.</v>
          </cell>
          <cell r="D9644" t="str">
            <v>NOMURA GLOBAL FINANCIAL PRODUCTS INC.</v>
          </cell>
          <cell r="E9644" t="str">
            <v>NOMURA GLOBAL FINANCIAL PRODUCTS INC.</v>
          </cell>
        </row>
        <row r="9645">
          <cell r="B9645">
            <v>79860</v>
          </cell>
          <cell r="C9645" t="str">
            <v>HINTIL FIM CP IE</v>
          </cell>
          <cell r="D9645" t="str">
            <v>HINTIL FIM CP IE</v>
          </cell>
          <cell r="E9645" t="str">
            <v>KADIMA GESTAO DE INVESTIMENTOS LTDA</v>
          </cell>
        </row>
        <row r="9646">
          <cell r="B9646">
            <v>79861</v>
          </cell>
          <cell r="C9646" t="str">
            <v>KADIMA EQUITIES MASTER FIA</v>
          </cell>
          <cell r="D9646" t="str">
            <v>KADIMA EQUITIES MASTER FIA</v>
          </cell>
          <cell r="E9646" t="str">
            <v>KADIMA GESTAO DE INVESTIMENTOS LTDA</v>
          </cell>
        </row>
        <row r="9647">
          <cell r="B9647">
            <v>79862</v>
          </cell>
          <cell r="C9647" t="str">
            <v>ICATU SEG KADIMA FIM CP PREVIDENCIA</v>
          </cell>
          <cell r="D9647" t="str">
            <v>ICATU SEG KADIMA FIM CP PREVIDENCIA</v>
          </cell>
          <cell r="E9647" t="str">
            <v>KADIMA GESTAO DE INVESTIMENTOS LTDA</v>
          </cell>
        </row>
        <row r="9648">
          <cell r="B9648">
            <v>79863</v>
          </cell>
          <cell r="C9648" t="str">
            <v>STANDARD CHARTERED BANK (LONDRES)</v>
          </cell>
          <cell r="D9648" t="str">
            <v>STANDARD CHARTERED BANK (LONDRES)</v>
          </cell>
          <cell r="E9648" t="str">
            <v>STANDARD CHARTERED BANK (LONDRES)</v>
          </cell>
        </row>
        <row r="9649">
          <cell r="B9649">
            <v>90120</v>
          </cell>
          <cell r="C9649" t="str">
            <v>BRASIL PLURAL CCTVM ( ANTIGA FLOW CCTVM S/A)</v>
          </cell>
          <cell r="D9649" t="str">
            <v>BRASIL PLURAL CCTVM ( ANTIGA FLOW CCTVM S/A)</v>
          </cell>
          <cell r="E9649" t="str">
            <v>PLURAL GESTÃO DE RECURSOS LTDA</v>
          </cell>
        </row>
        <row r="9650">
          <cell r="B9650">
            <v>79865</v>
          </cell>
          <cell r="C9650" t="str">
            <v>OURIBANK S.A. BANCO MULTIPLO</v>
          </cell>
          <cell r="D9650" t="str">
            <v>OURIBANK S.A. BANCO MULTIPLO</v>
          </cell>
          <cell r="E9650" t="str">
            <v>OURIBANK S.A. BANCO MULTIPLO</v>
          </cell>
        </row>
        <row r="9651">
          <cell r="B9651">
            <v>79866</v>
          </cell>
          <cell r="C9651" t="str">
            <v>RIO MACRO MASTER FIM</v>
          </cell>
          <cell r="D9651" t="str">
            <v>RIO MACRO MASTER FIM</v>
          </cell>
          <cell r="E9651" t="str">
            <v>RIO MACRO MASTER FIM</v>
          </cell>
        </row>
        <row r="9652">
          <cell r="B9652">
            <v>79867</v>
          </cell>
          <cell r="C9652" t="str">
            <v>BICADU FIM CP IE</v>
          </cell>
          <cell r="D9652" t="str">
            <v>BICADU FIM CP IE</v>
          </cell>
          <cell r="E9652" t="str">
            <v>KADIMA GESTAO DE INVESTIMENTOS LTDA</v>
          </cell>
        </row>
        <row r="9653">
          <cell r="B9653">
            <v>79868</v>
          </cell>
          <cell r="C9653" t="str">
            <v>BICADU FIM CP IE</v>
          </cell>
          <cell r="D9653" t="str">
            <v>BICADU FIM CP IE</v>
          </cell>
          <cell r="E9653" t="str">
            <v>KADIMA GESTAO DE INVESTIMENTOS LTDA</v>
          </cell>
        </row>
        <row r="9654">
          <cell r="B9654">
            <v>79869</v>
          </cell>
          <cell r="C9654" t="str">
            <v>VANQUISH ASSET MANAGEMENT LTDA</v>
          </cell>
          <cell r="D9654" t="str">
            <v>VANQUISH ASSET MANAGEMENT LTDA</v>
          </cell>
          <cell r="E9654" t="str">
            <v>VANQUISH ASSET MANAGEMENT LTDA</v>
          </cell>
        </row>
        <row r="9655">
          <cell r="B9655">
            <v>79870</v>
          </cell>
          <cell r="C9655" t="str">
            <v>ASN FIM CP IE</v>
          </cell>
          <cell r="D9655" t="str">
            <v>ASN FIM CP IE</v>
          </cell>
          <cell r="E9655" t="str">
            <v>ASN FIM CP IE</v>
          </cell>
        </row>
        <row r="9656">
          <cell r="B9656">
            <v>79871</v>
          </cell>
          <cell r="C9656" t="str">
            <v>LUCE FIM CP IE</v>
          </cell>
          <cell r="D9656" t="str">
            <v>LUCE FIM CP IE</v>
          </cell>
          <cell r="E9656" t="str">
            <v>LUCE FIM CP IE</v>
          </cell>
        </row>
        <row r="9657">
          <cell r="B9657">
            <v>79872</v>
          </cell>
          <cell r="C9657" t="str">
            <v>PALAS ATENA FIM CP IE</v>
          </cell>
          <cell r="D9657" t="str">
            <v>PALAS ATENA FIM CP IE</v>
          </cell>
          <cell r="E9657" t="str">
            <v>PALAS ATENA FIM CP IE</v>
          </cell>
        </row>
        <row r="9658">
          <cell r="B9658">
            <v>79873</v>
          </cell>
          <cell r="C9658" t="str">
            <v>FIM ZONA DA MATA CP</v>
          </cell>
          <cell r="D9658" t="str">
            <v>FIM ZONA DA MATA CP</v>
          </cell>
          <cell r="E9658" t="str">
            <v>FIM ZONA DA MATA CP</v>
          </cell>
        </row>
        <row r="9659">
          <cell r="B9659">
            <v>79874</v>
          </cell>
          <cell r="C9659" t="str">
            <v>FIM RIBEIRA IE CP</v>
          </cell>
          <cell r="D9659" t="str">
            <v>FIM RIBEIRA IE CP</v>
          </cell>
          <cell r="E9659" t="str">
            <v>FIM RIBEIRA IE CP</v>
          </cell>
        </row>
        <row r="9660">
          <cell r="B9660">
            <v>79875</v>
          </cell>
          <cell r="C9660" t="str">
            <v>CITRINO GESTAO DE RECURSOS LTDA</v>
          </cell>
          <cell r="D9660" t="str">
            <v>CITRINO GESTAO DE RECURSOS LTDA</v>
          </cell>
          <cell r="E9660" t="str">
            <v>CITRINO GESTAO DE RECURSOS LTDA</v>
          </cell>
        </row>
        <row r="9661">
          <cell r="B9661">
            <v>79876</v>
          </cell>
          <cell r="C9661" t="str">
            <v>BTGP WM 3 LTDA</v>
          </cell>
          <cell r="D9661" t="str">
            <v>BTGP WM 3 LTDA</v>
          </cell>
          <cell r="E9661" t="str">
            <v>JGP GESTAO PATRIMONIAL LTDA</v>
          </cell>
        </row>
        <row r="9662">
          <cell r="B9662">
            <v>79877</v>
          </cell>
          <cell r="C9662" t="str">
            <v>MACQUARIE BANK LIMITED - BANCO CS</v>
          </cell>
          <cell r="D9662" t="str">
            <v>MACQUARIE BANK LIMITED - BANCO CS</v>
          </cell>
          <cell r="E9662" t="str">
            <v>MACQUARIE BANK LIMITED</v>
          </cell>
        </row>
        <row r="9663">
          <cell r="B9663">
            <v>79878</v>
          </cell>
          <cell r="C9663" t="str">
            <v>P&amp;S FIM CP IE</v>
          </cell>
          <cell r="D9663" t="str">
            <v>P&amp;S FIM CP IE</v>
          </cell>
          <cell r="E9663" t="str">
            <v>P&amp;S FIM CP IE</v>
          </cell>
        </row>
        <row r="9664">
          <cell r="B9664">
            <v>79879</v>
          </cell>
          <cell r="C9664" t="str">
            <v>MERRILL LYNCH INTERNATIONAL</v>
          </cell>
          <cell r="D9664" t="str">
            <v>MERRILL LYNCH INTERNATIONAL</v>
          </cell>
          <cell r="E9664" t="str">
            <v>BANK OF AMERICA MERRILL LYNCH BANCO MULTIPLO S/A</v>
          </cell>
        </row>
        <row r="9665">
          <cell r="B9665" t="str">
            <v>M16789525000198</v>
          </cell>
          <cell r="C9665" t="str">
            <v>XP VISTA ASSET MANAGMENT LTDA.</v>
          </cell>
          <cell r="D9665" t="str">
            <v>XP VISTA ASSET MANAGMENT LTDA.</v>
          </cell>
          <cell r="E9665" t="str">
            <v>XP GESTAO DE RECURSOS LTDA</v>
          </cell>
        </row>
        <row r="9666">
          <cell r="B9666" t="str">
            <v>M15289957000177</v>
          </cell>
          <cell r="C9666" t="str">
            <v>XP ADVISORY GESTAO DE RECURSOS LTDA</v>
          </cell>
          <cell r="D9666" t="str">
            <v>XP ADVISORY GESTAO DE RECURSOS LTDA</v>
          </cell>
          <cell r="E9666" t="str">
            <v>XP GESTAO DE RECURSOS LTDA</v>
          </cell>
        </row>
        <row r="9667">
          <cell r="B9667" t="str">
            <v>M07625200000189</v>
          </cell>
          <cell r="C9667" t="str">
            <v>XP GESTÃƒO DE RECURSOS LTDA</v>
          </cell>
          <cell r="D9667" t="str">
            <v>XP GESTÃƒO DE RECURSOS LTDA</v>
          </cell>
          <cell r="E9667" t="str">
            <v>XP GESTAO DE RECURSOS LTDA</v>
          </cell>
        </row>
        <row r="9668">
          <cell r="B9668">
            <v>798828</v>
          </cell>
          <cell r="C9668" t="str">
            <v>TACHYON FUNDO DE INVESTIMENTO MULTIMERCADO</v>
          </cell>
          <cell r="D9668" t="str">
            <v>TACHYON FUNDO DE INVESTIMENTO MULTIMERCADO</v>
          </cell>
          <cell r="E9668" t="str">
            <v>TACHYON FUNDO DE INVESTIMENTO MULTIMERCADO</v>
          </cell>
        </row>
        <row r="9669">
          <cell r="B9669" t="str">
            <v>M16789.525000198</v>
          </cell>
          <cell r="E9669" t="str">
            <v>XP GESTAO DE RECURSOS LTDA</v>
          </cell>
        </row>
        <row r="9670">
          <cell r="B9670">
            <v>122856</v>
          </cell>
          <cell r="C9670" t="str">
            <v>ARSA LONG BIASED FIA</v>
          </cell>
          <cell r="D9670" t="str">
            <v>ARSA LONG BIASED FIA</v>
          </cell>
          <cell r="E9670" t="str">
            <v>XP GESTAO DE RECURSOS LTDA</v>
          </cell>
        </row>
        <row r="9671">
          <cell r="B9671">
            <v>122857</v>
          </cell>
          <cell r="C9671" t="str">
            <v>ARSA MACRO FIM</v>
          </cell>
          <cell r="D9671" t="str">
            <v>ARSA MACRO FIM</v>
          </cell>
          <cell r="E9671" t="str">
            <v>XP GESTAO DE RECURSOS LTDA</v>
          </cell>
        </row>
        <row r="9672">
          <cell r="B9672">
            <v>79887</v>
          </cell>
          <cell r="C9672" t="str">
            <v>VINCI ALDEBARAN FIM CP IE</v>
          </cell>
          <cell r="D9672" t="str">
            <v>VINCI ALDEBARAN FIM CP IE</v>
          </cell>
          <cell r="E9672" t="str">
            <v>VINCI GESTORA DE RECURSOS LTDA</v>
          </cell>
        </row>
        <row r="9673">
          <cell r="B9673">
            <v>79888</v>
          </cell>
          <cell r="C9673" t="str">
            <v>ITAU UNIBANCO S.A.</v>
          </cell>
          <cell r="D9673" t="str">
            <v>ITAU UNIBANCO S.A.</v>
          </cell>
          <cell r="E9673" t="str">
            <v>ITAU UNIBANCO S/A</v>
          </cell>
        </row>
        <row r="9674">
          <cell r="B9674">
            <v>79889</v>
          </cell>
          <cell r="C9674" t="str">
            <v>ITAU UNIBANCO S.A.</v>
          </cell>
          <cell r="D9674" t="str">
            <v>ITAU UNIBANCO S.A.</v>
          </cell>
          <cell r="E9674" t="str">
            <v>ITAU UNIBANCO S/A</v>
          </cell>
        </row>
        <row r="9675">
          <cell r="B9675">
            <v>79890</v>
          </cell>
          <cell r="C9675" t="str">
            <v>ITAU UNIBANCO S.A.</v>
          </cell>
          <cell r="D9675" t="str">
            <v>ITAU UNIBANCO S.A.</v>
          </cell>
          <cell r="E9675" t="str">
            <v>ITAU UNIBANCO S/A</v>
          </cell>
        </row>
        <row r="9676">
          <cell r="B9676">
            <v>79891</v>
          </cell>
          <cell r="C9676" t="str">
            <v>ITAU UNIBANCO S.A.</v>
          </cell>
          <cell r="D9676" t="str">
            <v>ITAU UNIBANCO S.A.</v>
          </cell>
          <cell r="E9676" t="str">
            <v>ITAU UNIBANCO S/A</v>
          </cell>
        </row>
        <row r="9677">
          <cell r="B9677">
            <v>79892</v>
          </cell>
          <cell r="C9677" t="str">
            <v>ITAU UNIBANCO S.A.</v>
          </cell>
          <cell r="D9677" t="str">
            <v>ITAU UNIBANCO S.A.</v>
          </cell>
          <cell r="E9677" t="str">
            <v>ITAU UNIBANCO S/A</v>
          </cell>
        </row>
        <row r="9678">
          <cell r="B9678">
            <v>79893</v>
          </cell>
          <cell r="C9678" t="str">
            <v>ITAU UNIBANCO S.A.</v>
          </cell>
          <cell r="D9678" t="str">
            <v>ITAU UNIBANCO S.A.</v>
          </cell>
          <cell r="E9678" t="str">
            <v>ITAU UNIBANCO S/A</v>
          </cell>
        </row>
        <row r="9679">
          <cell r="B9679">
            <v>79894</v>
          </cell>
          <cell r="C9679" t="str">
            <v>ITAU UNIBANCO S.A.</v>
          </cell>
          <cell r="D9679" t="str">
            <v>ITAU UNIBANCO S.A.</v>
          </cell>
          <cell r="E9679" t="str">
            <v>ITAU UNIBANCO S/A</v>
          </cell>
        </row>
        <row r="9680">
          <cell r="B9680">
            <v>79895</v>
          </cell>
          <cell r="C9680" t="str">
            <v>ITAU UNIBANCO S.A.</v>
          </cell>
          <cell r="D9680" t="str">
            <v>ITAU UNIBANCO S.A.</v>
          </cell>
          <cell r="E9680" t="str">
            <v>ITAU UNIBANCO S/A</v>
          </cell>
        </row>
        <row r="9681">
          <cell r="B9681">
            <v>79896</v>
          </cell>
          <cell r="C9681" t="str">
            <v>ITAU UNIBANCO S.A.</v>
          </cell>
          <cell r="D9681" t="str">
            <v>ITAU UNIBANCO S.A.</v>
          </cell>
          <cell r="E9681" t="str">
            <v>ITAU UNIBANCO S/A</v>
          </cell>
        </row>
        <row r="9682">
          <cell r="B9682">
            <v>79897</v>
          </cell>
          <cell r="C9682" t="str">
            <v>ITAU UNIBANCO S.A.</v>
          </cell>
          <cell r="D9682" t="str">
            <v>ITAU UNIBANCO S.A.</v>
          </cell>
          <cell r="E9682" t="str">
            <v>ITAU UNIBANCO S/A</v>
          </cell>
        </row>
        <row r="9683">
          <cell r="B9683">
            <v>79898</v>
          </cell>
          <cell r="C9683" t="str">
            <v>CLARITAS INFLACAO INSTITUCIONAL FIM</v>
          </cell>
          <cell r="D9683" t="str">
            <v>CLARITAS INFLACAO INSTITUCIONAL FIM</v>
          </cell>
          <cell r="E9683" t="str">
            <v>PRINCIPAL ASSET MANAGEMENT LTDA</v>
          </cell>
        </row>
        <row r="9684">
          <cell r="B9684">
            <v>79899</v>
          </cell>
          <cell r="C9684" t="str">
            <v>CLARITAS HEDGE FIC DE FIM LP</v>
          </cell>
          <cell r="D9684" t="str">
            <v>CLARITAS HEDGE FIC DE FIM LP</v>
          </cell>
          <cell r="E9684" t="str">
            <v>PRINCIPAL ASSET MANAGEMENT LTDA</v>
          </cell>
        </row>
        <row r="9685">
          <cell r="B9685">
            <v>79900</v>
          </cell>
          <cell r="C9685" t="str">
            <v>UNIMED RV 15 FIM</v>
          </cell>
          <cell r="D9685" t="str">
            <v>UNIMED RV 15 FIM</v>
          </cell>
          <cell r="E9685" t="str">
            <v>PRINCIPAL ASSET MANAGEMENT LTDA</v>
          </cell>
        </row>
        <row r="9686">
          <cell r="B9686">
            <v>79901</v>
          </cell>
          <cell r="C9686" t="str">
            <v>UNIMED RV 20 FIM</v>
          </cell>
          <cell r="D9686" t="str">
            <v>UNIMED RV 20 FIM</v>
          </cell>
          <cell r="E9686" t="str">
            <v>UNIMED RV 20 FIM</v>
          </cell>
        </row>
        <row r="9687">
          <cell r="B9687">
            <v>79902</v>
          </cell>
          <cell r="C9687" t="str">
            <v>IRB BRASIL RESSEGUROS S.A.</v>
          </cell>
          <cell r="D9687" t="str">
            <v>IRB BRASIL RESSEGUROS S.A.</v>
          </cell>
          <cell r="E9687" t="str">
            <v>IRB BRASIL RESSEGUROS S.A.</v>
          </cell>
        </row>
        <row r="9688">
          <cell r="B9688">
            <v>79903</v>
          </cell>
          <cell r="C9688" t="str">
            <v>BANCO RABOBANK INTERNATIONAL BRASIL S/A</v>
          </cell>
          <cell r="D9688" t="str">
            <v>BANCO RABOBANK INTERNATIONAL BRASIL S/A</v>
          </cell>
          <cell r="E9688" t="str">
            <v>BANCO RABOBANK INTERNATIONAL BRASIL S/A</v>
          </cell>
        </row>
        <row r="9689">
          <cell r="B9689">
            <v>79904</v>
          </cell>
          <cell r="C9689" t="str">
            <v>BANCO BRADESCO S/A</v>
          </cell>
          <cell r="D9689" t="str">
            <v>BANCO BRADESCO S/A</v>
          </cell>
          <cell r="E9689" t="str">
            <v>BANCO BRADESCO S/A</v>
          </cell>
        </row>
        <row r="9690">
          <cell r="B9690">
            <v>79905</v>
          </cell>
          <cell r="C9690" t="str">
            <v>BANCO BRADESCO S/A</v>
          </cell>
          <cell r="D9690" t="str">
            <v>BANCO BRADESCO S/A</v>
          </cell>
          <cell r="E9690" t="str">
            <v>BANCO BRADESCO S/A</v>
          </cell>
        </row>
        <row r="9691">
          <cell r="B9691">
            <v>79906</v>
          </cell>
          <cell r="C9691" t="str">
            <v>KRONOS ABSOLUT RETURN LP FIM</v>
          </cell>
          <cell r="D9691" t="str">
            <v>KRONOS ABSOLUT RETURN LP FIM</v>
          </cell>
          <cell r="E9691" t="str">
            <v>GRIMPER CAPITAL GESTORA DE RECURSOS LTDA</v>
          </cell>
        </row>
        <row r="9692">
          <cell r="B9692">
            <v>79907</v>
          </cell>
          <cell r="C9692" t="str">
            <v>KAPITALO INVESTIMENTOS LTDA</v>
          </cell>
          <cell r="D9692" t="str">
            <v>KAPITALO INVESTIMENTOS LTDA</v>
          </cell>
          <cell r="E9692" t="str">
            <v>KAPITALO INVESTIMENTOS LTDA</v>
          </cell>
        </row>
        <row r="9693">
          <cell r="B9693">
            <v>79908</v>
          </cell>
          <cell r="C9693" t="str">
            <v>VINCI SOLUÃ‡Ã•ES DE INVESTIMENTOS LTDA</v>
          </cell>
          <cell r="D9693" t="str">
            <v>VINCI SOLUÃ‡Ã•ES DE INVESTIMENTOS LTDA</v>
          </cell>
          <cell r="E9693" t="str">
            <v>VINCI GESTORA DE RECURSOS LTDA</v>
          </cell>
        </row>
        <row r="9694">
          <cell r="B9694">
            <v>79909</v>
          </cell>
          <cell r="C9694" t="str">
            <v>VINCI SOLUÃ‡Ã•ES DE INVESTIMENTOS LTDA</v>
          </cell>
          <cell r="D9694" t="str">
            <v>VINCI SOLUÃ‡Ã•ES DE INVESTIMENTOS LTDA</v>
          </cell>
          <cell r="E9694" t="str">
            <v>VINCI GESTORA DE RECURSOS LTDA</v>
          </cell>
        </row>
        <row r="9695">
          <cell r="B9695">
            <v>79910</v>
          </cell>
          <cell r="C9695" t="str">
            <v>VINCI SOLUÃ‡Ã•ES DE INVESTIMENTOS LTDA</v>
          </cell>
          <cell r="D9695" t="str">
            <v>VINCI SOLUÃ‡Ã•ES DE INVESTIMENTOS LTDA</v>
          </cell>
          <cell r="E9695" t="str">
            <v>VINCI GESTORA DE RECURSOS LTDA</v>
          </cell>
        </row>
        <row r="9696">
          <cell r="B9696">
            <v>79911</v>
          </cell>
          <cell r="C9696" t="str">
            <v>VINCI SOLUÃ‡Ã•ES DE INVESTIMENTOS LTDA</v>
          </cell>
          <cell r="D9696" t="str">
            <v>VINCI SOLUÃ‡Ã•ES DE INVESTIMENTOS LTDA</v>
          </cell>
          <cell r="E9696" t="str">
            <v>VINCI GESTORA DE RECURSOS LTDA</v>
          </cell>
        </row>
        <row r="9697">
          <cell r="B9697">
            <v>79912</v>
          </cell>
          <cell r="C9697" t="str">
            <v>VINCI SOLUÃ‡Ã•ES DE INVESTIMENTOS LTDA</v>
          </cell>
          <cell r="D9697" t="str">
            <v>VINCI SOLUÃ‡Ã•ES DE INVESTIMENTOS LTDA</v>
          </cell>
          <cell r="E9697" t="str">
            <v>VINCI GESTORA DE RECURSOS LTDA</v>
          </cell>
        </row>
        <row r="9698">
          <cell r="B9698">
            <v>79914</v>
          </cell>
          <cell r="C9698" t="str">
            <v>VINCI SOLUÃ‡Ã•ES DE INVESTIMENTOS LTDA</v>
          </cell>
          <cell r="D9698" t="str">
            <v>VINCI SOLUÃ‡Ã•ES DE INVESTIMENTOS LTDA</v>
          </cell>
          <cell r="E9698" t="str">
            <v>VINCI GESTORA DE RECURSOS LTDA</v>
          </cell>
        </row>
        <row r="9699">
          <cell r="B9699">
            <v>79915</v>
          </cell>
          <cell r="C9699" t="str">
            <v>PHILADELPHIA FIM CP</v>
          </cell>
          <cell r="D9699" t="str">
            <v>PHILADELPHIA FIM CP</v>
          </cell>
          <cell r="E9699" t="str">
            <v>MILENIO CAPITAL GESTAO DE INVESTIMENTOS LTDA</v>
          </cell>
        </row>
        <row r="9700">
          <cell r="B9700">
            <v>79916</v>
          </cell>
          <cell r="C9700" t="str">
            <v>TOWER BRIDGE RF FI IMA-B 5</v>
          </cell>
          <cell r="D9700" t="str">
            <v>TOWER BRIDGE RF FI IMA-B 5</v>
          </cell>
          <cell r="E9700" t="str">
            <v>TOWER BRIDGE RF FI IMA-B 5</v>
          </cell>
        </row>
        <row r="9701">
          <cell r="B9701">
            <v>79917</v>
          </cell>
          <cell r="C9701" t="str">
            <v>STANDARD CHARTERED BANK (BRASIL) S.A BCO DE INVESTIMENTO</v>
          </cell>
          <cell r="D9701" t="str">
            <v>STANDARD CHARTERED BANK (BRASIL) S.A BCO DE INVESTIMENTO</v>
          </cell>
          <cell r="E9701" t="str">
            <v>STANDARD CHARTERED BANK (BRASIL) S.A BCO DE INVESTIMENTO</v>
          </cell>
        </row>
        <row r="9702">
          <cell r="B9702">
            <v>79918</v>
          </cell>
          <cell r="C9702" t="str">
            <v>ITAU UNIBANCO S.A.</v>
          </cell>
          <cell r="D9702" t="str">
            <v>ITAU UNIBANCO S.A.</v>
          </cell>
          <cell r="E9702" t="str">
            <v>ITAU UNIBANCO S/A</v>
          </cell>
        </row>
        <row r="9703">
          <cell r="B9703">
            <v>79919</v>
          </cell>
          <cell r="C9703" t="str">
            <v>ITAU UNIBANCO S.A.</v>
          </cell>
          <cell r="D9703" t="str">
            <v>ITAU UNIBANCO S.A.</v>
          </cell>
          <cell r="E9703" t="str">
            <v>ITAU UNIBANCO S/A</v>
          </cell>
        </row>
        <row r="9704">
          <cell r="B9704">
            <v>79920</v>
          </cell>
          <cell r="C9704" t="str">
            <v>ITAU UNIBANCO S.A.</v>
          </cell>
          <cell r="D9704" t="str">
            <v>ITAU UNIBANCO S.A.</v>
          </cell>
          <cell r="E9704" t="str">
            <v>ITAU UNIBANCO S/A</v>
          </cell>
        </row>
        <row r="9705">
          <cell r="B9705">
            <v>79921</v>
          </cell>
          <cell r="C9705" t="str">
            <v>BANCO SUMITOMO MITSUI BRASILEIRO S.A</v>
          </cell>
          <cell r="D9705" t="str">
            <v>BANCO SUMITOMO MITSUI BRASILEIRO S.A</v>
          </cell>
          <cell r="E9705" t="str">
            <v>BANCO SUMITOMO MITSUI BRASILEIRO S/A</v>
          </cell>
        </row>
        <row r="9706">
          <cell r="B9706">
            <v>79922</v>
          </cell>
          <cell r="C9706" t="str">
            <v>CEDRO PREVIDENCIA FIM CP</v>
          </cell>
          <cell r="D9706" t="str">
            <v>CEDRO PREVIDENCIA FIM CP</v>
          </cell>
          <cell r="E9706" t="str">
            <v>CEDRO PREVIDENCIA FIM CP</v>
          </cell>
        </row>
        <row r="9707">
          <cell r="B9707">
            <v>79923</v>
          </cell>
          <cell r="C9707" t="str">
            <v>AZ QUEST INVESTIMENTOS LTDA</v>
          </cell>
          <cell r="D9707" t="str">
            <v>AZ QUEST INVESTIMENTOS LTDA</v>
          </cell>
          <cell r="E9707" t="str">
            <v>AZ QUEST INVESTIMENTOS LTDA</v>
          </cell>
        </row>
        <row r="9708">
          <cell r="B9708">
            <v>79924</v>
          </cell>
          <cell r="C9708" t="str">
            <v>STANDARD CHARTERED BANK (LONDRES)</v>
          </cell>
          <cell r="D9708" t="str">
            <v>STANDARD CHARTERED BANK (LONDRES)</v>
          </cell>
          <cell r="E9708" t="str">
            <v>STANDARD CHARTERED BANK (LONDRES)</v>
          </cell>
        </row>
        <row r="9709">
          <cell r="B9709">
            <v>79925</v>
          </cell>
          <cell r="C9709" t="str">
            <v>RBC CAPITAL MARKETS ARBITRAGE S/A</v>
          </cell>
          <cell r="D9709" t="str">
            <v>RBC CAPITAL MARKETS ARBITRAGE S/A</v>
          </cell>
          <cell r="E9709" t="str">
            <v>RBC CAPITAL MARKETS ARBITRAGE S/A</v>
          </cell>
        </row>
        <row r="9710">
          <cell r="B9710">
            <v>79926</v>
          </cell>
          <cell r="C9710" t="str">
            <v>IPANEMA FIM</v>
          </cell>
          <cell r="D9710" t="str">
            <v>IPANEMA FIM</v>
          </cell>
          <cell r="E9710" t="str">
            <v>UNICA ADMINISTRACAO E GESTAO DE RECURSOS LTDA</v>
          </cell>
        </row>
        <row r="9711">
          <cell r="B9711">
            <v>79927</v>
          </cell>
          <cell r="C9711" t="str">
            <v>RBC CAPITAL MARKETS ARBITRAGE S/A</v>
          </cell>
          <cell r="D9711" t="str">
            <v>RBC CAPITAL MARKETS ARBITRAGE S/A</v>
          </cell>
          <cell r="E9711" t="str">
            <v>RBC CAPITAL MARKETS ARBITRAGE S/A</v>
          </cell>
        </row>
        <row r="9712">
          <cell r="B9712">
            <v>79928</v>
          </cell>
          <cell r="C9712" t="str">
            <v>IMPAR FIM CP IE</v>
          </cell>
          <cell r="D9712" t="str">
            <v>IMPAR FIM CP IE</v>
          </cell>
          <cell r="E9712" t="str">
            <v>JGP GESTAO PATRIMONIAL LTDA</v>
          </cell>
        </row>
        <row r="9713">
          <cell r="B9713">
            <v>79929</v>
          </cell>
          <cell r="C9713" t="str">
            <v>RIO DAS PEDRAS ADMINISTRAÃ‡ÃƒO E PARTICIPAÃ‡Ã•ES LTDA</v>
          </cell>
          <cell r="D9713" t="str">
            <v>RIO DAS PEDRAS ADMINISTRAÃ‡ÃƒO E PARTICIPAÃ‡Ã•ES LTDA</v>
          </cell>
          <cell r="E9713" t="str">
            <v>RIO DAS PEDRAS ADMINISTRAÃ‡ÃƒO E PARTICIPAÃ‡Ã•ES LTDA</v>
          </cell>
        </row>
        <row r="9714">
          <cell r="B9714">
            <v>79930</v>
          </cell>
          <cell r="C9714" t="str">
            <v>ALASKA INVESTIMENTOS LTDA</v>
          </cell>
          <cell r="D9714" t="str">
            <v>ALASKA INVESTIMENTOS LTDA</v>
          </cell>
          <cell r="E9714" t="str">
            <v>ALASKA INVESTIMENTOS LTDA</v>
          </cell>
        </row>
        <row r="9715">
          <cell r="B9715">
            <v>79932</v>
          </cell>
          <cell r="C9715" t="str">
            <v>SPX EQUITIES GESTAO DE RECURSOS LTDA</v>
          </cell>
          <cell r="D9715" t="str">
            <v>SPX EQUITIES GESTAO DE RECURSOS LTDA</v>
          </cell>
          <cell r="E9715" t="str">
            <v>SPX GESTAO DE RECURSOS LTDA</v>
          </cell>
        </row>
        <row r="9716">
          <cell r="B9716">
            <v>79934</v>
          </cell>
          <cell r="C9716" t="str">
            <v>FRG FUNDO DE INVESTIMENTO EM ACOES SHARP</v>
          </cell>
          <cell r="D9716" t="str">
            <v>FRG FUNDO DE INVESTIMENTO EM ACOES SHARP</v>
          </cell>
          <cell r="E9716" t="str">
            <v>GAP GESTORA DE RECURSOS LTDA</v>
          </cell>
        </row>
        <row r="9717">
          <cell r="B9717">
            <v>79935</v>
          </cell>
          <cell r="C9717" t="str">
            <v>SHARP MULTIMANAGER BBDC FUNDO DE INVESTIMENTO MULTIMERCADO</v>
          </cell>
          <cell r="D9717" t="str">
            <v>SHARP MULTIMANAGER BBDC FUNDO DE INVESTIMENTO MULTIMERCADO</v>
          </cell>
          <cell r="E9717" t="str">
            <v>SHARP CAPITAL GESTORA DE RECURSOS LTDA</v>
          </cell>
        </row>
        <row r="9718">
          <cell r="B9718">
            <v>79936</v>
          </cell>
          <cell r="C9718" t="str">
            <v>SERRA LV FIM CP IE</v>
          </cell>
          <cell r="D9718" t="str">
            <v>SERRA LV FIM CP IE</v>
          </cell>
          <cell r="E9718" t="str">
            <v>SERRA LV FIM CP IE</v>
          </cell>
        </row>
        <row r="9719">
          <cell r="B9719">
            <v>79937</v>
          </cell>
          <cell r="C9719" t="str">
            <v>CONSENSO PREVIDENCIA FIM</v>
          </cell>
          <cell r="D9719" t="str">
            <v>CONSENSO PREVIDENCIA FIM</v>
          </cell>
          <cell r="E9719" t="str">
            <v>CONSENSO INVESTIMENTOS LTDA</v>
          </cell>
        </row>
        <row r="9720">
          <cell r="B9720">
            <v>79938</v>
          </cell>
          <cell r="C9720" t="str">
            <v>RENTAVEL PREVIDENCIA FIM CP</v>
          </cell>
          <cell r="D9720" t="str">
            <v>RENTAVEL PREVIDENCIA FIM CP</v>
          </cell>
          <cell r="E9720" t="str">
            <v>RENTAVEL PREVIDENCIA FIM CP</v>
          </cell>
        </row>
        <row r="9721">
          <cell r="B9721">
            <v>79939</v>
          </cell>
          <cell r="C9721" t="str">
            <v>GUMP INVESTMENTS C.V.</v>
          </cell>
          <cell r="D9721" t="str">
            <v>GUMP INVESTMENTS C.V.</v>
          </cell>
          <cell r="E9721" t="str">
            <v>GUMP INVESTMENTS C.V.</v>
          </cell>
        </row>
        <row r="9722">
          <cell r="B9722">
            <v>79940</v>
          </cell>
          <cell r="C9722" t="str">
            <v>BOZANO GESTAO DE RECURSOS LTDA</v>
          </cell>
          <cell r="D9722" t="str">
            <v>BOZANO GESTAO DE RECURSOS LTDA</v>
          </cell>
          <cell r="E9722" t="str">
            <v>BOZANO GESTAO DE RECURSOS LTDA</v>
          </cell>
        </row>
        <row r="9723">
          <cell r="B9723">
            <v>79941</v>
          </cell>
          <cell r="C9723" t="str">
            <v>TELOS RF MEDIO RISCO FI</v>
          </cell>
          <cell r="D9723" t="str">
            <v>TELOS RF MEDIO RISCO FI</v>
          </cell>
          <cell r="E9723" t="str">
            <v>SAFRA ASSET MANAGEMENT LTDA</v>
          </cell>
        </row>
        <row r="9724">
          <cell r="B9724">
            <v>79942</v>
          </cell>
          <cell r="C9724" t="str">
            <v>GARDE ASSET MANAGEMENT GESTAO DE RECURSOS LTDA</v>
          </cell>
          <cell r="D9724" t="str">
            <v>GARDE ASSET MANAGEMENT GESTAO DE RECURSOS LTDA</v>
          </cell>
          <cell r="E9724" t="str">
            <v>GARDE ASSET MANAGEMENT GESTAO DE RECURSOS LTDA</v>
          </cell>
        </row>
        <row r="9725">
          <cell r="B9725">
            <v>79943</v>
          </cell>
          <cell r="C9725" t="str">
            <v>VINLAND CAPITAL MANAGEMENT GESTORA DE RECURSOS LTDA</v>
          </cell>
          <cell r="D9725" t="str">
            <v>VINLAND CAPITAL MANAGEMENT GESTORA DE RECURSOS LTDA</v>
          </cell>
          <cell r="E9725" t="str">
            <v>VINLAND CAPITAL MANAGEMENT GESTORA DE RECURSOS LTDA</v>
          </cell>
        </row>
        <row r="9726">
          <cell r="B9726">
            <v>79944</v>
          </cell>
          <cell r="C9726" t="str">
            <v>BANCO ITAUCARD S/A</v>
          </cell>
          <cell r="D9726" t="str">
            <v>BANCO ITAUCARD S/A</v>
          </cell>
          <cell r="E9726" t="str">
            <v>BANCO   ITAUCARD S/A</v>
          </cell>
        </row>
        <row r="9727">
          <cell r="B9727">
            <v>79945</v>
          </cell>
          <cell r="C9727" t="str">
            <v>VINCI SV FIM CP</v>
          </cell>
          <cell r="D9727" t="str">
            <v>VINCI SV FIM CP</v>
          </cell>
          <cell r="E9727" t="str">
            <v>VINCI SV FIM CP</v>
          </cell>
        </row>
        <row r="9728">
          <cell r="B9728">
            <v>79946</v>
          </cell>
          <cell r="C9728" t="str">
            <v>CITRINO MACRO FIM CP IE</v>
          </cell>
          <cell r="D9728" t="str">
            <v>CITRINO MACRO FIM CP IE</v>
          </cell>
          <cell r="E9728" t="str">
            <v>CITRINO GESTAO DE RECURSOS LTDA</v>
          </cell>
        </row>
        <row r="9729">
          <cell r="B9729">
            <v>79947</v>
          </cell>
          <cell r="C9729" t="str">
            <v>GARDE D'ARTAGNAN MASTER FIM</v>
          </cell>
          <cell r="D9729" t="str">
            <v>GARDE D'ARTAGNAN MASTER FIM</v>
          </cell>
          <cell r="E9729" t="str">
            <v>GARDE ASSET MANAGEMENT GESTAO DE RECURSOS LTDA</v>
          </cell>
        </row>
        <row r="9730">
          <cell r="B9730">
            <v>79948</v>
          </cell>
          <cell r="C9730" t="str">
            <v>BANCO BOCOM BBM S.A</v>
          </cell>
          <cell r="D9730" t="str">
            <v>BANCO BOCOM BBM S.A</v>
          </cell>
          <cell r="E9730" t="str">
            <v>BANCO BOCOM BBM S/A</v>
          </cell>
        </row>
        <row r="9731">
          <cell r="B9731">
            <v>79949</v>
          </cell>
          <cell r="C9731" t="str">
            <v>BANCO BOCOM BBM S.A</v>
          </cell>
          <cell r="D9731" t="str">
            <v>BANCO BOCOM BBM S.A</v>
          </cell>
          <cell r="E9731" t="str">
            <v>BANCO BOCOM BBM S/A</v>
          </cell>
        </row>
        <row r="9732">
          <cell r="B9732">
            <v>79950</v>
          </cell>
          <cell r="C9732" t="str">
            <v>JBS S/A</v>
          </cell>
          <cell r="D9732" t="str">
            <v>JBS S/A</v>
          </cell>
          <cell r="E9732" t="str">
            <v>JBS S/A</v>
          </cell>
        </row>
        <row r="9733">
          <cell r="B9733">
            <v>79951</v>
          </cell>
          <cell r="C9733" t="str">
            <v>SEARA ALIMENTOS LTDA</v>
          </cell>
          <cell r="D9733" t="str">
            <v>SEARA ALIMENTOS LTDA</v>
          </cell>
          <cell r="E9733" t="str">
            <v>SEARA ALIMENTOS LTDA</v>
          </cell>
        </row>
        <row r="9734">
          <cell r="B9734">
            <v>79952</v>
          </cell>
          <cell r="C9734" t="str">
            <v>BANK OF CHINA (BRASIL) BANCO MULTIPLO S/A</v>
          </cell>
          <cell r="D9734" t="str">
            <v>BANK OF CHINA (BRASIL) BANCO MULTIPLO S/A</v>
          </cell>
          <cell r="E9734" t="str">
            <v>BANCO DA CHINA BRASIL S/A</v>
          </cell>
        </row>
        <row r="9735">
          <cell r="B9735">
            <v>79953</v>
          </cell>
          <cell r="C9735" t="str">
            <v>JBS S/A</v>
          </cell>
          <cell r="D9735" t="str">
            <v>JBS S/A</v>
          </cell>
          <cell r="E9735" t="str">
            <v>JBS S/A</v>
          </cell>
        </row>
        <row r="9736">
          <cell r="B9736">
            <v>79954</v>
          </cell>
          <cell r="C9736" t="str">
            <v>ARX INVESTIMENTOS LTDA</v>
          </cell>
          <cell r="D9736" t="str">
            <v>ARX INVESTIMENTOS LTDA</v>
          </cell>
          <cell r="E9736" t="str">
            <v>ARX INVESTIMENTOS LTDA</v>
          </cell>
        </row>
        <row r="9737">
          <cell r="B9737">
            <v>79955</v>
          </cell>
          <cell r="C9737" t="str">
            <v>SOCIETE GENERALE (PARIS)</v>
          </cell>
          <cell r="D9737" t="str">
            <v>SOCIETE GENERALE (PARIS)</v>
          </cell>
          <cell r="E9737" t="str">
            <v>BANCO SOCIETE GENERALE BRASIL S/A</v>
          </cell>
        </row>
        <row r="9738">
          <cell r="B9738">
            <v>79957</v>
          </cell>
          <cell r="C9738" t="str">
            <v>SAGA SNAKE FIM</v>
          </cell>
          <cell r="D9738" t="str">
            <v>SAGA SNAKE FIM</v>
          </cell>
          <cell r="E9738" t="str">
            <v>SAGA SNAKE FIM</v>
          </cell>
        </row>
        <row r="9739">
          <cell r="B9739">
            <v>79958</v>
          </cell>
          <cell r="C9739" t="str">
            <v>SAGA DLEBTA FIM LP IE</v>
          </cell>
          <cell r="D9739" t="str">
            <v>SAGA DLEBTA FIM LP IE</v>
          </cell>
          <cell r="E9739" t="str">
            <v>SAGA DLEBTA FIM LP IE</v>
          </cell>
        </row>
        <row r="9740">
          <cell r="B9740">
            <v>79959</v>
          </cell>
          <cell r="C9740" t="str">
            <v>SAGA CABAMA FIM</v>
          </cell>
          <cell r="D9740" t="str">
            <v>SAGA CABAMA FIM</v>
          </cell>
          <cell r="E9740" t="str">
            <v>SAGA CABAMA FIM</v>
          </cell>
        </row>
        <row r="9741">
          <cell r="B9741">
            <v>79960</v>
          </cell>
          <cell r="C9741" t="str">
            <v>SAGA EAGLE FUNDO DE INVEST.MULTIMERCADO</v>
          </cell>
          <cell r="D9741" t="str">
            <v>SAGA EAGLE FUNDO DE INVEST.MULTIMERCADO</v>
          </cell>
          <cell r="E9741" t="str">
            <v>SAGA EAGLE FUNDO DE INVEST.MULTIMERCADO</v>
          </cell>
        </row>
        <row r="9742">
          <cell r="B9742">
            <v>79961</v>
          </cell>
          <cell r="C9742" t="str">
            <v>SAGA MONTLACER II FIM</v>
          </cell>
          <cell r="D9742" t="str">
            <v>SAGA MONTLACER II FIM</v>
          </cell>
          <cell r="E9742" t="str">
            <v>SAGA MONTLACER II FIM</v>
          </cell>
        </row>
        <row r="9743">
          <cell r="B9743">
            <v>79962</v>
          </cell>
          <cell r="C9743" t="str">
            <v>BANK OF CHINA (BRASIL) BANCO MULTIPLO S/A</v>
          </cell>
          <cell r="D9743" t="str">
            <v>BANK OF CHINA (BRASIL) BANCO MULTIPLO S/A</v>
          </cell>
          <cell r="E9743" t="str">
            <v>BANCO DA CHINA BRASIL S/A</v>
          </cell>
        </row>
        <row r="9744">
          <cell r="B9744">
            <v>79963</v>
          </cell>
          <cell r="C9744" t="str">
            <v>BANK OF AMERICA MERRILL LYNCH BANCO MULTIPLO S/A</v>
          </cell>
          <cell r="D9744" t="str">
            <v>BANK OF AMERICA MERRILL LYNCH BANCO MULTIPLO S/A</v>
          </cell>
          <cell r="E9744" t="str">
            <v>BANK OF AMERICA MERRILL LYNCH BANCO MULTIPLO S/A</v>
          </cell>
        </row>
        <row r="9745">
          <cell r="B9745">
            <v>79964</v>
          </cell>
          <cell r="C9745" t="str">
            <v>CARGILL FINANCIAL SERVICES INTERNATIONAL INC</v>
          </cell>
          <cell r="D9745" t="str">
            <v>CARGILL FINANCIAL SERVICES INTERNATIONAL INC</v>
          </cell>
          <cell r="E9745" t="str">
            <v>BANCO CARGILL S/A</v>
          </cell>
        </row>
        <row r="9746">
          <cell r="B9746">
            <v>79965</v>
          </cell>
          <cell r="C9746" t="str">
            <v>BANCO HSBC S.A</v>
          </cell>
          <cell r="D9746" t="str">
            <v>BANCO HSBC S.A</v>
          </cell>
          <cell r="E9746" t="str">
            <v>BANCO HSBC S/A</v>
          </cell>
        </row>
        <row r="9747">
          <cell r="B9747">
            <v>79966</v>
          </cell>
          <cell r="C9747" t="str">
            <v>BANCO PAULISTA S/A</v>
          </cell>
          <cell r="D9747" t="str">
            <v>BANCO PAULISTA S/A</v>
          </cell>
          <cell r="E9747" t="str">
            <v>BANCO PAULISTA S/A</v>
          </cell>
        </row>
        <row r="9748">
          <cell r="B9748">
            <v>79967</v>
          </cell>
          <cell r="C9748" t="str">
            <v>CARGILL FINANCIAL SERVICES INTERNATIONAL INC</v>
          </cell>
          <cell r="D9748" t="str">
            <v>CARGILL FINANCIAL SERVICES INTERNATIONAL INC</v>
          </cell>
          <cell r="E9748" t="str">
            <v>BANCO CARGILL S/A</v>
          </cell>
        </row>
        <row r="9749">
          <cell r="B9749">
            <v>122370</v>
          </cell>
          <cell r="C9749" t="str">
            <v>BRASIL PLURAL YIELD FI REFERENCIADO DI</v>
          </cell>
          <cell r="D9749" t="str">
            <v>BRASIL PLURAL YIELD FI REFERENCIADO DI</v>
          </cell>
          <cell r="E9749" t="str">
            <v>PLURAL GESTÃO DE RECURSOS LTDA</v>
          </cell>
        </row>
        <row r="9750">
          <cell r="B9750">
            <v>79969</v>
          </cell>
          <cell r="C9750" t="str">
            <v>RIO PERFORMANCE GESTAO DE RECURSOS LTDA</v>
          </cell>
          <cell r="D9750" t="str">
            <v>RIO PERFORMANCE GESTAO DE RECURSOS LTDA</v>
          </cell>
          <cell r="E9750" t="str">
            <v>RIO PERFORMANCE GESTAO DE RECURSOS LTDA</v>
          </cell>
        </row>
        <row r="9751">
          <cell r="B9751">
            <v>79970</v>
          </cell>
          <cell r="C9751" t="str">
            <v>NOBEL GESTAO DE RECURSOS LTDA</v>
          </cell>
          <cell r="D9751" t="str">
            <v>NOBEL GESTAO DE RECURSOS LTDA</v>
          </cell>
          <cell r="E9751" t="str">
            <v>NOBEL GESTAO DE RECURSOS LTDA</v>
          </cell>
        </row>
        <row r="9752">
          <cell r="B9752">
            <v>79971</v>
          </cell>
          <cell r="C9752" t="str">
            <v>NOBEL GESTAO DE RECURSOS LTDA</v>
          </cell>
          <cell r="D9752" t="str">
            <v>NOBEL GESTAO DE RECURSOS LTDA</v>
          </cell>
          <cell r="E9752" t="str">
            <v>NOBEL GESTAO DE RECURSOS LTDA</v>
          </cell>
        </row>
        <row r="9753">
          <cell r="B9753">
            <v>79972</v>
          </cell>
          <cell r="C9753" t="str">
            <v>MATERA RC GESTÃƒO DE RECURSOS LTDA</v>
          </cell>
          <cell r="D9753" t="str">
            <v>MATERA RC GESTÃƒO DE RECURSOS LTDA</v>
          </cell>
          <cell r="E9753" t="str">
            <v>MATERA RC GESTÃƒO DE RECURSOS LTDA</v>
          </cell>
        </row>
        <row r="9754">
          <cell r="B9754">
            <v>79974</v>
          </cell>
          <cell r="C9754" t="str">
            <v>MACUCO FIM CP IE</v>
          </cell>
          <cell r="D9754" t="str">
            <v>MACUCO FIM CP IE</v>
          </cell>
          <cell r="E9754" t="str">
            <v>MACUCO FIM CP IE</v>
          </cell>
        </row>
        <row r="9755">
          <cell r="B9755">
            <v>79975</v>
          </cell>
          <cell r="C9755" t="str">
            <v>CONSISTENCIA FIM CP IE</v>
          </cell>
          <cell r="D9755" t="str">
            <v>CONSISTENCIA FIM CP IE</v>
          </cell>
          <cell r="E9755" t="str">
            <v>CONSISTENCIA FIM CP IE</v>
          </cell>
        </row>
        <row r="9756">
          <cell r="B9756">
            <v>79976</v>
          </cell>
          <cell r="C9756" t="str">
            <v>SULAMERICA HEMATITA FIM</v>
          </cell>
          <cell r="D9756" t="str">
            <v>SULAMERICA HEMATITA FIM</v>
          </cell>
          <cell r="E9756" t="str">
            <v>SULAMERICA HEMATITA FIM</v>
          </cell>
        </row>
        <row r="9757">
          <cell r="B9757">
            <v>79160</v>
          </cell>
          <cell r="C9757" t="str">
            <v>SICREDI FI RENDA FIXA PERFORMANCE LONGO PRAZO</v>
          </cell>
          <cell r="D9757" t="str">
            <v>SICREDI FI RENDA FIXA PERFORMANCE LONGO PRAZO</v>
          </cell>
          <cell r="E9757" t="str">
            <v>BANCO COOPERATIVO SICREDI S/A</v>
          </cell>
        </row>
        <row r="9758">
          <cell r="B9758">
            <v>79980</v>
          </cell>
          <cell r="C9758" t="str">
            <v>BNP PARIBAS FINANCIAL MARKETS</v>
          </cell>
          <cell r="D9758" t="str">
            <v>BNP PARIBAS FINANCIAL MARKETS</v>
          </cell>
          <cell r="E9758" t="str">
            <v>BANCO BNP PARIBAS BRASIL S/A</v>
          </cell>
        </row>
        <row r="9759">
          <cell r="B9759">
            <v>79981</v>
          </cell>
          <cell r="C9759" t="str">
            <v>AARDVARK TRADING LLC</v>
          </cell>
          <cell r="D9759" t="str">
            <v>AARDVARK TRADING LLC</v>
          </cell>
          <cell r="E9759" t="str">
            <v>AARDVARK TRADING LLC</v>
          </cell>
        </row>
        <row r="9760">
          <cell r="B9760">
            <v>79982</v>
          </cell>
          <cell r="C9760" t="str">
            <v>BNP PARIBAS EQD BRAZIL FUND CLASSE DE INVESTIMENTO MULTI CP</v>
          </cell>
          <cell r="D9760" t="str">
            <v>BNP PARIBAS EQD BRAZIL FUND CLASSE DE INVESTIMENTO MULTI CP</v>
          </cell>
          <cell r="E9760" t="str">
            <v>BANCO BNP PARIBAS BRASIL S/A</v>
          </cell>
        </row>
        <row r="9761">
          <cell r="B9761">
            <v>79983</v>
          </cell>
          <cell r="C9761" t="str">
            <v>FI RF IRB BRASIL RE ABSOLUTO TITULOS PUBLICOS</v>
          </cell>
          <cell r="D9761" t="str">
            <v>FI RF IRB BRASIL RE ABSOLUTO TITULOS PUBLICOS</v>
          </cell>
          <cell r="E9761" t="str">
            <v>IRB BRASIL RESSEGUROS S.A.</v>
          </cell>
        </row>
        <row r="9762">
          <cell r="B9762">
            <v>79984</v>
          </cell>
          <cell r="C9762" t="str">
            <v>ITAU UNIBANCO S.A.</v>
          </cell>
          <cell r="D9762" t="str">
            <v>ITAU UNIBANCO S.A.</v>
          </cell>
          <cell r="E9762" t="str">
            <v>ITAU UNIBANCO S/A</v>
          </cell>
        </row>
        <row r="9763">
          <cell r="B9763">
            <v>79985</v>
          </cell>
          <cell r="C9763" t="str">
            <v>ITAU UNIBANCO S.A.</v>
          </cell>
          <cell r="D9763" t="str">
            <v>ITAU UNIBANCO S.A.</v>
          </cell>
          <cell r="E9763" t="str">
            <v>ITAU UNIBANCO S/A</v>
          </cell>
        </row>
        <row r="9764">
          <cell r="B9764">
            <v>79986</v>
          </cell>
          <cell r="C9764" t="str">
            <v>ITAU UNIBANCO S.A.</v>
          </cell>
          <cell r="D9764" t="str">
            <v>ITAU UNIBANCO S.A.</v>
          </cell>
          <cell r="E9764" t="str">
            <v>ITAU UNIBANCO S/A</v>
          </cell>
        </row>
        <row r="9765">
          <cell r="B9765">
            <v>79987</v>
          </cell>
          <cell r="C9765" t="str">
            <v>IRB BRASIL RESSEGUROS S.A.</v>
          </cell>
          <cell r="D9765" t="str">
            <v>IRB BRASIL RESSEGUROS S.A.</v>
          </cell>
          <cell r="E9765" t="str">
            <v>IRB BRASIL RESSEGUROS S.A.</v>
          </cell>
        </row>
        <row r="9766">
          <cell r="B9766">
            <v>79988</v>
          </cell>
          <cell r="C9766" t="str">
            <v>ANGRA FIM CP IE</v>
          </cell>
          <cell r="D9766" t="str">
            <v>ANGRA FIM CP IE</v>
          </cell>
          <cell r="E9766" t="str">
            <v>MILENIO CAPITAL GESTAO DE INVESTIMENTOS LTDA</v>
          </cell>
        </row>
        <row r="9767">
          <cell r="B9767">
            <v>79989</v>
          </cell>
          <cell r="C9767" t="str">
            <v>BELVEDERE MATISSE FIM CP</v>
          </cell>
          <cell r="D9767" t="str">
            <v>BELVEDERE MATISSE FIM CP</v>
          </cell>
          <cell r="E9767" t="str">
            <v>BELVEDERE MATISSE FIM CP</v>
          </cell>
        </row>
        <row r="9768">
          <cell r="B9768">
            <v>79990</v>
          </cell>
          <cell r="C9768" t="str">
            <v>BELVEDERE RENOIR FIA</v>
          </cell>
          <cell r="D9768" t="str">
            <v>BELVEDERE RENOIR FIA</v>
          </cell>
          <cell r="E9768" t="str">
            <v>BELVEDERE RENOIR FIA</v>
          </cell>
        </row>
        <row r="9769">
          <cell r="B9769">
            <v>79991</v>
          </cell>
          <cell r="C9769" t="str">
            <v>EAGLE MONET FIA</v>
          </cell>
          <cell r="D9769" t="str">
            <v>EAGLE MONET FIA</v>
          </cell>
          <cell r="E9769" t="str">
            <v>EAGLE MONET FIA</v>
          </cell>
        </row>
        <row r="9770">
          <cell r="B9770">
            <v>79992</v>
          </cell>
          <cell r="C9770" t="str">
            <v>SOCIETE MONDIALE FIA</v>
          </cell>
          <cell r="D9770" t="str">
            <v>SOCIETE MONDIALE FIA</v>
          </cell>
          <cell r="E9770" t="str">
            <v>UNICA ADMINISTRACAO E GESTAO DE RECURSOS LTDA</v>
          </cell>
        </row>
        <row r="9771">
          <cell r="B9771">
            <v>79993</v>
          </cell>
          <cell r="C9771" t="str">
            <v>LUPA FIM CP IE</v>
          </cell>
          <cell r="D9771" t="str">
            <v>LUPA FIM CP IE</v>
          </cell>
          <cell r="E9771" t="str">
            <v>LUPA FIM CP IE</v>
          </cell>
        </row>
        <row r="9772">
          <cell r="B9772">
            <v>79994</v>
          </cell>
          <cell r="C9772" t="str">
            <v>AROEIRA FIC FIA</v>
          </cell>
          <cell r="D9772" t="str">
            <v>AROEIRA FIC FIA</v>
          </cell>
          <cell r="E9772" t="str">
            <v>AROEIRA FIC FIA</v>
          </cell>
        </row>
        <row r="9773">
          <cell r="B9773">
            <v>79995</v>
          </cell>
          <cell r="C9773" t="str">
            <v>ZEUS FIA</v>
          </cell>
          <cell r="D9773" t="str">
            <v>ZEUS FIA</v>
          </cell>
          <cell r="E9773" t="str">
            <v>ZEUS FIA</v>
          </cell>
        </row>
        <row r="9774">
          <cell r="B9774">
            <v>79996</v>
          </cell>
          <cell r="C9774" t="str">
            <v>CGI FIC FIA</v>
          </cell>
          <cell r="D9774" t="str">
            <v>CGI FIC FIA</v>
          </cell>
          <cell r="E9774" t="str">
            <v>CGI FIC FIA</v>
          </cell>
        </row>
        <row r="9775">
          <cell r="B9775">
            <v>79997</v>
          </cell>
          <cell r="C9775" t="str">
            <v>JEQUITIBA FIC DE FIA</v>
          </cell>
          <cell r="D9775" t="str">
            <v>JEQUITIBA FIC DE FIA</v>
          </cell>
          <cell r="E9775" t="str">
            <v>JEQUITIBA FIC DE FIA</v>
          </cell>
        </row>
        <row r="9776">
          <cell r="B9776">
            <v>79998</v>
          </cell>
          <cell r="C9776" t="str">
            <v>PORTO SEGURO INVESTIMENTOS LTDA</v>
          </cell>
          <cell r="D9776" t="str">
            <v>PORTO SEGURO INVESTIMENTOS LTDA</v>
          </cell>
          <cell r="E9776" t="str">
            <v>PORTO SEGURO INVESTIMENTOS LTDA</v>
          </cell>
        </row>
        <row r="9777">
          <cell r="B9777">
            <v>79999</v>
          </cell>
          <cell r="C9777" t="str">
            <v>PORTO SEGURO INVESTIMENTOS LTDA</v>
          </cell>
          <cell r="D9777" t="str">
            <v>PORTO SEGURO INVESTIMENTOS LTDA</v>
          </cell>
          <cell r="E9777" t="str">
            <v>PORTO SEGURO INVESTIMENTOS LTDA</v>
          </cell>
        </row>
        <row r="9778">
          <cell r="B9778">
            <v>8</v>
          </cell>
          <cell r="C9778" t="str">
            <v>DANIEL LIMA DA SILVA PERE</v>
          </cell>
          <cell r="D9778" t="str">
            <v>DANIEL LIMA DA SILVA PERE</v>
          </cell>
          <cell r="E9778" t="str">
            <v>DANIEL LIMA DA SILVA PERE</v>
          </cell>
        </row>
        <row r="9779">
          <cell r="B9779">
            <v>80264</v>
          </cell>
          <cell r="C9779" t="str">
            <v>BANCO SANTANDER (BRASIL) S/A</v>
          </cell>
          <cell r="D9779" t="str">
            <v>BANCO SANTANDER (BRASIL) S/A</v>
          </cell>
          <cell r="E9779" t="str">
            <v>BANCO SANTANDER (BRASIL) S/A</v>
          </cell>
        </row>
        <row r="9780">
          <cell r="B9780">
            <v>8000</v>
          </cell>
          <cell r="C9780" t="str">
            <v>KIRTON BANK S.A. - BANCO MULTIPLO</v>
          </cell>
          <cell r="D9780" t="str">
            <v>KIRTON BANK S.A. - BANCO MULTIPLO</v>
          </cell>
          <cell r="E9780" t="str">
            <v>KIRTON BANK S.A. - BANCO MULTIPLO</v>
          </cell>
        </row>
        <row r="9781">
          <cell r="B9781">
            <v>80000</v>
          </cell>
          <cell r="C9781" t="str">
            <v>PORTO SEGURO INVESTIMENTOS LTDA</v>
          </cell>
          <cell r="D9781" t="str">
            <v>PORTO SEGURO INVESTIMENTOS LTDA</v>
          </cell>
          <cell r="E9781" t="str">
            <v>PORTO SEGURO INVESTIMENTOS LTDA</v>
          </cell>
        </row>
        <row r="9782">
          <cell r="B9782">
            <v>80001</v>
          </cell>
          <cell r="C9782" t="str">
            <v>PORTO SEGURO INVESTIMENTOS LTDA</v>
          </cell>
          <cell r="D9782" t="str">
            <v>PORTO SEGURO INVESTIMENTOS LTDA</v>
          </cell>
          <cell r="E9782" t="str">
            <v>PORTO SEGURO INVESTIMENTOS LTDA</v>
          </cell>
        </row>
        <row r="9783">
          <cell r="B9783">
            <v>80002</v>
          </cell>
          <cell r="C9783" t="str">
            <v>PENGUIM FIM CP IE</v>
          </cell>
          <cell r="D9783" t="str">
            <v>PENGUIM FIM CP IE</v>
          </cell>
          <cell r="E9783" t="str">
            <v>PENGUIM FIM CP IE</v>
          </cell>
        </row>
        <row r="9784">
          <cell r="B9784">
            <v>80003</v>
          </cell>
          <cell r="C9784" t="str">
            <v>HSBC BANK USA, NATIONAL ASSOCIATION</v>
          </cell>
          <cell r="D9784" t="str">
            <v>HSBC BANK USA, NATIONAL ASSOCIATION</v>
          </cell>
          <cell r="E9784" t="str">
            <v>BANCO HSBC S/A</v>
          </cell>
        </row>
        <row r="9785">
          <cell r="B9785">
            <v>80004</v>
          </cell>
          <cell r="C9785" t="str">
            <v>HSBC BANK USA, NATIONAL ASSOCIATION</v>
          </cell>
          <cell r="D9785" t="str">
            <v>HSBC BANK USA, NATIONAL ASSOCIATION</v>
          </cell>
          <cell r="E9785" t="str">
            <v>BANCO HSBC S/A</v>
          </cell>
        </row>
        <row r="9786">
          <cell r="B9786">
            <v>80005</v>
          </cell>
          <cell r="C9786" t="str">
            <v>DEUTSCHE BANK AG LONDON GLOBAL MARKETS</v>
          </cell>
          <cell r="D9786" t="str">
            <v>DEUTSCHE BANK AG LONDON GLOBAL MARKETS</v>
          </cell>
          <cell r="E9786" t="str">
            <v>DEUTSCHE BANK S/A</v>
          </cell>
        </row>
        <row r="9787">
          <cell r="B9787">
            <v>80006</v>
          </cell>
          <cell r="C9787" t="str">
            <v>VINCI SOLUÃ‡Ã•ES DE INVESTIMENTOS LTDA</v>
          </cell>
          <cell r="D9787" t="str">
            <v>VINCI SOLUÃ‡Ã•ES DE INVESTIMENTOS LTDA</v>
          </cell>
          <cell r="E9787" t="str">
            <v>VINCI GESTORA DE RECURSOS LTDA</v>
          </cell>
        </row>
        <row r="9788">
          <cell r="B9788">
            <v>80265</v>
          </cell>
          <cell r="C9788" t="str">
            <v>BANCO SANTANDER (BRASIL) S/A</v>
          </cell>
          <cell r="D9788" t="str">
            <v>BANCO SANTANDER (BRASIL) S/A</v>
          </cell>
          <cell r="E9788" t="str">
            <v>BANCO SANTANDER (BRASIL) S/A</v>
          </cell>
        </row>
        <row r="9789">
          <cell r="B9789">
            <v>80008</v>
          </cell>
          <cell r="C9789" t="str">
            <v>HIX INVESTIMENTOS LTDA</v>
          </cell>
          <cell r="D9789" t="str">
            <v>HIX INVESTIMENTOS LTDA</v>
          </cell>
          <cell r="E9789" t="str">
            <v>HIX INVESTIMENTOS LTDA</v>
          </cell>
        </row>
        <row r="9790">
          <cell r="B9790">
            <v>80009</v>
          </cell>
          <cell r="C9790" t="str">
            <v>ZAG FIM CP IE</v>
          </cell>
          <cell r="D9790" t="str">
            <v>ZAG FIM CP IE</v>
          </cell>
          <cell r="E9790" t="str">
            <v>ZAG FIM CP IE</v>
          </cell>
        </row>
        <row r="9791">
          <cell r="B9791">
            <v>8001</v>
          </cell>
          <cell r="C9791" t="str">
            <v>KIRTON BANK S.A. - BANCO MULTIPLO</v>
          </cell>
          <cell r="D9791" t="str">
            <v>KIRTON BANK S.A. - BANCO MULTIPLO</v>
          </cell>
          <cell r="E9791" t="str">
            <v>KIRTON BANK S.A. - BANCO MULTIPLO</v>
          </cell>
        </row>
        <row r="9792">
          <cell r="B9792">
            <v>80010</v>
          </cell>
          <cell r="C9792" t="str">
            <v>UJAY CAPITAL INVESTIMENTOS LTDA.</v>
          </cell>
          <cell r="D9792" t="str">
            <v>UJAY CAPITAL INVESTIMENTOS LTDA.</v>
          </cell>
          <cell r="E9792" t="str">
            <v>UJAY CAPITAL INVESTIMENTOS LTDA</v>
          </cell>
        </row>
        <row r="9793">
          <cell r="B9793">
            <v>80011</v>
          </cell>
          <cell r="C9793" t="str">
            <v>SERENO FIM CP IE</v>
          </cell>
          <cell r="D9793" t="str">
            <v>SERENO FIM CP IE</v>
          </cell>
          <cell r="E9793" t="str">
            <v>MILENIO CAPITAL GESTAO DE INVESTIMENTOS LTDA</v>
          </cell>
        </row>
        <row r="9794">
          <cell r="B9794">
            <v>80012</v>
          </cell>
          <cell r="C9794" t="str">
            <v>IPANEMA FIM</v>
          </cell>
          <cell r="D9794" t="str">
            <v>IPANEMA FIM</v>
          </cell>
          <cell r="E9794" t="str">
            <v>UNICA ADMINISTRACAO E GESTAO DE RECURSOS LTDA</v>
          </cell>
        </row>
        <row r="9795">
          <cell r="B9795">
            <v>80266</v>
          </cell>
          <cell r="C9795" t="str">
            <v>BANCO SANTANDER (BRASIL) S/A</v>
          </cell>
          <cell r="D9795" t="str">
            <v>BANCO SANTANDER (BRASIL) S/A</v>
          </cell>
          <cell r="E9795" t="str">
            <v>BANCO SANTANDER (BRASIL) S/A</v>
          </cell>
        </row>
        <row r="9796">
          <cell r="B9796">
            <v>80267</v>
          </cell>
          <cell r="C9796" t="str">
            <v>BANCO SANTANDER (BRASIL) S/A</v>
          </cell>
          <cell r="D9796" t="str">
            <v>BANCO SANTANDER (BRASIL) S/A</v>
          </cell>
          <cell r="E9796" t="str">
            <v>BANCO SANTANDER (BRASIL) S/A</v>
          </cell>
        </row>
        <row r="9797">
          <cell r="B9797">
            <v>80269</v>
          </cell>
          <cell r="C9797" t="str">
            <v>BANCO SANTANDER (BRASIL) S/A</v>
          </cell>
          <cell r="D9797" t="str">
            <v>BANCO SANTANDER (BRASIL) S/A</v>
          </cell>
          <cell r="E9797" t="str">
            <v>BANCO SANTANDER (BRASIL) S/A</v>
          </cell>
        </row>
        <row r="9798">
          <cell r="B9798">
            <v>80270</v>
          </cell>
          <cell r="C9798" t="str">
            <v>BANCO SANTANDER (BRASIL) S/A</v>
          </cell>
          <cell r="D9798" t="str">
            <v>BANCO SANTANDER (BRASIL) S/A</v>
          </cell>
          <cell r="E9798" t="str">
            <v>BANCO SANTANDER (BRASIL) S/A</v>
          </cell>
        </row>
        <row r="9799">
          <cell r="B9799">
            <v>80271</v>
          </cell>
          <cell r="C9799" t="str">
            <v>BANCO SANTANDER (BRASIL) S/A</v>
          </cell>
          <cell r="D9799" t="str">
            <v>BANCO SANTANDER (BRASIL) S/A</v>
          </cell>
          <cell r="E9799" t="str">
            <v>BANCO SANTANDER (BRASIL) S/A</v>
          </cell>
        </row>
        <row r="9800">
          <cell r="B9800">
            <v>80272</v>
          </cell>
          <cell r="C9800" t="str">
            <v>BANCO SANTANDER (BRASIL) S/A</v>
          </cell>
          <cell r="D9800" t="str">
            <v>BANCO SANTANDER (BRASIL) S/A</v>
          </cell>
          <cell r="E9800" t="str">
            <v>BANCO SANTANDER (BRASIL) S/A</v>
          </cell>
        </row>
        <row r="9801">
          <cell r="B9801">
            <v>80273</v>
          </cell>
          <cell r="C9801" t="str">
            <v>BANCO SANTANDER (BRASIL) S/A</v>
          </cell>
          <cell r="D9801" t="str">
            <v>BANCO SANTANDER (BRASIL) S/A</v>
          </cell>
          <cell r="E9801" t="str">
            <v>BANCO SANTANDER (BRASIL) S/A</v>
          </cell>
        </row>
        <row r="9802">
          <cell r="B9802">
            <v>80274</v>
          </cell>
          <cell r="C9802" t="str">
            <v>BANCO SANTANDER (BRASIL) S/A</v>
          </cell>
          <cell r="D9802" t="str">
            <v>BANCO SANTANDER (BRASIL) S/A</v>
          </cell>
          <cell r="E9802" t="str">
            <v>BANCO SANTANDER (BRASIL) S/A</v>
          </cell>
        </row>
        <row r="9803">
          <cell r="B9803">
            <v>80275</v>
          </cell>
          <cell r="C9803" t="str">
            <v>BANCO SANTANDER (BRASIL) S/A</v>
          </cell>
          <cell r="D9803" t="str">
            <v>BANCO SANTANDER (BRASIL) S/A</v>
          </cell>
          <cell r="E9803" t="str">
            <v>BANCO SANTANDER (BRASIL) S/A</v>
          </cell>
        </row>
        <row r="9804">
          <cell r="B9804">
            <v>80276</v>
          </cell>
          <cell r="C9804" t="str">
            <v>BANCO SANTANDER (BRASIL) S/A</v>
          </cell>
          <cell r="D9804" t="str">
            <v>BANCO SANTANDER (BRASIL) S/A</v>
          </cell>
          <cell r="E9804" t="str">
            <v>BANCO SANTANDER (BRASIL) S/A</v>
          </cell>
        </row>
        <row r="9805">
          <cell r="B9805">
            <v>80277</v>
          </cell>
          <cell r="C9805" t="str">
            <v>BANCO SANTANDER (BRASIL) S/A</v>
          </cell>
          <cell r="D9805" t="str">
            <v>BANCO SANTANDER (BRASIL) S/A</v>
          </cell>
          <cell r="E9805" t="str">
            <v>BANCO SANTANDER (BRASIL) S/A</v>
          </cell>
        </row>
        <row r="9806">
          <cell r="B9806">
            <v>80278</v>
          </cell>
          <cell r="C9806" t="str">
            <v>BANCO SANTANDER (BRASIL) S/A</v>
          </cell>
          <cell r="D9806" t="str">
            <v>BANCO SANTANDER (BRASIL) S/A</v>
          </cell>
          <cell r="E9806" t="str">
            <v>BANCO SANTANDER (BRASIL) S/A</v>
          </cell>
        </row>
        <row r="9807">
          <cell r="B9807">
            <v>80025</v>
          </cell>
          <cell r="C9807" t="str">
            <v>BRAM - BRADESCO ASSET MANAGEMENT SA DTVM</v>
          </cell>
          <cell r="D9807" t="str">
            <v>BRAM - BRADESCO ASSET MANAGEMENT SA DTVM</v>
          </cell>
          <cell r="E9807" t="str">
            <v>BRAM - BRADESCO ASSET MANAGEMENT S/A DTVM</v>
          </cell>
        </row>
        <row r="9808">
          <cell r="B9808">
            <v>80026</v>
          </cell>
          <cell r="C9808" t="str">
            <v>BARCLAYS BANK PLC (NOVO)</v>
          </cell>
          <cell r="D9808" t="str">
            <v>BARCLAYS BANK PLC (NOVO)</v>
          </cell>
          <cell r="E9808" t="str">
            <v>BARCLAYS BANK PLC</v>
          </cell>
        </row>
        <row r="9809">
          <cell r="B9809">
            <v>80027</v>
          </cell>
          <cell r="C9809" t="str">
            <v>MSBB MONEY LTD</v>
          </cell>
          <cell r="D9809" t="str">
            <v>MSBB MONEY LTD</v>
          </cell>
          <cell r="E9809" t="str">
            <v>MSBB MONEY LTD</v>
          </cell>
        </row>
        <row r="9810">
          <cell r="B9810">
            <v>80028</v>
          </cell>
          <cell r="C9810" t="str">
            <v>MSBB MONEY LTD</v>
          </cell>
          <cell r="D9810" t="str">
            <v>MSBB MONEY LTD</v>
          </cell>
          <cell r="E9810" t="str">
            <v>MSBB MONEY LTD</v>
          </cell>
        </row>
        <row r="9811">
          <cell r="B9811">
            <v>80029</v>
          </cell>
          <cell r="C9811" t="str">
            <v>MSBB MONEY LTD</v>
          </cell>
          <cell r="D9811" t="str">
            <v>MSBB MONEY LTD</v>
          </cell>
          <cell r="E9811" t="str">
            <v>MSBB MONEY LTD</v>
          </cell>
        </row>
        <row r="9812">
          <cell r="B9812">
            <v>80030</v>
          </cell>
          <cell r="C9812" t="str">
            <v>IRB BRASIL RESSEGUROS S.A.</v>
          </cell>
          <cell r="D9812" t="str">
            <v>IRB BRASIL RESSEGUROS S.A.</v>
          </cell>
          <cell r="E9812" t="str">
            <v>IRB BRASIL RESSEGUROS S.A.</v>
          </cell>
        </row>
        <row r="9813">
          <cell r="B9813">
            <v>80031</v>
          </cell>
          <cell r="C9813" t="str">
            <v>IRB BRASIL RESSEGUROS S.A.</v>
          </cell>
          <cell r="D9813" t="str">
            <v>IRB BRASIL RESSEGUROS S.A.</v>
          </cell>
          <cell r="E9813" t="str">
            <v>IRB BRASIL RESSEGUROS S.A.</v>
          </cell>
        </row>
        <row r="9814">
          <cell r="B9814">
            <v>80032</v>
          </cell>
          <cell r="C9814" t="str">
            <v>ROSS ICE SHELF LLC</v>
          </cell>
          <cell r="D9814" t="str">
            <v>ROSS ICE SHELF LLC</v>
          </cell>
          <cell r="E9814" t="str">
            <v>ROSS ICE SHELF LLC</v>
          </cell>
        </row>
        <row r="9815">
          <cell r="B9815">
            <v>80033</v>
          </cell>
          <cell r="C9815" t="str">
            <v>SAGA TOP FIM</v>
          </cell>
          <cell r="D9815" t="str">
            <v>SAGA TOP FIM</v>
          </cell>
          <cell r="E9815" t="str">
            <v>SAGA TOP FIM</v>
          </cell>
        </row>
        <row r="9816">
          <cell r="B9816">
            <v>80034</v>
          </cell>
          <cell r="C9816" t="str">
            <v>TERA CAPITAL GESTAO DE RECURSOS LTDA</v>
          </cell>
          <cell r="D9816" t="str">
            <v>TERA CAPITAL GESTAO DE RECURSOS LTDA</v>
          </cell>
          <cell r="E9816" t="str">
            <v>TERA CAPITAL GESTAO DE RECURSOS LTDA</v>
          </cell>
        </row>
        <row r="9817">
          <cell r="B9817">
            <v>80035</v>
          </cell>
          <cell r="C9817" t="str">
            <v>FLAG MASTER FIM</v>
          </cell>
          <cell r="D9817" t="str">
            <v>FLAG MASTER FIM</v>
          </cell>
          <cell r="E9817" t="str">
            <v>FLAG MASTER FIM</v>
          </cell>
        </row>
        <row r="9818">
          <cell r="B9818">
            <v>80036</v>
          </cell>
          <cell r="C9818" t="str">
            <v>MARATHON EM FOCUS FUND</v>
          </cell>
          <cell r="D9818" t="str">
            <v>MARATHON EM FOCUS FUND</v>
          </cell>
          <cell r="E9818" t="str">
            <v>MARATHON EM FOCUS FUND</v>
          </cell>
        </row>
        <row r="9819">
          <cell r="B9819">
            <v>80037</v>
          </cell>
          <cell r="C9819" t="str">
            <v>MARATHON GLOBAL EMERGING MARKETS MASTER FUND, LTD</v>
          </cell>
          <cell r="D9819" t="str">
            <v>MARATHON GLOBAL EMERGING MARKETS MASTER FUND, LTD</v>
          </cell>
          <cell r="E9819" t="str">
            <v>MARATHON GLOBAL EMERGING MARKETS MASTER FUND, LTD</v>
          </cell>
        </row>
        <row r="9820">
          <cell r="B9820">
            <v>123049</v>
          </cell>
          <cell r="C9820" t="str">
            <v>BRASIL PLURAL MULTIMANAGER BBDC FIM</v>
          </cell>
          <cell r="D9820" t="str">
            <v>BRASIL PLURAL MULTIMANAGER BBDC FIM</v>
          </cell>
          <cell r="E9820" t="str">
            <v>PLURAL GESTÃO DE RECURSOS LTDA</v>
          </cell>
        </row>
        <row r="9821">
          <cell r="B9821">
            <v>80039</v>
          </cell>
          <cell r="C9821" t="str">
            <v>B&amp;F FIM CP IE</v>
          </cell>
          <cell r="D9821" t="str">
            <v>B&amp;F FIM CP IE</v>
          </cell>
          <cell r="E9821" t="str">
            <v>3R GESTORA DE RECURSOS LTDA</v>
          </cell>
        </row>
        <row r="9822">
          <cell r="B9822">
            <v>80040</v>
          </cell>
          <cell r="C9822" t="str">
            <v>MONTEIRO ARANHA S/A</v>
          </cell>
          <cell r="D9822" t="str">
            <v>MONTEIRO ARANHA S/A</v>
          </cell>
          <cell r="E9822" t="str">
            <v>MONTEIRO ARANHA S/A</v>
          </cell>
        </row>
        <row r="9823">
          <cell r="B9823">
            <v>80041</v>
          </cell>
          <cell r="C9823" t="str">
            <v>HAITONG BANCO DE INVESTIMENTO DO BRASIL S/A</v>
          </cell>
          <cell r="D9823" t="str">
            <v>HAITONG BANCO DE INVESTIMENTO DO BRASIL S/A</v>
          </cell>
          <cell r="E9823" t="str">
            <v>HAITONG BANCO DE INVESTIMENTO DO BRASIL S/A</v>
          </cell>
        </row>
        <row r="9824">
          <cell r="B9824">
            <v>80043</v>
          </cell>
          <cell r="C9824" t="str">
            <v>WIMBLEDON INVESTMENT FUND-MELLON SERVIÃ‡OS FINAN DTVM S.A</v>
          </cell>
          <cell r="D9824" t="str">
            <v>WIMBLEDON INVESTMENT FUND-MELLON SERVIÃ‡OS FINAN DTVM S.A</v>
          </cell>
          <cell r="E9824" t="str">
            <v>WIMBLEDON INVESTMENT FUND-MELLON SERVIÃ‡OS FINAN DTVM S.A</v>
          </cell>
        </row>
        <row r="9825">
          <cell r="B9825">
            <v>80044</v>
          </cell>
          <cell r="C9825" t="str">
            <v>OPTIVER V.O.F.</v>
          </cell>
          <cell r="D9825" t="str">
            <v>OPTIVER V.O.F.</v>
          </cell>
          <cell r="E9825" t="str">
            <v>OPTIVER V.O.F.</v>
          </cell>
        </row>
        <row r="9826">
          <cell r="B9826">
            <v>80045</v>
          </cell>
          <cell r="C9826" t="str">
            <v>OPTIVER V.O.F.</v>
          </cell>
          <cell r="D9826" t="str">
            <v>OPTIVER V.O.F.</v>
          </cell>
          <cell r="E9826" t="str">
            <v>OPTIVER V.O.F.</v>
          </cell>
        </row>
        <row r="9827">
          <cell r="B9827">
            <v>79160</v>
          </cell>
          <cell r="C9827" t="str">
            <v>SICREDI FI RENDA FIXA PERFORMANCE LONGO PRAZO</v>
          </cell>
          <cell r="D9827" t="str">
            <v>SICREDI FI RENDA FIXA PERFORMANCE LONGO PRAZO</v>
          </cell>
          <cell r="E9827" t="str">
            <v>BANCO COOPERATIVO SICREDI S/A</v>
          </cell>
        </row>
        <row r="9828">
          <cell r="B9828">
            <v>79125</v>
          </cell>
          <cell r="C9828" t="str">
            <v>IBIUNA MACRO GESTÃƒO DE RECURSOS LTDA</v>
          </cell>
          <cell r="D9828" t="str">
            <v>IBIUNA MACRO GESTÃƒO DE RECURSOS LTDA</v>
          </cell>
          <cell r="E9828" t="str">
            <v>IBIUNA GESTAO DE RECURSOS LTDA</v>
          </cell>
        </row>
        <row r="9829">
          <cell r="B9829">
            <v>144499</v>
          </cell>
          <cell r="C9829" t="str">
            <v>IBIUNA MACRO GESTÃƒO DE RECURSOS LTDA</v>
          </cell>
          <cell r="D9829" t="str">
            <v>IBIUNA MACRO GESTÃƒO DE RECURSOS LTDA</v>
          </cell>
          <cell r="E9829" t="str">
            <v>IBIUNA GESTAO DE RECURSOS LTDA</v>
          </cell>
        </row>
        <row r="9830">
          <cell r="B9830">
            <v>144513</v>
          </cell>
          <cell r="C9830" t="str">
            <v>IBIRAPUERA PERFORMANCE INVESTIMENTOS LTDA</v>
          </cell>
          <cell r="D9830" t="str">
            <v>IBIRAPUERA PERFORMANCE INVESTIMENTOS LTDA</v>
          </cell>
          <cell r="E9830" t="str">
            <v>IBIUNA GESTAO DE RECURSOS LTDA</v>
          </cell>
        </row>
        <row r="9831">
          <cell r="B9831">
            <v>80051</v>
          </cell>
          <cell r="C9831" t="str">
            <v>CAIXA ECONOMICA FEDERAL</v>
          </cell>
          <cell r="D9831" t="str">
            <v>CAIXA ECONOMICA FEDERAL</v>
          </cell>
          <cell r="E9831" t="str">
            <v>CAIXA ECONOMICA FEDERAL</v>
          </cell>
        </row>
        <row r="9832">
          <cell r="B9832">
            <v>80052</v>
          </cell>
          <cell r="C9832" t="str">
            <v>ITAU UNIBANCO S.A.</v>
          </cell>
          <cell r="D9832" t="str">
            <v>ITAU UNIBANCO S.A.</v>
          </cell>
          <cell r="E9832" t="str">
            <v>ITAU UNIBANCO S/A</v>
          </cell>
        </row>
        <row r="9833">
          <cell r="B9833">
            <v>80054</v>
          </cell>
          <cell r="C9833" t="str">
            <v>SOLANA ABSOLUTTO FIM</v>
          </cell>
          <cell r="D9833" t="str">
            <v>SOLANA ABSOLUTTO FIM</v>
          </cell>
          <cell r="E9833" t="str">
            <v>SOLANA GESTORA DE RECURSOS LTDA</v>
          </cell>
        </row>
        <row r="9834">
          <cell r="B9834">
            <v>80055</v>
          </cell>
          <cell r="C9834" t="str">
            <v>SOLANA EQUITY HEDGE FIM</v>
          </cell>
          <cell r="D9834" t="str">
            <v>SOLANA EQUITY HEDGE FIM</v>
          </cell>
          <cell r="E9834" t="str">
            <v>SOLANA GESTORA DE RECURSOS LTDA</v>
          </cell>
        </row>
        <row r="9835">
          <cell r="B9835">
            <v>70146</v>
          </cell>
          <cell r="C9835" t="str">
            <v>CLARITAS HEDGE SPECIAL 30 FIF</v>
          </cell>
          <cell r="D9835" t="str">
            <v>CLARITAS HEDGE SPECIAL 30 FIF</v>
          </cell>
          <cell r="E9835" t="str">
            <v>CLARITAS ADMINISTRAÇÃO DE RECURSOS LTDA</v>
          </cell>
        </row>
        <row r="9836">
          <cell r="B9836">
            <v>80058</v>
          </cell>
          <cell r="C9836" t="str">
            <v>BANCO CARGILL S/A</v>
          </cell>
          <cell r="D9836" t="str">
            <v>BANCO CARGILL S/A</v>
          </cell>
          <cell r="E9836" t="str">
            <v>BANCO CARGILL S/A</v>
          </cell>
        </row>
        <row r="9837">
          <cell r="B9837">
            <v>80059</v>
          </cell>
          <cell r="C9837" t="str">
            <v>KONA FIM CP IE</v>
          </cell>
          <cell r="D9837">
            <v>80059</v>
          </cell>
          <cell r="E9837" t="str">
            <v>MORGAN STANLEY ADMINISTRADORA DE CARTEIRAS S/A</v>
          </cell>
        </row>
        <row r="9838">
          <cell r="B9838">
            <v>80060</v>
          </cell>
          <cell r="C9838" t="str">
            <v>BANCO MORGAN STANLEY S/A</v>
          </cell>
          <cell r="D9838" t="str">
            <v>BANCO MORGAN STANLEY S/A</v>
          </cell>
          <cell r="E9838" t="str">
            <v>BANCO MORGAN STANLEY S/A</v>
          </cell>
        </row>
        <row r="9839">
          <cell r="B9839">
            <v>80061</v>
          </cell>
          <cell r="C9839" t="str">
            <v>FORMULA XVI FIM CP IE</v>
          </cell>
          <cell r="D9839" t="str">
            <v>FORMULA XVI FIM CP IE</v>
          </cell>
          <cell r="E9839" t="str">
            <v>FORMULA XVI FIM CP IE</v>
          </cell>
        </row>
        <row r="9840">
          <cell r="B9840">
            <v>80062</v>
          </cell>
          <cell r="C9840" t="str">
            <v>BANCO MORGAN STANLEY S/A</v>
          </cell>
          <cell r="D9840" t="str">
            <v>BANCO MORGAN STANLEY S/A</v>
          </cell>
          <cell r="E9840" t="str">
            <v>BANCO MORGAN STANLEY S/A</v>
          </cell>
        </row>
        <row r="9841">
          <cell r="B9841">
            <v>80063</v>
          </cell>
          <cell r="C9841" t="str">
            <v>BANCO MORGAN STANLEY S/A</v>
          </cell>
          <cell r="D9841" t="str">
            <v>BANCO MORGAN STANLEY S/A</v>
          </cell>
          <cell r="E9841" t="str">
            <v>BANCO MORGAN STANLEY S/A</v>
          </cell>
        </row>
        <row r="9842">
          <cell r="B9842">
            <v>80064</v>
          </cell>
          <cell r="C9842" t="str">
            <v>KONA FIM CP IE</v>
          </cell>
          <cell r="D9842" t="str">
            <v>KONA FIM CP IE</v>
          </cell>
          <cell r="E9842" t="str">
            <v>MORGAN STANLEY ADMINISTRADORA DE CARTEIRAS S/A</v>
          </cell>
        </row>
        <row r="9843">
          <cell r="B9843">
            <v>80068</v>
          </cell>
          <cell r="C9843" t="str">
            <v>ICONE INVESTIMENTOS LTDA</v>
          </cell>
          <cell r="D9843" t="str">
            <v>ICONE INVESTIMENTOS LTDA</v>
          </cell>
          <cell r="E9843" t="str">
            <v>ICONE INVESTIMENTOS LTDA</v>
          </cell>
        </row>
        <row r="9844">
          <cell r="B9844">
            <v>80069</v>
          </cell>
          <cell r="C9844" t="str">
            <v>JBS S/A</v>
          </cell>
          <cell r="D9844" t="str">
            <v>JBS S/A</v>
          </cell>
          <cell r="E9844" t="str">
            <v>JBS S/A</v>
          </cell>
        </row>
        <row r="9845">
          <cell r="B9845">
            <v>80070</v>
          </cell>
          <cell r="C9845" t="str">
            <v>ASIA FUNDO DE INVESTIMENTO FINANCEIRO</v>
          </cell>
          <cell r="D9845" t="str">
            <v>ASIA FUNDO DE INVESTIMENTO FINANCEIRO</v>
          </cell>
          <cell r="E9845" t="str">
            <v>ASIA FUNDO DE INVESTIMENTO FINANCEIRO</v>
          </cell>
        </row>
        <row r="9846">
          <cell r="B9846">
            <v>80279</v>
          </cell>
          <cell r="C9846" t="str">
            <v>BANCO SANTANDER (BRASIL) S/A</v>
          </cell>
          <cell r="D9846" t="str">
            <v>BANCO SANTANDER (BRASIL) S/A</v>
          </cell>
          <cell r="E9846" t="str">
            <v>BANCO SANTANDER (BRASIL) S/A</v>
          </cell>
        </row>
        <row r="9847">
          <cell r="B9847">
            <v>80280</v>
          </cell>
          <cell r="C9847" t="str">
            <v>BANCO SANTANDER (BRASIL) S/A</v>
          </cell>
          <cell r="D9847" t="str">
            <v>BANCO SANTANDER (BRASIL) S/A</v>
          </cell>
          <cell r="E9847" t="str">
            <v>BANCO SANTANDER (BRASIL) S/A</v>
          </cell>
        </row>
        <row r="9848">
          <cell r="B9848">
            <v>80281</v>
          </cell>
          <cell r="C9848" t="str">
            <v>BANCO SANTANDER (BRASIL) S/A</v>
          </cell>
          <cell r="D9848" t="str">
            <v>BANCO SANTANDER (BRASIL) S/A</v>
          </cell>
          <cell r="E9848" t="str">
            <v>BANCO SANTANDER (BRASIL) S/A</v>
          </cell>
        </row>
        <row r="9849">
          <cell r="B9849">
            <v>80282</v>
          </cell>
          <cell r="C9849" t="str">
            <v>BANCO SANTANDER (BRASIL) S/A</v>
          </cell>
          <cell r="D9849" t="str">
            <v>BANCO SANTANDER (BRASIL) S/A</v>
          </cell>
          <cell r="E9849" t="str">
            <v>BANCO SANTANDER (BRASIL) S/A</v>
          </cell>
        </row>
        <row r="9850">
          <cell r="B9850">
            <v>80283</v>
          </cell>
          <cell r="C9850" t="str">
            <v>BANCO SANTANDER (BRASIL) S/A</v>
          </cell>
          <cell r="D9850" t="str">
            <v>BANCO SANTANDER (BRASIL) S/A</v>
          </cell>
          <cell r="E9850" t="str">
            <v>BANCO SANTANDER (BRASIL) S/A</v>
          </cell>
        </row>
        <row r="9851">
          <cell r="B9851">
            <v>80284</v>
          </cell>
          <cell r="C9851" t="str">
            <v>BANCO SANTANDER (BRASIL) S/A</v>
          </cell>
          <cell r="D9851" t="str">
            <v>BANCO SANTANDER (BRASIL) S/A</v>
          </cell>
          <cell r="E9851" t="str">
            <v>BANCO SANTANDER (BRASIL) S/A</v>
          </cell>
        </row>
        <row r="9852">
          <cell r="B9852">
            <v>80285</v>
          </cell>
          <cell r="C9852" t="str">
            <v>BANCO SANTANDER (BRASIL) S/A</v>
          </cell>
          <cell r="D9852" t="str">
            <v>BANCO SANTANDER (BRASIL) S/A</v>
          </cell>
          <cell r="E9852" t="str">
            <v>BANCO SANTANDER (BRASIL) S/A</v>
          </cell>
        </row>
        <row r="9853">
          <cell r="B9853">
            <v>80286</v>
          </cell>
          <cell r="C9853" t="str">
            <v>BANCO SANTANDER (BRASIL) S/A</v>
          </cell>
          <cell r="D9853" t="str">
            <v>BANCO SANTANDER (BRASIL) S/A</v>
          </cell>
          <cell r="E9853" t="str">
            <v>BANCO SANTANDER (BRASIL) S/A</v>
          </cell>
        </row>
        <row r="9854">
          <cell r="B9854">
            <v>80080</v>
          </cell>
          <cell r="C9854" t="str">
            <v>JBS S/A</v>
          </cell>
          <cell r="D9854" t="str">
            <v>JBS S/A</v>
          </cell>
          <cell r="E9854" t="str">
            <v>JBS S/A</v>
          </cell>
        </row>
        <row r="9855">
          <cell r="B9855">
            <v>80287</v>
          </cell>
          <cell r="C9855" t="str">
            <v>BANCO SANTANDER (BRASIL) S/A</v>
          </cell>
          <cell r="D9855" t="str">
            <v>BANCO SANTANDER (BRASIL) S/A</v>
          </cell>
          <cell r="E9855" t="str">
            <v>BANCO SANTANDER (BRASIL) S/A</v>
          </cell>
        </row>
        <row r="9856">
          <cell r="B9856">
            <v>80082</v>
          </cell>
          <cell r="C9856" t="str">
            <v>FIA STRATOSPHERE</v>
          </cell>
          <cell r="D9856" t="str">
            <v>FIA STRATOSPHERE</v>
          </cell>
          <cell r="E9856" t="str">
            <v>AGUILA CAPITAL ADM E GESTAO DE CAPITAIS LTDA</v>
          </cell>
        </row>
        <row r="9857">
          <cell r="B9857">
            <v>80083</v>
          </cell>
          <cell r="C9857" t="str">
            <v>NOVUS ACOES INSTITUCIONAL MASTER FIA</v>
          </cell>
          <cell r="D9857" t="str">
            <v>NOVUS ACOES INSTITUCIONAL MASTER FIA</v>
          </cell>
          <cell r="E9857" t="str">
            <v>NOVUS CAPITAL GESTORA DE RECURSOS LTDA</v>
          </cell>
        </row>
        <row r="9858">
          <cell r="B9858">
            <v>80084</v>
          </cell>
          <cell r="C9858" t="str">
            <v>NEO NAVITAS MASTER FIA</v>
          </cell>
          <cell r="D9858" t="str">
            <v>NEO NAVITAS MASTER FIA</v>
          </cell>
          <cell r="E9858" t="str">
            <v>NEO GESTÃO DE RECURSOS LTDA</v>
          </cell>
        </row>
        <row r="9859">
          <cell r="B9859">
            <v>80085</v>
          </cell>
          <cell r="C9859" t="str">
            <v>AGRICOLA PONTE ALTA LTDA</v>
          </cell>
          <cell r="D9859" t="str">
            <v>AGRICOLA PONTE ALTA LTDA</v>
          </cell>
          <cell r="E9859" t="str">
            <v>AGRICOLA PONTE ALTA LTDA</v>
          </cell>
        </row>
        <row r="9860">
          <cell r="B9860">
            <v>80086</v>
          </cell>
          <cell r="C9860" t="str">
            <v>DYNAMO BRASIL IX LLC</v>
          </cell>
          <cell r="D9860" t="str">
            <v>DYNAMO BRASIL IX LLC</v>
          </cell>
          <cell r="E9860" t="str">
            <v>DYNAMO ADMINISTRACAO DE RECURSOS LTDA</v>
          </cell>
        </row>
        <row r="9861">
          <cell r="B9861">
            <v>80087</v>
          </cell>
          <cell r="C9861" t="str">
            <v>DYNAMO BRASIL I LLC</v>
          </cell>
          <cell r="D9861" t="str">
            <v>DYNAMO BRASIL I LLC</v>
          </cell>
          <cell r="E9861" t="str">
            <v>DYNAMO ADMINISTRACAO DE RECURSOS LTDA</v>
          </cell>
        </row>
        <row r="9862">
          <cell r="B9862">
            <v>80088</v>
          </cell>
          <cell r="C9862" t="str">
            <v>DYNAMO BRASIL II LLC</v>
          </cell>
          <cell r="D9862" t="str">
            <v>DYNAMO BRASIL II LLC</v>
          </cell>
          <cell r="E9862" t="str">
            <v>DYNAMO ADMINISTRACAO DE RECURSOS LTDA</v>
          </cell>
        </row>
        <row r="9863">
          <cell r="B9863">
            <v>80089</v>
          </cell>
          <cell r="C9863" t="str">
            <v>DYNAMO BRASIL III LLC</v>
          </cell>
          <cell r="D9863" t="str">
            <v>DYNAMO BRASIL III LLC</v>
          </cell>
          <cell r="E9863" t="str">
            <v>DYNAMO ADMINISTRACAO DE RECURSOS LTDA</v>
          </cell>
        </row>
        <row r="9864">
          <cell r="B9864">
            <v>80090</v>
          </cell>
          <cell r="C9864" t="str">
            <v>DYNAMO BRASIL V LLC</v>
          </cell>
          <cell r="D9864" t="str">
            <v>DYNAMO BRASIL V LLC</v>
          </cell>
          <cell r="E9864" t="str">
            <v>DYNAMO ADMINISTRACAO DE RECURSOS LTDA</v>
          </cell>
        </row>
        <row r="9865">
          <cell r="B9865">
            <v>80091</v>
          </cell>
          <cell r="C9865" t="str">
            <v>DYNAMO BRASIL VI LLC</v>
          </cell>
          <cell r="D9865" t="str">
            <v>DYNAMO BRASIL VI LLC</v>
          </cell>
          <cell r="E9865" t="str">
            <v>DYNAMO ADMINISTRACAO DE RECURSOS LTDA</v>
          </cell>
        </row>
        <row r="9866">
          <cell r="B9866">
            <v>80092</v>
          </cell>
          <cell r="C9866" t="str">
            <v>DYNAMO BRASIL VIII LLC</v>
          </cell>
          <cell r="D9866" t="str">
            <v>DYNAMO BRASIL VIII LLC</v>
          </cell>
          <cell r="E9866" t="str">
            <v>DYNAMO ADMINISTRACAO DE RECURSOS LTDA</v>
          </cell>
        </row>
        <row r="9867">
          <cell r="B9867">
            <v>80093</v>
          </cell>
          <cell r="C9867" t="str">
            <v>KEMNAY DYBRA LLC</v>
          </cell>
          <cell r="D9867" t="str">
            <v>KEMNAY DYBRA LLC</v>
          </cell>
          <cell r="E9867" t="str">
            <v>KEMNAY DYBRA LLC</v>
          </cell>
        </row>
        <row r="9868">
          <cell r="B9868">
            <v>80094</v>
          </cell>
          <cell r="C9868" t="str">
            <v>BGC BRAZIL HOLDING LLC</v>
          </cell>
          <cell r="D9868" t="str">
            <v>BGC BRAZIL HOLDING LLC</v>
          </cell>
          <cell r="E9868" t="str">
            <v>BGC BRAZIL HOLDING LLC</v>
          </cell>
        </row>
        <row r="9869">
          <cell r="B9869">
            <v>80095</v>
          </cell>
          <cell r="C9869" t="str">
            <v>BGC BRAZIL HOLDINGS LIMITADA</v>
          </cell>
          <cell r="D9869" t="str">
            <v>BGC BRAZIL HOLDINGS LIMITADA</v>
          </cell>
          <cell r="E9869" t="str">
            <v>BGC BRAZIL HOLDINGS LIMITADA</v>
          </cell>
        </row>
        <row r="9870">
          <cell r="B9870">
            <v>80096</v>
          </cell>
          <cell r="C9870" t="str">
            <v>ALASKA BLACK INSTITUCIONAL FIA</v>
          </cell>
          <cell r="D9870" t="str">
            <v>ALASKA BLACK INSTITUCIONAL FIA</v>
          </cell>
          <cell r="E9870" t="str">
            <v>ALASKA INVESTIMENTOS LTDA</v>
          </cell>
        </row>
        <row r="9871">
          <cell r="B9871">
            <v>80097</v>
          </cell>
          <cell r="C9871" t="str">
            <v>AMSTERDAM FIA</v>
          </cell>
          <cell r="D9871" t="str">
            <v>AMSTERDAM FIA</v>
          </cell>
          <cell r="E9871" t="str">
            <v>ALASKA INVESTIMENTOS LTDA</v>
          </cell>
        </row>
        <row r="9872">
          <cell r="B9872">
            <v>80098</v>
          </cell>
          <cell r="C9872" t="str">
            <v>ADAK FIA IE</v>
          </cell>
          <cell r="D9872" t="str">
            <v>ADAK FIA IE</v>
          </cell>
          <cell r="E9872" t="str">
            <v>ALASKA INVESTIMENTOS LTDA</v>
          </cell>
        </row>
        <row r="9873">
          <cell r="B9873">
            <v>80099</v>
          </cell>
          <cell r="C9873" t="str">
            <v>ATKA FIA IE</v>
          </cell>
          <cell r="D9873" t="str">
            <v>ATKA FIA IE</v>
          </cell>
          <cell r="E9873" t="str">
            <v>ALASKA INVESTIMENTOS LTDA</v>
          </cell>
        </row>
        <row r="9874">
          <cell r="B9874">
            <v>80100</v>
          </cell>
          <cell r="C9874" t="str">
            <v>OCEANIA FIM IE</v>
          </cell>
          <cell r="D9874" t="str">
            <v>OCEANIA FIM IE</v>
          </cell>
          <cell r="E9874" t="str">
            <v>MORGAN STANLEY ADMINISTRADORA DE CARTEIRAS S/A</v>
          </cell>
        </row>
        <row r="9875">
          <cell r="B9875">
            <v>80101</v>
          </cell>
          <cell r="C9875" t="str">
            <v>RAIZEN ENERGIA S.A.</v>
          </cell>
          <cell r="D9875" t="str">
            <v>RAIZEN ENERGIA S.A.</v>
          </cell>
          <cell r="E9875" t="str">
            <v>RAIZEN CENTRO SUL SA</v>
          </cell>
        </row>
        <row r="9876">
          <cell r="B9876">
            <v>80102</v>
          </cell>
          <cell r="C9876" t="str">
            <v>ABSOLUTE VERTEX MASTER FIM</v>
          </cell>
          <cell r="D9876" t="str">
            <v>ABSOLUTE VERTEX MASTER FIM</v>
          </cell>
          <cell r="E9876" t="str">
            <v>ABSOLUTE GESTAO DE INVESTIMENTOS LTDA</v>
          </cell>
        </row>
        <row r="9877">
          <cell r="B9877">
            <v>80103</v>
          </cell>
          <cell r="C9877" t="str">
            <v>JIVE ASSET GESTAO DE RECURSOS LTDA</v>
          </cell>
          <cell r="D9877" t="str">
            <v>JIVE ASSET GESTAO DE RECURSOS LTDA</v>
          </cell>
          <cell r="E9877" t="str">
            <v>JIVE ASSET GESTÃO DE RECURSOS LTDA</v>
          </cell>
        </row>
        <row r="9878">
          <cell r="B9878">
            <v>80104</v>
          </cell>
          <cell r="C9878" t="str">
            <v>IRB INVESTIMENTOS E PARTICIPAÃ‡Ã•ES IMOBILIARIAS S.A</v>
          </cell>
          <cell r="D9878" t="str">
            <v>IRB INVESTIMENTOS E PARTICIPAÃ‡Ã•ES IMOBILIARIAS S.A</v>
          </cell>
          <cell r="E9878" t="str">
            <v>IRB INVESTIMENTOS E PARTICIPAÃ‡Ã•ES IMOBILIARIAS S.A</v>
          </cell>
        </row>
        <row r="9879">
          <cell r="B9879">
            <v>80105</v>
          </cell>
          <cell r="C9879" t="str">
            <v>POLO CAPITAL GESTÃƒO DE RECURSOS LTDA</v>
          </cell>
          <cell r="D9879" t="str">
            <v>POLO CAPITAL GESTÃƒO DE RECURSOS LTDA</v>
          </cell>
          <cell r="E9879" t="str">
            <v>POLO CAPITAL GESTÃO DE RECURSOS LTDA</v>
          </cell>
        </row>
        <row r="9880">
          <cell r="B9880">
            <v>80106</v>
          </cell>
          <cell r="C9880" t="str">
            <v>ITAU UNIBANCO S.A.</v>
          </cell>
          <cell r="D9880" t="str">
            <v>ITAU UNIBANCO S.A.</v>
          </cell>
          <cell r="E9880" t="str">
            <v>ITAU UNIBANCO S/A</v>
          </cell>
        </row>
        <row r="9881">
          <cell r="B9881">
            <v>80108</v>
          </cell>
          <cell r="C9881" t="str">
            <v>MONGERAL AEGON INVESTIMENTOS LTDA</v>
          </cell>
          <cell r="D9881" t="str">
            <v>MONGERAL AEGON INVESTIMENTOS LTDA</v>
          </cell>
          <cell r="E9881" t="str">
            <v>MONGERAL AEGON INVESTIMENTOS LTDA</v>
          </cell>
        </row>
        <row r="9882">
          <cell r="B9882">
            <v>80109</v>
          </cell>
          <cell r="C9882" t="str">
            <v>MONGERAL AEGON SEGUROS E PREVIDENCIA S/A</v>
          </cell>
          <cell r="D9882" t="str">
            <v>MONGERAL AEGON SEGUROS E PREVIDENCIA S/A</v>
          </cell>
          <cell r="E9882" t="str">
            <v>MONGERAL AEGON INVESTIMENTOS LTDA</v>
          </cell>
        </row>
        <row r="9883">
          <cell r="B9883">
            <v>80112</v>
          </cell>
          <cell r="C9883" t="str">
            <v>BB GESTAO DE RECURSOS DTVM LTDA</v>
          </cell>
          <cell r="D9883" t="str">
            <v>BB GESTAO DE RECURSOS DTVM LTDA</v>
          </cell>
          <cell r="E9883" t="str">
            <v>BB GESTAO DE RECURSOS DTVM LTDA</v>
          </cell>
        </row>
        <row r="9884">
          <cell r="B9884">
            <v>80113</v>
          </cell>
          <cell r="C9884" t="str">
            <v>FLORAL FIM CP</v>
          </cell>
          <cell r="D9884" t="str">
            <v>FLORAL FIM CP</v>
          </cell>
          <cell r="E9884" t="str">
            <v>FLORAL FIM CP</v>
          </cell>
        </row>
        <row r="9885">
          <cell r="B9885">
            <v>80114</v>
          </cell>
          <cell r="C9885" t="str">
            <v>OUTSOURCE FIM CP</v>
          </cell>
          <cell r="D9885" t="str">
            <v>OUTSOURCE FIM CP</v>
          </cell>
          <cell r="E9885" t="str">
            <v>OUTSOURCE FIM CP</v>
          </cell>
        </row>
        <row r="9886">
          <cell r="B9886">
            <v>80115</v>
          </cell>
          <cell r="C9886" t="str">
            <v>LACAN INVESTIMENTOS E PARTICIPACOES LTDA</v>
          </cell>
          <cell r="D9886" t="str">
            <v>LACAN INVESTIMENTOS E PARTICIPACOES LTDA</v>
          </cell>
          <cell r="E9886" t="str">
            <v>LACAN INVESTIMENTOS E PARTICIPACOES LTDA</v>
          </cell>
        </row>
        <row r="9887">
          <cell r="B9887">
            <v>80116</v>
          </cell>
          <cell r="C9887" t="str">
            <v>OCTANTE GESTAO DE RECURSOS LTDA</v>
          </cell>
          <cell r="D9887" t="str">
            <v>OCTANTE GESTAO DE RECURSOS LTDA</v>
          </cell>
          <cell r="E9887" t="str">
            <v>OCTANTE GESTAO DE RECURSOS LTDA</v>
          </cell>
        </row>
        <row r="9888">
          <cell r="B9888">
            <v>80117</v>
          </cell>
          <cell r="C9888" t="str">
            <v>GRADUAL CCTVM S/A</v>
          </cell>
          <cell r="D9888" t="str">
            <v>GRADUAL CCTVM S/A</v>
          </cell>
          <cell r="E9888" t="str">
            <v>GRADUAL CCTVM S/A</v>
          </cell>
        </row>
        <row r="9889">
          <cell r="B9889">
            <v>80118</v>
          </cell>
          <cell r="C9889" t="str">
            <v>UJAY CAPITAL INVESTIMENTOS LTDA.</v>
          </cell>
          <cell r="D9889" t="str">
            <v>UJAY CAPITAL INVESTIMENTOS LTDA.</v>
          </cell>
          <cell r="E9889" t="str">
            <v>UJAY CAPITAL INVESTIMENTOS LTDA</v>
          </cell>
        </row>
        <row r="9890">
          <cell r="B9890">
            <v>80121</v>
          </cell>
          <cell r="C9890" t="str">
            <v>VISTA CAPITAL GESTORA DE RECURSOS LTDA.</v>
          </cell>
          <cell r="D9890" t="str">
            <v>VISTA CAPITAL GESTORA DE RECURSOS LTDA.</v>
          </cell>
          <cell r="E9890" t="str">
            <v>VISTA CAPITAL GESTORA DE RECURSOS LTDA</v>
          </cell>
        </row>
        <row r="9891">
          <cell r="B9891">
            <v>80122</v>
          </cell>
          <cell r="C9891" t="str">
            <v>VISTA MULTIESTRATEGIA FIM</v>
          </cell>
          <cell r="D9891" t="str">
            <v>VISTA MULTIESTRATEGIA FIM</v>
          </cell>
          <cell r="E9891" t="str">
            <v>VISTA CAPITAL GESTORA DE RECURSOS LTDA</v>
          </cell>
        </row>
        <row r="9892">
          <cell r="B9892">
            <v>80123</v>
          </cell>
          <cell r="C9892" t="str">
            <v>PNBY GESTORA DE RECURSOS LTDA</v>
          </cell>
          <cell r="D9892" t="str">
            <v>PNBY GESTORA DE RECURSOS LTDA</v>
          </cell>
          <cell r="E9892" t="str">
            <v>PNBY GESTORA DE RECURSOS LTDA</v>
          </cell>
        </row>
        <row r="9893">
          <cell r="B9893">
            <v>80124</v>
          </cell>
          <cell r="C9893" t="str">
            <v>TRUXT INVESTIMENTOS LTDA</v>
          </cell>
          <cell r="D9893" t="str">
            <v>TRUXT INVESTIMENTOS LTDA</v>
          </cell>
          <cell r="E9893" t="str">
            <v>TRUXT INVESTIMENTOS LTDA</v>
          </cell>
        </row>
        <row r="9894">
          <cell r="B9894">
            <v>80125</v>
          </cell>
          <cell r="C9894" t="str">
            <v>TRG EMERGING MARKET LOCAL DEBT MASTER FUND, LTD</v>
          </cell>
          <cell r="D9894" t="str">
            <v>TRG EMERGING MARKET LOCAL DEBT MASTER FUND, LTD</v>
          </cell>
          <cell r="E9894" t="str">
            <v>TRG EMERGING MARKET LOCAL DEBT MASTER FUND, LTD</v>
          </cell>
        </row>
        <row r="9895">
          <cell r="B9895">
            <v>80126</v>
          </cell>
          <cell r="C9895" t="str">
            <v>TRG GLOBAL MACRO FUND, LTD</v>
          </cell>
          <cell r="D9895" t="str">
            <v>TRG GLOBAL MACRO FUND, LTD</v>
          </cell>
          <cell r="E9895" t="str">
            <v>TRG GLOBAL MACRO FUND, LTD</v>
          </cell>
        </row>
        <row r="9896">
          <cell r="B9896">
            <v>80127</v>
          </cell>
          <cell r="C9896" t="str">
            <v>ABSOLUTE VERTEX MASTER FIM</v>
          </cell>
          <cell r="D9896" t="str">
            <v>ABSOLUTE VERTEX MASTER FIM</v>
          </cell>
          <cell r="E9896" t="str">
            <v>ABSOLUTE GESTAO DE INVESTIMENTOS LTDA</v>
          </cell>
        </row>
        <row r="9897">
          <cell r="B9897">
            <v>80128</v>
          </cell>
          <cell r="C9897" t="str">
            <v>ABSOLUTE HEDGE MASTER FIM</v>
          </cell>
          <cell r="D9897" t="str">
            <v>ABSOLUTE HEDGE MASTER FIM</v>
          </cell>
          <cell r="E9897" t="str">
            <v>ABSOLUTE GESTAO DE INVESTIMENTOS LTDA</v>
          </cell>
        </row>
        <row r="9898">
          <cell r="B9898">
            <v>80129</v>
          </cell>
          <cell r="C9898" t="str">
            <v>ORQUIDEA FIM CP IE</v>
          </cell>
          <cell r="D9898" t="str">
            <v>ORQUIDEA FIM CP IE</v>
          </cell>
          <cell r="E9898" t="str">
            <v>ORQUIDEA FIM CP IE</v>
          </cell>
        </row>
        <row r="9899">
          <cell r="B9899">
            <v>80288</v>
          </cell>
          <cell r="C9899" t="str">
            <v>BANCO SANTANDER (BRASIL) S/A</v>
          </cell>
          <cell r="D9899" t="str">
            <v>BANCO SANTANDER (BRASIL) S/A</v>
          </cell>
          <cell r="E9899" t="str">
            <v>BANCO SANTANDER (BRASIL) S/A</v>
          </cell>
        </row>
        <row r="9900">
          <cell r="B9900">
            <v>80131</v>
          </cell>
          <cell r="C9900" t="str">
            <v>R&amp;C PLUS FIM</v>
          </cell>
          <cell r="D9900" t="str">
            <v>R&amp;C PLUS FIM</v>
          </cell>
          <cell r="E9900" t="str">
            <v>MATERA RC GESTÃƒO DE RECURSOS LTDA</v>
          </cell>
        </row>
        <row r="9901">
          <cell r="B9901">
            <v>80133</v>
          </cell>
          <cell r="C9901" t="str">
            <v>ARGUCIA QUARK FIF MULT RL</v>
          </cell>
          <cell r="D9901" t="str">
            <v>ARGUCIA QUARK FIF MULT RL</v>
          </cell>
          <cell r="E9901" t="str">
            <v>ARGUCIA CAPITAL GESTAO DE RECURSOS LTDA</v>
          </cell>
        </row>
        <row r="9902">
          <cell r="B9902">
            <v>80134</v>
          </cell>
          <cell r="C9902" t="str">
            <v>MERCURY DERIVATIVES TRADING LIMITED</v>
          </cell>
          <cell r="D9902" t="str">
            <v>MERCURY DERIVATIVES TRADING LIMITED</v>
          </cell>
          <cell r="E9902" t="str">
            <v>MERCURY DERIVATIVES TRADING LIMITED</v>
          </cell>
        </row>
        <row r="9903">
          <cell r="B9903">
            <v>80135</v>
          </cell>
          <cell r="C9903" t="str">
            <v>MERCURY DERIVATIVES TRADING LIMITED</v>
          </cell>
          <cell r="D9903" t="str">
            <v>MERCURY DERIVATIVES TRADING LIMITED</v>
          </cell>
          <cell r="E9903" t="str">
            <v>MERCURY DERIVATIVES TRADING LIMITED</v>
          </cell>
        </row>
        <row r="9904">
          <cell r="B9904">
            <v>80136</v>
          </cell>
          <cell r="C9904" t="str">
            <v>MERCURY DERIVATIVES TRADING LIMITED</v>
          </cell>
          <cell r="D9904" t="str">
            <v>MERCURY DERIVATIVES TRADING LIMITED</v>
          </cell>
          <cell r="E9904" t="str">
            <v>MERCURY DERIVATIVES TRADING LIMITED</v>
          </cell>
        </row>
        <row r="9905">
          <cell r="B9905">
            <v>80137</v>
          </cell>
          <cell r="C9905" t="str">
            <v>MERCURY DERIVATIVES TRADING LIMITED</v>
          </cell>
          <cell r="D9905" t="str">
            <v>MERCURY DERIVATIVES TRADING LIMITED</v>
          </cell>
          <cell r="E9905" t="str">
            <v>MERCURY DERIVATIVES TRADING LIMITED</v>
          </cell>
        </row>
        <row r="9906">
          <cell r="B9906">
            <v>80138</v>
          </cell>
          <cell r="C9906" t="str">
            <v>MERCURY DERIVATIVES TRADING LIMITED</v>
          </cell>
          <cell r="D9906" t="str">
            <v>MERCURY DERIVATIVES TRADING LIMITED</v>
          </cell>
          <cell r="E9906" t="str">
            <v>MERCURY DERIVATIVES TRADING LIMITED</v>
          </cell>
        </row>
        <row r="9907">
          <cell r="B9907">
            <v>80139</v>
          </cell>
          <cell r="C9907" t="str">
            <v>MERCURY DERIVATIVES TRADING LIMITED</v>
          </cell>
          <cell r="D9907" t="str">
            <v>MERCURY DERIVATIVES TRADING LIMITED</v>
          </cell>
          <cell r="E9907" t="str">
            <v>MERCURY DERIVATIVES TRADING LIMITED</v>
          </cell>
        </row>
        <row r="9908">
          <cell r="B9908">
            <v>80140</v>
          </cell>
          <cell r="C9908" t="str">
            <v>MERCURY DERIVATIVES TRADING LIMITED</v>
          </cell>
          <cell r="D9908" t="str">
            <v>MERCURY DERIVATIVES TRADING LIMITED</v>
          </cell>
          <cell r="E9908" t="str">
            <v>MERCURY DERIVATIVES TRADING LIMITED</v>
          </cell>
        </row>
        <row r="9909">
          <cell r="B9909">
            <v>80141</v>
          </cell>
          <cell r="C9909" t="str">
            <v>CONTINUOS FIM CP IE</v>
          </cell>
          <cell r="D9909" t="str">
            <v>CONTINUOS FIM CP IE</v>
          </cell>
          <cell r="E9909" t="str">
            <v>MILENIO CAPITAL GESTAO DE INVESTIMENTOS LTDA</v>
          </cell>
        </row>
        <row r="9910">
          <cell r="B9910">
            <v>80142</v>
          </cell>
          <cell r="C9910" t="str">
            <v>INDIE CAPITAL INVESTIMENTOS LTDA</v>
          </cell>
          <cell r="D9910" t="str">
            <v>INDIE CAPITAL INVESTIMENTOS LTDA</v>
          </cell>
          <cell r="E9910" t="str">
            <v>INDIE CAPITAL INVESTIMENTOS LTDA</v>
          </cell>
        </row>
        <row r="9911">
          <cell r="B9911">
            <v>80144</v>
          </cell>
          <cell r="C9911" t="str">
            <v>ITATIAIA MASTER FIM IE</v>
          </cell>
          <cell r="D9911" t="str">
            <v>ITATIAIA MASTER FIM IE</v>
          </cell>
          <cell r="E9911" t="str">
            <v>BW GESTAO DE INVESTIMENTOS LTDA</v>
          </cell>
        </row>
        <row r="9912">
          <cell r="B9912">
            <v>80145</v>
          </cell>
          <cell r="C9912" t="str">
            <v>ALENTEJO FIM CP</v>
          </cell>
          <cell r="D9912" t="str">
            <v>ALENTEJO FIM CP</v>
          </cell>
          <cell r="E9912" t="str">
            <v>ALENTEJO FIM CP</v>
          </cell>
        </row>
        <row r="9913">
          <cell r="B9913">
            <v>80146</v>
          </cell>
          <cell r="C9913" t="str">
            <v>GERES FIM CP IE</v>
          </cell>
          <cell r="D9913" t="str">
            <v>GERES FIM CP IE</v>
          </cell>
          <cell r="E9913" t="str">
            <v>BW GESTAO DE INVESTIMENTOS LTDA</v>
          </cell>
        </row>
        <row r="9914">
          <cell r="B9914">
            <v>80147</v>
          </cell>
          <cell r="C9914" t="str">
            <v>FARO FIM CP IE</v>
          </cell>
          <cell r="D9914" t="str">
            <v>FARO FIM CP IE</v>
          </cell>
          <cell r="E9914" t="str">
            <v>FARO FIM CP IE</v>
          </cell>
        </row>
        <row r="9915">
          <cell r="B9915">
            <v>80148</v>
          </cell>
          <cell r="C9915" t="str">
            <v>SOBRAL FIM CP IE</v>
          </cell>
          <cell r="D9915" t="str">
            <v>SOBRAL FIM CP IE</v>
          </cell>
          <cell r="E9915" t="str">
            <v>SOBRAL FIM CP IE</v>
          </cell>
        </row>
        <row r="9916">
          <cell r="B9916">
            <v>80149</v>
          </cell>
          <cell r="C9916" t="str">
            <v>OUTEIRO FIM CP IE</v>
          </cell>
          <cell r="D9916" t="str">
            <v>OUTEIRO FIM CP IE</v>
          </cell>
          <cell r="E9916" t="str">
            <v>OUTEIRO FIM CP IE</v>
          </cell>
        </row>
        <row r="9917">
          <cell r="B9917">
            <v>80150</v>
          </cell>
          <cell r="C9917" t="str">
            <v>RIBEIRA FIM CP IE</v>
          </cell>
          <cell r="D9917" t="str">
            <v>RIBEIRA FIM CP IE</v>
          </cell>
          <cell r="E9917" t="str">
            <v>RIBEIRA FIM CP IE</v>
          </cell>
        </row>
        <row r="9918">
          <cell r="B9918">
            <v>80151</v>
          </cell>
          <cell r="C9918" t="str">
            <v>LEIRIA FIM CP IE</v>
          </cell>
          <cell r="D9918" t="str">
            <v>LEIRIA FIM CP IE</v>
          </cell>
          <cell r="E9918" t="str">
            <v>LEIRIA FIM CP IE</v>
          </cell>
        </row>
        <row r="9919">
          <cell r="B9919">
            <v>80152</v>
          </cell>
          <cell r="C9919" t="str">
            <v>LISBOA FIM CP IE</v>
          </cell>
          <cell r="D9919" t="str">
            <v>LISBOA FIM CP IE</v>
          </cell>
          <cell r="E9919" t="str">
            <v>BW GESTAO DE INVESTIMENTOS LTDA</v>
          </cell>
        </row>
        <row r="9920">
          <cell r="B9920">
            <v>80153</v>
          </cell>
          <cell r="C9920" t="str">
            <v>PORTO FIM CP IE</v>
          </cell>
          <cell r="D9920" t="str">
            <v>PORTO FIM CP IE</v>
          </cell>
          <cell r="E9920" t="str">
            <v>BW GESTAO DE INVESTIMENTOS LTDA</v>
          </cell>
        </row>
        <row r="9921">
          <cell r="B9921">
            <v>80154</v>
          </cell>
          <cell r="C9921" t="str">
            <v>AMARANTE FIM CP IE</v>
          </cell>
          <cell r="D9921" t="str">
            <v>AMARANTE FIM CP IE</v>
          </cell>
          <cell r="E9921" t="str">
            <v>BW GESTAO DE INVESTIMENTOS LTDA</v>
          </cell>
        </row>
        <row r="9922">
          <cell r="B9922">
            <v>80155</v>
          </cell>
          <cell r="C9922" t="str">
            <v>XMZ FIM CP IE</v>
          </cell>
          <cell r="D9922" t="str">
            <v>XMZ FIM CP IE</v>
          </cell>
          <cell r="E9922" t="str">
            <v>XMZ FIM CP IE</v>
          </cell>
        </row>
        <row r="9923">
          <cell r="B9923">
            <v>80156</v>
          </cell>
          <cell r="C9923" t="str">
            <v>TMJ IMA-B FI RF</v>
          </cell>
          <cell r="D9923" t="str">
            <v>TMJ IMA-B FI RF</v>
          </cell>
          <cell r="E9923" t="str">
            <v>TMJ IMA-B FI RF</v>
          </cell>
        </row>
        <row r="9924">
          <cell r="B9924">
            <v>80157</v>
          </cell>
          <cell r="C9924" t="str">
            <v>TMJ CAPITAL JURO REAL FI RF</v>
          </cell>
          <cell r="D9924" t="str">
            <v>TMJ CAPITAL JURO REAL FI RF</v>
          </cell>
          <cell r="E9924" t="str">
            <v>TMJ CAPITAL JURO REAL FI RF</v>
          </cell>
        </row>
        <row r="9925">
          <cell r="B9925">
            <v>80158</v>
          </cell>
          <cell r="C9925" t="str">
            <v>KRONOS ABSOLUT RETURN LP FIM</v>
          </cell>
          <cell r="D9925" t="str">
            <v>KRONOS ABSOLUT RETURN LP FIM</v>
          </cell>
          <cell r="E9925" t="str">
            <v>GRIMPER CAPITAL GESTORA DE RECURSOS LTDA</v>
          </cell>
        </row>
        <row r="9926">
          <cell r="B9926">
            <v>80159</v>
          </cell>
          <cell r="C9926" t="str">
            <v>SOCIETE GENERALE (PARIS)</v>
          </cell>
          <cell r="D9926" t="str">
            <v>SOCIETE GENERALE (PARIS)</v>
          </cell>
          <cell r="E9926" t="str">
            <v>BANCO SOCIETE GENERALE BRASIL S/A</v>
          </cell>
        </row>
        <row r="9927">
          <cell r="B9927">
            <v>80160</v>
          </cell>
          <cell r="C9927" t="str">
            <v>ARCOBALENO FIM CP IE</v>
          </cell>
          <cell r="D9927" t="str">
            <v>ARCOBALENO FIM CP IE</v>
          </cell>
          <cell r="E9927" t="str">
            <v>WRIGHT CAPITAL GESTAO DE RECURSOS LTDA</v>
          </cell>
        </row>
        <row r="9928">
          <cell r="B9928">
            <v>80161</v>
          </cell>
          <cell r="C9928" t="str">
            <v>ASTAPOVO FIM CP IE</v>
          </cell>
          <cell r="D9928" t="str">
            <v>ASTAPOVO FIM CP IE</v>
          </cell>
          <cell r="E9928" t="str">
            <v>WRIGHT CAPITAL GESTAO DE RECURSOS LTDA</v>
          </cell>
        </row>
        <row r="9929">
          <cell r="B9929">
            <v>80162</v>
          </cell>
          <cell r="C9929" t="str">
            <v>ASTORGA FIM CP IE</v>
          </cell>
          <cell r="D9929" t="str">
            <v>ASTORGA FIM CP IE</v>
          </cell>
          <cell r="E9929" t="str">
            <v>WRIGHT CAPITAL GESTAO DE RECURSOS LTDA</v>
          </cell>
        </row>
        <row r="9930">
          <cell r="B9930">
            <v>80163</v>
          </cell>
          <cell r="C9930" t="str">
            <v>AUGURI FIM CP IE</v>
          </cell>
          <cell r="D9930" t="str">
            <v>AUGURI FIM CP IE</v>
          </cell>
          <cell r="E9930" t="str">
            <v>WRIGHT CAPITAL GESTAO DE RECURSOS LTDA</v>
          </cell>
        </row>
        <row r="9931">
          <cell r="B9931">
            <v>80164</v>
          </cell>
          <cell r="C9931" t="str">
            <v>ELECTRA FIM CP IE</v>
          </cell>
          <cell r="D9931" t="str">
            <v>ELECTRA FIM CP IE</v>
          </cell>
          <cell r="E9931" t="str">
            <v>WRIGHT CAPITAL GESTAO DE RECURSOS LTDA</v>
          </cell>
        </row>
        <row r="9932">
          <cell r="B9932">
            <v>80165</v>
          </cell>
          <cell r="C9932" t="str">
            <v>GENIAL FIM CP IE</v>
          </cell>
          <cell r="D9932" t="str">
            <v>GENIAL FIM CP IE</v>
          </cell>
          <cell r="E9932" t="str">
            <v>WRIGHT CAPITAL GESTAO DE RECURSOS LTDA</v>
          </cell>
        </row>
        <row r="9933">
          <cell r="B9933">
            <v>80166</v>
          </cell>
          <cell r="C9933" t="str">
            <v>HEIDELBERG FIM CP IE</v>
          </cell>
          <cell r="D9933" t="str">
            <v>HEIDELBERG FIM CP IE</v>
          </cell>
          <cell r="E9933" t="str">
            <v>WRIGHT CAPITAL GESTAO DE RECURSOS LTDA</v>
          </cell>
        </row>
        <row r="9934">
          <cell r="B9934">
            <v>80167</v>
          </cell>
          <cell r="C9934" t="str">
            <v>LUZES FIM CP IE</v>
          </cell>
          <cell r="D9934" t="str">
            <v>LUZES FIM CP IE</v>
          </cell>
          <cell r="E9934" t="str">
            <v>WRIGHT CAPITAL GESTAO DE RECURSOS LTDA</v>
          </cell>
        </row>
        <row r="9935">
          <cell r="B9935">
            <v>80168</v>
          </cell>
          <cell r="C9935" t="str">
            <v>MESTICO FIC FIM CP</v>
          </cell>
          <cell r="D9935" t="str">
            <v>MESTICO FIC FIM CP</v>
          </cell>
          <cell r="E9935" t="str">
            <v>WRIGHT CAPITAL GESTAO DE RECURSOS LTDA</v>
          </cell>
        </row>
        <row r="9936">
          <cell r="B9936">
            <v>80169</v>
          </cell>
          <cell r="C9936" t="str">
            <v>TUPINAMBA FIM CP IE</v>
          </cell>
          <cell r="D9936" t="str">
            <v>TUPINAMBA FIM CP IE</v>
          </cell>
          <cell r="E9936" t="str">
            <v>WRIGHT CAPITAL GESTAO DE RECURSOS LTDA</v>
          </cell>
        </row>
        <row r="9937">
          <cell r="B9937">
            <v>80170</v>
          </cell>
          <cell r="C9937" t="str">
            <v>TXAI FIM CP IE</v>
          </cell>
          <cell r="D9937" t="str">
            <v>TXAI FIM CP IE</v>
          </cell>
          <cell r="E9937" t="str">
            <v>WRIGHT CAPITAL GESTAO DE RECURSOS LTDA</v>
          </cell>
        </row>
        <row r="9938">
          <cell r="B9938">
            <v>80171</v>
          </cell>
          <cell r="C9938" t="str">
            <v>WRIGHT CASH FIC DE FIM CP</v>
          </cell>
          <cell r="D9938" t="str">
            <v>WRIGHT CASH FIC DE FIM CP</v>
          </cell>
          <cell r="E9938" t="str">
            <v>WRIGHT CAPITAL GESTAO DE RECURSOS LTDA</v>
          </cell>
        </row>
        <row r="9939">
          <cell r="B9939">
            <v>80172</v>
          </cell>
          <cell r="C9939" t="str">
            <v>WRIGHT CREDITO FIM CP IE</v>
          </cell>
          <cell r="D9939" t="str">
            <v>WRIGHT CREDITO FIM CP IE</v>
          </cell>
          <cell r="E9939" t="str">
            <v>WRIGHT CAPITAL GESTAO DE RECURSOS LTDA</v>
          </cell>
        </row>
        <row r="9940">
          <cell r="B9940">
            <v>80173</v>
          </cell>
          <cell r="C9940" t="str">
            <v>WRIGHT EQUITY FIM CP IE</v>
          </cell>
          <cell r="D9940" t="str">
            <v>WRIGHT EQUITY FIM CP IE</v>
          </cell>
          <cell r="E9940" t="str">
            <v>WRIGHT CAPITAL GESTAO DE RECURSOS LTDA</v>
          </cell>
        </row>
        <row r="9941">
          <cell r="B9941">
            <v>80174</v>
          </cell>
          <cell r="C9941" t="str">
            <v>WRIGHT IMPACTO SOCIAL FIC FIM CP IE</v>
          </cell>
          <cell r="D9941" t="str">
            <v>WRIGHT IMPACTO SOCIAL FIC FIM CP IE</v>
          </cell>
          <cell r="E9941" t="str">
            <v>WRIGHT CAPITAL GESTAO DE RECURSOS LTDA</v>
          </cell>
        </row>
        <row r="9942">
          <cell r="B9942">
            <v>80175</v>
          </cell>
          <cell r="C9942" t="str">
            <v>WRIGHT MULTI FIM CRED PRIV IE</v>
          </cell>
          <cell r="D9942" t="str">
            <v>WRIGHT MULTI FIM CRED PRIV IE</v>
          </cell>
          <cell r="E9942" t="str">
            <v>WRIGHT CAPITAL GESTAO DE RECURSOS LTDA</v>
          </cell>
        </row>
        <row r="9943">
          <cell r="B9943">
            <v>80176</v>
          </cell>
          <cell r="C9943" t="str">
            <v>K4P FIM</v>
          </cell>
          <cell r="D9943" t="str">
            <v>K4P FIM</v>
          </cell>
          <cell r="E9943" t="str">
            <v>WRIGHT CAPITAL GESTAO DE RECURSOS LTDA</v>
          </cell>
        </row>
        <row r="9944">
          <cell r="B9944">
            <v>80177</v>
          </cell>
          <cell r="C9944" t="str">
            <v>K4F FIM CP IE</v>
          </cell>
          <cell r="D9944" t="str">
            <v>K4F FIM CP IE</v>
          </cell>
          <cell r="E9944" t="str">
            <v>WRIGHT CAPITAL GESTAO DE RECURSOS LTDA</v>
          </cell>
        </row>
        <row r="9945">
          <cell r="B9945">
            <v>80178</v>
          </cell>
          <cell r="C9945" t="str">
            <v>TRAVEL FIM CRED PRIV IE</v>
          </cell>
          <cell r="D9945" t="str">
            <v>TRAVEL FIM CRED PRIV IE</v>
          </cell>
          <cell r="E9945" t="str">
            <v>WRIGHT CAPITAL GESTAO DE RECURSOS LTDA</v>
          </cell>
        </row>
        <row r="9946">
          <cell r="B9946">
            <v>80179</v>
          </cell>
          <cell r="C9946" t="str">
            <v>CSHG LBB FC MULT CP IE</v>
          </cell>
          <cell r="D9946" t="str">
            <v>CSHG LBB FC MULT CP IE</v>
          </cell>
          <cell r="E9946" t="str">
            <v>WRIGHT CAPITAL GESTAO DE RECURSOS LTDA</v>
          </cell>
        </row>
        <row r="9947">
          <cell r="B9947">
            <v>80180</v>
          </cell>
          <cell r="C9947" t="str">
            <v>CSHG 1160 FIM CP IE</v>
          </cell>
          <cell r="D9947" t="str">
            <v>CSHG 1160 FIM CP IE</v>
          </cell>
          <cell r="E9947" t="str">
            <v>WRIGHT CAPITAL GESTAO DE RECURSOS LTDA</v>
          </cell>
        </row>
        <row r="9948">
          <cell r="B9948">
            <v>80181</v>
          </cell>
          <cell r="C9948" t="str">
            <v>WRIGHT JUROS FIM CP IE</v>
          </cell>
          <cell r="D9948" t="str">
            <v>WRIGHT JUROS FIM CP IE</v>
          </cell>
          <cell r="E9948" t="str">
            <v>WRIGHT CAPITAL GESTAO DE RECURSOS LTDA</v>
          </cell>
        </row>
        <row r="9949">
          <cell r="B9949">
            <v>80182</v>
          </cell>
          <cell r="C9949" t="str">
            <v>FINTEX FUNDO DE INVESTIMENTO MULTIMERCADO</v>
          </cell>
          <cell r="D9949" t="str">
            <v>FINTEX FUNDO DE INVESTIMENTO MULTIMERCADO</v>
          </cell>
          <cell r="E9949" t="str">
            <v>FINTEX FUNDO DE INVESTIMENTO MULTIMERCADO</v>
          </cell>
        </row>
        <row r="9950">
          <cell r="B9950">
            <v>80183</v>
          </cell>
          <cell r="C9950" t="str">
            <v>OAK FIM CP IE</v>
          </cell>
          <cell r="D9950" t="str">
            <v>OAK FIM CP IE</v>
          </cell>
          <cell r="E9950" t="str">
            <v>OAK FIM CP IE</v>
          </cell>
        </row>
        <row r="9951">
          <cell r="B9951">
            <v>80184</v>
          </cell>
          <cell r="C9951" t="str">
            <v>MERCURY DERIVATIVES TRADING LIMITED</v>
          </cell>
          <cell r="D9951" t="str">
            <v>MERCURY DERIVATIVES TRADING LIMITED</v>
          </cell>
          <cell r="E9951" t="str">
            <v>MERCURY DERIVATIVES TRADING LIMITED</v>
          </cell>
        </row>
        <row r="9952">
          <cell r="B9952">
            <v>80185</v>
          </cell>
          <cell r="C9952" t="str">
            <v>MERCURY DERIVATIVES TRADING LIMITED</v>
          </cell>
          <cell r="D9952" t="str">
            <v>MERCURY DERIVATIVES TRADING LIMITED</v>
          </cell>
          <cell r="E9952" t="str">
            <v>MERCURY DERIVATIVES TRADING LIMITED</v>
          </cell>
        </row>
        <row r="9953">
          <cell r="B9953">
            <v>80186</v>
          </cell>
          <cell r="C9953" t="str">
            <v>FF FIM CP IE</v>
          </cell>
          <cell r="D9953" t="str">
            <v>FF FIM CP IE</v>
          </cell>
          <cell r="E9953" t="str">
            <v>WRIGHT CAPITAL GESTAO DE RECURSOS LTDA</v>
          </cell>
        </row>
        <row r="9954">
          <cell r="B9954">
            <v>80187</v>
          </cell>
          <cell r="C9954" t="str">
            <v>FN FIM CP IE</v>
          </cell>
          <cell r="D9954" t="str">
            <v>FN FIM CP IE</v>
          </cell>
          <cell r="E9954" t="str">
            <v>WRIGHT CAPITAL GESTAO DE RECURSOS LTDA</v>
          </cell>
        </row>
        <row r="9955">
          <cell r="B9955">
            <v>80188</v>
          </cell>
          <cell r="C9955" t="str">
            <v>FORUS FIC FIM CP</v>
          </cell>
          <cell r="D9955" t="str">
            <v>FORUS FIC FIM CP</v>
          </cell>
          <cell r="E9955" t="str">
            <v>WRIGHT CAPITAL GESTAO DE RECURSOS LTDA</v>
          </cell>
        </row>
        <row r="9956">
          <cell r="B9956">
            <v>80189</v>
          </cell>
          <cell r="C9956" t="str">
            <v>LAJOTA FIM CP IE</v>
          </cell>
          <cell r="D9956" t="str">
            <v>LAJOTA FIM CP IE</v>
          </cell>
          <cell r="E9956" t="str">
            <v>WRIGHT CAPITAL GESTAO DE RECURSOS LTDA</v>
          </cell>
        </row>
        <row r="9957">
          <cell r="B9957">
            <v>80190</v>
          </cell>
          <cell r="C9957" t="str">
            <v>LUMASIQ FIM CP IE</v>
          </cell>
          <cell r="D9957" t="str">
            <v>LUMASIQ FIM CP IE</v>
          </cell>
          <cell r="E9957" t="str">
            <v>WRIGHT CAPITAL GESTAO DE RECURSOS LTDA</v>
          </cell>
        </row>
        <row r="9958">
          <cell r="B9958">
            <v>80191</v>
          </cell>
          <cell r="C9958" t="str">
            <v>SOLO FIM CP IE</v>
          </cell>
          <cell r="D9958" t="str">
            <v>SOLO FIM CP IE</v>
          </cell>
          <cell r="E9958" t="str">
            <v>WRIGHT CAPITAL GESTAO DE RECURSOS LTDA</v>
          </cell>
        </row>
        <row r="9959">
          <cell r="B9959">
            <v>80192</v>
          </cell>
          <cell r="C9959" t="str">
            <v>SUMATRA FIM CP IE</v>
          </cell>
          <cell r="D9959" t="str">
            <v>SUMATRA FIM CP IE</v>
          </cell>
          <cell r="E9959" t="str">
            <v>WRIGHT CAPITAL GESTAO DE RECURSOS LTDA</v>
          </cell>
        </row>
        <row r="9960">
          <cell r="B9960">
            <v>80193</v>
          </cell>
          <cell r="C9960" t="str">
            <v>PACIFICO GESTAO DE RECURSOS LTDA</v>
          </cell>
          <cell r="D9960" t="str">
            <v>PACIFICO GESTAO DE RECURSOS LTDA</v>
          </cell>
          <cell r="E9960" t="str">
            <v>PACIFICO GESTAO DE RECURSOS LTDA</v>
          </cell>
        </row>
        <row r="9961">
          <cell r="B9961">
            <v>80194</v>
          </cell>
          <cell r="C9961" t="str">
            <v>BANCO ABN AMRO CLEARING S.A.</v>
          </cell>
          <cell r="D9961" t="str">
            <v>BANCO ABN AMRO CLEARING S.A.</v>
          </cell>
          <cell r="E9961" t="str">
            <v>BANCO ABN AMRO S/A</v>
          </cell>
        </row>
        <row r="9962">
          <cell r="B9962">
            <v>80289</v>
          </cell>
          <cell r="C9962" t="str">
            <v>BANCO SANTANDER (BRASIL) S/A</v>
          </cell>
          <cell r="D9962" t="str">
            <v>BANCO SANTANDER (BRASIL) S/A</v>
          </cell>
          <cell r="E9962" t="str">
            <v>BANCO SANTANDER (BRASIL) S/A</v>
          </cell>
        </row>
        <row r="9963">
          <cell r="B9963">
            <v>80290</v>
          </cell>
          <cell r="C9963" t="str">
            <v>BANCO SANTANDER (BRASIL) S/A</v>
          </cell>
          <cell r="D9963" t="str">
            <v>BANCO SANTANDER (BRASIL) S/A</v>
          </cell>
          <cell r="E9963" t="str">
            <v>BANCO SANTANDER (BRASIL) S/A</v>
          </cell>
        </row>
        <row r="9964">
          <cell r="B9964">
            <v>80291</v>
          </cell>
          <cell r="C9964" t="str">
            <v>BANCO SANTANDER (BRASIL) S/A</v>
          </cell>
          <cell r="D9964" t="str">
            <v>BANCO SANTANDER (BRASIL) S/A</v>
          </cell>
          <cell r="E9964" t="str">
            <v>BANCO SANTANDER (BRASIL) S/A</v>
          </cell>
        </row>
        <row r="9965">
          <cell r="B9965">
            <v>80292</v>
          </cell>
          <cell r="C9965" t="str">
            <v>BANCO SANTANDER (BRASIL) S/A</v>
          </cell>
          <cell r="D9965" t="str">
            <v>BANCO SANTANDER (BRASIL) S/A</v>
          </cell>
          <cell r="E9965" t="str">
            <v>BANCO SANTANDER (BRASIL) S/A</v>
          </cell>
        </row>
        <row r="9966">
          <cell r="B9966">
            <v>80293</v>
          </cell>
          <cell r="C9966" t="str">
            <v>BANCO SANTANDER (BRASIL) S/A</v>
          </cell>
          <cell r="D9966" t="str">
            <v>BANCO SANTANDER (BRASIL) S/A</v>
          </cell>
          <cell r="E9966" t="str">
            <v>BANCO SANTANDER (BRASIL) S/A</v>
          </cell>
        </row>
        <row r="9967">
          <cell r="B9967">
            <v>80294</v>
          </cell>
          <cell r="C9967" t="str">
            <v>BANCO SANTANDER (BRASIL) S/A</v>
          </cell>
          <cell r="D9967" t="str">
            <v>BANCO SANTANDER (BRASIL) S/A</v>
          </cell>
          <cell r="E9967" t="str">
            <v>BANCO SANTANDER (BRASIL) S/A</v>
          </cell>
        </row>
        <row r="9968">
          <cell r="B9968">
            <v>80295</v>
          </cell>
          <cell r="C9968" t="str">
            <v>BANCO SANTANDER (BRASIL) S/A</v>
          </cell>
          <cell r="D9968" t="str">
            <v>BANCO SANTANDER (BRASIL) S/A</v>
          </cell>
          <cell r="E9968" t="str">
            <v>BANCO SANTANDER (BRASIL) S/A</v>
          </cell>
        </row>
        <row r="9969">
          <cell r="B9969">
            <v>80296</v>
          </cell>
          <cell r="C9969" t="str">
            <v>BANCO SANTANDER (BRASIL) S/A</v>
          </cell>
          <cell r="D9969" t="str">
            <v>BANCO SANTANDER (BRASIL) S/A</v>
          </cell>
          <cell r="E9969" t="str">
            <v>BANCO SANTANDER (BRASIL) S/A</v>
          </cell>
        </row>
        <row r="9970">
          <cell r="B9970">
            <v>80297</v>
          </cell>
          <cell r="C9970" t="str">
            <v>BANCO SANTANDER (BRASIL) S/A</v>
          </cell>
          <cell r="D9970" t="str">
            <v>BANCO SANTANDER (BRASIL) S/A</v>
          </cell>
          <cell r="E9970" t="str">
            <v>BANCO SANTANDER (BRASIL) S/A</v>
          </cell>
        </row>
        <row r="9971">
          <cell r="B9971">
            <v>80298</v>
          </cell>
          <cell r="C9971" t="str">
            <v>BANCO SANTANDER (BRASIL) S/A</v>
          </cell>
          <cell r="D9971" t="str">
            <v>BANCO SANTANDER (BRASIL) S/A</v>
          </cell>
          <cell r="E9971" t="str">
            <v>BANCO SANTANDER (BRASIL) S/A</v>
          </cell>
        </row>
        <row r="9972">
          <cell r="B9972">
            <v>80299</v>
          </cell>
          <cell r="C9972" t="str">
            <v>BANCO SANTANDER (BRASIL) S/A</v>
          </cell>
          <cell r="D9972" t="str">
            <v>BANCO SANTANDER (BRASIL) S/A</v>
          </cell>
          <cell r="E9972" t="str">
            <v>BANCO SANTANDER (BRASIL) S/A</v>
          </cell>
        </row>
        <row r="9973">
          <cell r="B9973">
            <v>80301</v>
          </cell>
          <cell r="C9973" t="str">
            <v>BANCO SANTANDER (BRASIL) S/A</v>
          </cell>
          <cell r="D9973" t="str">
            <v>BANCO SANTANDER (BRASIL) S/A</v>
          </cell>
          <cell r="E9973" t="str">
            <v>BANCO SANTANDER (BRASIL) S/A</v>
          </cell>
        </row>
        <row r="9974">
          <cell r="B9974">
            <v>80207</v>
          </cell>
          <cell r="C9974" t="str">
            <v>MERCURY DERIVATIVES TRADING LIMITED</v>
          </cell>
          <cell r="D9974" t="str">
            <v>MERCURY DERIVATIVES TRADING LIMITED</v>
          </cell>
          <cell r="E9974" t="str">
            <v>MERCURY DERIVATIVES TRADING LIMITED</v>
          </cell>
        </row>
        <row r="9975">
          <cell r="B9975">
            <v>124316</v>
          </cell>
          <cell r="C9975" t="str">
            <v>3M FIM LP</v>
          </cell>
          <cell r="D9975" t="str">
            <v>3M FIM LP</v>
          </cell>
          <cell r="E9975" t="str">
            <v>MORE INVEST GESTORA DE RECURSOS LTDA</v>
          </cell>
        </row>
        <row r="9976">
          <cell r="B9976">
            <v>80209</v>
          </cell>
          <cell r="C9976" t="str">
            <v>BTG PACTUAL ARF INVESTMENTS LP</v>
          </cell>
          <cell r="D9976" t="str">
            <v>BTG PACTUAL ARF INVESTMENTS LP</v>
          </cell>
          <cell r="E9976" t="str">
            <v>BTG PACTUAL ASSET MANAGEMENT SA DTVM</v>
          </cell>
        </row>
        <row r="9977">
          <cell r="B9977">
            <v>80210</v>
          </cell>
          <cell r="C9977" t="str">
            <v>BANK OF CHINA (BRASIL) BANCO MULTIPLO S/A</v>
          </cell>
          <cell r="D9977" t="str">
            <v>BANK OF CHINA (BRASIL) BANCO MULTIPLO S/A</v>
          </cell>
          <cell r="E9977" t="str">
            <v>BANCO DA CHINA BRASIL S/A</v>
          </cell>
        </row>
        <row r="9978">
          <cell r="B9978">
            <v>80211</v>
          </cell>
          <cell r="C9978" t="str">
            <v>BANK OF CHINA (BRASIL) BANCO MULTIPLO S/A</v>
          </cell>
          <cell r="D9978" t="str">
            <v>BANK OF CHINA (BRASIL) BANCO MULTIPLO S/A</v>
          </cell>
          <cell r="E9978" t="str">
            <v>BANCO DA CHINA BRASIL S/A</v>
          </cell>
        </row>
        <row r="9979">
          <cell r="B9979">
            <v>80212</v>
          </cell>
          <cell r="C9979" t="str">
            <v>JP MORGAN SECURITIES PLC</v>
          </cell>
          <cell r="D9979" t="str">
            <v>JP MORGAN SECURITIES PLC</v>
          </cell>
          <cell r="E9979" t="str">
            <v>BANCO JP MORGAN S/A</v>
          </cell>
        </row>
        <row r="9980">
          <cell r="B9980">
            <v>80213</v>
          </cell>
          <cell r="C9980" t="str">
            <v>BRAZA BANK S/A BANCO DE CAMBIO</v>
          </cell>
          <cell r="D9980" t="str">
            <v>BRAZA BANK S/A BANCO DE CAMBIO</v>
          </cell>
          <cell r="E9980" t="str">
            <v>BRAZA BANK S/A BANCO DE CAMBIO</v>
          </cell>
        </row>
        <row r="9981">
          <cell r="B9981">
            <v>80214</v>
          </cell>
          <cell r="C9981" t="str">
            <v>BRAZA BANK S/A BANCO DE CAMBIO</v>
          </cell>
          <cell r="D9981" t="str">
            <v>BRAZA BANK S/A BANCO DE CAMBIO</v>
          </cell>
          <cell r="E9981" t="str">
            <v>BRAZA BANK S/A BANCO DE CAMBIO</v>
          </cell>
        </row>
        <row r="9982">
          <cell r="B9982">
            <v>80216</v>
          </cell>
          <cell r="C9982" t="str">
            <v>FUNDAMENTAL INVESTIMENTOS LTDA</v>
          </cell>
          <cell r="D9982" t="str">
            <v>FUNDAMENTAL INVESTIMENTOS LTDA</v>
          </cell>
          <cell r="E9982" t="str">
            <v>FUNDAMENTAL INVESTIMENTOS LTDA</v>
          </cell>
        </row>
        <row r="9983">
          <cell r="B9983">
            <v>80219</v>
          </cell>
          <cell r="C9983" t="str">
            <v>ITAU UNIBANCO S.A.</v>
          </cell>
          <cell r="D9983" t="str">
            <v>ITAU UNIBANCO S.A.</v>
          </cell>
          <cell r="E9983" t="str">
            <v>ITAU UNIBANCO S/A</v>
          </cell>
        </row>
        <row r="9984">
          <cell r="B9984">
            <v>80220</v>
          </cell>
          <cell r="C9984" t="str">
            <v>ITAU UNIBANCO S.A.</v>
          </cell>
          <cell r="D9984" t="str">
            <v>ITAU UNIBANCO S.A.</v>
          </cell>
          <cell r="E9984" t="str">
            <v>ITAU UNIBANCO S/A</v>
          </cell>
        </row>
        <row r="9985">
          <cell r="B9985">
            <v>80221</v>
          </cell>
          <cell r="C9985" t="str">
            <v>ITAU UNIBANCO S.A.</v>
          </cell>
          <cell r="D9985" t="str">
            <v>ITAU UNIBANCO S.A.</v>
          </cell>
          <cell r="E9985" t="str">
            <v>ITAU UNIBANCO S/A</v>
          </cell>
        </row>
        <row r="9986">
          <cell r="B9986">
            <v>80222</v>
          </cell>
          <cell r="C9986" t="str">
            <v>ITAU UNIBANCO S.A.</v>
          </cell>
          <cell r="D9986" t="str">
            <v>ITAU UNIBANCO S.A.</v>
          </cell>
          <cell r="E9986" t="str">
            <v>ITAU UNIBANCO S/A</v>
          </cell>
        </row>
        <row r="9987">
          <cell r="B9987">
            <v>80223</v>
          </cell>
          <cell r="C9987" t="str">
            <v>ITAU UNIBANCO S.A.</v>
          </cell>
          <cell r="D9987" t="str">
            <v>ITAU UNIBANCO S.A.</v>
          </cell>
          <cell r="E9987" t="str">
            <v>ITAU UNIBANCO S/A</v>
          </cell>
        </row>
        <row r="9988">
          <cell r="B9988">
            <v>80224</v>
          </cell>
          <cell r="C9988" t="str">
            <v>ITAU UNIBANCO S.A.</v>
          </cell>
          <cell r="D9988" t="str">
            <v>ITAU UNIBANCO S.A.</v>
          </cell>
          <cell r="E9988" t="str">
            <v>ITAU UNIBANCO S/A</v>
          </cell>
        </row>
        <row r="9989">
          <cell r="B9989">
            <v>80225</v>
          </cell>
          <cell r="C9989" t="str">
            <v>ITAU UNIBANCO S.A.</v>
          </cell>
          <cell r="D9989" t="str">
            <v>ITAU UNIBANCO S.A.</v>
          </cell>
          <cell r="E9989" t="str">
            <v>ITAU UNIBANCO S/A</v>
          </cell>
        </row>
        <row r="9990">
          <cell r="B9990">
            <v>80226</v>
          </cell>
          <cell r="C9990" t="str">
            <v>ITAU UNIBANCO S.A.</v>
          </cell>
          <cell r="D9990" t="str">
            <v>ITAU UNIBANCO S.A.</v>
          </cell>
          <cell r="E9990" t="str">
            <v>ITAU UNIBANCO S/A</v>
          </cell>
        </row>
        <row r="9991">
          <cell r="B9991">
            <v>80227</v>
          </cell>
          <cell r="C9991" t="str">
            <v>ITAU UNIBANCO S.A.</v>
          </cell>
          <cell r="D9991" t="str">
            <v>ITAU UNIBANCO S.A.</v>
          </cell>
          <cell r="E9991" t="str">
            <v>ITAU UNIBANCO S/A</v>
          </cell>
        </row>
        <row r="9992">
          <cell r="B9992">
            <v>80228</v>
          </cell>
          <cell r="C9992" t="str">
            <v>ARX MACRO FUNDO DE INVESTIMENTO MULTIMERCADO</v>
          </cell>
          <cell r="D9992" t="str">
            <v>ARX MACRO FUNDO DE INVESTIMENTO MULTIMERCADO</v>
          </cell>
          <cell r="E9992" t="str">
            <v>ARX MACRO FUNDO DE INVESTIMENTO MULTIMERCADO</v>
          </cell>
        </row>
        <row r="9993">
          <cell r="B9993">
            <v>80229</v>
          </cell>
          <cell r="C9993" t="str">
            <v>FL DOURADO INSTITUCIONAL FIM</v>
          </cell>
          <cell r="D9993" t="str">
            <v>FL DOURADO INSTITUCIONAL FIM</v>
          </cell>
          <cell r="E9993" t="str">
            <v>FINGER LAKER GESTORA DE RECURSOS LTDA</v>
          </cell>
        </row>
        <row r="9994">
          <cell r="B9994">
            <v>80230</v>
          </cell>
          <cell r="C9994" t="str">
            <v>FL PREMIUM INSTITUCIONAL FI RF LP</v>
          </cell>
          <cell r="D9994" t="str">
            <v>FL PREMIUM INSTITUCIONAL FI RF LP</v>
          </cell>
          <cell r="E9994" t="str">
            <v>FINGER LAKER GESTORA DE RECURSOS LTDA</v>
          </cell>
        </row>
        <row r="9995">
          <cell r="B9995">
            <v>80231</v>
          </cell>
          <cell r="C9995" t="str">
            <v>VISTA CAPITAL GESTORA DE RECURSOS LTDA.</v>
          </cell>
          <cell r="D9995" t="str">
            <v>VISTA CAPITAL GESTORA DE RECURSOS LTDA.</v>
          </cell>
          <cell r="E9995" t="str">
            <v>VISTA CAPITAL GESTORA DE RECURSOS LTDA</v>
          </cell>
        </row>
        <row r="9996">
          <cell r="B9996">
            <v>80232</v>
          </cell>
          <cell r="C9996" t="str">
            <v>3R GESTORA DE RECURSOS LTDA</v>
          </cell>
          <cell r="D9996" t="str">
            <v>3R GESTORA DE RECURSOS LTDA</v>
          </cell>
          <cell r="E9996" t="str">
            <v>3R GESTORA DE RECURSOS LTDA</v>
          </cell>
        </row>
        <row r="9997">
          <cell r="B9997">
            <v>80234</v>
          </cell>
          <cell r="C9997" t="str">
            <v>NATIXIS</v>
          </cell>
          <cell r="D9997" t="str">
            <v>NATIXIS</v>
          </cell>
          <cell r="E9997" t="str">
            <v>NATIXIS, AS</v>
          </cell>
        </row>
        <row r="9998">
          <cell r="B9998">
            <v>80235</v>
          </cell>
          <cell r="C9998" t="str">
            <v>J PAULATTI  EMPREENDIMENTOS LTDA</v>
          </cell>
          <cell r="D9998" t="str">
            <v>J PAULATTI  EMPREENDIMENTOS LTDA</v>
          </cell>
          <cell r="E9998" t="str">
            <v>J PAULATTI  EMPREENDIMENTOS LTDA</v>
          </cell>
        </row>
        <row r="9999">
          <cell r="B9999">
            <v>80236</v>
          </cell>
          <cell r="C9999" t="str">
            <v>ARTESANAL INVESTIMENTOS LTDA</v>
          </cell>
          <cell r="D9999" t="str">
            <v>ARTESANAL INVESTIMENTOS LTDA</v>
          </cell>
          <cell r="E9999" t="str">
            <v>ARTESANAL INVESTIMENTOS LTDA</v>
          </cell>
        </row>
        <row r="10000">
          <cell r="B10000">
            <v>80237</v>
          </cell>
          <cell r="C10000" t="str">
            <v>KEPLER FIM CP IE</v>
          </cell>
          <cell r="D10000" t="str">
            <v>KEPLER FIM CP IE</v>
          </cell>
          <cell r="E10000" t="str">
            <v>KEPLER FIM CP IE</v>
          </cell>
        </row>
        <row r="10001">
          <cell r="B10001">
            <v>80238</v>
          </cell>
          <cell r="C10001" t="str">
            <v>ITAU UNIBANCO S.A.</v>
          </cell>
          <cell r="D10001" t="str">
            <v>ITAU UNIBANCO S.A.</v>
          </cell>
          <cell r="E10001" t="str">
            <v>ITAU UNIBANCO S/A</v>
          </cell>
        </row>
        <row r="10002">
          <cell r="B10002">
            <v>80239</v>
          </cell>
          <cell r="C10002" t="str">
            <v>KINEA INVESTIMENTOS LTDA</v>
          </cell>
          <cell r="D10002" t="str">
            <v>KINEA INVESTIMENTOS LTDA</v>
          </cell>
          <cell r="E10002" t="str">
            <v>KINEA INVESTIMENTOS LTDA</v>
          </cell>
        </row>
        <row r="10003">
          <cell r="B10003">
            <v>80241</v>
          </cell>
          <cell r="C10003" t="str">
            <v>PHILADELPHIA FIM CP</v>
          </cell>
          <cell r="D10003" t="str">
            <v>PHILADELPHIA FIM CP</v>
          </cell>
          <cell r="E10003" t="str">
            <v>PHILADELPHIA FIM CP</v>
          </cell>
        </row>
        <row r="10004">
          <cell r="B10004">
            <v>80242</v>
          </cell>
          <cell r="C10004" t="str">
            <v>CONCORDIA TI FIM LP</v>
          </cell>
          <cell r="D10004" t="str">
            <v>CONCORDIA TI FIM LP</v>
          </cell>
          <cell r="E10004" t="str">
            <v>CONCORDIA GESTAO DE RECURSOS LTDA</v>
          </cell>
        </row>
        <row r="10005">
          <cell r="B10005">
            <v>80302</v>
          </cell>
          <cell r="C10005" t="str">
            <v>BANCO SANTANDER (BRASIL) S/A</v>
          </cell>
          <cell r="D10005" t="str">
            <v>BANCO SANTANDER (BRASIL) S/A</v>
          </cell>
          <cell r="E10005" t="str">
            <v>BANCO SANTANDER (BRASIL) S/A</v>
          </cell>
        </row>
        <row r="10006">
          <cell r="B10006">
            <v>80246</v>
          </cell>
          <cell r="C10006" t="str">
            <v>ESH CAPITAL INVESTIMENTOS LTDA.</v>
          </cell>
          <cell r="D10006" t="str">
            <v>ESH CAPITAL INVESTIMENTOS LTDA.</v>
          </cell>
          <cell r="E10006" t="str">
            <v>ESH CAPITAL INVESTIMENTOS LTDA.</v>
          </cell>
        </row>
        <row r="10007">
          <cell r="B10007">
            <v>80247</v>
          </cell>
          <cell r="C10007" t="str">
            <v>FLAG MASTER FIM</v>
          </cell>
          <cell r="D10007" t="str">
            <v>FLAG MASTER FIM</v>
          </cell>
          <cell r="E10007" t="str">
            <v>FLAG MASTER FIM</v>
          </cell>
        </row>
        <row r="10008">
          <cell r="B10008">
            <v>80248</v>
          </cell>
          <cell r="C10008" t="str">
            <v>NOVUS ACOES INSTITUCIONAL MASTER FIA</v>
          </cell>
          <cell r="D10008" t="str">
            <v>NOVUS ACOES INSTITUCIONAL MASTER FIA</v>
          </cell>
          <cell r="E10008" t="str">
            <v>NOVUS CAPITAL GESTORA DE RECURSOS LTDA</v>
          </cell>
        </row>
        <row r="10009">
          <cell r="B10009">
            <v>80249</v>
          </cell>
          <cell r="C10009" t="str">
            <v>ESH CAPITAL INVESTIMENTOS LTDA.</v>
          </cell>
          <cell r="D10009" t="str">
            <v>ESH CAPITAL INVESTIMENTOS LTDA.</v>
          </cell>
          <cell r="E10009" t="str">
            <v>ESH CAPITAL INVESTIMENTOS LTDA.</v>
          </cell>
        </row>
        <row r="10010">
          <cell r="B10010">
            <v>80250</v>
          </cell>
          <cell r="C10010" t="str">
            <v>RIO PARTNERS BV</v>
          </cell>
          <cell r="D10010" t="str">
            <v>RIO PARTNERS BV</v>
          </cell>
          <cell r="E10010" t="str">
            <v>BANCO BNP PARIBAS BRASIL S/A</v>
          </cell>
        </row>
        <row r="10011">
          <cell r="B10011">
            <v>80251</v>
          </cell>
          <cell r="C10011" t="str">
            <v>ARGUCIA QUARK FIF MULT RL</v>
          </cell>
          <cell r="D10011" t="str">
            <v>ARGUCIA QUARK FIF MULT RL</v>
          </cell>
          <cell r="E10011" t="str">
            <v>ARGUCIA QUARK FIF MULT RL</v>
          </cell>
        </row>
        <row r="10012">
          <cell r="B10012">
            <v>80252</v>
          </cell>
          <cell r="C10012" t="str">
            <v>TERA CAPITAL GESTAO DE RECURSOS LTDA</v>
          </cell>
          <cell r="D10012" t="str">
            <v>TERA CAPITAL GESTAO DE RECURSOS LTDA</v>
          </cell>
          <cell r="E10012" t="str">
            <v>TERA CAPITAL GESTAO DE RECURSOS LTDA</v>
          </cell>
        </row>
        <row r="10013">
          <cell r="B10013">
            <v>80253</v>
          </cell>
          <cell r="C10013" t="str">
            <v>VENTURESTAR FIM</v>
          </cell>
          <cell r="D10013" t="str">
            <v>VENTURESTAR FIM</v>
          </cell>
          <cell r="E10013" t="str">
            <v>VENTURESTAR GESTAO DE RECURSOS LTDA</v>
          </cell>
        </row>
        <row r="10014">
          <cell r="B10014">
            <v>79208</v>
          </cell>
          <cell r="C10014" t="str">
            <v>ORION I FIM</v>
          </cell>
          <cell r="D10014" t="str">
            <v>ORION I FIM</v>
          </cell>
          <cell r="E10014" t="str">
            <v>PLURAL GESTÃO DE RECURSOS LTDA</v>
          </cell>
        </row>
        <row r="10015">
          <cell r="B10015">
            <v>80255</v>
          </cell>
          <cell r="C10015" t="str">
            <v>CANVAS CAPITAL S/A</v>
          </cell>
          <cell r="D10015" t="str">
            <v>CANVAS CAPITAL S/A</v>
          </cell>
          <cell r="E10015" t="str">
            <v>CANVAS CAPITAL S/A</v>
          </cell>
        </row>
        <row r="10016">
          <cell r="B10016">
            <v>80256</v>
          </cell>
          <cell r="C10016" t="str">
            <v>SOLANA GESTORA DE RECURSOS LTDA</v>
          </cell>
          <cell r="D10016" t="str">
            <v>SOLANA GESTORA DE RECURSOS LTDA</v>
          </cell>
          <cell r="E10016" t="str">
            <v>SOLANA GESTORA DE RECURSOS LTDA</v>
          </cell>
        </row>
        <row r="10017">
          <cell r="B10017">
            <v>80303</v>
          </cell>
          <cell r="C10017" t="str">
            <v>BANCO SANTANDER (BRASIL) S/A</v>
          </cell>
          <cell r="D10017" t="str">
            <v>BANCO SANTANDER (BRASIL) S/A</v>
          </cell>
          <cell r="E10017" t="str">
            <v>BANCO SANTANDER (BRASIL) S/A</v>
          </cell>
        </row>
        <row r="10018">
          <cell r="B10018">
            <v>80304</v>
          </cell>
          <cell r="C10018" t="str">
            <v>BANCO SANTANDER (BRASIL) S/A</v>
          </cell>
          <cell r="D10018" t="str">
            <v>BANCO SANTANDER (BRASIL) S/A</v>
          </cell>
          <cell r="E10018" t="str">
            <v>BANCO SANTANDER (BRASIL) S/A</v>
          </cell>
        </row>
        <row r="10019">
          <cell r="B10019">
            <v>80305</v>
          </cell>
          <cell r="C10019" t="str">
            <v>BANCO SANTANDER (BRASIL) S/A</v>
          </cell>
          <cell r="D10019" t="str">
            <v>BANCO SANTANDER (BRASIL) S/A</v>
          </cell>
          <cell r="E10019" t="str">
            <v>BANCO SANTANDER (BRASIL) S/A</v>
          </cell>
        </row>
        <row r="10020">
          <cell r="B10020">
            <v>80306</v>
          </cell>
          <cell r="C10020" t="str">
            <v>BANCO SANTANDER (BRASIL) S/A</v>
          </cell>
          <cell r="D10020" t="str">
            <v>BANCO SANTANDER (BRASIL) S/A</v>
          </cell>
          <cell r="E10020" t="str">
            <v>BANCO SANTANDER (BRASIL) S/A</v>
          </cell>
        </row>
        <row r="10021">
          <cell r="B10021">
            <v>80307</v>
          </cell>
          <cell r="C10021" t="str">
            <v>BANCO SANTANDER (BRASIL) S/A</v>
          </cell>
          <cell r="D10021" t="str">
            <v>BANCO SANTANDER (BRASIL) S/A</v>
          </cell>
          <cell r="E10021" t="str">
            <v>BANCO SANTANDER (BRASIL) S/A</v>
          </cell>
        </row>
        <row r="10022">
          <cell r="B10022">
            <v>80308</v>
          </cell>
          <cell r="C10022" t="str">
            <v>BANCO SANTANDER (BRASIL) S/A</v>
          </cell>
          <cell r="D10022" t="str">
            <v>BANCO SANTANDER (BRASIL) S/A</v>
          </cell>
          <cell r="E10022" t="str">
            <v>BANCO SANTANDER (BRASIL) S/A</v>
          </cell>
        </row>
        <row r="10023">
          <cell r="B10023">
            <v>80309</v>
          </cell>
          <cell r="C10023" t="str">
            <v>BANCO SANTANDER (BRASIL) S/A</v>
          </cell>
          <cell r="D10023" t="str">
            <v>BANCO SANTANDER (BRASIL) S/A</v>
          </cell>
          <cell r="E10023" t="str">
            <v>BANCO SANTANDER (BRASIL) S/A</v>
          </cell>
        </row>
        <row r="10024">
          <cell r="B10024">
            <v>80310</v>
          </cell>
          <cell r="C10024" t="str">
            <v>BANCO SANTANDER (BRASIL) S/A</v>
          </cell>
          <cell r="D10024" t="str">
            <v>BANCO SANTANDER (BRASIL) S/A</v>
          </cell>
          <cell r="E10024" t="str">
            <v>BANCO SANTANDER (BRASIL) S/A</v>
          </cell>
        </row>
        <row r="10025">
          <cell r="B10025">
            <v>80311</v>
          </cell>
          <cell r="C10025" t="str">
            <v>BANCO SANTANDER (BRASIL) S/A</v>
          </cell>
          <cell r="D10025" t="str">
            <v>BANCO SANTANDER (BRASIL) S/A</v>
          </cell>
          <cell r="E10025" t="str">
            <v>BANCO SANTANDER (BRASIL) S/A</v>
          </cell>
        </row>
        <row r="10026">
          <cell r="B10026">
            <v>80312</v>
          </cell>
          <cell r="C10026" t="str">
            <v>BANCO SANTANDER (BRASIL) S/A</v>
          </cell>
          <cell r="D10026" t="str">
            <v>BANCO SANTANDER (BRASIL) S/A</v>
          </cell>
          <cell r="E10026" t="str">
            <v>BANCO SANTANDER (BRASIL) S/A</v>
          </cell>
        </row>
        <row r="10027">
          <cell r="B10027">
            <v>80362</v>
          </cell>
          <cell r="C10027" t="str">
            <v>BANCO SANTANDER (BRASIL) S/A</v>
          </cell>
          <cell r="D10027" t="str">
            <v>BANCO SANTANDER (BRASIL) S/A</v>
          </cell>
          <cell r="E10027" t="str">
            <v>BANCO SANTANDER (BRASIL) S/A</v>
          </cell>
        </row>
        <row r="10028">
          <cell r="B10028">
            <v>80363</v>
          </cell>
          <cell r="C10028" t="str">
            <v>BANCO SANTANDER (BRASIL) S/A</v>
          </cell>
          <cell r="D10028" t="str">
            <v>BANCO SANTANDER (BRASIL) S/A</v>
          </cell>
          <cell r="E10028" t="str">
            <v>BANCO SANTANDER (BRASIL) S/A</v>
          </cell>
        </row>
        <row r="10029">
          <cell r="B10029">
            <v>80364</v>
          </cell>
          <cell r="C10029" t="str">
            <v>BANCO SANTANDER (BRASIL) S/A</v>
          </cell>
          <cell r="D10029" t="str">
            <v>BANCO SANTANDER (BRASIL) S/A</v>
          </cell>
          <cell r="E10029" t="str">
            <v>BANCO SANTANDER (BRASIL) S/A</v>
          </cell>
        </row>
        <row r="10030">
          <cell r="B10030">
            <v>80365</v>
          </cell>
          <cell r="C10030" t="str">
            <v>BANCO SANTANDER (BRASIL) S/A</v>
          </cell>
          <cell r="D10030" t="str">
            <v>BANCO SANTANDER (BRASIL) S/A</v>
          </cell>
          <cell r="E10030" t="str">
            <v>BANCO SANTANDER (BRASIL) S/A</v>
          </cell>
        </row>
        <row r="10031">
          <cell r="B10031">
            <v>80366</v>
          </cell>
          <cell r="C10031" t="str">
            <v>BANCO SANTANDER (BRASIL) S/A</v>
          </cell>
          <cell r="D10031" t="str">
            <v>BANCO SANTANDER (BRASIL) S/A</v>
          </cell>
          <cell r="E10031" t="str">
            <v>BANCO SANTANDER (BRASIL) S/A</v>
          </cell>
        </row>
        <row r="10032">
          <cell r="B10032">
            <v>80367</v>
          </cell>
          <cell r="C10032" t="str">
            <v>BANCO SANTANDER (BRASIL) S/A</v>
          </cell>
          <cell r="D10032" t="str">
            <v>BANCO SANTANDER (BRASIL) S/A</v>
          </cell>
          <cell r="E10032" t="str">
            <v>BANCO SANTANDER (BRASIL) S/A</v>
          </cell>
        </row>
        <row r="10033">
          <cell r="B10033">
            <v>80368</v>
          </cell>
          <cell r="C10033" t="str">
            <v>BANCO SANTANDER (BRASIL) S/A</v>
          </cell>
          <cell r="D10033" t="str">
            <v>BANCO SANTANDER (BRASIL) S/A</v>
          </cell>
          <cell r="E10033" t="str">
            <v>BANCO SANTANDER (BRASIL) S/A</v>
          </cell>
        </row>
        <row r="10034">
          <cell r="B10034">
            <v>80369</v>
          </cell>
          <cell r="C10034" t="str">
            <v>BANCO SANTANDER (BRASIL) S/A</v>
          </cell>
          <cell r="D10034" t="str">
            <v>BANCO SANTANDER (BRASIL) S/A</v>
          </cell>
          <cell r="E10034" t="str">
            <v>BANCO SANTANDER (BRASIL) S/A</v>
          </cell>
        </row>
        <row r="10035">
          <cell r="B10035">
            <v>80370</v>
          </cell>
          <cell r="C10035" t="str">
            <v>BANCO SANTANDER (BRASIL) S/A</v>
          </cell>
          <cell r="D10035" t="str">
            <v>BANCO SANTANDER (BRASIL) S/A</v>
          </cell>
          <cell r="E10035" t="str">
            <v>BANCO SANTANDER (BRASIL) S/A</v>
          </cell>
        </row>
        <row r="10036">
          <cell r="B10036">
            <v>80371</v>
          </cell>
          <cell r="C10036" t="str">
            <v>BANCO SANTANDER (BRASIL) S/A</v>
          </cell>
          <cell r="D10036" t="str">
            <v>BANCO SANTANDER (BRASIL) S/A</v>
          </cell>
          <cell r="E10036" t="str">
            <v>BANCO SANTANDER (BRASIL) S/A</v>
          </cell>
        </row>
        <row r="10037">
          <cell r="B10037">
            <v>81</v>
          </cell>
          <cell r="C10037" t="str">
            <v>BANCO SANTANDER (BRASIL) S/A</v>
          </cell>
          <cell r="D10037" t="str">
            <v>BANCO SANTANDER (BRASIL) S/A</v>
          </cell>
          <cell r="E10037" t="str">
            <v>BANCO SANTANDER (BRASIL) S/A</v>
          </cell>
        </row>
        <row r="10038">
          <cell r="B10038">
            <v>83</v>
          </cell>
          <cell r="C10038" t="str">
            <v>BANCO SANTANDER (BRASIL) S/A</v>
          </cell>
          <cell r="D10038" t="str">
            <v>BANCO SANTANDER (BRASIL) S/A</v>
          </cell>
          <cell r="E10038" t="str">
            <v>BANCO SANTANDER (BRASIL) S/A</v>
          </cell>
        </row>
        <row r="10039">
          <cell r="B10039">
            <v>84</v>
          </cell>
          <cell r="C10039" t="str">
            <v>BANCO SANTANDER (BRASIL) S/A</v>
          </cell>
          <cell r="D10039" t="str">
            <v>BANCO SANTANDER (BRASIL) S/A</v>
          </cell>
          <cell r="E10039" t="str">
            <v>BANCO SANTANDER (BRASIL) S/A</v>
          </cell>
        </row>
        <row r="10040">
          <cell r="B10040">
            <v>86</v>
          </cell>
          <cell r="C10040" t="str">
            <v>BANCO SANTANDER (BRASIL) S/A</v>
          </cell>
          <cell r="D10040" t="str">
            <v>BANCO SANTANDER (BRASIL) S/A</v>
          </cell>
          <cell r="E10040" t="str">
            <v>BANCO SANTANDER (BRASIL) S/A</v>
          </cell>
        </row>
        <row r="10041">
          <cell r="B10041">
            <v>87</v>
          </cell>
          <cell r="C10041" t="str">
            <v>BANCO SANTANDER (BRASIL) S/A</v>
          </cell>
          <cell r="D10041" t="str">
            <v>BANCO SANTANDER (BRASIL) S/A</v>
          </cell>
          <cell r="E10041" t="str">
            <v>BANCO SANTANDER (BRASIL) S/A</v>
          </cell>
        </row>
        <row r="10042">
          <cell r="B10042">
            <v>88</v>
          </cell>
          <cell r="C10042" t="str">
            <v>BANCO SANTANDER (BRASIL) S/A</v>
          </cell>
          <cell r="D10042" t="str">
            <v>BANCO SANTANDER (BRASIL) S/A</v>
          </cell>
          <cell r="E10042" t="str">
            <v>BANCO SANTANDER (BRASIL) S/A</v>
          </cell>
        </row>
        <row r="10043">
          <cell r="B10043">
            <v>89</v>
          </cell>
          <cell r="C10043" t="str">
            <v>BANCO SANTANDER (BRASIL) S/A</v>
          </cell>
          <cell r="D10043" t="str">
            <v>BANCO SANTANDER (BRASIL) S/A</v>
          </cell>
          <cell r="E10043" t="str">
            <v>BANCO SANTANDER (BRASIL) S/A</v>
          </cell>
        </row>
        <row r="10044">
          <cell r="B10044">
            <v>90</v>
          </cell>
          <cell r="C10044" t="str">
            <v>BANCO SANTANDER (BRASIL) S/A</v>
          </cell>
          <cell r="D10044" t="str">
            <v>BANCO SANTANDER (BRASIL) S/A</v>
          </cell>
          <cell r="E10044" t="str">
            <v>BANCO SANTANDER (BRASIL) S/A</v>
          </cell>
        </row>
        <row r="10045">
          <cell r="B10045">
            <v>901325</v>
          </cell>
          <cell r="C10045" t="str">
            <v>FLOW CM LTDA</v>
          </cell>
          <cell r="D10045" t="str">
            <v>FLOW CM LTDA</v>
          </cell>
          <cell r="E10045" t="str">
            <v>BANCO SANTANDER (BRASIL) S/A</v>
          </cell>
        </row>
        <row r="10046">
          <cell r="B10046">
            <v>91</v>
          </cell>
          <cell r="C10046" t="str">
            <v>BANCO SANTANDER (BRASIL) S/A</v>
          </cell>
          <cell r="D10046" t="str">
            <v>BANCO SANTANDER (BRASIL) S/A</v>
          </cell>
          <cell r="E10046" t="str">
            <v>BANCO SANTANDER (BRASIL) S/A</v>
          </cell>
        </row>
        <row r="10047">
          <cell r="B10047">
            <v>92</v>
          </cell>
          <cell r="C10047" t="str">
            <v>BANCO SANTANDER (BRASIL) S/A</v>
          </cell>
          <cell r="D10047" t="str">
            <v>BANCO SANTANDER (BRASIL) S/A</v>
          </cell>
          <cell r="E10047" t="str">
            <v>BANCO SANTANDER (BRASIL) S/A</v>
          </cell>
        </row>
        <row r="10048">
          <cell r="B10048">
            <v>920211</v>
          </cell>
          <cell r="C10048" t="str">
            <v>FLOW CM LTDA</v>
          </cell>
          <cell r="D10048" t="str">
            <v>FLOW CM LTDA</v>
          </cell>
          <cell r="E10048" t="str">
            <v>BANCO SANTANDER (BRASIL) S/A</v>
          </cell>
        </row>
        <row r="10049">
          <cell r="B10049">
            <v>93</v>
          </cell>
          <cell r="C10049" t="str">
            <v>BANCO SANTANDER (BRASIL) S/A</v>
          </cell>
          <cell r="D10049" t="str">
            <v>BANCO SANTANDER (BRASIL) S/A</v>
          </cell>
          <cell r="E10049" t="str">
            <v>BANCO SANTANDER (BRASIL) S/A</v>
          </cell>
        </row>
        <row r="10050">
          <cell r="B10050">
            <v>94</v>
          </cell>
          <cell r="C10050" t="str">
            <v>BANCO SANTANDER (BRASIL) S/A</v>
          </cell>
          <cell r="D10050" t="str">
            <v>BANCO SANTANDER (BRASIL) S/A</v>
          </cell>
          <cell r="E10050" t="str">
            <v>BANCO SANTANDER (BRASIL) S/A</v>
          </cell>
        </row>
        <row r="10051">
          <cell r="B10051">
            <v>944542</v>
          </cell>
          <cell r="C10051" t="str">
            <v>FLOW CM LTDA</v>
          </cell>
          <cell r="D10051" t="str">
            <v>FLOW CM LTDA</v>
          </cell>
          <cell r="E10051" t="str">
            <v>BANCO SANTANDER (BRASIL) S/A</v>
          </cell>
        </row>
        <row r="10052">
          <cell r="B10052">
            <v>96</v>
          </cell>
          <cell r="C10052" t="str">
            <v>BANCO SANTANDER (BRASIL) S/A</v>
          </cell>
          <cell r="D10052" t="str">
            <v>BANCO SANTANDER (BRASIL) S/A</v>
          </cell>
          <cell r="E10052" t="str">
            <v>BANCO SANTANDER (BRASIL) S/A</v>
          </cell>
        </row>
        <row r="10053">
          <cell r="B10053">
            <v>97</v>
          </cell>
          <cell r="C10053" t="str">
            <v>BANCO SANTANDER (BRASIL) S/A</v>
          </cell>
          <cell r="D10053" t="str">
            <v>BANCO SANTANDER (BRASIL) S/A</v>
          </cell>
          <cell r="E10053" t="str">
            <v>BANCO SANTANDER (BRASIL) S/A</v>
          </cell>
        </row>
        <row r="10054">
          <cell r="B10054">
            <v>99</v>
          </cell>
          <cell r="C10054" t="str">
            <v>BANCO SANTANDER (BRASIL) S/A</v>
          </cell>
          <cell r="D10054" t="str">
            <v>BANCO SANTANDER (BRASIL) S/A</v>
          </cell>
          <cell r="E10054" t="str">
            <v>BANCO SANTANDER (BRASIL) S/A</v>
          </cell>
        </row>
        <row r="10055">
          <cell r="B10055">
            <v>79595</v>
          </cell>
          <cell r="D10055">
            <v>90595</v>
          </cell>
          <cell r="E10055" t="str">
            <v>BANCO SANTANDER (BRASIL) S/A</v>
          </cell>
        </row>
        <row r="10056">
          <cell r="B10056">
            <v>79625</v>
          </cell>
          <cell r="C10056" t="str">
            <v>BANCO SANTANDER (BRASIL) S/A</v>
          </cell>
          <cell r="D10056" t="str">
            <v>BANCO SANTANDER (BRASIL) S/A</v>
          </cell>
          <cell r="E10056" t="str">
            <v>BANCO SANTANDER (BRASIL) S/A</v>
          </cell>
        </row>
        <row r="10057">
          <cell r="B10057">
            <v>79626</v>
          </cell>
          <cell r="C10057" t="str">
            <v>BANCO SANTANDER (BRASIL) S/A</v>
          </cell>
          <cell r="D10057" t="str">
            <v>BANCO SANTANDER (BRASIL) S/A</v>
          </cell>
          <cell r="E10057" t="str">
            <v>BANCO SANTANDER (BRASIL) S/A</v>
          </cell>
        </row>
        <row r="10058">
          <cell r="B10058">
            <v>79627</v>
          </cell>
          <cell r="C10058" t="str">
            <v>BANCO SANTANDER (BRASIL) S/A</v>
          </cell>
          <cell r="D10058" t="str">
            <v>BANCO SANTANDER (BRASIL) S/A</v>
          </cell>
          <cell r="E10058" t="str">
            <v>BANCO SANTANDER (BRASIL) S/A</v>
          </cell>
        </row>
        <row r="10059">
          <cell r="B10059">
            <v>79628</v>
          </cell>
          <cell r="C10059" t="str">
            <v>BANCO SANTANDER (BRASIL) S/A</v>
          </cell>
          <cell r="D10059" t="str">
            <v>BANCO SANTANDER (BRASIL) S/A</v>
          </cell>
          <cell r="E10059" t="str">
            <v>BANCO SANTANDER (BRASIL) S/A</v>
          </cell>
        </row>
        <row r="10060">
          <cell r="B10060">
            <v>79629</v>
          </cell>
          <cell r="C10060" t="str">
            <v>BANCO SANTANDER (BRASIL) S/A</v>
          </cell>
          <cell r="D10060" t="str">
            <v>BANCO SANTANDER (BRASIL) S/A</v>
          </cell>
          <cell r="E10060" t="str">
            <v>BANCO SANTANDER (BRASIL) S/A</v>
          </cell>
        </row>
        <row r="10061">
          <cell r="B10061">
            <v>79630</v>
          </cell>
          <cell r="C10061" t="str">
            <v>BANCO SANTANDER (BRASIL) S/A</v>
          </cell>
          <cell r="D10061" t="str">
            <v>BANCO SANTANDER (BRASIL) S/A</v>
          </cell>
          <cell r="E10061" t="str">
            <v>BANCO SANTANDER (BRASIL) S/A</v>
          </cell>
        </row>
        <row r="10062">
          <cell r="B10062">
            <v>79631</v>
          </cell>
          <cell r="C10062" t="str">
            <v>BANCO SANTANDER (BRASIL) S/A</v>
          </cell>
          <cell r="D10062" t="str">
            <v>BANCO SANTANDER (BRASIL) S/A</v>
          </cell>
          <cell r="E10062" t="str">
            <v>BANCO SANTANDER (BRASIL) S/A</v>
          </cell>
        </row>
        <row r="10063">
          <cell r="B10063">
            <v>79632</v>
          </cell>
          <cell r="C10063" t="str">
            <v>BANCO SANTANDER (BRASIL) S/A</v>
          </cell>
          <cell r="D10063" t="str">
            <v>BANCO SANTANDER (BRASIL) S/A</v>
          </cell>
          <cell r="E10063" t="str">
            <v>BANCO SANTANDER (BRASIL) S/A</v>
          </cell>
        </row>
        <row r="10064">
          <cell r="B10064">
            <v>79633</v>
          </cell>
          <cell r="C10064" t="str">
            <v>BANCO SANTANDER (BRASIL) S/A</v>
          </cell>
          <cell r="D10064" t="str">
            <v>BANCO SANTANDER (BRASIL) S/A</v>
          </cell>
          <cell r="E10064" t="str">
            <v>BANCO SANTANDER (BRASIL) S/A</v>
          </cell>
        </row>
        <row r="10065">
          <cell r="B10065">
            <v>79634</v>
          </cell>
          <cell r="C10065" t="str">
            <v>BANCO SANTANDER (BRASIL) S/A</v>
          </cell>
          <cell r="D10065" t="str">
            <v>BANCO SANTANDER (BRASIL) S/A</v>
          </cell>
          <cell r="E10065" t="str">
            <v>BANCO SANTANDER (BRASIL) S/A</v>
          </cell>
        </row>
        <row r="10066">
          <cell r="B10066">
            <v>79635</v>
          </cell>
          <cell r="C10066" t="str">
            <v>BANCO SANTANDER (BRASIL) S/A</v>
          </cell>
          <cell r="D10066" t="str">
            <v>BANCO SANTANDER (BRASIL) S/A</v>
          </cell>
          <cell r="E10066" t="str">
            <v>BANCO SANTANDER (BRASIL) S/A</v>
          </cell>
        </row>
        <row r="10067">
          <cell r="B10067">
            <v>79636</v>
          </cell>
          <cell r="C10067" t="str">
            <v>BANCO SANTANDER (BRASIL) S/A</v>
          </cell>
          <cell r="D10067" t="str">
            <v>BANCO SANTANDER (BRASIL) S/A</v>
          </cell>
          <cell r="E10067" t="str">
            <v>BANCO SANTANDER (BRASIL) S/A</v>
          </cell>
        </row>
        <row r="10068">
          <cell r="B10068">
            <v>3008</v>
          </cell>
          <cell r="C10068" t="str">
            <v>BANCO SANTANDER (BRASIL) S/A</v>
          </cell>
          <cell r="D10068" t="str">
            <v>BANCO SANTANDER (BRASIL) S/A</v>
          </cell>
          <cell r="E10068" t="str">
            <v>BANCO SANTANDER (BRASIL) S/A</v>
          </cell>
        </row>
        <row r="10069">
          <cell r="B10069">
            <v>2080</v>
          </cell>
          <cell r="C10069" t="str">
            <v>FLOW CM LTDA</v>
          </cell>
          <cell r="D10069">
            <v>2080</v>
          </cell>
          <cell r="E10069" t="str">
            <v>BANCO SANTANDER (BRASIL) S/A</v>
          </cell>
        </row>
        <row r="10070">
          <cell r="B10070">
            <v>14452</v>
          </cell>
          <cell r="C10070" t="str">
            <v>BANCO SANTANDER (BRASIL) S/A</v>
          </cell>
          <cell r="D10070" t="str">
            <v>BANCO SANTANDER (BRASIL) S/A</v>
          </cell>
          <cell r="E10070" t="str">
            <v>BANCO SANTANDER (BRASIL) S/A</v>
          </cell>
        </row>
        <row r="10071">
          <cell r="B10071">
            <v>80315</v>
          </cell>
          <cell r="C10071" t="str">
            <v>GARIN INVESTIMENTOS LTDA</v>
          </cell>
          <cell r="D10071" t="str">
            <v>GARIN INVESTIMENTOS LTDA</v>
          </cell>
          <cell r="E10071" t="str">
            <v>GARIN INVESTIMENTOS LTDA</v>
          </cell>
        </row>
        <row r="10072">
          <cell r="B10072">
            <v>80316</v>
          </cell>
          <cell r="C10072" t="str">
            <v>FIM CANARY IE</v>
          </cell>
          <cell r="D10072" t="str">
            <v>FIM CANARY IE</v>
          </cell>
          <cell r="E10072" t="str">
            <v>BANCO CITIBANK S/A</v>
          </cell>
        </row>
        <row r="10073">
          <cell r="B10073">
            <v>80317</v>
          </cell>
          <cell r="C10073" t="str">
            <v>BGC LIQUIDEZ DTVM LTDA</v>
          </cell>
          <cell r="D10073" t="str">
            <v>BGC LIQUIDEZ DTVM LTDA</v>
          </cell>
          <cell r="E10073" t="str">
            <v>BGC LIQUIDEZ DTVM LTDA</v>
          </cell>
        </row>
        <row r="10074">
          <cell r="B10074">
            <v>80318</v>
          </cell>
          <cell r="C10074" t="str">
            <v>ENGELHART CTP (BRASIL) S.A</v>
          </cell>
          <cell r="D10074" t="str">
            <v>ENGELHART CTP (BRASIL) S.A</v>
          </cell>
          <cell r="E10074" t="str">
            <v>ENGELHART CTP (BRASIL) S.A</v>
          </cell>
        </row>
        <row r="10075">
          <cell r="B10075">
            <v>122933</v>
          </cell>
          <cell r="C10075" t="str">
            <v>TAGUS TOP FI RF CP</v>
          </cell>
          <cell r="D10075" t="str">
            <v>TAGUS TOP FI RF CP</v>
          </cell>
          <cell r="E10075" t="str">
            <v>XP GESTAO DE RECURSOS LTDA</v>
          </cell>
        </row>
        <row r="10076">
          <cell r="B10076">
            <v>80320</v>
          </cell>
          <cell r="C10076" t="str">
            <v>BANK OF CHINA (BRASIL) BANCO MULTIPLO S/A</v>
          </cell>
          <cell r="D10076" t="str">
            <v>BANK OF CHINA (BRASIL) BANCO MULTIPLO S/A</v>
          </cell>
          <cell r="E10076" t="str">
            <v>BANCO DA CHINA BRASIL S/A</v>
          </cell>
        </row>
        <row r="10077">
          <cell r="B10077">
            <v>80321</v>
          </cell>
          <cell r="C10077" t="str">
            <v>BANK OF CHINA (BRASIL) BANCO MULTIPLO S/A</v>
          </cell>
          <cell r="D10077" t="str">
            <v>BANK OF CHINA (BRASIL) BANCO MULTIPLO S/A</v>
          </cell>
          <cell r="E10077" t="str">
            <v>BANCO DA CHINA BRASIL S/A</v>
          </cell>
        </row>
        <row r="10078">
          <cell r="B10078">
            <v>80322</v>
          </cell>
          <cell r="C10078" t="str">
            <v>BANK OF CHINA (BRASIL) BANCO MULTIPLO S/A</v>
          </cell>
          <cell r="D10078" t="str">
            <v>BANK OF CHINA (BRASIL) BANCO MULTIPLO S/A</v>
          </cell>
          <cell r="E10078" t="str">
            <v>BANCO DA CHINA BRASIL S/A</v>
          </cell>
        </row>
        <row r="10079">
          <cell r="B10079">
            <v>80323</v>
          </cell>
          <cell r="C10079" t="str">
            <v>BANK OF CHINA (BRASIL) BANCO MULTIPLO S/A</v>
          </cell>
          <cell r="D10079" t="str">
            <v>BANK OF CHINA (BRASIL) BANCO MULTIPLO S/A</v>
          </cell>
          <cell r="E10079" t="str">
            <v>BANCO DA CHINA BRASIL S/A</v>
          </cell>
        </row>
        <row r="10080">
          <cell r="B10080">
            <v>80324</v>
          </cell>
          <cell r="C10080" t="str">
            <v>BANK OF CHINA (BRASIL) BANCO MULTIPLO S/A</v>
          </cell>
          <cell r="D10080" t="str">
            <v>BANK OF CHINA (BRASIL) BANCO MULTIPLO S/A</v>
          </cell>
          <cell r="E10080" t="str">
            <v>BANCO DA CHINA BRASIL S/A</v>
          </cell>
        </row>
        <row r="10081">
          <cell r="B10081">
            <v>80325</v>
          </cell>
          <cell r="C10081" t="str">
            <v>BANK OF CHINA (BRASIL) BANCO MULTIPLO S/A</v>
          </cell>
          <cell r="D10081" t="str">
            <v>BANK OF CHINA (BRASIL) BANCO MULTIPLO S/A</v>
          </cell>
          <cell r="E10081" t="str">
            <v>BANCO DA CHINA BRASIL S/A</v>
          </cell>
        </row>
        <row r="10082">
          <cell r="B10082">
            <v>80326</v>
          </cell>
          <cell r="C10082" t="str">
            <v>BANK OF CHINA (BRASIL) BANCO MULTIPLO S/A</v>
          </cell>
          <cell r="D10082" t="str">
            <v>BANK OF CHINA (BRASIL) BANCO MULTIPLO S/A</v>
          </cell>
          <cell r="E10082" t="str">
            <v>BANCO DA CHINA BRASIL S/A</v>
          </cell>
        </row>
        <row r="10083">
          <cell r="B10083">
            <v>80328</v>
          </cell>
          <cell r="C10083" t="str">
            <v>ITAU UNIBANCO S.A.</v>
          </cell>
          <cell r="D10083" t="str">
            <v>ITAU UNIBANCO S.A.</v>
          </cell>
          <cell r="E10083" t="str">
            <v>ITAU UNIBANCO S/A</v>
          </cell>
        </row>
        <row r="10084">
          <cell r="B10084">
            <v>80331</v>
          </cell>
          <cell r="C10084" t="str">
            <v>ITAU UNIBANCO S.A.</v>
          </cell>
          <cell r="D10084" t="str">
            <v>ITAU UNIBANCO S.A.</v>
          </cell>
          <cell r="E10084" t="str">
            <v>ITAU UNIBANCO S/A</v>
          </cell>
        </row>
        <row r="10085">
          <cell r="B10085">
            <v>80332</v>
          </cell>
          <cell r="C10085" t="str">
            <v>BANCO ITAUCARD S/A</v>
          </cell>
          <cell r="D10085" t="str">
            <v>BANCO ITAUCARD S/A</v>
          </cell>
          <cell r="E10085" t="str">
            <v>BANCO   ITAUCARD S/A</v>
          </cell>
        </row>
        <row r="10086">
          <cell r="B10086">
            <v>80333</v>
          </cell>
          <cell r="C10086" t="str">
            <v>BANCO ITAUCARD S/A</v>
          </cell>
          <cell r="D10086" t="str">
            <v>BANCO ITAUCARD S/A</v>
          </cell>
          <cell r="E10086" t="str">
            <v>BANCO   ITAUCARD S/A</v>
          </cell>
        </row>
        <row r="10087">
          <cell r="B10087">
            <v>80334</v>
          </cell>
          <cell r="C10087" t="str">
            <v>BANCO ITAUCARD S/A</v>
          </cell>
          <cell r="D10087" t="str">
            <v>BANCO ITAUCARD S/A</v>
          </cell>
          <cell r="E10087" t="str">
            <v>BANCO   ITAUCARD S/A</v>
          </cell>
        </row>
        <row r="10088">
          <cell r="B10088">
            <v>80335</v>
          </cell>
          <cell r="C10088" t="str">
            <v>BANCO ITAUCARD S/A</v>
          </cell>
          <cell r="D10088" t="str">
            <v>BANCO ITAUCARD S/A</v>
          </cell>
          <cell r="E10088" t="str">
            <v>BANCO   ITAUCARD S/A</v>
          </cell>
        </row>
        <row r="10089">
          <cell r="B10089">
            <v>80336</v>
          </cell>
          <cell r="C10089" t="str">
            <v>BANCO ITAUCARD S/A</v>
          </cell>
          <cell r="D10089" t="str">
            <v>BANCO ITAUCARD S/A</v>
          </cell>
          <cell r="E10089" t="str">
            <v>BANCO   ITAUCARD S/A</v>
          </cell>
        </row>
        <row r="10090">
          <cell r="B10090">
            <v>80343</v>
          </cell>
          <cell r="C10090" t="str">
            <v>BANCO BS2 S.A.</v>
          </cell>
          <cell r="D10090" t="str">
            <v>BANCO BS2 S.A.</v>
          </cell>
          <cell r="E10090" t="str">
            <v>BANCO BS2 S/A</v>
          </cell>
        </row>
        <row r="10091">
          <cell r="B10091">
            <v>80344</v>
          </cell>
          <cell r="C10091" t="str">
            <v>BUNGE ALIMENTOS S/A</v>
          </cell>
          <cell r="D10091" t="str">
            <v>BUNGE ALIMENTOS S/A</v>
          </cell>
          <cell r="E10091" t="str">
            <v>BUNGE ALIMENTOS S/A</v>
          </cell>
        </row>
        <row r="10092">
          <cell r="B10092">
            <v>80345</v>
          </cell>
          <cell r="C10092" t="str">
            <v>MINERVA S/A</v>
          </cell>
          <cell r="D10092" t="str">
            <v>MINERVA S/A</v>
          </cell>
          <cell r="E10092" t="str">
            <v>MINERVA S/A</v>
          </cell>
        </row>
        <row r="10093">
          <cell r="B10093">
            <v>80346</v>
          </cell>
          <cell r="C10093" t="str">
            <v>MINERVA S/A</v>
          </cell>
          <cell r="D10093" t="str">
            <v>MINERVA S/A</v>
          </cell>
          <cell r="E10093" t="str">
            <v>MINERVA S/A</v>
          </cell>
        </row>
        <row r="10094">
          <cell r="B10094">
            <v>80348</v>
          </cell>
          <cell r="C10094" t="str">
            <v>BANCO ALFA DE INVESTIMENTO S/A</v>
          </cell>
          <cell r="D10094" t="str">
            <v>BANCO ALFA DE INVESTIMENTO S/A</v>
          </cell>
          <cell r="E10094" t="str">
            <v>BANCO ALFA DE INVESTIMENTO S/A</v>
          </cell>
        </row>
        <row r="10095">
          <cell r="B10095">
            <v>80349</v>
          </cell>
          <cell r="C10095" t="str">
            <v>SKOPOS INVESTIMENTOS LTDA</v>
          </cell>
          <cell r="D10095" t="str">
            <v>SKOPOS INVESTIMENTOS LTDA</v>
          </cell>
          <cell r="E10095" t="str">
            <v>SKOPOS INVESTIMENTOS LTDA</v>
          </cell>
        </row>
        <row r="10096">
          <cell r="B10096">
            <v>79605</v>
          </cell>
          <cell r="C10096" t="str">
            <v>MORE INVEST GESTORA DE RECURSOS LTDA</v>
          </cell>
          <cell r="D10096" t="str">
            <v>MORE INVEST GESTORA DE RECURSOS LTDA</v>
          </cell>
          <cell r="E10096" t="str">
            <v>MORE INVEST GESTORA DE RECURSOS LTDA</v>
          </cell>
        </row>
        <row r="10097">
          <cell r="B10097">
            <v>80351</v>
          </cell>
          <cell r="C10097" t="str">
            <v>FUNDACAO PETROBRAS DE SEGURIDADE SOCIAL PETROS</v>
          </cell>
          <cell r="D10097" t="str">
            <v>FUNDACAO PETROBRAS DE SEGURIDADE SOCIAL PETROS</v>
          </cell>
          <cell r="E10097" t="str">
            <v>FUNDACAO PETROBRAS DE SEGURIDADE SOCIAL PETROS</v>
          </cell>
        </row>
        <row r="10098">
          <cell r="B10098">
            <v>80352</v>
          </cell>
          <cell r="C10098" t="str">
            <v>FUNDACAO PETROBRAS DE SEGURIDADE SOCIAL PETROS</v>
          </cell>
          <cell r="D10098" t="str">
            <v>FUNDACAO PETROBRAS DE SEGURIDADE SOCIAL PETROS</v>
          </cell>
          <cell r="E10098" t="str">
            <v>FUNDACAO PETROBRAS DE SEGURIDADE SOCIAL PETROS</v>
          </cell>
        </row>
        <row r="10099">
          <cell r="B10099">
            <v>80353</v>
          </cell>
          <cell r="C10099" t="str">
            <v>BANCO ABN AMRO CLEARING S.A.</v>
          </cell>
          <cell r="D10099" t="str">
            <v>BANCO ABN AMRO CLEARING S.A.</v>
          </cell>
          <cell r="E10099" t="str">
            <v>BANCO ABN AMRO S/A</v>
          </cell>
        </row>
        <row r="10100">
          <cell r="B10100">
            <v>80354</v>
          </cell>
          <cell r="C10100" t="str">
            <v>FACT INVESTMENTS GESTAO DE RECURSOS LTDA</v>
          </cell>
          <cell r="D10100" t="str">
            <v>FACT INVESTMENTS GESTAO DE RECURSOS LTDA</v>
          </cell>
          <cell r="E10100" t="str">
            <v>FACT INVESTMENTS GESTAO DE RECURSOS LTDA</v>
          </cell>
        </row>
        <row r="10101">
          <cell r="B10101">
            <v>80356</v>
          </cell>
          <cell r="C10101" t="str">
            <v>HSBC BANK USA , NATIONAL ASSOCIATION - BEM (RATES)</v>
          </cell>
          <cell r="D10101" t="str">
            <v>HSBC BANK USA , NATIONAL ASSOCIATION - BEM (RATES)</v>
          </cell>
          <cell r="E10101" t="str">
            <v>BANCO HSBC S/A</v>
          </cell>
        </row>
        <row r="10102">
          <cell r="B10102">
            <v>80357</v>
          </cell>
          <cell r="C10102" t="str">
            <v>HSBC BANK USA, NATIONAL ASSOCIATION - BEM (HBUS)</v>
          </cell>
          <cell r="D10102" t="str">
            <v>HSBC BANK USA, NATIONAL ASSOCIATION - BEM (HBUS)</v>
          </cell>
          <cell r="E10102" t="str">
            <v>BANCO HSBC S/A</v>
          </cell>
        </row>
        <row r="10103">
          <cell r="B10103">
            <v>999144</v>
          </cell>
          <cell r="C10103" t="str">
            <v>TERRA FUTUROS CM S/A</v>
          </cell>
          <cell r="D10103" t="str">
            <v>TERRA FUTUROS CM S/A</v>
          </cell>
          <cell r="E10103" t="str">
            <v>TERRA FUTUROS CM S/A</v>
          </cell>
        </row>
        <row r="10104">
          <cell r="B10104">
            <v>14481</v>
          </cell>
          <cell r="C10104" t="str">
            <v>BANCO SANTANDER (BRASIL) S/A</v>
          </cell>
          <cell r="D10104" t="str">
            <v>BANCO SANTANDER (BRASIL) S/A</v>
          </cell>
          <cell r="E10104" t="str">
            <v>BANCO SANTANDER (BRASIL) S/A</v>
          </cell>
        </row>
        <row r="10105">
          <cell r="B10105">
            <v>124014</v>
          </cell>
          <cell r="C10105" t="str">
            <v>BANCO SANTANDER (BRASIL) S/A</v>
          </cell>
          <cell r="D10105" t="str">
            <v>BANCO SANTANDER (BRASIL) S/A</v>
          </cell>
          <cell r="E10105" t="str">
            <v>BANCO SANTANDER (BRASIL) S/A</v>
          </cell>
        </row>
        <row r="10106">
          <cell r="B10106">
            <v>124015</v>
          </cell>
          <cell r="C10106" t="str">
            <v>BANCO SANTANDER (BRASIL) S/A</v>
          </cell>
          <cell r="D10106" t="str">
            <v>BANCO SANTANDER (BRASIL) S/A</v>
          </cell>
          <cell r="E10106" t="str">
            <v>BANCO SANTANDER (BRASIL) S/A</v>
          </cell>
        </row>
        <row r="10107">
          <cell r="B10107">
            <v>124016</v>
          </cell>
          <cell r="C10107" t="str">
            <v>BANCO SANTANDER (BRASIL) S/A</v>
          </cell>
          <cell r="D10107" t="str">
            <v>BANCO SANTANDER (BRASIL) S/A</v>
          </cell>
          <cell r="E10107" t="str">
            <v>BANCO SANTANDER (BRASIL) S/A</v>
          </cell>
        </row>
        <row r="10108">
          <cell r="B10108">
            <v>124017</v>
          </cell>
          <cell r="C10108" t="str">
            <v>BANCO SANTANDER (BRASIL) S/A</v>
          </cell>
          <cell r="D10108" t="str">
            <v>BANCO SANTANDER (BRASIL) S/A</v>
          </cell>
          <cell r="E10108" t="str">
            <v>BANCO SANTANDER (BRASIL) S/A</v>
          </cell>
        </row>
        <row r="10109">
          <cell r="B10109">
            <v>920211</v>
          </cell>
          <cell r="C10109" t="str">
            <v>FLOW CM LTDA</v>
          </cell>
          <cell r="D10109">
            <v>2011</v>
          </cell>
          <cell r="E10109" t="str">
            <v>BANCO SANTANDER (BRASIL) S/A</v>
          </cell>
        </row>
        <row r="10110">
          <cell r="B10110">
            <v>944542</v>
          </cell>
          <cell r="C10110" t="str">
            <v>FLOW CM LTDA</v>
          </cell>
          <cell r="D10110" t="str">
            <v>FLOW CM LTDA</v>
          </cell>
          <cell r="E10110" t="str">
            <v>BANCO SANTANDER (BRASIL) S/A</v>
          </cell>
        </row>
        <row r="10111">
          <cell r="B10111">
            <v>1105</v>
          </cell>
          <cell r="C10111" t="str">
            <v>FLOW CM LTDA</v>
          </cell>
          <cell r="D10111">
            <v>1105</v>
          </cell>
          <cell r="E10111" t="str">
            <v>BANCO SANTANDER (BRASIL) S/A</v>
          </cell>
        </row>
        <row r="10112">
          <cell r="B10112">
            <v>1125</v>
          </cell>
          <cell r="C10112" t="str">
            <v>FLOW CM LTDA</v>
          </cell>
          <cell r="D10112">
            <v>1125</v>
          </cell>
          <cell r="E10112" t="str">
            <v>BANCO SANTANDER (BRASIL) S/A</v>
          </cell>
        </row>
        <row r="10113">
          <cell r="B10113">
            <v>80081</v>
          </cell>
          <cell r="C10113" t="str">
            <v>BANCO SANTANDER (BRASIL) S/A</v>
          </cell>
          <cell r="D10113" t="str">
            <v>BANCO SANTANDER (BRASIL) S/A</v>
          </cell>
          <cell r="E10113" t="str">
            <v>BANCO SANTANDER (BRASIL) S/A</v>
          </cell>
        </row>
        <row r="10114">
          <cell r="B10114">
            <v>80373</v>
          </cell>
          <cell r="C10114" t="str">
            <v>SQUADRA INVESTIMENTOS GESTÃƒO DE RECURSOS LTDA</v>
          </cell>
          <cell r="D10114" t="str">
            <v>SQUADRA INVESTIMENTOS GESTÃƒO DE RECURSOS LTDA</v>
          </cell>
          <cell r="E10114" t="str">
            <v>SQUADRA INVESTIMENTOS GESTÃƒO DE RECURSOS LTDA</v>
          </cell>
        </row>
        <row r="10115">
          <cell r="B10115">
            <v>80374</v>
          </cell>
          <cell r="C10115" t="str">
            <v>INTESA SANPAOLO BRASIL S.A - BANCO MULTIPLO</v>
          </cell>
          <cell r="D10115" t="str">
            <v>INTESA SANPAOLO BRASIL S.A - BANCO MULTIPLO</v>
          </cell>
          <cell r="E10115" t="str">
            <v>INTESA SANPAOLO BRASIL S.A - BANCO MULTIPLO</v>
          </cell>
        </row>
        <row r="10116">
          <cell r="B10116">
            <v>80375</v>
          </cell>
          <cell r="C10116" t="str">
            <v>ITAU UNIBANCO S.A.</v>
          </cell>
          <cell r="D10116" t="str">
            <v>ITAU UNIBANCO S.A.</v>
          </cell>
          <cell r="E10116" t="str">
            <v>ITAU UNIBANCO S/A</v>
          </cell>
        </row>
        <row r="10117">
          <cell r="B10117">
            <v>80376</v>
          </cell>
          <cell r="C10117" t="str">
            <v>ITAU UNIBANCO S.A.</v>
          </cell>
          <cell r="D10117" t="str">
            <v>ITAU UNIBANCO S.A.</v>
          </cell>
          <cell r="E10117" t="str">
            <v>ITAU UNIBANCO S/A</v>
          </cell>
        </row>
        <row r="10118">
          <cell r="B10118">
            <v>80380</v>
          </cell>
          <cell r="C10118" t="str">
            <v>VINCI SOLUÃ‡Ã•ES DE INVESTIMENTOS LTDA</v>
          </cell>
          <cell r="D10118" t="str">
            <v>VINCI SOLUÃ‡Ã•ES DE INVESTIMENTOS LTDA</v>
          </cell>
          <cell r="E10118" t="str">
            <v>VINCI GESTORA DE RECURSOS LTDA</v>
          </cell>
        </row>
        <row r="10119">
          <cell r="B10119">
            <v>80381</v>
          </cell>
          <cell r="C10119" t="str">
            <v>NEO GESTAO DE RECURSOS LTDA.</v>
          </cell>
          <cell r="D10119" t="str">
            <v>NEO GESTAO DE RECURSOS LTDA.</v>
          </cell>
          <cell r="E10119" t="str">
            <v>NEO GESTÃO DE RECURSOS LTDA</v>
          </cell>
        </row>
        <row r="10120">
          <cell r="B10120">
            <v>80382</v>
          </cell>
          <cell r="C10120" t="str">
            <v>NEO NAVITAS MASTER FIA</v>
          </cell>
          <cell r="D10120" t="str">
            <v>NEO NAVITAS MASTER FIA</v>
          </cell>
          <cell r="E10120" t="str">
            <v>NEO GESTÃO DE RECURSOS LTDA</v>
          </cell>
        </row>
        <row r="10121">
          <cell r="B10121">
            <v>80384</v>
          </cell>
          <cell r="C10121" t="str">
            <v>SOMMA INVESTIMENTOS S.A</v>
          </cell>
          <cell r="D10121" t="str">
            <v>SOMMA INVESTIMENTOS S.A</v>
          </cell>
          <cell r="E10121" t="str">
            <v>SOMMA INVESTIMENTOS S.A</v>
          </cell>
        </row>
        <row r="10122">
          <cell r="B10122">
            <v>80385</v>
          </cell>
          <cell r="C10122" t="str">
            <v>FACT INVESTMENTS GESTAO DE RECURSOS LTDA</v>
          </cell>
          <cell r="D10122" t="str">
            <v>FACT INVESTMENTS GESTAO DE RECURSOS LTDA</v>
          </cell>
          <cell r="E10122" t="str">
            <v>FACT INVESTMENTS GESTAO DE RECURSOS LTDA</v>
          </cell>
        </row>
        <row r="10123">
          <cell r="B10123">
            <v>80387</v>
          </cell>
          <cell r="C10123" t="str">
            <v>FUNDACAO PETROBRAS DE SEGURIDADE SOCIAL PETROS</v>
          </cell>
          <cell r="D10123" t="str">
            <v>FUNDACAO PETROBRAS DE SEGURIDADE SOCIAL PETROS</v>
          </cell>
          <cell r="E10123" t="str">
            <v>FUNDACAO PETROBRAS DE SEGURIDADE SOCIAL PETROS</v>
          </cell>
        </row>
        <row r="10124">
          <cell r="B10124">
            <v>80425</v>
          </cell>
          <cell r="C10124" t="str">
            <v>FAMA SNIPER FUNDO DE INVESTIMENTO FINANCEIRO</v>
          </cell>
          <cell r="D10124" t="str">
            <v>FAMA SNIPER FUNDO DE INVESTIMENTO FINANCEIRO</v>
          </cell>
          <cell r="E10124" t="str">
            <v>FAMA SNIPER FUNDO DE INVESTIMENTO FINANCEIRO</v>
          </cell>
        </row>
        <row r="10125">
          <cell r="B10125">
            <v>80542</v>
          </cell>
          <cell r="C10125" t="str">
            <v>FLAVIO MARIO MACHADO DOS SANTOS</v>
          </cell>
          <cell r="D10125" t="str">
            <v>FLAVIO MARIO MACHADO DOS SANTOS</v>
          </cell>
          <cell r="E10125" t="str">
            <v>FLAVIO MARIO MACHADO DOS SANTOS</v>
          </cell>
        </row>
        <row r="10126">
          <cell r="B10126">
            <v>80543</v>
          </cell>
          <cell r="C10126" t="str">
            <v>ALEXANDRE GORBERG</v>
          </cell>
          <cell r="D10126" t="str">
            <v>ALEXANDRE GORBERG</v>
          </cell>
          <cell r="E10126" t="str">
            <v>ALEXANDRE GORBERG</v>
          </cell>
        </row>
        <row r="10127">
          <cell r="B10127">
            <v>80544</v>
          </cell>
          <cell r="C10127" t="str">
            <v>TATIANA GORBERG</v>
          </cell>
          <cell r="D10127" t="str">
            <v>TATIANA GORBERG</v>
          </cell>
          <cell r="E10127" t="str">
            <v>TATIANA GORBERG</v>
          </cell>
        </row>
        <row r="10128">
          <cell r="B10128">
            <v>80555</v>
          </cell>
          <cell r="C10128" t="str">
            <v>IVANY GORBERG</v>
          </cell>
          <cell r="D10128" t="str">
            <v>IVANY GORBERG</v>
          </cell>
          <cell r="E10128" t="str">
            <v>IVANY GORBERG</v>
          </cell>
        </row>
        <row r="10129">
          <cell r="B10129">
            <v>80556</v>
          </cell>
          <cell r="C10129" t="str">
            <v>BERNARDO GORBERG</v>
          </cell>
          <cell r="D10129" t="str">
            <v>BERNARDO GORBERG</v>
          </cell>
          <cell r="E10129" t="str">
            <v>BERNARDO GORBERG</v>
          </cell>
        </row>
        <row r="10130">
          <cell r="B10130">
            <v>80557</v>
          </cell>
          <cell r="C10130" t="str">
            <v>THEREZA SANTOS FERRAZ SILVEIRA</v>
          </cell>
          <cell r="D10130" t="str">
            <v>THEREZA SANTOS FERRAZ SILVEIRA</v>
          </cell>
          <cell r="E10130" t="str">
            <v>THEREZA SANTOS FERRAZ SILVEIRA</v>
          </cell>
        </row>
        <row r="10131">
          <cell r="B10131">
            <v>80558</v>
          </cell>
          <cell r="C10131" t="str">
            <v>THAISSA GORBERG</v>
          </cell>
          <cell r="D10131" t="str">
            <v>THAISSA GORBERG</v>
          </cell>
          <cell r="E10131" t="str">
            <v>THAISSA GORBERG</v>
          </cell>
        </row>
        <row r="10132">
          <cell r="B10132">
            <v>80559</v>
          </cell>
          <cell r="C10132" t="str">
            <v>MANDATTO TREASURY FUNDO DE INVESTIMENTO MULTIMERCADO CREDITO</v>
          </cell>
          <cell r="D10132" t="str">
            <v>MANDATTO TREASURY FUNDO DE INVESTIMENTO MULTIMERCADO CREDITO</v>
          </cell>
          <cell r="E10132" t="str">
            <v>MANDATTO TREASURY FUNDO DE INVESTIMENTO MULTIMERCADO CREDITO</v>
          </cell>
        </row>
        <row r="10133">
          <cell r="B10133">
            <v>80560</v>
          </cell>
          <cell r="C10133" t="str">
            <v>MARCO ANTONIO SOUZA ALHO</v>
          </cell>
          <cell r="D10133" t="str">
            <v>MARCO ANTONIO SOUZA ALHO</v>
          </cell>
          <cell r="E10133" t="str">
            <v>MARCO ANTONIO SOUZA ALHO</v>
          </cell>
        </row>
        <row r="10134">
          <cell r="B10134">
            <v>80561</v>
          </cell>
          <cell r="C10134" t="str">
            <v>FABIOLA PEREIRA PINHEIRO MACIEIRA</v>
          </cell>
          <cell r="D10134" t="str">
            <v>FABIOLA PEREIRA PINHEIRO MACIEIRA</v>
          </cell>
          <cell r="E10134" t="str">
            <v>FABIOLA PEREIRA PINHEIRO MACIEIRA</v>
          </cell>
        </row>
        <row r="10135">
          <cell r="B10135">
            <v>80562</v>
          </cell>
          <cell r="C10135" t="str">
            <v>MAXIMA ADVANCED FIM</v>
          </cell>
          <cell r="D10135" t="str">
            <v>MAXIMA ADVANCED FIM</v>
          </cell>
          <cell r="E10135" t="str">
            <v>MAXIMA ADVANCED FIM</v>
          </cell>
        </row>
        <row r="10136">
          <cell r="B10136">
            <v>80568</v>
          </cell>
          <cell r="C10136" t="str">
            <v>GLOBALCAPITAL CREDITO FUNDO DE INVEST. RENDA FIXA</v>
          </cell>
          <cell r="D10136" t="str">
            <v>GLOBALCAPITAL CREDITO FUNDO DE INVEST. RENDA FIXA</v>
          </cell>
          <cell r="E10136" t="str">
            <v>GLOBALCAPITAL CREDITO FUNDO DE INVEST. RENDA FIXA</v>
          </cell>
        </row>
        <row r="10137">
          <cell r="B10137">
            <v>80569</v>
          </cell>
          <cell r="C10137" t="str">
            <v>FIM PETROS CREDITO BOREAL</v>
          </cell>
          <cell r="D10137" t="str">
            <v>FIM PETROS CREDITO BOREAL</v>
          </cell>
          <cell r="E10137" t="str">
            <v>GLOBAL CAPITAL2000 ADMINISTRADORA DE RECURSOS FINANCEIROS S/</v>
          </cell>
        </row>
        <row r="10138">
          <cell r="B10138">
            <v>80779</v>
          </cell>
          <cell r="C10138" t="str">
            <v>FUNDACAO DE SEGURIDADE SOCIAL BRASLIGHT</v>
          </cell>
          <cell r="D10138" t="str">
            <v>FUNDACAO DE SEGURIDADE SOCIAL BRASLIGHT</v>
          </cell>
          <cell r="E10138" t="str">
            <v>FUNDACAO DE SEGURIDADE SOCIAL BRASLIGHT</v>
          </cell>
        </row>
        <row r="10139">
          <cell r="B10139">
            <v>901325</v>
          </cell>
          <cell r="C10139" t="str">
            <v>FLOW CM LTDA</v>
          </cell>
          <cell r="D10139">
            <v>1325</v>
          </cell>
          <cell r="E10139" t="str">
            <v>BANCO SANTANDER (BRASIL) S/A</v>
          </cell>
        </row>
        <row r="10140">
          <cell r="B10140">
            <v>8122003</v>
          </cell>
          <cell r="C10140" t="str">
            <v>JOSE RANIERI NETTO</v>
          </cell>
          <cell r="D10140" t="str">
            <v>JOSE RANIERI NETTO</v>
          </cell>
          <cell r="E10140" t="str">
            <v>JOSE RANIERI NETTO</v>
          </cell>
        </row>
        <row r="10141">
          <cell r="B10141">
            <v>8122110</v>
          </cell>
          <cell r="C10141" t="str">
            <v>RICARDO TERTULIANO DE OLIVEIRA MOURAO</v>
          </cell>
          <cell r="D10141" t="str">
            <v>RICARDO TERTULIANO DE OLIVEIRA MOURAO</v>
          </cell>
          <cell r="E10141" t="str">
            <v>RICARDO TERTULIANO DE OLIVEIRA MOURAO</v>
          </cell>
        </row>
        <row r="10142">
          <cell r="B10142">
            <v>81222</v>
          </cell>
          <cell r="C10142" t="str">
            <v>AAA FUNDO DE INVESTIMENTO FINANCEIRO 60</v>
          </cell>
          <cell r="D10142" t="str">
            <v>AAA FUNDO DE INVESTIMENTO FINANCEIRO 60</v>
          </cell>
          <cell r="E10142" t="str">
            <v>AAA FUNDO DE INVESTIMENTO FINANCEIRO 60</v>
          </cell>
        </row>
        <row r="10143">
          <cell r="B10143">
            <v>81223</v>
          </cell>
          <cell r="C10143" t="str">
            <v>AAA ACOES FDO DE INVESTIMENTO EM ACOES</v>
          </cell>
          <cell r="D10143" t="str">
            <v>AAA ACOES FDO DE INVESTIMENTO EM ACOES</v>
          </cell>
          <cell r="E10143" t="str">
            <v>AAA ACOES FDO DE INVESTIMENTO EM ACOES</v>
          </cell>
        </row>
        <row r="10144">
          <cell r="B10144">
            <v>81224</v>
          </cell>
          <cell r="C10144" t="str">
            <v>AAA CAMBIAL FIF</v>
          </cell>
          <cell r="D10144" t="str">
            <v>AAA CAMBIAL FIF</v>
          </cell>
          <cell r="E10144" t="str">
            <v>AAA CAMBIAL FIF</v>
          </cell>
        </row>
        <row r="10145">
          <cell r="B10145">
            <v>814401</v>
          </cell>
          <cell r="C10145" t="str">
            <v>LEONARDO BIGI DE AQUINO</v>
          </cell>
          <cell r="D10145" t="str">
            <v>LEONARDO BIGI DE AQUINO</v>
          </cell>
          <cell r="E10145" t="str">
            <v>LEONARDO BIGI DE AQUINO</v>
          </cell>
        </row>
        <row r="10146">
          <cell r="B10146">
            <v>814402</v>
          </cell>
          <cell r="C10146" t="str">
            <v>RENATO ANDERSON NEVES PINTO DA SILVA</v>
          </cell>
          <cell r="D10146" t="str">
            <v>RENATO ANDERSON NEVES PINTO DA SILVA</v>
          </cell>
          <cell r="E10146" t="str">
            <v>RENATO ANDERSON NEVES PINTO DA SILVA</v>
          </cell>
        </row>
        <row r="10147">
          <cell r="B10147">
            <v>814403</v>
          </cell>
          <cell r="C10147" t="str">
            <v>ROBERTO ANDRADE DINIZ</v>
          </cell>
          <cell r="D10147" t="str">
            <v>ROBERTO ANDRADE DINIZ</v>
          </cell>
          <cell r="E10147" t="str">
            <v>ROBERTO ANDRADE DINIZ</v>
          </cell>
        </row>
        <row r="10148">
          <cell r="B10148">
            <v>814404</v>
          </cell>
          <cell r="C10148" t="str">
            <v>HELBSON DE AVILA</v>
          </cell>
          <cell r="D10148" t="str">
            <v>HELBSON DE AVILA</v>
          </cell>
          <cell r="E10148" t="str">
            <v>HELBSON DE AVILA</v>
          </cell>
        </row>
        <row r="10149">
          <cell r="B10149">
            <v>814405</v>
          </cell>
          <cell r="C10149" t="str">
            <v>SERGIO MARTINS VIEIRA</v>
          </cell>
          <cell r="D10149" t="str">
            <v>SERGIO MARTINS VIEIRA</v>
          </cell>
          <cell r="E10149" t="str">
            <v>SERGIO MARTINS VIEIRA</v>
          </cell>
        </row>
        <row r="10150">
          <cell r="B10150">
            <v>814406</v>
          </cell>
          <cell r="C10150" t="str">
            <v>FARNEY COUTINHO MOREIRA</v>
          </cell>
          <cell r="D10150" t="str">
            <v>FARNEY COUTINHO MOREIRA</v>
          </cell>
          <cell r="E10150" t="str">
            <v>FARNEY COUTINHO MOREIRA</v>
          </cell>
        </row>
        <row r="10151">
          <cell r="B10151">
            <v>814407</v>
          </cell>
          <cell r="C10151" t="str">
            <v>MAURO DOS REIS SIQUEIRA</v>
          </cell>
          <cell r="D10151" t="str">
            <v>MAURO DOS REIS SIQUEIRA</v>
          </cell>
          <cell r="E10151" t="str">
            <v>MAURO DOS REIS SIQUEIRA</v>
          </cell>
        </row>
        <row r="10152">
          <cell r="B10152">
            <v>814408</v>
          </cell>
          <cell r="C10152" t="str">
            <v>VANDERBILTE DE SOUSA ALMEIDA</v>
          </cell>
          <cell r="D10152" t="str">
            <v>VANDERBILTE DE SOUSA ALMEIDA</v>
          </cell>
          <cell r="E10152" t="str">
            <v>VANDERBILTE DE SOUSA ALMEIDA</v>
          </cell>
        </row>
        <row r="10153">
          <cell r="B10153">
            <v>814409</v>
          </cell>
          <cell r="C10153" t="str">
            <v>JOSE MESSIAS DE PAULA</v>
          </cell>
          <cell r="D10153" t="str">
            <v>JOSE MESSIAS DE PAULA</v>
          </cell>
          <cell r="E10153" t="str">
            <v>JOSE MESSIAS DE PAULA</v>
          </cell>
        </row>
        <row r="10154">
          <cell r="B10154">
            <v>814410</v>
          </cell>
          <cell r="C10154" t="str">
            <v>ALUISIO PEYNEAU</v>
          </cell>
          <cell r="D10154" t="str">
            <v>ALUISIO PEYNEAU</v>
          </cell>
          <cell r="E10154" t="str">
            <v>ALUISIO PEYNEAU</v>
          </cell>
        </row>
        <row r="10155">
          <cell r="B10155">
            <v>814411</v>
          </cell>
          <cell r="C10155" t="str">
            <v>RICARDO SOARES BENTHER</v>
          </cell>
          <cell r="D10155" t="str">
            <v>RICARDO SOARES BENTHER</v>
          </cell>
          <cell r="E10155" t="str">
            <v>RICARDO SOARES BENTHER</v>
          </cell>
        </row>
        <row r="10156">
          <cell r="B10156">
            <v>814412</v>
          </cell>
          <cell r="C10156" t="str">
            <v>WILLIAM DA SILVA FERREIRA</v>
          </cell>
          <cell r="D10156" t="str">
            <v>WILLIAM DA SILVA FERREIRA</v>
          </cell>
          <cell r="E10156" t="str">
            <v>WILLIAM DA SILVA FERREIRA</v>
          </cell>
        </row>
        <row r="10157">
          <cell r="B10157">
            <v>814413</v>
          </cell>
          <cell r="C10157" t="str">
            <v>ANDRE RUZ NEVES</v>
          </cell>
          <cell r="D10157" t="str">
            <v>ANDRE RUZ NEVES</v>
          </cell>
          <cell r="E10157" t="str">
            <v>ANDRE RUZ NEVES</v>
          </cell>
        </row>
        <row r="10158">
          <cell r="B10158">
            <v>814415</v>
          </cell>
          <cell r="C10158" t="str">
            <v>FERNANDO DO NASCIMENTO VERISSIMO</v>
          </cell>
          <cell r="D10158" t="str">
            <v>FERNANDO DO NASCIMENTO VERISSIMO</v>
          </cell>
          <cell r="E10158" t="str">
            <v>FERNANDO DO NASCIMENTO VERISSIMO</v>
          </cell>
        </row>
        <row r="10159">
          <cell r="B10159">
            <v>814416</v>
          </cell>
          <cell r="C10159" t="str">
            <v>CELIO DE OLIVEIRA CARVALHO</v>
          </cell>
          <cell r="D10159" t="str">
            <v>CELIO DE OLIVEIRA CARVALHO</v>
          </cell>
          <cell r="E10159" t="str">
            <v>CELIO DE OLIVEIRA CARVALHO</v>
          </cell>
        </row>
        <row r="10160">
          <cell r="B10160">
            <v>814417</v>
          </cell>
          <cell r="C10160" t="str">
            <v>LAERCIO DE ANDRADE OLIVEIRA</v>
          </cell>
          <cell r="D10160" t="str">
            <v>LAERCIO DE ANDRADE OLIVEIRA</v>
          </cell>
          <cell r="E10160" t="str">
            <v>LAERCIO DE ANDRADE OLIVEIRA</v>
          </cell>
        </row>
        <row r="10161">
          <cell r="B10161">
            <v>814418</v>
          </cell>
          <cell r="C10161" t="str">
            <v>MARCIO DOS ANJOS CARDOZO</v>
          </cell>
          <cell r="D10161" t="str">
            <v>MARCIO DOS ANJOS CARDOZO</v>
          </cell>
          <cell r="E10161" t="str">
            <v>MARCIO DOS ANJOS CARDOZO</v>
          </cell>
        </row>
        <row r="10162">
          <cell r="B10162">
            <v>814419</v>
          </cell>
          <cell r="C10162" t="str">
            <v>RAFAEL CHANG</v>
          </cell>
          <cell r="D10162" t="str">
            <v>RAFAEL CHANG</v>
          </cell>
          <cell r="E10162" t="str">
            <v>RAFAEL CHANG</v>
          </cell>
        </row>
        <row r="10163">
          <cell r="B10163">
            <v>814420</v>
          </cell>
          <cell r="C10163" t="str">
            <v>THOMAS ALVES DE SOUZA ABRANTES</v>
          </cell>
          <cell r="D10163" t="str">
            <v>THOMAS ALVES DE SOUZA ABRANTES</v>
          </cell>
          <cell r="E10163" t="str">
            <v>THOMAS ALVES DE SOUZA ABRANTES</v>
          </cell>
        </row>
        <row r="10164">
          <cell r="B10164">
            <v>814421</v>
          </cell>
          <cell r="C10164" t="str">
            <v>ESRAEL CARLOS PESSOA</v>
          </cell>
          <cell r="D10164" t="str">
            <v>ESRAEL CARLOS PESSOA</v>
          </cell>
          <cell r="E10164" t="str">
            <v>ESRAEL CARLOS PESSOA</v>
          </cell>
        </row>
        <row r="10165">
          <cell r="B10165">
            <v>814422</v>
          </cell>
          <cell r="C10165" t="str">
            <v>GERALDO DE PAULA ZIMBRA</v>
          </cell>
          <cell r="D10165" t="str">
            <v>GERALDO DE PAULA ZIMBRA</v>
          </cell>
          <cell r="E10165" t="str">
            <v>GERALDO DE PAULA ZIMBRA</v>
          </cell>
        </row>
        <row r="10166">
          <cell r="B10166">
            <v>814423</v>
          </cell>
          <cell r="C10166" t="str">
            <v>DANILO MAZZA SAMY</v>
          </cell>
          <cell r="D10166" t="str">
            <v>DANILO MAZZA SAMY</v>
          </cell>
          <cell r="E10166" t="str">
            <v>DANILO MAZZA SAMY</v>
          </cell>
        </row>
        <row r="10167">
          <cell r="B10167">
            <v>814424</v>
          </cell>
          <cell r="C10167" t="str">
            <v>FERNANDO LUIZ MOURAO</v>
          </cell>
          <cell r="D10167" t="str">
            <v>FERNANDO LUIZ MOURAO</v>
          </cell>
          <cell r="E10167" t="str">
            <v>FERNANDO LUIZ MOURAO</v>
          </cell>
        </row>
        <row r="10168">
          <cell r="B10168">
            <v>814425</v>
          </cell>
          <cell r="C10168" t="str">
            <v>JOSE CARLOS DOS SANTOS</v>
          </cell>
          <cell r="D10168" t="str">
            <v>JOSE CARLOS DOS SANTOS</v>
          </cell>
          <cell r="E10168" t="str">
            <v>JOSE CARLOS DOS SANTOS</v>
          </cell>
        </row>
        <row r="10169">
          <cell r="B10169">
            <v>814426</v>
          </cell>
          <cell r="C10169" t="str">
            <v>ANDERSON CERQUEIRA COSSICH</v>
          </cell>
          <cell r="D10169" t="str">
            <v>ANDERSON CERQUEIRA COSSICH</v>
          </cell>
          <cell r="E10169" t="str">
            <v>ANDERSON CERQUEIRA COSSICH</v>
          </cell>
        </row>
        <row r="10170">
          <cell r="B10170">
            <v>814430</v>
          </cell>
          <cell r="C10170" t="str">
            <v>CRISTIANE DE OLIVEIRA MONTEIRO</v>
          </cell>
          <cell r="D10170" t="str">
            <v>CRISTIANE DE OLIVEIRA MONTEIRO</v>
          </cell>
          <cell r="E10170" t="str">
            <v>CRISTIANE DE OLIVEIRA MONTEIRO</v>
          </cell>
        </row>
        <row r="10171">
          <cell r="B10171">
            <v>814431</v>
          </cell>
          <cell r="C10171" t="str">
            <v>HUGO TORNO AREAS</v>
          </cell>
          <cell r="D10171" t="str">
            <v>HUGO TORNO AREAS</v>
          </cell>
          <cell r="E10171" t="str">
            <v>HUGO TORNO AREAS</v>
          </cell>
        </row>
        <row r="10172">
          <cell r="B10172">
            <v>814432</v>
          </cell>
          <cell r="C10172" t="str">
            <v>DENNER ANTONIO DA SILVA</v>
          </cell>
          <cell r="D10172" t="str">
            <v>DENNER ANTONIO DA SILVA</v>
          </cell>
          <cell r="E10172" t="str">
            <v>DENNER ANTONIO DA SILVA</v>
          </cell>
        </row>
        <row r="10173">
          <cell r="B10173">
            <v>814436</v>
          </cell>
          <cell r="C10173" t="str">
            <v>IVAN DE MEDEIROS AGUIAR</v>
          </cell>
          <cell r="D10173" t="str">
            <v>IVAN DE MEDEIROS AGUIAR</v>
          </cell>
          <cell r="E10173" t="str">
            <v>IVAN DE MEDEIROS AGUIAR</v>
          </cell>
        </row>
        <row r="10174">
          <cell r="B10174">
            <v>814438</v>
          </cell>
          <cell r="C10174" t="str">
            <v>PEDRO PAES LOUZADA</v>
          </cell>
          <cell r="D10174" t="str">
            <v>PEDRO PAES LOUZADA</v>
          </cell>
          <cell r="E10174" t="str">
            <v>PEDRO PAES LOUZADA</v>
          </cell>
        </row>
        <row r="10175">
          <cell r="B10175">
            <v>814439</v>
          </cell>
          <cell r="C10175" t="str">
            <v>DAVID ELI SALTOUN</v>
          </cell>
          <cell r="D10175" t="str">
            <v>DAVID ELI SALTOUN</v>
          </cell>
          <cell r="E10175" t="str">
            <v>DAVID ELI SALTOUN</v>
          </cell>
        </row>
        <row r="10176">
          <cell r="B10176">
            <v>814440</v>
          </cell>
          <cell r="C10176" t="str">
            <v>JOSE ANTONIO MARINHO NETO</v>
          </cell>
          <cell r="D10176" t="str">
            <v>JOSE ANTONIO MARINHO NETO</v>
          </cell>
          <cell r="E10176" t="str">
            <v>JOSE ANTONIO MARINHO NETO</v>
          </cell>
        </row>
        <row r="10177">
          <cell r="B10177">
            <v>814442</v>
          </cell>
          <cell r="C10177" t="str">
            <v>THOMAZ AUGUSTO BRENHA RIBEIRO</v>
          </cell>
          <cell r="D10177" t="str">
            <v>THOMAZ AUGUSTO BRENHA RIBEIRO</v>
          </cell>
          <cell r="E10177" t="str">
            <v>THOMAZ AUGUSTO BRENHA RIBEIRO</v>
          </cell>
        </row>
        <row r="10178">
          <cell r="B10178">
            <v>814445</v>
          </cell>
          <cell r="C10178" t="str">
            <v>JOAO MARCOS LAMEIRA DE SOUSA</v>
          </cell>
          <cell r="D10178" t="str">
            <v>JOAO MARCOS LAMEIRA DE SOUSA</v>
          </cell>
          <cell r="E10178" t="str">
            <v>JOAO MARCOS LAMEIRA DE SOUSA</v>
          </cell>
        </row>
        <row r="10179">
          <cell r="B10179">
            <v>814450</v>
          </cell>
          <cell r="C10179" t="str">
            <v>MARCO MENSI</v>
          </cell>
          <cell r="D10179" t="str">
            <v>MARCO MENSI</v>
          </cell>
          <cell r="E10179" t="str">
            <v>MARCO MENSI</v>
          </cell>
        </row>
        <row r="10180">
          <cell r="B10180">
            <v>814451</v>
          </cell>
          <cell r="C10180" t="str">
            <v>IGOR CONSTANTINO HIDALMASY KAZAKOS</v>
          </cell>
          <cell r="D10180" t="str">
            <v>IGOR CONSTANTINO HIDALMASY KAZAKOS</v>
          </cell>
          <cell r="E10180" t="str">
            <v>IGOR CONSTANTINO HIDALMASY KAZAKOS</v>
          </cell>
        </row>
        <row r="10181">
          <cell r="B10181">
            <v>814455</v>
          </cell>
          <cell r="C10181" t="str">
            <v>ANTONIO SERGIO BAPTISTA</v>
          </cell>
          <cell r="D10181" t="str">
            <v>ANTONIO SERGIO BAPTISTA</v>
          </cell>
          <cell r="E10181" t="str">
            <v>ANTONIO SERGIO BAPTISTA</v>
          </cell>
        </row>
        <row r="10182">
          <cell r="B10182">
            <v>814456</v>
          </cell>
          <cell r="C10182" t="str">
            <v>ROSALIA MARIA PEREIRA DOS SANTOS</v>
          </cell>
          <cell r="D10182" t="str">
            <v>ROSALIA MARIA PEREIRA DOS SANTOS</v>
          </cell>
          <cell r="E10182" t="str">
            <v>ROSALIA MARIA PEREIRA DOS SANTOS</v>
          </cell>
        </row>
        <row r="10183">
          <cell r="B10183">
            <v>814459</v>
          </cell>
          <cell r="C10183" t="str">
            <v>FERNANDO OLIVEIRA PANNO</v>
          </cell>
          <cell r="D10183" t="str">
            <v>FERNANDO OLIVEIRA PANNO</v>
          </cell>
          <cell r="E10183" t="str">
            <v>FERNANDO OLIVEIRA PANNO</v>
          </cell>
        </row>
        <row r="10184">
          <cell r="B10184">
            <v>814461</v>
          </cell>
          <cell r="C10184" t="str">
            <v>DANIEL FRANCO PONTES BORGES</v>
          </cell>
          <cell r="D10184" t="str">
            <v>DANIEL FRANCO PONTES BORGES</v>
          </cell>
          <cell r="E10184" t="str">
            <v>DANIEL FRANCO PONTES BORGES</v>
          </cell>
        </row>
        <row r="10185">
          <cell r="B10185">
            <v>814463</v>
          </cell>
          <cell r="C10185" t="str">
            <v>JAIME MACHADO MESQUITA</v>
          </cell>
          <cell r="D10185" t="str">
            <v>JAIME MACHADO MESQUITA</v>
          </cell>
          <cell r="E10185" t="str">
            <v>JAIME MACHADO MESQUITA</v>
          </cell>
        </row>
        <row r="10186">
          <cell r="B10186">
            <v>814465</v>
          </cell>
          <cell r="C10186" t="str">
            <v>JOAQUIM TAVARES</v>
          </cell>
          <cell r="D10186" t="str">
            <v>JOAQUIM TAVARES</v>
          </cell>
          <cell r="E10186" t="str">
            <v>JOAQUIM TAVARES</v>
          </cell>
        </row>
        <row r="10187">
          <cell r="B10187">
            <v>814480</v>
          </cell>
          <cell r="C10187" t="str">
            <v>SERGIO ARNALDO ROCHA CARDOSO FILHO</v>
          </cell>
          <cell r="D10187" t="str">
            <v>SERGIO ARNALDO ROCHA CARDOSO FILHO</v>
          </cell>
          <cell r="E10187" t="str">
            <v>SERGIO ARNALDO ROCHA CARDOSO FILHO</v>
          </cell>
        </row>
        <row r="10188">
          <cell r="B10188">
            <v>814485</v>
          </cell>
          <cell r="C10188" t="str">
            <v>DENNY LAMOUR MARCAL</v>
          </cell>
          <cell r="D10188" t="str">
            <v>DENNY LAMOUR MARCAL</v>
          </cell>
          <cell r="E10188" t="str">
            <v>DENNY LAMOUR MARCAL</v>
          </cell>
        </row>
        <row r="10189">
          <cell r="B10189">
            <v>814500</v>
          </cell>
          <cell r="C10189" t="str">
            <v>CRISTIANO CARVALHO DE MENDONÃ‡A</v>
          </cell>
          <cell r="D10189" t="str">
            <v>CRISTIANO CARVALHO DE MENDONÃ‡A</v>
          </cell>
          <cell r="E10189" t="str">
            <v>CRISTIANO CARVALHO DE MENDONÃ‡A</v>
          </cell>
        </row>
        <row r="10190">
          <cell r="B10190">
            <v>814501</v>
          </cell>
          <cell r="C10190" t="str">
            <v>HENRIQUE ANDRADE TRINCKQUEL FILHO</v>
          </cell>
          <cell r="D10190" t="str">
            <v>HENRIQUE ANDRADE TRINCKQUEL FILHO</v>
          </cell>
          <cell r="E10190" t="str">
            <v>HENRIQUE ANDRADE TRINCKQUEL FILHO</v>
          </cell>
        </row>
        <row r="10191">
          <cell r="B10191">
            <v>814502</v>
          </cell>
          <cell r="C10191" t="str">
            <v>FABIO NISENBAUM</v>
          </cell>
          <cell r="D10191" t="str">
            <v>FABIO NISENBAUM</v>
          </cell>
          <cell r="E10191" t="str">
            <v>FABIO NISENBAUM</v>
          </cell>
        </row>
        <row r="10192">
          <cell r="B10192">
            <v>815526</v>
          </cell>
          <cell r="C10192" t="str">
            <v>JESSICA MOREIRA CAMPELLO</v>
          </cell>
          <cell r="D10192" t="str">
            <v>JESSICA MOREIRA CAMPELLO</v>
          </cell>
          <cell r="E10192" t="str">
            <v>JESSICA MOREIRA CAMPELLO</v>
          </cell>
        </row>
        <row r="10193">
          <cell r="B10193">
            <v>815527</v>
          </cell>
          <cell r="C10193" t="str">
            <v>WAGNER BARBOSA MAGALHAES</v>
          </cell>
          <cell r="D10193" t="str">
            <v>WAGNER BARBOSA MAGALHAES</v>
          </cell>
          <cell r="E10193" t="str">
            <v>WAGNER BARBOSA MAGALHAES</v>
          </cell>
        </row>
        <row r="10194">
          <cell r="B10194">
            <v>82</v>
          </cell>
          <cell r="C10194" t="str">
            <v>DISTRIBUIDORA INTERCAP TVM LTDA</v>
          </cell>
          <cell r="D10194" t="str">
            <v>DISTRIBUIDORA INTERCAP TVM LTDA</v>
          </cell>
          <cell r="E10194" t="str">
            <v>DISTRIBUIDORA INTERCAP TVM LTDA</v>
          </cell>
        </row>
        <row r="10195">
          <cell r="B10195">
            <v>82030</v>
          </cell>
          <cell r="C10195" t="str">
            <v>G.P.G. ASSESSORIA EMP. E PARTICIPACOES LTDA</v>
          </cell>
          <cell r="D10195" t="str">
            <v>G.P.G. ASSESSORIA EMP. E PARTICIPACOES LTDA</v>
          </cell>
          <cell r="E10195" t="str">
            <v>G.P.G. ASSESSORIA EMP. E PARTICIPACOES LTDA</v>
          </cell>
        </row>
        <row r="10196">
          <cell r="B10196">
            <v>82031</v>
          </cell>
          <cell r="C10196" t="str">
            <v>SERGIO TAKASHI TANAKA</v>
          </cell>
          <cell r="D10196" t="str">
            <v>SERGIO TAKASHI TANAKA</v>
          </cell>
          <cell r="E10196" t="str">
            <v>SERGIO TAKASHI TANAKA</v>
          </cell>
        </row>
        <row r="10197">
          <cell r="B10197">
            <v>82041</v>
          </cell>
          <cell r="C10197" t="str">
            <v>JGP HEDGE FDO DE INVESTIMENTO MULTIMERCADO</v>
          </cell>
          <cell r="D10197" t="str">
            <v>JGP HEDGE FDO DE INVESTIMENTO MULTIMERCADO</v>
          </cell>
          <cell r="E10197" t="str">
            <v>JGP HEDGE FDO DE INVESTIMENTO MULTIMERCADO</v>
          </cell>
        </row>
        <row r="10198">
          <cell r="B10198">
            <v>82340</v>
          </cell>
          <cell r="C10198" t="str">
            <v>LCS FUNDO DE INVESTIMENTO DE AÃ‡Ã•ES</v>
          </cell>
          <cell r="D10198" t="str">
            <v>LCS FUNDO DE INVESTIMENTO DE AÃ‡Ã•ES</v>
          </cell>
          <cell r="E10198" t="str">
            <v>LCS FUNDO DE INVESTIMENTO DE AÃ‡Ã•ES</v>
          </cell>
        </row>
        <row r="10199">
          <cell r="B10199">
            <v>82341</v>
          </cell>
          <cell r="C10199" t="str">
            <v>MANDARIM ADVANCED 14 FIM</v>
          </cell>
          <cell r="D10199" t="str">
            <v>MANDARIM ADVANCED 14 FIM</v>
          </cell>
          <cell r="E10199" t="str">
            <v>MANDARIM ADVANCED 14 FIM</v>
          </cell>
        </row>
        <row r="10200">
          <cell r="B10200">
            <v>82342</v>
          </cell>
          <cell r="C10200" t="str">
            <v>MAXIMA KING FUNDO DE INVESTIMENTO MULTIMERCADO</v>
          </cell>
          <cell r="D10200" t="str">
            <v>MAXIMA KING FUNDO DE INVESTIMENTO MULTIMERCADO</v>
          </cell>
          <cell r="E10200" t="str">
            <v>MAXIMA KING FUNDO DE INVESTIMENTO MULTIMERCADO</v>
          </cell>
        </row>
        <row r="10201">
          <cell r="B10201">
            <v>82343</v>
          </cell>
          <cell r="C10201" t="str">
            <v>MANDARIM TOTAL HEDGE 30 FUNDO DE INVESTIMENTO MULTIMERCADO</v>
          </cell>
          <cell r="D10201" t="str">
            <v>MANDARIM TOTAL HEDGE 30 FUNDO DE INVESTIMENTO MULTIMERCADO</v>
          </cell>
          <cell r="E10201" t="str">
            <v>MANDARIM TOTAL HEDGE 30 FUNDO DE INVESTIMENTO MULTIMERCADO</v>
          </cell>
        </row>
        <row r="10202">
          <cell r="B10202">
            <v>82344</v>
          </cell>
          <cell r="C10202" t="str">
            <v>MANDARIM LONG SHORT 5 FIM</v>
          </cell>
          <cell r="D10202" t="str">
            <v>MANDARIM LONG SHORT 5 FIM</v>
          </cell>
          <cell r="E10202" t="str">
            <v>MANDARIM LONG SHORT 5 FIM</v>
          </cell>
        </row>
        <row r="10203">
          <cell r="B10203">
            <v>82345</v>
          </cell>
          <cell r="C10203" t="str">
            <v>AQUILLA HEDGE FIM</v>
          </cell>
          <cell r="D10203" t="str">
            <v>AQUILLA HEDGE FIM</v>
          </cell>
          <cell r="E10203" t="str">
            <v>GS ALLOCATION INVESTIMENTOS</v>
          </cell>
        </row>
        <row r="10204">
          <cell r="B10204">
            <v>82346</v>
          </cell>
          <cell r="C10204" t="str">
            <v>BANCO PAN S/A</v>
          </cell>
          <cell r="D10204" t="str">
            <v>BANCO PAN S/A</v>
          </cell>
          <cell r="E10204" t="str">
            <v>BANCO PAN S/A</v>
          </cell>
        </row>
        <row r="10205">
          <cell r="B10205">
            <v>82347</v>
          </cell>
          <cell r="C10205" t="str">
            <v>FIDES HEDGE FUNDO DE INV MULTIMERCADO</v>
          </cell>
          <cell r="D10205" t="str">
            <v>FIDES HEDGE FUNDO DE INV MULTIMERCADO</v>
          </cell>
          <cell r="E10205" t="str">
            <v>FIDES HEDGE FUNDO DE INV MULTIMERCADO</v>
          </cell>
        </row>
        <row r="10206">
          <cell r="B10206">
            <v>82579</v>
          </cell>
          <cell r="C10206" t="str">
            <v>M SQUARE AÃ‡Ã•ES HG MASTER FI AÃ‡Ã•ES</v>
          </cell>
          <cell r="D10206" t="str">
            <v>M SQUARE AÃ‡Ã•ES HG MASTER FI AÃ‡Ã•ES</v>
          </cell>
          <cell r="E10206" t="str">
            <v>M SQUARE AÃ‡Ã•ES HG MASTER FI AÃ‡Ã•ES</v>
          </cell>
        </row>
        <row r="10207">
          <cell r="B10207">
            <v>80494</v>
          </cell>
          <cell r="C10207" t="str">
            <v>BANCO SANTANDER (BRASIL) S/A</v>
          </cell>
          <cell r="D10207" t="str">
            <v>BANCO SANTANDER (BRASIL) S/A</v>
          </cell>
          <cell r="E10207" t="str">
            <v>BANCO SANTANDER (BRASIL) S/A</v>
          </cell>
        </row>
        <row r="10208">
          <cell r="B10208">
            <v>83570</v>
          </cell>
          <cell r="C10208" t="str">
            <v>BES ABSOLUTE RETURN FIM LP</v>
          </cell>
          <cell r="D10208" t="str">
            <v>BES ABSOLUTE RETURN FIM LP</v>
          </cell>
          <cell r="E10208" t="str">
            <v>BESAF BES ATIVOS FINANCEIROS LTDA</v>
          </cell>
        </row>
        <row r="10209">
          <cell r="B10209">
            <v>83572</v>
          </cell>
          <cell r="C10209" t="str">
            <v>WESTLB PERFORMANCE FIM LONGO PRAZO</v>
          </cell>
          <cell r="D10209" t="str">
            <v>WESTLB PERFORMANCE FIM LONGO PRAZO</v>
          </cell>
          <cell r="E10209" t="str">
            <v>BESAF BES ATIVOS FINANCEIROS LTDA</v>
          </cell>
        </row>
        <row r="10210">
          <cell r="B10210">
            <v>83573</v>
          </cell>
          <cell r="C10210" t="str">
            <v>BES FIX TRADITIONAL FI RF LONGO PRAZO</v>
          </cell>
          <cell r="D10210" t="str">
            <v>BES FIX TRADITIONAL FI RF LONGO PRAZO</v>
          </cell>
          <cell r="E10210" t="str">
            <v>BESAF BES ATIVOS FINANCEIROS LTDA</v>
          </cell>
        </row>
        <row r="10211">
          <cell r="B10211">
            <v>83574</v>
          </cell>
          <cell r="C10211" t="str">
            <v>BES INSTITUCIONAL FI MULTIMERCADO LONGO PRAZO</v>
          </cell>
          <cell r="D10211" t="str">
            <v>BES INSTITUCIONAL FI MULTIMERCADO LONGO PRAZO</v>
          </cell>
          <cell r="E10211" t="str">
            <v>BESAF BES ATIVOS FINANCEIROS LTDA</v>
          </cell>
        </row>
        <row r="10212">
          <cell r="B10212">
            <v>83577</v>
          </cell>
          <cell r="C10212" t="str">
            <v>BANCO MIZUHO DO BRASIL S/A (ANTIGO WESTLB)</v>
          </cell>
          <cell r="D10212" t="str">
            <v>BANCO MIZUHO DO BRASIL S/A (ANTIGO WESTLB)</v>
          </cell>
          <cell r="E10212" t="str">
            <v>BANCO MIZUHO DO BRASIL S/A</v>
          </cell>
        </row>
        <row r="10213">
          <cell r="B10213">
            <v>83578</v>
          </cell>
          <cell r="C10213" t="str">
            <v>BANCO MIZUHO DO BRASIL S/A (ANTIGO WESTLB)</v>
          </cell>
          <cell r="D10213" t="str">
            <v>BANCO MIZUHO DO BRASIL S/A (ANTIGO WESTLB)</v>
          </cell>
          <cell r="E10213" t="str">
            <v>BANCO MIZUHO DO BRASIL S/A</v>
          </cell>
        </row>
        <row r="10214">
          <cell r="B10214">
            <v>83579</v>
          </cell>
          <cell r="C10214" t="str">
            <v>ARBOR HEDGE FIF</v>
          </cell>
          <cell r="D10214" t="str">
            <v>ARBOR HEDGE FIF</v>
          </cell>
          <cell r="E10214" t="str">
            <v>ARBOR HEDGE FIF</v>
          </cell>
        </row>
        <row r="10215">
          <cell r="B10215">
            <v>83580</v>
          </cell>
          <cell r="C10215" t="str">
            <v>BANCO MIZUHO DO BRASIL S/A (ANTIGO WESTLB)</v>
          </cell>
          <cell r="D10215" t="str">
            <v>BANCO MIZUHO DO BRASIL S/A (ANTIGO WESTLB)</v>
          </cell>
          <cell r="E10215" t="str">
            <v>BANCO MIZUHO DO BRASIL S/A</v>
          </cell>
        </row>
        <row r="10216">
          <cell r="B10216">
            <v>83610</v>
          </cell>
          <cell r="C10216" t="str">
            <v>EMERAUDE FUNDO DE INVESTIMENTO MULTIMERCADO</v>
          </cell>
          <cell r="D10216" t="str">
            <v>EMERAUDE FUNDO DE INVESTIMENTO MULTIMERCADO</v>
          </cell>
          <cell r="E10216" t="str">
            <v>EMERAUDE FUNDO DE INVESTIMENTO MULTIMERCADO</v>
          </cell>
        </row>
        <row r="10217">
          <cell r="B10217">
            <v>83622</v>
          </cell>
          <cell r="C10217" t="str">
            <v>LZ FUNDO DE INV. MULTIMERCADO</v>
          </cell>
          <cell r="D10217" t="str">
            <v>LZ FUNDO DE INV. MULTIMERCADO</v>
          </cell>
          <cell r="E10217" t="str">
            <v>ARSENAL INVESTIMENTOS LTDA</v>
          </cell>
        </row>
        <row r="10218">
          <cell r="B10218">
            <v>83627</v>
          </cell>
          <cell r="C10218" t="str">
            <v>OREN DINAMICO FI MULTIMERCADO</v>
          </cell>
          <cell r="D10218" t="str">
            <v>OREN DINAMICO FI MULTIMERCADO</v>
          </cell>
          <cell r="E10218" t="str">
            <v>SPRINGS CAPITAL LTDA</v>
          </cell>
        </row>
        <row r="10219">
          <cell r="B10219">
            <v>83628</v>
          </cell>
          <cell r="C10219" t="str">
            <v>R&amp;C FIM</v>
          </cell>
          <cell r="D10219" t="str">
            <v>R&amp;C FIM</v>
          </cell>
          <cell r="E10219" t="str">
            <v>R&amp;C FIM</v>
          </cell>
        </row>
        <row r="10220">
          <cell r="B10220">
            <v>83629</v>
          </cell>
          <cell r="C10220" t="str">
            <v>R&amp;C HEDGE FIM</v>
          </cell>
          <cell r="D10220" t="str">
            <v>R&amp;C HEDGE FIM</v>
          </cell>
          <cell r="E10220" t="str">
            <v>MATERA RC GESTÃƒO DE RECURSOS LTDA</v>
          </cell>
        </row>
        <row r="10221">
          <cell r="B10221">
            <v>83777</v>
          </cell>
          <cell r="C10221" t="str">
            <v>WESTLB FIM LONGO PRAZO</v>
          </cell>
          <cell r="D10221" t="str">
            <v>WESTLB FIM LONGO PRAZO</v>
          </cell>
          <cell r="E10221" t="str">
            <v>WESTLB FIM LONGO PRAZO</v>
          </cell>
        </row>
        <row r="10222">
          <cell r="B10222">
            <v>125209</v>
          </cell>
          <cell r="C10222" t="str">
            <v>BANCO SANTANDER (BRASIL) S/A</v>
          </cell>
          <cell r="D10222" t="str">
            <v>BANCO SANTANDER (BRASIL) S/A</v>
          </cell>
          <cell r="E10222" t="str">
            <v>BANCO SANTANDER (BRASIL) S/A</v>
          </cell>
        </row>
        <row r="10223">
          <cell r="B10223">
            <v>84451</v>
          </cell>
          <cell r="C10223" t="str">
            <v>FORMULA XVI FIM CP IE</v>
          </cell>
          <cell r="D10223" t="str">
            <v>FORMULA XVI FIM CP IE</v>
          </cell>
          <cell r="E10223" t="str">
            <v>FORMULA XVI FIM CP IE</v>
          </cell>
        </row>
        <row r="10224">
          <cell r="B10224">
            <v>84563</v>
          </cell>
          <cell r="C10224" t="str">
            <v>FI RF RIO DE JANEIRO LONGO PRAZO</v>
          </cell>
          <cell r="D10224" t="str">
            <v>FI RF RIO DE JANEIRO LONGO PRAZO</v>
          </cell>
          <cell r="E10224" t="str">
            <v>FI RF RIO DE JANEIRO LONGO PRAZO</v>
          </cell>
        </row>
        <row r="10225">
          <cell r="B10225">
            <v>84567</v>
          </cell>
          <cell r="C10225" t="str">
            <v>BANCO CREDIBEL S/A</v>
          </cell>
          <cell r="D10225" t="str">
            <v>BANCO CREDIBEL S/A</v>
          </cell>
          <cell r="E10225" t="str">
            <v>BANCO CREDIBEL S/A</v>
          </cell>
        </row>
        <row r="10226">
          <cell r="B10226">
            <v>84581</v>
          </cell>
          <cell r="C10226" t="str">
            <v>DIFERENCIAL CTVM S/A P/C 1-1</v>
          </cell>
          <cell r="D10226" t="str">
            <v>DIFERENCIAL CTVM S/A P/C 1-1</v>
          </cell>
          <cell r="E10226" t="str">
            <v>DIFERENCIAL CTVM S/A P/C 1-1</v>
          </cell>
        </row>
        <row r="10227">
          <cell r="B10227">
            <v>84657</v>
          </cell>
          <cell r="C10227" t="str">
            <v>FUNDO DE INVESTIMENTO FINANCEIRO HERCULES</v>
          </cell>
          <cell r="D10227" t="str">
            <v>FUNDO DE INVESTIMENTO FINANCEIRO HERCULES</v>
          </cell>
          <cell r="E10227" t="str">
            <v>FUNDO DE INVESTIMENTO FINANCEIRO HERCULES</v>
          </cell>
        </row>
        <row r="10228">
          <cell r="B10228">
            <v>84765</v>
          </cell>
          <cell r="C10228" t="str">
            <v>GAP MULTIPORTFOLIO FIM</v>
          </cell>
          <cell r="D10228" t="str">
            <v>GAP MULTIPORTFOLIO FIM</v>
          </cell>
          <cell r="E10228" t="str">
            <v>GAP MULTIPORTFOLIO FIM</v>
          </cell>
        </row>
        <row r="10229">
          <cell r="B10229">
            <v>84771</v>
          </cell>
          <cell r="C10229" t="str">
            <v>ALLIANCE FUNDO DE INVESTIMENTO FINANCEIRO</v>
          </cell>
          <cell r="D10229" t="str">
            <v>ALLIANCE FUNDO DE INVESTIMENTO FINANCEIRO</v>
          </cell>
          <cell r="E10229" t="str">
            <v>ALLIANCE FUNDO DE INVESTIMENTO FINANCEIRO</v>
          </cell>
        </row>
        <row r="10230">
          <cell r="B10230">
            <v>85305</v>
          </cell>
          <cell r="C10230" t="str">
            <v>BOCAINA FUNDO DE INVESTIMENTO MULTIMERCADO</v>
          </cell>
          <cell r="D10230" t="str">
            <v>BOCAINA FUNDO DE INVESTIMENTO MULTIMERCADO</v>
          </cell>
          <cell r="E10230" t="str">
            <v>BOCAINA FUNDO DE INVESTIMENTO MULTIMERCADO</v>
          </cell>
        </row>
        <row r="10231">
          <cell r="B10231">
            <v>85306</v>
          </cell>
          <cell r="C10231" t="str">
            <v>LACAN EQUILIBRIO INSTITUCIONAL FIM</v>
          </cell>
          <cell r="D10231" t="str">
            <v>LACAN EQUILIBRIO INSTITUCIONAL FIM</v>
          </cell>
          <cell r="E10231" t="str">
            <v>LACAN INVESTIMENTOS E PARTICIPACOES LTDA</v>
          </cell>
        </row>
        <row r="10232">
          <cell r="B10232">
            <v>85326</v>
          </cell>
          <cell r="C10232" t="str">
            <v>LILY MONIQUE DE CARVALHO MARINHO</v>
          </cell>
          <cell r="D10232" t="str">
            <v>LILY MONIQUE DE CARVALHO MARINHO</v>
          </cell>
          <cell r="E10232" t="str">
            <v>LILY MONIQUE DE CARVALHO MARINHO</v>
          </cell>
        </row>
        <row r="10233">
          <cell r="B10233">
            <v>85327</v>
          </cell>
          <cell r="C10233" t="str">
            <v>MARIA CECILIA LONDRES FONSECA</v>
          </cell>
          <cell r="D10233" t="str">
            <v>MARIA CECILIA LONDRES FONSECA</v>
          </cell>
          <cell r="E10233" t="str">
            <v>MARIA CECILIA LONDRES FONSECA</v>
          </cell>
        </row>
        <row r="10234">
          <cell r="B10234">
            <v>85552</v>
          </cell>
          <cell r="C10234" t="str">
            <v>DIFERENCIAL CTVM S/A P/C 1-1</v>
          </cell>
          <cell r="D10234" t="str">
            <v>DIFERENCIAL CTVM S/A P/C 1-1</v>
          </cell>
          <cell r="E10234" t="str">
            <v>DIFERENCIAL CTVM S/A P/C 1-1</v>
          </cell>
        </row>
        <row r="10235">
          <cell r="B10235">
            <v>85642</v>
          </cell>
          <cell r="C10235" t="str">
            <v>FIF EM DESENVOLVIMENTO E CONSOLIDACAO</v>
          </cell>
          <cell r="D10235" t="str">
            <v>FIF EM DESENVOLVIMENTO E CONSOLIDACAO</v>
          </cell>
          <cell r="E10235" t="str">
            <v>FIF EM DESENVOLVIMENTO E CONSOLIDACAO</v>
          </cell>
        </row>
        <row r="10236">
          <cell r="B10236">
            <v>85646</v>
          </cell>
          <cell r="C10236" t="str">
            <v>HAROLDO BIRSZTEIN</v>
          </cell>
          <cell r="D10236" t="str">
            <v>HAROLDO BIRSZTEIN</v>
          </cell>
          <cell r="E10236" t="str">
            <v>HAROLDO BIRSZTEIN</v>
          </cell>
        </row>
        <row r="10237">
          <cell r="B10237">
            <v>125210</v>
          </cell>
          <cell r="C10237" t="str">
            <v>BANCO SANTANDER (BRASIL) S/A</v>
          </cell>
          <cell r="D10237" t="str">
            <v>BANCO SANTANDER (BRASIL) S/A</v>
          </cell>
          <cell r="E10237" t="str">
            <v>BANCO SANTANDER (BRASIL) S/A</v>
          </cell>
        </row>
        <row r="10238">
          <cell r="B10238">
            <v>86001</v>
          </cell>
          <cell r="C10238" t="str">
            <v>BB GESTAO DE RECURSOS DTVM LTDA</v>
          </cell>
          <cell r="D10238" t="str">
            <v>BB GESTAO DE RECURSOS DTVM LTDA</v>
          </cell>
          <cell r="E10238" t="str">
            <v>BANCO DO BRASIL S/A</v>
          </cell>
        </row>
        <row r="10239">
          <cell r="B10239">
            <v>86002</v>
          </cell>
          <cell r="C10239" t="str">
            <v>BB GESTAO DE RECURSOS DTVM LTDA</v>
          </cell>
          <cell r="D10239" t="str">
            <v>BB GESTAO DE RECURSOS DTVM LTDA</v>
          </cell>
          <cell r="E10239" t="str">
            <v>BANCO DO BRASIL S/A</v>
          </cell>
        </row>
        <row r="10240">
          <cell r="B10240">
            <v>86008</v>
          </cell>
          <cell r="C10240" t="str">
            <v>BB GESTAO DE RECURSOS DTVM LTDA</v>
          </cell>
          <cell r="D10240" t="str">
            <v>BB GESTAO DE RECURSOS DTVM LTDA</v>
          </cell>
          <cell r="E10240" t="str">
            <v>BANCO DO BRASIL S/A</v>
          </cell>
        </row>
        <row r="10241">
          <cell r="B10241">
            <v>86009</v>
          </cell>
          <cell r="C10241" t="str">
            <v>BB GESTAO DE RECURSOS DTVM LTDA</v>
          </cell>
          <cell r="D10241" t="str">
            <v>BB GESTAO DE RECURSOS DTVM LTDA</v>
          </cell>
          <cell r="E10241" t="str">
            <v>BANCO DO BRASIL S/A</v>
          </cell>
        </row>
        <row r="10242">
          <cell r="B10242">
            <v>86010</v>
          </cell>
          <cell r="C10242" t="str">
            <v>BB GESTAO DE RECURSOS DTVM LTDA</v>
          </cell>
          <cell r="D10242" t="str">
            <v>BB GESTAO DE RECURSOS DTVM LTDA</v>
          </cell>
          <cell r="E10242" t="str">
            <v>BANCO DO BRASIL S/A</v>
          </cell>
        </row>
        <row r="10243">
          <cell r="B10243">
            <v>86412</v>
          </cell>
          <cell r="C10243" t="str">
            <v>FIF GLOBALSIGHT THUNDER</v>
          </cell>
          <cell r="D10243" t="str">
            <v>FIF GLOBALSIGHT THUNDER</v>
          </cell>
          <cell r="E10243" t="str">
            <v>FIF GLOBALSIGHT THUNDER</v>
          </cell>
        </row>
        <row r="10244">
          <cell r="B10244">
            <v>86415</v>
          </cell>
          <cell r="C10244" t="str">
            <v>GS ALLOCATION PLUS MULTIMERCADO FDO DE INV.</v>
          </cell>
          <cell r="D10244" t="str">
            <v>GS ALLOCATION PLUS MULTIMERCADO FDO DE INV.</v>
          </cell>
          <cell r="E10244" t="str">
            <v>GS ALLOCATION PLUS MULTIMERCADO FDO DE INV.</v>
          </cell>
        </row>
        <row r="10245">
          <cell r="B10245">
            <v>86741</v>
          </cell>
          <cell r="C10245" t="str">
            <v>NEWTON AUGUSTO CARDOSO DE OLIVEIRA</v>
          </cell>
          <cell r="D10245" t="str">
            <v>NEWTON AUGUSTO CARDOSO DE OLIVEIRA</v>
          </cell>
          <cell r="E10245" t="str">
            <v>NEWTON AUGUSTO CARDOSO DE OLIVEIRA</v>
          </cell>
        </row>
        <row r="10246">
          <cell r="B10246">
            <v>125211</v>
          </cell>
          <cell r="C10246" t="str">
            <v>BANCO SANTANDER (BRASIL) S/A</v>
          </cell>
          <cell r="D10246" t="str">
            <v>BANCO SANTANDER (BRASIL) S/A</v>
          </cell>
          <cell r="E10246" t="str">
            <v>BANCO SANTANDER (BRASIL) S/A</v>
          </cell>
        </row>
        <row r="10247">
          <cell r="B10247">
            <v>87001</v>
          </cell>
          <cell r="C10247" t="str">
            <v>PREV TOKIO MARINE SOCIEDADE DE PREVIDENCIA COMPLEMENTAR</v>
          </cell>
          <cell r="D10247" t="str">
            <v>PREV TOKIO MARINE SOCIEDADE DE PREVIDENCIA COMPLEMENTAR</v>
          </cell>
          <cell r="E10247" t="str">
            <v>PREV TOKIO MARINE SOCIEDADE DE PREVIDENCIA COMPLEMENTAR</v>
          </cell>
        </row>
        <row r="10248">
          <cell r="B10248">
            <v>87421</v>
          </cell>
          <cell r="C10248" t="str">
            <v>HOOKIPA INVESTMENTS LLC</v>
          </cell>
          <cell r="D10248" t="str">
            <v>HOOKIPA INVESTMENTS LLC</v>
          </cell>
          <cell r="E10248" t="str">
            <v>HOOKIPA INVESTMENTS LLC</v>
          </cell>
        </row>
        <row r="10249">
          <cell r="B10249">
            <v>125212</v>
          </cell>
          <cell r="C10249" t="str">
            <v>BANCO SANTANDER (BRASIL) S/A</v>
          </cell>
          <cell r="D10249" t="str">
            <v>BANCO SANTANDER (BRASIL) S/A</v>
          </cell>
          <cell r="E10249" t="str">
            <v>BANCO SANTANDER (BRASIL) S/A</v>
          </cell>
        </row>
        <row r="10250">
          <cell r="B10250">
            <v>8801</v>
          </cell>
          <cell r="C10250" t="str">
            <v>COMPANHIA BRASILEIRA DE LIQUIDAÃ‡ÃƒO E CUSTODIA</v>
          </cell>
          <cell r="D10250" t="str">
            <v>COMPANHIA BRASILEIRA DE LIQUIDAÃ‡ÃƒO E CUSTODIA</v>
          </cell>
          <cell r="E10250" t="str">
            <v>COMPANHIA BRASILEIRA DE LIQUIDAÃ‡ÃƒO E CUSTODIA</v>
          </cell>
        </row>
        <row r="10251">
          <cell r="B10251">
            <v>8802</v>
          </cell>
          <cell r="C10251" t="str">
            <v>BOLSA  BRASILEIRA DE MERCADORIAS - BBM</v>
          </cell>
          <cell r="D10251" t="str">
            <v>BOLSA  BRASILEIRA DE MERCADORIAS - BBM</v>
          </cell>
          <cell r="E10251" t="str">
            <v>BOLSA  BRASILEIRA DE MERCADORIAS - BBM</v>
          </cell>
        </row>
        <row r="10252">
          <cell r="B10252">
            <v>88857</v>
          </cell>
          <cell r="C10252" t="str">
            <v>FERNANDO GOBBO DEGANI</v>
          </cell>
          <cell r="D10252" t="str">
            <v>FERNANDO GOBBO DEGANI</v>
          </cell>
          <cell r="E10252" t="str">
            <v>FERNANDO GOBBO DEGANI</v>
          </cell>
        </row>
        <row r="10253">
          <cell r="B10253">
            <v>888648</v>
          </cell>
          <cell r="C10253" t="str">
            <v>BRUNO DE OLIVEIRA COSTA</v>
          </cell>
          <cell r="D10253" t="str">
            <v>BRUNO DE OLIVEIRA COSTA</v>
          </cell>
          <cell r="E10253" t="str">
            <v>BRUNO DE OLIVEIRA COSTA</v>
          </cell>
        </row>
        <row r="10254">
          <cell r="B10254">
            <v>888810</v>
          </cell>
          <cell r="C10254" t="str">
            <v>FREDERICO PADILHA</v>
          </cell>
          <cell r="D10254" t="str">
            <v>FREDERICO PADILHA</v>
          </cell>
          <cell r="E10254" t="str">
            <v>FREDERICO PADILHA</v>
          </cell>
        </row>
        <row r="10255">
          <cell r="B10255">
            <v>8888209</v>
          </cell>
          <cell r="C10255" t="str">
            <v>NORMA MUSITANO DE ANDRADE</v>
          </cell>
          <cell r="D10255" t="str">
            <v>NORMA MUSITANO DE ANDRADE</v>
          </cell>
          <cell r="E10255" t="str">
            <v>NORMA MUSITANO DE ANDRADE</v>
          </cell>
        </row>
        <row r="10256">
          <cell r="B10256">
            <v>888826</v>
          </cell>
          <cell r="C10256" t="str">
            <v>FABIO ROBERTO BAUMFELD ISAACK</v>
          </cell>
          <cell r="D10256" t="str">
            <v>FABIO ROBERTO BAUMFELD ISAACK</v>
          </cell>
          <cell r="E10256" t="str">
            <v>FABIO ROBERTO BAUMFELD ISAACK</v>
          </cell>
        </row>
        <row r="10257">
          <cell r="B10257">
            <v>888827</v>
          </cell>
          <cell r="C10257" t="str">
            <v>ALEXANDRE FERNANDES SOUZA</v>
          </cell>
          <cell r="D10257" t="str">
            <v>ALEXANDRE FERNANDES SOUZA</v>
          </cell>
          <cell r="E10257" t="str">
            <v>ALEXANDRE FERNANDES SOUZA</v>
          </cell>
        </row>
        <row r="10258">
          <cell r="B10258">
            <v>88883</v>
          </cell>
          <cell r="C10258" t="str">
            <v>ARNALDO DAVID CEZAR COELHO</v>
          </cell>
          <cell r="D10258" t="str">
            <v>ARNALDO DAVID CEZAR COELHO</v>
          </cell>
          <cell r="E10258" t="str">
            <v>ARNALDO DAVID CEZAR COELHO</v>
          </cell>
        </row>
        <row r="10259">
          <cell r="B10259">
            <v>8888360</v>
          </cell>
          <cell r="C10259" t="str">
            <v>ESRAEL CARLOS PESSOA</v>
          </cell>
          <cell r="D10259" t="str">
            <v>ESRAEL CARLOS PESSOA</v>
          </cell>
          <cell r="E10259" t="str">
            <v>ESRAEL CARLOS PESSOA</v>
          </cell>
        </row>
        <row r="10260">
          <cell r="B10260">
            <v>88884</v>
          </cell>
          <cell r="C10260" t="str">
            <v>RODRIGO ZARKO VITAL BRASIL</v>
          </cell>
          <cell r="D10260" t="str">
            <v>RODRIGO ZARKO VITAL BRASIL</v>
          </cell>
          <cell r="E10260" t="str">
            <v>RODRIGO ZARKO VITAL BRASIL</v>
          </cell>
        </row>
        <row r="10261">
          <cell r="B10261">
            <v>888840</v>
          </cell>
          <cell r="C10261" t="str">
            <v>UBIRAJARA PENNA PESSOA</v>
          </cell>
          <cell r="D10261" t="str">
            <v>UBIRAJARA PENNA PESSOA</v>
          </cell>
          <cell r="E10261" t="str">
            <v>UBIRAJARA PENNA PESSOA</v>
          </cell>
        </row>
        <row r="10262">
          <cell r="B10262">
            <v>888849</v>
          </cell>
          <cell r="C10262" t="str">
            <v>RENATO ANDERSON NEVES PINTO DA SILVA</v>
          </cell>
          <cell r="D10262" t="str">
            <v>RENATO ANDERSON NEVES PINTO DA SILVA</v>
          </cell>
          <cell r="E10262" t="str">
            <v>RENATO ANDERSON NEVES PINTO DA SILVA</v>
          </cell>
        </row>
        <row r="10263">
          <cell r="B10263">
            <v>8888554</v>
          </cell>
          <cell r="C10263" t="str">
            <v>FABIO NISENBAUM</v>
          </cell>
          <cell r="D10263" t="str">
            <v>FABIO NISENBAUM</v>
          </cell>
          <cell r="E10263" t="str">
            <v>FABIO NISENBAUM</v>
          </cell>
        </row>
        <row r="10264">
          <cell r="B10264">
            <v>8888557</v>
          </cell>
          <cell r="C10264" t="str">
            <v>CLAUDIO LEAL FRANCA</v>
          </cell>
          <cell r="D10264" t="str">
            <v>CLAUDIO LEAL FRANCA</v>
          </cell>
          <cell r="E10264" t="str">
            <v>CLAUDIO LEAL FRANCA</v>
          </cell>
        </row>
        <row r="10265">
          <cell r="B10265">
            <v>8888568</v>
          </cell>
          <cell r="C10265" t="str">
            <v>CRISTIANO CARVALHO DE MENDONÃ‡A</v>
          </cell>
          <cell r="D10265" t="str">
            <v>CRISTIANO CARVALHO DE MENDONÃ‡A</v>
          </cell>
          <cell r="E10265" t="str">
            <v>CRISTIANO CARVALHO DE MENDONÃ‡A</v>
          </cell>
        </row>
        <row r="10266">
          <cell r="B10266">
            <v>8888570</v>
          </cell>
          <cell r="C10266" t="str">
            <v>ALEXANDRO GAYOSO DA SILVA MARCEL</v>
          </cell>
          <cell r="D10266" t="str">
            <v>ALEXANDRO GAYOSO DA SILVA MARCEL</v>
          </cell>
          <cell r="E10266" t="str">
            <v>ALEXANDRO GAYOSO DA SILVA MARCEL</v>
          </cell>
        </row>
        <row r="10267">
          <cell r="B10267">
            <v>8888572</v>
          </cell>
          <cell r="C10267" t="str">
            <v>LAURO HENRIKO GARCIA ALVES DE SOUZA</v>
          </cell>
          <cell r="D10267" t="str">
            <v>LAURO HENRIKO GARCIA ALVES DE SOUZA</v>
          </cell>
          <cell r="E10267" t="str">
            <v>LAURO HENRIKO GARCIA ALVES DE SOUZA</v>
          </cell>
        </row>
        <row r="10268">
          <cell r="B10268">
            <v>8888573</v>
          </cell>
          <cell r="C10268" t="str">
            <v>EDUARDO VARANDA</v>
          </cell>
          <cell r="D10268" t="str">
            <v>EDUARDO VARANDA</v>
          </cell>
          <cell r="E10268" t="str">
            <v>EDUARDO VARANDA</v>
          </cell>
        </row>
        <row r="10269">
          <cell r="B10269">
            <v>8888575</v>
          </cell>
          <cell r="C10269" t="str">
            <v>PAULO HENRIQUE BARBOSA MAGALHAES</v>
          </cell>
          <cell r="D10269" t="str">
            <v>PAULO HENRIQUE BARBOSA MAGALHAES</v>
          </cell>
          <cell r="E10269" t="str">
            <v>PAULO HENRIQUE BARBOSA MAGALHAES</v>
          </cell>
        </row>
        <row r="10270">
          <cell r="B10270">
            <v>8888578</v>
          </cell>
          <cell r="C10270" t="str">
            <v>FERNANDO PAIVA FERNANDES</v>
          </cell>
          <cell r="D10270" t="str">
            <v>FERNANDO PAIVA FERNANDES</v>
          </cell>
          <cell r="E10270" t="str">
            <v>FERNANDO PAIVA FERNANDES</v>
          </cell>
        </row>
        <row r="10271">
          <cell r="B10271">
            <v>8888580</v>
          </cell>
          <cell r="C10271" t="str">
            <v>PAULO BOTELHO PEIXOTO</v>
          </cell>
          <cell r="D10271" t="str">
            <v>PAULO BOTELHO PEIXOTO</v>
          </cell>
          <cell r="E10271" t="str">
            <v>PAULO BOTELHO PEIXOTO</v>
          </cell>
        </row>
        <row r="10272">
          <cell r="B10272">
            <v>8888581</v>
          </cell>
          <cell r="C10272" t="str">
            <v>MATHEUS NASCIF DE FARIA</v>
          </cell>
          <cell r="D10272" t="str">
            <v>MATHEUS NASCIF DE FARIA</v>
          </cell>
          <cell r="E10272" t="str">
            <v>MATHEUS NASCIF DE FARIA</v>
          </cell>
        </row>
        <row r="10273">
          <cell r="B10273">
            <v>8888587</v>
          </cell>
          <cell r="C10273" t="str">
            <v>FLAVIO NUNES BYRON</v>
          </cell>
          <cell r="D10273" t="str">
            <v>FLAVIO NUNES BYRON</v>
          </cell>
          <cell r="E10273" t="str">
            <v>FLAVIO NUNES BYRON</v>
          </cell>
        </row>
        <row r="10274">
          <cell r="B10274">
            <v>8888593</v>
          </cell>
          <cell r="C10274" t="str">
            <v>CARLOS EDUARDO SINCLAIR LYRA MAGALHAES</v>
          </cell>
          <cell r="D10274" t="str">
            <v>CARLOS EDUARDO SINCLAIR LYRA MAGALHAES</v>
          </cell>
          <cell r="E10274" t="str">
            <v>CARLOS EDUARDO SINCLAIR LYRA MAGALHAES</v>
          </cell>
        </row>
        <row r="10275">
          <cell r="B10275">
            <v>8888594</v>
          </cell>
          <cell r="C10275" t="str">
            <v>WAGNER BARBOSA MAGALHAES</v>
          </cell>
          <cell r="D10275" t="str">
            <v>WAGNER BARBOSA MAGALHAES</v>
          </cell>
          <cell r="E10275" t="str">
            <v>WAGNER BARBOSA MAGALHAES</v>
          </cell>
        </row>
        <row r="10276">
          <cell r="B10276">
            <v>8888595</v>
          </cell>
          <cell r="C10276" t="str">
            <v>DOUGLAS RAMOS PINTO</v>
          </cell>
          <cell r="D10276" t="str">
            <v>DOUGLAS RAMOS PINTO</v>
          </cell>
          <cell r="E10276" t="str">
            <v>DOUGLAS RAMOS PINTO</v>
          </cell>
        </row>
        <row r="10277">
          <cell r="B10277">
            <v>8888597</v>
          </cell>
          <cell r="C10277" t="str">
            <v>SERGIO RICARDO JURUENA DA COSTA BRAGA</v>
          </cell>
          <cell r="D10277" t="str">
            <v>SERGIO RICARDO JURUENA DA COSTA BRAGA</v>
          </cell>
          <cell r="E10277" t="str">
            <v>SERGIO RICARDO JURUENA DA COSTA BRAGA</v>
          </cell>
        </row>
        <row r="10278">
          <cell r="B10278">
            <v>8888615</v>
          </cell>
          <cell r="C10278" t="str">
            <v>CHRISTIANO MARCONDES DE BARROS LIMA</v>
          </cell>
          <cell r="D10278" t="str">
            <v>CHRISTIANO MARCONDES DE BARROS LIMA</v>
          </cell>
          <cell r="E10278" t="str">
            <v>CHRISTIANO MARCONDES DE BARROS LIMA</v>
          </cell>
        </row>
        <row r="10279">
          <cell r="B10279">
            <v>8888624</v>
          </cell>
          <cell r="C10279" t="str">
            <v>FABRICIO NORONHA GARCIA</v>
          </cell>
          <cell r="D10279" t="str">
            <v>FABRICIO NORONHA GARCIA</v>
          </cell>
          <cell r="E10279" t="str">
            <v>FABRICIO NORONHA GARCIA</v>
          </cell>
        </row>
        <row r="10280">
          <cell r="B10280">
            <v>8888629</v>
          </cell>
          <cell r="C10280" t="str">
            <v>FREDERICO LEOPOLDO GUIMARAES PADILHA</v>
          </cell>
          <cell r="D10280" t="str">
            <v>FREDERICO LEOPOLDO GUIMARAES PADILHA</v>
          </cell>
          <cell r="E10280" t="str">
            <v>FREDERICO LEOPOLDO GUIMARAES PADILHA</v>
          </cell>
        </row>
        <row r="10281">
          <cell r="B10281">
            <v>88889</v>
          </cell>
          <cell r="C10281" t="str">
            <v>HERMANN MIRANDA SANTOS</v>
          </cell>
          <cell r="D10281" t="str">
            <v>HERMANN MIRANDA SANTOS</v>
          </cell>
          <cell r="E10281" t="str">
            <v>HERMANN MIRANDA SANTOS</v>
          </cell>
        </row>
        <row r="10282">
          <cell r="B10282">
            <v>125213</v>
          </cell>
          <cell r="C10282" t="str">
            <v>BANCO SANTANDER (BRASIL) S/A</v>
          </cell>
          <cell r="D10282" t="str">
            <v>BANCO SANTANDER (BRASIL) S/A</v>
          </cell>
          <cell r="E10282" t="str">
            <v>BANCO SANTANDER (BRASIL) S/A</v>
          </cell>
        </row>
        <row r="10283">
          <cell r="B10283">
            <v>89013</v>
          </cell>
          <cell r="C10283" t="str">
            <v>RIO ASSET HEDGE FIM LONGO PRAZO</v>
          </cell>
          <cell r="D10283" t="str">
            <v>RIO ASSET HEDGE FIM LONGO PRAZO</v>
          </cell>
          <cell r="E10283" t="str">
            <v>RIO ASSET HEDGE FIM LONGO PRAZO</v>
          </cell>
        </row>
        <row r="10284">
          <cell r="B10284">
            <v>89556</v>
          </cell>
          <cell r="C10284" t="str">
            <v>PROVENTUS MULTI FUNDO DE INVEST.MULTIMERCADO</v>
          </cell>
          <cell r="D10284" t="str">
            <v>PROVENTUS MULTI FUNDO DE INVEST.MULTIMERCADO</v>
          </cell>
          <cell r="E10284" t="str">
            <v>PROVENTUS MULTI FUNDO DE INVEST.MULTIMERCADO</v>
          </cell>
        </row>
        <row r="10285">
          <cell r="B10285">
            <v>9</v>
          </cell>
          <cell r="C10285" t="str">
            <v>HERMANN MIRANDA SANTOS</v>
          </cell>
          <cell r="D10285" t="str">
            <v>HERMANN MIRANDA SANTOS</v>
          </cell>
          <cell r="E10285" t="str">
            <v>HERMANN MIRANDA SANTOS</v>
          </cell>
        </row>
        <row r="10286">
          <cell r="B10286">
            <v>125214</v>
          </cell>
          <cell r="C10286" t="str">
            <v>BANCO SANTANDER (BRASIL) S/A</v>
          </cell>
          <cell r="D10286" t="str">
            <v>BANCO SANTANDER (BRASIL) S/A</v>
          </cell>
          <cell r="E10286" t="str">
            <v>BANCO SANTANDER (BRASIL) S/A</v>
          </cell>
        </row>
        <row r="10287">
          <cell r="B10287">
            <v>9000</v>
          </cell>
          <cell r="C10287" t="str">
            <v>DEUTSCHE BANK S/A BANCO ALEMÃƒO</v>
          </cell>
          <cell r="D10287" t="str">
            <v>DEUTSCHE BANK S/A BANCO ALEMÃƒO</v>
          </cell>
          <cell r="E10287" t="str">
            <v>DEUTSCHE BANK S/A</v>
          </cell>
        </row>
        <row r="10288">
          <cell r="B10288">
            <v>900002</v>
          </cell>
          <cell r="C10288" t="str">
            <v>CORRETORA SOUZA BARROS CAMBIO E TITULOS S.A</v>
          </cell>
          <cell r="D10288" t="str">
            <v>CORRETORA SOUZA BARROS CAMBIO E TITULOS S.A</v>
          </cell>
          <cell r="E10288" t="str">
            <v>CORRETORA SOUZA BARROS CAMBIO E TITULOS S.A</v>
          </cell>
        </row>
        <row r="10289">
          <cell r="B10289">
            <v>900003</v>
          </cell>
          <cell r="C10289" t="str">
            <v>PROSPER APLICAÃ‡AO CM &amp; FUTUROS LTDA</v>
          </cell>
          <cell r="D10289" t="str">
            <v>PROSPER APLICAÃ‡AO CM &amp; FUTUROS LTDA</v>
          </cell>
          <cell r="E10289" t="str">
            <v>PROSPER APLICAÃ‡AO CM &amp; FUTUROS LTDA</v>
          </cell>
        </row>
        <row r="10290">
          <cell r="B10290">
            <v>900004</v>
          </cell>
          <cell r="C10290" t="str">
            <v>ALFA CCVM S/A</v>
          </cell>
          <cell r="D10290" t="str">
            <v>ALFA CCVM S/A</v>
          </cell>
          <cell r="E10290" t="str">
            <v>ALFA CCVM S/A</v>
          </cell>
        </row>
        <row r="10291">
          <cell r="B10291">
            <v>14383</v>
          </cell>
          <cell r="C10291" t="str">
            <v>UBS AG, LONDON BRANCH NOVO</v>
          </cell>
          <cell r="D10291" t="str">
            <v>UBS AG, LONDON BRANCH NOVO</v>
          </cell>
          <cell r="E10291" t="str">
            <v>UBS AG, LONDON BRANCH NOVO</v>
          </cell>
        </row>
        <row r="10292">
          <cell r="B10292">
            <v>9000086</v>
          </cell>
          <cell r="C10292" t="str">
            <v>LOPEZ LEON DERIVATIVOS CM S/A</v>
          </cell>
          <cell r="D10292" t="str">
            <v>LOPEZ LEON DERIVATIVOS CM S/A</v>
          </cell>
          <cell r="E10292" t="str">
            <v>LOPEZ LEON DERIVATIVOS CM S/A</v>
          </cell>
        </row>
        <row r="10293">
          <cell r="B10293">
            <v>900009</v>
          </cell>
          <cell r="C10293" t="str">
            <v>DEUTSCHE BANK CV SA</v>
          </cell>
          <cell r="D10293" t="str">
            <v>DEUTSCHE BANK CV SA</v>
          </cell>
          <cell r="E10293" t="str">
            <v>DEUTSCHE BANK S/A</v>
          </cell>
        </row>
        <row r="10294">
          <cell r="B10294">
            <v>900010</v>
          </cell>
          <cell r="C10294" t="str">
            <v>SPINELLI S/A CVMC</v>
          </cell>
          <cell r="D10294" t="str">
            <v>SPINELLI S/A CVMC</v>
          </cell>
          <cell r="E10294" t="str">
            <v>SPINELLI S/A CVMC</v>
          </cell>
        </row>
        <row r="10295">
          <cell r="B10295">
            <v>900011</v>
          </cell>
          <cell r="C10295" t="str">
            <v>INTERBOLSA DO BRASIL CCTVM LTDA</v>
          </cell>
          <cell r="D10295" t="str">
            <v>INTERBOLSA DO BRASIL CCTVM LTDA</v>
          </cell>
          <cell r="E10295" t="str">
            <v>INTERBOLSA DO BRASIL CCTVM LTDA</v>
          </cell>
        </row>
        <row r="10296">
          <cell r="B10296">
            <v>900012</v>
          </cell>
          <cell r="C10296" t="str">
            <v>RENASCENÃ‡A DTVM LTDA</v>
          </cell>
          <cell r="D10296" t="str">
            <v>RENASCENÃ‡A DTVM LTDA</v>
          </cell>
          <cell r="E10296" t="str">
            <v>WARREN BRASIL GESTÃO E ADMINISTRAÇÃO DE RECURSOS LTDA</v>
          </cell>
        </row>
        <row r="10297">
          <cell r="B10297">
            <v>79232</v>
          </cell>
          <cell r="C10297" t="str">
            <v>MICL I CP FIM</v>
          </cell>
          <cell r="D10297" t="str">
            <v>MICL I CP FIM</v>
          </cell>
          <cell r="E10297" t="str">
            <v>CAPITÂNIA INVEST S/A</v>
          </cell>
        </row>
        <row r="10298">
          <cell r="B10298">
            <v>900014</v>
          </cell>
          <cell r="C10298" t="str">
            <v>CRUZEIRO DO SUL CM LTDA</v>
          </cell>
          <cell r="D10298" t="str">
            <v>CRUZEIRO DO SUL CM LTDA</v>
          </cell>
          <cell r="E10298" t="str">
            <v>CRUZEIRO DO SUL CM LTDA</v>
          </cell>
        </row>
        <row r="10299">
          <cell r="B10299">
            <v>900015</v>
          </cell>
          <cell r="C10299" t="str">
            <v>SAFRA ASSET CORRETORA DE TITULOS E VALORES MOBILIARIOS S.A.</v>
          </cell>
          <cell r="D10299" t="str">
            <v>SAFRA ASSET CORRETORA DE TITULOS E VALORES MOBILIARIOS S.A.</v>
          </cell>
          <cell r="E10299" t="str">
            <v>SAFRA ASSET MANAGEMENT LTDA</v>
          </cell>
        </row>
        <row r="10300">
          <cell r="B10300">
            <v>900016</v>
          </cell>
          <cell r="C10300" t="str">
            <v>JP MORGAN CCVM S/A</v>
          </cell>
          <cell r="D10300" t="str">
            <v>JP MORGAN CCVM S/A</v>
          </cell>
          <cell r="E10300" t="str">
            <v>JP MORGAN ADMINISTRADORA DE CARTEIRAS BRASIL LTDA</v>
          </cell>
        </row>
        <row r="10301">
          <cell r="B10301">
            <v>90002</v>
          </cell>
          <cell r="C10301" t="str">
            <v>BB GESTAO DE RECURSOS DTVM LTDA</v>
          </cell>
          <cell r="D10301" t="str">
            <v>BB GESTAO DE RECURSOS DTVM LTDA</v>
          </cell>
          <cell r="E10301" t="str">
            <v>BANCO DO BRASIL S/A</v>
          </cell>
        </row>
        <row r="10302">
          <cell r="B10302">
            <v>900020</v>
          </cell>
          <cell r="C10302" t="str">
            <v>AGORA CTVM S/A</v>
          </cell>
          <cell r="D10302" t="str">
            <v>AGORA CTVM S/A</v>
          </cell>
          <cell r="E10302" t="str">
            <v>AGORA GESTAO DE RECURSOS LTDA</v>
          </cell>
        </row>
        <row r="10303">
          <cell r="B10303">
            <v>900021</v>
          </cell>
          <cell r="C10303" t="str">
            <v>BANCO BTG PACTUAL S/A</v>
          </cell>
          <cell r="D10303" t="str">
            <v>BANCO BTG PACTUAL S/A</v>
          </cell>
          <cell r="E10303" t="str">
            <v>BANCO BTG PACTUAL S/A</v>
          </cell>
        </row>
        <row r="10304">
          <cell r="B10304">
            <v>900022</v>
          </cell>
          <cell r="C10304" t="str">
            <v>CREDIT SUISSE HEDGING GRIFFO CV S/A</v>
          </cell>
          <cell r="D10304" t="str">
            <v>CREDIT SUISSE HEDGING GRIFFO CV S/A</v>
          </cell>
          <cell r="E10304" t="str">
            <v>CREDIT SUISSE HEDGING-GRIFFO WEALTH MANAGEMENT S/A</v>
          </cell>
        </row>
        <row r="10305">
          <cell r="B10305">
            <v>900023</v>
          </cell>
          <cell r="C10305" t="str">
            <v>CONCORDIA S/A CVMCC</v>
          </cell>
          <cell r="D10305" t="str">
            <v>CONCORDIA S/A CVMCC</v>
          </cell>
          <cell r="E10305" t="str">
            <v>CONCORDIA S/A CVMCC</v>
          </cell>
        </row>
        <row r="10306">
          <cell r="B10306">
            <v>900024</v>
          </cell>
          <cell r="C10306" t="str">
            <v>CREDIT SUISSE HEDGING GRIFFO CV S/A</v>
          </cell>
          <cell r="D10306" t="str">
            <v>CREDIT SUISSE HEDGING GRIFFO CV S/A</v>
          </cell>
          <cell r="E10306" t="str">
            <v>CREDIT SUISSE HEDGING-GRIFFO WEALTH MANAGEMENT S/A</v>
          </cell>
        </row>
        <row r="10307">
          <cell r="B10307">
            <v>900027</v>
          </cell>
          <cell r="C10307" t="str">
            <v>SANTANDER S/A CCT</v>
          </cell>
          <cell r="D10307" t="str">
            <v>SANTANDER S/A CCT</v>
          </cell>
          <cell r="E10307" t="str">
            <v>SANTANDER S/A CCT</v>
          </cell>
        </row>
        <row r="10308">
          <cell r="B10308">
            <v>900028</v>
          </cell>
          <cell r="C10308" t="str">
            <v>CM CAPITAL MARKETS CCTVM LTDA</v>
          </cell>
          <cell r="D10308" t="str">
            <v>CM CAPITAL MARKETS CCTVM LTDA</v>
          </cell>
          <cell r="E10308" t="str">
            <v>CM CAPITAL MARKETS CCTVM LTDA</v>
          </cell>
        </row>
        <row r="10309">
          <cell r="B10309">
            <v>900030</v>
          </cell>
          <cell r="C10309" t="str">
            <v>SANTANDER S/A CCT</v>
          </cell>
          <cell r="D10309" t="str">
            <v>SANTANDER S/A CCT</v>
          </cell>
          <cell r="E10309" t="str">
            <v>SANTANDER S/A CCT</v>
          </cell>
        </row>
        <row r="10310">
          <cell r="B10310">
            <v>900032</v>
          </cell>
          <cell r="C10310" t="str">
            <v>FATOR S/A CV</v>
          </cell>
          <cell r="D10310" t="str">
            <v>FATOR S/A CV</v>
          </cell>
          <cell r="E10310" t="str">
            <v>FATOR S/A CV</v>
          </cell>
        </row>
        <row r="10311">
          <cell r="B10311">
            <v>900034</v>
          </cell>
          <cell r="C10311" t="str">
            <v>SCHAHIN CCVM S/A</v>
          </cell>
          <cell r="D10311" t="str">
            <v>SCHAHIN CCVM S/A</v>
          </cell>
          <cell r="E10311" t="str">
            <v>SCHAHIN CCVM S/A</v>
          </cell>
        </row>
        <row r="10312">
          <cell r="B10312">
            <v>900035</v>
          </cell>
          <cell r="C10312" t="str">
            <v>VOTORANTIM CTVM LTDA</v>
          </cell>
          <cell r="D10312" t="str">
            <v>VOTORANTIM CTVM LTDA</v>
          </cell>
          <cell r="E10312" t="str">
            <v>VOTORANTIM CTVM LTDA</v>
          </cell>
        </row>
        <row r="10313">
          <cell r="B10313">
            <v>900036</v>
          </cell>
          <cell r="C10313" t="str">
            <v>BANCO RURAL S/A</v>
          </cell>
          <cell r="D10313" t="str">
            <v>BANCO RURAL S/A</v>
          </cell>
          <cell r="E10313" t="str">
            <v>BANCO RURAL S/A</v>
          </cell>
        </row>
        <row r="10314">
          <cell r="B10314">
            <v>900038</v>
          </cell>
          <cell r="C10314" t="str">
            <v>NOVA FUTURA CTVM LTDA</v>
          </cell>
          <cell r="D10314" t="str">
            <v>NOVA FUTURA CTVM LTDA</v>
          </cell>
          <cell r="E10314" t="str">
            <v>NOVA FUTURA CTVM LTDA</v>
          </cell>
        </row>
        <row r="10315">
          <cell r="B10315">
            <v>90004</v>
          </cell>
          <cell r="C10315" t="str">
            <v>MORGAN STANLEY CTVM S/A</v>
          </cell>
          <cell r="D10315" t="str">
            <v>MORGAN STANLEY CTVM S/A</v>
          </cell>
          <cell r="E10315" t="str">
            <v>MORGAN STANLEY CTVM S/A</v>
          </cell>
        </row>
        <row r="10316">
          <cell r="B10316">
            <v>900041</v>
          </cell>
          <cell r="C10316" t="str">
            <v>ING CCT S/A</v>
          </cell>
          <cell r="D10316" t="str">
            <v>ING CCT S/A</v>
          </cell>
          <cell r="E10316" t="str">
            <v>ING CCT S/A</v>
          </cell>
        </row>
        <row r="10317">
          <cell r="B10317">
            <v>900043</v>
          </cell>
          <cell r="C10317" t="str">
            <v>ATIVA S/A CTCV</v>
          </cell>
          <cell r="D10317" t="str">
            <v>ATIVA S/A CTCV</v>
          </cell>
          <cell r="E10317" t="str">
            <v>ATIVA S/A CTCV</v>
          </cell>
        </row>
        <row r="10318">
          <cell r="B10318">
            <v>900044</v>
          </cell>
          <cell r="C10318" t="str">
            <v>J SAFRA CVC LTDA</v>
          </cell>
          <cell r="D10318" t="str">
            <v>J SAFRA CVC LTDA</v>
          </cell>
          <cell r="E10318" t="str">
            <v>J SAFRA CVC LTDA</v>
          </cell>
        </row>
        <row r="10319">
          <cell r="B10319">
            <v>900045</v>
          </cell>
          <cell r="C10319" t="str">
            <v>CREDIT SUISSE (BRASIL) S/A CTVM</v>
          </cell>
          <cell r="D10319" t="str">
            <v>CREDIT SUISSE (BRASIL) S/A CTVM</v>
          </cell>
          <cell r="E10319" t="str">
            <v>CREDIT SUISSE (BRASIL) S/A CTVM</v>
          </cell>
        </row>
        <row r="10320">
          <cell r="B10320">
            <v>79313</v>
          </cell>
          <cell r="C10320" t="str">
            <v>UBS AG, LONDON BRANCH NOVO</v>
          </cell>
          <cell r="D10320" t="str">
            <v>UBS AG, LONDON BRANCH NOVO</v>
          </cell>
          <cell r="E10320" t="str">
            <v>UBS AG, LONDON BRANCH NOVO</v>
          </cell>
        </row>
        <row r="10321">
          <cell r="B10321">
            <v>90005</v>
          </cell>
          <cell r="C10321" t="str">
            <v>BB GESTAO DE RECURSOS DTVM LTDA</v>
          </cell>
          <cell r="D10321" t="str">
            <v>BB GESTAO DE RECURSOS DTVM LTDA</v>
          </cell>
          <cell r="E10321" t="str">
            <v>BANCO DO BRASIL S/A</v>
          </cell>
        </row>
        <row r="10322">
          <cell r="B10322">
            <v>900051</v>
          </cell>
          <cell r="C10322" t="str">
            <v>CITIBANK DTVM S/A</v>
          </cell>
          <cell r="D10322" t="str">
            <v>CITIBANK DTVM S/A</v>
          </cell>
          <cell r="E10322" t="str">
            <v>CITIBANK DTVM S/A</v>
          </cell>
        </row>
        <row r="10323">
          <cell r="B10323">
            <v>900052</v>
          </cell>
          <cell r="C10323" t="str">
            <v>CITIBANK DTVM S/A</v>
          </cell>
          <cell r="D10323" t="str">
            <v>CITIBANK DTVM S/A</v>
          </cell>
          <cell r="E10323" t="str">
            <v>CITIBANK DTVM S/A</v>
          </cell>
        </row>
        <row r="10324">
          <cell r="B10324">
            <v>900054</v>
          </cell>
          <cell r="C10324" t="str">
            <v>HAITONG SECURITIES  DO BRASIL CCVM (BES SECURITIES DO BRASIL</v>
          </cell>
          <cell r="D10324" t="str">
            <v>HAITONG SECURITIES  DO BRASIL CCVM (BES SECURITIES DO BRASIL</v>
          </cell>
          <cell r="E10324" t="str">
            <v>HAITONG BANCO DE INVESTIMENTO DO BRASIL S/A</v>
          </cell>
        </row>
        <row r="10325">
          <cell r="B10325">
            <v>900056</v>
          </cell>
          <cell r="C10325" t="str">
            <v>ATIVA S/A CTCV</v>
          </cell>
          <cell r="D10325" t="str">
            <v>ATIVA S/A CTCV</v>
          </cell>
          <cell r="E10325" t="str">
            <v>ATIVA S/A CTCV</v>
          </cell>
        </row>
        <row r="10326">
          <cell r="B10326">
            <v>900057</v>
          </cell>
          <cell r="C10326" t="str">
            <v>BRASCAN S/A CTV</v>
          </cell>
          <cell r="D10326" t="str">
            <v>BRASCAN S/A CTV</v>
          </cell>
          <cell r="E10326" t="str">
            <v>BRASCAN S/A CTV</v>
          </cell>
        </row>
        <row r="10327">
          <cell r="B10327">
            <v>900058</v>
          </cell>
          <cell r="C10327" t="str">
            <v>SINGULARE CORRETORA DE TIRULOS E VALORES MOBILIARIOS SA</v>
          </cell>
          <cell r="D10327" t="str">
            <v>SINGULARE CORRETORA DE TIRULOS E VALORES MOBILIARIOS SA</v>
          </cell>
          <cell r="E10327" t="str">
            <v>SINGULARE CORRETORA DE TIRULOS E VALORES MOBILIARIOS SA</v>
          </cell>
        </row>
        <row r="10328">
          <cell r="B10328">
            <v>900059</v>
          </cell>
          <cell r="C10328" t="str">
            <v>J SAFRA CVC LTDA</v>
          </cell>
          <cell r="D10328" t="str">
            <v>J SAFRA CVC LTDA</v>
          </cell>
          <cell r="E10328" t="str">
            <v>J SAFRA CVC LTDA</v>
          </cell>
        </row>
        <row r="10329">
          <cell r="B10329">
            <v>90006</v>
          </cell>
          <cell r="C10329" t="str">
            <v>BB GESTAO DE RECURSOS DTVM LTDA</v>
          </cell>
          <cell r="D10329" t="str">
            <v>BB GESTAO DE RECURSOS DTVM LTDA</v>
          </cell>
          <cell r="E10329" t="str">
            <v>BB BANCO DE INVESTIMENTO S/A</v>
          </cell>
        </row>
        <row r="10330">
          <cell r="B10330">
            <v>900060</v>
          </cell>
          <cell r="C10330" t="str">
            <v>CITIBANK DTVM S/A</v>
          </cell>
          <cell r="D10330" t="str">
            <v>CITIBANK DTVM S/A</v>
          </cell>
          <cell r="E10330" t="str">
            <v>CITIBANK DTVM S/A</v>
          </cell>
        </row>
        <row r="10331">
          <cell r="B10331">
            <v>900061</v>
          </cell>
          <cell r="C10331" t="str">
            <v>SANTANDER S/A CCT</v>
          </cell>
          <cell r="D10331" t="str">
            <v>SANTANDER S/A CCT</v>
          </cell>
          <cell r="E10331" t="str">
            <v>SANTANDER S/A CCT</v>
          </cell>
        </row>
        <row r="10332">
          <cell r="B10332">
            <v>900063</v>
          </cell>
          <cell r="C10332" t="str">
            <v>NOVINVEST CVM LTDA</v>
          </cell>
          <cell r="D10332" t="str">
            <v>NOVINVEST CVM LTDA</v>
          </cell>
          <cell r="E10332" t="str">
            <v>NOVINVEST CVM LTDA</v>
          </cell>
        </row>
        <row r="10333">
          <cell r="B10333">
            <v>900066</v>
          </cell>
          <cell r="C10333" t="str">
            <v>UNIBANCO CVM S/A</v>
          </cell>
          <cell r="D10333" t="str">
            <v>UNIBANCO CVM S/A</v>
          </cell>
          <cell r="E10333" t="str">
            <v>UNIBANCO CVM S/A</v>
          </cell>
        </row>
        <row r="10334">
          <cell r="B10334">
            <v>90007</v>
          </cell>
          <cell r="C10334" t="str">
            <v>MORGAN STANLEY CTVM S/A</v>
          </cell>
          <cell r="D10334" t="str">
            <v>MORGAN STANLEY CTVM S/A</v>
          </cell>
          <cell r="E10334" t="str">
            <v>MORGAN STANLEY CTVM S/A</v>
          </cell>
        </row>
        <row r="10335">
          <cell r="B10335">
            <v>900070</v>
          </cell>
          <cell r="C10335" t="str">
            <v>VOTORANTIM CTVM LTDA</v>
          </cell>
          <cell r="D10335" t="str">
            <v>VOTORANTIM CTVM LTDA</v>
          </cell>
          <cell r="E10335" t="str">
            <v>VOTORANTIM CTVM LTDA</v>
          </cell>
        </row>
        <row r="10336">
          <cell r="B10336">
            <v>900071</v>
          </cell>
          <cell r="C10336" t="str">
            <v>VOTORANTIM CTVM LTDA</v>
          </cell>
          <cell r="D10336" t="str">
            <v>VOTORANTIM CTVM LTDA</v>
          </cell>
          <cell r="E10336" t="str">
            <v>VOTORANTIM CTVM LTDA</v>
          </cell>
        </row>
        <row r="10337">
          <cell r="B10337">
            <v>900072</v>
          </cell>
          <cell r="C10337" t="str">
            <v>BRADESCO S/A CTVM</v>
          </cell>
          <cell r="D10337" t="str">
            <v>BRADESCO S/A CTVM</v>
          </cell>
          <cell r="E10337" t="str">
            <v>BRADESCO SA CORRETORA DE TITULOS E VALORES MOBILIARIOS</v>
          </cell>
        </row>
        <row r="10338">
          <cell r="B10338">
            <v>900073</v>
          </cell>
          <cell r="C10338" t="str">
            <v>VOTORANTIM CTVM LTDA</v>
          </cell>
          <cell r="D10338" t="str">
            <v>VOTORANTIM CTVM LTDA</v>
          </cell>
          <cell r="E10338" t="str">
            <v>VOTORANTIM CTVM LTDA</v>
          </cell>
        </row>
        <row r="10339">
          <cell r="B10339">
            <v>900074</v>
          </cell>
          <cell r="C10339" t="str">
            <v>ALFA CCVM S/A</v>
          </cell>
          <cell r="D10339" t="str">
            <v>ALFA CCVM S/A</v>
          </cell>
          <cell r="E10339" t="str">
            <v>ALFA CCVM S/A</v>
          </cell>
        </row>
        <row r="10340">
          <cell r="B10340">
            <v>900078</v>
          </cell>
          <cell r="C10340" t="str">
            <v>MAXIMA S/A CTVM</v>
          </cell>
          <cell r="D10340" t="str">
            <v>MAXIMA S/A CTVM</v>
          </cell>
          <cell r="E10340" t="str">
            <v>MAXIMA S/A CTVM</v>
          </cell>
        </row>
        <row r="10341">
          <cell r="B10341">
            <v>90008</v>
          </cell>
          <cell r="C10341" t="str">
            <v>MORGAN STANLEY CTVM S/A</v>
          </cell>
          <cell r="D10341" t="str">
            <v>MORGAN STANLEY CTVM S/A</v>
          </cell>
          <cell r="E10341" t="str">
            <v>MORGAN STANLEY CTVM S/A</v>
          </cell>
        </row>
        <row r="10342">
          <cell r="B10342">
            <v>900088</v>
          </cell>
          <cell r="C10342" t="str">
            <v>CM CAPITAL MARKETS CCTVM LTDA</v>
          </cell>
          <cell r="D10342" t="str">
            <v>CM CAPITAL MARKETS CCTVM LTDA</v>
          </cell>
          <cell r="E10342" t="str">
            <v>CM CAPITAL MARKETS CCTVM LTDA</v>
          </cell>
        </row>
        <row r="10343">
          <cell r="B10343">
            <v>900089</v>
          </cell>
          <cell r="C10343" t="str">
            <v>JP MORGAN CCVM S/A</v>
          </cell>
          <cell r="D10343" t="str">
            <v>JP MORGAN CCVM S/A</v>
          </cell>
          <cell r="E10343" t="str">
            <v>JP MORGAN ADMINISTRADORA DE CARTEIRAS BRASIL LTDA</v>
          </cell>
        </row>
        <row r="10344">
          <cell r="B10344">
            <v>90009</v>
          </cell>
          <cell r="C10344" t="str">
            <v>MORGAN STANLEY CTVM S/A</v>
          </cell>
          <cell r="D10344" t="str">
            <v>MORGAN STANLEY CTVM S/A</v>
          </cell>
          <cell r="E10344" t="str">
            <v>MORGAN STANLEY CTVM S/A</v>
          </cell>
        </row>
        <row r="10345">
          <cell r="B10345">
            <v>900097</v>
          </cell>
          <cell r="C10345" t="str">
            <v>HSBC CTVM S/A ATUAL BRADESCO-KIRTON</v>
          </cell>
          <cell r="D10345" t="str">
            <v>HSBC CTVM S/A ATUAL BRADESCO-KIRTON</v>
          </cell>
          <cell r="E10345" t="str">
            <v>HSBC CTVM S/A ATUAL BRADESCO-KIRTON</v>
          </cell>
        </row>
        <row r="10346">
          <cell r="B10346">
            <v>900098</v>
          </cell>
          <cell r="C10346" t="str">
            <v>ALPES CCTVM LTDA</v>
          </cell>
          <cell r="D10346" t="str">
            <v>ALPES CCTVM LTDA</v>
          </cell>
          <cell r="E10346" t="str">
            <v>ALPES CCTVM LTDA</v>
          </cell>
        </row>
        <row r="10347">
          <cell r="B10347">
            <v>900102</v>
          </cell>
          <cell r="C10347" t="str">
            <v>CGD INVESTIMENTOS CORRETORA DE VALORES E CAMBIO S/A</v>
          </cell>
          <cell r="D10347" t="str">
            <v>CGD INVESTIMENTOS CORRETORA DE VALORES E CAMBIO S/A</v>
          </cell>
          <cell r="E10347" t="str">
            <v>CGD INVESTIMENTOS CORRETORA DE VALORES E CAMBIO S/A</v>
          </cell>
        </row>
        <row r="10348">
          <cell r="B10348">
            <v>900105</v>
          </cell>
          <cell r="C10348" t="str">
            <v>HEDGING GRIFFO CV S/A</v>
          </cell>
          <cell r="D10348" t="str">
            <v>HEDGING GRIFFO CV S/A</v>
          </cell>
          <cell r="E10348" t="str">
            <v>HEDGING GRIFFO CV S/A</v>
          </cell>
        </row>
        <row r="10349">
          <cell r="B10349">
            <v>900106</v>
          </cell>
          <cell r="C10349" t="str">
            <v>BRADESCO S/A CTVM</v>
          </cell>
          <cell r="D10349" t="str">
            <v>BRADESCO S/A CTVM</v>
          </cell>
          <cell r="E10349" t="str">
            <v>BRADESCO SA CORRETORA DE TITULOS E VALORES MOBILIARIOS</v>
          </cell>
        </row>
        <row r="10350">
          <cell r="B10350">
            <v>900107</v>
          </cell>
          <cell r="C10350" t="str">
            <v>AGORA CTVM S/A</v>
          </cell>
          <cell r="D10350" t="str">
            <v>AGORA CTVM S/A</v>
          </cell>
          <cell r="E10350" t="str">
            <v>AGORA GESTAO DE RECURSOS LTDA</v>
          </cell>
        </row>
        <row r="10351">
          <cell r="B10351">
            <v>900110</v>
          </cell>
          <cell r="C10351" t="str">
            <v>SLW CVC LTDA</v>
          </cell>
          <cell r="D10351" t="str">
            <v>SLW CVC LTDA</v>
          </cell>
          <cell r="E10351" t="str">
            <v>SLW CVC LTDA</v>
          </cell>
        </row>
        <row r="10352">
          <cell r="B10352">
            <v>900114</v>
          </cell>
          <cell r="C10352" t="str">
            <v>ITAU CORRETORA DE VALORES S.A.</v>
          </cell>
          <cell r="D10352" t="str">
            <v>ITAU CORRETORA DE VALORES S.A.</v>
          </cell>
          <cell r="E10352" t="str">
            <v>ITAU CV S/A</v>
          </cell>
        </row>
        <row r="10353">
          <cell r="B10353">
            <v>900115</v>
          </cell>
          <cell r="C10353" t="str">
            <v>MERRILL LYNCH S/A CTVM</v>
          </cell>
          <cell r="D10353" t="str">
            <v>MERRILL LYNCH S/A CTVM</v>
          </cell>
          <cell r="E10353" t="str">
            <v>MERRILL LYNCH S/A CTVM</v>
          </cell>
        </row>
        <row r="10354">
          <cell r="B10354">
            <v>900116</v>
          </cell>
          <cell r="C10354" t="str">
            <v>BANCO JP MORGAN S/A</v>
          </cell>
          <cell r="D10354" t="str">
            <v>BANCO JP MORGAN S/A</v>
          </cell>
          <cell r="E10354" t="str">
            <v>BANCO JP MORGAN S/A</v>
          </cell>
        </row>
        <row r="10355">
          <cell r="B10355">
            <v>900124</v>
          </cell>
          <cell r="C10355" t="str">
            <v>THECA CCTVM LTDA</v>
          </cell>
          <cell r="D10355" t="str">
            <v>THECA CCTVM LTDA</v>
          </cell>
          <cell r="E10355" t="str">
            <v>THECA CCTVM LTDA</v>
          </cell>
        </row>
        <row r="10356">
          <cell r="B10356">
            <v>900127</v>
          </cell>
          <cell r="C10356" t="str">
            <v>TULLETT PREBON BRASIL CVC (ANTIGA CONVENÃ‡AO)</v>
          </cell>
          <cell r="D10356" t="str">
            <v>TULLETT PREBON BRASIL CVC (ANTIGA CONVENÃ‡AO)</v>
          </cell>
          <cell r="E10356" t="str">
            <v>TULLETT PREBON BRASIL CVC LTDA</v>
          </cell>
        </row>
        <row r="10357">
          <cell r="B10357">
            <v>900128</v>
          </cell>
          <cell r="C10357" t="str">
            <v>NOVINVEST CVM LTDA</v>
          </cell>
          <cell r="D10357" t="str">
            <v>NOVINVEST CVM LTDA</v>
          </cell>
          <cell r="E10357" t="str">
            <v>NOVINVEST CVM LTDA</v>
          </cell>
        </row>
        <row r="10358">
          <cell r="B10358">
            <v>900129</v>
          </cell>
          <cell r="C10358" t="str">
            <v>PLANNER CV S/A</v>
          </cell>
          <cell r="D10358" t="str">
            <v>PLANNER CV S/A</v>
          </cell>
          <cell r="E10358" t="str">
            <v>PLANNER CV S/A</v>
          </cell>
        </row>
        <row r="10359">
          <cell r="B10359">
            <v>90013</v>
          </cell>
          <cell r="C10359" t="str">
            <v>BRADESCO S/A CTVM</v>
          </cell>
          <cell r="D10359" t="str">
            <v>BRADESCO S/A CTVM</v>
          </cell>
          <cell r="E10359" t="str">
            <v>BRADESCO SA CORRETORA DE TITULOS E VALORES MOBILIARIOS</v>
          </cell>
        </row>
        <row r="10360">
          <cell r="B10360">
            <v>900133</v>
          </cell>
          <cell r="C10360" t="str">
            <v>ICAP DO BRASIL CTVM LTDA ( ATUAL TULLET)</v>
          </cell>
          <cell r="D10360" t="str">
            <v>ICAP DO BRASIL CTVM LTDA ( ATUAL TULLET)</v>
          </cell>
          <cell r="E10360" t="str">
            <v>ICAP DO BRASIL CTVM LTDA ( ATUAL TULLET)</v>
          </cell>
        </row>
        <row r="10361">
          <cell r="B10361">
            <v>900135</v>
          </cell>
          <cell r="C10361" t="str">
            <v>CGD INVESTIMENTOS CORRETORA DE VALORES E CAMBIO S/A</v>
          </cell>
          <cell r="D10361" t="str">
            <v>CGD INVESTIMENTOS CORRETORA DE VALORES E CAMBIO S/A</v>
          </cell>
        </row>
        <row r="10362">
          <cell r="B10362">
            <v>900139</v>
          </cell>
          <cell r="C10362" t="str">
            <v>FLOW CM LTDA</v>
          </cell>
          <cell r="D10362" t="str">
            <v>FLOW CM LTDA</v>
          </cell>
          <cell r="E10362" t="str">
            <v>FLOW CM LTDA</v>
          </cell>
        </row>
        <row r="10363">
          <cell r="B10363">
            <v>900141</v>
          </cell>
          <cell r="C10363" t="str">
            <v>CGD INVESTIMENTOS CORRETORA DE VALORES E CAMBIO S/A</v>
          </cell>
          <cell r="D10363" t="str">
            <v>CGD INVESTIMENTOS CORRETORA DE VALORES E CAMBIO S/A</v>
          </cell>
          <cell r="E10363" t="str">
            <v>CGD INVESTIMENTOS CORRETORA DE VALORES E CAMBIO S/A</v>
          </cell>
        </row>
        <row r="10364">
          <cell r="B10364">
            <v>900142</v>
          </cell>
          <cell r="C10364" t="str">
            <v>CGD INVESTIMENTOS CORRETORA DE VALORES E CAMBIO S/A</v>
          </cell>
          <cell r="D10364" t="str">
            <v>CGD INVESTIMENTOS CORRETORA DE VALORES E CAMBIO S/A</v>
          </cell>
          <cell r="E10364" t="str">
            <v>CGD INVESTIMENTOS CORRETORA DE VALORES E CAMBIO S/A</v>
          </cell>
        </row>
        <row r="10365">
          <cell r="B10365">
            <v>900143</v>
          </cell>
          <cell r="C10365" t="str">
            <v>CGD INVESTIMENTOS CORRETORA DE VALORES E CAMBIO S/A</v>
          </cell>
          <cell r="D10365" t="str">
            <v>CGD INVESTIMENTOS CORRETORA DE VALORES E CAMBIO S/A</v>
          </cell>
          <cell r="E10365" t="str">
            <v>CGD INVESTIMENTOS CORRETORA DE VALORES E CAMBIO S/A</v>
          </cell>
        </row>
        <row r="10366">
          <cell r="B10366">
            <v>79535</v>
          </cell>
          <cell r="C10366" t="str">
            <v>UBS AG, LONDON BRANCH NOVO</v>
          </cell>
          <cell r="D10366" t="str">
            <v>UBS AG, LONDON BRANCH NOVO</v>
          </cell>
          <cell r="E10366" t="str">
            <v>UBS AG, LONDON BRANCH NOVO</v>
          </cell>
        </row>
        <row r="10367">
          <cell r="B10367">
            <v>900147</v>
          </cell>
          <cell r="C10367" t="str">
            <v>INTERFLOAT HZ CCTVM LTDA</v>
          </cell>
          <cell r="D10367" t="str">
            <v>INTERFLOAT HZ CCTVM LTDA</v>
          </cell>
          <cell r="E10367" t="str">
            <v>INTERFLOAT HZ CCTVM LTDA</v>
          </cell>
        </row>
        <row r="10368">
          <cell r="B10368">
            <v>900148</v>
          </cell>
          <cell r="C10368" t="str">
            <v>LOPEZ LEON DERIVATIVOS CM S/A</v>
          </cell>
          <cell r="D10368" t="str">
            <v>LOPEZ LEON DERIVATIVOS CM S/A</v>
          </cell>
          <cell r="E10368" t="str">
            <v>LOPEZ LEON DERIVATIVOS CM S/A</v>
          </cell>
        </row>
        <row r="10369">
          <cell r="B10369">
            <v>900150</v>
          </cell>
          <cell r="C10369" t="str">
            <v>PROSPER S/A CVC</v>
          </cell>
          <cell r="D10369" t="str">
            <v>PROSPER S/A CVC</v>
          </cell>
          <cell r="E10369" t="str">
            <v>PROSPER S/A CVC</v>
          </cell>
        </row>
        <row r="10370">
          <cell r="B10370">
            <v>900151</v>
          </cell>
          <cell r="C10370" t="str">
            <v>CITIBANK DTVM S/A</v>
          </cell>
          <cell r="D10370" t="str">
            <v>CITIBANK DTVM S/A</v>
          </cell>
          <cell r="E10370" t="str">
            <v>CITIBANK DTVM S/A</v>
          </cell>
        </row>
        <row r="10371">
          <cell r="B10371">
            <v>900153</v>
          </cell>
          <cell r="C10371" t="str">
            <v>MAXIMA S/A CTVM</v>
          </cell>
          <cell r="D10371" t="str">
            <v>MAXIMA S/A CTVM</v>
          </cell>
          <cell r="E10371" t="str">
            <v>MAXIMA S/A CTVM</v>
          </cell>
        </row>
        <row r="10372">
          <cell r="B10372">
            <v>900159</v>
          </cell>
          <cell r="C10372" t="str">
            <v>CGD INVESTIMENTOS CORRETORA DE VALORES E CAMBIO S/A</v>
          </cell>
          <cell r="D10372" t="str">
            <v>CGD INVESTIMENTOS CORRETORA DE VALORES E CAMBIO S/A</v>
          </cell>
          <cell r="E10372" t="str">
            <v>CGD INVESTIMENTOS CORRETORA DE VALORES E CAMBIO S/A</v>
          </cell>
        </row>
        <row r="10373">
          <cell r="B10373">
            <v>900163</v>
          </cell>
          <cell r="C10373" t="str">
            <v>BRASCAN S/A CTV</v>
          </cell>
          <cell r="D10373" t="str">
            <v>BRASCAN S/A CTV</v>
          </cell>
          <cell r="E10373" t="str">
            <v>BRASCAN S/A CTV</v>
          </cell>
        </row>
        <row r="10374">
          <cell r="B10374">
            <v>900164</v>
          </cell>
          <cell r="C10374" t="str">
            <v>BRASCAN S/A CTV</v>
          </cell>
          <cell r="D10374" t="str">
            <v>BRASCAN S/A CTV</v>
          </cell>
          <cell r="E10374" t="str">
            <v>BRASCAN S/A CTV</v>
          </cell>
        </row>
        <row r="10375">
          <cell r="B10375">
            <v>900165</v>
          </cell>
          <cell r="C10375" t="str">
            <v>BRASCAN S/A CTV</v>
          </cell>
          <cell r="D10375" t="str">
            <v>BRASCAN S/A CTV</v>
          </cell>
          <cell r="E10375" t="str">
            <v>BRASCAN S/A CTV</v>
          </cell>
        </row>
        <row r="10376">
          <cell r="B10376">
            <v>900166</v>
          </cell>
          <cell r="C10376" t="str">
            <v>ATIVA S/A CTCV</v>
          </cell>
          <cell r="D10376" t="str">
            <v>ATIVA S/A CTCV</v>
          </cell>
          <cell r="E10376" t="str">
            <v>ATIVA S/A CTCV</v>
          </cell>
        </row>
        <row r="10377">
          <cell r="B10377">
            <v>900168</v>
          </cell>
          <cell r="C10377" t="str">
            <v>BRASCAN S/A CTV</v>
          </cell>
          <cell r="D10377" t="str">
            <v>BRASCAN S/A CTV</v>
          </cell>
          <cell r="E10377" t="str">
            <v>BRASCAN S/A CTV</v>
          </cell>
        </row>
        <row r="10378">
          <cell r="B10378">
            <v>900170</v>
          </cell>
          <cell r="C10378" t="str">
            <v>BTG PACTUAL CORRETORA DE TITULOS E VALORES MOBILIARIOS S/A</v>
          </cell>
          <cell r="D10378" t="str">
            <v>BTG PACTUAL CORRETORA DE TITULOS E VALORES MOBILIARIOS S/A</v>
          </cell>
          <cell r="E10378" t="str">
            <v>BTG PACTUAL CORRETORA DE TITULOS E VALORES MOBILIARIOS S/A</v>
          </cell>
        </row>
        <row r="10379">
          <cell r="B10379">
            <v>900172</v>
          </cell>
          <cell r="C10379" t="str">
            <v>VOTORANTIM CTVM LTDA</v>
          </cell>
          <cell r="D10379" t="str">
            <v>VOTORANTIM CTVM LTDA</v>
          </cell>
          <cell r="E10379" t="str">
            <v>VOTORANTIM CTVM LTDA</v>
          </cell>
        </row>
        <row r="10380">
          <cell r="B10380">
            <v>900173</v>
          </cell>
          <cell r="C10380" t="str">
            <v>HSBC CTVM S/A ATUAL BRADESCO-KIRTON</v>
          </cell>
          <cell r="D10380" t="str">
            <v>HSBC CTVM S/A ATUAL BRADESCO-KIRTON</v>
          </cell>
          <cell r="E10380" t="str">
            <v>HSBC CTVM S/A ATUAL BRADESCO-KIRTON</v>
          </cell>
        </row>
        <row r="10381">
          <cell r="B10381">
            <v>900175</v>
          </cell>
          <cell r="C10381" t="str">
            <v>SAFRA ASSET CORRETORA DE TITULOS E VALORES MOBILIARIOS S.A.</v>
          </cell>
          <cell r="D10381" t="str">
            <v>SAFRA ASSET CORRETORA DE TITULOS E VALORES MOBILIARIOS S.A.</v>
          </cell>
          <cell r="E10381" t="str">
            <v>SAFRA ASSET MANAGEMENT LTDA</v>
          </cell>
        </row>
        <row r="10382">
          <cell r="B10382">
            <v>900178</v>
          </cell>
          <cell r="C10382" t="str">
            <v>SAFRA ASSET CORRETORA DE TITULOS E VALORES MOBILIARIOS S.A.</v>
          </cell>
          <cell r="D10382" t="str">
            <v>SAFRA ASSET CORRETORA DE TITULOS E VALORES MOBILIARIOS S.A.</v>
          </cell>
          <cell r="E10382" t="str">
            <v>SAFRA ASSET MANAGEMENT LTDA</v>
          </cell>
        </row>
        <row r="10383">
          <cell r="B10383">
            <v>900179</v>
          </cell>
          <cell r="C10383" t="str">
            <v>SAFRA ASSET CORRETORA DE TITULOS E VALORES MOBILIARIOS S.A.</v>
          </cell>
          <cell r="D10383" t="str">
            <v>SAFRA ASSET CORRETORA DE TITULOS E VALORES MOBILIARIOS S.A.</v>
          </cell>
          <cell r="E10383" t="str">
            <v>SAFRA ASSET MANAGEMENT LTDA</v>
          </cell>
        </row>
        <row r="10384">
          <cell r="B10384">
            <v>90018</v>
          </cell>
          <cell r="C10384" t="str">
            <v>CITIBANK DTVM S/A</v>
          </cell>
          <cell r="D10384" t="str">
            <v>CITIBANK DTVM S/A</v>
          </cell>
          <cell r="E10384" t="str">
            <v>CITIBANK DTVM S/A</v>
          </cell>
        </row>
        <row r="10385">
          <cell r="B10385">
            <v>900194</v>
          </cell>
          <cell r="C10385" t="str">
            <v>DEUTSCHE BANK CV SA</v>
          </cell>
          <cell r="D10385" t="str">
            <v>DEUTSCHE BANK CV SA</v>
          </cell>
          <cell r="E10385" t="str">
            <v>DEUTSCHE BANK S/A</v>
          </cell>
        </row>
        <row r="10386">
          <cell r="B10386">
            <v>90020</v>
          </cell>
          <cell r="C10386" t="str">
            <v>CITIGROUP GLOBAL MARKETS BRASIL CCTVM S/A</v>
          </cell>
          <cell r="D10386" t="str">
            <v>CITIGROUP GLOBAL MARKETS BRASIL CCTVM S/A</v>
          </cell>
          <cell r="E10386" t="str">
            <v>BANCO CITIBANK S/A</v>
          </cell>
        </row>
        <row r="10387">
          <cell r="B10387">
            <v>900200</v>
          </cell>
          <cell r="C10387" t="str">
            <v>PLANNER CV S/A</v>
          </cell>
          <cell r="D10387" t="str">
            <v>PLANNER CV S/A</v>
          </cell>
          <cell r="E10387" t="str">
            <v>PLANNER CV S/A</v>
          </cell>
        </row>
        <row r="10388">
          <cell r="B10388">
            <v>900202</v>
          </cell>
          <cell r="C10388" t="str">
            <v>BTG PACTUAL CM LTDA</v>
          </cell>
          <cell r="D10388" t="str">
            <v>BTG PACTUAL CM LTDA</v>
          </cell>
          <cell r="E10388" t="str">
            <v>BANCO BTG PACTUAL S/A</v>
          </cell>
        </row>
        <row r="10389">
          <cell r="B10389">
            <v>900205</v>
          </cell>
          <cell r="C10389" t="str">
            <v>INTRA S/A CORRETORA DE CAMBIO E VALORES</v>
          </cell>
          <cell r="D10389" t="str">
            <v>INTRA S/A CORRETORA DE CAMBIO E VALORES</v>
          </cell>
          <cell r="E10389" t="str">
            <v>INTRA S/A CORRETORA DE CAMBIO E VALORES</v>
          </cell>
        </row>
        <row r="10390">
          <cell r="B10390">
            <v>90021</v>
          </cell>
          <cell r="C10390" t="str">
            <v>CITIGROUP GLOBAL MARKETS BRASIL CCTVM S/A</v>
          </cell>
          <cell r="D10390" t="str">
            <v>CITIGROUP GLOBAL MARKETS BRASIL CCTVM S/A</v>
          </cell>
          <cell r="E10390" t="str">
            <v>BANCO CITIBANK S/A</v>
          </cell>
        </row>
        <row r="10391">
          <cell r="B10391">
            <v>900213</v>
          </cell>
          <cell r="C10391" t="str">
            <v>ICAP DO BRASIL CTVM LTDA ( ATUAL TULLET)</v>
          </cell>
          <cell r="D10391" t="str">
            <v>ICAP DO BRASIL CTVM LTDA ( ATUAL TULLET)</v>
          </cell>
          <cell r="E10391" t="str">
            <v>ICAP DO BRASIL CTVM LTDA ( ATUAL TULLET)</v>
          </cell>
        </row>
        <row r="10392">
          <cell r="B10392">
            <v>900214</v>
          </cell>
          <cell r="C10392" t="str">
            <v>CRUZEIRO DO SUL S/A CVM</v>
          </cell>
          <cell r="D10392" t="str">
            <v>CRUZEIRO DO SUL S/A CVM</v>
          </cell>
          <cell r="E10392" t="str">
            <v>CRUZEIRO DO SUL S/A CVM</v>
          </cell>
        </row>
        <row r="10393">
          <cell r="B10393">
            <v>900215</v>
          </cell>
          <cell r="C10393" t="str">
            <v>PROSPER APLICAÃ‡AO CM &amp; FUTUROS LTDA</v>
          </cell>
          <cell r="D10393" t="str">
            <v>PROSPER APLICAÃ‡AO CM &amp; FUTUROS LTDA</v>
          </cell>
          <cell r="E10393" t="str">
            <v>PROSPER APLICAÃ‡AO CM &amp; FUTUROS LTDA</v>
          </cell>
        </row>
        <row r="10394">
          <cell r="B10394">
            <v>900217</v>
          </cell>
          <cell r="C10394" t="str">
            <v>HENCORP COMMCOR CM LTDA</v>
          </cell>
          <cell r="D10394" t="str">
            <v>HENCORP COMMCOR CM LTDA</v>
          </cell>
          <cell r="E10394" t="str">
            <v>HENCORP COMMCOR CM LTDA</v>
          </cell>
        </row>
        <row r="10395">
          <cell r="B10395">
            <v>900220</v>
          </cell>
          <cell r="C10395" t="str">
            <v>FATOR S/A CV</v>
          </cell>
          <cell r="D10395" t="str">
            <v>FATOR S/A CV</v>
          </cell>
          <cell r="E10395" t="str">
            <v>FATOR S/A CV</v>
          </cell>
        </row>
        <row r="10396">
          <cell r="B10396">
            <v>900225</v>
          </cell>
          <cell r="C10396" t="str">
            <v>BRASCAN S/A CTV</v>
          </cell>
          <cell r="D10396" t="str">
            <v>BRASCAN S/A CTV</v>
          </cell>
          <cell r="E10396" t="str">
            <v>BRASCAN S/A CTV</v>
          </cell>
        </row>
        <row r="10397">
          <cell r="B10397">
            <v>900227</v>
          </cell>
          <cell r="C10397" t="str">
            <v>GRADUAL CCTVM S/A</v>
          </cell>
          <cell r="D10397" t="str">
            <v>GRADUAL CCTVM S/A</v>
          </cell>
          <cell r="E10397" t="str">
            <v>GRADUAL CCTVM S/A</v>
          </cell>
        </row>
        <row r="10398">
          <cell r="B10398">
            <v>900230</v>
          </cell>
          <cell r="C10398" t="str">
            <v>FATOR S/A CV</v>
          </cell>
          <cell r="D10398" t="str">
            <v>FATOR S/A CV</v>
          </cell>
          <cell r="E10398" t="str">
            <v>SDA GESTAO DE RECURSOS LTDA</v>
          </cell>
        </row>
        <row r="10399">
          <cell r="B10399">
            <v>900236</v>
          </cell>
          <cell r="C10399" t="str">
            <v>DIMARCO DTVM S/A</v>
          </cell>
          <cell r="D10399" t="str">
            <v>DIMARCO DTVM S/A</v>
          </cell>
          <cell r="E10399" t="str">
            <v>DIMARCO DTVM S/A</v>
          </cell>
        </row>
        <row r="10400">
          <cell r="B10400">
            <v>900239</v>
          </cell>
          <cell r="C10400" t="str">
            <v>COINVALORES CCVM LTDA</v>
          </cell>
          <cell r="D10400" t="str">
            <v>COINVALORES CCVM LTDA</v>
          </cell>
          <cell r="E10400" t="str">
            <v>COINVALORES CCVM LTDA</v>
          </cell>
        </row>
        <row r="10401">
          <cell r="B10401">
            <v>900254</v>
          </cell>
          <cell r="C10401" t="str">
            <v>BANCO BTG PACTUAL S/A</v>
          </cell>
          <cell r="D10401" t="str">
            <v>BANCO BTG PACTUAL S/A</v>
          </cell>
          <cell r="E10401" t="str">
            <v>BANCO BTG PACTUAL S/A</v>
          </cell>
        </row>
        <row r="10402">
          <cell r="B10402">
            <v>900257</v>
          </cell>
          <cell r="C10402" t="str">
            <v>HSBC CTVM S/A ATUAL BRADESCO-KIRTON</v>
          </cell>
          <cell r="D10402" t="str">
            <v>HSBC CTVM S/A ATUAL BRADESCO-KIRTON</v>
          </cell>
          <cell r="E10402" t="str">
            <v>HSBC CTVM S/A ATUAL BRADESCO-KIRTON</v>
          </cell>
        </row>
        <row r="10403">
          <cell r="B10403">
            <v>900265</v>
          </cell>
          <cell r="C10403" t="str">
            <v>BTG PACTUAL CM LTDA</v>
          </cell>
          <cell r="D10403" t="str">
            <v>BTG PACTUAL CM LTDA</v>
          </cell>
          <cell r="E10403" t="str">
            <v>BTG PACTUAL CM LTDA</v>
          </cell>
        </row>
        <row r="10404">
          <cell r="B10404">
            <v>900275</v>
          </cell>
          <cell r="C10404" t="str">
            <v>J SAFRA CVC LTDA</v>
          </cell>
          <cell r="D10404" t="str">
            <v>J SAFRA CVC LTDA</v>
          </cell>
          <cell r="E10404" t="str">
            <v>J SAFRA CVC LTDA</v>
          </cell>
        </row>
        <row r="10405">
          <cell r="B10405">
            <v>12301</v>
          </cell>
          <cell r="C10405" t="str">
            <v>XP GESTAO DE RECURSOS LTDA</v>
          </cell>
          <cell r="D10405" t="str">
            <v>XP GESTAO DE RECURSOS LTDA</v>
          </cell>
          <cell r="E10405" t="str">
            <v>XP GESTAO DE RECURSOS LTDA</v>
          </cell>
        </row>
        <row r="10406">
          <cell r="B10406">
            <v>900300</v>
          </cell>
          <cell r="C10406" t="str">
            <v>PLANNER CV S/A</v>
          </cell>
          <cell r="D10406" t="str">
            <v>PLANNER CV S/A</v>
          </cell>
          <cell r="E10406" t="str">
            <v>PLANNER CV S/A</v>
          </cell>
        </row>
        <row r="10407">
          <cell r="B10407">
            <v>90037</v>
          </cell>
          <cell r="C10407" t="str">
            <v>UM INVESTIMENTOS S/A CTVM</v>
          </cell>
          <cell r="D10407" t="str">
            <v>UM INVESTIMENTOS S/A CTVM</v>
          </cell>
          <cell r="E10407" t="str">
            <v>UM INVESTIMENTOS S/A CTVM</v>
          </cell>
        </row>
        <row r="10408">
          <cell r="B10408">
            <v>90040</v>
          </cell>
          <cell r="C10408" t="str">
            <v>MORGAN STANLEY CTVM S/A</v>
          </cell>
          <cell r="D10408" t="str">
            <v>MORGAN STANLEY CTVM S/A</v>
          </cell>
          <cell r="E10408" t="str">
            <v>MORGAN STANLEY CTVM S/A</v>
          </cell>
        </row>
        <row r="10409">
          <cell r="B10409">
            <v>900400</v>
          </cell>
          <cell r="C10409" t="str">
            <v>PLANNER CV S/A</v>
          </cell>
          <cell r="D10409" t="str">
            <v>PLANNER CV S/A</v>
          </cell>
          <cell r="E10409" t="str">
            <v>PLANNER CV S/A</v>
          </cell>
        </row>
        <row r="10410">
          <cell r="B10410">
            <v>900418</v>
          </cell>
          <cell r="C10410" t="str">
            <v>ATIVA S/A CTCV</v>
          </cell>
          <cell r="D10410" t="str">
            <v>ATIVA S/A CTCV</v>
          </cell>
          <cell r="E10410" t="str">
            <v>ATIVA S/A CTCV</v>
          </cell>
        </row>
        <row r="10411">
          <cell r="B10411">
            <v>90051</v>
          </cell>
          <cell r="C10411" t="str">
            <v>CITIGROUP GLOBAL MARKETS BRASIL CCTVM S/A</v>
          </cell>
          <cell r="D10411" t="str">
            <v>CITIGROUP GLOBAL MARKETS BRASIL CCTVM S/A</v>
          </cell>
          <cell r="E10411" t="str">
            <v>BANCO CITIBANK S/A</v>
          </cell>
        </row>
        <row r="10412">
          <cell r="B10412">
            <v>900552</v>
          </cell>
          <cell r="C10412" t="str">
            <v>CITIBANK DTVM S/A</v>
          </cell>
          <cell r="D10412" t="str">
            <v>CITIBANK DTVM S/A</v>
          </cell>
          <cell r="E10412" t="str">
            <v>CITIBANK DTVM S/A</v>
          </cell>
        </row>
        <row r="10413">
          <cell r="B10413">
            <v>900558</v>
          </cell>
          <cell r="C10413" t="str">
            <v>CITIBANK DTVM S/A</v>
          </cell>
          <cell r="D10413" t="str">
            <v>CITIBANK DTVM S/A</v>
          </cell>
          <cell r="E10413" t="str">
            <v>CITIBANK DTVM S/A</v>
          </cell>
        </row>
        <row r="10414">
          <cell r="B10414">
            <v>900559</v>
          </cell>
          <cell r="C10414" t="str">
            <v>CITIBANK DTVM S/A</v>
          </cell>
          <cell r="D10414" t="str">
            <v>CITIBANK DTVM S/A</v>
          </cell>
          <cell r="E10414" t="str">
            <v>CITIBANK DTVM S/A</v>
          </cell>
        </row>
        <row r="10415">
          <cell r="B10415">
            <v>9006</v>
          </cell>
          <cell r="C10415" t="str">
            <v>MORGAN STANLEY CTVM S/A</v>
          </cell>
          <cell r="D10415" t="str">
            <v>MORGAN STANLEY CTVM S/A</v>
          </cell>
          <cell r="E10415" t="str">
            <v>MORGAN STANLEY CTVM S/A</v>
          </cell>
        </row>
        <row r="10416">
          <cell r="B10416">
            <v>90060</v>
          </cell>
          <cell r="C10416" t="str">
            <v>SANTANDER S/A CCT</v>
          </cell>
          <cell r="D10416" t="str">
            <v>SANTANDER S/A CCT</v>
          </cell>
          <cell r="E10416" t="str">
            <v>SANTANDER S/A CCT</v>
          </cell>
        </row>
        <row r="10417">
          <cell r="B10417">
            <v>90062</v>
          </cell>
          <cell r="C10417" t="str">
            <v>BB GESTAO DE RECURSOS DTVM LTDA</v>
          </cell>
          <cell r="D10417" t="str">
            <v>BB GESTAO DE RECURSOS DTVM LTDA</v>
          </cell>
          <cell r="E10417" t="str">
            <v>BANCO DO BRASIL S/A</v>
          </cell>
        </row>
        <row r="10418">
          <cell r="B10418">
            <v>900623</v>
          </cell>
          <cell r="C10418" t="str">
            <v>SANTANDER S/A CCT</v>
          </cell>
          <cell r="D10418" t="str">
            <v>SANTANDER S/A CCT</v>
          </cell>
          <cell r="E10418" t="str">
            <v>SANTANDER S/A CCT</v>
          </cell>
        </row>
        <row r="10419">
          <cell r="B10419">
            <v>900624</v>
          </cell>
          <cell r="C10419" t="str">
            <v>SANTANDER S/A CCT</v>
          </cell>
          <cell r="D10419" t="str">
            <v>SANTANDER S/A CCT</v>
          </cell>
        </row>
        <row r="10420">
          <cell r="B10420">
            <v>900649</v>
          </cell>
          <cell r="C10420" t="str">
            <v>BTG PACTUAL CM LTDA</v>
          </cell>
          <cell r="D10420" t="str">
            <v>BTG PACTUAL CM LTDA</v>
          </cell>
          <cell r="E10420" t="str">
            <v>BTG PACTUAL CM LTDA</v>
          </cell>
        </row>
        <row r="10421">
          <cell r="B10421">
            <v>900663</v>
          </cell>
          <cell r="C10421" t="str">
            <v>LINK CM LTDA</v>
          </cell>
          <cell r="D10421" t="str">
            <v>LINK CM LTDA</v>
          </cell>
          <cell r="E10421" t="str">
            <v>LINK CM LTDA</v>
          </cell>
        </row>
        <row r="10422">
          <cell r="B10422">
            <v>900734</v>
          </cell>
          <cell r="C10422" t="str">
            <v>ITAU CORRETORA DE VALORES S.A.</v>
          </cell>
          <cell r="D10422" t="str">
            <v>ITAU CORRETORA DE VALORES S.A.</v>
          </cell>
          <cell r="E10422" t="str">
            <v>ITAU CV S/A</v>
          </cell>
        </row>
        <row r="10423">
          <cell r="B10423">
            <v>900901</v>
          </cell>
          <cell r="C10423" t="str">
            <v>CGD INVESTIMENTOS CORRETORA DE VALORES E CAMBIO S/A</v>
          </cell>
          <cell r="D10423" t="str">
            <v>CGD INVESTIMENTOS CORRETORA DE VALORES E CAMBIO S/A</v>
          </cell>
          <cell r="E10423" t="str">
            <v>CGD INVESTIMENTOS CORRETORA DE VALORES E CAMBIO S/A</v>
          </cell>
        </row>
        <row r="10424">
          <cell r="B10424">
            <v>900909</v>
          </cell>
          <cell r="C10424" t="str">
            <v>PROSPER S/A CVC</v>
          </cell>
          <cell r="D10424" t="str">
            <v>PROSPER S/A CVC</v>
          </cell>
          <cell r="E10424" t="str">
            <v>PROSPER S/A CVC</v>
          </cell>
        </row>
        <row r="10425">
          <cell r="B10425">
            <v>900911</v>
          </cell>
          <cell r="C10425" t="str">
            <v>PROSPER APLICAÃ‡AO CM &amp; FUTUROS LTDA</v>
          </cell>
          <cell r="D10425" t="str">
            <v>PROSPER APLICAÃ‡AO CM &amp; FUTUROS LTDA</v>
          </cell>
          <cell r="E10425" t="str">
            <v>PROSPER APLICAÃ‡AO CM &amp; FUTUROS LTDA</v>
          </cell>
        </row>
        <row r="10426">
          <cell r="B10426">
            <v>900912</v>
          </cell>
          <cell r="C10426" t="str">
            <v>PROSPER S/A CVC</v>
          </cell>
          <cell r="D10426" t="str">
            <v>PROSPER S/A CVC</v>
          </cell>
          <cell r="E10426" t="str">
            <v>PROSPER S/A CVC</v>
          </cell>
        </row>
        <row r="10427">
          <cell r="B10427">
            <v>900913</v>
          </cell>
          <cell r="C10427" t="str">
            <v>PROSPER APLICAÃ‡AO CM &amp; FUTUROS LTDA</v>
          </cell>
          <cell r="D10427" t="str">
            <v>PROSPER APLICAÃ‡AO CM &amp; FUTUROS LTDA</v>
          </cell>
          <cell r="E10427" t="str">
            <v>PROSPER APLICAÃ‡AO CM &amp; FUTUROS LTDA</v>
          </cell>
        </row>
        <row r="10428">
          <cell r="B10428">
            <v>900914</v>
          </cell>
          <cell r="C10428" t="str">
            <v>PROSPER APLICAÃ‡AO CM &amp; FUTUROS LTDA</v>
          </cell>
          <cell r="D10428" t="str">
            <v>PROSPER APLICAÃ‡AO CM &amp; FUTUROS LTDA</v>
          </cell>
          <cell r="E10428" t="str">
            <v>PROSPER APLICAÃ‡AO CM &amp; FUTUROS LTDA</v>
          </cell>
        </row>
        <row r="10429">
          <cell r="B10429">
            <v>900951</v>
          </cell>
          <cell r="C10429" t="str">
            <v>CREDIT SUISSE HEDGING GRIFFO CV S/A</v>
          </cell>
          <cell r="D10429" t="str">
            <v>CREDIT SUISSE HEDGING GRIFFO CV S/A</v>
          </cell>
          <cell r="E10429" t="str">
            <v>CREDIT SUISSE HEDGING-GRIFFO WEALTH MANAGEMENT S/A</v>
          </cell>
        </row>
        <row r="10430">
          <cell r="B10430">
            <v>90100</v>
          </cell>
          <cell r="C10430" t="str">
            <v>BB GESTAO DE RECURSOS DTVM LTDA</v>
          </cell>
          <cell r="D10430" t="str">
            <v>BB GESTAO DE RECURSOS DTVM LTDA</v>
          </cell>
          <cell r="E10430" t="str">
            <v>BANCO DO BRASIL S/A</v>
          </cell>
        </row>
        <row r="10431">
          <cell r="B10431">
            <v>80876</v>
          </cell>
          <cell r="C10431" t="str">
            <v>UBS AG, LONDON BRANCH NOVO</v>
          </cell>
          <cell r="D10431" t="str">
            <v>UBS AG, LONDON BRANCH NOVO</v>
          </cell>
          <cell r="E10431" t="str">
            <v>UBS AG, LONDON BRANCH NOVO</v>
          </cell>
        </row>
        <row r="10432">
          <cell r="B10432">
            <v>80877</v>
          </cell>
          <cell r="C10432" t="str">
            <v>UBS AG, LONDON BRANCH NOVO</v>
          </cell>
          <cell r="D10432" t="str">
            <v>UBS AG, LONDON BRANCH NOVO</v>
          </cell>
          <cell r="E10432" t="str">
            <v>UBS AG, LONDON BRANCH NOVO</v>
          </cell>
        </row>
        <row r="10433">
          <cell r="B10433">
            <v>90107</v>
          </cell>
          <cell r="C10433" t="str">
            <v>BRADESCO S/A CTVM</v>
          </cell>
          <cell r="D10433" t="str">
            <v>BRADESCO S/A CTVM</v>
          </cell>
          <cell r="E10433" t="str">
            <v>BRADESCO SA CORRETORA DE TITULOS E VALORES MOBILIARIOS</v>
          </cell>
        </row>
        <row r="10434">
          <cell r="B10434">
            <v>90108</v>
          </cell>
          <cell r="C10434" t="str">
            <v>BRADESCO S/A CTVM</v>
          </cell>
          <cell r="D10434" t="str">
            <v>BRADESCO S/A CTVM</v>
          </cell>
          <cell r="E10434" t="str">
            <v>BRADESCO SA CORRETORA DE TITULOS E VALORES MOBILIARIOS</v>
          </cell>
        </row>
        <row r="10435">
          <cell r="B10435">
            <v>90110</v>
          </cell>
          <cell r="C10435" t="str">
            <v>SLW CVC LTDA</v>
          </cell>
          <cell r="D10435" t="str">
            <v>SLW CVC LTDA</v>
          </cell>
          <cell r="E10435" t="str">
            <v>SLW CVC LTDA</v>
          </cell>
        </row>
        <row r="10436">
          <cell r="B10436">
            <v>9011202</v>
          </cell>
          <cell r="C10436" t="str">
            <v>BTG PACTUAL CM LTDA</v>
          </cell>
          <cell r="D10436" t="str">
            <v>BTG PACTUAL CM LTDA</v>
          </cell>
          <cell r="E10436" t="str">
            <v>BANCO BTG PACTUAL S/A</v>
          </cell>
        </row>
        <row r="10437">
          <cell r="B10437">
            <v>9011205</v>
          </cell>
          <cell r="C10437" t="str">
            <v>BTG PACTUAL CM LTDA</v>
          </cell>
          <cell r="D10437" t="str">
            <v>BTG PACTUAL CM LTDA</v>
          </cell>
          <cell r="E10437" t="str">
            <v>BTG PACTUAL CM LTDA</v>
          </cell>
        </row>
        <row r="10438">
          <cell r="B10438">
            <v>90113</v>
          </cell>
          <cell r="C10438" t="str">
            <v>CONCORDIA S/A CVMCC</v>
          </cell>
          <cell r="D10438" t="str">
            <v>CONCORDIA S/A CVMCC</v>
          </cell>
          <cell r="E10438" t="str">
            <v>CONCORDIA S/A CVMCC</v>
          </cell>
        </row>
        <row r="10439">
          <cell r="B10439">
            <v>90114</v>
          </cell>
          <cell r="C10439" t="str">
            <v>CONCORDIA S/A CVMCC</v>
          </cell>
          <cell r="D10439" t="str">
            <v>CONCORDIA S/A CVMCC</v>
          </cell>
          <cell r="E10439" t="str">
            <v>CONCORDIA S/A CVMCC</v>
          </cell>
        </row>
        <row r="10440">
          <cell r="B10440">
            <v>901147</v>
          </cell>
          <cell r="C10440" t="str">
            <v>BANCO BTG PACTUAL S/A</v>
          </cell>
          <cell r="D10440" t="str">
            <v>BANCO BTG PACTUAL S/A</v>
          </cell>
          <cell r="E10440" t="str">
            <v>BANCO BTG PACTUAL S/A</v>
          </cell>
        </row>
        <row r="10441">
          <cell r="B10441">
            <v>90115</v>
          </cell>
          <cell r="C10441" t="str">
            <v>GLOBALVEST BLUE FIF</v>
          </cell>
          <cell r="D10441" t="str">
            <v>GLOBALVEST BLUE FIF</v>
          </cell>
          <cell r="E10441" t="str">
            <v>GLOBALVEST BLUE FIF</v>
          </cell>
        </row>
        <row r="10442">
          <cell r="B10442">
            <v>90116</v>
          </cell>
          <cell r="C10442" t="str">
            <v>CONCORDIA S/A CVMCC</v>
          </cell>
          <cell r="D10442" t="str">
            <v>CONCORDIA S/A CVMCC</v>
          </cell>
          <cell r="E10442" t="str">
            <v>CONCORDIA S/A CVMCC</v>
          </cell>
        </row>
        <row r="10443">
          <cell r="B10443">
            <v>901166</v>
          </cell>
          <cell r="C10443" t="str">
            <v>BRASCAN S/A CTV</v>
          </cell>
          <cell r="D10443" t="str">
            <v>BRASCAN S/A CTV</v>
          </cell>
          <cell r="E10443" t="str">
            <v>BRASCAN S/A CTV</v>
          </cell>
        </row>
        <row r="10444">
          <cell r="B10444">
            <v>901172</v>
          </cell>
          <cell r="C10444" t="str">
            <v>BRADESCO S/A CTVM</v>
          </cell>
          <cell r="D10444" t="str">
            <v>BRADESCO S/A CTVM</v>
          </cell>
          <cell r="E10444" t="str">
            <v>BRADESCO SA CORRETORA DE TITULOS E VALORES MOBILIARIOS</v>
          </cell>
        </row>
        <row r="10445">
          <cell r="B10445">
            <v>901183</v>
          </cell>
          <cell r="C10445" t="str">
            <v>TULLETT PREBON BRASIL CVC (ANTIGA CONVENÃ‡AO)</v>
          </cell>
          <cell r="D10445" t="str">
            <v>TULLETT PREBON BRASIL CVC (ANTIGA CONVENÃ‡AO)</v>
          </cell>
          <cell r="E10445" t="str">
            <v>TULLETT PREBON BRASIL CVC LTDA</v>
          </cell>
        </row>
        <row r="10446">
          <cell r="B10446">
            <v>90119</v>
          </cell>
          <cell r="C10446" t="str">
            <v>BTG PACTUAL CM LTDA</v>
          </cell>
          <cell r="D10446" t="str">
            <v>BTG PACTUAL CM LTDA</v>
          </cell>
          <cell r="E10446" t="str">
            <v>BTG PACTUAL CM LTDA</v>
          </cell>
        </row>
        <row r="10447">
          <cell r="B10447">
            <v>79211</v>
          </cell>
          <cell r="C10447" t="str">
            <v>DG EQUITIES FUNDO DE INVESTIMENTO EM ACOES</v>
          </cell>
          <cell r="D10447" t="str">
            <v>DG EQUITIES FUNDO DE INVESTIMENTO EM ACOES</v>
          </cell>
          <cell r="E10447" t="str">
            <v>PLURAL GESTÃO DE RECURSOS LTDA</v>
          </cell>
        </row>
        <row r="10448">
          <cell r="B10448">
            <v>901200</v>
          </cell>
          <cell r="C10448" t="str">
            <v>BTG PACTUAL CM LTDA</v>
          </cell>
          <cell r="D10448" t="str">
            <v>BTG PACTUAL CM LTDA</v>
          </cell>
          <cell r="E10448" t="str">
            <v>BTG PACTUAL CM LTDA</v>
          </cell>
        </row>
        <row r="10449">
          <cell r="B10449">
            <v>901201</v>
          </cell>
          <cell r="C10449" t="str">
            <v>J SAFRA CVC LTDA</v>
          </cell>
          <cell r="D10449" t="str">
            <v>J SAFRA CVC LTDA</v>
          </cell>
          <cell r="E10449" t="str">
            <v>J SAFRA CVC LTDA</v>
          </cell>
        </row>
        <row r="10450">
          <cell r="B10450">
            <v>901202</v>
          </cell>
          <cell r="C10450" t="str">
            <v>J SAFRA CVC LTDA</v>
          </cell>
          <cell r="D10450" t="str">
            <v>J SAFRA CVC LTDA</v>
          </cell>
          <cell r="E10450" t="str">
            <v>J SAFRA CVC LTDA</v>
          </cell>
        </row>
        <row r="10451">
          <cell r="B10451">
            <v>901203</v>
          </cell>
          <cell r="C10451" t="str">
            <v>J SAFRA CVC LTDA</v>
          </cell>
          <cell r="D10451" t="str">
            <v>J SAFRA CVC LTDA</v>
          </cell>
          <cell r="E10451" t="str">
            <v>J SAFRA CVC LTDA</v>
          </cell>
        </row>
        <row r="10452">
          <cell r="B10452">
            <v>901204</v>
          </cell>
          <cell r="C10452" t="str">
            <v>J SAFRA CVC LTDA</v>
          </cell>
          <cell r="D10452" t="str">
            <v>J SAFRA CVC LTDA</v>
          </cell>
          <cell r="E10452" t="str">
            <v>J SAFRA CVC LTDA</v>
          </cell>
        </row>
        <row r="10453">
          <cell r="B10453">
            <v>901205</v>
          </cell>
          <cell r="C10453" t="str">
            <v>J SAFRA CVC LTDA</v>
          </cell>
          <cell r="D10453" t="str">
            <v>J SAFRA CVC LTDA</v>
          </cell>
          <cell r="E10453" t="str">
            <v>J SAFRA CVC LTDA</v>
          </cell>
        </row>
        <row r="10454">
          <cell r="B10454">
            <v>901206</v>
          </cell>
          <cell r="C10454" t="str">
            <v>J SAFRA CVC LTDA</v>
          </cell>
          <cell r="D10454" t="str">
            <v>J SAFRA CVC LTDA</v>
          </cell>
          <cell r="E10454" t="str">
            <v>J SAFRA CVC LTDA</v>
          </cell>
        </row>
        <row r="10455">
          <cell r="B10455">
            <v>901207</v>
          </cell>
          <cell r="C10455" t="str">
            <v>J SAFRA CVC LTDA</v>
          </cell>
          <cell r="D10455" t="str">
            <v>J SAFRA CVC LTDA</v>
          </cell>
          <cell r="E10455" t="str">
            <v>J SAFRA CVC LTDA</v>
          </cell>
        </row>
        <row r="10456">
          <cell r="B10456">
            <v>901208</v>
          </cell>
          <cell r="C10456" t="str">
            <v>J SAFRA CVC LTDA</v>
          </cell>
          <cell r="D10456" t="str">
            <v>J SAFRA CVC LTDA</v>
          </cell>
          <cell r="E10456" t="str">
            <v>J SAFRA CVC LTDA</v>
          </cell>
        </row>
        <row r="10457">
          <cell r="B10457">
            <v>901209</v>
          </cell>
          <cell r="C10457" t="str">
            <v>J SAFRA CVC LTDA</v>
          </cell>
          <cell r="D10457" t="str">
            <v>J SAFRA CVC LTDA</v>
          </cell>
          <cell r="E10457" t="str">
            <v>J SAFRA CVC LTDA</v>
          </cell>
        </row>
        <row r="10458">
          <cell r="B10458">
            <v>901210</v>
          </cell>
          <cell r="C10458" t="str">
            <v>J SAFRA CVC LTDA</v>
          </cell>
          <cell r="D10458" t="str">
            <v>J SAFRA CVC LTDA</v>
          </cell>
          <cell r="E10458" t="str">
            <v>J SAFRA CVC LTDA</v>
          </cell>
        </row>
        <row r="10459">
          <cell r="B10459">
            <v>901212</v>
          </cell>
          <cell r="C10459" t="str">
            <v>J SAFRA CVC LTDA</v>
          </cell>
          <cell r="D10459" t="str">
            <v>J SAFRA CVC LTDA</v>
          </cell>
          <cell r="E10459" t="str">
            <v>J SAFRA CVC LTDA</v>
          </cell>
        </row>
        <row r="10460">
          <cell r="B10460">
            <v>901214</v>
          </cell>
          <cell r="C10460" t="str">
            <v>J SAFRA CVC LTDA</v>
          </cell>
          <cell r="D10460" t="str">
            <v>J SAFRA CVC LTDA</v>
          </cell>
          <cell r="E10460" t="str">
            <v>J SAFRA CVC LTDA</v>
          </cell>
        </row>
        <row r="10461">
          <cell r="B10461">
            <v>901215</v>
          </cell>
          <cell r="C10461" t="str">
            <v>J SAFRA CVC LTDA</v>
          </cell>
          <cell r="D10461" t="str">
            <v>J SAFRA CVC LTDA</v>
          </cell>
          <cell r="E10461" t="str">
            <v>J SAFRA CVC LTDA</v>
          </cell>
        </row>
        <row r="10462">
          <cell r="B10462">
            <v>901217</v>
          </cell>
          <cell r="C10462" t="str">
            <v>J SAFRA CVC LTDA</v>
          </cell>
          <cell r="D10462" t="str">
            <v>J SAFRA CVC LTDA</v>
          </cell>
          <cell r="E10462" t="str">
            <v>J SAFRA CVC LTDA</v>
          </cell>
        </row>
        <row r="10463">
          <cell r="B10463">
            <v>901218</v>
          </cell>
          <cell r="C10463" t="str">
            <v>J SAFRA CVC LTDA</v>
          </cell>
          <cell r="D10463" t="str">
            <v>J SAFRA CVC LTDA</v>
          </cell>
          <cell r="E10463" t="str">
            <v>J SAFRA CVC LTDA</v>
          </cell>
        </row>
        <row r="10464">
          <cell r="B10464">
            <v>901219</v>
          </cell>
          <cell r="C10464" t="str">
            <v>J SAFRA CVC LTDA</v>
          </cell>
          <cell r="D10464" t="str">
            <v>J SAFRA CVC LTDA</v>
          </cell>
          <cell r="E10464" t="str">
            <v>J SAFRA CVC LTDA</v>
          </cell>
        </row>
        <row r="10465">
          <cell r="B10465">
            <v>901220</v>
          </cell>
          <cell r="C10465" t="str">
            <v>J SAFRA CVC LTDA</v>
          </cell>
          <cell r="D10465" t="str">
            <v>J SAFRA CVC LTDA</v>
          </cell>
          <cell r="E10465" t="str">
            <v>J SAFRA CVC LTDA</v>
          </cell>
        </row>
        <row r="10466">
          <cell r="B10466">
            <v>901225</v>
          </cell>
          <cell r="C10466" t="str">
            <v>BRADESCO S/A CTVM</v>
          </cell>
          <cell r="D10466" t="str">
            <v>BRADESCO S/A CTVM</v>
          </cell>
          <cell r="E10466" t="str">
            <v>BRADESCO SA CORRETORA DE TITULOS E VALORES MOBILIARIOS</v>
          </cell>
        </row>
        <row r="10467">
          <cell r="B10467">
            <v>80928</v>
          </cell>
          <cell r="C10467" t="str">
            <v>UBS AG, LONDON BRANCH NOVO</v>
          </cell>
          <cell r="D10467" t="str">
            <v>UBS AG, LONDON BRANCH NOVO</v>
          </cell>
          <cell r="E10467" t="str">
            <v>UBS AG, LONDON BRANCH NOVO</v>
          </cell>
        </row>
        <row r="10468">
          <cell r="B10468">
            <v>901240</v>
          </cell>
          <cell r="C10468" t="str">
            <v>J SAFRA CVC LTDA</v>
          </cell>
          <cell r="D10468" t="str">
            <v>J SAFRA CVC LTDA</v>
          </cell>
          <cell r="E10468" t="str">
            <v>J SAFRA CVC LTDA</v>
          </cell>
        </row>
        <row r="10469">
          <cell r="B10469">
            <v>90125</v>
          </cell>
          <cell r="C10469" t="str">
            <v>MERRILL LYNCH S/A CTVM</v>
          </cell>
          <cell r="D10469" t="str">
            <v>MERRILL LYNCH S/A CTVM</v>
          </cell>
          <cell r="E10469" t="str">
            <v>MERRILL LYNCH S/A CTVM</v>
          </cell>
        </row>
        <row r="10470">
          <cell r="B10470">
            <v>901255</v>
          </cell>
          <cell r="C10470" t="str">
            <v>FLOW CM LTDA</v>
          </cell>
          <cell r="D10470" t="str">
            <v>FLOW CM LTDA</v>
          </cell>
          <cell r="E10470" t="str">
            <v>FLOW CM LTDA</v>
          </cell>
        </row>
        <row r="10471">
          <cell r="B10471">
            <v>80929</v>
          </cell>
          <cell r="C10471" t="str">
            <v>UBS AG, LONDON BRANCH NOVO</v>
          </cell>
          <cell r="D10471" t="str">
            <v>UBS AG, LONDON BRANCH NOVO</v>
          </cell>
          <cell r="E10471" t="str">
            <v>UBS AG, LONDON BRANCH NOVO</v>
          </cell>
        </row>
        <row r="10472">
          <cell r="B10472">
            <v>90127</v>
          </cell>
          <cell r="C10472" t="str">
            <v>SLW CVC LTDA</v>
          </cell>
          <cell r="D10472" t="str">
            <v>SLW CVC LTDA</v>
          </cell>
          <cell r="E10472" t="str">
            <v>SLW CVC LTDA</v>
          </cell>
        </row>
        <row r="10473">
          <cell r="B10473">
            <v>901312</v>
          </cell>
          <cell r="C10473" t="str">
            <v>BANCO BTG PACTUAL S/A</v>
          </cell>
          <cell r="D10473" t="str">
            <v>BANCO BTG PACTUAL S/A</v>
          </cell>
          <cell r="E10473" t="str">
            <v>BANCO BTG PACTUAL S/A</v>
          </cell>
        </row>
        <row r="10474">
          <cell r="B10474">
            <v>901313</v>
          </cell>
          <cell r="C10474" t="str">
            <v>ICAP DO BRASIL CTVM LTDA ( ATUAL TULLET)</v>
          </cell>
          <cell r="D10474" t="str">
            <v>ICAP DO BRASIL CTVM LTDA ( ATUAL TULLET)</v>
          </cell>
          <cell r="E10474" t="str">
            <v>ICAP DO BRASIL CTVM LTDA ( ATUAL TULLET)</v>
          </cell>
        </row>
        <row r="10475">
          <cell r="B10475">
            <v>901314</v>
          </cell>
          <cell r="C10475" t="str">
            <v>ICAP DO BRASIL CTVM LTDA ( ATUAL TULLET)</v>
          </cell>
          <cell r="D10475" t="str">
            <v>ICAP DO BRASIL CTVM LTDA ( ATUAL TULLET)</v>
          </cell>
          <cell r="E10475" t="str">
            <v>ICAP DO BRASIL CTVM LTDA ( ATUAL TULLET)</v>
          </cell>
        </row>
        <row r="10476">
          <cell r="B10476">
            <v>901315</v>
          </cell>
          <cell r="C10476" t="str">
            <v>ICAP DO BRASIL CTVM LTDA ( ATUAL TULLET)</v>
          </cell>
          <cell r="D10476" t="str">
            <v>ICAP DO BRASIL CTVM LTDA ( ATUAL TULLET)</v>
          </cell>
          <cell r="E10476" t="str">
            <v>ICAP DO BRASIL CTVM LTDA ( ATUAL TULLET)</v>
          </cell>
        </row>
        <row r="10477">
          <cell r="B10477">
            <v>901317</v>
          </cell>
          <cell r="C10477" t="str">
            <v>ICAP DO BRASIL CTVM LTDA ( ATUAL TULLET)</v>
          </cell>
          <cell r="D10477" t="str">
            <v>ICAP DO BRASIL CTVM LTDA ( ATUAL TULLET)</v>
          </cell>
          <cell r="E10477" t="str">
            <v>ICAP DO BRASIL CTVM LTDA ( ATUAL TULLET)</v>
          </cell>
        </row>
        <row r="10478">
          <cell r="B10478">
            <v>901318</v>
          </cell>
          <cell r="C10478" t="str">
            <v>ICAP DO BRASIL CTVM LTDA ( ATUAL TULLET)</v>
          </cell>
          <cell r="D10478" t="str">
            <v>ICAP DO BRASIL CTVM LTDA ( ATUAL TULLET)</v>
          </cell>
          <cell r="E10478" t="str">
            <v>ICAP DO BRASIL CTVM LTDA ( ATUAL TULLET)</v>
          </cell>
        </row>
        <row r="10479">
          <cell r="B10479">
            <v>90132</v>
          </cell>
          <cell r="C10479" t="str">
            <v>BB GESTAO DE RECURSOS DTVM LTDA</v>
          </cell>
          <cell r="D10479" t="str">
            <v>BB GESTAO DE RECURSOS DTVM LTDA</v>
          </cell>
          <cell r="E10479" t="str">
            <v>BANCO DO BRASIL S/A</v>
          </cell>
        </row>
        <row r="10480">
          <cell r="B10480">
            <v>901324</v>
          </cell>
          <cell r="C10480" t="str">
            <v>ICAP DO BRASIL CTVM LTDA ( ATUAL TULLET)</v>
          </cell>
          <cell r="D10480" t="str">
            <v>ICAP DO BRASIL CTVM LTDA ( ATUAL TULLET)</v>
          </cell>
          <cell r="E10480" t="str">
            <v>ICAP DO BRASIL CTVM LTDA ( ATUAL TULLET)</v>
          </cell>
        </row>
        <row r="10481">
          <cell r="B10481">
            <v>80696</v>
          </cell>
          <cell r="C10481" t="str">
            <v>BANCO SANTANDER (BRASIL) S/A</v>
          </cell>
          <cell r="D10481" t="str">
            <v>BANCO SANTANDER (BRASIL) S/A</v>
          </cell>
          <cell r="E10481" t="str">
            <v>BANCO SANTANDER (BRASIL) S/A</v>
          </cell>
        </row>
        <row r="10482">
          <cell r="B10482">
            <v>90134</v>
          </cell>
          <cell r="C10482" t="str">
            <v>CGD INVESTIMENTOS CORRETORA DE VALORES E CAMBIO S/A</v>
          </cell>
          <cell r="D10482" t="str">
            <v>CGD INVESTIMENTOS CORRETORA DE VALORES E CAMBIO S/A</v>
          </cell>
          <cell r="E10482" t="str">
            <v>CGD INVESTIMENTOS CORRETORA DE VALORES E CAMBIO S/A</v>
          </cell>
        </row>
        <row r="10483">
          <cell r="B10483">
            <v>901410</v>
          </cell>
          <cell r="C10483" t="str">
            <v>BRADESCO S/A CTVM</v>
          </cell>
          <cell r="D10483" t="str">
            <v>BRADESCO S/A CTVM</v>
          </cell>
          <cell r="E10483" t="str">
            <v>BRADESCO SA CORRETORA DE TITULOS E VALORES MOBILIARIOS</v>
          </cell>
        </row>
        <row r="10484">
          <cell r="B10484">
            <v>901411</v>
          </cell>
          <cell r="C10484" t="str">
            <v>BRADESCO S/A CTVM</v>
          </cell>
          <cell r="D10484" t="str">
            <v>BRADESCO S/A CTVM</v>
          </cell>
          <cell r="E10484" t="str">
            <v>BRADESCO SA CORRETORA DE TITULOS E VALORES MOBILIARIOS</v>
          </cell>
        </row>
        <row r="10485">
          <cell r="B10485">
            <v>901440</v>
          </cell>
          <cell r="C10485" t="str">
            <v>BGC LIQUIDEZ DTVM LTDA</v>
          </cell>
          <cell r="D10485" t="str">
            <v>BGC LIQUIDEZ DTVM LTDA</v>
          </cell>
          <cell r="E10485" t="str">
            <v>BGC LIQUIDEZ DTVM LTDA</v>
          </cell>
        </row>
        <row r="10486">
          <cell r="B10486">
            <v>901441</v>
          </cell>
          <cell r="C10486" t="str">
            <v>BGC LIQUIDEZ DTVM LTDA</v>
          </cell>
          <cell r="D10486" t="str">
            <v>BGC LIQUIDEZ DTVM LTDA</v>
          </cell>
          <cell r="E10486" t="str">
            <v>BGC LIQUIDEZ DTVM LTDA</v>
          </cell>
        </row>
        <row r="10487">
          <cell r="B10487">
            <v>901442</v>
          </cell>
          <cell r="C10487" t="str">
            <v>BGC LIQUIDEZ DTVM LTDA</v>
          </cell>
          <cell r="D10487" t="str">
            <v>BGC LIQUIDEZ DTVM LTDA</v>
          </cell>
          <cell r="E10487" t="str">
            <v>BGC LIQUIDEZ DTVM LTDA</v>
          </cell>
        </row>
        <row r="10488">
          <cell r="B10488">
            <v>901443</v>
          </cell>
          <cell r="C10488" t="str">
            <v>BGC LIQUIDEZ DTVM LTDA</v>
          </cell>
          <cell r="D10488" t="str">
            <v>BGC LIQUIDEZ DTVM LTDA</v>
          </cell>
          <cell r="E10488" t="str">
            <v>BGC LIQUIDEZ DTVM LTDA</v>
          </cell>
        </row>
        <row r="10489">
          <cell r="B10489">
            <v>901444</v>
          </cell>
          <cell r="C10489" t="str">
            <v>BGC LIQUIDEZ DTVM LTDA</v>
          </cell>
          <cell r="D10489" t="str">
            <v>BGC LIQUIDEZ DTVM LTDA</v>
          </cell>
          <cell r="E10489" t="str">
            <v>BGC LIQUIDEZ DTVM LTDA</v>
          </cell>
        </row>
        <row r="10490">
          <cell r="B10490">
            <v>901445</v>
          </cell>
          <cell r="C10490" t="str">
            <v>BGC LIQUIDEZ DTVM LTDA</v>
          </cell>
          <cell r="D10490" t="str">
            <v>BGC LIQUIDEZ DTVM LTDA</v>
          </cell>
          <cell r="E10490" t="str">
            <v>BGC LIQUIDEZ DTVM LTDA</v>
          </cell>
        </row>
        <row r="10491">
          <cell r="B10491">
            <v>901446</v>
          </cell>
          <cell r="C10491" t="str">
            <v>BGC LIQUIDEZ DTVM LTDA</v>
          </cell>
          <cell r="D10491" t="str">
            <v>BGC LIQUIDEZ DTVM LTDA</v>
          </cell>
          <cell r="E10491" t="str">
            <v>BGC LIQUIDEZ DTVM LTDA</v>
          </cell>
        </row>
        <row r="10492">
          <cell r="B10492">
            <v>901447</v>
          </cell>
          <cell r="C10492" t="str">
            <v>BGC LIQUIDEZ DTVM LTDA</v>
          </cell>
          <cell r="D10492" t="str">
            <v>BGC LIQUIDEZ DTVM LTDA</v>
          </cell>
          <cell r="E10492" t="str">
            <v>BGC LIQUIDEZ DTVM LTDA</v>
          </cell>
        </row>
        <row r="10493">
          <cell r="B10493">
            <v>901448</v>
          </cell>
          <cell r="C10493" t="str">
            <v>BGC LIQUIDEZ DTVM LTDA</v>
          </cell>
          <cell r="D10493" t="str">
            <v>BGC LIQUIDEZ DTVM LTDA</v>
          </cell>
          <cell r="E10493" t="str">
            <v>BGC LIQUIDEZ DTVM LTDA</v>
          </cell>
        </row>
        <row r="10494">
          <cell r="B10494">
            <v>901449</v>
          </cell>
          <cell r="C10494" t="str">
            <v>BGC LIQUIDEZ DTVM LTDA</v>
          </cell>
          <cell r="D10494" t="str">
            <v>BGC LIQUIDEZ DTVM LTDA</v>
          </cell>
          <cell r="E10494" t="str">
            <v>BGC LIQUIDEZ DTVM LTDA</v>
          </cell>
        </row>
        <row r="10495">
          <cell r="B10495">
            <v>901450</v>
          </cell>
          <cell r="C10495" t="str">
            <v>BGC LIQUIDEZ DTVM LTDA</v>
          </cell>
          <cell r="D10495" t="str">
            <v>BGC LIQUIDEZ DTVM LTDA</v>
          </cell>
          <cell r="E10495" t="str">
            <v>BGC LIQUIDEZ DTVM LTDA</v>
          </cell>
        </row>
        <row r="10496">
          <cell r="B10496">
            <v>901451</v>
          </cell>
          <cell r="C10496" t="str">
            <v>BGC LIQUIDEZ DTVM LTDA</v>
          </cell>
          <cell r="D10496" t="str">
            <v>BGC LIQUIDEZ DTVM LTDA</v>
          </cell>
          <cell r="E10496" t="str">
            <v>BGC LIQUIDEZ DTVM LTDA</v>
          </cell>
        </row>
        <row r="10497">
          <cell r="B10497">
            <v>901452</v>
          </cell>
          <cell r="C10497" t="str">
            <v>BGC LIQUIDEZ DTVM LTDA</v>
          </cell>
          <cell r="D10497" t="str">
            <v>BGC LIQUIDEZ DTVM LTDA</v>
          </cell>
          <cell r="E10497" t="str">
            <v>BGC LIQUIDEZ DTVM LTDA</v>
          </cell>
        </row>
        <row r="10498">
          <cell r="B10498">
            <v>901453</v>
          </cell>
          <cell r="C10498" t="str">
            <v>BGC LIQUIDEZ DTVM LTDA</v>
          </cell>
          <cell r="D10498" t="str">
            <v>BGC LIQUIDEZ DTVM LTDA</v>
          </cell>
          <cell r="E10498" t="str">
            <v>BGC LIQUIDEZ DTVM LTDA</v>
          </cell>
        </row>
        <row r="10499">
          <cell r="B10499">
            <v>901454</v>
          </cell>
          <cell r="C10499" t="str">
            <v>BGC LIQUIDEZ DTVM LTDA</v>
          </cell>
          <cell r="D10499" t="str">
            <v>BGC LIQUIDEZ DTVM LTDA</v>
          </cell>
          <cell r="E10499" t="str">
            <v>BGC LIQUIDEZ DTVM LTDA</v>
          </cell>
        </row>
        <row r="10500">
          <cell r="B10500">
            <v>901455</v>
          </cell>
          <cell r="C10500" t="str">
            <v>BGC LIQUIDEZ DTVM LTDA</v>
          </cell>
          <cell r="D10500" t="str">
            <v>BGC LIQUIDEZ DTVM LTDA</v>
          </cell>
          <cell r="E10500" t="str">
            <v>BGC LIQUIDEZ DTVM LTDA</v>
          </cell>
        </row>
        <row r="10501">
          <cell r="B10501">
            <v>901456</v>
          </cell>
          <cell r="C10501" t="str">
            <v>BGC LIQUIDEZ DTVM LTDA</v>
          </cell>
          <cell r="D10501" t="str">
            <v>BGC LIQUIDEZ DTVM LTDA</v>
          </cell>
          <cell r="E10501" t="str">
            <v>BGC LIQUIDEZ DTVM LTDA</v>
          </cell>
        </row>
        <row r="10502">
          <cell r="B10502">
            <v>901457</v>
          </cell>
          <cell r="C10502" t="str">
            <v>BGC LIQUIDEZ DTVM LTDA</v>
          </cell>
          <cell r="D10502" t="str">
            <v>BGC LIQUIDEZ DTVM LTDA</v>
          </cell>
          <cell r="E10502" t="str">
            <v>BGC LIQUIDEZ DTVM LTDA</v>
          </cell>
        </row>
        <row r="10503">
          <cell r="B10503">
            <v>901458</v>
          </cell>
          <cell r="C10503" t="str">
            <v>BGC LIQUIDEZ DTVM LTDA</v>
          </cell>
          <cell r="D10503" t="str">
            <v>BGC LIQUIDEZ DTVM LTDA</v>
          </cell>
          <cell r="E10503" t="str">
            <v>BGC LIQUIDEZ DTVM LTDA</v>
          </cell>
        </row>
        <row r="10504">
          <cell r="B10504">
            <v>901459</v>
          </cell>
          <cell r="C10504" t="str">
            <v>BGC LIQUIDEZ DTVM LTDA</v>
          </cell>
          <cell r="D10504" t="str">
            <v>BGC LIQUIDEZ DTVM LTDA</v>
          </cell>
          <cell r="E10504" t="str">
            <v>BGC LIQUIDEZ DTVM LTDA</v>
          </cell>
        </row>
        <row r="10505">
          <cell r="B10505">
            <v>90146</v>
          </cell>
          <cell r="C10505" t="str">
            <v>CGD INVESTIMENTOS CORRETORA DE VALORES E CAMBIO S/A</v>
          </cell>
          <cell r="D10505" t="str">
            <v>CGD INVESTIMENTOS CORRETORA DE VALORES E CAMBIO S/A</v>
          </cell>
          <cell r="E10505" t="str">
            <v>CGD INVESTIMENTOS CORRETORA DE VALORES E CAMBIO S/A</v>
          </cell>
        </row>
        <row r="10506">
          <cell r="B10506">
            <v>901460</v>
          </cell>
          <cell r="C10506" t="str">
            <v>BGC LIQUIDEZ DTVM LTDA</v>
          </cell>
          <cell r="D10506" t="str">
            <v>BGC LIQUIDEZ DTVM LTDA</v>
          </cell>
          <cell r="E10506" t="str">
            <v>BGC LIQUIDEZ DTVM LTDA</v>
          </cell>
        </row>
        <row r="10507">
          <cell r="B10507">
            <v>901461</v>
          </cell>
          <cell r="C10507" t="str">
            <v>BGC LIQUIDEZ DTVM LTDA</v>
          </cell>
          <cell r="D10507" t="str">
            <v>BGC LIQUIDEZ DTVM LTDA</v>
          </cell>
          <cell r="E10507" t="str">
            <v>BGC LIQUIDEZ DTVM LTDA</v>
          </cell>
        </row>
        <row r="10508">
          <cell r="B10508">
            <v>901462</v>
          </cell>
          <cell r="C10508" t="str">
            <v>BGC LIQUIDEZ DTVM LTDA</v>
          </cell>
          <cell r="D10508" t="str">
            <v>BGC LIQUIDEZ DTVM LTDA</v>
          </cell>
          <cell r="E10508" t="str">
            <v>BGC LIQUIDEZ DTVM LTDA</v>
          </cell>
        </row>
        <row r="10509">
          <cell r="B10509">
            <v>901463</v>
          </cell>
          <cell r="C10509" t="str">
            <v>BGC LIQUIDEZ DTVM LTDA</v>
          </cell>
          <cell r="D10509" t="str">
            <v>BGC LIQUIDEZ DTVM LTDA</v>
          </cell>
          <cell r="E10509" t="str">
            <v>BGC LIQUIDEZ DTVM LTDA</v>
          </cell>
        </row>
        <row r="10510">
          <cell r="B10510">
            <v>901464</v>
          </cell>
          <cell r="C10510" t="str">
            <v>BGC LIQUIDEZ DTVM LTDA</v>
          </cell>
          <cell r="D10510" t="str">
            <v>BGC LIQUIDEZ DTVM LTDA</v>
          </cell>
          <cell r="E10510" t="str">
            <v>BGC LIQUIDEZ DTVM LTDA</v>
          </cell>
        </row>
        <row r="10511">
          <cell r="B10511">
            <v>901465</v>
          </cell>
          <cell r="C10511" t="str">
            <v>BGC LIQUIDEZ DTVM LTDA</v>
          </cell>
          <cell r="D10511" t="str">
            <v>BGC LIQUIDEZ DTVM LTDA</v>
          </cell>
          <cell r="E10511" t="str">
            <v>BGC LIQUIDEZ DTVM LTDA</v>
          </cell>
        </row>
        <row r="10512">
          <cell r="B10512">
            <v>901466</v>
          </cell>
          <cell r="C10512" t="str">
            <v>BGC LIQUIDEZ DTVM LTDA</v>
          </cell>
          <cell r="D10512" t="str">
            <v>BGC LIQUIDEZ DTVM LTDA</v>
          </cell>
          <cell r="E10512" t="str">
            <v>BGC LIQUIDEZ DTVM LTDA</v>
          </cell>
        </row>
        <row r="10513">
          <cell r="B10513">
            <v>901467</v>
          </cell>
          <cell r="C10513" t="str">
            <v>BGC LIQUIDEZ DTVM LTDA</v>
          </cell>
          <cell r="D10513" t="str">
            <v>BGC LIQUIDEZ DTVM LTDA</v>
          </cell>
          <cell r="E10513" t="str">
            <v>BGC LIQUIDEZ DTVM LTDA</v>
          </cell>
        </row>
        <row r="10514">
          <cell r="B10514">
            <v>901468</v>
          </cell>
          <cell r="C10514" t="str">
            <v>BGC LIQUIDEZ DTVM LTDA</v>
          </cell>
          <cell r="D10514" t="str">
            <v>BGC LIQUIDEZ DTVM LTDA</v>
          </cell>
          <cell r="E10514" t="str">
            <v>BGC LIQUIDEZ DTVM LTDA</v>
          </cell>
        </row>
        <row r="10515">
          <cell r="B10515">
            <v>901469</v>
          </cell>
          <cell r="C10515" t="str">
            <v>SANTANDER S/A CCT</v>
          </cell>
          <cell r="D10515" t="str">
            <v>SANTANDER S/A CCT</v>
          </cell>
          <cell r="E10515" t="str">
            <v>SANTANDER S/A CCT</v>
          </cell>
        </row>
        <row r="10516">
          <cell r="B10516">
            <v>901470</v>
          </cell>
          <cell r="C10516" t="str">
            <v>BGC LIQUIDEZ DTVM LTDA</v>
          </cell>
          <cell r="D10516" t="str">
            <v>BGC LIQUIDEZ DTVM LTDA</v>
          </cell>
          <cell r="E10516" t="str">
            <v>BGC LIQUIDEZ DTVM LTDA</v>
          </cell>
        </row>
        <row r="10517">
          <cell r="B10517">
            <v>901471</v>
          </cell>
          <cell r="C10517" t="str">
            <v>BGC LIQUIDEZ DTVM LTDA</v>
          </cell>
          <cell r="D10517" t="str">
            <v>BGC LIQUIDEZ DTVM LTDA</v>
          </cell>
          <cell r="E10517" t="str">
            <v>BGC LIQUIDEZ DTVM LTDA</v>
          </cell>
        </row>
        <row r="10518">
          <cell r="B10518">
            <v>901472</v>
          </cell>
          <cell r="C10518" t="str">
            <v>BGC LIQUIDEZ DTVM LTDA</v>
          </cell>
          <cell r="D10518" t="str">
            <v>BGC LIQUIDEZ DTVM LTDA</v>
          </cell>
          <cell r="E10518" t="str">
            <v>BGC LIQUIDEZ DTVM LTDA</v>
          </cell>
        </row>
        <row r="10519">
          <cell r="B10519">
            <v>901474</v>
          </cell>
          <cell r="C10519" t="str">
            <v>BGC LIQUIDEZ DTVM LTDA</v>
          </cell>
          <cell r="D10519" t="str">
            <v>BGC LIQUIDEZ DTVM LTDA</v>
          </cell>
          <cell r="E10519" t="str">
            <v>BGC LIQUIDEZ DTVM LTDA</v>
          </cell>
        </row>
        <row r="10520">
          <cell r="B10520">
            <v>901475</v>
          </cell>
          <cell r="C10520" t="str">
            <v>BGC LIQUIDEZ DTVM LTDA</v>
          </cell>
          <cell r="D10520" t="str">
            <v>BGC LIQUIDEZ DTVM LTDA</v>
          </cell>
          <cell r="E10520" t="str">
            <v>BGC LIQUIDEZ DTVM LTDA</v>
          </cell>
        </row>
        <row r="10521">
          <cell r="B10521">
            <v>901490</v>
          </cell>
          <cell r="C10521" t="str">
            <v>ICAP DO BRASIL CTVM LTDA ( ATUAL TULLET)</v>
          </cell>
          <cell r="D10521" t="str">
            <v>ICAP DO BRASIL CTVM LTDA ( ATUAL TULLET)</v>
          </cell>
          <cell r="E10521" t="str">
            <v>ICAP DO BRASIL CTVM LTDA ( ATUAL TULLET)</v>
          </cell>
        </row>
        <row r="10522">
          <cell r="B10522">
            <v>901491</v>
          </cell>
          <cell r="C10522" t="str">
            <v>ICAP DO BRASIL CTVM LTDA ( ATUAL TULLET)</v>
          </cell>
          <cell r="D10522" t="str">
            <v>ICAP DO BRASIL CTVM LTDA ( ATUAL TULLET)</v>
          </cell>
          <cell r="E10522" t="str">
            <v>ICAP DO BRASIL CTVM LTDA ( ATUAL TULLET)</v>
          </cell>
        </row>
        <row r="10523">
          <cell r="B10523">
            <v>901492</v>
          </cell>
          <cell r="C10523" t="str">
            <v>ICAP DO BRASIL CTVM LTDA ( ATUAL TULLET)</v>
          </cell>
          <cell r="D10523" t="str">
            <v>ICAP DO BRASIL CTVM LTDA ( ATUAL TULLET)</v>
          </cell>
          <cell r="E10523" t="str">
            <v>ICAP DO BRASIL CTVM LTDA ( ATUAL TULLET)</v>
          </cell>
        </row>
        <row r="10524">
          <cell r="B10524">
            <v>901493</v>
          </cell>
          <cell r="C10524" t="str">
            <v>ICAP DO BRASIL CTVM LTDA ( ATUAL TULLET)</v>
          </cell>
          <cell r="D10524" t="str">
            <v>ICAP DO BRASIL CTVM LTDA ( ATUAL TULLET)</v>
          </cell>
          <cell r="E10524" t="str">
            <v>ICAP DO BRASIL CTVM LTDA ( ATUAL TULLET)</v>
          </cell>
        </row>
        <row r="10525">
          <cell r="B10525">
            <v>901495</v>
          </cell>
          <cell r="C10525" t="str">
            <v>ICAP DO BRASIL CTVM LTDA ( ATUAL TULLET)</v>
          </cell>
          <cell r="D10525" t="str">
            <v>ICAP DO BRASIL CTVM LTDA ( ATUAL TULLET)</v>
          </cell>
          <cell r="E10525" t="str">
            <v>ICAP DO BRASIL CTVM LTDA ( ATUAL TULLET)</v>
          </cell>
        </row>
        <row r="10526">
          <cell r="B10526">
            <v>901496</v>
          </cell>
          <cell r="C10526" t="str">
            <v>ICAP DO BRASIL CTVM LTDA ( ATUAL TULLET)</v>
          </cell>
          <cell r="D10526" t="str">
            <v>ICAP DO BRASIL CTVM LTDA ( ATUAL TULLET)</v>
          </cell>
          <cell r="E10526" t="str">
            <v>ICAP DO BRASIL CTVM LTDA ( ATUAL TULLET)</v>
          </cell>
        </row>
        <row r="10527">
          <cell r="B10527">
            <v>901497</v>
          </cell>
          <cell r="C10527" t="str">
            <v>ICAP DO BRASIL CTVM LTDA ( ATUAL TULLET)</v>
          </cell>
          <cell r="D10527" t="str">
            <v>ICAP DO BRASIL CTVM LTDA ( ATUAL TULLET)</v>
          </cell>
          <cell r="E10527" t="str">
            <v>ICAP DO BRASIL CTVM LTDA ( ATUAL TULLET)</v>
          </cell>
        </row>
        <row r="10528">
          <cell r="B10528">
            <v>901502</v>
          </cell>
          <cell r="C10528" t="str">
            <v>ICAP DO BRASIL CTVM LTDA ( ATUAL TULLET)</v>
          </cell>
          <cell r="D10528" t="str">
            <v>ICAP DO BRASIL CTVM LTDA ( ATUAL TULLET)</v>
          </cell>
          <cell r="E10528" t="str">
            <v>ICAP DO BRASIL CTVM LTDA ( ATUAL TULLET)</v>
          </cell>
        </row>
        <row r="10529">
          <cell r="B10529">
            <v>901503</v>
          </cell>
          <cell r="C10529" t="str">
            <v>ICAP DO BRASIL CTVM LTDA ( ATUAL TULLET)</v>
          </cell>
          <cell r="D10529" t="str">
            <v>ICAP DO BRASIL CTVM LTDA ( ATUAL TULLET)</v>
          </cell>
          <cell r="E10529" t="str">
            <v>ICAP DO BRASIL CTVM LTDA ( ATUAL TULLET)</v>
          </cell>
        </row>
        <row r="10530">
          <cell r="B10530">
            <v>901504</v>
          </cell>
          <cell r="C10530" t="str">
            <v>ICAP DO BRASIL CTVM LTDA ( ATUAL TULLET)</v>
          </cell>
          <cell r="D10530" t="str">
            <v>ICAP DO BRASIL CTVM LTDA ( ATUAL TULLET)</v>
          </cell>
          <cell r="E10530" t="str">
            <v>ICAP DO BRASIL CTVM LTDA ( ATUAL TULLET)</v>
          </cell>
        </row>
        <row r="10531">
          <cell r="B10531">
            <v>80930</v>
          </cell>
          <cell r="C10531" t="str">
            <v>UBS AG, LONDON BRANCH NOVO</v>
          </cell>
          <cell r="D10531" t="str">
            <v>UBS AG, LONDON BRANCH NOVO</v>
          </cell>
          <cell r="E10531" t="str">
            <v>UBS AG, LONDON BRANCH NOVO</v>
          </cell>
        </row>
        <row r="10532">
          <cell r="B10532">
            <v>901522</v>
          </cell>
          <cell r="C10532" t="str">
            <v>CITIBANK DTVM S/A</v>
          </cell>
          <cell r="D10532" t="str">
            <v>CITIBANK DTVM S/A</v>
          </cell>
          <cell r="E10532" t="str">
            <v>CITIBANK DTVM S/A</v>
          </cell>
        </row>
        <row r="10533">
          <cell r="B10533">
            <v>90153</v>
          </cell>
          <cell r="C10533" t="str">
            <v>BB GESTAO DE RECURSOS DTVM LTDA</v>
          </cell>
          <cell r="D10533" t="str">
            <v>BB GESTAO DE RECURSOS DTVM LTDA</v>
          </cell>
          <cell r="E10533" t="str">
            <v>BANCO DO BRASIL S/A</v>
          </cell>
        </row>
        <row r="10534">
          <cell r="B10534">
            <v>901713</v>
          </cell>
          <cell r="C10534" t="str">
            <v>BANCO BTG PACTUAL S/A</v>
          </cell>
          <cell r="D10534" t="str">
            <v>BANCO BTG PACTUAL S/A</v>
          </cell>
          <cell r="E10534" t="str">
            <v>BANCO BTG PACTUAL S/A</v>
          </cell>
        </row>
        <row r="10535">
          <cell r="B10535">
            <v>90183</v>
          </cell>
          <cell r="C10535" t="str">
            <v>BB GESTAO DE RECURSOS DTVM LTDA</v>
          </cell>
          <cell r="D10535" t="str">
            <v>BB GESTAO DE RECURSOS DTVM LTDA</v>
          </cell>
          <cell r="E10535" t="str">
            <v>BANCO DO BRASIL S/A</v>
          </cell>
        </row>
        <row r="10536">
          <cell r="B10536">
            <v>901872</v>
          </cell>
          <cell r="C10536" t="str">
            <v>TERRA FUTUROS CM S/A</v>
          </cell>
          <cell r="D10536" t="str">
            <v>TERRA FUTUROS CM S/A</v>
          </cell>
          <cell r="E10536" t="str">
            <v>TERRA FUTUROS CM S/A</v>
          </cell>
        </row>
        <row r="10537">
          <cell r="B10537">
            <v>90189</v>
          </cell>
          <cell r="C10537" t="str">
            <v>BB GESTAO DE RECURSOS DTVM LTDA</v>
          </cell>
          <cell r="D10537" t="str">
            <v>BB GESTAO DE RECURSOS DTVM LTDA</v>
          </cell>
          <cell r="E10537" t="str">
            <v>BANCO DO BRASIL S/A</v>
          </cell>
        </row>
        <row r="10538">
          <cell r="B10538">
            <v>81765</v>
          </cell>
          <cell r="C10538" t="str">
            <v>UBS AG, LONDON BRANCH NOVO</v>
          </cell>
          <cell r="D10538" t="str">
            <v>UBS AG, LONDON BRANCH NOVO</v>
          </cell>
          <cell r="E10538" t="str">
            <v>UBS AG, LONDON BRANCH NOVO</v>
          </cell>
        </row>
        <row r="10539">
          <cell r="B10539">
            <v>90196</v>
          </cell>
          <cell r="C10539" t="str">
            <v>BB GESTAO DE RECURSOS DTVM LTDA</v>
          </cell>
          <cell r="D10539" t="str">
            <v>BB GESTAO DE RECURSOS DTVM LTDA</v>
          </cell>
          <cell r="E10539" t="str">
            <v>BANCO DO BRASIL S/A</v>
          </cell>
        </row>
        <row r="10540">
          <cell r="B10540">
            <v>901967</v>
          </cell>
          <cell r="C10540" t="str">
            <v>VOTORANTIM CTVM LTDA</v>
          </cell>
          <cell r="D10540" t="str">
            <v>VOTORANTIM CTVM LTDA</v>
          </cell>
          <cell r="E10540" t="str">
            <v>VOTORANTIM CTVM LTDA</v>
          </cell>
        </row>
        <row r="10541">
          <cell r="B10541">
            <v>901991</v>
          </cell>
          <cell r="C10541" t="str">
            <v>VOTORANTIM CTVM LTDA</v>
          </cell>
          <cell r="D10541" t="str">
            <v>VOTORANTIM CTVM LTDA</v>
          </cell>
          <cell r="E10541" t="str">
            <v>VOTORANTIM CTVM LTDA</v>
          </cell>
        </row>
        <row r="10542">
          <cell r="B10542">
            <v>902008</v>
          </cell>
          <cell r="C10542" t="str">
            <v>LINK CM LTDA</v>
          </cell>
          <cell r="D10542" t="str">
            <v>LINK CM LTDA</v>
          </cell>
        </row>
        <row r="10543">
          <cell r="B10543">
            <v>902013</v>
          </cell>
          <cell r="C10543" t="str">
            <v>CGD INVESTIMENTOS CORRETORA DE VALORES E CAMBIO S/A</v>
          </cell>
          <cell r="D10543" t="str">
            <v>CGD INVESTIMENTOS CORRETORA DE VALORES E CAMBIO S/A</v>
          </cell>
        </row>
        <row r="10544">
          <cell r="B10544">
            <v>902021</v>
          </cell>
          <cell r="C10544" t="str">
            <v>CREDIT SUISSE HEDGING GRIFFO CV S/A</v>
          </cell>
          <cell r="D10544" t="str">
            <v>CREDIT SUISSE HEDGING GRIFFO CV S/A</v>
          </cell>
          <cell r="E10544" t="str">
            <v>CREDIT SUISSE HEDGING-GRIFFO WEALTH MANAGEMENT S/A</v>
          </cell>
        </row>
        <row r="10545">
          <cell r="B10545">
            <v>902064</v>
          </cell>
          <cell r="C10545" t="str">
            <v>CGD INVESTIMENTOS CORRETORA DE VALORES E CAMBIO S/A</v>
          </cell>
          <cell r="D10545" t="str">
            <v>CGD INVESTIMENTOS CORRETORA DE VALORES E CAMBIO S/A</v>
          </cell>
          <cell r="E10545" t="str">
            <v>CGD INVESTIMENTOS CORRETORA DE VALORES E CAMBIO S/A</v>
          </cell>
        </row>
        <row r="10546">
          <cell r="B10546">
            <v>902082</v>
          </cell>
          <cell r="C10546" t="str">
            <v>FLOW CM LTDA</v>
          </cell>
          <cell r="D10546" t="str">
            <v>FLOW CM LTDA</v>
          </cell>
          <cell r="E10546" t="str">
            <v>FLOW CM LTDA</v>
          </cell>
        </row>
        <row r="10547">
          <cell r="B10547">
            <v>902100</v>
          </cell>
          <cell r="C10547" t="str">
            <v>ITAU CORRETORA DE VALORES S.A.</v>
          </cell>
          <cell r="D10547" t="str">
            <v>ITAU CORRETORA DE VALORES S.A.</v>
          </cell>
          <cell r="E10547" t="str">
            <v>ITAU CV S/A</v>
          </cell>
        </row>
        <row r="10548">
          <cell r="B10548">
            <v>902115</v>
          </cell>
          <cell r="C10548" t="str">
            <v>CRUZEIRO DO SUL S/A CVM</v>
          </cell>
          <cell r="D10548" t="str">
            <v>CRUZEIRO DO SUL S/A CVM</v>
          </cell>
          <cell r="E10548" t="str">
            <v>CRUZEIRO DO SUL S/A CVM</v>
          </cell>
        </row>
        <row r="10549">
          <cell r="B10549">
            <v>902214</v>
          </cell>
          <cell r="C10549" t="str">
            <v>VOTORANTIM CTVM LTDA</v>
          </cell>
          <cell r="D10549" t="str">
            <v>VOTORANTIM CTVM LTDA</v>
          </cell>
          <cell r="E10549" t="str">
            <v>VOTORANTIM CTVM LTDA</v>
          </cell>
        </row>
        <row r="10550">
          <cell r="B10550">
            <v>902215</v>
          </cell>
          <cell r="C10550" t="str">
            <v>VOTORANTIM CTVM LTDA</v>
          </cell>
          <cell r="D10550" t="str">
            <v>VOTORANTIM CTVM LTDA</v>
          </cell>
          <cell r="E10550" t="str">
            <v>VOTORANTIM CTVM LTDA</v>
          </cell>
        </row>
        <row r="10551">
          <cell r="B10551">
            <v>902217</v>
          </cell>
          <cell r="C10551" t="str">
            <v>HENCORP COMMCOR CM LTDA</v>
          </cell>
          <cell r="D10551" t="str">
            <v>HENCORP COMMCOR CM LTDA</v>
          </cell>
          <cell r="E10551" t="str">
            <v>HENCORP COMMCOR CM LTDA</v>
          </cell>
        </row>
        <row r="10552">
          <cell r="B10552">
            <v>902278</v>
          </cell>
          <cell r="C10552" t="str">
            <v>ICAP DO BRASIL CTVM LTDA ( ATUAL TULLET)</v>
          </cell>
          <cell r="D10552" t="str">
            <v>ICAP DO BRASIL CTVM LTDA ( ATUAL TULLET)</v>
          </cell>
          <cell r="E10552" t="str">
            <v>ICAP DO BRASIL CTVM LTDA ( ATUAL TULLET)</v>
          </cell>
        </row>
        <row r="10553">
          <cell r="B10553">
            <v>90230</v>
          </cell>
          <cell r="C10553" t="str">
            <v>INTERBOLSA DO BRASIL CCTVM LTDA</v>
          </cell>
          <cell r="D10553" t="str">
            <v>INTERBOLSA DO BRASIL CCTVM LTDA</v>
          </cell>
          <cell r="E10553" t="str">
            <v>INTERBOLSA DO BRASIL CCTVM LTDA</v>
          </cell>
        </row>
        <row r="10554">
          <cell r="B10554">
            <v>902300</v>
          </cell>
          <cell r="C10554" t="str">
            <v>ITAU CORRETORA DE VALORES S.A.</v>
          </cell>
          <cell r="D10554" t="str">
            <v>ITAU CORRETORA DE VALORES S.A.</v>
          </cell>
          <cell r="E10554" t="str">
            <v>ITAU CV S/A</v>
          </cell>
        </row>
        <row r="10555">
          <cell r="B10555">
            <v>902334</v>
          </cell>
          <cell r="C10555" t="str">
            <v>VOTORANTIM CTVM LTDA</v>
          </cell>
          <cell r="D10555" t="str">
            <v>VOTORANTIM CTVM LTDA</v>
          </cell>
          <cell r="E10555" t="str">
            <v>VOTORANTIM CTVM LTDA</v>
          </cell>
        </row>
        <row r="10556">
          <cell r="B10556" t="str">
            <v>M11519438000105</v>
          </cell>
          <cell r="C10556" t="str">
            <v>UBS BRASIL ADMINISTRADORA DE VALORES MOBILIÃRIOS LTDA.</v>
          </cell>
          <cell r="D10556" t="str">
            <v>UBS BRASIL ADMINISTRADORA DE VALORES MOBILIÃRIOS LTDA.</v>
          </cell>
          <cell r="E10556" t="str">
            <v>UBS BRASIL ADMINISTRADORA DE VALORES MOBILIARIOS LTDA</v>
          </cell>
        </row>
        <row r="10557">
          <cell r="B10557">
            <v>902541</v>
          </cell>
          <cell r="C10557" t="str">
            <v>BTG PACTUAL CM LTDA</v>
          </cell>
          <cell r="D10557" t="str">
            <v>BTG PACTUAL CM LTDA</v>
          </cell>
          <cell r="E10557" t="str">
            <v>BTG PACTUAL CM LTDA</v>
          </cell>
        </row>
        <row r="10558">
          <cell r="B10558">
            <v>902542</v>
          </cell>
          <cell r="C10558" t="str">
            <v>BTG PACTUAL CM LTDA</v>
          </cell>
          <cell r="D10558" t="str">
            <v>BTG PACTUAL CM LTDA</v>
          </cell>
          <cell r="E10558" t="str">
            <v>BTG PACTUAL CM LTDA</v>
          </cell>
        </row>
        <row r="10559">
          <cell r="B10559">
            <v>902547</v>
          </cell>
          <cell r="C10559" t="str">
            <v>BTG PACTUAL CORRETORA DE TITULOS E VALORES MOBILIARIOS S/A</v>
          </cell>
          <cell r="D10559" t="str">
            <v>BTG PACTUAL CORRETORA DE TITULOS E VALORES MOBILIARIOS S/A</v>
          </cell>
          <cell r="E10559" t="str">
            <v>BTG PACTUAL CORRETORA DE TITULOS E VALORES MOBILIARIOS S/A</v>
          </cell>
        </row>
        <row r="10560">
          <cell r="B10560">
            <v>902548</v>
          </cell>
          <cell r="C10560" t="str">
            <v>BTG PACTUAL CORRETORA DE TITULOS E VALORES MOBILIARIOS S/A</v>
          </cell>
          <cell r="D10560" t="str">
            <v>BTG PACTUAL CORRETORA DE TITULOS E VALORES MOBILIARIOS S/A</v>
          </cell>
          <cell r="E10560" t="str">
            <v>BTG PACTUAL CORRETORA DE TITULOS E VALORES MOBILIARIOS S/A</v>
          </cell>
        </row>
        <row r="10561">
          <cell r="B10561">
            <v>902549</v>
          </cell>
          <cell r="C10561" t="str">
            <v>BTG PACTUAL CORRETORA DE TITULOS E VALORES MOBILIARIOS S/A</v>
          </cell>
          <cell r="D10561" t="str">
            <v>BTG PACTUAL CORRETORA DE TITULOS E VALORES MOBILIARIOS S/A</v>
          </cell>
          <cell r="E10561" t="str">
            <v>BTG PACTUAL CORRETORA DE TITULOS E VALORES MOBILIARIOS S/A</v>
          </cell>
        </row>
        <row r="10562">
          <cell r="B10562">
            <v>902550</v>
          </cell>
          <cell r="C10562" t="str">
            <v>BTG PACTUAL CORRETORA DE TITULOS E VALORES MOBILIARIOS S/A</v>
          </cell>
          <cell r="D10562" t="str">
            <v>BTG PACTUAL CORRETORA DE TITULOS E VALORES MOBILIARIOS S/A</v>
          </cell>
          <cell r="E10562" t="str">
            <v>BTG PACTUAL CORRETORA DE TITULOS E VALORES MOBILIARIOS S/A</v>
          </cell>
        </row>
        <row r="10563">
          <cell r="B10563">
            <v>902552</v>
          </cell>
          <cell r="C10563" t="str">
            <v>BTG PACTUAL CM LTDA</v>
          </cell>
          <cell r="D10563" t="str">
            <v>BTG PACTUAL CM LTDA</v>
          </cell>
          <cell r="E10563" t="str">
            <v>BTG PACTUAL CM LTDA</v>
          </cell>
        </row>
        <row r="10564">
          <cell r="B10564">
            <v>902553</v>
          </cell>
          <cell r="C10564" t="str">
            <v>BTG PACTUAL CORRETORA DE TITULOS E VALORES MOBILIARIOS S/A</v>
          </cell>
          <cell r="D10564" t="str">
            <v>BTG PACTUAL CORRETORA DE TITULOS E VALORES MOBILIARIOS S/A</v>
          </cell>
          <cell r="E10564" t="str">
            <v>BTG PACTUAL CORRETORA DE TITULOS E VALORES MOBILIARIOS S/A</v>
          </cell>
        </row>
        <row r="10565">
          <cell r="B10565">
            <v>902554</v>
          </cell>
          <cell r="C10565" t="str">
            <v>BTG PACTUAL CM LTDA</v>
          </cell>
          <cell r="D10565" t="str">
            <v>BTG PACTUAL CM LTDA</v>
          </cell>
          <cell r="E10565" t="str">
            <v>BTG PACTUAL CM LTDA</v>
          </cell>
        </row>
        <row r="10566">
          <cell r="B10566">
            <v>902555</v>
          </cell>
          <cell r="C10566" t="str">
            <v>BTG PACTUAL CORRETORA DE TITULOS E VALORES MOBILIARIOS S/A</v>
          </cell>
          <cell r="D10566" t="str">
            <v>BTG PACTUAL CORRETORA DE TITULOS E VALORES MOBILIARIOS S/A</v>
          </cell>
          <cell r="E10566" t="str">
            <v>BTG PACTUAL CORRETORA DE TITULOS E VALORES MOBILIARIOS S/A</v>
          </cell>
        </row>
        <row r="10567">
          <cell r="B10567">
            <v>902556</v>
          </cell>
          <cell r="C10567" t="str">
            <v>BTG PACTUAL CORRETORA DE TITULOS E VALORES MOBILIARIOS S/A</v>
          </cell>
          <cell r="D10567" t="str">
            <v>BTG PACTUAL CORRETORA DE TITULOS E VALORES MOBILIARIOS S/A</v>
          </cell>
          <cell r="E10567" t="str">
            <v>BTG PACTUAL CORRETORA DE TITULOS E VALORES MOBILIARIOS S/A</v>
          </cell>
        </row>
        <row r="10568">
          <cell r="B10568">
            <v>902557</v>
          </cell>
          <cell r="C10568" t="str">
            <v>BTG PACTUAL CM LTDA</v>
          </cell>
          <cell r="D10568" t="str">
            <v>BTG PACTUAL CM LTDA</v>
          </cell>
          <cell r="E10568" t="str">
            <v>BTG PACTUAL CM LTDA</v>
          </cell>
        </row>
        <row r="10569">
          <cell r="B10569">
            <v>902601</v>
          </cell>
          <cell r="C10569" t="str">
            <v>CREDIT SUISSE HEDGING GRIFFO CV S/A</v>
          </cell>
          <cell r="D10569" t="str">
            <v>CREDIT SUISSE HEDGING GRIFFO CV S/A</v>
          </cell>
          <cell r="E10569" t="str">
            <v>CREDIT SUISSE HEDGING-GRIFFO WEALTH MANAGEMENT S/A</v>
          </cell>
        </row>
        <row r="10570">
          <cell r="B10570">
            <v>902653</v>
          </cell>
          <cell r="C10570" t="str">
            <v>ATIVA S/A CTCV</v>
          </cell>
          <cell r="D10570" t="str">
            <v>ATIVA S/A CTCV</v>
          </cell>
          <cell r="E10570" t="str">
            <v>ATIVA S/A CTCV</v>
          </cell>
        </row>
        <row r="10571">
          <cell r="B10571">
            <v>902654</v>
          </cell>
          <cell r="C10571" t="str">
            <v>ATIVA S/A CTCV</v>
          </cell>
          <cell r="D10571" t="str">
            <v>ATIVA S/A CTCV</v>
          </cell>
          <cell r="E10571" t="str">
            <v>ATIVA S/A CTCV</v>
          </cell>
        </row>
        <row r="10572">
          <cell r="B10572">
            <v>902657</v>
          </cell>
          <cell r="C10572" t="str">
            <v>BTG PACTUAL CM LTDA</v>
          </cell>
          <cell r="D10572" t="str">
            <v>BTG PACTUAL CM LTDA</v>
          </cell>
          <cell r="E10572" t="str">
            <v>BTG PACTUAL CM LTDA</v>
          </cell>
        </row>
        <row r="10573">
          <cell r="B10573">
            <v>90279</v>
          </cell>
          <cell r="C10573" t="str">
            <v>ATIVA S/A CTCV</v>
          </cell>
          <cell r="D10573" t="str">
            <v>ATIVA S/A CTCV</v>
          </cell>
          <cell r="E10573" t="str">
            <v>ATIVA S/A CTCV</v>
          </cell>
        </row>
        <row r="10574">
          <cell r="B10574">
            <v>90280</v>
          </cell>
          <cell r="C10574" t="str">
            <v>ATIVA S/A CTCV</v>
          </cell>
          <cell r="D10574" t="str">
            <v>ATIVA S/A CTCV</v>
          </cell>
          <cell r="E10574" t="str">
            <v>ATIVA S/A CTCV</v>
          </cell>
        </row>
        <row r="10575">
          <cell r="B10575">
            <v>90435</v>
          </cell>
          <cell r="C10575" t="str">
            <v>BB GESTAO DE RECURSOS DTVM LTDA</v>
          </cell>
          <cell r="D10575" t="str">
            <v>BB GESTAO DE RECURSOS DTVM LTDA</v>
          </cell>
          <cell r="E10575" t="str">
            <v>BANCO DO BRASIL S/A</v>
          </cell>
        </row>
        <row r="10576">
          <cell r="B10576">
            <v>904444</v>
          </cell>
          <cell r="C10576" t="str">
            <v>CM CAPITAL MARKETS CCTVM LTDA</v>
          </cell>
          <cell r="D10576" t="str">
            <v>CM CAPITAL MARKETS CCTVM LTDA</v>
          </cell>
          <cell r="E10576" t="str">
            <v>CM CAPITAL MARKETS CCTVM LTDA</v>
          </cell>
        </row>
        <row r="10577">
          <cell r="B10577">
            <v>90450</v>
          </cell>
          <cell r="C10577" t="str">
            <v>FATOR S/A CV</v>
          </cell>
          <cell r="D10577" t="str">
            <v>FATOR S/A CV</v>
          </cell>
          <cell r="E10577" t="str">
            <v>FATOR S/A CV</v>
          </cell>
        </row>
        <row r="10578">
          <cell r="B10578">
            <v>904711</v>
          </cell>
          <cell r="C10578" t="str">
            <v>ITAU CORRETORA DE VALORES S.A.</v>
          </cell>
          <cell r="D10578" t="str">
            <v>ITAU CORRETORA DE VALORES S.A.</v>
          </cell>
          <cell r="E10578" t="str">
            <v>ITAU CV S/A</v>
          </cell>
        </row>
        <row r="10579">
          <cell r="B10579">
            <v>904712</v>
          </cell>
          <cell r="C10579" t="str">
            <v>ITAU CORRETORA DE VALORES S.A.</v>
          </cell>
          <cell r="D10579" t="str">
            <v>ITAU CORRETORA DE VALORES S.A.</v>
          </cell>
          <cell r="E10579" t="str">
            <v>ITAU CV S/A</v>
          </cell>
        </row>
        <row r="10580">
          <cell r="B10580">
            <v>904713</v>
          </cell>
          <cell r="C10580" t="str">
            <v>ITAU CORRETORA DE VALORES S.A.</v>
          </cell>
          <cell r="D10580" t="str">
            <v>ITAU CORRETORA DE VALORES S.A.</v>
          </cell>
          <cell r="E10580" t="str">
            <v>ITAU CV S/A</v>
          </cell>
        </row>
        <row r="10581">
          <cell r="B10581">
            <v>904715</v>
          </cell>
          <cell r="C10581" t="str">
            <v>ITAU CORRETORA DE VALORES S.A.</v>
          </cell>
          <cell r="D10581" t="str">
            <v>ITAU CORRETORA DE VALORES S.A.</v>
          </cell>
          <cell r="E10581" t="str">
            <v>ITAU CV S/A</v>
          </cell>
        </row>
        <row r="10582">
          <cell r="B10582">
            <v>904716</v>
          </cell>
          <cell r="C10582" t="str">
            <v>ITAU CORRETORA DE VALORES S.A.</v>
          </cell>
          <cell r="D10582" t="str">
            <v>ITAU CORRETORA DE VALORES S.A.</v>
          </cell>
          <cell r="E10582" t="str">
            <v>ITAU CV S/A</v>
          </cell>
        </row>
        <row r="10583">
          <cell r="B10583">
            <v>904718</v>
          </cell>
          <cell r="C10583" t="str">
            <v>ITAU CORRETORA DE VALORES S.A.</v>
          </cell>
          <cell r="D10583" t="str">
            <v>ITAU CORRETORA DE VALORES S.A.</v>
          </cell>
          <cell r="E10583" t="str">
            <v>ITAU CV S/A</v>
          </cell>
        </row>
        <row r="10584">
          <cell r="B10584">
            <v>904725</v>
          </cell>
          <cell r="C10584" t="str">
            <v>ITAU CORRETORA DE VALORES S.A.</v>
          </cell>
          <cell r="D10584" t="str">
            <v>ITAU CORRETORA DE VALORES S.A.</v>
          </cell>
          <cell r="E10584" t="str">
            <v>ITAU CV S/A</v>
          </cell>
        </row>
        <row r="10585">
          <cell r="B10585">
            <v>904727</v>
          </cell>
          <cell r="C10585" t="str">
            <v>ITAU CORRETORA DE VALORES S.A.</v>
          </cell>
          <cell r="D10585" t="str">
            <v>ITAU CORRETORA DE VALORES S.A.</v>
          </cell>
          <cell r="E10585" t="str">
            <v>ITAU CV S/A</v>
          </cell>
        </row>
        <row r="10586">
          <cell r="B10586">
            <v>904731</v>
          </cell>
          <cell r="C10586" t="str">
            <v>ITAU CORRETORA DE VALORES S.A.</v>
          </cell>
          <cell r="D10586" t="str">
            <v>ITAU CORRETORA DE VALORES S.A.</v>
          </cell>
          <cell r="E10586" t="str">
            <v>ITAU CV S/A</v>
          </cell>
        </row>
        <row r="10587">
          <cell r="B10587">
            <v>904732</v>
          </cell>
          <cell r="C10587" t="str">
            <v>ITAU CORRETORA DE VALORES S.A.</v>
          </cell>
          <cell r="D10587" t="str">
            <v>ITAU CORRETORA DE VALORES S.A.</v>
          </cell>
          <cell r="E10587" t="str">
            <v>ITAU CV S/A</v>
          </cell>
        </row>
        <row r="10588">
          <cell r="B10588">
            <v>904733</v>
          </cell>
          <cell r="C10588" t="str">
            <v>ITAU CORRETORA DE VALORES S.A.</v>
          </cell>
          <cell r="D10588" t="str">
            <v>ITAU CORRETORA DE VALORES S.A.</v>
          </cell>
          <cell r="E10588" t="str">
            <v>ITAU CV S/A</v>
          </cell>
        </row>
        <row r="10589">
          <cell r="B10589">
            <v>904734</v>
          </cell>
          <cell r="C10589" t="str">
            <v>ITAU CORRETORA DE VALORES S.A.</v>
          </cell>
          <cell r="D10589" t="str">
            <v>ITAU CORRETORA DE VALORES S.A.</v>
          </cell>
          <cell r="E10589" t="str">
            <v>ITAU CV S/A</v>
          </cell>
        </row>
        <row r="10590">
          <cell r="B10590">
            <v>904744</v>
          </cell>
          <cell r="C10590" t="str">
            <v>ITAU CORRETORA DE VALORES S.A.</v>
          </cell>
          <cell r="D10590" t="str">
            <v>ITAU CORRETORA DE VALORES S.A.</v>
          </cell>
          <cell r="E10590" t="str">
            <v>ITAU CV S/A</v>
          </cell>
        </row>
        <row r="10591">
          <cell r="B10591">
            <v>904746</v>
          </cell>
          <cell r="C10591" t="str">
            <v>ITAU CORRETORA DE VALORES S.A.</v>
          </cell>
          <cell r="D10591" t="str">
            <v>ITAU CORRETORA DE VALORES S.A.</v>
          </cell>
          <cell r="E10591" t="str">
            <v>ITAU CV S/A</v>
          </cell>
        </row>
        <row r="10592">
          <cell r="B10592">
            <v>904747</v>
          </cell>
          <cell r="C10592" t="str">
            <v>ITAU CORRETORA DE VALORES S.A.</v>
          </cell>
          <cell r="D10592" t="str">
            <v>ITAU CORRETORA DE VALORES S.A.</v>
          </cell>
          <cell r="E10592" t="str">
            <v>ITAU CV S/A</v>
          </cell>
        </row>
        <row r="10593">
          <cell r="B10593">
            <v>904748</v>
          </cell>
          <cell r="C10593" t="str">
            <v>ITAU CORRETORA DE VALORES S.A.</v>
          </cell>
          <cell r="D10593" t="str">
            <v>ITAU CORRETORA DE VALORES S.A.</v>
          </cell>
          <cell r="E10593" t="str">
            <v>ITAU CV S/A</v>
          </cell>
        </row>
        <row r="10594">
          <cell r="B10594">
            <v>904751</v>
          </cell>
          <cell r="C10594" t="str">
            <v>ITAU CORRETORA DE VALORES S.A.</v>
          </cell>
          <cell r="D10594" t="str">
            <v>ITAU CORRETORA DE VALORES S.A.</v>
          </cell>
          <cell r="E10594" t="str">
            <v>ITAU CV S/A</v>
          </cell>
        </row>
        <row r="10595">
          <cell r="B10595">
            <v>904754</v>
          </cell>
          <cell r="C10595" t="str">
            <v>ITAU CORRETORA DE VALORES S.A.</v>
          </cell>
          <cell r="D10595" t="str">
            <v>ITAU CORRETORA DE VALORES S.A.</v>
          </cell>
          <cell r="E10595" t="str">
            <v>ITAU CV S/A</v>
          </cell>
        </row>
        <row r="10596">
          <cell r="B10596">
            <v>904760</v>
          </cell>
          <cell r="C10596" t="str">
            <v>ITAU CORRETORA DE VALORES S.A.</v>
          </cell>
          <cell r="D10596" t="str">
            <v>ITAU CORRETORA DE VALORES S.A.</v>
          </cell>
          <cell r="E10596" t="str">
            <v>ITAU CV S/A</v>
          </cell>
        </row>
        <row r="10597">
          <cell r="B10597">
            <v>904768</v>
          </cell>
          <cell r="C10597" t="str">
            <v>ITAU CORRETORA DE VALORES S.A.</v>
          </cell>
          <cell r="D10597" t="str">
            <v>ITAU CORRETORA DE VALORES S.A.</v>
          </cell>
          <cell r="E10597" t="str">
            <v>ITAU CV S/A</v>
          </cell>
        </row>
        <row r="10598">
          <cell r="B10598">
            <v>904773</v>
          </cell>
          <cell r="C10598" t="str">
            <v>ITAU CORRETORA DE VALORES S.A.</v>
          </cell>
          <cell r="D10598" t="str">
            <v>ITAU CORRETORA DE VALORES S.A.</v>
          </cell>
          <cell r="E10598" t="str">
            <v>ITAU CV S/A</v>
          </cell>
        </row>
        <row r="10599">
          <cell r="B10599">
            <v>904780</v>
          </cell>
          <cell r="C10599" t="str">
            <v>ITAU CORRETORA DE VALORES S.A.</v>
          </cell>
          <cell r="D10599" t="str">
            <v>ITAU CORRETORA DE VALORES S.A.</v>
          </cell>
          <cell r="E10599" t="str">
            <v>ITAU CV S/A</v>
          </cell>
        </row>
        <row r="10600">
          <cell r="B10600">
            <v>904781</v>
          </cell>
          <cell r="C10600" t="str">
            <v>ITAU CORRETORA DE VALORES S.A.</v>
          </cell>
          <cell r="D10600" t="str">
            <v>ITAU CORRETORA DE VALORES S.A.</v>
          </cell>
          <cell r="E10600" t="str">
            <v>ITAU CV S/A</v>
          </cell>
        </row>
        <row r="10601">
          <cell r="B10601">
            <v>904782</v>
          </cell>
          <cell r="C10601" t="str">
            <v>ITAU CORRETORA DE VALORES S.A.</v>
          </cell>
          <cell r="D10601" t="str">
            <v>ITAU CORRETORA DE VALORES S.A.</v>
          </cell>
          <cell r="E10601" t="str">
            <v>ITAU CV S/A</v>
          </cell>
        </row>
        <row r="10602">
          <cell r="B10602">
            <v>904790</v>
          </cell>
          <cell r="C10602" t="str">
            <v>ITAU CORRETORA DE VALORES S.A.</v>
          </cell>
          <cell r="D10602" t="str">
            <v>ITAU CORRETORA DE VALORES S.A.</v>
          </cell>
          <cell r="E10602" t="str">
            <v>ITAU CV S/A</v>
          </cell>
        </row>
        <row r="10603">
          <cell r="B10603">
            <v>904793</v>
          </cell>
          <cell r="C10603" t="str">
            <v>ITAU CORRETORA DE VALORES S.A.</v>
          </cell>
          <cell r="D10603" t="str">
            <v>ITAU CORRETORA DE VALORES S.A.</v>
          </cell>
          <cell r="E10603" t="str">
            <v>ITAU CV S/A</v>
          </cell>
        </row>
        <row r="10604">
          <cell r="B10604">
            <v>904794</v>
          </cell>
          <cell r="C10604" t="str">
            <v>ITAU CORRETORA DE VALORES S.A.</v>
          </cell>
          <cell r="D10604" t="str">
            <v>ITAU CORRETORA DE VALORES S.A.</v>
          </cell>
          <cell r="E10604" t="str">
            <v>ITAU CV S/A</v>
          </cell>
        </row>
        <row r="10605">
          <cell r="B10605">
            <v>904795</v>
          </cell>
          <cell r="C10605" t="str">
            <v>ITAU CORRETORA DE VALORES S.A.</v>
          </cell>
          <cell r="D10605" t="str">
            <v>ITAU CORRETORA DE VALORES S.A.</v>
          </cell>
          <cell r="E10605" t="str">
            <v>ITAU CV S/A</v>
          </cell>
        </row>
        <row r="10606">
          <cell r="B10606">
            <v>904796</v>
          </cell>
          <cell r="C10606" t="str">
            <v>ITAU CORRETORA DE VALORES S.A.</v>
          </cell>
          <cell r="D10606" t="str">
            <v>ITAU CORRETORA DE VALORES S.A.</v>
          </cell>
          <cell r="E10606" t="str">
            <v>ITAU CV S/A</v>
          </cell>
        </row>
        <row r="10607">
          <cell r="B10607">
            <v>904814</v>
          </cell>
          <cell r="C10607" t="str">
            <v>ITAU CORRETORA DE VALORES S.A.</v>
          </cell>
          <cell r="D10607" t="str">
            <v>ITAU CORRETORA DE VALORES S.A.</v>
          </cell>
          <cell r="E10607" t="str">
            <v>ITAU CV S/A</v>
          </cell>
        </row>
        <row r="10608">
          <cell r="B10608">
            <v>904869</v>
          </cell>
          <cell r="C10608" t="str">
            <v>ITAU CORRETORA DE VALORES S.A.</v>
          </cell>
          <cell r="D10608" t="str">
            <v>ITAU CORRETORA DE VALORES S.A.</v>
          </cell>
          <cell r="E10608" t="str">
            <v>ITAU CV S/A</v>
          </cell>
        </row>
        <row r="10609">
          <cell r="B10609">
            <v>904870</v>
          </cell>
          <cell r="C10609" t="str">
            <v>ITAU CORRETORA DE VALORES S.A.</v>
          </cell>
          <cell r="D10609" t="str">
            <v>ITAU CORRETORA DE VALORES S.A.</v>
          </cell>
          <cell r="E10609" t="str">
            <v>ITAU CV S/A</v>
          </cell>
        </row>
        <row r="10610">
          <cell r="B10610">
            <v>904871</v>
          </cell>
          <cell r="C10610" t="str">
            <v>ITAU CORRETORA DE VALORES S.A.</v>
          </cell>
          <cell r="D10610" t="str">
            <v>ITAU CORRETORA DE VALORES S.A.</v>
          </cell>
          <cell r="E10610" t="str">
            <v>ITAU CV S/A</v>
          </cell>
        </row>
        <row r="10611">
          <cell r="B10611">
            <v>904872</v>
          </cell>
          <cell r="C10611" t="str">
            <v>ITAU CORRETORA DE VALORES S.A.</v>
          </cell>
          <cell r="D10611" t="str">
            <v>ITAU CORRETORA DE VALORES S.A.</v>
          </cell>
          <cell r="E10611" t="str">
            <v>ITAU CV S/A</v>
          </cell>
        </row>
        <row r="10612">
          <cell r="B10612">
            <v>904873</v>
          </cell>
          <cell r="C10612" t="str">
            <v>ITAU CORRETORA DE VALORES S.A.</v>
          </cell>
          <cell r="D10612" t="str">
            <v>ITAU CORRETORA DE VALORES S.A.</v>
          </cell>
          <cell r="E10612" t="str">
            <v>ITAU CV S/A</v>
          </cell>
        </row>
        <row r="10613">
          <cell r="B10613">
            <v>904881</v>
          </cell>
          <cell r="C10613" t="str">
            <v>ITAU CORRETORA DE VALORES S.A.</v>
          </cell>
          <cell r="D10613" t="str">
            <v>ITAU CORRETORA DE VALORES S.A.</v>
          </cell>
          <cell r="E10613" t="str">
            <v>ITAU CV S/A</v>
          </cell>
        </row>
        <row r="10614">
          <cell r="B10614">
            <v>904882</v>
          </cell>
          <cell r="C10614" t="str">
            <v>ITAU CORRETORA DE VALORES S.A.</v>
          </cell>
          <cell r="D10614" t="str">
            <v>ITAU CORRETORA DE VALORES S.A.</v>
          </cell>
          <cell r="E10614" t="str">
            <v>ITAU CV S/A</v>
          </cell>
        </row>
        <row r="10615">
          <cell r="B10615">
            <v>904883</v>
          </cell>
          <cell r="C10615" t="str">
            <v>ITAU CORRETORA DE VALORES S.A.</v>
          </cell>
          <cell r="D10615" t="str">
            <v>ITAU CORRETORA DE VALORES S.A.</v>
          </cell>
          <cell r="E10615" t="str">
            <v>ITAU CV S/A</v>
          </cell>
        </row>
        <row r="10616">
          <cell r="B10616">
            <v>904884</v>
          </cell>
          <cell r="C10616" t="str">
            <v>ITAU CORRETORA DE VALORES S.A.</v>
          </cell>
          <cell r="D10616" t="str">
            <v>ITAU CORRETORA DE VALORES S.A.</v>
          </cell>
          <cell r="E10616" t="str">
            <v>ITAU CV S/A</v>
          </cell>
        </row>
        <row r="10617">
          <cell r="B10617">
            <v>904885</v>
          </cell>
          <cell r="C10617" t="str">
            <v>ITAU CORRETORA DE VALORES S.A.</v>
          </cell>
          <cell r="D10617" t="str">
            <v>ITAU CORRETORA DE VALORES S.A.</v>
          </cell>
          <cell r="E10617" t="str">
            <v>ITAU CV S/A</v>
          </cell>
        </row>
        <row r="10618">
          <cell r="B10618">
            <v>904886</v>
          </cell>
          <cell r="C10618" t="str">
            <v>ITAU CORRETORA DE VALORES S.A.</v>
          </cell>
          <cell r="D10618" t="str">
            <v>ITAU CORRETORA DE VALORES S.A.</v>
          </cell>
          <cell r="E10618" t="str">
            <v>ITAU CV S/A</v>
          </cell>
        </row>
        <row r="10619">
          <cell r="B10619">
            <v>904887</v>
          </cell>
          <cell r="C10619" t="str">
            <v>ITAU CORRETORA DE VALORES S.A.</v>
          </cell>
          <cell r="D10619" t="str">
            <v>ITAU CORRETORA DE VALORES S.A.</v>
          </cell>
          <cell r="E10619" t="str">
            <v>ITAU CV S/A</v>
          </cell>
        </row>
        <row r="10620">
          <cell r="B10620">
            <v>904890</v>
          </cell>
          <cell r="C10620" t="str">
            <v>ITAU CORRETORA DE VALORES S.A.</v>
          </cell>
          <cell r="D10620" t="str">
            <v>ITAU CORRETORA DE VALORES S.A.</v>
          </cell>
          <cell r="E10620" t="str">
            <v>ITAU CV S/A</v>
          </cell>
        </row>
        <row r="10621">
          <cell r="B10621">
            <v>904896</v>
          </cell>
          <cell r="C10621" t="str">
            <v>ITAU CORRETORA DE VALORES S.A.</v>
          </cell>
          <cell r="D10621" t="str">
            <v>ITAU CORRETORA DE VALORES S.A.</v>
          </cell>
          <cell r="E10621" t="str">
            <v>ITAU CV S/A</v>
          </cell>
        </row>
        <row r="10622">
          <cell r="B10622">
            <v>904897</v>
          </cell>
          <cell r="C10622" t="str">
            <v>ITAU CORRETORA DE VALORES S.A.</v>
          </cell>
          <cell r="D10622" t="str">
            <v>ITAU CORRETORA DE VALORES S.A.</v>
          </cell>
          <cell r="E10622" t="str">
            <v>ITAU CV S/A</v>
          </cell>
        </row>
        <row r="10623">
          <cell r="B10623">
            <v>904950</v>
          </cell>
          <cell r="C10623" t="str">
            <v>MAXIMA S/A CTVM</v>
          </cell>
          <cell r="D10623" t="str">
            <v>MAXIMA S/A CTVM</v>
          </cell>
          <cell r="E10623" t="str">
            <v>MAXIMA S/A CTVM</v>
          </cell>
        </row>
        <row r="10624">
          <cell r="B10624">
            <v>904988</v>
          </cell>
          <cell r="C10624" t="str">
            <v>ITAU CORRETORA DE VALORES S.A.</v>
          </cell>
          <cell r="D10624" t="str">
            <v>ITAU CORRETORA DE VALORES S.A.</v>
          </cell>
          <cell r="E10624" t="str">
            <v>ITAU CV S/A</v>
          </cell>
        </row>
        <row r="10625">
          <cell r="B10625">
            <v>904990</v>
          </cell>
          <cell r="C10625" t="str">
            <v>ITAU CORRETORA DE VALORES S.A.</v>
          </cell>
          <cell r="D10625" t="str">
            <v>ITAU CORRETORA DE VALORES S.A.</v>
          </cell>
          <cell r="E10625" t="str">
            <v>ITAU CV S/A</v>
          </cell>
        </row>
        <row r="10626">
          <cell r="B10626">
            <v>90505</v>
          </cell>
          <cell r="C10626" t="str">
            <v>MERRILL LYNCH S/A CTVM</v>
          </cell>
          <cell r="D10626" t="str">
            <v>MERRILL LYNCH S/A CTVM</v>
          </cell>
          <cell r="E10626" t="str">
            <v>MERRILL LYNCH S/A CTVM</v>
          </cell>
        </row>
        <row r="10627">
          <cell r="B10627">
            <v>905150</v>
          </cell>
          <cell r="C10627" t="str">
            <v>MAXIMA S/A CTVM</v>
          </cell>
          <cell r="D10627" t="str">
            <v>MAXIMA S/A CTVM</v>
          </cell>
          <cell r="E10627" t="str">
            <v>MAXIMA S/A CTVM</v>
          </cell>
        </row>
        <row r="10628">
          <cell r="B10628">
            <v>905400</v>
          </cell>
          <cell r="C10628" t="str">
            <v>MAXIMA S/A CTVM</v>
          </cell>
          <cell r="D10628" t="str">
            <v>MAXIMA S/A CTVM</v>
          </cell>
          <cell r="E10628" t="str">
            <v>MAXIMA S/A CTVM</v>
          </cell>
        </row>
        <row r="10629">
          <cell r="B10629">
            <v>905500</v>
          </cell>
          <cell r="C10629" t="str">
            <v>MAXIMA S/A CTVM</v>
          </cell>
          <cell r="D10629" t="str">
            <v>MAXIMA S/A CTVM</v>
          </cell>
          <cell r="E10629" t="str">
            <v>MAXIMA S/A CTVM</v>
          </cell>
        </row>
        <row r="10630">
          <cell r="B10630">
            <v>905631</v>
          </cell>
          <cell r="C10630" t="str">
            <v>VOTORANTIM CTVM LTDA</v>
          </cell>
          <cell r="D10630" t="str">
            <v>VOTORANTIM CTVM LTDA</v>
          </cell>
          <cell r="E10630" t="str">
            <v>VOTORANTIM CTVM LTDA</v>
          </cell>
        </row>
        <row r="10631">
          <cell r="B10631">
            <v>905632</v>
          </cell>
          <cell r="C10631" t="str">
            <v>VOTORANTIM CTVM LTDA</v>
          </cell>
          <cell r="D10631" t="str">
            <v>VOTORANTIM CTVM LTDA</v>
          </cell>
          <cell r="E10631" t="str">
            <v>VOTORANTIM CTVM LTDA</v>
          </cell>
        </row>
        <row r="10632">
          <cell r="B10632">
            <v>905650</v>
          </cell>
          <cell r="C10632" t="str">
            <v>VOTORANTIM CTVM LTDA</v>
          </cell>
          <cell r="D10632" t="str">
            <v>VOTORANTIM CTVM LTDA</v>
          </cell>
          <cell r="E10632" t="str">
            <v>VOTORANTIM CTVM LTDA</v>
          </cell>
        </row>
        <row r="10633">
          <cell r="B10633">
            <v>905651</v>
          </cell>
          <cell r="C10633" t="str">
            <v>JBS LOW FIM</v>
          </cell>
          <cell r="D10633" t="str">
            <v>JBS LOW FIM</v>
          </cell>
          <cell r="E10633" t="str">
            <v>JBS LOW FIM</v>
          </cell>
        </row>
        <row r="10634">
          <cell r="B10634">
            <v>905652</v>
          </cell>
          <cell r="C10634" t="str">
            <v>VOTORANTIM CTVM LTDA</v>
          </cell>
          <cell r="D10634" t="str">
            <v>VOTORANTIM CTVM LTDA</v>
          </cell>
          <cell r="E10634" t="str">
            <v>VOTORANTIM CTVM LTDA</v>
          </cell>
        </row>
        <row r="10635">
          <cell r="B10635">
            <v>905653</v>
          </cell>
          <cell r="C10635" t="str">
            <v>JBS QUANTUM FIM</v>
          </cell>
          <cell r="D10635" t="str">
            <v>JBS QUANTUM FIM</v>
          </cell>
          <cell r="E10635" t="str">
            <v>JBS QUANTUM FIM</v>
          </cell>
        </row>
        <row r="10636">
          <cell r="B10636">
            <v>905654</v>
          </cell>
          <cell r="C10636" t="str">
            <v>VOTORANTIM CTVM LTDA</v>
          </cell>
          <cell r="D10636" t="str">
            <v>VOTORANTIM CTVM LTDA</v>
          </cell>
          <cell r="E10636" t="str">
            <v>VOTORANTIM CTVM LTDA</v>
          </cell>
        </row>
        <row r="10637">
          <cell r="B10637">
            <v>905655</v>
          </cell>
          <cell r="C10637" t="str">
            <v>JBS COMMODITIES FIM</v>
          </cell>
          <cell r="D10637" t="str">
            <v>JBS COMMODITIES FIM</v>
          </cell>
          <cell r="E10637" t="str">
            <v>JBS COMMODITIES FIM</v>
          </cell>
        </row>
        <row r="10638">
          <cell r="B10638">
            <v>905656</v>
          </cell>
          <cell r="C10638" t="str">
            <v>JBS CO-STRAT FIM</v>
          </cell>
          <cell r="D10638" t="str">
            <v>JBS CO-STRAT FIM</v>
          </cell>
          <cell r="E10638" t="str">
            <v>JBS CO-STRAT FIM</v>
          </cell>
        </row>
        <row r="10639">
          <cell r="B10639">
            <v>905657</v>
          </cell>
          <cell r="C10639" t="str">
            <v>VOTORANTIM CTVM LTDA</v>
          </cell>
          <cell r="D10639" t="str">
            <v>VOTORANTIM CTVM LTDA</v>
          </cell>
          <cell r="E10639" t="str">
            <v>VOTORANTIM CTVM LTDA</v>
          </cell>
        </row>
        <row r="10640">
          <cell r="B10640">
            <v>905658</v>
          </cell>
          <cell r="C10640" t="str">
            <v>VOTORANTIM CTVM LTDA</v>
          </cell>
          <cell r="D10640" t="str">
            <v>VOTORANTIM CTVM LTDA</v>
          </cell>
          <cell r="E10640" t="str">
            <v>VOTORANTIM CTVM LTDA</v>
          </cell>
        </row>
        <row r="10641">
          <cell r="B10641">
            <v>905660</v>
          </cell>
          <cell r="C10641" t="str">
            <v>VOTORANTIM CTVM LTDA</v>
          </cell>
          <cell r="D10641" t="str">
            <v>VOTORANTIM CTVM LTDA</v>
          </cell>
          <cell r="E10641" t="str">
            <v>VOTORANTIM CTVM LTDA</v>
          </cell>
        </row>
        <row r="10642">
          <cell r="B10642">
            <v>90586</v>
          </cell>
          <cell r="C10642" t="str">
            <v>ITAU CORRETORA DE VALORES S.A.</v>
          </cell>
          <cell r="D10642" t="str">
            <v>ITAU CORRETORA DE VALORES S.A.</v>
          </cell>
          <cell r="E10642" t="str">
            <v>ITAU CV S/A</v>
          </cell>
        </row>
        <row r="10643">
          <cell r="B10643">
            <v>905872</v>
          </cell>
          <cell r="C10643" t="str">
            <v>SANTANDER BRASIL S/A CTVM</v>
          </cell>
          <cell r="D10643" t="str">
            <v>SANTANDER BRASIL S/A CTVM</v>
          </cell>
          <cell r="E10643" t="str">
            <v>SANTANDER BRASIL S/A CTVM</v>
          </cell>
        </row>
        <row r="10644">
          <cell r="B10644">
            <v>90595</v>
          </cell>
          <cell r="C10644" t="str">
            <v>SANTANDER CORRETORA DE CAMBIO E VALORES MOBILIARIOS S/A</v>
          </cell>
          <cell r="D10644" t="str">
            <v>SANTANDER CORRETORA DE CAMBIO E VALORES MOBILIARIOS S/A</v>
          </cell>
          <cell r="E10644" t="str">
            <v>SANTANDER S/A CCT</v>
          </cell>
        </row>
        <row r="10645">
          <cell r="B10645">
            <v>90596</v>
          </cell>
          <cell r="C10645" t="str">
            <v>SANTANDER CORRETORA DE CAMBIO E VALORES MOBILIARIOS S/A</v>
          </cell>
          <cell r="D10645" t="str">
            <v>SANTANDER CORRETORA DE CAMBIO E VALORES MOBILIARIOS S/A</v>
          </cell>
          <cell r="E10645" t="str">
            <v>SANTANDER S/A CCT</v>
          </cell>
        </row>
        <row r="10646">
          <cell r="B10646">
            <v>906243</v>
          </cell>
          <cell r="C10646" t="str">
            <v>ITAU CORRETORA DE VALORES S.A.</v>
          </cell>
          <cell r="D10646" t="str">
            <v>ITAU CORRETORA DE VALORES S.A.</v>
          </cell>
          <cell r="E10646" t="str">
            <v>ITAU CV S/A</v>
          </cell>
        </row>
        <row r="10647">
          <cell r="B10647">
            <v>906255</v>
          </cell>
          <cell r="C10647" t="str">
            <v>ITAU CORRETORA DE VALORES S.A.</v>
          </cell>
          <cell r="D10647" t="str">
            <v>ITAU CORRETORA DE VALORES S.A.</v>
          </cell>
          <cell r="E10647" t="str">
            <v>ITAU CV S/A</v>
          </cell>
        </row>
        <row r="10648">
          <cell r="B10648">
            <v>90650</v>
          </cell>
          <cell r="C10648" t="str">
            <v>BTG PACTUAL CM LTDA</v>
          </cell>
          <cell r="D10648" t="str">
            <v>BTG PACTUAL CM LTDA</v>
          </cell>
          <cell r="E10648" t="str">
            <v>BTG PACTUAL CM LTDA</v>
          </cell>
        </row>
        <row r="10649">
          <cell r="B10649">
            <v>906891</v>
          </cell>
          <cell r="C10649" t="str">
            <v>DISTRIBUIDORA INTERCAP TVM LTDA</v>
          </cell>
          <cell r="D10649" t="str">
            <v>DISTRIBUIDORA INTERCAP TVM LTDA</v>
          </cell>
          <cell r="E10649" t="str">
            <v>DISTRIBUIDORA INTERCAP TVM LTDA</v>
          </cell>
        </row>
        <row r="10650">
          <cell r="B10650">
            <v>906966</v>
          </cell>
          <cell r="C10650" t="str">
            <v>SANTANDER S/A CCT</v>
          </cell>
          <cell r="D10650" t="str">
            <v>SANTANDER S/A CCT</v>
          </cell>
          <cell r="E10650" t="str">
            <v>SANTANDER S/A CCT</v>
          </cell>
        </row>
        <row r="10651">
          <cell r="B10651">
            <v>906968</v>
          </cell>
          <cell r="C10651" t="str">
            <v>SANTANDER S/A CCT</v>
          </cell>
          <cell r="D10651" t="str">
            <v>SANTANDER S/A CCT</v>
          </cell>
          <cell r="E10651" t="str">
            <v>SANTANDER S/A CCT</v>
          </cell>
        </row>
        <row r="10652">
          <cell r="B10652">
            <v>907144</v>
          </cell>
          <cell r="C10652" t="str">
            <v>TERRA FUTUROS CM S/A</v>
          </cell>
          <cell r="D10652" t="str">
            <v>TERRA FUTUROS CM S/A</v>
          </cell>
          <cell r="E10652" t="str">
            <v>TERRA FUTUROS CM S/A</v>
          </cell>
        </row>
        <row r="10653">
          <cell r="B10653">
            <v>90735</v>
          </cell>
          <cell r="C10653" t="str">
            <v>ITAU CORRETORA DE VALORES S.A.</v>
          </cell>
          <cell r="D10653" t="str">
            <v>ITAU CORRETORA DE VALORES S.A.</v>
          </cell>
          <cell r="E10653" t="str">
            <v>ITAU CV S/A</v>
          </cell>
        </row>
        <row r="10654">
          <cell r="B10654">
            <v>907359</v>
          </cell>
          <cell r="C10654" t="str">
            <v>ICAP DO BRASIL CTVM LTDA ( ATUAL TULLET)</v>
          </cell>
          <cell r="D10654" t="str">
            <v>ICAP DO BRASIL CTVM LTDA ( ATUAL TULLET)</v>
          </cell>
          <cell r="E10654" t="str">
            <v>ICAP DO BRASIL CTVM LTDA ( ATUAL TULLET)</v>
          </cell>
        </row>
        <row r="10655">
          <cell r="B10655">
            <v>907567</v>
          </cell>
          <cell r="C10655" t="str">
            <v>BRADESCO S/A CTVM</v>
          </cell>
          <cell r="D10655" t="str">
            <v>BRADESCO S/A CTVM</v>
          </cell>
          <cell r="E10655" t="str">
            <v>BRADESCO SA CORRETORA DE TITULOS E VALORES MOBILIARIOS</v>
          </cell>
        </row>
        <row r="10656">
          <cell r="B10656">
            <v>90761</v>
          </cell>
          <cell r="C10656" t="str">
            <v>BTG PACTUAL CORRETORA DE TITULOS E VALORES MOBILIARIOS S/A</v>
          </cell>
          <cell r="D10656" t="str">
            <v>BTG PACTUAL CORRETORA DE TITULOS E VALORES MOBILIARIOS S/A</v>
          </cell>
          <cell r="E10656" t="str">
            <v>BTG PACTUAL CORRETORA DE TITULOS E VALORES MOBILIARIOS S/A</v>
          </cell>
        </row>
        <row r="10657">
          <cell r="B10657">
            <v>907958</v>
          </cell>
          <cell r="C10657" t="str">
            <v>ICAP DO BRASIL CTVM LTDA ( ATUAL TULLET)</v>
          </cell>
          <cell r="D10657" t="str">
            <v>ICAP DO BRASIL CTVM LTDA ( ATUAL TULLET)</v>
          </cell>
          <cell r="E10657" t="str">
            <v>ICAP DO BRASIL CTVM LTDA ( ATUAL TULLET)</v>
          </cell>
        </row>
        <row r="10658">
          <cell r="B10658">
            <v>907959</v>
          </cell>
          <cell r="C10658" t="str">
            <v>ICAP DO BRASIL CTVM LTDA ( ATUAL TULLET)</v>
          </cell>
          <cell r="D10658" t="str">
            <v>ICAP DO BRASIL CTVM LTDA ( ATUAL TULLET)</v>
          </cell>
          <cell r="E10658" t="str">
            <v>ICAP DO BRASIL CTVM LTDA ( ATUAL TULLET)</v>
          </cell>
        </row>
        <row r="10659">
          <cell r="B10659">
            <v>908014</v>
          </cell>
          <cell r="C10659" t="str">
            <v>ITAU CORRETORA DE VALORES S.A.</v>
          </cell>
          <cell r="D10659" t="str">
            <v>ITAU CORRETORA DE VALORES S.A.</v>
          </cell>
          <cell r="E10659" t="str">
            <v>ITAU CV S/A</v>
          </cell>
        </row>
        <row r="10660">
          <cell r="B10660">
            <v>908017</v>
          </cell>
          <cell r="C10660" t="str">
            <v>VOTORANTIM CTVM LTDA</v>
          </cell>
          <cell r="D10660" t="str">
            <v>VOTORANTIM CTVM LTDA</v>
          </cell>
          <cell r="E10660" t="str">
            <v>VOTORANTIM CTVM LTDA</v>
          </cell>
        </row>
        <row r="10661">
          <cell r="B10661">
            <v>908046</v>
          </cell>
          <cell r="C10661" t="str">
            <v>CGD INVESTIMENTOS CORRETORA DE VALORES E CAMBIO S/A</v>
          </cell>
          <cell r="D10661" t="str">
            <v>CGD INVESTIMENTOS CORRETORA DE VALORES E CAMBIO S/A</v>
          </cell>
        </row>
        <row r="10662">
          <cell r="B10662">
            <v>90850</v>
          </cell>
          <cell r="C10662" t="str">
            <v>PROSPER S/A CVC</v>
          </cell>
          <cell r="D10662" t="str">
            <v>PROSPER S/A CVC</v>
          </cell>
          <cell r="E10662" t="str">
            <v>PROSPER S/A CVC</v>
          </cell>
        </row>
        <row r="10663">
          <cell r="B10663">
            <v>83074</v>
          </cell>
          <cell r="C10663" t="str">
            <v>UBS BRASIL ADMINISTRADORA DE VALORES MOBILIARIOS LTDA</v>
          </cell>
          <cell r="D10663" t="str">
            <v>UBS BRASIL ADMINISTRADORA DE VALORES MOBILIARIOS LTDA</v>
          </cell>
          <cell r="E10663" t="str">
            <v>CREDIT SUISSE HEDGING-GRIFFO WEALTH MANAGEMENT S/A</v>
          </cell>
        </row>
        <row r="10664">
          <cell r="B10664">
            <v>12302</v>
          </cell>
          <cell r="C10664" t="str">
            <v>XP ADVISORY GESTAO DE RECURSOS LTDA</v>
          </cell>
          <cell r="D10664" t="str">
            <v>XP ADVISORY GESTAO DE RECURSOS LTDA</v>
          </cell>
          <cell r="E10664" t="str">
            <v>XP GESTAO DE RECURSOS LTDA</v>
          </cell>
        </row>
        <row r="10665">
          <cell r="B10665">
            <v>909055</v>
          </cell>
          <cell r="C10665" t="str">
            <v>CORRETORA SOUZA BARROS CAMBIO E TITULOS S.A</v>
          </cell>
          <cell r="D10665" t="str">
            <v>CORRETORA SOUZA BARROS CAMBIO E TITULOS S.A</v>
          </cell>
          <cell r="E10665" t="str">
            <v>CORRETORA SOUZA BARROS CAMBIO E TITULOS S.A</v>
          </cell>
        </row>
        <row r="10666">
          <cell r="B10666">
            <v>909090</v>
          </cell>
          <cell r="C10666" t="str">
            <v>MAXIMA S/A CTVM</v>
          </cell>
          <cell r="D10666" t="str">
            <v>MAXIMA S/A CTVM</v>
          </cell>
          <cell r="E10666" t="str">
            <v>MAXIMA S/A CTVM</v>
          </cell>
        </row>
        <row r="10667">
          <cell r="B10667">
            <v>909140</v>
          </cell>
          <cell r="C10667" t="str">
            <v>CGD INVESTIMENTOS CORRETORA DE VALORES E CAMBIO S/A</v>
          </cell>
          <cell r="D10667" t="str">
            <v>CGD INVESTIMENTOS CORRETORA DE VALORES E CAMBIO S/A</v>
          </cell>
        </row>
        <row r="10668">
          <cell r="B10668">
            <v>909167</v>
          </cell>
          <cell r="C10668" t="str">
            <v>BRASCAN S/A CTV</v>
          </cell>
          <cell r="D10668" t="str">
            <v>BRASCAN S/A CTV</v>
          </cell>
          <cell r="E10668" t="str">
            <v>BRASCAN S/A CTV</v>
          </cell>
        </row>
        <row r="10669">
          <cell r="B10669">
            <v>909668</v>
          </cell>
          <cell r="C10669" t="str">
            <v>VOTORANTIM CTVM LTDA</v>
          </cell>
          <cell r="D10669" t="str">
            <v>VOTORANTIM CTVM LTDA</v>
          </cell>
          <cell r="E10669" t="str">
            <v>VOTORANTIM CTVM LTDA</v>
          </cell>
        </row>
        <row r="10670">
          <cell r="B10670">
            <v>83074</v>
          </cell>
          <cell r="C10670" t="str">
            <v>UBS BRASIL ADMINISTRADORA DE VALORES MOBILIARIOS LTDA</v>
          </cell>
          <cell r="D10670" t="str">
            <v>UBS BRASIL ADMINISTRADORA DE VALORES MOBILIARIOS LTDA</v>
          </cell>
          <cell r="E10670" t="str">
            <v>CREDIT SUISSE HEDGING-GRIFFO WEALTH MANAGEMENT S/A</v>
          </cell>
        </row>
        <row r="10671">
          <cell r="B10671">
            <v>79530</v>
          </cell>
          <cell r="C10671" t="str">
            <v>UBS BRASIL CCTVM S/A (ANTIGA LINK S/A CCTVM)</v>
          </cell>
          <cell r="D10671" t="str">
            <v>UBS BRASIL CCTVM S/A (ANTIGA LINK S/A CCTVM)</v>
          </cell>
          <cell r="E10671" t="str">
            <v>UBS AG, LONDON BRANCH NOVO</v>
          </cell>
        </row>
        <row r="10672">
          <cell r="B10672">
            <v>900008</v>
          </cell>
          <cell r="C10672" t="str">
            <v>UBS BRASIL CCTVM S/A (ANTIGA LINK S/A CCTVM)</v>
          </cell>
          <cell r="D10672" t="str">
            <v>UBS BRASIL CCTVM S/A (ANTIGA LINK S/A CCTVM)</v>
          </cell>
          <cell r="E10672" t="str">
            <v>UBS AG, LONDON BRANCH NOVO</v>
          </cell>
        </row>
        <row r="10673">
          <cell r="B10673">
            <v>909897</v>
          </cell>
          <cell r="C10673" t="str">
            <v>ALPES CCTVM LTDA</v>
          </cell>
          <cell r="D10673" t="str">
            <v>ALPES CCTVM LTDA</v>
          </cell>
          <cell r="E10673" t="str">
            <v>ALPES CCTVM LTDA</v>
          </cell>
        </row>
        <row r="10674">
          <cell r="B10674">
            <v>909898</v>
          </cell>
          <cell r="C10674" t="str">
            <v>ALPES CCTVM LTDA</v>
          </cell>
          <cell r="D10674" t="str">
            <v>ALPES CCTVM LTDA</v>
          </cell>
          <cell r="E10674" t="str">
            <v>ALPES CCTVM LTDA</v>
          </cell>
        </row>
        <row r="10675">
          <cell r="B10675">
            <v>909899</v>
          </cell>
          <cell r="C10675" t="str">
            <v>ALPES CCTVM LTDA</v>
          </cell>
          <cell r="D10675" t="str">
            <v>ALPES CCTVM LTDA</v>
          </cell>
          <cell r="E10675" t="str">
            <v>ALPES CCTVM LTDA</v>
          </cell>
        </row>
        <row r="10676">
          <cell r="B10676">
            <v>909941</v>
          </cell>
          <cell r="C10676" t="str">
            <v>HAITONG SECURITIES  DO BRASIL CCVM (BES SECURITIES DO BRASIL</v>
          </cell>
          <cell r="D10676" t="str">
            <v>HAITONG SECURITIES  DO BRASIL CCVM (BES SECURITIES DO BRASIL</v>
          </cell>
          <cell r="E10676" t="str">
            <v>HAITONG BANCO DE INVESTIMENTO DO BRASIL S/A</v>
          </cell>
        </row>
        <row r="10677">
          <cell r="B10677">
            <v>909942</v>
          </cell>
          <cell r="C10677" t="str">
            <v>HAITONG SECURITIES  DO BRASIL CCVM (BES SECURITIES DO BRASIL</v>
          </cell>
          <cell r="D10677" t="str">
            <v>HAITONG SECURITIES  DO BRASIL CCVM (BES SECURITIES DO BRASIL</v>
          </cell>
          <cell r="E10677" t="str">
            <v>HAITONG BANCO DE INVESTIMENTO DO BRASIL S/A</v>
          </cell>
        </row>
        <row r="10678">
          <cell r="B10678">
            <v>909943</v>
          </cell>
          <cell r="C10678" t="str">
            <v>HAITONG SECURITIES  DO BRASIL CCVM (BES SECURITIES DO BRASIL</v>
          </cell>
          <cell r="D10678" t="str">
            <v>HAITONG SECURITIES  DO BRASIL CCVM (BES SECURITIES DO BRASIL</v>
          </cell>
          <cell r="E10678" t="str">
            <v>HAITONG BANCO DE INVESTIMENTO DO BRASIL S/A</v>
          </cell>
        </row>
        <row r="10679">
          <cell r="B10679">
            <v>80767</v>
          </cell>
          <cell r="C10679" t="str">
            <v>BANCO SANTANDER (BRASIL) S/A</v>
          </cell>
          <cell r="D10679" t="str">
            <v>BANCO SANTANDER (BRASIL) S/A</v>
          </cell>
          <cell r="E10679" t="str">
            <v>BANCO SANTANDER (BRASIL) S/A</v>
          </cell>
        </row>
        <row r="10680">
          <cell r="B10680">
            <v>91000</v>
          </cell>
          <cell r="C10680" t="str">
            <v>DB INVEST FUNDO DE INVEST MULTIMERCADO</v>
          </cell>
          <cell r="D10680" t="str">
            <v>DB INVEST FUNDO DE INVEST MULTIMERCADO</v>
          </cell>
          <cell r="E10680" t="str">
            <v>DB INVEST FUNDO DE INVEST MULTIMERCADO</v>
          </cell>
        </row>
        <row r="10681">
          <cell r="B10681">
            <v>91002</v>
          </cell>
          <cell r="C10681" t="str">
            <v>MORGAN STANLEY CTVM S/A</v>
          </cell>
          <cell r="D10681" t="str">
            <v>MORGAN STANLEY CTVM S/A</v>
          </cell>
          <cell r="E10681" t="str">
            <v>MORGAN STANLEY CTVM S/A</v>
          </cell>
        </row>
        <row r="10682">
          <cell r="B10682">
            <v>91005</v>
          </cell>
          <cell r="C10682" t="str">
            <v>MORGAN STANLEY CTVM S/A</v>
          </cell>
          <cell r="D10682" t="str">
            <v>MORGAN STANLEY CTVM S/A</v>
          </cell>
          <cell r="E10682" t="str">
            <v>MORGAN STANLEY CTVM S/A</v>
          </cell>
        </row>
        <row r="10683">
          <cell r="B10683">
            <v>910105</v>
          </cell>
          <cell r="C10683" t="str">
            <v>BRADESCO S/A CTVM</v>
          </cell>
          <cell r="D10683" t="str">
            <v>BRADESCO S/A CTVM</v>
          </cell>
          <cell r="E10683" t="str">
            <v>BRADESCO SA CORRETORA DE TITULOS E VALORES MOBILIARIOS</v>
          </cell>
        </row>
        <row r="10684">
          <cell r="B10684">
            <v>910114</v>
          </cell>
          <cell r="C10684" t="str">
            <v>CM CAPITAL MARKETS CCTVM LTDA</v>
          </cell>
          <cell r="D10684" t="str">
            <v>CM CAPITAL MARKETS CCTVM LTDA</v>
          </cell>
          <cell r="E10684" t="str">
            <v>CM CAPITAL MARKETS CCTVM LTDA</v>
          </cell>
        </row>
        <row r="10685">
          <cell r="B10685">
            <v>910124</v>
          </cell>
          <cell r="C10685" t="str">
            <v>NOVINVEST CVM LTDA</v>
          </cell>
          <cell r="D10685" t="str">
            <v>NOVINVEST CVM LTDA</v>
          </cell>
          <cell r="E10685" t="str">
            <v>NOVINVEST CVM LTDA</v>
          </cell>
        </row>
        <row r="10686">
          <cell r="B10686">
            <v>910144</v>
          </cell>
          <cell r="C10686" t="str">
            <v>SINGULARE CORRETORA DE TIRULOS E VALORES MOBILIARIOS SA</v>
          </cell>
          <cell r="D10686" t="str">
            <v>SINGULARE CORRETORA DE TIRULOS E VALORES MOBILIARIOS SA</v>
          </cell>
          <cell r="E10686" t="str">
            <v>SINGULARE CORRETORA DE TIRULOS E VALORES MOBILIARIOS SA</v>
          </cell>
        </row>
        <row r="10687">
          <cell r="B10687">
            <v>910240</v>
          </cell>
          <cell r="C10687" t="str">
            <v>FATOR S/A CV</v>
          </cell>
          <cell r="D10687" t="str">
            <v>FATOR S/A CV</v>
          </cell>
          <cell r="E10687" t="str">
            <v>FATOR S/A CV</v>
          </cell>
        </row>
        <row r="10688">
          <cell r="B10688">
            <v>9103000</v>
          </cell>
          <cell r="C10688" t="str">
            <v>VOTORANTIM CTVM LTDA</v>
          </cell>
          <cell r="D10688" t="str">
            <v>VOTORANTIM CTVM LTDA</v>
          </cell>
          <cell r="E10688" t="str">
            <v>VOTORANTIM CTVM LTDA</v>
          </cell>
        </row>
        <row r="10689">
          <cell r="B10689">
            <v>910366</v>
          </cell>
          <cell r="C10689" t="str">
            <v>UNIBANCO CVM S/A</v>
          </cell>
          <cell r="D10689" t="str">
            <v>UNIBANCO CVM S/A</v>
          </cell>
          <cell r="E10689" t="str">
            <v>UNIBANCO CVM S/A</v>
          </cell>
        </row>
        <row r="10690">
          <cell r="B10690">
            <v>910400</v>
          </cell>
          <cell r="C10690" t="str">
            <v>LINK CM LTDA</v>
          </cell>
          <cell r="D10690" t="str">
            <v>LINK CM LTDA</v>
          </cell>
        </row>
        <row r="10691">
          <cell r="B10691">
            <v>910410</v>
          </cell>
          <cell r="C10691" t="str">
            <v>ING CCT S/A</v>
          </cell>
          <cell r="D10691" t="str">
            <v>ING CCT S/A</v>
          </cell>
          <cell r="E10691" t="str">
            <v>ING CCT S/A</v>
          </cell>
        </row>
        <row r="10692">
          <cell r="B10692">
            <v>910555</v>
          </cell>
          <cell r="C10692" t="str">
            <v>BRADESCO S/A CTVM</v>
          </cell>
          <cell r="D10692" t="str">
            <v>BRADESCO S/A CTVM</v>
          </cell>
          <cell r="E10692" t="str">
            <v>BRADESCO SA CORRETORA DE TITULOS E VALORES MOBILIARIOS</v>
          </cell>
        </row>
        <row r="10693">
          <cell r="B10693">
            <v>90103</v>
          </cell>
          <cell r="C10693" t="str">
            <v>UBS BRASIL CCTVM S/A (ANTIGA LINK S/A CCTVM)</v>
          </cell>
          <cell r="D10693" t="str">
            <v>UBS BRASIL CCTVM S/A (ANTIGA LINK S/A CCTVM)</v>
          </cell>
          <cell r="E10693" t="str">
            <v>UBS AG, LONDON BRANCH NOVO</v>
          </cell>
        </row>
        <row r="10694">
          <cell r="B10694">
            <v>91077</v>
          </cell>
          <cell r="C10694" t="str">
            <v>JP MORGAN CCVM S/A</v>
          </cell>
          <cell r="D10694" t="str">
            <v>JP MORGAN CCVM S/A</v>
          </cell>
          <cell r="E10694" t="str">
            <v>JP MORGAN ADMINISTRADORA DE CARTEIRAS BRASIL LTDA</v>
          </cell>
        </row>
        <row r="10695">
          <cell r="B10695">
            <v>9108010</v>
          </cell>
          <cell r="C10695" t="str">
            <v>VOTORANTIM CTVM LTDA</v>
          </cell>
          <cell r="D10695" t="str">
            <v>VOTORANTIM CTVM LTDA</v>
          </cell>
          <cell r="E10695" t="str">
            <v>VOTORANTIM CTVM LTDA</v>
          </cell>
        </row>
        <row r="10696">
          <cell r="B10696">
            <v>9108011</v>
          </cell>
          <cell r="C10696" t="str">
            <v>VOTORANTIM CTVM LTDA</v>
          </cell>
          <cell r="D10696" t="str">
            <v>VOTORANTIM CTVM LTDA</v>
          </cell>
          <cell r="E10696" t="str">
            <v>VOTORANTIM CTVM LTDA</v>
          </cell>
        </row>
        <row r="10697">
          <cell r="B10697">
            <v>9108012</v>
          </cell>
          <cell r="C10697" t="str">
            <v>VOTORANTIM CTVM LTDA</v>
          </cell>
          <cell r="D10697" t="str">
            <v>VOTORANTIM CTVM LTDA</v>
          </cell>
          <cell r="E10697" t="str">
            <v>VOTORANTIM CTVM LTDA</v>
          </cell>
        </row>
        <row r="10698">
          <cell r="B10698">
            <v>9108013</v>
          </cell>
          <cell r="C10698" t="str">
            <v>VOTORANTIM CTVM LTDA</v>
          </cell>
          <cell r="D10698" t="str">
            <v>VOTORANTIM CTVM LTDA</v>
          </cell>
          <cell r="E10698" t="str">
            <v>VOTORANTIM CTVM LTDA</v>
          </cell>
        </row>
        <row r="10699">
          <cell r="B10699">
            <v>9108014</v>
          </cell>
          <cell r="C10699" t="str">
            <v>VOTORANTIM CTVM LTDA</v>
          </cell>
          <cell r="D10699" t="str">
            <v>VOTORANTIM CTVM LTDA</v>
          </cell>
          <cell r="E10699" t="str">
            <v>VOTORANTIM CTVM LTDA</v>
          </cell>
        </row>
        <row r="10700">
          <cell r="B10700">
            <v>9108015</v>
          </cell>
          <cell r="C10700" t="str">
            <v>VOTORANTIM CTVM LTDA</v>
          </cell>
          <cell r="D10700" t="str">
            <v>VOTORANTIM CTVM LTDA</v>
          </cell>
          <cell r="E10700" t="str">
            <v>VOTORANTIM CTVM LTDA</v>
          </cell>
        </row>
        <row r="10701">
          <cell r="B10701">
            <v>9108016</v>
          </cell>
          <cell r="C10701" t="str">
            <v>VOTORANTIM CTVM LTDA</v>
          </cell>
          <cell r="D10701" t="str">
            <v>VOTORANTIM CTVM LTDA</v>
          </cell>
          <cell r="E10701" t="str">
            <v>VOTORANTIM CTVM LTDA</v>
          </cell>
        </row>
        <row r="10702">
          <cell r="B10702">
            <v>911011</v>
          </cell>
          <cell r="C10702" t="str">
            <v>ATIVA S/A CTCV</v>
          </cell>
          <cell r="D10702" t="str">
            <v>ATIVA S/A CTCV</v>
          </cell>
          <cell r="E10702" t="str">
            <v>ATIVA S/A CTCV</v>
          </cell>
        </row>
        <row r="10703">
          <cell r="B10703">
            <v>911100</v>
          </cell>
          <cell r="C10703" t="str">
            <v>CONCORDIA S/A CVMCC</v>
          </cell>
          <cell r="D10703" t="str">
            <v>CONCORDIA S/A CVMCC</v>
          </cell>
          <cell r="E10703" t="str">
            <v>CONCORDIA S/A CVMCC</v>
          </cell>
        </row>
        <row r="10704">
          <cell r="B10704">
            <v>911200</v>
          </cell>
          <cell r="C10704" t="str">
            <v>BTG PACTUAL CM LTDA</v>
          </cell>
          <cell r="D10704" t="str">
            <v>BTG PACTUAL CM LTDA</v>
          </cell>
          <cell r="E10704" t="str">
            <v>BTG PACTUAL CM LTDA</v>
          </cell>
        </row>
        <row r="10705">
          <cell r="B10705">
            <v>911201</v>
          </cell>
          <cell r="C10705" t="str">
            <v>BTG PACTUAL CM LTDA</v>
          </cell>
          <cell r="D10705" t="str">
            <v>BTG PACTUAL CM LTDA</v>
          </cell>
          <cell r="E10705" t="str">
            <v>BTG PACTUAL CM LTDA</v>
          </cell>
        </row>
        <row r="10706">
          <cell r="B10706">
            <v>911202</v>
          </cell>
          <cell r="C10706" t="str">
            <v>BTG PACTUAL CM LTDA</v>
          </cell>
          <cell r="D10706" t="str">
            <v>BTG PACTUAL CM LTDA</v>
          </cell>
          <cell r="E10706" t="str">
            <v>BTG PACTUAL CM LTDA</v>
          </cell>
        </row>
        <row r="10707">
          <cell r="B10707">
            <v>911203</v>
          </cell>
          <cell r="C10707" t="str">
            <v>BANCO BTG PACTUAL S/A</v>
          </cell>
          <cell r="D10707" t="str">
            <v>BANCO BTG PACTUAL S/A</v>
          </cell>
          <cell r="E10707" t="str">
            <v>BANCO BTG PACTUAL S/A</v>
          </cell>
        </row>
        <row r="10708">
          <cell r="B10708">
            <v>911204</v>
          </cell>
          <cell r="C10708" t="str">
            <v>BTG PACTUAL CM LTDA</v>
          </cell>
          <cell r="D10708" t="str">
            <v>BTG PACTUAL CM LTDA</v>
          </cell>
          <cell r="E10708" t="str">
            <v>BANCO BTG PACTUAL S/A</v>
          </cell>
        </row>
        <row r="10709">
          <cell r="B10709">
            <v>911205</v>
          </cell>
          <cell r="C10709" t="str">
            <v>BTG PACTUAL CM LTDA</v>
          </cell>
          <cell r="D10709" t="str">
            <v>BTG PACTUAL CM LTDA</v>
          </cell>
          <cell r="E10709" t="str">
            <v>BTG PACTUAL CM LTDA</v>
          </cell>
        </row>
        <row r="10710">
          <cell r="B10710">
            <v>911206</v>
          </cell>
          <cell r="C10710" t="str">
            <v>BTG PACTUAL CM LTDA</v>
          </cell>
          <cell r="D10710" t="str">
            <v>BTG PACTUAL CM LTDA</v>
          </cell>
          <cell r="E10710" t="str">
            <v>BTG PACTUAL CM LTDA</v>
          </cell>
        </row>
        <row r="10711">
          <cell r="B10711">
            <v>911210</v>
          </cell>
          <cell r="C10711" t="str">
            <v>BTG PACTUAL CM LTDA</v>
          </cell>
          <cell r="D10711" t="str">
            <v>BTG PACTUAL CM LTDA</v>
          </cell>
          <cell r="E10711" t="str">
            <v>BTG PACTUAL CM LTDA</v>
          </cell>
        </row>
        <row r="10712">
          <cell r="B10712">
            <v>911211</v>
          </cell>
          <cell r="C10712" t="str">
            <v>BTG PACTUAL CM LTDA</v>
          </cell>
          <cell r="D10712" t="str">
            <v>BTG PACTUAL CM LTDA</v>
          </cell>
          <cell r="E10712" t="str">
            <v>BTG PACTUAL CM LTDA</v>
          </cell>
        </row>
        <row r="10713">
          <cell r="B10713">
            <v>911212</v>
          </cell>
          <cell r="C10713" t="str">
            <v>BTG PACTUAL CM LTDA</v>
          </cell>
          <cell r="D10713" t="str">
            <v>BTG PACTUAL CM LTDA</v>
          </cell>
          <cell r="E10713" t="str">
            <v>BTG PACTUAL CM LTDA</v>
          </cell>
        </row>
        <row r="10714">
          <cell r="B10714">
            <v>911213</v>
          </cell>
          <cell r="C10714" t="str">
            <v>BTG PACTUAL CM LTDA</v>
          </cell>
          <cell r="D10714" t="str">
            <v>BTG PACTUAL CM LTDA</v>
          </cell>
          <cell r="E10714" t="str">
            <v>BTG PACTUAL CM LTDA</v>
          </cell>
        </row>
        <row r="10715">
          <cell r="B10715">
            <v>911214</v>
          </cell>
          <cell r="C10715" t="str">
            <v>BTG PACTUAL CM LTDA</v>
          </cell>
          <cell r="D10715" t="str">
            <v>BTG PACTUAL CM LTDA</v>
          </cell>
          <cell r="E10715" t="str">
            <v>BTG PACTUAL CM LTDA</v>
          </cell>
        </row>
        <row r="10716">
          <cell r="B10716">
            <v>911300</v>
          </cell>
          <cell r="C10716" t="str">
            <v>BRADESCO S/A CTVM</v>
          </cell>
          <cell r="D10716" t="str">
            <v>BRADESCO S/A CTVM</v>
          </cell>
          <cell r="E10716" t="str">
            <v>BRADESCO SA CORRETORA DE TITULOS E VALORES MOBILIARIOS</v>
          </cell>
        </row>
        <row r="10717">
          <cell r="B10717">
            <v>911481</v>
          </cell>
          <cell r="C10717" t="str">
            <v>ITAU CORRETORA DE VALORES S.A.</v>
          </cell>
          <cell r="D10717" t="str">
            <v>ITAU CORRETORA DE VALORES S.A.</v>
          </cell>
          <cell r="E10717" t="str">
            <v>ITAU CV S/A</v>
          </cell>
        </row>
        <row r="10718">
          <cell r="B10718">
            <v>911490</v>
          </cell>
          <cell r="C10718" t="str">
            <v>ICAP DO BRASIL CTVM LTDA ( ATUAL TULLET)</v>
          </cell>
          <cell r="D10718" t="str">
            <v>ICAP DO BRASIL CTVM LTDA ( ATUAL TULLET)</v>
          </cell>
          <cell r="E10718" t="str">
            <v>ICAP DO BRASIL CTVM LTDA ( ATUAL TULLET)</v>
          </cell>
        </row>
        <row r="10719">
          <cell r="B10719">
            <v>911492</v>
          </cell>
          <cell r="C10719" t="str">
            <v>ITAU CORRETORA DE VALORES S.A.</v>
          </cell>
          <cell r="D10719" t="str">
            <v>ITAU CORRETORA DE VALORES S.A.</v>
          </cell>
          <cell r="E10719" t="str">
            <v>ITAU CV S/A</v>
          </cell>
        </row>
        <row r="10720">
          <cell r="B10720">
            <v>9115</v>
          </cell>
          <cell r="C10720" t="str">
            <v>UM INVESTIMENTOS S/A CTVM</v>
          </cell>
          <cell r="D10720" t="str">
            <v>UM INVESTIMENTOS S/A CTVM</v>
          </cell>
          <cell r="E10720" t="str">
            <v>UM INVESTIMENTOS S/A CTVM</v>
          </cell>
        </row>
        <row r="10721">
          <cell r="B10721">
            <v>911528</v>
          </cell>
          <cell r="C10721" t="str">
            <v>ITAU CORRETORA DE VALORES S.A.</v>
          </cell>
          <cell r="D10721" t="str">
            <v>ITAU CORRETORA DE VALORES S.A.</v>
          </cell>
          <cell r="E10721" t="str">
            <v>ITAU CV S/A</v>
          </cell>
        </row>
        <row r="10722">
          <cell r="B10722">
            <v>9116</v>
          </cell>
          <cell r="C10722" t="str">
            <v>ITAU CORRETORA DE VALORES S.A.</v>
          </cell>
          <cell r="D10722" t="str">
            <v>ITAU CORRETORA DE VALORES S.A.</v>
          </cell>
          <cell r="E10722" t="str">
            <v>ITAU CV S/A</v>
          </cell>
        </row>
        <row r="10723">
          <cell r="B10723">
            <v>911704</v>
          </cell>
          <cell r="C10723" t="str">
            <v>HSBC CTVM S/A ATUAL BRADESCO-KIRTON</v>
          </cell>
          <cell r="D10723" t="str">
            <v>HSBC CTVM S/A ATUAL BRADESCO-KIRTON</v>
          </cell>
          <cell r="E10723" t="str">
            <v>HSBC CTVM S/A ATUAL BRADESCO-KIRTON</v>
          </cell>
        </row>
        <row r="10724">
          <cell r="B10724">
            <v>911851</v>
          </cell>
          <cell r="C10724" t="str">
            <v>ITAU CORRETORA DE VALORES S.A.</v>
          </cell>
          <cell r="D10724" t="str">
            <v>ITAU CORRETORA DE VALORES S.A.</v>
          </cell>
          <cell r="E10724" t="str">
            <v>ITAU CV S/A</v>
          </cell>
        </row>
        <row r="10725">
          <cell r="B10725">
            <v>911862</v>
          </cell>
          <cell r="C10725" t="str">
            <v>LINK CM LTDA</v>
          </cell>
          <cell r="D10725" t="str">
            <v>LINK CM LTDA</v>
          </cell>
        </row>
        <row r="10726">
          <cell r="B10726">
            <v>912001</v>
          </cell>
          <cell r="C10726" t="str">
            <v>BRADESCO S/A CTVM</v>
          </cell>
          <cell r="D10726" t="str">
            <v>BRADESCO S/A CTVM</v>
          </cell>
          <cell r="E10726" t="str">
            <v>BRADESCO SA CORRETORA DE TITULOS E VALORES MOBILIARIOS</v>
          </cell>
        </row>
        <row r="10727">
          <cell r="B10727">
            <v>912008</v>
          </cell>
          <cell r="C10727" t="str">
            <v>MAXIMA S/A CTVM</v>
          </cell>
          <cell r="D10727" t="str">
            <v>MAXIMA S/A CTVM</v>
          </cell>
          <cell r="E10727" t="str">
            <v>MAXIMA S/A CTVM</v>
          </cell>
        </row>
        <row r="10728">
          <cell r="B10728">
            <v>912158</v>
          </cell>
          <cell r="C10728" t="str">
            <v>VOTORANTIM CTVM LTDA</v>
          </cell>
          <cell r="D10728" t="str">
            <v>VOTORANTIM CTVM LTDA</v>
          </cell>
          <cell r="E10728" t="str">
            <v>VOTORANTIM CTVM LTDA</v>
          </cell>
        </row>
        <row r="10729">
          <cell r="B10729">
            <v>912212</v>
          </cell>
          <cell r="C10729" t="str">
            <v>LINK CM LTDA</v>
          </cell>
          <cell r="D10729" t="str">
            <v>LINK CM LTDA</v>
          </cell>
        </row>
        <row r="10730">
          <cell r="B10730">
            <v>912244</v>
          </cell>
          <cell r="C10730" t="str">
            <v>ITAU CORRETORA DE VALORES S.A.</v>
          </cell>
          <cell r="D10730" t="str">
            <v>ITAU CORRETORA DE VALORES S.A.</v>
          </cell>
          <cell r="E10730" t="str">
            <v>ITAU CV S/A</v>
          </cell>
        </row>
        <row r="10731">
          <cell r="B10731">
            <v>912245</v>
          </cell>
          <cell r="C10731" t="str">
            <v>ITAU CORRETORA DE VALORES S.A.</v>
          </cell>
          <cell r="D10731" t="str">
            <v>ITAU CORRETORA DE VALORES S.A.</v>
          </cell>
          <cell r="E10731" t="str">
            <v>ITAU CV S/A</v>
          </cell>
        </row>
        <row r="10732">
          <cell r="B10732">
            <v>912246</v>
          </cell>
          <cell r="C10732" t="str">
            <v>ITAU CORRETORA DE VALORES S.A.</v>
          </cell>
          <cell r="D10732" t="str">
            <v>ITAU CORRETORA DE VALORES S.A.</v>
          </cell>
          <cell r="E10732" t="str">
            <v>ITAU CV S/A</v>
          </cell>
        </row>
        <row r="10733">
          <cell r="B10733">
            <v>912275</v>
          </cell>
          <cell r="C10733" t="str">
            <v>CONCORDIA S/A CVMCC</v>
          </cell>
          <cell r="D10733" t="str">
            <v>CONCORDIA S/A CVMCC</v>
          </cell>
          <cell r="E10733" t="str">
            <v>CONCORDIA S/A CVMCC</v>
          </cell>
        </row>
        <row r="10734">
          <cell r="B10734">
            <v>9122977</v>
          </cell>
          <cell r="C10734" t="str">
            <v>BTG PACTUAL CM LTDA</v>
          </cell>
          <cell r="D10734" t="str">
            <v>BTG PACTUAL CM LTDA</v>
          </cell>
          <cell r="E10734" t="str">
            <v>BTG PACTUAL CM LTDA</v>
          </cell>
        </row>
        <row r="10735">
          <cell r="B10735">
            <v>912977</v>
          </cell>
          <cell r="C10735" t="str">
            <v>BTG PACTUAL CM LTDA</v>
          </cell>
          <cell r="D10735" t="str">
            <v>BTG PACTUAL CM LTDA</v>
          </cell>
          <cell r="E10735" t="str">
            <v>BTG PACTUAL CM LTDA</v>
          </cell>
        </row>
        <row r="10736">
          <cell r="B10736">
            <v>913118</v>
          </cell>
          <cell r="C10736" t="str">
            <v>FATOR S/A CV</v>
          </cell>
          <cell r="D10736" t="str">
            <v>FATOR S/A CV</v>
          </cell>
          <cell r="E10736" t="str">
            <v>FATOR S/A CV</v>
          </cell>
        </row>
        <row r="10737">
          <cell r="B10737">
            <v>91312</v>
          </cell>
          <cell r="C10737" t="str">
            <v>ICAP DO BRASIL CTVM LTDA ( ATUAL TULLET)</v>
          </cell>
          <cell r="D10737" t="str">
            <v>ICAP DO BRASIL CTVM LTDA ( ATUAL TULLET)</v>
          </cell>
          <cell r="E10737" t="str">
            <v>ICAP DO BRASIL CTVM LTDA ( ATUAL TULLET)</v>
          </cell>
        </row>
        <row r="10738">
          <cell r="B10738">
            <v>913120</v>
          </cell>
          <cell r="C10738" t="str">
            <v>BGC LIQUIDEZ DTVM LTDA</v>
          </cell>
          <cell r="D10738" t="str">
            <v>BGC LIQUIDEZ DTVM LTDA</v>
          </cell>
          <cell r="E10738" t="str">
            <v>BGC LIQUIDEZ DTVM LTDA</v>
          </cell>
        </row>
        <row r="10739">
          <cell r="B10739">
            <v>913121</v>
          </cell>
          <cell r="C10739" t="str">
            <v>FATOR S/A CV</v>
          </cell>
          <cell r="D10739" t="str">
            <v>FATOR S/A CV</v>
          </cell>
          <cell r="E10739" t="str">
            <v>FATOR S/A CV</v>
          </cell>
        </row>
        <row r="10740">
          <cell r="B10740">
            <v>913129</v>
          </cell>
          <cell r="C10740" t="str">
            <v>FATOR S/A CV</v>
          </cell>
          <cell r="D10740" t="str">
            <v>FATOR S/A CV</v>
          </cell>
          <cell r="E10740" t="str">
            <v>FATOR S/A CV</v>
          </cell>
        </row>
        <row r="10741">
          <cell r="B10741">
            <v>913132</v>
          </cell>
          <cell r="C10741" t="str">
            <v>BGC LIQUIDEZ DTVM LTDA</v>
          </cell>
          <cell r="D10741" t="str">
            <v>BGC LIQUIDEZ DTVM LTDA</v>
          </cell>
          <cell r="E10741" t="str">
            <v>BGC LIQUIDEZ DTVM LTDA</v>
          </cell>
        </row>
        <row r="10742">
          <cell r="B10742">
            <v>913133</v>
          </cell>
          <cell r="C10742" t="str">
            <v>BGC LIQUIDEZ DTVM LTDA</v>
          </cell>
          <cell r="D10742" t="str">
            <v>BGC LIQUIDEZ DTVM LTDA</v>
          </cell>
          <cell r="E10742" t="str">
            <v>BGC LIQUIDEZ DTVM LTDA</v>
          </cell>
        </row>
        <row r="10743">
          <cell r="B10743">
            <v>913213</v>
          </cell>
          <cell r="C10743" t="str">
            <v>ICAP DO BRASIL CTVM LTDA ( ATUAL TULLET)</v>
          </cell>
          <cell r="D10743" t="str">
            <v>ICAP DO BRASIL CTVM LTDA ( ATUAL TULLET)</v>
          </cell>
          <cell r="E10743" t="str">
            <v>ICAP DO BRASIL CTVM LTDA ( ATUAL TULLET)</v>
          </cell>
        </row>
        <row r="10744">
          <cell r="B10744">
            <v>913231</v>
          </cell>
          <cell r="C10744" t="str">
            <v>ICAP DO BRASIL CTVM LTDA ( ATUAL TULLET)</v>
          </cell>
          <cell r="D10744" t="str">
            <v>ICAP DO BRASIL CTVM LTDA ( ATUAL TULLET)</v>
          </cell>
          <cell r="E10744" t="str">
            <v>ICAP DO BRASIL CTVM LTDA ( ATUAL TULLET)</v>
          </cell>
        </row>
        <row r="10745">
          <cell r="B10745">
            <v>913400</v>
          </cell>
          <cell r="C10745" t="str">
            <v>INTERBOLSA DO BRASIL CCTVM LTDA</v>
          </cell>
          <cell r="D10745" t="str">
            <v>INTERBOLSA DO BRASIL CCTVM LTDA</v>
          </cell>
          <cell r="E10745" t="str">
            <v>INTERBOLSA DO BRASIL CCTVM LTDA</v>
          </cell>
        </row>
        <row r="10746">
          <cell r="B10746">
            <v>914000</v>
          </cell>
          <cell r="C10746" t="str">
            <v>LOPEZ LEON DERIVATIVOS CM S/A</v>
          </cell>
          <cell r="D10746" t="str">
            <v>LOPEZ LEON DERIVATIVOS CM S/A</v>
          </cell>
          <cell r="E10746" t="str">
            <v>LOPEZ LEON DERIVATIVOS CM S/A</v>
          </cell>
        </row>
        <row r="10747">
          <cell r="B10747">
            <v>91401</v>
          </cell>
          <cell r="C10747" t="str">
            <v>SLW CVC LTDA</v>
          </cell>
          <cell r="D10747" t="str">
            <v>SLW CVC LTDA</v>
          </cell>
          <cell r="E10747" t="str">
            <v>SLW CVC LTDA</v>
          </cell>
        </row>
        <row r="10748">
          <cell r="B10748">
            <v>914058</v>
          </cell>
          <cell r="C10748" t="str">
            <v>GRADUAL CCTVM S/A</v>
          </cell>
          <cell r="D10748" t="str">
            <v>GRADUAL CCTVM S/A</v>
          </cell>
          <cell r="E10748" t="str">
            <v>GRADUAL CCTVM S/A</v>
          </cell>
        </row>
        <row r="10749">
          <cell r="B10749">
            <v>91412</v>
          </cell>
          <cell r="C10749" t="str">
            <v>BRADESCO S/A CTVM</v>
          </cell>
          <cell r="D10749" t="str">
            <v>BRADESCO S/A CTVM</v>
          </cell>
          <cell r="E10749" t="str">
            <v>BRADESCO SA CORRETORA DE TITULOS E VALORES MOBILIARIOS</v>
          </cell>
        </row>
        <row r="10750">
          <cell r="B10750">
            <v>914213</v>
          </cell>
          <cell r="C10750" t="str">
            <v>ICAP DO BRASIL CTVM LTDA ( ATUAL TULLET)</v>
          </cell>
          <cell r="D10750" t="str">
            <v>ICAP DO BRASIL CTVM LTDA ( ATUAL TULLET)</v>
          </cell>
          <cell r="E10750" t="str">
            <v>ICAP DO BRASIL CTVM LTDA ( ATUAL TULLET)</v>
          </cell>
        </row>
        <row r="10751">
          <cell r="B10751">
            <v>9144001</v>
          </cell>
          <cell r="C10751" t="str">
            <v>HAITONG SECURITIES  DO BRASIL CCVM (BES SECURITIES DO BRASIL</v>
          </cell>
          <cell r="D10751" t="str">
            <v>HAITONG SECURITIES  DO BRASIL CCVM (BES SECURITIES DO BRASIL</v>
          </cell>
          <cell r="E10751" t="str">
            <v>HAITONG BANCO DE INVESTIMENTO DO BRASIL S/A</v>
          </cell>
        </row>
        <row r="10752">
          <cell r="B10752">
            <v>9144002</v>
          </cell>
          <cell r="C10752" t="str">
            <v>HAITONG SECURITIES  DO BRASIL CCVM (BES SECURITIES DO BRASIL</v>
          </cell>
          <cell r="D10752" t="str">
            <v>HAITONG SECURITIES  DO BRASIL CCVM (BES SECURITIES DO BRASIL</v>
          </cell>
          <cell r="E10752" t="str">
            <v>HAITONG BANCO DE INVESTIMENTO DO BRASIL S/A</v>
          </cell>
        </row>
        <row r="10753">
          <cell r="B10753">
            <v>9144003</v>
          </cell>
          <cell r="C10753" t="str">
            <v>HAITONG SECURITIES  DO BRASIL CCVM (BES SECURITIES DO BRASIL</v>
          </cell>
          <cell r="D10753" t="str">
            <v>HAITONG SECURITIES  DO BRASIL CCVM (BES SECURITIES DO BRASIL</v>
          </cell>
          <cell r="E10753" t="str">
            <v>HAITONG BANCO DE INVESTIMENTO DO BRASIL S/A</v>
          </cell>
        </row>
        <row r="10754">
          <cell r="B10754">
            <v>9144105</v>
          </cell>
          <cell r="C10754" t="str">
            <v>HEDGING GRIFFO CV S/A</v>
          </cell>
          <cell r="D10754" t="str">
            <v>HEDGING GRIFFO CV S/A</v>
          </cell>
          <cell r="E10754" t="str">
            <v>HEDGING GRIFFO CV S/A</v>
          </cell>
        </row>
        <row r="10755">
          <cell r="B10755">
            <v>914414</v>
          </cell>
          <cell r="C10755" t="str">
            <v>ATIVA S/A CTCV</v>
          </cell>
          <cell r="D10755" t="str">
            <v>ATIVA S/A CTCV</v>
          </cell>
          <cell r="E10755" t="str">
            <v>ATIVA S/A CTCV</v>
          </cell>
        </row>
        <row r="10756">
          <cell r="B10756">
            <v>9144143</v>
          </cell>
          <cell r="C10756" t="str">
            <v>BTG PACTUAL CORRETORA DE TITULOS E VALORES MOBILIARIOS S/A</v>
          </cell>
          <cell r="D10756" t="str">
            <v>BTG PACTUAL CORRETORA DE TITULOS E VALORES MOBILIARIOS S/A</v>
          </cell>
          <cell r="E10756" t="str">
            <v>BTG PACTUAL CORRETORA DE TITULOS E VALORES MOBILIARIOS S/A</v>
          </cell>
        </row>
        <row r="10757">
          <cell r="B10757">
            <v>914424</v>
          </cell>
          <cell r="C10757" t="str">
            <v>MERRILL LYNCH S/A CTVM</v>
          </cell>
          <cell r="D10757" t="str">
            <v>MERRILL LYNCH S/A CTVM</v>
          </cell>
          <cell r="E10757" t="str">
            <v>MERRILL LYNCH S/A CTVM</v>
          </cell>
        </row>
        <row r="10758">
          <cell r="B10758">
            <v>9144250</v>
          </cell>
          <cell r="C10758" t="str">
            <v>SANTANDER S/A CCT</v>
          </cell>
          <cell r="D10758" t="str">
            <v>SANTANDER S/A CCT</v>
          </cell>
          <cell r="E10758" t="str">
            <v>SANTANDER S/A CCT</v>
          </cell>
        </row>
        <row r="10759">
          <cell r="B10759">
            <v>9144251</v>
          </cell>
          <cell r="C10759" t="str">
            <v>SANTANDER S/A CCT</v>
          </cell>
          <cell r="D10759" t="str">
            <v>SANTANDER S/A CCT</v>
          </cell>
          <cell r="E10759" t="str">
            <v>SANTANDER S/A CCT</v>
          </cell>
        </row>
        <row r="10760">
          <cell r="B10760">
            <v>9144252</v>
          </cell>
          <cell r="C10760" t="str">
            <v>SANTANDER S/A CCT</v>
          </cell>
          <cell r="D10760" t="str">
            <v>SANTANDER S/A CCT</v>
          </cell>
          <cell r="E10760" t="str">
            <v>SANTANDER S/A CCT</v>
          </cell>
        </row>
        <row r="10761">
          <cell r="B10761">
            <v>914441</v>
          </cell>
          <cell r="C10761" t="str">
            <v>SANTANDER BRASIL S/A CTVM</v>
          </cell>
          <cell r="D10761" t="str">
            <v>SANTANDER BRASIL S/A CTVM</v>
          </cell>
          <cell r="E10761" t="str">
            <v>SANTANDER BRASIL S/A CTVM</v>
          </cell>
        </row>
        <row r="10762">
          <cell r="B10762">
            <v>914445</v>
          </cell>
          <cell r="C10762" t="str">
            <v>HEDGING GRIFFO CV S/A</v>
          </cell>
          <cell r="D10762" t="str">
            <v>HEDGING GRIFFO CV S/A</v>
          </cell>
          <cell r="E10762" t="str">
            <v>HEDGING GRIFFO CV S/A</v>
          </cell>
        </row>
        <row r="10763">
          <cell r="B10763">
            <v>914454</v>
          </cell>
          <cell r="C10763" t="str">
            <v>VOTORANTIM CTVM LTDA</v>
          </cell>
          <cell r="D10763" t="str">
            <v>VOTORANTIM CTVM LTDA</v>
          </cell>
          <cell r="E10763" t="str">
            <v>VOTORANTIM CTVM LTDA</v>
          </cell>
        </row>
        <row r="10764">
          <cell r="B10764">
            <v>914455</v>
          </cell>
          <cell r="C10764" t="str">
            <v>BTG PACTUAL CORRETORA DE TITULOS E VALORES MOBILIARIOS S/A</v>
          </cell>
          <cell r="D10764" t="str">
            <v>BTG PACTUAL CORRETORA DE TITULOS E VALORES MOBILIARIOS S/A</v>
          </cell>
          <cell r="E10764" t="str">
            <v>BTG PACTUAL CORRETORA DE TITULOS E VALORES MOBILIARIOS S/A</v>
          </cell>
        </row>
        <row r="10765">
          <cell r="B10765">
            <v>914456</v>
          </cell>
          <cell r="C10765" t="str">
            <v>BTG PACTUAL CM LTDA</v>
          </cell>
          <cell r="D10765" t="str">
            <v>BTG PACTUAL CM LTDA</v>
          </cell>
          <cell r="E10765" t="str">
            <v>BANCO BTG PACTUAL S/A</v>
          </cell>
        </row>
        <row r="10766">
          <cell r="B10766">
            <v>914459</v>
          </cell>
          <cell r="C10766" t="str">
            <v>MERRILL LYNCH S/A CTVM</v>
          </cell>
          <cell r="D10766" t="str">
            <v>MERRILL LYNCH S/A CTVM</v>
          </cell>
          <cell r="E10766" t="str">
            <v>MERRILL LYNCH S/A CTVM</v>
          </cell>
        </row>
        <row r="10767">
          <cell r="B10767">
            <v>914463</v>
          </cell>
          <cell r="C10767" t="str">
            <v>CONCORDIA S/A CVMCC</v>
          </cell>
          <cell r="D10767" t="str">
            <v>CONCORDIA S/A CVMCC</v>
          </cell>
          <cell r="E10767" t="str">
            <v>CONCORDIA S/A CVMCC</v>
          </cell>
        </row>
        <row r="10768">
          <cell r="B10768">
            <v>914464</v>
          </cell>
          <cell r="C10768" t="str">
            <v>CONCORDIA S/A CVMCC</v>
          </cell>
          <cell r="D10768" t="str">
            <v>CONCORDIA S/A CVMCC</v>
          </cell>
          <cell r="E10768" t="str">
            <v>CONCORDIA S/A CVMCC</v>
          </cell>
        </row>
        <row r="10769">
          <cell r="B10769">
            <v>914466</v>
          </cell>
          <cell r="C10769" t="str">
            <v>ITAU CORRETORA DE VALORES S.A.</v>
          </cell>
          <cell r="D10769" t="str">
            <v>ITAU CORRETORA DE VALORES S.A.</v>
          </cell>
          <cell r="E10769" t="str">
            <v>ITAU CV S/A</v>
          </cell>
        </row>
        <row r="10770">
          <cell r="B10770">
            <v>914469</v>
          </cell>
          <cell r="C10770" t="str">
            <v>MERRILL LYNCH S/A CTVM</v>
          </cell>
          <cell r="D10770" t="str">
            <v>MERRILL LYNCH S/A CTVM</v>
          </cell>
          <cell r="E10770" t="str">
            <v>MERRILL LYNCH S/A CTVM</v>
          </cell>
        </row>
        <row r="10771">
          <cell r="B10771">
            <v>914470</v>
          </cell>
          <cell r="C10771" t="str">
            <v>CREDIT SUISSE HEDGING GRIFFO CV S/A</v>
          </cell>
          <cell r="D10771" t="str">
            <v>CREDIT SUISSE HEDGING GRIFFO CV S/A</v>
          </cell>
          <cell r="E10771" t="str">
            <v>CREDIT SUISSE HEDGING-GRIFFO WEALTH MANAGEMENT S/A</v>
          </cell>
        </row>
        <row r="10772">
          <cell r="B10772">
            <v>914505</v>
          </cell>
          <cell r="C10772" t="str">
            <v>SANTANDER S/A CCT</v>
          </cell>
          <cell r="D10772" t="str">
            <v>SANTANDER S/A CCT</v>
          </cell>
          <cell r="E10772" t="str">
            <v>SANTANDER S/A CCT</v>
          </cell>
        </row>
        <row r="10773">
          <cell r="B10773">
            <v>914506</v>
          </cell>
          <cell r="C10773" t="str">
            <v>SANTANDER S/A CCT</v>
          </cell>
          <cell r="D10773" t="str">
            <v>SANTANDER S/A CCT</v>
          </cell>
          <cell r="E10773" t="str">
            <v>SANTANDER S/A CCT</v>
          </cell>
        </row>
        <row r="10774">
          <cell r="B10774">
            <v>914507</v>
          </cell>
          <cell r="C10774" t="str">
            <v>SANTANDER S/A CCT</v>
          </cell>
          <cell r="D10774" t="str">
            <v>SANTANDER S/A CCT</v>
          </cell>
          <cell r="E10774" t="str">
            <v>SANTANDER S/A CCT</v>
          </cell>
        </row>
        <row r="10775">
          <cell r="B10775">
            <v>914569</v>
          </cell>
          <cell r="C10775" t="str">
            <v>MIRA FIM</v>
          </cell>
          <cell r="D10775" t="str">
            <v>MIRA FIM</v>
          </cell>
          <cell r="E10775" t="str">
            <v>MIRA FIM</v>
          </cell>
        </row>
        <row r="10776">
          <cell r="B10776">
            <v>914732</v>
          </cell>
          <cell r="C10776" t="str">
            <v>BRADESCO S/A CTVM</v>
          </cell>
          <cell r="D10776" t="str">
            <v>BRADESCO S/A CTVM</v>
          </cell>
          <cell r="E10776" t="str">
            <v>BRADESCO SA CORRETORA DE TITULOS E VALORES MOBILIARIOS</v>
          </cell>
        </row>
        <row r="10777">
          <cell r="B10777">
            <v>914766</v>
          </cell>
          <cell r="C10777" t="str">
            <v>ITAU CORRETORA DE VALORES S.A.</v>
          </cell>
          <cell r="D10777" t="str">
            <v>ITAU CORRETORA DE VALORES S.A.</v>
          </cell>
          <cell r="E10777" t="str">
            <v>ITAU CV S/A</v>
          </cell>
        </row>
        <row r="10778">
          <cell r="B10778">
            <v>915000</v>
          </cell>
          <cell r="C10778" t="str">
            <v>SAFRA ASSET CORRETORA DE TITULOS E VALORES MOBILIARIOS S.A.</v>
          </cell>
          <cell r="D10778" t="str">
            <v>SAFRA ASSET CORRETORA DE TITULOS E VALORES MOBILIARIOS S.A.</v>
          </cell>
          <cell r="E10778" t="str">
            <v>SAFRA ASSET MANAGEMENT LTDA</v>
          </cell>
        </row>
        <row r="10779">
          <cell r="B10779">
            <v>91502</v>
          </cell>
          <cell r="C10779" t="str">
            <v>ICAP DO BRASIL CTVM LTDA ( ATUAL TULLET)</v>
          </cell>
          <cell r="D10779" t="str">
            <v>ICAP DO BRASIL CTVM LTDA ( ATUAL TULLET)</v>
          </cell>
          <cell r="E10779" t="str">
            <v>ICAP DO BRASIL CTVM LTDA ( ATUAL TULLET)</v>
          </cell>
        </row>
        <row r="10780">
          <cell r="B10780">
            <v>91519</v>
          </cell>
          <cell r="C10780" t="str">
            <v>AGORA CTVM S/A</v>
          </cell>
          <cell r="D10780" t="str">
            <v>AGORA CTVM S/A</v>
          </cell>
          <cell r="E10780" t="str">
            <v>AGORA GESTAO DE RECURSOS LTDA</v>
          </cell>
        </row>
        <row r="10781">
          <cell r="B10781">
            <v>915360</v>
          </cell>
          <cell r="C10781" t="str">
            <v>MAXIMA S/A CTVM</v>
          </cell>
          <cell r="D10781" t="str">
            <v>MAXIMA S/A CTVM</v>
          </cell>
          <cell r="E10781" t="str">
            <v>MAXIMA S/A CTVM</v>
          </cell>
        </row>
        <row r="10782">
          <cell r="B10782">
            <v>915503</v>
          </cell>
          <cell r="C10782" t="str">
            <v>BANCO BTG PACTUAL S/A</v>
          </cell>
          <cell r="D10782" t="str">
            <v>BANCO BTG PACTUAL S/A</v>
          </cell>
          <cell r="E10782" t="str">
            <v>BANCO BTG PACTUAL S/A</v>
          </cell>
        </row>
        <row r="10783">
          <cell r="B10783">
            <v>915572</v>
          </cell>
          <cell r="C10783" t="str">
            <v>BRADESCO S/A CTVM</v>
          </cell>
          <cell r="D10783" t="str">
            <v>BRADESCO S/A CTVM</v>
          </cell>
          <cell r="E10783" t="str">
            <v>BRADESCO SA CORRETORA DE TITULOS E VALORES MOBILIARIOS</v>
          </cell>
        </row>
        <row r="10784">
          <cell r="B10784">
            <v>915651</v>
          </cell>
          <cell r="C10784" t="str">
            <v>VOTORANTIM CTVM LTDA</v>
          </cell>
          <cell r="D10784" t="str">
            <v>VOTORANTIM CTVM LTDA</v>
          </cell>
          <cell r="E10784" t="str">
            <v>VOTORANTIM CTVM LTDA</v>
          </cell>
        </row>
        <row r="10785">
          <cell r="B10785">
            <v>915654</v>
          </cell>
          <cell r="C10785" t="str">
            <v>VOTORANTIM CTVM LTDA</v>
          </cell>
          <cell r="D10785" t="str">
            <v>VOTORANTIM CTVM LTDA</v>
          </cell>
          <cell r="E10785" t="str">
            <v>VOTORANTIM CTVM LTDA</v>
          </cell>
        </row>
        <row r="10786">
          <cell r="B10786">
            <v>915708</v>
          </cell>
          <cell r="C10786" t="str">
            <v>VOTORANTIM CTVM LTDA</v>
          </cell>
          <cell r="D10786" t="str">
            <v>VOTORANTIM CTVM LTDA</v>
          </cell>
          <cell r="E10786" t="str">
            <v>VOTORANTIM CTVM LTDA</v>
          </cell>
        </row>
        <row r="10787">
          <cell r="B10787">
            <v>144496</v>
          </cell>
          <cell r="C10787" t="str">
            <v>XP ADVISORY GESTAO DE RECURSOS LTDA</v>
          </cell>
          <cell r="D10787" t="str">
            <v>XP ADVISORY GESTAO DE RECURSOS LTDA</v>
          </cell>
          <cell r="E10787" t="str">
            <v>XP GESTAO DE RECURSOS LTDA</v>
          </cell>
        </row>
        <row r="10788">
          <cell r="B10788">
            <v>917122</v>
          </cell>
          <cell r="C10788" t="str">
            <v>JP MORGAN CCVM S/A</v>
          </cell>
          <cell r="D10788" t="str">
            <v>JP MORGAN CCVM S/A</v>
          </cell>
          <cell r="E10788" t="str">
            <v>JP MORGAN ADMINISTRADORA DE CARTEIRAS BRASIL LTDA</v>
          </cell>
        </row>
        <row r="10789">
          <cell r="B10789">
            <v>918236</v>
          </cell>
          <cell r="C10789" t="str">
            <v>ITAU CORRETORA DE VALORES S.A.</v>
          </cell>
          <cell r="D10789" t="str">
            <v>ITAU CORRETORA DE VALORES S.A.</v>
          </cell>
          <cell r="E10789" t="str">
            <v>ITAU CV S/A</v>
          </cell>
        </row>
        <row r="10790">
          <cell r="B10790">
            <v>918600</v>
          </cell>
          <cell r="C10790" t="str">
            <v>BRASCAN S/A CTV</v>
          </cell>
          <cell r="D10790" t="str">
            <v>BRASCAN S/A CTV</v>
          </cell>
          <cell r="E10790" t="str">
            <v>BRASCAN S/A CTV</v>
          </cell>
        </row>
        <row r="10791">
          <cell r="B10791">
            <v>90104</v>
          </cell>
          <cell r="C10791" t="str">
            <v>UBS BRASIL CCTVM S/A (ANTIGA LINK S/A CCTVM)</v>
          </cell>
          <cell r="D10791" t="str">
            <v>UBS BRASIL CCTVM S/A (ANTIGA LINK S/A CCTVM)</v>
          </cell>
          <cell r="E10791" t="str">
            <v>UBS AG, LONDON BRANCH NOVO</v>
          </cell>
        </row>
        <row r="10792">
          <cell r="B10792">
            <v>9188111</v>
          </cell>
          <cell r="C10792" t="str">
            <v>LINK CM LTDA</v>
          </cell>
          <cell r="D10792" t="str">
            <v>LINK CM LTDA</v>
          </cell>
          <cell r="E10792" t="str">
            <v>LINK CM LTDA</v>
          </cell>
        </row>
        <row r="10793">
          <cell r="B10793">
            <v>90123</v>
          </cell>
          <cell r="C10793" t="str">
            <v>UBS BRASIL CCTVM S/A (ANTIGA LINK S/A CCTVM)</v>
          </cell>
          <cell r="D10793" t="str">
            <v>UBS BRASIL CCTVM S/A (ANTIGA LINK S/A CCTVM)</v>
          </cell>
          <cell r="E10793" t="str">
            <v>UBS AG, LONDON BRANCH NOVO</v>
          </cell>
        </row>
        <row r="10794">
          <cell r="B10794">
            <v>919077</v>
          </cell>
          <cell r="C10794" t="str">
            <v>LINK CM LTDA</v>
          </cell>
          <cell r="D10794" t="str">
            <v>LINK CM LTDA</v>
          </cell>
        </row>
        <row r="10795">
          <cell r="B10795">
            <v>919199</v>
          </cell>
          <cell r="C10795" t="str">
            <v>NOVINVEST CVM LTDA</v>
          </cell>
          <cell r="D10795" t="str">
            <v>NOVINVEST CVM LTDA</v>
          </cell>
          <cell r="E10795" t="str">
            <v>NOVINVEST CVM LTDA</v>
          </cell>
        </row>
        <row r="10796">
          <cell r="B10796">
            <v>919631</v>
          </cell>
          <cell r="C10796" t="str">
            <v>DISTRIBUIDORA INTERCAP TVM LTDA</v>
          </cell>
          <cell r="D10796" t="str">
            <v>DISTRIBUIDORA INTERCAP TVM LTDA</v>
          </cell>
          <cell r="E10796" t="str">
            <v>DISTRIBUIDORA INTERCAP TVM LTDA</v>
          </cell>
        </row>
        <row r="10797">
          <cell r="B10797">
            <v>80999</v>
          </cell>
          <cell r="C10797" t="str">
            <v>BANCO SANTANDER (BRASIL) S/A</v>
          </cell>
          <cell r="D10797" t="str">
            <v>BANCO SANTANDER (BRASIL) S/A</v>
          </cell>
          <cell r="E10797" t="str">
            <v>BANCO SANTANDER (BRASIL) S/A</v>
          </cell>
        </row>
        <row r="10798">
          <cell r="B10798">
            <v>920000</v>
          </cell>
          <cell r="C10798" t="str">
            <v>ITAU CORRETORA DE VALORES S.A.</v>
          </cell>
          <cell r="D10798" t="str">
            <v>ITAU CORRETORA DE VALORES S.A.</v>
          </cell>
          <cell r="E10798" t="str">
            <v>ITAU CV S/A</v>
          </cell>
        </row>
        <row r="10799">
          <cell r="B10799">
            <v>92001</v>
          </cell>
          <cell r="C10799" t="str">
            <v>BB GESTAO DE RECURSOS DTVM LTDA</v>
          </cell>
          <cell r="D10799" t="str">
            <v>BB GESTAO DE RECURSOS DTVM LTDA</v>
          </cell>
          <cell r="E10799" t="str">
            <v>BB BANCO DE INVESTIMENTO S/A</v>
          </cell>
        </row>
        <row r="10800">
          <cell r="B10800">
            <v>920010</v>
          </cell>
          <cell r="C10800" t="str">
            <v>INTERBOLSA DO BRASIL CCTVM LTDA</v>
          </cell>
          <cell r="D10800" t="str">
            <v>INTERBOLSA DO BRASIL CCTVM LTDA</v>
          </cell>
          <cell r="E10800" t="str">
            <v>INTERBOLSA DO BRASIL CCTVM LTDA</v>
          </cell>
        </row>
        <row r="10801">
          <cell r="B10801">
            <v>9200144</v>
          </cell>
          <cell r="C10801" t="str">
            <v>ITAU CORRETORA DE VALORES S.A.</v>
          </cell>
          <cell r="D10801" t="str">
            <v>ITAU CORRETORA DE VALORES S.A.</v>
          </cell>
          <cell r="E10801" t="str">
            <v>ITAU CV S/A</v>
          </cell>
        </row>
        <row r="10802">
          <cell r="B10802">
            <v>92003</v>
          </cell>
          <cell r="C10802" t="str">
            <v>BB GESTAO DE RECURSOS DTVM LTDA</v>
          </cell>
          <cell r="D10802" t="str">
            <v>BB GESTAO DE RECURSOS DTVM LTDA</v>
          </cell>
          <cell r="E10802" t="str">
            <v>BB BANCO DE INVESTIMENTO S/A</v>
          </cell>
        </row>
        <row r="10803">
          <cell r="B10803">
            <v>92008</v>
          </cell>
          <cell r="C10803" t="str">
            <v>BB GESTAO DE RECURSOS DTVM LTDA</v>
          </cell>
          <cell r="D10803" t="str">
            <v>BB GESTAO DE RECURSOS DTVM LTDA</v>
          </cell>
          <cell r="E10803" t="str">
            <v>BB BANCO DE INVESTIMENTO S/A</v>
          </cell>
        </row>
        <row r="10804">
          <cell r="B10804">
            <v>92009</v>
          </cell>
          <cell r="C10804" t="str">
            <v>BB GESTAO DE RECURSOS DTVM LTDA</v>
          </cell>
          <cell r="D10804" t="str">
            <v>BB GESTAO DE RECURSOS DTVM LTDA</v>
          </cell>
          <cell r="E10804" t="str">
            <v>BB BANCO DE INVESTIMENTO S/A</v>
          </cell>
        </row>
        <row r="10805">
          <cell r="B10805">
            <v>920202</v>
          </cell>
          <cell r="C10805" t="str">
            <v>BTG PACTUAL CM LTDA</v>
          </cell>
          <cell r="D10805" t="str">
            <v>BTG PACTUAL CM LTDA</v>
          </cell>
          <cell r="E10805" t="str">
            <v>BANCO BTG PACTUAL S/A</v>
          </cell>
        </row>
        <row r="10806">
          <cell r="B10806">
            <v>81071</v>
          </cell>
          <cell r="C10806" t="str">
            <v>BANCO SANTANDER (BRASIL) S/A</v>
          </cell>
          <cell r="D10806" t="str">
            <v>BANCO SANTANDER (BRASIL) S/A</v>
          </cell>
          <cell r="E10806" t="str">
            <v>BANCO SANTANDER (BRASIL) S/A</v>
          </cell>
        </row>
        <row r="10807">
          <cell r="B10807">
            <v>92022</v>
          </cell>
          <cell r="C10807" t="str">
            <v>CREDIT SUISSE HEDGING GRIFFO CV S/A</v>
          </cell>
          <cell r="D10807" t="str">
            <v>CREDIT SUISSE HEDGING GRIFFO CV S/A</v>
          </cell>
          <cell r="E10807" t="str">
            <v>CREDIT SUISSE HEDGING-GRIFFO WEALTH MANAGEMENT S/A</v>
          </cell>
        </row>
        <row r="10808">
          <cell r="B10808">
            <v>9202333</v>
          </cell>
          <cell r="C10808" t="str">
            <v>FLOW CM LTDA</v>
          </cell>
          <cell r="D10808" t="str">
            <v>FLOW CM LTDA</v>
          </cell>
          <cell r="E10808" t="str">
            <v>FLOW CM LTDA</v>
          </cell>
        </row>
        <row r="10809">
          <cell r="B10809">
            <v>920444</v>
          </cell>
          <cell r="C10809" t="str">
            <v>ITAU CORRETORA DE VALORES S.A.</v>
          </cell>
          <cell r="D10809" t="str">
            <v>ITAU CORRETORA DE VALORES S.A.</v>
          </cell>
          <cell r="E10809" t="str">
            <v>ITAU CV S/A</v>
          </cell>
        </row>
        <row r="10810">
          <cell r="B10810">
            <v>920962</v>
          </cell>
          <cell r="C10810" t="str">
            <v>BRADESCO S/A CTVM</v>
          </cell>
          <cell r="D10810" t="str">
            <v>BRADESCO S/A CTVM</v>
          </cell>
          <cell r="E10810" t="str">
            <v>BRADESCO SA CORRETORA DE TITULOS E VALORES MOBILIARIOS</v>
          </cell>
        </row>
        <row r="10811">
          <cell r="B10811">
            <v>92105</v>
          </cell>
          <cell r="C10811" t="str">
            <v>BRADESCO S/A CTVM</v>
          </cell>
          <cell r="D10811" t="str">
            <v>BRADESCO S/A CTVM</v>
          </cell>
          <cell r="E10811" t="str">
            <v>BRADESCO SA CORRETORA DE TITULOS E VALORES MOBILIARIOS</v>
          </cell>
        </row>
        <row r="10812">
          <cell r="B10812">
            <v>921640</v>
          </cell>
          <cell r="C10812" t="str">
            <v>BRADESCO S/A CTVM</v>
          </cell>
          <cell r="D10812" t="str">
            <v>BRADESCO S/A CTVM</v>
          </cell>
          <cell r="E10812" t="str">
            <v>BRADESCO SA CORRETORA DE TITULOS E VALORES MOBILIARIOS</v>
          </cell>
        </row>
        <row r="10813">
          <cell r="B10813">
            <v>921642</v>
          </cell>
          <cell r="C10813" t="str">
            <v>BRADESCO S/A CTVM</v>
          </cell>
          <cell r="D10813" t="str">
            <v>BRADESCO S/A CTVM</v>
          </cell>
          <cell r="E10813" t="str">
            <v>BRADESCO SA CORRETORA DE TITULOS E VALORES MOBILIARIOS</v>
          </cell>
        </row>
        <row r="10814">
          <cell r="B10814">
            <v>79284</v>
          </cell>
          <cell r="C10814" t="str">
            <v>OCCAM LONG &amp; SHORT PLUS FIF MULTIMERCADO RESP LTDA</v>
          </cell>
          <cell r="D10814" t="str">
            <v>OCCAM LONG &amp; SHORT PLUS FIF MULTIMERCADO RESP LTDA</v>
          </cell>
          <cell r="E10814" t="str">
            <v>PLURAL GESTÃO DE RECURSOS LTDA</v>
          </cell>
        </row>
        <row r="10815">
          <cell r="B10815">
            <v>922227</v>
          </cell>
          <cell r="C10815" t="str">
            <v>GRADUAL CCTVM S/A</v>
          </cell>
          <cell r="D10815" t="str">
            <v>GRADUAL CCTVM S/A</v>
          </cell>
          <cell r="E10815" t="str">
            <v>GRADUAL CCTVM S/A</v>
          </cell>
        </row>
        <row r="10816">
          <cell r="B10816">
            <v>922733</v>
          </cell>
          <cell r="C10816" t="str">
            <v>GRADUAL CCTVM S/A</v>
          </cell>
          <cell r="D10816" t="str">
            <v>GRADUAL CCTVM S/A</v>
          </cell>
          <cell r="E10816" t="str">
            <v>GRADUAL CCTVM S/A</v>
          </cell>
        </row>
        <row r="10817">
          <cell r="B10817">
            <v>923104</v>
          </cell>
          <cell r="C10817" t="str">
            <v>CONCORDIA S/A CVMCC</v>
          </cell>
          <cell r="D10817" t="str">
            <v>CONCORDIA S/A CVMCC</v>
          </cell>
          <cell r="E10817" t="str">
            <v>CONCORDIA S/A CVMCC</v>
          </cell>
        </row>
        <row r="10818">
          <cell r="B10818">
            <v>923111</v>
          </cell>
          <cell r="C10818" t="str">
            <v>CONCORDIA S/A CVMCC</v>
          </cell>
          <cell r="D10818" t="str">
            <v>CONCORDIA S/A CVMCC</v>
          </cell>
          <cell r="E10818" t="str">
            <v>CONCORDIA S/A CVMCC</v>
          </cell>
        </row>
        <row r="10819">
          <cell r="B10819">
            <v>923163</v>
          </cell>
          <cell r="C10819" t="str">
            <v>CONCORDIA S/A CVMCC</v>
          </cell>
          <cell r="D10819" t="str">
            <v>CONCORDIA S/A CVMCC</v>
          </cell>
          <cell r="E10819" t="str">
            <v>CONCORDIA S/A CVMCC</v>
          </cell>
        </row>
        <row r="10820">
          <cell r="B10820">
            <v>923202</v>
          </cell>
          <cell r="C10820" t="str">
            <v>CONCORDIA S/A CVMCC</v>
          </cell>
          <cell r="D10820" t="str">
            <v>CONCORDIA S/A CVMCC</v>
          </cell>
          <cell r="E10820" t="str">
            <v>CONCORDIA S/A CVMCC</v>
          </cell>
        </row>
        <row r="10821">
          <cell r="B10821">
            <v>923850</v>
          </cell>
          <cell r="C10821" t="str">
            <v>CONCORDIA S/A CVMCC</v>
          </cell>
          <cell r="D10821" t="str">
            <v>CONCORDIA S/A CVMCC</v>
          </cell>
          <cell r="E10821" t="str">
            <v>CONCORDIA S/A CVMCC</v>
          </cell>
        </row>
        <row r="10822">
          <cell r="B10822">
            <v>923851</v>
          </cell>
          <cell r="C10822" t="str">
            <v>CONCORDIA S/A CVMCC</v>
          </cell>
          <cell r="D10822" t="str">
            <v>CONCORDIA S/A CVMCC</v>
          </cell>
          <cell r="E10822" t="str">
            <v>CONCORDIA S/A CVMCC</v>
          </cell>
        </row>
        <row r="10823">
          <cell r="B10823">
            <v>923852</v>
          </cell>
          <cell r="C10823" t="str">
            <v>CONCORDIA S/A CVMCC</v>
          </cell>
          <cell r="D10823" t="str">
            <v>CONCORDIA S/A CVMCC</v>
          </cell>
          <cell r="E10823" t="str">
            <v>CONCORDIA S/A CVMCC</v>
          </cell>
        </row>
        <row r="10824">
          <cell r="B10824">
            <v>923881</v>
          </cell>
          <cell r="C10824" t="str">
            <v>CONCORDIA S/A CVMCC</v>
          </cell>
          <cell r="D10824" t="str">
            <v>CONCORDIA S/A CVMCC</v>
          </cell>
          <cell r="E10824" t="str">
            <v>CONCORDIA S/A CVMCC</v>
          </cell>
        </row>
        <row r="10825">
          <cell r="B10825">
            <v>925153</v>
          </cell>
          <cell r="C10825" t="str">
            <v>VOTORANTIM CTVM LTDA</v>
          </cell>
          <cell r="D10825" t="str">
            <v>VOTORANTIM CTVM LTDA</v>
          </cell>
          <cell r="E10825" t="str">
            <v>VOTORANTIM CTVM LTDA</v>
          </cell>
        </row>
        <row r="10826">
          <cell r="B10826">
            <v>90126</v>
          </cell>
          <cell r="C10826" t="str">
            <v>UBS BRASIL CCTVM S/A (ANTIGA LINK S/A CCTVM)</v>
          </cell>
          <cell r="D10826" t="str">
            <v>UBS BRASIL CCTVM S/A (ANTIGA LINK S/A CCTVM)</v>
          </cell>
          <cell r="E10826" t="str">
            <v>UBS AG, LONDON BRANCH NOVO</v>
          </cell>
        </row>
        <row r="10827">
          <cell r="B10827">
            <v>901510</v>
          </cell>
          <cell r="C10827" t="str">
            <v>UBS BRASIL CCTVM S/A (ANTIGA LINK S/A CCTVM)</v>
          </cell>
          <cell r="D10827" t="str">
            <v>UBS BRASIL CCTVM S/A (ANTIGA LINK S/A CCTVM)</v>
          </cell>
          <cell r="E10827" t="str">
            <v>UBS AG, LONDON BRANCH NOVO</v>
          </cell>
        </row>
        <row r="10828">
          <cell r="B10828">
            <v>9254178</v>
          </cell>
          <cell r="C10828" t="str">
            <v>BTG PACTUAL CM LTDA</v>
          </cell>
          <cell r="D10828" t="str">
            <v>BTG PACTUAL CM LTDA</v>
          </cell>
          <cell r="E10828" t="str">
            <v>BTG PACTUAL CM LTDA</v>
          </cell>
        </row>
        <row r="10829">
          <cell r="B10829">
            <v>9254182</v>
          </cell>
          <cell r="C10829" t="str">
            <v>BTG PACTUAL CM LTDA</v>
          </cell>
          <cell r="D10829" t="str">
            <v>BTG PACTUAL CM LTDA</v>
          </cell>
          <cell r="E10829" t="str">
            <v>BTG PACTUAL CM LTDA</v>
          </cell>
        </row>
        <row r="10830">
          <cell r="B10830">
            <v>9254300</v>
          </cell>
          <cell r="C10830" t="str">
            <v>BTG PACTUAL CM LTDA</v>
          </cell>
          <cell r="D10830" t="str">
            <v>BTG PACTUAL CM LTDA</v>
          </cell>
          <cell r="E10830" t="str">
            <v>BTG PACTUAL CM LTDA</v>
          </cell>
        </row>
        <row r="10831">
          <cell r="B10831">
            <v>9254500</v>
          </cell>
          <cell r="C10831" t="str">
            <v>BANCO BTG PACTUAL S/A</v>
          </cell>
          <cell r="D10831" t="str">
            <v>BANCO BTG PACTUAL S/A</v>
          </cell>
          <cell r="E10831" t="str">
            <v>BANCO BTG PACTUAL S/A</v>
          </cell>
        </row>
        <row r="10832">
          <cell r="B10832">
            <v>92551</v>
          </cell>
          <cell r="C10832" t="str">
            <v>BTG PACTUAL CORRETORA DE TITULOS E VALORES MOBILIARIOS S/A</v>
          </cell>
          <cell r="D10832" t="str">
            <v>BTG PACTUAL CORRETORA DE TITULOS E VALORES MOBILIARIOS S/A</v>
          </cell>
          <cell r="E10832" t="str">
            <v>BTG PACTUAL CORRETORA DE TITULOS E VALORES MOBILIARIOS S/A</v>
          </cell>
        </row>
        <row r="10833">
          <cell r="B10833">
            <v>92558</v>
          </cell>
          <cell r="C10833" t="str">
            <v>BTG PACTUAL CM LTDA</v>
          </cell>
          <cell r="D10833" t="str">
            <v>BTG PACTUAL CM LTDA</v>
          </cell>
          <cell r="E10833" t="str">
            <v>BTG PACTUAL CM LTDA</v>
          </cell>
        </row>
        <row r="10834">
          <cell r="B10834">
            <v>92559</v>
          </cell>
          <cell r="C10834" t="str">
            <v>BTG PACTUAL CORRETORA DE TITULOS E VALORES MOBILIARIOS S/A</v>
          </cell>
          <cell r="D10834" t="str">
            <v>BTG PACTUAL CORRETORA DE TITULOS E VALORES MOBILIARIOS S/A</v>
          </cell>
          <cell r="E10834" t="str">
            <v>BTG PACTUAL CORRETORA DE TITULOS E VALORES MOBILIARIOS S/A</v>
          </cell>
        </row>
        <row r="10835">
          <cell r="B10835">
            <v>92560</v>
          </cell>
          <cell r="C10835" t="str">
            <v>BTG PACTUAL CM LTDA</v>
          </cell>
          <cell r="D10835" t="str">
            <v>BTG PACTUAL CM LTDA</v>
          </cell>
          <cell r="E10835" t="str">
            <v>BTG PACTUAL CM LTDA</v>
          </cell>
        </row>
        <row r="10836">
          <cell r="B10836">
            <v>92561</v>
          </cell>
          <cell r="C10836" t="str">
            <v>BTG PACTUAL CM LTDA</v>
          </cell>
          <cell r="D10836" t="str">
            <v>BTG PACTUAL CM LTDA</v>
          </cell>
          <cell r="E10836" t="str">
            <v>BTG PACTUAL CM LTDA</v>
          </cell>
        </row>
        <row r="10837">
          <cell r="B10837">
            <v>92562</v>
          </cell>
          <cell r="C10837" t="str">
            <v>BTG PACTUAL CORRETORA DE TITULOS E VALORES MOBILIARIOS S/A</v>
          </cell>
          <cell r="D10837" t="str">
            <v>BTG PACTUAL CORRETORA DE TITULOS E VALORES MOBILIARIOS S/A</v>
          </cell>
          <cell r="E10837" t="str">
            <v>BTG PACTUAL CORRETORA DE TITULOS E VALORES MOBILIARIOS S/A</v>
          </cell>
        </row>
        <row r="10838">
          <cell r="B10838">
            <v>92563</v>
          </cell>
          <cell r="C10838" t="str">
            <v>BTG PACTUAL CORRETORA DE TITULOS E VALORES MOBILIARIOS S/A</v>
          </cell>
          <cell r="D10838" t="str">
            <v>BTG PACTUAL CORRETORA DE TITULOS E VALORES MOBILIARIOS S/A</v>
          </cell>
          <cell r="E10838" t="str">
            <v>BTG PACTUAL CORRETORA DE TITULOS E VALORES MOBILIARIOS S/A</v>
          </cell>
        </row>
        <row r="10839">
          <cell r="B10839">
            <v>92564</v>
          </cell>
          <cell r="C10839" t="str">
            <v>BTG PACTUAL CM LTDA</v>
          </cell>
          <cell r="D10839" t="str">
            <v>BTG PACTUAL CM LTDA</v>
          </cell>
          <cell r="E10839" t="str">
            <v>BTG PACTUAL CM LTDA</v>
          </cell>
        </row>
        <row r="10840">
          <cell r="B10840">
            <v>92565</v>
          </cell>
          <cell r="C10840" t="str">
            <v>BTG PACTUAL CM LTDA</v>
          </cell>
          <cell r="D10840" t="str">
            <v>BTG PACTUAL CM LTDA</v>
          </cell>
          <cell r="E10840" t="str">
            <v>BTG PACTUAL CM LTDA</v>
          </cell>
        </row>
        <row r="10841">
          <cell r="B10841">
            <v>92566</v>
          </cell>
          <cell r="C10841" t="str">
            <v>BTG PACTUAL CORRETORA DE TITULOS E VALORES MOBILIARIOS S/A</v>
          </cell>
          <cell r="D10841" t="str">
            <v>BTG PACTUAL CORRETORA DE TITULOS E VALORES MOBILIARIOS S/A</v>
          </cell>
          <cell r="E10841" t="str">
            <v>BTG PACTUAL CORRETORA DE TITULOS E VALORES MOBILIARIOS S/A</v>
          </cell>
        </row>
        <row r="10842">
          <cell r="B10842">
            <v>92567</v>
          </cell>
          <cell r="C10842" t="str">
            <v>BTG PACTUAL CORRETORA DE TITULOS E VALORES MOBILIARIOS S/A</v>
          </cell>
          <cell r="D10842" t="str">
            <v>BTG PACTUAL CORRETORA DE TITULOS E VALORES MOBILIARIOS S/A</v>
          </cell>
          <cell r="E10842" t="str">
            <v>BTG PACTUAL CORRETORA DE TITULOS E VALORES MOBILIARIOS S/A</v>
          </cell>
        </row>
        <row r="10843">
          <cell r="B10843">
            <v>925890</v>
          </cell>
          <cell r="C10843" t="str">
            <v>ITAU CORRETORA DE VALORES S.A.</v>
          </cell>
          <cell r="D10843" t="str">
            <v>ITAU CORRETORA DE VALORES S.A.</v>
          </cell>
          <cell r="E10843" t="str">
            <v>ITAU CV S/A</v>
          </cell>
        </row>
        <row r="10844">
          <cell r="B10844">
            <v>925891</v>
          </cell>
          <cell r="C10844" t="str">
            <v>ITAU CORRETORA DE VALORES S.A.</v>
          </cell>
          <cell r="D10844" t="str">
            <v>ITAU CORRETORA DE VALORES S.A.</v>
          </cell>
          <cell r="E10844" t="str">
            <v>ITAU CV S/A</v>
          </cell>
        </row>
        <row r="10845">
          <cell r="B10845">
            <v>92709</v>
          </cell>
          <cell r="C10845" t="str">
            <v>ITAU CORRETORA DE VALORES S.A.</v>
          </cell>
          <cell r="D10845" t="str">
            <v>ITAU CORRETORA DE VALORES S.A.</v>
          </cell>
          <cell r="E10845" t="str">
            <v>ITAU CV S/A</v>
          </cell>
        </row>
        <row r="10846">
          <cell r="B10846">
            <v>927122</v>
          </cell>
          <cell r="C10846" t="str">
            <v>GRADUAL CCTVM S/A</v>
          </cell>
          <cell r="D10846" t="str">
            <v>GRADUAL CCTVM S/A</v>
          </cell>
          <cell r="E10846" t="str">
            <v>GRADUAL CCTVM S/A</v>
          </cell>
        </row>
        <row r="10847">
          <cell r="B10847">
            <v>927147</v>
          </cell>
          <cell r="C10847" t="str">
            <v>SANTANDER CORRETORA DE CAMBIO E VALORES MOBILIARIOS S/A</v>
          </cell>
          <cell r="D10847" t="str">
            <v>SANTANDER CORRETORA DE CAMBIO E VALORES MOBILIARIOS S/A</v>
          </cell>
          <cell r="E10847" t="str">
            <v>SANTANDER S/A CCT</v>
          </cell>
        </row>
        <row r="10848">
          <cell r="B10848">
            <v>927148</v>
          </cell>
          <cell r="C10848" t="str">
            <v>SANTANDER S/A CCT</v>
          </cell>
          <cell r="D10848" t="str">
            <v>SANTANDER S/A CCT</v>
          </cell>
          <cell r="E10848" t="str">
            <v>SANTANDER S/A CCT</v>
          </cell>
        </row>
        <row r="10849">
          <cell r="B10849">
            <v>927149</v>
          </cell>
          <cell r="C10849" t="str">
            <v>SANTANDER S/A CCT</v>
          </cell>
          <cell r="D10849" t="str">
            <v>SANTANDER S/A CCT</v>
          </cell>
          <cell r="E10849" t="str">
            <v>SANTANDER S/A CCT</v>
          </cell>
        </row>
        <row r="10850">
          <cell r="B10850">
            <v>92780</v>
          </cell>
          <cell r="C10850" t="str">
            <v>BRADESCO S/A CTVM</v>
          </cell>
          <cell r="D10850" t="str">
            <v>BRADESCO S/A CTVM</v>
          </cell>
          <cell r="E10850" t="str">
            <v>BRADESCO SA CORRETORA DE TITULOS E VALORES MOBILIARIOS</v>
          </cell>
        </row>
        <row r="10851">
          <cell r="B10851">
            <v>928755</v>
          </cell>
          <cell r="C10851" t="str">
            <v>BTG PACTUAL CORRETORA DE TITULOS E VALORES MOBILIARIOS S/A</v>
          </cell>
          <cell r="D10851" t="str">
            <v>BTG PACTUAL CORRETORA DE TITULOS E VALORES MOBILIARIOS S/A</v>
          </cell>
          <cell r="E10851" t="str">
            <v>BTG PACTUAL CORRETORA DE TITULOS E VALORES MOBILIARIOS S/A</v>
          </cell>
        </row>
        <row r="10852">
          <cell r="B10852">
            <v>928756</v>
          </cell>
          <cell r="C10852" t="str">
            <v>BTG PACTUAL CORRETORA DE TITULOS E VALORES MOBILIARIOS S/A</v>
          </cell>
          <cell r="D10852" t="str">
            <v>BTG PACTUAL CORRETORA DE TITULOS E VALORES MOBILIARIOS S/A</v>
          </cell>
          <cell r="E10852" t="str">
            <v>BTG PACTUAL CORRETORA DE TITULOS E VALORES MOBILIARIOS S/A</v>
          </cell>
        </row>
        <row r="10853">
          <cell r="B10853">
            <v>929213</v>
          </cell>
          <cell r="C10853" t="str">
            <v>ICAP DO BRASIL CTVM LTDA ( ATUAL TULLET)</v>
          </cell>
          <cell r="D10853" t="str">
            <v>ICAP DO BRASIL CTVM LTDA ( ATUAL TULLET)</v>
          </cell>
          <cell r="E10853" t="str">
            <v>ICAP DO BRASIL CTVM LTDA ( ATUAL TULLET)</v>
          </cell>
        </row>
        <row r="10854">
          <cell r="B10854">
            <v>929214</v>
          </cell>
          <cell r="C10854" t="str">
            <v>ICAP DO BRASIL CTVM LTDA ( ATUAL TULLET)</v>
          </cell>
          <cell r="D10854" t="str">
            <v>ICAP DO BRASIL CTVM LTDA ( ATUAL TULLET)</v>
          </cell>
          <cell r="E10854" t="str">
            <v>ICAP DO BRASIL CTVM LTDA ( ATUAL TULLET)</v>
          </cell>
        </row>
        <row r="10855">
          <cell r="B10855">
            <v>929216</v>
          </cell>
          <cell r="C10855" t="str">
            <v>ICAP DO BRASIL CTVM LTDA ( ATUAL TULLET)</v>
          </cell>
          <cell r="D10855" t="str">
            <v>ICAP DO BRASIL CTVM LTDA ( ATUAL TULLET)</v>
          </cell>
          <cell r="E10855" t="str">
            <v>ICAP DO BRASIL CTVM LTDA ( ATUAL TULLET)</v>
          </cell>
        </row>
        <row r="10856">
          <cell r="B10856">
            <v>929217</v>
          </cell>
          <cell r="C10856" t="str">
            <v>ICAP DO BRASIL CTVM LTDA ( ATUAL TULLET)</v>
          </cell>
          <cell r="D10856" t="str">
            <v>ICAP DO BRASIL CTVM LTDA ( ATUAL TULLET)</v>
          </cell>
          <cell r="E10856" t="str">
            <v>ICAP DO BRASIL CTVM LTDA ( ATUAL TULLET)</v>
          </cell>
        </row>
        <row r="10857">
          <cell r="B10857">
            <v>929218</v>
          </cell>
          <cell r="C10857" t="str">
            <v>ICAP DO BRASIL CTVM LTDA ( ATUAL TULLET)</v>
          </cell>
          <cell r="D10857" t="str">
            <v>ICAP DO BRASIL CTVM LTDA ( ATUAL TULLET)</v>
          </cell>
          <cell r="E10857" t="str">
            <v>ICAP DO BRASIL CTVM LTDA ( ATUAL TULLET)</v>
          </cell>
        </row>
        <row r="10858">
          <cell r="B10858">
            <v>929219</v>
          </cell>
          <cell r="C10858" t="str">
            <v>ICAP DO BRASIL CTVM LTDA ( ATUAL TULLET)</v>
          </cell>
          <cell r="D10858" t="str">
            <v>ICAP DO BRASIL CTVM LTDA ( ATUAL TULLET)</v>
          </cell>
          <cell r="E10858" t="str">
            <v>ICAP DO BRASIL CTVM LTDA ( ATUAL TULLET)</v>
          </cell>
        </row>
        <row r="10859">
          <cell r="B10859">
            <v>929220</v>
          </cell>
          <cell r="C10859" t="str">
            <v>ICAP DO BRASIL CTVM LTDA ( ATUAL TULLET)</v>
          </cell>
          <cell r="D10859" t="str">
            <v>ICAP DO BRASIL CTVM LTDA ( ATUAL TULLET)</v>
          </cell>
          <cell r="E10859" t="str">
            <v>ICAP DO BRASIL CTVM LTDA ( ATUAL TULLET)</v>
          </cell>
        </row>
        <row r="10860">
          <cell r="B10860">
            <v>929221</v>
          </cell>
          <cell r="C10860" t="str">
            <v>ICAP DO BRASIL CTVM LTDA ( ATUAL TULLET)</v>
          </cell>
          <cell r="D10860" t="str">
            <v>ICAP DO BRASIL CTVM LTDA ( ATUAL TULLET)</v>
          </cell>
          <cell r="E10860" t="str">
            <v>ICAP DO BRASIL CTVM LTDA ( ATUAL TULLET)</v>
          </cell>
        </row>
        <row r="10861">
          <cell r="B10861">
            <v>80195</v>
          </cell>
          <cell r="C10861" t="str">
            <v>BANCO SANTANDER S.A (HISPANO)</v>
          </cell>
          <cell r="D10861">
            <v>124</v>
          </cell>
          <cell r="E10861" t="str">
            <v>BANCO SANTANDER S/A (HISPANO)</v>
          </cell>
        </row>
        <row r="10862">
          <cell r="B10862">
            <v>930000</v>
          </cell>
          <cell r="C10862" t="str">
            <v>SANTANDER S/A CCT</v>
          </cell>
          <cell r="D10862" t="str">
            <v>SANTANDER S/A CCT</v>
          </cell>
          <cell r="E10862" t="str">
            <v>SANTANDER S/A CCT</v>
          </cell>
        </row>
        <row r="10863">
          <cell r="B10863">
            <v>930018</v>
          </cell>
          <cell r="C10863" t="str">
            <v>AGORA CTVM S/A</v>
          </cell>
          <cell r="D10863" t="str">
            <v>AGORA CTVM S/A</v>
          </cell>
          <cell r="E10863" t="str">
            <v>AGORA GESTAO DE RECURSOS LTDA</v>
          </cell>
        </row>
        <row r="10864">
          <cell r="B10864">
            <v>930019</v>
          </cell>
          <cell r="C10864" t="str">
            <v>AGORA CTVM S/A</v>
          </cell>
          <cell r="D10864" t="str">
            <v>AGORA CTVM S/A</v>
          </cell>
          <cell r="E10864" t="str">
            <v>AGORA GESTAO DE RECURSOS LTDA</v>
          </cell>
        </row>
        <row r="10865">
          <cell r="B10865">
            <v>90190</v>
          </cell>
          <cell r="C10865" t="str">
            <v>UBS BRASIL CCTVM S/A (ANTIGA LINK S/A CCTVM)</v>
          </cell>
          <cell r="D10865" t="str">
            <v>UBS BRASIL CCTVM S/A (ANTIGA LINK S/A CCTVM)</v>
          </cell>
          <cell r="E10865" t="str">
            <v>UBS AG, LONDON BRANCH NOVO</v>
          </cell>
        </row>
        <row r="10866">
          <cell r="B10866">
            <v>93031</v>
          </cell>
          <cell r="C10866" t="str">
            <v>MORGAN STANLEY CTVM S/A</v>
          </cell>
          <cell r="D10866" t="str">
            <v>MORGAN STANLEY CTVM S/A</v>
          </cell>
          <cell r="E10866" t="str">
            <v>MORGAN STANLEY CTVM S/A</v>
          </cell>
        </row>
        <row r="10867">
          <cell r="B10867">
            <v>930317</v>
          </cell>
          <cell r="C10867" t="str">
            <v>BTG PACTUAL CM LTDA</v>
          </cell>
          <cell r="D10867" t="str">
            <v>BTG PACTUAL CM LTDA</v>
          </cell>
          <cell r="E10867" t="str">
            <v>BTG PACTUAL CM LTDA</v>
          </cell>
        </row>
        <row r="10868">
          <cell r="B10868">
            <v>930318</v>
          </cell>
          <cell r="C10868" t="str">
            <v>BANCO BTG PACTUAL S/A</v>
          </cell>
          <cell r="D10868" t="str">
            <v>BANCO BTG PACTUAL S/A</v>
          </cell>
          <cell r="E10868" t="str">
            <v>BANCO BTG PACTUAL S/A</v>
          </cell>
        </row>
        <row r="10869">
          <cell r="B10869">
            <v>930319</v>
          </cell>
          <cell r="C10869" t="str">
            <v>BANCO BTG PACTUAL S/A</v>
          </cell>
          <cell r="D10869" t="str">
            <v>BANCO BTG PACTUAL S/A</v>
          </cell>
          <cell r="E10869" t="str">
            <v>BANCO BTG PACTUAL S/A</v>
          </cell>
        </row>
        <row r="10870">
          <cell r="B10870">
            <v>93032</v>
          </cell>
          <cell r="C10870" t="str">
            <v>MORGAN STANLEY CTVM S/A</v>
          </cell>
          <cell r="D10870" t="str">
            <v>MORGAN STANLEY CTVM S/A</v>
          </cell>
          <cell r="E10870" t="str">
            <v>MORGAN STANLEY CTVM S/A</v>
          </cell>
        </row>
        <row r="10871">
          <cell r="B10871">
            <v>93090</v>
          </cell>
          <cell r="C10871" t="str">
            <v>FIBRA CAMBIAL FUNDO DE INVEST. FINANCEIRO.</v>
          </cell>
          <cell r="D10871" t="str">
            <v>FIBRA CAMBIAL FUNDO DE INVEST. FINANCEIRO.</v>
          </cell>
          <cell r="E10871" t="str">
            <v>FIBRA CAMBIAL FUNDO DE INVEST. FINANCEIRO.</v>
          </cell>
        </row>
        <row r="10872">
          <cell r="B10872">
            <v>902523</v>
          </cell>
          <cell r="C10872" t="str">
            <v>UBS BRASIL CCTVM S/A (ANTIGA LINK S/A CCTVM)</v>
          </cell>
          <cell r="D10872" t="str">
            <v>UBS BRASIL CCTVM S/A (ANTIGA LINK S/A CCTVM)</v>
          </cell>
          <cell r="E10872" t="str">
            <v>UBS AG, LONDON BRANCH NOVO</v>
          </cell>
        </row>
        <row r="10873">
          <cell r="B10873">
            <v>931800</v>
          </cell>
          <cell r="C10873" t="str">
            <v>HEDGING GRIFFO CV S/A</v>
          </cell>
          <cell r="D10873" t="str">
            <v>HEDGING GRIFFO CV S/A</v>
          </cell>
          <cell r="E10873" t="str">
            <v>HEDGING GRIFFO CV S/A</v>
          </cell>
        </row>
        <row r="10874">
          <cell r="B10874">
            <v>908812</v>
          </cell>
          <cell r="C10874" t="str">
            <v>UBS BRASIL CCTVM S/A (ANTIGA LINK S/A CCTVM)</v>
          </cell>
          <cell r="D10874" t="str">
            <v>UBS BRASIL CCTVM S/A (ANTIGA LINK S/A CCTVM)</v>
          </cell>
          <cell r="E10874" t="str">
            <v>UBS AG, LONDON BRANCH NOVO</v>
          </cell>
        </row>
        <row r="10875">
          <cell r="B10875">
            <v>90980</v>
          </cell>
          <cell r="C10875" t="str">
            <v>UBS BRASIL CCTVM S/A (ANTIGA LINK S/A CCTVM)</v>
          </cell>
          <cell r="D10875" t="str">
            <v>UBS BRASIL CCTVM S/A (ANTIGA LINK S/A CCTVM)</v>
          </cell>
          <cell r="E10875" t="str">
            <v>UBS AG, LONDON BRANCH NOVO</v>
          </cell>
        </row>
        <row r="10876">
          <cell r="B10876">
            <v>933252</v>
          </cell>
          <cell r="C10876" t="str">
            <v>SANTANDER S/A CCT</v>
          </cell>
          <cell r="D10876" t="str">
            <v>SANTANDER S/A CCT</v>
          </cell>
          <cell r="E10876" t="str">
            <v>SANTANDER S/A CCT</v>
          </cell>
        </row>
        <row r="10877">
          <cell r="B10877">
            <v>933254</v>
          </cell>
          <cell r="C10877" t="str">
            <v>BTG PACTUAL CM LTDA</v>
          </cell>
          <cell r="D10877" t="str">
            <v>BTG PACTUAL CM LTDA</v>
          </cell>
          <cell r="E10877" t="str">
            <v>BTG PACTUAL CM LTDA</v>
          </cell>
        </row>
        <row r="10878">
          <cell r="B10878">
            <v>935148</v>
          </cell>
          <cell r="C10878" t="str">
            <v>LOPEZ LEON DERIVATIVOS CM S/A</v>
          </cell>
          <cell r="D10878" t="str">
            <v>LOPEZ LEON DERIVATIVOS CM S/A</v>
          </cell>
          <cell r="E10878" t="str">
            <v>LOPEZ LEON DERIVATIVOS CM S/A</v>
          </cell>
        </row>
        <row r="10879">
          <cell r="B10879">
            <v>935149</v>
          </cell>
          <cell r="C10879" t="str">
            <v>ATIVA S/A CTCV</v>
          </cell>
          <cell r="D10879" t="str">
            <v>ATIVA S/A CTCV</v>
          </cell>
          <cell r="E10879" t="str">
            <v>ATIVA S/A CTCV</v>
          </cell>
        </row>
        <row r="10880">
          <cell r="B10880">
            <v>90981</v>
          </cell>
          <cell r="C10880" t="str">
            <v>UBS BRASIL CCTVM S/A (ANTIGA LINK S/A CCTVM)</v>
          </cell>
          <cell r="D10880" t="str">
            <v>UBS BRASIL CCTVM S/A (ANTIGA LINK S/A CCTVM)</v>
          </cell>
          <cell r="E10880" t="str">
            <v>UBS AG, LONDON BRANCH NOVO</v>
          </cell>
        </row>
        <row r="10881">
          <cell r="B10881">
            <v>935400</v>
          </cell>
          <cell r="C10881" t="str">
            <v>VOTORANTIM CTVM LTDA</v>
          </cell>
          <cell r="D10881" t="str">
            <v>VOTORANTIM CTVM LTDA</v>
          </cell>
          <cell r="E10881" t="str">
            <v>VOTORANTIM CTVM LTDA</v>
          </cell>
        </row>
        <row r="10882">
          <cell r="B10882">
            <v>935500</v>
          </cell>
          <cell r="C10882" t="str">
            <v>VOTORANTIM CTVM LTDA</v>
          </cell>
          <cell r="D10882" t="str">
            <v>VOTORANTIM CTVM LTDA</v>
          </cell>
          <cell r="E10882" t="str">
            <v>VOTORANTIM CTVM LTDA</v>
          </cell>
        </row>
        <row r="10883">
          <cell r="B10883">
            <v>935550</v>
          </cell>
          <cell r="C10883" t="str">
            <v>VOTORANTIM CTVM LTDA</v>
          </cell>
          <cell r="D10883" t="str">
            <v>VOTORANTIM CTVM LTDA</v>
          </cell>
          <cell r="E10883" t="str">
            <v>VOTORANTIM CTVM LTDA</v>
          </cell>
        </row>
        <row r="10884">
          <cell r="B10884">
            <v>90982</v>
          </cell>
          <cell r="C10884" t="str">
            <v>UBS BRASIL CCTVM S/A (ANTIGA LINK S/A CCTVM)</v>
          </cell>
          <cell r="D10884" t="str">
            <v>UBS BRASIL CCTVM S/A (ANTIGA LINK S/A CCTVM)</v>
          </cell>
          <cell r="E10884" t="str">
            <v>UBS AG, LONDON BRANCH NOVO</v>
          </cell>
        </row>
        <row r="10885">
          <cell r="B10885">
            <v>910630</v>
          </cell>
          <cell r="C10885" t="str">
            <v>UBS BRASIL CCTVM S/A (ANTIGA LINK S/A CCTVM)</v>
          </cell>
          <cell r="D10885" t="str">
            <v>UBS BRASIL CCTVM S/A (ANTIGA LINK S/A CCTVM)</v>
          </cell>
          <cell r="E10885" t="str">
            <v>UBS AG, LONDON BRANCH NOVO</v>
          </cell>
        </row>
        <row r="10886">
          <cell r="B10886">
            <v>918810</v>
          </cell>
          <cell r="C10886" t="str">
            <v>UBS BRASIL CCTVM S/A (ANTIGA LINK S/A CCTVM)</v>
          </cell>
          <cell r="D10886" t="str">
            <v>UBS BRASIL CCTVM S/A (ANTIGA LINK S/A CCTVM)</v>
          </cell>
          <cell r="E10886" t="str">
            <v>UBS AG, LONDON BRANCH NOVO</v>
          </cell>
        </row>
        <row r="10887">
          <cell r="B10887">
            <v>918854</v>
          </cell>
          <cell r="C10887" t="str">
            <v>UBS BRASIL CCTVM S/A (ANTIGA LINK S/A CCTVM)</v>
          </cell>
          <cell r="D10887" t="str">
            <v>UBS BRASIL CCTVM S/A (ANTIGA LINK S/A CCTVM)</v>
          </cell>
          <cell r="E10887" t="str">
            <v>UBS AG, LONDON BRANCH NOVO</v>
          </cell>
        </row>
        <row r="10888">
          <cell r="B10888">
            <v>938254</v>
          </cell>
          <cell r="C10888" t="str">
            <v>BTG PACTUAL CM LTDA</v>
          </cell>
          <cell r="D10888" t="str">
            <v>BTG PACTUAL CM LTDA</v>
          </cell>
          <cell r="E10888" t="str">
            <v>BANCO BTG PACTUAL S/A</v>
          </cell>
        </row>
        <row r="10889">
          <cell r="B10889">
            <v>9391515</v>
          </cell>
          <cell r="C10889" t="str">
            <v>AGORA CTVM S/A</v>
          </cell>
          <cell r="D10889" t="str">
            <v>AGORA CTVM S/A</v>
          </cell>
          <cell r="E10889" t="str">
            <v>AGORA GESTAO DE RECURSOS LTDA</v>
          </cell>
        </row>
        <row r="10890">
          <cell r="B10890">
            <v>9391516</v>
          </cell>
          <cell r="C10890" t="str">
            <v>AGORA CTVM S/A</v>
          </cell>
          <cell r="D10890" t="str">
            <v>AGORA CTVM S/A</v>
          </cell>
          <cell r="E10890" t="str">
            <v>AGORA GESTAO DE RECURSOS LTDA</v>
          </cell>
        </row>
        <row r="10891">
          <cell r="B10891">
            <v>9391517</v>
          </cell>
          <cell r="C10891" t="str">
            <v>AGORA CTVM S/A</v>
          </cell>
          <cell r="D10891" t="str">
            <v>AGORA CTVM S/A</v>
          </cell>
          <cell r="E10891" t="str">
            <v>AGORA GESTAO DE RECURSOS LTDA</v>
          </cell>
        </row>
        <row r="10892">
          <cell r="B10892">
            <v>939883</v>
          </cell>
          <cell r="C10892" t="str">
            <v>AGORA CTVM S/A</v>
          </cell>
          <cell r="D10892" t="str">
            <v>AGORA CTVM S/A</v>
          </cell>
          <cell r="E10892" t="str">
            <v>AGORA GESTAO DE RECURSOS LTDA</v>
          </cell>
        </row>
        <row r="10893">
          <cell r="B10893">
            <v>939885</v>
          </cell>
          <cell r="C10893" t="str">
            <v>AGORA CTVM S/A</v>
          </cell>
          <cell r="D10893" t="str">
            <v>AGORA CTVM S/A</v>
          </cell>
          <cell r="E10893" t="str">
            <v>AGORA GESTAO DE RECURSOS LTDA</v>
          </cell>
        </row>
        <row r="10894">
          <cell r="B10894">
            <v>939900</v>
          </cell>
          <cell r="C10894" t="str">
            <v>AGORA CTVM S/A</v>
          </cell>
          <cell r="D10894" t="str">
            <v>AGORA CTVM S/A</v>
          </cell>
          <cell r="E10894" t="str">
            <v>AGORA GESTAO DE RECURSOS LTDA</v>
          </cell>
        </row>
        <row r="10895">
          <cell r="B10895">
            <v>80196</v>
          </cell>
          <cell r="C10895" t="str">
            <v>BANCO SANTANDER S.A (HISPANO)</v>
          </cell>
          <cell r="D10895" t="str">
            <v>BANCO SANTANDER S.A (HISPANO)</v>
          </cell>
          <cell r="E10895" t="str">
            <v>BANCO SANTANDER S/A (HISPANO)</v>
          </cell>
        </row>
        <row r="10896">
          <cell r="B10896">
            <v>940149</v>
          </cell>
          <cell r="C10896" t="str">
            <v>ITAU CORRETORA DE VALORES S.A.</v>
          </cell>
          <cell r="D10896" t="str">
            <v>ITAU CORRETORA DE VALORES S.A.</v>
          </cell>
          <cell r="E10896" t="str">
            <v>ITAU CV S/A</v>
          </cell>
        </row>
        <row r="10897">
          <cell r="B10897">
            <v>94031</v>
          </cell>
          <cell r="C10897" t="str">
            <v>BB GESTAO DE RECURSOS DTVM LTDA</v>
          </cell>
          <cell r="D10897" t="str">
            <v>BB GESTAO DE RECURSOS DTVM LTDA</v>
          </cell>
          <cell r="E10897" t="str">
            <v>BANCO DO BRASIL S/A</v>
          </cell>
        </row>
        <row r="10898">
          <cell r="B10898">
            <v>940416</v>
          </cell>
          <cell r="C10898" t="str">
            <v>BTG PACTUAL CM LTDA</v>
          </cell>
          <cell r="D10898" t="str">
            <v>BTG PACTUAL CM LTDA</v>
          </cell>
          <cell r="E10898" t="str">
            <v>BTG PACTUAL CM LTDA</v>
          </cell>
        </row>
        <row r="10899">
          <cell r="B10899">
            <v>940610</v>
          </cell>
          <cell r="C10899" t="str">
            <v>GRADUAL CCTVM S/A</v>
          </cell>
          <cell r="D10899" t="str">
            <v>GRADUAL CCTVM S/A</v>
          </cell>
          <cell r="E10899" t="str">
            <v>GRADUAL CCTVM S/A</v>
          </cell>
        </row>
        <row r="10900">
          <cell r="B10900">
            <v>94065</v>
          </cell>
          <cell r="C10900" t="str">
            <v>DIFERENCIAL CTVM S/A P/C 1-1</v>
          </cell>
          <cell r="D10900" t="str">
            <v>DIFERENCIAL CTVM S/A P/C 1-1</v>
          </cell>
          <cell r="E10900" t="str">
            <v>DIFERENCIAL CTVM S/A P/C 1-1</v>
          </cell>
        </row>
        <row r="10901">
          <cell r="B10901">
            <v>941000</v>
          </cell>
          <cell r="C10901" t="str">
            <v>ING CCT S/A</v>
          </cell>
          <cell r="D10901" t="str">
            <v>ING CCT S/A</v>
          </cell>
          <cell r="E10901" t="str">
            <v>ING CCT S/A</v>
          </cell>
        </row>
        <row r="10902">
          <cell r="B10902">
            <v>941007</v>
          </cell>
          <cell r="C10902" t="str">
            <v>ING CCT S/A</v>
          </cell>
          <cell r="D10902" t="str">
            <v>ING CCT S/A</v>
          </cell>
          <cell r="E10902" t="str">
            <v>ING CCT S/A</v>
          </cell>
        </row>
        <row r="10903">
          <cell r="B10903">
            <v>94170</v>
          </cell>
          <cell r="C10903" t="str">
            <v>BB GESTAO DE RECURSOS DTVM LTDA</v>
          </cell>
          <cell r="D10903" t="str">
            <v>BB GESTAO DE RECURSOS DTVM LTDA</v>
          </cell>
          <cell r="E10903" t="str">
            <v>BANCO DO BRASIL S/A</v>
          </cell>
        </row>
        <row r="10904">
          <cell r="B10904">
            <v>94184</v>
          </cell>
          <cell r="C10904" t="str">
            <v>BB GESTAO DE RECURSOS DTVM LTDA</v>
          </cell>
          <cell r="D10904" t="str">
            <v>BB GESTAO DE RECURSOS DTVM LTDA</v>
          </cell>
          <cell r="E10904" t="str">
            <v>BANCO DO BRASIL S/A</v>
          </cell>
        </row>
        <row r="10905">
          <cell r="B10905">
            <v>94245</v>
          </cell>
          <cell r="C10905" t="str">
            <v>DIFERENCIAL CTVM S/A P/C 1-1</v>
          </cell>
          <cell r="D10905" t="str">
            <v>DIFERENCIAL CTVM S/A P/C 1-1</v>
          </cell>
          <cell r="E10905" t="str">
            <v>DIFERENCIAL CTVM S/A P/C 1-1</v>
          </cell>
        </row>
        <row r="10906">
          <cell r="B10906">
            <v>94273</v>
          </cell>
          <cell r="C10906" t="str">
            <v>DIFERENCIAL CTVM S/A P/C 1-1</v>
          </cell>
          <cell r="D10906" t="str">
            <v>DIFERENCIAL CTVM S/A P/C 1-1</v>
          </cell>
          <cell r="E10906" t="str">
            <v>DIFERENCIAL CTVM S/A P/C 1-1</v>
          </cell>
        </row>
        <row r="10907">
          <cell r="B10907">
            <v>94275</v>
          </cell>
          <cell r="C10907" t="str">
            <v>DIFERENCIAL CTVM S/A P/C 1-1</v>
          </cell>
          <cell r="D10907" t="str">
            <v>DIFERENCIAL CTVM S/A P/C 1-1</v>
          </cell>
          <cell r="E10907" t="str">
            <v>DIFERENCIAL CTVM S/A P/C 1-1</v>
          </cell>
        </row>
        <row r="10908">
          <cell r="B10908">
            <v>94276</v>
          </cell>
          <cell r="C10908" t="str">
            <v>DIFERENCIAL CTVM S/A P/C 1-1</v>
          </cell>
          <cell r="D10908" t="str">
            <v>DIFERENCIAL CTVM S/A P/C 1-1</v>
          </cell>
          <cell r="E10908" t="str">
            <v>DIFERENCIAL CTVM S/A P/C 1-1</v>
          </cell>
        </row>
        <row r="10909">
          <cell r="B10909">
            <v>944005</v>
          </cell>
          <cell r="C10909" t="str">
            <v>HAITONG SECURITIES  DO BRASIL CCVM (BES SECURITIES DO BRASIL</v>
          </cell>
          <cell r="D10909" t="str">
            <v>HAITONG SECURITIES  DO BRASIL CCVM (BES SECURITIES DO BRASIL</v>
          </cell>
          <cell r="E10909" t="str">
            <v>HAITONG BANCO DE INVESTIMENTO DO BRASIL S/A</v>
          </cell>
        </row>
        <row r="10910">
          <cell r="B10910">
            <v>944057</v>
          </cell>
          <cell r="C10910" t="str">
            <v>ATIVA S/A CTCV</v>
          </cell>
          <cell r="D10910" t="str">
            <v>ATIVA S/A CTCV</v>
          </cell>
          <cell r="E10910" t="str">
            <v>ATIVA S/A CTCV</v>
          </cell>
        </row>
        <row r="10911">
          <cell r="B10911">
            <v>944142</v>
          </cell>
          <cell r="C10911" t="str">
            <v>BTG PACTUAL CM LTDA</v>
          </cell>
          <cell r="D10911" t="str">
            <v>BTG PACTUAL CM LTDA</v>
          </cell>
          <cell r="E10911" t="str">
            <v>BTG PACTUAL CM LTDA</v>
          </cell>
        </row>
        <row r="10912">
          <cell r="B10912">
            <v>944143</v>
          </cell>
          <cell r="C10912" t="str">
            <v>BTG PACTUAL CM LTDA</v>
          </cell>
          <cell r="D10912" t="str">
            <v>BTG PACTUAL CM LTDA</v>
          </cell>
          <cell r="E10912" t="str">
            <v>BANCO BTG PACTUAL S/A</v>
          </cell>
        </row>
        <row r="10913">
          <cell r="B10913">
            <v>944383</v>
          </cell>
          <cell r="C10913" t="str">
            <v>MERRILL LYNCH S/A CTVM</v>
          </cell>
          <cell r="D10913" t="str">
            <v>MERRILL LYNCH S/A CTVM</v>
          </cell>
          <cell r="E10913" t="str">
            <v>MERRILL LYNCH S/A CTVM</v>
          </cell>
        </row>
        <row r="10914">
          <cell r="B10914">
            <v>944490</v>
          </cell>
          <cell r="C10914" t="str">
            <v>MERRILL LYNCH S/A CTVM</v>
          </cell>
          <cell r="D10914" t="str">
            <v>MERRILL LYNCH S/A CTVM</v>
          </cell>
          <cell r="E10914" t="str">
            <v>MERRILL LYNCH S/A CTVM</v>
          </cell>
        </row>
        <row r="10915">
          <cell r="B10915">
            <v>80197</v>
          </cell>
          <cell r="C10915" t="str">
            <v>BANCO SANTANDER S.A (HISPANO)</v>
          </cell>
          <cell r="D10915" t="str">
            <v>BANCO SANTANDER S.A (HISPANO)</v>
          </cell>
          <cell r="E10915" t="str">
            <v>BANCO SANTANDER S/A (HISPANO)</v>
          </cell>
        </row>
        <row r="10916">
          <cell r="B10916">
            <v>944600</v>
          </cell>
          <cell r="C10916" t="str">
            <v>SANTANDER BRASIL S/A CTVM</v>
          </cell>
          <cell r="D10916" t="str">
            <v>SANTANDER BRASIL S/A CTVM</v>
          </cell>
          <cell r="E10916" t="str">
            <v>SANTANDER BRASIL S/A CTVM</v>
          </cell>
        </row>
        <row r="10917">
          <cell r="B10917">
            <v>944661</v>
          </cell>
          <cell r="C10917" t="str">
            <v>UNIBANCO INVESTSHOP-CVMC</v>
          </cell>
          <cell r="D10917" t="str">
            <v>UNIBANCO INVESTSHOP-CVMC</v>
          </cell>
          <cell r="E10917" t="str">
            <v>UNIBANCO INVESTSHOP-CVMC</v>
          </cell>
        </row>
        <row r="10918">
          <cell r="B10918">
            <v>944662</v>
          </cell>
          <cell r="C10918" t="str">
            <v>UNIBANCO INVESTSHOP-CVMC</v>
          </cell>
          <cell r="D10918" t="str">
            <v>UNIBANCO INVESTSHOP-CVMC</v>
          </cell>
          <cell r="E10918" t="str">
            <v>UNIBANCO INVESTSHOP-CVMC</v>
          </cell>
        </row>
        <row r="10919">
          <cell r="B10919">
            <v>944755</v>
          </cell>
          <cell r="C10919" t="str">
            <v>MERRILL LYNCH S/A CTVM</v>
          </cell>
          <cell r="D10919" t="str">
            <v>MERRILL LYNCH S/A CTVM</v>
          </cell>
          <cell r="E10919" t="str">
            <v>MERRILL LYNCH S/A CTVM</v>
          </cell>
        </row>
        <row r="10920">
          <cell r="B10920">
            <v>944756</v>
          </cell>
          <cell r="C10920" t="str">
            <v>MERRILL LYNCH S/A CTVM</v>
          </cell>
          <cell r="D10920" t="str">
            <v>MERRILL LYNCH S/A CTVM</v>
          </cell>
          <cell r="E10920" t="str">
            <v>MERRILL LYNCH S/A CTVM</v>
          </cell>
        </row>
        <row r="10921">
          <cell r="B10921">
            <v>944999</v>
          </cell>
          <cell r="C10921" t="str">
            <v>SANTANDER S/A CCT</v>
          </cell>
          <cell r="D10921" t="str">
            <v>SANTANDER S/A CCT</v>
          </cell>
          <cell r="E10921" t="str">
            <v>SANTANDER S/A CCT</v>
          </cell>
        </row>
        <row r="10922">
          <cell r="B10922">
            <v>945000</v>
          </cell>
          <cell r="C10922" t="str">
            <v>CREDIT SUISSE (BRASIL) S/A CTVM</v>
          </cell>
          <cell r="D10922" t="str">
            <v>CREDIT SUISSE (BRASIL) S/A CTVM</v>
          </cell>
          <cell r="E10922" t="str">
            <v>BANCO DE INVESTIMENTO CREDIT SUISSE (BRASIL) S/A</v>
          </cell>
        </row>
        <row r="10923">
          <cell r="B10923">
            <v>94524</v>
          </cell>
          <cell r="C10923" t="str">
            <v>BB BANCO DE INVESTIMENTO S/A</v>
          </cell>
          <cell r="D10923" t="str">
            <v>BB BANCO DE INVESTIMENTO S/A</v>
          </cell>
          <cell r="E10923" t="str">
            <v>BB BANCO DE INVESTIMENTO S/A</v>
          </cell>
        </row>
        <row r="10924">
          <cell r="B10924">
            <v>94559</v>
          </cell>
          <cell r="C10924" t="str">
            <v>CM CAPITAL MARKETS CCTVM LTDA</v>
          </cell>
          <cell r="D10924" t="str">
            <v>CM CAPITAL MARKETS CCTVM LTDA</v>
          </cell>
          <cell r="E10924" t="str">
            <v>CM CAPITAL MARKETS CCTVM LTDA</v>
          </cell>
        </row>
        <row r="10925">
          <cell r="B10925">
            <v>94560</v>
          </cell>
          <cell r="C10925" t="str">
            <v>CM CAPITAL MARKETS CCTVM LTDA</v>
          </cell>
          <cell r="D10925" t="str">
            <v>CM CAPITAL MARKETS CCTVM LTDA</v>
          </cell>
          <cell r="E10925" t="str">
            <v>CM CAPITAL MARKETS CCTVM LTDA</v>
          </cell>
        </row>
        <row r="10926">
          <cell r="B10926">
            <v>925154</v>
          </cell>
          <cell r="C10926" t="str">
            <v>UBS BRASIL CCTVM S/A (ANTIGA LINK S/A CCTVM)</v>
          </cell>
          <cell r="D10926" t="str">
            <v>UBS BRASIL CCTVM S/A (ANTIGA LINK S/A CCTVM)</v>
          </cell>
          <cell r="E10926" t="str">
            <v>UBS AG, LONDON BRANCH NOVO</v>
          </cell>
        </row>
        <row r="10927">
          <cell r="B10927">
            <v>94647</v>
          </cell>
          <cell r="C10927" t="str">
            <v>HEDGING-GRIFFO BRASIL FUNDO LLC</v>
          </cell>
          <cell r="D10927" t="str">
            <v>HEDGING-GRIFFO BRASIL FUNDO LLC</v>
          </cell>
          <cell r="E10927" t="str">
            <v>HEDGING-GRIFFO BRASIL FUNDO LLC</v>
          </cell>
        </row>
        <row r="10928">
          <cell r="B10928">
            <v>947101</v>
          </cell>
          <cell r="C10928" t="str">
            <v>ITAU CORRETORA DE VALORES S.A.</v>
          </cell>
          <cell r="D10928" t="str">
            <v>ITAU CORRETORA DE VALORES S.A.</v>
          </cell>
          <cell r="E10928" t="str">
            <v>ITAU CV S/A</v>
          </cell>
        </row>
        <row r="10929">
          <cell r="B10929">
            <v>947102</v>
          </cell>
          <cell r="C10929" t="str">
            <v>ITAU CORRETORA DE VALORES S.A.</v>
          </cell>
          <cell r="D10929" t="str">
            <v>ITAU CORRETORA DE VALORES S.A.</v>
          </cell>
          <cell r="E10929" t="str">
            <v>ITAU CV S/A</v>
          </cell>
        </row>
        <row r="10930">
          <cell r="B10930">
            <v>947103</v>
          </cell>
          <cell r="C10930" t="str">
            <v>ITAU CORRETORA DE VALORES S.A.</v>
          </cell>
          <cell r="D10930" t="str">
            <v>ITAU CORRETORA DE VALORES S.A.</v>
          </cell>
          <cell r="E10930" t="str">
            <v>ITAU CV S/A</v>
          </cell>
        </row>
        <row r="10931">
          <cell r="B10931">
            <v>947104</v>
          </cell>
          <cell r="C10931" t="str">
            <v>ITAU CORRETORA DE VALORES S.A.</v>
          </cell>
          <cell r="D10931" t="str">
            <v>ITAU CORRETORA DE VALORES S.A.</v>
          </cell>
          <cell r="E10931" t="str">
            <v>ITAU CV S/A</v>
          </cell>
        </row>
        <row r="10932">
          <cell r="B10932">
            <v>947105</v>
          </cell>
          <cell r="C10932" t="str">
            <v>ITAU CORRETORA DE VALORES S.A.</v>
          </cell>
          <cell r="D10932" t="str">
            <v>ITAU CORRETORA DE VALORES S.A.</v>
          </cell>
          <cell r="E10932" t="str">
            <v>ITAU CV S/A</v>
          </cell>
        </row>
        <row r="10933">
          <cell r="B10933">
            <v>947106</v>
          </cell>
          <cell r="C10933" t="str">
            <v>ITAU CORRETORA DE VALORES S.A.</v>
          </cell>
          <cell r="D10933" t="str">
            <v>ITAU CORRETORA DE VALORES S.A.</v>
          </cell>
          <cell r="E10933" t="str">
            <v>ITAU CV S/A</v>
          </cell>
        </row>
        <row r="10934">
          <cell r="B10934">
            <v>947107</v>
          </cell>
          <cell r="C10934" t="str">
            <v>ITAU CORRETORA DE VALORES S.A.</v>
          </cell>
          <cell r="D10934" t="str">
            <v>ITAU CORRETORA DE VALORES S.A.</v>
          </cell>
          <cell r="E10934" t="str">
            <v>ITAU CV S/A</v>
          </cell>
        </row>
        <row r="10935">
          <cell r="B10935">
            <v>947108</v>
          </cell>
          <cell r="C10935" t="str">
            <v>ITAU CORRETORA DE VALORES S.A.</v>
          </cell>
          <cell r="D10935" t="str">
            <v>ITAU CORRETORA DE VALORES S.A.</v>
          </cell>
          <cell r="E10935" t="str">
            <v>ITAU CV S/A</v>
          </cell>
        </row>
        <row r="10936">
          <cell r="B10936">
            <v>947109</v>
          </cell>
          <cell r="C10936" t="str">
            <v>ITAU CORRETORA DE VALORES S.A.</v>
          </cell>
          <cell r="D10936" t="str">
            <v>ITAU CORRETORA DE VALORES S.A.</v>
          </cell>
          <cell r="E10936" t="str">
            <v>ITAU CV S/A</v>
          </cell>
        </row>
        <row r="10937">
          <cell r="B10937">
            <v>947110</v>
          </cell>
          <cell r="C10937" t="str">
            <v>ITAU CORRETORA DE VALORES S.A.</v>
          </cell>
          <cell r="D10937" t="str">
            <v>ITAU CORRETORA DE VALORES S.A.</v>
          </cell>
          <cell r="E10937" t="str">
            <v>ITAU CV S/A</v>
          </cell>
        </row>
        <row r="10938">
          <cell r="B10938">
            <v>947111</v>
          </cell>
          <cell r="C10938" t="str">
            <v>ITAU CORRETORA DE VALORES S.A.</v>
          </cell>
          <cell r="D10938" t="str">
            <v>ITAU CORRETORA DE VALORES S.A.</v>
          </cell>
          <cell r="E10938" t="str">
            <v>ITAU CV S/A</v>
          </cell>
        </row>
        <row r="10939">
          <cell r="B10939">
            <v>947112</v>
          </cell>
          <cell r="C10939" t="str">
            <v>ITAU CORRETORA DE VALORES S.A.</v>
          </cell>
          <cell r="D10939" t="str">
            <v>ITAU CORRETORA DE VALORES S.A.</v>
          </cell>
          <cell r="E10939" t="str">
            <v>ITAU CV S/A</v>
          </cell>
        </row>
        <row r="10940">
          <cell r="B10940">
            <v>947113</v>
          </cell>
          <cell r="C10940" t="str">
            <v>ITAU CORRETORA DE VALORES S.A.</v>
          </cell>
          <cell r="D10940" t="str">
            <v>ITAU CORRETORA DE VALORES S.A.</v>
          </cell>
          <cell r="E10940" t="str">
            <v>ITAU CV S/A</v>
          </cell>
        </row>
        <row r="10941">
          <cell r="B10941">
            <v>947114</v>
          </cell>
          <cell r="C10941" t="str">
            <v>ITAU CORRETORA DE VALORES S.A.</v>
          </cell>
          <cell r="D10941" t="str">
            <v>ITAU CORRETORA DE VALORES S.A.</v>
          </cell>
          <cell r="E10941" t="str">
            <v>ITAU CV S/A</v>
          </cell>
        </row>
        <row r="10942">
          <cell r="B10942">
            <v>947115</v>
          </cell>
          <cell r="C10942" t="str">
            <v>ITAU CORRETORA DE VALORES S.A.</v>
          </cell>
          <cell r="D10942" t="str">
            <v>ITAU CORRETORA DE VALORES S.A.</v>
          </cell>
          <cell r="E10942" t="str">
            <v>ITAU CV S/A</v>
          </cell>
        </row>
        <row r="10943">
          <cell r="B10943">
            <v>947116</v>
          </cell>
          <cell r="C10943" t="str">
            <v>ITAU CORRETORA DE VALORES S.A.</v>
          </cell>
          <cell r="D10943" t="str">
            <v>ITAU CORRETORA DE VALORES S.A.</v>
          </cell>
          <cell r="E10943" t="str">
            <v>ITAU CV S/A</v>
          </cell>
        </row>
        <row r="10944">
          <cell r="B10944">
            <v>947117</v>
          </cell>
          <cell r="C10944" t="str">
            <v>ITAU CORRETORA DE VALORES S.A.</v>
          </cell>
          <cell r="D10944" t="str">
            <v>ITAU CORRETORA DE VALORES S.A.</v>
          </cell>
          <cell r="E10944" t="str">
            <v>ITAU CV S/A</v>
          </cell>
        </row>
        <row r="10945">
          <cell r="B10945">
            <v>947118</v>
          </cell>
          <cell r="C10945" t="str">
            <v>ITAU CORRETORA DE VALORES S.A.</v>
          </cell>
          <cell r="D10945" t="str">
            <v>ITAU CORRETORA DE VALORES S.A.</v>
          </cell>
          <cell r="E10945" t="str">
            <v>ITAU CV S/A</v>
          </cell>
        </row>
        <row r="10946">
          <cell r="B10946">
            <v>947119</v>
          </cell>
          <cell r="C10946" t="str">
            <v>ITAU CORRETORA DE VALORES S.A.</v>
          </cell>
          <cell r="D10946" t="str">
            <v>ITAU CORRETORA DE VALORES S.A.</v>
          </cell>
          <cell r="E10946" t="str">
            <v>ITAU CV S/A</v>
          </cell>
        </row>
        <row r="10947">
          <cell r="B10947">
            <v>947130</v>
          </cell>
          <cell r="C10947" t="str">
            <v>ITAU CORRETORA DE VALORES S.A.</v>
          </cell>
          <cell r="D10947" t="str">
            <v>ITAU CORRETORA DE VALORES S.A.</v>
          </cell>
          <cell r="E10947" t="str">
            <v>ITAU CV S/A</v>
          </cell>
        </row>
        <row r="10948">
          <cell r="B10948">
            <v>94790</v>
          </cell>
          <cell r="C10948" t="str">
            <v>DIFERENCIAL CTVM S/A P/C 1-1</v>
          </cell>
          <cell r="D10948" t="str">
            <v>DIFERENCIAL CTVM S/A P/C 1-1</v>
          </cell>
          <cell r="E10948" t="str">
            <v>DIFERENCIAL CTVM S/A P/C 1-1</v>
          </cell>
        </row>
        <row r="10949">
          <cell r="B10949">
            <v>94875</v>
          </cell>
          <cell r="C10949" t="str">
            <v>ITAU CORRETORA DE VALORES S.A.</v>
          </cell>
          <cell r="D10949" t="str">
            <v>ITAU CORRETORA DE VALORES S.A.</v>
          </cell>
          <cell r="E10949" t="str">
            <v>ITAU CV S/A</v>
          </cell>
        </row>
        <row r="10950">
          <cell r="B10950">
            <v>94876</v>
          </cell>
          <cell r="C10950" t="str">
            <v>ITAU CORRETORA DE VALORES S.A.</v>
          </cell>
          <cell r="D10950" t="str">
            <v>ITAU CORRETORA DE VALORES S.A.</v>
          </cell>
          <cell r="E10950" t="str">
            <v>ITAU CV S/A</v>
          </cell>
        </row>
        <row r="10951">
          <cell r="B10951">
            <v>94877</v>
          </cell>
          <cell r="C10951" t="str">
            <v>ITAU CORRETORA DE VALORES S.A.</v>
          </cell>
          <cell r="D10951" t="str">
            <v>ITAU CORRETORA DE VALORES S.A.</v>
          </cell>
          <cell r="E10951" t="str">
            <v>ITAU CV S/A</v>
          </cell>
        </row>
        <row r="10952">
          <cell r="B10952">
            <v>94878</v>
          </cell>
          <cell r="C10952" t="str">
            <v>ITAU CORRETORA DE VALORES S.A.</v>
          </cell>
          <cell r="D10952" t="str">
            <v>ITAU CORRETORA DE VALORES S.A.</v>
          </cell>
          <cell r="E10952" t="str">
            <v>ITAU CV S/A</v>
          </cell>
        </row>
        <row r="10953">
          <cell r="B10953">
            <v>94879</v>
          </cell>
          <cell r="C10953" t="str">
            <v>ITAU CORRETORA DE VALORES S.A.</v>
          </cell>
          <cell r="D10953" t="str">
            <v>ITAU CORRETORA DE VALORES S.A.</v>
          </cell>
          <cell r="E10953" t="str">
            <v>ITAU CV S/A</v>
          </cell>
        </row>
        <row r="10954">
          <cell r="B10954">
            <v>94880</v>
          </cell>
          <cell r="C10954" t="str">
            <v>ITAU CORRETORA DE VALORES S.A.</v>
          </cell>
          <cell r="D10954" t="str">
            <v>ITAU CORRETORA DE VALORES S.A.</v>
          </cell>
          <cell r="E10954" t="str">
            <v>ITAU CV S/A</v>
          </cell>
        </row>
        <row r="10955">
          <cell r="B10955">
            <v>94888</v>
          </cell>
          <cell r="C10955" t="str">
            <v>ITAU CORRETORA DE VALORES S.A.</v>
          </cell>
          <cell r="D10955" t="str">
            <v>ITAU CORRETORA DE VALORES S.A.</v>
          </cell>
          <cell r="E10955" t="str">
            <v>ITAU CV S/A</v>
          </cell>
        </row>
        <row r="10956">
          <cell r="B10956">
            <v>94889</v>
          </cell>
          <cell r="C10956" t="str">
            <v>ITAU CORRETORA DE VALORES S.A.</v>
          </cell>
          <cell r="D10956" t="str">
            <v>ITAU CORRETORA DE VALORES S.A.</v>
          </cell>
          <cell r="E10956" t="str">
            <v>ITAU CV S/A</v>
          </cell>
        </row>
        <row r="10957">
          <cell r="B10957">
            <v>94890</v>
          </cell>
          <cell r="C10957" t="str">
            <v>ITAU CORRETORA DE VALORES S.A.</v>
          </cell>
          <cell r="D10957" t="str">
            <v>ITAU CORRETORA DE VALORES S.A.</v>
          </cell>
          <cell r="E10957" t="str">
            <v>ITAU CV S/A</v>
          </cell>
        </row>
        <row r="10958">
          <cell r="B10958">
            <v>94891</v>
          </cell>
          <cell r="C10958" t="str">
            <v>ITAU CORRETORA DE VALORES S.A.</v>
          </cell>
          <cell r="D10958" t="str">
            <v>ITAU CORRETORA DE VALORES S.A.</v>
          </cell>
          <cell r="E10958" t="str">
            <v>ITAU CV S/A</v>
          </cell>
        </row>
        <row r="10959">
          <cell r="B10959">
            <v>94892</v>
          </cell>
          <cell r="C10959" t="str">
            <v>ITAU CORRETORA DE VALORES S.A.</v>
          </cell>
          <cell r="D10959" t="str">
            <v>ITAU CORRETORA DE VALORES S.A.</v>
          </cell>
          <cell r="E10959" t="str">
            <v>ITAU CV S/A</v>
          </cell>
        </row>
        <row r="10960">
          <cell r="B10960">
            <v>94894</v>
          </cell>
          <cell r="C10960" t="str">
            <v>ITAU CORRETORA DE VALORES S.A.</v>
          </cell>
          <cell r="D10960" t="str">
            <v>ITAU CORRETORA DE VALORES S.A.</v>
          </cell>
          <cell r="E10960" t="str">
            <v>ITAU CV S/A</v>
          </cell>
        </row>
        <row r="10961">
          <cell r="B10961">
            <v>94895</v>
          </cell>
          <cell r="C10961" t="str">
            <v>ITAU CORRETORA DE VALORES S.A.</v>
          </cell>
          <cell r="D10961" t="str">
            <v>ITAU CORRETORA DE VALORES S.A.</v>
          </cell>
          <cell r="E10961" t="str">
            <v>ITAU CV S/A</v>
          </cell>
        </row>
        <row r="10962">
          <cell r="B10962">
            <v>94898</v>
          </cell>
          <cell r="C10962" t="str">
            <v>ITAU CORRETORA DE VALORES S.A.</v>
          </cell>
          <cell r="D10962" t="str">
            <v>ITAU CORRETORA DE VALORES S.A.</v>
          </cell>
          <cell r="E10962" t="str">
            <v>ITAU CV S/A</v>
          </cell>
        </row>
        <row r="10963">
          <cell r="B10963">
            <v>94899</v>
          </cell>
          <cell r="C10963" t="str">
            <v>ITAU CORRETORA DE VALORES S.A.</v>
          </cell>
          <cell r="D10963" t="str">
            <v>ITAU CORRETORA DE VALORES S.A.</v>
          </cell>
          <cell r="E10963" t="str">
            <v>ITAU CV S/A</v>
          </cell>
        </row>
        <row r="10964">
          <cell r="B10964">
            <v>94900</v>
          </cell>
          <cell r="C10964" t="str">
            <v>ITAU CORRETORA DE VALORES S.A.</v>
          </cell>
          <cell r="D10964" t="str">
            <v>ITAU CORRETORA DE VALORES S.A.</v>
          </cell>
          <cell r="E10964" t="str">
            <v>ITAU CV S/A</v>
          </cell>
        </row>
        <row r="10965">
          <cell r="B10965">
            <v>94901</v>
          </cell>
          <cell r="C10965" t="str">
            <v>ATIVA S/A CTCV</v>
          </cell>
          <cell r="D10965" t="str">
            <v>ATIVA S/A CTCV</v>
          </cell>
          <cell r="E10965" t="str">
            <v>ATIVA S/A CTCV</v>
          </cell>
        </row>
        <row r="10966">
          <cell r="B10966">
            <v>94902</v>
          </cell>
          <cell r="C10966" t="str">
            <v>ITAU CORRETORA DE VALORES S.A.</v>
          </cell>
          <cell r="D10966" t="str">
            <v>ITAU CORRETORA DE VALORES S.A.</v>
          </cell>
          <cell r="E10966" t="str">
            <v>ITAU CV S/A</v>
          </cell>
        </row>
        <row r="10967">
          <cell r="B10967">
            <v>94903</v>
          </cell>
          <cell r="C10967" t="str">
            <v>ITAU CORRETORA DE VALORES S.A.</v>
          </cell>
          <cell r="D10967" t="str">
            <v>ITAU CORRETORA DE VALORES S.A.</v>
          </cell>
          <cell r="E10967" t="str">
            <v>ITAU CV S/A</v>
          </cell>
        </row>
        <row r="10968">
          <cell r="B10968">
            <v>949131</v>
          </cell>
          <cell r="C10968" t="str">
            <v>FATOR S/A CV</v>
          </cell>
          <cell r="D10968" t="str">
            <v>FATOR S/A CV</v>
          </cell>
          <cell r="E10968" t="str">
            <v>FATOR S/A CV</v>
          </cell>
        </row>
        <row r="10969">
          <cell r="B10969">
            <v>949450</v>
          </cell>
          <cell r="C10969" t="str">
            <v>FATOR S/A CV</v>
          </cell>
          <cell r="D10969" t="str">
            <v>FATOR S/A CV</v>
          </cell>
          <cell r="E10969" t="str">
            <v>FATOR S/A CV</v>
          </cell>
        </row>
        <row r="10970">
          <cell r="B10970">
            <v>94985</v>
          </cell>
          <cell r="C10970" t="str">
            <v>ITAU CORRETORA DE VALORES S.A.</v>
          </cell>
          <cell r="D10970" t="str">
            <v>ITAU CORRETORA DE VALORES S.A.</v>
          </cell>
          <cell r="E10970" t="str">
            <v>ITAU CV S/A</v>
          </cell>
        </row>
        <row r="10971">
          <cell r="B10971">
            <v>94986</v>
          </cell>
          <cell r="C10971" t="str">
            <v>ITAU CORRETORA DE VALORES S.A.</v>
          </cell>
          <cell r="D10971" t="str">
            <v>ITAU CORRETORA DE VALORES S.A.</v>
          </cell>
          <cell r="E10971" t="str">
            <v>ITAU CV S/A</v>
          </cell>
        </row>
        <row r="10972">
          <cell r="B10972">
            <v>94987</v>
          </cell>
          <cell r="C10972" t="str">
            <v>ITAU CORRETORA DE VALORES S.A.</v>
          </cell>
          <cell r="D10972" t="str">
            <v>ITAU CORRETORA DE VALORES S.A.</v>
          </cell>
          <cell r="E10972" t="str">
            <v>ITAU CV S/A</v>
          </cell>
        </row>
        <row r="10973">
          <cell r="B10973">
            <v>94988</v>
          </cell>
          <cell r="C10973" t="str">
            <v>ITAU CORRETORA DE VALORES S.A.</v>
          </cell>
          <cell r="D10973" t="str">
            <v>ITAU CORRETORA DE VALORES S.A.</v>
          </cell>
          <cell r="E10973" t="str">
            <v>ITAU CV S/A</v>
          </cell>
        </row>
        <row r="10974">
          <cell r="B10974">
            <v>94989</v>
          </cell>
          <cell r="C10974" t="str">
            <v>ITAU CORRETORA DE VALORES S.A.</v>
          </cell>
          <cell r="D10974" t="str">
            <v>ITAU CORRETORA DE VALORES S.A.</v>
          </cell>
          <cell r="E10974" t="str">
            <v>ITAU CV S/A</v>
          </cell>
        </row>
        <row r="10975">
          <cell r="B10975">
            <v>94991</v>
          </cell>
          <cell r="C10975" t="str">
            <v>ITAU CORRETORA DE VALORES S.A.</v>
          </cell>
          <cell r="D10975" t="str">
            <v>ITAU CORRETORA DE VALORES S.A.</v>
          </cell>
          <cell r="E10975" t="str">
            <v>ITAU CV S/A</v>
          </cell>
        </row>
        <row r="10976">
          <cell r="B10976">
            <v>95</v>
          </cell>
          <cell r="C10976" t="str">
            <v>CREDIT SUISSE HEDGING GRIFFO CV S/A</v>
          </cell>
          <cell r="D10976" t="str">
            <v>CREDIT SUISSE HEDGING GRIFFO CV S/A</v>
          </cell>
          <cell r="E10976" t="str">
            <v>CREDIT SUISSE HEDGING-GRIFFO WEALTH MANAGEMENT S/A</v>
          </cell>
        </row>
        <row r="10977">
          <cell r="B10977">
            <v>95005</v>
          </cell>
          <cell r="C10977" t="str">
            <v>BNP PARIBAS</v>
          </cell>
          <cell r="D10977" t="str">
            <v>BNP PARIBAS</v>
          </cell>
          <cell r="E10977" t="str">
            <v>BANCO BNP PARIBAS BRASIL S/A</v>
          </cell>
        </row>
        <row r="10978">
          <cell r="B10978">
            <v>95007</v>
          </cell>
          <cell r="C10978" t="str">
            <v>BANCO BNP PARIBAS BRASIL S/A</v>
          </cell>
          <cell r="D10978" t="str">
            <v>BANCO BNP PARIBAS BRASIL S/A</v>
          </cell>
          <cell r="E10978" t="str">
            <v>BANCO BNP PARIBAS BRASIL S/A</v>
          </cell>
        </row>
        <row r="10979">
          <cell r="B10979">
            <v>95008</v>
          </cell>
          <cell r="C10979" t="str">
            <v>BANCO BNP PARIBAS BRASIL S/A</v>
          </cell>
          <cell r="D10979" t="str">
            <v>BANCO BNP PARIBAS BRASIL S/A</v>
          </cell>
          <cell r="E10979" t="str">
            <v>BANCO BNP PARIBAS BRASIL S/A</v>
          </cell>
        </row>
        <row r="10980">
          <cell r="B10980">
            <v>95009</v>
          </cell>
          <cell r="C10980" t="str">
            <v>BANCO BNP PARIBAS BRASIL S/A</v>
          </cell>
          <cell r="D10980" t="str">
            <v>BANCO BNP PARIBAS BRASIL S/A</v>
          </cell>
          <cell r="E10980" t="str">
            <v>BANCO BNP PARIBAS BRASIL S/A</v>
          </cell>
        </row>
        <row r="10981">
          <cell r="B10981">
            <v>95010</v>
          </cell>
          <cell r="C10981" t="str">
            <v>BANCO BNP PARIBAS BRASIL S/A</v>
          </cell>
          <cell r="D10981" t="str">
            <v>BANCO BNP PARIBAS BRASIL S/A</v>
          </cell>
          <cell r="E10981" t="str">
            <v>BANCO BNP PARIBAS BRASIL S/A</v>
          </cell>
        </row>
        <row r="10982">
          <cell r="B10982">
            <v>95011</v>
          </cell>
          <cell r="C10982" t="str">
            <v>BANCO BNP PARIBAS BRASIL S/A</v>
          </cell>
          <cell r="D10982" t="str">
            <v>BANCO BNP PARIBAS BRASIL S/A</v>
          </cell>
          <cell r="E10982" t="str">
            <v>BANCO BNP PARIBAS BRASIL S/A</v>
          </cell>
        </row>
        <row r="10983">
          <cell r="B10983">
            <v>95012</v>
          </cell>
          <cell r="C10983" t="str">
            <v>BANCO BNP PARIBAS BRASIL S/A</v>
          </cell>
          <cell r="D10983" t="str">
            <v>BANCO BNP PARIBAS BRASIL S/A</v>
          </cell>
          <cell r="E10983" t="str">
            <v>BANCO BNP PARIBAS BRASIL S/A</v>
          </cell>
        </row>
        <row r="10984">
          <cell r="B10984">
            <v>79135</v>
          </cell>
          <cell r="C10984" t="str">
            <v>BNP PARIBAS ASSET MANAGEMENT BRASIL LTDA</v>
          </cell>
          <cell r="D10984" t="str">
            <v>BNP PARIBAS ASSET MANAGEMENT BRASIL LTDA</v>
          </cell>
          <cell r="E10984" t="str">
            <v>BNP PARIBAS ASSET MANAGEMENT BRASIL LTDA</v>
          </cell>
        </row>
        <row r="10985">
          <cell r="B10985">
            <v>95014</v>
          </cell>
          <cell r="C10985" t="str">
            <v>BNP PARIBAS PROPRIETARIO FIM CP IE</v>
          </cell>
          <cell r="D10985" t="str">
            <v>BNP PARIBAS PROPRIETARIO FIM CP IE</v>
          </cell>
          <cell r="E10985" t="str">
            <v>BANCO BNP PARIBAS BRASIL S/A</v>
          </cell>
        </row>
        <row r="10986">
          <cell r="B10986">
            <v>950908</v>
          </cell>
          <cell r="C10986" t="str">
            <v>PROSPER S/A CVC</v>
          </cell>
          <cell r="D10986" t="str">
            <v>PROSPER S/A CVC</v>
          </cell>
          <cell r="E10986" t="str">
            <v>PROSPER S/A CVC</v>
          </cell>
        </row>
        <row r="10987">
          <cell r="B10987">
            <v>951000</v>
          </cell>
          <cell r="C10987" t="str">
            <v>CITIBANK DTVM S/A</v>
          </cell>
          <cell r="D10987" t="str">
            <v>CITIBANK DTVM S/A</v>
          </cell>
          <cell r="E10987" t="str">
            <v>CITIBANK DTVM S/A</v>
          </cell>
        </row>
        <row r="10988">
          <cell r="B10988">
            <v>951144</v>
          </cell>
          <cell r="C10988" t="str">
            <v>FATOR S/A CV</v>
          </cell>
          <cell r="D10988" t="str">
            <v>FATOR S/A CV</v>
          </cell>
          <cell r="E10988" t="str">
            <v>FATOR S/A CV</v>
          </cell>
        </row>
        <row r="10989">
          <cell r="B10989">
            <v>95133</v>
          </cell>
          <cell r="C10989" t="str">
            <v>CGD INVESTIMENTOS CORRETORA DE VALORES E CAMBIO S/A</v>
          </cell>
          <cell r="D10989" t="str">
            <v>CGD INVESTIMENTOS CORRETORA DE VALORES E CAMBIO S/A</v>
          </cell>
          <cell r="E10989" t="str">
            <v>CGD INVESTIMENTOS CORRETORA DE VALORES E CAMBIO S/A</v>
          </cell>
        </row>
        <row r="10990">
          <cell r="B10990">
            <v>952000</v>
          </cell>
          <cell r="C10990" t="str">
            <v>CITIBANK DTVM S/A</v>
          </cell>
          <cell r="D10990" t="str">
            <v>CITIBANK DTVM S/A</v>
          </cell>
          <cell r="E10990" t="str">
            <v>CITIBANK DTVM S/A</v>
          </cell>
        </row>
        <row r="10991">
          <cell r="B10991">
            <v>952151</v>
          </cell>
          <cell r="C10991" t="str">
            <v>CM CAPITAL MARKETS CCTVM LTDA</v>
          </cell>
          <cell r="D10991" t="str">
            <v>CM CAPITAL MARKETS CCTVM LTDA</v>
          </cell>
          <cell r="E10991" t="str">
            <v>CM CAPITAL MARKETS CCTVM LTDA</v>
          </cell>
        </row>
        <row r="10992">
          <cell r="B10992">
            <v>95236</v>
          </cell>
          <cell r="C10992" t="str">
            <v>SKOPOS BRK FIC DE FIA</v>
          </cell>
          <cell r="D10992" t="str">
            <v>SKOPOS BRK FIC DE FIA</v>
          </cell>
          <cell r="E10992" t="str">
            <v>SKOPOS BRK FIC DE FIA</v>
          </cell>
        </row>
        <row r="10993">
          <cell r="B10993">
            <v>954182</v>
          </cell>
          <cell r="C10993" t="str">
            <v>BTG PACTUAL CM LTDA</v>
          </cell>
          <cell r="D10993" t="str">
            <v>BTG PACTUAL CM LTDA</v>
          </cell>
          <cell r="E10993" t="str">
            <v>BTG PACTUAL CM LTDA</v>
          </cell>
        </row>
        <row r="10994">
          <cell r="B10994">
            <v>955000</v>
          </cell>
          <cell r="C10994" t="str">
            <v>CITIBANK DTVM S/A</v>
          </cell>
          <cell r="D10994" t="str">
            <v>CITIBANK DTVM S/A</v>
          </cell>
          <cell r="E10994" t="str">
            <v>CITIBANK DTVM S/A</v>
          </cell>
        </row>
        <row r="10995">
          <cell r="B10995">
            <v>955100</v>
          </cell>
          <cell r="C10995" t="str">
            <v>CITIBANK DTVM S/A</v>
          </cell>
          <cell r="D10995" t="str">
            <v>CITIBANK DTVM S/A</v>
          </cell>
          <cell r="E10995" t="str">
            <v>CITIBANK DTVM S/A</v>
          </cell>
        </row>
        <row r="10996">
          <cell r="B10996">
            <v>955236</v>
          </cell>
          <cell r="C10996" t="str">
            <v>BRADESCO S/A CTVM</v>
          </cell>
          <cell r="D10996" t="str">
            <v>BRADESCO S/A CTVM</v>
          </cell>
          <cell r="E10996" t="str">
            <v>BRADESCO SA CORRETORA DE TITULOS E VALORES MOBILIARIOS</v>
          </cell>
        </row>
        <row r="10997">
          <cell r="B10997">
            <v>956125</v>
          </cell>
          <cell r="C10997" t="str">
            <v>CREDIT SUISSE HEDGING GRIFFO CV S/A</v>
          </cell>
          <cell r="D10997" t="str">
            <v>CREDIT SUISSE HEDGING GRIFFO CV S/A</v>
          </cell>
          <cell r="E10997" t="str">
            <v>CREDIT SUISSE HEDGING-GRIFFO WEALTH MANAGEMENT S/A</v>
          </cell>
        </row>
        <row r="10998">
          <cell r="B10998">
            <v>956600</v>
          </cell>
          <cell r="C10998" t="str">
            <v>ATIVA S/A CTCV</v>
          </cell>
          <cell r="D10998" t="str">
            <v>ATIVA S/A CTCV</v>
          </cell>
          <cell r="E10998" t="str">
            <v>ATIVA S/A CTCV</v>
          </cell>
        </row>
        <row r="10999">
          <cell r="B10999">
            <v>95687</v>
          </cell>
          <cell r="C10999" t="str">
            <v>DIFERENCIAL CTVM S/A P/C 1-1</v>
          </cell>
          <cell r="D10999" t="str">
            <v>DIFERENCIAL CTVM S/A P/C 1-1</v>
          </cell>
          <cell r="E10999" t="str">
            <v>DIFERENCIAL CTVM S/A P/C 1-1</v>
          </cell>
        </row>
        <row r="11000">
          <cell r="B11000">
            <v>957473</v>
          </cell>
          <cell r="C11000" t="str">
            <v>HEDGING GRIFFO CV S/A</v>
          </cell>
          <cell r="D11000" t="str">
            <v>HEDGING GRIFFO CV S/A</v>
          </cell>
          <cell r="E11000" t="str">
            <v>CREDIT SUISSE HEDGING-GRIFFO WEALTH MANAGEMENT S/A</v>
          </cell>
        </row>
        <row r="11001">
          <cell r="B11001">
            <v>123620</v>
          </cell>
          <cell r="C11001" t="str">
            <v>BRASIL PLURAL XAVANTES FIA</v>
          </cell>
          <cell r="D11001" t="str">
            <v>BRASIL PLURAL XAVANTES FIA</v>
          </cell>
          <cell r="E11001" t="str">
            <v>PLURAL GESTÃO DE RECURSOS LTDA</v>
          </cell>
        </row>
        <row r="11002">
          <cell r="B11002">
            <v>958577</v>
          </cell>
          <cell r="C11002" t="str">
            <v>ITAU CORRETORA DE VALORES S.A.</v>
          </cell>
          <cell r="D11002" t="str">
            <v>ITAU CORRETORA DE VALORES S.A.</v>
          </cell>
          <cell r="E11002" t="str">
            <v>ITAU CV S/A</v>
          </cell>
        </row>
        <row r="11003">
          <cell r="B11003">
            <v>959876</v>
          </cell>
          <cell r="C11003" t="str">
            <v>FLOW CM LTDA</v>
          </cell>
          <cell r="D11003" t="str">
            <v>FLOW CM LTDA</v>
          </cell>
          <cell r="E11003" t="str">
            <v>FLOW CM LTDA</v>
          </cell>
        </row>
        <row r="11004">
          <cell r="B11004">
            <v>959900</v>
          </cell>
          <cell r="C11004" t="str">
            <v>BRADESCO S/A CTVM</v>
          </cell>
          <cell r="D11004" t="str">
            <v>BRADESCO S/A CTVM</v>
          </cell>
          <cell r="E11004" t="str">
            <v>BRADESCO SA CORRETORA DE TITULOS E VALORES MOBILIARIOS</v>
          </cell>
        </row>
        <row r="11005">
          <cell r="B11005">
            <v>959990</v>
          </cell>
          <cell r="C11005" t="str">
            <v>J SAFRA CVC LTDA</v>
          </cell>
          <cell r="D11005" t="str">
            <v>J SAFRA CVC LTDA</v>
          </cell>
          <cell r="E11005" t="str">
            <v>J SAFRA CVC LTDA</v>
          </cell>
        </row>
        <row r="11006">
          <cell r="B11006">
            <v>80198</v>
          </cell>
          <cell r="C11006" t="str">
            <v>BANCO SANTANDER S.A (HISPANO)</v>
          </cell>
          <cell r="D11006" t="str">
            <v>BANCO SANTANDER S.A (HISPANO)</v>
          </cell>
          <cell r="E11006" t="str">
            <v>BANCO SANTANDER S/A (HISPANO)</v>
          </cell>
        </row>
        <row r="11007">
          <cell r="B11007">
            <v>960114</v>
          </cell>
          <cell r="C11007" t="str">
            <v>ITAU CORRETORA DE VALORES S.A.</v>
          </cell>
          <cell r="D11007" t="str">
            <v>ITAU CORRETORA DE VALORES S.A.</v>
          </cell>
          <cell r="E11007" t="str">
            <v>ITAU CV S/A</v>
          </cell>
        </row>
        <row r="11008">
          <cell r="B11008">
            <v>96036</v>
          </cell>
          <cell r="C11008" t="str">
            <v>HSBC CTVM S/A ATUAL BRADESCO-KIRTON</v>
          </cell>
          <cell r="D11008" t="str">
            <v>HSBC CTVM S/A ATUAL BRADESCO-KIRTON</v>
          </cell>
          <cell r="E11008" t="str">
            <v>HSBC CTVM S/A ATUAL BRADESCO-KIRTON</v>
          </cell>
        </row>
        <row r="11009">
          <cell r="B11009">
            <v>960514</v>
          </cell>
          <cell r="C11009" t="str">
            <v>ITAU CORRETORA DE VALORES S.A.</v>
          </cell>
          <cell r="D11009" t="str">
            <v>ITAU CORRETORA DE VALORES S.A.</v>
          </cell>
          <cell r="E11009" t="str">
            <v>ITAU CV S/A</v>
          </cell>
        </row>
        <row r="11010">
          <cell r="B11010">
            <v>960515</v>
          </cell>
          <cell r="C11010" t="str">
            <v>ITAU CORRETORA DE VALORES S.A.</v>
          </cell>
          <cell r="D11010" t="str">
            <v>ITAU CORRETORA DE VALORES S.A.</v>
          </cell>
          <cell r="E11010" t="str">
            <v>ITAU CV S/A</v>
          </cell>
        </row>
        <row r="11011">
          <cell r="B11011">
            <v>961445</v>
          </cell>
          <cell r="C11011" t="str">
            <v>PIONEER CM E FUTUROS LTDA</v>
          </cell>
          <cell r="D11011" t="str">
            <v>PIONEER CM E FUTUROS LTDA</v>
          </cell>
          <cell r="E11011" t="str">
            <v>PIONEER CM E FUTUROS LTDA</v>
          </cell>
        </row>
        <row r="11012">
          <cell r="B11012">
            <v>96776</v>
          </cell>
          <cell r="C11012" t="str">
            <v>ICAP DO BRASIL CTVM LTDA ( ATUAL TULLET)</v>
          </cell>
          <cell r="D11012" t="str">
            <v>ICAP DO BRASIL CTVM LTDA ( ATUAL TULLET)</v>
          </cell>
          <cell r="E11012" t="str">
            <v>ICAP DO BRASIL CTVM LTDA ( ATUAL TULLET)</v>
          </cell>
        </row>
        <row r="11013">
          <cell r="B11013">
            <v>80199</v>
          </cell>
          <cell r="C11013" t="str">
            <v>BANCO SANTANDER S.A (HISPANO)</v>
          </cell>
          <cell r="D11013" t="str">
            <v>BANCO SANTANDER S.A (HISPANO)</v>
          </cell>
          <cell r="E11013" t="str">
            <v>BANCO SANTANDER S/A (HISPANO)</v>
          </cell>
        </row>
        <row r="11014">
          <cell r="B11014">
            <v>970076</v>
          </cell>
          <cell r="C11014" t="str">
            <v>ITAU CORRETORA DE VALORES S.A.</v>
          </cell>
          <cell r="D11014" t="str">
            <v>ITAU CORRETORA DE VALORES S.A.</v>
          </cell>
          <cell r="E11014" t="str">
            <v>ITAU CV S/A</v>
          </cell>
        </row>
        <row r="11015">
          <cell r="B11015">
            <v>970100</v>
          </cell>
          <cell r="C11015" t="str">
            <v>JP MORGAN CCVM S/A</v>
          </cell>
          <cell r="D11015" t="str">
            <v>JP MORGAN CCVM S/A</v>
          </cell>
          <cell r="E11015" t="str">
            <v>JP MORGAN ADMINISTRADORA DE CARTEIRAS BRASIL LTDA</v>
          </cell>
        </row>
        <row r="11016">
          <cell r="B11016">
            <v>970101</v>
          </cell>
          <cell r="C11016" t="str">
            <v>JP MORGAN CCVM S/A</v>
          </cell>
          <cell r="D11016" t="str">
            <v>JP MORGAN CCVM S/A</v>
          </cell>
          <cell r="E11016" t="str">
            <v>JP MORGAN ADMINISTRADORA DE CARTEIRAS BRASIL LTDA</v>
          </cell>
        </row>
        <row r="11017">
          <cell r="B11017">
            <v>970179</v>
          </cell>
          <cell r="C11017" t="str">
            <v>HSBC CTVM S/A ATUAL BRADESCO-KIRTON</v>
          </cell>
          <cell r="D11017" t="str">
            <v>HSBC CTVM S/A ATUAL BRADESCO-KIRTON</v>
          </cell>
          <cell r="E11017" t="str">
            <v>HSBC CTVM S/A ATUAL BRADESCO-KIRTON</v>
          </cell>
        </row>
        <row r="11018">
          <cell r="B11018">
            <v>970395</v>
          </cell>
          <cell r="C11018" t="str">
            <v>CM CAPITAL MARKETS CCTVM LTDA</v>
          </cell>
          <cell r="D11018" t="str">
            <v>CM CAPITAL MARKETS CCTVM LTDA</v>
          </cell>
          <cell r="E11018" t="str">
            <v>CM CAPITAL MARKETS CCTVM LTDA</v>
          </cell>
        </row>
        <row r="11019">
          <cell r="B11019">
            <v>970396</v>
          </cell>
          <cell r="C11019" t="str">
            <v>CM CAPITAL MARKETS CCTVM LTDA</v>
          </cell>
          <cell r="D11019" t="str">
            <v>CM CAPITAL MARKETS CCTVM LTDA</v>
          </cell>
          <cell r="E11019" t="str">
            <v>CM CAPITAL MARKETS CCTVM LTDA</v>
          </cell>
        </row>
        <row r="11020">
          <cell r="B11020">
            <v>970397</v>
          </cell>
          <cell r="C11020" t="str">
            <v>CM CAPITAL MARKETS CCTVM LTDA</v>
          </cell>
          <cell r="D11020" t="str">
            <v>CM CAPITAL MARKETS CCTVM LTDA</v>
          </cell>
          <cell r="E11020" t="str">
            <v>CM CAPITAL MARKETS CCTVM LTDA</v>
          </cell>
        </row>
        <row r="11021">
          <cell r="B11021">
            <v>972000</v>
          </cell>
          <cell r="C11021" t="str">
            <v>BRADESCO S/A CTVM</v>
          </cell>
          <cell r="D11021" t="str">
            <v>BRADESCO S/A CTVM</v>
          </cell>
          <cell r="E11021" t="str">
            <v>BRADESCO SA CORRETORA DE TITULOS E VALORES MOBILIARIOS</v>
          </cell>
        </row>
        <row r="11022">
          <cell r="B11022">
            <v>972010</v>
          </cell>
          <cell r="C11022" t="str">
            <v>BRADESCO S/A CTVM</v>
          </cell>
          <cell r="D11022" t="str">
            <v>BRADESCO S/A CTVM</v>
          </cell>
          <cell r="E11022" t="str">
            <v>BRADESCO SA CORRETORA DE TITULOS E VALORES MOBILIARIOS</v>
          </cell>
        </row>
        <row r="11023">
          <cell r="B11023">
            <v>972011</v>
          </cell>
          <cell r="C11023" t="str">
            <v>BRADESCO S/A CTVM</v>
          </cell>
          <cell r="D11023" t="str">
            <v>BRADESCO S/A CTVM</v>
          </cell>
          <cell r="E11023" t="str">
            <v>BRADESCO SA CORRETORA DE TITULOS E VALORES MOBILIARIOS</v>
          </cell>
        </row>
        <row r="11024">
          <cell r="B11024">
            <v>972104</v>
          </cell>
          <cell r="C11024" t="str">
            <v>BRADESCO S/A CTVM</v>
          </cell>
          <cell r="D11024" t="str">
            <v>BRADESCO S/A CTVM</v>
          </cell>
          <cell r="E11024" t="str">
            <v>BRADESCO SA CORRETORA DE TITULOS E VALORES MOBILIARIOS</v>
          </cell>
        </row>
        <row r="11025">
          <cell r="B11025">
            <v>972701</v>
          </cell>
          <cell r="C11025" t="str">
            <v>BRADESCO S/A CTVM</v>
          </cell>
          <cell r="D11025" t="str">
            <v>BRADESCO S/A CTVM</v>
          </cell>
          <cell r="E11025" t="str">
            <v>BRADESCO SA CORRETORA DE TITULOS E VALORES MOBILIARIOS</v>
          </cell>
        </row>
        <row r="11026">
          <cell r="B11026">
            <v>972702</v>
          </cell>
          <cell r="C11026" t="str">
            <v>BRADESCO S/A CTVM</v>
          </cell>
          <cell r="D11026" t="str">
            <v>BRADESCO S/A CTVM</v>
          </cell>
          <cell r="E11026" t="str">
            <v>BRADESCO SA CORRETORA DE TITULOS E VALORES MOBILIARIOS</v>
          </cell>
        </row>
        <row r="11027">
          <cell r="B11027">
            <v>972703</v>
          </cell>
          <cell r="C11027" t="str">
            <v>BRADESCO S/A CTVM</v>
          </cell>
          <cell r="D11027" t="str">
            <v>BRADESCO S/A CTVM</v>
          </cell>
          <cell r="E11027" t="str">
            <v>BRADESCO SA CORRETORA DE TITULOS E VALORES MOBILIARIOS</v>
          </cell>
        </row>
        <row r="11028">
          <cell r="B11028">
            <v>972708</v>
          </cell>
          <cell r="C11028" t="str">
            <v>BRADESCO S/A CTVM</v>
          </cell>
          <cell r="D11028" t="str">
            <v>BRADESCO S/A CTVM</v>
          </cell>
          <cell r="E11028" t="str">
            <v>BRADESCO SA CORRETORA DE TITULOS E VALORES MOBILIARIOS</v>
          </cell>
        </row>
        <row r="11029">
          <cell r="B11029">
            <v>972720</v>
          </cell>
          <cell r="C11029" t="str">
            <v>BRADESCO S/A CTVM</v>
          </cell>
          <cell r="D11029" t="str">
            <v>BRADESCO S/A CTVM</v>
          </cell>
          <cell r="E11029" t="str">
            <v>BRADESCO SA CORRETORA DE TITULOS E VALORES MOBILIARIOS</v>
          </cell>
        </row>
        <row r="11030">
          <cell r="B11030">
            <v>972875</v>
          </cell>
          <cell r="C11030" t="str">
            <v>CM CAPITAL MARKETS CCTVM LTDA</v>
          </cell>
          <cell r="D11030" t="str">
            <v>CM CAPITAL MARKETS CCTVM LTDA</v>
          </cell>
          <cell r="E11030" t="str">
            <v>CM CAPITAL MARKETS CCTVM LTDA</v>
          </cell>
        </row>
        <row r="11031">
          <cell r="B11031">
            <v>974000</v>
          </cell>
          <cell r="C11031" t="str">
            <v>J SAFRA CVC LTDA</v>
          </cell>
          <cell r="D11031" t="str">
            <v>J SAFRA CVC LTDA</v>
          </cell>
          <cell r="E11031" t="str">
            <v>J SAFRA CVC LTDA</v>
          </cell>
        </row>
        <row r="11032">
          <cell r="B11032">
            <v>974003</v>
          </cell>
          <cell r="C11032" t="str">
            <v>J SAFRA CVC LTDA</v>
          </cell>
          <cell r="D11032" t="str">
            <v>J SAFRA CVC LTDA</v>
          </cell>
          <cell r="E11032" t="str">
            <v>J SAFRA CVC LTDA</v>
          </cell>
        </row>
        <row r="11033">
          <cell r="B11033">
            <v>974284</v>
          </cell>
          <cell r="C11033" t="str">
            <v>CM CAPITAL MARKETS CCTVM LTDA</v>
          </cell>
          <cell r="D11033" t="str">
            <v>CM CAPITAL MARKETS CCTVM LTDA</v>
          </cell>
          <cell r="E11033" t="str">
            <v>CM CAPITAL MARKETS CCTVM LTDA</v>
          </cell>
        </row>
        <row r="11034">
          <cell r="B11034">
            <v>974870</v>
          </cell>
          <cell r="C11034" t="str">
            <v>ITAU CORRETORA DE VALORES S.A.</v>
          </cell>
          <cell r="D11034" t="str">
            <v>ITAU CORRETORA DE VALORES S.A.</v>
          </cell>
          <cell r="E11034" t="str">
            <v>ITAU CV S/A</v>
          </cell>
        </row>
        <row r="11035">
          <cell r="B11035">
            <v>974871</v>
          </cell>
          <cell r="C11035" t="str">
            <v>ITAU CORRETORA DE VALORES S.A.</v>
          </cell>
          <cell r="D11035" t="str">
            <v>ITAU CORRETORA DE VALORES S.A.</v>
          </cell>
          <cell r="E11035" t="str">
            <v>ITAU CV S/A</v>
          </cell>
        </row>
        <row r="11036">
          <cell r="B11036">
            <v>974872</v>
          </cell>
          <cell r="C11036" t="str">
            <v>ITAU CORRETORA DE VALORES S.A.</v>
          </cell>
          <cell r="D11036" t="str">
            <v>ITAU CORRETORA DE VALORES S.A.</v>
          </cell>
          <cell r="E11036" t="str">
            <v>ITAU CV S/A</v>
          </cell>
        </row>
        <row r="11037">
          <cell r="B11037">
            <v>975198</v>
          </cell>
          <cell r="C11037" t="str">
            <v>ITAU CORRETORA DE VALORES S.A.</v>
          </cell>
          <cell r="D11037" t="str">
            <v>ITAU CORRETORA DE VALORES S.A.</v>
          </cell>
          <cell r="E11037" t="str">
            <v>ITAU CV S/A</v>
          </cell>
        </row>
        <row r="11038">
          <cell r="B11038">
            <v>975199</v>
          </cell>
          <cell r="C11038" t="str">
            <v>ITAU CORRETORA DE VALORES S.A.</v>
          </cell>
          <cell r="D11038" t="str">
            <v>ITAU CORRETORA DE VALORES S.A.</v>
          </cell>
          <cell r="E11038" t="str">
            <v>ITAU CV S/A</v>
          </cell>
        </row>
        <row r="11039">
          <cell r="B11039">
            <v>975200</v>
          </cell>
          <cell r="C11039" t="str">
            <v>ITAU CORRETORA DE VALORES S.A.</v>
          </cell>
          <cell r="D11039" t="str">
            <v>ITAU CORRETORA DE VALORES S.A.</v>
          </cell>
          <cell r="E11039" t="str">
            <v>ITAU CV S/A</v>
          </cell>
        </row>
        <row r="11040">
          <cell r="B11040">
            <v>975201</v>
          </cell>
          <cell r="C11040" t="str">
            <v>ITAU CORRETORA DE VALORES S.A.</v>
          </cell>
          <cell r="D11040" t="str">
            <v>ITAU CORRETORA DE VALORES S.A.</v>
          </cell>
          <cell r="E11040" t="str">
            <v>ITAU CV S/A</v>
          </cell>
        </row>
        <row r="11041">
          <cell r="B11041">
            <v>975202</v>
          </cell>
          <cell r="C11041" t="str">
            <v>ITAU CORRETORA DE VALORES S.A.</v>
          </cell>
          <cell r="D11041" t="str">
            <v>ITAU CORRETORA DE VALORES S.A.</v>
          </cell>
          <cell r="E11041" t="str">
            <v>ITAU CV S/A</v>
          </cell>
        </row>
        <row r="11042">
          <cell r="B11042">
            <v>975535</v>
          </cell>
          <cell r="C11042" t="str">
            <v>VOTORANTIM CTVM LTDA</v>
          </cell>
          <cell r="D11042" t="str">
            <v>VOTORANTIM CTVM LTDA</v>
          </cell>
          <cell r="E11042" t="str">
            <v>VOTORANTIM CTVM LTDA</v>
          </cell>
        </row>
        <row r="11043">
          <cell r="B11043">
            <v>97583</v>
          </cell>
          <cell r="C11043" t="str">
            <v>SINGULARE CORRETORA DE TIRULOS E VALORES MOBILIARIOS SA</v>
          </cell>
          <cell r="D11043" t="str">
            <v>SINGULARE CORRETORA DE TIRULOS E VALORES MOBILIARIOS SA</v>
          </cell>
          <cell r="E11043" t="str">
            <v>SINGULARE CORRETORA DE TIRULOS E VALORES MOBILIARIOS SA</v>
          </cell>
        </row>
        <row r="11044">
          <cell r="B11044">
            <v>97584</v>
          </cell>
          <cell r="C11044" t="str">
            <v>ITAU CORRETORA DE VALORES S.A.</v>
          </cell>
          <cell r="D11044" t="str">
            <v>ITAU CORRETORA DE VALORES S.A.</v>
          </cell>
          <cell r="E11044" t="str">
            <v>ITAU CV S/A</v>
          </cell>
        </row>
        <row r="11045">
          <cell r="B11045">
            <v>97585</v>
          </cell>
          <cell r="C11045" t="str">
            <v>ITAU CORRETORA DE VALORES S.A.</v>
          </cell>
          <cell r="D11045" t="str">
            <v>ITAU CORRETORA DE VALORES S.A.</v>
          </cell>
          <cell r="E11045" t="str">
            <v>ITAU CV S/A</v>
          </cell>
        </row>
        <row r="11046">
          <cell r="B11046">
            <v>97588</v>
          </cell>
          <cell r="C11046" t="str">
            <v>ITAU CORRETORA DE VALORES S.A.</v>
          </cell>
          <cell r="D11046" t="str">
            <v>ITAU CORRETORA DE VALORES S.A.</v>
          </cell>
          <cell r="E11046" t="str">
            <v>ITAU CV S/A</v>
          </cell>
        </row>
        <row r="11047">
          <cell r="B11047">
            <v>97601</v>
          </cell>
          <cell r="C11047" t="str">
            <v>ITAU CORRETORA DE VALORES S.A.</v>
          </cell>
          <cell r="D11047" t="str">
            <v>ITAU CORRETORA DE VALORES S.A.</v>
          </cell>
          <cell r="E11047" t="str">
            <v>ITAU CV S/A</v>
          </cell>
        </row>
        <row r="11048">
          <cell r="B11048">
            <v>97602</v>
          </cell>
          <cell r="C11048" t="str">
            <v>ITAU CORRETORA DE VALORES S.A.</v>
          </cell>
          <cell r="D11048" t="str">
            <v>ITAU CORRETORA DE VALORES S.A.</v>
          </cell>
          <cell r="E11048" t="str">
            <v>ITAU CV S/A</v>
          </cell>
        </row>
        <row r="11049">
          <cell r="B11049">
            <v>97603</v>
          </cell>
          <cell r="C11049" t="str">
            <v>ITAU CORRETORA DE VALORES S.A.</v>
          </cell>
          <cell r="D11049" t="str">
            <v>ITAU CORRETORA DE VALORES S.A.</v>
          </cell>
          <cell r="E11049" t="str">
            <v>ITAU CV S/A</v>
          </cell>
        </row>
        <row r="11050">
          <cell r="B11050">
            <v>97604</v>
          </cell>
          <cell r="C11050" t="str">
            <v>ITAU CORRETORA DE VALORES S.A.</v>
          </cell>
          <cell r="D11050" t="str">
            <v>ITAU CORRETORA DE VALORES S.A.</v>
          </cell>
          <cell r="E11050" t="str">
            <v>ITAU CV S/A</v>
          </cell>
        </row>
        <row r="11051">
          <cell r="B11051">
            <v>97607</v>
          </cell>
          <cell r="C11051" t="str">
            <v>ITAU CORRETORA DE VALORES S.A.</v>
          </cell>
          <cell r="D11051" t="str">
            <v>ITAU CORRETORA DE VALORES S.A.</v>
          </cell>
          <cell r="E11051" t="str">
            <v>ITAU CV S/A</v>
          </cell>
        </row>
        <row r="11052">
          <cell r="B11052">
            <v>97610</v>
          </cell>
          <cell r="C11052" t="str">
            <v>ITAU CORRETORA DE VALORES S.A.</v>
          </cell>
          <cell r="D11052" t="str">
            <v>ITAU CORRETORA DE VALORES S.A.</v>
          </cell>
          <cell r="E11052" t="str">
            <v>ITAU CV S/A</v>
          </cell>
        </row>
        <row r="11053">
          <cell r="B11053">
            <v>97611</v>
          </cell>
          <cell r="C11053" t="str">
            <v>ITAU CORRETORA DE VALORES S.A.</v>
          </cell>
          <cell r="D11053" t="str">
            <v>ITAU CORRETORA DE VALORES S.A.</v>
          </cell>
          <cell r="E11053" t="str">
            <v>ITAU CV S/A</v>
          </cell>
        </row>
        <row r="11054">
          <cell r="B11054">
            <v>97612</v>
          </cell>
          <cell r="C11054" t="str">
            <v>ITAU CORRETORA DE VALORES S.A.</v>
          </cell>
          <cell r="D11054" t="str">
            <v>ITAU CORRETORA DE VALORES S.A.</v>
          </cell>
          <cell r="E11054" t="str">
            <v>ITAU CV S/A</v>
          </cell>
        </row>
        <row r="11055">
          <cell r="B11055">
            <v>97613</v>
          </cell>
          <cell r="C11055" t="str">
            <v>ITAU CORRETORA DE VALORES S.A.</v>
          </cell>
          <cell r="D11055" t="str">
            <v>ITAU CORRETORA DE VALORES S.A.</v>
          </cell>
          <cell r="E11055" t="str">
            <v>ITAU CV S/A</v>
          </cell>
        </row>
        <row r="11056">
          <cell r="B11056">
            <v>97614</v>
          </cell>
          <cell r="C11056" t="str">
            <v>ITAU CORRETORA DE VALORES S.A.</v>
          </cell>
          <cell r="D11056" t="str">
            <v>ITAU CORRETORA DE VALORES S.A.</v>
          </cell>
          <cell r="E11056" t="str">
            <v>ITAU CV S/A</v>
          </cell>
        </row>
        <row r="11057">
          <cell r="B11057">
            <v>97615</v>
          </cell>
          <cell r="C11057" t="str">
            <v>ITAU CORRETORA DE VALORES S.A.</v>
          </cell>
          <cell r="D11057" t="str">
            <v>ITAU CORRETORA DE VALORES S.A.</v>
          </cell>
          <cell r="E11057" t="str">
            <v>ITAU CV S/A</v>
          </cell>
        </row>
        <row r="11058">
          <cell r="B11058">
            <v>97616</v>
          </cell>
          <cell r="C11058" t="str">
            <v>ITAU CORRETORA DE VALORES S.A.</v>
          </cell>
          <cell r="D11058" t="str">
            <v>ITAU CORRETORA DE VALORES S.A.</v>
          </cell>
          <cell r="E11058" t="str">
            <v>ITAU CV S/A</v>
          </cell>
        </row>
        <row r="11059">
          <cell r="B11059">
            <v>97617</v>
          </cell>
          <cell r="C11059" t="str">
            <v>ITAU CORRETORA DE VALORES S.A.</v>
          </cell>
          <cell r="D11059" t="str">
            <v>ITAU CORRETORA DE VALORES S.A.</v>
          </cell>
          <cell r="E11059" t="str">
            <v>ITAU CV S/A</v>
          </cell>
        </row>
        <row r="11060">
          <cell r="B11060">
            <v>97618</v>
          </cell>
          <cell r="C11060" t="str">
            <v>ITAU CORRETORA DE VALORES S.A.</v>
          </cell>
          <cell r="D11060" t="str">
            <v>ITAU CORRETORA DE VALORES S.A.</v>
          </cell>
          <cell r="E11060" t="str">
            <v>ITAU CV S/A</v>
          </cell>
        </row>
        <row r="11061">
          <cell r="B11061">
            <v>97654</v>
          </cell>
          <cell r="C11061" t="str">
            <v>ITAU CORRETORA DE VALORES S.A.</v>
          </cell>
          <cell r="D11061" t="str">
            <v>ITAU CORRETORA DE VALORES S.A.</v>
          </cell>
          <cell r="E11061" t="str">
            <v>ITAU CV S/A</v>
          </cell>
        </row>
        <row r="11062">
          <cell r="B11062">
            <v>97655</v>
          </cell>
          <cell r="C11062" t="str">
            <v>ITAU CORRETORA DE VALORES S.A.</v>
          </cell>
          <cell r="D11062" t="str">
            <v>ITAU CORRETORA DE VALORES S.A.</v>
          </cell>
          <cell r="E11062" t="str">
            <v>ITAU CV S/A</v>
          </cell>
        </row>
        <row r="11063">
          <cell r="B11063">
            <v>97656</v>
          </cell>
          <cell r="C11063" t="str">
            <v>ITAU CORRETORA DE VALORES S.A.</v>
          </cell>
          <cell r="D11063" t="str">
            <v>ITAU CORRETORA DE VALORES S.A.</v>
          </cell>
          <cell r="E11063" t="str">
            <v>ITAU CV S/A</v>
          </cell>
        </row>
        <row r="11064">
          <cell r="B11064">
            <v>97657</v>
          </cell>
          <cell r="C11064" t="str">
            <v>ITAU CORRETORA DE VALORES S.A.</v>
          </cell>
          <cell r="D11064" t="str">
            <v>ITAU CORRETORA DE VALORES S.A.</v>
          </cell>
          <cell r="E11064" t="str">
            <v>ITAU CV S/A</v>
          </cell>
        </row>
        <row r="11065">
          <cell r="B11065">
            <v>97658</v>
          </cell>
          <cell r="C11065" t="str">
            <v>ITAU CORRETORA DE VALORES S.A.</v>
          </cell>
          <cell r="D11065" t="str">
            <v>ITAU CORRETORA DE VALORES S.A.</v>
          </cell>
          <cell r="E11065" t="str">
            <v>ITAU CV S/A</v>
          </cell>
        </row>
        <row r="11066">
          <cell r="B11066">
            <v>97659</v>
          </cell>
          <cell r="C11066" t="str">
            <v>ITAU CORRETORA DE VALORES S.A.</v>
          </cell>
          <cell r="D11066" t="str">
            <v>ITAU CORRETORA DE VALORES S.A.</v>
          </cell>
          <cell r="E11066" t="str">
            <v>ITAU CV S/A</v>
          </cell>
        </row>
        <row r="11067">
          <cell r="B11067">
            <v>976632</v>
          </cell>
          <cell r="C11067" t="str">
            <v>VOTORANTIM CTVM LTDA</v>
          </cell>
          <cell r="D11067" t="str">
            <v>VOTORANTIM CTVM LTDA</v>
          </cell>
          <cell r="E11067" t="str">
            <v>VOTORANTIM CTVM LTDA</v>
          </cell>
        </row>
        <row r="11068">
          <cell r="B11068">
            <v>976633</v>
          </cell>
          <cell r="C11068" t="str">
            <v>VOTORANTIM CTVM LTDA</v>
          </cell>
          <cell r="D11068" t="str">
            <v>VOTORANTIM CTVM LTDA</v>
          </cell>
          <cell r="E11068" t="str">
            <v>VOTORANTIM CTVM LTDA</v>
          </cell>
        </row>
        <row r="11069">
          <cell r="B11069">
            <v>976634</v>
          </cell>
          <cell r="C11069" t="str">
            <v>VOTORANTIM CTVM LTDA</v>
          </cell>
          <cell r="D11069" t="str">
            <v>VOTORANTIM CTVM LTDA</v>
          </cell>
          <cell r="E11069" t="str">
            <v>VOTORANTIM CTVM LTDA</v>
          </cell>
        </row>
        <row r="11070">
          <cell r="B11070">
            <v>976635</v>
          </cell>
          <cell r="C11070" t="str">
            <v>VOTORANTIM CTVM LTDA</v>
          </cell>
          <cell r="D11070" t="str">
            <v>VOTORANTIM CTVM LTDA</v>
          </cell>
          <cell r="E11070" t="str">
            <v>VOTORANTIM CTVM LTDA</v>
          </cell>
        </row>
        <row r="11071">
          <cell r="B11071">
            <v>976636</v>
          </cell>
          <cell r="C11071" t="str">
            <v>VOTORANTIM CTVM LTDA</v>
          </cell>
          <cell r="D11071" t="str">
            <v>VOTORANTIM CTVM LTDA</v>
          </cell>
          <cell r="E11071" t="str">
            <v>VOTORANTIM CTVM LTDA</v>
          </cell>
        </row>
        <row r="11072">
          <cell r="B11072">
            <v>976637</v>
          </cell>
          <cell r="C11072" t="str">
            <v>VOTORANTIM CTVM LTDA</v>
          </cell>
          <cell r="D11072" t="str">
            <v>VOTORANTIM CTVM LTDA</v>
          </cell>
          <cell r="E11072" t="str">
            <v>VOTORANTIM CTVM LTDA</v>
          </cell>
        </row>
        <row r="11073">
          <cell r="B11073">
            <v>976638</v>
          </cell>
          <cell r="C11073" t="str">
            <v>VOTORANTIM CTVM LTDA</v>
          </cell>
          <cell r="D11073" t="str">
            <v>VOTORANTIM CTVM LTDA</v>
          </cell>
          <cell r="E11073" t="str">
            <v>VOTORANTIM CTVM LTDA</v>
          </cell>
        </row>
        <row r="11074">
          <cell r="B11074">
            <v>976639</v>
          </cell>
          <cell r="C11074" t="str">
            <v>VOTORANTIM CTVM LTDA</v>
          </cell>
          <cell r="D11074" t="str">
            <v>VOTORANTIM CTVM LTDA</v>
          </cell>
          <cell r="E11074" t="str">
            <v>VOTORANTIM CTVM LTDA</v>
          </cell>
        </row>
        <row r="11075">
          <cell r="B11075">
            <v>976766</v>
          </cell>
          <cell r="C11075" t="str">
            <v>BRASCAN S/A CTV</v>
          </cell>
          <cell r="D11075" t="str">
            <v>BRASCAN S/A CTV</v>
          </cell>
          <cell r="E11075" t="str">
            <v>BRASCAN S/A CTV</v>
          </cell>
        </row>
        <row r="11076">
          <cell r="B11076">
            <v>977000</v>
          </cell>
          <cell r="C11076" t="str">
            <v>SANTANDER BRASIL S/A CTVM</v>
          </cell>
          <cell r="D11076" t="str">
            <v>SANTANDER BRASIL S/A CTVM</v>
          </cell>
          <cell r="E11076" t="str">
            <v>MAXIMA S/A CTVM</v>
          </cell>
        </row>
        <row r="11077">
          <cell r="B11077">
            <v>979192</v>
          </cell>
          <cell r="C11077" t="str">
            <v>BTG PACTUAL CM LTDA</v>
          </cell>
          <cell r="D11077" t="str">
            <v>BTG PACTUAL CM LTDA</v>
          </cell>
          <cell r="E11077" t="str">
            <v>BTG PACTUAL CM LTDA</v>
          </cell>
        </row>
        <row r="11078">
          <cell r="B11078">
            <v>979572</v>
          </cell>
          <cell r="C11078" t="str">
            <v>ITAU CORRETORA DE VALORES S.A.</v>
          </cell>
          <cell r="D11078" t="str">
            <v>ITAU CORRETORA DE VALORES S.A.</v>
          </cell>
          <cell r="E11078" t="str">
            <v>ITAU CV S/A</v>
          </cell>
        </row>
        <row r="11079">
          <cell r="B11079">
            <v>979574</v>
          </cell>
          <cell r="C11079" t="str">
            <v>ITAU CORRETORA DE VALORES S.A.</v>
          </cell>
          <cell r="D11079" t="str">
            <v>ITAU CORRETORA DE VALORES S.A.</v>
          </cell>
          <cell r="E11079" t="str">
            <v>ITAU CV S/A</v>
          </cell>
        </row>
        <row r="11080">
          <cell r="B11080">
            <v>79161</v>
          </cell>
          <cell r="C11080" t="str">
            <v>BNP PARIBAS CORAL FIM PREVIDENCIARIO</v>
          </cell>
          <cell r="D11080" t="str">
            <v>BNP PARIBAS CORAL FIM PREVIDENCIARIO</v>
          </cell>
          <cell r="E11080" t="str">
            <v>BNP PARIBAS ASSET MANAGEMENT BRASIL LTDA</v>
          </cell>
        </row>
        <row r="11081">
          <cell r="B11081">
            <v>980131</v>
          </cell>
          <cell r="C11081" t="str">
            <v>FATOR S/A CV</v>
          </cell>
          <cell r="D11081" t="str">
            <v>FATOR S/A CV</v>
          </cell>
          <cell r="E11081" t="str">
            <v>FATOR S/A CV</v>
          </cell>
        </row>
        <row r="11082">
          <cell r="B11082">
            <v>980145</v>
          </cell>
          <cell r="C11082" t="str">
            <v>BANCO BTG PACTUAL S/A</v>
          </cell>
          <cell r="D11082" t="str">
            <v>BANCO BTG PACTUAL S/A</v>
          </cell>
          <cell r="E11082" t="str">
            <v>BANCO BTG PACTUAL S/A</v>
          </cell>
        </row>
        <row r="11083">
          <cell r="B11083">
            <v>98017</v>
          </cell>
          <cell r="C11083" t="str">
            <v>VOTORANTIM CTVM LTDA</v>
          </cell>
          <cell r="D11083" t="str">
            <v>VOTORANTIM CTVM LTDA</v>
          </cell>
          <cell r="E11083" t="str">
            <v>VOTORANTIM CTVM LTDA</v>
          </cell>
        </row>
        <row r="11084">
          <cell r="B11084">
            <v>98082</v>
          </cell>
          <cell r="C11084" t="str">
            <v>ICAP DO BRASIL CTVM LTDA ( ATUAL TULLET)</v>
          </cell>
          <cell r="D11084" t="str">
            <v>ICAP DO BRASIL CTVM LTDA ( ATUAL TULLET)</v>
          </cell>
          <cell r="E11084" t="str">
            <v>ICAP DO BRASIL CTVM LTDA ( ATUAL TULLET)</v>
          </cell>
        </row>
        <row r="11085">
          <cell r="B11085">
            <v>98083</v>
          </cell>
          <cell r="C11085" t="str">
            <v>ICAP DO BRASIL CTVM LTDA ( ATUAL TULLET)</v>
          </cell>
          <cell r="D11085" t="str">
            <v>ICAP DO BRASIL CTVM LTDA ( ATUAL TULLET)</v>
          </cell>
          <cell r="E11085" t="str">
            <v>ICAP DO BRASIL CTVM LTDA ( ATUAL TULLET)</v>
          </cell>
        </row>
        <row r="11086">
          <cell r="B11086">
            <v>98084</v>
          </cell>
          <cell r="C11086" t="str">
            <v>ICAP DO BRASIL CTVM LTDA ( ATUAL TULLET)</v>
          </cell>
          <cell r="D11086" t="str">
            <v>ICAP DO BRASIL CTVM LTDA ( ATUAL TULLET)</v>
          </cell>
          <cell r="E11086" t="str">
            <v>ICAP DO BRASIL CTVM LTDA ( ATUAL TULLET)</v>
          </cell>
        </row>
        <row r="11087">
          <cell r="B11087">
            <v>98113</v>
          </cell>
          <cell r="C11087" t="str">
            <v>ICAP DO BRASIL CTVM LTDA ( ATUAL TULLET)</v>
          </cell>
          <cell r="D11087" t="str">
            <v>ICAP DO BRASIL CTVM LTDA ( ATUAL TULLET)</v>
          </cell>
          <cell r="E11087" t="str">
            <v>ICAP DO BRASIL CTVM LTDA ( ATUAL TULLET)</v>
          </cell>
        </row>
        <row r="11088">
          <cell r="B11088">
            <v>981131</v>
          </cell>
          <cell r="C11088" t="str">
            <v>FATOR S/A CV</v>
          </cell>
          <cell r="D11088" t="str">
            <v>FATOR S/A CV</v>
          </cell>
          <cell r="E11088" t="str">
            <v>FATOR S/A CV</v>
          </cell>
        </row>
        <row r="11089">
          <cell r="B11089">
            <v>98162</v>
          </cell>
          <cell r="C11089" t="str">
            <v>ICAP DO BRASIL CTVM LTDA ( ATUAL TULLET)</v>
          </cell>
          <cell r="D11089" t="str">
            <v>ICAP DO BRASIL CTVM LTDA ( ATUAL TULLET)</v>
          </cell>
          <cell r="E11089" t="str">
            <v>ICAP DO BRASIL CTVM LTDA ( ATUAL TULLET)</v>
          </cell>
        </row>
        <row r="11090">
          <cell r="B11090">
            <v>982131</v>
          </cell>
          <cell r="C11090" t="str">
            <v>FATOR S/A CV</v>
          </cell>
          <cell r="D11090" t="str">
            <v>FATOR S/A CV</v>
          </cell>
          <cell r="E11090" t="str">
            <v>FATOR S/A CV</v>
          </cell>
        </row>
        <row r="11091">
          <cell r="B11091">
            <v>982132</v>
          </cell>
          <cell r="C11091" t="str">
            <v>FATOR S/A CV</v>
          </cell>
          <cell r="D11091" t="str">
            <v>FATOR S/A CV</v>
          </cell>
          <cell r="E11091" t="str">
            <v>FATOR S/A CV</v>
          </cell>
        </row>
        <row r="11092">
          <cell r="B11092">
            <v>98231</v>
          </cell>
          <cell r="C11092" t="str">
            <v>BTG PACTUAL CM LTDA</v>
          </cell>
          <cell r="D11092" t="str">
            <v>BTG PACTUAL CM LTDA</v>
          </cell>
          <cell r="E11092" t="str">
            <v>BTG PACTUAL CM LTDA</v>
          </cell>
        </row>
        <row r="11093">
          <cell r="B11093">
            <v>985202</v>
          </cell>
          <cell r="C11093" t="str">
            <v>FLOW CM LTDA</v>
          </cell>
          <cell r="D11093" t="str">
            <v>FLOW CM LTDA</v>
          </cell>
          <cell r="E11093" t="str">
            <v>FLOW CM LTDA</v>
          </cell>
        </row>
        <row r="11094">
          <cell r="B11094">
            <v>98534</v>
          </cell>
          <cell r="C11094" t="str">
            <v>SAO CARLOS EMPR. E PART. S/A</v>
          </cell>
          <cell r="D11094" t="str">
            <v>SAO CARLOS EMPR. E PART. S/A</v>
          </cell>
          <cell r="E11094" t="str">
            <v>SAO CARLOS EMPR. E PART. S/A</v>
          </cell>
        </row>
        <row r="11095">
          <cell r="B11095">
            <v>988061</v>
          </cell>
          <cell r="C11095" t="str">
            <v>UNIBANCO INVESTSHOP-CVMC</v>
          </cell>
          <cell r="D11095" t="str">
            <v>UNIBANCO INVESTSHOP-CVMC</v>
          </cell>
          <cell r="E11095" t="str">
            <v>UNIBANCO INVESTSHOP-CVMC</v>
          </cell>
        </row>
        <row r="11096">
          <cell r="B11096">
            <v>988062</v>
          </cell>
          <cell r="C11096" t="str">
            <v>UNIBANCO INVESTSHOP-CVMC</v>
          </cell>
          <cell r="D11096" t="str">
            <v>UNIBANCO INVESTSHOP-CVMC</v>
          </cell>
          <cell r="E11096" t="str">
            <v>UNIBANCO INVESTSHOP-CVMC</v>
          </cell>
        </row>
        <row r="11097">
          <cell r="B11097">
            <v>925188</v>
          </cell>
          <cell r="C11097" t="str">
            <v>UBS BRASIL CCTVM S/A (ANTIGA LINK S/A CCTVM)</v>
          </cell>
          <cell r="D11097" t="str">
            <v>UBS BRASIL CCTVM S/A (ANTIGA LINK S/A CCTVM)</v>
          </cell>
          <cell r="E11097" t="str">
            <v>UBS AG, LONDON BRANCH NOVO</v>
          </cell>
        </row>
        <row r="11098">
          <cell r="B11098">
            <v>98813</v>
          </cell>
          <cell r="C11098" t="str">
            <v>SANTANDER BRASIL S/A CTVM</v>
          </cell>
          <cell r="D11098" t="str">
            <v>SANTANDER BRASIL S/A CTVM</v>
          </cell>
          <cell r="E11098" t="str">
            <v>SANTANDER BRASIL S/A CTVM</v>
          </cell>
        </row>
        <row r="11099">
          <cell r="B11099">
            <v>98815</v>
          </cell>
          <cell r="C11099" t="str">
            <v>SANTANDER BRASIL S/A CTVM</v>
          </cell>
          <cell r="D11099" t="str">
            <v>SANTANDER BRASIL S/A CTVM</v>
          </cell>
          <cell r="E11099" t="str">
            <v>SANTANDER BRASIL S/A CTVM</v>
          </cell>
        </row>
        <row r="11100">
          <cell r="B11100">
            <v>988888</v>
          </cell>
          <cell r="C11100" t="str">
            <v>BGC LIQUIDEZ DTVM LTDA</v>
          </cell>
          <cell r="D11100" t="str">
            <v>BGC LIQUIDEZ DTVM LTDA</v>
          </cell>
          <cell r="E11100" t="str">
            <v>BGC LIQUIDEZ DTVM LTDA</v>
          </cell>
        </row>
        <row r="11101">
          <cell r="B11101">
            <v>98908</v>
          </cell>
          <cell r="C11101" t="str">
            <v>OPPORTUNITY DTVM LTDA</v>
          </cell>
          <cell r="D11101" t="str">
            <v>OPPORTUNITY DTVM LTDA</v>
          </cell>
          <cell r="E11101" t="str">
            <v>OPPORTUNITY DTVM LTDA</v>
          </cell>
        </row>
        <row r="11102">
          <cell r="B11102">
            <v>80200</v>
          </cell>
          <cell r="C11102" t="str">
            <v>BANCO SANTANDER S.A (HISPANO)</v>
          </cell>
          <cell r="D11102" t="str">
            <v>BANCO SANTANDER S.A (HISPANO)</v>
          </cell>
          <cell r="E11102" t="str">
            <v>BANCO SANTANDER S/A (HISPANO)</v>
          </cell>
        </row>
        <row r="11103">
          <cell r="B11103">
            <v>99001</v>
          </cell>
          <cell r="C11103" t="str">
            <v>LATINVEST JUPITER FIF</v>
          </cell>
          <cell r="D11103" t="str">
            <v>LATINVEST JUPITER FIF</v>
          </cell>
          <cell r="E11103" t="str">
            <v>LATINVEST JUPITER FIF</v>
          </cell>
        </row>
        <row r="11104">
          <cell r="B11104">
            <v>990017</v>
          </cell>
          <cell r="C11104" t="str">
            <v>AGORA CTVM S/A</v>
          </cell>
          <cell r="D11104" t="str">
            <v>AGORA CTVM S/A</v>
          </cell>
          <cell r="E11104" t="str">
            <v>AGORA GESTAO DE RECURSOS LTDA</v>
          </cell>
        </row>
        <row r="11105">
          <cell r="B11105">
            <v>990021</v>
          </cell>
          <cell r="C11105" t="str">
            <v>AGORA CTVM S/A</v>
          </cell>
          <cell r="D11105" t="str">
            <v>AGORA CTVM S/A</v>
          </cell>
          <cell r="E11105" t="str">
            <v>AGORA GESTAO DE RECURSOS LTDA</v>
          </cell>
        </row>
        <row r="11106">
          <cell r="B11106">
            <v>99004</v>
          </cell>
          <cell r="C11106" t="str">
            <v>UNICRED MG CP FIM</v>
          </cell>
          <cell r="D11106" t="str">
            <v>UNICRED MG CP FIM</v>
          </cell>
          <cell r="E11106" t="str">
            <v>UNICRED MG CP FIM</v>
          </cell>
        </row>
        <row r="11107">
          <cell r="B11107">
            <v>99005</v>
          </cell>
          <cell r="C11107" t="str">
            <v>GLOBALVEST INFRAPREV FIF</v>
          </cell>
          <cell r="D11107" t="str">
            <v>GLOBALVEST INFRAPREV FIF</v>
          </cell>
          <cell r="E11107" t="str">
            <v>MATURITY PLUS FIM</v>
          </cell>
        </row>
        <row r="11108">
          <cell r="B11108">
            <v>99006</v>
          </cell>
          <cell r="C11108" t="str">
            <v>MATURITY PLUS FIM</v>
          </cell>
          <cell r="D11108" t="str">
            <v>MATURITY PLUS FIM</v>
          </cell>
          <cell r="E11108" t="str">
            <v>MATURITY PLUS FIM</v>
          </cell>
        </row>
        <row r="11109">
          <cell r="B11109">
            <v>990063</v>
          </cell>
          <cell r="C11109" t="str">
            <v>SANTANDER S/A CCT</v>
          </cell>
          <cell r="D11109" t="str">
            <v>SANTANDER S/A CCT</v>
          </cell>
          <cell r="E11109" t="str">
            <v>SANTANDER S/A CCT</v>
          </cell>
        </row>
        <row r="11110">
          <cell r="B11110">
            <v>990068</v>
          </cell>
          <cell r="C11110" t="str">
            <v>SANTANDER S/A CCT</v>
          </cell>
          <cell r="D11110" t="str">
            <v>SANTANDER S/A CCT</v>
          </cell>
          <cell r="E11110" t="str">
            <v>SANTANDER S/A CCT</v>
          </cell>
        </row>
        <row r="11111">
          <cell r="B11111">
            <v>990069</v>
          </cell>
          <cell r="C11111" t="str">
            <v>SANTANDER S/A CCT</v>
          </cell>
          <cell r="D11111" t="str">
            <v>SANTANDER S/A CCT</v>
          </cell>
          <cell r="E11111" t="str">
            <v>SANTANDER S/A CCT</v>
          </cell>
        </row>
        <row r="11112">
          <cell r="B11112">
            <v>99007</v>
          </cell>
          <cell r="C11112" t="str">
            <v>LATINVEST NETUNO CAMBIAL FIF</v>
          </cell>
          <cell r="D11112" t="str">
            <v>LATINVEST NETUNO CAMBIAL FIF</v>
          </cell>
          <cell r="E11112" t="str">
            <v>LATINVEST NETUNO CAMBIAL FIF</v>
          </cell>
        </row>
        <row r="11113">
          <cell r="B11113">
            <v>990070</v>
          </cell>
          <cell r="C11113" t="str">
            <v>SANTANDER S/A CCT</v>
          </cell>
          <cell r="D11113" t="str">
            <v>SANTANDER S/A CCT</v>
          </cell>
          <cell r="E11113" t="str">
            <v>SANTANDER S/A CCT</v>
          </cell>
        </row>
        <row r="11114">
          <cell r="B11114">
            <v>99008</v>
          </cell>
          <cell r="C11114" t="str">
            <v>INFRAPREV GLOBAL CAPITAL GREEN CREDITO PRIVADO</v>
          </cell>
          <cell r="D11114" t="str">
            <v>INFRAPREV GLOBAL CAPITAL GREEN CREDITO PRIVADO</v>
          </cell>
          <cell r="E11114" t="str">
            <v>INFRAPREV GLOBAL CAPITAL GREEN CREDITO PRIVADO</v>
          </cell>
        </row>
        <row r="11115">
          <cell r="B11115">
            <v>99009</v>
          </cell>
          <cell r="C11115" t="str">
            <v>LATINVEST NETUNO FIF</v>
          </cell>
          <cell r="D11115" t="str">
            <v>LATINVEST NETUNO FIF</v>
          </cell>
          <cell r="E11115" t="str">
            <v>LATINVEST NETUNO FIF</v>
          </cell>
        </row>
        <row r="11116">
          <cell r="B11116">
            <v>99010</v>
          </cell>
          <cell r="C11116" t="str">
            <v>UNICRED LONG TERM CP FIM</v>
          </cell>
          <cell r="D11116" t="str">
            <v>UNICRED LONG TERM CP FIM</v>
          </cell>
          <cell r="E11116" t="str">
            <v>UNICRED LONG TERM CP FIM</v>
          </cell>
        </row>
        <row r="11117">
          <cell r="B11117">
            <v>99011</v>
          </cell>
          <cell r="C11117" t="str">
            <v>PLATINA HEDGE FIM</v>
          </cell>
          <cell r="D11117" t="str">
            <v>PLATINA HEDGE FIM</v>
          </cell>
          <cell r="E11117" t="str">
            <v>PLATINA INVESTIMENTOS LTDA</v>
          </cell>
        </row>
        <row r="11118">
          <cell r="B11118">
            <v>990118</v>
          </cell>
          <cell r="C11118" t="str">
            <v>SANTANDER S/A CCT</v>
          </cell>
          <cell r="D11118" t="str">
            <v>SANTANDER S/A CCT</v>
          </cell>
          <cell r="E11118" t="str">
            <v>SANTANDER S/A CCT</v>
          </cell>
        </row>
        <row r="11119">
          <cell r="B11119">
            <v>99012</v>
          </cell>
          <cell r="C11119" t="str">
            <v>ROMA ENERGIA II FDO DE INVESTIMENTO EM ACOES</v>
          </cell>
          <cell r="D11119" t="str">
            <v>ROMA ENERGIA II FDO DE INVESTIMENTO EM ACOES</v>
          </cell>
          <cell r="E11119" t="str">
            <v>MATURITY PLUS FIM</v>
          </cell>
        </row>
        <row r="11120">
          <cell r="B11120">
            <v>99013</v>
          </cell>
          <cell r="C11120" t="str">
            <v>FDO DE INV MULTIMERCADO GLOBALVEST PETROLEO</v>
          </cell>
          <cell r="D11120" t="str">
            <v>FDO DE INV MULTIMERCADO GLOBALVEST PETROLEO</v>
          </cell>
          <cell r="E11120" t="str">
            <v>FDO DE INV MULTIMERCADO GLOBALVEST PETROLEO</v>
          </cell>
        </row>
        <row r="11121">
          <cell r="B11121">
            <v>99014</v>
          </cell>
          <cell r="C11121" t="str">
            <v>GLOBALVEST FUND FITVM</v>
          </cell>
          <cell r="D11121" t="str">
            <v>GLOBALVEST FUND FITVM</v>
          </cell>
          <cell r="E11121" t="str">
            <v>GLOBALVEST FUND FITVM</v>
          </cell>
        </row>
        <row r="11122">
          <cell r="B11122">
            <v>990144</v>
          </cell>
          <cell r="C11122" t="str">
            <v>SINGULARE CORRETORA DE TIRULOS E VALORES MOBILIARIOS SA</v>
          </cell>
          <cell r="D11122" t="str">
            <v>SINGULARE CORRETORA DE TIRULOS E VALORES MOBILIARIOS SA</v>
          </cell>
          <cell r="E11122" t="str">
            <v>SINGULARE CORRETORA DE TIRULOS E VALORES MOBILIARIOS SA</v>
          </cell>
        </row>
        <row r="11123">
          <cell r="B11123">
            <v>990159</v>
          </cell>
          <cell r="C11123" t="str">
            <v>CGD INVESTIMENTOS CORRETORA DE VALORES E CAMBIO S/A</v>
          </cell>
          <cell r="D11123" t="str">
            <v>CGD INVESTIMENTOS CORRETORA DE VALORES E CAMBIO S/A</v>
          </cell>
          <cell r="E11123" t="str">
            <v>CGD INVESTIMENTOS CORRETORA DE VALORES E CAMBIO S/A</v>
          </cell>
        </row>
        <row r="11124">
          <cell r="B11124">
            <v>99016</v>
          </cell>
          <cell r="C11124" t="str">
            <v>GLOBAL EQUITY INSTITUCIONAL FIM</v>
          </cell>
          <cell r="D11124" t="str">
            <v>GLOBAL EQUITY INSTITUCIONAL FIM</v>
          </cell>
          <cell r="E11124" t="str">
            <v>GLOBAL EQUITY INSTITUCIONAL FIM</v>
          </cell>
        </row>
        <row r="11125">
          <cell r="B11125">
            <v>990167</v>
          </cell>
          <cell r="C11125" t="str">
            <v>SANTANDER S/A CCT</v>
          </cell>
          <cell r="D11125" t="str">
            <v>SANTANDER S/A CCT</v>
          </cell>
          <cell r="E11125" t="str">
            <v>SANTANDER S/A CCT</v>
          </cell>
        </row>
        <row r="11126">
          <cell r="B11126">
            <v>990453</v>
          </cell>
          <cell r="C11126" t="str">
            <v>ATIVA S/A CTCV</v>
          </cell>
          <cell r="D11126" t="str">
            <v>ATIVA S/A CTCV</v>
          </cell>
          <cell r="E11126" t="str">
            <v>ATIVA S/A CTCV</v>
          </cell>
        </row>
        <row r="11127">
          <cell r="B11127">
            <v>99067</v>
          </cell>
          <cell r="C11127" t="str">
            <v>ITAU CORRETORA DE VALORES S.A.</v>
          </cell>
          <cell r="D11127" t="str">
            <v>ITAU CORRETORA DE VALORES S.A.</v>
          </cell>
          <cell r="E11127" t="str">
            <v>ITAU CV S/A</v>
          </cell>
        </row>
        <row r="11128">
          <cell r="B11128">
            <v>991518</v>
          </cell>
          <cell r="C11128" t="str">
            <v>AGORA CTVM S/A</v>
          </cell>
          <cell r="D11128" t="str">
            <v>AGORA CTVM S/A</v>
          </cell>
          <cell r="E11128" t="str">
            <v>AGORA GESTAO DE RECURSOS LTDA</v>
          </cell>
        </row>
        <row r="11129">
          <cell r="B11129">
            <v>992000</v>
          </cell>
          <cell r="C11129" t="str">
            <v>DEUTSCHE BANK S/A BANCO ALEMÃƒO</v>
          </cell>
          <cell r="D11129" t="str">
            <v>DEUTSCHE BANK S/A BANCO ALEMÃƒO</v>
          </cell>
          <cell r="E11129" t="str">
            <v>DEUTSCHE BANK S/A</v>
          </cell>
        </row>
        <row r="11130">
          <cell r="B11130">
            <v>99312</v>
          </cell>
          <cell r="C11130" t="str">
            <v>FLOW CM LTDA</v>
          </cell>
          <cell r="D11130" t="str">
            <v>FLOW CM LTDA</v>
          </cell>
          <cell r="E11130" t="str">
            <v>FLOW CM LTDA</v>
          </cell>
        </row>
        <row r="11131">
          <cell r="B11131">
            <v>99333</v>
          </cell>
          <cell r="C11131" t="str">
            <v>SAPPHIRE PARTICIPACOES S/A</v>
          </cell>
          <cell r="D11131" t="str">
            <v>SAPPHIRE PARTICIPACOES S/A</v>
          </cell>
          <cell r="E11131" t="str">
            <v>MATURITY PLUS FIM</v>
          </cell>
        </row>
        <row r="11132">
          <cell r="B11132">
            <v>993502</v>
          </cell>
          <cell r="C11132" t="str">
            <v>VOTORANTIM CTVM LTDA</v>
          </cell>
          <cell r="D11132" t="str">
            <v>VOTORANTIM CTVM LTDA</v>
          </cell>
          <cell r="E11132" t="str">
            <v>VOTORANTIM CTVM LTDA</v>
          </cell>
        </row>
        <row r="11133">
          <cell r="B11133">
            <v>995006</v>
          </cell>
          <cell r="C11133" t="str">
            <v>SANTANDER BRASIL S/A CTVM</v>
          </cell>
          <cell r="D11133" t="str">
            <v>SANTANDER BRASIL S/A CTVM</v>
          </cell>
          <cell r="E11133" t="str">
            <v>SANTANDER BRASIL S/A CTVM</v>
          </cell>
        </row>
        <row r="11134">
          <cell r="B11134">
            <v>99604</v>
          </cell>
          <cell r="C11134" t="str">
            <v>ITAU CORRETORA DE VALORES S.A.</v>
          </cell>
          <cell r="D11134" t="str">
            <v>ITAU CORRETORA DE VALORES S.A.</v>
          </cell>
          <cell r="E11134" t="str">
            <v>ITAU CV S/A</v>
          </cell>
        </row>
        <row r="11135">
          <cell r="B11135">
            <v>99605</v>
          </cell>
          <cell r="C11135" t="str">
            <v>BTG PACTUAL CORRETORA DE TITULOS E VALORES MOBILIARIOS S/A</v>
          </cell>
          <cell r="D11135" t="str">
            <v>BTG PACTUAL CORRETORA DE TITULOS E VALORES MOBILIARIOS S/A</v>
          </cell>
          <cell r="E11135" t="str">
            <v>BTG PACTUAL CORRETORA DE TITULOS E VALORES MOBILIARIOS S/A</v>
          </cell>
        </row>
        <row r="11136">
          <cell r="B11136">
            <v>99606</v>
          </cell>
          <cell r="C11136" t="str">
            <v>ITAU CORRETORA DE VALORES S.A.</v>
          </cell>
          <cell r="D11136" t="str">
            <v>ITAU CORRETORA DE VALORES S.A.</v>
          </cell>
          <cell r="E11136" t="str">
            <v>ITAU CV S/A</v>
          </cell>
        </row>
        <row r="11137">
          <cell r="B11137">
            <v>99607</v>
          </cell>
          <cell r="C11137" t="str">
            <v>BTG PACTUAL CORRETORA DE TITULOS E VALORES MOBILIARIOS S/A</v>
          </cell>
          <cell r="D11137" t="str">
            <v>BTG PACTUAL CORRETORA DE TITULOS E VALORES MOBILIARIOS S/A</v>
          </cell>
          <cell r="E11137" t="str">
            <v>BTG PACTUAL CORRETORA DE TITULOS E VALORES MOBILIARIOS S/A</v>
          </cell>
        </row>
        <row r="11138">
          <cell r="B11138">
            <v>99608</v>
          </cell>
          <cell r="C11138" t="str">
            <v>GRADUAL CCTVM S/A</v>
          </cell>
          <cell r="D11138" t="str">
            <v>GRADUAL CCTVM S/A</v>
          </cell>
          <cell r="E11138" t="str">
            <v>GRADUAL CCTVM S/A</v>
          </cell>
        </row>
        <row r="11139">
          <cell r="B11139">
            <v>99609</v>
          </cell>
          <cell r="C11139" t="str">
            <v>ITAU CORRETORA DE VALORES S.A.</v>
          </cell>
          <cell r="D11139" t="str">
            <v>ITAU CORRETORA DE VALORES S.A.</v>
          </cell>
          <cell r="E11139" t="str">
            <v>ITAU CV S/A</v>
          </cell>
        </row>
        <row r="11140">
          <cell r="B11140">
            <v>99610</v>
          </cell>
          <cell r="C11140" t="str">
            <v>ITAU CORRETORA DE VALORES S.A.</v>
          </cell>
          <cell r="D11140" t="str">
            <v>ITAU CORRETORA DE VALORES S.A.</v>
          </cell>
          <cell r="E11140" t="str">
            <v>ITAU CV S/A</v>
          </cell>
        </row>
        <row r="11141">
          <cell r="B11141">
            <v>99611</v>
          </cell>
          <cell r="C11141" t="str">
            <v>ITAU CORRETORA DE VALORES S.A.</v>
          </cell>
          <cell r="D11141" t="str">
            <v>ITAU CORRETORA DE VALORES S.A.</v>
          </cell>
          <cell r="E11141" t="str">
            <v>ITAU CV S/A</v>
          </cell>
        </row>
        <row r="11142">
          <cell r="B11142">
            <v>99645</v>
          </cell>
          <cell r="C11142" t="str">
            <v>SANTANDER CORRETORA DE CAMBIO E VALORES MOBILIARIOS S/A</v>
          </cell>
          <cell r="D11142" t="str">
            <v>SANTANDER CORRETORA DE CAMBIO E VALORES MOBILIARIOS S/A</v>
          </cell>
          <cell r="E11142" t="str">
            <v>SANTANDER S/A CCT</v>
          </cell>
        </row>
        <row r="11143">
          <cell r="B11143">
            <v>996452</v>
          </cell>
          <cell r="C11143" t="str">
            <v>FLOW CM LTDA</v>
          </cell>
          <cell r="D11143" t="str">
            <v>FLOW CM LTDA</v>
          </cell>
          <cell r="E11143" t="str">
            <v>FLOW CM LTDA</v>
          </cell>
        </row>
        <row r="11144">
          <cell r="B11144">
            <v>99646</v>
          </cell>
          <cell r="C11144" t="str">
            <v>SANTANDER CORRETORA DE CAMBIO E VALORES MOBILIARIOS S/A</v>
          </cell>
          <cell r="D11144" t="str">
            <v>SANTANDER CORRETORA DE CAMBIO E VALORES MOBILIARIOS S/A</v>
          </cell>
          <cell r="E11144" t="str">
            <v>SANTANDER S/A CCT</v>
          </cell>
        </row>
        <row r="11145">
          <cell r="B11145">
            <v>99647</v>
          </cell>
          <cell r="C11145" t="str">
            <v>SANTANDER CORRETORA DE CAMBIO E VALORES MOBILIARIOS S/A</v>
          </cell>
          <cell r="D11145" t="str">
            <v>SANTANDER CORRETORA DE CAMBIO E VALORES MOBILIARIOS S/A</v>
          </cell>
          <cell r="E11145" t="str">
            <v>SANTANDER S/A CCT</v>
          </cell>
        </row>
        <row r="11146">
          <cell r="B11146">
            <v>99648</v>
          </cell>
          <cell r="C11146" t="str">
            <v>SANTANDER CORRETORA DE CAMBIO E VALORES MOBILIARIOS S/A</v>
          </cell>
          <cell r="D11146" t="str">
            <v>SANTANDER CORRETORA DE CAMBIO E VALORES MOBILIARIOS S/A</v>
          </cell>
          <cell r="E11146" t="str">
            <v>SANTANDER S/A CCT</v>
          </cell>
        </row>
        <row r="11147">
          <cell r="B11147">
            <v>99649</v>
          </cell>
          <cell r="C11147" t="str">
            <v>SANTANDER CORRETORA DE CAMBIO E VALORES MOBILIARIOS S/A</v>
          </cell>
          <cell r="D11147" t="str">
            <v>SANTANDER CORRETORA DE CAMBIO E VALORES MOBILIARIOS S/A</v>
          </cell>
          <cell r="E11147" t="str">
            <v>SANTANDER S/A CCT</v>
          </cell>
        </row>
        <row r="11148">
          <cell r="B11148">
            <v>99650</v>
          </cell>
          <cell r="C11148" t="str">
            <v>SANTANDER CORRETORA DE CAMBIO E VALORES MOBILIARIOS S/A</v>
          </cell>
          <cell r="D11148" t="str">
            <v>SANTANDER CORRETORA DE CAMBIO E VALORES MOBILIARIOS S/A</v>
          </cell>
          <cell r="E11148" t="str">
            <v>SANTANDER S/A CCT</v>
          </cell>
        </row>
        <row r="11149">
          <cell r="B11149">
            <v>99651</v>
          </cell>
          <cell r="C11149" t="str">
            <v>SANTANDER CORRETORA DE CAMBIO E VALORES MOBILIARIOS S/A</v>
          </cell>
          <cell r="D11149" t="str">
            <v>SANTANDER CORRETORA DE CAMBIO E VALORES MOBILIARIOS S/A</v>
          </cell>
          <cell r="E11149" t="str">
            <v>SANTANDER S/A CCT</v>
          </cell>
        </row>
        <row r="11150">
          <cell r="B11150">
            <v>930188</v>
          </cell>
          <cell r="C11150" t="str">
            <v>UBS BRASIL CCTVM S/A (ANTIGA LINK S/A CCTVM)</v>
          </cell>
          <cell r="D11150" t="str">
            <v>UBS BRASIL CCTVM S/A (ANTIGA LINK S/A CCTVM)</v>
          </cell>
          <cell r="E11150" t="str">
            <v>UBS AG, LONDON BRANCH NOVO</v>
          </cell>
        </row>
        <row r="11151">
          <cell r="B11151">
            <v>99657</v>
          </cell>
          <cell r="C11151" t="str">
            <v>J SAFRA CVC LTDA</v>
          </cell>
          <cell r="D11151" t="str">
            <v>J SAFRA CVC LTDA</v>
          </cell>
          <cell r="E11151" t="str">
            <v>J SAFRA CVC LTDA</v>
          </cell>
        </row>
        <row r="11152">
          <cell r="B11152">
            <v>99659</v>
          </cell>
          <cell r="C11152" t="str">
            <v>CONCORDIA S/A CVMCC</v>
          </cell>
          <cell r="D11152" t="str">
            <v>CONCORDIA S/A CVMCC</v>
          </cell>
          <cell r="E11152" t="str">
            <v>CONCORDIA S/A CVMCC</v>
          </cell>
        </row>
        <row r="11153">
          <cell r="B11153">
            <v>99666</v>
          </cell>
          <cell r="C11153" t="str">
            <v>ICAP DO BRASIL CTVM LTDA ( ATUAL TULLET)</v>
          </cell>
          <cell r="D11153" t="str">
            <v>ICAP DO BRASIL CTVM LTDA ( ATUAL TULLET)</v>
          </cell>
          <cell r="E11153" t="str">
            <v>ICAP DO BRASIL CTVM LTDA ( ATUAL TULLET)</v>
          </cell>
        </row>
        <row r="11154">
          <cell r="B11154">
            <v>99668</v>
          </cell>
          <cell r="C11154" t="str">
            <v>CREDIT SUISSE (BRASIL) S/A CTVM</v>
          </cell>
          <cell r="D11154" t="str">
            <v>CREDIT SUISSE (BRASIL) S/A CTVM</v>
          </cell>
          <cell r="E11154" t="str">
            <v>CREDIT SUISSE (BRASIL) S/A CTVM</v>
          </cell>
        </row>
        <row r="11155">
          <cell r="B11155">
            <v>99674</v>
          </cell>
          <cell r="C11155" t="str">
            <v>ITAU CORRETORA DE VALORES S.A.</v>
          </cell>
          <cell r="D11155" t="str">
            <v>ITAU CORRETORA DE VALORES S.A.</v>
          </cell>
          <cell r="E11155" t="str">
            <v>ITAU CV S/A</v>
          </cell>
        </row>
        <row r="11156">
          <cell r="B11156">
            <v>99677</v>
          </cell>
          <cell r="C11156" t="str">
            <v>ITAU CORRETORA DE VALORES S.A.</v>
          </cell>
          <cell r="D11156" t="str">
            <v>ITAU CORRETORA DE VALORES S.A.</v>
          </cell>
          <cell r="E11156" t="str">
            <v>ITAU CV S/A</v>
          </cell>
        </row>
        <row r="11157">
          <cell r="B11157">
            <v>99678</v>
          </cell>
          <cell r="C11157" t="str">
            <v>CGD INVESTIMENTOS CORRETORA DE VALORES E CAMBIO S/A</v>
          </cell>
          <cell r="D11157" t="str">
            <v>CGD INVESTIMENTOS CORRETORA DE VALORES E CAMBIO S/A</v>
          </cell>
          <cell r="E11157" t="str">
            <v>CGD INVESTIMENTOS CORRETORA DE VALORES E CAMBIO S/A</v>
          </cell>
        </row>
        <row r="11158">
          <cell r="B11158">
            <v>999133</v>
          </cell>
          <cell r="C11158" t="str">
            <v>CGD INVESTIMENTOS CORRETORA DE VALORES E CAMBIO S/A</v>
          </cell>
          <cell r="D11158" t="str">
            <v>CGD INVESTIMENTOS CORRETORA DE VALORES E CAMBIO S/A</v>
          </cell>
        </row>
        <row r="11159">
          <cell r="B11159">
            <v>999144</v>
          </cell>
          <cell r="C11159" t="str">
            <v>TERRA FUTUROS CM S/A</v>
          </cell>
          <cell r="D11159">
            <v>254</v>
          </cell>
          <cell r="E11159" t="str">
            <v>TERRA FUTUROS CM S/A</v>
          </cell>
        </row>
        <row r="11160">
          <cell r="B11160">
            <v>144526</v>
          </cell>
          <cell r="C11160" t="str">
            <v>XP GESTAO DE RECURSOS LTDA</v>
          </cell>
          <cell r="D11160" t="str">
            <v>XP GESTAO DE RECURSOS LTDA</v>
          </cell>
          <cell r="E11160" t="str">
            <v>XP GESTAO DE RECURSOS LTDA</v>
          </cell>
        </row>
        <row r="11161">
          <cell r="B11161">
            <v>9999001</v>
          </cell>
          <cell r="C11161" t="str">
            <v>ITAU CORRETORA DE VALORES S.A.</v>
          </cell>
          <cell r="D11161" t="str">
            <v>ITAU CORRETORA DE VALORES S.A.</v>
          </cell>
          <cell r="E11161" t="str">
            <v>ITAU CV S/A</v>
          </cell>
        </row>
        <row r="11162">
          <cell r="B11162">
            <v>9999002</v>
          </cell>
          <cell r="C11162" t="str">
            <v>ITAU CORRETORA DE VALORES S.A.</v>
          </cell>
          <cell r="D11162" t="str">
            <v>ITAU CORRETORA DE VALORES S.A.</v>
          </cell>
          <cell r="E11162" t="str">
            <v>ITAU CV S/A</v>
          </cell>
        </row>
        <row r="11163">
          <cell r="B11163">
            <v>9999004</v>
          </cell>
          <cell r="C11163" t="str">
            <v>PERSONALE CONSULTORIA E GESTAO DE CARTEIRAS LTDA</v>
          </cell>
          <cell r="D11163" t="str">
            <v>PERSONALE CONSULTORIA E GESTAO DE CARTEIRAS LTDA</v>
          </cell>
          <cell r="E11163" t="str">
            <v>PERSONALE CONSULTORIA E GESTAO DE CARTEIRAS LTDA</v>
          </cell>
        </row>
        <row r="11164">
          <cell r="B11164">
            <v>99991</v>
          </cell>
          <cell r="C11164" t="str">
            <v>BGC LIQUIDEZ DTVM LTDA</v>
          </cell>
          <cell r="D11164" t="str">
            <v>BGC LIQUIDEZ DTVM LTDA</v>
          </cell>
          <cell r="E11164" t="str">
            <v>BGC LIQUIDEZ DTVM LTDA</v>
          </cell>
        </row>
        <row r="11165">
          <cell r="B11165">
            <v>9999400</v>
          </cell>
          <cell r="C11165" t="str">
            <v>BGC LIQUIDEZ DTVM LTDA</v>
          </cell>
          <cell r="D11165" t="str">
            <v>BGC LIQUIDEZ DTVM LTDA</v>
          </cell>
          <cell r="E11165" t="str">
            <v>BGC LIQUIDEZ DTVM LTDA</v>
          </cell>
        </row>
        <row r="11166">
          <cell r="B11166">
            <v>9999601</v>
          </cell>
          <cell r="C11166" t="str">
            <v>BGC LIQUIDEZ DTVM LTDA</v>
          </cell>
          <cell r="D11166" t="str">
            <v>BGC LIQUIDEZ DTVM LTDA</v>
          </cell>
          <cell r="E11166" t="str">
            <v>BGC LIQUIDEZ DTVM LTDA</v>
          </cell>
        </row>
        <row r="11167">
          <cell r="B11167">
            <v>99999</v>
          </cell>
          <cell r="C11167" t="str">
            <v>BGC LIQUIDEZ DTVM LTDA</v>
          </cell>
          <cell r="D11167" t="str">
            <v>BGC LIQUIDEZ DTVM LTDA</v>
          </cell>
          <cell r="E11167" t="str">
            <v>BGC LIQUIDEZ DTVM LTDA</v>
          </cell>
        </row>
        <row r="11168">
          <cell r="B11168">
            <v>999999</v>
          </cell>
          <cell r="C11168" t="str">
            <v>BGC LIQUIDEZ DTVM LTDA</v>
          </cell>
          <cell r="D11168" t="str">
            <v>BGC LIQUIDEZ DTVM LTDA</v>
          </cell>
          <cell r="E11168" t="str">
            <v>BGC LIQUIDEZ DTVM LTDA</v>
          </cell>
        </row>
        <row r="11169">
          <cell r="B11169">
            <v>79323</v>
          </cell>
          <cell r="C11169" t="str">
            <v>GROOVE INVESTMENTS LLC</v>
          </cell>
          <cell r="D11169" t="str">
            <v>GROOVE INVESTMENTS LLC</v>
          </cell>
          <cell r="E11169" t="str">
            <v>GROOVE INVESTMENTS LLC</v>
          </cell>
        </row>
        <row r="11170">
          <cell r="B11170">
            <v>79324</v>
          </cell>
          <cell r="C11170" t="str">
            <v>BRASIL CAPITAL MASTER FIA</v>
          </cell>
          <cell r="D11170">
            <v>976633</v>
          </cell>
          <cell r="E11170" t="str">
            <v>BRASIL CAPITAL MASTER FIA</v>
          </cell>
        </row>
        <row r="11171">
          <cell r="B11171">
            <v>79325</v>
          </cell>
          <cell r="C11171" t="str">
            <v>BRASIL CAPITAL MASTER FIM</v>
          </cell>
          <cell r="D11171">
            <v>976634</v>
          </cell>
          <cell r="E11171" t="str">
            <v>BRASIL CAPITAL MASTER FIM</v>
          </cell>
        </row>
        <row r="11172">
          <cell r="B11172">
            <v>79326</v>
          </cell>
          <cell r="C11172" t="str">
            <v>AQ3 ASSET MANAGEMENT LTDA</v>
          </cell>
          <cell r="D11172" t="str">
            <v>AQ3 ASSET MANAGEMENT LTDA</v>
          </cell>
          <cell r="E11172" t="str">
            <v>AQ3 ASSET MANAGEMENT LTDA</v>
          </cell>
        </row>
        <row r="11173">
          <cell r="B11173">
            <v>79327</v>
          </cell>
          <cell r="C11173" t="str">
            <v>BANCO RIBEIRAO PRETO S/A</v>
          </cell>
          <cell r="D11173">
            <v>944057</v>
          </cell>
          <cell r="E11173" t="str">
            <v>BANCO RIBEIRAO PRETO S/A</v>
          </cell>
        </row>
        <row r="11174">
          <cell r="B11174">
            <v>79328</v>
          </cell>
          <cell r="C11174" t="str">
            <v>SCHRODER INVESTMENT MANAGEMENT BRASIL LTDA</v>
          </cell>
          <cell r="D11174">
            <v>377</v>
          </cell>
          <cell r="E11174" t="str">
            <v>SCHRODER INVESTMENT MANAGEMENT BRASIL LTDA</v>
          </cell>
        </row>
        <row r="11175">
          <cell r="B11175">
            <v>79330</v>
          </cell>
          <cell r="C11175" t="str">
            <v>VENTURESTAR GESTAO DE RECURSOS LTDA</v>
          </cell>
          <cell r="D11175">
            <v>368</v>
          </cell>
          <cell r="E11175" t="str">
            <v>VENTURESTAR GESTAO DE RECURSOS LTDA</v>
          </cell>
        </row>
        <row r="11176">
          <cell r="B11176">
            <v>79331</v>
          </cell>
          <cell r="C11176" t="str">
            <v>CAIXA ECONOMICA FEDERAL</v>
          </cell>
          <cell r="D11176" t="str">
            <v>CAIXA ECONOMICA FEDERAL</v>
          </cell>
          <cell r="E11176" t="str">
            <v>CAIXA ECONOMICA FEDERAL</v>
          </cell>
        </row>
        <row r="11177">
          <cell r="B11177">
            <v>79332</v>
          </cell>
          <cell r="C11177" t="str">
            <v>VINCI SOLUÃ‡Ã•ES DE INVESTIMENTOS LTDA</v>
          </cell>
          <cell r="D11177">
            <v>389</v>
          </cell>
          <cell r="E11177" t="str">
            <v>VINCI GESTORA DE RECURSOS LTDA</v>
          </cell>
        </row>
        <row r="11178">
          <cell r="B11178">
            <v>79333</v>
          </cell>
          <cell r="C11178" t="str">
            <v>BR PARTNERS GESTAO DE RECURSOS LTDA</v>
          </cell>
          <cell r="D11178">
            <v>107</v>
          </cell>
          <cell r="E11178" t="str">
            <v>BR PARTNERS GESTAO DE RECURSOS LTDA</v>
          </cell>
        </row>
        <row r="11179">
          <cell r="B11179">
            <v>79334</v>
          </cell>
          <cell r="C11179" t="str">
            <v>BANIF BANCO DE INVESTIMENTO (BRASIL) S/A</v>
          </cell>
          <cell r="D11179" t="str">
            <v>BANIF BANCO DE INVESTIMENTO (BRASIL) S/A</v>
          </cell>
          <cell r="E11179" t="str">
            <v>BANIF BANCO DE INVESTIMENTO (BRASIL) S/A</v>
          </cell>
        </row>
        <row r="11180">
          <cell r="B11180">
            <v>79335</v>
          </cell>
          <cell r="C11180" t="str">
            <v>PATRIA INVESTIMENTOS LTDA</v>
          </cell>
          <cell r="D11180">
            <v>139</v>
          </cell>
          <cell r="E11180" t="str">
            <v>PATRIA INVESTIMENTOS LTDA</v>
          </cell>
        </row>
        <row r="11181">
          <cell r="B11181">
            <v>79336</v>
          </cell>
          <cell r="C11181" t="str">
            <v>EAGLE CAPITAL SS LTDA</v>
          </cell>
          <cell r="D11181">
            <v>95</v>
          </cell>
          <cell r="E11181" t="str">
            <v>EAGLE CAPITAL SS LTDA</v>
          </cell>
        </row>
        <row r="11182">
          <cell r="B11182">
            <v>79337</v>
          </cell>
          <cell r="C11182" t="str">
            <v>FOX STRATEGY FIM</v>
          </cell>
          <cell r="D11182" t="str">
            <v>FOX STRATEGY FIM</v>
          </cell>
          <cell r="E11182" t="str">
            <v>FOX INVESTIMENTOS LTDA</v>
          </cell>
        </row>
        <row r="11183">
          <cell r="B11183">
            <v>79338</v>
          </cell>
          <cell r="C11183" t="str">
            <v>PROTEUS INVESTIMENTOS LTDA</v>
          </cell>
          <cell r="D11183" t="str">
            <v>PROTEUS INVESTIMENTOS LTDA</v>
          </cell>
          <cell r="E11183" t="str">
            <v>PROTEUS INVESTIMENTOS LTDA</v>
          </cell>
        </row>
        <row r="11184">
          <cell r="B11184">
            <v>79339</v>
          </cell>
          <cell r="C11184" t="str">
            <v>A3 PERFORMANCE GESTAO DE RECURSOS LTDA</v>
          </cell>
          <cell r="D11184">
            <v>337</v>
          </cell>
          <cell r="E11184" t="str">
            <v>A3 PERFORMANCE GESTAO DE RECURSOS LTDA</v>
          </cell>
        </row>
        <row r="11185">
          <cell r="B11185">
            <v>79340</v>
          </cell>
          <cell r="C11185" t="str">
            <v>XMZ FIM CP IE</v>
          </cell>
          <cell r="D11185">
            <v>92565</v>
          </cell>
          <cell r="E11185" t="str">
            <v>XMZ FIM CP IE</v>
          </cell>
        </row>
        <row r="11186">
          <cell r="B11186">
            <v>79341</v>
          </cell>
          <cell r="C11186" t="str">
            <v>ANNAPURNA LLC</v>
          </cell>
          <cell r="D11186" t="str">
            <v>ANNAPURNA LLC</v>
          </cell>
          <cell r="E11186" t="str">
            <v>ANNAPURNA LLC</v>
          </cell>
        </row>
        <row r="11187">
          <cell r="B11187">
            <v>79342</v>
          </cell>
          <cell r="C11187" t="str">
            <v>MANASLU LLC</v>
          </cell>
          <cell r="D11187" t="str">
            <v>MANASLU LLC</v>
          </cell>
          <cell r="E11187" t="str">
            <v>MANASLU LLC</v>
          </cell>
        </row>
        <row r="11188">
          <cell r="B11188">
            <v>79343</v>
          </cell>
          <cell r="C11188" t="str">
            <v>TEORICA EQUITY HEDGE MASTER FIM</v>
          </cell>
          <cell r="D11188">
            <v>92561</v>
          </cell>
          <cell r="E11188" t="str">
            <v>TEORICA EQUITY HEDGE MASTER FIM</v>
          </cell>
        </row>
        <row r="11189">
          <cell r="B11189">
            <v>79344</v>
          </cell>
          <cell r="C11189" t="str">
            <v>AZ QUEST INVESTIMENTOS LTDA</v>
          </cell>
          <cell r="D11189" t="str">
            <v>AZ QUEST INVESTIMENTOS LTDA</v>
          </cell>
          <cell r="E11189" t="str">
            <v>AZ QUEST INVESTIMENTOS LTDA</v>
          </cell>
        </row>
        <row r="11190">
          <cell r="B11190">
            <v>79345</v>
          </cell>
          <cell r="C11190" t="str">
            <v>ANGKOR LLC</v>
          </cell>
          <cell r="D11190">
            <v>359</v>
          </cell>
          <cell r="E11190" t="str">
            <v>ANGKOR LLC</v>
          </cell>
        </row>
        <row r="11191">
          <cell r="B11191">
            <v>79346</v>
          </cell>
          <cell r="C11191" t="str">
            <v>OLD CITY INSTITUCIONAL INVESTMENTS</v>
          </cell>
          <cell r="D11191" t="str">
            <v>OLD CITY INSTITUCIONAL INVESTMENTS</v>
          </cell>
          <cell r="E11191" t="str">
            <v>OLD CITY INSTITUCIONAL INVESTMENTS</v>
          </cell>
        </row>
        <row r="11192">
          <cell r="B11192">
            <v>79347</v>
          </cell>
          <cell r="C11192" t="str">
            <v>VERMONT AMERICAN INVESTMENTS LLC</v>
          </cell>
          <cell r="D11192" t="str">
            <v>VERMONT AMERICAN INVESTMENTS LLC</v>
          </cell>
          <cell r="E11192" t="str">
            <v>VERMONT AMERICAN INVESTMENTS LLC</v>
          </cell>
        </row>
        <row r="11193">
          <cell r="B11193">
            <v>79348</v>
          </cell>
          <cell r="C11193" t="str">
            <v>GDX CAMBRIDGE PRIVATE FIM CP IE</v>
          </cell>
          <cell r="D11193">
            <v>388</v>
          </cell>
          <cell r="E11193" t="str">
            <v>GDX CAMBRIDGE PRIVATE FIM CP IE</v>
          </cell>
        </row>
        <row r="11194">
          <cell r="B11194">
            <v>79349</v>
          </cell>
          <cell r="C11194" t="str">
            <v>NEW CITY EQUITY INVESTMENT LLC</v>
          </cell>
          <cell r="D11194" t="str">
            <v>NEW CITY EQUITY INVESTMENT LLC</v>
          </cell>
          <cell r="E11194" t="str">
            <v>NEW CITY EQUITY INVESTMENT LLC</v>
          </cell>
        </row>
        <row r="11195">
          <cell r="B11195">
            <v>79350</v>
          </cell>
          <cell r="C11195" t="str">
            <v>BLUE SEVEN GLOBAL MARKET LLC</v>
          </cell>
          <cell r="D11195" t="str">
            <v>BLUE SEVEN GLOBAL MARKET LLC</v>
          </cell>
          <cell r="E11195" t="str">
            <v>BLUE SEVEN GLOBAL MARKET LLC</v>
          </cell>
        </row>
        <row r="11196">
          <cell r="B11196">
            <v>79351</v>
          </cell>
          <cell r="C11196" t="str">
            <v>BANCO SOFISA S/A</v>
          </cell>
          <cell r="D11196" t="str">
            <v>40*</v>
          </cell>
          <cell r="E11196" t="str">
            <v>BANCO SOFISA S/A</v>
          </cell>
        </row>
        <row r="11197">
          <cell r="B11197">
            <v>79352</v>
          </cell>
          <cell r="C11197" t="str">
            <v>TORNADO PARTICIPACOES LTDA</v>
          </cell>
          <cell r="D11197" t="str">
            <v>TORNADO PARTICIPACOES LTDA</v>
          </cell>
          <cell r="E11197" t="str">
            <v>TORNADO PARTICIPACOES LTDA</v>
          </cell>
        </row>
        <row r="11198">
          <cell r="B11198">
            <v>79353</v>
          </cell>
          <cell r="C11198" t="str">
            <v>CONCORDIA GESTAO DE RECURSOS LTDA</v>
          </cell>
          <cell r="D11198">
            <v>186</v>
          </cell>
          <cell r="E11198" t="str">
            <v>CONCORDIA GESTAO DE RECURSOS LTDA</v>
          </cell>
        </row>
        <row r="11199">
          <cell r="B11199">
            <v>79355</v>
          </cell>
          <cell r="C11199" t="str">
            <v>KAPITALO INVESTIMENTOS LTDA</v>
          </cell>
          <cell r="D11199" t="str">
            <v>KAPITALO INVESTIMENTOS LTDA</v>
          </cell>
          <cell r="E11199" t="str">
            <v>KAPITALO INVESTIMENTOS LTDA</v>
          </cell>
        </row>
        <row r="11200">
          <cell r="B11200">
            <v>79356</v>
          </cell>
          <cell r="C11200" t="str">
            <v>RIO DAS PEDRAS ADMINISTRAÃ‡ÃƒO E PARTICIPAÃ‡Ã•ES LTDA</v>
          </cell>
          <cell r="D11200">
            <v>378</v>
          </cell>
          <cell r="E11200" t="str">
            <v>RIO DAS PEDRAS ADMINISTRAÃ‡ÃƒO E PARTICIPAÃ‡Ã•ES LTDA</v>
          </cell>
        </row>
        <row r="11201">
          <cell r="B11201">
            <v>79357</v>
          </cell>
          <cell r="C11201" t="str">
            <v>LYNX LLC</v>
          </cell>
          <cell r="D11201">
            <v>900649</v>
          </cell>
          <cell r="E11201" t="str">
            <v>LYNX LLC</v>
          </cell>
        </row>
        <row r="11202">
          <cell r="B11202">
            <v>79358</v>
          </cell>
          <cell r="C11202" t="str">
            <v>GPM GESTAO DE RECURSOS LTDA</v>
          </cell>
          <cell r="D11202">
            <v>8231</v>
          </cell>
          <cell r="E11202" t="str">
            <v>GPM GESTAO DE RECURSOS LTDA</v>
          </cell>
        </row>
        <row r="11203">
          <cell r="B11203">
            <v>79359</v>
          </cell>
          <cell r="C11203" t="str">
            <v>FIM DINAMICA CP</v>
          </cell>
          <cell r="D11203">
            <v>500</v>
          </cell>
          <cell r="E11203" t="str">
            <v>FIM DINAMICA CP</v>
          </cell>
        </row>
        <row r="11204">
          <cell r="B11204">
            <v>79360</v>
          </cell>
          <cell r="C11204" t="str">
            <v>LYNX FIM</v>
          </cell>
          <cell r="D11204">
            <v>385</v>
          </cell>
          <cell r="E11204" t="str">
            <v>CITIBANK DTVM S/A</v>
          </cell>
        </row>
        <row r="11205">
          <cell r="B11205">
            <v>79361</v>
          </cell>
          <cell r="C11205" t="str">
            <v>FIM FOREIGN FUND TWO</v>
          </cell>
          <cell r="D11205">
            <v>171</v>
          </cell>
          <cell r="E11205" t="str">
            <v>BANCO CITIBANK S/A</v>
          </cell>
        </row>
        <row r="11206">
          <cell r="B11206">
            <v>79362</v>
          </cell>
          <cell r="C11206" t="str">
            <v>WESTERN ASSET MANAGEMENT COMPANY DTVM LTDA</v>
          </cell>
          <cell r="D11206">
            <v>94899</v>
          </cell>
          <cell r="E11206" t="str">
            <v>WESTERN ASSET MANAGEMENT COMPANY DTVM LTDA</v>
          </cell>
        </row>
        <row r="11207">
          <cell r="B11207">
            <v>79363</v>
          </cell>
          <cell r="C11207" t="str">
            <v>TIVIO CAPITAL DISTRIBUIDORA DE TITULOS E VALORES MOBILIARIOS</v>
          </cell>
          <cell r="D11207" t="str">
            <v>82*</v>
          </cell>
          <cell r="E11207" t="str">
            <v>TIVIO CAPITAL DISTRIBUIDORA DE TITULOS E VALORES MOBILIARIOS</v>
          </cell>
        </row>
        <row r="11208">
          <cell r="B11208">
            <v>79364</v>
          </cell>
          <cell r="C11208" t="str">
            <v>JASPER INTERNATIONAL INVESTMENT LLC</v>
          </cell>
          <cell r="D11208">
            <v>234</v>
          </cell>
          <cell r="E11208" t="str">
            <v>JASPER INTERNATIONAL INVESTMENT LLC</v>
          </cell>
        </row>
        <row r="11209">
          <cell r="B11209">
            <v>79365</v>
          </cell>
          <cell r="C11209" t="str">
            <v>WHITEWATER FINANCIAL SERVICES BRAZIL LLC</v>
          </cell>
          <cell r="D11209">
            <v>395</v>
          </cell>
          <cell r="E11209" t="str">
            <v>WHITEWATER FINANCIAL SERVICES BRAZIL LLC</v>
          </cell>
        </row>
        <row r="11210">
          <cell r="B11210">
            <v>79366</v>
          </cell>
          <cell r="C11210" t="str">
            <v>BOCA RATON FIM CP IE</v>
          </cell>
          <cell r="D11210">
            <v>94900</v>
          </cell>
          <cell r="E11210" t="str">
            <v>BOCA RATON FIM CP IE</v>
          </cell>
        </row>
        <row r="11211">
          <cell r="B11211">
            <v>79367</v>
          </cell>
          <cell r="C11211" t="str">
            <v>VINSON FUND LLC</v>
          </cell>
          <cell r="D11211">
            <v>323</v>
          </cell>
          <cell r="E11211" t="str">
            <v>VINSON FUND LLC</v>
          </cell>
        </row>
        <row r="11212">
          <cell r="B11212">
            <v>79368</v>
          </cell>
          <cell r="C11212" t="str">
            <v>ZARABATANA FIM CP IE</v>
          </cell>
          <cell r="D11212" t="str">
            <v>ZARABATANA FIM CP IE</v>
          </cell>
          <cell r="E11212" t="str">
            <v>ZARABATANA FIM CP IE</v>
          </cell>
        </row>
        <row r="11213">
          <cell r="B11213">
            <v>79369</v>
          </cell>
          <cell r="C11213" t="str">
            <v>TESE GESTÃƒO DE INVESTIMENTOS LTDA</v>
          </cell>
          <cell r="D11213">
            <v>94985</v>
          </cell>
          <cell r="E11213" t="str">
            <v>TESE GESTÃƒO DE INVESTIMENTOS LTDA</v>
          </cell>
        </row>
        <row r="11214">
          <cell r="B11214">
            <v>79370</v>
          </cell>
          <cell r="C11214" t="str">
            <v>GLOBAL X BRASIL GESTORA DE INVESTIMENTOS LTDA</v>
          </cell>
          <cell r="D11214">
            <v>381</v>
          </cell>
          <cell r="E11214" t="str">
            <v>GLOBAL X BRASIL GESTORA DE INVESTIMENTOS LTDA</v>
          </cell>
        </row>
        <row r="11215">
          <cell r="B11215">
            <v>79371</v>
          </cell>
          <cell r="C11215" t="str">
            <v>3G CAPITAL GESTORA DE RECURSOS LTDA</v>
          </cell>
          <cell r="D11215">
            <v>904885</v>
          </cell>
          <cell r="E11215" t="str">
            <v>3G CAPITAL GESTORA DE RECURSOS LTDA</v>
          </cell>
        </row>
        <row r="11216">
          <cell r="B11216">
            <v>79373</v>
          </cell>
          <cell r="C11216" t="str">
            <v>KYROS GESTÃƒO DE RECURSOS LTDA</v>
          </cell>
          <cell r="D11216" t="str">
            <v>KYROS GESTÃƒO DE RECURSOS LTDA</v>
          </cell>
          <cell r="E11216" t="str">
            <v>KYROS GESTÃƒO DE RECURSOS LTDA</v>
          </cell>
        </row>
        <row r="11217">
          <cell r="B11217">
            <v>79374</v>
          </cell>
          <cell r="C11217" t="str">
            <v>CREDIT SUISSE HEDGING-GRIFFO WEALTH MANAGEMENT S/A</v>
          </cell>
          <cell r="D11217" t="str">
            <v>CREDIT SUISSE HEDGING-GRIFFO WEALTH MANAGEMENT S/A</v>
          </cell>
          <cell r="E11217" t="str">
            <v>CREDIT SUISSE HEDGING-GRIFFO WEALTH MANAGEMENT S/A</v>
          </cell>
        </row>
        <row r="11218">
          <cell r="B11218">
            <v>79376</v>
          </cell>
          <cell r="C11218" t="str">
            <v>CANVAS CAPITAL S/A</v>
          </cell>
          <cell r="D11218">
            <v>393</v>
          </cell>
          <cell r="E11218" t="str">
            <v>CANVAS CAPITAL S/A</v>
          </cell>
        </row>
        <row r="11219">
          <cell r="B11219">
            <v>79377</v>
          </cell>
          <cell r="C11219" t="str">
            <v>KINEA INVESTIMENTOS LTDA</v>
          </cell>
          <cell r="D11219">
            <v>301</v>
          </cell>
          <cell r="E11219" t="str">
            <v>KINEA INVESTIMENTOS LTDA</v>
          </cell>
        </row>
        <row r="11220">
          <cell r="B11220">
            <v>79378</v>
          </cell>
          <cell r="C11220" t="str">
            <v>ARBELA INVESTIMENTOS LTDA</v>
          </cell>
          <cell r="D11220">
            <v>362</v>
          </cell>
          <cell r="E11220" t="str">
            <v>ARBELA INVESTIMENTOS LTDA</v>
          </cell>
        </row>
        <row r="11221">
          <cell r="B11221">
            <v>79379</v>
          </cell>
          <cell r="C11221" t="str">
            <v>BANCO ITAUCARD S/A</v>
          </cell>
          <cell r="D11221" t="str">
            <v>BANCO ITAUCARD S/A</v>
          </cell>
          <cell r="E11221" t="str">
            <v>BANCO   ITAUCARD S/A</v>
          </cell>
        </row>
        <row r="11222">
          <cell r="B11222">
            <v>79380</v>
          </cell>
          <cell r="C11222" t="str">
            <v>MORGAN STANLEY URUGUAY LTDA</v>
          </cell>
          <cell r="D11222" t="str">
            <v>MORGAN STANLEY URUGUAY LTDA</v>
          </cell>
          <cell r="E11222" t="str">
            <v>BANCO MORGAN STANLEY S/A</v>
          </cell>
        </row>
        <row r="11223">
          <cell r="B11223">
            <v>79381</v>
          </cell>
          <cell r="C11223" t="str">
            <v>POLO CAPITAL GESTÃƒO DE RECURSOS LTDA</v>
          </cell>
          <cell r="D11223">
            <v>329</v>
          </cell>
          <cell r="E11223" t="str">
            <v>POLO CAPITAL GESTÃO DE RECURSOS LTDA</v>
          </cell>
        </row>
        <row r="11224">
          <cell r="B11224">
            <v>79382</v>
          </cell>
          <cell r="C11224" t="str">
            <v>VENTOR INVESTIMENTOS LTDA</v>
          </cell>
          <cell r="D11224" t="str">
            <v>VENTOR INVESTIMENTOS LTDA</v>
          </cell>
          <cell r="E11224" t="str">
            <v>VENTOR INVESTIMENTOS LTDA</v>
          </cell>
        </row>
        <row r="11225">
          <cell r="B11225">
            <v>79383</v>
          </cell>
          <cell r="C11225" t="str">
            <v>PHILADELPHIA FIM CP</v>
          </cell>
          <cell r="D11225" t="str">
            <v>396*</v>
          </cell>
          <cell r="E11225" t="str">
            <v>SOW CAPITAL GESTÃƒO DE INVESTIMENTOS LTDA</v>
          </cell>
        </row>
        <row r="11226">
          <cell r="B11226">
            <v>79384</v>
          </cell>
          <cell r="C11226" t="str">
            <v>AMS CAPITAL LTDA ( ANTIGO EVEREST PARTICIPACOES LTDA</v>
          </cell>
          <cell r="D11226">
            <v>269</v>
          </cell>
          <cell r="E11226" t="str">
            <v>AMS CAPITAL LTDA</v>
          </cell>
        </row>
        <row r="11227">
          <cell r="B11227">
            <v>79385</v>
          </cell>
          <cell r="C11227" t="str">
            <v>HELONA INVESTIMENTS LLC</v>
          </cell>
          <cell r="D11227" t="str">
            <v>HELONA INVESTIMENTS LLC</v>
          </cell>
          <cell r="E11227" t="str">
            <v>HELONA INVESTIMENTS LLC</v>
          </cell>
        </row>
        <row r="11228">
          <cell r="B11228">
            <v>79387</v>
          </cell>
          <cell r="C11228" t="str">
            <v>AGK 4 LLC</v>
          </cell>
          <cell r="D11228" t="str">
            <v>AGK 4 LLC</v>
          </cell>
          <cell r="E11228" t="str">
            <v>AGK 4 LLC</v>
          </cell>
        </row>
        <row r="11229">
          <cell r="B11229">
            <v>79388</v>
          </cell>
          <cell r="C11229" t="str">
            <v>GAAL INVESTMENTS LLC</v>
          </cell>
          <cell r="D11229">
            <v>156</v>
          </cell>
          <cell r="E11229" t="str">
            <v>GAAL INVESTMENTS LLC</v>
          </cell>
        </row>
        <row r="11230">
          <cell r="B11230">
            <v>79389</v>
          </cell>
          <cell r="C11230" t="str">
            <v>CARM INVESTMENTS LLC</v>
          </cell>
          <cell r="D11230" t="str">
            <v>CARM INVESTMENTS LLC</v>
          </cell>
          <cell r="E11230" t="str">
            <v>CARM INVESTMENTS LLC</v>
          </cell>
        </row>
        <row r="11231">
          <cell r="B11231">
            <v>79390</v>
          </cell>
          <cell r="C11231" t="str">
            <v>ICGL INVESTMENTS LLC</v>
          </cell>
          <cell r="D11231">
            <v>133</v>
          </cell>
          <cell r="E11231" t="str">
            <v>ICGL INVESTMENTS LLC</v>
          </cell>
        </row>
        <row r="11232">
          <cell r="B11232">
            <v>79391</v>
          </cell>
          <cell r="C11232" t="str">
            <v>BABY INVESTMENTS LLC</v>
          </cell>
          <cell r="D11232">
            <v>164</v>
          </cell>
          <cell r="E11232" t="str">
            <v>BABY INVESTMENTS LLC</v>
          </cell>
        </row>
        <row r="11233">
          <cell r="B11233">
            <v>79392</v>
          </cell>
          <cell r="C11233" t="str">
            <v>AGK 2 LLC</v>
          </cell>
          <cell r="D11233" t="str">
            <v>AGK 2 LLC</v>
          </cell>
          <cell r="E11233" t="str">
            <v>AGK 2 LLC</v>
          </cell>
        </row>
        <row r="11234">
          <cell r="B11234">
            <v>79393</v>
          </cell>
          <cell r="C11234" t="str">
            <v>AGK 3 LLC</v>
          </cell>
          <cell r="D11234" t="str">
            <v>AGK 3 LLC</v>
          </cell>
          <cell r="E11234" t="str">
            <v>AGK 3 LLC</v>
          </cell>
        </row>
        <row r="11235">
          <cell r="B11235">
            <v>79394</v>
          </cell>
          <cell r="C11235" t="str">
            <v>AGK LLC</v>
          </cell>
          <cell r="D11235" t="str">
            <v>AGK LLC</v>
          </cell>
          <cell r="E11235" t="str">
            <v>AGK LLC</v>
          </cell>
        </row>
        <row r="11236">
          <cell r="B11236">
            <v>79395</v>
          </cell>
          <cell r="C11236" t="str">
            <v>RIVIERA HIGH YIELD FIM</v>
          </cell>
          <cell r="D11236" t="str">
            <v>RIVIERA HIGH YIELD FIM</v>
          </cell>
          <cell r="E11236" t="str">
            <v>RIVIERA HIGH YIELD FIM</v>
          </cell>
        </row>
        <row r="11237">
          <cell r="B11237">
            <v>79396</v>
          </cell>
          <cell r="C11237" t="str">
            <v>RAIZEN CENTRO SUL SA</v>
          </cell>
          <cell r="D11237" t="str">
            <v>RAIZEN CENTRO SUL SA</v>
          </cell>
          <cell r="E11237" t="str">
            <v>RAIZEN CENTRO SUL SA</v>
          </cell>
        </row>
        <row r="11238">
          <cell r="B11238">
            <v>79398</v>
          </cell>
          <cell r="C11238" t="str">
            <v>FRANKLIN TEMPLETON INVESTIMENTOS (BRASIL) LTDA</v>
          </cell>
          <cell r="D11238" t="str">
            <v>363*</v>
          </cell>
          <cell r="E11238" t="str">
            <v>FRANKLIN TEMPLETON INVESTIMENTOS (BRASIL) LTDA</v>
          </cell>
        </row>
        <row r="11239">
          <cell r="B11239">
            <v>79399</v>
          </cell>
          <cell r="C11239" t="str">
            <v>HSBC GESTAO DE RECURSOS LTDA</v>
          </cell>
          <cell r="D11239" t="str">
            <v>HSBC GESTAO DE RECURSOS LTDA</v>
          </cell>
          <cell r="E11239" t="str">
            <v>AGORA GESTAO DE RECURSOS LTDA</v>
          </cell>
        </row>
        <row r="11240">
          <cell r="B11240">
            <v>79401</v>
          </cell>
          <cell r="C11240" t="str">
            <v>HSBC FINANCE (BRASIL) S.A. - BANCO MULTIPLO</v>
          </cell>
          <cell r="D11240" t="str">
            <v>HSBC FINANCE (BRASIL) S.A. - BANCO MULTIPLO</v>
          </cell>
          <cell r="E11240" t="str">
            <v>HSBC FINANCE (BRASIL) S.A. - BANCO MULTIPLO</v>
          </cell>
        </row>
        <row r="11241">
          <cell r="B11241">
            <v>79402</v>
          </cell>
          <cell r="C11241" t="str">
            <v>KALAOA FIM IE</v>
          </cell>
          <cell r="D11241">
            <v>93032</v>
          </cell>
          <cell r="E11241" t="str">
            <v>KALAOA FIM IE</v>
          </cell>
        </row>
        <row r="11242">
          <cell r="B11242">
            <v>79403</v>
          </cell>
          <cell r="C11242" t="str">
            <v>BANCO SAFRA S/A</v>
          </cell>
          <cell r="D11242" t="str">
            <v>BANCO SAFRA S/A</v>
          </cell>
          <cell r="E11242" t="str">
            <v>BANCO SAFRA S/A</v>
          </cell>
        </row>
        <row r="11243">
          <cell r="B11243">
            <v>79404</v>
          </cell>
          <cell r="C11243" t="str">
            <v>SAFRA ASSET MANAGEMENT LTDA</v>
          </cell>
          <cell r="D11243" t="str">
            <v>SAFRA ASSET MANAGEMENT LTDA</v>
          </cell>
          <cell r="E11243" t="str">
            <v>SAFRA ASSET MANAGEMENT LTDA</v>
          </cell>
        </row>
        <row r="11244">
          <cell r="B11244">
            <v>79405</v>
          </cell>
          <cell r="C11244" t="str">
            <v>MORGAN STANLEY AND CO LLC</v>
          </cell>
          <cell r="D11244">
            <v>55</v>
          </cell>
          <cell r="E11244" t="str">
            <v>MORGAN STANLEY AND CO LLC</v>
          </cell>
        </row>
        <row r="11245">
          <cell r="B11245">
            <v>79406</v>
          </cell>
          <cell r="C11245" t="str">
            <v>MORGAN STANLEY &amp; CO INTERNATIONAL PLC</v>
          </cell>
          <cell r="D11245">
            <v>9006</v>
          </cell>
          <cell r="E11245" t="str">
            <v>MORGAN STANLEY &amp; CO INTERNATIONAL PLC</v>
          </cell>
        </row>
        <row r="11246">
          <cell r="B11246">
            <v>79420</v>
          </cell>
          <cell r="C11246" t="str">
            <v>BANIF - BANCO INTERNACIONAL DO FUNCHAL ( BRASIL) S/A</v>
          </cell>
          <cell r="D11246" t="str">
            <v>BANIF - BANCO INTERNACIONAL DO FUNCHAL ( BRASIL) S/A</v>
          </cell>
          <cell r="E11246" t="str">
            <v>BANIF - BANCO INTERNACIONAL DO FUNCHAL ( BRASIL) S/A</v>
          </cell>
        </row>
        <row r="11247">
          <cell r="B11247">
            <v>79409</v>
          </cell>
          <cell r="C11247" t="str">
            <v>CITIGROUP GLOBAL MARKETS LIMITED</v>
          </cell>
          <cell r="D11247" t="str">
            <v>CITIGROUP GLOBAL MARKETS LIMITED</v>
          </cell>
          <cell r="E11247" t="str">
            <v>BANCO CITIBANK S/A</v>
          </cell>
        </row>
        <row r="11248">
          <cell r="B11248">
            <v>79410</v>
          </cell>
          <cell r="C11248" t="str">
            <v>NOMURA INTERNATIONAL PLC</v>
          </cell>
          <cell r="D11248" t="str">
            <v>NOMURA INTERNATIONAL PLC</v>
          </cell>
          <cell r="E11248" t="str">
            <v>NOMURA INTERNATIONAL PLC</v>
          </cell>
        </row>
        <row r="11249">
          <cell r="B11249">
            <v>79411</v>
          </cell>
          <cell r="C11249" t="str">
            <v>ROSS ICE SHELF LLC</v>
          </cell>
          <cell r="D11249">
            <v>904882</v>
          </cell>
          <cell r="E11249" t="str">
            <v>ROSS ICE SHELF LLC</v>
          </cell>
        </row>
        <row r="11250">
          <cell r="B11250">
            <v>23458</v>
          </cell>
          <cell r="C11250" t="str">
            <v>SUL AMERICA INVESTIMENTOS DTVM S/A</v>
          </cell>
          <cell r="D11250" t="str">
            <v>SUL AMERICA INVESTIMENTOS DTVM S/A</v>
          </cell>
          <cell r="E11250" t="str">
            <v>SUL AMERICA INVESTIMENTOS GESTORA DE RECURSOS S/A</v>
          </cell>
        </row>
        <row r="11251">
          <cell r="B11251">
            <v>79413</v>
          </cell>
          <cell r="C11251" t="str">
            <v>INFINITY ASSET MANAG ADM DE RECURSOS LTDA</v>
          </cell>
          <cell r="D11251" t="str">
            <v>INFINITY ASSET MANAG ADM DE RECURSOS LTDA</v>
          </cell>
          <cell r="E11251" t="str">
            <v>INFINITY ASSET MANAG ADM DE RECURSOS LTDA</v>
          </cell>
        </row>
        <row r="11252">
          <cell r="B11252">
            <v>79414</v>
          </cell>
          <cell r="C11252" t="str">
            <v>FAR FATOR ADMINISTRAÃ‡ÃƒO DE RECURSOS LTDA</v>
          </cell>
          <cell r="D11252">
            <v>72</v>
          </cell>
          <cell r="E11252" t="str">
            <v>FAR FATOR ADMINISTRAÃ‡ÃƒO DE RECURSOS LTDA</v>
          </cell>
        </row>
        <row r="11253">
          <cell r="B11253">
            <v>79415</v>
          </cell>
          <cell r="C11253" t="str">
            <v>CREDIT SUISSE (BRASIL) S/A CTVM</v>
          </cell>
          <cell r="D11253" t="str">
            <v>52*</v>
          </cell>
          <cell r="E11253" t="str">
            <v>CREDIT SUISSE (BRASIL) S/A CTVM</v>
          </cell>
        </row>
        <row r="11254">
          <cell r="B11254">
            <v>79417</v>
          </cell>
          <cell r="C11254" t="str">
            <v>NATWEST MARKETS PLC</v>
          </cell>
          <cell r="D11254">
            <v>294</v>
          </cell>
          <cell r="E11254" t="str">
            <v>NATWEST MARKETS PLC</v>
          </cell>
        </row>
        <row r="11255">
          <cell r="B11255">
            <v>79418</v>
          </cell>
          <cell r="C11255" t="str">
            <v>R&amp;C FIM</v>
          </cell>
          <cell r="D11255">
            <v>394</v>
          </cell>
          <cell r="E11255" t="str">
            <v>MATERA RC GESTÃƒO DE RECURSOS LTDA</v>
          </cell>
        </row>
        <row r="11256">
          <cell r="B11256">
            <v>79767</v>
          </cell>
          <cell r="C11256" t="str">
            <v>BANIF - BANCO INTERNACIONAL DO FUNCHAL ( BRASIL) S/A</v>
          </cell>
          <cell r="D11256" t="str">
            <v>BANIF - BANCO INTERNACIONAL DO FUNCHAL ( BRASIL) S/A</v>
          </cell>
          <cell r="E11256" t="str">
            <v>BANIF - BANCO INTERNACIONAL DO FUNCHAL ( BRASIL) S/A</v>
          </cell>
        </row>
        <row r="11257">
          <cell r="B11257">
            <v>79768</v>
          </cell>
          <cell r="C11257" t="str">
            <v>BANIF - BANCO INTERNACIONAL DO FUNCHAL ( BRASIL) S/A</v>
          </cell>
          <cell r="D11257" t="str">
            <v>BANIF - BANCO INTERNACIONAL DO FUNCHAL ( BRASIL) S/A</v>
          </cell>
          <cell r="E11257" t="str">
            <v>BANIF - BANCO INTERNACIONAL DO FUNCHAL ( BRASIL) S/A</v>
          </cell>
        </row>
        <row r="11258">
          <cell r="B11258">
            <v>79421</v>
          </cell>
          <cell r="C11258" t="str">
            <v>BANCO FATOR S/A</v>
          </cell>
          <cell r="D11258" t="str">
            <v>BANCO FATOR S/A</v>
          </cell>
          <cell r="E11258" t="str">
            <v>BANCO FATOR S/A</v>
          </cell>
        </row>
        <row r="11259">
          <cell r="B11259">
            <v>79422</v>
          </cell>
          <cell r="C11259" t="str">
            <v>KINEA ARKHE FIM</v>
          </cell>
          <cell r="D11259" t="str">
            <v>KINEA ARKHE FIM</v>
          </cell>
          <cell r="E11259" t="str">
            <v>KINEA ARKHE FIM</v>
          </cell>
        </row>
        <row r="11260">
          <cell r="B11260">
            <v>79423</v>
          </cell>
          <cell r="C11260" t="str">
            <v>ALFINOR SOCIEDAD ANONIMA</v>
          </cell>
          <cell r="D11260" t="str">
            <v>ALFINOR SOCIEDAD ANONIMA</v>
          </cell>
          <cell r="E11260" t="str">
            <v>ALFINOR SOCIEDAD ANONIMA</v>
          </cell>
        </row>
        <row r="11261">
          <cell r="B11261">
            <v>79424</v>
          </cell>
          <cell r="C11261" t="str">
            <v>SPINNAKER BRAZIL FUND (URUGUAY) SA</v>
          </cell>
          <cell r="D11261" t="str">
            <v>SPINNAKER BRAZIL FUND (URUGUAY) SA</v>
          </cell>
          <cell r="E11261" t="str">
            <v>SPINNAKER BRAZIL FUND (URUGUAY) SA</v>
          </cell>
        </row>
        <row r="11262">
          <cell r="B11262">
            <v>79425</v>
          </cell>
          <cell r="C11262" t="str">
            <v>FIM EXTREME V</v>
          </cell>
          <cell r="D11262" t="str">
            <v>FIM EXTREME V</v>
          </cell>
          <cell r="E11262" t="str">
            <v>FIM EXTREME V</v>
          </cell>
        </row>
        <row r="11263">
          <cell r="B11263">
            <v>79426</v>
          </cell>
          <cell r="C11263" t="str">
            <v>BANCO VOITER S/A</v>
          </cell>
          <cell r="D11263">
            <v>142</v>
          </cell>
          <cell r="E11263" t="str">
            <v>BANCO VOITER S/A</v>
          </cell>
        </row>
        <row r="11264">
          <cell r="B11264">
            <v>79174</v>
          </cell>
          <cell r="C11264" t="str">
            <v>FIM CP PROPRIETARIO 10</v>
          </cell>
          <cell r="D11264" t="str">
            <v>FIM CP PROPRIETARIO 10</v>
          </cell>
          <cell r="E11264" t="str">
            <v>PLURAL GESTÃO DE RECURSOS LTDA</v>
          </cell>
        </row>
        <row r="11265">
          <cell r="B11265">
            <v>79177</v>
          </cell>
          <cell r="C11265" t="str">
            <v>FIA MERO 2</v>
          </cell>
          <cell r="D11265" t="str">
            <v>FIA MERO 2</v>
          </cell>
          <cell r="E11265" t="str">
            <v>PLURAL GESTÃO DE RECURSOS LTDA</v>
          </cell>
        </row>
        <row r="11266">
          <cell r="B11266">
            <v>79429</v>
          </cell>
          <cell r="C11266" t="str">
            <v>MERCATTO GESTAO DE RECURSOS LTDA</v>
          </cell>
          <cell r="D11266">
            <v>137</v>
          </cell>
          <cell r="E11266" t="str">
            <v>MERCATTO GESTAO DE RECURSOS LTDA</v>
          </cell>
        </row>
        <row r="11267">
          <cell r="B11267">
            <v>79430</v>
          </cell>
          <cell r="C11267" t="str">
            <v>BANCO ITAU BBA S/A</v>
          </cell>
          <cell r="D11267" t="str">
            <v>BANCO ITAU BBA S/A</v>
          </cell>
          <cell r="E11267" t="str">
            <v>BANCO ITAU BBA S/A</v>
          </cell>
        </row>
        <row r="11268">
          <cell r="B11268">
            <v>79431</v>
          </cell>
          <cell r="C11268" t="str">
            <v>BANCO ITAU BBA S/A</v>
          </cell>
          <cell r="D11268" t="str">
            <v>BANCO ITAU BBA S/A</v>
          </cell>
          <cell r="E11268" t="str">
            <v>BANCO ITAU BBA S/A</v>
          </cell>
        </row>
        <row r="11269">
          <cell r="B11269">
            <v>79432</v>
          </cell>
          <cell r="C11269" t="str">
            <v>BANCO ITAU BBA S/A</v>
          </cell>
          <cell r="D11269" t="str">
            <v>BANCO ITAU BBA S/A</v>
          </cell>
          <cell r="E11269" t="str">
            <v>BANCO ITAU BBA S/A</v>
          </cell>
        </row>
        <row r="11270">
          <cell r="B11270">
            <v>79433</v>
          </cell>
          <cell r="C11270" t="str">
            <v>BANCO ITAU BBA S/A</v>
          </cell>
          <cell r="D11270" t="str">
            <v>BANCO ITAU BBA S/A</v>
          </cell>
          <cell r="E11270" t="str">
            <v>BANCO ITAU BBA S/A</v>
          </cell>
        </row>
        <row r="11271">
          <cell r="B11271">
            <v>79434</v>
          </cell>
          <cell r="C11271" t="str">
            <v>BANCO ITAU BBA S/A</v>
          </cell>
          <cell r="D11271" t="str">
            <v>BANCO ITAU BBA S/A</v>
          </cell>
          <cell r="E11271" t="str">
            <v>BANCO ITAU BBA S/A</v>
          </cell>
        </row>
        <row r="11272">
          <cell r="B11272">
            <v>79435</v>
          </cell>
          <cell r="C11272" t="str">
            <v>BANCO ITAU BBA S/A</v>
          </cell>
          <cell r="D11272" t="str">
            <v>BANCO ITAU BBA S/A</v>
          </cell>
          <cell r="E11272" t="str">
            <v>BANCO ITAU BBA S/A</v>
          </cell>
        </row>
        <row r="11273">
          <cell r="B11273">
            <v>79436</v>
          </cell>
          <cell r="C11273" t="str">
            <v>BANCO ITAU BBA S/A</v>
          </cell>
          <cell r="D11273" t="str">
            <v>BANCO ITAU BBA S/A</v>
          </cell>
          <cell r="E11273" t="str">
            <v>BANCO ITAU BBA S/A</v>
          </cell>
        </row>
        <row r="11274">
          <cell r="B11274">
            <v>79437</v>
          </cell>
          <cell r="C11274" t="str">
            <v>BANCO ITAU BBA S/A</v>
          </cell>
          <cell r="D11274" t="str">
            <v>BANCO ITAU BBA S/A</v>
          </cell>
          <cell r="E11274" t="str">
            <v>BANCO ITAU BBA S/A</v>
          </cell>
        </row>
        <row r="11275">
          <cell r="B11275">
            <v>79438</v>
          </cell>
          <cell r="C11275" t="str">
            <v>BANCO ITAU BBA S/A</v>
          </cell>
          <cell r="D11275" t="str">
            <v>BANCO ITAU BBA S/A</v>
          </cell>
          <cell r="E11275" t="str">
            <v>BANCO ITAU BBA S/A</v>
          </cell>
        </row>
        <row r="11276">
          <cell r="B11276">
            <v>79439</v>
          </cell>
          <cell r="C11276" t="str">
            <v>BANCO ITAU BBA S/A</v>
          </cell>
          <cell r="D11276" t="str">
            <v>BANCO ITAU BBA S/A</v>
          </cell>
          <cell r="E11276" t="str">
            <v>BANCO ITAU BBA S/A</v>
          </cell>
        </row>
        <row r="11277">
          <cell r="B11277">
            <v>79440</v>
          </cell>
          <cell r="C11277" t="str">
            <v>BANCO ITAU BBA S/A</v>
          </cell>
          <cell r="D11277" t="str">
            <v>BANCO ITAU BBA S/A</v>
          </cell>
          <cell r="E11277" t="str">
            <v>BANCO ITAU BBA S/A</v>
          </cell>
        </row>
        <row r="11278">
          <cell r="B11278">
            <v>79441</v>
          </cell>
          <cell r="C11278" t="str">
            <v>BANCO ITAU BBA S/A</v>
          </cell>
          <cell r="D11278" t="str">
            <v>BANCO ITAU BBA S/A</v>
          </cell>
          <cell r="E11278" t="str">
            <v>BANCO ITAU BBA S/A</v>
          </cell>
        </row>
        <row r="11279">
          <cell r="B11279">
            <v>79442</v>
          </cell>
          <cell r="C11279" t="str">
            <v>BANCO ITAU BBA S/A</v>
          </cell>
          <cell r="D11279" t="str">
            <v>BANCO ITAU BBA S/A</v>
          </cell>
          <cell r="E11279" t="str">
            <v>BANCO ITAU BBA S/A</v>
          </cell>
        </row>
        <row r="11280">
          <cell r="B11280">
            <v>79443</v>
          </cell>
          <cell r="C11280" t="str">
            <v>BANCO ITAU BBA S/A</v>
          </cell>
          <cell r="D11280" t="str">
            <v>BANCO ITAU BBA S/A</v>
          </cell>
          <cell r="E11280" t="str">
            <v>BANCO ITAU BBA S/A</v>
          </cell>
        </row>
        <row r="11281">
          <cell r="B11281">
            <v>79444</v>
          </cell>
          <cell r="C11281" t="str">
            <v>BANCO ITAU BBA S/A</v>
          </cell>
          <cell r="D11281" t="str">
            <v>BANCO ITAU BBA S/A</v>
          </cell>
          <cell r="E11281" t="str">
            <v>BANCO ITAU BBA S/A</v>
          </cell>
        </row>
        <row r="11282">
          <cell r="B11282">
            <v>79445</v>
          </cell>
          <cell r="C11282" t="str">
            <v>BANCO ITAU BBA S/A</v>
          </cell>
          <cell r="D11282" t="str">
            <v>BANCO ITAU BBA S/A</v>
          </cell>
          <cell r="E11282" t="str">
            <v>BANCO ITAU BBA S/A</v>
          </cell>
        </row>
        <row r="11283">
          <cell r="B11283">
            <v>79446</v>
          </cell>
          <cell r="C11283" t="str">
            <v>BANCO ITAU BBA S/A</v>
          </cell>
          <cell r="D11283" t="str">
            <v>BANCO ITAU BBA S/A</v>
          </cell>
          <cell r="E11283" t="str">
            <v>BANCO ITAU BBA S/A</v>
          </cell>
        </row>
        <row r="11284">
          <cell r="B11284">
            <v>79447</v>
          </cell>
          <cell r="C11284" t="str">
            <v>BANCO ITAU BBA S/A</v>
          </cell>
          <cell r="D11284" t="str">
            <v>BANCO ITAU BBA S/A</v>
          </cell>
          <cell r="E11284" t="str">
            <v>BANCO ITAU BBA S/A</v>
          </cell>
        </row>
        <row r="11285">
          <cell r="B11285">
            <v>79448</v>
          </cell>
          <cell r="C11285" t="str">
            <v>BANCO DAYCOVAL S/A</v>
          </cell>
          <cell r="D11285">
            <v>141</v>
          </cell>
          <cell r="E11285" t="str">
            <v>BANCO DAYCOVAL S/A</v>
          </cell>
        </row>
        <row r="11286">
          <cell r="B11286">
            <v>79450</v>
          </cell>
          <cell r="C11286" t="str">
            <v>MAUA INVESTIMENTOS LTDA</v>
          </cell>
          <cell r="D11286">
            <v>108</v>
          </cell>
          <cell r="E11286" t="str">
            <v>MAUA INVESTIMENTOS LTDA</v>
          </cell>
        </row>
        <row r="11287">
          <cell r="B11287">
            <v>79454</v>
          </cell>
          <cell r="C11287" t="str">
            <v>ITAU UNIBANCO S.A.</v>
          </cell>
          <cell r="D11287" t="str">
            <v>ITAU UNIBANCO S.A.</v>
          </cell>
          <cell r="E11287" t="str">
            <v>ITAU UNIBANCO S/A</v>
          </cell>
        </row>
        <row r="11288">
          <cell r="B11288">
            <v>79457</v>
          </cell>
          <cell r="C11288" t="str">
            <v>ITAU UNIBANCO S.A.</v>
          </cell>
          <cell r="D11288" t="str">
            <v>51.8</v>
          </cell>
          <cell r="E11288" t="str">
            <v>ITAU UNIBANCO S/A</v>
          </cell>
        </row>
        <row r="11289">
          <cell r="B11289">
            <v>79458</v>
          </cell>
          <cell r="C11289" t="str">
            <v>ITAU UNIBANCO S.A.</v>
          </cell>
          <cell r="D11289" t="str">
            <v>49.3</v>
          </cell>
          <cell r="E11289" t="str">
            <v>ITAU UNIBANCO S/A</v>
          </cell>
        </row>
        <row r="11290">
          <cell r="B11290">
            <v>79462</v>
          </cell>
          <cell r="C11290" t="str">
            <v>ITAU UNIBANCO S.A.</v>
          </cell>
          <cell r="D11290" t="str">
            <v>ITAU UNIBANCO S.A.</v>
          </cell>
          <cell r="E11290" t="str">
            <v>ITAU UNIBANCO S/A</v>
          </cell>
        </row>
        <row r="11291">
          <cell r="B11291">
            <v>79465</v>
          </cell>
          <cell r="C11291" t="str">
            <v>ITAU UNIBANCO S.A.</v>
          </cell>
          <cell r="D11291" t="str">
            <v>ITAU UNIBANCO S.A.</v>
          </cell>
          <cell r="E11291" t="str">
            <v>ITAU UNIBANCO S/A</v>
          </cell>
        </row>
        <row r="11292">
          <cell r="B11292">
            <v>79466</v>
          </cell>
          <cell r="C11292" t="str">
            <v>ITAU UNIBANCO S.A.</v>
          </cell>
          <cell r="D11292" t="str">
            <v>49.2</v>
          </cell>
          <cell r="E11292" t="str">
            <v>ITAU UNIBANCO S/A</v>
          </cell>
        </row>
        <row r="11293">
          <cell r="B11293">
            <v>79469</v>
          </cell>
          <cell r="C11293" t="str">
            <v>BANCO CARGILL S/A</v>
          </cell>
          <cell r="D11293" t="str">
            <v>BANCO CARGILL S/A</v>
          </cell>
          <cell r="E11293" t="str">
            <v>BANCO CARGILL S/A</v>
          </cell>
        </row>
        <row r="11294">
          <cell r="B11294">
            <v>79470</v>
          </cell>
          <cell r="C11294" t="str">
            <v>CARGILL AGRICOLA S/A</v>
          </cell>
          <cell r="D11294" t="str">
            <v>CARGILL AGRICOLA S/A</v>
          </cell>
          <cell r="E11294" t="str">
            <v>BANCO CARGILL S/A</v>
          </cell>
        </row>
        <row r="11295">
          <cell r="B11295">
            <v>79471</v>
          </cell>
          <cell r="C11295" t="str">
            <v>INFINIUM CAPITAL MANAGEMENT LLC</v>
          </cell>
          <cell r="D11295" t="str">
            <v>INFINIUM CAPITAL MANAGEMENT LLC</v>
          </cell>
          <cell r="E11295" t="str">
            <v>INFINIUM CAPITAL MANAGEMENT LLC</v>
          </cell>
        </row>
        <row r="11296">
          <cell r="B11296">
            <v>79472</v>
          </cell>
          <cell r="C11296" t="str">
            <v>INFINIUM CAPITAL MANAGEMENT LLC</v>
          </cell>
          <cell r="D11296" t="str">
            <v>INFINIUM CAPITAL MANAGEMENT LLC</v>
          </cell>
          <cell r="E11296" t="str">
            <v>INFINIUM CAPITAL MANAGEMENT LLC</v>
          </cell>
        </row>
        <row r="11297">
          <cell r="B11297">
            <v>79473</v>
          </cell>
          <cell r="C11297" t="str">
            <v>PARTNER FIA IE</v>
          </cell>
          <cell r="D11297">
            <v>922733</v>
          </cell>
          <cell r="E11297" t="str">
            <v>PARTNER FIA IE</v>
          </cell>
        </row>
        <row r="11298">
          <cell r="B11298">
            <v>79474</v>
          </cell>
          <cell r="C11298" t="str">
            <v>BANCO MUFG BRASIL S.A.</v>
          </cell>
          <cell r="D11298" t="str">
            <v>45.1</v>
          </cell>
          <cell r="E11298" t="str">
            <v>BANCO MUFG BRASIL S/A</v>
          </cell>
        </row>
        <row r="11299">
          <cell r="B11299">
            <v>79477</v>
          </cell>
          <cell r="C11299" t="str">
            <v>A3 PERFORMANCE GESTAO DE RECURSOS LTDA</v>
          </cell>
          <cell r="D11299">
            <v>90761</v>
          </cell>
          <cell r="E11299" t="str">
            <v>A3 PERFORMANCE GESTAO DE RECURSOS LTDA</v>
          </cell>
        </row>
        <row r="11300">
          <cell r="B11300">
            <v>79478</v>
          </cell>
          <cell r="C11300" t="str">
            <v>WESTERN ASSET MANAGEMENT COMPANY DTVM LTDA</v>
          </cell>
          <cell r="D11300">
            <v>94898</v>
          </cell>
          <cell r="E11300" t="str">
            <v>WESTERN ASSET MANAGEMENT COMPANY DTVM LTDA</v>
          </cell>
        </row>
        <row r="11301">
          <cell r="B11301">
            <v>79479</v>
          </cell>
          <cell r="C11301" t="str">
            <v>WESTERN ASSET MANAGEMENT COMPANY DTVM LTDA</v>
          </cell>
          <cell r="D11301">
            <v>901522</v>
          </cell>
          <cell r="E11301" t="str">
            <v>WESTERN ASSET MANAGEMENT COMPANY DTVM LTDA</v>
          </cell>
        </row>
        <row r="11302">
          <cell r="B11302">
            <v>79480</v>
          </cell>
          <cell r="C11302" t="str">
            <v>JASPER INTERNATIONAL INVESTMENT LLC</v>
          </cell>
          <cell r="D11302">
            <v>237</v>
          </cell>
          <cell r="E11302" t="str">
            <v>JASPER INTERNATIONAL INVESTMENT LLC</v>
          </cell>
        </row>
        <row r="11303">
          <cell r="B11303">
            <v>79481</v>
          </cell>
          <cell r="C11303" t="str">
            <v>JASPER INTERNATIONAL INVESTMENT LLC</v>
          </cell>
          <cell r="D11303">
            <v>238</v>
          </cell>
          <cell r="E11303" t="str">
            <v>JASPER INTERNATIONAL INVESTMENT LLC</v>
          </cell>
        </row>
        <row r="11304">
          <cell r="B11304">
            <v>79482</v>
          </cell>
          <cell r="C11304" t="str">
            <v>JASPER INTERNATIONAL INVESTMENT LLC</v>
          </cell>
          <cell r="D11304">
            <v>236</v>
          </cell>
          <cell r="E11304" t="str">
            <v>JASPER INTERNATIONAL INVESTMENT LLC</v>
          </cell>
        </row>
        <row r="11305">
          <cell r="B11305">
            <v>79483</v>
          </cell>
          <cell r="C11305" t="str">
            <v>JASPER INTERNATIONAL INVESTMENT LLC</v>
          </cell>
          <cell r="D11305">
            <v>235</v>
          </cell>
          <cell r="E11305" t="str">
            <v>JASPER INTERNATIONAL INVESTMENT LLC</v>
          </cell>
        </row>
        <row r="11306">
          <cell r="B11306">
            <v>79484</v>
          </cell>
          <cell r="C11306" t="str">
            <v>JASPER INTERNATIONAL INVESTMENT LLC</v>
          </cell>
          <cell r="D11306">
            <v>239</v>
          </cell>
          <cell r="E11306" t="str">
            <v>JASPER INTERNATIONAL INVESTMENT LLC</v>
          </cell>
        </row>
        <row r="11307">
          <cell r="B11307">
            <v>79485</v>
          </cell>
          <cell r="C11307" t="str">
            <v>JASPER INTERNATIONAL INVESTMENT LLC</v>
          </cell>
          <cell r="D11307">
            <v>240</v>
          </cell>
          <cell r="E11307" t="str">
            <v>JASPER INTERNATIONAL INVESTMENT LLC</v>
          </cell>
        </row>
        <row r="11308">
          <cell r="B11308">
            <v>79486</v>
          </cell>
          <cell r="C11308" t="str">
            <v>3G CAPITAL GESTORA DE RECURSOS LTDA</v>
          </cell>
          <cell r="D11308">
            <v>922121</v>
          </cell>
          <cell r="E11308" t="str">
            <v>3G CAPITAL GESTORA DE RECURSOS LTDA</v>
          </cell>
        </row>
        <row r="11309">
          <cell r="B11309">
            <v>79487</v>
          </cell>
          <cell r="C11309" t="str">
            <v>CREDIT SUISSE HEDGING-GRIFFO WEALTH MANAGEMENT S/A</v>
          </cell>
          <cell r="D11309">
            <v>272</v>
          </cell>
          <cell r="E11309" t="str">
            <v>CREDIT SUISSE HEDGING-GRIFFO WEALTH MANAGEMENT S/A</v>
          </cell>
        </row>
        <row r="11310">
          <cell r="B11310">
            <v>79488</v>
          </cell>
          <cell r="C11310" t="str">
            <v>CREDIT SUISSE HEDGING-GRIFFO WEALTH MANAGEMENT S/A</v>
          </cell>
          <cell r="D11310">
            <v>270</v>
          </cell>
          <cell r="E11310" t="str">
            <v>CREDIT SUISSE HEDGING-GRIFFO WEALTH MANAGEMENT S/A</v>
          </cell>
        </row>
        <row r="11311">
          <cell r="B11311">
            <v>79489</v>
          </cell>
          <cell r="C11311" t="str">
            <v>CREDIT SUISSE HEDGING-GRIFFO WEALTH MANAGEMENT S/A</v>
          </cell>
          <cell r="D11311" t="str">
            <v>CREDIT SUISSE HEDGING-GRIFFO WEALTH MANAGEMENT S/A</v>
          </cell>
          <cell r="E11311" t="str">
            <v>CREDIT SUISSE HEDGING-GRIFFO WEALTH MANAGEMENT S/A</v>
          </cell>
        </row>
        <row r="11312">
          <cell r="B11312">
            <v>79490</v>
          </cell>
          <cell r="C11312" t="str">
            <v>CREDIT SUISSE HEDGING-GRIFFO WEALTH MANAGEMENT S/A</v>
          </cell>
          <cell r="D11312" t="str">
            <v>CREDIT SUISSE HEDGING-GRIFFO WEALTH MANAGEMENT S/A</v>
          </cell>
          <cell r="E11312" t="str">
            <v>CREDIT SUISSE HEDGING-GRIFFO WEALTH MANAGEMENT S/A</v>
          </cell>
        </row>
        <row r="11313">
          <cell r="B11313">
            <v>79491</v>
          </cell>
          <cell r="C11313" t="str">
            <v>BANCO ITAUCARD S/A</v>
          </cell>
          <cell r="D11313" t="str">
            <v>51.6</v>
          </cell>
          <cell r="E11313" t="str">
            <v>BANCO   ITAUCARD S/A</v>
          </cell>
        </row>
        <row r="11314">
          <cell r="B11314">
            <v>79492</v>
          </cell>
          <cell r="C11314" t="str">
            <v>BANCO ITAUCARD S/A</v>
          </cell>
          <cell r="D11314" t="str">
            <v>50*</v>
          </cell>
          <cell r="E11314" t="str">
            <v>BANCO   ITAUCARD S/A</v>
          </cell>
        </row>
        <row r="11315">
          <cell r="B11315">
            <v>79493</v>
          </cell>
          <cell r="C11315" t="str">
            <v>BANCO MORGAN STANLEY S/A</v>
          </cell>
          <cell r="D11315" t="str">
            <v>BANCO MORGAN STANLEY S/A</v>
          </cell>
          <cell r="E11315" t="str">
            <v>BANCO MORGAN STANLEY S/A</v>
          </cell>
        </row>
        <row r="11316">
          <cell r="B11316">
            <v>79494</v>
          </cell>
          <cell r="C11316" t="str">
            <v>CITIGROUP GLOBAL MARKETS LIMITED</v>
          </cell>
          <cell r="D11316" t="str">
            <v>CITIGROUP GLOBAL MARKETS LIMITED</v>
          </cell>
          <cell r="E11316" t="str">
            <v>BANCO CITIBANK S/A</v>
          </cell>
        </row>
        <row r="11317">
          <cell r="B11317">
            <v>79495</v>
          </cell>
          <cell r="C11317" t="str">
            <v>CITIGROUP GLOBAL MARKETS LIMITED</v>
          </cell>
          <cell r="D11317" t="str">
            <v>CITIGROUP GLOBAL MARKETS LIMITED</v>
          </cell>
          <cell r="E11317" t="str">
            <v>BANCO CITIBANK S/A</v>
          </cell>
        </row>
        <row r="11318">
          <cell r="B11318">
            <v>79496</v>
          </cell>
          <cell r="C11318" t="str">
            <v>ADVIS INVESTIMENTOS LTDA (ANTIGO ADVISOR ADM DE RECURSOS)</v>
          </cell>
          <cell r="D11318">
            <v>4794</v>
          </cell>
          <cell r="E11318" t="str">
            <v>ADVIS INVESTIMENTOS LTDA (ANTIGO ADVISOR ADM DE RECURSOS)</v>
          </cell>
        </row>
        <row r="11319">
          <cell r="B11319">
            <v>79497</v>
          </cell>
          <cell r="C11319" t="str">
            <v>BANK OF AMERICA MERRILL LYNCH BANCO MULTIPLO S/A</v>
          </cell>
          <cell r="D11319" t="str">
            <v>BANK OF AMERICA MERRILL LYNCH BANCO MULTIPLO S/A</v>
          </cell>
          <cell r="E11319" t="str">
            <v>BANK OF AMERICA MERRILL LYNCH BANCO MULTIPLO S/A</v>
          </cell>
        </row>
        <row r="11320">
          <cell r="B11320">
            <v>79498</v>
          </cell>
          <cell r="C11320" t="str">
            <v>GAP GESTORA DE RECURSOS LTDA</v>
          </cell>
          <cell r="D11320" t="str">
            <v>GAP GESTORA DE RECURSOS LTDA</v>
          </cell>
          <cell r="E11320" t="str">
            <v>GAP GESTORA DE RECURSOS LTDA</v>
          </cell>
        </row>
        <row r="11321">
          <cell r="B11321">
            <v>79499</v>
          </cell>
          <cell r="C11321" t="str">
            <v>GAP GESTORA DE RECURSOS LTDA</v>
          </cell>
          <cell r="D11321">
            <v>350</v>
          </cell>
          <cell r="E11321" t="str">
            <v>GAP GESTORA DE RECURSOS LTDA</v>
          </cell>
        </row>
        <row r="11322">
          <cell r="B11322">
            <v>79500</v>
          </cell>
          <cell r="C11322" t="str">
            <v>GAP PRUDENTIAL LT GESTAO DE RECURSOS LTDA</v>
          </cell>
          <cell r="D11322" t="str">
            <v>GAP PRUDENTIAL LT GESTAO DE RECURSOS LTDA</v>
          </cell>
          <cell r="E11322" t="str">
            <v>GAP PRUDENTIAL LT GESTAO DE RECURSOS LTDA</v>
          </cell>
        </row>
        <row r="11323">
          <cell r="B11323">
            <v>79501</v>
          </cell>
          <cell r="C11323" t="str">
            <v>GAP PRUDENTIAL LT GESTAO DE RECURSOS LTDA</v>
          </cell>
          <cell r="D11323">
            <v>354</v>
          </cell>
          <cell r="E11323" t="str">
            <v>GAP PRUDENTIAL LT GESTAO DE RECURSOS LTDA</v>
          </cell>
        </row>
        <row r="11324">
          <cell r="B11324">
            <v>79502</v>
          </cell>
          <cell r="C11324" t="str">
            <v>CITIBANK DTVM S/A</v>
          </cell>
          <cell r="D11324" t="str">
            <v>CITIBANK DTVM S/A</v>
          </cell>
          <cell r="E11324" t="str">
            <v>CITIBANK DTVM S/A</v>
          </cell>
        </row>
        <row r="11325">
          <cell r="B11325">
            <v>79503</v>
          </cell>
          <cell r="C11325" t="str">
            <v>BANCO SAFRA S/A</v>
          </cell>
          <cell r="D11325">
            <v>41</v>
          </cell>
          <cell r="E11325" t="str">
            <v>BANCO SAFRA S/A</v>
          </cell>
        </row>
        <row r="11326">
          <cell r="B11326">
            <v>79506</v>
          </cell>
          <cell r="C11326" t="str">
            <v>BOZANO DIFERENCIAL 30 MASTER FIM</v>
          </cell>
          <cell r="D11326" t="str">
            <v>BOZANO DIFERENCIAL 30 MASTER FIM</v>
          </cell>
          <cell r="E11326" t="str">
            <v>BOZANO DIFERENCIAL 30 MASTER FIM</v>
          </cell>
        </row>
        <row r="11327">
          <cell r="B11327">
            <v>79507</v>
          </cell>
          <cell r="C11327" t="str">
            <v>JPP CAPITAL GESTAO DE RECURSOS LTDA</v>
          </cell>
          <cell r="D11327" t="str">
            <v>JPP CAPITAL GESTAO DE RECURSOS LTDA</v>
          </cell>
          <cell r="E11327" t="str">
            <v>JPP CAPITAL GESTAO DE RECURSOS LTDA</v>
          </cell>
        </row>
        <row r="11328">
          <cell r="B11328">
            <v>79508</v>
          </cell>
          <cell r="C11328" t="str">
            <v>ALBATROZ FIM CP</v>
          </cell>
          <cell r="D11328" t="str">
            <v>ALBATROZ FIM CP</v>
          </cell>
          <cell r="E11328" t="str">
            <v>ALBATROZ FIM CP</v>
          </cell>
        </row>
        <row r="11329">
          <cell r="B11329">
            <v>79509</v>
          </cell>
          <cell r="C11329" t="str">
            <v>ARAUCARIA FIM CP IE</v>
          </cell>
          <cell r="D11329" t="str">
            <v>ARAUCARIA FIM CP IE</v>
          </cell>
          <cell r="E11329" t="str">
            <v>CONSENSO INVESTIMENTOS LTDA</v>
          </cell>
        </row>
        <row r="11330">
          <cell r="B11330">
            <v>79510</v>
          </cell>
          <cell r="C11330" t="str">
            <v>CAJU FIM CP IE</v>
          </cell>
          <cell r="D11330" t="str">
            <v>CAJU FIM CP IE</v>
          </cell>
          <cell r="E11330" t="str">
            <v>CAJU FIM CP IE</v>
          </cell>
        </row>
        <row r="11331">
          <cell r="B11331">
            <v>79511</v>
          </cell>
          <cell r="C11331" t="str">
            <v>LUNA FIM CP IE</v>
          </cell>
          <cell r="D11331" t="str">
            <v>LUNA FIM CP IE</v>
          </cell>
          <cell r="E11331" t="str">
            <v>CONSENSO INVESTIMENTOS LTDA</v>
          </cell>
        </row>
        <row r="11332">
          <cell r="B11332">
            <v>79512</v>
          </cell>
          <cell r="C11332" t="str">
            <v>ODESSA FIM CP  IE</v>
          </cell>
          <cell r="D11332" t="str">
            <v>ODESSA FIM CP  IE</v>
          </cell>
          <cell r="E11332" t="str">
            <v>ODESSA FIM CP  IE</v>
          </cell>
        </row>
        <row r="11333">
          <cell r="B11333">
            <v>79513</v>
          </cell>
          <cell r="C11333" t="str">
            <v>PEGASUS - FUNDO DE INVESTIMENTO MULTIMERCADO CP IE</v>
          </cell>
          <cell r="D11333" t="str">
            <v>PEGASUS - FUNDO DE INVESTIMENTO MULTIMERCADO CP IE</v>
          </cell>
          <cell r="E11333" t="str">
            <v>PEGASUS - FUNDO DE INVESTIMENTO MULTIMERCADO CP IE</v>
          </cell>
        </row>
        <row r="11334">
          <cell r="B11334">
            <v>79514</v>
          </cell>
          <cell r="C11334" t="str">
            <v>SUCESSO FIM CP IE</v>
          </cell>
          <cell r="D11334" t="str">
            <v>SUCESSO FIM CP IE</v>
          </cell>
          <cell r="E11334" t="str">
            <v>JULIUS BAER FAMILY OFFICE BRASIL GESTAO DE PATRIMONIO LTDA</v>
          </cell>
        </row>
        <row r="11335">
          <cell r="B11335">
            <v>79515</v>
          </cell>
          <cell r="C11335" t="str">
            <v>LJB FIM IE</v>
          </cell>
          <cell r="D11335" t="str">
            <v>LJB FIM IE</v>
          </cell>
          <cell r="E11335" t="str">
            <v>LJB FIM IE</v>
          </cell>
        </row>
        <row r="11336">
          <cell r="B11336">
            <v>79516</v>
          </cell>
          <cell r="C11336" t="str">
            <v>RJPT FIM IE CP</v>
          </cell>
          <cell r="D11336" t="str">
            <v>RJPT FIM IE CP</v>
          </cell>
          <cell r="E11336" t="str">
            <v>RJPT FIM IE CP</v>
          </cell>
        </row>
        <row r="11337">
          <cell r="B11337">
            <v>79517</v>
          </cell>
          <cell r="C11337" t="str">
            <v>PROSPERIDADE FIM IE CP</v>
          </cell>
          <cell r="D11337" t="str">
            <v>PROSPERIDADE FIM IE CP</v>
          </cell>
          <cell r="E11337" t="str">
            <v>PROSPERIDADE FIM IE CP</v>
          </cell>
        </row>
        <row r="11338">
          <cell r="B11338">
            <v>79518</v>
          </cell>
          <cell r="C11338" t="str">
            <v>MARACUJA FIM CP IE</v>
          </cell>
          <cell r="D11338" t="str">
            <v>MARACUJA FIM CP IE</v>
          </cell>
          <cell r="E11338" t="str">
            <v>MARACUJA FIM CP IE</v>
          </cell>
        </row>
        <row r="11339">
          <cell r="B11339">
            <v>79519</v>
          </cell>
          <cell r="C11339" t="str">
            <v>SODIX FIM CP IE</v>
          </cell>
          <cell r="D11339" t="str">
            <v>SODIX FIM CP IE</v>
          </cell>
          <cell r="E11339" t="str">
            <v>CONSENSO INVESTIMENTOS LTDA</v>
          </cell>
        </row>
        <row r="11340">
          <cell r="B11340">
            <v>79520</v>
          </cell>
          <cell r="C11340" t="str">
            <v>POLUX FIC FIA</v>
          </cell>
          <cell r="D11340" t="str">
            <v>POLUX FIC FIA</v>
          </cell>
          <cell r="E11340" t="str">
            <v>POLUX FIC FIA</v>
          </cell>
        </row>
        <row r="11341">
          <cell r="B11341">
            <v>79521</v>
          </cell>
          <cell r="C11341" t="str">
            <v>TRAIRAO FIM</v>
          </cell>
          <cell r="D11341" t="str">
            <v>TRAIRAO FIM</v>
          </cell>
          <cell r="E11341" t="str">
            <v>CONSENSO INVESTIMENTOS LTDA</v>
          </cell>
        </row>
        <row r="11342">
          <cell r="B11342">
            <v>79523</v>
          </cell>
          <cell r="C11342" t="str">
            <v>TRIANGULO FIM CP IE</v>
          </cell>
          <cell r="D11342" t="str">
            <v>TRIANGULO FIM CP IE</v>
          </cell>
          <cell r="E11342" t="str">
            <v>TRIANGULO FIM CP IE</v>
          </cell>
        </row>
        <row r="11343">
          <cell r="B11343">
            <v>79524</v>
          </cell>
          <cell r="C11343" t="str">
            <v>QUELUZ MACRO I FIM</v>
          </cell>
          <cell r="D11343" t="str">
            <v>QUELUZ MACRO I FIM</v>
          </cell>
          <cell r="E11343" t="str">
            <v>QLZ GESTAO DE RECURSOS FINANCEIROS LTDA</v>
          </cell>
        </row>
        <row r="11344">
          <cell r="B11344">
            <v>79525</v>
          </cell>
          <cell r="C11344" t="str">
            <v>BANCO FATOR S/A</v>
          </cell>
          <cell r="D11344">
            <v>230</v>
          </cell>
          <cell r="E11344" t="str">
            <v>BANCO FATOR S/A</v>
          </cell>
        </row>
        <row r="11345">
          <cell r="B11345">
            <v>79526</v>
          </cell>
          <cell r="C11345" t="str">
            <v>RAIZEN CENTRO SUL SA</v>
          </cell>
          <cell r="D11345" t="str">
            <v>RAIZEN CENTRO SUL SA</v>
          </cell>
          <cell r="E11345" t="str">
            <v>RAIZEN CENTRO SUL SA</v>
          </cell>
        </row>
        <row r="11346">
          <cell r="B11346">
            <v>79527</v>
          </cell>
          <cell r="C11346" t="str">
            <v>KINEA ARKHE FIM</v>
          </cell>
          <cell r="D11346">
            <v>177</v>
          </cell>
          <cell r="E11346" t="str">
            <v>KINEA ARKHE FIM</v>
          </cell>
        </row>
        <row r="11347">
          <cell r="B11347">
            <v>79528</v>
          </cell>
          <cell r="C11347" t="str">
            <v>BANCO SOFISA S/A</v>
          </cell>
          <cell r="D11347" t="str">
            <v>BANCO SOFISA S/A</v>
          </cell>
          <cell r="E11347" t="str">
            <v>BANCO SOFISA S/A</v>
          </cell>
        </row>
        <row r="11348">
          <cell r="B11348">
            <v>79529</v>
          </cell>
          <cell r="C11348" t="str">
            <v>ICAP DO BRASIL CTVM LTDA ( ATUAL TULLET)</v>
          </cell>
          <cell r="D11348" t="str">
            <v>ICAP DO BRASIL CTVM LTDA ( ATUAL TULLET)</v>
          </cell>
          <cell r="E11348" t="str">
            <v>ICAP DO BRASIL CTVM LTDA ( ATUAL TULLET)</v>
          </cell>
        </row>
        <row r="11349">
          <cell r="B11349">
            <v>931188</v>
          </cell>
          <cell r="C11349" t="str">
            <v>UBS BRASIL CCTVM S/A (ANTIGA LINK S/A CCTVM)</v>
          </cell>
          <cell r="D11349" t="str">
            <v>UBS BRASIL CCTVM S/A (ANTIGA LINK S/A CCTVM)</v>
          </cell>
          <cell r="E11349" t="str">
            <v>UBS AG, LONDON BRANCH NOVO</v>
          </cell>
        </row>
        <row r="11350">
          <cell r="B11350">
            <v>79532</v>
          </cell>
          <cell r="C11350" t="str">
            <v>BGC LIQUIDEZ DTVM LTDA</v>
          </cell>
          <cell r="D11350" t="str">
            <v>BGC LIQUIDEZ DTVM LTDA</v>
          </cell>
          <cell r="E11350" t="str">
            <v>BGC LIQUIDEZ DTVM LTDA</v>
          </cell>
        </row>
        <row r="11351">
          <cell r="B11351">
            <v>79533</v>
          </cell>
          <cell r="C11351" t="str">
            <v>BGC LIQUIDEZ DTVM LTDA</v>
          </cell>
          <cell r="D11351" t="str">
            <v>BGC LIQUIDEZ DTVM LTDA</v>
          </cell>
          <cell r="E11351" t="str">
            <v>BGC LIQUIDEZ DTVM LTDA</v>
          </cell>
        </row>
        <row r="11352">
          <cell r="B11352">
            <v>79534</v>
          </cell>
          <cell r="C11352" t="str">
            <v>BGC LIQUIDEZ DTVM LTDA</v>
          </cell>
          <cell r="D11352" t="str">
            <v>BGC LIQUIDEZ DTVM LTDA</v>
          </cell>
          <cell r="E11352" t="str">
            <v>BGC LIQUIDEZ DTVM LTDA</v>
          </cell>
        </row>
        <row r="11353">
          <cell r="B11353">
            <v>79536</v>
          </cell>
          <cell r="C11353" t="str">
            <v>CONSENSO INVESTIMENTOS LTDA</v>
          </cell>
          <cell r="D11353">
            <v>317</v>
          </cell>
          <cell r="E11353" t="str">
            <v>CONSENSO INVESTIMENTOS LTDA</v>
          </cell>
        </row>
        <row r="11354">
          <cell r="B11354">
            <v>79537</v>
          </cell>
          <cell r="C11354" t="str">
            <v>FI SABESPREV ICATU VANGUARDA IMA-B5 RF</v>
          </cell>
          <cell r="D11354" t="str">
            <v>FI SABESPREV ICATU VANGUARDA IMA-B5 RF</v>
          </cell>
          <cell r="E11354" t="str">
            <v>FI SABESPREV ICATU VANGUARDA IMA-B5 RF</v>
          </cell>
        </row>
        <row r="11355">
          <cell r="B11355">
            <v>79538</v>
          </cell>
          <cell r="C11355" t="str">
            <v>CORTTEX CAPITAL GESTAO DE RECURSOS LTDA</v>
          </cell>
          <cell r="D11355">
            <v>402</v>
          </cell>
          <cell r="E11355" t="str">
            <v>CORTTEX CAPITAL GESTAO DE RECURSOS LTDA</v>
          </cell>
        </row>
        <row r="11356">
          <cell r="B11356">
            <v>79539</v>
          </cell>
          <cell r="C11356" t="str">
            <v>IMPERIAL HEDGE FIM</v>
          </cell>
          <cell r="D11356">
            <v>999424</v>
          </cell>
          <cell r="E11356" t="str">
            <v>GRIMPER CAPITAL GESTORA DE RECURSOS LTDA</v>
          </cell>
        </row>
        <row r="11357">
          <cell r="B11357">
            <v>79540</v>
          </cell>
          <cell r="C11357" t="str">
            <v>DYNAMO INTERNACIONAL GESTAO DE RECURSOS LTDA</v>
          </cell>
          <cell r="D11357">
            <v>401</v>
          </cell>
          <cell r="E11357" t="str">
            <v>DYNAMO ADMINISTRACAO DE RECURSOS LTDA</v>
          </cell>
        </row>
        <row r="11358">
          <cell r="B11358">
            <v>79541</v>
          </cell>
          <cell r="C11358" t="str">
            <v>RENASCENÃ‡A DTVM LTDA</v>
          </cell>
          <cell r="D11358" t="str">
            <v>RENASCENÃ‡A DTVM LTDA</v>
          </cell>
          <cell r="E11358" t="str">
            <v>WARREN BRASIL GESTÃO E ADMINISTRAÇÃO DE RECURSOS LTDA</v>
          </cell>
        </row>
        <row r="11359">
          <cell r="B11359">
            <v>79542</v>
          </cell>
          <cell r="C11359" t="str">
            <v>A7 GESTÃƒO DE RECURSOS LTDA</v>
          </cell>
          <cell r="D11359" t="str">
            <v>A7 GESTÃƒO DE RECURSOS LTDA</v>
          </cell>
          <cell r="E11359" t="str">
            <v>A7 GESTÃƒO DE RECURSOS LTDA</v>
          </cell>
        </row>
        <row r="11360">
          <cell r="B11360">
            <v>79543</v>
          </cell>
          <cell r="C11360" t="str">
            <v>TIVIO CAPITAL DISTRIBUIDORA DE TITULOS E VALORES MOBILIARIOS</v>
          </cell>
          <cell r="D11360" t="str">
            <v>TIVIO CAPITAL DISTRIBUIDORA DE TITULOS E VALORES MOBILIARIOS</v>
          </cell>
          <cell r="E11360" t="str">
            <v>TIVIO CAPITAL DISTRIBUIDORA DE TITULOS E VALORES MOBILIARIOS</v>
          </cell>
        </row>
        <row r="11361">
          <cell r="B11361">
            <v>79544</v>
          </cell>
          <cell r="C11361" t="str">
            <v>ICATU VANGUARDA GESTÃƒO DE RECURSOS LTDA</v>
          </cell>
          <cell r="D11361">
            <v>904890</v>
          </cell>
          <cell r="E11361" t="str">
            <v>ICATU VANGUARDA GESTAO DE RECURSOS LTDA</v>
          </cell>
        </row>
        <row r="11362">
          <cell r="B11362">
            <v>79545</v>
          </cell>
          <cell r="C11362" t="str">
            <v>BGC LIQUIDEZ DTVM LTDA</v>
          </cell>
          <cell r="D11362" t="str">
            <v>BGC LIQUIDEZ DTVM LTDA</v>
          </cell>
          <cell r="E11362" t="str">
            <v>BGC LIQUIDEZ DTVM LTDA</v>
          </cell>
        </row>
        <row r="11363">
          <cell r="B11363">
            <v>79546</v>
          </cell>
          <cell r="C11363" t="str">
            <v>BANCO DE LA NACION ARGENTINA</v>
          </cell>
          <cell r="D11363" t="str">
            <v>BANCO DE LA NACION ARGENTINA</v>
          </cell>
          <cell r="E11363" t="str">
            <v>BANCO DE LA NACION ARGENTINA</v>
          </cell>
        </row>
        <row r="11364">
          <cell r="B11364">
            <v>79547</v>
          </cell>
          <cell r="C11364" t="str">
            <v>BANCO DE LA NACION ARGENTINA</v>
          </cell>
          <cell r="D11364" t="str">
            <v>BANCO DE LA NACION ARGENTINA</v>
          </cell>
          <cell r="E11364" t="str">
            <v>BANCO DE LA NACION ARGENTINA</v>
          </cell>
        </row>
        <row r="11365">
          <cell r="B11365">
            <v>79548</v>
          </cell>
          <cell r="C11365" t="str">
            <v>COPO DE LEITE FIM CP IE</v>
          </cell>
          <cell r="D11365" t="str">
            <v>COPO DE LEITE FIM CP IE</v>
          </cell>
          <cell r="E11365" t="str">
            <v>COPO DE LEITE FIM CP IE</v>
          </cell>
        </row>
        <row r="11366">
          <cell r="B11366">
            <v>79549</v>
          </cell>
          <cell r="C11366" t="str">
            <v>ITAU UNIBANCO S.A.</v>
          </cell>
          <cell r="D11366" t="str">
            <v>49.4</v>
          </cell>
          <cell r="E11366" t="str">
            <v>ITAU UNIBANCO S/A</v>
          </cell>
        </row>
        <row r="11367">
          <cell r="B11367">
            <v>79550</v>
          </cell>
          <cell r="C11367" t="str">
            <v>SAO PAULO PORTO MASTER FIM IE</v>
          </cell>
          <cell r="D11367">
            <v>84</v>
          </cell>
          <cell r="E11367" t="str">
            <v>SAO PAULO PORTO MASTER FIM IE</v>
          </cell>
        </row>
        <row r="11368">
          <cell r="B11368">
            <v>79551</v>
          </cell>
          <cell r="C11368" t="str">
            <v>SAO PAULO FI REFERENCIADO DI</v>
          </cell>
          <cell r="D11368" t="str">
            <v>84.1</v>
          </cell>
          <cell r="E11368" t="str">
            <v>SAO PAULO FI REFERENCIADO DI</v>
          </cell>
        </row>
        <row r="11369">
          <cell r="B11369">
            <v>79553</v>
          </cell>
          <cell r="D11369">
            <v>14</v>
          </cell>
        </row>
        <row r="11370">
          <cell r="B11370">
            <v>79554</v>
          </cell>
          <cell r="C11370" t="str">
            <v>PLATINA TRADING FIM</v>
          </cell>
          <cell r="D11370" t="str">
            <v>PLATINA TRADING FIM</v>
          </cell>
          <cell r="E11370" t="str">
            <v>PLATINA INVESTIMENTOS LTDA</v>
          </cell>
        </row>
        <row r="11371">
          <cell r="B11371">
            <v>79240</v>
          </cell>
          <cell r="C11371" t="str">
            <v>XP GESTAO DE RECURSOS LTDA</v>
          </cell>
          <cell r="D11371" t="str">
            <v>XP GESTAO DE RECURSOS LTDA</v>
          </cell>
          <cell r="E11371" t="str">
            <v>XP GESTAO DE RECURSOS LTDA</v>
          </cell>
        </row>
        <row r="11372">
          <cell r="B11372">
            <v>79303</v>
          </cell>
          <cell r="C11372" t="str">
            <v>XP ADVISORY GESTAO DE RECURSOS LTDA</v>
          </cell>
          <cell r="D11372" t="str">
            <v>XP ADVISORY GESTAO DE RECURSOS LTDA</v>
          </cell>
          <cell r="E11372" t="str">
            <v>XP GESTAO DE RECURSOS LTDA</v>
          </cell>
        </row>
        <row r="11373">
          <cell r="B11373">
            <v>79555</v>
          </cell>
          <cell r="C11373" t="str">
            <v>TAGUS TOP FI RF CP</v>
          </cell>
          <cell r="D11373" t="str">
            <v>TAGUS TOP FI RF CP</v>
          </cell>
          <cell r="E11373" t="str">
            <v>XP GESTAO DE RECURSOS LTDA</v>
          </cell>
        </row>
        <row r="11374">
          <cell r="B11374">
            <v>79558</v>
          </cell>
          <cell r="C11374" t="str">
            <v>HELMER HANSSEN MULTIESTRATEGIA FIM CP IE</v>
          </cell>
          <cell r="D11374" t="str">
            <v>HELMER HANSSEN MULTIESTRATEGIA FIM CP IE</v>
          </cell>
          <cell r="E11374" t="str">
            <v>HELMER HANSSEN MULTIESTRATEGIA FIM CP IE</v>
          </cell>
        </row>
        <row r="11375">
          <cell r="B11375">
            <v>79559</v>
          </cell>
          <cell r="C11375" t="str">
            <v>TEWKSBURY INVESTMENT FUND LTD</v>
          </cell>
          <cell r="D11375">
            <v>900089</v>
          </cell>
          <cell r="E11375" t="str">
            <v>TEWKSBURY INVESTMENT FUND LTD</v>
          </cell>
        </row>
        <row r="11376">
          <cell r="B11376">
            <v>79560</v>
          </cell>
          <cell r="C11376" t="str">
            <v>OPTIVER V.O.F.</v>
          </cell>
          <cell r="D11376" t="str">
            <v>OPTIVER V.O.F.</v>
          </cell>
          <cell r="E11376" t="str">
            <v>OPTIVER V.O.F.</v>
          </cell>
        </row>
        <row r="11377">
          <cell r="B11377">
            <v>79561</v>
          </cell>
          <cell r="C11377" t="str">
            <v>ICONE INVESTIMENTOS LTDA</v>
          </cell>
          <cell r="D11377" t="str">
            <v>ICONE INVESTIMENTOS LTDA</v>
          </cell>
          <cell r="E11377" t="str">
            <v>ICONE INVESTIMENTOS LTDA</v>
          </cell>
        </row>
        <row r="11378">
          <cell r="B11378">
            <v>79562</v>
          </cell>
          <cell r="C11378" t="str">
            <v>NATIXIS</v>
          </cell>
          <cell r="D11378" t="str">
            <v>NATIXIS</v>
          </cell>
          <cell r="E11378" t="str">
            <v>NATIXIS, AS</v>
          </cell>
        </row>
        <row r="11379">
          <cell r="B11379">
            <v>79563</v>
          </cell>
          <cell r="C11379" t="str">
            <v>TCEP FIA</v>
          </cell>
          <cell r="D11379" t="str">
            <v>TCEP FIA</v>
          </cell>
          <cell r="E11379" t="str">
            <v>DYNAMO ADMINISTRACAO DE RECURSOS LTDA</v>
          </cell>
        </row>
        <row r="11380">
          <cell r="B11380">
            <v>79564</v>
          </cell>
          <cell r="C11380" t="str">
            <v>LFR FIM</v>
          </cell>
          <cell r="D11380">
            <v>207</v>
          </cell>
          <cell r="E11380" t="str">
            <v>LFR FIM</v>
          </cell>
        </row>
        <row r="11381">
          <cell r="B11381">
            <v>79565</v>
          </cell>
          <cell r="C11381" t="str">
            <v>TAGUS TOSCANA LOW VOL FIM</v>
          </cell>
          <cell r="D11381" t="str">
            <v>TAGUS TOSCANA LOW VOL FIM</v>
          </cell>
          <cell r="E11381" t="str">
            <v>APPIA PRIME GESTAO DE RECURSOS LTDA</v>
          </cell>
        </row>
        <row r="11382">
          <cell r="B11382">
            <v>79566</v>
          </cell>
          <cell r="C11382" t="str">
            <v>APPIA EV FIM EXCLUSIVO</v>
          </cell>
          <cell r="D11382" t="str">
            <v>APPIA EV FIM EXCLUSIVO</v>
          </cell>
          <cell r="E11382" t="str">
            <v>APPIA PRIME GESTAO DE RECURSOS LTDA</v>
          </cell>
        </row>
        <row r="11383">
          <cell r="B11383">
            <v>79567</v>
          </cell>
          <cell r="C11383" t="str">
            <v>JPA FUNDO DE INVESTIMENTO MULTIMERCADO</v>
          </cell>
          <cell r="D11383" t="str">
            <v>JPA FUNDO DE INVESTIMENTO MULTIMERCADO</v>
          </cell>
          <cell r="E11383" t="str">
            <v>APPIA PRIME GESTAO DE RECURSOS LTDA</v>
          </cell>
        </row>
        <row r="11384">
          <cell r="B11384">
            <v>79568</v>
          </cell>
          <cell r="C11384" t="str">
            <v>AMPLIO HEDGE FIM</v>
          </cell>
          <cell r="D11384" t="str">
            <v>AMPLIO HEDGE FIM</v>
          </cell>
          <cell r="E11384" t="str">
            <v>AMPLIO HEDGE FIM</v>
          </cell>
        </row>
        <row r="11385">
          <cell r="B11385">
            <v>79569</v>
          </cell>
          <cell r="C11385" t="str">
            <v>DTW INSTITUCIONAL FIA</v>
          </cell>
          <cell r="D11385" t="str">
            <v>DTW INSTITUCIONAL FIA</v>
          </cell>
          <cell r="E11385" t="str">
            <v>AMPLIO CAPITAL LTDA</v>
          </cell>
        </row>
        <row r="11386">
          <cell r="B11386">
            <v>79570</v>
          </cell>
          <cell r="C11386" t="str">
            <v>DTW FI RF INSTITUCIONAL</v>
          </cell>
          <cell r="D11386" t="str">
            <v>DTW FI RF INSTITUCIONAL</v>
          </cell>
          <cell r="E11386" t="str">
            <v>AMPLIO CAPITAL LTDA</v>
          </cell>
        </row>
        <row r="11387">
          <cell r="B11387">
            <v>79571</v>
          </cell>
          <cell r="C11387" t="str">
            <v>PRINCIPAL ASSET MANAGEMENT LTDA</v>
          </cell>
          <cell r="D11387" t="str">
            <v>PRINCIPAL ASSET MANAGEMENT LTDA</v>
          </cell>
          <cell r="E11387" t="str">
            <v>PRINCIPAL ASSET MANAGEMENT LTDA</v>
          </cell>
        </row>
        <row r="11388">
          <cell r="B11388">
            <v>79572</v>
          </cell>
          <cell r="C11388" t="str">
            <v>JIVE ASSET GESTAO DE RECURSOS LTDA</v>
          </cell>
          <cell r="D11388" t="str">
            <v>JIVE ASSET GESTAO DE RECURSOS LTDA</v>
          </cell>
          <cell r="E11388" t="str">
            <v>JIVE ASSET GESTÃO DE RECURSOS LTDA</v>
          </cell>
        </row>
        <row r="11389">
          <cell r="B11389">
            <v>79573</v>
          </cell>
          <cell r="C11389" t="str">
            <v>CAPSTONE VOL HOLDINGS I, LLC</v>
          </cell>
          <cell r="D11389">
            <v>98162</v>
          </cell>
          <cell r="E11389" t="str">
            <v>CAPSTONE VOL HOLDINGS I, LLC</v>
          </cell>
        </row>
        <row r="11390">
          <cell r="B11390">
            <v>79574</v>
          </cell>
          <cell r="C11390" t="str">
            <v>ALASKA POLAND FIA BDR NIVEL I IE</v>
          </cell>
          <cell r="D11390" t="str">
            <v>ALASKA POLAND FIA BDR NIVEL I IE</v>
          </cell>
          <cell r="E11390" t="str">
            <v>ALASKA INVESTIMENTOS LTDA</v>
          </cell>
        </row>
        <row r="11391">
          <cell r="B11391">
            <v>79575</v>
          </cell>
          <cell r="C11391" t="str">
            <v>PAINEIRAS HEDGE MASTER FIM</v>
          </cell>
          <cell r="D11391" t="str">
            <v>PAINEIRAS HEDGE MASTER FIM</v>
          </cell>
          <cell r="E11391" t="str">
            <v>IPANEMA GESTORA DE RECURSOS LTDA</v>
          </cell>
        </row>
        <row r="11392">
          <cell r="B11392">
            <v>79576</v>
          </cell>
          <cell r="C11392" t="str">
            <v>RUGIR MULTIMERCADO CP IE</v>
          </cell>
          <cell r="D11392" t="str">
            <v>RUGIR MULTIMERCADO CP IE</v>
          </cell>
          <cell r="E11392" t="str">
            <v>CONSENSO INVESTIMENTOS LTDA</v>
          </cell>
        </row>
        <row r="11393">
          <cell r="B11393">
            <v>79577</v>
          </cell>
          <cell r="C11393" t="str">
            <v>PSR FIM CP IE</v>
          </cell>
          <cell r="D11393" t="str">
            <v>PSR FIM CP IE</v>
          </cell>
          <cell r="E11393" t="str">
            <v>PSR FIM CP IE</v>
          </cell>
        </row>
        <row r="11394">
          <cell r="B11394">
            <v>79578</v>
          </cell>
          <cell r="C11394" t="str">
            <v>J.P. MORGAN OVERSEAS CAPITAL LLC - J.P. MORGAN S.A. DTVM</v>
          </cell>
          <cell r="D11394" t="str">
            <v>J.P. MORGAN OVERSEAS CAPITAL LLC - J.P. MORGAN S.A. DTVM</v>
          </cell>
          <cell r="E11394" t="str">
            <v>BANCO JP MORGAN S/A</v>
          </cell>
        </row>
        <row r="11395">
          <cell r="B11395">
            <v>79233</v>
          </cell>
          <cell r="C11395" t="str">
            <v>GLOBAL FIM CP IE</v>
          </cell>
          <cell r="D11395" t="str">
            <v>GLOBAL FIM CP IE</v>
          </cell>
          <cell r="E11395" t="str">
            <v>CAPITÂNIA INVEST S/A</v>
          </cell>
        </row>
        <row r="11396">
          <cell r="B11396">
            <v>79580</v>
          </cell>
          <cell r="C11396" t="str">
            <v>FSH FIM CP IE</v>
          </cell>
          <cell r="D11396" t="str">
            <v>FSH FIM CP IE</v>
          </cell>
          <cell r="E11396" t="str">
            <v>FSH FIM CP IE</v>
          </cell>
        </row>
        <row r="11397">
          <cell r="B11397">
            <v>79583</v>
          </cell>
          <cell r="C11397" t="str">
            <v>OURIBANK S.A. BANCO MULTIPLO</v>
          </cell>
          <cell r="D11397" t="str">
            <v>42*</v>
          </cell>
          <cell r="E11397" t="str">
            <v>OURIBANK S.A. BANCO MULTIPLO</v>
          </cell>
        </row>
        <row r="11398">
          <cell r="B11398">
            <v>79586</v>
          </cell>
          <cell r="C11398" t="str">
            <v>MVP CAPITAL GESTAO DE RECURSOS LTDA</v>
          </cell>
          <cell r="D11398">
            <v>586</v>
          </cell>
          <cell r="E11398" t="str">
            <v>MVP CAPITAL GESTAO DE RECURSOS LTDA</v>
          </cell>
        </row>
        <row r="11399">
          <cell r="B11399">
            <v>79588</v>
          </cell>
          <cell r="C11399" t="str">
            <v>ABSOLUTE GESTAO DE INVESTIMENTOS LTDA</v>
          </cell>
          <cell r="D11399" t="str">
            <v>ABSOLUTE GESTAO DE INVESTIMENTOS LTDA</v>
          </cell>
          <cell r="E11399" t="str">
            <v>ABSOLUTE GESTAO DE INVESTIMENTOS LTDA</v>
          </cell>
        </row>
        <row r="11400">
          <cell r="B11400">
            <v>123681</v>
          </cell>
          <cell r="C11400" t="str">
            <v>NUCLEOS I BRASIL PLURAL FIM</v>
          </cell>
          <cell r="D11400" t="str">
            <v>NUCLEOS I BRASIL PLURAL FIM</v>
          </cell>
          <cell r="E11400" t="str">
            <v>PLURAL GESTÃO DE RECURSOS LTDA</v>
          </cell>
        </row>
        <row r="11401">
          <cell r="B11401">
            <v>80737</v>
          </cell>
          <cell r="C11401" t="str">
            <v>OCCAM BRASIL GESTAO DE RECURSOS LTDA</v>
          </cell>
          <cell r="D11401" t="str">
            <v>OCCAM BRASIL GESTAO DE RECURSOS LTDA</v>
          </cell>
          <cell r="E11401" t="str">
            <v>OCCAM BRASIL GESTAO DE RECURSOS LTDA</v>
          </cell>
        </row>
        <row r="11402">
          <cell r="B11402">
            <v>79591</v>
          </cell>
          <cell r="C11402" t="str">
            <v>OURIBANK S.A. BANCO MULTIPLO</v>
          </cell>
          <cell r="D11402" t="str">
            <v>OURIBANK S.A. BANCO MULTIPLO</v>
          </cell>
          <cell r="E11402" t="str">
            <v>OURIBANK S.A. BANCO MULTIPLO</v>
          </cell>
        </row>
        <row r="11403">
          <cell r="B11403">
            <v>79592</v>
          </cell>
          <cell r="C11403" t="str">
            <v>BANK OF AMERICA N.A (BANA)</v>
          </cell>
          <cell r="D11403">
            <v>566</v>
          </cell>
          <cell r="E11403" t="str">
            <v>BANK OF AMERICA MERRILL LYNCH BANCO MULTIPLO S/A</v>
          </cell>
        </row>
        <row r="11404">
          <cell r="B11404">
            <v>12371</v>
          </cell>
          <cell r="C11404" t="str">
            <v>IBIRAPUERA PERFORMANCE INVESTIMENTOS LTDA</v>
          </cell>
          <cell r="D11404" t="str">
            <v>IBIRAPUERA PERFORMANCE INVESTIMENTOS LTDA</v>
          </cell>
          <cell r="E11404" t="str">
            <v>IBIUNA GESTAO DE RECURSOS LTDA</v>
          </cell>
        </row>
        <row r="11405">
          <cell r="B11405">
            <v>80049</v>
          </cell>
          <cell r="C11405" t="str">
            <v>IBIUNA HEDGE FIM</v>
          </cell>
          <cell r="D11405" t="str">
            <v>IBIUNA HEDGE FIM</v>
          </cell>
          <cell r="E11405" t="str">
            <v>IBIUNA GESTAO DE RECURSOS LTDA</v>
          </cell>
        </row>
        <row r="11406">
          <cell r="B11406">
            <v>80201</v>
          </cell>
          <cell r="C11406" t="str">
            <v>BANCO SANTANDER S.A (HISPANO)</v>
          </cell>
          <cell r="D11406" t="str">
            <v>BANCO SANTANDER S.A (HISPANO)</v>
          </cell>
          <cell r="E11406" t="str">
            <v>BANCO SANTANDER S/A (HISPANO)</v>
          </cell>
        </row>
        <row r="11407">
          <cell r="B11407">
            <v>79597</v>
          </cell>
          <cell r="C11407" t="str">
            <v>OURIBANK S.A. BANCO MULTIPLO</v>
          </cell>
          <cell r="D11407" t="str">
            <v>OURIBANK S.A. BANCO MULTIPLO</v>
          </cell>
          <cell r="E11407" t="str">
            <v>OURIBANK S.A. BANCO MULTIPLO</v>
          </cell>
        </row>
        <row r="11408">
          <cell r="B11408">
            <v>79598</v>
          </cell>
          <cell r="C11408" t="str">
            <v>CM CAPITAL MARKETS CCTVM LTDA</v>
          </cell>
          <cell r="D11408" t="str">
            <v>CM CAPITAL MARKETS CCTVM LTDA</v>
          </cell>
          <cell r="E11408" t="str">
            <v>CM CAPITAL MARKETS CCTVM LTDA</v>
          </cell>
        </row>
        <row r="11409">
          <cell r="B11409">
            <v>79599</v>
          </cell>
          <cell r="C11409" t="str">
            <v>BGC LIQUIDEZ DTVM LTDA</v>
          </cell>
          <cell r="D11409" t="str">
            <v>BGC LIQUIDEZ DTVM LTDA</v>
          </cell>
          <cell r="E11409" t="str">
            <v>BGC LIQUIDEZ DTVM LTDA</v>
          </cell>
        </row>
        <row r="11410">
          <cell r="B11410">
            <v>79600</v>
          </cell>
          <cell r="C11410" t="str">
            <v>CM CAPITAL MARKETS CCTVM LTDA</v>
          </cell>
          <cell r="D11410" t="str">
            <v>CM CAPITAL MARKETS CCTVM LTDA</v>
          </cell>
          <cell r="E11410" t="str">
            <v>CM CAPITAL MARKETS CCTVM LTDA</v>
          </cell>
        </row>
        <row r="11411">
          <cell r="B11411">
            <v>79601</v>
          </cell>
          <cell r="C11411" t="str">
            <v>BGC LIQUIDEZ DTVM LTDA</v>
          </cell>
          <cell r="D11411" t="str">
            <v>BGC LIQUIDEZ DTVM LTDA</v>
          </cell>
          <cell r="E11411" t="str">
            <v>BGC LIQUIDEZ DTVM LTDA</v>
          </cell>
        </row>
        <row r="11412">
          <cell r="B11412">
            <v>80208</v>
          </cell>
          <cell r="C11412" t="str">
            <v>3M FIM LP</v>
          </cell>
          <cell r="D11412" t="str">
            <v>3M FIM LP</v>
          </cell>
          <cell r="E11412" t="str">
            <v>MORE INVEST GESTORA DE RECURSOS LTDA</v>
          </cell>
        </row>
        <row r="11413">
          <cell r="B11413">
            <v>79606</v>
          </cell>
          <cell r="C11413" t="str">
            <v>GRANADA FIM</v>
          </cell>
          <cell r="D11413">
            <v>99606</v>
          </cell>
          <cell r="E11413" t="str">
            <v>GRANADA FIM</v>
          </cell>
        </row>
        <row r="11414">
          <cell r="B11414">
            <v>79607</v>
          </cell>
          <cell r="C11414" t="str">
            <v>BANCO PAN S/A</v>
          </cell>
          <cell r="D11414">
            <v>99607</v>
          </cell>
          <cell r="E11414" t="str">
            <v>BANCO PAN S/A</v>
          </cell>
        </row>
        <row r="11415">
          <cell r="B11415">
            <v>79608</v>
          </cell>
          <cell r="C11415" t="str">
            <v>ICONE INVESTIMENTOS LTDA</v>
          </cell>
          <cell r="D11415">
            <v>99608</v>
          </cell>
          <cell r="E11415" t="str">
            <v>ICONE INVESTIMENTOS LTDA</v>
          </cell>
        </row>
        <row r="11416">
          <cell r="B11416">
            <v>80202</v>
          </cell>
          <cell r="C11416" t="str">
            <v>BANCO SANTANDER S.A (HISPANO)</v>
          </cell>
          <cell r="D11416" t="str">
            <v>BANCO SANTANDER S.A (HISPANO)</v>
          </cell>
          <cell r="E11416" t="str">
            <v>BANCO SANTANDER S/A (HISPANO)</v>
          </cell>
        </row>
        <row r="11417">
          <cell r="B11417">
            <v>80203</v>
          </cell>
          <cell r="C11417" t="str">
            <v>BANCO SANTANDER S.A (HISPANO)</v>
          </cell>
          <cell r="D11417" t="str">
            <v>BANCO SANTANDER S.A (HISPANO)</v>
          </cell>
          <cell r="E11417" t="str">
            <v>BANCO SANTANDER S/A (HISPANO)</v>
          </cell>
        </row>
        <row r="11418">
          <cell r="B11418">
            <v>80206</v>
          </cell>
          <cell r="C11418" t="str">
            <v>BANCO SANTANDER S.A (HISPANO)</v>
          </cell>
          <cell r="D11418" t="str">
            <v>BANCO SANTANDER S.A (HISPANO)</v>
          </cell>
          <cell r="E11418" t="str">
            <v>BANCO SANTANDER S/A (HISPANO)</v>
          </cell>
        </row>
        <row r="11419">
          <cell r="B11419">
            <v>123210</v>
          </cell>
          <cell r="C11419" t="str">
            <v>BANCO SANTANDER, S/A (MADRID)</v>
          </cell>
          <cell r="D11419" t="str">
            <v>BANCO SANTANDER, S/A (MADRID)</v>
          </cell>
          <cell r="E11419" t="str">
            <v>BANCO SANTANDER S/A (HISPANO)</v>
          </cell>
        </row>
        <row r="11420">
          <cell r="B11420">
            <v>123211</v>
          </cell>
          <cell r="C11420" t="str">
            <v>BANCO SANTANDER, S/A (MADRID)</v>
          </cell>
          <cell r="D11420" t="str">
            <v>BANCO SANTANDER, S/A (MADRID)</v>
          </cell>
          <cell r="E11420" t="str">
            <v>BANCO SANTANDER S/A (HISPANO)</v>
          </cell>
        </row>
        <row r="11421">
          <cell r="B11421">
            <v>123212</v>
          </cell>
          <cell r="C11421" t="str">
            <v>BANCO SANTANDER, S/A (MADRID)</v>
          </cell>
          <cell r="D11421" t="str">
            <v>BANCO SANTANDER, S/A (MADRID)</v>
          </cell>
          <cell r="E11421" t="str">
            <v>BANCO SANTANDER S/A (HISPANO)</v>
          </cell>
        </row>
        <row r="11422">
          <cell r="B11422">
            <v>123213</v>
          </cell>
          <cell r="C11422" t="str">
            <v>BANCO SANTANDER, S/A (MADRID)</v>
          </cell>
          <cell r="D11422" t="str">
            <v>BANCO SANTANDER, S/A (MADRID)</v>
          </cell>
          <cell r="E11422" t="str">
            <v>BANCO SANTANDER S/A (HISPANO)</v>
          </cell>
        </row>
        <row r="11423">
          <cell r="B11423">
            <v>123214</v>
          </cell>
          <cell r="C11423" t="str">
            <v>BANCO SANTANDER, S/A (MADRID)</v>
          </cell>
          <cell r="D11423" t="str">
            <v>BANCO SANTANDER, S/A (MADRID)</v>
          </cell>
          <cell r="E11423" t="str">
            <v>BANCO SANTANDER S/A (HISPANO)</v>
          </cell>
        </row>
        <row r="11424">
          <cell r="B11424">
            <v>123215</v>
          </cell>
          <cell r="C11424" t="str">
            <v>BANCO SANTANDER, S/A (MADRID)</v>
          </cell>
          <cell r="D11424" t="str">
            <v>BANCO SANTANDER, S/A (MADRID)</v>
          </cell>
          <cell r="E11424" t="str">
            <v>BANCO SANTANDER S/A (HISPANO)</v>
          </cell>
        </row>
        <row r="11425">
          <cell r="B11425">
            <v>123216</v>
          </cell>
          <cell r="C11425" t="str">
            <v>BANCO SANTANDER, S/A (MADRID)</v>
          </cell>
          <cell r="D11425" t="str">
            <v>BANCO SANTANDER, S/A (MADRID)</v>
          </cell>
          <cell r="E11425" t="str">
            <v>BANCO SANTANDER S/A (HISPANO)</v>
          </cell>
        </row>
        <row r="11426">
          <cell r="B11426">
            <v>123217</v>
          </cell>
          <cell r="C11426" t="str">
            <v>BANCO SANTANDER, S/A (MADRID)</v>
          </cell>
          <cell r="D11426" t="str">
            <v>BANCO SANTANDER, S/A (MADRID)</v>
          </cell>
          <cell r="E11426" t="str">
            <v>BANCO SANTANDER S/A (HISPANO)</v>
          </cell>
        </row>
        <row r="11427">
          <cell r="B11427">
            <v>123817</v>
          </cell>
          <cell r="C11427" t="str">
            <v>BANCO SANTANDER, S/A (MADRID)</v>
          </cell>
          <cell r="D11427" t="str">
            <v>BANCO SANTANDER, S/A (MADRID)</v>
          </cell>
          <cell r="E11427" t="str">
            <v>BANCO SANTANDER S/A (HISPANO)</v>
          </cell>
        </row>
        <row r="11428">
          <cell r="B11428">
            <v>124249</v>
          </cell>
          <cell r="C11428" t="str">
            <v>BANCO SANTANDER S.A (HISPANO)</v>
          </cell>
          <cell r="D11428" t="str">
            <v>BANCO SANTANDER S.A (HISPANO)</v>
          </cell>
          <cell r="E11428" t="str">
            <v>BANCO SANTANDER S/A (HISPANO)</v>
          </cell>
        </row>
        <row r="11429">
          <cell r="B11429">
            <v>14480</v>
          </cell>
          <cell r="C11429" t="str">
            <v>BANCO SANTANDER, S/A (MADRID)</v>
          </cell>
          <cell r="D11429" t="str">
            <v>BANCO SANTANDER, S/A (MADRID)</v>
          </cell>
          <cell r="E11429" t="str">
            <v>BANCO SANTANDER S/A (HISPANO)</v>
          </cell>
        </row>
        <row r="11430">
          <cell r="B11430">
            <v>79637</v>
          </cell>
          <cell r="C11430" t="str">
            <v>BANCO SANTANDER, S/A (MADRID)</v>
          </cell>
          <cell r="D11430" t="str">
            <v>BANCO SANTANDER, S/A (MADRID)</v>
          </cell>
          <cell r="E11430" t="str">
            <v>BANCO SANTANDER S/A (HISPANO)</v>
          </cell>
        </row>
        <row r="11431">
          <cell r="B11431">
            <v>79638</v>
          </cell>
          <cell r="C11431" t="str">
            <v>BANCO SANTANDER, S/A (MADRID)</v>
          </cell>
          <cell r="D11431" t="str">
            <v>BANCO SANTANDER, S/A (MADRID)</v>
          </cell>
          <cell r="E11431" t="str">
            <v>BANCO SANTANDER S/A (HISPANO)</v>
          </cell>
        </row>
        <row r="11432">
          <cell r="B11432">
            <v>79639</v>
          </cell>
          <cell r="C11432" t="str">
            <v>BANCO SANTANDER, S/A (MADRID)</v>
          </cell>
          <cell r="D11432" t="str">
            <v>BANCO SANTANDER, S/A (MADRID)</v>
          </cell>
          <cell r="E11432" t="str">
            <v>BANCO SANTANDER S/A (HISPANO)</v>
          </cell>
        </row>
        <row r="11433">
          <cell r="B11433">
            <v>79640</v>
          </cell>
          <cell r="C11433" t="str">
            <v>BANCO SANTANDER, S/A (MADRID)</v>
          </cell>
          <cell r="D11433" t="str">
            <v>BANCO SANTANDER, S/A (MADRID)</v>
          </cell>
          <cell r="E11433" t="str">
            <v>BANCO SANTANDER S/A (HISPANO)</v>
          </cell>
        </row>
        <row r="11434">
          <cell r="B11434">
            <v>79641</v>
          </cell>
          <cell r="C11434" t="str">
            <v>BANCO SANTANDER, S/A (MADRID)</v>
          </cell>
          <cell r="D11434" t="str">
            <v>BANCO SANTANDER, S/A (MADRID)</v>
          </cell>
          <cell r="E11434" t="str">
            <v>BANCO SANTANDER S/A (HISPANO)</v>
          </cell>
        </row>
        <row r="11435">
          <cell r="B11435">
            <v>79642</v>
          </cell>
          <cell r="C11435" t="str">
            <v>BANCO SANTANDER, S/A (MADRID)</v>
          </cell>
          <cell r="D11435" t="str">
            <v>BANCO SANTANDER, S/A (MADRID)</v>
          </cell>
          <cell r="E11435" t="str">
            <v>BANCO SANTANDER S/A (HISPANO)</v>
          </cell>
        </row>
        <row r="11436">
          <cell r="B11436">
            <v>79652</v>
          </cell>
          <cell r="C11436" t="str">
            <v>AARDVARK TRADING LLC</v>
          </cell>
          <cell r="D11436">
            <v>315</v>
          </cell>
          <cell r="E11436" t="str">
            <v>AARDVARK TRADING LLC</v>
          </cell>
        </row>
        <row r="11437">
          <cell r="B11437">
            <v>125394</v>
          </cell>
          <cell r="C11437" t="str">
            <v>OCCAM FUNDO DE INVESTIMENTO DE ACOES</v>
          </cell>
          <cell r="D11437" t="str">
            <v>OCCAM FUNDO DE INVESTIMENTO DE ACOES</v>
          </cell>
          <cell r="E11437" t="str">
            <v>OCCAM BRASIL GESTAO DE RECURSOS LTDA</v>
          </cell>
        </row>
        <row r="11438">
          <cell r="B11438">
            <v>79654</v>
          </cell>
          <cell r="C11438" t="str">
            <v>MONTEFIORE I FIM CP IE</v>
          </cell>
          <cell r="D11438" t="str">
            <v>MONTEFIORE I FIM CP IE</v>
          </cell>
          <cell r="E11438" t="str">
            <v>MONTEFIORE I FIM CP IE</v>
          </cell>
        </row>
        <row r="11439">
          <cell r="B11439">
            <v>79655</v>
          </cell>
          <cell r="C11439" t="str">
            <v>BGC LIQUIDEZ DTVM LTDA</v>
          </cell>
          <cell r="D11439" t="str">
            <v>BGC LIQUIDEZ DTVM LTDA</v>
          </cell>
          <cell r="E11439" t="str">
            <v>BGC LIQUIDEZ DTVM LTDA</v>
          </cell>
        </row>
        <row r="11440">
          <cell r="B11440">
            <v>79656</v>
          </cell>
          <cell r="C11440" t="str">
            <v>BANCO MIZUHO DO BRASIL S/A (ANTIGO WESTLB)</v>
          </cell>
          <cell r="D11440" t="str">
            <v>BANCO MIZUHO DO BRASIL S/A (ANTIGO WESTLB)</v>
          </cell>
          <cell r="E11440" t="str">
            <v>BANCO MIZUHO DO BRASIL S/A</v>
          </cell>
        </row>
        <row r="11441">
          <cell r="B11441">
            <v>79657</v>
          </cell>
          <cell r="C11441" t="str">
            <v>ALDEBARAN FIM</v>
          </cell>
          <cell r="D11441">
            <v>99657</v>
          </cell>
          <cell r="E11441" t="str">
            <v>ALDEBARAN FIM</v>
          </cell>
        </row>
        <row r="11442">
          <cell r="B11442">
            <v>79658</v>
          </cell>
          <cell r="C11442" t="str">
            <v>SG SD FIM IE</v>
          </cell>
          <cell r="D11442" t="str">
            <v>SG SD FIM IE</v>
          </cell>
          <cell r="E11442" t="str">
            <v>BANCO SOCIETE GENERALE BRASIL S/A</v>
          </cell>
        </row>
        <row r="11443">
          <cell r="B11443">
            <v>79659</v>
          </cell>
          <cell r="C11443" t="str">
            <v>FI CAIXA ANGELIN RF LP</v>
          </cell>
          <cell r="D11443">
            <v>99659</v>
          </cell>
          <cell r="E11443" t="str">
            <v>FI CAIXA ANGELIN RF LP</v>
          </cell>
        </row>
        <row r="11444">
          <cell r="B11444">
            <v>79661</v>
          </cell>
          <cell r="C11444" t="str">
            <v>TULLETT PREBON BRASIL CVC (ANTIGA CONVENÃ‡AO)</v>
          </cell>
          <cell r="D11444" t="str">
            <v>TULLETT PREBON BRASIL CVC (ANTIGA CONVENÃ‡AO)</v>
          </cell>
          <cell r="E11444" t="str">
            <v>TULLETT PREBON BRASIL CVC LTDA</v>
          </cell>
        </row>
        <row r="11445">
          <cell r="B11445">
            <v>79663</v>
          </cell>
          <cell r="C11445" t="str">
            <v>ING BANK NV</v>
          </cell>
          <cell r="D11445" t="str">
            <v>79.3</v>
          </cell>
          <cell r="E11445" t="str">
            <v>ING BANK NV</v>
          </cell>
        </row>
        <row r="11446">
          <cell r="B11446">
            <v>79664</v>
          </cell>
          <cell r="C11446" t="str">
            <v>ING BANK NV</v>
          </cell>
          <cell r="D11446" t="str">
            <v>79.4</v>
          </cell>
          <cell r="E11446" t="str">
            <v>ING BANK NV</v>
          </cell>
        </row>
        <row r="11447">
          <cell r="B11447">
            <v>79665</v>
          </cell>
          <cell r="C11447" t="str">
            <v>ING BANK NV</v>
          </cell>
          <cell r="D11447" t="str">
            <v>79.5</v>
          </cell>
          <cell r="E11447" t="str">
            <v>ING BANK NV</v>
          </cell>
        </row>
        <row r="11448">
          <cell r="B11448">
            <v>79666</v>
          </cell>
          <cell r="C11448" t="str">
            <v>NOBEL GESTAO DE RECURSOS LTDA</v>
          </cell>
          <cell r="D11448" t="str">
            <v>NOBEL GESTAO DE RECURSOS LTDA</v>
          </cell>
          <cell r="E11448" t="str">
            <v>NOBEL GESTAO DE RECURSOS LTDA</v>
          </cell>
        </row>
        <row r="11449">
          <cell r="B11449">
            <v>79667</v>
          </cell>
          <cell r="C11449" t="str">
            <v>BANCO MASTER S/A</v>
          </cell>
          <cell r="D11449" t="str">
            <v>BANCO MASTER S/A</v>
          </cell>
          <cell r="E11449" t="str">
            <v>BANCO MASTER S/A</v>
          </cell>
        </row>
        <row r="11450">
          <cell r="B11450">
            <v>79668</v>
          </cell>
          <cell r="C11450" t="str">
            <v>BLUECREST INVESTMENT VEHICLE II LLC</v>
          </cell>
          <cell r="D11450">
            <v>99668</v>
          </cell>
          <cell r="E11450" t="str">
            <v>BLUECREST INVESTMENT VEHICLE II LLC</v>
          </cell>
        </row>
        <row r="11451">
          <cell r="B11451">
            <v>79669</v>
          </cell>
          <cell r="C11451" t="str">
            <v>FIA LONG BIASED</v>
          </cell>
          <cell r="D11451" t="str">
            <v>FIA LONG BIASED</v>
          </cell>
          <cell r="E11451" t="str">
            <v>FIA LONG BIASED</v>
          </cell>
        </row>
        <row r="11452">
          <cell r="B11452">
            <v>79670</v>
          </cell>
          <cell r="C11452" t="str">
            <v>TULLETT PREBON BRASIL CVC (ANTIGA CONVENÃ‡AO)</v>
          </cell>
          <cell r="D11452" t="str">
            <v>TULLETT PREBON BRASIL CVC (ANTIGA CONVENÃ‡AO)</v>
          </cell>
          <cell r="E11452" t="str">
            <v>TULLETT PREBON BRASIL CVC LTDA</v>
          </cell>
        </row>
        <row r="11453">
          <cell r="B11453">
            <v>79671</v>
          </cell>
          <cell r="C11453" t="str">
            <v>BGC LIQUIDEZ DTVM LTDA</v>
          </cell>
          <cell r="D11453" t="str">
            <v>BGC LIQUIDEZ DTVM LTDA</v>
          </cell>
          <cell r="E11453" t="str">
            <v>BGC LIQUIDEZ DTVM LTDA</v>
          </cell>
        </row>
        <row r="11454">
          <cell r="B11454">
            <v>79556</v>
          </cell>
          <cell r="C11454" t="str">
            <v>ARSA MACRO FIM</v>
          </cell>
          <cell r="D11454" t="str">
            <v>ARSA MACRO FIM</v>
          </cell>
          <cell r="E11454" t="str">
            <v>XP GESTAO DE RECURSOS LTDA</v>
          </cell>
        </row>
        <row r="11455">
          <cell r="B11455">
            <v>79673</v>
          </cell>
          <cell r="C11455" t="str">
            <v>BGC LIQUIDEZ DTVM LTDA</v>
          </cell>
          <cell r="D11455" t="str">
            <v>BGC LIQUIDEZ DTVM LTDA</v>
          </cell>
          <cell r="E11455" t="str">
            <v>BGC LIQUIDEZ DTVM LTDA</v>
          </cell>
        </row>
        <row r="11456">
          <cell r="B11456">
            <v>79674</v>
          </cell>
          <cell r="C11456" t="str">
            <v>FRANKLIN TEMPLETON INVESTIMENTOS (BRASIL) LTDA</v>
          </cell>
          <cell r="D11456">
            <v>363</v>
          </cell>
          <cell r="E11456" t="str">
            <v>FRANKLIN TEMPLETON INVESTIMENTOS (BRASIL) LTDA</v>
          </cell>
        </row>
        <row r="11457">
          <cell r="B11457">
            <v>79675</v>
          </cell>
          <cell r="C11457" t="str">
            <v>TORQUE FIM</v>
          </cell>
          <cell r="D11457" t="str">
            <v>TORQUE FIM</v>
          </cell>
          <cell r="E11457" t="str">
            <v>BNY MELLON ALOCACAO DE PATRIMONIO LTDA</v>
          </cell>
        </row>
        <row r="11458">
          <cell r="B11458">
            <v>79676</v>
          </cell>
          <cell r="C11458" t="str">
            <v>POLAR FIM CP IE</v>
          </cell>
          <cell r="D11458" t="str">
            <v>POLAR FIM CP IE</v>
          </cell>
          <cell r="E11458" t="str">
            <v>BNY MELLON ALOCACAO DE PATRIMONIO LTDA</v>
          </cell>
        </row>
        <row r="11459">
          <cell r="B11459">
            <v>79677</v>
          </cell>
          <cell r="C11459" t="str">
            <v>ITAU CHILE ADMINISTRADORA GENERAL DE FONDOS S/A</v>
          </cell>
          <cell r="D11459" t="str">
            <v>ITAU CHILE ADMINISTRADORA GENERAL DE FONDOS S/A</v>
          </cell>
          <cell r="E11459" t="str">
            <v>ITAU CHILE ADMINISTRADORA GENERAL DE FONDOS S/A</v>
          </cell>
        </row>
        <row r="11460">
          <cell r="B11460">
            <v>79678</v>
          </cell>
          <cell r="C11460" t="str">
            <v>BANCO MASTER S/A</v>
          </cell>
          <cell r="D11460" t="str">
            <v>BANCO MASTER S/A</v>
          </cell>
          <cell r="E11460" t="str">
            <v>BANCO MASTER S/A</v>
          </cell>
        </row>
        <row r="11461">
          <cell r="B11461">
            <v>79679</v>
          </cell>
          <cell r="C11461" t="str">
            <v>SAGA TATICO FIM</v>
          </cell>
          <cell r="D11461" t="str">
            <v>SAGA TATICO FIM</v>
          </cell>
          <cell r="E11461" t="str">
            <v>KINITRO CAPITAL GESTAO DE RECURSOS DE TERCEIROS LTDA</v>
          </cell>
        </row>
        <row r="11462">
          <cell r="B11462">
            <v>79680</v>
          </cell>
          <cell r="C11462" t="str">
            <v>SAGA DINAMICO ABSOLUTO FIM</v>
          </cell>
          <cell r="D11462" t="str">
            <v>SAGA DINAMICO ABSOLUTO FIM</v>
          </cell>
          <cell r="E11462" t="str">
            <v>KINITRO CAPITAL GESTAO DE RECURSOS DE TERCEIROS LTDA</v>
          </cell>
        </row>
        <row r="11463">
          <cell r="B11463">
            <v>79681</v>
          </cell>
          <cell r="C11463" t="str">
            <v>SAGA HAWK MASTER FIM</v>
          </cell>
          <cell r="D11463" t="str">
            <v>SAGA HAWK MASTER FIM</v>
          </cell>
          <cell r="E11463" t="str">
            <v>SAGA HAWK MASTER FIM</v>
          </cell>
        </row>
        <row r="11464">
          <cell r="B11464">
            <v>79682</v>
          </cell>
          <cell r="C11464" t="str">
            <v>TAGUS FUNDAMENTAL FIA</v>
          </cell>
          <cell r="D11464" t="str">
            <v>TAGUS FUNDAMENTAL FIA</v>
          </cell>
          <cell r="E11464" t="str">
            <v>APPIA PRIME GESTAO DE RECURSOS LTDA</v>
          </cell>
        </row>
        <row r="11465">
          <cell r="B11465">
            <v>79684</v>
          </cell>
          <cell r="C11465" t="str">
            <v>BANCO RENDIMENTO S/A</v>
          </cell>
          <cell r="D11465" t="str">
            <v>BANCO RENDIMENTO S/A</v>
          </cell>
          <cell r="E11465" t="str">
            <v>BANCO RENDIMENTO S/A</v>
          </cell>
        </row>
        <row r="11466">
          <cell r="B11466">
            <v>79685</v>
          </cell>
          <cell r="C11466" t="str">
            <v>FI CAIXA ANGELIN RF LP</v>
          </cell>
          <cell r="D11466" t="str">
            <v>FI CAIXA ANGELIN RF LP</v>
          </cell>
          <cell r="E11466" t="str">
            <v>CAIXA SEGURADORA S/A</v>
          </cell>
        </row>
        <row r="11467">
          <cell r="B11467">
            <v>79686</v>
          </cell>
          <cell r="C11467" t="str">
            <v>BLUECREST INVESTMENT VEHICLE II LLC</v>
          </cell>
          <cell r="D11467">
            <v>9669</v>
          </cell>
          <cell r="E11467" t="str">
            <v>BLUECREST INVESTMENT VEHICLE II LLC</v>
          </cell>
        </row>
        <row r="11468">
          <cell r="B11468">
            <v>79687</v>
          </cell>
          <cell r="C11468" t="str">
            <v>BLUECREST INVESTMENT VEHICLE II LLC</v>
          </cell>
          <cell r="D11468">
            <v>9670</v>
          </cell>
          <cell r="E11468" t="str">
            <v>BLUECREST INVESTMENT VEHICLE II LLC</v>
          </cell>
        </row>
        <row r="11469">
          <cell r="B11469">
            <v>79688</v>
          </cell>
          <cell r="C11469" t="str">
            <v>BLUECREST INVESTMENT VEHICLE II LLC</v>
          </cell>
          <cell r="D11469">
            <v>9671</v>
          </cell>
          <cell r="E11469" t="str">
            <v>BLUECREST INVESTMENT VEHICLE II LLC</v>
          </cell>
        </row>
        <row r="11470">
          <cell r="B11470">
            <v>79689</v>
          </cell>
          <cell r="C11470" t="str">
            <v>DEUTSCHE BANK AG LONDON GLOBAL MARKETS</v>
          </cell>
          <cell r="D11470" t="str">
            <v>DEUTSCHE BANK AG LONDON GLOBAL MARKETS</v>
          </cell>
          <cell r="E11470" t="str">
            <v>DEUTSCHE BANK S/A</v>
          </cell>
        </row>
        <row r="11471">
          <cell r="B11471">
            <v>79694</v>
          </cell>
          <cell r="C11471" t="str">
            <v>NOMURA GLOBAL FINANCIAL PRODUCTS INC.</v>
          </cell>
          <cell r="D11471" t="str">
            <v>NOMURA GLOBAL FINANCIAL PRODUCTS INC.</v>
          </cell>
          <cell r="E11471" t="str">
            <v>NOMURA GLOBAL FINANCIAL PRODUCTS INC.</v>
          </cell>
        </row>
        <row r="11472">
          <cell r="B11472">
            <v>79696</v>
          </cell>
          <cell r="C11472" t="str">
            <v>HSBC BANK USA, NATIONAL ASSOCIATION</v>
          </cell>
          <cell r="D11472">
            <v>38</v>
          </cell>
          <cell r="E11472" t="str">
            <v>BANCO HSBC S/A</v>
          </cell>
        </row>
        <row r="11473">
          <cell r="B11473">
            <v>79697</v>
          </cell>
          <cell r="C11473" t="str">
            <v>RIVIERA HIGH YIELD FIM</v>
          </cell>
          <cell r="D11473">
            <v>47</v>
          </cell>
          <cell r="E11473" t="str">
            <v>RIVIERA HIGH YIELD FIM</v>
          </cell>
        </row>
        <row r="11474">
          <cell r="B11474">
            <v>79698</v>
          </cell>
          <cell r="C11474" t="str">
            <v>GUMP INVESTMENTS C.V.</v>
          </cell>
          <cell r="D11474" t="str">
            <v>GUMP INVESTMENTS C.V.</v>
          </cell>
          <cell r="E11474" t="str">
            <v>GUMP INVESTMENTS C.V.</v>
          </cell>
        </row>
        <row r="11475">
          <cell r="B11475">
            <v>79699</v>
          </cell>
          <cell r="C11475" t="str">
            <v>ABSOLUTE HEDGE MASTER FIM</v>
          </cell>
          <cell r="D11475" t="str">
            <v>ABSOLUTE HEDGE MASTER FIM</v>
          </cell>
          <cell r="E11475" t="str">
            <v>ABSOLUTE GESTAO DE INVESTIMENTOS LTDA</v>
          </cell>
        </row>
        <row r="11476">
          <cell r="B11476">
            <v>79178</v>
          </cell>
          <cell r="C11476" t="str">
            <v>FIM CP MERO</v>
          </cell>
          <cell r="D11476" t="str">
            <v>FIM CP MERO</v>
          </cell>
          <cell r="E11476" t="str">
            <v>PLURAL GESTÃO DE RECURSOS LTDA</v>
          </cell>
        </row>
        <row r="11477">
          <cell r="B11477">
            <v>79702</v>
          </cell>
          <cell r="C11477" t="str">
            <v>TI HEDGE FUNDO DE INVESTIMENTO EM ACOES</v>
          </cell>
          <cell r="D11477" t="str">
            <v>TI HEDGE FUNDO DE INVESTIMENTO EM ACOES</v>
          </cell>
          <cell r="E11477" t="str">
            <v>KINITRO CAPITAL GESTAO DE RECURSOS DE TERCEIROS LTDA</v>
          </cell>
        </row>
        <row r="11478">
          <cell r="B11478">
            <v>79703</v>
          </cell>
          <cell r="C11478" t="str">
            <v>SAGA SF FUNDO DE INVESTIMENTO DE ACOES</v>
          </cell>
          <cell r="D11478" t="str">
            <v>SAGA SF FUNDO DE INVESTIMENTO DE ACOES</v>
          </cell>
          <cell r="E11478" t="str">
            <v>SAGA SF FUNDO DE INVESTIMENTO DE ACOES</v>
          </cell>
        </row>
        <row r="11479">
          <cell r="B11479">
            <v>79706</v>
          </cell>
          <cell r="C11479" t="str">
            <v>VINTAGE INVESTIMENTOS LTDA</v>
          </cell>
          <cell r="D11479" t="str">
            <v>VINTAGE INVESTIMENTOS LTDA</v>
          </cell>
          <cell r="E11479" t="str">
            <v>VINTAGE INVESTIMENTOS LTDA</v>
          </cell>
        </row>
        <row r="11480">
          <cell r="B11480">
            <v>79707</v>
          </cell>
          <cell r="C11480" t="str">
            <v>AMORA FIM CP IE</v>
          </cell>
          <cell r="D11480" t="str">
            <v>AMORA FIM CP IE</v>
          </cell>
          <cell r="E11480" t="str">
            <v>AMORA FIM CP IE</v>
          </cell>
        </row>
        <row r="11481">
          <cell r="B11481">
            <v>79708</v>
          </cell>
          <cell r="C11481" t="str">
            <v>BANCO JP MORGAN S/A</v>
          </cell>
          <cell r="D11481" t="str">
            <v>BANCO JP MORGAN S/A</v>
          </cell>
          <cell r="E11481" t="str">
            <v>BANCO JP MORGAN S/A</v>
          </cell>
        </row>
        <row r="11482">
          <cell r="B11482">
            <v>79709</v>
          </cell>
          <cell r="C11482" t="str">
            <v>BANCO VOITER S/A</v>
          </cell>
          <cell r="D11482" t="str">
            <v>BANCO VOITER S/A</v>
          </cell>
          <cell r="E11482" t="str">
            <v>BANCO VOITER S/A</v>
          </cell>
        </row>
        <row r="11483">
          <cell r="B11483">
            <v>79710</v>
          </cell>
          <cell r="C11483" t="str">
            <v>OASIS FIM</v>
          </cell>
          <cell r="D11483" t="str">
            <v>OASIS FIM</v>
          </cell>
          <cell r="E11483" t="str">
            <v>DAYCOVAL ASSET MANAGEMENT ADMINISTRACAO DE RECURSOS LTDA</v>
          </cell>
        </row>
        <row r="11484">
          <cell r="B11484">
            <v>79711</v>
          </cell>
          <cell r="C11484" t="str">
            <v>DAYCOVAL ORBIS MACRO FIM</v>
          </cell>
          <cell r="D11484" t="str">
            <v>DAYCOVAL ORBIS MACRO FIM</v>
          </cell>
          <cell r="E11484" t="str">
            <v>DAYCOVAL ASSET MANAGEMENT ADMINISTRACAO DE RECURSOS LTDA</v>
          </cell>
        </row>
        <row r="11485">
          <cell r="B11485">
            <v>79712</v>
          </cell>
          <cell r="C11485" t="str">
            <v>DAYCOVAL PLUS FIM</v>
          </cell>
          <cell r="D11485" t="str">
            <v>DAYCOVAL PLUS FIM</v>
          </cell>
          <cell r="E11485" t="str">
            <v>DAYCOVAL ASSET MANAGEMENT ADMINISTRACAO DE RECURSOS LTDA</v>
          </cell>
        </row>
        <row r="11486">
          <cell r="B11486">
            <v>79713</v>
          </cell>
          <cell r="C11486" t="str">
            <v>DAYCOVAL TOTAL LONG BIAS FIA</v>
          </cell>
          <cell r="D11486" t="str">
            <v>DAYCOVAL TOTAL LONG BIAS FIA</v>
          </cell>
          <cell r="E11486" t="str">
            <v>DAYCOVAL ASSET MANAGEMENT ADMINISTRACAO DE RECURSOS LTDA</v>
          </cell>
        </row>
        <row r="11487">
          <cell r="B11487">
            <v>79714</v>
          </cell>
          <cell r="C11487" t="str">
            <v>LEBLON EQUITIES HEDGE MASTER FIA</v>
          </cell>
          <cell r="D11487" t="str">
            <v>LEBLON EQUITIES HEDGE MASTER FIA</v>
          </cell>
          <cell r="E11487" t="str">
            <v>LEBLON EQUITIES GESTAO DE RECURSOS LTDA</v>
          </cell>
        </row>
        <row r="11488">
          <cell r="B11488">
            <v>79715</v>
          </cell>
          <cell r="C11488" t="str">
            <v>LEBLON AÃ‡Ã•ES MASTER FIA</v>
          </cell>
          <cell r="D11488" t="str">
            <v>LEBLON AÃ‡Ã•ES MASTER FIA</v>
          </cell>
          <cell r="E11488" t="str">
            <v>LEBLON EQUITIES GESTAO DE RECURSOS LTDA</v>
          </cell>
        </row>
        <row r="11489">
          <cell r="B11489">
            <v>79716</v>
          </cell>
          <cell r="C11489" t="str">
            <v>LEBLON EQUITIES PARTNERS FIM IE</v>
          </cell>
          <cell r="D11489" t="str">
            <v>LEBLON EQUITIES PARTNERS FIM IE</v>
          </cell>
          <cell r="E11489" t="str">
            <v>LEBLON EQUITIES GESTAO DE RECURSOS LTDA</v>
          </cell>
        </row>
        <row r="11490">
          <cell r="B11490">
            <v>79717</v>
          </cell>
          <cell r="C11490" t="str">
            <v>LEBLON PREVIDENCIA FIM</v>
          </cell>
          <cell r="D11490" t="str">
            <v>LEBLON PREVIDENCIA FIM</v>
          </cell>
          <cell r="E11490" t="str">
            <v>LEBLON EQUITIES GESTAO DE RECURSOS LTDA</v>
          </cell>
        </row>
        <row r="11491">
          <cell r="B11491">
            <v>79718</v>
          </cell>
          <cell r="C11491" t="str">
            <v>LEBLON AÃ‡OES INSTITUCIONAL MASTER FIA</v>
          </cell>
          <cell r="D11491" t="str">
            <v>LEBLON AÃ‡OES INSTITUCIONAL MASTER FIA</v>
          </cell>
          <cell r="E11491" t="str">
            <v>LEBLON EQUITIES GESTAO DE RECURSOS LTDA</v>
          </cell>
        </row>
        <row r="11492">
          <cell r="B11492">
            <v>79719</v>
          </cell>
          <cell r="C11492" t="str">
            <v>ADVANCE BRAZIL LEBLON EQUITIES FUND</v>
          </cell>
          <cell r="D11492" t="str">
            <v>ADVANCE BRAZIL LEBLON EQUITIES FUND</v>
          </cell>
          <cell r="E11492" t="str">
            <v>LEBLON EQUITIES GESTAO DE RECURSOS LTDA</v>
          </cell>
        </row>
        <row r="11493">
          <cell r="B11493">
            <v>79720</v>
          </cell>
          <cell r="C11493" t="str">
            <v>POSTO 12 LLC</v>
          </cell>
          <cell r="D11493" t="str">
            <v>POSTO 12 LLC</v>
          </cell>
          <cell r="E11493" t="str">
            <v>LEBLON EQUITIES GESTAO DE RECURSOS LTDA</v>
          </cell>
        </row>
        <row r="11494">
          <cell r="B11494">
            <v>79721</v>
          </cell>
          <cell r="C11494" t="str">
            <v>ATAULFO LLC</v>
          </cell>
          <cell r="D11494" t="str">
            <v>ATAULFO LLC</v>
          </cell>
          <cell r="E11494" t="str">
            <v>LEBLON EQUITIES GESTAO DE RECURSOS LTDA</v>
          </cell>
        </row>
        <row r="11495">
          <cell r="B11495">
            <v>79722</v>
          </cell>
          <cell r="C11495" t="str">
            <v>BANCO ABN AMRO CLEARING S.A.</v>
          </cell>
          <cell r="D11495" t="str">
            <v>BANCO ABN AMRO CLEARING S.A.</v>
          </cell>
          <cell r="E11495" t="str">
            <v>BANCO ABN AMRO S/A</v>
          </cell>
        </row>
        <row r="11496">
          <cell r="B11496">
            <v>79723</v>
          </cell>
          <cell r="C11496" t="str">
            <v>BANCO ABN AMRO CLEARING S.A.</v>
          </cell>
          <cell r="D11496" t="str">
            <v>BANCO ABN AMRO CLEARING S.A.</v>
          </cell>
          <cell r="E11496" t="str">
            <v>BANCO ABN AMRO S/A</v>
          </cell>
        </row>
        <row r="11497">
          <cell r="B11497">
            <v>79724</v>
          </cell>
          <cell r="C11497" t="str">
            <v>DAMHA AGRONEGOCIOS LTDA</v>
          </cell>
          <cell r="D11497">
            <v>398</v>
          </cell>
          <cell r="E11497" t="str">
            <v>DAMHA AGRONEGOCIOS LTDA</v>
          </cell>
        </row>
        <row r="11498">
          <cell r="B11498">
            <v>79728</v>
          </cell>
          <cell r="C11498" t="str">
            <v>NOMURA GLOBAL FINANCIAL PRODUCTS INC.</v>
          </cell>
          <cell r="D11498" t="str">
            <v>NOMURA GLOBAL FINANCIAL PRODUCTS INC.</v>
          </cell>
          <cell r="E11498" t="str">
            <v>NOMURA GLOBAL FINANCIAL PRODUCTS INC.</v>
          </cell>
        </row>
        <row r="11499">
          <cell r="B11499">
            <v>79729</v>
          </cell>
          <cell r="C11499" t="str">
            <v>NOMURA GLOBAL FINANCIAL PRODUCTS INC.</v>
          </cell>
          <cell r="D11499" t="str">
            <v>NOMURA GLOBAL FINANCIAL PRODUCTS INC.</v>
          </cell>
          <cell r="E11499" t="str">
            <v>NOMURA GLOBAL FINANCIAL PRODUCTS INC.</v>
          </cell>
        </row>
        <row r="11500">
          <cell r="B11500">
            <v>79730</v>
          </cell>
          <cell r="C11500" t="str">
            <v>INFINITY ASSET MANAG ADM DE RECURSOS LTDA</v>
          </cell>
          <cell r="D11500" t="str">
            <v>INFINITY ASSET MANAG ADM DE RECURSOS LTDA</v>
          </cell>
          <cell r="E11500" t="str">
            <v>INFINITY ASSET MANAG ADM DE RECURSOS LTDA</v>
          </cell>
        </row>
        <row r="11501">
          <cell r="B11501">
            <v>79731</v>
          </cell>
          <cell r="C11501" t="str">
            <v>PLATINA TOP FORCE FIM</v>
          </cell>
          <cell r="D11501" t="str">
            <v>PLATINA TOP FORCE FIM</v>
          </cell>
          <cell r="E11501" t="str">
            <v>PLATINA INVESTIMENTOS LTDA</v>
          </cell>
        </row>
        <row r="11502">
          <cell r="B11502">
            <v>79732</v>
          </cell>
          <cell r="C11502" t="str">
            <v>ICONE INVESTIMENTOS LTDA</v>
          </cell>
          <cell r="D11502">
            <v>32</v>
          </cell>
          <cell r="E11502" t="str">
            <v>ICONE INVESTIMENTOS LTDA</v>
          </cell>
        </row>
        <row r="11503">
          <cell r="B11503">
            <v>79733</v>
          </cell>
          <cell r="C11503" t="str">
            <v>SDB FI RF</v>
          </cell>
          <cell r="D11503" t="str">
            <v>SDB FI RF</v>
          </cell>
          <cell r="E11503" t="str">
            <v>SDB FI RF</v>
          </cell>
        </row>
        <row r="11504">
          <cell r="B11504">
            <v>79734</v>
          </cell>
          <cell r="C11504" t="str">
            <v>LACAN WINGS RENDA FIXA FI</v>
          </cell>
          <cell r="D11504" t="str">
            <v>LACAN WINGS RENDA FIXA FI</v>
          </cell>
          <cell r="E11504" t="str">
            <v>LACAN WINGS RENDA FIXA FI</v>
          </cell>
        </row>
        <row r="11505">
          <cell r="B11505">
            <v>79735</v>
          </cell>
          <cell r="C11505" t="str">
            <v>VINTAGE NZ LIMITED PARTNERSHIP</v>
          </cell>
          <cell r="D11505" t="str">
            <v>VINTAGE NZ LIMITED PARTNERSHIP</v>
          </cell>
          <cell r="E11505" t="str">
            <v>VINTAGE NZ LIMITED PARTNERSHIP</v>
          </cell>
        </row>
        <row r="11506">
          <cell r="B11506">
            <v>79736</v>
          </cell>
          <cell r="C11506" t="str">
            <v>MANDATTO TREASURY FUNDO DE INVESTIMENTO MULTIMERCADO CREDITO</v>
          </cell>
          <cell r="D11506" t="str">
            <v>MANDATTO TREASURY FUNDO DE INVESTIMENTO MULTIMERCADO CREDITO</v>
          </cell>
          <cell r="E11506" t="str">
            <v>TAVOLA CAPITAL GESTAO DE RECURSOS LTDA</v>
          </cell>
        </row>
        <row r="11507">
          <cell r="B11507">
            <v>79737</v>
          </cell>
          <cell r="C11507" t="str">
            <v>TFO HEDGE FIM</v>
          </cell>
          <cell r="D11507" t="str">
            <v>TFO HEDGE FIM</v>
          </cell>
          <cell r="E11507" t="str">
            <v>TFO HEDGE FIM</v>
          </cell>
        </row>
        <row r="11508">
          <cell r="B11508">
            <v>79738</v>
          </cell>
          <cell r="C11508" t="str">
            <v>NOMURA GLOBAL FINANCIAL PRODUCTS INC.</v>
          </cell>
          <cell r="D11508" t="str">
            <v>NOMURA GLOBAL FINANCIAL PRODUCTS INC.</v>
          </cell>
          <cell r="E11508" t="str">
            <v>NOMURA GLOBAL FINANCIAL PRODUCTS INC.</v>
          </cell>
        </row>
        <row r="11509">
          <cell r="B11509">
            <v>79739</v>
          </cell>
          <cell r="C11509" t="str">
            <v>ITAU CORRETORA DE VALORES S.A.</v>
          </cell>
          <cell r="D11509" t="str">
            <v>ITAU CORRETORA DE VALORES S.A.</v>
          </cell>
          <cell r="E11509" t="str">
            <v>ITAU CV S/A</v>
          </cell>
        </row>
        <row r="11510">
          <cell r="B11510">
            <v>79740</v>
          </cell>
          <cell r="C11510" t="str">
            <v>ITAU CORRETORA DE VALORES S.A.</v>
          </cell>
          <cell r="D11510" t="str">
            <v>ITAU CORRETORA DE VALORES S.A.</v>
          </cell>
          <cell r="E11510" t="str">
            <v>ITAU CV S/A</v>
          </cell>
        </row>
        <row r="11511">
          <cell r="B11511">
            <v>79741</v>
          </cell>
          <cell r="C11511" t="str">
            <v>ASA ASSET 2 GESTAO DE RECURSOS LTDA</v>
          </cell>
          <cell r="D11511" t="str">
            <v>ASA ASSET 2 GESTAO DE RECURSOS LTDA</v>
          </cell>
          <cell r="E11511" t="str">
            <v>ASA ASSET GESTAO EM INVESTIMENTOS LTDA</v>
          </cell>
        </row>
        <row r="11512">
          <cell r="B11512">
            <v>79742</v>
          </cell>
          <cell r="C11512" t="str">
            <v>PATRIA PIPE MASTER FIA</v>
          </cell>
          <cell r="D11512" t="str">
            <v>PATRIA PIPE MASTER FIA</v>
          </cell>
          <cell r="E11512" t="str">
            <v>PATRIA INVESTIMENTOS LTDA</v>
          </cell>
        </row>
        <row r="11513">
          <cell r="B11513">
            <v>79743</v>
          </cell>
          <cell r="C11513" t="str">
            <v>NOMURA GLOBAL FINANCIAL PRODUCTS INC.</v>
          </cell>
          <cell r="D11513" t="str">
            <v>NOMURA GLOBAL FINANCIAL PRODUCTS INC.</v>
          </cell>
          <cell r="E11513" t="str">
            <v>NOMURA GLOBAL FINANCIAL PRODUCTS INC.</v>
          </cell>
        </row>
        <row r="11514">
          <cell r="B11514">
            <v>79745</v>
          </cell>
          <cell r="C11514" t="str">
            <v>CREDIT SUISSE (BRASIL) DTVM S/A</v>
          </cell>
          <cell r="D11514" t="str">
            <v>CREDIT SUISSE (BRASIL) DTVM S/A</v>
          </cell>
          <cell r="E11514" t="str">
            <v>CREDIT SUISSE (BRASIL) DTVM S/A</v>
          </cell>
        </row>
        <row r="11515">
          <cell r="B11515">
            <v>79748</v>
          </cell>
          <cell r="C11515" t="str">
            <v>RIVIERA MASTER STRATEGY II FI RF</v>
          </cell>
          <cell r="D11515" t="str">
            <v>RIVIERA MASTER STRATEGY II FI RF</v>
          </cell>
          <cell r="E11515" t="str">
            <v>RIVIERA MASTER STRATEGY II FI RF</v>
          </cell>
        </row>
        <row r="11516">
          <cell r="B11516">
            <v>79749</v>
          </cell>
          <cell r="C11516" t="str">
            <v>ICAP DO BRASIL CTVM LTDA ( ATUAL TULLET)</v>
          </cell>
          <cell r="D11516" t="str">
            <v>ICAP DO BRASIL CTVM LTDA ( ATUAL TULLET)</v>
          </cell>
          <cell r="E11516" t="str">
            <v>ICAP DO BRASIL CTVM LTDA ( ATUAL TULLET)</v>
          </cell>
        </row>
        <row r="11517">
          <cell r="B11517">
            <v>79750</v>
          </cell>
          <cell r="C11517" t="str">
            <v>BGC LIQUIDEZ DTVM LTDA</v>
          </cell>
          <cell r="D11517" t="str">
            <v>BGC LIQUIDEZ DTVM LTDA</v>
          </cell>
          <cell r="E11517" t="str">
            <v>BGC LIQUIDEZ DTVM LTDA</v>
          </cell>
        </row>
        <row r="11518">
          <cell r="B11518">
            <v>79751</v>
          </cell>
          <cell r="C11518" t="str">
            <v>SAGA INSTITUCIONAL FUNDO DE INVESTIMENTO EM ACOES</v>
          </cell>
          <cell r="D11518" t="str">
            <v>SAGA INSTITUCIONAL FUNDO DE INVESTIMENTO EM ACOES</v>
          </cell>
          <cell r="E11518" t="str">
            <v>SAGA INSTITUCIONAL FUNDO DE INVESTIMENTO EM ACOES</v>
          </cell>
        </row>
        <row r="11519">
          <cell r="B11519">
            <v>79753</v>
          </cell>
          <cell r="C11519" t="str">
            <v>RIVIERA GESTORA DE RECURSOS LTDA</v>
          </cell>
          <cell r="D11519" t="str">
            <v>RIVIERA GESTORA DE RECURSOS LTDA</v>
          </cell>
          <cell r="E11519" t="str">
            <v>RIVIERA GESTORA DE RECURSOS LTDA</v>
          </cell>
        </row>
        <row r="11520">
          <cell r="B11520">
            <v>79754</v>
          </cell>
          <cell r="C11520" t="str">
            <v>CREDIT AGRICOLE CORPORATE AND INVESTMENT BANK</v>
          </cell>
          <cell r="D11520" t="str">
            <v>CREDIT AGRICOLE CORPORATE AND INVESTMENT BANK</v>
          </cell>
          <cell r="E11520" t="str">
            <v>BANCO CREDIT AGRICOLE BRASIL S/A</v>
          </cell>
        </row>
        <row r="11521">
          <cell r="B11521">
            <v>79755</v>
          </cell>
          <cell r="C11521" t="str">
            <v>PRINCIPAL ASSET MANAGEMENT LTDA</v>
          </cell>
          <cell r="D11521" t="str">
            <v>PRINCIPAL ASSET MANAGEMENT LTDA</v>
          </cell>
          <cell r="E11521" t="str">
            <v>PRINCIPAL ASSET MANAGEMENT LTDA</v>
          </cell>
        </row>
        <row r="11522">
          <cell r="B11522">
            <v>79756</v>
          </cell>
          <cell r="C11522" t="str">
            <v>BANK OF CHINA (BRASIL) BANCO MULTIPLO S/A</v>
          </cell>
          <cell r="D11522" t="str">
            <v>BANK OF CHINA (BRASIL) BANCO MULTIPLO S/A</v>
          </cell>
          <cell r="E11522" t="str">
            <v>BANCO DA CHINA BRASIL S/A</v>
          </cell>
        </row>
        <row r="11523">
          <cell r="B11523">
            <v>79757</v>
          </cell>
          <cell r="C11523" t="str">
            <v>BANK OF CHINA (BRASIL) BANCO MULTIPLO S/A</v>
          </cell>
          <cell r="D11523" t="str">
            <v>BANK OF CHINA (BRASIL) BANCO MULTIPLO S/A</v>
          </cell>
          <cell r="E11523" t="str">
            <v>BANCO DA CHINA BRASIL S/A</v>
          </cell>
        </row>
        <row r="11524">
          <cell r="B11524">
            <v>79758</v>
          </cell>
          <cell r="C11524" t="str">
            <v>CITRINO GESTAO DE RECURSOS LTDA</v>
          </cell>
          <cell r="D11524" t="str">
            <v>CITRINO GESTAO DE RECURSOS LTDA</v>
          </cell>
          <cell r="E11524" t="str">
            <v>CITRINO GESTAO DE RECURSOS LTDA</v>
          </cell>
        </row>
        <row r="11525">
          <cell r="B11525">
            <v>79759</v>
          </cell>
          <cell r="C11525" t="str">
            <v>FLOWERTECH CV</v>
          </cell>
          <cell r="D11525" t="str">
            <v>FLOWERTECH CV</v>
          </cell>
          <cell r="E11525" t="str">
            <v>FLOWERTECH CV</v>
          </cell>
        </row>
        <row r="11526">
          <cell r="B11526">
            <v>79761</v>
          </cell>
          <cell r="C11526" t="str">
            <v>FIM TAQUARI</v>
          </cell>
          <cell r="D11526" t="str">
            <v>FIM TAQUARI</v>
          </cell>
          <cell r="E11526" t="str">
            <v>FIM TAQUARI</v>
          </cell>
        </row>
        <row r="11527">
          <cell r="B11527">
            <v>79762</v>
          </cell>
          <cell r="C11527" t="str">
            <v>BANCO PAULISTA S/A</v>
          </cell>
          <cell r="D11527" t="str">
            <v>268*</v>
          </cell>
          <cell r="E11527" t="str">
            <v>BANCO PAULISTA S/A</v>
          </cell>
        </row>
        <row r="11528">
          <cell r="B11528">
            <v>79763</v>
          </cell>
          <cell r="C11528" t="str">
            <v>EMERALD GESTAO DE INVESTIMENTOS SOCIEDADE UNIPESSOAL LTDA</v>
          </cell>
          <cell r="D11528" t="str">
            <v>EMERALD GESTAO DE INVESTIMENTOS SOCIEDADE UNIPESSOAL LTDA</v>
          </cell>
          <cell r="E11528" t="str">
            <v>EMERALD GESTAO DE INVESTIMENTOS LTDA</v>
          </cell>
        </row>
        <row r="11529">
          <cell r="B11529">
            <v>79764</v>
          </cell>
          <cell r="C11529" t="str">
            <v>KIRTON BANK S.A. - BANCO MULTIPLO</v>
          </cell>
          <cell r="D11529" t="str">
            <v>37.1</v>
          </cell>
          <cell r="E11529" t="str">
            <v>KIRTON BANK S.A. - BANCO MULTIPLO</v>
          </cell>
        </row>
        <row r="11530">
          <cell r="B11530">
            <v>79765</v>
          </cell>
          <cell r="C11530" t="str">
            <v>MILENIO CAPITAL GESTAO DE INVESTIMENTOS LTDA</v>
          </cell>
          <cell r="D11530" t="str">
            <v>MILENIO CAPITAL GESTAO DE INVESTIMENTOS LTDA</v>
          </cell>
          <cell r="E11530" t="str">
            <v>MILENIO CAPITAL GESTAO DE INVESTIMENTOS LTDA</v>
          </cell>
        </row>
        <row r="11531">
          <cell r="B11531">
            <v>79420</v>
          </cell>
          <cell r="C11531" t="str">
            <v>BANIF - BANCO INTERNACIONAL DO FUNCHAL ( BRASIL) S/A</v>
          </cell>
          <cell r="D11531" t="str">
            <v>BANIF - BANCO INTERNACIONAL DO FUNCHAL ( BRASIL) S/A</v>
          </cell>
          <cell r="E11531" t="str">
            <v>BANIF - BANCO INTERNACIONAL DO FUNCHAL ( BRASIL) S/A</v>
          </cell>
        </row>
        <row r="11532">
          <cell r="B11532">
            <v>79766</v>
          </cell>
          <cell r="C11532" t="str">
            <v>BANIF - BANCO INTERNACIONAL DO FUNCHAL ( BRASIL) S/A</v>
          </cell>
          <cell r="D11532" t="str">
            <v>BANIF - BANCO INTERNACIONAL DO FUNCHAL ( BRASIL) S/A</v>
          </cell>
          <cell r="E11532" t="str">
            <v>BANIF - BANCO INTERNACIONAL DO FUNCHAL ( BRASIL) S/A</v>
          </cell>
        </row>
        <row r="11533">
          <cell r="B11533">
            <v>79767</v>
          </cell>
          <cell r="C11533" t="str">
            <v>BANIF - BANCO INTERNACIONAL DO FUNCHAL ( BRASIL) S/A</v>
          </cell>
          <cell r="D11533">
            <v>102</v>
          </cell>
          <cell r="E11533" t="str">
            <v>BANIF - BANCO INTERNACIONAL DO FUNCHAL ( BRASIL) S/A</v>
          </cell>
        </row>
        <row r="11534">
          <cell r="B11534">
            <v>79769</v>
          </cell>
          <cell r="C11534" t="str">
            <v>BOZANO LONG BIASED FIA</v>
          </cell>
          <cell r="D11534" t="str">
            <v>BOZANO LONG BIASED FIA</v>
          </cell>
          <cell r="E11534" t="str">
            <v>MERCATTO GESTAO DE RECURSOS LTDA</v>
          </cell>
        </row>
        <row r="11535">
          <cell r="B11535">
            <v>79770</v>
          </cell>
          <cell r="C11535" t="str">
            <v>ANANKE FIM</v>
          </cell>
          <cell r="D11535" t="str">
            <v>ANANKE FIM</v>
          </cell>
          <cell r="E11535" t="str">
            <v>ANANKE FIM</v>
          </cell>
        </row>
        <row r="11536">
          <cell r="B11536">
            <v>79771</v>
          </cell>
          <cell r="C11536" t="str">
            <v>INFINITY ASSET MANAG ADM DE RECURSOS LTDA</v>
          </cell>
          <cell r="D11536" t="str">
            <v>INFINITY ASSET MANAG ADM DE RECURSOS LTDA</v>
          </cell>
          <cell r="E11536" t="str">
            <v>INFINITY ASSET MANAG ADM DE RECURSOS LTDA</v>
          </cell>
        </row>
        <row r="11537">
          <cell r="B11537">
            <v>79772</v>
          </cell>
          <cell r="C11537" t="str">
            <v>VERDE ASSET MANAGEMENT S/A</v>
          </cell>
          <cell r="D11537">
            <v>271</v>
          </cell>
          <cell r="E11537" t="str">
            <v>VERDE ASSET MANAGEMENT S/A</v>
          </cell>
        </row>
        <row r="11538">
          <cell r="B11538">
            <v>79775</v>
          </cell>
          <cell r="C11538" t="str">
            <v>ICAP DO BRASIL CTVM LTDA ( ATUAL TULLET)</v>
          </cell>
          <cell r="D11538" t="str">
            <v>ICAP DO BRASIL CTVM LTDA ( ATUAL TULLET)</v>
          </cell>
          <cell r="E11538" t="str">
            <v>ICAP DO BRASIL CTVM LTDA ( ATUAL TULLET)</v>
          </cell>
        </row>
        <row r="11539">
          <cell r="B11539">
            <v>79777</v>
          </cell>
          <cell r="C11539" t="str">
            <v>VINSON FUND, LLC</v>
          </cell>
          <cell r="D11539" t="str">
            <v>VINSON FUND, LLC</v>
          </cell>
          <cell r="E11539" t="str">
            <v>VINSON FUND, LLC</v>
          </cell>
        </row>
        <row r="11540">
          <cell r="B11540">
            <v>79778</v>
          </cell>
          <cell r="C11540" t="str">
            <v>SAFRA DISTRIBUIDORA DE TITULOS E VALORES MOBILIARIOS LTDA.</v>
          </cell>
          <cell r="D11540" t="str">
            <v>SAFRA DISTRIBUIDORA DE TITULOS E VALORES MOBILIARIOS LTDA.</v>
          </cell>
          <cell r="E11540" t="str">
            <v>SAFRA ASSET MANAGEMENT LTDA</v>
          </cell>
        </row>
        <row r="11541">
          <cell r="B11541">
            <v>79779</v>
          </cell>
          <cell r="C11541" t="str">
            <v>BANCO ABC BRASIL S/A</v>
          </cell>
          <cell r="D11541" t="str">
            <v>BANCO ABC BRASIL S/A</v>
          </cell>
          <cell r="E11541" t="str">
            <v>BANCO ABC BRASIL S/A</v>
          </cell>
        </row>
        <row r="11542">
          <cell r="B11542">
            <v>79780</v>
          </cell>
          <cell r="C11542" t="str">
            <v>BLUECREST INVESTIMENTOS BRASIL LTDA</v>
          </cell>
          <cell r="D11542" t="str">
            <v>358.4</v>
          </cell>
          <cell r="E11542" t="str">
            <v>BLUECREST INVESTIMENTOS BRASIL LTDA</v>
          </cell>
        </row>
        <row r="11543">
          <cell r="B11543">
            <v>79781</v>
          </cell>
          <cell r="C11543" t="str">
            <v>JPP CAPITAL GESTAO DE RECURSOS LTDA</v>
          </cell>
          <cell r="D11543" t="str">
            <v>JPP CAPITAL GESTAO DE RECURSOS LTDA</v>
          </cell>
          <cell r="E11543" t="str">
            <v>JPP CAPITAL GESTAO DE RECURSOS LTDA</v>
          </cell>
        </row>
        <row r="11544">
          <cell r="B11544">
            <v>79782</v>
          </cell>
          <cell r="C11544" t="str">
            <v>SAFRA DISTRIBUIDORA DE TITULOS E VALORES MOBILIARIOS LTDA.</v>
          </cell>
          <cell r="D11544" t="str">
            <v>SAFRA DISTRIBUIDORA DE TITULOS E VALORES MOBILIARIOS LTDA.</v>
          </cell>
          <cell r="E11544" t="str">
            <v>SAFRA ASSET MANAGEMENT LTDA</v>
          </cell>
        </row>
        <row r="11545">
          <cell r="B11545">
            <v>79783</v>
          </cell>
          <cell r="C11545" t="str">
            <v>BLUECREST INVESTIMENTOS BRASIL LTDA</v>
          </cell>
          <cell r="D11545" t="str">
            <v>358.3</v>
          </cell>
          <cell r="E11545" t="str">
            <v>BLUECREST INVESTIMENTOS BRASIL LTDA</v>
          </cell>
        </row>
        <row r="11546">
          <cell r="B11546">
            <v>79784</v>
          </cell>
          <cell r="C11546" t="str">
            <v>BLUECREST INVESTIMENTOS BRASIL LTDA</v>
          </cell>
          <cell r="D11546" t="str">
            <v>BLUECREST INVESTIMENTOS BRASIL LTDA</v>
          </cell>
          <cell r="E11546" t="str">
            <v>BLUECREST INVESTIMENTOS BRASIL LTDA</v>
          </cell>
        </row>
        <row r="11547">
          <cell r="B11547">
            <v>79785</v>
          </cell>
          <cell r="C11547" t="str">
            <v>BLUECREST INVESTIMENTOS BRASIL LTDA</v>
          </cell>
          <cell r="D11547">
            <v>358</v>
          </cell>
          <cell r="E11547" t="str">
            <v>BLUECREST INVESTIMENTOS BRASIL LTDA</v>
          </cell>
        </row>
        <row r="11548">
          <cell r="B11548">
            <v>79786</v>
          </cell>
          <cell r="C11548" t="str">
            <v>BLUECREST INVESTIMENTOS BRASIL LTDA</v>
          </cell>
          <cell r="D11548" t="str">
            <v>BLUECREST INVESTIMENTOS BRASIL LTDA</v>
          </cell>
          <cell r="E11548" t="str">
            <v>BLUECREST INVESTIMENTOS BRASIL LTDA</v>
          </cell>
        </row>
        <row r="11549">
          <cell r="B11549">
            <v>79787</v>
          </cell>
          <cell r="C11549" t="str">
            <v>BLUECREST INVESTIMENTOS BRASIL LTDA</v>
          </cell>
          <cell r="D11549" t="str">
            <v>358.1</v>
          </cell>
          <cell r="E11549" t="str">
            <v>BLUECREST INVESTIMENTOS BRASIL LTDA</v>
          </cell>
        </row>
        <row r="11550">
          <cell r="B11550">
            <v>79788</v>
          </cell>
          <cell r="C11550" t="str">
            <v>BLUECREST INVESTIMENTOS BRASIL LTDA</v>
          </cell>
          <cell r="D11550" t="str">
            <v>BLUECREST INVESTIMENTOS BRASIL LTDA</v>
          </cell>
          <cell r="E11550" t="str">
            <v>BLUECREST INVESTIMENTOS BRASIL LTDA</v>
          </cell>
        </row>
        <row r="11551">
          <cell r="B11551">
            <v>79789</v>
          </cell>
          <cell r="C11551" t="str">
            <v>BLUECREST INVESTIMENTOS BRASIL LTDA</v>
          </cell>
          <cell r="D11551" t="str">
            <v>358.2</v>
          </cell>
          <cell r="E11551" t="str">
            <v>BLUECREST INVESTIMENTOS BRASIL LTDA</v>
          </cell>
        </row>
        <row r="11552">
          <cell r="B11552">
            <v>79790</v>
          </cell>
          <cell r="C11552" t="str">
            <v>BLUECREST INVESTIMENTOS BRASIL LTDA</v>
          </cell>
          <cell r="D11552" t="str">
            <v>BLUECREST INVESTIMENTOS BRASIL LTDA</v>
          </cell>
          <cell r="E11552" t="str">
            <v>BLUECREST INVESTIMENTOS BRASIL LTDA</v>
          </cell>
        </row>
        <row r="11553">
          <cell r="B11553">
            <v>79794</v>
          </cell>
          <cell r="C11553" t="str">
            <v>AQ3 ASSET MANAGEMENT LTDA</v>
          </cell>
          <cell r="D11553" t="str">
            <v>AQ3 ASSET MANAGEMENT LTDA</v>
          </cell>
          <cell r="E11553" t="str">
            <v>AQ3 ASSET MANAGEMENT LTDA</v>
          </cell>
        </row>
        <row r="11554">
          <cell r="B11554">
            <v>79795</v>
          </cell>
          <cell r="C11554" t="str">
            <v>GAUSS CAPITAL GESTORA DE RECURSOS LTDA</v>
          </cell>
          <cell r="D11554" t="str">
            <v>GAUSS CAPITAL GESTORA DE RECURSOS LTDA</v>
          </cell>
          <cell r="E11554" t="str">
            <v>ASA ASSET GESTAO EM INVESTIMENTOS LTDA</v>
          </cell>
        </row>
        <row r="11555">
          <cell r="B11555">
            <v>79807</v>
          </cell>
          <cell r="C11555" t="str">
            <v>RBC FIA</v>
          </cell>
          <cell r="D11555" t="str">
            <v>RBC FIA</v>
          </cell>
          <cell r="E11555" t="str">
            <v>RBC FIA</v>
          </cell>
        </row>
        <row r="11556">
          <cell r="B11556">
            <v>79808</v>
          </cell>
          <cell r="C11556" t="str">
            <v>VISTA CAPITAL GESTORA DE RECURSOS LTDA.</v>
          </cell>
          <cell r="D11556">
            <v>334</v>
          </cell>
          <cell r="E11556" t="str">
            <v>VISTA CAPITAL GESTORA DE RECURSOS LTDA</v>
          </cell>
        </row>
        <row r="11557">
          <cell r="B11557">
            <v>79810</v>
          </cell>
          <cell r="C11557" t="str">
            <v>QUELUZ ALPHA FIM</v>
          </cell>
          <cell r="D11557" t="str">
            <v>QUELUZ ALPHA FIM</v>
          </cell>
          <cell r="E11557" t="str">
            <v>QLZ GESTAO DE RECURSOS FINANCEIROS LTDA</v>
          </cell>
        </row>
        <row r="11558">
          <cell r="B11558">
            <v>79811</v>
          </cell>
          <cell r="C11558" t="str">
            <v>QUELUZ TRADER FIM</v>
          </cell>
          <cell r="D11558" t="str">
            <v>QUELUZ TRADER FIM</v>
          </cell>
          <cell r="E11558" t="str">
            <v>QLZ GESTAO DE RECURSOS FINANCEIROS LTDA</v>
          </cell>
        </row>
        <row r="11559">
          <cell r="B11559">
            <v>79812</v>
          </cell>
          <cell r="C11559" t="str">
            <v>FIM DT</v>
          </cell>
          <cell r="D11559" t="str">
            <v>FIM DT</v>
          </cell>
          <cell r="E11559" t="str">
            <v>QLZ GESTAO DE RECURSOS FINANCEIROS LTDA</v>
          </cell>
        </row>
        <row r="11560">
          <cell r="B11560">
            <v>79813</v>
          </cell>
          <cell r="C11560" t="str">
            <v>PLATINA INVESTIMENTOS LTDA</v>
          </cell>
          <cell r="D11560" t="str">
            <v>PLATINA INVESTIMENTOS LTDA</v>
          </cell>
          <cell r="E11560" t="str">
            <v>PLATINA INVESTIMENTOS LTDA</v>
          </cell>
        </row>
        <row r="11561">
          <cell r="B11561">
            <v>79815</v>
          </cell>
          <cell r="C11561" t="str">
            <v>VISTA FIA ( ANTIGO L3 FIA)</v>
          </cell>
          <cell r="D11561" t="str">
            <v>VISTA FIA ( ANTIGO L3 FIA)</v>
          </cell>
          <cell r="E11561" t="str">
            <v>VISTA CAPITAL GESTORA DE RECURSOS LTDA</v>
          </cell>
        </row>
        <row r="11562">
          <cell r="B11562">
            <v>79816</v>
          </cell>
          <cell r="C11562" t="str">
            <v>VISTA LONG SHORT FIM</v>
          </cell>
          <cell r="D11562" t="str">
            <v>VISTA LONG SHORT FIM</v>
          </cell>
          <cell r="E11562" t="str">
            <v>VISTA CAPITAL GESTORA DE RECURSOS LTDA</v>
          </cell>
        </row>
        <row r="11563">
          <cell r="B11563">
            <v>79817</v>
          </cell>
          <cell r="C11563" t="str">
            <v>VISTA MULTIESTRATEGIA FIM</v>
          </cell>
          <cell r="D11563" t="str">
            <v>VISTA MULTIESTRATEGIA FIM</v>
          </cell>
          <cell r="E11563" t="str">
            <v>VISTA CAPITAL GESTORA DE RECURSOS LTDA</v>
          </cell>
        </row>
        <row r="11564">
          <cell r="B11564">
            <v>79818</v>
          </cell>
          <cell r="C11564" t="str">
            <v>LACA FIM CP IE</v>
          </cell>
          <cell r="D11564" t="str">
            <v>LACA FIM CP IE</v>
          </cell>
          <cell r="E11564" t="str">
            <v>LACA FIM CP IE</v>
          </cell>
        </row>
        <row r="11565">
          <cell r="B11565">
            <v>79819</v>
          </cell>
          <cell r="C11565" t="str">
            <v>OAK FIM CP IE</v>
          </cell>
          <cell r="D11565" t="str">
            <v>OAK FIM CP IE</v>
          </cell>
          <cell r="E11565" t="str">
            <v>WRIGHT CAPITAL GESTAO DE RECURSOS LTDA</v>
          </cell>
        </row>
        <row r="11566">
          <cell r="B11566">
            <v>79820</v>
          </cell>
          <cell r="C11566" t="str">
            <v>BLUECREST INVESTIMENTOS BRASIL LTDA</v>
          </cell>
          <cell r="D11566" t="str">
            <v>BLUECREST INVESTIMENTOS BRASIL LTDA</v>
          </cell>
          <cell r="E11566" t="str">
            <v>BLUECREST INVESTIMENTOS BRASIL LTDA</v>
          </cell>
        </row>
        <row r="11567">
          <cell r="B11567">
            <v>79821</v>
          </cell>
          <cell r="C11567" t="str">
            <v>GAUSS CAPITAL GESTORA DE RECURSOS LTDA</v>
          </cell>
          <cell r="D11567" t="str">
            <v>GAUSS CAPITAL GESTORA DE RECURSOS LTDA</v>
          </cell>
          <cell r="E11567" t="str">
            <v>ASA ASSET GESTAO EM INVESTIMENTOS LTDA</v>
          </cell>
        </row>
        <row r="11568">
          <cell r="B11568">
            <v>79822</v>
          </cell>
          <cell r="C11568" t="str">
            <v>HERTZ FIM PREVIDENCIARIO</v>
          </cell>
          <cell r="D11568" t="str">
            <v>HERTZ FIM PREVIDENCIARIO</v>
          </cell>
          <cell r="E11568" t="str">
            <v>HERTZ FIM PREVIDENCIARIO</v>
          </cell>
        </row>
        <row r="11569">
          <cell r="B11569">
            <v>79823</v>
          </cell>
          <cell r="C11569" t="str">
            <v>NOVA JAVA FIM CP IE</v>
          </cell>
          <cell r="D11569" t="str">
            <v>NOVA JAVA FIM CP IE</v>
          </cell>
          <cell r="E11569" t="str">
            <v>QUATA GESTAO DE RECURSOS LTDA</v>
          </cell>
        </row>
        <row r="11570">
          <cell r="B11570">
            <v>79824</v>
          </cell>
          <cell r="C11570" t="str">
            <v>FIM CP BERETTA IE</v>
          </cell>
          <cell r="D11570" t="str">
            <v>FIM CP BERETTA IE</v>
          </cell>
          <cell r="E11570" t="str">
            <v>QUATA GESTAO DE RECURSOS LTDA</v>
          </cell>
        </row>
        <row r="11571">
          <cell r="B11571">
            <v>79825</v>
          </cell>
          <cell r="C11571" t="str">
            <v>SELECT FI RF CP</v>
          </cell>
          <cell r="D11571" t="str">
            <v>SELECT FI RF CP</v>
          </cell>
          <cell r="E11571" t="str">
            <v>QUATA GESTAO DE RECURSOS LTDA</v>
          </cell>
        </row>
        <row r="11572">
          <cell r="B11572">
            <v>79826</v>
          </cell>
          <cell r="C11572" t="str">
            <v>RIO PARTNERS BV</v>
          </cell>
          <cell r="D11572" t="str">
            <v>RIO PARTNERS BV</v>
          </cell>
          <cell r="E11572" t="str">
            <v>BANCO BNP PARIBAS BRASIL S/A</v>
          </cell>
        </row>
        <row r="11573">
          <cell r="B11573">
            <v>79828</v>
          </cell>
          <cell r="C11573" t="str">
            <v>TACHYON FUNDO DE INVESTIMENTO MULTIMERCADO</v>
          </cell>
          <cell r="D11573" t="str">
            <v>TACHYON FUNDO DE INVESTIMENTO MULTIMERCADO</v>
          </cell>
          <cell r="E11573" t="str">
            <v>TACHYON FUNDO DE INVESTIMENTO MULTIMERCADO</v>
          </cell>
        </row>
        <row r="11574">
          <cell r="B11574">
            <v>79829</v>
          </cell>
          <cell r="C11574" t="str">
            <v>IPORANGA MACRO FIM</v>
          </cell>
          <cell r="D11574" t="str">
            <v>IPORANGA MACRO FIM</v>
          </cell>
          <cell r="E11574" t="str">
            <v>IPORANGA INVESTIMENTOS LTDA</v>
          </cell>
        </row>
        <row r="11575">
          <cell r="B11575">
            <v>79830</v>
          </cell>
          <cell r="C11575" t="str">
            <v>IP VALUE HEDGE MASTER FIA BDR NIVEL I</v>
          </cell>
          <cell r="D11575" t="str">
            <v>IP VALUE HEDGE MASTER FIA BDR NIVEL I</v>
          </cell>
          <cell r="E11575" t="str">
            <v>INVESTIDOR PROFISSIONAL GESTAO DE RECURSOS LTDA</v>
          </cell>
        </row>
        <row r="11576">
          <cell r="B11576">
            <v>79831</v>
          </cell>
          <cell r="C11576" t="str">
            <v>IP PARTICIPAÃ‡Ã•ES MASTER FIA BDR NIVEL I</v>
          </cell>
          <cell r="D11576" t="str">
            <v>IP PARTICIPAÃ‡Ã•ES MASTER FIA BDR NIVEL I</v>
          </cell>
          <cell r="E11576" t="str">
            <v>INVESTIDOR PROFISSIONAL GESTAO DE RECURSOS LTDA</v>
          </cell>
        </row>
        <row r="11577">
          <cell r="B11577">
            <v>79832</v>
          </cell>
          <cell r="C11577" t="str">
            <v>IP BRASIL INSTITUCIONAL MASTER FIA</v>
          </cell>
          <cell r="D11577" t="str">
            <v>IP BRASIL INSTITUCIONAL MASTER FIA</v>
          </cell>
          <cell r="E11577" t="str">
            <v>INVESTIDOR PROFISSIONAL GESTAO DE RECURSOS LTDA</v>
          </cell>
        </row>
        <row r="11578">
          <cell r="B11578">
            <v>79833</v>
          </cell>
          <cell r="C11578" t="str">
            <v>BANESPREV MAIS VALOR AÇOES FI</v>
          </cell>
          <cell r="D11578" t="str">
            <v>BANESPREV MAIS VALOR AÇOES FI</v>
          </cell>
          <cell r="E11578" t="str">
            <v>INVESTIDOR PROFISSIONAL GESTAO DE RECURSOS LTDA</v>
          </cell>
        </row>
        <row r="11579">
          <cell r="B11579">
            <v>79834</v>
          </cell>
          <cell r="C11579" t="str">
            <v>IP GLOBAL MASTER FIA BDR NIVEL I - IE</v>
          </cell>
          <cell r="D11579" t="str">
            <v>IP GLOBAL MASTER FIA BDR NIVEL I - IE</v>
          </cell>
          <cell r="E11579" t="str">
            <v>IP ADMINISTRAÃ‡ÃƒO DE CARTEIRAS GLOBAL LTDA</v>
          </cell>
        </row>
        <row r="11580">
          <cell r="B11580">
            <v>79835</v>
          </cell>
          <cell r="C11580" t="str">
            <v>BRANSFIELD LLC</v>
          </cell>
          <cell r="D11580" t="str">
            <v>BRANSFIELD LLC</v>
          </cell>
          <cell r="E11580" t="str">
            <v>BRANSFIELD LLC</v>
          </cell>
        </row>
        <row r="11581">
          <cell r="B11581">
            <v>79836</v>
          </cell>
          <cell r="C11581" t="str">
            <v>HATTERAS LLC</v>
          </cell>
          <cell r="D11581" t="str">
            <v>HATTERAS LLC</v>
          </cell>
          <cell r="E11581" t="str">
            <v>HATTERAS LLC</v>
          </cell>
        </row>
        <row r="11582">
          <cell r="B11582">
            <v>79837</v>
          </cell>
          <cell r="C11582" t="str">
            <v>SLANEY LLC</v>
          </cell>
          <cell r="D11582" t="str">
            <v>SLANEY LLC</v>
          </cell>
          <cell r="E11582" t="str">
            <v>INVESTIDOR PROFISSIONAL GESTAO DE RECURSOS LTDA</v>
          </cell>
        </row>
        <row r="11583">
          <cell r="B11583">
            <v>79838</v>
          </cell>
          <cell r="C11583" t="str">
            <v>VODKA LLC</v>
          </cell>
          <cell r="D11583" t="str">
            <v>VODKA LLC</v>
          </cell>
          <cell r="E11583" t="str">
            <v>VODKA LLC</v>
          </cell>
        </row>
        <row r="11584">
          <cell r="B11584">
            <v>79839</v>
          </cell>
          <cell r="C11584" t="str">
            <v>GLOBAL X BRASIL GESTORA DE INVESTIMENTOS LTDA</v>
          </cell>
          <cell r="D11584" t="str">
            <v>381*</v>
          </cell>
          <cell r="E11584" t="str">
            <v>GLOBAL X BRASIL GESTORA DE INVESTIMENTOS LTDA</v>
          </cell>
        </row>
        <row r="11585">
          <cell r="B11585">
            <v>79840</v>
          </cell>
          <cell r="C11585" t="str">
            <v>BIRO BIRO FIM CRED PRIV IE</v>
          </cell>
          <cell r="D11585" t="str">
            <v>BIRO BIRO FIM CRED PRIV IE</v>
          </cell>
          <cell r="E11585" t="str">
            <v>VINCI GESTORA DE RECURSOS LTDA</v>
          </cell>
        </row>
        <row r="11586">
          <cell r="B11586">
            <v>79841</v>
          </cell>
          <cell r="C11586" t="str">
            <v>FIM CP PROPRIETARIO 11 IE</v>
          </cell>
          <cell r="D11586" t="str">
            <v>FIM CP PROPRIETARIO 11 IE</v>
          </cell>
          <cell r="E11586" t="str">
            <v>FIM CP PROPRIETARIO 11 IE</v>
          </cell>
        </row>
        <row r="11587">
          <cell r="B11587">
            <v>79842</v>
          </cell>
          <cell r="C11587" t="str">
            <v>FAMILY FIF CI MULT CP RL</v>
          </cell>
          <cell r="D11587" t="str">
            <v>FAMILY FIF CI MULT CP RL</v>
          </cell>
          <cell r="E11587" t="str">
            <v>VINCI GESTORA DE RECURSOS LTDA</v>
          </cell>
        </row>
        <row r="11588">
          <cell r="B11588">
            <v>79843</v>
          </cell>
          <cell r="C11588" t="str">
            <v>FIM CP NAMSOR IE</v>
          </cell>
          <cell r="D11588" t="str">
            <v>FIM CP NAMSOR IE</v>
          </cell>
          <cell r="E11588" t="str">
            <v>FIM CP NAMSOR IE</v>
          </cell>
        </row>
        <row r="11589">
          <cell r="B11589">
            <v>79844</v>
          </cell>
          <cell r="C11589" t="str">
            <v>FIM CP DP IE</v>
          </cell>
          <cell r="D11589" t="str">
            <v>FIM CP DP IE</v>
          </cell>
          <cell r="E11589" t="str">
            <v>VINCI GESTORA DE RECURSOS LTDA</v>
          </cell>
        </row>
        <row r="11590">
          <cell r="B11590">
            <v>79845</v>
          </cell>
          <cell r="C11590" t="str">
            <v>JAL FIM CP IE</v>
          </cell>
          <cell r="D11590" t="str">
            <v>JAL FIM CP IE</v>
          </cell>
          <cell r="E11590" t="str">
            <v>JAL FIM CP IE</v>
          </cell>
        </row>
        <row r="11591">
          <cell r="B11591">
            <v>79846</v>
          </cell>
          <cell r="C11591" t="str">
            <v>ICATU SEG VINCI EQUILIBRIO PREV FIM CP</v>
          </cell>
          <cell r="D11591" t="str">
            <v>ICATU SEG VINCI EQUILIBRIO PREV FIM CP</v>
          </cell>
          <cell r="E11591" t="str">
            <v>ICATU SEG VINCI EQUILIBRIO PREV FIM CP</v>
          </cell>
        </row>
        <row r="11592">
          <cell r="B11592">
            <v>79847</v>
          </cell>
          <cell r="C11592" t="str">
            <v>CHATEAUX FIM CP IE</v>
          </cell>
          <cell r="D11592" t="str">
            <v>CHATEAUX FIM CP IE</v>
          </cell>
          <cell r="E11592" t="str">
            <v>CHATEAUX FIM CP IE</v>
          </cell>
        </row>
        <row r="11593">
          <cell r="B11593">
            <v>79848</v>
          </cell>
          <cell r="C11593" t="str">
            <v>MODAL ASSET MANAGEMENT LTDA</v>
          </cell>
          <cell r="D11593" t="str">
            <v>MODAL ASSET MANAGEMENT LTDA</v>
          </cell>
          <cell r="E11593" t="str">
            <v>MODAL ASSET MANAGEMENT LTDA</v>
          </cell>
        </row>
        <row r="11594">
          <cell r="B11594">
            <v>79849</v>
          </cell>
          <cell r="C11594" t="str">
            <v>FI RF EMB II A</v>
          </cell>
          <cell r="D11594" t="str">
            <v>FI RF EMB II A</v>
          </cell>
          <cell r="E11594" t="str">
            <v>FI RF EMB II A</v>
          </cell>
        </row>
        <row r="11595">
          <cell r="B11595">
            <v>79850</v>
          </cell>
          <cell r="C11595" t="str">
            <v>MULTIPLICA CAPITAL ASSET MANAGEMENT LTDA</v>
          </cell>
          <cell r="D11595" t="str">
            <v>MULTIPLICA CAPITAL ASSET MANAGEMENT LTDA</v>
          </cell>
          <cell r="E11595" t="str">
            <v>MULTIPLICA CAPITAL ASSET MANAGEMENT LTDA</v>
          </cell>
        </row>
        <row r="11596">
          <cell r="B11596">
            <v>79851</v>
          </cell>
          <cell r="C11596" t="str">
            <v>SEGREGAR INSTITUCIONAL FI RF</v>
          </cell>
          <cell r="D11596" t="str">
            <v>SEGREGAR INSTITUCIONAL FI RF</v>
          </cell>
          <cell r="E11596" t="str">
            <v>BB GESTAO DE RECURSOS DTVM LTDA</v>
          </cell>
        </row>
        <row r="11597">
          <cell r="B11597">
            <v>79853</v>
          </cell>
          <cell r="C11597" t="str">
            <v>BB GESTAO DE RECURSOS DTVM LTDA</v>
          </cell>
          <cell r="D11597" t="str">
            <v>BB GESTAO DE RECURSOS DTVM LTDA</v>
          </cell>
          <cell r="E11597" t="str">
            <v>BB GESTAO DE RECURSOS DTVM LTDA</v>
          </cell>
        </row>
        <row r="11598">
          <cell r="B11598">
            <v>79854</v>
          </cell>
          <cell r="C11598" t="str">
            <v>BANCO RABOBANK INTERNATIONAL BRASIL S/A</v>
          </cell>
          <cell r="D11598" t="str">
            <v>22.1</v>
          </cell>
          <cell r="E11598" t="str">
            <v>BANCO RABOBANK INTERNATIONAL BRASIL S/A</v>
          </cell>
        </row>
        <row r="11599">
          <cell r="B11599">
            <v>79855</v>
          </cell>
          <cell r="C11599" t="str">
            <v>ORI CAPITAL I FIA</v>
          </cell>
          <cell r="D11599" t="str">
            <v>ORI CAPITAL I FIA</v>
          </cell>
          <cell r="E11599" t="str">
            <v>ORI CAPITAL I FIA</v>
          </cell>
        </row>
        <row r="11600">
          <cell r="B11600">
            <v>79856</v>
          </cell>
          <cell r="C11600" t="str">
            <v>PHOENIX FIM CP IE</v>
          </cell>
          <cell r="D11600" t="str">
            <v>PHOENIX FIM CP IE</v>
          </cell>
          <cell r="E11600" t="str">
            <v>PHOENIX FIM CP IE</v>
          </cell>
        </row>
        <row r="11601">
          <cell r="B11601">
            <v>79857</v>
          </cell>
          <cell r="C11601" t="str">
            <v>FIM CP HARMONIA IE</v>
          </cell>
          <cell r="D11601" t="str">
            <v>FIM CP HARMONIA IE</v>
          </cell>
          <cell r="E11601" t="str">
            <v>FIM CP HARMONIA IE</v>
          </cell>
        </row>
        <row r="11602">
          <cell r="B11602">
            <v>79858</v>
          </cell>
          <cell r="C11602" t="str">
            <v>LFR FIM</v>
          </cell>
          <cell r="D11602" t="str">
            <v>LFR FIM</v>
          </cell>
          <cell r="E11602" t="str">
            <v>LFR FIM</v>
          </cell>
        </row>
        <row r="11603">
          <cell r="B11603">
            <v>79859</v>
          </cell>
          <cell r="C11603" t="str">
            <v>NOMURA GLOBAL FINANCIAL PRODUCTS INC.</v>
          </cell>
          <cell r="D11603" t="str">
            <v>NOMURA GLOBAL FINANCIAL PRODUCTS INC.</v>
          </cell>
          <cell r="E11603" t="str">
            <v>NOMURA GLOBAL FINANCIAL PRODUCTS INC.</v>
          </cell>
        </row>
        <row r="11604">
          <cell r="B11604">
            <v>79860</v>
          </cell>
          <cell r="C11604" t="str">
            <v>HINTIL FIM CP IE</v>
          </cell>
          <cell r="D11604" t="str">
            <v>HINTIL FIM CP IE</v>
          </cell>
          <cell r="E11604" t="str">
            <v>KADIMA GESTAO DE INVESTIMENTOS LTDA</v>
          </cell>
        </row>
        <row r="11605">
          <cell r="B11605">
            <v>79861</v>
          </cell>
          <cell r="C11605" t="str">
            <v>KADIMA EQUITIES MASTER FIA</v>
          </cell>
          <cell r="D11605" t="str">
            <v>KADIMA EQUITIES MASTER FIA</v>
          </cell>
          <cell r="E11605" t="str">
            <v>KADIMA GESTAO DE INVESTIMENTOS LTDA</v>
          </cell>
        </row>
        <row r="11606">
          <cell r="B11606">
            <v>79862</v>
          </cell>
          <cell r="C11606" t="str">
            <v>ICATU SEG KADIMA FIM CP PREVIDENCIA</v>
          </cell>
          <cell r="D11606" t="str">
            <v>ICATU SEG KADIMA FIM CP PREVIDENCIA</v>
          </cell>
          <cell r="E11606" t="str">
            <v>KADIMA GESTAO DE INVESTIMENTOS LTDA</v>
          </cell>
        </row>
        <row r="11607">
          <cell r="B11607">
            <v>79863</v>
          </cell>
          <cell r="C11607" t="str">
            <v>STANDARD CHARTERED BANK (LONDRES)</v>
          </cell>
          <cell r="D11607" t="str">
            <v>STANDARD CHARTERED BANK (LONDRES)</v>
          </cell>
          <cell r="E11607" t="str">
            <v>STANDARD CHARTERED BANK (LONDRES)</v>
          </cell>
        </row>
        <row r="11608">
          <cell r="B11608">
            <v>123692</v>
          </cell>
          <cell r="C11608" t="str">
            <v>BRASIL PLURAL AERIS FIA</v>
          </cell>
          <cell r="D11608" t="str">
            <v>BRASIL PLURAL AERIS FIA</v>
          </cell>
          <cell r="E11608" t="str">
            <v>PLURAL GESTÃO DE RECURSOS LTDA</v>
          </cell>
        </row>
        <row r="11609">
          <cell r="B11609">
            <v>79865</v>
          </cell>
          <cell r="C11609" t="str">
            <v>OURIBANK S.A. BANCO MULTIPLO</v>
          </cell>
          <cell r="D11609" t="str">
            <v>OURIBANK S.A. BANCO MULTIPLO</v>
          </cell>
          <cell r="E11609" t="str">
            <v>OURIBANK S.A. BANCO MULTIPLO</v>
          </cell>
        </row>
        <row r="11610">
          <cell r="B11610">
            <v>79866</v>
          </cell>
          <cell r="C11610" t="str">
            <v>RIO MACRO MASTER FIM</v>
          </cell>
          <cell r="D11610" t="str">
            <v>RIO MACRO MASTER FIM</v>
          </cell>
          <cell r="E11610" t="str">
            <v>RIO MACRO MASTER FIM</v>
          </cell>
        </row>
        <row r="11611">
          <cell r="B11611">
            <v>79868</v>
          </cell>
          <cell r="C11611" t="str">
            <v>BICADU FIM CP IE</v>
          </cell>
          <cell r="D11611" t="str">
            <v>BICADU FIM CP IE</v>
          </cell>
          <cell r="E11611" t="str">
            <v>KADIMA GESTAO DE INVESTIMENTOS LTDA</v>
          </cell>
        </row>
        <row r="11612">
          <cell r="B11612">
            <v>79869</v>
          </cell>
          <cell r="C11612" t="str">
            <v>VANQUISH ASSET MANAGEMENT LTDA</v>
          </cell>
          <cell r="D11612">
            <v>5</v>
          </cell>
          <cell r="E11612" t="str">
            <v>VANQUISH ASSET MANAGEMENT LTDA</v>
          </cell>
        </row>
        <row r="11613">
          <cell r="B11613">
            <v>79870</v>
          </cell>
          <cell r="C11613" t="str">
            <v>ASN FIM CP IE</v>
          </cell>
          <cell r="D11613" t="str">
            <v>ASN FIM CP IE</v>
          </cell>
          <cell r="E11613" t="str">
            <v>VINCI GESTORA DE RECURSOS LTDA</v>
          </cell>
        </row>
        <row r="11614">
          <cell r="B11614">
            <v>79871</v>
          </cell>
          <cell r="C11614" t="str">
            <v>LUCE FIM CP IE</v>
          </cell>
          <cell r="D11614" t="str">
            <v>LUCE FIM CP IE</v>
          </cell>
          <cell r="E11614" t="str">
            <v>VINCI GESTORA DE RECURSOS LTDA</v>
          </cell>
        </row>
        <row r="11615">
          <cell r="B11615">
            <v>79872</v>
          </cell>
          <cell r="C11615" t="str">
            <v>PALAS ATENA FIM CP IE</v>
          </cell>
          <cell r="D11615" t="str">
            <v>PALAS ATENA FIM CP IE</v>
          </cell>
          <cell r="E11615" t="str">
            <v>VINCI GESTORA DE RECURSOS LTDA</v>
          </cell>
        </row>
        <row r="11616">
          <cell r="B11616">
            <v>79873</v>
          </cell>
          <cell r="C11616" t="str">
            <v>FIM ZONA DA MATA CP</v>
          </cell>
          <cell r="D11616" t="str">
            <v>FIM ZONA DA MATA CP</v>
          </cell>
          <cell r="E11616" t="str">
            <v>FIM ZONA DA MATA CP</v>
          </cell>
        </row>
        <row r="11617">
          <cell r="B11617">
            <v>79875</v>
          </cell>
          <cell r="C11617" t="str">
            <v>CITRINO GESTAO DE RECURSOS LTDA</v>
          </cell>
          <cell r="D11617" t="str">
            <v>360*</v>
          </cell>
          <cell r="E11617" t="str">
            <v>CITRINO GESTAO DE RECURSOS LTDA</v>
          </cell>
        </row>
        <row r="11618">
          <cell r="B11618">
            <v>79876</v>
          </cell>
          <cell r="C11618" t="str">
            <v>BTGP WM 3 LTDA</v>
          </cell>
          <cell r="D11618" t="str">
            <v>BTGP WM 3 LTDA</v>
          </cell>
          <cell r="E11618" t="str">
            <v>JGP GESTAO PATRIMONIAL LTDA</v>
          </cell>
        </row>
        <row r="11619">
          <cell r="B11619">
            <v>79878</v>
          </cell>
          <cell r="C11619" t="str">
            <v>P&amp;S FIM CP IE</v>
          </cell>
          <cell r="D11619" t="str">
            <v>P&amp;S FIM CP IE</v>
          </cell>
          <cell r="E11619" t="str">
            <v>P&amp;S FIM CP IE</v>
          </cell>
        </row>
        <row r="11620">
          <cell r="B11620">
            <v>79879</v>
          </cell>
          <cell r="C11620" t="str">
            <v>MERRILL LYNCH INTERNATIONAL</v>
          </cell>
          <cell r="D11620" t="str">
            <v>MERRILL LYNCH INTERNATIONAL</v>
          </cell>
          <cell r="E11620" t="str">
            <v>BANK OF AMERICA MERRILL LYNCH BANCO MULTIPLO S/A</v>
          </cell>
        </row>
        <row r="11621">
          <cell r="B11621">
            <v>79557</v>
          </cell>
          <cell r="C11621" t="str">
            <v>ARSA LONG BIASED FIA</v>
          </cell>
          <cell r="D11621" t="str">
            <v>ARSA LONG BIASED FIA</v>
          </cell>
          <cell r="E11621" t="str">
            <v>XP GESTAO DE RECURSOS LTDA</v>
          </cell>
        </row>
        <row r="11622">
          <cell r="B11622">
            <v>79881</v>
          </cell>
          <cell r="C11622" t="str">
            <v>XP DEBENTURES INCENTIVADAS HEDGE CP MASTER FIM</v>
          </cell>
          <cell r="D11622" t="str">
            <v>XP DEBENTURES INCENTIVADAS HEDGE CP MASTER FIM</v>
          </cell>
          <cell r="E11622" t="str">
            <v>XP GESTAO DE RECURSOS LTDA</v>
          </cell>
        </row>
        <row r="11623">
          <cell r="B11623">
            <v>79882</v>
          </cell>
          <cell r="C11623" t="str">
            <v>XP FIA BDR NIVEL I</v>
          </cell>
          <cell r="D11623" t="str">
            <v>XP FIA BDR NIVEL I</v>
          </cell>
          <cell r="E11623" t="str">
            <v>XP GESTAO DE RECURSOS LTDA</v>
          </cell>
        </row>
        <row r="11624">
          <cell r="B11624">
            <v>798828</v>
          </cell>
          <cell r="C11624" t="str">
            <v>TACHYON FUNDO DE INVESTIMENTO MULTIMERCADO</v>
          </cell>
          <cell r="D11624" t="str">
            <v>TACHYON FUNDO DE INVESTIMENTO MULTIMERCADO</v>
          </cell>
          <cell r="E11624" t="str">
            <v>TACHYON FUNDO DE INVESTIMENTO MULTIMERCADO</v>
          </cell>
        </row>
        <row r="11625">
          <cell r="B11625">
            <v>79884</v>
          </cell>
          <cell r="C11625" t="str">
            <v>XP TOP DIVIDENDOS FIA</v>
          </cell>
          <cell r="D11625" t="str">
            <v>XP TOP DIVIDENDOS FIA</v>
          </cell>
          <cell r="E11625" t="str">
            <v>XP GESTAO DE RECURSOS LTDA</v>
          </cell>
        </row>
        <row r="11626">
          <cell r="B11626">
            <v>80319</v>
          </cell>
          <cell r="C11626" t="str">
            <v>XP GESTAO DE RECURSOS LTDA</v>
          </cell>
          <cell r="D11626" t="str">
            <v>XP GESTAO DE RECURSOS LTDA</v>
          </cell>
          <cell r="E11626" t="str">
            <v>XP GESTAO DE RECURSOS LTDA</v>
          </cell>
        </row>
        <row r="11627">
          <cell r="B11627">
            <v>79555</v>
          </cell>
          <cell r="C11627" t="str">
            <v>TAGUS TOP FI RF CP</v>
          </cell>
          <cell r="D11627" t="str">
            <v>TAGUS TOP FI RF CP</v>
          </cell>
          <cell r="E11627" t="str">
            <v>XP GESTAO DE RECURSOS LTDA</v>
          </cell>
        </row>
        <row r="11628">
          <cell r="B11628">
            <v>79556</v>
          </cell>
          <cell r="C11628" t="str">
            <v>ARSA MACRO FIM</v>
          </cell>
          <cell r="D11628" t="str">
            <v>ARSA MACRO FIM</v>
          </cell>
          <cell r="E11628" t="str">
            <v>XP GESTAO DE RECURSOS LTDA</v>
          </cell>
        </row>
        <row r="11629">
          <cell r="B11629">
            <v>79887</v>
          </cell>
          <cell r="C11629" t="str">
            <v>VINCI ALDEBARAN FIM CP IE</v>
          </cell>
          <cell r="D11629" t="str">
            <v>VINCI ALDEBARAN FIM CP IE</v>
          </cell>
          <cell r="E11629" t="str">
            <v>VINCI GESTORA DE RECURSOS LTDA</v>
          </cell>
        </row>
        <row r="11630">
          <cell r="B11630">
            <v>79898</v>
          </cell>
          <cell r="C11630" t="str">
            <v>CLARITAS INFLACAO INSTITUCIONAL FIM</v>
          </cell>
          <cell r="D11630" t="str">
            <v>CLARITAS INFLACAO INSTITUCIONAL FIM</v>
          </cell>
          <cell r="E11630" t="str">
            <v>PRINCIPAL ASSET MANAGEMENT LTDA</v>
          </cell>
        </row>
        <row r="11631">
          <cell r="B11631">
            <v>79899</v>
          </cell>
          <cell r="C11631" t="str">
            <v>CLARITAS HEDGE FIC DE FIM LP</v>
          </cell>
          <cell r="D11631" t="str">
            <v>CLARITAS HEDGE FIC DE FIM LP</v>
          </cell>
          <cell r="E11631" t="str">
            <v>PRINCIPAL ASSET MANAGEMENT LTDA</v>
          </cell>
        </row>
        <row r="11632">
          <cell r="B11632">
            <v>79900</v>
          </cell>
          <cell r="C11632" t="str">
            <v>UNIMED RV 15 FIM</v>
          </cell>
          <cell r="D11632" t="str">
            <v>UNIMED RV 15 FIM</v>
          </cell>
          <cell r="E11632" t="str">
            <v>PRINCIPAL ASSET MANAGEMENT LTDA</v>
          </cell>
        </row>
        <row r="11633">
          <cell r="B11633">
            <v>79901</v>
          </cell>
          <cell r="C11633" t="str">
            <v>UNIMED RV 20 FIM</v>
          </cell>
          <cell r="D11633" t="str">
            <v>UNIMED RV 20 FIM</v>
          </cell>
          <cell r="E11633" t="str">
            <v>UNIMED RV 20 FIM</v>
          </cell>
        </row>
        <row r="11634">
          <cell r="B11634">
            <v>79902</v>
          </cell>
          <cell r="C11634" t="str">
            <v>IRB BRASIL RESSEGUROS S.A.</v>
          </cell>
          <cell r="D11634" t="str">
            <v>IRB BRASIL RESSEGUROS S.A.</v>
          </cell>
          <cell r="E11634" t="str">
            <v>IRB BRASIL RESSEGUROS S.A.</v>
          </cell>
        </row>
        <row r="11635">
          <cell r="B11635">
            <v>79904</v>
          </cell>
          <cell r="C11635" t="str">
            <v>BANCO BRADESCO S/A</v>
          </cell>
          <cell r="D11635" t="str">
            <v>BANCO BRADESCO S/A</v>
          </cell>
          <cell r="E11635" t="str">
            <v>BANCO BRADESCO S/A</v>
          </cell>
        </row>
        <row r="11636">
          <cell r="B11636">
            <v>79906</v>
          </cell>
          <cell r="C11636" t="str">
            <v>KRONOS ABSOLUT RETURN LP FIM</v>
          </cell>
          <cell r="D11636" t="str">
            <v>KRONOS ABSOLUT RETURN LP FIM</v>
          </cell>
          <cell r="E11636" t="str">
            <v>GRIMPER CAPITAL GESTORA DE RECURSOS LTDA</v>
          </cell>
        </row>
        <row r="11637">
          <cell r="B11637">
            <v>79907</v>
          </cell>
          <cell r="C11637" t="str">
            <v>KAPITALO INVESTIMENTOS LTDA</v>
          </cell>
          <cell r="D11637" t="str">
            <v>KAPITALO INVESTIMENTOS LTDA</v>
          </cell>
          <cell r="E11637" t="str">
            <v>KAPITALO INVESTIMENTOS LTDA</v>
          </cell>
        </row>
        <row r="11638">
          <cell r="B11638">
            <v>79908</v>
          </cell>
          <cell r="C11638" t="str">
            <v>VINCI SOLUÃ‡Ã•ES DE INVESTIMENTOS LTDA</v>
          </cell>
          <cell r="D11638" t="str">
            <v>VINCI SOLUÃ‡Ã•ES DE INVESTIMENTOS LTDA</v>
          </cell>
          <cell r="E11638" t="str">
            <v>VINCI GESTORA DE RECURSOS LTDA</v>
          </cell>
        </row>
        <row r="11639">
          <cell r="B11639">
            <v>79909</v>
          </cell>
          <cell r="C11639" t="str">
            <v>VINCI SOLUÃ‡Ã•ES DE INVESTIMENTOS LTDA</v>
          </cell>
          <cell r="D11639" t="str">
            <v>VINCI SOLUÃ‡Ã•ES DE INVESTIMENTOS LTDA</v>
          </cell>
          <cell r="E11639" t="str">
            <v>VINCI GESTORA DE RECURSOS LTDA</v>
          </cell>
        </row>
        <row r="11640">
          <cell r="B11640">
            <v>79910</v>
          </cell>
          <cell r="C11640" t="str">
            <v>VINCI SOLUÃ‡Ã•ES DE INVESTIMENTOS LTDA</v>
          </cell>
          <cell r="D11640" t="str">
            <v>VINCI SOLUÃ‡Ã•ES DE INVESTIMENTOS LTDA</v>
          </cell>
          <cell r="E11640" t="str">
            <v>VINCI GESTORA DE RECURSOS LTDA</v>
          </cell>
        </row>
        <row r="11641">
          <cell r="B11641">
            <v>79911</v>
          </cell>
          <cell r="C11641" t="str">
            <v>VINCI SOLUÃ‡Ã•ES DE INVESTIMENTOS LTDA</v>
          </cell>
          <cell r="D11641" t="str">
            <v>VINCI SOLUÃ‡Ã•ES DE INVESTIMENTOS LTDA</v>
          </cell>
          <cell r="E11641" t="str">
            <v>VINCI GESTORA DE RECURSOS LTDA</v>
          </cell>
        </row>
        <row r="11642">
          <cell r="B11642">
            <v>79912</v>
          </cell>
          <cell r="C11642" t="str">
            <v>VINCI SOLUÃ‡Ã•ES DE INVESTIMENTOS LTDA</v>
          </cell>
          <cell r="D11642" t="str">
            <v>VINCI SOLUÃ‡Ã•ES DE INVESTIMENTOS LTDA</v>
          </cell>
          <cell r="E11642" t="str">
            <v>VINCI GESTORA DE RECURSOS LTDA</v>
          </cell>
        </row>
        <row r="11643">
          <cell r="B11643">
            <v>79913</v>
          </cell>
          <cell r="C11643" t="str">
            <v>FIM CP ZAMARADI IE</v>
          </cell>
          <cell r="D11643" t="str">
            <v>FIM CP ZAMARADI IE</v>
          </cell>
          <cell r="E11643" t="str">
            <v>VINCI GESTORA DE RECURSOS LTDA</v>
          </cell>
        </row>
        <row r="11644">
          <cell r="B11644">
            <v>79914</v>
          </cell>
          <cell r="C11644" t="str">
            <v>VINCI SOLUÃ‡Ã•ES DE INVESTIMENTOS LTDA</v>
          </cell>
          <cell r="D11644" t="str">
            <v>VINCI SOLUÃ‡Ã•ES DE INVESTIMENTOS LTDA</v>
          </cell>
          <cell r="E11644" t="str">
            <v>VINCI GESTORA DE RECURSOS LTDA</v>
          </cell>
        </row>
        <row r="11645">
          <cell r="B11645">
            <v>79915</v>
          </cell>
          <cell r="C11645" t="str">
            <v>PHILADELPHIA FIM CP</v>
          </cell>
          <cell r="D11645" t="str">
            <v>PHILADELPHIA FIM CP</v>
          </cell>
          <cell r="E11645" t="str">
            <v>MILENIO CAPITAL GESTAO DE INVESTIMENTOS LTDA</v>
          </cell>
        </row>
        <row r="11646">
          <cell r="B11646">
            <v>79916</v>
          </cell>
          <cell r="C11646" t="str">
            <v>TOWER BRIDGE RF FI IMA-B 5</v>
          </cell>
          <cell r="D11646" t="str">
            <v>TOWER BRIDGE RF FI IMA-B 5</v>
          </cell>
          <cell r="E11646" t="str">
            <v>UNICA ADMINISTRACAO E GESTAO DE RECURSOS LTDA</v>
          </cell>
        </row>
        <row r="11647">
          <cell r="B11647">
            <v>79917</v>
          </cell>
          <cell r="C11647" t="str">
            <v>STANDARD CHARTERED BANK (BRASIL) S.A BCO DE INVESTIMENTO</v>
          </cell>
          <cell r="D11647">
            <v>370</v>
          </cell>
          <cell r="E11647" t="str">
            <v>STANDARD CHARTERED BANK (BRASIL) S.A BCO DE INVESTIMENTO</v>
          </cell>
        </row>
        <row r="11648">
          <cell r="B11648">
            <v>79921</v>
          </cell>
          <cell r="C11648" t="str">
            <v>BANCO SUMITOMO MITSUI BRASILEIRO S.A</v>
          </cell>
          <cell r="D11648">
            <v>921</v>
          </cell>
          <cell r="E11648" t="str">
            <v>BANCO SUMITOMO MITSUI BRASILEIRO S/A</v>
          </cell>
        </row>
        <row r="11649">
          <cell r="B11649">
            <v>79922</v>
          </cell>
          <cell r="C11649" t="str">
            <v>CEDRO PREVIDENCIA FIM CP</v>
          </cell>
          <cell r="D11649" t="str">
            <v>CEDRO PREVIDENCIA FIM CP</v>
          </cell>
          <cell r="E11649" t="str">
            <v>CEDRO PREVIDENCIA FIM CP</v>
          </cell>
        </row>
        <row r="11650">
          <cell r="B11650">
            <v>79923</v>
          </cell>
          <cell r="C11650" t="str">
            <v>AZ QUEST INVESTIMENTOS LTDA</v>
          </cell>
          <cell r="D11650" t="str">
            <v>AZ QUEST INVESTIMENTOS LTDA</v>
          </cell>
          <cell r="E11650" t="str">
            <v>AZ QUEST INVESTIMENTOS LTDA</v>
          </cell>
        </row>
        <row r="11651">
          <cell r="B11651">
            <v>79925</v>
          </cell>
          <cell r="C11651" t="str">
            <v>RBC CAPITAL MARKETS ARBITRAGE S/A</v>
          </cell>
          <cell r="D11651" t="str">
            <v>RBC CAPITAL MARKETS ARBITRAGE S/A</v>
          </cell>
          <cell r="E11651" t="str">
            <v>RBC CAPITAL MARKETS ARBITRAGE S/A</v>
          </cell>
        </row>
        <row r="11652">
          <cell r="B11652">
            <v>79926</v>
          </cell>
          <cell r="C11652" t="str">
            <v>IPANEMA FIM</v>
          </cell>
          <cell r="D11652" t="str">
            <v>IPANEMA FIM</v>
          </cell>
          <cell r="E11652" t="str">
            <v>IPANEMA FIM</v>
          </cell>
        </row>
        <row r="11653">
          <cell r="B11653">
            <v>79927</v>
          </cell>
          <cell r="C11653" t="str">
            <v>RBC CAPITAL MARKETS ARBITRAGE S/A</v>
          </cell>
          <cell r="D11653" t="str">
            <v>RBC CAPITAL MARKETS ARBITRAGE S/A</v>
          </cell>
          <cell r="E11653" t="str">
            <v>RBC CAPITAL MARKETS ARBITRAGE S/A</v>
          </cell>
        </row>
        <row r="11654">
          <cell r="B11654">
            <v>79928</v>
          </cell>
          <cell r="C11654" t="str">
            <v>IMPAR FIM CP IE</v>
          </cell>
          <cell r="D11654" t="str">
            <v>IMPAR FIM CP IE</v>
          </cell>
          <cell r="E11654" t="str">
            <v>JGP GESTAO PATRIMONIAL LTDA</v>
          </cell>
        </row>
        <row r="11655">
          <cell r="B11655">
            <v>79929</v>
          </cell>
          <cell r="C11655" t="str">
            <v>RIO DAS PEDRAS ADMINISTRAÃ‡ÃƒO E PARTICIPAÃ‡Ã•ES LTDA</v>
          </cell>
          <cell r="D11655" t="str">
            <v>RIO DAS PEDRAS ADMINISTRAÃ‡ÃƒO E PARTICIPAÃ‡Ã•ES LTDA</v>
          </cell>
          <cell r="E11655" t="str">
            <v>RIO DAS PEDRAS ADMINISTRAÃ‡ÃƒO E PARTICIPAÃ‡Ã•ES LTDA</v>
          </cell>
        </row>
        <row r="11656">
          <cell r="B11656">
            <v>79932</v>
          </cell>
          <cell r="C11656" t="str">
            <v>SPX EQUITIES GESTAO DE RECURSOS LTDA</v>
          </cell>
          <cell r="D11656">
            <v>318</v>
          </cell>
          <cell r="E11656" t="str">
            <v>SPX GESTAO DE RECURSOS LTDA</v>
          </cell>
        </row>
        <row r="11657">
          <cell r="B11657">
            <v>79934</v>
          </cell>
          <cell r="C11657" t="str">
            <v>FRG FUNDO DE INVESTIMENTO EM ACOES SHARP</v>
          </cell>
          <cell r="D11657" t="str">
            <v>FRG FUNDO DE INVESTIMENTO EM ACOES SHARP</v>
          </cell>
          <cell r="E11657" t="str">
            <v>GAP GESTORA DE RECURSOS LTDA</v>
          </cell>
        </row>
        <row r="11658">
          <cell r="B11658">
            <v>79935</v>
          </cell>
          <cell r="C11658" t="str">
            <v>SHARP MULTIMANAGER BBDC FUNDO DE INVESTIMENTO MULTIMERCADO</v>
          </cell>
          <cell r="D11658" t="str">
            <v>SHARP MULTIMANAGER BBDC FUNDO DE INVESTIMENTO MULTIMERCADO</v>
          </cell>
          <cell r="E11658" t="str">
            <v>SHARP CAPITAL GESTORA DE RECURSOS LTDA</v>
          </cell>
        </row>
        <row r="11659">
          <cell r="B11659">
            <v>79936</v>
          </cell>
          <cell r="C11659" t="str">
            <v>SERRA LV FIM CP IE</v>
          </cell>
          <cell r="D11659" t="str">
            <v>SERRA LV FIM CP IE</v>
          </cell>
          <cell r="E11659" t="str">
            <v>SERRA LV FIM CP IE</v>
          </cell>
        </row>
        <row r="11660">
          <cell r="B11660">
            <v>79937</v>
          </cell>
          <cell r="C11660" t="str">
            <v>CONSENSO PREVIDENCIA FIM</v>
          </cell>
          <cell r="D11660" t="str">
            <v>CONSENSO PREVIDENCIA FIM</v>
          </cell>
          <cell r="E11660" t="str">
            <v>CONSENSO INVESTIMENTOS LTDA</v>
          </cell>
        </row>
        <row r="11661">
          <cell r="B11661">
            <v>79938</v>
          </cell>
          <cell r="C11661" t="str">
            <v>RENTAVEL PREVIDENCIA FIM CP</v>
          </cell>
          <cell r="D11661" t="str">
            <v>RENTAVEL PREVIDENCIA FIM CP</v>
          </cell>
          <cell r="E11661" t="str">
            <v>RENTAVEL PREVIDENCIA FIM CP</v>
          </cell>
        </row>
        <row r="11662">
          <cell r="B11662">
            <v>79939</v>
          </cell>
          <cell r="C11662" t="str">
            <v>GUMP INVESTMENTS C.V.</v>
          </cell>
          <cell r="D11662" t="str">
            <v>GUMP INVESTMENTS C.V.</v>
          </cell>
          <cell r="E11662" t="str">
            <v>GUMP INVESTMENTS C.V.</v>
          </cell>
        </row>
        <row r="11663">
          <cell r="B11663">
            <v>79940</v>
          </cell>
          <cell r="C11663" t="str">
            <v>BOZANO GESTAO DE RECURSOS LTDA</v>
          </cell>
          <cell r="D11663" t="str">
            <v>BOZANO GESTAO DE RECURSOS LTDA</v>
          </cell>
          <cell r="E11663" t="str">
            <v>BOZANO GESTAO DE RECURSOS LTDA</v>
          </cell>
        </row>
        <row r="11664">
          <cell r="B11664">
            <v>79941</v>
          </cell>
          <cell r="C11664" t="str">
            <v>TELOS RF MEDIO RISCO FI</v>
          </cell>
          <cell r="D11664" t="str">
            <v>TELOS RF MEDIO RISCO FI</v>
          </cell>
          <cell r="E11664" t="str">
            <v>SAFRA ASSET MANAGEMENT LTDA</v>
          </cell>
        </row>
        <row r="11665">
          <cell r="B11665">
            <v>79942</v>
          </cell>
          <cell r="C11665" t="str">
            <v>GARDE ASSET MANAGEMENT GESTAO DE RECURSOS LTDA</v>
          </cell>
          <cell r="D11665">
            <v>942</v>
          </cell>
          <cell r="E11665" t="str">
            <v>GARDE ASSET MANAGEMENT GESTAO DE RECURSOS LTDA</v>
          </cell>
        </row>
        <row r="11666">
          <cell r="B11666">
            <v>79943</v>
          </cell>
          <cell r="C11666" t="str">
            <v>VINLAND CAPITAL MANAGEMENT GESTORA DE RECURSOS LTDA</v>
          </cell>
          <cell r="D11666" t="str">
            <v>VINLAND CAPITAL MANAGEMENT GESTORA DE RECURSOS LTDA</v>
          </cell>
          <cell r="E11666" t="str">
            <v>VINLAND CAPITAL MANAGEMENT GESTORA DE RECURSOS LTDA</v>
          </cell>
        </row>
        <row r="11667">
          <cell r="B11667">
            <v>79944</v>
          </cell>
          <cell r="C11667" t="str">
            <v>BANCO ITAUCARD S/A</v>
          </cell>
          <cell r="D11667" t="str">
            <v>BANCO ITAUCARD S/A</v>
          </cell>
          <cell r="E11667" t="str">
            <v>BANCO   ITAUCARD S/A</v>
          </cell>
        </row>
        <row r="11668">
          <cell r="B11668">
            <v>79945</v>
          </cell>
          <cell r="C11668" t="str">
            <v>VINCI SV FIM CP</v>
          </cell>
          <cell r="D11668" t="str">
            <v>VINCI SV FIM CP</v>
          </cell>
          <cell r="E11668" t="str">
            <v>VINCI GESTORA DE RECURSOS LTDA</v>
          </cell>
        </row>
        <row r="11669">
          <cell r="B11669">
            <v>79946</v>
          </cell>
          <cell r="C11669" t="str">
            <v>CITRINO MACRO FIM CP IE</v>
          </cell>
          <cell r="D11669" t="str">
            <v>CITRINO MACRO FIM CP IE</v>
          </cell>
          <cell r="E11669" t="str">
            <v>CITRINO GESTAO DE RECURSOS LTDA</v>
          </cell>
        </row>
        <row r="11670">
          <cell r="B11670">
            <v>79947</v>
          </cell>
          <cell r="C11670" t="str">
            <v>GARDE D'ARTAGNAN MASTER FIM</v>
          </cell>
          <cell r="D11670" t="str">
            <v>GARDE D'ARTAGNAN MASTER FIM</v>
          </cell>
          <cell r="E11670" t="str">
            <v>GARDE ASSET MANAGEMENT GESTAO DE RECURSOS LTDA</v>
          </cell>
        </row>
        <row r="11671">
          <cell r="B11671">
            <v>79950</v>
          </cell>
          <cell r="C11671" t="str">
            <v>JBS S/A</v>
          </cell>
          <cell r="D11671">
            <v>19</v>
          </cell>
          <cell r="E11671" t="str">
            <v>JBS S/A</v>
          </cell>
        </row>
        <row r="11672">
          <cell r="B11672">
            <v>79951</v>
          </cell>
          <cell r="C11672" t="str">
            <v>SEARA ALIMENTOS LTDA</v>
          </cell>
          <cell r="D11672" t="str">
            <v>SEARA ALIMENTOS LTDA</v>
          </cell>
          <cell r="E11672" t="str">
            <v>SEARA ALIMENTOS LTDA</v>
          </cell>
        </row>
        <row r="11673">
          <cell r="B11673">
            <v>79952</v>
          </cell>
          <cell r="C11673" t="str">
            <v>BANK OF CHINA (BRASIL) BANCO MULTIPLO S/A</v>
          </cell>
          <cell r="D11673" t="str">
            <v>BANK OF CHINA (BRASIL) BANCO MULTIPLO S/A</v>
          </cell>
          <cell r="E11673" t="str">
            <v>BANCO DA CHINA BRASIL S/A</v>
          </cell>
        </row>
        <row r="11674">
          <cell r="B11674">
            <v>79953</v>
          </cell>
          <cell r="C11674" t="str">
            <v>JBS S/A</v>
          </cell>
          <cell r="D11674" t="str">
            <v>19.1</v>
          </cell>
          <cell r="E11674" t="str">
            <v>JBS S/A</v>
          </cell>
        </row>
        <row r="11675">
          <cell r="B11675">
            <v>79954</v>
          </cell>
          <cell r="C11675" t="str">
            <v>ARX INVESTIMENTOS LTDA</v>
          </cell>
          <cell r="D11675" t="str">
            <v>ARX INVESTIMENTOS LTDA</v>
          </cell>
          <cell r="E11675" t="str">
            <v>ARX INVESTIMENTOS LTDA</v>
          </cell>
        </row>
        <row r="11676">
          <cell r="B11676">
            <v>79957</v>
          </cell>
          <cell r="C11676" t="str">
            <v>SAGA SNAKE FIM</v>
          </cell>
          <cell r="D11676" t="str">
            <v>SAGA SNAKE FIM</v>
          </cell>
          <cell r="E11676" t="str">
            <v>SAGA SNAKE FIM</v>
          </cell>
        </row>
        <row r="11677">
          <cell r="B11677">
            <v>79958</v>
          </cell>
          <cell r="C11677" t="str">
            <v>SAGA DLEBTA FIM LP IE</v>
          </cell>
          <cell r="D11677" t="str">
            <v>SAGA DLEBTA FIM LP IE</v>
          </cell>
          <cell r="E11677" t="str">
            <v>SAGA DLEBTA FIM LP IE</v>
          </cell>
        </row>
        <row r="11678">
          <cell r="B11678">
            <v>79959</v>
          </cell>
          <cell r="C11678" t="str">
            <v>SAGA CABAMA FIM</v>
          </cell>
          <cell r="D11678" t="str">
            <v>SAGA CABAMA FIM</v>
          </cell>
          <cell r="E11678" t="str">
            <v>SAGA CABAMA FIM</v>
          </cell>
        </row>
        <row r="11679">
          <cell r="B11679">
            <v>79960</v>
          </cell>
          <cell r="C11679" t="str">
            <v>SAGA EAGLE FUNDO DE INVEST.MULTIMERCADO</v>
          </cell>
          <cell r="D11679" t="str">
            <v>SAGA EAGLE FUNDO DE INVEST.MULTIMERCADO</v>
          </cell>
          <cell r="E11679" t="str">
            <v>SAGA EAGLE FUNDO DE INVEST.MULTIMERCADO</v>
          </cell>
        </row>
        <row r="11680">
          <cell r="B11680">
            <v>79961</v>
          </cell>
          <cell r="C11680" t="str">
            <v>SAGA MONTLACER II FIM</v>
          </cell>
          <cell r="D11680" t="str">
            <v>SAGA MONTLACER II FIM</v>
          </cell>
          <cell r="E11680" t="str">
            <v>SAGA MONTLACER II FIM</v>
          </cell>
        </row>
        <row r="11681">
          <cell r="B11681">
            <v>79962</v>
          </cell>
          <cell r="C11681" t="str">
            <v>BANK OF CHINA (BRASIL) BANCO MULTIPLO S/A</v>
          </cell>
          <cell r="D11681" t="str">
            <v>BANK OF CHINA (BRASIL) BANCO MULTIPLO S/A</v>
          </cell>
          <cell r="E11681" t="str">
            <v>BANCO DA CHINA BRASIL S/A</v>
          </cell>
        </row>
        <row r="11682">
          <cell r="B11682">
            <v>79966</v>
          </cell>
          <cell r="C11682" t="str">
            <v>BANCO PAULISTA S/A</v>
          </cell>
          <cell r="D11682" t="str">
            <v>BANCO PAULISTA S/A</v>
          </cell>
          <cell r="E11682" t="str">
            <v>BANCO PAULISTA S/A</v>
          </cell>
        </row>
        <row r="11683">
          <cell r="B11683">
            <v>79967</v>
          </cell>
          <cell r="C11683" t="str">
            <v>CARGILL FINANCIAL SERVICES INTERNATIONAL INC</v>
          </cell>
          <cell r="D11683" t="str">
            <v>CARGILL FINANCIAL SERVICES INTERNATIONAL INC</v>
          </cell>
          <cell r="E11683" t="str">
            <v>BANCO CARGILL S/A</v>
          </cell>
        </row>
        <row r="11684">
          <cell r="B11684">
            <v>79969</v>
          </cell>
          <cell r="C11684" t="str">
            <v>RIO PERFORMANCE GESTAO DE RECURSOS LTDA</v>
          </cell>
          <cell r="D11684" t="str">
            <v>RIO PERFORMANCE GESTAO DE RECURSOS LTDA</v>
          </cell>
          <cell r="E11684" t="str">
            <v>RIO PERFORMANCE GESTAO DE RECURSOS LTDA</v>
          </cell>
        </row>
        <row r="11685">
          <cell r="B11685">
            <v>79970</v>
          </cell>
          <cell r="C11685" t="str">
            <v>NOBEL GESTAO DE RECURSOS LTDA</v>
          </cell>
          <cell r="D11685" t="str">
            <v>NOBEL GESTAO DE RECURSOS LTDA</v>
          </cell>
          <cell r="E11685" t="str">
            <v>NOBEL GESTAO DE RECURSOS LTDA</v>
          </cell>
        </row>
        <row r="11686">
          <cell r="B11686">
            <v>79971</v>
          </cell>
          <cell r="C11686" t="str">
            <v>NOBEL GESTAO DE RECURSOS LTDA</v>
          </cell>
          <cell r="D11686" t="str">
            <v>NOBEL GESTAO DE RECURSOS LTDA</v>
          </cell>
          <cell r="E11686" t="str">
            <v>NOBEL GESTAO DE RECURSOS LTDA</v>
          </cell>
        </row>
        <row r="11687">
          <cell r="B11687">
            <v>79972</v>
          </cell>
          <cell r="C11687" t="str">
            <v>MATERA RC GESTÃƒO DE RECURSOS LTDA</v>
          </cell>
          <cell r="D11687" t="str">
            <v>MATERA RC GESTÃƒO DE RECURSOS LTDA</v>
          </cell>
          <cell r="E11687" t="str">
            <v>MATERA RC GESTÃƒO DE RECURSOS LTDA</v>
          </cell>
        </row>
        <row r="11688">
          <cell r="B11688">
            <v>79974</v>
          </cell>
          <cell r="C11688" t="str">
            <v>MACUCO FIM CP IE</v>
          </cell>
          <cell r="D11688" t="str">
            <v>MACUCO FIM CP IE</v>
          </cell>
          <cell r="E11688" t="str">
            <v>MACUCO FIM CP IE</v>
          </cell>
        </row>
        <row r="11689">
          <cell r="B11689">
            <v>79975</v>
          </cell>
          <cell r="C11689" t="str">
            <v>CONSISTENCIA FIM CP IE</v>
          </cell>
          <cell r="D11689" t="str">
            <v>CONSISTENCIA FIM CP IE</v>
          </cell>
          <cell r="E11689" t="str">
            <v>CONSISTENCIA FIM CP IE</v>
          </cell>
        </row>
        <row r="11690">
          <cell r="B11690">
            <v>79976</v>
          </cell>
          <cell r="C11690" t="str">
            <v>SULAMERICA HEMATITA FIM</v>
          </cell>
          <cell r="D11690" t="str">
            <v>SULAMERICA HEMATITA FIM</v>
          </cell>
          <cell r="E11690" t="str">
            <v>SULAMERICA HEMATITA FIM</v>
          </cell>
        </row>
        <row r="11691">
          <cell r="B11691">
            <v>75359</v>
          </cell>
          <cell r="C11691" t="str">
            <v>SICREDI FI RF EXCLUSIVO MAPFRE</v>
          </cell>
          <cell r="D11691" t="str">
            <v>SICREDI FI RF EXCLUSIVO MAPFRE</v>
          </cell>
          <cell r="E11691" t="str">
            <v>BANCO COOPERATIVO SICREDI S/A</v>
          </cell>
        </row>
        <row r="11692">
          <cell r="B11692">
            <v>79980</v>
          </cell>
          <cell r="C11692" t="str">
            <v>BNP PARIBAS FINANCIAL MARKETS</v>
          </cell>
          <cell r="D11692" t="str">
            <v>BNP PARIBAS FINANCIAL MARKETS</v>
          </cell>
          <cell r="E11692" t="str">
            <v>BANCO BNP PARIBAS BRASIL S/A</v>
          </cell>
        </row>
        <row r="11693">
          <cell r="B11693">
            <v>79981</v>
          </cell>
          <cell r="C11693" t="str">
            <v>AARDVARK TRADING LLC</v>
          </cell>
          <cell r="D11693" t="str">
            <v>AARDVARK TRADING LLC</v>
          </cell>
          <cell r="E11693" t="str">
            <v>AARDVARK TRADING LLC</v>
          </cell>
        </row>
        <row r="11694">
          <cell r="B11694">
            <v>79982</v>
          </cell>
          <cell r="C11694" t="str">
            <v>BNP PARIBAS EQD BRAZIL FUND CLASSE DE INVESTIMENTO MULTI CP</v>
          </cell>
          <cell r="D11694" t="str">
            <v>BNP PARIBAS EQD BRAZIL FUND CLASSE DE INVESTIMENTO MULTI CP</v>
          </cell>
          <cell r="E11694" t="str">
            <v>BANCO BNP PARIBAS BRASIL S/A</v>
          </cell>
        </row>
        <row r="11695">
          <cell r="B11695">
            <v>79983</v>
          </cell>
          <cell r="C11695" t="str">
            <v>FI RF IRB BRASIL RE ABSOLUTO TITULOS PUBLICOS</v>
          </cell>
          <cell r="D11695" t="str">
            <v>FI RF IRB BRASIL RE ABSOLUTO TITULOS PUBLICOS</v>
          </cell>
          <cell r="E11695" t="str">
            <v>IRB BRASIL RESSEGUROS S.A.</v>
          </cell>
        </row>
        <row r="11696">
          <cell r="B11696">
            <v>79987</v>
          </cell>
          <cell r="C11696" t="str">
            <v>IRB BRASIL RESSEGUROS S.A.</v>
          </cell>
          <cell r="D11696" t="str">
            <v>IRB BRASIL RESSEGUROS S.A.</v>
          </cell>
          <cell r="E11696" t="str">
            <v>IRB BRASIL RESSEGUROS S.A.</v>
          </cell>
        </row>
        <row r="11697">
          <cell r="B11697">
            <v>79988</v>
          </cell>
          <cell r="C11697" t="str">
            <v>ANGRA FIM CP IE</v>
          </cell>
          <cell r="D11697" t="str">
            <v>ANGRA FIM CP IE</v>
          </cell>
          <cell r="E11697" t="str">
            <v>MILENIO CAPITAL GESTAO DE INVESTIMENTOS LTDA</v>
          </cell>
        </row>
        <row r="11698">
          <cell r="B11698">
            <v>79989</v>
          </cell>
          <cell r="C11698" t="str">
            <v>BELVEDERE MATISSE FIM CP</v>
          </cell>
          <cell r="D11698" t="str">
            <v>BELVEDERE MATISSE FIM CP</v>
          </cell>
          <cell r="E11698" t="str">
            <v>BELVEDERE MATISSE FIM CP</v>
          </cell>
        </row>
        <row r="11699">
          <cell r="B11699">
            <v>79990</v>
          </cell>
          <cell r="C11699" t="str">
            <v>BELVEDERE RENOIR FIA</v>
          </cell>
          <cell r="D11699" t="str">
            <v>BELVEDERE RENOIR FIA</v>
          </cell>
          <cell r="E11699" t="str">
            <v>BELVEDERE RENOIR FIA</v>
          </cell>
        </row>
        <row r="11700">
          <cell r="B11700">
            <v>79991</v>
          </cell>
          <cell r="C11700" t="str">
            <v>EAGLE MONET FIA</v>
          </cell>
          <cell r="D11700" t="str">
            <v>EAGLE MONET FIA</v>
          </cell>
          <cell r="E11700" t="str">
            <v>EAGLE MONET FIA</v>
          </cell>
        </row>
        <row r="11701">
          <cell r="B11701">
            <v>79992</v>
          </cell>
          <cell r="C11701" t="str">
            <v>SOCIETE MONDIALE FIA</v>
          </cell>
          <cell r="D11701" t="str">
            <v>SOCIETE MONDIALE FIA</v>
          </cell>
          <cell r="E11701" t="str">
            <v>UNICA ADMINISTRACAO E GESTAO DE RECURSOS LTDA</v>
          </cell>
        </row>
        <row r="11702">
          <cell r="B11702">
            <v>79993</v>
          </cell>
          <cell r="C11702" t="str">
            <v>LUPA FIM CP IE</v>
          </cell>
          <cell r="D11702" t="str">
            <v>LUPA FIM CP IE</v>
          </cell>
          <cell r="E11702" t="str">
            <v>LUPA FIM CP IE</v>
          </cell>
        </row>
        <row r="11703">
          <cell r="B11703">
            <v>79994</v>
          </cell>
          <cell r="C11703" t="str">
            <v>AROEIRA FIC FIA</v>
          </cell>
          <cell r="D11703" t="str">
            <v>AROEIRA FIC FIA</v>
          </cell>
          <cell r="E11703" t="str">
            <v>AROEIRA FIC FIA</v>
          </cell>
        </row>
        <row r="11704">
          <cell r="B11704">
            <v>79995</v>
          </cell>
          <cell r="C11704" t="str">
            <v>ZEUS FIA</v>
          </cell>
          <cell r="D11704" t="str">
            <v>ZEUS FIA</v>
          </cell>
          <cell r="E11704" t="str">
            <v>ZEUS FIA</v>
          </cell>
        </row>
        <row r="11705">
          <cell r="B11705">
            <v>79996</v>
          </cell>
          <cell r="C11705" t="str">
            <v>CGI FIC FIA</v>
          </cell>
          <cell r="D11705" t="str">
            <v>CGI FIC FIA</v>
          </cell>
          <cell r="E11705" t="str">
            <v>CGI FIC FIA</v>
          </cell>
        </row>
        <row r="11706">
          <cell r="B11706">
            <v>79997</v>
          </cell>
          <cell r="C11706" t="str">
            <v>JEQUITIBA FIC DE FIA</v>
          </cell>
          <cell r="D11706" t="str">
            <v>JEQUITIBA FIC DE FIA</v>
          </cell>
          <cell r="E11706" t="str">
            <v>JEQUITIBA FIC DE FIA</v>
          </cell>
        </row>
        <row r="11707">
          <cell r="B11707">
            <v>79998</v>
          </cell>
          <cell r="C11707" t="str">
            <v>PORTO SEGURO INVESTIMENTOS LTDA</v>
          </cell>
          <cell r="D11707" t="str">
            <v>PORTO SEGURO INVESTIMENTOS LTDA</v>
          </cell>
          <cell r="E11707" t="str">
            <v>PORTO SEGURO INVESTIMENTOS LTDA</v>
          </cell>
        </row>
        <row r="11708">
          <cell r="B11708">
            <v>79999</v>
          </cell>
          <cell r="C11708" t="str">
            <v>PORTO SEGURO INVESTIMENTOS LTDA</v>
          </cell>
          <cell r="D11708" t="str">
            <v>PORTO SEGURO INVESTIMENTOS LTDA</v>
          </cell>
          <cell r="E11708" t="str">
            <v>PORTO SEGURO INVESTIMENTOS LTDA</v>
          </cell>
        </row>
        <row r="11709">
          <cell r="B11709">
            <v>8000</v>
          </cell>
          <cell r="C11709" t="str">
            <v>KIRTON BANK S.A. - BANCO MULTIPLO</v>
          </cell>
          <cell r="D11709" t="str">
            <v>KIRTON BANK S.A. - BANCO MULTIPLO</v>
          </cell>
          <cell r="E11709" t="str">
            <v>KIRTON BANK S.A. - BANCO MULTIPLO</v>
          </cell>
        </row>
        <row r="11710">
          <cell r="B11710">
            <v>80000</v>
          </cell>
          <cell r="C11710" t="str">
            <v>PORTO SEGURO INVESTIMENTOS LTDA</v>
          </cell>
          <cell r="D11710" t="str">
            <v>PORTO SEGURO INVESTIMENTOS LTDA</v>
          </cell>
          <cell r="E11710" t="str">
            <v>PORTO SEGURO INVESTIMENTOS LTDA</v>
          </cell>
        </row>
        <row r="11711">
          <cell r="B11711">
            <v>80001</v>
          </cell>
          <cell r="C11711" t="str">
            <v>PORTO SEGURO INVESTIMENTOS LTDA</v>
          </cell>
          <cell r="D11711" t="str">
            <v>PORTO SEGURO INVESTIMENTOS LTDA</v>
          </cell>
          <cell r="E11711" t="str">
            <v>PORTO SEGURO INVESTIMENTOS LTDA</v>
          </cell>
        </row>
        <row r="11712">
          <cell r="B11712">
            <v>80002</v>
          </cell>
          <cell r="C11712" t="str">
            <v>PENGUIM FIM CP IE</v>
          </cell>
          <cell r="D11712" t="str">
            <v>PENGUIM FIM CP IE</v>
          </cell>
          <cell r="E11712" t="str">
            <v>PENGUIM FIM CP IE</v>
          </cell>
        </row>
        <row r="11713">
          <cell r="B11713">
            <v>80003</v>
          </cell>
          <cell r="C11713" t="str">
            <v>HSBC BANK USA, NATIONAL ASSOCIATION</v>
          </cell>
          <cell r="D11713" t="str">
            <v>A</v>
          </cell>
          <cell r="E11713" t="str">
            <v>BANCO HSBC S/A</v>
          </cell>
        </row>
        <row r="11714">
          <cell r="B11714">
            <v>80004</v>
          </cell>
          <cell r="C11714" t="str">
            <v>HSBC BANK USA, NATIONAL ASSOCIATION</v>
          </cell>
          <cell r="D11714" t="str">
            <v>B</v>
          </cell>
          <cell r="E11714" t="str">
            <v>BANCO HSBC S/A</v>
          </cell>
        </row>
        <row r="11715">
          <cell r="B11715">
            <v>80006</v>
          </cell>
          <cell r="C11715" t="str">
            <v>VINCI SOLUÃ‡Ã•ES DE INVESTIMENTOS LTDA</v>
          </cell>
          <cell r="D11715" t="str">
            <v>VINCI SOLUÃ‡Ã•ES DE INVESTIMENTOS LTDA</v>
          </cell>
          <cell r="E11715" t="str">
            <v>VINCI GESTORA DE RECURSOS LTDA</v>
          </cell>
        </row>
        <row r="11716">
          <cell r="B11716">
            <v>80008</v>
          </cell>
          <cell r="C11716" t="str">
            <v>HIX INVESTIMENTOS LTDA</v>
          </cell>
          <cell r="D11716" t="str">
            <v>HIX INVESTIMENTOS LTDA</v>
          </cell>
          <cell r="E11716" t="str">
            <v>HIX INVESTIMENTOS LTDA</v>
          </cell>
        </row>
        <row r="11717">
          <cell r="B11717">
            <v>80009</v>
          </cell>
          <cell r="C11717" t="str">
            <v>ZAG FIM CP IE</v>
          </cell>
          <cell r="D11717" t="str">
            <v>ZAG FIM CP IE</v>
          </cell>
          <cell r="E11717" t="str">
            <v>ZAG FIM CP IE</v>
          </cell>
        </row>
        <row r="11718">
          <cell r="B11718">
            <v>8001</v>
          </cell>
          <cell r="C11718" t="str">
            <v>KIRTON BANK S.A. - BANCO MULTIPLO</v>
          </cell>
          <cell r="D11718" t="str">
            <v>KIRTON BANK S.A. - BANCO MULTIPLO</v>
          </cell>
          <cell r="E11718" t="str">
            <v>KIRTON BANK S.A. - BANCO MULTIPLO</v>
          </cell>
        </row>
        <row r="11719">
          <cell r="B11719">
            <v>80010</v>
          </cell>
          <cell r="C11719" t="str">
            <v>UJAY CAPITAL INVESTIMENTOS LTDA.</v>
          </cell>
          <cell r="D11719" t="str">
            <v>UJAY CAPITAL INVESTIMENTOS LTDA.</v>
          </cell>
          <cell r="E11719" t="str">
            <v>UJAY CAPITAL INVESTIMENTOS LTDA</v>
          </cell>
        </row>
        <row r="11720">
          <cell r="B11720">
            <v>80011</v>
          </cell>
          <cell r="C11720" t="str">
            <v>SERENO FIM CP IE</v>
          </cell>
          <cell r="D11720" t="str">
            <v>SERENO FIM CP IE</v>
          </cell>
          <cell r="E11720" t="str">
            <v>MILENIO CAPITAL GESTAO DE INVESTIMENTOS LTDA</v>
          </cell>
        </row>
        <row r="11721">
          <cell r="B11721">
            <v>80012</v>
          </cell>
          <cell r="C11721" t="str">
            <v>IPANEMA FIM</v>
          </cell>
          <cell r="D11721" t="str">
            <v>IPANEMA FIM</v>
          </cell>
          <cell r="E11721" t="str">
            <v>IPANEMA FIM</v>
          </cell>
        </row>
        <row r="11722">
          <cell r="B11722">
            <v>79643</v>
          </cell>
          <cell r="C11722" t="str">
            <v>BANCO SANTANDER, S/A (MADRID)</v>
          </cell>
          <cell r="D11722" t="str">
            <v>BANCO SANTANDER, S/A (MADRID)</v>
          </cell>
          <cell r="E11722" t="str">
            <v>BANCO SANTANDER S/A (HISPANO)</v>
          </cell>
        </row>
        <row r="11723">
          <cell r="B11723">
            <v>79644</v>
          </cell>
          <cell r="C11723" t="str">
            <v>BANCO SANTANDER, S/A (MADRID)</v>
          </cell>
          <cell r="D11723" t="str">
            <v>BANCO SANTANDER, S/A (MADRID)</v>
          </cell>
          <cell r="E11723" t="str">
            <v>BANCO SANTANDER S/A (HISPANO)</v>
          </cell>
        </row>
        <row r="11724">
          <cell r="B11724">
            <v>80022</v>
          </cell>
          <cell r="C11724" t="str">
            <v>BANCO SANTANDER, S/A (MADRID)</v>
          </cell>
          <cell r="D11724" t="str">
            <v>BANCO SANTANDER, S/A (MADRID)</v>
          </cell>
          <cell r="E11724" t="str">
            <v>BANCO SANTANDER S/A (HISPANO)</v>
          </cell>
        </row>
        <row r="11725">
          <cell r="B11725">
            <v>80025</v>
          </cell>
          <cell r="C11725" t="str">
            <v>BRAM - BRADESCO ASSET MANAGEMENT SA DTVM</v>
          </cell>
          <cell r="D11725" t="str">
            <v>BRAM - BRADESCO ASSET MANAGEMENT SA DTVM</v>
          </cell>
          <cell r="E11725" t="str">
            <v>BRAM - BRADESCO ASSET MANAGEMENT S/A DTVM</v>
          </cell>
        </row>
        <row r="11726">
          <cell r="B11726">
            <v>80027</v>
          </cell>
          <cell r="C11726" t="str">
            <v>MSBB MONEY LTD</v>
          </cell>
          <cell r="D11726" t="str">
            <v>MSBB MONEY LTD</v>
          </cell>
          <cell r="E11726" t="str">
            <v>MSBB MONEY LTD</v>
          </cell>
        </row>
        <row r="11727">
          <cell r="B11727">
            <v>80028</v>
          </cell>
          <cell r="C11727" t="str">
            <v>MSBB MONEY LTD</v>
          </cell>
          <cell r="D11727" t="str">
            <v>MSBB MONEY LTD</v>
          </cell>
          <cell r="E11727" t="str">
            <v>MSBB MONEY LTD</v>
          </cell>
        </row>
        <row r="11728">
          <cell r="B11728">
            <v>80029</v>
          </cell>
          <cell r="C11728" t="str">
            <v>MSBB MONEY LTD</v>
          </cell>
          <cell r="D11728" t="str">
            <v>MSBB MONEY LTD</v>
          </cell>
          <cell r="E11728" t="str">
            <v>MSBB MONEY LTD</v>
          </cell>
        </row>
        <row r="11729">
          <cell r="B11729">
            <v>80030</v>
          </cell>
          <cell r="C11729" t="str">
            <v>IRB BRASIL RESSEGUROS S.A.</v>
          </cell>
          <cell r="D11729" t="str">
            <v>IRB BRASIL RESSEGUROS S.A.</v>
          </cell>
          <cell r="E11729" t="str">
            <v>IRB BRASIL RESSEGUROS S.A.</v>
          </cell>
        </row>
        <row r="11730">
          <cell r="B11730">
            <v>80031</v>
          </cell>
          <cell r="C11730" t="str">
            <v>IRB BRASIL RESSEGUROS S.A.</v>
          </cell>
          <cell r="D11730" t="str">
            <v>IRB BRASIL RESSEGUROS S.A.</v>
          </cell>
          <cell r="E11730" t="str">
            <v>IRB BRASIL RESSEGUROS S.A.</v>
          </cell>
        </row>
        <row r="11731">
          <cell r="B11731">
            <v>80032</v>
          </cell>
          <cell r="C11731" t="str">
            <v>ROSS ICE SHELF LLC</v>
          </cell>
          <cell r="D11731" t="str">
            <v>ROSS ICE SHELF LLC</v>
          </cell>
          <cell r="E11731" t="str">
            <v>ROSS ICE SHELF LLC</v>
          </cell>
        </row>
        <row r="11732">
          <cell r="B11732">
            <v>80033</v>
          </cell>
          <cell r="C11732" t="str">
            <v>SAGA TOP FIM</v>
          </cell>
          <cell r="D11732" t="str">
            <v>SAGA TOP FIM</v>
          </cell>
          <cell r="E11732" t="str">
            <v>SAGA TOP FIM</v>
          </cell>
        </row>
        <row r="11733">
          <cell r="B11733">
            <v>80034</v>
          </cell>
          <cell r="C11733" t="str">
            <v>TERA CAPITAL GESTAO DE RECURSOS LTDA</v>
          </cell>
          <cell r="D11733" t="str">
            <v>TERA CAPITAL GESTAO DE RECURSOS LTDA</v>
          </cell>
          <cell r="E11733" t="str">
            <v>TERA CAPITAL GESTAO DE RECURSOS LTDA</v>
          </cell>
        </row>
        <row r="11734">
          <cell r="B11734">
            <v>80035</v>
          </cell>
          <cell r="C11734" t="str">
            <v>FLAG MASTER FIM</v>
          </cell>
          <cell r="D11734" t="str">
            <v>FLAG MASTER FIM</v>
          </cell>
          <cell r="E11734" t="str">
            <v>FLAG MASTER FIM</v>
          </cell>
        </row>
        <row r="11735">
          <cell r="B11735">
            <v>80036</v>
          </cell>
          <cell r="C11735" t="str">
            <v>MARATHON EM FOCUS FUND</v>
          </cell>
          <cell r="D11735" t="str">
            <v>MARATHON EM FOCUS FUND</v>
          </cell>
          <cell r="E11735" t="str">
            <v>MARATHON EM FOCUS FUND</v>
          </cell>
        </row>
        <row r="11736">
          <cell r="B11736">
            <v>80037</v>
          </cell>
          <cell r="C11736" t="str">
            <v>MARATHON GLOBAL EMERGING MARKETS MASTER FUND, LTD</v>
          </cell>
          <cell r="D11736" t="str">
            <v>MARATHON GLOBAL EMERGING MARKETS MASTER FUND, LTD</v>
          </cell>
          <cell r="E11736" t="str">
            <v>MARATHON GLOBAL EMERGING MARKETS MASTER FUND, LTD</v>
          </cell>
        </row>
        <row r="11737">
          <cell r="B11737">
            <v>123824</v>
          </cell>
          <cell r="C11737" t="str">
            <v>BRASIL PLURAL PETROS FIA</v>
          </cell>
          <cell r="D11737" t="str">
            <v>BRASIL PLURAL PETROS FIA</v>
          </cell>
          <cell r="E11737" t="str">
            <v>PLURAL GESTÃO DE RECURSOS LTDA</v>
          </cell>
        </row>
        <row r="11738">
          <cell r="B11738">
            <v>80039</v>
          </cell>
          <cell r="C11738" t="str">
            <v>B&amp;F FIM CP IE</v>
          </cell>
          <cell r="D11738">
            <v>24</v>
          </cell>
          <cell r="E11738" t="str">
            <v>3R GESTORA DE RECURSOS LTDA</v>
          </cell>
        </row>
        <row r="11739">
          <cell r="B11739">
            <v>80040</v>
          </cell>
          <cell r="C11739" t="str">
            <v>MONTEIRO ARANHA S/A</v>
          </cell>
          <cell r="D11739" t="str">
            <v>MONTEIRO ARANHA S/A</v>
          </cell>
          <cell r="E11739" t="str">
            <v>MONTEIRO ARANHA S/A</v>
          </cell>
        </row>
        <row r="11740">
          <cell r="B11740">
            <v>80043</v>
          </cell>
          <cell r="C11740" t="str">
            <v>WIMBLEDON INVESTMENT FUND-MELLON SERVIÃ‡OS FINAN DTVM S.A</v>
          </cell>
          <cell r="D11740" t="str">
            <v>WIMBLEDON INVESTMENT FUND-MELLON SERVIÃ‡OS FINAN DTVM S.A</v>
          </cell>
          <cell r="E11740" t="str">
            <v>WIMBLEDON INVESTMENT FUND-MELLON SERVIÃ‡OS FINAN DTVM S.A</v>
          </cell>
        </row>
        <row r="11741">
          <cell r="B11741">
            <v>80044</v>
          </cell>
          <cell r="C11741" t="str">
            <v>OPTIVER V.O.F.</v>
          </cell>
          <cell r="D11741" t="str">
            <v>OPTIVER V.O.F.</v>
          </cell>
          <cell r="E11741" t="str">
            <v>OPTIVER V.O.F.</v>
          </cell>
        </row>
        <row r="11742">
          <cell r="B11742">
            <v>4048</v>
          </cell>
          <cell r="C11742" t="str">
            <v>BANCO ITAU BBA S/A</v>
          </cell>
          <cell r="D11742" t="str">
            <v>BANCO ITAU BBA S/A</v>
          </cell>
          <cell r="E11742" t="str">
            <v>BANCO ITAU BBA S/A</v>
          </cell>
        </row>
        <row r="11743">
          <cell r="B11743">
            <v>40733</v>
          </cell>
          <cell r="C11743" t="str">
            <v>FLUSHING MEADOW FDO DE INVEST.MULTIMERCADO</v>
          </cell>
          <cell r="D11743" t="str">
            <v>FLUSHING MEADOW FDO DE INVEST.MULTIMERCADO</v>
          </cell>
          <cell r="E11743" t="str">
            <v>FLUSHING MEADOW FDO DE INVEST.MULTIMERCADO</v>
          </cell>
        </row>
        <row r="11744">
          <cell r="B11744">
            <v>40735</v>
          </cell>
          <cell r="C11744" t="str">
            <v>DREYFUS BRASCAN CINCINNATI FIF</v>
          </cell>
          <cell r="D11744" t="str">
            <v>DREYFUS BRASCAN CINCINNATI FIF</v>
          </cell>
          <cell r="E11744" t="str">
            <v>DREYFUS BRASCAN CINCINNATI FIF</v>
          </cell>
        </row>
        <row r="11745">
          <cell r="B11745">
            <v>40750</v>
          </cell>
          <cell r="C11745" t="str">
            <v>STUTTGART FDO. DE INV. EM T. E V. MOBLS.</v>
          </cell>
          <cell r="D11745" t="str">
            <v>STUTTGART FDO. DE INV. EM T. E V. MOBLS.</v>
          </cell>
          <cell r="E11745" t="str">
            <v>STUTTGART FDO. DE INV. EM T. E V. MOBLS.</v>
          </cell>
        </row>
        <row r="11746">
          <cell r="B11746">
            <v>40800</v>
          </cell>
          <cell r="C11746" t="str">
            <v>HAMBURG FIT E VALORES MOBILIARIOS</v>
          </cell>
          <cell r="D11746" t="str">
            <v>HAMBURG FIT E VALORES MOBILIARIOS</v>
          </cell>
          <cell r="E11746" t="str">
            <v>HAMBURG FIT E VALORES MOBILIARIOS</v>
          </cell>
        </row>
        <row r="11747">
          <cell r="B11747">
            <v>40810</v>
          </cell>
          <cell r="C11747" t="str">
            <v>DREYFUS BRASCAN MIAMI FIF</v>
          </cell>
          <cell r="D11747" t="str">
            <v>DREYFUS BRASCAN MIAMI FIF</v>
          </cell>
          <cell r="E11747" t="str">
            <v>DREYFUS BRASCAN MIAMI FIF</v>
          </cell>
        </row>
        <row r="11748">
          <cell r="B11748">
            <v>40850</v>
          </cell>
          <cell r="C11748" t="str">
            <v>ROLAND GARROS FIF</v>
          </cell>
          <cell r="D11748" t="str">
            <v>ROLAND GARROS FIF</v>
          </cell>
          <cell r="E11748" t="str">
            <v>ROLAND GARROS FIF</v>
          </cell>
        </row>
        <row r="11749">
          <cell r="B11749">
            <v>41132</v>
          </cell>
          <cell r="C11749" t="str">
            <v>USINA STA RITA AGROP CORREGO RICO LTDA</v>
          </cell>
          <cell r="D11749" t="str">
            <v>USINA STA RITA AGROP CORREGO RICO LTDA</v>
          </cell>
          <cell r="E11749" t="str">
            <v>USINA STA RITA AGROP CORREGO RICO LTDA</v>
          </cell>
        </row>
        <row r="11750">
          <cell r="B11750">
            <v>42001</v>
          </cell>
          <cell r="C11750" t="str">
            <v>LEBLON EQUITIES HEDGE MASTER FIA</v>
          </cell>
          <cell r="D11750" t="str">
            <v>LEBLON EQUITIES HEDGE MASTER FIA</v>
          </cell>
          <cell r="E11750" t="str">
            <v>LEBLON EQUITIES HEDGE MASTER FIA</v>
          </cell>
        </row>
        <row r="11751">
          <cell r="B11751">
            <v>42002</v>
          </cell>
          <cell r="C11751" t="str">
            <v>LEBLON AÃ‡Ã•ES MASTER FIA</v>
          </cell>
          <cell r="D11751" t="str">
            <v>LEBLON AÃ‡Ã•ES MASTER FIA</v>
          </cell>
          <cell r="E11751" t="str">
            <v>LEBLON AÃ‡Ã•ES MASTER FIA</v>
          </cell>
        </row>
        <row r="11752">
          <cell r="B11752">
            <v>42003</v>
          </cell>
          <cell r="C11752" t="str">
            <v>LEBLON EQUITIES PARTNERS FIM IE</v>
          </cell>
          <cell r="D11752" t="str">
            <v>LEBLON EQUITIES PARTNERS FIM IE</v>
          </cell>
          <cell r="E11752" t="str">
            <v>LEBLON EQUITIES PARTNERS FIM IE</v>
          </cell>
        </row>
        <row r="11753">
          <cell r="B11753">
            <v>42009</v>
          </cell>
          <cell r="C11753" t="str">
            <v>BANCO ABN AMRO REAL S/A</v>
          </cell>
          <cell r="D11753" t="str">
            <v>BANCO ABN AMRO REAL S/A</v>
          </cell>
          <cell r="E11753" t="str">
            <v>BANCO ABN AMRO S/A</v>
          </cell>
        </row>
        <row r="11754">
          <cell r="B11754">
            <v>42015</v>
          </cell>
          <cell r="C11754" t="str">
            <v>BANCO ABN AMRO REAL S/A</v>
          </cell>
          <cell r="D11754" t="str">
            <v>BANCO ABN AMRO REAL S/A</v>
          </cell>
          <cell r="E11754" t="str">
            <v>BANCO ABN AMRO S/A</v>
          </cell>
        </row>
        <row r="11755">
          <cell r="B11755">
            <v>42018</v>
          </cell>
          <cell r="C11755" t="str">
            <v>BANCO ABN AMRO REAL S/A</v>
          </cell>
          <cell r="D11755" t="str">
            <v>BANCO ABN AMRO REAL S/A</v>
          </cell>
          <cell r="E11755" t="str">
            <v>BANCO ABN AMRO S/A</v>
          </cell>
        </row>
        <row r="11756">
          <cell r="B11756">
            <v>42020</v>
          </cell>
          <cell r="C11756" t="str">
            <v>BANCO ABN AMRO REAL S/A</v>
          </cell>
          <cell r="D11756" t="str">
            <v>BANCO ABN AMRO REAL S/A</v>
          </cell>
          <cell r="E11756" t="str">
            <v>BANCO ABN AMRO S/A</v>
          </cell>
        </row>
        <row r="11757">
          <cell r="B11757">
            <v>42030</v>
          </cell>
          <cell r="C11757" t="str">
            <v>BANCO ABN AMRO REAL S/A</v>
          </cell>
          <cell r="D11757" t="str">
            <v>BANCO ABN AMRO REAL S/A</v>
          </cell>
          <cell r="E11757" t="str">
            <v>BANCO ABN AMRO S/A</v>
          </cell>
        </row>
        <row r="11758">
          <cell r="B11758">
            <v>42040</v>
          </cell>
          <cell r="C11758" t="str">
            <v>BANCO ABN AMRO REAL S/A</v>
          </cell>
          <cell r="D11758" t="str">
            <v>BANCO ABN AMRO REAL S/A</v>
          </cell>
          <cell r="E11758" t="str">
            <v>BANCO ABN AMRO S/A</v>
          </cell>
        </row>
        <row r="11759">
          <cell r="B11759">
            <v>42058</v>
          </cell>
          <cell r="C11759" t="str">
            <v>BANCO ABN AMRO REAL S/A</v>
          </cell>
          <cell r="D11759" t="str">
            <v>BANCO ABN AMRO REAL S/A</v>
          </cell>
          <cell r="E11759" t="str">
            <v>BANCO ABN AMRO S/A</v>
          </cell>
        </row>
        <row r="11760">
          <cell r="B11760">
            <v>42088</v>
          </cell>
          <cell r="C11760" t="str">
            <v>BANCO ABN AMRO REAL S/A</v>
          </cell>
          <cell r="D11760" t="str">
            <v>BANCO ABN AMRO REAL S/A</v>
          </cell>
          <cell r="E11760" t="str">
            <v>BANCO ABN AMRO S/A</v>
          </cell>
        </row>
        <row r="11761">
          <cell r="B11761">
            <v>42127</v>
          </cell>
          <cell r="C11761" t="str">
            <v>BANCO ABN AMRO REAL S/A</v>
          </cell>
          <cell r="D11761" t="str">
            <v>BANCO ABN AMRO REAL S/A</v>
          </cell>
          <cell r="E11761" t="str">
            <v>BANCO ABN AMRO S/A</v>
          </cell>
        </row>
        <row r="11762">
          <cell r="B11762">
            <v>42129</v>
          </cell>
          <cell r="C11762" t="str">
            <v>BANCO ABN AMRO REAL S/A</v>
          </cell>
          <cell r="D11762" t="str">
            <v>BANCO ABN AMRO REAL S/A</v>
          </cell>
          <cell r="E11762" t="str">
            <v>BANCO ABN AMRO S/A</v>
          </cell>
        </row>
        <row r="11763">
          <cell r="B11763">
            <v>42145</v>
          </cell>
          <cell r="C11763" t="str">
            <v>BANCO ABN AMRO REAL S/A</v>
          </cell>
          <cell r="D11763" t="str">
            <v>BANCO ABN AMRO REAL S/A</v>
          </cell>
          <cell r="E11763" t="str">
            <v>BANCO ABN AMRO S/A</v>
          </cell>
        </row>
        <row r="11764">
          <cell r="B11764">
            <v>42149</v>
          </cell>
          <cell r="C11764" t="str">
            <v>BANCO ABN AMRO REAL S/A</v>
          </cell>
          <cell r="D11764" t="str">
            <v>BANCO ABN AMRO REAL S/A</v>
          </cell>
          <cell r="E11764" t="str">
            <v>BANCO ABN AMRO S/A</v>
          </cell>
        </row>
        <row r="11765">
          <cell r="B11765">
            <v>42153</v>
          </cell>
          <cell r="C11765" t="str">
            <v>BANCO ABN AMRO REAL S/A</v>
          </cell>
          <cell r="D11765" t="str">
            <v>BANCO ABN AMRO REAL S/A</v>
          </cell>
          <cell r="E11765" t="str">
            <v>BANCO ABN AMRO S/A</v>
          </cell>
        </row>
        <row r="11766">
          <cell r="B11766">
            <v>42154</v>
          </cell>
          <cell r="C11766" t="str">
            <v>BANCO ABN AMRO REAL S/A</v>
          </cell>
          <cell r="D11766" t="str">
            <v>BANCO ABN AMRO REAL S/A</v>
          </cell>
          <cell r="E11766" t="str">
            <v>BANCO ABN AMRO S/A</v>
          </cell>
        </row>
        <row r="11767">
          <cell r="B11767">
            <v>42162</v>
          </cell>
          <cell r="C11767" t="str">
            <v>BANCO ABN AMRO REAL S/A</v>
          </cell>
          <cell r="D11767" t="str">
            <v>BANCO ABN AMRO REAL S/A</v>
          </cell>
          <cell r="E11767" t="str">
            <v>BANCO ABN AMRO S/A</v>
          </cell>
        </row>
        <row r="11768">
          <cell r="B11768">
            <v>42179</v>
          </cell>
          <cell r="C11768" t="str">
            <v>BANCO ABN AMRO REAL S/A</v>
          </cell>
          <cell r="D11768" t="str">
            <v>BANCO ABN AMRO REAL S/A</v>
          </cell>
          <cell r="E11768" t="str">
            <v>BANCO ABN AMRO S/A</v>
          </cell>
        </row>
        <row r="11769">
          <cell r="B11769">
            <v>42189</v>
          </cell>
          <cell r="C11769" t="str">
            <v>BANCO ABN AMRO REAL S/A</v>
          </cell>
          <cell r="D11769" t="str">
            <v>BANCO ABN AMRO REAL S/A</v>
          </cell>
          <cell r="E11769" t="str">
            <v>BANCO ABN AMRO S/A</v>
          </cell>
        </row>
        <row r="11770">
          <cell r="B11770">
            <v>42190</v>
          </cell>
          <cell r="C11770" t="str">
            <v>BANCO ABN AMRO REAL S/A</v>
          </cell>
          <cell r="D11770" t="str">
            <v>BANCO ABN AMRO REAL S/A</v>
          </cell>
          <cell r="E11770" t="str">
            <v>BANCO ABN AMRO S/A</v>
          </cell>
        </row>
        <row r="11771">
          <cell r="B11771">
            <v>42193</v>
          </cell>
          <cell r="C11771" t="str">
            <v>BANCO ABN AMRO REAL S/A</v>
          </cell>
          <cell r="D11771" t="str">
            <v>BANCO ABN AMRO REAL S/A</v>
          </cell>
          <cell r="E11771" t="str">
            <v>BANCO ABN AMRO S/A</v>
          </cell>
        </row>
        <row r="11772">
          <cell r="B11772">
            <v>42194</v>
          </cell>
          <cell r="C11772" t="str">
            <v>BANCO ABN AMRO REAL S/A</v>
          </cell>
          <cell r="D11772" t="str">
            <v>BANCO ABN AMRO REAL S/A</v>
          </cell>
          <cell r="E11772" t="str">
            <v>BANCO ABN AMRO S/A</v>
          </cell>
        </row>
        <row r="11773">
          <cell r="B11773">
            <v>42210</v>
          </cell>
          <cell r="C11773" t="str">
            <v>BANCO ABN AMRO REAL S/A</v>
          </cell>
          <cell r="D11773" t="str">
            <v>BANCO ABN AMRO REAL S/A</v>
          </cell>
          <cell r="E11773" t="str">
            <v>BANCO ABN AMRO S/A</v>
          </cell>
        </row>
        <row r="11774">
          <cell r="B11774">
            <v>42213</v>
          </cell>
          <cell r="C11774" t="str">
            <v>BANCO ABN AMRO REAL S/A</v>
          </cell>
          <cell r="D11774" t="str">
            <v>BANCO ABN AMRO REAL S/A</v>
          </cell>
          <cell r="E11774" t="str">
            <v>BANCO ABN AMRO S/A</v>
          </cell>
        </row>
        <row r="11775">
          <cell r="B11775">
            <v>42217</v>
          </cell>
          <cell r="C11775" t="str">
            <v>BANCO ABN AMRO REAL S/A</v>
          </cell>
          <cell r="D11775" t="str">
            <v>BANCO ABN AMRO REAL S/A</v>
          </cell>
          <cell r="E11775" t="str">
            <v>BANCO ABN AMRO S/A</v>
          </cell>
        </row>
        <row r="11776">
          <cell r="B11776">
            <v>42224</v>
          </cell>
          <cell r="C11776" t="str">
            <v>BANCO ABN AMRO REAL S/A</v>
          </cell>
          <cell r="D11776" t="str">
            <v>BANCO ABN AMRO REAL S/A</v>
          </cell>
          <cell r="E11776" t="str">
            <v>BANCO ABN AMRO S/A</v>
          </cell>
        </row>
        <row r="11777">
          <cell r="B11777">
            <v>42249</v>
          </cell>
          <cell r="C11777" t="str">
            <v>BANCO ABN AMRO REAL S/A</v>
          </cell>
          <cell r="D11777" t="str">
            <v>BANCO ABN AMRO REAL S/A</v>
          </cell>
          <cell r="E11777" t="str">
            <v>BANCO ABN AMRO S/A</v>
          </cell>
        </row>
        <row r="11778">
          <cell r="B11778">
            <v>42250</v>
          </cell>
          <cell r="C11778" t="str">
            <v>BANCO ABN AMRO REAL S/A</v>
          </cell>
          <cell r="D11778" t="str">
            <v>BANCO ABN AMRO REAL S/A</v>
          </cell>
          <cell r="E11778" t="str">
            <v>BANCO ABN AMRO S/A</v>
          </cell>
        </row>
        <row r="11779">
          <cell r="B11779">
            <v>42260</v>
          </cell>
          <cell r="C11779" t="str">
            <v>BANCO ABN AMRO REAL S/A</v>
          </cell>
          <cell r="D11779" t="str">
            <v>BANCO ABN AMRO REAL S/A</v>
          </cell>
          <cell r="E11779" t="str">
            <v>BANCO ABN AMRO S/A</v>
          </cell>
        </row>
        <row r="11780">
          <cell r="B11780">
            <v>42270</v>
          </cell>
          <cell r="C11780" t="str">
            <v>BANCO ABN AMRO REAL S/A</v>
          </cell>
          <cell r="D11780" t="str">
            <v>BANCO ABN AMRO REAL S/A</v>
          </cell>
          <cell r="E11780" t="str">
            <v>BANCO ABN AMRO S/A</v>
          </cell>
        </row>
        <row r="11781">
          <cell r="B11781">
            <v>42299</v>
          </cell>
          <cell r="C11781" t="str">
            <v>BANCO ABN AMRO REAL S/A</v>
          </cell>
          <cell r="D11781" t="str">
            <v>BANCO ABN AMRO REAL S/A</v>
          </cell>
          <cell r="E11781" t="str">
            <v>BANCO ABN AMRO S/A</v>
          </cell>
        </row>
        <row r="11782">
          <cell r="B11782">
            <v>42310</v>
          </cell>
          <cell r="C11782" t="str">
            <v>BANCO ABN AMRO REAL S/A</v>
          </cell>
          <cell r="D11782" t="str">
            <v>BANCO ABN AMRO REAL S/A</v>
          </cell>
          <cell r="E11782" t="str">
            <v>BANCO ABN AMRO S/A</v>
          </cell>
        </row>
        <row r="11783">
          <cell r="B11783">
            <v>42315</v>
          </cell>
          <cell r="C11783" t="str">
            <v>BANCO ABN AMRO REAL S/A</v>
          </cell>
          <cell r="D11783" t="str">
            <v>BANCO ABN AMRO REAL S/A</v>
          </cell>
          <cell r="E11783" t="str">
            <v>BANCO ABN AMRO S/A</v>
          </cell>
        </row>
        <row r="11784">
          <cell r="B11784">
            <v>42319</v>
          </cell>
          <cell r="C11784" t="str">
            <v>BANCO ABN AMRO REAL S/A</v>
          </cell>
          <cell r="D11784" t="str">
            <v>BANCO ABN AMRO REAL S/A</v>
          </cell>
          <cell r="E11784" t="str">
            <v>BANCO ABN AMRO S/A</v>
          </cell>
        </row>
        <row r="11785">
          <cell r="B11785">
            <v>42320</v>
          </cell>
          <cell r="C11785" t="str">
            <v>BANCO ABN AMRO REAL S/A</v>
          </cell>
          <cell r="D11785" t="str">
            <v>BANCO ABN AMRO REAL S/A</v>
          </cell>
          <cell r="E11785" t="str">
            <v>BANCO ABN AMRO S/A</v>
          </cell>
        </row>
        <row r="11786">
          <cell r="B11786">
            <v>42342</v>
          </cell>
          <cell r="C11786" t="str">
            <v>BANCO ABN AMRO REAL S/A</v>
          </cell>
          <cell r="D11786" t="str">
            <v>BANCO ABN AMRO REAL S/A</v>
          </cell>
          <cell r="E11786" t="str">
            <v>BANCO ABN AMRO S/A</v>
          </cell>
        </row>
        <row r="11787">
          <cell r="B11787">
            <v>42343</v>
          </cell>
          <cell r="C11787" t="str">
            <v>BANCO ABN AMRO REAL S/A</v>
          </cell>
          <cell r="D11787" t="str">
            <v>BANCO ABN AMRO REAL S/A</v>
          </cell>
          <cell r="E11787" t="str">
            <v>BANCO ABN AMRO S/A</v>
          </cell>
        </row>
        <row r="11788">
          <cell r="B11788">
            <v>42344</v>
          </cell>
          <cell r="C11788" t="str">
            <v>BANCO ABN AMRO REAL S/A</v>
          </cell>
          <cell r="D11788" t="str">
            <v>BANCO ABN AMRO REAL S/A</v>
          </cell>
          <cell r="E11788" t="str">
            <v>BANCO ABN AMRO S/A</v>
          </cell>
        </row>
        <row r="11789">
          <cell r="B11789">
            <v>42348</v>
          </cell>
          <cell r="C11789" t="str">
            <v>BANCO ABN AMRO REAL S/A</v>
          </cell>
          <cell r="D11789" t="str">
            <v>BANCO ABN AMRO REAL S/A</v>
          </cell>
          <cell r="E11789" t="str">
            <v>BANCO ABN AMRO S/A</v>
          </cell>
        </row>
        <row r="11790">
          <cell r="B11790">
            <v>42349</v>
          </cell>
          <cell r="C11790" t="str">
            <v>BANCO ABN AMRO REAL S/A</v>
          </cell>
          <cell r="D11790" t="str">
            <v>BANCO ABN AMRO REAL S/A</v>
          </cell>
          <cell r="E11790" t="str">
            <v>BANCO ABN AMRO S/A</v>
          </cell>
        </row>
        <row r="11791">
          <cell r="B11791">
            <v>42350</v>
          </cell>
          <cell r="C11791" t="str">
            <v>GILBERTO BRAZ DA CUNHA FILHO</v>
          </cell>
          <cell r="D11791">
            <v>221</v>
          </cell>
          <cell r="E11791" t="str">
            <v>GILBERTO BRAZ DA CUNHA FILHO</v>
          </cell>
        </row>
        <row r="11792">
          <cell r="B11792">
            <v>42356</v>
          </cell>
          <cell r="C11792" t="str">
            <v>MARCELO AUGUSTO LUSTOSA DE SOUZA</v>
          </cell>
          <cell r="D11792">
            <v>226</v>
          </cell>
          <cell r="E11792" t="str">
            <v>MARCELO AUGUSTO LUSTOSA DE SOUZA</v>
          </cell>
        </row>
        <row r="11793">
          <cell r="B11793">
            <v>42357</v>
          </cell>
          <cell r="C11793" t="str">
            <v>KATIA GARCIA ALVES</v>
          </cell>
          <cell r="D11793" t="str">
            <v>KATIA GARCIA ALVES</v>
          </cell>
          <cell r="E11793" t="str">
            <v>KATIA GARCIA ALVES</v>
          </cell>
        </row>
        <row r="11794">
          <cell r="B11794">
            <v>42358</v>
          </cell>
          <cell r="C11794" t="str">
            <v>BANCO ABN AMRO REAL S/A</v>
          </cell>
          <cell r="D11794" t="str">
            <v>BANCO ABN AMRO REAL S/A</v>
          </cell>
          <cell r="E11794" t="str">
            <v>BANCO ABN AMRO S/A</v>
          </cell>
        </row>
        <row r="11795">
          <cell r="B11795">
            <v>42359</v>
          </cell>
          <cell r="C11795" t="str">
            <v>BANCO ABN AMRO REAL S/A</v>
          </cell>
          <cell r="D11795" t="str">
            <v>BANCO ABN AMRO REAL S/A</v>
          </cell>
          <cell r="E11795" t="str">
            <v>BANCO ABN AMRO S/A</v>
          </cell>
        </row>
        <row r="11796">
          <cell r="B11796">
            <v>42361</v>
          </cell>
          <cell r="C11796" t="str">
            <v>BANCO ABN AMRO REAL S/A</v>
          </cell>
          <cell r="D11796" t="str">
            <v>BANCO ABN AMRO REAL S/A</v>
          </cell>
          <cell r="E11796" t="str">
            <v>BANCO ABN AMRO S/A</v>
          </cell>
        </row>
        <row r="11797">
          <cell r="B11797">
            <v>42363</v>
          </cell>
          <cell r="C11797" t="str">
            <v>BANCO ABN AMRO REAL S/A</v>
          </cell>
          <cell r="D11797" t="str">
            <v>BANCO ABN AMRO REAL S/A</v>
          </cell>
          <cell r="E11797" t="str">
            <v>BANCO ABN AMRO S/A</v>
          </cell>
        </row>
        <row r="11798">
          <cell r="B11798">
            <v>42415</v>
          </cell>
          <cell r="C11798" t="str">
            <v>BANCO ABN AMRO REAL S/A</v>
          </cell>
          <cell r="D11798" t="str">
            <v>BANCO ABN AMRO REAL S/A</v>
          </cell>
          <cell r="E11798" t="str">
            <v>BANCO ABN AMRO S/A</v>
          </cell>
        </row>
        <row r="11799">
          <cell r="B11799">
            <v>42421</v>
          </cell>
          <cell r="C11799" t="str">
            <v>BANCO ABN AMRO REAL S/A</v>
          </cell>
          <cell r="D11799" t="str">
            <v>BANCO ABN AMRO REAL S/A</v>
          </cell>
          <cell r="E11799" t="str">
            <v>BANCO ABN AMRO S/A</v>
          </cell>
        </row>
        <row r="11800">
          <cell r="B11800">
            <v>42422</v>
          </cell>
          <cell r="C11800" t="str">
            <v>BANCO ABN AMRO REAL S/A</v>
          </cell>
          <cell r="D11800" t="str">
            <v>BANCO ABN AMRO REAL S/A</v>
          </cell>
          <cell r="E11800" t="str">
            <v>BANCO ABN AMRO S/A</v>
          </cell>
        </row>
        <row r="11801">
          <cell r="B11801">
            <v>42423</v>
          </cell>
          <cell r="C11801" t="str">
            <v>BANCO ABN AMRO REAL S/A</v>
          </cell>
          <cell r="D11801" t="str">
            <v>BANCO ABN AMRO REAL S/A</v>
          </cell>
          <cell r="E11801" t="str">
            <v>BANCO ABN AMRO S/A</v>
          </cell>
        </row>
        <row r="11802">
          <cell r="B11802">
            <v>75359</v>
          </cell>
          <cell r="C11802" t="str">
            <v>SICREDI FI RF EXCLUSIVO MAPFRE</v>
          </cell>
          <cell r="D11802" t="str">
            <v>SICREDI FI RF EXCLUSIVO MAPFRE</v>
          </cell>
          <cell r="E11802" t="str">
            <v>BANCO COOPERATIVO SICREDI S/A</v>
          </cell>
        </row>
        <row r="11803">
          <cell r="B11803">
            <v>42567</v>
          </cell>
          <cell r="C11803" t="str">
            <v>FI RF TITULOS PUBLICOS</v>
          </cell>
          <cell r="D11803" t="str">
            <v>FI RF TITULOS PUBLICOS</v>
          </cell>
          <cell r="E11803" t="str">
            <v>FI RF TITULOS PUBLICOS</v>
          </cell>
        </row>
        <row r="11804">
          <cell r="B11804">
            <v>42900</v>
          </cell>
          <cell r="C11804" t="str">
            <v>BANCO ABN AMRO REAL S/A</v>
          </cell>
          <cell r="D11804" t="str">
            <v>BANCO ABN AMRO REAL S/A</v>
          </cell>
          <cell r="E11804" t="str">
            <v>BANCO ABN AMRO S/A</v>
          </cell>
        </row>
        <row r="11805">
          <cell r="B11805">
            <v>43000</v>
          </cell>
          <cell r="C11805" t="str">
            <v>BANCO ABN AMRO REAL S/A</v>
          </cell>
          <cell r="D11805" t="str">
            <v>BANCO ABN AMRO REAL S/A</v>
          </cell>
          <cell r="E11805" t="str">
            <v>BANCO ABN AMRO S/A</v>
          </cell>
        </row>
        <row r="11806">
          <cell r="B11806">
            <v>43001</v>
          </cell>
          <cell r="C11806" t="str">
            <v>BANCO ABN AMRO REAL S/A</v>
          </cell>
          <cell r="D11806" t="str">
            <v>66.1</v>
          </cell>
          <cell r="E11806" t="str">
            <v>BANCO ABN AMRO S/A</v>
          </cell>
        </row>
        <row r="11807">
          <cell r="B11807">
            <v>43002</v>
          </cell>
          <cell r="C11807" t="str">
            <v>BANCO ABN AMRO REAL S/A</v>
          </cell>
          <cell r="D11807" t="str">
            <v>BANCO ABN AMRO REAL S/A</v>
          </cell>
          <cell r="E11807" t="str">
            <v>BANCO ABN AMRO S/A</v>
          </cell>
        </row>
        <row r="11808">
          <cell r="B11808">
            <v>43003</v>
          </cell>
          <cell r="C11808" t="str">
            <v>BANCO ABN AMRO REAL S/A</v>
          </cell>
          <cell r="D11808" t="str">
            <v>BANCO ABN AMRO REAL S/A</v>
          </cell>
          <cell r="E11808" t="str">
            <v>BANCO ABN AMRO S/A</v>
          </cell>
        </row>
        <row r="11809">
          <cell r="B11809">
            <v>43011</v>
          </cell>
          <cell r="C11809" t="str">
            <v>BANCO ABN AMRO REAL S/A</v>
          </cell>
          <cell r="D11809" t="str">
            <v>BANCO ABN AMRO REAL S/A</v>
          </cell>
          <cell r="E11809" t="str">
            <v>BANCO ABN AMRO S/A</v>
          </cell>
        </row>
        <row r="11810">
          <cell r="B11810">
            <v>43021</v>
          </cell>
          <cell r="C11810" t="str">
            <v>BANCO ABN AMRO REAL S/A</v>
          </cell>
          <cell r="D11810" t="str">
            <v>BANCO ABN AMRO REAL S/A</v>
          </cell>
          <cell r="E11810" t="str">
            <v>BANCO ABN AMRO S/A</v>
          </cell>
        </row>
        <row r="11811">
          <cell r="B11811">
            <v>43024</v>
          </cell>
          <cell r="C11811" t="str">
            <v>BANCO ABN AMRO REAL S/A</v>
          </cell>
          <cell r="D11811" t="str">
            <v>BANCO ABN AMRO REAL S/A</v>
          </cell>
          <cell r="E11811" t="str">
            <v>BANCO ABN AMRO S/A</v>
          </cell>
        </row>
        <row r="11812">
          <cell r="B11812">
            <v>43095</v>
          </cell>
          <cell r="C11812" t="str">
            <v>BANCO ABN AMRO REAL S/A</v>
          </cell>
          <cell r="D11812" t="str">
            <v>BANCO ABN AMRO REAL S/A</v>
          </cell>
          <cell r="E11812" t="str">
            <v>BANCO ABN AMRO S/A</v>
          </cell>
        </row>
        <row r="11813">
          <cell r="B11813">
            <v>43111</v>
          </cell>
          <cell r="C11813" t="str">
            <v>BANCO ABN AMRO REAL S/A</v>
          </cell>
          <cell r="D11813" t="str">
            <v>BANCO ABN AMRO REAL S/A</v>
          </cell>
          <cell r="E11813" t="str">
            <v>BANCO ABN AMRO S/A</v>
          </cell>
        </row>
        <row r="11814">
          <cell r="B11814">
            <v>43140</v>
          </cell>
          <cell r="C11814" t="str">
            <v>BANCO ABN AMRO REAL S/A</v>
          </cell>
          <cell r="D11814" t="str">
            <v>BANCO ABN AMRO REAL S/A</v>
          </cell>
          <cell r="E11814" t="str">
            <v>BANCO ABN AMRO S/A</v>
          </cell>
        </row>
        <row r="11815">
          <cell r="B11815">
            <v>43141</v>
          </cell>
          <cell r="C11815" t="str">
            <v>BANCO ABN AMRO REAL S/A</v>
          </cell>
          <cell r="D11815" t="str">
            <v>BANCO ABN AMRO REAL S/A</v>
          </cell>
          <cell r="E11815" t="str">
            <v>BANCO ABN AMRO S/A</v>
          </cell>
        </row>
        <row r="11816">
          <cell r="B11816">
            <v>43144</v>
          </cell>
          <cell r="C11816" t="str">
            <v>BANCO ABN AMRO REAL S/A</v>
          </cell>
          <cell r="D11816" t="str">
            <v>BANCO ABN AMRO REAL S/A</v>
          </cell>
          <cell r="E11816" t="str">
            <v>BANCO ABN AMRO S/A</v>
          </cell>
        </row>
        <row r="11817">
          <cell r="B11817">
            <v>43148</v>
          </cell>
          <cell r="C11817" t="str">
            <v>BANCO ABN AMRO REAL S/A</v>
          </cell>
          <cell r="D11817" t="str">
            <v>BANCO ABN AMRO REAL S/A</v>
          </cell>
          <cell r="E11817" t="str">
            <v>BANCO ABN AMRO S/A</v>
          </cell>
        </row>
        <row r="11818">
          <cell r="B11818">
            <v>43158</v>
          </cell>
          <cell r="C11818" t="str">
            <v>BANCO ABN AMRO REAL S/A</v>
          </cell>
          <cell r="D11818" t="str">
            <v>BANCO ABN AMRO REAL S/A</v>
          </cell>
          <cell r="E11818" t="str">
            <v>BANCO ABN AMRO S/A</v>
          </cell>
        </row>
        <row r="11819">
          <cell r="B11819">
            <v>43175</v>
          </cell>
          <cell r="C11819" t="str">
            <v>BANCO ABN AMRO REAL S/A</v>
          </cell>
          <cell r="D11819" t="str">
            <v>BANCO ABN AMRO REAL S/A</v>
          </cell>
          <cell r="E11819" t="str">
            <v>BANCO ABN AMRO S/A</v>
          </cell>
        </row>
        <row r="11820">
          <cell r="B11820">
            <v>43176</v>
          </cell>
          <cell r="C11820" t="str">
            <v>BANCO ABN AMRO REAL S/A</v>
          </cell>
          <cell r="D11820" t="str">
            <v>BANCO ABN AMRO REAL S/A</v>
          </cell>
          <cell r="E11820" t="str">
            <v>BANCO ABN AMRO S/A</v>
          </cell>
        </row>
        <row r="11821">
          <cell r="B11821">
            <v>43184</v>
          </cell>
          <cell r="C11821" t="str">
            <v>BANCO ABN AMRO REAL S/A</v>
          </cell>
          <cell r="D11821" t="str">
            <v>BANCO ABN AMRO REAL S/A</v>
          </cell>
          <cell r="E11821" t="str">
            <v>BANCO ABN AMRO S/A</v>
          </cell>
        </row>
        <row r="11822">
          <cell r="B11822">
            <v>43189</v>
          </cell>
          <cell r="C11822" t="str">
            <v>BANCO ABN AMRO REAL S/A</v>
          </cell>
          <cell r="D11822" t="str">
            <v>BANCO ABN AMRO REAL S/A</v>
          </cell>
          <cell r="E11822" t="str">
            <v>BANCO ABN AMRO S/A</v>
          </cell>
        </row>
        <row r="11823">
          <cell r="B11823">
            <v>43197</v>
          </cell>
          <cell r="C11823" t="str">
            <v>BANCO ABN AMRO REAL S/A</v>
          </cell>
          <cell r="D11823" t="str">
            <v>BANCO ABN AMRO REAL S/A</v>
          </cell>
          <cell r="E11823" t="str">
            <v>BANCO ABN AMRO S/A</v>
          </cell>
        </row>
        <row r="11824">
          <cell r="B11824">
            <v>43206</v>
          </cell>
          <cell r="C11824" t="str">
            <v>BANCO ABN AMRO REAL S/A</v>
          </cell>
          <cell r="D11824" t="str">
            <v>BANCO ABN AMRO REAL S/A</v>
          </cell>
          <cell r="E11824" t="str">
            <v>BANCO ABN AMRO S/A</v>
          </cell>
        </row>
        <row r="11825">
          <cell r="B11825">
            <v>43207</v>
          </cell>
          <cell r="C11825" t="str">
            <v>BANCO ABN AMRO REAL S/A</v>
          </cell>
          <cell r="D11825" t="str">
            <v>68*</v>
          </cell>
          <cell r="E11825" t="str">
            <v>BANCO ABN AMRO S/A</v>
          </cell>
        </row>
        <row r="11826">
          <cell r="B11826">
            <v>43213</v>
          </cell>
          <cell r="C11826" t="str">
            <v>BANCO ABN AMRO REAL S/A</v>
          </cell>
          <cell r="D11826" t="str">
            <v>BANCO ABN AMRO REAL S/A</v>
          </cell>
          <cell r="E11826" t="str">
            <v>BANCO ABN AMRO S/A</v>
          </cell>
        </row>
        <row r="11827">
          <cell r="B11827">
            <v>43218</v>
          </cell>
          <cell r="C11827" t="str">
            <v>BANCO ABN AMRO REAL S/A</v>
          </cell>
          <cell r="D11827" t="str">
            <v>BANCO ABN AMRO REAL S/A</v>
          </cell>
          <cell r="E11827" t="str">
            <v>BANCO ABN AMRO S/A</v>
          </cell>
        </row>
        <row r="11828">
          <cell r="B11828">
            <v>43224</v>
          </cell>
          <cell r="C11828" t="str">
            <v>BANCO ABN AMRO REAL S/A</v>
          </cell>
          <cell r="D11828" t="str">
            <v>BANCO ABN AMRO REAL S/A</v>
          </cell>
          <cell r="E11828" t="str">
            <v>BANCO ABN AMRO S/A</v>
          </cell>
        </row>
        <row r="11829">
          <cell r="B11829">
            <v>43229</v>
          </cell>
          <cell r="C11829" t="str">
            <v>BANCO ABN AMRO REAL S/A</v>
          </cell>
          <cell r="D11829" t="str">
            <v>BANCO ABN AMRO REAL S/A</v>
          </cell>
          <cell r="E11829" t="str">
            <v>BANCO ABN AMRO S/A</v>
          </cell>
        </row>
        <row r="11830">
          <cell r="B11830">
            <v>43230</v>
          </cell>
          <cell r="C11830" t="str">
            <v>BANCO ABN AMRO REAL S/A</v>
          </cell>
          <cell r="D11830" t="str">
            <v>BANCO ABN AMRO REAL S/A</v>
          </cell>
          <cell r="E11830" t="str">
            <v>BANCO ABN AMRO S/A</v>
          </cell>
        </row>
        <row r="11831">
          <cell r="B11831">
            <v>43233</v>
          </cell>
          <cell r="C11831" t="str">
            <v>BANCO ABN AMRO REAL S/A</v>
          </cell>
          <cell r="D11831" t="str">
            <v>BANCO ABN AMRO REAL S/A</v>
          </cell>
          <cell r="E11831" t="str">
            <v>BANCO ABN AMRO S/A</v>
          </cell>
        </row>
        <row r="11832">
          <cell r="B11832">
            <v>43236</v>
          </cell>
          <cell r="C11832" t="str">
            <v>BANCO ABN AMRO REAL S/A</v>
          </cell>
          <cell r="D11832" t="str">
            <v>BANCO ABN AMRO REAL S/A</v>
          </cell>
          <cell r="E11832" t="str">
            <v>BANCO ABN AMRO S/A</v>
          </cell>
        </row>
        <row r="11833">
          <cell r="B11833">
            <v>43240</v>
          </cell>
          <cell r="C11833" t="str">
            <v>BANCO ABN AMRO REAL S/A</v>
          </cell>
          <cell r="D11833" t="str">
            <v>BANCO ABN AMRO REAL S/A</v>
          </cell>
          <cell r="E11833" t="str">
            <v>BANCO ABN AMRO S/A</v>
          </cell>
        </row>
        <row r="11834">
          <cell r="B11834">
            <v>43241</v>
          </cell>
          <cell r="C11834" t="str">
            <v>BANCO ABN AMRO REAL S/A</v>
          </cell>
          <cell r="D11834" t="str">
            <v>BANCO ABN AMRO REAL S/A</v>
          </cell>
          <cell r="E11834" t="str">
            <v>BANCO ABN AMRO S/A</v>
          </cell>
        </row>
        <row r="11835">
          <cell r="B11835">
            <v>43248</v>
          </cell>
          <cell r="C11835" t="str">
            <v>BANCO ABN AMRO REAL S/A</v>
          </cell>
          <cell r="D11835" t="str">
            <v>BANCO ABN AMRO REAL S/A</v>
          </cell>
          <cell r="E11835" t="str">
            <v>BANCO ABN AMRO S/A</v>
          </cell>
        </row>
        <row r="11836">
          <cell r="B11836">
            <v>43255</v>
          </cell>
          <cell r="C11836" t="str">
            <v>BANCO ABN AMRO REAL S/A</v>
          </cell>
          <cell r="D11836" t="str">
            <v>BANCO ABN AMRO REAL S/A</v>
          </cell>
          <cell r="E11836" t="str">
            <v>BANCO ABN AMRO S/A</v>
          </cell>
        </row>
        <row r="11837">
          <cell r="B11837">
            <v>43256</v>
          </cell>
          <cell r="C11837" t="str">
            <v>BANCO ABN AMRO REAL S/A</v>
          </cell>
          <cell r="D11837" t="str">
            <v>BANCO ABN AMRO REAL S/A</v>
          </cell>
          <cell r="E11837" t="str">
            <v>BANCO ABN AMRO S/A</v>
          </cell>
        </row>
        <row r="11838">
          <cell r="B11838">
            <v>43265</v>
          </cell>
          <cell r="C11838" t="str">
            <v>BANCO ABN AMRO REAL S/A</v>
          </cell>
          <cell r="D11838" t="str">
            <v>BANCO ABN AMRO REAL S/A</v>
          </cell>
          <cell r="E11838" t="str">
            <v>BANCO ABN AMRO S/A</v>
          </cell>
        </row>
        <row r="11839">
          <cell r="B11839">
            <v>43267</v>
          </cell>
          <cell r="C11839" t="str">
            <v>BANCO ABN AMRO REAL S/A</v>
          </cell>
          <cell r="D11839" t="str">
            <v>BANCO ABN AMRO REAL S/A</v>
          </cell>
          <cell r="E11839" t="str">
            <v>BANCO ABN AMRO S/A</v>
          </cell>
        </row>
        <row r="11840">
          <cell r="B11840">
            <v>43278</v>
          </cell>
          <cell r="C11840" t="str">
            <v>BANCO ABN AMRO REAL S/A</v>
          </cell>
          <cell r="D11840" t="str">
            <v>BANCO ABN AMRO REAL S/A</v>
          </cell>
          <cell r="E11840" t="str">
            <v>BANCO ABN AMRO S/A</v>
          </cell>
        </row>
        <row r="11841">
          <cell r="B11841">
            <v>43288</v>
          </cell>
          <cell r="C11841" t="str">
            <v>BANCO ABN AMRO REAL S/A</v>
          </cell>
          <cell r="D11841" t="str">
            <v>BANCO ABN AMRO REAL S/A</v>
          </cell>
          <cell r="E11841" t="str">
            <v>BANCO ABN AMRO S/A</v>
          </cell>
        </row>
        <row r="11842">
          <cell r="B11842">
            <v>43296</v>
          </cell>
          <cell r="C11842" t="str">
            <v>BANCO ABN AMRO REAL S/A</v>
          </cell>
          <cell r="D11842" t="str">
            <v>BANCO ABN AMRO REAL S/A</v>
          </cell>
          <cell r="E11842" t="str">
            <v>BANCO ABN AMRO S/A</v>
          </cell>
        </row>
        <row r="11843">
          <cell r="B11843">
            <v>43298</v>
          </cell>
          <cell r="C11843" t="str">
            <v>BANCO ABN AMRO REAL S/A</v>
          </cell>
          <cell r="D11843" t="str">
            <v>BANCO ABN AMRO REAL S/A</v>
          </cell>
          <cell r="E11843" t="str">
            <v>BANCO ABN AMRO S/A</v>
          </cell>
        </row>
        <row r="11844">
          <cell r="B11844">
            <v>43311</v>
          </cell>
          <cell r="C11844" t="str">
            <v>BANCO ABN AMRO REAL S/A</v>
          </cell>
          <cell r="D11844" t="str">
            <v>BANCO ABN AMRO REAL S/A</v>
          </cell>
          <cell r="E11844" t="str">
            <v>BANCO ABN AMRO S/A</v>
          </cell>
        </row>
        <row r="11845">
          <cell r="B11845">
            <v>4332</v>
          </cell>
          <cell r="C11845" t="str">
            <v>BANCO DE LA PROVINCIA DE BUENOS AIRES</v>
          </cell>
          <cell r="D11845" t="str">
            <v>BANCO DE LA PROVINCIA DE BUENOS AIRES</v>
          </cell>
          <cell r="E11845" t="str">
            <v>BANCO DE LA PROVINCIA DE BUENOS AIRES</v>
          </cell>
        </row>
        <row r="11846">
          <cell r="B11846">
            <v>43320</v>
          </cell>
          <cell r="C11846" t="str">
            <v>BANCO ABN AMRO REAL S/A</v>
          </cell>
          <cell r="D11846" t="str">
            <v>BANCO ABN AMRO REAL S/A</v>
          </cell>
          <cell r="E11846" t="str">
            <v>BANCO ABN AMRO S/A</v>
          </cell>
        </row>
        <row r="11847">
          <cell r="B11847">
            <v>43322</v>
          </cell>
          <cell r="C11847" t="str">
            <v>BANCO ABN AMRO REAL S/A</v>
          </cell>
          <cell r="D11847" t="str">
            <v>BANCO ABN AMRO REAL S/A</v>
          </cell>
          <cell r="E11847" t="str">
            <v>BANCO ABN AMRO S/A</v>
          </cell>
        </row>
        <row r="11848">
          <cell r="B11848">
            <v>43325</v>
          </cell>
          <cell r="C11848" t="str">
            <v>BANCO ABN AMRO REAL S/A</v>
          </cell>
          <cell r="D11848" t="str">
            <v>BANCO ABN AMRO REAL S/A</v>
          </cell>
          <cell r="E11848" t="str">
            <v>BANCO ABN AMRO S/A</v>
          </cell>
        </row>
        <row r="11849">
          <cell r="B11849">
            <v>43330</v>
          </cell>
          <cell r="C11849" t="str">
            <v>BANCO ABN AMRO REAL S/A</v>
          </cell>
          <cell r="D11849" t="str">
            <v>BANCO ABN AMRO REAL S/A</v>
          </cell>
          <cell r="E11849" t="str">
            <v>BANCO ABN AMRO S/A</v>
          </cell>
        </row>
        <row r="11850">
          <cell r="B11850">
            <v>43331</v>
          </cell>
          <cell r="C11850" t="str">
            <v>BANCO ABN AMRO REAL S/A</v>
          </cell>
          <cell r="D11850" t="str">
            <v>BANCO ABN AMRO REAL S/A</v>
          </cell>
          <cell r="E11850" t="str">
            <v>BANCO ABN AMRO S/A</v>
          </cell>
        </row>
        <row r="11851">
          <cell r="B11851">
            <v>43332</v>
          </cell>
          <cell r="C11851" t="str">
            <v>BANCO ABN AMRO REAL S/A</v>
          </cell>
          <cell r="D11851" t="str">
            <v>BANCO ABN AMRO REAL S/A</v>
          </cell>
          <cell r="E11851" t="str">
            <v>BANCO ABN AMRO S/A</v>
          </cell>
        </row>
        <row r="11852">
          <cell r="B11852">
            <v>43334</v>
          </cell>
          <cell r="C11852" t="str">
            <v>BANCO ABN AMRO REAL S/A</v>
          </cell>
          <cell r="D11852" t="str">
            <v>BANCO ABN AMRO REAL S/A</v>
          </cell>
          <cell r="E11852" t="str">
            <v>BANCO ABN AMRO S/A</v>
          </cell>
        </row>
        <row r="11853">
          <cell r="B11853">
            <v>43337</v>
          </cell>
          <cell r="C11853" t="str">
            <v>BANCO ABN AMRO REAL S/A</v>
          </cell>
          <cell r="D11853" t="str">
            <v>BANCO ABN AMRO REAL S/A</v>
          </cell>
          <cell r="E11853" t="str">
            <v>BANCO ABN AMRO S/A</v>
          </cell>
        </row>
        <row r="11854">
          <cell r="B11854">
            <v>43342</v>
          </cell>
          <cell r="C11854" t="str">
            <v>BANCO ABN AMRO REAL S/A</v>
          </cell>
          <cell r="D11854" t="str">
            <v>BANCO ABN AMRO REAL S/A</v>
          </cell>
          <cell r="E11854" t="str">
            <v>BANCO ABN AMRO S/A</v>
          </cell>
        </row>
        <row r="11855">
          <cell r="B11855">
            <v>43347</v>
          </cell>
          <cell r="C11855" t="str">
            <v>BANCO ABN AMRO REAL S/A</v>
          </cell>
          <cell r="D11855" t="str">
            <v>BANCO ABN AMRO REAL S/A</v>
          </cell>
          <cell r="E11855" t="str">
            <v>BANCO ABN AMRO S/A</v>
          </cell>
        </row>
        <row r="11856">
          <cell r="B11856">
            <v>43348</v>
          </cell>
          <cell r="C11856" t="str">
            <v>BANCO ABN AMRO REAL S/A</v>
          </cell>
          <cell r="D11856" t="str">
            <v>BANCO ABN AMRO REAL S/A</v>
          </cell>
          <cell r="E11856" t="str">
            <v>BANCO ABN AMRO S/A</v>
          </cell>
        </row>
        <row r="11857">
          <cell r="B11857">
            <v>43350</v>
          </cell>
          <cell r="C11857" t="str">
            <v>BANCO ABN AMRO REAL S/A</v>
          </cell>
          <cell r="D11857" t="str">
            <v>BANCO ABN AMRO REAL S/A</v>
          </cell>
          <cell r="E11857" t="str">
            <v>BANCO ABN AMRO S/A</v>
          </cell>
        </row>
        <row r="11858">
          <cell r="B11858">
            <v>43357</v>
          </cell>
          <cell r="C11858" t="str">
            <v>BANCO ABN AMRO REAL S/A</v>
          </cell>
          <cell r="D11858" t="str">
            <v>BANCO ABN AMRO REAL S/A</v>
          </cell>
          <cell r="E11858" t="str">
            <v>BANCO ABN AMRO S/A</v>
          </cell>
        </row>
        <row r="11859">
          <cell r="B11859">
            <v>43364</v>
          </cell>
          <cell r="C11859" t="str">
            <v>BANCO ABN AMRO REAL S/A</v>
          </cell>
          <cell r="D11859" t="str">
            <v>BANCO ABN AMRO REAL S/A</v>
          </cell>
          <cell r="E11859" t="str">
            <v>BANCO ABN AMRO S/A</v>
          </cell>
        </row>
        <row r="11860">
          <cell r="B11860">
            <v>43366</v>
          </cell>
          <cell r="C11860" t="str">
            <v>BANCO ABN AMRO REAL S/A</v>
          </cell>
          <cell r="D11860" t="str">
            <v>BANCO ABN AMRO REAL S/A</v>
          </cell>
          <cell r="E11860" t="str">
            <v>BANCO ABN AMRO S/A</v>
          </cell>
        </row>
        <row r="11861">
          <cell r="B11861">
            <v>43370</v>
          </cell>
          <cell r="C11861" t="str">
            <v>BANCO ABN AMRO REAL S/A</v>
          </cell>
          <cell r="D11861" t="str">
            <v>BANCO ABN AMRO REAL S/A</v>
          </cell>
          <cell r="E11861" t="str">
            <v>BANCO ABN AMRO S/A</v>
          </cell>
        </row>
        <row r="11862">
          <cell r="B11862">
            <v>43371</v>
          </cell>
          <cell r="C11862" t="str">
            <v>BANCO ABN AMRO REAL S/A</v>
          </cell>
          <cell r="D11862" t="str">
            <v>BANCO ABN AMRO REAL S/A</v>
          </cell>
          <cell r="E11862" t="str">
            <v>BANCO ABN AMRO S/A</v>
          </cell>
        </row>
        <row r="11863">
          <cell r="B11863">
            <v>43374</v>
          </cell>
          <cell r="C11863" t="str">
            <v>BANCO ABN AMRO REAL S/A</v>
          </cell>
          <cell r="D11863" t="str">
            <v>BANCO ABN AMRO REAL S/A</v>
          </cell>
          <cell r="E11863" t="str">
            <v>BANCO ABN AMRO S/A</v>
          </cell>
        </row>
        <row r="11864">
          <cell r="B11864">
            <v>43375</v>
          </cell>
          <cell r="C11864" t="str">
            <v>BANCO ABN AMRO REAL S/A</v>
          </cell>
          <cell r="D11864" t="str">
            <v>BANCO ABN AMRO REAL S/A</v>
          </cell>
          <cell r="E11864" t="str">
            <v>BANCO ABN AMRO S/A</v>
          </cell>
        </row>
        <row r="11865">
          <cell r="B11865">
            <v>43382</v>
          </cell>
          <cell r="C11865" t="str">
            <v>BANCO ABN AMRO REAL S/A</v>
          </cell>
          <cell r="D11865" t="str">
            <v>BANCO ABN AMRO REAL S/A</v>
          </cell>
          <cell r="E11865" t="str">
            <v>BANCO ABN AMRO S/A</v>
          </cell>
        </row>
        <row r="11866">
          <cell r="B11866">
            <v>43383</v>
          </cell>
          <cell r="C11866" t="str">
            <v>BANCO ABN AMRO REAL S/A</v>
          </cell>
          <cell r="D11866" t="str">
            <v>BANCO ABN AMRO REAL S/A</v>
          </cell>
          <cell r="E11866" t="str">
            <v>BANCO ABN AMRO S/A</v>
          </cell>
        </row>
        <row r="11867">
          <cell r="B11867">
            <v>43384</v>
          </cell>
          <cell r="C11867" t="str">
            <v>BANCO ABN AMRO REAL S/A</v>
          </cell>
          <cell r="D11867" t="str">
            <v>BANCO ABN AMRO REAL S/A</v>
          </cell>
          <cell r="E11867" t="str">
            <v>BANCO ABN AMRO S/A</v>
          </cell>
        </row>
        <row r="11868">
          <cell r="B11868">
            <v>43391</v>
          </cell>
          <cell r="C11868" t="str">
            <v>BANCO ABN AMRO REAL S/A</v>
          </cell>
          <cell r="D11868" t="str">
            <v>BANCO ABN AMRO REAL S/A</v>
          </cell>
          <cell r="E11868" t="str">
            <v>BANCO ABN AMRO S/A</v>
          </cell>
        </row>
        <row r="11869">
          <cell r="B11869">
            <v>43399</v>
          </cell>
          <cell r="C11869" t="str">
            <v>BANCO ABN AMRO REAL S/A</v>
          </cell>
          <cell r="D11869" t="str">
            <v>BANCO ABN AMRO REAL S/A</v>
          </cell>
          <cell r="E11869" t="str">
            <v>BANCO ABN AMRO S/A</v>
          </cell>
        </row>
        <row r="11870">
          <cell r="B11870">
            <v>43411</v>
          </cell>
          <cell r="C11870" t="str">
            <v>BANCO ABN AMRO REAL S/A</v>
          </cell>
          <cell r="D11870" t="str">
            <v>BANCO ABN AMRO REAL S/A</v>
          </cell>
          <cell r="E11870" t="str">
            <v>BANCO ABN AMRO S/A</v>
          </cell>
        </row>
        <row r="11871">
          <cell r="B11871">
            <v>43413</v>
          </cell>
          <cell r="C11871" t="str">
            <v>BANCO ABN AMRO REAL S/A</v>
          </cell>
          <cell r="D11871" t="str">
            <v>BANCO ABN AMRO REAL S/A</v>
          </cell>
          <cell r="E11871" t="str">
            <v>BANCO ABN AMRO S/A</v>
          </cell>
        </row>
        <row r="11872">
          <cell r="B11872">
            <v>43419</v>
          </cell>
          <cell r="C11872" t="str">
            <v>BANCO ABN AMRO REAL S/A</v>
          </cell>
          <cell r="D11872" t="str">
            <v>BANCO ABN AMRO REAL S/A</v>
          </cell>
          <cell r="E11872" t="str">
            <v>BANCO ABN AMRO S/A</v>
          </cell>
        </row>
        <row r="11873">
          <cell r="B11873">
            <v>43429</v>
          </cell>
          <cell r="C11873" t="str">
            <v>BANCO ABN AMRO REAL S/A</v>
          </cell>
          <cell r="D11873" t="str">
            <v>BANCO ABN AMRO REAL S/A</v>
          </cell>
          <cell r="E11873" t="str">
            <v>BANCO ABN AMRO S/A</v>
          </cell>
        </row>
        <row r="11874">
          <cell r="B11874">
            <v>43431</v>
          </cell>
          <cell r="C11874" t="str">
            <v>BANCO ABN AMRO REAL S/A</v>
          </cell>
          <cell r="D11874" t="str">
            <v>BANCO ABN AMRO REAL S/A</v>
          </cell>
          <cell r="E11874" t="str">
            <v>BANCO ABN AMRO S/A</v>
          </cell>
        </row>
        <row r="11875">
          <cell r="B11875">
            <v>43511</v>
          </cell>
          <cell r="C11875" t="str">
            <v>BANCO ABN AMRO REAL S/A</v>
          </cell>
          <cell r="D11875" t="str">
            <v>BANCO ABN AMRO REAL S/A</v>
          </cell>
          <cell r="E11875" t="str">
            <v>BANCO ABN AMRO S/A</v>
          </cell>
        </row>
        <row r="11876">
          <cell r="B11876">
            <v>43550</v>
          </cell>
          <cell r="C11876" t="str">
            <v>BANCO ABN AMRO REAL S/A</v>
          </cell>
          <cell r="D11876" t="str">
            <v>BANCO ABN AMRO REAL S/A</v>
          </cell>
          <cell r="E11876" t="str">
            <v>BANCO ABN AMRO S/A</v>
          </cell>
        </row>
        <row r="11877">
          <cell r="B11877">
            <v>43551</v>
          </cell>
          <cell r="C11877" t="str">
            <v>BANCO ABN AMRO REAL S/A</v>
          </cell>
          <cell r="D11877" t="str">
            <v>BANCO ABN AMRO REAL S/A</v>
          </cell>
          <cell r="E11877" t="str">
            <v>BANCO ABN AMRO S/A</v>
          </cell>
        </row>
        <row r="11878">
          <cell r="B11878">
            <v>43650</v>
          </cell>
          <cell r="C11878" t="str">
            <v>BANCO ABN AMRO REAL S/A</v>
          </cell>
          <cell r="D11878" t="str">
            <v>BANCO ABN AMRO REAL S/A</v>
          </cell>
          <cell r="E11878" t="str">
            <v>BANCO ABN AMRO S/A</v>
          </cell>
        </row>
        <row r="11879">
          <cell r="B11879">
            <v>43700</v>
          </cell>
          <cell r="C11879" t="str">
            <v>BANCO ABN AMRO REAL S/A</v>
          </cell>
          <cell r="D11879" t="str">
            <v>BANCO ABN AMRO REAL S/A</v>
          </cell>
          <cell r="E11879" t="str">
            <v>BANCO ABN AMRO S/A</v>
          </cell>
        </row>
        <row r="11880">
          <cell r="B11880">
            <v>43705</v>
          </cell>
          <cell r="C11880" t="str">
            <v>BANCO ABN AMRO REAL S/A</v>
          </cell>
          <cell r="D11880" t="str">
            <v>BANCO ABN AMRO REAL S/A</v>
          </cell>
          <cell r="E11880" t="str">
            <v>BANCO ABN AMRO S/A</v>
          </cell>
        </row>
        <row r="11881">
          <cell r="B11881">
            <v>43711</v>
          </cell>
          <cell r="C11881" t="str">
            <v>BANCO ABN AMRO REAL S/A</v>
          </cell>
          <cell r="D11881" t="str">
            <v>BANCO ABN AMRO REAL S/A</v>
          </cell>
          <cell r="E11881" t="str">
            <v>BANCO ABN AMRO S/A</v>
          </cell>
        </row>
        <row r="11882">
          <cell r="B11882">
            <v>43720</v>
          </cell>
          <cell r="C11882" t="str">
            <v>BANCO ABN AMRO REAL S/A</v>
          </cell>
          <cell r="D11882" t="str">
            <v>BANCO ABN AMRO REAL S/A</v>
          </cell>
          <cell r="E11882" t="str">
            <v>BANCO ABN AMRO S/A</v>
          </cell>
        </row>
        <row r="11883">
          <cell r="B11883">
            <v>43721</v>
          </cell>
          <cell r="C11883" t="str">
            <v>LISBOA FIF</v>
          </cell>
          <cell r="D11883" t="str">
            <v>LISBOA FIF</v>
          </cell>
          <cell r="E11883" t="str">
            <v>LISBOA FIF</v>
          </cell>
        </row>
        <row r="11884">
          <cell r="B11884">
            <v>43730</v>
          </cell>
          <cell r="C11884" t="str">
            <v>BANCO ABN AMRO REAL S/A</v>
          </cell>
          <cell r="D11884" t="str">
            <v>BANCO ABN AMRO REAL S/A</v>
          </cell>
          <cell r="E11884" t="str">
            <v>BANCO ABN AMRO S/A</v>
          </cell>
        </row>
        <row r="11885">
          <cell r="B11885">
            <v>43782</v>
          </cell>
          <cell r="C11885" t="str">
            <v>BANCO ABN AMRO REAL S/A</v>
          </cell>
          <cell r="D11885" t="str">
            <v>BANCO ABN AMRO REAL S/A</v>
          </cell>
          <cell r="E11885" t="str">
            <v>BANCO ABN AMRO S/A</v>
          </cell>
        </row>
        <row r="11886">
          <cell r="B11886">
            <v>43790</v>
          </cell>
          <cell r="C11886" t="str">
            <v>BANCO ABN AMRO REAL S/A</v>
          </cell>
          <cell r="D11886" t="str">
            <v>BANCO ABN AMRO REAL S/A</v>
          </cell>
          <cell r="E11886" t="str">
            <v>BANCO ABN AMRO S/A</v>
          </cell>
        </row>
        <row r="11887">
          <cell r="B11887">
            <v>43820</v>
          </cell>
          <cell r="C11887" t="str">
            <v>BANCO ABN AMRO REAL S/A</v>
          </cell>
          <cell r="D11887" t="str">
            <v>BANCO ABN AMRO REAL S/A</v>
          </cell>
          <cell r="E11887" t="str">
            <v>BANCO ABN AMRO S/A</v>
          </cell>
        </row>
        <row r="11888">
          <cell r="B11888">
            <v>43862</v>
          </cell>
          <cell r="C11888" t="str">
            <v>BANCO ABN AMRO REAL S/A</v>
          </cell>
          <cell r="D11888" t="str">
            <v>BANCO ABN AMRO REAL S/A</v>
          </cell>
          <cell r="E11888" t="str">
            <v>BANCO ABN AMRO S/A</v>
          </cell>
        </row>
        <row r="11889">
          <cell r="B11889">
            <v>43865</v>
          </cell>
          <cell r="C11889" t="str">
            <v>BANCO ABN AMRO REAL S/A</v>
          </cell>
          <cell r="D11889" t="str">
            <v>BANCO ABN AMRO REAL S/A</v>
          </cell>
          <cell r="E11889" t="str">
            <v>BANCO ABN AMRO S/A</v>
          </cell>
        </row>
        <row r="11890">
          <cell r="B11890">
            <v>43960</v>
          </cell>
          <cell r="C11890" t="str">
            <v>BANCO ABN AMRO REAL S/A</v>
          </cell>
          <cell r="D11890" t="str">
            <v>BANCO ABN AMRO REAL S/A</v>
          </cell>
          <cell r="E11890" t="str">
            <v>BANCO ABN AMRO S/A</v>
          </cell>
        </row>
        <row r="11891">
          <cell r="B11891">
            <v>43961</v>
          </cell>
          <cell r="C11891" t="str">
            <v>BANCO ABN AMRO REAL S/A</v>
          </cell>
          <cell r="D11891" t="str">
            <v>BANCO ABN AMRO REAL S/A</v>
          </cell>
          <cell r="E11891" t="str">
            <v>BANCO ABN AMRO S/A</v>
          </cell>
        </row>
        <row r="11892">
          <cell r="B11892">
            <v>43962</v>
          </cell>
          <cell r="C11892" t="str">
            <v>BANCO ABN AMRO REAL S/A</v>
          </cell>
          <cell r="D11892" t="str">
            <v>BANCO ABN AMRO REAL S/A</v>
          </cell>
          <cell r="E11892" t="str">
            <v>BANCO ABN AMRO S/A</v>
          </cell>
        </row>
        <row r="11893">
          <cell r="B11893">
            <v>43963</v>
          </cell>
          <cell r="C11893" t="str">
            <v>BANCO ABN AMRO REAL S/A</v>
          </cell>
          <cell r="D11893" t="str">
            <v>BANCO ABN AMRO REAL S/A</v>
          </cell>
          <cell r="E11893" t="str">
            <v>BANCO ABN AMRO S/A</v>
          </cell>
        </row>
        <row r="11894">
          <cell r="B11894">
            <v>43972</v>
          </cell>
          <cell r="C11894" t="str">
            <v>BANCO ABN AMRO REAL S/A</v>
          </cell>
          <cell r="D11894" t="str">
            <v>BANCO ABN AMRO REAL S/A</v>
          </cell>
          <cell r="E11894" t="str">
            <v>BANCO ABN AMRO S/A</v>
          </cell>
        </row>
        <row r="11895">
          <cell r="B11895">
            <v>43981</v>
          </cell>
          <cell r="C11895" t="str">
            <v>BANCO ABN AMRO REAL S/A</v>
          </cell>
          <cell r="D11895" t="str">
            <v>BANCO ABN AMRO REAL S/A</v>
          </cell>
          <cell r="E11895" t="str">
            <v>BANCO ABN AMRO S/A</v>
          </cell>
        </row>
        <row r="11896">
          <cell r="B11896">
            <v>43982</v>
          </cell>
          <cell r="C11896" t="str">
            <v>BANCO ABN AMRO REAL S/A</v>
          </cell>
          <cell r="D11896" t="str">
            <v>BANCO ABN AMRO REAL S/A</v>
          </cell>
          <cell r="E11896" t="str">
            <v>BANCO ABN AMRO S/A</v>
          </cell>
        </row>
        <row r="11897">
          <cell r="B11897">
            <v>43988</v>
          </cell>
          <cell r="C11897" t="str">
            <v>BANCO ABN AMRO REAL S/A</v>
          </cell>
          <cell r="D11897" t="str">
            <v>BANCO ABN AMRO REAL S/A</v>
          </cell>
          <cell r="E11897" t="str">
            <v>BANCO ABN AMRO S/A</v>
          </cell>
        </row>
        <row r="11898">
          <cell r="B11898">
            <v>45236</v>
          </cell>
          <cell r="C11898" t="str">
            <v>PARANA BANCO S/A</v>
          </cell>
          <cell r="D11898" t="str">
            <v>PARANA BANCO S/A</v>
          </cell>
          <cell r="E11898" t="str">
            <v>PARANA BANCO S/A</v>
          </cell>
        </row>
        <row r="11899">
          <cell r="B11899">
            <v>45623</v>
          </cell>
          <cell r="C11899" t="str">
            <v>FIM MODERADO ALBACORA</v>
          </cell>
          <cell r="D11899" t="str">
            <v>FIM MODERADO ALBACORA</v>
          </cell>
          <cell r="E11899" t="str">
            <v>FIM MODERADO ALBACORA</v>
          </cell>
        </row>
        <row r="11900">
          <cell r="B11900">
            <v>45624</v>
          </cell>
          <cell r="C11900" t="str">
            <v>FUNDO DE INVESTIMENTO RENDA FIXA PETROS LIQUIDEZ</v>
          </cell>
          <cell r="D11900">
            <v>31</v>
          </cell>
          <cell r="E11900" t="str">
            <v>BRAM - BRADESCO ASSET MANAGEMENT S/A DTVM</v>
          </cell>
        </row>
        <row r="11901">
          <cell r="B11901">
            <v>45632</v>
          </cell>
          <cell r="C11901" t="str">
            <v>SG EQUIPMENT FINANCE S/A ARREND MERC ( ANT SOC GEN LEASING )</v>
          </cell>
          <cell r="D11901">
            <v>251</v>
          </cell>
          <cell r="E11901" t="str">
            <v>SG EQUIPMENT FINANCE S/A ARREND MERC ( ANT SOC GEN LEASING )</v>
          </cell>
        </row>
        <row r="11902">
          <cell r="B11902">
            <v>45633</v>
          </cell>
          <cell r="C11902" t="str">
            <v>PARANAPANEMA S/A</v>
          </cell>
          <cell r="D11902">
            <v>253</v>
          </cell>
          <cell r="E11902" t="str">
            <v>PARANAPANEMA S/A</v>
          </cell>
        </row>
        <row r="11903">
          <cell r="B11903">
            <v>45635</v>
          </cell>
          <cell r="C11903" t="str">
            <v>ELUMA S/A INDUSTRIA E COMERCIO</v>
          </cell>
          <cell r="D11903" t="str">
            <v>ELUMA S/A INDUSTRIA E COMERCIO</v>
          </cell>
          <cell r="E11903" t="str">
            <v>ELUMA S/A INDUSTRIA E COMERCIO</v>
          </cell>
        </row>
        <row r="11904">
          <cell r="B11904">
            <v>45644</v>
          </cell>
          <cell r="C11904" t="str">
            <v>CARAIBA METAIS S/A</v>
          </cell>
          <cell r="D11904" t="str">
            <v>CARAIBA METAIS S/A</v>
          </cell>
          <cell r="E11904" t="str">
            <v>CARAIBA METAIS S/A</v>
          </cell>
        </row>
        <row r="11905">
          <cell r="B11905">
            <v>45681</v>
          </cell>
          <cell r="C11905" t="str">
            <v>MARCIO SALOMAO CHADUD</v>
          </cell>
          <cell r="D11905" t="str">
            <v>MARCIO SALOMAO CHADUD</v>
          </cell>
          <cell r="E11905" t="str">
            <v>MARCIO SALOMAO CHADUD</v>
          </cell>
        </row>
        <row r="11906">
          <cell r="B11906">
            <v>45682</v>
          </cell>
          <cell r="C11906" t="str">
            <v>MELLON ARAUA FUNDO DE INV.FINANCEIRO</v>
          </cell>
          <cell r="D11906" t="str">
            <v>MELLON ARAUA FUNDO DE INV.FINANCEIRO</v>
          </cell>
          <cell r="E11906" t="str">
            <v>MELLON ARAUA FUNDO DE INV.FINANCEIRO</v>
          </cell>
        </row>
        <row r="11907">
          <cell r="B11907">
            <v>45683</v>
          </cell>
          <cell r="C11907" t="str">
            <v>FUNDO DE INVESTIMENTO RENDA FIXA PETROS LIQUIDEZ</v>
          </cell>
          <cell r="D11907" t="str">
            <v>FUNDO DE INVESTIMENTO RENDA FIXA PETROS LIQUIDEZ</v>
          </cell>
          <cell r="E11907" t="str">
            <v>FUNDO DE INVESTIMENTO RENDA FIXA PETROS LIQUIDEZ</v>
          </cell>
        </row>
        <row r="11908">
          <cell r="B11908">
            <v>45687</v>
          </cell>
          <cell r="C11908" t="str">
            <v>LYONNAIS DERIVATIVO MASTER FIF</v>
          </cell>
          <cell r="D11908" t="str">
            <v>LYONNAIS DERIVATIVO MASTER FIF</v>
          </cell>
          <cell r="E11908" t="str">
            <v>LYONNAIS DERIVATIVO MASTER FIF</v>
          </cell>
        </row>
        <row r="11909">
          <cell r="B11909">
            <v>45688</v>
          </cell>
          <cell r="C11909" t="str">
            <v>QUALITY IGUACU FDO DE INV.RENDA FIXA</v>
          </cell>
          <cell r="D11909" t="str">
            <v>QUALITY IGUACU FDO DE INV.RENDA FIXA</v>
          </cell>
          <cell r="E11909" t="str">
            <v>QUALITY IGUACU FDO DE INV.RENDA FIXA</v>
          </cell>
        </row>
        <row r="11910">
          <cell r="B11910">
            <v>45689</v>
          </cell>
          <cell r="C11910" t="str">
            <v>BOURGOGNE FIF</v>
          </cell>
          <cell r="D11910" t="str">
            <v>BOURGOGNE FIF</v>
          </cell>
          <cell r="E11910" t="str">
            <v>BOURGOGNE FIF</v>
          </cell>
        </row>
        <row r="11911">
          <cell r="B11911">
            <v>45712</v>
          </cell>
          <cell r="C11911" t="str">
            <v>TAL FUNDO DE INVESTIMENTO MULTIMERCADO</v>
          </cell>
          <cell r="D11911" t="str">
            <v>TAL FUNDO DE INVESTIMENTO MULTIMERCADO</v>
          </cell>
          <cell r="E11911" t="str">
            <v>TAL FUNDO DE INVESTIMENTO MULTIMERCADO</v>
          </cell>
        </row>
        <row r="11912">
          <cell r="B11912">
            <v>45783</v>
          </cell>
          <cell r="C11912" t="str">
            <v>SAFDIE DTVM LTDA</v>
          </cell>
          <cell r="D11912" t="str">
            <v>SAFDIE DTVM LTDA</v>
          </cell>
          <cell r="E11912" t="str">
            <v>SAFDIE DTVM LTDA</v>
          </cell>
        </row>
        <row r="11913">
          <cell r="B11913">
            <v>4586</v>
          </cell>
          <cell r="C11913" t="str">
            <v>BANIF BANCO DE INVESTIMENTO (BRASIL) S/A</v>
          </cell>
          <cell r="D11913" t="str">
            <v>BANIF BANCO DE INVESTIMENTO (BRASIL) S/A</v>
          </cell>
          <cell r="E11913" t="str">
            <v>BANIF BANCO DE INVESTIMENTO (BRASIL) S/A</v>
          </cell>
        </row>
        <row r="11914">
          <cell r="B11914">
            <v>46523</v>
          </cell>
          <cell r="C11914" t="str">
            <v>ARBOR FDO DE INVEST.MULTIMERCADO LONGO PRAZO</v>
          </cell>
          <cell r="D11914" t="str">
            <v>ARBOR FDO DE INVEST.MULTIMERCADO LONGO PRAZO</v>
          </cell>
          <cell r="E11914" t="str">
            <v>ARBOR FDO DE INVEST.MULTIMERCADO LONGO PRAZO</v>
          </cell>
        </row>
        <row r="11915">
          <cell r="B11915">
            <v>47095</v>
          </cell>
          <cell r="C11915" t="str">
            <v>LUIZ EDUARDO BENTO RIBEIRO GARUTI</v>
          </cell>
          <cell r="D11915" t="str">
            <v>LUIZ EDUARDO BENTO RIBEIRO GARUTI</v>
          </cell>
          <cell r="E11915" t="str">
            <v>LUIZ EDUARDO BENTO RIBEIRO GARUTI</v>
          </cell>
        </row>
        <row r="11916">
          <cell r="B11916">
            <v>47111</v>
          </cell>
          <cell r="C11916" t="str">
            <v>FIF MERCATTO ALOCACAO</v>
          </cell>
          <cell r="D11916" t="str">
            <v>FIF MERCATTO ALOCACAO</v>
          </cell>
          <cell r="E11916" t="str">
            <v>FIF MERCATTO ALOCACAO</v>
          </cell>
        </row>
        <row r="11917">
          <cell r="B11917">
            <v>47112</v>
          </cell>
          <cell r="C11917" t="str">
            <v>MERCATTO ACOES PLUS FUNDO DE INV. EM ACOES</v>
          </cell>
          <cell r="D11917" t="str">
            <v>MERCATTO ACOES PLUS FUNDO DE INV. EM ACOES</v>
          </cell>
          <cell r="E11917" t="str">
            <v>MERCATTO ACOES PLUS FUNDO DE INV. EM ACOES</v>
          </cell>
        </row>
        <row r="11918">
          <cell r="B11918">
            <v>47114</v>
          </cell>
          <cell r="C11918" t="str">
            <v>MELLON CARDOS FIA PREVIDENCIARIO</v>
          </cell>
          <cell r="D11918" t="str">
            <v>MELLON CARDOS FIA PREVIDENCIARIO</v>
          </cell>
          <cell r="E11918" t="str">
            <v>MELLON CARDOS FIA PREVIDENCIARIO</v>
          </cell>
        </row>
        <row r="11919">
          <cell r="B11919">
            <v>47165</v>
          </cell>
          <cell r="C11919" t="str">
            <v>BAHIA AM RENDA VARIAVEL LTDA  (ANTIGO BBM I)</v>
          </cell>
          <cell r="D11919" t="str">
            <v>BAHIA AM RENDA VARIAVEL LTDA  (ANTIGO BBM I)</v>
          </cell>
          <cell r="E11919" t="str">
            <v>BAHIA AM LTDA</v>
          </cell>
        </row>
        <row r="11920">
          <cell r="B11920">
            <v>47166</v>
          </cell>
          <cell r="C11920" t="str">
            <v>BAHIA AM RENDA FIXA LTDA ( ANTIGO BBM II)</v>
          </cell>
          <cell r="D11920" t="str">
            <v>BAHIA AM RENDA FIXA LTDA ( ANTIGO BBM II)</v>
          </cell>
          <cell r="E11920" t="str">
            <v>BAHIA AM LTDA</v>
          </cell>
        </row>
        <row r="11921">
          <cell r="B11921">
            <v>47268</v>
          </cell>
          <cell r="C11921" t="str">
            <v>HIGH SEAR CAPITAL INVEST LLC</v>
          </cell>
          <cell r="D11921" t="str">
            <v>HIGH SEAR CAPITAL INVEST LLC</v>
          </cell>
          <cell r="E11921" t="str">
            <v>HIGH SEAR CAPITAL INVEST LLC</v>
          </cell>
        </row>
        <row r="11922">
          <cell r="B11922">
            <v>47301</v>
          </cell>
          <cell r="C11922" t="str">
            <v>BNY MELLON BANESE APERIPE FI MULTIMERCADO</v>
          </cell>
          <cell r="D11922" t="str">
            <v>BNY MELLON BANESE APERIPE FI MULTIMERCADO</v>
          </cell>
          <cell r="E11922" t="str">
            <v>BNY MELLON BANESE APERIPE FI MULTIMERCADO</v>
          </cell>
        </row>
        <row r="11923">
          <cell r="B11923">
            <v>47302</v>
          </cell>
          <cell r="C11923" t="str">
            <v>MERCATTO ATALAIA CREDITO PRIVADO MULTIMERCADO FI</v>
          </cell>
          <cell r="D11923" t="str">
            <v>MERCATTO ATALAIA CREDITO PRIVADO MULTIMERCADO FI</v>
          </cell>
          <cell r="E11923" t="str">
            <v>MERCATTO ATALAIA CREDITO PRIVADO MULTIMERCADO FI</v>
          </cell>
        </row>
        <row r="11924">
          <cell r="B11924">
            <v>47303</v>
          </cell>
          <cell r="C11924" t="str">
            <v>FI MULTIMERCADO PREVIDENC.MERCATTO AMARAJI</v>
          </cell>
          <cell r="D11924" t="str">
            <v>FI MULTIMERCADO PREVIDENC.MERCATTO AMARAJI</v>
          </cell>
          <cell r="E11924" t="str">
            <v>FI MULTIMERCADO PREVIDENC.MERCATTO AMARAJI</v>
          </cell>
        </row>
        <row r="11925">
          <cell r="B11925">
            <v>47304</v>
          </cell>
          <cell r="C11925" t="str">
            <v>MERCATTO PAJUÃ‡ARA FIC DE FIM</v>
          </cell>
          <cell r="D11925" t="str">
            <v>MERCATTO PAJUÃ‡ARA FIC DE FIM</v>
          </cell>
          <cell r="E11925" t="str">
            <v>MERCATTO PAJUÃ‡ARA FIC DE FIM</v>
          </cell>
        </row>
        <row r="11926">
          <cell r="B11926">
            <v>47305</v>
          </cell>
          <cell r="C11926" t="str">
            <v>MELLON BRASCAN BADEJO FIF</v>
          </cell>
          <cell r="D11926" t="str">
            <v>MELLON BRASCAN BADEJO FIF</v>
          </cell>
          <cell r="E11926" t="str">
            <v>ARX HEDGE FIM</v>
          </cell>
        </row>
        <row r="11927">
          <cell r="B11927">
            <v>47306</v>
          </cell>
          <cell r="C11927" t="str">
            <v>ARX HEDGE FIM</v>
          </cell>
          <cell r="D11927" t="str">
            <v>ARX HEDGE FIM</v>
          </cell>
          <cell r="E11927" t="str">
            <v>ARX HEDGE FIM</v>
          </cell>
        </row>
        <row r="11928">
          <cell r="B11928">
            <v>47307</v>
          </cell>
          <cell r="C11928" t="str">
            <v>ARX TARGET FIM</v>
          </cell>
          <cell r="D11928" t="str">
            <v>ARX TARGET FIM</v>
          </cell>
          <cell r="E11928" t="str">
            <v>ARX TARGET FIM</v>
          </cell>
        </row>
        <row r="11929">
          <cell r="B11929">
            <v>47308</v>
          </cell>
          <cell r="C11929" t="str">
            <v>ARX HEDGE PLUS FIM</v>
          </cell>
          <cell r="D11929" t="str">
            <v>ARX HEDGE PLUS FIM</v>
          </cell>
          <cell r="E11929" t="str">
            <v>ARX HEDGE PLUS FIM</v>
          </cell>
        </row>
        <row r="11930">
          <cell r="B11930">
            <v>47309</v>
          </cell>
          <cell r="C11930" t="str">
            <v>BNY MELLON ARX TARGET PLUS FIM</v>
          </cell>
          <cell r="D11930" t="str">
            <v>BNY MELLON ARX TARGET PLUS FIM</v>
          </cell>
          <cell r="E11930" t="str">
            <v>BNY MELLON ARX TARGET PLUS FIM</v>
          </cell>
        </row>
        <row r="11931">
          <cell r="B11931">
            <v>47310</v>
          </cell>
          <cell r="C11931" t="str">
            <v>SAMBAQUI FDO DE INVESTIMENTO RENDA FIXA</v>
          </cell>
          <cell r="D11931" t="str">
            <v>SAMBAQUI FDO DE INVESTIMENTO RENDA FIXA</v>
          </cell>
          <cell r="E11931" t="str">
            <v>SAMBAQUI FDO DE INVESTIMENTO RENDA FIXA</v>
          </cell>
        </row>
        <row r="11932">
          <cell r="B11932">
            <v>47311</v>
          </cell>
          <cell r="C11932" t="str">
            <v>XINGU I FUNDO DE INVESTIMENTO FINANCEIRO</v>
          </cell>
          <cell r="D11932" t="str">
            <v>XINGU I FUNDO DE INVESTIMENTO FINANCEIRO</v>
          </cell>
          <cell r="E11932" t="str">
            <v>XINGU I FUNDO DE INVESTIMENTO FINANCEIRO</v>
          </cell>
        </row>
        <row r="11933">
          <cell r="B11933">
            <v>47312</v>
          </cell>
          <cell r="C11933" t="str">
            <v>MELLON  BRAZIL MS INVEST LLC</v>
          </cell>
          <cell r="D11933" t="str">
            <v>MELLON  BRAZIL MS INVEST LLC</v>
          </cell>
          <cell r="E11933" t="str">
            <v>MELLON  BRAZIL MS INVEST LLC</v>
          </cell>
        </row>
        <row r="11934">
          <cell r="B11934">
            <v>47313</v>
          </cell>
          <cell r="C11934" t="str">
            <v>FUNDACAO DE SEGURIDADE SOCIAL BRASLIGHT</v>
          </cell>
          <cell r="D11934" t="str">
            <v>FUNDACAO DE SEGURIDADE SOCIAL BRASLIGHT</v>
          </cell>
          <cell r="E11934" t="str">
            <v>FUNDACAO DE SEGURIDADE SOCIAL BRASLIGHT</v>
          </cell>
        </row>
        <row r="11935">
          <cell r="B11935">
            <v>47314</v>
          </cell>
          <cell r="C11935" t="str">
            <v>ARX HEDGE II FIM</v>
          </cell>
          <cell r="D11935" t="str">
            <v>ARX HEDGE II FIM</v>
          </cell>
          <cell r="E11935" t="str">
            <v>ARX HEDGE II FIM</v>
          </cell>
        </row>
        <row r="11936">
          <cell r="B11936">
            <v>47315</v>
          </cell>
          <cell r="C11936" t="str">
            <v>BNY MELLON ARX IBIZA FIM</v>
          </cell>
          <cell r="D11936" t="str">
            <v>BNY MELLON ARX IBIZA FIM</v>
          </cell>
          <cell r="E11936" t="str">
            <v>BNY MELLON ARX IBIZA FIM</v>
          </cell>
        </row>
        <row r="11937">
          <cell r="B11937">
            <v>47316</v>
          </cell>
          <cell r="C11937" t="str">
            <v>ARX PLUS FDO INVESTIMENTO MULTIMERCADO</v>
          </cell>
          <cell r="D11937" t="str">
            <v>ARX PLUS FDO INVESTIMENTO MULTIMERCADO</v>
          </cell>
          <cell r="E11937" t="str">
            <v>ARX PLUS FDO INVESTIMENTO MULTIMERCADO</v>
          </cell>
        </row>
        <row r="11938">
          <cell r="B11938">
            <v>47317</v>
          </cell>
          <cell r="C11938" t="str">
            <v>ARX INSTITUCIONAL FIF</v>
          </cell>
          <cell r="D11938" t="str">
            <v>ARX INSTITUCIONAL FIF</v>
          </cell>
          <cell r="E11938" t="str">
            <v>ARX INVESTIMENTOS LTDA</v>
          </cell>
        </row>
        <row r="11939">
          <cell r="B11939">
            <v>47318</v>
          </cell>
          <cell r="C11939" t="str">
            <v>MATCH POINT INVESTMENTS LLC - BANCO BTG PACTUAL S/A</v>
          </cell>
          <cell r="D11939" t="str">
            <v>MATCH POINT INVESTMENTS LLC - BANCO BTG PACTUAL S/A</v>
          </cell>
          <cell r="E11939" t="str">
            <v>MATCH POINT INVESTMENTS LLC - BANCO BTG PACTUAL S/A</v>
          </cell>
        </row>
        <row r="11940">
          <cell r="B11940">
            <v>47319</v>
          </cell>
          <cell r="C11940" t="str">
            <v>FIM ALAGOAS</v>
          </cell>
          <cell r="D11940" t="str">
            <v>FIM ALAGOAS</v>
          </cell>
          <cell r="E11940" t="str">
            <v>FIM ALAGOAS</v>
          </cell>
        </row>
        <row r="11941">
          <cell r="B11941">
            <v>47320</v>
          </cell>
          <cell r="C11941" t="str">
            <v>LAGOA FIM EM COTAS FIM</v>
          </cell>
          <cell r="D11941" t="str">
            <v>LAGOA FIM EM COTAS FIM</v>
          </cell>
          <cell r="E11941" t="str">
            <v>ARX HEDGE FIM</v>
          </cell>
        </row>
        <row r="11942">
          <cell r="B11942">
            <v>47330</v>
          </cell>
          <cell r="C11942" t="str">
            <v>BENJAMIN NASARIO FERNANDES FILHO</v>
          </cell>
          <cell r="D11942" t="str">
            <v>BENJAMIN NASARIO FERNANDES FILHO</v>
          </cell>
          <cell r="E11942" t="str">
            <v>BENJAMIN NASARIO FERNANDES FILHO</v>
          </cell>
        </row>
        <row r="11943">
          <cell r="B11943">
            <v>79768</v>
          </cell>
          <cell r="C11943" t="str">
            <v>BANIF - BANCO INTERNACIONAL DO FUNCHAL ( BRASIL) S/A</v>
          </cell>
          <cell r="D11943" t="str">
            <v>102*</v>
          </cell>
          <cell r="E11943" t="str">
            <v>BANIF - BANCO INTERNACIONAL DO FUNCHAL ( BRASIL) S/A</v>
          </cell>
        </row>
        <row r="11944">
          <cell r="B11944">
            <v>47340</v>
          </cell>
          <cell r="C11944" t="str">
            <v>ADOLPHO VAZ ARRUDA NETO</v>
          </cell>
          <cell r="D11944" t="str">
            <v>ADOLPHO VAZ ARRUDA NETO</v>
          </cell>
          <cell r="E11944" t="str">
            <v>ADOLPHO VAZ ARRUDA NETO</v>
          </cell>
        </row>
        <row r="11945">
          <cell r="B11945">
            <v>47388</v>
          </cell>
          <cell r="C11945" t="str">
            <v>USINA MOEMA AÃ‡UCAR E ALCOOL LTDA</v>
          </cell>
          <cell r="D11945" t="str">
            <v>USINA MOEMA AÃ‡UCAR E ALCOOL LTDA</v>
          </cell>
          <cell r="E11945" t="str">
            <v>USINA MOEMA AÃ‡UCAR E ALCOOL LTDA</v>
          </cell>
        </row>
        <row r="11946">
          <cell r="B11946">
            <v>47389</v>
          </cell>
          <cell r="C11946" t="str">
            <v>CENARIO FUNDO DE INVESTIMENTOS MULTIMERCADO</v>
          </cell>
          <cell r="D11946" t="str">
            <v>CENARIO FUNDO DE INVESTIMENTOS MULTIMERCADO</v>
          </cell>
          <cell r="E11946" t="str">
            <v>CENARIO FUNDO DE INVESTIMENTOS MULTIMERCADO</v>
          </cell>
        </row>
        <row r="11947">
          <cell r="B11947">
            <v>47401</v>
          </cell>
          <cell r="C11947" t="str">
            <v>FIF MERCATTO REDENCAO</v>
          </cell>
          <cell r="D11947" t="str">
            <v>FIF MERCATTO REDENCAO</v>
          </cell>
          <cell r="E11947" t="str">
            <v>FIF MERCATTO REDENCAO</v>
          </cell>
        </row>
        <row r="11948">
          <cell r="B11948">
            <v>48321</v>
          </cell>
          <cell r="C11948" t="str">
            <v>BANCO CREFISA S.A.</v>
          </cell>
          <cell r="D11948">
            <v>283</v>
          </cell>
          <cell r="E11948" t="str">
            <v>BANCO CREFISA S.A.</v>
          </cell>
        </row>
        <row r="11949">
          <cell r="B11949">
            <v>48561</v>
          </cell>
          <cell r="C11949" t="str">
            <v>FABRICIO NORONHA GARCIA</v>
          </cell>
          <cell r="D11949">
            <v>115</v>
          </cell>
          <cell r="E11949" t="str">
            <v>FABRICIO NORONHA GARCIA</v>
          </cell>
        </row>
        <row r="11950">
          <cell r="B11950">
            <v>48583</v>
          </cell>
          <cell r="C11950" t="str">
            <v>OFIR ELIAS FILHO</v>
          </cell>
          <cell r="D11950" t="str">
            <v>OFIR ELIAS FILHO</v>
          </cell>
          <cell r="E11950" t="str">
            <v>OFIR ELIAS FILHO</v>
          </cell>
        </row>
        <row r="11951">
          <cell r="B11951">
            <v>48757</v>
          </cell>
          <cell r="C11951" t="str">
            <v>TRUXT MULTIMANAGER BBDC FIM</v>
          </cell>
          <cell r="D11951" t="str">
            <v>TRUXT MULTIMANAGER BBDC FIM</v>
          </cell>
          <cell r="E11951" t="str">
            <v>TRUXT INVESTIMENTOS LTDA</v>
          </cell>
        </row>
        <row r="11952">
          <cell r="B11952">
            <v>49107</v>
          </cell>
          <cell r="C11952" t="str">
            <v>MONTE CARLO FIF</v>
          </cell>
          <cell r="D11952" t="str">
            <v>MONTE CARLO FIF</v>
          </cell>
          <cell r="E11952" t="str">
            <v>MONTE CARLO FIF</v>
          </cell>
        </row>
        <row r="11953">
          <cell r="B11953">
            <v>49131</v>
          </cell>
          <cell r="C11953" t="str">
            <v>FATOR S/A CV</v>
          </cell>
          <cell r="D11953" t="str">
            <v>FATOR S/A CV</v>
          </cell>
          <cell r="E11953" t="str">
            <v>FATOR S/A CV</v>
          </cell>
        </row>
        <row r="11954">
          <cell r="B11954">
            <v>49409</v>
          </cell>
          <cell r="C11954" t="str">
            <v>DELTA PARTICIPAÃ‡Ã•ES S/A</v>
          </cell>
          <cell r="D11954" t="str">
            <v>DELTA PARTICIPAÃ‡Ã•ES S/A</v>
          </cell>
          <cell r="E11954" t="str">
            <v>DELTA PARTICIPAÃ‡Ã•ES S/A</v>
          </cell>
        </row>
        <row r="11955">
          <cell r="B11955">
            <v>49450</v>
          </cell>
          <cell r="C11955" t="str">
            <v>BP HEDGE MULTIMERCADO FUNDO DE INVESTIMENTO</v>
          </cell>
          <cell r="D11955" t="str">
            <v>BP HEDGE MULTIMERCADO FUNDO DE INVESTIMENTO</v>
          </cell>
          <cell r="E11955" t="str">
            <v>BP HEDGE MULTIMERCADO FUNDO DE INVESTIMENTO</v>
          </cell>
        </row>
        <row r="11956">
          <cell r="B11956">
            <v>49451</v>
          </cell>
          <cell r="C11956" t="str">
            <v>BP RENDA FIXA FUNDO DE INVESTIMENTO</v>
          </cell>
          <cell r="D11956" t="str">
            <v>BP RENDA FIXA FUNDO DE INVESTIMENTO</v>
          </cell>
          <cell r="E11956" t="str">
            <v>BP RENDA FIXA FUNDO DE INVESTIMENTO</v>
          </cell>
        </row>
        <row r="11957">
          <cell r="B11957">
            <v>49452</v>
          </cell>
          <cell r="C11957" t="str">
            <v>BP PRIVATE FIC DE FI MULTIMERCADO CREDITO PRIVADO</v>
          </cell>
          <cell r="D11957" t="str">
            <v>BP PRIVATE FIC DE FI MULTIMERCADO CREDITO PRIVADO</v>
          </cell>
          <cell r="E11957" t="str">
            <v>BP PRIVATE FIC DE FI MULTIMERCADO CREDITO PRIVADO</v>
          </cell>
        </row>
        <row r="11958">
          <cell r="B11958">
            <v>49453</v>
          </cell>
          <cell r="C11958" t="str">
            <v>BP PLUS FUNDO DE INVESTIMENTO MULTIMERCADO CREDITO PRIVADO</v>
          </cell>
          <cell r="D11958" t="str">
            <v>BP PLUS FUNDO DE INVESTIMENTO MULTIMERCADO CREDITO PRIVADO</v>
          </cell>
          <cell r="E11958" t="str">
            <v>BP PLUS FUNDO DE INVESTIMENTO MULTIMERCADO CREDITO PRIVADO</v>
          </cell>
        </row>
        <row r="11959">
          <cell r="B11959">
            <v>49454</v>
          </cell>
          <cell r="C11959" t="str">
            <v>BP NOTES I FUNDO DE INVESTIMENTO CREDITO PRIVADO</v>
          </cell>
          <cell r="D11959" t="str">
            <v>BP NOTES I FUNDO DE INVESTIMENTO CREDITO PRIVADO</v>
          </cell>
          <cell r="E11959" t="str">
            <v>BP HEDGE MULTIMERCADO FUNDO DE INVESTIMENTO</v>
          </cell>
        </row>
        <row r="11960">
          <cell r="B11960">
            <v>505746</v>
          </cell>
          <cell r="C11960" t="str">
            <v>ICAP DO BRASIL CTVM LTDA ( ATUAL TULLET)</v>
          </cell>
          <cell r="D11960" t="str">
            <v>ICAP DO BRASIL CTVM LTDA ( ATUAL TULLET)</v>
          </cell>
          <cell r="E11960" t="str">
            <v>ICAP DO BRASIL CTVM LTDA ( ATUAL TULLET)</v>
          </cell>
        </row>
        <row r="11961">
          <cell r="B11961">
            <v>50886</v>
          </cell>
          <cell r="C11961" t="str">
            <v>BB BANCO DE INVESTIMENTO S/A</v>
          </cell>
          <cell r="D11961" t="str">
            <v>BB BANCO DE INVESTIMENTO S/A</v>
          </cell>
          <cell r="E11961" t="str">
            <v>BB BANCO DE INVESTIMENTO S/A</v>
          </cell>
        </row>
        <row r="11962">
          <cell r="B11962">
            <v>51200</v>
          </cell>
          <cell r="C11962" t="str">
            <v>VENTURESTAR FIM</v>
          </cell>
          <cell r="D11962" t="str">
            <v>VENTURESTAR FIM</v>
          </cell>
          <cell r="E11962" t="str">
            <v>VENTURESTAR FIM</v>
          </cell>
        </row>
        <row r="11963">
          <cell r="B11963">
            <v>51368</v>
          </cell>
          <cell r="C11963" t="str">
            <v>BULLTICK LLC</v>
          </cell>
          <cell r="D11963" t="str">
            <v>BULLTICK LLC</v>
          </cell>
          <cell r="E11963" t="str">
            <v>BULLTICK LLC</v>
          </cell>
        </row>
        <row r="11964">
          <cell r="B11964">
            <v>5229</v>
          </cell>
          <cell r="C11964" t="str">
            <v>BANCO CRUZEIRO DO SUL S/A</v>
          </cell>
          <cell r="D11964" t="str">
            <v>BANCO CRUZEIRO DO SUL S/A</v>
          </cell>
          <cell r="E11964" t="str">
            <v>BANCO CRUZEIRO DO SUL S/A</v>
          </cell>
        </row>
        <row r="11965">
          <cell r="B11965">
            <v>52365</v>
          </cell>
          <cell r="C11965" t="str">
            <v>KEHILÃ FUNDO DE INVESTIMENTO MULTIMERCADO</v>
          </cell>
          <cell r="D11965" t="str">
            <v>KEHILÃ FUNDO DE INVESTIMENTO MULTIMERCADO</v>
          </cell>
          <cell r="E11965" t="str">
            <v>KEHILÃ FUNDO DE INVESTIMENTO MULTIMERCADO</v>
          </cell>
        </row>
        <row r="11966">
          <cell r="B11966">
            <v>52366</v>
          </cell>
          <cell r="C11966" t="str">
            <v>FOCO FUNDO DE INVESTIMENTO MULTIMERCADO</v>
          </cell>
          <cell r="D11966" t="str">
            <v>FOCO FUNDO DE INVESTIMENTO MULTIMERCADO</v>
          </cell>
          <cell r="E11966" t="str">
            <v>FOCO FUNDO DE INVESTIMENTO MULTIMERCADO</v>
          </cell>
        </row>
        <row r="11967">
          <cell r="B11967">
            <v>52367</v>
          </cell>
          <cell r="C11967" t="str">
            <v>FOCO FIM AGRESSIVO</v>
          </cell>
          <cell r="D11967" t="str">
            <v>FOCO FIM AGRESSIVO</v>
          </cell>
          <cell r="E11967" t="str">
            <v>FOCO FIM AGRESSIVO</v>
          </cell>
        </row>
        <row r="11968">
          <cell r="B11968">
            <v>52368</v>
          </cell>
          <cell r="C11968" t="str">
            <v>FOCO FIM LONG SHORT</v>
          </cell>
          <cell r="D11968" t="str">
            <v>FOCO FIM LONG SHORT</v>
          </cell>
          <cell r="E11968" t="str">
            <v>FOCO ASSET MANAGEMENT LTDA</v>
          </cell>
        </row>
        <row r="11969">
          <cell r="B11969">
            <v>52369</v>
          </cell>
          <cell r="C11969" t="str">
            <v>FOCO INR FUNDO DE INVESTIMENTO MULTIMERCADO</v>
          </cell>
          <cell r="D11969" t="str">
            <v>FOCO INR FUNDO DE INVESTIMENTO MULTIMERCADO</v>
          </cell>
          <cell r="E11969" t="str">
            <v>FOCO INR FUNDO DE INVESTIMENTO MULTIMERCADO</v>
          </cell>
        </row>
        <row r="11970">
          <cell r="B11970">
            <v>52370</v>
          </cell>
          <cell r="C11970" t="str">
            <v>FOCO FIM PLUS</v>
          </cell>
          <cell r="D11970" t="str">
            <v>FOCO FIM PLUS</v>
          </cell>
          <cell r="E11970" t="str">
            <v>FOCO FIM PLUS</v>
          </cell>
        </row>
        <row r="11971">
          <cell r="B11971">
            <v>5250</v>
          </cell>
          <cell r="C11971" t="str">
            <v>BANCO SCHAHIN S/A</v>
          </cell>
          <cell r="D11971" t="str">
            <v>BANCO SCHAHIN S/A</v>
          </cell>
          <cell r="E11971" t="str">
            <v>BANCO SCHAHIN S/A</v>
          </cell>
        </row>
        <row r="11972">
          <cell r="B11972">
            <v>5263</v>
          </cell>
          <cell r="C11972" t="str">
            <v>BANCO CACIQUE S/A</v>
          </cell>
          <cell r="D11972" t="str">
            <v>BANCO CACIQUE S/A</v>
          </cell>
          <cell r="E11972" t="str">
            <v>BANCO CACIQUE S/A</v>
          </cell>
        </row>
        <row r="11973">
          <cell r="B11973">
            <v>5265</v>
          </cell>
          <cell r="C11973" t="str">
            <v>BANCO FATOR S/A</v>
          </cell>
          <cell r="D11973" t="str">
            <v>BANCO FATOR S/A</v>
          </cell>
          <cell r="E11973" t="str">
            <v>BANCO FATOR S/A</v>
          </cell>
        </row>
        <row r="11974">
          <cell r="B11974">
            <v>53000</v>
          </cell>
          <cell r="C11974" t="str">
            <v>MAUA ORION EQUITY HEDGE MASTER FIM</v>
          </cell>
          <cell r="D11974" t="str">
            <v>MAUA ORION EQUITY HEDGE MASTER FIM</v>
          </cell>
          <cell r="E11974" t="str">
            <v>APOENA GESTORA DE RECURSOS LTDA</v>
          </cell>
        </row>
        <row r="11975">
          <cell r="B11975">
            <v>53001</v>
          </cell>
          <cell r="C11975" t="str">
            <v>NEST ACOES MASTER FIA</v>
          </cell>
          <cell r="D11975" t="str">
            <v>NEST ACOES MASTER FIA</v>
          </cell>
          <cell r="E11975" t="str">
            <v>NEST INVESTIMENTOS LTDA</v>
          </cell>
        </row>
        <row r="11976">
          <cell r="B11976">
            <v>53002</v>
          </cell>
          <cell r="C11976" t="str">
            <v>NEST MILE HIGHT MASTER FIM</v>
          </cell>
          <cell r="D11976" t="str">
            <v>NEST MILE HIGHT MASTER FIM</v>
          </cell>
          <cell r="E11976" t="str">
            <v>NEST INVESTIMENTOS LTDA</v>
          </cell>
        </row>
        <row r="11977">
          <cell r="B11977">
            <v>53003</v>
          </cell>
          <cell r="C11977" t="str">
            <v>SHARP MULTIMANAGER BBDC FUNDO DE INVESTIMENTO MULTIMERCADO</v>
          </cell>
          <cell r="D11977" t="str">
            <v>SHARP MULTIMANAGER BBDC FUNDO DE INVESTIMENTO MULTIMERCADO</v>
          </cell>
          <cell r="E11977" t="str">
            <v>SHARP MULTIMANAGER BBDC FUNDO DE INVESTIMENTO MULTIMERCADO</v>
          </cell>
        </row>
        <row r="11978">
          <cell r="B11978">
            <v>53004</v>
          </cell>
          <cell r="C11978" t="str">
            <v>GAP ABSOLUTO FUNDO DE INVESTIMENTO MULTIMERCADO</v>
          </cell>
          <cell r="D11978" t="str">
            <v>GAP ABSOLUTO FUNDO DE INVESTIMENTO MULTIMERCADO</v>
          </cell>
          <cell r="E11978" t="str">
            <v>GAP GESTORA DE RECURSOS LTDA</v>
          </cell>
        </row>
        <row r="11979">
          <cell r="B11979">
            <v>53005</v>
          </cell>
          <cell r="C11979" t="str">
            <v>GAP MULTIPORTIFOLIO 30 FUNDO DE INVESTIMENTO MULTIMERCADO I</v>
          </cell>
          <cell r="D11979" t="str">
            <v>GAP MULTIPORTIFOLIO 30 FUNDO DE INVESTIMENTO MULTIMERCADO I</v>
          </cell>
          <cell r="E11979" t="str">
            <v>GAP GESTORA DE RECURSOS LTDA</v>
          </cell>
        </row>
        <row r="11980">
          <cell r="B11980">
            <v>53007</v>
          </cell>
          <cell r="C11980" t="str">
            <v>GAP MULTIPORTFOLIO FIM</v>
          </cell>
          <cell r="D11980" t="str">
            <v>GAP MULTIPORTFOLIO FIM</v>
          </cell>
          <cell r="E11980" t="str">
            <v>GAP GESTORA DE RECURSOS LTDA</v>
          </cell>
        </row>
        <row r="11981">
          <cell r="B11981">
            <v>53008</v>
          </cell>
          <cell r="C11981" t="str">
            <v>GAP HEDGE FIM</v>
          </cell>
          <cell r="D11981" t="str">
            <v>GAP HEDGE FIM</v>
          </cell>
          <cell r="E11981" t="str">
            <v>GAP GESTORA DE RECURSOS LTDA</v>
          </cell>
        </row>
        <row r="11982">
          <cell r="B11982">
            <v>53009</v>
          </cell>
          <cell r="C11982" t="str">
            <v>FUNDO DE INVESTIMENTO MULTIMERCADO GAP POXIM</v>
          </cell>
          <cell r="D11982" t="str">
            <v>FUNDO DE INVESTIMENTO MULTIMERCADO GAP POXIM</v>
          </cell>
          <cell r="E11982" t="str">
            <v>GAP PRUDENTIAL LT GESTAO DE RECURSOS LTDA</v>
          </cell>
        </row>
        <row r="11983">
          <cell r="B11983">
            <v>53010</v>
          </cell>
          <cell r="C11983" t="str">
            <v>FPRF GAP FALCAO FUNDO DE INVESTIMENTO MULTIMERCADO PREVIDENC</v>
          </cell>
          <cell r="D11983" t="str">
            <v>FPRF GAP FALCAO FUNDO DE INVESTIMENTO MULTIMERCADO PREVIDENC</v>
          </cell>
          <cell r="E11983" t="str">
            <v>GAP PRUDENTIAL LT GESTAO DE RECURSOS LTDA</v>
          </cell>
        </row>
        <row r="11984">
          <cell r="B11984">
            <v>53011</v>
          </cell>
          <cell r="C11984" t="str">
            <v>FUNDO DE INVESTIMENTO MULTIMERCADO ITAPARICA</v>
          </cell>
          <cell r="D11984" t="str">
            <v>FUNDO DE INVESTIMENTO MULTIMERCADO ITAPARICA</v>
          </cell>
          <cell r="E11984" t="str">
            <v>GAP PRUDENTIAL LT GESTAO DE RECURSOS LTDA</v>
          </cell>
        </row>
        <row r="11985">
          <cell r="B11985">
            <v>53012</v>
          </cell>
          <cell r="C11985" t="str">
            <v>GAP INSTITUCIONAL FUNDO DE INVESTIMENTO MULTIMERCADO</v>
          </cell>
          <cell r="D11985" t="str">
            <v>GAP INSTITUCIONAL FUNDO DE INVESTIMENTO MULTIMERCADO</v>
          </cell>
          <cell r="E11985" t="str">
            <v>GAP INSTITUCIONAL FUNDO DE INVESTIMENTO MULTIMERCADO</v>
          </cell>
        </row>
        <row r="11986">
          <cell r="B11986">
            <v>53013</v>
          </cell>
          <cell r="C11986" t="str">
            <v>FUNDO DE INVESTIMENTO MULTIMERCADO PESCADA</v>
          </cell>
          <cell r="D11986" t="str">
            <v>FUNDO DE INVESTIMENTO MULTIMERCADO PESCADA</v>
          </cell>
          <cell r="E11986" t="str">
            <v>FUNDO DE INVESTIMENTO MULTIMERCADO PESCADA</v>
          </cell>
        </row>
        <row r="11987">
          <cell r="B11987">
            <v>5318</v>
          </cell>
          <cell r="C11987" t="str">
            <v>BANCO BMG S/A</v>
          </cell>
          <cell r="D11987" t="str">
            <v>BANCO BMG S/A</v>
          </cell>
          <cell r="E11987" t="str">
            <v>BANCO BMG S/A</v>
          </cell>
        </row>
        <row r="11988">
          <cell r="B11988">
            <v>53197</v>
          </cell>
          <cell r="C11988" t="str">
            <v>FIBRA UATUMA FIF</v>
          </cell>
          <cell r="D11988" t="str">
            <v>FIBRA UATUMA FIF</v>
          </cell>
          <cell r="E11988" t="str">
            <v>FIBRA UATUMA FIF</v>
          </cell>
        </row>
        <row r="11989">
          <cell r="B11989">
            <v>53456</v>
          </cell>
          <cell r="C11989" t="str">
            <v>GILBERTO PEREIRA COELHO JUNIOR</v>
          </cell>
          <cell r="D11989" t="str">
            <v>GILBERTO PEREIRA COELHO JUNIOR</v>
          </cell>
          <cell r="E11989" t="str">
            <v>GILBERTO PEREIRA COELHO JUNIOR</v>
          </cell>
        </row>
        <row r="11990">
          <cell r="B11990">
            <v>53468</v>
          </cell>
          <cell r="C11990" t="str">
            <v>HORACIO PIRES ADAO</v>
          </cell>
          <cell r="D11990" t="str">
            <v>HORACIO PIRES ADAO</v>
          </cell>
          <cell r="E11990" t="str">
            <v>HORACIO PIRES ADAO</v>
          </cell>
        </row>
        <row r="11991">
          <cell r="B11991">
            <v>53486</v>
          </cell>
          <cell r="C11991" t="str">
            <v>AGROPECUARIA BRUMA LTDA</v>
          </cell>
          <cell r="D11991" t="str">
            <v>AGROPECUARIA BRUMA LTDA</v>
          </cell>
          <cell r="E11991" t="str">
            <v>AGROPECUARIA BRUMA LTDA</v>
          </cell>
        </row>
        <row r="11992">
          <cell r="B11992">
            <v>53534</v>
          </cell>
          <cell r="C11992" t="str">
            <v>ERICK ZDANOWSKI DURIEZ</v>
          </cell>
          <cell r="D11992" t="str">
            <v>ERICK ZDANOWSKI DURIEZ</v>
          </cell>
          <cell r="E11992" t="str">
            <v>ERICK ZDANOWSKI DURIEZ</v>
          </cell>
        </row>
        <row r="11993">
          <cell r="B11993">
            <v>53723</v>
          </cell>
          <cell r="C11993" t="str">
            <v>PAULO ROBERTO DOS SANTOS ARAUJO</v>
          </cell>
          <cell r="D11993" t="str">
            <v>PAULO ROBERTO DOS SANTOS ARAUJO</v>
          </cell>
          <cell r="E11993" t="str">
            <v>PAULO ROBERTO DOS SANTOS ARAUJO</v>
          </cell>
        </row>
        <row r="11994">
          <cell r="B11994">
            <v>53942</v>
          </cell>
          <cell r="C11994" t="str">
            <v>FUNDACAO PETROBRAS DE SEGURIDADE SOCIAL PETROS</v>
          </cell>
          <cell r="D11994" t="str">
            <v>FUNDACAO PETROBRAS DE SEGURIDADE SOCIAL PETROS</v>
          </cell>
          <cell r="E11994" t="str">
            <v>FUNDACAO PETROBRAS DE SEGURIDADE SOCIAL PETROS</v>
          </cell>
        </row>
        <row r="11995">
          <cell r="B11995">
            <v>5399</v>
          </cell>
          <cell r="C11995" t="str">
            <v>KIRTON BANK S.A. - BANCO MULTIPLO</v>
          </cell>
          <cell r="D11995" t="str">
            <v>KIRTON BANK S.A. - BANCO MULTIPLO</v>
          </cell>
          <cell r="E11995" t="str">
            <v>KIRTON BANK S.A. - BANCO MULTIPLO</v>
          </cell>
        </row>
        <row r="11996">
          <cell r="B11996">
            <v>5422</v>
          </cell>
          <cell r="C11996" t="str">
            <v>BANCO SAFRA S/A</v>
          </cell>
          <cell r="D11996" t="str">
            <v>BANCO SAFRA S/A</v>
          </cell>
          <cell r="E11996" t="str">
            <v>BANCO SAFRA S/A</v>
          </cell>
        </row>
        <row r="11997">
          <cell r="B11997">
            <v>54287</v>
          </cell>
          <cell r="C11997" t="str">
            <v>CP CIMENTO E PARTICIPACOES S/A</v>
          </cell>
          <cell r="D11997" t="str">
            <v>CP CIMENTO E PARTICIPACOES S/A</v>
          </cell>
          <cell r="E11997" t="str">
            <v>CP CIMENTO E PARTICIPACOES S/A</v>
          </cell>
        </row>
        <row r="11998">
          <cell r="B11998">
            <v>54300</v>
          </cell>
          <cell r="C11998" t="str">
            <v>FIF CP</v>
          </cell>
          <cell r="D11998" t="str">
            <v>FIF CP</v>
          </cell>
          <cell r="E11998" t="str">
            <v>FIF CP</v>
          </cell>
        </row>
        <row r="11999">
          <cell r="B11999">
            <v>5453</v>
          </cell>
          <cell r="C11999" t="str">
            <v>BANCO RURAL S/A</v>
          </cell>
          <cell r="D11999" t="str">
            <v>BANCO RURAL S/A</v>
          </cell>
          <cell r="E11999" t="str">
            <v>BANCO RURAL S/A</v>
          </cell>
        </row>
        <row r="12000">
          <cell r="B12000">
            <v>54631</v>
          </cell>
          <cell r="C12000" t="str">
            <v>COMPANHIA BRASILEIRA DE BEBIDAS</v>
          </cell>
          <cell r="D12000" t="str">
            <v>COMPANHIA BRASILEIRA DE BEBIDAS</v>
          </cell>
          <cell r="E12000" t="str">
            <v>COMPANHIA BRASILEIRA DE BEBIDAS</v>
          </cell>
        </row>
        <row r="12001">
          <cell r="B12001">
            <v>54632</v>
          </cell>
          <cell r="C12001" t="str">
            <v>CARLOS GLAUCIO PEIXOTO</v>
          </cell>
          <cell r="D12001" t="str">
            <v>CARLOS GLAUCIO PEIXOTO</v>
          </cell>
          <cell r="E12001" t="str">
            <v>CARLOS GLAUCIO PEIXOTO</v>
          </cell>
        </row>
        <row r="12002">
          <cell r="B12002">
            <v>54682</v>
          </cell>
          <cell r="C12002" t="str">
            <v>PAULO BOTELHO PEIXOTO</v>
          </cell>
          <cell r="D12002" t="str">
            <v>PAULO BOTELHO PEIXOTO</v>
          </cell>
          <cell r="E12002" t="str">
            <v>PAULO BOTELHO PEIXOTO</v>
          </cell>
        </row>
        <row r="12003">
          <cell r="B12003">
            <v>54687</v>
          </cell>
          <cell r="C12003" t="str">
            <v>JOSE HENRIQUE SECCO PEIXOTO</v>
          </cell>
          <cell r="D12003">
            <v>243</v>
          </cell>
          <cell r="E12003" t="str">
            <v>JOSE HENRIQUE SECCO PEIXOTO</v>
          </cell>
        </row>
        <row r="12004">
          <cell r="B12004">
            <v>54688</v>
          </cell>
          <cell r="C12004" t="str">
            <v>MARCO ANTONIO BASTOS LIMA</v>
          </cell>
          <cell r="D12004" t="str">
            <v>MARCO ANTONIO BASTOS LIMA</v>
          </cell>
          <cell r="E12004" t="str">
            <v>MARCO ANTONIO BASTOS LIMA</v>
          </cell>
        </row>
        <row r="12005">
          <cell r="B12005">
            <v>54859</v>
          </cell>
          <cell r="C12005" t="str">
            <v>HEDGE SOUTH INVESTMENTS CO LLC</v>
          </cell>
          <cell r="D12005" t="str">
            <v>HEDGE SOUTH INVESTMENTS CO LLC</v>
          </cell>
          <cell r="E12005" t="str">
            <v>HEDGE SOUTH INVESTMENTS CO LLC</v>
          </cell>
        </row>
        <row r="12006">
          <cell r="B12006">
            <v>54878</v>
          </cell>
          <cell r="C12006" t="str">
            <v>LEHMAN BROTHERS SPECIAL FINANCING INC</v>
          </cell>
          <cell r="D12006" t="str">
            <v>LEHMAN BROTHERS SPECIAL FINANCING INC</v>
          </cell>
          <cell r="E12006" t="str">
            <v>LEHMAN BROTHERS SPECIAL FINANCING INC</v>
          </cell>
        </row>
        <row r="12007">
          <cell r="B12007">
            <v>55236</v>
          </cell>
          <cell r="C12007" t="str">
            <v>AMERICAN EXPRESS BANK LTD</v>
          </cell>
          <cell r="D12007" t="str">
            <v>AMERICAN EXPRESS BANK LTD</v>
          </cell>
          <cell r="E12007" t="str">
            <v>AMERICAN EXPRESS BANK LTD</v>
          </cell>
        </row>
        <row r="12008">
          <cell r="B12008">
            <v>55500</v>
          </cell>
          <cell r="C12008" t="str">
            <v>CIMENTO TUPI S/A</v>
          </cell>
          <cell r="D12008" t="str">
            <v>CIMENTO TUPI S/A</v>
          </cell>
          <cell r="E12008" t="str">
            <v>CIMENTO TUPI S/A</v>
          </cell>
        </row>
        <row r="12009">
          <cell r="B12009">
            <v>55555</v>
          </cell>
          <cell r="C12009" t="str">
            <v>CLIENTE PADRAO</v>
          </cell>
          <cell r="D12009" t="str">
            <v>CLIENTE PADRAO</v>
          </cell>
          <cell r="E12009" t="str">
            <v>CLIENTE PADRAO</v>
          </cell>
        </row>
        <row r="12010">
          <cell r="B12010">
            <v>5611</v>
          </cell>
          <cell r="C12010" t="str">
            <v>BANCO PAULISTA S/A</v>
          </cell>
          <cell r="D12010" t="str">
            <v>BANCO PAULISTA S/A</v>
          </cell>
          <cell r="E12010" t="str">
            <v>BANCO PAULISTA S/A</v>
          </cell>
        </row>
        <row r="12011">
          <cell r="B12011">
            <v>79419</v>
          </cell>
          <cell r="C12011" t="str">
            <v>BANIF- BANCO INTERNACIONAL DO FUNCHAL ( BRASIL) S/A</v>
          </cell>
          <cell r="D12011" t="str">
            <v>BANIF- BANCO INTERNACIONAL DO FUNCHAL ( BRASIL) S/A</v>
          </cell>
          <cell r="E12011" t="str">
            <v>BANIF- BANCO INTERNACIONAL DO FUNCHAL ( BRASIL) S/A</v>
          </cell>
        </row>
        <row r="12012">
          <cell r="B12012">
            <v>5637</v>
          </cell>
          <cell r="C12012" t="str">
            <v>BANCO SOFISA S/A</v>
          </cell>
          <cell r="D12012" t="str">
            <v>BANCO SOFISA S/A</v>
          </cell>
          <cell r="E12012" t="str">
            <v>BANCO SOFISA S/A</v>
          </cell>
        </row>
        <row r="12013">
          <cell r="B12013">
            <v>5638</v>
          </cell>
          <cell r="C12013" t="str">
            <v>BANCO PROSPER S/A</v>
          </cell>
          <cell r="D12013" t="str">
            <v>BANCO PROSPER S/A</v>
          </cell>
          <cell r="E12013" t="str">
            <v>BANCO PROSPER S/A</v>
          </cell>
        </row>
        <row r="12014">
          <cell r="B12014">
            <v>5653</v>
          </cell>
          <cell r="C12014" t="str">
            <v>BANCO VOITER S/A</v>
          </cell>
          <cell r="D12014">
            <v>900179</v>
          </cell>
          <cell r="E12014" t="str">
            <v>BANCO VOITER S/A</v>
          </cell>
        </row>
        <row r="12015">
          <cell r="B12015">
            <v>568</v>
          </cell>
          <cell r="C12015" t="str">
            <v>CRISTIANO CARVALHO DE MENDONÃ‡A</v>
          </cell>
          <cell r="D12015" t="str">
            <v>568-ACERTAR</v>
          </cell>
          <cell r="E12015" t="str">
            <v>CRISTIANO CARVALHO DE MENDONÃ‡A</v>
          </cell>
        </row>
        <row r="12016">
          <cell r="B12016">
            <v>56822</v>
          </cell>
          <cell r="C12016" t="str">
            <v>RICARDO PUBLIO DE OLIVEIRA</v>
          </cell>
          <cell r="D12016" t="str">
            <v>RICARDO PUBLIO DE OLIVEIRA</v>
          </cell>
          <cell r="E12016" t="str">
            <v>RICARDO PUBLIO DE OLIVEIRA</v>
          </cell>
        </row>
        <row r="12017">
          <cell r="B12017">
            <v>56823</v>
          </cell>
          <cell r="C12017" t="str">
            <v>LUIS FELIPE NEIVA SILVEIRA</v>
          </cell>
          <cell r="D12017" t="str">
            <v>LUIS FELIPE NEIVA SILVEIRA</v>
          </cell>
          <cell r="E12017" t="str">
            <v>LUIS FELIPE NEIVA SILVEIRA</v>
          </cell>
        </row>
        <row r="12018">
          <cell r="B12018">
            <v>56824</v>
          </cell>
          <cell r="C12018" t="str">
            <v>DIEGO SIQUEIRA SANTOS</v>
          </cell>
          <cell r="D12018" t="str">
            <v>DIEGO SIQUEIRA SANTOS</v>
          </cell>
          <cell r="E12018" t="str">
            <v>DIEGO SIQUEIRA SANTOS</v>
          </cell>
        </row>
        <row r="12019">
          <cell r="B12019">
            <v>56825</v>
          </cell>
          <cell r="C12019" t="str">
            <v>DINAMICA INVESTIMENTOS E EMPREENDIMENTOS LTDA</v>
          </cell>
          <cell r="D12019" t="str">
            <v>DINAMICA INVESTIMENTOS E EMPREENDIMENTOS LTDA</v>
          </cell>
          <cell r="E12019" t="str">
            <v>DINAMICA INVESTIMENTOS E EMPREENDIMENTOS LTDA</v>
          </cell>
        </row>
        <row r="12020">
          <cell r="B12020">
            <v>56826</v>
          </cell>
          <cell r="C12020" t="str">
            <v>ARIA CAPITAL ONE FUNDO DE INVESTIMENTO MULTIMERCADO</v>
          </cell>
          <cell r="D12020" t="str">
            <v>ARIA CAPITAL ONE FUNDO DE INVESTIMENTO MULTIMERCADO</v>
          </cell>
          <cell r="E12020" t="str">
            <v>ARIA CAPITAL ONE FUNDO DE INVESTIMENTO MULTIMERCADO</v>
          </cell>
        </row>
        <row r="12021">
          <cell r="B12021">
            <v>56827</v>
          </cell>
          <cell r="C12021" t="str">
            <v>NAGIB THIAGO TIBERY LIMA MALUFY</v>
          </cell>
          <cell r="D12021" t="str">
            <v>NAGIB THIAGO TIBERY LIMA MALUFY</v>
          </cell>
          <cell r="E12021" t="str">
            <v>NAGIB THIAGO TIBERY LIMA MALUFY</v>
          </cell>
        </row>
        <row r="12022">
          <cell r="B12022">
            <v>56846</v>
          </cell>
          <cell r="C12022" t="str">
            <v>CIEN COMPANHIA DE INTERCONEXAO ENERG S/A</v>
          </cell>
          <cell r="D12022" t="str">
            <v>CIEN COMPANHIA DE INTERCONEXAO ENERG S/A</v>
          </cell>
          <cell r="E12022" t="str">
            <v>CIEN COMPANHIA DE INTERCONEXAO ENERG S/A</v>
          </cell>
        </row>
        <row r="12023">
          <cell r="B12023">
            <v>581</v>
          </cell>
          <cell r="C12023" t="str">
            <v>MATHEUS NASCIF DE FARIA</v>
          </cell>
          <cell r="D12023" t="str">
            <v>MATHEUS NASCIF DE FARIA</v>
          </cell>
          <cell r="E12023" t="str">
            <v>MATHEUS NASCIF DE FARIA</v>
          </cell>
        </row>
        <row r="12024">
          <cell r="B12024">
            <v>58336</v>
          </cell>
          <cell r="C12024" t="str">
            <v>JOSE LUIZ AFONSO PEREIRA</v>
          </cell>
          <cell r="D12024" t="str">
            <v>JOSE LUIZ AFONSO PEREIRA</v>
          </cell>
          <cell r="E12024" t="str">
            <v>JOSE LUIZ AFONSO PEREIRA</v>
          </cell>
        </row>
        <row r="12025">
          <cell r="B12025">
            <v>79579</v>
          </cell>
          <cell r="C12025" t="str">
            <v>CAPITANIA TREASURY MASTER FIM</v>
          </cell>
          <cell r="D12025" t="str">
            <v>CAPITANIA TREASURY MASTER FIM</v>
          </cell>
          <cell r="E12025" t="str">
            <v>CAPITÂNIA INVEST S/A</v>
          </cell>
        </row>
        <row r="12026">
          <cell r="B12026">
            <v>58645</v>
          </cell>
          <cell r="C12026" t="str">
            <v>C.A.R.M. INVESTIMENTS LLC</v>
          </cell>
          <cell r="D12026" t="str">
            <v>C.A.R.M. INVESTIMENTS LLC</v>
          </cell>
          <cell r="E12026" t="str">
            <v>C.A.R.M. INVESTIMENTS LLC</v>
          </cell>
        </row>
        <row r="12027">
          <cell r="B12027">
            <v>58964</v>
          </cell>
          <cell r="C12027" t="str">
            <v>DACASA FINANCEIRA S.A SOC DE CREDITO FINANC</v>
          </cell>
          <cell r="D12027" t="str">
            <v>DACASA FINANCEIRA S.A SOC DE CREDITO FINANC</v>
          </cell>
          <cell r="E12027" t="str">
            <v>DACASA FINANCEIRA S.A SOC DE CREDITO FINANC</v>
          </cell>
        </row>
        <row r="12028">
          <cell r="B12028">
            <v>59</v>
          </cell>
          <cell r="C12028" t="str">
            <v>TWEED LLC</v>
          </cell>
          <cell r="D12028">
            <v>0</v>
          </cell>
          <cell r="E12028" t="str">
            <v>TWEED LLC</v>
          </cell>
        </row>
        <row r="12029">
          <cell r="B12029">
            <v>593</v>
          </cell>
          <cell r="C12029" t="str">
            <v>CARLOS EDUARDO SINCLAIR LYRA MAGALHAES</v>
          </cell>
          <cell r="D12029" t="str">
            <v>CARLOS EDUARDO SINCLAIR LYRA MAGALHAES</v>
          </cell>
          <cell r="E12029" t="str">
            <v>CARLOS EDUARDO SINCLAIR LYRA MAGALHAES</v>
          </cell>
        </row>
        <row r="12030">
          <cell r="B12030">
            <v>59876</v>
          </cell>
          <cell r="C12030" t="str">
            <v>RONALD DE OLIVEIRA SOUZA</v>
          </cell>
          <cell r="D12030">
            <v>244</v>
          </cell>
          <cell r="E12030" t="str">
            <v>RONALD DE OLIVEIRA SOUZA</v>
          </cell>
        </row>
        <row r="12031">
          <cell r="B12031">
            <v>6</v>
          </cell>
          <cell r="C12031" t="str">
            <v>ANDRE BARBOZA FERRAZ SCHIERZ</v>
          </cell>
          <cell r="D12031" t="str">
            <v>6-ACERTAR</v>
          </cell>
          <cell r="E12031" t="str">
            <v>ANDRE BARBOZA FERRAZ SCHIERZ</v>
          </cell>
        </row>
        <row r="12032">
          <cell r="B12032">
            <v>61337</v>
          </cell>
          <cell r="C12032" t="str">
            <v>UNIBANCO UNIAO DE BANCOS BRASILEIROS S/A</v>
          </cell>
          <cell r="D12032" t="str">
            <v>UNIBANCO UNIAO DE BANCOS BRASILEIROS S/A</v>
          </cell>
          <cell r="E12032" t="str">
            <v>UNIBANCO UNIAO DE BANCOS BRASILEIROS S/A</v>
          </cell>
        </row>
        <row r="12033">
          <cell r="B12033">
            <v>61366</v>
          </cell>
          <cell r="C12033" t="str">
            <v>UNIBANCO UNIAO DE BANCOS BRASILEIROS S/A</v>
          </cell>
          <cell r="D12033" t="str">
            <v>UNIBANCO UNIAO DE BANCOS BRASILEIROS S/A</v>
          </cell>
          <cell r="E12033" t="str">
            <v>UNIBANCO UNIAO DE BANCOS BRASILEIROS S/A</v>
          </cell>
        </row>
        <row r="12034">
          <cell r="B12034">
            <v>61782</v>
          </cell>
          <cell r="C12034" t="str">
            <v>UNIBANCO UNIAO DE BANCOS BRASILEIROS S/A</v>
          </cell>
          <cell r="D12034" t="str">
            <v>UNIBANCO UNIAO DE BANCOS BRASILEIROS S/A</v>
          </cell>
          <cell r="E12034" t="str">
            <v>UNIBANCO UNIAO DE BANCOS BRASILEIROS S/A</v>
          </cell>
        </row>
        <row r="12035">
          <cell r="B12035">
            <v>62644</v>
          </cell>
          <cell r="C12035" t="str">
            <v>UNIBANCO UNIAO DE BANCOS BRASILEIROS S/A</v>
          </cell>
          <cell r="D12035" t="str">
            <v>UNIBANCO UNIAO DE BANCOS BRASILEIROS S/A</v>
          </cell>
          <cell r="E12035" t="str">
            <v>UNIBANCO UNIAO DE BANCOS BRASILEIROS S/A</v>
          </cell>
        </row>
        <row r="12036">
          <cell r="B12036">
            <v>62983</v>
          </cell>
          <cell r="C12036" t="str">
            <v>NORTHERN GATE LLC</v>
          </cell>
          <cell r="D12036" t="str">
            <v>NORTHERN GATE LLC</v>
          </cell>
          <cell r="E12036" t="str">
            <v>NORTHERN GATE LLC</v>
          </cell>
        </row>
        <row r="12037">
          <cell r="B12037">
            <v>63225</v>
          </cell>
          <cell r="C12037" t="str">
            <v>CREDIT AGRICOLE MAGNO FI MULTIMERCADO</v>
          </cell>
          <cell r="D12037" t="str">
            <v>CREDIT AGRICOLE MAGNO FI MULTIMERCADO</v>
          </cell>
          <cell r="E12037" t="str">
            <v>CREDIT AGRICOLE MAGNO FI MULTIMERCADO</v>
          </cell>
        </row>
        <row r="12038">
          <cell r="B12038">
            <v>63226</v>
          </cell>
          <cell r="C12038" t="str">
            <v>INTER STRATEGIE FUNDO DE INVESTIMENTO MULTIMERCADO</v>
          </cell>
          <cell r="D12038" t="str">
            <v>INTER STRATEGIE FUNDO DE INVESTIMENTO MULTIMERCADO</v>
          </cell>
          <cell r="E12038" t="str">
            <v>SAFRA ASSET MANAGEMENT LTDA</v>
          </cell>
        </row>
        <row r="12039">
          <cell r="B12039">
            <v>63227</v>
          </cell>
          <cell r="C12039" t="str">
            <v>LYONNAIS INTER PROTECTION FDO DE INV. MULTIM</v>
          </cell>
          <cell r="D12039" t="str">
            <v>LYONNAIS INTER PROTECTION FDO DE INV. MULTIM</v>
          </cell>
          <cell r="E12039" t="str">
            <v>LYONNAIS INTER PROTECTION FDO DE INV. MULTIM</v>
          </cell>
        </row>
        <row r="12040">
          <cell r="B12040">
            <v>63350</v>
          </cell>
          <cell r="C12040" t="str">
            <v>BANCO CREDIT AGRICOLE BRASIL S/A</v>
          </cell>
          <cell r="D12040">
            <v>972708</v>
          </cell>
          <cell r="E12040" t="str">
            <v>BANCO CREDIT AGRICOLE BRASIL S/A</v>
          </cell>
        </row>
        <row r="12041">
          <cell r="B12041">
            <v>63450</v>
          </cell>
          <cell r="C12041" t="str">
            <v>AGRENCO  DO BRASIL S/A</v>
          </cell>
          <cell r="D12041" t="str">
            <v>AGRENCO  DO BRASIL S/A</v>
          </cell>
          <cell r="E12041" t="str">
            <v>AGRENCO  DO BRASIL S/A</v>
          </cell>
        </row>
        <row r="12042">
          <cell r="B12042">
            <v>635</v>
          </cell>
          <cell r="C12042" t="str">
            <v>HELMER HANSSEN MULTIESTRATEGIA FIM CP IE</v>
          </cell>
          <cell r="D12042" t="str">
            <v>HELMER HANSSEN MULTIESTRATEGIA FIM CP IE</v>
          </cell>
          <cell r="E12042" t="str">
            <v>HELMER HANSSEN MULTIESTRATEGIA FIM CP IE</v>
          </cell>
        </row>
        <row r="12043">
          <cell r="B12043">
            <v>6356</v>
          </cell>
          <cell r="C12043" t="str">
            <v>BANCO ABN AMRO REAL S/A</v>
          </cell>
          <cell r="D12043" t="str">
            <v>BANCO ABN AMRO REAL S/A</v>
          </cell>
          <cell r="E12043" t="str">
            <v>BANCO ABN AMRO S/A</v>
          </cell>
        </row>
        <row r="12044">
          <cell r="B12044">
            <v>63665</v>
          </cell>
          <cell r="C12044" t="str">
            <v>UNIBANCO UNIAO DE BANCOS BRASILEIROS S/A</v>
          </cell>
          <cell r="D12044">
            <v>644</v>
          </cell>
          <cell r="E12044" t="str">
            <v>UNIBANCO UNIAO DE BANCOS BRASILEIROS S/A</v>
          </cell>
        </row>
        <row r="12045">
          <cell r="B12045">
            <v>63675</v>
          </cell>
          <cell r="C12045" t="str">
            <v>UNIBANCO UNIAO DE BANCOS BRASILEIROS S/A</v>
          </cell>
          <cell r="D12045">
            <v>645</v>
          </cell>
          <cell r="E12045" t="str">
            <v>UNIBANCO UNIAO DE BANCOS BRASILEIROS S/A</v>
          </cell>
        </row>
        <row r="12046">
          <cell r="B12046">
            <v>63784</v>
          </cell>
          <cell r="C12046" t="str">
            <v>UNIBANCO UNIAO DE BANCOS BRASILEIROS S/A</v>
          </cell>
          <cell r="D12046">
            <v>643</v>
          </cell>
          <cell r="E12046" t="str">
            <v>UNIBANCO UNIAO DE BANCOS BRASILEIROS S/A</v>
          </cell>
        </row>
        <row r="12047">
          <cell r="B12047">
            <v>63786</v>
          </cell>
          <cell r="C12047" t="str">
            <v>UNIBANCO UNIAO DE BANCOS BRASILEIROS S/A</v>
          </cell>
          <cell r="D12047">
            <v>646</v>
          </cell>
          <cell r="E12047" t="str">
            <v>UNIBANCO UNIAO DE BANCOS BRASILEIROS S/A</v>
          </cell>
        </row>
        <row r="12048">
          <cell r="B12048">
            <v>63816</v>
          </cell>
          <cell r="C12048" t="str">
            <v>UNIBANCO UNIAO DE BANCOS BRASILEIROS S/A</v>
          </cell>
          <cell r="D12048" t="str">
            <v>UNIBANCO UNIAO DE BANCOS BRASILEIROS S/A</v>
          </cell>
          <cell r="E12048" t="str">
            <v>UNIBANCO UNIAO DE BANCOS BRASILEIROS S/A</v>
          </cell>
        </row>
        <row r="12049">
          <cell r="B12049">
            <v>63820</v>
          </cell>
          <cell r="C12049" t="str">
            <v>UNIBANCO UNIAO DE BANCOS BRASILEIROS S/A</v>
          </cell>
          <cell r="D12049" t="str">
            <v>64.20</v>
          </cell>
          <cell r="E12049" t="str">
            <v>UNIBANCO UNIAO DE BANCOS BRASILEIROS S/A</v>
          </cell>
        </row>
        <row r="12050">
          <cell r="B12050">
            <v>63821</v>
          </cell>
          <cell r="C12050" t="str">
            <v>UNIBANCO UNIAO DE BANCOS BRASILEIROS S/A</v>
          </cell>
          <cell r="D12050" t="str">
            <v>64.21</v>
          </cell>
          <cell r="E12050" t="str">
            <v>UNIBANCO UNIAO DE BANCOS BRASILEIROS S/A</v>
          </cell>
        </row>
        <row r="12051">
          <cell r="B12051">
            <v>63823</v>
          </cell>
          <cell r="C12051" t="str">
            <v>UNIBANCO UNIAO DE BANCOS BRASILEIROS S/A</v>
          </cell>
          <cell r="D12051">
            <v>641</v>
          </cell>
          <cell r="E12051" t="str">
            <v>UNIBANCO UNIAO DE BANCOS BRASILEIROS S/A</v>
          </cell>
        </row>
        <row r="12052">
          <cell r="B12052">
            <v>63824</v>
          </cell>
          <cell r="C12052" t="str">
            <v>UNIBANCO UNIAO DE BANCOS BRASILEIROS S/A</v>
          </cell>
          <cell r="D12052">
            <v>647</v>
          </cell>
          <cell r="E12052" t="str">
            <v>UNIBANCO UNIAO DE BANCOS BRASILEIROS S/A</v>
          </cell>
        </row>
        <row r="12053">
          <cell r="B12053">
            <v>63829</v>
          </cell>
          <cell r="C12053" t="str">
            <v>UNIBANCO UNIAO DE BANCOS BRASILEIROS S/A</v>
          </cell>
          <cell r="D12053" t="str">
            <v>64.10</v>
          </cell>
          <cell r="E12053" t="str">
            <v>UNIBANCO UNIAO DE BANCOS BRASILEIROS S/A</v>
          </cell>
        </row>
        <row r="12054">
          <cell r="B12054">
            <v>63830</v>
          </cell>
          <cell r="C12054" t="str">
            <v>UNIBANCO UNIAO DE BANCOS BRASILEIROS S/A</v>
          </cell>
          <cell r="D12054" t="str">
            <v>64.11</v>
          </cell>
          <cell r="E12054" t="str">
            <v>UNIBANCO UNIAO DE BANCOS BRASILEIROS S/A</v>
          </cell>
        </row>
        <row r="12055">
          <cell r="B12055">
            <v>63835</v>
          </cell>
          <cell r="C12055" t="str">
            <v>UNIBANCO UNIAO DE BANCOS BRASILEIROS S/A</v>
          </cell>
          <cell r="D12055" t="str">
            <v>64.12</v>
          </cell>
          <cell r="E12055" t="str">
            <v>UNIBANCO UNIAO DE BANCOS BRASILEIROS S/A</v>
          </cell>
        </row>
        <row r="12056">
          <cell r="B12056">
            <v>63840</v>
          </cell>
          <cell r="C12056" t="str">
            <v>UNIBANCO UNIAO DE BANCOS BRASILEIROS S/A</v>
          </cell>
          <cell r="D12056" t="str">
            <v>64.13</v>
          </cell>
          <cell r="E12056" t="str">
            <v>UNIBANCO UNIAO DE BANCOS BRASILEIROS S/A</v>
          </cell>
        </row>
        <row r="12057">
          <cell r="B12057">
            <v>63900</v>
          </cell>
          <cell r="C12057" t="str">
            <v>UNIBANCO UNIAO DE BANCOS BRASILEIROS S/A</v>
          </cell>
          <cell r="D12057" t="str">
            <v>64.14</v>
          </cell>
          <cell r="E12057" t="str">
            <v>UNIBANCO UNIAO DE BANCOS BRASILEIROS S/A</v>
          </cell>
        </row>
        <row r="12058">
          <cell r="B12058">
            <v>63915</v>
          </cell>
          <cell r="C12058" t="str">
            <v>UNIBANCO UNIAO DE BANCOS BRASILEIROS S/A</v>
          </cell>
          <cell r="D12058" t="str">
            <v>64.15</v>
          </cell>
          <cell r="E12058" t="str">
            <v>UNIBANCO UNIAO DE BANCOS BRASILEIROS S/A</v>
          </cell>
        </row>
        <row r="12059">
          <cell r="B12059">
            <v>63917</v>
          </cell>
          <cell r="C12059" t="str">
            <v>UNIBANCO UNIAO DE BANCOS BRASILEIROS S/A</v>
          </cell>
          <cell r="D12059" t="str">
            <v>UNIBANCO UNIAO DE BANCOS BRASILEIROS S/A</v>
          </cell>
          <cell r="E12059" t="str">
            <v>UNIBANCO UNIAO DE BANCOS BRASILEIROS S/A</v>
          </cell>
        </row>
        <row r="12060">
          <cell r="B12060">
            <v>63918</v>
          </cell>
          <cell r="C12060" t="str">
            <v>UNIBANCO UNIAO DE BANCOS BRASILEIROS S/A</v>
          </cell>
          <cell r="D12060" t="str">
            <v>64.18</v>
          </cell>
          <cell r="E12060" t="str">
            <v>UNIBANCO UNIAO DE BANCOS BRASILEIROS S/A</v>
          </cell>
        </row>
        <row r="12061">
          <cell r="B12061">
            <v>63919</v>
          </cell>
          <cell r="C12061" t="str">
            <v>UNIBANCO UNIAO DE BANCOS BRASILEIROS S/A</v>
          </cell>
          <cell r="D12061" t="str">
            <v>UNIBANCO UNIAO DE BANCOS BRASILEIROS S/A</v>
          </cell>
          <cell r="E12061" t="str">
            <v>UNIBANCO UNIAO DE BANCOS BRASILEIROS S/A</v>
          </cell>
        </row>
        <row r="12062">
          <cell r="B12062">
            <v>63955</v>
          </cell>
          <cell r="C12062" t="str">
            <v>UNIBANCO UNIAO DE BANCOS BRASILEIROS S/A</v>
          </cell>
          <cell r="D12062">
            <v>642</v>
          </cell>
          <cell r="E12062" t="str">
            <v>UNIBANCO UNIAO DE BANCOS BRASILEIROS S/A</v>
          </cell>
        </row>
        <row r="12063">
          <cell r="B12063">
            <v>64218</v>
          </cell>
          <cell r="C12063" t="str">
            <v>PARANA TINGUI FIF</v>
          </cell>
          <cell r="D12063" t="str">
            <v>PARANA TINGUI FIF</v>
          </cell>
          <cell r="E12063" t="str">
            <v>PARANA TINGUI FIF</v>
          </cell>
        </row>
        <row r="12064">
          <cell r="B12064">
            <v>64219</v>
          </cell>
          <cell r="C12064" t="str">
            <v>PARANA FIF FAPA</v>
          </cell>
          <cell r="D12064" t="str">
            <v>PARANA FIF FAPA</v>
          </cell>
          <cell r="E12064" t="str">
            <v>PARANA FIF FAPA</v>
          </cell>
        </row>
        <row r="12065">
          <cell r="B12065">
            <v>64220</v>
          </cell>
          <cell r="C12065" t="str">
            <v>FIF PARANA EXECUTIVO</v>
          </cell>
          <cell r="D12065" t="str">
            <v>FIF PARANA EXECUTIVO</v>
          </cell>
          <cell r="E12065" t="str">
            <v>FIF PARANA EXECUTIVO</v>
          </cell>
        </row>
        <row r="12066">
          <cell r="B12066">
            <v>64221</v>
          </cell>
          <cell r="C12066" t="str">
            <v>PARANA FUNDO DE INVESTIMENTO FINAN ALPHA</v>
          </cell>
          <cell r="D12066" t="str">
            <v>PARANA FUNDO DE INVESTIMENTO FINAN ALPHA</v>
          </cell>
          <cell r="E12066" t="str">
            <v>PARANA FUNDO DE INVESTIMENTO FINAN ALPHA</v>
          </cell>
        </row>
        <row r="12067">
          <cell r="B12067">
            <v>64222</v>
          </cell>
          <cell r="C12067" t="str">
            <v>PARANA FIF TIRGUS</v>
          </cell>
          <cell r="D12067" t="str">
            <v>PARANA FIF TIRGUS</v>
          </cell>
          <cell r="E12067" t="str">
            <v>PARANA FIF TIRGUS</v>
          </cell>
        </row>
        <row r="12068">
          <cell r="B12068">
            <v>64223</v>
          </cell>
          <cell r="C12068" t="str">
            <v>PARANA FIF JMCO</v>
          </cell>
          <cell r="D12068" t="str">
            <v>PARANA FIF JMCO</v>
          </cell>
          <cell r="E12068" t="str">
            <v>PARANA FIF JMCO</v>
          </cell>
        </row>
        <row r="12069">
          <cell r="B12069">
            <v>6492</v>
          </cell>
          <cell r="C12069" t="str">
            <v>ING BANK NV</v>
          </cell>
          <cell r="D12069" t="str">
            <v>ING BANK NV</v>
          </cell>
          <cell r="E12069" t="str">
            <v>ING BANK NV</v>
          </cell>
        </row>
        <row r="12070">
          <cell r="B12070">
            <v>6495</v>
          </cell>
          <cell r="C12070" t="str">
            <v>BANCO DE LA PROVINCIA DE BUENOS AIRES</v>
          </cell>
          <cell r="D12070" t="str">
            <v>BANCO DE LA PROVINCIA DE BUENOS AIRES</v>
          </cell>
          <cell r="E12070" t="str">
            <v>BANCO DE LA PROVINCIA DE BUENOS AIRES</v>
          </cell>
        </row>
        <row r="12071">
          <cell r="B12071">
            <v>65</v>
          </cell>
          <cell r="C12071" t="str">
            <v>PIONEER CM E FUTUROS LTDA</v>
          </cell>
          <cell r="D12071" t="str">
            <v>65*</v>
          </cell>
          <cell r="E12071" t="str">
            <v>PIONEER CM E FUTUROS LTDA</v>
          </cell>
        </row>
        <row r="12072">
          <cell r="B12072">
            <v>65541</v>
          </cell>
          <cell r="C12072" t="str">
            <v>JULIANA RABELLO MARINHO</v>
          </cell>
          <cell r="D12072" t="str">
            <v>JULIANA RABELLO MARINHO</v>
          </cell>
          <cell r="E12072" t="str">
            <v>JULIANA RABELLO MARINHO</v>
          </cell>
        </row>
        <row r="12073">
          <cell r="B12073">
            <v>66</v>
          </cell>
          <cell r="C12073" t="str">
            <v>UNIBANCO INVESTSHOP-CVMC</v>
          </cell>
          <cell r="D12073" t="str">
            <v>66*</v>
          </cell>
          <cell r="E12073" t="str">
            <v>UNIBANCO INVESTSHOP-CVMC</v>
          </cell>
        </row>
        <row r="12074">
          <cell r="B12074">
            <v>66403</v>
          </cell>
          <cell r="C12074" t="str">
            <v>UNIBANCO UNIAO DE BANCOS BRASILEIROS S/A</v>
          </cell>
          <cell r="D12074" t="str">
            <v>UNIBANCO UNIAO DE BANCOS BRASILEIROS S/A</v>
          </cell>
          <cell r="E12074" t="str">
            <v>UNIBANCO UNIAO DE BANCOS BRASILEIROS S/A</v>
          </cell>
        </row>
        <row r="12075">
          <cell r="B12075">
            <v>666000</v>
          </cell>
          <cell r="C12075" t="str">
            <v>UAM ASSESSORIA E GESTAO DE INVESTIMENTOS LTDA</v>
          </cell>
          <cell r="D12075">
            <v>57</v>
          </cell>
          <cell r="E12075" t="str">
            <v>UAM ASSESSORIA E GESTAO DE INVESTIMENTOS LTDA</v>
          </cell>
        </row>
        <row r="12076">
          <cell r="B12076">
            <v>666111</v>
          </cell>
          <cell r="C12076" t="str">
            <v>UAM ASSESSORIA E GESTAO DE INVESTIMENTOS LTDA</v>
          </cell>
          <cell r="D12076">
            <v>571</v>
          </cell>
          <cell r="E12076" t="str">
            <v>UAM ASSESSORIA E GESTAO DE INVESTIMENTOS LTDA</v>
          </cell>
        </row>
        <row r="12077">
          <cell r="B12077">
            <v>666401</v>
          </cell>
          <cell r="C12077" t="str">
            <v>UNIBANCO UNIAO DE BANCOS BRASILEIROS S/A</v>
          </cell>
          <cell r="D12077" t="str">
            <v>UNIBANCO UNIAO DE BANCOS BRASILEIROS S/A</v>
          </cell>
          <cell r="E12077" t="str">
            <v>UNIBANCO UNIAO DE BANCOS BRASILEIROS S/A</v>
          </cell>
        </row>
        <row r="12078">
          <cell r="B12078">
            <v>666402</v>
          </cell>
          <cell r="C12078" t="str">
            <v>UNIBANCO UNIAO DE BANCOS BRASILEIROS S/A</v>
          </cell>
          <cell r="D12078" t="str">
            <v>UNIBANCO UNIAO DE BANCOS BRASILEIROS S/A</v>
          </cell>
          <cell r="E12078" t="str">
            <v>UNIBANCO UNIAO DE BANCOS BRASILEIROS S/A</v>
          </cell>
        </row>
        <row r="12079">
          <cell r="B12079">
            <v>67775</v>
          </cell>
          <cell r="C12079" t="str">
            <v>GUARANIANA S A</v>
          </cell>
          <cell r="D12079" t="str">
            <v>GUARANIANA S A</v>
          </cell>
          <cell r="E12079" t="str">
            <v>GUARANIANA S A</v>
          </cell>
        </row>
        <row r="12080">
          <cell r="B12080">
            <v>70063</v>
          </cell>
          <cell r="C12080" t="str">
            <v>ASM STAR FIF</v>
          </cell>
          <cell r="D12080" t="str">
            <v>ASM STAR FIF</v>
          </cell>
          <cell r="E12080" t="str">
            <v>ASM STAR FIF</v>
          </cell>
        </row>
        <row r="12081">
          <cell r="B12081">
            <v>123723</v>
          </cell>
          <cell r="C12081" t="str">
            <v>CLARITAS INFLACAO INSTITUCIONAL FIM</v>
          </cell>
          <cell r="D12081" t="str">
            <v>CLARITAS INFLACAO INSTITUCIONAL FIM</v>
          </cell>
          <cell r="E12081" t="str">
            <v>CLARITAS ADMINISTRAÇÃO DE RECURSOS LTDA</v>
          </cell>
        </row>
        <row r="12082">
          <cell r="B12082">
            <v>123723</v>
          </cell>
          <cell r="C12082" t="str">
            <v>CLARITAS INFLACAO INSTITUCIONAL FIM</v>
          </cell>
          <cell r="D12082" t="str">
            <v>CLARITAS INFLACAO INSTITUCIONAL FIM</v>
          </cell>
          <cell r="E12082" t="str">
            <v>CLARITAS ADMINISTRAÇÃO DE RECURSOS LTDA</v>
          </cell>
        </row>
        <row r="12083">
          <cell r="B12083">
            <v>122303</v>
          </cell>
          <cell r="C12083" t="str">
            <v>CLARITAS INSTITUCIONAL FIM</v>
          </cell>
          <cell r="D12083" t="str">
            <v>CLARITAS INSTITUCIONAL FIM</v>
          </cell>
          <cell r="E12083" t="str">
            <v>CLARITAS ADMINISTRAÇÃO DE RECURSOS LTDA</v>
          </cell>
        </row>
        <row r="12084">
          <cell r="B12084">
            <v>70147</v>
          </cell>
          <cell r="C12084" t="str">
            <v>PORTIFOLIO BRAZIL LLC</v>
          </cell>
          <cell r="D12084" t="str">
            <v>PORTIFOLIO BRAZIL LLC</v>
          </cell>
          <cell r="E12084" t="str">
            <v>PORTIFOLIO BRAZIL LLC</v>
          </cell>
        </row>
        <row r="12085">
          <cell r="B12085">
            <v>701498</v>
          </cell>
          <cell r="C12085" t="str">
            <v>ICAP DO BRASIL CTVM LTDA ( ATUAL TULLET)</v>
          </cell>
          <cell r="D12085" t="str">
            <v>ICAP DO BRASIL CTVM LTDA ( ATUAL TULLET)</v>
          </cell>
          <cell r="E12085" t="str">
            <v>ICAP DO BRASIL CTVM LTDA ( ATUAL TULLET)</v>
          </cell>
        </row>
        <row r="12086">
          <cell r="B12086">
            <v>70173</v>
          </cell>
          <cell r="C12086" t="str">
            <v>BANCO DE INVESTIMENTOS UBS (BRASIL) S.A.</v>
          </cell>
          <cell r="D12086" t="str">
            <v>BANCO DE INVESTIMENTOS UBS (BRASIL) S.A.</v>
          </cell>
          <cell r="E12086" t="str">
            <v>BANCO DE INVESTIMENTO CREDIT SUISSE (BRASIL) S/A</v>
          </cell>
        </row>
        <row r="12087">
          <cell r="B12087">
            <v>70174</v>
          </cell>
          <cell r="C12087" t="str">
            <v>BANCO DE INVESTIMENTOS UBS (BRASIL) S.A.</v>
          </cell>
          <cell r="D12087" t="str">
            <v>BANCO DE INVESTIMENTOS UBS (BRASIL) S.A.</v>
          </cell>
          <cell r="E12087" t="str">
            <v>BANCO DE INVESTIMENTO CREDIT SUISSE (BRASIL) S/A</v>
          </cell>
        </row>
        <row r="12088">
          <cell r="B12088">
            <v>71562</v>
          </cell>
          <cell r="C12088" t="str">
            <v>NAUM ROBERTO RYFER</v>
          </cell>
          <cell r="D12088" t="str">
            <v>NAUM ROBERTO RYFER</v>
          </cell>
          <cell r="E12088" t="str">
            <v>NAUM ROBERTO RYFER</v>
          </cell>
        </row>
        <row r="12089">
          <cell r="B12089">
            <v>71811</v>
          </cell>
          <cell r="C12089" t="str">
            <v>ITAU UNIBANCO S.A.</v>
          </cell>
          <cell r="D12089" t="str">
            <v>ITAU UNIBANCO S.A.</v>
          </cell>
          <cell r="E12089" t="str">
            <v>ITAU UNIBANCO S/A</v>
          </cell>
        </row>
        <row r="12090">
          <cell r="B12090">
            <v>71812</v>
          </cell>
          <cell r="C12090" t="str">
            <v>ITAU UNIBANCO S.A.</v>
          </cell>
          <cell r="D12090" t="str">
            <v>ITAU UNIBANCO S.A.</v>
          </cell>
          <cell r="E12090" t="str">
            <v>ITAU UNIBANCO S/A</v>
          </cell>
        </row>
        <row r="12091">
          <cell r="B12091">
            <v>71813</v>
          </cell>
          <cell r="C12091" t="str">
            <v>ITAU UNIBANCO S.A.</v>
          </cell>
          <cell r="D12091" t="str">
            <v>ITAU UNIBANCO S.A.</v>
          </cell>
          <cell r="E12091" t="str">
            <v>ITAU UNIBANCO S/A</v>
          </cell>
        </row>
        <row r="12092">
          <cell r="B12092">
            <v>71814</v>
          </cell>
          <cell r="C12092" t="str">
            <v>ITAU UNIBANCO S.A.</v>
          </cell>
          <cell r="D12092" t="str">
            <v>ITAU UNIBANCO S.A.</v>
          </cell>
          <cell r="E12092" t="str">
            <v>ITAU UNIBANCO S/A</v>
          </cell>
        </row>
        <row r="12093">
          <cell r="B12093">
            <v>71815</v>
          </cell>
          <cell r="C12093" t="str">
            <v>ITAU UNIBANCO S.A.</v>
          </cell>
          <cell r="D12093" t="str">
            <v>ITAU UNIBANCO S.A.</v>
          </cell>
          <cell r="E12093" t="str">
            <v>ITAU UNIBANCO S/A</v>
          </cell>
        </row>
        <row r="12094">
          <cell r="B12094">
            <v>71816</v>
          </cell>
          <cell r="C12094" t="str">
            <v>BANCO ITAUCARD S/A</v>
          </cell>
          <cell r="D12094" t="str">
            <v>BANCO ITAUCARD S/A</v>
          </cell>
          <cell r="E12094" t="str">
            <v>BANCO   ITAUCARD S/A</v>
          </cell>
        </row>
        <row r="12095">
          <cell r="B12095">
            <v>71817</v>
          </cell>
          <cell r="C12095" t="str">
            <v>BANCO ITAUCARD S/A</v>
          </cell>
          <cell r="D12095" t="str">
            <v>BANCO ITAUCARD S/A</v>
          </cell>
          <cell r="E12095" t="str">
            <v>BANCO   ITAUCARD S/A</v>
          </cell>
        </row>
        <row r="12096">
          <cell r="B12096">
            <v>72</v>
          </cell>
          <cell r="C12096" t="str">
            <v>DANIEL TEIXEIRA SIQUEIRA GONCALVES</v>
          </cell>
          <cell r="D12096" t="str">
            <v>72-ACERTAR</v>
          </cell>
          <cell r="E12096" t="str">
            <v>DANIEL TEIXEIRA SIQUEIRA GONCALVES</v>
          </cell>
        </row>
        <row r="12097">
          <cell r="B12097">
            <v>72100</v>
          </cell>
          <cell r="C12097" t="str">
            <v>FUNDO DE INVESTIMENTO RENDA FIXA YUCATAN</v>
          </cell>
          <cell r="D12097" t="str">
            <v>FUNDO DE INVESTIMENTO RENDA FIXA YUCATAN</v>
          </cell>
          <cell r="E12097" t="str">
            <v>FUNDO DE INVESTIMENTO RENDA FIXA YUCATAN</v>
          </cell>
        </row>
        <row r="12098">
          <cell r="B12098">
            <v>72102</v>
          </cell>
          <cell r="C12098" t="str">
            <v>K2 FIM</v>
          </cell>
          <cell r="D12098" t="str">
            <v>K2 FIM</v>
          </cell>
          <cell r="E12098" t="str">
            <v>K2 FIM</v>
          </cell>
        </row>
        <row r="12099">
          <cell r="B12099">
            <v>72103</v>
          </cell>
          <cell r="C12099" t="str">
            <v>EVEREST FUNDO DE INVESTIMENTO MULTIMERCADO</v>
          </cell>
          <cell r="D12099" t="str">
            <v>EVEREST FUNDO DE INVESTIMENTO MULTIMERCADO</v>
          </cell>
          <cell r="E12099" t="str">
            <v>EVEREST FUNDO DE INVESTIMENTO MULTIMERCADO</v>
          </cell>
        </row>
        <row r="12100">
          <cell r="B12100">
            <v>72111</v>
          </cell>
          <cell r="C12100" t="str">
            <v>AGULHAS NEGRAS FIM</v>
          </cell>
          <cell r="D12100" t="str">
            <v>AGULHAS NEGRAS FIM</v>
          </cell>
          <cell r="E12100" t="str">
            <v>AGULHAS NEGRAS FIM</v>
          </cell>
        </row>
        <row r="12101">
          <cell r="B12101">
            <v>72112</v>
          </cell>
          <cell r="C12101" t="str">
            <v>TELOS RF MEDIO RISCO LP FI</v>
          </cell>
          <cell r="D12101" t="str">
            <v>TELOS RF MEDIO RISCO LP FI</v>
          </cell>
          <cell r="E12101" t="str">
            <v>TELOS FUNDACAO EMBRATEL DE SEGURIDADE SOCIAL</v>
          </cell>
        </row>
        <row r="12102">
          <cell r="B12102">
            <v>72236</v>
          </cell>
          <cell r="C12102" t="str">
            <v>GAP EXCLUSIVO I FDO DE INVEST EM ACOES</v>
          </cell>
          <cell r="D12102" t="str">
            <v>GAP EXCLUSIVO I FDO DE INVEST EM ACOES</v>
          </cell>
          <cell r="E12102" t="str">
            <v>GAP EXCLUSIVO I FDO DE INVEST EM ACOES</v>
          </cell>
        </row>
        <row r="12103">
          <cell r="B12103">
            <v>72238</v>
          </cell>
          <cell r="C12103" t="str">
            <v>MULTI GAP FUNDO DE INVESTIMENTO FINANCEIRO</v>
          </cell>
          <cell r="D12103" t="str">
            <v>MULTI GAP FUNDO DE INVESTIMENTO FINANCEIRO</v>
          </cell>
          <cell r="E12103" t="str">
            <v>MULTI GAP FUNDO DE INVESTIMENTO FINANCEIRO</v>
          </cell>
        </row>
        <row r="12104">
          <cell r="B12104">
            <v>73521</v>
          </cell>
          <cell r="C12104" t="str">
            <v>DREYFUS BRASCAN MEGA STAR IX FIF</v>
          </cell>
          <cell r="D12104" t="str">
            <v>DREYFUS BRASCAN MEGA STAR IX FIF</v>
          </cell>
          <cell r="E12104" t="str">
            <v>DREYFUS BRASCAN MEGA STAR IX FIF</v>
          </cell>
        </row>
        <row r="12105">
          <cell r="B12105">
            <v>73522</v>
          </cell>
          <cell r="C12105" t="str">
            <v>DANIEL CORREA VAIRO</v>
          </cell>
          <cell r="D12105" t="str">
            <v>DANIEL CORREA VAIRO</v>
          </cell>
          <cell r="E12105" t="str">
            <v>DANIEL CORREA VAIRO</v>
          </cell>
        </row>
        <row r="12106">
          <cell r="B12106">
            <v>73738</v>
          </cell>
          <cell r="C12106" t="str">
            <v>PINNACLE ADMINISTRACAO DE RECURSOS LTDA</v>
          </cell>
          <cell r="D12106" t="str">
            <v>PINNACLE ADMINISTRACAO DE RECURSOS LTDA</v>
          </cell>
          <cell r="E12106" t="str">
            <v>PINNACLE ADMINISTRACAO DE RECURSOS LTDA</v>
          </cell>
        </row>
        <row r="12107">
          <cell r="B12107">
            <v>73739</v>
          </cell>
          <cell r="C12107" t="str">
            <v>PINNACLE SUNSHINE FUNDO DE INVEST. FINANC.</v>
          </cell>
          <cell r="D12107" t="str">
            <v>PINNACLE SUNSHINE FUNDO DE INVEST. FINANC.</v>
          </cell>
          <cell r="E12107" t="str">
            <v>PINNACLE SUNSHINE FUNDO DE INVEST. FINANC.</v>
          </cell>
        </row>
        <row r="12108">
          <cell r="B12108">
            <v>79557</v>
          </cell>
          <cell r="C12108" t="str">
            <v>ARSA LONG BIASED FIA</v>
          </cell>
          <cell r="D12108" t="str">
            <v>ARSA LONG BIASED FIA</v>
          </cell>
          <cell r="E12108" t="str">
            <v>XP GESTAO DE RECURSOS LTDA</v>
          </cell>
        </row>
        <row r="12109">
          <cell r="B12109">
            <v>7409</v>
          </cell>
          <cell r="C12109" t="str">
            <v>UNIBANCO UNIAO DE BANCOS BRASILEIROS S/A</v>
          </cell>
          <cell r="D12109" t="str">
            <v>UNIBANCO UNIAO DE BANCOS BRASILEIROS S/A</v>
          </cell>
          <cell r="E12109" t="str">
            <v>UNIBANCO UNIAO DE BANCOS BRASILEIROS S/A</v>
          </cell>
        </row>
        <row r="12110">
          <cell r="B12110">
            <v>74331</v>
          </cell>
          <cell r="C12110" t="str">
            <v>CARDIESEL LTDA</v>
          </cell>
          <cell r="D12110" t="str">
            <v>179.11</v>
          </cell>
          <cell r="E12110" t="str">
            <v>CARDIESEL LTDA</v>
          </cell>
        </row>
        <row r="12111">
          <cell r="B12111">
            <v>74332</v>
          </cell>
          <cell r="C12111" t="str">
            <v>CALISTO DIESEL DE VEICULOS LTDA</v>
          </cell>
          <cell r="D12111" t="str">
            <v>179.12</v>
          </cell>
          <cell r="E12111" t="str">
            <v>CALISTO DIESEL DE VEICULOS LTDA</v>
          </cell>
        </row>
        <row r="12112">
          <cell r="B12112">
            <v>74333</v>
          </cell>
          <cell r="C12112" t="str">
            <v>AUTOSETE VEICULOS E PEÃ‡AS LTDA</v>
          </cell>
          <cell r="D12112" t="str">
            <v>179.13</v>
          </cell>
          <cell r="E12112" t="str">
            <v>AUTOSETE VEICULOS E PEÃ‡AS LTDA</v>
          </cell>
        </row>
        <row r="12113">
          <cell r="B12113">
            <v>74334</v>
          </cell>
          <cell r="C12113" t="str">
            <v>VALADARES DIESEL LTDA</v>
          </cell>
          <cell r="D12113" t="str">
            <v>179.14</v>
          </cell>
          <cell r="E12113" t="str">
            <v>VALADARES DIESEL LTDA</v>
          </cell>
        </row>
        <row r="12114">
          <cell r="B12114">
            <v>74335</v>
          </cell>
          <cell r="C12114" t="str">
            <v>HORIZONTE TEXTIL LTDA</v>
          </cell>
          <cell r="D12114" t="str">
            <v>179.15</v>
          </cell>
          <cell r="E12114" t="str">
            <v>HORIZONTE TEXTIL LTDA</v>
          </cell>
        </row>
        <row r="12115">
          <cell r="B12115">
            <v>74336</v>
          </cell>
          <cell r="C12115" t="str">
            <v>VDL SIDERURGIA LTDA</v>
          </cell>
          <cell r="D12115">
            <v>179</v>
          </cell>
          <cell r="E12115" t="str">
            <v>VDL SIDERURGIA LTDA</v>
          </cell>
        </row>
        <row r="12116">
          <cell r="B12116">
            <v>74337</v>
          </cell>
          <cell r="C12116" t="str">
            <v>VDL PARTICIPAÃ‡Ã•ES LTDA</v>
          </cell>
          <cell r="D12116" t="str">
            <v>179.1</v>
          </cell>
          <cell r="E12116" t="str">
            <v>VDL PARTICIPAÃ‡Ã•ES LTDA</v>
          </cell>
        </row>
        <row r="12117">
          <cell r="B12117">
            <v>74338</v>
          </cell>
          <cell r="C12117" t="str">
            <v>GOIAS CAMINHOES E ONIBUS LTDA</v>
          </cell>
          <cell r="D12117" t="str">
            <v>179.2</v>
          </cell>
          <cell r="E12117" t="str">
            <v>GOIAS CAMINHOES E ONIBUS LTDA</v>
          </cell>
        </row>
        <row r="12118">
          <cell r="B12118">
            <v>74339</v>
          </cell>
          <cell r="C12118" t="str">
            <v>VADIESEL VALE DO AÃ‡O DIESEL LTDA</v>
          </cell>
          <cell r="D12118" t="str">
            <v>179.3</v>
          </cell>
          <cell r="E12118" t="str">
            <v>VADIESEL VALE DO AÃ‡O DIESEL LTDA</v>
          </cell>
        </row>
        <row r="12119">
          <cell r="B12119">
            <v>74340</v>
          </cell>
          <cell r="C12119" t="str">
            <v>ARIZONA INDUSTRIA TEXTIL LTDA</v>
          </cell>
          <cell r="D12119" t="str">
            <v>179.4</v>
          </cell>
          <cell r="E12119" t="str">
            <v>ARIZONA INDUSTRIA TEXTIL LTDA</v>
          </cell>
        </row>
        <row r="12120">
          <cell r="B12120">
            <v>74341</v>
          </cell>
          <cell r="C12120" t="str">
            <v>LGL PARTICIPAÃ‡Ã•ES LTDA</v>
          </cell>
          <cell r="D12120" t="str">
            <v>179.5</v>
          </cell>
          <cell r="E12120" t="str">
            <v>LGL PARTICIPAÃ‡Ã•ES LTDA</v>
          </cell>
        </row>
        <row r="12121">
          <cell r="B12121">
            <v>74342</v>
          </cell>
          <cell r="C12121" t="str">
            <v>RGL ADMINISTRAÃ‡ÃƒO E PART. LTDA</v>
          </cell>
          <cell r="D12121" t="str">
            <v>179.6</v>
          </cell>
          <cell r="E12121" t="str">
            <v>RGL ADMINISTRAÃ‡ÃƒO E PART. LTDA</v>
          </cell>
        </row>
        <row r="12122">
          <cell r="B12122">
            <v>74343</v>
          </cell>
          <cell r="C12122" t="str">
            <v>LONDRINA CAMINHOES E ONIBUS LTDA</v>
          </cell>
          <cell r="D12122" t="str">
            <v>179.7</v>
          </cell>
          <cell r="E12122" t="str">
            <v>LONDRINA CAMINHOES E ONIBUS LTDA</v>
          </cell>
        </row>
        <row r="12123">
          <cell r="B12123">
            <v>74344</v>
          </cell>
          <cell r="C12123" t="str">
            <v>LESSA ADMINISTRAÃ‡AO E PARTICIPAÃ‡AO LTDA</v>
          </cell>
          <cell r="D12123" t="str">
            <v>179.8</v>
          </cell>
          <cell r="E12123" t="str">
            <v>LESSA ADMINISTRAÃ‡AO E PARTICIPAÃ‡AO LTDA</v>
          </cell>
        </row>
        <row r="12124">
          <cell r="B12124">
            <v>74345</v>
          </cell>
          <cell r="C12124" t="str">
            <v>JOTA LESSA PARTICIPAÃ‡OES LTDA</v>
          </cell>
          <cell r="D12124" t="str">
            <v>179.9</v>
          </cell>
          <cell r="E12124" t="str">
            <v>JOTA LESSA PARTICIPAÃ‡OES LTDA</v>
          </cell>
        </row>
        <row r="12125">
          <cell r="B12125">
            <v>74346</v>
          </cell>
          <cell r="C12125" t="str">
            <v>VDL FOMENTO MERCANTIL LTDA</v>
          </cell>
          <cell r="D12125" t="str">
            <v>179.10</v>
          </cell>
          <cell r="E12125" t="str">
            <v>VDL FOMENTO MERCANTIL LTDA</v>
          </cell>
        </row>
        <row r="12126">
          <cell r="B12126">
            <v>74347</v>
          </cell>
          <cell r="C12126" t="str">
            <v>OVF PARTICIPAÃ‡Ã•ES LTDA</v>
          </cell>
          <cell r="D12126" t="str">
            <v>179.17</v>
          </cell>
          <cell r="E12126" t="str">
            <v>OVF PARTICIPAÃ‡Ã•ES LTDA</v>
          </cell>
        </row>
        <row r="12127">
          <cell r="B12127">
            <v>74528</v>
          </cell>
          <cell r="C12127" t="str">
            <v>CIA IMPORTADORA E EXPORTADORA COIMEX</v>
          </cell>
          <cell r="D12127" t="str">
            <v>CIA IMPORTADORA E EXPORTADORA COIMEX</v>
          </cell>
          <cell r="E12127" t="str">
            <v>CIA IMPORTADORA E EXPORTADORA COIMEX</v>
          </cell>
        </row>
        <row r="12128">
          <cell r="B12128">
            <v>74529</v>
          </cell>
          <cell r="C12128" t="str">
            <v>COMPANHIA IMPORTADORA E EXPORTADORA COIMEX</v>
          </cell>
          <cell r="D12128" t="str">
            <v>COMPANHIA IMPORTADORA E EXPORTADORA COIMEX</v>
          </cell>
          <cell r="E12128" t="str">
            <v>COMPANHIA IMPORTADORA E EXPORTADORA COIMEX</v>
          </cell>
        </row>
        <row r="12129">
          <cell r="B12129">
            <v>7464</v>
          </cell>
          <cell r="C12129" t="str">
            <v>BANCO SUMITOMO MITSUI BRASILEIRO S.A</v>
          </cell>
          <cell r="D12129" t="str">
            <v>BANCO SUMITOMO MITSUI BRASILEIRO S.A</v>
          </cell>
          <cell r="E12129" t="str">
            <v>BANCO SUMITOMO MITSUI BRASILEIRO S/A</v>
          </cell>
        </row>
        <row r="12130">
          <cell r="B12130">
            <v>747</v>
          </cell>
          <cell r="C12130" t="str">
            <v>ICAP DO BRASIL CTVM LTDA ( ATUAL TULLET)</v>
          </cell>
          <cell r="D12130" t="str">
            <v>ICAP DO BRASIL CTVM LTDA ( ATUAL TULLET)</v>
          </cell>
          <cell r="E12130" t="str">
            <v>ICAP DO BRASIL CTVM LTDA ( ATUAL TULLET)</v>
          </cell>
        </row>
        <row r="12131">
          <cell r="B12131">
            <v>748</v>
          </cell>
          <cell r="C12131" t="str">
            <v>ICAP DO BRASIL CTVM LTDA ( ATUAL TULLET)</v>
          </cell>
          <cell r="D12131" t="str">
            <v>ICAP DO BRASIL CTVM LTDA ( ATUAL TULLET)</v>
          </cell>
          <cell r="E12131" t="str">
            <v>ICAP DO BRASIL CTVM LTDA ( ATUAL TULLET)</v>
          </cell>
        </row>
        <row r="12132">
          <cell r="B12132">
            <v>75122</v>
          </cell>
          <cell r="C12132" t="str">
            <v>TEWKSBURY INVESTMENT FUND LTD</v>
          </cell>
          <cell r="D12132" t="str">
            <v>TEWKSBURY INVESTMENT FUND LTD</v>
          </cell>
          <cell r="E12132" t="str">
            <v>TEWKSBURY INVESTMENT FUND LTD</v>
          </cell>
        </row>
        <row r="12133">
          <cell r="B12133">
            <v>75268</v>
          </cell>
          <cell r="C12133" t="str">
            <v>SECURITY ESTRATEGIAS DISSOCIADAS FIM</v>
          </cell>
          <cell r="D12133" t="str">
            <v>SECURITY ESTRATEGIAS DISSOCIADAS FIM</v>
          </cell>
          <cell r="E12133" t="str">
            <v>SECURITY ADMINISTRADORA DE RECURSOS LTDA</v>
          </cell>
        </row>
        <row r="12134">
          <cell r="B12134">
            <v>75358</v>
          </cell>
          <cell r="C12134" t="str">
            <v>SICREDI FUNDO DE INVESTIMENTO RF CP INSTITUCIONAL</v>
          </cell>
          <cell r="D12134" t="str">
            <v>SICREDI FUNDO DE INVESTIMENTO RF CP INSTITUCIONAL</v>
          </cell>
          <cell r="E12134" t="str">
            <v>BANCO COOPERATIVO SICREDI S/A</v>
          </cell>
        </row>
        <row r="12135">
          <cell r="B12135">
            <v>75334</v>
          </cell>
          <cell r="C12135" t="str">
            <v>FUNDO DE INVESTIMENTO DE RENDA FIXA CREDITO PRIVADO UBR III</v>
          </cell>
          <cell r="D12135" t="str">
            <v>FUNDO DE INVESTIMENTO DE RENDA FIXA CREDITO PRIVADO UBR III</v>
          </cell>
          <cell r="E12135" t="str">
            <v>FUNDO DE INVESTIMENTO DE RENDA FIXA CREDITO PRIVADO UBR III</v>
          </cell>
        </row>
        <row r="12136">
          <cell r="B12136">
            <v>75339</v>
          </cell>
          <cell r="C12136" t="str">
            <v>VILA SIQUEIRA FIM CREDITO PRIVADO</v>
          </cell>
          <cell r="D12136" t="str">
            <v>VILA SIQUEIRA FIM CREDITO PRIVADO</v>
          </cell>
          <cell r="E12136" t="str">
            <v>VILA SIQUEIRA FIM CREDITO PRIVADO</v>
          </cell>
        </row>
        <row r="12137">
          <cell r="B12137">
            <v>75340</v>
          </cell>
          <cell r="C12137" t="str">
            <v>BIOESTRATEGIA FIM CREDITO PRIVADO</v>
          </cell>
          <cell r="D12137" t="str">
            <v>BIOESTRATEGIA FIM CREDITO PRIVADO</v>
          </cell>
          <cell r="E12137" t="str">
            <v>SAFDIE DTVM LTDA</v>
          </cell>
        </row>
        <row r="12138">
          <cell r="B12138">
            <v>75341</v>
          </cell>
          <cell r="C12138" t="str">
            <v>RAMA FIM CREDITO PRIVADO</v>
          </cell>
          <cell r="D12138" t="str">
            <v>RAMA FIM CREDITO PRIVADO</v>
          </cell>
          <cell r="E12138" t="str">
            <v>SAFDIE DTVM LTDA</v>
          </cell>
        </row>
        <row r="12139">
          <cell r="B12139">
            <v>75342</v>
          </cell>
          <cell r="C12139" t="str">
            <v>SAN GIULIANO FIM CREDITO PRIVADO</v>
          </cell>
          <cell r="D12139" t="str">
            <v>SAN GIULIANO FIM CREDITO PRIVADO</v>
          </cell>
          <cell r="E12139" t="str">
            <v>SAN GIULIANO FIM CREDITO PRIVADO</v>
          </cell>
        </row>
        <row r="12140">
          <cell r="B12140">
            <v>75343</v>
          </cell>
          <cell r="C12140" t="str">
            <v>TD FIM CREDITO PRIVADO</v>
          </cell>
          <cell r="D12140" t="str">
            <v>TD FIM CREDITO PRIVADO</v>
          </cell>
          <cell r="E12140" t="str">
            <v>TD FIM CREDITO PRIVADO</v>
          </cell>
        </row>
        <row r="12141">
          <cell r="B12141">
            <v>75358</v>
          </cell>
          <cell r="C12141" t="str">
            <v>SICREDI FUNDO DE INVESTIMENTO RF CP INSTITUCIONAL</v>
          </cell>
          <cell r="D12141" t="str">
            <v>SICREDI FUNDO DE INVESTIMENTO RF CP INSTITUCIONAL</v>
          </cell>
          <cell r="E12141" t="str">
            <v>BANCO COOPERATIVO SICREDI S/A</v>
          </cell>
        </row>
        <row r="12142">
          <cell r="B12142">
            <v>75345</v>
          </cell>
          <cell r="C12142" t="str">
            <v>SICREDI FI RENDA FIXA PREMIUM LP</v>
          </cell>
          <cell r="D12142" t="str">
            <v>SICREDI FI RENDA FIXA PREMIUM LP</v>
          </cell>
          <cell r="E12142" t="str">
            <v>QUANTITAS GESTAO DE RECURSOS LTDA</v>
          </cell>
        </row>
        <row r="12143">
          <cell r="B12143">
            <v>75346</v>
          </cell>
          <cell r="C12143" t="str">
            <v>BANCO SCHAHIN S/A</v>
          </cell>
          <cell r="D12143" t="str">
            <v>BANCO SCHAHIN S/A</v>
          </cell>
          <cell r="E12143" t="str">
            <v>BANCO SCHAHIN S/A</v>
          </cell>
        </row>
        <row r="12144">
          <cell r="B12144">
            <v>75347</v>
          </cell>
          <cell r="C12144" t="str">
            <v>SICREDI FIM LONGO PRAZO UNIQUE</v>
          </cell>
          <cell r="D12144" t="str">
            <v>SICREDI FIM LONGO PRAZO UNIQUE</v>
          </cell>
          <cell r="E12144" t="str">
            <v>QUANTITAS GESTAO DE RECURSOS LTDA</v>
          </cell>
        </row>
        <row r="12145">
          <cell r="B12145">
            <v>75348</v>
          </cell>
          <cell r="C12145" t="str">
            <v>SICREDI FIM RF PRIME LP</v>
          </cell>
          <cell r="D12145" t="str">
            <v>SICREDI FIM RF PRIME LP</v>
          </cell>
          <cell r="E12145" t="str">
            <v>QUANTITAS GESTAO DE RECURSOS LTDA</v>
          </cell>
        </row>
        <row r="12146">
          <cell r="B12146">
            <v>75349</v>
          </cell>
          <cell r="C12146" t="str">
            <v>SERGIO RICARDO JURUENA DA COSTA BRAGA</v>
          </cell>
          <cell r="D12146" t="str">
            <v>SERGIO RICARDO JURUENA DA COSTA BRAGA</v>
          </cell>
          <cell r="E12146" t="str">
            <v>SERGIO RICARDO JURUENA DA COSTA BRAGA</v>
          </cell>
        </row>
        <row r="12147">
          <cell r="B12147">
            <v>75350</v>
          </cell>
          <cell r="C12147" t="str">
            <v>BANCO CAIXA GERAL BRASIL SA</v>
          </cell>
          <cell r="D12147" t="str">
            <v>BANCO CAIXA GERAL BRASIL SA</v>
          </cell>
          <cell r="E12147" t="str">
            <v>BANCO CAIXA GERAL BRASIL S/A</v>
          </cell>
        </row>
        <row r="12148">
          <cell r="B12148">
            <v>75351</v>
          </cell>
          <cell r="C12148" t="str">
            <v>PAULO ALFREDO DAMASCENO FERREIRA</v>
          </cell>
          <cell r="D12148" t="str">
            <v>PAULO ALFREDO DAMASCENO FERREIRA</v>
          </cell>
          <cell r="E12148" t="str">
            <v>PAULO ALFREDO DAMASCENO FERREIRA</v>
          </cell>
        </row>
        <row r="12149">
          <cell r="B12149">
            <v>75352</v>
          </cell>
          <cell r="C12149" t="str">
            <v>SICREDI-FIM LONGO PRAZO MASTER</v>
          </cell>
          <cell r="D12149" t="str">
            <v>SICREDI-FIM LONGO PRAZO MASTER</v>
          </cell>
          <cell r="E12149" t="str">
            <v>BANCO COOPERATIVO SICREDI S/A</v>
          </cell>
        </row>
        <row r="12150">
          <cell r="B12150">
            <v>75353</v>
          </cell>
          <cell r="C12150" t="str">
            <v>LFR FIM</v>
          </cell>
          <cell r="D12150">
            <v>90279</v>
          </cell>
          <cell r="E12150" t="str">
            <v>LFR FIM</v>
          </cell>
        </row>
        <row r="12151">
          <cell r="B12151">
            <v>75354</v>
          </cell>
          <cell r="C12151" t="str">
            <v>FIM ALOCACAO LONGO PRAZO</v>
          </cell>
          <cell r="D12151" t="str">
            <v>FIM ALOCACAO LONGO PRAZO</v>
          </cell>
          <cell r="E12151" t="str">
            <v>FIM ALOCACAO LONGO PRAZO</v>
          </cell>
        </row>
        <row r="12152">
          <cell r="B12152">
            <v>75355</v>
          </cell>
          <cell r="C12152" t="str">
            <v>FIM CP UBR I</v>
          </cell>
          <cell r="D12152">
            <v>304</v>
          </cell>
          <cell r="E12152" t="str">
            <v>QUANTITAS GESTAO DE RECURSOS LTDA</v>
          </cell>
        </row>
        <row r="12153">
          <cell r="B12153">
            <v>75356</v>
          </cell>
          <cell r="C12153" t="str">
            <v>FI RF CP CENTRAIS UNICRED</v>
          </cell>
          <cell r="D12153" t="str">
            <v>FI RF CP CENTRAIS UNICRED</v>
          </cell>
          <cell r="E12153" t="str">
            <v>FI RF CP CENTRAIS UNICRED</v>
          </cell>
        </row>
        <row r="12154">
          <cell r="B12154">
            <v>75357</v>
          </cell>
          <cell r="C12154" t="str">
            <v>FI RF UNICRED CENTRAL RJ</v>
          </cell>
          <cell r="D12154" t="str">
            <v>FI RF UNICRED CENTRAL RJ</v>
          </cell>
          <cell r="E12154" t="str">
            <v>QUANTITAS GESTAO DE RECURSOS LTDA</v>
          </cell>
        </row>
        <row r="12155">
          <cell r="B12155">
            <v>75352</v>
          </cell>
          <cell r="C12155" t="str">
            <v>SICREDI-FIM LONGO PRAZO MASTER</v>
          </cell>
          <cell r="D12155" t="str">
            <v>SICREDI-FIM LONGO PRAZO MASTER</v>
          </cell>
          <cell r="E12155" t="str">
            <v>BANCO COOPERATIVO SICREDI S/A</v>
          </cell>
        </row>
        <row r="12156">
          <cell r="B12156">
            <v>80047</v>
          </cell>
          <cell r="C12156" t="str">
            <v>CONFEDERACAO DAS COOPERATIVAS DO SICREDI</v>
          </cell>
          <cell r="D12156" t="str">
            <v>CONFEDERACAO DAS COOPERATIVAS DO SICREDI</v>
          </cell>
          <cell r="E12156" t="str">
            <v>SICREDI ASSET MANAGEMENT LTDA</v>
          </cell>
        </row>
        <row r="12157">
          <cell r="B12157" t="str">
            <v>M03795072000160</v>
          </cell>
          <cell r="C12157" t="str">
            <v>CONFEDERAÃ‡ÃƒO INTERESTADUAL DAS COOPERATIVAS LIGADAS AO SICREDI</v>
          </cell>
          <cell r="D12157" t="str">
            <v>CONFEDERACAO DAS COOPERATIVAS DO SICREDI</v>
          </cell>
          <cell r="E12157" t="str">
            <v>SICREDI ASSET MANAGEMENT LTDA</v>
          </cell>
        </row>
        <row r="12158">
          <cell r="B12158">
            <v>75361</v>
          </cell>
          <cell r="C12158" t="str">
            <v>SICREDI FAPI RF- FUNDO DE APOSENTADORIA PROGAMADA INDIVIDUAL</v>
          </cell>
          <cell r="D12158" t="str">
            <v>SICREDI FAPI RF- FUNDO DE APOSENTADORIA PROGAMADA INDIVIDUAL</v>
          </cell>
          <cell r="E12158" t="str">
            <v>QUANTITAS GESTAO DE RECURSOS LTDA</v>
          </cell>
        </row>
        <row r="12159">
          <cell r="B12159">
            <v>75362</v>
          </cell>
          <cell r="C12159" t="str">
            <v>SICREDI FUNDO DE INVESTIMENTO DE RENDA FIXA IS PREVIDENCIA</v>
          </cell>
          <cell r="D12159" t="str">
            <v>SICREDI FUNDO DE INVESTIMENTO DE RENDA FIXA IS PREVIDENCIA</v>
          </cell>
          <cell r="E12159" t="str">
            <v>QUANTITAS GESTAO DE RECURSOS LTDA</v>
          </cell>
        </row>
        <row r="12160">
          <cell r="B12160">
            <v>75363</v>
          </cell>
          <cell r="C12160" t="str">
            <v>SICREDI FI DE RF PREVIDENC ABERTO IS MASTERPREV</v>
          </cell>
          <cell r="D12160" t="str">
            <v>SICREDI FI DE RF PREVIDENC ABERTO IS MASTERPREV</v>
          </cell>
          <cell r="E12160" t="str">
            <v>QUANTITAS GESTAO DE RECURSOS LTDA</v>
          </cell>
        </row>
        <row r="12161">
          <cell r="B12161">
            <v>75364</v>
          </cell>
          <cell r="C12161" t="str">
            <v>SICREDI FI RF IS PREVIDENCIA III CP</v>
          </cell>
          <cell r="D12161" t="str">
            <v>SICREDI FI RF IS PREVIDENCIA III CP</v>
          </cell>
          <cell r="E12161" t="str">
            <v>QUANTITAS GESTAO DE RECURSOS LTDA</v>
          </cell>
        </row>
        <row r="12162">
          <cell r="B12162">
            <v>75365</v>
          </cell>
          <cell r="C12162" t="str">
            <v>SOBERANO SAUDE FI RF LP DEDICADO AO SETOR SAUDE SUPLEMENTAR</v>
          </cell>
          <cell r="D12162" t="str">
            <v>SOBERANO SAUDE FI RF LP DEDICADO AO SETOR SAUDE SUPLEMENTAR</v>
          </cell>
          <cell r="E12162" t="str">
            <v>QUANTITAS GESTAO DE RECURSOS LTDA</v>
          </cell>
        </row>
        <row r="12163">
          <cell r="B12163">
            <v>75366</v>
          </cell>
          <cell r="C12163" t="str">
            <v>LOUIS DREYFUS COMPANY BRASIL S/A</v>
          </cell>
          <cell r="D12163" t="str">
            <v>LOUIS DREYFUS COMPANY BRASIL S/A</v>
          </cell>
          <cell r="E12163" t="str">
            <v>LOUIS DREYFUS COMPANY BRASIL S/A</v>
          </cell>
        </row>
        <row r="12164">
          <cell r="B12164">
            <v>75367</v>
          </cell>
          <cell r="C12164" t="str">
            <v>SECURITY PLUS MULT. FIM</v>
          </cell>
          <cell r="D12164" t="str">
            <v>SECURITY PLUS MULT. FIM</v>
          </cell>
          <cell r="E12164" t="str">
            <v>SECURITY PLUS MULT. FIM</v>
          </cell>
        </row>
        <row r="12165">
          <cell r="B12165">
            <v>75368</v>
          </cell>
          <cell r="C12165" t="str">
            <v>SUMTER OVERSEAS LLC</v>
          </cell>
          <cell r="D12165" t="str">
            <v>SUMTER OVERSEAS LLC</v>
          </cell>
          <cell r="E12165" t="str">
            <v>SUMTER OVERSEAS LLC</v>
          </cell>
        </row>
        <row r="12166">
          <cell r="B12166">
            <v>75369</v>
          </cell>
          <cell r="C12166" t="str">
            <v>JAU FIM CP INVESTIMENTO NO EXTERIOR</v>
          </cell>
          <cell r="D12166" t="str">
            <v>JAU FIM CP INVESTIMENTO NO EXTERIOR</v>
          </cell>
          <cell r="E12166" t="str">
            <v>CONSENSO INVESTIMENTOS LTDA</v>
          </cell>
        </row>
        <row r="12167">
          <cell r="B12167">
            <v>75370</v>
          </cell>
          <cell r="C12167" t="str">
            <v>NORTEAR FIM CP IE</v>
          </cell>
          <cell r="D12167">
            <v>322</v>
          </cell>
          <cell r="E12167" t="str">
            <v>NORTEAR FIM CP IE</v>
          </cell>
        </row>
        <row r="12168">
          <cell r="B12168">
            <v>75371</v>
          </cell>
          <cell r="C12168" t="str">
            <v>IPANEMA 4 FIM CP IE</v>
          </cell>
          <cell r="D12168" t="str">
            <v>IPANEMA 4 FIM CP IE</v>
          </cell>
          <cell r="E12168" t="str">
            <v>IPANEMA GESTORA DE RECURSOS LTDA</v>
          </cell>
        </row>
        <row r="12169">
          <cell r="B12169">
            <v>75372</v>
          </cell>
          <cell r="C12169" t="str">
            <v>MIRAMAR II FIM CP INVESTIMENTO NO EXTERIOR</v>
          </cell>
          <cell r="D12169" t="str">
            <v>MIRAMAR II FIM CP INVESTIMENTO NO EXTERIOR</v>
          </cell>
          <cell r="E12169" t="str">
            <v>CONSENSO INVESTIMENTOS LTDA</v>
          </cell>
        </row>
        <row r="12170">
          <cell r="B12170">
            <v>75373</v>
          </cell>
          <cell r="C12170" t="str">
            <v>TRADITION FIM CP IE</v>
          </cell>
          <cell r="D12170" t="str">
            <v>TRADITION FIM CP IE</v>
          </cell>
          <cell r="E12170" t="str">
            <v>TRADITION FIM CP IE</v>
          </cell>
        </row>
        <row r="12171">
          <cell r="B12171">
            <v>75374</v>
          </cell>
          <cell r="C12171" t="str">
            <v>JUPITER FIM CP IE</v>
          </cell>
          <cell r="D12171" t="str">
            <v>JUPITER FIM CP IE</v>
          </cell>
          <cell r="E12171" t="str">
            <v>JUPITER FIM CP IE</v>
          </cell>
        </row>
        <row r="12172">
          <cell r="B12172">
            <v>75375</v>
          </cell>
          <cell r="C12172" t="str">
            <v>CONSENSO FI RF CP</v>
          </cell>
          <cell r="D12172" t="str">
            <v>CONSENSO FI RF CP</v>
          </cell>
          <cell r="E12172" t="str">
            <v>CONSENSO INVESTIMENTOS LTDA</v>
          </cell>
        </row>
        <row r="12173">
          <cell r="B12173">
            <v>75376</v>
          </cell>
          <cell r="C12173" t="str">
            <v>BANCO STANDARD DE INVESTIMENTOS S/A</v>
          </cell>
          <cell r="D12173" t="str">
            <v>BANCO STANDARD DE INVESTIMENTOS S/A</v>
          </cell>
          <cell r="E12173" t="str">
            <v>BANCO STANDARD DE INVESTIMENTOS S/A</v>
          </cell>
        </row>
        <row r="12174">
          <cell r="B12174">
            <v>75377</v>
          </cell>
          <cell r="C12174" t="str">
            <v>STANDARD BANK PLC</v>
          </cell>
          <cell r="D12174" t="str">
            <v>STANDARD BANK PLC</v>
          </cell>
          <cell r="E12174" t="str">
            <v>STANDARD BANK PLC</v>
          </cell>
        </row>
        <row r="12175">
          <cell r="B12175">
            <v>75378</v>
          </cell>
          <cell r="C12175" t="str">
            <v>PRINCIPAL ASSET MANAGEMENT LTDA</v>
          </cell>
          <cell r="D12175">
            <v>267</v>
          </cell>
          <cell r="E12175" t="str">
            <v>PRINCIPAL ASSET MANAGEMENT LTDA</v>
          </cell>
        </row>
        <row r="12176">
          <cell r="B12176">
            <v>75379</v>
          </cell>
          <cell r="C12176" t="str">
            <v>STANDARD CHARTERED BANK (BRASIL) S.A BCO DE INVESTIMENTO</v>
          </cell>
          <cell r="D12176" t="str">
            <v>STANDARD CHARTERED BANK (BRASIL) S.A BCO DE INVESTIMENTO</v>
          </cell>
          <cell r="E12176" t="str">
            <v>STANDARD CHARTERED BANK (BRASIL) S.A BCO DE INVESTIMENTO</v>
          </cell>
        </row>
        <row r="12177">
          <cell r="B12177">
            <v>75389</v>
          </cell>
          <cell r="C12177" t="str">
            <v>SAO PAULO PARTNERS LLC</v>
          </cell>
          <cell r="D12177" t="str">
            <v>SAO PAULO PARTNERS LLC</v>
          </cell>
          <cell r="E12177" t="str">
            <v>SAO PAULO PARTNERS LLC</v>
          </cell>
        </row>
        <row r="12178">
          <cell r="B12178">
            <v>75396</v>
          </cell>
          <cell r="C12178" t="str">
            <v>ELECTRA FIA</v>
          </cell>
          <cell r="D12178" t="str">
            <v>ELECTRA FIA</v>
          </cell>
          <cell r="E12178" t="str">
            <v>ELECTRA FIA</v>
          </cell>
        </row>
        <row r="12179">
          <cell r="B12179">
            <v>75397</v>
          </cell>
          <cell r="C12179" t="str">
            <v>CRPC MAURITSSTAD FIA</v>
          </cell>
          <cell r="D12179" t="str">
            <v>CRPC MAURITSSTAD FIA</v>
          </cell>
          <cell r="E12179" t="str">
            <v>CRPC MAURITSSTAD FIA</v>
          </cell>
        </row>
        <row r="12180">
          <cell r="B12180">
            <v>75398</v>
          </cell>
          <cell r="C12180" t="str">
            <v>UBIRAJARA PENNA PESSOA</v>
          </cell>
          <cell r="D12180" t="str">
            <v>UBIRAJARA PENNA PESSOA</v>
          </cell>
          <cell r="E12180" t="str">
            <v>UBIRAJARA PENNA PESSOA</v>
          </cell>
        </row>
        <row r="12181">
          <cell r="B12181">
            <v>75399</v>
          </cell>
          <cell r="C12181" t="str">
            <v>NOBEL INSTITUCIONAL FIM</v>
          </cell>
          <cell r="D12181" t="str">
            <v>NOBEL INSTITUCIONAL FIM</v>
          </cell>
          <cell r="E12181" t="str">
            <v>NOBEL INSTITUCIONAL FIM</v>
          </cell>
        </row>
        <row r="12182">
          <cell r="B12182">
            <v>75422</v>
          </cell>
          <cell r="C12182" t="str">
            <v>MAINSTAY AÃ‡Ã•ES FIA</v>
          </cell>
          <cell r="D12182" t="str">
            <v>MAINSTAY AÃ‡Ã•ES FIA</v>
          </cell>
          <cell r="E12182" t="str">
            <v>PATRIA INVESTIMENTOS LTDA</v>
          </cell>
        </row>
        <row r="12183">
          <cell r="B12183">
            <v>75426</v>
          </cell>
          <cell r="C12183" t="str">
            <v>14 BIS FIM</v>
          </cell>
          <cell r="D12183" t="str">
            <v>14 BIS FIM</v>
          </cell>
          <cell r="E12183" t="str">
            <v>14 BIS FIM</v>
          </cell>
        </row>
        <row r="12184">
          <cell r="B12184">
            <v>75431</v>
          </cell>
          <cell r="C12184" t="str">
            <v>PAINEIRAS HEDGE FI MULTIMERCADO</v>
          </cell>
          <cell r="D12184" t="str">
            <v>PAINEIRAS HEDGE FI MULTIMERCADO</v>
          </cell>
          <cell r="E12184" t="str">
            <v>IPANEMA GESTORA DE RECURSOS LTDA</v>
          </cell>
        </row>
        <row r="12185">
          <cell r="B12185">
            <v>75433</v>
          </cell>
          <cell r="C12185" t="str">
            <v>PATRIA LONG SHORT FIM</v>
          </cell>
          <cell r="D12185" t="str">
            <v>PATRIA LONG SHORT FIM</v>
          </cell>
          <cell r="E12185" t="str">
            <v>PATRIA LONG SHORT FIM</v>
          </cell>
        </row>
        <row r="12186">
          <cell r="B12186">
            <v>75434</v>
          </cell>
          <cell r="C12186" t="str">
            <v>M SAFRA &amp; CO DTVM S/A</v>
          </cell>
          <cell r="D12186" t="str">
            <v>M SAFRA &amp; CO DTVM S/A</v>
          </cell>
          <cell r="E12186" t="str">
            <v>M SAFRA &amp; CO DTVM S/A</v>
          </cell>
        </row>
        <row r="12187">
          <cell r="B12187">
            <v>75435</v>
          </cell>
          <cell r="C12187" t="str">
            <v>M SAFRA &amp; CO DTVM S/A</v>
          </cell>
          <cell r="D12187" t="str">
            <v>M SAFRA &amp; CO DTVM S/A</v>
          </cell>
          <cell r="E12187" t="str">
            <v>M SAFRA &amp; CO DTVM S/A</v>
          </cell>
        </row>
        <row r="12188">
          <cell r="B12188">
            <v>75444</v>
          </cell>
          <cell r="C12188" t="str">
            <v>MAINSTAY MULTIESTRATEGIA FI EM COTAS DE FI</v>
          </cell>
          <cell r="D12188" t="str">
            <v>MAINSTAY MULTIESTRATEGIA FI EM COTAS DE FI</v>
          </cell>
          <cell r="E12188" t="str">
            <v>PATRIA INVESTIMENTOS LTDA</v>
          </cell>
        </row>
        <row r="12189">
          <cell r="B12189">
            <v>75455</v>
          </cell>
          <cell r="C12189" t="str">
            <v>PATRIA MULTIESTRATEGIA MASTER FIM</v>
          </cell>
          <cell r="D12189" t="str">
            <v>PATRIA MULTIESTRATEGIA MASTER FIM</v>
          </cell>
          <cell r="E12189" t="str">
            <v>PATRIA MULTIESTRATEGIA MASTER FIM</v>
          </cell>
        </row>
        <row r="12190">
          <cell r="B12190">
            <v>75458</v>
          </cell>
          <cell r="C12190" t="str">
            <v>FIM MINKE</v>
          </cell>
          <cell r="D12190">
            <v>458</v>
          </cell>
          <cell r="E12190" t="str">
            <v>BRAM - BRADESCO ASSET MANAGEMENT S/A DTVM</v>
          </cell>
        </row>
        <row r="12191">
          <cell r="B12191">
            <v>75466</v>
          </cell>
          <cell r="C12191" t="str">
            <v>TUIAS FUNDO DE INVESTIMENTO DE AÃ‡Ã•ES</v>
          </cell>
          <cell r="D12191" t="str">
            <v>TUIAS FUNDO DE INVESTIMENTO DE AÃ‡Ã•ES</v>
          </cell>
          <cell r="E12191" t="str">
            <v>TUIAS FUNDO DE INVESTIMENTO DE AÃ‡Ã•ES</v>
          </cell>
        </row>
        <row r="12192">
          <cell r="B12192">
            <v>75467</v>
          </cell>
          <cell r="C12192" t="str">
            <v>PATRIA EQUITY MASTER FIA</v>
          </cell>
          <cell r="D12192" t="str">
            <v>PATRIA EQUITY MASTER FIA</v>
          </cell>
          <cell r="E12192" t="str">
            <v>PATRIA EQUITY MASTER FIA</v>
          </cell>
        </row>
        <row r="12193">
          <cell r="B12193">
            <v>75469</v>
          </cell>
          <cell r="C12193" t="str">
            <v>NIDERA SEMENTES LTDA</v>
          </cell>
          <cell r="D12193">
            <v>276</v>
          </cell>
          <cell r="E12193" t="str">
            <v>NIDERA SEMENTES LTDA</v>
          </cell>
        </row>
        <row r="12194">
          <cell r="B12194">
            <v>75477</v>
          </cell>
          <cell r="C12194" t="str">
            <v>BI INVEST PARTICIPAÃ‡Ã•ES E FINANÃ‡AS CORPORATIVAS LTDA</v>
          </cell>
          <cell r="D12194" t="str">
            <v>BI INVEST PARTICIPAÃ‡Ã•ES E FINANÃ‡AS CORPORATIVAS LTDA</v>
          </cell>
          <cell r="E12194" t="str">
            <v>BI INVEST PARTICIPAÃ‡Ã•ES E FINANÃ‡AS CORPORATIVAS LTDA</v>
          </cell>
        </row>
        <row r="12195">
          <cell r="B12195">
            <v>75480</v>
          </cell>
          <cell r="C12195" t="str">
            <v>BRF BRASIL FOODS S/A</v>
          </cell>
          <cell r="D12195" t="str">
            <v>BRF BRASIL FOODS S/A</v>
          </cell>
          <cell r="E12195" t="str">
            <v>BRF PREVIDENCIA</v>
          </cell>
        </row>
        <row r="12196">
          <cell r="B12196">
            <v>75491</v>
          </cell>
          <cell r="C12196" t="str">
            <v>BANCO BMG S/A</v>
          </cell>
          <cell r="D12196" t="str">
            <v>BANCO BMG S/A</v>
          </cell>
          <cell r="E12196" t="str">
            <v>BANCO BMG S/A</v>
          </cell>
        </row>
        <row r="12197">
          <cell r="B12197">
            <v>75499</v>
          </cell>
          <cell r="C12197" t="str">
            <v>INOVAR SERVIÃ‡OS E APOIO ADM LTDA</v>
          </cell>
          <cell r="D12197" t="str">
            <v>INOVAR SERVIÃ‡OS E APOIO ADM LTDA</v>
          </cell>
          <cell r="E12197" t="str">
            <v>INOVAR SERVIÃ‡OS E APOIO ADM LTDA</v>
          </cell>
        </row>
        <row r="12198">
          <cell r="B12198">
            <v>755</v>
          </cell>
          <cell r="C12198" t="str">
            <v>ICAP DO BRASIL CTVM LTDA ( ATUAL TULLET)</v>
          </cell>
          <cell r="D12198" t="str">
            <v>ICAP DO BRASIL CTVM LTDA ( ATUAL TULLET)</v>
          </cell>
          <cell r="E12198" t="str">
            <v>ICAP DO BRASIL CTVM LTDA ( ATUAL TULLET)</v>
          </cell>
        </row>
        <row r="12199">
          <cell r="B12199">
            <v>75684</v>
          </cell>
          <cell r="C12199" t="str">
            <v>SUDAMERIS FIM VENUS</v>
          </cell>
          <cell r="D12199" t="str">
            <v>SUDAMERIS FIM VENUS</v>
          </cell>
          <cell r="E12199" t="str">
            <v>SUDAMERIS FIM VENUS</v>
          </cell>
        </row>
        <row r="12200">
          <cell r="B12200">
            <v>75687</v>
          </cell>
          <cell r="C12200" t="str">
            <v>TERMOPERNAMBUCO SA</v>
          </cell>
          <cell r="D12200" t="str">
            <v>TERMOPERNAMBUCO SA</v>
          </cell>
          <cell r="E12200" t="str">
            <v>TERMOPERNAMBUCO SA</v>
          </cell>
        </row>
        <row r="12201">
          <cell r="B12201">
            <v>75698</v>
          </cell>
          <cell r="C12201" t="str">
            <v>META 11 FIA</v>
          </cell>
          <cell r="D12201" t="str">
            <v>META 11 FIA</v>
          </cell>
          <cell r="E12201" t="str">
            <v>META 11 FIA</v>
          </cell>
        </row>
        <row r="12202">
          <cell r="B12202">
            <v>757</v>
          </cell>
          <cell r="C12202" t="str">
            <v>ICAP DO BRASIL CTVM LTDA ( ATUAL TULLET)</v>
          </cell>
          <cell r="D12202" t="str">
            <v>ICAP DO BRASIL CTVM LTDA ( ATUAL TULLET)</v>
          </cell>
          <cell r="E12202" t="str">
            <v>ICAP DO BRASIL CTVM LTDA ( ATUAL TULLET)</v>
          </cell>
        </row>
        <row r="12203">
          <cell r="B12203">
            <v>75778</v>
          </cell>
          <cell r="C12203" t="str">
            <v>FIM VERONA</v>
          </cell>
          <cell r="D12203">
            <v>562</v>
          </cell>
          <cell r="E12203" t="str">
            <v>FIM VERONA</v>
          </cell>
        </row>
        <row r="12204">
          <cell r="B12204">
            <v>75781</v>
          </cell>
          <cell r="C12204" t="str">
            <v>FIM FOREIGN INVESTMENT</v>
          </cell>
          <cell r="D12204" t="str">
            <v>FIM FOREIGN INVESTMENT</v>
          </cell>
          <cell r="E12204" t="str">
            <v>CITIBANK DTVM S/A</v>
          </cell>
        </row>
        <row r="12205">
          <cell r="B12205">
            <v>75782</v>
          </cell>
          <cell r="C12205" t="str">
            <v>FIM CONEJO FUND</v>
          </cell>
          <cell r="D12205">
            <v>151</v>
          </cell>
          <cell r="E12205" t="str">
            <v>BANCO CITIBANK S/A</v>
          </cell>
        </row>
        <row r="12206">
          <cell r="B12206">
            <v>75833</v>
          </cell>
          <cell r="C12206" t="str">
            <v>HSBC BANK USA, NATIONAL ASSOCIATION</v>
          </cell>
          <cell r="D12206">
            <v>36</v>
          </cell>
          <cell r="E12206" t="str">
            <v>BANCO HSBC S/A</v>
          </cell>
        </row>
        <row r="12207">
          <cell r="B12207">
            <v>75949</v>
          </cell>
          <cell r="C12207" t="str">
            <v>STANDARD CHARTERED BANK</v>
          </cell>
          <cell r="D12207" t="str">
            <v>STANDARD CHARTERED BANK</v>
          </cell>
          <cell r="E12207" t="str">
            <v>STANDARD CHARTERED BANK</v>
          </cell>
        </row>
        <row r="12208">
          <cell r="B12208">
            <v>75987</v>
          </cell>
          <cell r="C12208" t="str">
            <v>ROMA 1947 FIM CP INVESTIMENTO NO EXTERIOR</v>
          </cell>
          <cell r="D12208" t="str">
            <v>ROMA 1947 FIM CP INVESTIMENTO NO EXTERIOR</v>
          </cell>
          <cell r="E12208" t="str">
            <v>ROMA 1947 FIM CP INVESTIMENTO NO EXTERIOR</v>
          </cell>
        </row>
        <row r="12209">
          <cell r="B12209">
            <v>75988</v>
          </cell>
          <cell r="C12209" t="str">
            <v>JURO REAL FI RENDA FIXA CP</v>
          </cell>
          <cell r="D12209" t="str">
            <v>JURO REAL FI RENDA FIXA CP</v>
          </cell>
          <cell r="E12209" t="str">
            <v>JURO REAL FI RENDA FIXA CP</v>
          </cell>
        </row>
        <row r="12210">
          <cell r="B12210">
            <v>75989</v>
          </cell>
          <cell r="C12210" t="str">
            <v>CHRISTIANO MARCONDES DE BARROS LIMA</v>
          </cell>
          <cell r="D12210" t="str">
            <v>CHRISTIANO MARCONDES DE BARROS LIMA</v>
          </cell>
          <cell r="E12210" t="str">
            <v>CHRISTIANO MARCONDES DE BARROS LIMA</v>
          </cell>
        </row>
        <row r="12211">
          <cell r="B12211">
            <v>75999</v>
          </cell>
          <cell r="C12211" t="str">
            <v>ALEXANDRO GAYOSO DA SILVA MARCEL</v>
          </cell>
          <cell r="D12211" t="str">
            <v>ALEXANDRO GAYOSO DA SILVA MARCEL</v>
          </cell>
          <cell r="E12211" t="str">
            <v>ALEXANDRO GAYOSO DA SILVA MARCEL</v>
          </cell>
        </row>
        <row r="12212">
          <cell r="B12212">
            <v>7740</v>
          </cell>
          <cell r="C12212" t="str">
            <v>BANCO BARCLAYS S/A</v>
          </cell>
          <cell r="D12212" t="str">
            <v>BANCO BARCLAYS S/A</v>
          </cell>
          <cell r="E12212" t="str">
            <v>BARCLAYS BANK PLC</v>
          </cell>
        </row>
        <row r="12213">
          <cell r="B12213">
            <v>79881</v>
          </cell>
          <cell r="C12213" t="str">
            <v>XP DEBENTURES INCENTIVADAS HEDGE CP MASTER FIM</v>
          </cell>
          <cell r="D12213" t="str">
            <v>XP DEBENTURES INCENTIVADAS HEDGE CP MASTER FIM</v>
          </cell>
          <cell r="E12213" t="str">
            <v>XP GESTAO DE RECURSOS LTDA</v>
          </cell>
        </row>
        <row r="12214">
          <cell r="B12214">
            <v>78</v>
          </cell>
          <cell r="C12214" t="str">
            <v>MAXIMA S/A CTVM</v>
          </cell>
          <cell r="D12214" t="str">
            <v>MAXIMA S/A CTVM</v>
          </cell>
          <cell r="E12214" t="str">
            <v>MAXIMA S/A CTVM</v>
          </cell>
        </row>
        <row r="12215">
          <cell r="B12215">
            <v>78334</v>
          </cell>
          <cell r="C12215" t="str">
            <v>ANA MARISA FERES NASCIF</v>
          </cell>
          <cell r="D12215" t="str">
            <v>ANA MARISA FERES NASCIF</v>
          </cell>
          <cell r="E12215" t="str">
            <v>ANA MARISA FERES NASCIF</v>
          </cell>
        </row>
        <row r="12216">
          <cell r="B12216">
            <v>78335</v>
          </cell>
          <cell r="C12216" t="str">
            <v>ALMIR DE OLIVEIRA MENEZES</v>
          </cell>
          <cell r="D12216" t="str">
            <v>ALMIR DE OLIVEIRA MENEZES</v>
          </cell>
          <cell r="E12216" t="str">
            <v>ALMIR DE OLIVEIRA MENEZES</v>
          </cell>
        </row>
        <row r="12217">
          <cell r="B12217">
            <v>78336</v>
          </cell>
          <cell r="C12217" t="str">
            <v>ADVIS DELTA FIM</v>
          </cell>
          <cell r="D12217" t="str">
            <v>ADVIS DELTA FIM</v>
          </cell>
          <cell r="E12217" t="str">
            <v>ADVIS DELTA FIM</v>
          </cell>
        </row>
        <row r="12218">
          <cell r="B12218">
            <v>78337</v>
          </cell>
          <cell r="C12218" t="str">
            <v>ADVIS FIA</v>
          </cell>
          <cell r="D12218" t="str">
            <v>ADVIS FIA</v>
          </cell>
          <cell r="E12218" t="str">
            <v>ADVIS INVESTIMENTOS LTDA (ANTIGO ADVISOR ADM DE RECURSOS)</v>
          </cell>
        </row>
        <row r="12219">
          <cell r="B12219">
            <v>78338</v>
          </cell>
          <cell r="C12219" t="str">
            <v>ADVIS MACRO FIM</v>
          </cell>
          <cell r="D12219" t="str">
            <v>ADVIS MACRO FIM</v>
          </cell>
          <cell r="E12219" t="str">
            <v>ADVIS MACRO FIM</v>
          </cell>
        </row>
        <row r="12220">
          <cell r="B12220">
            <v>78339</v>
          </cell>
          <cell r="C12220" t="str">
            <v>ADVIS MACRO MASTER FUNDO DE INVESTIMENTO MULTIMERCADO</v>
          </cell>
          <cell r="D12220" t="str">
            <v>ADVIS MACRO MASTER FUNDO DE INVESTIMENTO MULTIMERCADO</v>
          </cell>
          <cell r="E12220" t="str">
            <v>ADVIS INVESTIMENTOS LTDA (ANTIGO ADVISOR ADM DE RECURSOS)</v>
          </cell>
        </row>
        <row r="12221">
          <cell r="B12221">
            <v>78340</v>
          </cell>
          <cell r="C12221" t="str">
            <v>VINCI FUNDO DE INVESTIMENTO MULTIMERCADO</v>
          </cell>
          <cell r="D12221" t="str">
            <v>VINCI FUNDO DE INVESTIMENTO MULTIMERCADO</v>
          </cell>
          <cell r="E12221" t="str">
            <v>VINCI GESTORA DE RECURSOS LTDA</v>
          </cell>
        </row>
        <row r="12222">
          <cell r="B12222">
            <v>78341</v>
          </cell>
          <cell r="C12222" t="str">
            <v>ADVIS DELTA MASTER FUNDO DE INVESTIMENTO MULTIMERCADO</v>
          </cell>
          <cell r="D12222" t="str">
            <v>ADVIS DELTA MASTER FUNDO DE INVESTIMENTO MULTIMERCADO</v>
          </cell>
          <cell r="E12222" t="str">
            <v>ADVIS INVESTIMENTOS LTDA (ANTIGO ADVISOR ADM DE RECURSOS)</v>
          </cell>
        </row>
        <row r="12223">
          <cell r="B12223">
            <v>78342</v>
          </cell>
          <cell r="C12223" t="str">
            <v>ADVIS EQUITY HEDGE MASTER FUNDO DE INVESTIMENTO MULTIMERCADO</v>
          </cell>
          <cell r="D12223" t="str">
            <v>ADVIS EQUITY HEDGE MASTER FUNDO DE INVESTIMENTO MULTIMERCADO</v>
          </cell>
          <cell r="E12223" t="str">
            <v>ADVIS INVESTIMENTOS LTDA (ANTIGO ADVISOR ADM DE RECURSOS)</v>
          </cell>
        </row>
        <row r="12224">
          <cell r="B12224">
            <v>78343</v>
          </cell>
          <cell r="C12224" t="str">
            <v>ADVIS LONG SHORT MASTER FUNDO DE INVESTIMENTO MULTIMERCADO</v>
          </cell>
          <cell r="D12224" t="str">
            <v>ADVIS LONG SHORT MASTER FUNDO DE INVESTIMENTO MULTIMERCADO</v>
          </cell>
          <cell r="E12224" t="str">
            <v>ADVIS INVESTIMENTOS LTDA (ANTIGO ADVISOR ADM DE RECURSOS)</v>
          </cell>
        </row>
        <row r="12225">
          <cell r="B12225">
            <v>78344</v>
          </cell>
          <cell r="C12225" t="str">
            <v>ADVIS ENDURO FUNDO DE INVESTIMENTO MULTIMERCADO</v>
          </cell>
          <cell r="D12225" t="str">
            <v>ADVIS ENDURO FUNDO DE INVESTIMENTO MULTIMERCADO</v>
          </cell>
          <cell r="E12225" t="str">
            <v>ADVIS INVESTIMENTOS LTDA (ANTIGO ADVISOR ADM DE RECURSOS)</v>
          </cell>
        </row>
        <row r="12226">
          <cell r="B12226">
            <v>78440</v>
          </cell>
          <cell r="C12226" t="str">
            <v>NOVO ELDORADO FUNDO DE INVESTIMENTO MULTIMERCADO</v>
          </cell>
          <cell r="D12226" t="str">
            <v>NOVO ELDORADO FUNDO DE INVESTIMENTO MULTIMERCADO</v>
          </cell>
          <cell r="E12226" t="str">
            <v>FORSIX ADMINISTRADORA DE RECURSOS LTDA</v>
          </cell>
        </row>
        <row r="12227">
          <cell r="B12227">
            <v>78441</v>
          </cell>
          <cell r="C12227" t="str">
            <v>EDIOM FUNDO DE INVESTIMENTO MULTIMERCADO</v>
          </cell>
          <cell r="D12227" t="str">
            <v>EDIOM FUNDO DE INVESTIMENTO MULTIMERCADO</v>
          </cell>
          <cell r="E12227" t="str">
            <v>FORSIX ADMINISTRADORA DE RECURSOS LTDA</v>
          </cell>
        </row>
        <row r="12228">
          <cell r="B12228">
            <v>78442</v>
          </cell>
          <cell r="C12228" t="str">
            <v>DEUTSCHE BANK AG LONDON GLOBAL MARKETS</v>
          </cell>
          <cell r="D12228" t="str">
            <v>DEUTSCHE BANK AG LONDON GLOBAL MARKETS</v>
          </cell>
          <cell r="E12228" t="str">
            <v>DEUTSCHE BANK S/A</v>
          </cell>
        </row>
        <row r="12229">
          <cell r="B12229">
            <v>79122</v>
          </cell>
          <cell r="C12229" t="str">
            <v>BRASIF PLUS FIM</v>
          </cell>
          <cell r="D12229" t="str">
            <v>BRASIF PLUS FIM</v>
          </cell>
          <cell r="E12229" t="str">
            <v>BRASIF PLUS FIM</v>
          </cell>
        </row>
        <row r="12230">
          <cell r="B12230">
            <v>79123</v>
          </cell>
          <cell r="C12230" t="str">
            <v>COLORADO FUNDO DE INVESTIMENTO MULTIMARCADO CP</v>
          </cell>
          <cell r="D12230" t="str">
            <v>COLORADO FUNDO DE INVESTIMENTO MULTIMARCADO CP</v>
          </cell>
          <cell r="E12230" t="str">
            <v>COLORADO FUNDO DE INVESTIMENTO MULTIMARCADO CP</v>
          </cell>
        </row>
        <row r="12231">
          <cell r="B12231">
            <v>79124</v>
          </cell>
          <cell r="C12231" t="str">
            <v>ROYAL BANK OF CANADA - US TRANSIT</v>
          </cell>
          <cell r="D12231" t="str">
            <v>198*</v>
          </cell>
          <cell r="E12231" t="str">
            <v>ROYAL BANK OF CANADA - US TRANSIT</v>
          </cell>
        </row>
        <row r="12232">
          <cell r="B12232">
            <v>80050</v>
          </cell>
          <cell r="C12232" t="str">
            <v>IBIUNA LOCAL FIM</v>
          </cell>
          <cell r="D12232" t="str">
            <v>IBIUNA LOCAL FIM</v>
          </cell>
          <cell r="E12232" t="str">
            <v>IBIUNA GESTAO DE RECURSOS LTDA</v>
          </cell>
        </row>
        <row r="12233">
          <cell r="B12233">
            <v>79126</v>
          </cell>
          <cell r="C12233" t="str">
            <v>IPORANGA INVESTIMENTOS LTDA</v>
          </cell>
          <cell r="D12233">
            <v>339</v>
          </cell>
          <cell r="E12233" t="str">
            <v>IPORANGA INVESTIMENTOS LTDA</v>
          </cell>
        </row>
        <row r="12234">
          <cell r="B12234">
            <v>79127</v>
          </cell>
          <cell r="C12234" t="str">
            <v>DA VINCI FIM INVEST NO EXTERIOR CP</v>
          </cell>
          <cell r="D12234" t="str">
            <v>DA VINCI FIM INVEST NO EXTERIOR CP</v>
          </cell>
          <cell r="E12234" t="str">
            <v>DA VINCI FIM INVEST NO EXTERIOR CP</v>
          </cell>
        </row>
        <row r="12235">
          <cell r="B12235">
            <v>79128</v>
          </cell>
          <cell r="C12235" t="str">
            <v>GALILEU FIM  INVEST NO EXTERIOR CP</v>
          </cell>
          <cell r="D12235" t="str">
            <v>GALILEU FIM  INVEST NO EXTERIOR CP</v>
          </cell>
          <cell r="E12235" t="str">
            <v>GALILEU FIM  INVEST NO EXTERIOR CP</v>
          </cell>
        </row>
        <row r="12236">
          <cell r="B12236">
            <v>79129</v>
          </cell>
          <cell r="C12236" t="str">
            <v>OMEGA - FIM CP INVESTIMENTO NO EXTERIOR</v>
          </cell>
          <cell r="D12236" t="str">
            <v>OMEGA - FIM CP INVESTIMENTO NO EXTERIOR</v>
          </cell>
          <cell r="E12236" t="str">
            <v>JGP GESTAO PATRIMONIAL LTDA</v>
          </cell>
        </row>
        <row r="12237">
          <cell r="B12237">
            <v>79130</v>
          </cell>
          <cell r="C12237" t="str">
            <v>SIGMA FIM CP IE</v>
          </cell>
          <cell r="D12237" t="str">
            <v>SIGMA FIM CP IE</v>
          </cell>
          <cell r="E12237" t="str">
            <v>SIGMA FIM CP IE</v>
          </cell>
        </row>
        <row r="12238">
          <cell r="B12238">
            <v>79131</v>
          </cell>
          <cell r="C12238" t="str">
            <v>DELTA FIM CP IE</v>
          </cell>
          <cell r="D12238" t="str">
            <v>DELTA FIM CP IE</v>
          </cell>
          <cell r="E12238" t="str">
            <v>CONSENSO INVESTIMENTOS LTDA</v>
          </cell>
        </row>
        <row r="12239">
          <cell r="B12239">
            <v>79132</v>
          </cell>
          <cell r="C12239" t="str">
            <v>PE DE MEIA FIM CP IE</v>
          </cell>
          <cell r="D12239" t="str">
            <v>PE DE MEIA FIM CP IE</v>
          </cell>
          <cell r="E12239" t="str">
            <v>PE DE MEIA FIM CP IE</v>
          </cell>
        </row>
        <row r="12240">
          <cell r="B12240">
            <v>79133</v>
          </cell>
          <cell r="C12240" t="str">
            <v>THOR FIM CP IE</v>
          </cell>
          <cell r="D12240" t="str">
            <v>THOR FIM CP IE</v>
          </cell>
          <cell r="E12240" t="str">
            <v>CONSENSO INVESTIMENTOS LTDA</v>
          </cell>
        </row>
        <row r="12241">
          <cell r="B12241">
            <v>79134</v>
          </cell>
          <cell r="C12241" t="str">
            <v>SDB FUNDO DE INVESTIMENTO MULTIMERCADO</v>
          </cell>
          <cell r="D12241" t="str">
            <v>SDB FUNDO DE INVESTIMENTO MULTIMERCADO</v>
          </cell>
          <cell r="E12241" t="str">
            <v>SDB FUNDO DE INVESTIMENTO MULTIMERCADO</v>
          </cell>
        </row>
        <row r="12242">
          <cell r="B12242">
            <v>124425</v>
          </cell>
          <cell r="C12242" t="str">
            <v>BNP PARIBAS APOEMA FIM CP IE</v>
          </cell>
          <cell r="D12242" t="str">
            <v>BNP PARIBAS APOEMA FIM CP IE</v>
          </cell>
          <cell r="E12242" t="str">
            <v>BNP PARIBAS ASSET MANAGEMENT BRASIL LTDA</v>
          </cell>
        </row>
        <row r="12243">
          <cell r="B12243">
            <v>79136</v>
          </cell>
          <cell r="C12243" t="str">
            <v>MTTF INVESTMENTS LLC</v>
          </cell>
          <cell r="D12243" t="str">
            <v>MTTF INVESTMENTS LLC</v>
          </cell>
          <cell r="E12243" t="str">
            <v>SIP CAPITAL EQUITIES INVESTIMENTOS LTDA</v>
          </cell>
        </row>
        <row r="12244">
          <cell r="B12244">
            <v>79137</v>
          </cell>
          <cell r="C12244" t="str">
            <v>SIP CAPITAL FIM INVEST NO EXTERIOR</v>
          </cell>
          <cell r="D12244" t="str">
            <v>SIP CAPITAL FIM INVEST NO EXTERIOR</v>
          </cell>
          <cell r="E12244" t="str">
            <v>SIP CAPITAL EQUITIES INVESTIMENTOS LTDA</v>
          </cell>
        </row>
        <row r="12245">
          <cell r="B12245">
            <v>79138</v>
          </cell>
          <cell r="C12245" t="str">
            <v>MAUA INVESTIMENTOS LTDA</v>
          </cell>
          <cell r="D12245">
            <v>90107</v>
          </cell>
          <cell r="E12245" t="str">
            <v>MAUA INVESTIMENTOS LTDA</v>
          </cell>
        </row>
        <row r="12246">
          <cell r="B12246">
            <v>79139</v>
          </cell>
          <cell r="C12246" t="str">
            <v>GAP EQUITY VALUE FIC DE FIA I</v>
          </cell>
          <cell r="D12246" t="str">
            <v>GAP EQUITY VALUE FIC DE FIA I</v>
          </cell>
          <cell r="E12246" t="str">
            <v>GAP EQUITY VALUE FIC DE FIA I</v>
          </cell>
        </row>
        <row r="12247">
          <cell r="B12247">
            <v>79140</v>
          </cell>
          <cell r="C12247" t="str">
            <v>DUO SHARP  FIA</v>
          </cell>
          <cell r="D12247" t="str">
            <v>DUO SHARP  FIA</v>
          </cell>
          <cell r="E12247" t="str">
            <v>DUO SHARP  FIA</v>
          </cell>
        </row>
        <row r="12248">
          <cell r="B12248">
            <v>79141</v>
          </cell>
          <cell r="C12248" t="str">
            <v>EQUITAS EQUITY HEDGE MASTER FIM</v>
          </cell>
          <cell r="D12248" t="str">
            <v>EQUITAS EQUITY HEDGE MASTER FIM</v>
          </cell>
          <cell r="E12248" t="str">
            <v>EQUITAS EQUITY HEDGE MASTER FIM</v>
          </cell>
        </row>
        <row r="12249">
          <cell r="B12249">
            <v>79142</v>
          </cell>
          <cell r="C12249" t="str">
            <v>EQUITAS EQUITY HEDGE FIM</v>
          </cell>
          <cell r="D12249" t="str">
            <v>EQUITAS EQUITY HEDGE FIM</v>
          </cell>
          <cell r="E12249" t="str">
            <v>EQUITAS EQUITY HEDGE FIM</v>
          </cell>
        </row>
        <row r="12250">
          <cell r="B12250">
            <v>79143</v>
          </cell>
          <cell r="C12250" t="str">
            <v>EQUITAS ZENITH FIM</v>
          </cell>
          <cell r="D12250" t="str">
            <v>EQUITAS ZENITH FIM</v>
          </cell>
          <cell r="E12250" t="str">
            <v>EQUITAS ZENITH FIM</v>
          </cell>
        </row>
        <row r="12251">
          <cell r="B12251">
            <v>79144</v>
          </cell>
          <cell r="C12251" t="str">
            <v>EQUITAS MASTER SELECTION FIF DE AÃ‡Ã•ES RL</v>
          </cell>
          <cell r="D12251" t="str">
            <v>EQUITAS MASTER SELECTION FIF DE AÃ‡Ã•ES RL</v>
          </cell>
          <cell r="E12251" t="str">
            <v>DRYS CAPITAL LTDA</v>
          </cell>
        </row>
        <row r="12252">
          <cell r="B12252">
            <v>79145</v>
          </cell>
          <cell r="C12252" t="str">
            <v>LUMA FIM IE</v>
          </cell>
          <cell r="D12252" t="str">
            <v>LUMA FIM IE</v>
          </cell>
          <cell r="E12252" t="str">
            <v>NP ADMINISTRAÃ‡ÃƒO DE RECURSOS LTDA</v>
          </cell>
        </row>
        <row r="12253">
          <cell r="B12253">
            <v>79146</v>
          </cell>
          <cell r="C12253" t="str">
            <v>NP HEDGE FIM</v>
          </cell>
          <cell r="D12253" t="str">
            <v>NP HEDGE FIM</v>
          </cell>
          <cell r="E12253" t="str">
            <v>NP HEDGE FIM</v>
          </cell>
        </row>
        <row r="12254">
          <cell r="B12254">
            <v>79147</v>
          </cell>
          <cell r="C12254" t="str">
            <v>NP FUNDAMENTO FIA</v>
          </cell>
          <cell r="D12254" t="str">
            <v>NP FUNDAMENTO FIA</v>
          </cell>
          <cell r="E12254" t="str">
            <v>NP ADMINISTRAÃ‡ÃƒO DE RECURSOS LTDA</v>
          </cell>
        </row>
        <row r="12255">
          <cell r="B12255">
            <v>79148</v>
          </cell>
          <cell r="C12255" t="str">
            <v>NP TATICO FIM</v>
          </cell>
          <cell r="D12255" t="str">
            <v>NP TATICO FIM</v>
          </cell>
          <cell r="E12255" t="str">
            <v>NP ADMINISTRAÃ‡ÃƒO DE RECURSOS LTDA</v>
          </cell>
        </row>
        <row r="12256">
          <cell r="B12256">
            <v>79149</v>
          </cell>
          <cell r="C12256" t="str">
            <v>NP INSTITUCIONAL FIM</v>
          </cell>
          <cell r="D12256" t="str">
            <v>NP INSTITUCIONAL FIM</v>
          </cell>
          <cell r="E12256" t="str">
            <v>NP ADMINISTRAÃ‡ÃƒO DE RECURSOS LTDA</v>
          </cell>
        </row>
        <row r="12257">
          <cell r="B12257">
            <v>79150</v>
          </cell>
          <cell r="C12257" t="str">
            <v>SPX GESTAO DE RECURSOS LTDA</v>
          </cell>
          <cell r="D12257">
            <v>356</v>
          </cell>
          <cell r="E12257" t="str">
            <v>SPX GESTAO DE RECURSOS LTDA</v>
          </cell>
        </row>
        <row r="12258">
          <cell r="B12258">
            <v>79151</v>
          </cell>
          <cell r="C12258" t="str">
            <v>KONDOR LLC</v>
          </cell>
          <cell r="D12258" t="str">
            <v>KONDOR LLC</v>
          </cell>
          <cell r="E12258" t="str">
            <v>KONDOR ADMINISTRADORA E GESTORA DE RECURSOS FINANCEIROS LTDA</v>
          </cell>
        </row>
        <row r="12259">
          <cell r="B12259">
            <v>79152</v>
          </cell>
          <cell r="C12259" t="str">
            <v>SNOWFLAKE FIM</v>
          </cell>
          <cell r="D12259" t="str">
            <v>SNOWFLAKE FIM</v>
          </cell>
          <cell r="E12259" t="str">
            <v>SNOWFLAKE FIM</v>
          </cell>
        </row>
        <row r="12260">
          <cell r="B12260">
            <v>79153</v>
          </cell>
          <cell r="C12260" t="str">
            <v>GRANADA FIM</v>
          </cell>
          <cell r="D12260" t="str">
            <v>GRANADA FIM</v>
          </cell>
          <cell r="E12260" t="str">
            <v>LAPB GESTAO DE RECURSOS FINANCEIROS LTDA ( ANTIGO MCAP)</v>
          </cell>
        </row>
        <row r="12261">
          <cell r="B12261">
            <v>79154</v>
          </cell>
          <cell r="C12261" t="str">
            <v>POLO NORTE FUNDO DE INVESTIMENTO MULTIMERCADO</v>
          </cell>
          <cell r="D12261" t="str">
            <v>POLO NORTE FUNDO DE INVESTIMENTO MULTIMERCADO</v>
          </cell>
          <cell r="E12261" t="str">
            <v>POLO CAPITAL GESTÃO DE RECURSOS LTDA</v>
          </cell>
        </row>
        <row r="12262">
          <cell r="B12262">
            <v>79155</v>
          </cell>
          <cell r="C12262" t="str">
            <v>POLO MACRO FIM</v>
          </cell>
          <cell r="D12262" t="str">
            <v>POLO MACRO FIM</v>
          </cell>
          <cell r="E12262" t="str">
            <v>POLO CAPITAL GESTÃO DE RECURSOS LTDA</v>
          </cell>
        </row>
        <row r="12263">
          <cell r="B12263">
            <v>79156</v>
          </cell>
          <cell r="C12263" t="str">
            <v>HAITONG BANCO DE INVESTIMENTO DO BRASIL S/A</v>
          </cell>
          <cell r="D12263" t="str">
            <v>HAITONG BANCO DE INVESTIMENTO DO BRASIL S/A</v>
          </cell>
          <cell r="E12263" t="str">
            <v>HAITONG BANCO DE INVESTIMENTO DO BRASIL S/A</v>
          </cell>
        </row>
        <row r="12264">
          <cell r="B12264">
            <v>79158</v>
          </cell>
          <cell r="C12264" t="str">
            <v>BANCO BOCOM BBM S.A</v>
          </cell>
          <cell r="D12264" t="str">
            <v>BANCO BOCOM BBM S.A</v>
          </cell>
          <cell r="E12264" t="str">
            <v>BANCO BOCOM BBM S/A</v>
          </cell>
        </row>
        <row r="12265">
          <cell r="B12265">
            <v>80047</v>
          </cell>
          <cell r="C12265" t="str">
            <v>CONFEDERACAO DAS COOPERATIVAS DO SICREDI</v>
          </cell>
          <cell r="D12265" t="str">
            <v>CONFEDERACAO DAS COOPERATIVAS DO SICREDI</v>
          </cell>
          <cell r="E12265" t="str">
            <v>SICREDI ASSET MANAGEMENT LTDA</v>
          </cell>
        </row>
        <row r="12266">
          <cell r="B12266">
            <v>124433</v>
          </cell>
          <cell r="C12266" t="str">
            <v>BNP PARIBAS RADICE AÃ‡Ã•ES - FI</v>
          </cell>
          <cell r="D12266" t="str">
            <v>BNP PARIBAS RADICE AÃ‡Ã•ES - FI</v>
          </cell>
          <cell r="E12266" t="str">
            <v>BNP PARIBAS ASSET MANAGEMENT BRASIL LTDA</v>
          </cell>
        </row>
        <row r="12267">
          <cell r="B12267">
            <v>79882</v>
          </cell>
          <cell r="C12267" t="str">
            <v>XP FIA BDR NIVEL I</v>
          </cell>
          <cell r="D12267" t="str">
            <v>XP FIA BDR NIVEL I</v>
          </cell>
          <cell r="E12267" t="str">
            <v>XP GESTAO DE RECURSOS LTDA</v>
          </cell>
        </row>
        <row r="12268">
          <cell r="B12268">
            <v>79163</v>
          </cell>
          <cell r="C12268" t="str">
            <v>VINCI EQUITIES GESTORA DE RECURSOS LTDA</v>
          </cell>
          <cell r="D12268">
            <v>344</v>
          </cell>
          <cell r="E12268" t="str">
            <v>VINCI GESTORA DE RECURSOS LTDA</v>
          </cell>
        </row>
        <row r="12269">
          <cell r="B12269">
            <v>79164</v>
          </cell>
          <cell r="C12269" t="str">
            <v>MONGERAL AEGON SOBERANO FI RF</v>
          </cell>
          <cell r="D12269" t="str">
            <v>MONGERAL AEGON SOBERANO FI RF</v>
          </cell>
          <cell r="E12269" t="str">
            <v>MONGERAL AEGON INVESTIMENTOS LTDA</v>
          </cell>
        </row>
        <row r="12270">
          <cell r="B12270">
            <v>79165</v>
          </cell>
          <cell r="C12270" t="str">
            <v>MONGERAL AEGON PREVIDENCIA RENDA FIXA FI</v>
          </cell>
          <cell r="D12270" t="str">
            <v>MONGERAL AEGON PREVIDENCIA RENDA FIXA FI</v>
          </cell>
          <cell r="E12270" t="str">
            <v>MONGERAL AEGON INVESTIMENTOS LTDA</v>
          </cell>
        </row>
        <row r="12271">
          <cell r="B12271">
            <v>79166</v>
          </cell>
          <cell r="C12271" t="str">
            <v>MONGERAL AEGON PREVIDENCIA ACOES FI</v>
          </cell>
          <cell r="D12271" t="str">
            <v>MONGERAL AEGON PREVIDENCIA ACOES FI</v>
          </cell>
          <cell r="E12271" t="str">
            <v>MONGERAL AEGON INVESTIMENTOS LTDA</v>
          </cell>
        </row>
        <row r="12272">
          <cell r="B12272">
            <v>79167</v>
          </cell>
          <cell r="C12272" t="str">
            <v>MONGERAL AEGON INSTITUCIONAL RENDA FIXA FI</v>
          </cell>
          <cell r="D12272" t="str">
            <v>MONGERAL AEGON INSTITUCIONAL RENDA FIXA FI</v>
          </cell>
          <cell r="E12272" t="str">
            <v>MONGERAL AEGON INVESTIMENTOS LTDA</v>
          </cell>
        </row>
        <row r="12273">
          <cell r="B12273">
            <v>80350</v>
          </cell>
          <cell r="C12273" t="str">
            <v>MORE HEDGE FIM</v>
          </cell>
          <cell r="D12273" t="str">
            <v>MORE HEDGE FIM</v>
          </cell>
          <cell r="E12273" t="str">
            <v>MORE INVEST GESTORA DE RECURSOS LTDA</v>
          </cell>
        </row>
        <row r="12274">
          <cell r="B12274">
            <v>79169</v>
          </cell>
          <cell r="C12274" t="str">
            <v>MCAP MACH FIM</v>
          </cell>
          <cell r="D12274" t="str">
            <v>MCAP MACH FIM</v>
          </cell>
          <cell r="E12274" t="str">
            <v>LAPB GESTAO DE RECURSOS FINANCEIROS LTDA ( ANTIGO MCAP)</v>
          </cell>
        </row>
        <row r="12275">
          <cell r="B12275">
            <v>79170</v>
          </cell>
          <cell r="C12275" t="str">
            <v>MCAP VIRTUS FIA</v>
          </cell>
          <cell r="D12275" t="str">
            <v>MCAP VIRTUS FIA</v>
          </cell>
          <cell r="E12275" t="str">
            <v>LAPB GESTAO DE RECURSOS FINANCEIROS LTDA ( ANTIGO MCAP)</v>
          </cell>
        </row>
        <row r="12276">
          <cell r="B12276">
            <v>79171</v>
          </cell>
          <cell r="C12276" t="str">
            <v>ALASKA RANGE FIM</v>
          </cell>
          <cell r="D12276">
            <v>121</v>
          </cell>
          <cell r="E12276" t="str">
            <v>ALASKA RANGE FIM</v>
          </cell>
        </row>
        <row r="12277">
          <cell r="B12277">
            <v>79172</v>
          </cell>
          <cell r="C12277" t="str">
            <v>MCAP MACH MASTER FEEDER FIM</v>
          </cell>
          <cell r="D12277" t="str">
            <v>MCAP MACH MASTER FEEDER FIM</v>
          </cell>
          <cell r="E12277" t="str">
            <v>MCAP MACH MASTER FEEDER FIM</v>
          </cell>
        </row>
        <row r="12278">
          <cell r="B12278">
            <v>79173</v>
          </cell>
          <cell r="C12278" t="str">
            <v>QUORUM LLC</v>
          </cell>
          <cell r="D12278">
            <v>386</v>
          </cell>
          <cell r="E12278" t="str">
            <v>QUORUM LLC</v>
          </cell>
        </row>
        <row r="12279">
          <cell r="B12279">
            <v>79179</v>
          </cell>
          <cell r="C12279" t="str">
            <v>FIA PROPRIETARIO 10</v>
          </cell>
          <cell r="D12279" t="str">
            <v>FIA PROPRIETARIO 10</v>
          </cell>
          <cell r="E12279" t="str">
            <v>PLURAL GESTÃO DE RECURSOS LTDA</v>
          </cell>
        </row>
        <row r="12280">
          <cell r="B12280">
            <v>79175</v>
          </cell>
          <cell r="C12280" t="str">
            <v>FIM CP QUADRA</v>
          </cell>
          <cell r="D12280" t="str">
            <v>FIM CP QUADRA</v>
          </cell>
          <cell r="E12280" t="str">
            <v>FIM CP QUADRA</v>
          </cell>
        </row>
        <row r="12281">
          <cell r="B12281">
            <v>79176</v>
          </cell>
          <cell r="C12281" t="str">
            <v>FIM CP LIVRE</v>
          </cell>
          <cell r="D12281" t="str">
            <v>FIM CP LIVRE</v>
          </cell>
          <cell r="E12281" t="str">
            <v>FIM CP LIVRE</v>
          </cell>
        </row>
        <row r="12282">
          <cell r="B12282">
            <v>79182</v>
          </cell>
          <cell r="C12282" t="str">
            <v>PLURAL BRAZIL (DE) LLC</v>
          </cell>
          <cell r="D12282" t="str">
            <v>PLURAL BRAZIL (DE) LLC</v>
          </cell>
          <cell r="E12282" t="str">
            <v>PLURAL GESTÃO DE RECURSOS LTDA</v>
          </cell>
        </row>
        <row r="12283">
          <cell r="B12283">
            <v>79183</v>
          </cell>
          <cell r="C12283" t="str">
            <v>PLURAL CAPITAL LONG EQUITIES (DE) LLC</v>
          </cell>
          <cell r="D12283" t="str">
            <v>PLURAL CAPITAL LONG EQUITIES (DE) LLC</v>
          </cell>
          <cell r="E12283" t="str">
            <v>PLURAL GESTÃO DE RECURSOS LTDA</v>
          </cell>
        </row>
        <row r="12284">
          <cell r="B12284">
            <v>123838</v>
          </cell>
          <cell r="C12284" t="str">
            <v>BRASIL PLURAL GLOBAL EQUITIES FIA IE</v>
          </cell>
          <cell r="D12284" t="str">
            <v>BRASIL PLURAL GLOBAL EQUITIES FIA IE</v>
          </cell>
          <cell r="E12284" t="str">
            <v>PLURAL GESTÃO DE RECURSOS LTDA</v>
          </cell>
        </row>
        <row r="12285">
          <cell r="B12285">
            <v>125395</v>
          </cell>
          <cell r="C12285" t="str">
            <v>OCCAM INSTITUCIONAL FIF MULTIMERCADO  RL</v>
          </cell>
          <cell r="D12285" t="str">
            <v>OCCAM INSTITUCIONAL FIF MULTIMERCADO  RL</v>
          </cell>
          <cell r="E12285" t="str">
            <v>OCCAM BRASIL GESTAO DE RECURSOS LTDA</v>
          </cell>
        </row>
        <row r="12286">
          <cell r="B12286">
            <v>125396</v>
          </cell>
          <cell r="C12286" t="str">
            <v>OCCAM LONG &amp; SHORT PLUS FIF MULTIMERCADO RESP LTDA</v>
          </cell>
          <cell r="D12286" t="str">
            <v>OCCAM LONG &amp; SHORT PLUS FIF MULTIMERCADO RESP LTDA</v>
          </cell>
          <cell r="E12286" t="str">
            <v>OCCAM BRASIL GESTAO DE RECURSOS LTDA</v>
          </cell>
        </row>
        <row r="12287">
          <cell r="B12287">
            <v>79208</v>
          </cell>
          <cell r="C12287" t="str">
            <v>ORION I FIM</v>
          </cell>
          <cell r="D12287" t="str">
            <v>ORION I FIM</v>
          </cell>
          <cell r="E12287" t="str">
            <v>PLURAL GESTÃO DE RECURSOS LTDA</v>
          </cell>
        </row>
        <row r="12288">
          <cell r="B12288">
            <v>79211</v>
          </cell>
          <cell r="C12288" t="str">
            <v>DG EQUITIES FUNDO DE INVESTIMENTO EM ACOES</v>
          </cell>
          <cell r="D12288" t="str">
            <v>DG EQUITIES FUNDO DE INVESTIMENTO EM ACOES</v>
          </cell>
          <cell r="E12288" t="str">
            <v>PLURAL GESTÃO DE RECURSOS LTDA</v>
          </cell>
        </row>
        <row r="12289">
          <cell r="B12289">
            <v>79184</v>
          </cell>
          <cell r="C12289" t="str">
            <v>MERCATTO BRADESCO MASTER FIA PREVIDENCIARIO</v>
          </cell>
          <cell r="D12289" t="str">
            <v>MERCATTO BRADESCO MASTER FIA PREVIDENCIARIO</v>
          </cell>
          <cell r="E12289" t="str">
            <v>MERCATTO GESTAO DE RECURSOS LTDA</v>
          </cell>
        </row>
        <row r="12290">
          <cell r="B12290">
            <v>79185</v>
          </cell>
          <cell r="C12290" t="str">
            <v>MERCATTO BRADESCO MASTER FI RF PREVIDENCIARIO</v>
          </cell>
          <cell r="D12290" t="str">
            <v>MERCATTO BRADESCO MASTER FI RF PREVIDENCIARIO</v>
          </cell>
          <cell r="E12290" t="str">
            <v>MERCATTO GESTAO DE RECURSOS LTDA</v>
          </cell>
        </row>
        <row r="12291">
          <cell r="B12291">
            <v>79186</v>
          </cell>
          <cell r="C12291" t="str">
            <v>PARAGUACU I FI RF PREVIDENCIARIO CP</v>
          </cell>
          <cell r="D12291" t="str">
            <v>PARAGUACU I FI RF PREVIDENCIARIO CP</v>
          </cell>
          <cell r="E12291" t="str">
            <v>MERCATTO GESTAO DE RECURSOS LTDA</v>
          </cell>
        </row>
        <row r="12292">
          <cell r="B12292">
            <v>79284</v>
          </cell>
          <cell r="C12292" t="str">
            <v>OCCAM LONG &amp; SHORT PLUS FIF MULTIMERCADO RESP LTDA</v>
          </cell>
          <cell r="D12292" t="str">
            <v>OCCAM LONG &amp; SHORT PLUS FIF MULTIMERCADO RESP LTDA</v>
          </cell>
          <cell r="E12292" t="str">
            <v>PLURAL GESTÃO DE RECURSOS LTDA</v>
          </cell>
        </row>
        <row r="12293">
          <cell r="B12293">
            <v>125397</v>
          </cell>
          <cell r="C12293" t="str">
            <v>OCCAM LONG BIASED FIF MULTIMERCADO RL</v>
          </cell>
          <cell r="D12293" t="str">
            <v>OCCAM LONG BIASED FIF MULTIMERCADO RL</v>
          </cell>
          <cell r="E12293" t="str">
            <v>OCCAM BRASIL GESTAO DE RECURSOS LTDA</v>
          </cell>
        </row>
        <row r="12294">
          <cell r="B12294">
            <v>79189</v>
          </cell>
          <cell r="C12294" t="str">
            <v>ING BANK NV (MATRIZ)</v>
          </cell>
          <cell r="D12294" t="str">
            <v>79.1</v>
          </cell>
          <cell r="E12294" t="str">
            <v>ING BANK NV (MATRIZ)</v>
          </cell>
        </row>
        <row r="12295">
          <cell r="B12295">
            <v>79190</v>
          </cell>
          <cell r="C12295" t="str">
            <v>MERCATTO DIFERENCIAL MULTIMERCADO FI LP</v>
          </cell>
          <cell r="D12295" t="str">
            <v>MERCATTO DIFERENCIAL MULTIMERCADO FI LP</v>
          </cell>
          <cell r="E12295" t="str">
            <v>MERCATTO DIFERENCIAL MULTIMERCADO FI LP</v>
          </cell>
        </row>
        <row r="12296">
          <cell r="B12296">
            <v>79191</v>
          </cell>
          <cell r="C12296" t="str">
            <v>MERCATTO ESTRATEGIA FIA</v>
          </cell>
          <cell r="D12296" t="str">
            <v>MERCATTO ESTRATEGIA FIA</v>
          </cell>
          <cell r="E12296" t="str">
            <v>MERCATTO GESTAO DE RECURSOS LTDA</v>
          </cell>
        </row>
        <row r="12297">
          <cell r="B12297">
            <v>79192</v>
          </cell>
          <cell r="C12297" t="str">
            <v>MERCATTO ATALAIA CREDITO PRIVADO MULTIMERCADO FI</v>
          </cell>
          <cell r="D12297" t="str">
            <v>MERCATTO ATALAIA CREDITO PRIVADO MULTIMERCADO FI</v>
          </cell>
          <cell r="E12297" t="str">
            <v>MERCATTO GESTAO DE RECURSOS LTDA</v>
          </cell>
        </row>
        <row r="12298">
          <cell r="B12298">
            <v>79193</v>
          </cell>
          <cell r="C12298" t="str">
            <v>MERCATTO ABACO FIA</v>
          </cell>
          <cell r="D12298" t="str">
            <v>MERCATTO ABACO FIA</v>
          </cell>
          <cell r="E12298" t="str">
            <v>MERCATTO GESTAO DE RECURSOS LTDA</v>
          </cell>
        </row>
        <row r="12299">
          <cell r="B12299">
            <v>79194</v>
          </cell>
          <cell r="C12299" t="str">
            <v>MERCATTO PAJUÃ‡ARA FIC DE FIM</v>
          </cell>
          <cell r="D12299" t="str">
            <v>MERCATTO PAJUÃ‡ARA FIC DE FIM</v>
          </cell>
          <cell r="E12299" t="str">
            <v>MERCATTO GESTAO DE RECURSOS LTDA</v>
          </cell>
        </row>
        <row r="12300">
          <cell r="B12300">
            <v>79195</v>
          </cell>
          <cell r="C12300" t="str">
            <v>MERCATTO R2 FIA</v>
          </cell>
          <cell r="D12300" t="str">
            <v>MERCATTO R2 FIA</v>
          </cell>
          <cell r="E12300" t="str">
            <v>MERCATTO GESTAO DE RECURSOS LTDA</v>
          </cell>
        </row>
        <row r="12301">
          <cell r="B12301">
            <v>79196</v>
          </cell>
          <cell r="C12301" t="str">
            <v>BOZANO RENDIMENTO RENDA FIXA FI LONGO PRAZO</v>
          </cell>
          <cell r="D12301" t="str">
            <v>BOZANO RENDIMENTO RENDA FIXA FI LONGO PRAZO</v>
          </cell>
          <cell r="E12301" t="str">
            <v>MERCATTO GESTAO DE RECURSOS LTDA</v>
          </cell>
        </row>
        <row r="12302">
          <cell r="B12302">
            <v>79197</v>
          </cell>
          <cell r="C12302" t="str">
            <v>BOZANO FUNDAMENTAL FIA</v>
          </cell>
          <cell r="D12302" t="str">
            <v>BOZANO FUNDAMENTAL FIA</v>
          </cell>
          <cell r="E12302" t="str">
            <v>MERCATTO GESTAO DE RECURSOS LTDA</v>
          </cell>
        </row>
        <row r="12303">
          <cell r="B12303">
            <v>79198</v>
          </cell>
          <cell r="C12303" t="str">
            <v>BOZANO DIFERENCIAL 30 FIC DE FIM</v>
          </cell>
          <cell r="D12303" t="str">
            <v>BOZANO DIFERENCIAL 30 FIC DE FIM</v>
          </cell>
          <cell r="E12303" t="str">
            <v>MERCATTO GESTAO DE RECURSOS LTDA</v>
          </cell>
        </row>
        <row r="12304">
          <cell r="B12304">
            <v>79199</v>
          </cell>
          <cell r="C12304" t="str">
            <v>BOZANO TI FIC DE FIM</v>
          </cell>
          <cell r="D12304" t="str">
            <v>BOZANO TI FIC DE FIM</v>
          </cell>
          <cell r="E12304" t="str">
            <v>MERCATTO GESTAO DE RECURSOS LTDA</v>
          </cell>
        </row>
        <row r="12305">
          <cell r="B12305">
            <v>79200</v>
          </cell>
          <cell r="C12305" t="str">
            <v>BOZANO TOP CP RF FI LONGO PRAZO</v>
          </cell>
          <cell r="D12305" t="str">
            <v>BOZANO TOP CP RF FI LONGO PRAZO</v>
          </cell>
          <cell r="E12305" t="str">
            <v>MERCATTO GESTAO DE RECURSOS LTDA</v>
          </cell>
        </row>
        <row r="12306">
          <cell r="B12306">
            <v>79201</v>
          </cell>
          <cell r="C12306" t="str">
            <v>NOTA FIM PREVIDENCIARIO</v>
          </cell>
          <cell r="D12306" t="str">
            <v>NOTA FIM PREVIDENCIARIO</v>
          </cell>
          <cell r="E12306" t="str">
            <v>MERCATTO GESTAO DE RECURSOS LTDA</v>
          </cell>
        </row>
        <row r="12307">
          <cell r="B12307">
            <v>79202</v>
          </cell>
          <cell r="C12307" t="str">
            <v>BOZANO DIFERENCIAL INSTITUCIONAL MULTIMERCADO FI LP</v>
          </cell>
          <cell r="D12307" t="str">
            <v>BOZANO DIFERENCIAL INSTITUCIONAL MULTIMERCADO FI LP</v>
          </cell>
          <cell r="E12307" t="str">
            <v>MERCATTO GESTAO DE RECURSOS LTDA</v>
          </cell>
        </row>
        <row r="12308">
          <cell r="B12308">
            <v>79203</v>
          </cell>
          <cell r="C12308" t="str">
            <v>MERCATTO OABPREV-RJ MULTIMERCADO PREVIDENCIARIO FI</v>
          </cell>
          <cell r="D12308" t="str">
            <v>MERCATTO OABPREV-RJ MULTIMERCADO PREVIDENCIARIO FI</v>
          </cell>
          <cell r="E12308" t="str">
            <v>MERCATTO GESTAO DE RECURSOS LTDA</v>
          </cell>
        </row>
        <row r="12309">
          <cell r="B12309">
            <v>79204</v>
          </cell>
          <cell r="C12309" t="str">
            <v>CELI LEGACY BRDR FUNDO DE INVESTIMENTO EM ACOES IE</v>
          </cell>
          <cell r="D12309" t="str">
            <v>CELI LEGACY BRDR FUNDO DE INVESTIMENTO EM ACOES IE</v>
          </cell>
          <cell r="E12309" t="str">
            <v>MERCATTO GESTAO DE RECURSOS LTDA</v>
          </cell>
        </row>
        <row r="12310">
          <cell r="B12310">
            <v>79205</v>
          </cell>
          <cell r="C12310" t="str">
            <v>MERCATTO ITAIPAVA CP MULTIMERCADO FIM</v>
          </cell>
          <cell r="D12310" t="str">
            <v>MERCATTO ITAIPAVA CP MULTIMERCADO FIM</v>
          </cell>
          <cell r="E12310" t="str">
            <v>MERCATTO GESTAO DE RECURSOS LTDA</v>
          </cell>
        </row>
        <row r="12311">
          <cell r="B12311">
            <v>79206</v>
          </cell>
          <cell r="C12311" t="str">
            <v>BOZANO FAROL FIM LONGO PRAZO</v>
          </cell>
          <cell r="D12311" t="str">
            <v>BOZANO FAROL FIM LONGO PRAZO</v>
          </cell>
          <cell r="E12311" t="str">
            <v>MERCATTO GESTAO DE RECURSOS LTDA</v>
          </cell>
        </row>
        <row r="12312">
          <cell r="B12312">
            <v>79207</v>
          </cell>
          <cell r="C12312" t="str">
            <v>FIM MULTICARTEIRA BARRACUDA</v>
          </cell>
          <cell r="D12312" t="str">
            <v>FIM MULTICARTEIRA BARRACUDA</v>
          </cell>
          <cell r="E12312" t="str">
            <v>MERCATTO GESTAO DE RECURSOS LTDA</v>
          </cell>
        </row>
        <row r="12313">
          <cell r="B12313">
            <v>79187</v>
          </cell>
          <cell r="C12313" t="str">
            <v>BRASIL PLURAL YIELD FI REFERENCIADO DI</v>
          </cell>
          <cell r="D12313" t="str">
            <v>BRASIL PLURAL YIELD FI REFERENCIADO DI</v>
          </cell>
          <cell r="E12313" t="str">
            <v>PLURAL GESTÃO DE RECURSOS LTDA</v>
          </cell>
        </row>
        <row r="12314">
          <cell r="B12314">
            <v>79209</v>
          </cell>
          <cell r="C12314" t="str">
            <v>FIM CP IE BRADESCO BIT ( ANTIGO FIM IE TELLUS)</v>
          </cell>
          <cell r="D12314" t="str">
            <v>FIM CP IE BRADESCO BIT ( ANTIGO FIM IE TELLUS)</v>
          </cell>
          <cell r="E12314" t="str">
            <v>FIM CP IE BRADESCO BIT ( ANTIGO FIM IE TELLUS)</v>
          </cell>
        </row>
        <row r="12315">
          <cell r="B12315">
            <v>79210</v>
          </cell>
          <cell r="C12315" t="str">
            <v>BOZANO ACAJU FIM PREVIDENCIARIO</v>
          </cell>
          <cell r="D12315" t="str">
            <v>BOZANO ACAJU FIM PREVIDENCIARIO</v>
          </cell>
          <cell r="E12315" t="str">
            <v>MERCATTO GESTAO DE RECURSOS LTDA</v>
          </cell>
        </row>
        <row r="12316">
          <cell r="B12316">
            <v>80254</v>
          </cell>
          <cell r="C12316" t="str">
            <v>SUL AMERICA BRASIL PLURAL MASTER PREV FI RF CP</v>
          </cell>
          <cell r="D12316" t="str">
            <v>SUL AMERICA BRASIL PLURAL MASTER PREV FI RF CP</v>
          </cell>
          <cell r="E12316" t="str">
            <v>PLURAL GESTÃO DE RECURSOS LTDA</v>
          </cell>
        </row>
        <row r="12317">
          <cell r="B12317">
            <v>79579</v>
          </cell>
          <cell r="C12317" t="str">
            <v>CAPITANIA TREASURY MASTER FIM</v>
          </cell>
          <cell r="D12317" t="str">
            <v>CAPITANIA TREASURY MASTER FIM</v>
          </cell>
          <cell r="E12317" t="str">
            <v>CAPITÂNIA INVEST S/A</v>
          </cell>
        </row>
        <row r="12318">
          <cell r="B12318">
            <v>79230</v>
          </cell>
          <cell r="C12318" t="str">
            <v>CAPITANIA INCOME FIRF CP</v>
          </cell>
          <cell r="D12318" t="str">
            <v>CAPITANIA INCOME FIRF CP</v>
          </cell>
          <cell r="E12318" t="str">
            <v>CAPITÂNIA INVEST S/A</v>
          </cell>
        </row>
        <row r="12319">
          <cell r="B12319">
            <v>79231</v>
          </cell>
          <cell r="C12319" t="str">
            <v>CAPITANIA AIR FIM CP</v>
          </cell>
          <cell r="D12319" t="str">
            <v>CAPITANIA AIR FIM CP</v>
          </cell>
          <cell r="E12319" t="str">
            <v>CAPITÂNIA INVEST S/A</v>
          </cell>
        </row>
        <row r="12320">
          <cell r="B12320">
            <v>79232</v>
          </cell>
          <cell r="C12320" t="str">
            <v>MICL I CP FIM</v>
          </cell>
          <cell r="D12320" t="str">
            <v>MICL I CP FIM</v>
          </cell>
          <cell r="E12320" t="str">
            <v>CAPITÂNIA INVEST S/A</v>
          </cell>
        </row>
        <row r="12321">
          <cell r="B12321">
            <v>79234</v>
          </cell>
          <cell r="C12321" t="str">
            <v>JGP GESTAO DE RECURSOS LTDA</v>
          </cell>
          <cell r="D12321" t="str">
            <v>JGP GESTAO DE RECURSOS LTDA</v>
          </cell>
          <cell r="E12321" t="str">
            <v>JGP GESTAO PATRIMONIAL LTDA</v>
          </cell>
        </row>
        <row r="12322">
          <cell r="B12322">
            <v>79235</v>
          </cell>
          <cell r="C12322" t="str">
            <v>MERCATTO PAJEU II MULTIMERCADO PREVIDENCIARIO FI</v>
          </cell>
          <cell r="D12322" t="str">
            <v>MERCATTO PAJEU II MULTIMERCADO PREVIDENCIARIO FI</v>
          </cell>
          <cell r="E12322" t="str">
            <v>MERCATTO GESTAO DE RECURSOS LTDA</v>
          </cell>
        </row>
        <row r="12323">
          <cell r="B12323">
            <v>79236</v>
          </cell>
          <cell r="C12323" t="str">
            <v>CARTEIRA ACD</v>
          </cell>
          <cell r="D12323" t="str">
            <v>CARTEIRA ACD</v>
          </cell>
          <cell r="E12323" t="str">
            <v>CARTEIRA ACD</v>
          </cell>
        </row>
        <row r="12324">
          <cell r="B12324">
            <v>79237</v>
          </cell>
          <cell r="C12324" t="str">
            <v>MASTER FIM CREDITO PRIVADO</v>
          </cell>
          <cell r="D12324" t="str">
            <v>MASTER FIM CREDITO PRIVADO</v>
          </cell>
          <cell r="E12324" t="str">
            <v>MASTER FIM CREDITO PRIVADO</v>
          </cell>
        </row>
        <row r="12325">
          <cell r="B12325">
            <v>79238</v>
          </cell>
          <cell r="C12325" t="str">
            <v>ROMA JURO REAL FIM CP</v>
          </cell>
          <cell r="D12325" t="str">
            <v>ROMA JURO REAL FIM CP</v>
          </cell>
          <cell r="E12325" t="str">
            <v>ROMA JURO REAL FIM CP</v>
          </cell>
        </row>
        <row r="12326">
          <cell r="B12326">
            <v>79239</v>
          </cell>
          <cell r="C12326" t="str">
            <v>ICATU VANGUARDA FI RF DAS PREVISOES TECNICAS DOS CONS SEGURO</v>
          </cell>
          <cell r="D12326" t="str">
            <v>ICATU VANGUARDA FI RF DAS PREVISOES TECNICAS DOS CONS SEGURO</v>
          </cell>
          <cell r="E12326" t="str">
            <v>ICATU VANGUARDA GESTAO DE RECURSOS LTDA</v>
          </cell>
        </row>
        <row r="12327">
          <cell r="B12327">
            <v>79883</v>
          </cell>
          <cell r="C12327" t="str">
            <v>XP INVESTOR LONG BIASED FIM</v>
          </cell>
          <cell r="D12327" t="str">
            <v>XP INVESTOR LONG BIASED FIM</v>
          </cell>
          <cell r="E12327" t="str">
            <v>XP GESTAO DE RECURSOS LTDA</v>
          </cell>
        </row>
        <row r="12328">
          <cell r="B12328">
            <v>79242</v>
          </cell>
          <cell r="C12328" t="str">
            <v>FLAG MASTER FIM</v>
          </cell>
          <cell r="D12328">
            <v>92560</v>
          </cell>
          <cell r="E12328" t="str">
            <v>FLAG MASTER FIM</v>
          </cell>
        </row>
        <row r="12329">
          <cell r="B12329">
            <v>79243</v>
          </cell>
          <cell r="C12329" t="str">
            <v>BANCO MASTER S/A</v>
          </cell>
          <cell r="D12329" t="str">
            <v>BANCO MASTER S/A</v>
          </cell>
          <cell r="E12329" t="str">
            <v>BANCO MASTER S/A</v>
          </cell>
        </row>
        <row r="12330">
          <cell r="B12330">
            <v>79244</v>
          </cell>
          <cell r="C12330" t="str">
            <v>MAXIMA ADVANCED FIM</v>
          </cell>
          <cell r="D12330" t="str">
            <v>MAXIMA ADVANCED FIM</v>
          </cell>
          <cell r="E12330" t="str">
            <v>MAXIMA ADVANCED FIM</v>
          </cell>
        </row>
        <row r="12331">
          <cell r="B12331">
            <v>79245</v>
          </cell>
          <cell r="C12331" t="str">
            <v>TEMPO CAPITAL PRINCIPAL FIA</v>
          </cell>
          <cell r="D12331" t="str">
            <v>TEMPO CAPITAL PRINCIPAL FIA</v>
          </cell>
          <cell r="E12331" t="str">
            <v>TEMPO CAPITAL PRINCIPAL FIA</v>
          </cell>
        </row>
        <row r="12332">
          <cell r="B12332">
            <v>79246</v>
          </cell>
          <cell r="C12332" t="str">
            <v>REDFLOWER FIM CP</v>
          </cell>
          <cell r="D12332" t="str">
            <v>REDFLOWER FIM CP</v>
          </cell>
          <cell r="E12332" t="str">
            <v>REDFLOWER FIM CP</v>
          </cell>
        </row>
        <row r="12333">
          <cell r="B12333">
            <v>79247</v>
          </cell>
          <cell r="C12333" t="str">
            <v>ALTIS FIM CP</v>
          </cell>
          <cell r="D12333" t="str">
            <v>ALTIS FIM CP</v>
          </cell>
          <cell r="E12333" t="str">
            <v>ALTIS FIM CP</v>
          </cell>
        </row>
        <row r="12334">
          <cell r="B12334">
            <v>79248</v>
          </cell>
          <cell r="C12334" t="str">
            <v>BARONEZA II FIM CP</v>
          </cell>
          <cell r="D12334" t="str">
            <v>BARONEZA II FIM CP</v>
          </cell>
          <cell r="E12334" t="str">
            <v>BARONEZA II FIM CP</v>
          </cell>
        </row>
        <row r="12335">
          <cell r="B12335">
            <v>79249</v>
          </cell>
          <cell r="C12335" t="str">
            <v>RIO DA BARRA FIM IE CP</v>
          </cell>
          <cell r="D12335" t="str">
            <v>RIO DA BARRA FIM IE CP</v>
          </cell>
          <cell r="E12335" t="str">
            <v>RIO DA BARRA FIM IE CP</v>
          </cell>
        </row>
        <row r="12336">
          <cell r="B12336">
            <v>79250</v>
          </cell>
          <cell r="C12336" t="str">
            <v>PANDA FIM EXCLUSIVO</v>
          </cell>
          <cell r="D12336" t="str">
            <v>PANDA FIM EXCLUSIVO</v>
          </cell>
          <cell r="E12336" t="str">
            <v>LACAN INVESTIMENTOS E PARTICIPACOES LTDA</v>
          </cell>
        </row>
        <row r="12337">
          <cell r="B12337">
            <v>79251</v>
          </cell>
          <cell r="C12337" t="str">
            <v>KLON FIA</v>
          </cell>
          <cell r="D12337" t="str">
            <v>KLON FIA</v>
          </cell>
          <cell r="E12337" t="str">
            <v>LACAN INVESTIMENTOS E PARTICIPACOES LTDA</v>
          </cell>
        </row>
        <row r="12338">
          <cell r="B12338">
            <v>79252</v>
          </cell>
          <cell r="C12338" t="str">
            <v>LACAN VALOR FIA</v>
          </cell>
          <cell r="D12338" t="str">
            <v>LACAN VALOR FIA</v>
          </cell>
          <cell r="E12338" t="str">
            <v>LACAN INVESTIMENTOS E PARTICIPACOES LTDA</v>
          </cell>
        </row>
        <row r="12339">
          <cell r="B12339">
            <v>79253</v>
          </cell>
          <cell r="C12339" t="str">
            <v>KEPLER FIM CP IE</v>
          </cell>
          <cell r="D12339">
            <v>391</v>
          </cell>
          <cell r="E12339" t="str">
            <v>KEPLER FIM CP IE</v>
          </cell>
        </row>
        <row r="12340">
          <cell r="B12340">
            <v>123849</v>
          </cell>
          <cell r="C12340" t="str">
            <v>PREVICAT FIA</v>
          </cell>
          <cell r="D12340" t="str">
            <v>PREVICAT FIA</v>
          </cell>
          <cell r="E12340" t="str">
            <v>PLURAL GESTÃO DE RECURSOS LTDA</v>
          </cell>
        </row>
        <row r="12341">
          <cell r="B12341">
            <v>79255</v>
          </cell>
          <cell r="C12341" t="str">
            <v>HOYA CORRETORA DE VALORES E CAMBIO LTDA</v>
          </cell>
          <cell r="D12341" t="str">
            <v>HOYA CORRETORA DE VALORES E CAMBIO LTDA</v>
          </cell>
          <cell r="E12341" t="str">
            <v>HOYA CORRETORA DE VALORES E CAMBIO LTDA</v>
          </cell>
        </row>
        <row r="12342">
          <cell r="B12342">
            <v>123491</v>
          </cell>
          <cell r="C12342" t="str">
            <v>GOLDMAN SACHS INTERNATIONAL - CITI</v>
          </cell>
          <cell r="D12342" t="str">
            <v>GOLDMAN SACHS INTERNATIONAL - CITI</v>
          </cell>
          <cell r="E12342" t="str">
            <v>GOLDMAN SACHS DO BRASIL BANCO MULTIPLO S/A</v>
          </cell>
        </row>
        <row r="12343">
          <cell r="B12343">
            <v>79257</v>
          </cell>
          <cell r="C12343" t="str">
            <v>GDX CAMBRIDGE MASTER FIM</v>
          </cell>
          <cell r="D12343" t="str">
            <v>GDX CAMBRIDGE MASTER FIM</v>
          </cell>
          <cell r="E12343" t="str">
            <v>GDX CAMBRIDGE MASTER FIM</v>
          </cell>
        </row>
        <row r="12344">
          <cell r="B12344">
            <v>79259</v>
          </cell>
          <cell r="C12344" t="str">
            <v>RINZEN  FIM CP IE</v>
          </cell>
          <cell r="D12344" t="str">
            <v>RINZEN  FIM CP IE</v>
          </cell>
          <cell r="E12344" t="str">
            <v>RINZEN  FIM CP IE</v>
          </cell>
        </row>
        <row r="12345">
          <cell r="B12345">
            <v>79260</v>
          </cell>
          <cell r="C12345" t="str">
            <v>TOPAZIO FIM CP IE</v>
          </cell>
          <cell r="D12345" t="str">
            <v>TOPAZIO FIM CP IE</v>
          </cell>
          <cell r="E12345" t="str">
            <v>BANCO TOPAZIO S/A</v>
          </cell>
        </row>
        <row r="12346">
          <cell r="B12346">
            <v>79261</v>
          </cell>
          <cell r="C12346" t="str">
            <v>FREIBURG FIM CP IE</v>
          </cell>
          <cell r="D12346" t="str">
            <v>FREIBURG FIM CP IE</v>
          </cell>
          <cell r="E12346" t="str">
            <v>FREIBURG FIM CP IE</v>
          </cell>
        </row>
        <row r="12347">
          <cell r="B12347">
            <v>79262</v>
          </cell>
          <cell r="C12347" t="str">
            <v>LUCRO 2 FIM CP IE</v>
          </cell>
          <cell r="D12347" t="str">
            <v>LUCRO 2 FIM CP IE</v>
          </cell>
          <cell r="E12347" t="str">
            <v>CONSENSO INVESTIMENTOS LTDA</v>
          </cell>
        </row>
        <row r="12348">
          <cell r="B12348">
            <v>79263</v>
          </cell>
          <cell r="C12348" t="str">
            <v>MOGNO FIM CP IE</v>
          </cell>
          <cell r="D12348" t="str">
            <v>MOGNO FIM CP IE</v>
          </cell>
          <cell r="E12348" t="str">
            <v>MOGNO FIM CP IE</v>
          </cell>
        </row>
        <row r="12349">
          <cell r="B12349">
            <v>79264</v>
          </cell>
          <cell r="C12349" t="str">
            <v>DESAFIO FIM CP IE</v>
          </cell>
          <cell r="D12349" t="str">
            <v>DESAFIO FIM CP IE</v>
          </cell>
          <cell r="E12349" t="str">
            <v>DESAFIO FIM CP IE</v>
          </cell>
        </row>
        <row r="12350">
          <cell r="B12350">
            <v>79265</v>
          </cell>
          <cell r="C12350" t="str">
            <v>CANELA FIM CP IE</v>
          </cell>
          <cell r="D12350" t="str">
            <v>CANELA FIM CP IE</v>
          </cell>
          <cell r="E12350" t="str">
            <v>CANELA FIM CP IE</v>
          </cell>
        </row>
        <row r="12351">
          <cell r="B12351">
            <v>79266</v>
          </cell>
          <cell r="C12351" t="str">
            <v>CP 177 FIM CP IE</v>
          </cell>
          <cell r="D12351" t="str">
            <v>CP 177 FIM CP IE</v>
          </cell>
          <cell r="E12351" t="str">
            <v>CP 177 FIM CP IE</v>
          </cell>
        </row>
        <row r="12352">
          <cell r="B12352">
            <v>79267</v>
          </cell>
          <cell r="C12352" t="str">
            <v>SPX EQUITIES GESTAO DE RECURSOS LTDA</v>
          </cell>
          <cell r="D12352">
            <v>92564</v>
          </cell>
          <cell r="E12352" t="str">
            <v>SPX GESTAO DE RECURSOS LTDA</v>
          </cell>
        </row>
        <row r="12353">
          <cell r="B12353">
            <v>79268</v>
          </cell>
          <cell r="C12353" t="str">
            <v>ATICO RENDA FIXA INSTITUCIONAL FI IMA-B 5</v>
          </cell>
          <cell r="D12353" t="str">
            <v>ATICO RENDA FIXA INSTITUCIONAL FI IMA-B 5</v>
          </cell>
          <cell r="E12353" t="str">
            <v>ATICO RENDA FIXA INSTITUCIONAL FI IMA-B 5</v>
          </cell>
        </row>
        <row r="12354">
          <cell r="B12354">
            <v>79269</v>
          </cell>
          <cell r="C12354" t="str">
            <v>JP MORGAN WHITEFRIARS LLC</v>
          </cell>
          <cell r="D12354">
            <v>546</v>
          </cell>
          <cell r="E12354" t="str">
            <v>JP MORGAN WHITEFRIARS LLC</v>
          </cell>
        </row>
        <row r="12355">
          <cell r="B12355">
            <v>79270</v>
          </cell>
          <cell r="C12355" t="str">
            <v>BEHAVIOR MASTER FIM</v>
          </cell>
          <cell r="D12355">
            <v>951</v>
          </cell>
          <cell r="E12355" t="str">
            <v>BEHAVIOR GESTAO DE CAPITAL LTDA</v>
          </cell>
        </row>
        <row r="12356">
          <cell r="B12356">
            <v>79271</v>
          </cell>
          <cell r="C12356" t="str">
            <v>BEHAVIOR IBOVESPA PLUS FIA</v>
          </cell>
          <cell r="D12356">
            <v>952</v>
          </cell>
          <cell r="E12356" t="str">
            <v>BEHAVIOR GESTAO DE CAPITAL LTDA</v>
          </cell>
        </row>
        <row r="12357">
          <cell r="B12357">
            <v>79272</v>
          </cell>
          <cell r="C12357" t="str">
            <v>BEHAVIOR FIA</v>
          </cell>
          <cell r="D12357">
            <v>953</v>
          </cell>
          <cell r="E12357" t="str">
            <v>BEHAVIOR GESTAO DE CAPITAL LTDA</v>
          </cell>
        </row>
        <row r="12358">
          <cell r="B12358">
            <v>79273</v>
          </cell>
          <cell r="C12358" t="str">
            <v>BARCLAYS BANK PLC (NOVO)</v>
          </cell>
          <cell r="D12358" t="str">
            <v>BARCLAYS BANK PLC (NOVO)</v>
          </cell>
          <cell r="E12358" t="str">
            <v>BARCLAYS BANK PLC</v>
          </cell>
        </row>
        <row r="12359">
          <cell r="B12359">
            <v>79274</v>
          </cell>
          <cell r="C12359" t="str">
            <v>RAMP + 8 FIM CP IE</v>
          </cell>
          <cell r="D12359" t="str">
            <v>RAMP + 8 FIM CP IE</v>
          </cell>
          <cell r="E12359" t="str">
            <v>RAMP + 8 FIM CP IE</v>
          </cell>
        </row>
        <row r="12360">
          <cell r="B12360">
            <v>79275</v>
          </cell>
          <cell r="C12360" t="str">
            <v>IPE FIM CP IE</v>
          </cell>
          <cell r="D12360" t="str">
            <v>IPE FIM CP IE</v>
          </cell>
          <cell r="E12360" t="str">
            <v>IPE FIM CP IE</v>
          </cell>
        </row>
        <row r="12361">
          <cell r="B12361">
            <v>79276</v>
          </cell>
          <cell r="C12361" t="str">
            <v>IMBUIA FIM CP IE</v>
          </cell>
          <cell r="D12361" t="str">
            <v>IMBUIA FIM CP IE</v>
          </cell>
          <cell r="E12361" t="str">
            <v>IMBUIA FIM CP IE</v>
          </cell>
        </row>
        <row r="12362">
          <cell r="B12362">
            <v>79277</v>
          </cell>
          <cell r="C12362" t="str">
            <v>AGATHON FIC DE FIM CP IE</v>
          </cell>
          <cell r="D12362" t="str">
            <v>AGATHON FIC DE FIM CP IE</v>
          </cell>
          <cell r="E12362" t="str">
            <v>CONSENSO INVESTIMENTOS LTDA</v>
          </cell>
        </row>
        <row r="12363">
          <cell r="B12363">
            <v>79278</v>
          </cell>
          <cell r="C12363" t="str">
            <v>JACARANDA FIC DE FIM</v>
          </cell>
          <cell r="D12363" t="str">
            <v>JACARANDA FIC DE FIM</v>
          </cell>
          <cell r="E12363" t="str">
            <v>JACARANDA FIC DE FIM</v>
          </cell>
        </row>
        <row r="12364">
          <cell r="B12364">
            <v>79279</v>
          </cell>
          <cell r="C12364" t="str">
            <v>MONGERAL AEGON INSTITUCIONAL FIM</v>
          </cell>
          <cell r="D12364" t="str">
            <v>MONGERAL AEGON INSTITUCIONAL FIM</v>
          </cell>
          <cell r="E12364" t="str">
            <v>MONGERAL AEGON INVESTIMENTOS LTDA</v>
          </cell>
        </row>
        <row r="12365">
          <cell r="B12365">
            <v>79280</v>
          </cell>
          <cell r="C12365" t="str">
            <v>MONGERAL AEGON PREVIDENCIA SUSTENTAVEL RV 45 FIM</v>
          </cell>
          <cell r="D12365" t="str">
            <v>MONGERAL AEGON PREVIDENCIA SUSTENTAVEL RV 45 FIM</v>
          </cell>
          <cell r="E12365" t="str">
            <v>MONGERAL AEGON INVESTIMENTOS LTDA</v>
          </cell>
        </row>
        <row r="12366">
          <cell r="B12366">
            <v>79281</v>
          </cell>
          <cell r="C12366" t="str">
            <v>MONGERAL AEGON INFLACAO INSTITUCIONAL FI RF</v>
          </cell>
          <cell r="D12366" t="str">
            <v>MONGERAL AEGON INFLACAO INSTITUCIONAL FI RF</v>
          </cell>
          <cell r="E12366" t="str">
            <v>MONGERAL AEGON INVESTIMENTOS LTDA</v>
          </cell>
        </row>
        <row r="12367">
          <cell r="B12367">
            <v>79282</v>
          </cell>
          <cell r="C12367" t="str">
            <v>MONGERAL AEGON RF PRIVATE TOP PREV FI</v>
          </cell>
          <cell r="D12367" t="str">
            <v>MONGERAL AEGON RF PRIVATE TOP PREV FI</v>
          </cell>
          <cell r="E12367" t="str">
            <v>MONGERAL AEGON INVESTIMENTOS LTDA</v>
          </cell>
        </row>
        <row r="12368">
          <cell r="B12368">
            <v>79283</v>
          </cell>
          <cell r="C12368" t="str">
            <v>MONGERAL AEGON RF PRIVATE PREVIDENCIA IPCA FI</v>
          </cell>
          <cell r="D12368" t="str">
            <v>MONGERAL AEGON RF PRIVATE PREVIDENCIA IPCA FI</v>
          </cell>
          <cell r="E12368" t="str">
            <v>MONGERAL AEGON INVESTIMENTOS LTDA</v>
          </cell>
        </row>
        <row r="12369">
          <cell r="B12369">
            <v>122862</v>
          </cell>
          <cell r="C12369" t="str">
            <v>OCCAM RETORNO ABSOLUTO FIF MULTIMERCADO RESP LTDA</v>
          </cell>
          <cell r="D12369" t="str">
            <v>OCCAM RETORNO ABSOLUTO FIF MULTIMERCADO RESP LTDA</v>
          </cell>
          <cell r="E12369" t="str">
            <v>PLURAL GESTÃO DE RECURSOS LTDA</v>
          </cell>
        </row>
        <row r="12370">
          <cell r="B12370">
            <v>125399</v>
          </cell>
          <cell r="C12370" t="str">
            <v>OCCAM RETORNO ABSOLUTO FIF MULTIMERCADO RESP LTDA</v>
          </cell>
          <cell r="D12370" t="str">
            <v>OCCAM RETORNO ABSOLUTO FIF MULTIMERCADO RESP LTDA</v>
          </cell>
          <cell r="E12370" t="str">
            <v>OCCAM BRASIL GESTAO DE RECURSOS LTDA</v>
          </cell>
        </row>
        <row r="12371">
          <cell r="B12371">
            <v>79286</v>
          </cell>
          <cell r="C12371" t="str">
            <v>ATICO LONG BIASED FI COTAS FIA</v>
          </cell>
          <cell r="D12371" t="str">
            <v>ATICO LONG BIASED FI COTAS FIA</v>
          </cell>
          <cell r="E12371" t="str">
            <v>ATICO ADMINISTRACAO DE RECURSOS LTDA</v>
          </cell>
        </row>
        <row r="12372">
          <cell r="B12372">
            <v>79287</v>
          </cell>
          <cell r="C12372" t="str">
            <v>ATICO VALUE INSTITUCIONAL FIA</v>
          </cell>
          <cell r="D12372" t="str">
            <v>ATICO VALUE INSTITUCIONAL FIA</v>
          </cell>
          <cell r="E12372" t="str">
            <v>ATICO ADMINISTRACAO DE RECURSOS LTDA</v>
          </cell>
        </row>
        <row r="12373">
          <cell r="B12373">
            <v>79288</v>
          </cell>
          <cell r="C12373" t="str">
            <v>BANCO AGIPLAN S.A</v>
          </cell>
          <cell r="D12373" t="str">
            <v>BANCO AGIPLAN S.A</v>
          </cell>
          <cell r="E12373" t="str">
            <v>BANCO AGIBANK S/A</v>
          </cell>
        </row>
        <row r="12374">
          <cell r="B12374">
            <v>79289</v>
          </cell>
          <cell r="C12374" t="str">
            <v>SONIC FIM CP IE</v>
          </cell>
          <cell r="D12374" t="str">
            <v>SONIC FIM CP IE</v>
          </cell>
          <cell r="E12374" t="str">
            <v>SONIC FIM CP IE</v>
          </cell>
        </row>
        <row r="12375">
          <cell r="B12375">
            <v>79290</v>
          </cell>
          <cell r="C12375" t="str">
            <v>KADIMA HIGH VOL FIM</v>
          </cell>
          <cell r="D12375" t="str">
            <v>KADIMA HIGH VOL FIM</v>
          </cell>
          <cell r="E12375" t="str">
            <v>KADIMA GESTAO DE INVESTIMENTOS LTDA</v>
          </cell>
        </row>
        <row r="12376">
          <cell r="B12376">
            <v>79291</v>
          </cell>
          <cell r="C12376" t="str">
            <v>KADIMA EQUITY HEDGE MASTER FIM</v>
          </cell>
          <cell r="D12376" t="str">
            <v>KADIMA EQUITY HEDGE MASTER FIM</v>
          </cell>
          <cell r="E12376" t="str">
            <v>KADIMA EQUITY HEDGE MASTER FIM</v>
          </cell>
        </row>
        <row r="12377">
          <cell r="B12377">
            <v>79292</v>
          </cell>
          <cell r="C12377" t="str">
            <v>KADIMA MASTER FIM</v>
          </cell>
          <cell r="D12377" t="str">
            <v>KADIMA MASTER FIM</v>
          </cell>
          <cell r="E12377" t="str">
            <v>KADIMA GESTAO DE INVESTIMENTOS LTDA</v>
          </cell>
        </row>
        <row r="12378">
          <cell r="B12378">
            <v>79293</v>
          </cell>
          <cell r="C12378" t="str">
            <v>KADIMA TOTAL MASTER FIM</v>
          </cell>
          <cell r="D12378" t="str">
            <v>KADIMA TOTAL MASTER FIM</v>
          </cell>
          <cell r="E12378" t="str">
            <v>KADIMA TOTAL MASTER FIM</v>
          </cell>
        </row>
        <row r="12379">
          <cell r="B12379">
            <v>79294</v>
          </cell>
          <cell r="C12379" t="str">
            <v>PALMARES FIM CP</v>
          </cell>
          <cell r="D12379" t="str">
            <v>PALMARES FIM CP</v>
          </cell>
          <cell r="E12379" t="str">
            <v>PALMARES FIM CP</v>
          </cell>
        </row>
        <row r="12380">
          <cell r="B12380">
            <v>79295</v>
          </cell>
          <cell r="C12380" t="str">
            <v>FIDES HEDGE PLUS FIM</v>
          </cell>
          <cell r="D12380">
            <v>904896</v>
          </cell>
          <cell r="E12380" t="str">
            <v>FIDES HEDGE PLUS FIM</v>
          </cell>
        </row>
        <row r="12381">
          <cell r="B12381">
            <v>79296</v>
          </cell>
          <cell r="C12381" t="str">
            <v>FIDES ACOES IBOVESPA FIA</v>
          </cell>
          <cell r="D12381" t="str">
            <v>FIDES ACOES IBOVESPA FIA</v>
          </cell>
          <cell r="E12381" t="str">
            <v>TAVOLA CAPITAL GESTAO DE RECURSOS LTDA</v>
          </cell>
        </row>
        <row r="12382">
          <cell r="B12382">
            <v>79297</v>
          </cell>
          <cell r="C12382" t="str">
            <v>TAVOLA  ABSOLUTO FIM</v>
          </cell>
          <cell r="D12382" t="str">
            <v>TAVOLA  ABSOLUTO FIM</v>
          </cell>
          <cell r="E12382" t="str">
            <v>TAVOLA CAPITAL GESTAO DE RECURSOS LTDA</v>
          </cell>
        </row>
        <row r="12383">
          <cell r="B12383">
            <v>79298</v>
          </cell>
          <cell r="C12383" t="str">
            <v>TAVOLA LONG SHORT FIM</v>
          </cell>
          <cell r="D12383" t="str">
            <v>TAVOLA LONG SHORT FIM</v>
          </cell>
          <cell r="E12383" t="str">
            <v>TAVOLA CAPITAL GESTAO DE RECURSOS LTDA</v>
          </cell>
        </row>
        <row r="12384">
          <cell r="B12384">
            <v>79299</v>
          </cell>
          <cell r="C12384" t="str">
            <v>FIDES LONG SHORT FIM</v>
          </cell>
          <cell r="D12384" t="str">
            <v>FIDES LONG SHORT FIM</v>
          </cell>
          <cell r="E12384" t="str">
            <v>FIDES LONG SHORT FIM</v>
          </cell>
        </row>
        <row r="12385">
          <cell r="B12385">
            <v>79300</v>
          </cell>
          <cell r="C12385" t="str">
            <v>BR PARTNERS BANCO DE INVESTIMENTOS SA</v>
          </cell>
          <cell r="D12385" t="str">
            <v>BR PARTNERS BANCO DE INVESTIMENTOS SA</v>
          </cell>
          <cell r="E12385" t="str">
            <v>BR PARTNERS BANCO DE INVESTIMENTOS S/A</v>
          </cell>
        </row>
        <row r="12386">
          <cell r="B12386">
            <v>79301</v>
          </cell>
          <cell r="C12386" t="str">
            <v>GUMP INVESTMENTS C.V.</v>
          </cell>
          <cell r="D12386">
            <v>104</v>
          </cell>
          <cell r="E12386" t="str">
            <v>GUMP INVESTMENTS C.V.</v>
          </cell>
        </row>
        <row r="12387">
          <cell r="B12387">
            <v>79302</v>
          </cell>
          <cell r="C12387" t="str">
            <v>ITAU MULTIMERCADO HIGH ALPHA QUANT MASTER FI</v>
          </cell>
          <cell r="D12387" t="str">
            <v>ITAU MULTIMERCADO HIGH ALPHA QUANT MASTER FI</v>
          </cell>
          <cell r="E12387" t="str">
            <v>ITAU MULTIMERCADO HIGH ALPHA QUANT MASTER FI</v>
          </cell>
        </row>
        <row r="12388">
          <cell r="B12388">
            <v>79884</v>
          </cell>
          <cell r="C12388" t="str">
            <v>XP TOP DIVIDENDOS FIA</v>
          </cell>
          <cell r="D12388" t="str">
            <v>XP TOP DIVIDENDOS FIA</v>
          </cell>
          <cell r="E12388" t="str">
            <v>XP GESTAO DE RECURSOS LTDA</v>
          </cell>
        </row>
        <row r="12389">
          <cell r="B12389">
            <v>79304</v>
          </cell>
          <cell r="C12389" t="str">
            <v>BANCO ABN AMRO CLEARING S.A.</v>
          </cell>
          <cell r="D12389" t="str">
            <v>BANCO ABN AMRO CLEARING S.A.</v>
          </cell>
          <cell r="E12389" t="str">
            <v>BANCO ABN AMRO S/A</v>
          </cell>
        </row>
        <row r="12390">
          <cell r="B12390">
            <v>79305</v>
          </cell>
          <cell r="C12390" t="str">
            <v>EQUITY GESTAO DE RECURSOS LTDA</v>
          </cell>
          <cell r="D12390">
            <v>909026</v>
          </cell>
          <cell r="E12390" t="str">
            <v>EQUITY GESTAO DE RECURSOS LTDA</v>
          </cell>
        </row>
        <row r="12391">
          <cell r="B12391">
            <v>79306</v>
          </cell>
          <cell r="C12391" t="str">
            <v>ICATU SEGUROS S/A</v>
          </cell>
          <cell r="D12391">
            <v>296</v>
          </cell>
          <cell r="E12391" t="str">
            <v>ICATU VANGUARDA GESTAO DE RECURSOS LTDA</v>
          </cell>
        </row>
        <row r="12392">
          <cell r="B12392">
            <v>79307</v>
          </cell>
          <cell r="C12392" t="str">
            <v>RISK OFFICE S/A</v>
          </cell>
          <cell r="D12392" t="str">
            <v>RISK OFFICE S/A</v>
          </cell>
          <cell r="E12392" t="str">
            <v>RISK OFFICE S/A</v>
          </cell>
        </row>
        <row r="12393">
          <cell r="B12393">
            <v>79310</v>
          </cell>
          <cell r="C12393" t="str">
            <v>FIM CP IE BRADESCO BIT ( ANTIGO FIM IE TELLUS)</v>
          </cell>
          <cell r="D12393" t="str">
            <v>FIM CP IE BRADESCO BIT ( ANTIGO FIM IE TELLUS)</v>
          </cell>
          <cell r="E12393" t="str">
            <v>FIM CP IE BRADESCO BIT ( ANTIGO FIM IE TELLUS)</v>
          </cell>
        </row>
        <row r="12394">
          <cell r="B12394">
            <v>79311</v>
          </cell>
          <cell r="C12394" t="str">
            <v>LOUIS DREYFUS COMPANY SUCOS S/A (ANTIGO LDC AGROINDUSTRIAL</v>
          </cell>
          <cell r="D12394" t="str">
            <v>LOUIS DREYFUS COMPANY SUCOS S/A (ANTIGO LDC AGROINDUSTRIAL</v>
          </cell>
          <cell r="E12394" t="str">
            <v>LOUIS DREYFUS COMPANY SUCOS S/A (ANTIGO LDC AGROINDUSTRIAL</v>
          </cell>
        </row>
        <row r="12395">
          <cell r="B12395">
            <v>79312</v>
          </cell>
          <cell r="C12395" t="str">
            <v>INFINIUM CAPITAL MANAGEMENT LLC</v>
          </cell>
          <cell r="D12395" t="str">
            <v>INFINIUM CAPITAL MANAGEMENT LLC</v>
          </cell>
          <cell r="E12395" t="str">
            <v>INFINIUM CAPITAL MANAGEMENT LLC</v>
          </cell>
        </row>
        <row r="12396">
          <cell r="B12396">
            <v>79314</v>
          </cell>
          <cell r="C12396" t="str">
            <v>BANCO LJ CARREGOSA SA</v>
          </cell>
          <cell r="D12396" t="str">
            <v>BANCO LJ CARREGOSA SA</v>
          </cell>
          <cell r="E12396" t="str">
            <v>BANCO LJ CARREGOSA SA</v>
          </cell>
        </row>
        <row r="12397">
          <cell r="B12397">
            <v>79315</v>
          </cell>
          <cell r="C12397" t="str">
            <v>MAPFRE DTVM S/A</v>
          </cell>
          <cell r="D12397">
            <v>375</v>
          </cell>
          <cell r="E12397" t="str">
            <v>MAPFRE INVESTIMENTOS LTDA.</v>
          </cell>
        </row>
        <row r="12398">
          <cell r="B12398">
            <v>79316</v>
          </cell>
          <cell r="C12398" t="str">
            <v>SAFRA DISTRIBUIDORA DE TITULOS E VALORES MOBILIARIOS LTDA.</v>
          </cell>
          <cell r="D12398" t="str">
            <v>41*</v>
          </cell>
          <cell r="E12398" t="str">
            <v>SAFRA ASSET MANAGEMENT LTDA</v>
          </cell>
        </row>
        <row r="12399">
          <cell r="B12399">
            <v>79317</v>
          </cell>
          <cell r="C12399" t="str">
            <v>THE BANK OF NOVA SCOTIA ( TORONTO)</v>
          </cell>
          <cell r="D12399" t="str">
            <v>THE BANK OF NOVA SCOTIA ( TORONTO)</v>
          </cell>
          <cell r="E12399" t="str">
            <v>SCOTIABANK BRASIL S/A</v>
          </cell>
        </row>
        <row r="12400">
          <cell r="B12400">
            <v>79318</v>
          </cell>
          <cell r="C12400" t="str">
            <v>POLO NORTE MASTER II FIM</v>
          </cell>
          <cell r="D12400" t="str">
            <v>POLO NORTE MASTER II FIM</v>
          </cell>
          <cell r="E12400" t="str">
            <v>POLO CAPITAL GESTÃO DE RECURSOS LTDA</v>
          </cell>
        </row>
        <row r="12401">
          <cell r="B12401">
            <v>79319</v>
          </cell>
          <cell r="C12401" t="str">
            <v>PARTNER FIA IE</v>
          </cell>
          <cell r="D12401">
            <v>993502</v>
          </cell>
          <cell r="E12401" t="str">
            <v>PARTNER FIA IE</v>
          </cell>
        </row>
        <row r="12402">
          <cell r="B12402">
            <v>79320</v>
          </cell>
          <cell r="C12402" t="str">
            <v>AGK 5 LLC</v>
          </cell>
          <cell r="D12402" t="str">
            <v>AGK 5 LLC</v>
          </cell>
          <cell r="E12402" t="str">
            <v>AGK 5 LLC</v>
          </cell>
        </row>
        <row r="12403">
          <cell r="B12403">
            <v>79321</v>
          </cell>
          <cell r="C12403" t="str">
            <v>AGK 6 LLC</v>
          </cell>
          <cell r="D12403" t="str">
            <v>168.6</v>
          </cell>
          <cell r="E12403" t="str">
            <v>AGK 6 LLC</v>
          </cell>
        </row>
        <row r="12404">
          <cell r="B12404">
            <v>23308</v>
          </cell>
          <cell r="C12404" t="str">
            <v>BB BANCO DE INVESTIMENTO S/A</v>
          </cell>
          <cell r="D12404" t="str">
            <v>BB BANCO DE INVESTIMENTO S/A</v>
          </cell>
          <cell r="E12404" t="str">
            <v>BB BANCO DE INVESTIMENTO S/A</v>
          </cell>
        </row>
        <row r="12405">
          <cell r="B12405">
            <v>23312</v>
          </cell>
          <cell r="C12405" t="str">
            <v>BB BANCO DE INVESTIMENTO S/A</v>
          </cell>
          <cell r="D12405" t="str">
            <v>BB BANCO DE INVESTIMENTO S/A</v>
          </cell>
          <cell r="E12405" t="str">
            <v>BB BANCO DE INVESTIMENTO S/A</v>
          </cell>
        </row>
        <row r="12406">
          <cell r="B12406">
            <v>23314</v>
          </cell>
          <cell r="C12406" t="str">
            <v>BB GESTAO DE RECURSOS DTVM LTDA</v>
          </cell>
          <cell r="D12406" t="str">
            <v>BB GESTAO DE RECURSOS DTVM LTDA</v>
          </cell>
          <cell r="E12406" t="str">
            <v>BANCO DO BRASIL S/A</v>
          </cell>
        </row>
        <row r="12407">
          <cell r="B12407">
            <v>23317</v>
          </cell>
          <cell r="C12407" t="str">
            <v>BB BANCO DE INVESTIMENTO S/A</v>
          </cell>
          <cell r="D12407" t="str">
            <v>BB BANCO DE INVESTIMENTO S/A</v>
          </cell>
          <cell r="E12407" t="str">
            <v>BB BANCO DE INVESTIMENTO S/A</v>
          </cell>
        </row>
        <row r="12408">
          <cell r="B12408">
            <v>23321</v>
          </cell>
          <cell r="C12408" t="str">
            <v>BB BANCO DE INVESTIMENTO S/A</v>
          </cell>
          <cell r="D12408" t="str">
            <v>BB BANCO DE INVESTIMENTO S/A</v>
          </cell>
          <cell r="E12408" t="str">
            <v>BB BANCO DE INVESTIMENTO S/A</v>
          </cell>
        </row>
        <row r="12409">
          <cell r="B12409">
            <v>23329</v>
          </cell>
          <cell r="C12409" t="str">
            <v>BB BANCO DE INVESTIMENTO S/A</v>
          </cell>
          <cell r="D12409" t="str">
            <v>BB BANCO DE INVESTIMENTO S/A</v>
          </cell>
          <cell r="E12409" t="str">
            <v>BB BANCO DE INVESTIMENTO S/A</v>
          </cell>
        </row>
        <row r="12410">
          <cell r="B12410">
            <v>23330</v>
          </cell>
          <cell r="C12410" t="str">
            <v>BB BANCO DE INVESTIMENTO S/A</v>
          </cell>
          <cell r="D12410" t="str">
            <v>BB BANCO DE INVESTIMENTO S/A</v>
          </cell>
          <cell r="E12410" t="str">
            <v>BB BANCO DE INVESTIMENTO S/A</v>
          </cell>
        </row>
        <row r="12411">
          <cell r="B12411">
            <v>23332</v>
          </cell>
          <cell r="C12411" t="str">
            <v>BB BANCO DE INVESTIMENTO S/A</v>
          </cell>
          <cell r="D12411" t="str">
            <v>BB BANCO DE INVESTIMENTO S/A</v>
          </cell>
          <cell r="E12411" t="str">
            <v>BB BANCO DE INVESTIMENTO S/A</v>
          </cell>
        </row>
        <row r="12412">
          <cell r="B12412">
            <v>23334</v>
          </cell>
          <cell r="C12412" t="str">
            <v>BB BANCO DE INVESTIMENTO S/A</v>
          </cell>
          <cell r="D12412" t="str">
            <v>BB BANCO DE INVESTIMENTO S/A</v>
          </cell>
          <cell r="E12412" t="str">
            <v>BB BANCO DE INVESTIMENTO S/A</v>
          </cell>
        </row>
        <row r="12413">
          <cell r="B12413">
            <v>23335</v>
          </cell>
          <cell r="C12413" t="str">
            <v>BB GESTAO DE RECURSOS DTVM LTDA</v>
          </cell>
          <cell r="D12413" t="str">
            <v>BB GESTAO DE RECURSOS DTVM LTDA</v>
          </cell>
          <cell r="E12413" t="str">
            <v>BB GESTAO DE RECURSOS DTVM LTDA</v>
          </cell>
        </row>
        <row r="12414">
          <cell r="B12414">
            <v>23337</v>
          </cell>
          <cell r="C12414" t="str">
            <v>BB BANCO DE INVESTIMENTO S/A</v>
          </cell>
          <cell r="D12414" t="str">
            <v>BB BANCO DE INVESTIMENTO S/A</v>
          </cell>
          <cell r="E12414" t="str">
            <v>BB BANCO DE INVESTIMENTO S/A</v>
          </cell>
        </row>
        <row r="12415">
          <cell r="B12415">
            <v>23340</v>
          </cell>
          <cell r="C12415" t="str">
            <v>BB BANCO DE INVESTIMENTO S/A</v>
          </cell>
          <cell r="D12415" t="str">
            <v>BB BANCO DE INVESTIMENTO S/A</v>
          </cell>
          <cell r="E12415" t="str">
            <v>BB BANCO DE INVESTIMENTO S/A</v>
          </cell>
        </row>
        <row r="12416">
          <cell r="B12416">
            <v>23344</v>
          </cell>
          <cell r="C12416" t="str">
            <v>BB GESTAO DE RECURSOS DTVM LTDA</v>
          </cell>
          <cell r="D12416" t="str">
            <v>BB GESTAO DE RECURSOS DTVM LTDA</v>
          </cell>
          <cell r="E12416" t="str">
            <v>BANCO DO BRASIL S/A</v>
          </cell>
        </row>
        <row r="12417">
          <cell r="B12417">
            <v>23345</v>
          </cell>
          <cell r="C12417" t="str">
            <v>BB GESTAO DE RECURSOS DTVM LTDA</v>
          </cell>
          <cell r="D12417" t="str">
            <v>BB GESTAO DE RECURSOS DTVM LTDA</v>
          </cell>
          <cell r="E12417" t="str">
            <v>BANCO DO BRASIL S/A</v>
          </cell>
        </row>
        <row r="12418">
          <cell r="B12418">
            <v>23348</v>
          </cell>
          <cell r="C12418" t="str">
            <v>BB GESTAO DE RECURSOS DTVM LTDA</v>
          </cell>
          <cell r="D12418" t="str">
            <v>BB GESTAO DE RECURSOS DTVM LTDA</v>
          </cell>
          <cell r="E12418" t="str">
            <v>BANCO DO BRASIL S/A</v>
          </cell>
        </row>
        <row r="12419">
          <cell r="B12419">
            <v>23350</v>
          </cell>
          <cell r="C12419" t="str">
            <v>BB GESTAO DE RECURSOS DTVM LTDA</v>
          </cell>
          <cell r="D12419" t="str">
            <v>BB GESTAO DE RECURSOS DTVM LTDA</v>
          </cell>
          <cell r="E12419" t="str">
            <v>BANCO DO BRASIL S/A</v>
          </cell>
        </row>
        <row r="12420">
          <cell r="B12420">
            <v>23351</v>
          </cell>
          <cell r="C12420" t="str">
            <v>BB GESTAO DE RECURSOS DTVM LTDA</v>
          </cell>
          <cell r="D12420" t="str">
            <v>BB GESTAO DE RECURSOS DTVM LTDA</v>
          </cell>
          <cell r="E12420" t="str">
            <v>BANCO DO BRASIL S/A</v>
          </cell>
        </row>
        <row r="12421">
          <cell r="B12421">
            <v>23352</v>
          </cell>
          <cell r="C12421" t="str">
            <v>BB BANCO DE INVESTIMENTO S/A</v>
          </cell>
          <cell r="D12421" t="str">
            <v>BB BANCO DE INVESTIMENTO S/A</v>
          </cell>
          <cell r="E12421" t="str">
            <v>BB BANCO DE INVESTIMENTO S/A</v>
          </cell>
        </row>
        <row r="12422">
          <cell r="B12422">
            <v>23358</v>
          </cell>
          <cell r="C12422" t="str">
            <v>BB BANCO DE INVESTIMENTO S/A</v>
          </cell>
          <cell r="D12422" t="str">
            <v>BB BANCO DE INVESTIMENTO S/A</v>
          </cell>
          <cell r="E12422" t="str">
            <v>BB BANCO DE INVESTIMENTO S/A</v>
          </cell>
        </row>
        <row r="12423">
          <cell r="B12423">
            <v>23359</v>
          </cell>
          <cell r="C12423" t="str">
            <v>BB BANCO DE INVESTIMENTO S/A</v>
          </cell>
          <cell r="D12423" t="str">
            <v>BB BANCO DE INVESTIMENTO S/A</v>
          </cell>
          <cell r="E12423" t="str">
            <v>BB BANCO DE INVESTIMENTO S/A</v>
          </cell>
        </row>
        <row r="12424">
          <cell r="B12424">
            <v>23360</v>
          </cell>
          <cell r="C12424" t="str">
            <v>BB BANCO DE INVESTIMENTO S/A</v>
          </cell>
          <cell r="D12424" t="str">
            <v>BB BANCO DE INVESTIMENTO S/A</v>
          </cell>
          <cell r="E12424" t="str">
            <v>BB BANCO DE INVESTIMENTO S/A</v>
          </cell>
        </row>
        <row r="12425">
          <cell r="B12425">
            <v>23361</v>
          </cell>
          <cell r="C12425" t="str">
            <v>BB BANCO DE INVESTIMENTO S/A</v>
          </cell>
          <cell r="D12425" t="str">
            <v>BB BANCO DE INVESTIMENTO S/A</v>
          </cell>
          <cell r="E12425" t="str">
            <v>BB BANCO DE INVESTIMENTO S/A</v>
          </cell>
        </row>
        <row r="12426">
          <cell r="B12426">
            <v>23365</v>
          </cell>
          <cell r="C12426" t="str">
            <v>BB BANCO DE INVESTIMENTO S/A</v>
          </cell>
          <cell r="D12426" t="str">
            <v>BB BANCO DE INVESTIMENTO S/A</v>
          </cell>
          <cell r="E12426" t="str">
            <v>BB BANCO DE INVESTIMENTO S/A</v>
          </cell>
        </row>
        <row r="12427">
          <cell r="B12427">
            <v>23366</v>
          </cell>
          <cell r="C12427" t="str">
            <v>BB BANCO DE INVESTIMENTO S/A</v>
          </cell>
          <cell r="D12427" t="str">
            <v>BB BANCO DE INVESTIMENTO S/A</v>
          </cell>
          <cell r="E12427" t="str">
            <v>BB BANCO DE INVESTIMENTO S/A</v>
          </cell>
        </row>
        <row r="12428">
          <cell r="B12428">
            <v>23371</v>
          </cell>
          <cell r="C12428" t="str">
            <v>BB BANCO DE INVESTIMENTO S/A</v>
          </cell>
          <cell r="D12428" t="str">
            <v>BB BANCO DE INVESTIMENTO S/A</v>
          </cell>
          <cell r="E12428" t="str">
            <v>BB BANCO DE INVESTIMENTO S/A</v>
          </cell>
        </row>
        <row r="12429">
          <cell r="B12429">
            <v>23374</v>
          </cell>
          <cell r="C12429" t="str">
            <v>BB GESTAO DE RECURSOS DTVM LTDA</v>
          </cell>
          <cell r="D12429" t="str">
            <v>BB GESTAO DE RECURSOS DTVM LTDA</v>
          </cell>
          <cell r="E12429" t="str">
            <v>BANCO DO BRASIL S/A</v>
          </cell>
        </row>
        <row r="12430">
          <cell r="B12430">
            <v>23375</v>
          </cell>
          <cell r="C12430" t="str">
            <v>BB GESTAO DE RECURSOS DTVM LTDA</v>
          </cell>
          <cell r="D12430" t="str">
            <v>BB GESTAO DE RECURSOS DTVM LTDA</v>
          </cell>
          <cell r="E12430" t="str">
            <v>BANCO DO BRASIL S/A</v>
          </cell>
        </row>
        <row r="12431">
          <cell r="B12431">
            <v>23377</v>
          </cell>
          <cell r="C12431" t="str">
            <v>BB GESTAO DE RECURSOS DTVM LTDA</v>
          </cell>
          <cell r="D12431" t="str">
            <v>BB GESTAO DE RECURSOS DTVM LTDA</v>
          </cell>
          <cell r="E12431" t="str">
            <v>BANCO DO BRASIL S/A</v>
          </cell>
        </row>
        <row r="12432">
          <cell r="B12432">
            <v>23378</v>
          </cell>
          <cell r="C12432" t="str">
            <v>BB BANCO DE INVESTIMENTO S/A</v>
          </cell>
          <cell r="D12432" t="str">
            <v>BB BANCO DE INVESTIMENTO S/A</v>
          </cell>
          <cell r="E12432" t="str">
            <v>BB BANCO DE INVESTIMENTO S/A</v>
          </cell>
        </row>
        <row r="12433">
          <cell r="B12433">
            <v>23379</v>
          </cell>
          <cell r="C12433" t="str">
            <v>BB BANCO DE INVESTIMENTO S/A</v>
          </cell>
          <cell r="D12433" t="str">
            <v>BB BANCO DE INVESTIMENTO S/A</v>
          </cell>
          <cell r="E12433" t="str">
            <v>BB BANCO DE INVESTIMENTO S/A</v>
          </cell>
        </row>
        <row r="12434">
          <cell r="B12434">
            <v>23382</v>
          </cell>
          <cell r="C12434" t="str">
            <v>BB BANCO DE INVESTIMENTO S/A</v>
          </cell>
          <cell r="D12434" t="str">
            <v>BB BANCO DE INVESTIMENTO S/A</v>
          </cell>
          <cell r="E12434" t="str">
            <v>BB BANCO DE INVESTIMENTO S/A</v>
          </cell>
        </row>
        <row r="12435">
          <cell r="B12435">
            <v>23383</v>
          </cell>
          <cell r="C12435" t="str">
            <v>BB GESTAO DE RECURSOS DTVM LTDA</v>
          </cell>
          <cell r="D12435" t="str">
            <v>BB GESTAO DE RECURSOS DTVM LTDA</v>
          </cell>
          <cell r="E12435" t="str">
            <v>BANCO DO BRASIL S/A</v>
          </cell>
        </row>
        <row r="12436">
          <cell r="B12436">
            <v>23385</v>
          </cell>
          <cell r="C12436" t="str">
            <v>BB GESTAO DE RECURSOS DTVM LTDA</v>
          </cell>
          <cell r="D12436" t="str">
            <v>BB GESTAO DE RECURSOS DTVM LTDA</v>
          </cell>
          <cell r="E12436" t="str">
            <v>BANCO DO BRASIL S/A</v>
          </cell>
        </row>
        <row r="12437">
          <cell r="B12437">
            <v>23387</v>
          </cell>
          <cell r="C12437" t="str">
            <v>BB GESTAO DE RECURSOS DTVM LTDA</v>
          </cell>
          <cell r="D12437" t="str">
            <v>BB GESTAO DE RECURSOS DTVM LTDA</v>
          </cell>
          <cell r="E12437" t="str">
            <v>BANCO DO BRASIL S/A</v>
          </cell>
        </row>
        <row r="12438">
          <cell r="B12438">
            <v>23390</v>
          </cell>
          <cell r="C12438" t="str">
            <v>BB BANCO DE INVESTIMENTO S/A</v>
          </cell>
          <cell r="D12438" t="str">
            <v>BB BANCO DE INVESTIMENTO S/A</v>
          </cell>
          <cell r="E12438" t="str">
            <v>BB BANCO DE INVESTIMENTO S/A</v>
          </cell>
        </row>
        <row r="12439">
          <cell r="B12439">
            <v>23391</v>
          </cell>
          <cell r="C12439" t="str">
            <v>BB BANCO DE INVESTIMENTO S/A</v>
          </cell>
          <cell r="D12439" t="str">
            <v>BB BANCO DE INVESTIMENTO S/A</v>
          </cell>
          <cell r="E12439" t="str">
            <v>BB BANCO DE INVESTIMENTO S/A</v>
          </cell>
        </row>
        <row r="12440">
          <cell r="B12440">
            <v>23393</v>
          </cell>
          <cell r="C12440" t="str">
            <v>BB BANCO DE INVESTIMENTO S/A</v>
          </cell>
          <cell r="D12440" t="str">
            <v>BB BANCO DE INVESTIMENTO S/A</v>
          </cell>
          <cell r="E12440" t="str">
            <v>BB BANCO DE INVESTIMENTO S/A</v>
          </cell>
        </row>
        <row r="12441">
          <cell r="B12441">
            <v>23394</v>
          </cell>
          <cell r="C12441" t="str">
            <v>BB BANCO DE INVESTIMENTO S/A</v>
          </cell>
          <cell r="D12441" t="str">
            <v>BB BANCO DE INVESTIMENTO S/A</v>
          </cell>
          <cell r="E12441" t="str">
            <v>BB BANCO DE INVESTIMENTO S/A</v>
          </cell>
        </row>
        <row r="12442">
          <cell r="B12442">
            <v>23397</v>
          </cell>
          <cell r="C12442" t="str">
            <v>BB BANCO DE INVESTIMENTO S/A</v>
          </cell>
          <cell r="D12442" t="str">
            <v>BB BANCO DE INVESTIMENTO S/A</v>
          </cell>
          <cell r="E12442" t="str">
            <v>BB BANCO DE INVESTIMENTO S/A</v>
          </cell>
        </row>
        <row r="12443">
          <cell r="B12443">
            <v>23398</v>
          </cell>
          <cell r="C12443" t="str">
            <v>BB BANCO DE INVESTIMENTO S/A</v>
          </cell>
          <cell r="D12443" t="str">
            <v>BB BANCO DE INVESTIMENTO S/A</v>
          </cell>
          <cell r="E12443" t="str">
            <v>BB BANCO DE INVESTIMENTO S/A</v>
          </cell>
        </row>
        <row r="12444">
          <cell r="B12444">
            <v>23400</v>
          </cell>
          <cell r="C12444" t="str">
            <v>BB GESTAO DE RECURSOS DTVM LTDA</v>
          </cell>
          <cell r="D12444" t="str">
            <v>BB GESTAO DE RECURSOS DTVM LTDA</v>
          </cell>
          <cell r="E12444" t="str">
            <v>BANCO DO BRASIL S/A</v>
          </cell>
        </row>
        <row r="12445">
          <cell r="B12445">
            <v>23406</v>
          </cell>
          <cell r="C12445" t="str">
            <v>BB GESTAO DE RECURSOS DTVM LTDA</v>
          </cell>
          <cell r="D12445" t="str">
            <v>BB GESTAO DE RECURSOS DTVM LTDA</v>
          </cell>
          <cell r="E12445" t="str">
            <v>BANCO DO BRASIL S/A</v>
          </cell>
        </row>
        <row r="12446">
          <cell r="B12446">
            <v>23407</v>
          </cell>
          <cell r="C12446" t="str">
            <v>BB GESTAO DE RECURSOS DTVM LTDA</v>
          </cell>
          <cell r="D12446" t="str">
            <v>BB GESTAO DE RECURSOS DTVM LTDA</v>
          </cell>
          <cell r="E12446" t="str">
            <v>BANCO DO BRASIL S/A</v>
          </cell>
        </row>
        <row r="12447">
          <cell r="B12447">
            <v>23408</v>
          </cell>
          <cell r="C12447" t="str">
            <v>BB GESTAO DE RECURSOS DTVM LTDA</v>
          </cell>
          <cell r="D12447" t="str">
            <v>BB GESTAO DE RECURSOS DTVM LTDA</v>
          </cell>
          <cell r="E12447" t="str">
            <v>BANCO DO BRASIL S/A</v>
          </cell>
        </row>
        <row r="12448">
          <cell r="B12448">
            <v>23409</v>
          </cell>
          <cell r="C12448" t="str">
            <v>BB BANCO DE INVESTIMENTO S/A</v>
          </cell>
          <cell r="D12448" t="str">
            <v>BB BANCO DE INVESTIMENTO S/A</v>
          </cell>
          <cell r="E12448" t="str">
            <v>BB BANCO DE INVESTIMENTO S/A</v>
          </cell>
        </row>
        <row r="12449">
          <cell r="B12449">
            <v>23410</v>
          </cell>
          <cell r="C12449" t="str">
            <v>BB BANCO DE INVESTIMENTO S/A</v>
          </cell>
          <cell r="D12449" t="str">
            <v>BB BANCO DE INVESTIMENTO S/A</v>
          </cell>
          <cell r="E12449" t="str">
            <v>BB BANCO DE INVESTIMENTO S/A</v>
          </cell>
        </row>
        <row r="12450">
          <cell r="B12450">
            <v>23411</v>
          </cell>
          <cell r="C12450" t="str">
            <v>BB BANCO DE INVESTIMENTO S/A</v>
          </cell>
          <cell r="D12450" t="str">
            <v>BB BANCO DE INVESTIMENTO S/A</v>
          </cell>
          <cell r="E12450" t="str">
            <v>BB BANCO DE INVESTIMENTO S/A</v>
          </cell>
        </row>
        <row r="12451">
          <cell r="B12451">
            <v>23415</v>
          </cell>
          <cell r="C12451" t="str">
            <v>BB BANCO DE INVESTIMENTO S/A</v>
          </cell>
          <cell r="D12451" t="str">
            <v>BB BANCO DE INVESTIMENTO S/A</v>
          </cell>
          <cell r="E12451" t="str">
            <v>BB BANCO DE INVESTIMENTO S/A</v>
          </cell>
        </row>
        <row r="12452">
          <cell r="B12452">
            <v>23418</v>
          </cell>
          <cell r="C12452" t="str">
            <v>BB BANCO DE INVESTIMENTO S/A</v>
          </cell>
          <cell r="D12452" t="str">
            <v>BB BANCO DE INVESTIMENTO S/A</v>
          </cell>
          <cell r="E12452" t="str">
            <v>BB BANCO DE INVESTIMENTO S/A</v>
          </cell>
        </row>
        <row r="12453">
          <cell r="B12453">
            <v>23424</v>
          </cell>
          <cell r="C12453" t="str">
            <v>BB GESTAO DE RECURSOS DTVM LTDA</v>
          </cell>
          <cell r="D12453" t="str">
            <v>BB GESTAO DE RECURSOS DTVM LTDA</v>
          </cell>
          <cell r="E12453" t="str">
            <v>BANCO DO BRASIL S/A</v>
          </cell>
        </row>
        <row r="12454">
          <cell r="B12454">
            <v>23427</v>
          </cell>
          <cell r="C12454" t="str">
            <v>BB GESTAO DE RECURSOS DTVM LTDA</v>
          </cell>
          <cell r="D12454" t="str">
            <v>BB GESTAO DE RECURSOS DTVM LTDA</v>
          </cell>
          <cell r="E12454" t="str">
            <v>BANCO DO BRASIL S/A</v>
          </cell>
        </row>
        <row r="12455">
          <cell r="B12455">
            <v>23429</v>
          </cell>
          <cell r="C12455" t="str">
            <v>BB GESTAO DE RECURSOS DTVM LTDA</v>
          </cell>
          <cell r="D12455" t="str">
            <v>BB GESTAO DE RECURSOS DTVM LTDA</v>
          </cell>
          <cell r="E12455" t="str">
            <v>BANCO DO BRASIL S/A</v>
          </cell>
        </row>
        <row r="12456">
          <cell r="B12456">
            <v>23430</v>
          </cell>
          <cell r="C12456" t="str">
            <v>BB GESTAO DE RECURSOS DTVM LTDA</v>
          </cell>
          <cell r="D12456" t="str">
            <v>BB GESTAO DE RECURSOS DTVM LTDA</v>
          </cell>
          <cell r="E12456" t="str">
            <v>BANCO DO BRASIL S/A</v>
          </cell>
        </row>
        <row r="12457">
          <cell r="B12457">
            <v>23431</v>
          </cell>
          <cell r="C12457" t="str">
            <v>BB GESTAO DE RECURSOS DTVM LTDA</v>
          </cell>
          <cell r="D12457" t="str">
            <v>BB GESTAO DE RECURSOS DTVM LTDA</v>
          </cell>
          <cell r="E12457" t="str">
            <v>BANCO DO BRASIL S/A</v>
          </cell>
        </row>
        <row r="12458">
          <cell r="B12458">
            <v>23432</v>
          </cell>
          <cell r="C12458" t="str">
            <v>BB GESTAO DE RECURSOS DTVM LTDA</v>
          </cell>
          <cell r="D12458" t="str">
            <v>BB GESTAO DE RECURSOS DTVM LTDA</v>
          </cell>
          <cell r="E12458" t="str">
            <v>BANCO DO BRASIL S/A</v>
          </cell>
        </row>
        <row r="12459">
          <cell r="B12459">
            <v>23433</v>
          </cell>
          <cell r="C12459" t="str">
            <v>BB GESTAO DE RECURSOS DTVM LTDA</v>
          </cell>
          <cell r="D12459" t="str">
            <v>BB GESTAO DE RECURSOS DTVM LTDA</v>
          </cell>
          <cell r="E12459" t="str">
            <v>BANCO DO BRASIL S/A</v>
          </cell>
        </row>
        <row r="12460">
          <cell r="B12460">
            <v>23437</v>
          </cell>
          <cell r="C12460" t="str">
            <v>BB BANCO DE INVESTIMENTO S/A</v>
          </cell>
          <cell r="D12460" t="str">
            <v>BB BANCO DE INVESTIMENTO S/A</v>
          </cell>
          <cell r="E12460" t="str">
            <v>BB BANCO DE INVESTIMENTO S/A</v>
          </cell>
        </row>
        <row r="12461">
          <cell r="B12461">
            <v>23439</v>
          </cell>
          <cell r="C12461" t="str">
            <v>BB BANCO DE INVESTIMENTO S/A</v>
          </cell>
          <cell r="D12461" t="str">
            <v>BB BANCO DE INVESTIMENTO S/A</v>
          </cell>
          <cell r="E12461" t="str">
            <v>BB BANCO DE INVESTIMENTO S/A</v>
          </cell>
        </row>
        <row r="12462">
          <cell r="B12462">
            <v>23440</v>
          </cell>
          <cell r="C12462" t="str">
            <v>BB BANCO DE INVESTIMENTO S/A</v>
          </cell>
          <cell r="D12462" t="str">
            <v>BB BANCO DE INVESTIMENTO S/A</v>
          </cell>
          <cell r="E12462" t="str">
            <v>BB BANCO DE INVESTIMENTO S/A</v>
          </cell>
        </row>
        <row r="12463">
          <cell r="B12463">
            <v>23441</v>
          </cell>
          <cell r="C12463" t="str">
            <v>BB BANCO DE INVESTIMENTO S/A</v>
          </cell>
          <cell r="D12463" t="str">
            <v>BB BANCO DE INVESTIMENTO S/A</v>
          </cell>
          <cell r="E12463" t="str">
            <v>BB BANCO DE INVESTIMENTO S/A</v>
          </cell>
        </row>
        <row r="12464">
          <cell r="B12464">
            <v>23442</v>
          </cell>
          <cell r="C12464" t="str">
            <v>BB BANCO DE INVESTIMENTO S/A</v>
          </cell>
          <cell r="D12464" t="str">
            <v>BB BANCO DE INVESTIMENTO S/A</v>
          </cell>
          <cell r="E12464" t="str">
            <v>BB BANCO DE INVESTIMENTO S/A</v>
          </cell>
        </row>
        <row r="12465">
          <cell r="B12465">
            <v>23443</v>
          </cell>
          <cell r="C12465" t="str">
            <v>BB BANCO DE INVESTIMENTO S/A</v>
          </cell>
          <cell r="D12465" t="str">
            <v>BB BANCO DE INVESTIMENTO S/A</v>
          </cell>
          <cell r="E12465" t="str">
            <v>BB BANCO DE INVESTIMENTO S/A</v>
          </cell>
        </row>
        <row r="12466">
          <cell r="B12466">
            <v>23444</v>
          </cell>
          <cell r="C12466" t="str">
            <v>BB BANCO DE INVESTIMENTO S/A</v>
          </cell>
          <cell r="D12466" t="str">
            <v>BB BANCO DE INVESTIMENTO S/A</v>
          </cell>
          <cell r="E12466" t="str">
            <v>BB BANCO DE INVESTIMENTO S/A</v>
          </cell>
        </row>
        <row r="12467">
          <cell r="B12467">
            <v>23453</v>
          </cell>
          <cell r="C12467" t="str">
            <v>BB BANCO DE INVESTIMENTO S/A</v>
          </cell>
          <cell r="D12467" t="str">
            <v>BB BANCO DE INVESTIMENTO S/A</v>
          </cell>
          <cell r="E12467" t="str">
            <v>BB BANCO DE INVESTIMENTO S/A</v>
          </cell>
        </row>
        <row r="12468">
          <cell r="B12468">
            <v>23457</v>
          </cell>
          <cell r="C12468" t="str">
            <v>BB GESTAO DE RECURSOS DTVM LTDA</v>
          </cell>
          <cell r="D12468" t="str">
            <v>BB GESTAO DE RECURSOS DTVM LTDA</v>
          </cell>
          <cell r="E12468" t="str">
            <v>BANCO DO BRASIL S/A</v>
          </cell>
        </row>
        <row r="12469">
          <cell r="B12469">
            <v>79412</v>
          </cell>
          <cell r="C12469" t="str">
            <v>SUL AMERICA INVESTIMENTOS DTVM S/A</v>
          </cell>
          <cell r="D12469" t="str">
            <v>SUL AMERICA INVESTIMENTOS DTVM S/A</v>
          </cell>
          <cell r="E12469" t="str">
            <v>SUL AMERICA INVESTIMENTOS GESTORA DE RECURSOS S/A</v>
          </cell>
        </row>
        <row r="12470">
          <cell r="B12470">
            <v>23460</v>
          </cell>
          <cell r="C12470" t="str">
            <v>BB GESTAO DE RECURSOS DTVM LTDA</v>
          </cell>
          <cell r="D12470" t="str">
            <v>BB GESTAO DE RECURSOS DTVM LTDA</v>
          </cell>
          <cell r="E12470" t="str">
            <v>BANCO DO BRASIL S/A</v>
          </cell>
        </row>
        <row r="12471">
          <cell r="B12471">
            <v>23462</v>
          </cell>
          <cell r="C12471" t="str">
            <v>BB BANCO DE INVESTIMENTO S/A</v>
          </cell>
          <cell r="D12471" t="str">
            <v>BB BANCO DE INVESTIMENTO S/A</v>
          </cell>
          <cell r="E12471" t="str">
            <v>BB BANCO DE INVESTIMENTO S/A</v>
          </cell>
        </row>
        <row r="12472">
          <cell r="B12472">
            <v>23464</v>
          </cell>
          <cell r="C12472" t="str">
            <v>BB GESTAO DE RECURSOS DTVM LTDA</v>
          </cell>
          <cell r="D12472" t="str">
            <v>BB GESTAO DE RECURSOS DTVM LTDA</v>
          </cell>
          <cell r="E12472" t="str">
            <v>BANCO DO BRASIL S/A</v>
          </cell>
        </row>
        <row r="12473">
          <cell r="B12473">
            <v>23482</v>
          </cell>
          <cell r="C12473" t="str">
            <v>BB BANCO DE INVESTIMENTO S/A</v>
          </cell>
          <cell r="D12473" t="str">
            <v>BB BANCO DE INVESTIMENTO S/A</v>
          </cell>
          <cell r="E12473" t="str">
            <v>BB BANCO DE INVESTIMENTO S/A</v>
          </cell>
        </row>
        <row r="12474">
          <cell r="B12474">
            <v>23483</v>
          </cell>
          <cell r="C12474" t="str">
            <v>BB BANCO DE INVESTIMENTO S/A</v>
          </cell>
          <cell r="D12474" t="str">
            <v>BB BANCO DE INVESTIMENTO S/A</v>
          </cell>
          <cell r="E12474" t="str">
            <v>BB BANCO DE INVESTIMENTO S/A</v>
          </cell>
        </row>
        <row r="12475">
          <cell r="B12475">
            <v>23486</v>
          </cell>
          <cell r="C12475" t="str">
            <v>BB BANCO DE INVESTIMENTO S/A</v>
          </cell>
          <cell r="D12475" t="str">
            <v>BB BANCO DE INVESTIMENTO S/A</v>
          </cell>
          <cell r="E12475" t="str">
            <v>BB BANCO DE INVESTIMENTO S/A</v>
          </cell>
        </row>
        <row r="12476">
          <cell r="B12476">
            <v>23487</v>
          </cell>
          <cell r="C12476" t="str">
            <v>BB BANCO DE INVESTIMENTO S/A</v>
          </cell>
          <cell r="D12476" t="str">
            <v>BB BANCO DE INVESTIMENTO S/A</v>
          </cell>
          <cell r="E12476" t="str">
            <v>BB BANCO DE INVESTIMENTO S/A</v>
          </cell>
        </row>
        <row r="12477">
          <cell r="B12477">
            <v>23489</v>
          </cell>
          <cell r="C12477" t="str">
            <v>BB GESTAO DE RECURSOS DTVM LTDA</v>
          </cell>
          <cell r="D12477" t="str">
            <v>BB GESTAO DE RECURSOS DTVM LTDA</v>
          </cell>
          <cell r="E12477" t="str">
            <v>BANCO DO BRASIL S/A</v>
          </cell>
        </row>
        <row r="12478">
          <cell r="B12478">
            <v>23490</v>
          </cell>
          <cell r="C12478" t="str">
            <v>BB GESTAO DE RECURSOS DTVM LTDA</v>
          </cell>
          <cell r="D12478" t="str">
            <v>BB GESTAO DE RECURSOS DTVM LTDA</v>
          </cell>
          <cell r="E12478" t="str">
            <v>BB GESTAO DE RECURSOS DTVM LTDA</v>
          </cell>
        </row>
        <row r="12479">
          <cell r="B12479">
            <v>23493</v>
          </cell>
          <cell r="C12479" t="str">
            <v>BB GESTAO DE RECURSOS DTVM LTDA</v>
          </cell>
          <cell r="D12479" t="str">
            <v>BB GESTAO DE RECURSOS DTVM LTDA</v>
          </cell>
          <cell r="E12479" t="str">
            <v>BB GESTAO DE RECURSOS DTVM LTDA</v>
          </cell>
        </row>
        <row r="12480">
          <cell r="B12480">
            <v>23508</v>
          </cell>
          <cell r="C12480" t="str">
            <v>BB BANCO DE INVESTIMENTO S/A</v>
          </cell>
          <cell r="D12480" t="str">
            <v>BB BANCO DE INVESTIMENTO S/A</v>
          </cell>
          <cell r="E12480" t="str">
            <v>BB BANCO DE INVESTIMENTO S/A</v>
          </cell>
        </row>
        <row r="12481">
          <cell r="B12481">
            <v>23512</v>
          </cell>
          <cell r="C12481" t="str">
            <v>BB GESTAO DE RECURSOS DTVM LTDA</v>
          </cell>
          <cell r="D12481" t="str">
            <v>BB GESTAO DE RECURSOS DTVM LTDA</v>
          </cell>
          <cell r="E12481" t="str">
            <v>BANCO DO BRASIL S/A</v>
          </cell>
        </row>
        <row r="12482">
          <cell r="B12482">
            <v>23513</v>
          </cell>
          <cell r="C12482" t="str">
            <v>BB BANCO DE INVESTIMENTO S/A</v>
          </cell>
          <cell r="D12482" t="str">
            <v>BB BANCO DE INVESTIMENTO S/A</v>
          </cell>
          <cell r="E12482" t="str">
            <v>BB BANCO DE INVESTIMENTO S/A</v>
          </cell>
        </row>
        <row r="12483">
          <cell r="B12483">
            <v>23514</v>
          </cell>
          <cell r="C12483" t="str">
            <v>BB GESTAO DE RECURSOS DTVM LTDA</v>
          </cell>
          <cell r="D12483" t="str">
            <v>BB GESTAO DE RECURSOS DTVM LTDA</v>
          </cell>
          <cell r="E12483" t="str">
            <v>BB GESTAO DE RECURSOS DTVM LTDA</v>
          </cell>
        </row>
        <row r="12484">
          <cell r="B12484">
            <v>23518</v>
          </cell>
          <cell r="C12484" t="str">
            <v>BB GESTAO DE RECURSOS DTVM LTDA</v>
          </cell>
          <cell r="D12484" t="str">
            <v>BB GESTAO DE RECURSOS DTVM LTDA</v>
          </cell>
          <cell r="E12484" t="str">
            <v>BANCO DO BRASIL S/A</v>
          </cell>
        </row>
        <row r="12485">
          <cell r="B12485">
            <v>23520</v>
          </cell>
          <cell r="C12485" t="str">
            <v>BB BANCO DE INVESTIMENTO S/A</v>
          </cell>
          <cell r="D12485" t="str">
            <v>BB BANCO DE INVESTIMENTO S/A</v>
          </cell>
          <cell r="E12485" t="str">
            <v>BB BANCO DE INVESTIMENTO S/A</v>
          </cell>
        </row>
        <row r="12486">
          <cell r="B12486">
            <v>23522</v>
          </cell>
          <cell r="C12486" t="str">
            <v>BB GESTAO DE RECURSOS DTVM LTDA</v>
          </cell>
          <cell r="D12486" t="str">
            <v>BB GESTAO DE RECURSOS DTVM LTDA</v>
          </cell>
          <cell r="E12486" t="str">
            <v>BANCO DO BRASIL S/A</v>
          </cell>
        </row>
        <row r="12487">
          <cell r="B12487">
            <v>23525</v>
          </cell>
          <cell r="C12487" t="str">
            <v>BB BANCO DE INVESTIMENTO S/A</v>
          </cell>
          <cell r="D12487" t="str">
            <v>BB BANCO DE INVESTIMENTO S/A</v>
          </cell>
          <cell r="E12487" t="str">
            <v>BB BANCO DE INVESTIMENTO S/A</v>
          </cell>
        </row>
        <row r="12488">
          <cell r="B12488">
            <v>23549</v>
          </cell>
          <cell r="C12488" t="str">
            <v>BB GESTAO DE RECURSOS DTVM LTDA</v>
          </cell>
          <cell r="D12488" t="str">
            <v>BB GESTAO DE RECURSOS DTVM LTDA</v>
          </cell>
          <cell r="E12488" t="str">
            <v>BANCO DO BRASIL S/A</v>
          </cell>
        </row>
        <row r="12489">
          <cell r="B12489">
            <v>23551</v>
          </cell>
          <cell r="C12489" t="str">
            <v>BB GESTAO DE RECURSOS DTVM LTDA</v>
          </cell>
          <cell r="D12489" t="str">
            <v>BB GESTAO DE RECURSOS DTVM LTDA</v>
          </cell>
          <cell r="E12489" t="str">
            <v>BANCO DO BRASIL S/A</v>
          </cell>
        </row>
        <row r="12490">
          <cell r="B12490">
            <v>23554</v>
          </cell>
          <cell r="C12490" t="str">
            <v>BB GESTAO DE RECURSOS DTVM LTDA</v>
          </cell>
          <cell r="D12490" t="str">
            <v>BB GESTAO DE RECURSOS DTVM LTDA</v>
          </cell>
          <cell r="E12490" t="str">
            <v>BANCO DO BRASIL S/A</v>
          </cell>
        </row>
        <row r="12491">
          <cell r="B12491">
            <v>23566</v>
          </cell>
          <cell r="C12491" t="str">
            <v>EVANDRO CAVALIERE SILVA</v>
          </cell>
          <cell r="D12491" t="str">
            <v>EVANDRO CAVALIERE SILVA</v>
          </cell>
          <cell r="E12491" t="str">
            <v>EVANDRO CAVALIERE SILVA</v>
          </cell>
        </row>
        <row r="12492">
          <cell r="B12492">
            <v>23577</v>
          </cell>
          <cell r="C12492" t="str">
            <v>BB BANCO DE INVESTIMENTO S/A</v>
          </cell>
          <cell r="D12492" t="str">
            <v>BB BANCO DE INVESTIMENTO S/A</v>
          </cell>
          <cell r="E12492" t="str">
            <v>BB BANCO DE INVESTIMENTO S/A</v>
          </cell>
        </row>
        <row r="12493">
          <cell r="B12493">
            <v>23581</v>
          </cell>
          <cell r="C12493" t="str">
            <v>BB BANCO DE INVESTIMENTO S/A</v>
          </cell>
          <cell r="D12493" t="str">
            <v>BB BANCO DE INVESTIMENTO S/A</v>
          </cell>
          <cell r="E12493" t="str">
            <v>BB BANCO DE INVESTIMENTO S/A</v>
          </cell>
        </row>
        <row r="12494">
          <cell r="B12494">
            <v>23588</v>
          </cell>
          <cell r="C12494" t="str">
            <v>BB BANCO DE INVESTIMENTO S/A</v>
          </cell>
          <cell r="D12494" t="str">
            <v>BB BANCO DE INVESTIMENTO S/A</v>
          </cell>
          <cell r="E12494" t="str">
            <v>BB BANCO DE INVESTIMENTO S/A</v>
          </cell>
        </row>
        <row r="12495">
          <cell r="B12495">
            <v>23591</v>
          </cell>
          <cell r="C12495" t="str">
            <v>BB GESTAO DE RECURSOS DTVM LTDA</v>
          </cell>
          <cell r="D12495" t="str">
            <v>BB GESTAO DE RECURSOS DTVM LTDA</v>
          </cell>
          <cell r="E12495" t="str">
            <v>BANCO DO BRASIL S/A</v>
          </cell>
        </row>
        <row r="12496">
          <cell r="B12496">
            <v>23593</v>
          </cell>
          <cell r="C12496" t="str">
            <v>BB BANCO DE INVESTIMENTO S/A</v>
          </cell>
          <cell r="D12496" t="str">
            <v>BB BANCO DE INVESTIMENTO S/A</v>
          </cell>
          <cell r="E12496" t="str">
            <v>BB BANCO DE INVESTIMENTO S/A</v>
          </cell>
        </row>
        <row r="12497">
          <cell r="B12497">
            <v>23597</v>
          </cell>
          <cell r="C12497" t="str">
            <v>BB GESTAO DE RECURSOS DTVM LTDA</v>
          </cell>
          <cell r="D12497" t="str">
            <v>BB GESTAO DE RECURSOS DTVM LTDA</v>
          </cell>
          <cell r="E12497" t="str">
            <v>BB GESTAO DE RECURSOS DTVM LTDA</v>
          </cell>
        </row>
        <row r="12498">
          <cell r="B12498">
            <v>23603</v>
          </cell>
          <cell r="C12498" t="str">
            <v>BB GESTAO DE RECURSOS DTVM LTDA</v>
          </cell>
          <cell r="D12498" t="str">
            <v>BB GESTAO DE RECURSOS DTVM LTDA</v>
          </cell>
          <cell r="E12498" t="str">
            <v>BB GESTAO DE RECURSOS DTVM LTDA</v>
          </cell>
        </row>
        <row r="12499">
          <cell r="B12499">
            <v>23604</v>
          </cell>
          <cell r="C12499" t="str">
            <v>BB GESTAO DE RECURSOS DTVM LTDA</v>
          </cell>
          <cell r="D12499" t="str">
            <v>BB GESTAO DE RECURSOS DTVM LTDA</v>
          </cell>
          <cell r="E12499" t="str">
            <v>BANCO DO BRASIL S/A</v>
          </cell>
        </row>
        <row r="12500">
          <cell r="B12500">
            <v>23605</v>
          </cell>
          <cell r="C12500" t="str">
            <v>BB GESTAO DE RECURSOS DTVM LTDA</v>
          </cell>
          <cell r="D12500" t="str">
            <v>BB GESTAO DE RECURSOS DTVM LTDA</v>
          </cell>
          <cell r="E12500" t="str">
            <v>BANCO DO BRASIL S/A</v>
          </cell>
        </row>
        <row r="12501">
          <cell r="B12501">
            <v>23606</v>
          </cell>
          <cell r="C12501" t="str">
            <v>BB GESTAO DE RECURSOS DTVM LTDA</v>
          </cell>
          <cell r="D12501" t="str">
            <v>BB GESTAO DE RECURSOS DTVM LTDA</v>
          </cell>
          <cell r="E12501" t="str">
            <v>BANCO DO BRASIL S/A</v>
          </cell>
        </row>
        <row r="12502">
          <cell r="B12502">
            <v>23612</v>
          </cell>
          <cell r="C12502" t="str">
            <v>BB BANCO DE INVESTIMENTO S/A</v>
          </cell>
          <cell r="D12502" t="str">
            <v>BB BANCO DE INVESTIMENTO S/A</v>
          </cell>
          <cell r="E12502" t="str">
            <v>BB BANCO DE INVESTIMENTO S/A</v>
          </cell>
        </row>
        <row r="12503">
          <cell r="B12503">
            <v>23613</v>
          </cell>
          <cell r="C12503" t="str">
            <v>BB GESTAO DE RECURSOS DTVM LTDA</v>
          </cell>
          <cell r="D12503" t="str">
            <v>BB GESTAO DE RECURSOS DTVM LTDA</v>
          </cell>
          <cell r="E12503" t="str">
            <v>BB GESTAO DE RECURSOS DTVM LTDA</v>
          </cell>
        </row>
        <row r="12504">
          <cell r="B12504">
            <v>23614</v>
          </cell>
          <cell r="C12504" t="str">
            <v>BB GESTAO DE RECURSOS DTVM LTDA</v>
          </cell>
          <cell r="D12504" t="str">
            <v>BB GESTAO DE RECURSOS DTVM LTDA</v>
          </cell>
          <cell r="E12504" t="str">
            <v>BB GESTAO DE RECURSOS DTVM LTDA</v>
          </cell>
        </row>
        <row r="12505">
          <cell r="B12505">
            <v>23616</v>
          </cell>
          <cell r="C12505" t="str">
            <v>BB BANCO DE INVESTIMENTO S/A</v>
          </cell>
          <cell r="D12505" t="str">
            <v>BB BANCO DE INVESTIMENTO S/A</v>
          </cell>
          <cell r="E12505" t="str">
            <v>BB BANCO DE INVESTIMENTO S/A</v>
          </cell>
        </row>
        <row r="12506">
          <cell r="B12506">
            <v>23625</v>
          </cell>
          <cell r="C12506" t="str">
            <v>BB GESTAO DE RECURSOS DTVM LTDA</v>
          </cell>
          <cell r="D12506" t="str">
            <v>BB GESTAO DE RECURSOS DTVM LTDA</v>
          </cell>
          <cell r="E12506" t="str">
            <v>BANCO DO BRASIL S/A</v>
          </cell>
        </row>
        <row r="12507">
          <cell r="B12507">
            <v>23630</v>
          </cell>
          <cell r="C12507" t="str">
            <v>BB BANCO DE INVESTIMENTO S/A</v>
          </cell>
          <cell r="D12507" t="str">
            <v>BB BANCO DE INVESTIMENTO S/A</v>
          </cell>
          <cell r="E12507" t="str">
            <v>BB BANCO DE INVESTIMENTO S/A</v>
          </cell>
        </row>
        <row r="12508">
          <cell r="B12508">
            <v>23655</v>
          </cell>
          <cell r="C12508" t="str">
            <v>BB GESTAO DE RECURSOS DTVM LTDA</v>
          </cell>
          <cell r="D12508" t="str">
            <v>BB GESTAO DE RECURSOS DTVM LTDA</v>
          </cell>
          <cell r="E12508" t="str">
            <v>BANCO DO BRASIL S/A</v>
          </cell>
        </row>
        <row r="12509">
          <cell r="B12509">
            <v>23661</v>
          </cell>
          <cell r="C12509" t="str">
            <v>BB GESTAO DE RECURSOS DTVM LTDA</v>
          </cell>
          <cell r="D12509" t="str">
            <v>BB GESTAO DE RECURSOS DTVM LTDA</v>
          </cell>
          <cell r="E12509" t="str">
            <v>BANCO DO BRASIL S/A</v>
          </cell>
        </row>
        <row r="12510">
          <cell r="B12510">
            <v>23674</v>
          </cell>
          <cell r="C12510" t="str">
            <v>BB BANCO DE INVESTIMENTO S/A</v>
          </cell>
          <cell r="D12510" t="str">
            <v>BB BANCO DE INVESTIMENTO S/A</v>
          </cell>
          <cell r="E12510" t="str">
            <v>BB BANCO DE INVESTIMENTO S/A</v>
          </cell>
        </row>
        <row r="12511">
          <cell r="B12511">
            <v>23675</v>
          </cell>
          <cell r="C12511" t="str">
            <v>BB BANCO DE INVESTIMENTO S/A</v>
          </cell>
          <cell r="D12511" t="str">
            <v>BB BANCO DE INVESTIMENTO S/A</v>
          </cell>
          <cell r="E12511" t="str">
            <v>BB BANCO DE INVESTIMENTO S/A</v>
          </cell>
        </row>
        <row r="12512">
          <cell r="B12512">
            <v>23678</v>
          </cell>
          <cell r="C12512" t="str">
            <v>BB GESTAO DE RECURSOS DTVM LTDA</v>
          </cell>
          <cell r="D12512" t="str">
            <v>BB GESTAO DE RECURSOS DTVM LTDA</v>
          </cell>
          <cell r="E12512" t="str">
            <v>BANCO DO BRASIL S/A</v>
          </cell>
        </row>
        <row r="12513">
          <cell r="B12513">
            <v>23688</v>
          </cell>
          <cell r="C12513" t="str">
            <v>BB GESTAO DE RECURSOS DTVM LTDA</v>
          </cell>
          <cell r="D12513" t="str">
            <v>BB GESTAO DE RECURSOS DTVM LTDA</v>
          </cell>
          <cell r="E12513" t="str">
            <v>BB GESTAO DE RECURSOS DTVM LTDA</v>
          </cell>
        </row>
        <row r="12514">
          <cell r="B12514">
            <v>23689</v>
          </cell>
          <cell r="C12514" t="str">
            <v>BB GESTAO DE RECURSOS DTVM LTDA</v>
          </cell>
          <cell r="D12514" t="str">
            <v>BB GESTAO DE RECURSOS DTVM LTDA</v>
          </cell>
          <cell r="E12514" t="str">
            <v>BB GESTAO DE RECURSOS DTVM LTDA</v>
          </cell>
        </row>
        <row r="12515">
          <cell r="B12515">
            <v>23693</v>
          </cell>
          <cell r="C12515" t="str">
            <v>BB BANCO DE INVESTIMENTO S/A</v>
          </cell>
          <cell r="D12515" t="str">
            <v>BB BANCO DE INVESTIMENTO S/A</v>
          </cell>
          <cell r="E12515" t="str">
            <v>BB BANCO DE INVESTIMENTO S/A</v>
          </cell>
        </row>
        <row r="12516">
          <cell r="B12516">
            <v>23699</v>
          </cell>
          <cell r="C12516" t="str">
            <v>BB BANCO DE INVESTIMENTO S/A</v>
          </cell>
          <cell r="D12516" t="str">
            <v>BB BANCO DE INVESTIMENTO S/A</v>
          </cell>
          <cell r="E12516" t="str">
            <v>BB BANCO DE INVESTIMENTO S/A</v>
          </cell>
        </row>
        <row r="12517">
          <cell r="B12517">
            <v>23705</v>
          </cell>
          <cell r="C12517" t="str">
            <v>BB GESTAO DE RECURSOS DTVM LTDA</v>
          </cell>
          <cell r="D12517" t="str">
            <v>BB GESTAO DE RECURSOS DTVM LTDA</v>
          </cell>
          <cell r="E12517" t="str">
            <v>BB GESTAO DE RECURSOS DTVM LTDA</v>
          </cell>
        </row>
        <row r="12518">
          <cell r="B12518">
            <v>23707</v>
          </cell>
          <cell r="C12518" t="str">
            <v>BB BANCO DE INVESTIMENTO S/A</v>
          </cell>
          <cell r="D12518" t="str">
            <v>BB BANCO DE INVESTIMENTO S/A</v>
          </cell>
          <cell r="E12518" t="str">
            <v>BB BANCO DE INVESTIMENTO S/A</v>
          </cell>
        </row>
        <row r="12519">
          <cell r="B12519">
            <v>23725</v>
          </cell>
          <cell r="C12519" t="str">
            <v>BB BANCO DE INVESTIMENTO S/A</v>
          </cell>
          <cell r="D12519" t="str">
            <v>BB BANCO DE INVESTIMENTO S/A</v>
          </cell>
          <cell r="E12519" t="str">
            <v>BB BANCO DE INVESTIMENTO S/A</v>
          </cell>
        </row>
        <row r="12520">
          <cell r="B12520">
            <v>23726</v>
          </cell>
          <cell r="C12520" t="str">
            <v>BB GESTAO DE RECURSOS DTVM LTDA</v>
          </cell>
          <cell r="D12520" t="str">
            <v>BB GESTAO DE RECURSOS DTVM LTDA</v>
          </cell>
          <cell r="E12520" t="str">
            <v>BANCO DO BRASIL S/A</v>
          </cell>
        </row>
        <row r="12521">
          <cell r="B12521">
            <v>23727</v>
          </cell>
          <cell r="C12521" t="str">
            <v>BB GESTAO DE RECURSOS DTVM LTDA</v>
          </cell>
          <cell r="D12521" t="str">
            <v>BB GESTAO DE RECURSOS DTVM LTDA</v>
          </cell>
          <cell r="E12521" t="str">
            <v>BANCO DO BRASIL S/A</v>
          </cell>
        </row>
        <row r="12522">
          <cell r="B12522">
            <v>23728</v>
          </cell>
          <cell r="C12522" t="str">
            <v>BB GESTAO DE RECURSOS DTVM LTDA</v>
          </cell>
          <cell r="D12522" t="str">
            <v>BB GESTAO DE RECURSOS DTVM LTDA</v>
          </cell>
          <cell r="E12522" t="str">
            <v>BANCO DO BRASIL S/A</v>
          </cell>
        </row>
        <row r="12523">
          <cell r="B12523">
            <v>23736</v>
          </cell>
          <cell r="C12523" t="str">
            <v>BB BANCO DE INVESTIMENTO S/A</v>
          </cell>
          <cell r="D12523" t="str">
            <v>BB BANCO DE INVESTIMENTO S/A</v>
          </cell>
          <cell r="E12523" t="str">
            <v>BB BANCO DE INVESTIMENTO S/A</v>
          </cell>
        </row>
        <row r="12524">
          <cell r="B12524">
            <v>23737</v>
          </cell>
          <cell r="C12524" t="str">
            <v>BB BANCO DE INVESTIMENTO S/A</v>
          </cell>
          <cell r="D12524" t="str">
            <v>BB BANCO DE INVESTIMENTO S/A</v>
          </cell>
          <cell r="E12524" t="str">
            <v>BB BANCO DE INVESTIMENTO S/A</v>
          </cell>
        </row>
        <row r="12525">
          <cell r="B12525">
            <v>23739</v>
          </cell>
          <cell r="C12525" t="str">
            <v>BB BANCO DE INVESTIMENTO S/A</v>
          </cell>
          <cell r="D12525" t="str">
            <v>BB BANCO DE INVESTIMENTO S/A</v>
          </cell>
          <cell r="E12525" t="str">
            <v>BB BANCO DE INVESTIMENTO S/A</v>
          </cell>
        </row>
        <row r="12526">
          <cell r="B12526">
            <v>23740</v>
          </cell>
          <cell r="C12526" t="str">
            <v>BB BANCO DE INVESTIMENTO S/A</v>
          </cell>
          <cell r="D12526" t="str">
            <v>BB BANCO DE INVESTIMENTO S/A</v>
          </cell>
          <cell r="E12526" t="str">
            <v>BB BANCO DE INVESTIMENTO S/A</v>
          </cell>
        </row>
        <row r="12527">
          <cell r="B12527">
            <v>23742</v>
          </cell>
          <cell r="C12527" t="str">
            <v>BB GESTAO DE RECURSOS DTVM LTDA</v>
          </cell>
          <cell r="D12527" t="str">
            <v>BB GESTAO DE RECURSOS DTVM LTDA</v>
          </cell>
          <cell r="E12527" t="str">
            <v>BB GESTAO DE RECURSOS DTVM LTDA</v>
          </cell>
        </row>
        <row r="12528">
          <cell r="B12528">
            <v>23767</v>
          </cell>
          <cell r="C12528" t="str">
            <v>BB GESTAO DE RECURSOS DTVM LTDA</v>
          </cell>
          <cell r="D12528" t="str">
            <v>BB GESTAO DE RECURSOS DTVM LTDA</v>
          </cell>
          <cell r="E12528" t="str">
            <v>BB GESTAO DE RECURSOS DTVM LTDA</v>
          </cell>
        </row>
        <row r="12529">
          <cell r="B12529">
            <v>23770</v>
          </cell>
          <cell r="C12529" t="str">
            <v>BB GESTAO DE RECURSOS DTVM LTDA</v>
          </cell>
          <cell r="D12529" t="str">
            <v>BB GESTAO DE RECURSOS DTVM LTDA</v>
          </cell>
          <cell r="E12529" t="str">
            <v>BB GESTAO DE RECURSOS DTVM LTDA</v>
          </cell>
        </row>
        <row r="12530">
          <cell r="B12530">
            <v>23772</v>
          </cell>
          <cell r="C12530" t="str">
            <v>BB BANCO DE INVESTIMENTO S/A</v>
          </cell>
          <cell r="D12530" t="str">
            <v>BB BANCO DE INVESTIMENTO S/A</v>
          </cell>
          <cell r="E12530" t="str">
            <v>BB BANCO DE INVESTIMENTO S/A</v>
          </cell>
        </row>
        <row r="12531">
          <cell r="B12531">
            <v>23773</v>
          </cell>
          <cell r="C12531" t="str">
            <v>BB GESTAO DE RECURSOS DTVM LTDA</v>
          </cell>
          <cell r="D12531" t="str">
            <v>BB GESTAO DE RECURSOS DTVM LTDA</v>
          </cell>
          <cell r="E12531" t="str">
            <v>BANCO DO BRASIL S/A</v>
          </cell>
        </row>
        <row r="12532">
          <cell r="B12532">
            <v>23774</v>
          </cell>
          <cell r="C12532" t="str">
            <v>BB GESTAO DE RECURSOS DTVM LTDA</v>
          </cell>
          <cell r="D12532" t="str">
            <v>BB GESTAO DE RECURSOS DTVM LTDA</v>
          </cell>
          <cell r="E12532" t="str">
            <v>BB GESTAO DE RECURSOS DTVM LTDA</v>
          </cell>
        </row>
        <row r="12533">
          <cell r="B12533">
            <v>23775</v>
          </cell>
          <cell r="C12533" t="str">
            <v>BB GESTAO DE RECURSOS DTVM LTDA</v>
          </cell>
          <cell r="D12533" t="str">
            <v>BB GESTAO DE RECURSOS DTVM LTDA</v>
          </cell>
          <cell r="E12533" t="str">
            <v>BANCO DO BRASIL S/A</v>
          </cell>
        </row>
        <row r="12534">
          <cell r="B12534">
            <v>23777</v>
          </cell>
          <cell r="C12534" t="str">
            <v>BB GESTAO DE RECURSOS DTVM LTDA</v>
          </cell>
          <cell r="D12534" t="str">
            <v>BB GESTAO DE RECURSOS DTVM LTDA</v>
          </cell>
          <cell r="E12534" t="str">
            <v>BB GESTAO DE RECURSOS DTVM LTDA</v>
          </cell>
        </row>
        <row r="12535">
          <cell r="B12535">
            <v>23780</v>
          </cell>
          <cell r="C12535" t="str">
            <v>BB GESTAO DE RECURSOS DTVM LTDA</v>
          </cell>
          <cell r="D12535" t="str">
            <v>BB GESTAO DE RECURSOS DTVM LTDA</v>
          </cell>
          <cell r="E12535" t="str">
            <v>BANCO DO BRASIL S/A</v>
          </cell>
        </row>
        <row r="12536">
          <cell r="B12536">
            <v>23781</v>
          </cell>
          <cell r="C12536" t="str">
            <v>BB GESTAO DE RECURSOS DTVM LTDA</v>
          </cell>
          <cell r="D12536" t="str">
            <v>BB GESTAO DE RECURSOS DTVM LTDA</v>
          </cell>
          <cell r="E12536" t="str">
            <v>BANCO DO BRASIL S/A</v>
          </cell>
        </row>
        <row r="12537">
          <cell r="B12537">
            <v>23787</v>
          </cell>
          <cell r="C12537" t="str">
            <v>BB GESTAO DE RECURSOS DTVM LTDA</v>
          </cell>
          <cell r="D12537" t="str">
            <v>BB GESTAO DE RECURSOS DTVM LTDA</v>
          </cell>
          <cell r="E12537" t="str">
            <v>BANCO DO BRASIL S/A</v>
          </cell>
        </row>
        <row r="12538">
          <cell r="B12538">
            <v>23803</v>
          </cell>
          <cell r="C12538" t="str">
            <v>BB GESTAO DE RECURSOS DTVM LTDA</v>
          </cell>
          <cell r="D12538" t="str">
            <v>BB GESTAO DE RECURSOS DTVM LTDA</v>
          </cell>
          <cell r="E12538" t="str">
            <v>BB GESTAO DE RECURSOS DTVM LTDA</v>
          </cell>
        </row>
        <row r="12539">
          <cell r="B12539">
            <v>23808</v>
          </cell>
          <cell r="C12539" t="str">
            <v>BB BANCO DE INVESTIMENTO S/A</v>
          </cell>
          <cell r="D12539" t="str">
            <v>BB BANCO DE INVESTIMENTO S/A</v>
          </cell>
          <cell r="E12539" t="str">
            <v>BB BANCO DE INVESTIMENTO S/A</v>
          </cell>
        </row>
        <row r="12540">
          <cell r="B12540">
            <v>23816</v>
          </cell>
          <cell r="C12540" t="str">
            <v>BB BANCO DE INVESTIMENTO S/A</v>
          </cell>
          <cell r="D12540" t="str">
            <v>BB BANCO DE INVESTIMENTO S/A</v>
          </cell>
          <cell r="E12540" t="str">
            <v>BB BANCO DE INVESTIMENTO S/A</v>
          </cell>
        </row>
        <row r="12541">
          <cell r="B12541">
            <v>23830</v>
          </cell>
          <cell r="C12541" t="str">
            <v>BB GESTAO DE RECURSOS DTVM LTDA</v>
          </cell>
          <cell r="D12541" t="str">
            <v>BB GESTAO DE RECURSOS DTVM LTDA</v>
          </cell>
          <cell r="E12541" t="str">
            <v>BB GESTAO DE RECURSOS DTVM LTDA</v>
          </cell>
        </row>
        <row r="12542">
          <cell r="B12542">
            <v>23839</v>
          </cell>
          <cell r="C12542" t="str">
            <v>BB GESTAO DE RECURSOS DTVM LTDA</v>
          </cell>
          <cell r="D12542" t="str">
            <v>BB GESTAO DE RECURSOS DTVM LTDA</v>
          </cell>
          <cell r="E12542" t="str">
            <v>BANCO DO BRASIL S/A</v>
          </cell>
        </row>
        <row r="12543">
          <cell r="B12543">
            <v>23841</v>
          </cell>
          <cell r="C12543" t="str">
            <v>BB GESTAO DE RECURSOS DTVM LTDA</v>
          </cell>
          <cell r="D12543" t="str">
            <v>BB GESTAO DE RECURSOS DTVM LTDA</v>
          </cell>
          <cell r="E12543" t="str">
            <v>BB GESTAO DE RECURSOS DTVM LTDA</v>
          </cell>
        </row>
        <row r="12544">
          <cell r="B12544">
            <v>23842</v>
          </cell>
          <cell r="C12544" t="str">
            <v>BB GESTAO DE RECURSOS DTVM LTDA</v>
          </cell>
          <cell r="D12544" t="str">
            <v>BB GESTAO DE RECURSOS DTVM LTDA</v>
          </cell>
          <cell r="E12544" t="str">
            <v>BANCO DO BRASIL S/A</v>
          </cell>
        </row>
        <row r="12545">
          <cell r="B12545">
            <v>23843</v>
          </cell>
          <cell r="C12545" t="str">
            <v>BB GESTAO DE RECURSOS DTVM LTDA</v>
          </cell>
          <cell r="D12545" t="str">
            <v>BB GESTAO DE RECURSOS DTVM LTDA</v>
          </cell>
          <cell r="E12545" t="str">
            <v>BANCO DO BRASIL S/A</v>
          </cell>
        </row>
        <row r="12546">
          <cell r="B12546">
            <v>23844</v>
          </cell>
          <cell r="C12546" t="str">
            <v>BB GESTAO DE RECURSOS DTVM LTDA</v>
          </cell>
          <cell r="D12546" t="str">
            <v>BB GESTAO DE RECURSOS DTVM LTDA</v>
          </cell>
          <cell r="E12546" t="str">
            <v>BANCO DO BRASIL S/A</v>
          </cell>
        </row>
        <row r="12547">
          <cell r="B12547">
            <v>23846</v>
          </cell>
          <cell r="C12547" t="str">
            <v>BB GESTAO DE RECURSOS DTVM LTDA</v>
          </cell>
          <cell r="D12547" t="str">
            <v>BB GESTAO DE RECURSOS DTVM LTDA</v>
          </cell>
          <cell r="E12547" t="str">
            <v>BANCO DO BRASIL S/A</v>
          </cell>
        </row>
        <row r="12548">
          <cell r="B12548">
            <v>23847</v>
          </cell>
          <cell r="C12548" t="str">
            <v>BB GESTAO DE RECURSOS DTVM LTDA</v>
          </cell>
          <cell r="D12548" t="str">
            <v>BB GESTAO DE RECURSOS DTVM LTDA</v>
          </cell>
          <cell r="E12548" t="str">
            <v>BANCO DO BRASIL S/A</v>
          </cell>
        </row>
        <row r="12549">
          <cell r="B12549">
            <v>23849</v>
          </cell>
          <cell r="C12549" t="str">
            <v>BB GESTAO DE RECURSOS DTVM LTDA</v>
          </cell>
          <cell r="D12549" t="str">
            <v>BB GESTAO DE RECURSOS DTVM LTDA</v>
          </cell>
          <cell r="E12549" t="str">
            <v>BB GESTAO DE RECURSOS DTVM LTDA</v>
          </cell>
        </row>
        <row r="12550">
          <cell r="B12550">
            <v>23853</v>
          </cell>
          <cell r="C12550" t="str">
            <v>BB GESTAO DE RECURSOS DTVM LTDA</v>
          </cell>
          <cell r="D12550" t="str">
            <v>BB GESTAO DE RECURSOS DTVM LTDA</v>
          </cell>
          <cell r="E12550" t="str">
            <v>BANCO DO BRASIL S/A</v>
          </cell>
        </row>
        <row r="12551">
          <cell r="B12551">
            <v>23854</v>
          </cell>
          <cell r="C12551" t="str">
            <v>BB GESTAO DE RECURSOS DTVM LTDA</v>
          </cell>
          <cell r="D12551" t="str">
            <v>BB GESTAO DE RECURSOS DTVM LTDA</v>
          </cell>
          <cell r="E12551" t="str">
            <v>BANCO DO BRASIL S/A</v>
          </cell>
        </row>
        <row r="12552">
          <cell r="B12552">
            <v>23856</v>
          </cell>
          <cell r="C12552" t="str">
            <v>BB GESTAO DE RECURSOS DTVM LTDA</v>
          </cell>
          <cell r="D12552" t="str">
            <v>BB GESTAO DE RECURSOS DTVM LTDA</v>
          </cell>
          <cell r="E12552" t="str">
            <v>BANCO DO BRASIL S/A</v>
          </cell>
        </row>
        <row r="12553">
          <cell r="B12553">
            <v>23859</v>
          </cell>
          <cell r="C12553" t="str">
            <v>BB GESTAO DE RECURSOS DTVM LTDA</v>
          </cell>
          <cell r="D12553" t="str">
            <v>BB GESTAO DE RECURSOS DTVM LTDA</v>
          </cell>
          <cell r="E12553" t="str">
            <v>BANCO DO BRASIL S/A</v>
          </cell>
        </row>
        <row r="12554">
          <cell r="B12554">
            <v>23860</v>
          </cell>
          <cell r="C12554" t="str">
            <v>BB GESTAO DE RECURSOS DTVM LTDA</v>
          </cell>
          <cell r="D12554" t="str">
            <v>BB GESTAO DE RECURSOS DTVM LTDA</v>
          </cell>
          <cell r="E12554" t="str">
            <v>BANCO DO BRASIL S/A</v>
          </cell>
        </row>
        <row r="12555">
          <cell r="B12555">
            <v>23861</v>
          </cell>
          <cell r="C12555" t="str">
            <v>BB GESTAO DE RECURSOS DTVM LTDA</v>
          </cell>
          <cell r="D12555" t="str">
            <v>BB GESTAO DE RECURSOS DTVM LTDA</v>
          </cell>
          <cell r="E12555" t="str">
            <v>BANCO DO BRASIL S/A</v>
          </cell>
        </row>
        <row r="12556">
          <cell r="B12556">
            <v>23862</v>
          </cell>
          <cell r="C12556" t="str">
            <v>BB GESTAO DE RECURSOS DTVM LTDA</v>
          </cell>
          <cell r="D12556" t="str">
            <v>BB GESTAO DE RECURSOS DTVM LTDA</v>
          </cell>
          <cell r="E12556" t="str">
            <v>BANCO DO BRASIL S/A</v>
          </cell>
        </row>
        <row r="12557">
          <cell r="B12557">
            <v>23868</v>
          </cell>
          <cell r="C12557" t="str">
            <v>BB GESTAO DE RECURSOS DTVM LTDA</v>
          </cell>
          <cell r="D12557" t="str">
            <v>BB GESTAO DE RECURSOS DTVM LTDA</v>
          </cell>
          <cell r="E12557" t="str">
            <v>BANCO DO BRASIL S/A</v>
          </cell>
        </row>
        <row r="12558">
          <cell r="B12558">
            <v>23869</v>
          </cell>
          <cell r="C12558" t="str">
            <v>BB GESTAO DE RECURSOS DTVM LTDA</v>
          </cell>
          <cell r="D12558" t="str">
            <v>BB GESTAO DE RECURSOS DTVM LTDA</v>
          </cell>
          <cell r="E12558" t="str">
            <v>BANCO DO BRASIL S/A</v>
          </cell>
        </row>
        <row r="12559">
          <cell r="B12559">
            <v>23871</v>
          </cell>
          <cell r="C12559" t="str">
            <v>BB BANCO DE INVESTIMENTO S/A</v>
          </cell>
          <cell r="D12559" t="str">
            <v>BB BANCO DE INVESTIMENTO S/A</v>
          </cell>
          <cell r="E12559" t="str">
            <v>BB BANCO DE INVESTIMENTO S/A</v>
          </cell>
        </row>
        <row r="12560">
          <cell r="B12560">
            <v>23872</v>
          </cell>
          <cell r="C12560" t="str">
            <v>BB BANCO DE INVESTIMENTO S/A</v>
          </cell>
          <cell r="D12560" t="str">
            <v>BB BANCO DE INVESTIMENTO S/A</v>
          </cell>
          <cell r="E12560" t="str">
            <v>BB BANCO DE INVESTIMENTO S/A</v>
          </cell>
        </row>
        <row r="12561">
          <cell r="B12561">
            <v>23873</v>
          </cell>
          <cell r="C12561" t="str">
            <v>BB BANCO DE INVESTIMENTO S/A</v>
          </cell>
          <cell r="D12561" t="str">
            <v>BB BANCO DE INVESTIMENTO S/A</v>
          </cell>
          <cell r="E12561" t="str">
            <v>BB BANCO DE INVESTIMENTO S/A</v>
          </cell>
        </row>
        <row r="12562">
          <cell r="B12562">
            <v>23877</v>
          </cell>
          <cell r="C12562" t="str">
            <v>BB GESTAO DE RECURSOS DTVM LTDA</v>
          </cell>
          <cell r="D12562" t="str">
            <v>BB GESTAO DE RECURSOS DTVM LTDA</v>
          </cell>
          <cell r="E12562" t="str">
            <v>BANCO DO BRASIL S/A</v>
          </cell>
        </row>
        <row r="12563">
          <cell r="B12563">
            <v>23881</v>
          </cell>
          <cell r="C12563" t="str">
            <v>BB GESTAO DE RECURSOS DTVM LTDA</v>
          </cell>
          <cell r="D12563" t="str">
            <v>BB GESTAO DE RECURSOS DTVM LTDA</v>
          </cell>
          <cell r="E12563" t="str">
            <v>BB GESTAO DE RECURSOS DTVM LTDA</v>
          </cell>
        </row>
        <row r="12564">
          <cell r="B12564">
            <v>23882</v>
          </cell>
          <cell r="C12564" t="str">
            <v>BB BANCO DE INVESTIMENTO S/A</v>
          </cell>
          <cell r="D12564" t="str">
            <v>BB BANCO DE INVESTIMENTO S/A</v>
          </cell>
          <cell r="E12564" t="str">
            <v>BB BANCO DE INVESTIMENTO S/A</v>
          </cell>
        </row>
        <row r="12565">
          <cell r="B12565">
            <v>23885</v>
          </cell>
          <cell r="C12565" t="str">
            <v>BB GESTAO DE RECURSOS DTVM LTDA</v>
          </cell>
          <cell r="D12565" t="str">
            <v>BB GESTAO DE RECURSOS DTVM LTDA</v>
          </cell>
          <cell r="E12565" t="str">
            <v>BANCO DO BRASIL S/A</v>
          </cell>
        </row>
        <row r="12566">
          <cell r="B12566">
            <v>23888</v>
          </cell>
          <cell r="C12566" t="str">
            <v>BANCO DAYCOVAL S/A</v>
          </cell>
          <cell r="D12566" t="str">
            <v>140*</v>
          </cell>
          <cell r="E12566" t="str">
            <v>BANCO DAYCOVAL S/A</v>
          </cell>
        </row>
        <row r="12567">
          <cell r="B12567">
            <v>23896</v>
          </cell>
          <cell r="C12567" t="str">
            <v>BB GESTAO DE RECURSOS DTVM LTDA</v>
          </cell>
          <cell r="D12567" t="str">
            <v>BB GESTAO DE RECURSOS DTVM LTDA</v>
          </cell>
          <cell r="E12567" t="str">
            <v>BANCO DO BRASIL S/A</v>
          </cell>
        </row>
        <row r="12568">
          <cell r="B12568">
            <v>23905</v>
          </cell>
          <cell r="C12568" t="str">
            <v>BB GESTAO DE RECURSOS DTVM LTDA</v>
          </cell>
          <cell r="D12568" t="str">
            <v>BB GESTAO DE RECURSOS DTVM LTDA</v>
          </cell>
          <cell r="E12568" t="str">
            <v>BB GESTAO DE RECURSOS DTVM LTDA</v>
          </cell>
        </row>
        <row r="12569">
          <cell r="B12569">
            <v>23913</v>
          </cell>
          <cell r="C12569" t="str">
            <v>BB GESTAO DE RECURSOS DTVM LTDA</v>
          </cell>
          <cell r="D12569" t="str">
            <v>BB GESTAO DE RECURSOS DTVM LTDA</v>
          </cell>
          <cell r="E12569" t="str">
            <v>BB GESTAO DE RECURSOS DTVM LTDA</v>
          </cell>
        </row>
        <row r="12570">
          <cell r="B12570">
            <v>23921</v>
          </cell>
          <cell r="C12570" t="str">
            <v>BB BANCO DE INVESTIMENTO S/A</v>
          </cell>
          <cell r="D12570" t="str">
            <v>BB BANCO DE INVESTIMENTO S/A</v>
          </cell>
          <cell r="E12570" t="str">
            <v>BB BANCO DE INVESTIMENTO S/A</v>
          </cell>
        </row>
        <row r="12571">
          <cell r="B12571">
            <v>23922</v>
          </cell>
          <cell r="C12571" t="str">
            <v>BB BANCO DE INVESTIMENTO S/A</v>
          </cell>
          <cell r="D12571" t="str">
            <v>BB BANCO DE INVESTIMENTO S/A</v>
          </cell>
          <cell r="E12571" t="str">
            <v>BB BANCO DE INVESTIMENTO S/A</v>
          </cell>
        </row>
        <row r="12572">
          <cell r="B12572">
            <v>23933</v>
          </cell>
          <cell r="C12572" t="str">
            <v>BB GESTAO DE RECURSOS DTVM LTDA</v>
          </cell>
          <cell r="D12572" t="str">
            <v>BB GESTAO DE RECURSOS DTVM LTDA</v>
          </cell>
          <cell r="E12572" t="str">
            <v>BANCO DO BRASIL S/A</v>
          </cell>
        </row>
        <row r="12573">
          <cell r="B12573">
            <v>23946</v>
          </cell>
          <cell r="C12573" t="str">
            <v>BB BANCO DE INVESTIMENTO S/A</v>
          </cell>
          <cell r="D12573" t="str">
            <v>BB BANCO DE INVESTIMENTO S/A</v>
          </cell>
          <cell r="E12573" t="str">
            <v>BB BANCO DE INVESTIMENTO S/A</v>
          </cell>
        </row>
        <row r="12574">
          <cell r="B12574">
            <v>23967</v>
          </cell>
          <cell r="C12574" t="str">
            <v>BB BANCO DE INVESTIMENTO S/A</v>
          </cell>
          <cell r="D12574" t="str">
            <v>BB BANCO DE INVESTIMENTO S/A</v>
          </cell>
          <cell r="E12574" t="str">
            <v>BB BANCO DE INVESTIMENTO S/A</v>
          </cell>
        </row>
        <row r="12575">
          <cell r="B12575">
            <v>23970</v>
          </cell>
          <cell r="C12575" t="str">
            <v>BB BANCO DE INVESTIMENTO S/A</v>
          </cell>
          <cell r="D12575" t="str">
            <v>BB BANCO DE INVESTIMENTO S/A</v>
          </cell>
          <cell r="E12575" t="str">
            <v>BB BANCO DE INVESTIMENTO S/A</v>
          </cell>
        </row>
        <row r="12576">
          <cell r="B12576">
            <v>23976</v>
          </cell>
          <cell r="C12576" t="str">
            <v>BB BANCO DE INVESTIMENTO S/A</v>
          </cell>
          <cell r="D12576" t="str">
            <v>BB BANCO DE INVESTIMENTO S/A</v>
          </cell>
          <cell r="E12576" t="str">
            <v>BB BANCO DE INVESTIMENTO S/A</v>
          </cell>
        </row>
        <row r="12577">
          <cell r="B12577">
            <v>23979</v>
          </cell>
          <cell r="C12577" t="str">
            <v>BB BANCO DE INVESTIMENTO S/A</v>
          </cell>
          <cell r="D12577" t="str">
            <v>BB BANCO DE INVESTIMENTO S/A</v>
          </cell>
          <cell r="E12577" t="str">
            <v>BB BANCO DE INVESTIMENTO S/A</v>
          </cell>
        </row>
        <row r="12578">
          <cell r="B12578">
            <v>23981</v>
          </cell>
          <cell r="C12578" t="str">
            <v>BB GESTAO DE RECURSOS DTVM LTDA</v>
          </cell>
          <cell r="D12578" t="str">
            <v>BB GESTAO DE RECURSOS DTVM LTDA</v>
          </cell>
          <cell r="E12578" t="str">
            <v>BANCO DO BRASIL S/A</v>
          </cell>
        </row>
        <row r="12579">
          <cell r="B12579">
            <v>23984</v>
          </cell>
          <cell r="C12579" t="str">
            <v>BB BANCO DE INVESTIMENTO S/A</v>
          </cell>
          <cell r="D12579" t="str">
            <v>BB BANCO DE INVESTIMENTO S/A</v>
          </cell>
          <cell r="E12579" t="str">
            <v>BB BANCO DE INVESTIMENTO S/A</v>
          </cell>
        </row>
        <row r="12580">
          <cell r="B12580">
            <v>23990</v>
          </cell>
          <cell r="C12580" t="str">
            <v>BB GESTAO DE RECURSOS DTVM LTDA</v>
          </cell>
          <cell r="D12580" t="str">
            <v>BB GESTAO DE RECURSOS DTVM LTDA</v>
          </cell>
          <cell r="E12580" t="str">
            <v>BANCO DO BRASIL S/A</v>
          </cell>
        </row>
        <row r="12581">
          <cell r="B12581">
            <v>24002</v>
          </cell>
          <cell r="C12581" t="str">
            <v>BB BANCO DE INVESTIMENTO S/A</v>
          </cell>
          <cell r="D12581" t="str">
            <v>BB BANCO DE INVESTIMENTO S/A</v>
          </cell>
          <cell r="E12581" t="str">
            <v>BB BANCO DE INVESTIMENTO S/A</v>
          </cell>
        </row>
        <row r="12582">
          <cell r="B12582">
            <v>24012</v>
          </cell>
          <cell r="C12582" t="str">
            <v>BB GESTAO DE RECURSOS DTVM LTDA</v>
          </cell>
          <cell r="D12582" t="str">
            <v>BB GESTAO DE RECURSOS DTVM LTDA</v>
          </cell>
          <cell r="E12582" t="str">
            <v>BANCO DO BRASIL S/A</v>
          </cell>
        </row>
        <row r="12583">
          <cell r="B12583">
            <v>24014</v>
          </cell>
          <cell r="C12583" t="str">
            <v>BB GESTAO DE RECURSOS DTVM LTDA</v>
          </cell>
          <cell r="D12583" t="str">
            <v>BB GESTAO DE RECURSOS DTVM LTDA</v>
          </cell>
          <cell r="E12583" t="str">
            <v>BANCO DO BRASIL S/A</v>
          </cell>
        </row>
        <row r="12584">
          <cell r="B12584">
            <v>24017</v>
          </cell>
          <cell r="C12584" t="str">
            <v>BB GESTAO DE RECURSOS DTVM LTDA</v>
          </cell>
          <cell r="D12584" t="str">
            <v>BB GESTAO DE RECURSOS DTVM LTDA</v>
          </cell>
          <cell r="E12584" t="str">
            <v>BANCO DO BRASIL S/A</v>
          </cell>
        </row>
        <row r="12585">
          <cell r="B12585">
            <v>24029</v>
          </cell>
          <cell r="C12585" t="str">
            <v>BB GESTAO DE RECURSOS DTVM LTDA</v>
          </cell>
          <cell r="D12585" t="str">
            <v>BB GESTAO DE RECURSOS DTVM LTDA</v>
          </cell>
          <cell r="E12585" t="str">
            <v>BANCO DO BRASIL S/A</v>
          </cell>
        </row>
        <row r="12586">
          <cell r="B12586">
            <v>24037</v>
          </cell>
          <cell r="C12586" t="str">
            <v>BB BANCO DE INVESTIMENTO S/A</v>
          </cell>
          <cell r="D12586" t="str">
            <v>BB BANCO DE INVESTIMENTO S/A</v>
          </cell>
          <cell r="E12586" t="str">
            <v>BB BANCO DE INVESTIMENTO S/A</v>
          </cell>
        </row>
        <row r="12587">
          <cell r="B12587">
            <v>24047</v>
          </cell>
          <cell r="C12587" t="str">
            <v>BB GESTAO DE RECURSOS DTVM LTDA</v>
          </cell>
          <cell r="D12587" t="str">
            <v>BB GESTAO DE RECURSOS DTVM LTDA</v>
          </cell>
          <cell r="E12587" t="str">
            <v>BANCO DO BRASIL S/A</v>
          </cell>
        </row>
        <row r="12588">
          <cell r="B12588">
            <v>24053</v>
          </cell>
          <cell r="C12588" t="str">
            <v>OPPORTUNITY DTVM LTDA</v>
          </cell>
          <cell r="D12588" t="str">
            <v>OPPORTUNITY DTVM LTDA</v>
          </cell>
          <cell r="E12588" t="str">
            <v>OPPORTUNITY DTVM LTDA</v>
          </cell>
        </row>
        <row r="12589">
          <cell r="B12589">
            <v>24056</v>
          </cell>
          <cell r="C12589" t="str">
            <v>BB GESTAO DE RECURSOS DTVM LTDA</v>
          </cell>
          <cell r="D12589" t="str">
            <v>BB GESTAO DE RECURSOS DTVM LTDA</v>
          </cell>
          <cell r="E12589" t="str">
            <v>BANCO DO BRASIL S/A</v>
          </cell>
        </row>
        <row r="12590">
          <cell r="B12590">
            <v>24057</v>
          </cell>
          <cell r="C12590" t="str">
            <v>BB BANCO DE INVESTIMENTO S/A</v>
          </cell>
          <cell r="D12590" t="str">
            <v>BB BANCO DE INVESTIMENTO S/A</v>
          </cell>
          <cell r="E12590" t="str">
            <v>BB BANCO DE INVESTIMENTO S/A</v>
          </cell>
        </row>
        <row r="12591">
          <cell r="B12591">
            <v>24058</v>
          </cell>
          <cell r="C12591" t="str">
            <v>BB BANCO DE INVESTIMENTO S/A</v>
          </cell>
          <cell r="D12591" t="str">
            <v>BB BANCO DE INVESTIMENTO S/A</v>
          </cell>
          <cell r="E12591" t="str">
            <v>BB BANCO DE INVESTIMENTO S/A</v>
          </cell>
        </row>
        <row r="12592">
          <cell r="B12592">
            <v>24059</v>
          </cell>
          <cell r="C12592" t="str">
            <v>BB GESTAO DE RECURSOS DTVM LTDA</v>
          </cell>
          <cell r="D12592" t="str">
            <v>BB GESTAO DE RECURSOS DTVM LTDA</v>
          </cell>
          <cell r="E12592" t="str">
            <v>BANCO DO BRASIL S/A</v>
          </cell>
        </row>
        <row r="12593">
          <cell r="B12593">
            <v>24089</v>
          </cell>
          <cell r="C12593" t="str">
            <v>BB BANCO DE INVESTIMENTO S/A</v>
          </cell>
          <cell r="D12593" t="str">
            <v>BB BANCO DE INVESTIMENTO S/A</v>
          </cell>
          <cell r="E12593" t="str">
            <v>BB BANCO DE INVESTIMENTO S/A</v>
          </cell>
        </row>
        <row r="12594">
          <cell r="B12594">
            <v>24099</v>
          </cell>
          <cell r="C12594" t="str">
            <v>BB BANCO DE INVESTIMENTO S/A</v>
          </cell>
          <cell r="D12594" t="str">
            <v>BB BANCO DE INVESTIMENTO S/A</v>
          </cell>
          <cell r="E12594" t="str">
            <v>BB BANCO DE INVESTIMENTO S/A</v>
          </cell>
        </row>
        <row r="12595">
          <cell r="B12595">
            <v>24100</v>
          </cell>
          <cell r="C12595" t="str">
            <v>BB BANCO DE INVESTIMENTO S/A</v>
          </cell>
          <cell r="D12595" t="str">
            <v>BB BANCO DE INVESTIMENTO S/A</v>
          </cell>
          <cell r="E12595" t="str">
            <v>BB BANCO DE INVESTIMENTO S/A</v>
          </cell>
        </row>
        <row r="12596">
          <cell r="B12596">
            <v>24105</v>
          </cell>
          <cell r="C12596" t="str">
            <v>BB BANCO DE INVESTIMENTO S/A</v>
          </cell>
          <cell r="D12596" t="str">
            <v>BB BANCO DE INVESTIMENTO S/A</v>
          </cell>
          <cell r="E12596" t="str">
            <v>BB BANCO DE INVESTIMENTO S/A</v>
          </cell>
        </row>
        <row r="12597">
          <cell r="B12597">
            <v>24109</v>
          </cell>
          <cell r="C12597" t="str">
            <v>BB BANCO DE INVESTIMENTO S/A</v>
          </cell>
          <cell r="D12597" t="str">
            <v>BB BANCO DE INVESTIMENTO S/A</v>
          </cell>
          <cell r="E12597" t="str">
            <v>BB BANCO DE INVESTIMENTO S/A</v>
          </cell>
        </row>
        <row r="12598">
          <cell r="B12598">
            <v>24113</v>
          </cell>
          <cell r="C12598" t="str">
            <v>BB GESTAO DE RECURSOS DTVM LTDA</v>
          </cell>
          <cell r="D12598" t="str">
            <v>BB GESTAO DE RECURSOS DTVM LTDA</v>
          </cell>
          <cell r="E12598" t="str">
            <v>BANCO DO BRASIL S/A</v>
          </cell>
        </row>
        <row r="12599">
          <cell r="B12599">
            <v>24116</v>
          </cell>
          <cell r="C12599" t="str">
            <v>BB BANCO DE INVESTIMENTO S/A</v>
          </cell>
          <cell r="D12599" t="str">
            <v>BB BANCO DE INVESTIMENTO S/A</v>
          </cell>
          <cell r="E12599" t="str">
            <v>BB BANCO DE INVESTIMENTO S/A</v>
          </cell>
        </row>
        <row r="12600">
          <cell r="B12600">
            <v>24122</v>
          </cell>
          <cell r="C12600" t="str">
            <v>BB GESTAO DE RECURSOS DTVM LTDA</v>
          </cell>
          <cell r="D12600" t="str">
            <v>BB GESTAO DE RECURSOS DTVM LTDA</v>
          </cell>
          <cell r="E12600" t="str">
            <v>BANCO DO BRASIL S/A</v>
          </cell>
        </row>
        <row r="12601">
          <cell r="B12601">
            <v>24125</v>
          </cell>
          <cell r="C12601" t="str">
            <v>BB BANCO DE INVESTIMENTO S/A</v>
          </cell>
          <cell r="D12601" t="str">
            <v>BB BANCO DE INVESTIMENTO S/A</v>
          </cell>
          <cell r="E12601" t="str">
            <v>BB BANCO DE INVESTIMENTO S/A</v>
          </cell>
        </row>
        <row r="12602">
          <cell r="B12602">
            <v>24141</v>
          </cell>
          <cell r="C12602" t="str">
            <v>BB GESTAO DE RECURSOS DTVM LTDA</v>
          </cell>
          <cell r="D12602" t="str">
            <v>BB GESTAO DE RECURSOS DTVM LTDA</v>
          </cell>
          <cell r="E12602" t="str">
            <v>BANCO DO BRASIL S/A</v>
          </cell>
        </row>
        <row r="12603">
          <cell r="B12603">
            <v>24144</v>
          </cell>
          <cell r="C12603" t="str">
            <v>BB BANCO DE INVESTIMENTO S/A</v>
          </cell>
          <cell r="D12603" t="str">
            <v>BB BANCO DE INVESTIMENTO S/A</v>
          </cell>
          <cell r="E12603" t="str">
            <v>BB BANCO DE INVESTIMENTO S/A</v>
          </cell>
        </row>
        <row r="12604">
          <cell r="B12604">
            <v>24145</v>
          </cell>
          <cell r="C12604" t="str">
            <v>BB GESTAO DE RECURSOS DTVM LTDA</v>
          </cell>
          <cell r="D12604" t="str">
            <v>BB GESTAO DE RECURSOS DTVM LTDA</v>
          </cell>
          <cell r="E12604" t="str">
            <v>BB BANCO DE INVESTIMENTO S/A</v>
          </cell>
        </row>
        <row r="12605">
          <cell r="B12605">
            <v>24146</v>
          </cell>
          <cell r="C12605" t="str">
            <v>BB BANCO DE INVESTIMENTO S/A</v>
          </cell>
          <cell r="D12605" t="str">
            <v>BB BANCO DE INVESTIMENTO S/A</v>
          </cell>
          <cell r="E12605" t="str">
            <v>BB BANCO DE INVESTIMENTO S/A</v>
          </cell>
        </row>
        <row r="12606">
          <cell r="B12606">
            <v>24170</v>
          </cell>
          <cell r="C12606" t="str">
            <v>BB GESTAO DE RECURSOS DTVM LTDA</v>
          </cell>
          <cell r="D12606" t="str">
            <v>BB GESTAO DE RECURSOS DTVM LTDA</v>
          </cell>
          <cell r="E12606" t="str">
            <v>BB GESTAO DE RECURSOS DTVM LTDA</v>
          </cell>
        </row>
        <row r="12607">
          <cell r="B12607">
            <v>24172</v>
          </cell>
          <cell r="C12607" t="str">
            <v>BB BANCO DE INVESTIMENTO S/A</v>
          </cell>
          <cell r="D12607" t="str">
            <v>BB BANCO DE INVESTIMENTO S/A</v>
          </cell>
          <cell r="E12607" t="str">
            <v>BB BANCO DE INVESTIMENTO S/A</v>
          </cell>
        </row>
        <row r="12608">
          <cell r="B12608">
            <v>24182</v>
          </cell>
          <cell r="C12608" t="str">
            <v>BB BANCO DE INVESTIMENTO S/A</v>
          </cell>
          <cell r="D12608" t="str">
            <v>BB BANCO DE INVESTIMENTO S/A</v>
          </cell>
          <cell r="E12608" t="str">
            <v>BB BANCO DE INVESTIMENTO S/A</v>
          </cell>
        </row>
        <row r="12609">
          <cell r="B12609">
            <v>24185</v>
          </cell>
          <cell r="C12609" t="str">
            <v>BB GESTAO DE RECURSOS DTVM LTDA</v>
          </cell>
          <cell r="D12609" t="str">
            <v>BB GESTAO DE RECURSOS DTVM LTDA</v>
          </cell>
          <cell r="E12609" t="str">
            <v>BANCO DO BRASIL S/A</v>
          </cell>
        </row>
        <row r="12610">
          <cell r="B12610">
            <v>24189</v>
          </cell>
          <cell r="C12610" t="str">
            <v>BB GESTAO DE RECURSOS DTVM LTDA</v>
          </cell>
          <cell r="D12610" t="str">
            <v>BB GESTAO DE RECURSOS DTVM LTDA</v>
          </cell>
          <cell r="E12610" t="str">
            <v>BB GESTAO DE RECURSOS DTVM LTDA</v>
          </cell>
        </row>
        <row r="12611">
          <cell r="B12611">
            <v>242</v>
          </cell>
          <cell r="C12611" t="str">
            <v>BB GESTAO DE RECURSOS DTVM LTDA</v>
          </cell>
          <cell r="D12611" t="str">
            <v>242*</v>
          </cell>
          <cell r="E12611" t="str">
            <v>BB GESTAO DE RECURSOS DTVM LTDA</v>
          </cell>
        </row>
        <row r="12612">
          <cell r="B12612">
            <v>24204</v>
          </cell>
          <cell r="C12612" t="str">
            <v>BB BANCO DE INVESTIMENTO S/A</v>
          </cell>
          <cell r="D12612" t="str">
            <v>BB BANCO DE INVESTIMENTO S/A</v>
          </cell>
          <cell r="E12612" t="str">
            <v>BB BANCO DE INVESTIMENTO S/A</v>
          </cell>
        </row>
        <row r="12613">
          <cell r="B12613">
            <v>24217</v>
          </cell>
          <cell r="C12613" t="str">
            <v>BB BANCO DE INVESTIMENTO S/A</v>
          </cell>
          <cell r="D12613" t="str">
            <v>BB BANCO DE INVESTIMENTO S/A</v>
          </cell>
          <cell r="E12613" t="str">
            <v>BB BANCO DE INVESTIMENTO S/A</v>
          </cell>
        </row>
        <row r="12614">
          <cell r="B12614">
            <v>24221</v>
          </cell>
          <cell r="C12614" t="str">
            <v>BB BANCO DE INVESTIMENTO S/A</v>
          </cell>
          <cell r="D12614" t="str">
            <v>BB BANCO DE INVESTIMENTO S/A</v>
          </cell>
          <cell r="E12614" t="str">
            <v>BB BANCO DE INVESTIMENTO S/A</v>
          </cell>
        </row>
        <row r="12615">
          <cell r="B12615">
            <v>24223</v>
          </cell>
          <cell r="C12615" t="str">
            <v>BB GESTAO DE RECURSOS DTVM LTDA</v>
          </cell>
          <cell r="D12615" t="str">
            <v>BB GESTAO DE RECURSOS DTVM LTDA</v>
          </cell>
          <cell r="E12615" t="str">
            <v>BANCO DO BRASIL S/A</v>
          </cell>
        </row>
        <row r="12616">
          <cell r="B12616">
            <v>24228</v>
          </cell>
          <cell r="C12616" t="str">
            <v>BB BANCO DE INVESTIMENTO S/A</v>
          </cell>
          <cell r="D12616" t="str">
            <v>BB BANCO DE INVESTIMENTO S/A</v>
          </cell>
          <cell r="E12616" t="str">
            <v>BB BANCO DE INVESTIMENTO S/A</v>
          </cell>
        </row>
        <row r="12617">
          <cell r="B12617">
            <v>24237</v>
          </cell>
          <cell r="C12617" t="str">
            <v>BB GESTAO DE RECURSOS DTVM LTDA</v>
          </cell>
          <cell r="D12617" t="str">
            <v>BB GESTAO DE RECURSOS DTVM LTDA</v>
          </cell>
          <cell r="E12617" t="str">
            <v>BANCO DO BRASIL S/A</v>
          </cell>
        </row>
        <row r="12618">
          <cell r="B12618">
            <v>24253</v>
          </cell>
          <cell r="C12618" t="str">
            <v>BB GESTAO DE RECURSOS DTVM LTDA</v>
          </cell>
          <cell r="D12618" t="str">
            <v>BB GESTAO DE RECURSOS DTVM LTDA</v>
          </cell>
          <cell r="E12618" t="str">
            <v>BB GESTAO DE RECURSOS DTVM LTDA</v>
          </cell>
        </row>
        <row r="12619">
          <cell r="B12619">
            <v>24257</v>
          </cell>
          <cell r="C12619" t="str">
            <v>BB GESTAO DE RECURSOS DTVM LTDA</v>
          </cell>
          <cell r="D12619" t="str">
            <v>BB GESTAO DE RECURSOS DTVM LTDA</v>
          </cell>
          <cell r="E12619" t="str">
            <v>BANCO DO BRASIL S/A</v>
          </cell>
        </row>
        <row r="12620">
          <cell r="B12620">
            <v>24263</v>
          </cell>
          <cell r="C12620" t="str">
            <v>BB GESTAO DE RECURSOS DTVM LTDA</v>
          </cell>
          <cell r="D12620" t="str">
            <v>BB GESTAO DE RECURSOS DTVM LTDA</v>
          </cell>
          <cell r="E12620" t="str">
            <v>BANCO DO BRASIL S/A</v>
          </cell>
        </row>
        <row r="12621">
          <cell r="B12621">
            <v>24273</v>
          </cell>
          <cell r="C12621" t="str">
            <v>BB GESTAO DE RECURSOS DTVM LTDA</v>
          </cell>
          <cell r="D12621" t="str">
            <v>BB GESTAO DE RECURSOS DTVM LTDA</v>
          </cell>
          <cell r="E12621" t="str">
            <v>BANCO DO BRASIL S/A</v>
          </cell>
        </row>
        <row r="12622">
          <cell r="B12622">
            <v>24297</v>
          </cell>
          <cell r="C12622" t="str">
            <v>BB GESTAO DE RECURSOS DTVM LTDA</v>
          </cell>
          <cell r="D12622" t="str">
            <v>BB GESTAO DE RECURSOS DTVM LTDA</v>
          </cell>
          <cell r="E12622" t="str">
            <v>BB GESTAO DE RECURSOS DTVM LTDA</v>
          </cell>
        </row>
        <row r="12623">
          <cell r="B12623">
            <v>24310</v>
          </cell>
          <cell r="C12623" t="str">
            <v>BB BANCO DE INVESTIMENTO S/A</v>
          </cell>
          <cell r="D12623" t="str">
            <v>BB BANCO DE INVESTIMENTO S/A</v>
          </cell>
          <cell r="E12623" t="str">
            <v>BB BANCO DE INVESTIMENTO S/A</v>
          </cell>
        </row>
        <row r="12624">
          <cell r="B12624">
            <v>24315</v>
          </cell>
          <cell r="C12624" t="str">
            <v>BB GESTAO DE RECURSOS DTVM LTDA</v>
          </cell>
          <cell r="D12624" t="str">
            <v>BB GESTAO DE RECURSOS DTVM LTDA</v>
          </cell>
          <cell r="E12624" t="str">
            <v>BB GESTAO DE RECURSOS DTVM LTDA</v>
          </cell>
        </row>
        <row r="12625">
          <cell r="B12625">
            <v>24319</v>
          </cell>
          <cell r="C12625" t="str">
            <v>BB BANCO DE INVESTIMENTO S/A</v>
          </cell>
          <cell r="D12625" t="str">
            <v>BB BANCO DE INVESTIMENTO S/A</v>
          </cell>
          <cell r="E12625" t="str">
            <v>BB BANCO DE INVESTIMENTO S/A</v>
          </cell>
        </row>
        <row r="12626">
          <cell r="B12626">
            <v>24323</v>
          </cell>
          <cell r="C12626" t="str">
            <v>BB BANCO DE INVESTIMENTO S/A</v>
          </cell>
          <cell r="D12626" t="str">
            <v>BB BANCO DE INVESTIMENTO S/A</v>
          </cell>
          <cell r="E12626" t="str">
            <v>BB BANCO DE INVESTIMENTO S/A</v>
          </cell>
        </row>
        <row r="12627">
          <cell r="B12627">
            <v>24329</v>
          </cell>
          <cell r="C12627" t="str">
            <v>BB BANCO DE INVESTIMENTO S/A</v>
          </cell>
          <cell r="D12627" t="str">
            <v>BB BANCO DE INVESTIMENTO S/A</v>
          </cell>
          <cell r="E12627" t="str">
            <v>BB BANCO DE INVESTIMENTO S/A</v>
          </cell>
        </row>
        <row r="12628">
          <cell r="B12628">
            <v>24332</v>
          </cell>
          <cell r="C12628" t="str">
            <v>BB BANCO DE INVESTIMENTO S/A</v>
          </cell>
          <cell r="D12628" t="str">
            <v>BB BANCO DE INVESTIMENTO S/A</v>
          </cell>
          <cell r="E12628" t="str">
            <v>BB BANCO DE INVESTIMENTO S/A</v>
          </cell>
        </row>
        <row r="12629">
          <cell r="B12629">
            <v>24345</v>
          </cell>
          <cell r="C12629" t="str">
            <v>BB BANCO DE INVESTIMENTO S/A</v>
          </cell>
          <cell r="D12629" t="str">
            <v>BB BANCO DE INVESTIMENTO S/A</v>
          </cell>
          <cell r="E12629" t="str">
            <v>BB BANCO DE INVESTIMENTO S/A</v>
          </cell>
        </row>
        <row r="12630">
          <cell r="B12630">
            <v>24354</v>
          </cell>
          <cell r="C12630" t="str">
            <v>BB BANCO DE INVESTIMENTO S/A</v>
          </cell>
          <cell r="D12630" t="str">
            <v>BB BANCO DE INVESTIMENTO S/A</v>
          </cell>
          <cell r="E12630" t="str">
            <v>BB BANCO DE INVESTIMENTO S/A</v>
          </cell>
        </row>
        <row r="12631">
          <cell r="B12631">
            <v>24356</v>
          </cell>
          <cell r="C12631" t="str">
            <v>BB GESTAO DE RECURSOS DTVM LTDA</v>
          </cell>
          <cell r="D12631" t="str">
            <v>BB GESTAO DE RECURSOS DTVM LTDA</v>
          </cell>
          <cell r="E12631" t="str">
            <v>BANCO DO BRASIL S/A</v>
          </cell>
        </row>
        <row r="12632">
          <cell r="B12632">
            <v>24361</v>
          </cell>
          <cell r="C12632" t="str">
            <v>BB GESTAO DE RECURSOS DTVM LTDA</v>
          </cell>
          <cell r="D12632" t="str">
            <v>BB GESTAO DE RECURSOS DTVM LTDA</v>
          </cell>
          <cell r="E12632" t="str">
            <v>BANCO DO BRASIL S/A</v>
          </cell>
        </row>
        <row r="12633">
          <cell r="B12633">
            <v>24365</v>
          </cell>
          <cell r="C12633" t="str">
            <v>BB BANCO DE INVESTIMENTO S/A</v>
          </cell>
          <cell r="D12633" t="str">
            <v>BB BANCO DE INVESTIMENTO S/A</v>
          </cell>
          <cell r="E12633" t="str">
            <v>BB BANCO DE INVESTIMENTO S/A</v>
          </cell>
        </row>
        <row r="12634">
          <cell r="B12634">
            <v>24366</v>
          </cell>
          <cell r="C12634" t="str">
            <v>BB BANCO DE INVESTIMENTO S/A</v>
          </cell>
          <cell r="D12634" t="str">
            <v>BB BANCO DE INVESTIMENTO S/A</v>
          </cell>
          <cell r="E12634" t="str">
            <v>BB BANCO DE INVESTIMENTO S/A</v>
          </cell>
        </row>
        <row r="12635">
          <cell r="B12635">
            <v>24390</v>
          </cell>
          <cell r="C12635" t="str">
            <v>BB BANCO DE INVESTIMENTO S/A</v>
          </cell>
          <cell r="D12635" t="str">
            <v>BB BANCO DE INVESTIMENTO S/A</v>
          </cell>
          <cell r="E12635" t="str">
            <v>BB BANCO DE INVESTIMENTO S/A</v>
          </cell>
        </row>
        <row r="12636">
          <cell r="B12636">
            <v>24391</v>
          </cell>
          <cell r="C12636" t="str">
            <v>BB BANCO DE INVESTIMENTO S/A</v>
          </cell>
          <cell r="D12636" t="str">
            <v>BB BANCO DE INVESTIMENTO S/A</v>
          </cell>
          <cell r="E12636" t="str">
            <v>BB BANCO DE INVESTIMENTO S/A</v>
          </cell>
        </row>
        <row r="12637">
          <cell r="B12637">
            <v>24395</v>
          </cell>
          <cell r="C12637" t="str">
            <v>BB GESTAO DE RECURSOS DTVM LTDA</v>
          </cell>
          <cell r="D12637" t="str">
            <v>BB GESTAO DE RECURSOS DTVM LTDA</v>
          </cell>
          <cell r="E12637" t="str">
            <v>BANCO DO BRASIL S/A</v>
          </cell>
        </row>
        <row r="12638">
          <cell r="B12638">
            <v>24398</v>
          </cell>
          <cell r="C12638" t="str">
            <v>BB BANCO DE INVESTIMENTO S/A</v>
          </cell>
          <cell r="D12638" t="str">
            <v>BB BANCO DE INVESTIMENTO S/A</v>
          </cell>
          <cell r="E12638" t="str">
            <v>BB BANCO DE INVESTIMENTO S/A</v>
          </cell>
        </row>
        <row r="12639">
          <cell r="B12639">
            <v>24405</v>
          </cell>
          <cell r="C12639" t="str">
            <v>BB BANCO DE INVESTIMENTO S/A</v>
          </cell>
          <cell r="D12639" t="str">
            <v>BB BANCO DE INVESTIMENTO S/A</v>
          </cell>
          <cell r="E12639" t="str">
            <v>BB BANCO DE INVESTIMENTO S/A</v>
          </cell>
        </row>
        <row r="12640">
          <cell r="B12640">
            <v>24408</v>
          </cell>
          <cell r="C12640" t="str">
            <v>BB GESTAO DE RECURSOS DTVM LTDA</v>
          </cell>
          <cell r="D12640" t="str">
            <v>BB GESTAO DE RECURSOS DTVM LTDA</v>
          </cell>
          <cell r="E12640" t="str">
            <v>BANCO DO BRASIL S/A</v>
          </cell>
        </row>
        <row r="12641">
          <cell r="B12641">
            <v>24436</v>
          </cell>
          <cell r="C12641" t="str">
            <v>BB BANCO DE INVESTIMENTO S/A</v>
          </cell>
          <cell r="D12641" t="str">
            <v>BB BANCO DE INVESTIMENTO S/A</v>
          </cell>
          <cell r="E12641" t="str">
            <v>BB BANCO DE INVESTIMENTO S/A</v>
          </cell>
        </row>
        <row r="12642">
          <cell r="B12642">
            <v>24443</v>
          </cell>
          <cell r="C12642" t="str">
            <v>BB BANCO DE INVESTIMENTO S/A</v>
          </cell>
          <cell r="D12642" t="str">
            <v>BB BANCO DE INVESTIMENTO S/A</v>
          </cell>
          <cell r="E12642" t="str">
            <v>BB BANCO DE INVESTIMENTO S/A</v>
          </cell>
        </row>
        <row r="12643">
          <cell r="B12643">
            <v>24460</v>
          </cell>
          <cell r="C12643" t="str">
            <v>BB BANCO DE INVESTIMENTO S/A</v>
          </cell>
          <cell r="D12643" t="str">
            <v>BB BANCO DE INVESTIMENTO S/A</v>
          </cell>
          <cell r="E12643" t="str">
            <v>BB BANCO DE INVESTIMENTO S/A</v>
          </cell>
        </row>
        <row r="12644">
          <cell r="B12644">
            <v>24463</v>
          </cell>
          <cell r="C12644" t="str">
            <v>BB BANCO DE INVESTIMENTO S/A</v>
          </cell>
          <cell r="D12644" t="str">
            <v>BB BANCO DE INVESTIMENTO S/A</v>
          </cell>
          <cell r="E12644" t="str">
            <v>BB BANCO DE INVESTIMENTO S/A</v>
          </cell>
        </row>
        <row r="12645">
          <cell r="B12645">
            <v>24480</v>
          </cell>
          <cell r="C12645" t="str">
            <v>BB BANCO DE INVESTIMENTO S/A</v>
          </cell>
          <cell r="D12645" t="str">
            <v>BB BANCO DE INVESTIMENTO S/A</v>
          </cell>
          <cell r="E12645" t="str">
            <v>BB BANCO DE INVESTIMENTO S/A</v>
          </cell>
        </row>
        <row r="12646">
          <cell r="B12646">
            <v>24481</v>
          </cell>
          <cell r="C12646" t="str">
            <v>BB BANCO DE INVESTIMENTO S/A</v>
          </cell>
          <cell r="D12646" t="str">
            <v>BB BANCO DE INVESTIMENTO S/A</v>
          </cell>
          <cell r="E12646" t="str">
            <v>BB BANCO DE INVESTIMENTO S/A</v>
          </cell>
        </row>
        <row r="12647">
          <cell r="B12647">
            <v>24489</v>
          </cell>
          <cell r="C12647" t="str">
            <v>BB BANCO DE INVESTIMENTO S/A</v>
          </cell>
          <cell r="D12647" t="str">
            <v>BB BANCO DE INVESTIMENTO S/A</v>
          </cell>
          <cell r="E12647" t="str">
            <v>BB BANCO DE INVESTIMENTO S/A</v>
          </cell>
        </row>
        <row r="12648">
          <cell r="B12648">
            <v>24494</v>
          </cell>
          <cell r="C12648" t="str">
            <v>BB BANCO DE INVESTIMENTO S/A</v>
          </cell>
          <cell r="D12648" t="str">
            <v>BB BANCO DE INVESTIMENTO S/A</v>
          </cell>
          <cell r="E12648" t="str">
            <v>BB BANCO DE INVESTIMENTO S/A</v>
          </cell>
        </row>
        <row r="12649">
          <cell r="B12649">
            <v>24497</v>
          </cell>
          <cell r="C12649" t="str">
            <v>BB GESTAO DE RECURSOS DTVM LTDA</v>
          </cell>
          <cell r="D12649" t="str">
            <v>BB GESTAO DE RECURSOS DTVM LTDA</v>
          </cell>
          <cell r="E12649" t="str">
            <v>BANCO DO BRASIL S/A</v>
          </cell>
        </row>
        <row r="12650">
          <cell r="B12650">
            <v>24499</v>
          </cell>
          <cell r="C12650" t="str">
            <v>BB BANCO DE INVESTIMENTO S/A</v>
          </cell>
          <cell r="D12650" t="str">
            <v>BB BANCO DE INVESTIMENTO S/A</v>
          </cell>
          <cell r="E12650" t="str">
            <v>BB BANCO DE INVESTIMENTO S/A</v>
          </cell>
        </row>
        <row r="12651">
          <cell r="B12651">
            <v>24502</v>
          </cell>
          <cell r="C12651" t="str">
            <v>BB BANCO DE INVESTIMENTO S/A</v>
          </cell>
          <cell r="D12651" t="str">
            <v>BB BANCO DE INVESTIMENTO S/A</v>
          </cell>
          <cell r="E12651" t="str">
            <v>BB BANCO DE INVESTIMENTO S/A</v>
          </cell>
        </row>
        <row r="12652">
          <cell r="B12652">
            <v>24510</v>
          </cell>
          <cell r="C12652" t="str">
            <v>BB BANCO DE INVESTIMENTO S/A</v>
          </cell>
          <cell r="D12652" t="str">
            <v>BB BANCO DE INVESTIMENTO S/A</v>
          </cell>
          <cell r="E12652" t="str">
            <v>BB BANCO DE INVESTIMENTO S/A</v>
          </cell>
        </row>
        <row r="12653">
          <cell r="B12653">
            <v>24513</v>
          </cell>
          <cell r="C12653" t="str">
            <v>BB BANCO DE INVESTIMENTO S/A</v>
          </cell>
          <cell r="D12653" t="str">
            <v>BB BANCO DE INVESTIMENTO S/A</v>
          </cell>
          <cell r="E12653" t="str">
            <v>BB BANCO DE INVESTIMENTO S/A</v>
          </cell>
        </row>
        <row r="12654">
          <cell r="B12654">
            <v>24562</v>
          </cell>
          <cell r="C12654" t="str">
            <v>BB BANCO DE INVESTIMENTO S/A</v>
          </cell>
          <cell r="D12654" t="str">
            <v>BB BANCO DE INVESTIMENTO S/A</v>
          </cell>
          <cell r="E12654" t="str">
            <v>BB BANCO DE INVESTIMENTO S/A</v>
          </cell>
        </row>
        <row r="12655">
          <cell r="B12655">
            <v>24565</v>
          </cell>
          <cell r="C12655" t="str">
            <v>BB BANCO DE INVESTIMENTO S/A</v>
          </cell>
          <cell r="D12655" t="str">
            <v>BB BANCO DE INVESTIMENTO S/A</v>
          </cell>
          <cell r="E12655" t="str">
            <v>BB BANCO DE INVESTIMENTO S/A</v>
          </cell>
        </row>
        <row r="12656">
          <cell r="B12656">
            <v>24566</v>
          </cell>
          <cell r="C12656" t="str">
            <v>BB BANCO DE INVESTIMENTO S/A</v>
          </cell>
          <cell r="D12656" t="str">
            <v>BB BANCO DE INVESTIMENTO S/A</v>
          </cell>
          <cell r="E12656" t="str">
            <v>BB BANCO DE INVESTIMENTO S/A</v>
          </cell>
        </row>
        <row r="12657">
          <cell r="B12657">
            <v>24574</v>
          </cell>
          <cell r="C12657" t="str">
            <v>BB BANCO DE INVESTIMENTO S/A</v>
          </cell>
          <cell r="D12657" t="str">
            <v>BB BANCO DE INVESTIMENTO S/A</v>
          </cell>
          <cell r="E12657" t="str">
            <v>BB BANCO DE INVESTIMENTO S/A</v>
          </cell>
        </row>
        <row r="12658">
          <cell r="B12658">
            <v>24576</v>
          </cell>
          <cell r="C12658" t="str">
            <v>BB BANCO DE INVESTIMENTO S/A</v>
          </cell>
          <cell r="D12658" t="str">
            <v>BB BANCO DE INVESTIMENTO S/A</v>
          </cell>
          <cell r="E12658" t="str">
            <v>BB BANCO DE INVESTIMENTO S/A</v>
          </cell>
        </row>
        <row r="12659">
          <cell r="B12659">
            <v>24577</v>
          </cell>
          <cell r="C12659" t="str">
            <v>BB BANCO DE INVESTIMENTO S/A</v>
          </cell>
          <cell r="D12659" t="str">
            <v>BB BANCO DE INVESTIMENTO S/A</v>
          </cell>
          <cell r="E12659" t="str">
            <v>BB BANCO DE INVESTIMENTO S/A</v>
          </cell>
        </row>
        <row r="12660">
          <cell r="B12660">
            <v>24579</v>
          </cell>
          <cell r="C12660" t="str">
            <v>OTTO DOS SANTOS</v>
          </cell>
          <cell r="D12660" t="str">
            <v>OTTO DOS SANTOS</v>
          </cell>
          <cell r="E12660" t="str">
            <v>OTTO DOS SANTOS</v>
          </cell>
        </row>
        <row r="12661">
          <cell r="B12661">
            <v>24580</v>
          </cell>
          <cell r="C12661" t="str">
            <v>BB BANCO DE INVESTIMENTO S/A</v>
          </cell>
          <cell r="D12661" t="str">
            <v>BB BANCO DE INVESTIMENTO S/A</v>
          </cell>
          <cell r="E12661" t="str">
            <v>BB BANCO DE INVESTIMENTO S/A</v>
          </cell>
        </row>
        <row r="12662">
          <cell r="B12662">
            <v>24581</v>
          </cell>
          <cell r="C12662" t="str">
            <v>BB BANCO DE INVESTIMENTO S/A</v>
          </cell>
          <cell r="D12662" t="str">
            <v>BB BANCO DE INVESTIMENTO S/A</v>
          </cell>
          <cell r="E12662" t="str">
            <v>BB BANCO DE INVESTIMENTO S/A</v>
          </cell>
        </row>
        <row r="12663">
          <cell r="B12663">
            <v>24583</v>
          </cell>
          <cell r="C12663" t="str">
            <v>BB BANCO DE INVESTIMENTO S/A</v>
          </cell>
          <cell r="D12663" t="str">
            <v>BB BANCO DE INVESTIMENTO S/A</v>
          </cell>
          <cell r="E12663" t="str">
            <v>BB BANCO DE INVESTIMENTO S/A</v>
          </cell>
        </row>
        <row r="12664">
          <cell r="B12664">
            <v>24599</v>
          </cell>
          <cell r="C12664" t="str">
            <v>BB BANCO DE INVESTIMENTO S/A</v>
          </cell>
          <cell r="D12664" t="str">
            <v>BB BANCO DE INVESTIMENTO S/A</v>
          </cell>
          <cell r="E12664" t="str">
            <v>BB BANCO DE INVESTIMENTO S/A</v>
          </cell>
        </row>
        <row r="12665">
          <cell r="B12665">
            <v>24604</v>
          </cell>
          <cell r="C12665" t="str">
            <v>BB BANCO DE INVESTIMENTO S/A</v>
          </cell>
          <cell r="D12665" t="str">
            <v>BB BANCO DE INVESTIMENTO S/A</v>
          </cell>
          <cell r="E12665" t="str">
            <v>BB BANCO DE INVESTIMENTO S/A</v>
          </cell>
        </row>
        <row r="12666">
          <cell r="B12666">
            <v>24614</v>
          </cell>
          <cell r="C12666" t="str">
            <v>BB BANCO DE INVESTIMENTO S/A</v>
          </cell>
          <cell r="D12666" t="str">
            <v>BB BANCO DE INVESTIMENTO S/A</v>
          </cell>
          <cell r="E12666" t="str">
            <v>BB BANCO DE INVESTIMENTO S/A</v>
          </cell>
        </row>
        <row r="12667">
          <cell r="B12667">
            <v>24629</v>
          </cell>
          <cell r="C12667" t="str">
            <v>BB BANCO DE INVESTIMENTO S/A</v>
          </cell>
          <cell r="D12667" t="str">
            <v>BB BANCO DE INVESTIMENTO S/A</v>
          </cell>
          <cell r="E12667" t="str">
            <v>BB BANCO DE INVESTIMENTO S/A</v>
          </cell>
        </row>
        <row r="12668">
          <cell r="B12668">
            <v>24637</v>
          </cell>
          <cell r="C12668" t="str">
            <v>BB BANCO DE INVESTIMENTO S/A</v>
          </cell>
          <cell r="D12668" t="str">
            <v>BB BANCO DE INVESTIMENTO S/A</v>
          </cell>
          <cell r="E12668" t="str">
            <v>BB BANCO DE INVESTIMENTO S/A</v>
          </cell>
        </row>
        <row r="12669">
          <cell r="B12669">
            <v>24644</v>
          </cell>
          <cell r="C12669" t="str">
            <v>BB GESTAO DE RECURSOS DTVM LTDA</v>
          </cell>
          <cell r="D12669" t="str">
            <v>BB GESTAO DE RECURSOS DTVM LTDA</v>
          </cell>
          <cell r="E12669" t="str">
            <v>BANCO DO BRASIL S/A</v>
          </cell>
        </row>
        <row r="12670">
          <cell r="B12670">
            <v>24667</v>
          </cell>
          <cell r="C12670" t="str">
            <v>BB BANCO DE INVESTIMENTO S/A</v>
          </cell>
          <cell r="D12670" t="str">
            <v>BB BANCO DE INVESTIMENTO S/A</v>
          </cell>
          <cell r="E12670" t="str">
            <v>BB BANCO DE INVESTIMENTO S/A</v>
          </cell>
        </row>
        <row r="12671">
          <cell r="B12671">
            <v>24671</v>
          </cell>
          <cell r="C12671" t="str">
            <v>BB GESTAO DE RECURSOS DTVM LTDA</v>
          </cell>
          <cell r="D12671" t="str">
            <v>BB GESTAO DE RECURSOS DTVM LTDA</v>
          </cell>
          <cell r="E12671" t="str">
            <v>BB GESTAO DE RECURSOS DTVM LTDA</v>
          </cell>
        </row>
        <row r="12672">
          <cell r="B12672">
            <v>24684</v>
          </cell>
          <cell r="C12672" t="str">
            <v>BB BANCO DE INVESTIMENTO S/A</v>
          </cell>
          <cell r="D12672" t="str">
            <v>BB BANCO DE INVESTIMENTO S/A</v>
          </cell>
          <cell r="E12672" t="str">
            <v>BB BANCO DE INVESTIMENTO S/A</v>
          </cell>
        </row>
        <row r="12673">
          <cell r="B12673">
            <v>24690</v>
          </cell>
          <cell r="C12673" t="str">
            <v>BB BANCO DE INVESTIMENTO S/A</v>
          </cell>
          <cell r="D12673" t="str">
            <v>BB BANCO DE INVESTIMENTO S/A</v>
          </cell>
          <cell r="E12673" t="str">
            <v>BB BANCO DE INVESTIMENTO S/A</v>
          </cell>
        </row>
        <row r="12674">
          <cell r="B12674">
            <v>24694</v>
          </cell>
          <cell r="C12674" t="str">
            <v>BB BANCO DE INVESTIMENTO S/A</v>
          </cell>
          <cell r="D12674" t="str">
            <v>BB BANCO DE INVESTIMENTO S/A</v>
          </cell>
          <cell r="E12674" t="str">
            <v>BB BANCO DE INVESTIMENTO S/A</v>
          </cell>
        </row>
        <row r="12675">
          <cell r="B12675">
            <v>24699</v>
          </cell>
          <cell r="C12675" t="str">
            <v>BB GESTAO DE RECURSOS DTVM LTDA</v>
          </cell>
          <cell r="D12675" t="str">
            <v>BB GESTAO DE RECURSOS DTVM LTDA</v>
          </cell>
          <cell r="E12675" t="str">
            <v>BB GESTAO DE RECURSOS DTVM LTDA</v>
          </cell>
        </row>
        <row r="12676">
          <cell r="B12676">
            <v>24700</v>
          </cell>
          <cell r="C12676" t="str">
            <v>BB GESTAO DE RECURSOS DTVM LTDA</v>
          </cell>
          <cell r="D12676" t="str">
            <v>BB GESTAO DE RECURSOS DTVM LTDA</v>
          </cell>
          <cell r="E12676" t="str">
            <v>BANCO DO BRASIL S/A</v>
          </cell>
        </row>
        <row r="12677">
          <cell r="B12677">
            <v>24701</v>
          </cell>
          <cell r="C12677" t="str">
            <v>BB GESTAO DE RECURSOS DTVM LTDA</v>
          </cell>
          <cell r="D12677" t="str">
            <v>BB GESTAO DE RECURSOS DTVM LTDA</v>
          </cell>
          <cell r="E12677" t="str">
            <v>BB GESTAO DE RECURSOS DTVM LTDA</v>
          </cell>
        </row>
        <row r="12678">
          <cell r="B12678">
            <v>24716</v>
          </cell>
          <cell r="C12678" t="str">
            <v>BB BANCO DE INVESTIMENTO S/A</v>
          </cell>
          <cell r="D12678" t="str">
            <v>BB BANCO DE INVESTIMENTO S/A</v>
          </cell>
          <cell r="E12678" t="str">
            <v>BB BANCO DE INVESTIMENTO S/A</v>
          </cell>
        </row>
        <row r="12679">
          <cell r="B12679">
            <v>24722</v>
          </cell>
          <cell r="C12679" t="str">
            <v>BB BANCO DE INVESTIMENTO S/A</v>
          </cell>
          <cell r="D12679" t="str">
            <v>BB BANCO DE INVESTIMENTO S/A</v>
          </cell>
          <cell r="E12679" t="str">
            <v>BB BANCO DE INVESTIMENTO S/A</v>
          </cell>
        </row>
        <row r="12680">
          <cell r="B12680">
            <v>24727</v>
          </cell>
          <cell r="C12680" t="str">
            <v>BB GESTAO DE RECURSOS DTVM LTDA</v>
          </cell>
          <cell r="D12680" t="str">
            <v>BB GESTAO DE RECURSOS DTVM LTDA</v>
          </cell>
          <cell r="E12680" t="str">
            <v>BANCO DO BRASIL S/A</v>
          </cell>
        </row>
        <row r="12681">
          <cell r="B12681">
            <v>24728</v>
          </cell>
          <cell r="C12681" t="str">
            <v>BB GESTAO DE RECURSOS DTVM LTDA</v>
          </cell>
          <cell r="D12681" t="str">
            <v>BB GESTAO DE RECURSOS DTVM LTDA</v>
          </cell>
          <cell r="E12681" t="str">
            <v>BANCO DO BRASIL S/A</v>
          </cell>
        </row>
        <row r="12682">
          <cell r="B12682">
            <v>24729</v>
          </cell>
          <cell r="C12682" t="str">
            <v>BB BANCO DE INVESTIMENTO S/A</v>
          </cell>
          <cell r="D12682" t="str">
            <v>BB BANCO DE INVESTIMENTO S/A</v>
          </cell>
          <cell r="E12682" t="str">
            <v>BB BANCO DE INVESTIMENTO S/A</v>
          </cell>
        </row>
        <row r="12683">
          <cell r="B12683">
            <v>24730</v>
          </cell>
          <cell r="C12683" t="str">
            <v>BB GESTAO DE RECURSOS DTVM LTDA</v>
          </cell>
          <cell r="D12683" t="str">
            <v>BB GESTAO DE RECURSOS DTVM LTDA</v>
          </cell>
          <cell r="E12683" t="str">
            <v>BANCO DO BRASIL S/A</v>
          </cell>
        </row>
        <row r="12684">
          <cell r="B12684">
            <v>24735</v>
          </cell>
          <cell r="C12684" t="str">
            <v>BB BANCO DE INVESTIMENTO S/A</v>
          </cell>
          <cell r="D12684" t="str">
            <v>BB BANCO DE INVESTIMENTO S/A</v>
          </cell>
          <cell r="E12684" t="str">
            <v>BB BANCO DE INVESTIMENTO S/A</v>
          </cell>
        </row>
        <row r="12685">
          <cell r="B12685">
            <v>24738</v>
          </cell>
          <cell r="C12685" t="str">
            <v>BB BANCO DE INVESTIMENTO S/A</v>
          </cell>
          <cell r="D12685" t="str">
            <v>BB BANCO DE INVESTIMENTO S/A</v>
          </cell>
          <cell r="E12685" t="str">
            <v>BB BANCO DE INVESTIMENTO S/A</v>
          </cell>
        </row>
        <row r="12686">
          <cell r="B12686">
            <v>24740</v>
          </cell>
          <cell r="C12686" t="str">
            <v>BB BANCO DE INVESTIMENTO S/A</v>
          </cell>
          <cell r="D12686" t="str">
            <v>BB BANCO DE INVESTIMENTO S/A</v>
          </cell>
          <cell r="E12686" t="str">
            <v>BB BANCO DE INVESTIMENTO S/A</v>
          </cell>
        </row>
        <row r="12687">
          <cell r="B12687">
            <v>24759</v>
          </cell>
          <cell r="C12687" t="str">
            <v>BB GESTAO DE RECURSOS DTVM LTDA</v>
          </cell>
          <cell r="D12687" t="str">
            <v>BB GESTAO DE RECURSOS DTVM LTDA</v>
          </cell>
          <cell r="E12687" t="str">
            <v>BANCO DO BRASIL S/A</v>
          </cell>
        </row>
        <row r="12688">
          <cell r="B12688">
            <v>24764</v>
          </cell>
          <cell r="C12688" t="str">
            <v>BB BANCO DE INVESTIMENTO S/A</v>
          </cell>
          <cell r="D12688" t="str">
            <v>BB BANCO DE INVESTIMENTO S/A</v>
          </cell>
          <cell r="E12688" t="str">
            <v>BB BANCO DE INVESTIMENTO S/A</v>
          </cell>
        </row>
        <row r="12689">
          <cell r="B12689">
            <v>24774</v>
          </cell>
          <cell r="C12689" t="str">
            <v>BB BANCO DE INVESTIMENTO S/A</v>
          </cell>
          <cell r="D12689" t="str">
            <v>BB BANCO DE INVESTIMENTO S/A</v>
          </cell>
          <cell r="E12689" t="str">
            <v>BB BANCO DE INVESTIMENTO S/A</v>
          </cell>
        </row>
        <row r="12690">
          <cell r="B12690">
            <v>24784</v>
          </cell>
          <cell r="C12690" t="str">
            <v>BB BANCO DE INVESTIMENTO S/A</v>
          </cell>
          <cell r="D12690" t="str">
            <v>BB BANCO DE INVESTIMENTO S/A</v>
          </cell>
          <cell r="E12690" t="str">
            <v>BB BANCO DE INVESTIMENTO S/A</v>
          </cell>
        </row>
        <row r="12691">
          <cell r="B12691">
            <v>24785</v>
          </cell>
          <cell r="C12691" t="str">
            <v>BB BANCO DE INVESTIMENTO S/A</v>
          </cell>
          <cell r="D12691" t="str">
            <v>BB BANCO DE INVESTIMENTO S/A</v>
          </cell>
          <cell r="E12691" t="str">
            <v>BB BANCO DE INVESTIMENTO S/A</v>
          </cell>
        </row>
        <row r="12692">
          <cell r="B12692">
            <v>24794</v>
          </cell>
          <cell r="C12692" t="str">
            <v>BB GESTAO DE RECURSOS DTVM LTDA</v>
          </cell>
          <cell r="D12692" t="str">
            <v>BB GESTAO DE RECURSOS DTVM LTDA</v>
          </cell>
          <cell r="E12692" t="str">
            <v>BANCO DO BRASIL S/A</v>
          </cell>
        </row>
        <row r="12693">
          <cell r="B12693">
            <v>24795</v>
          </cell>
          <cell r="C12693" t="str">
            <v>BB GESTAO DE RECURSOS DTVM LTDA</v>
          </cell>
          <cell r="D12693" t="str">
            <v>BB GESTAO DE RECURSOS DTVM LTDA</v>
          </cell>
          <cell r="E12693" t="str">
            <v>BANCO DO BRASIL S/A</v>
          </cell>
        </row>
        <row r="12694">
          <cell r="B12694">
            <v>24797</v>
          </cell>
          <cell r="C12694" t="str">
            <v>BB GESTAO DE RECURSOS DTVM LTDA</v>
          </cell>
          <cell r="D12694" t="str">
            <v>BB GESTAO DE RECURSOS DTVM LTDA</v>
          </cell>
          <cell r="E12694" t="str">
            <v>BANCO DO BRASIL S/A</v>
          </cell>
        </row>
        <row r="12695">
          <cell r="B12695">
            <v>24799</v>
          </cell>
          <cell r="C12695" t="str">
            <v>BB GESTAO DE RECURSOS DTVM LTDA</v>
          </cell>
          <cell r="D12695" t="str">
            <v>BB GESTAO DE RECURSOS DTVM LTDA</v>
          </cell>
          <cell r="E12695" t="str">
            <v>BANCO DO BRASIL S/A</v>
          </cell>
        </row>
        <row r="12696">
          <cell r="B12696">
            <v>24800</v>
          </cell>
          <cell r="C12696" t="str">
            <v>BB BANCO DE INVESTIMENTO S/A</v>
          </cell>
          <cell r="D12696" t="str">
            <v>BB BANCO DE INVESTIMENTO S/A</v>
          </cell>
          <cell r="E12696" t="str">
            <v>BB BANCO DE INVESTIMENTO S/A</v>
          </cell>
        </row>
        <row r="12697">
          <cell r="B12697">
            <v>24801</v>
          </cell>
          <cell r="C12697" t="str">
            <v>BB BANCO DE INVESTIMENTO S/A</v>
          </cell>
          <cell r="D12697" t="str">
            <v>BB BANCO DE INVESTIMENTO S/A</v>
          </cell>
          <cell r="E12697" t="str">
            <v>BB BANCO DE INVESTIMENTO S/A</v>
          </cell>
        </row>
        <row r="12698">
          <cell r="B12698">
            <v>24802</v>
          </cell>
          <cell r="C12698" t="str">
            <v>BB BANCO DE INVESTIMENTO S/A</v>
          </cell>
          <cell r="D12698" t="str">
            <v>BB BANCO DE INVESTIMENTO S/A</v>
          </cell>
          <cell r="E12698" t="str">
            <v>BB BANCO DE INVESTIMENTO S/A</v>
          </cell>
        </row>
        <row r="12699">
          <cell r="B12699">
            <v>24806</v>
          </cell>
          <cell r="C12699" t="str">
            <v>BB GESTAO DE RECURSOS DTVM LTDA</v>
          </cell>
          <cell r="D12699" t="str">
            <v>BB GESTAO DE RECURSOS DTVM LTDA</v>
          </cell>
          <cell r="E12699" t="str">
            <v>BANCO DO BRASIL S/A</v>
          </cell>
        </row>
        <row r="12700">
          <cell r="B12700">
            <v>24810</v>
          </cell>
          <cell r="C12700" t="str">
            <v>BB GESTAO DE RECURSOS DTVM LTDA</v>
          </cell>
          <cell r="D12700" t="str">
            <v>BB GESTAO DE RECURSOS DTVM LTDA</v>
          </cell>
          <cell r="E12700" t="str">
            <v>BANCO DO BRASIL S/A</v>
          </cell>
        </row>
        <row r="12701">
          <cell r="B12701">
            <v>24811</v>
          </cell>
          <cell r="C12701" t="str">
            <v>BB BANCO DE INVESTIMENTO S/A</v>
          </cell>
          <cell r="D12701" t="str">
            <v>BB BANCO DE INVESTIMENTO S/A</v>
          </cell>
          <cell r="E12701" t="str">
            <v>BB BANCO DE INVESTIMENTO S/A</v>
          </cell>
        </row>
        <row r="12702">
          <cell r="B12702">
            <v>24818</v>
          </cell>
          <cell r="C12702" t="str">
            <v>BB BANCO DE INVESTIMENTO S/A</v>
          </cell>
          <cell r="D12702" t="str">
            <v>BB BANCO DE INVESTIMENTO S/A</v>
          </cell>
          <cell r="E12702" t="str">
            <v>BB BANCO DE INVESTIMENTO S/A</v>
          </cell>
        </row>
        <row r="12703">
          <cell r="B12703">
            <v>24819</v>
          </cell>
          <cell r="C12703" t="str">
            <v>BB GESTAO DE RECURSOS DTVM LTDA</v>
          </cell>
          <cell r="D12703" t="str">
            <v>BB GESTAO DE RECURSOS DTVM LTDA</v>
          </cell>
          <cell r="E12703" t="str">
            <v>BANCO DO BRASIL S/A</v>
          </cell>
        </row>
        <row r="12704">
          <cell r="B12704">
            <v>24821</v>
          </cell>
          <cell r="C12704" t="str">
            <v>BB GESTAO DE RECURSOS DTVM LTDA</v>
          </cell>
          <cell r="D12704" t="str">
            <v>BB GESTAO DE RECURSOS DTVM LTDA</v>
          </cell>
          <cell r="E12704" t="str">
            <v>BB GESTAO DE RECURSOS DTVM LTDA</v>
          </cell>
        </row>
        <row r="12705">
          <cell r="B12705">
            <v>24823</v>
          </cell>
          <cell r="C12705" t="str">
            <v>BB BANCO DE INVESTIMENTO S/A</v>
          </cell>
          <cell r="D12705" t="str">
            <v>BB BANCO DE INVESTIMENTO S/A</v>
          </cell>
          <cell r="E12705" t="str">
            <v>BB BANCO DE INVESTIMENTO S/A</v>
          </cell>
        </row>
        <row r="12706">
          <cell r="B12706">
            <v>24824</v>
          </cell>
          <cell r="C12706" t="str">
            <v>BB GESTAO DE RECURSOS DTVM LTDA</v>
          </cell>
          <cell r="D12706" t="str">
            <v>BB GESTAO DE RECURSOS DTVM LTDA</v>
          </cell>
          <cell r="E12706" t="str">
            <v>BANCO DO BRASIL S/A</v>
          </cell>
        </row>
        <row r="12707">
          <cell r="B12707">
            <v>24829</v>
          </cell>
          <cell r="C12707" t="str">
            <v>BB BANCO DE INVESTIMENTO S/A</v>
          </cell>
          <cell r="D12707" t="str">
            <v>BB BANCO DE INVESTIMENTO S/A</v>
          </cell>
          <cell r="E12707" t="str">
            <v>BB BANCO DE INVESTIMENTO S/A</v>
          </cell>
        </row>
        <row r="12708">
          <cell r="B12708">
            <v>24830</v>
          </cell>
          <cell r="C12708" t="str">
            <v>BB BANCO DE INVESTIMENTO S/A</v>
          </cell>
          <cell r="D12708" t="str">
            <v>BB BANCO DE INVESTIMENTO S/A</v>
          </cell>
          <cell r="E12708" t="str">
            <v>BB BANCO DE INVESTIMENTO S/A</v>
          </cell>
        </row>
        <row r="12709">
          <cell r="B12709">
            <v>24832</v>
          </cell>
          <cell r="C12709" t="str">
            <v>BB GESTAO DE RECURSOS DTVM LTDA</v>
          </cell>
          <cell r="D12709" t="str">
            <v>BB GESTAO DE RECURSOS DTVM LTDA</v>
          </cell>
          <cell r="E12709" t="str">
            <v>BB GESTAO DE RECURSOS DTVM LTDA</v>
          </cell>
        </row>
        <row r="12710">
          <cell r="B12710">
            <v>24833</v>
          </cell>
          <cell r="C12710" t="str">
            <v>BB GESTAO DE RECURSOS DTVM LTDA</v>
          </cell>
          <cell r="D12710" t="str">
            <v>BB GESTAO DE RECURSOS DTVM LTDA</v>
          </cell>
          <cell r="E12710" t="str">
            <v>BANCO DO BRASIL S/A</v>
          </cell>
        </row>
        <row r="12711">
          <cell r="B12711">
            <v>24836</v>
          </cell>
          <cell r="C12711" t="str">
            <v>BB BANCO DE INVESTIMENTO S/A</v>
          </cell>
          <cell r="D12711" t="str">
            <v>BB BANCO DE INVESTIMENTO S/A</v>
          </cell>
          <cell r="E12711" t="str">
            <v>BB BANCO DE INVESTIMENTO S/A</v>
          </cell>
        </row>
        <row r="12712">
          <cell r="B12712">
            <v>24837</v>
          </cell>
          <cell r="C12712" t="str">
            <v>BB BANCO DE INVESTIMENTO S/A</v>
          </cell>
          <cell r="D12712" t="str">
            <v>BB BANCO DE INVESTIMENTO S/A</v>
          </cell>
          <cell r="E12712" t="str">
            <v>BB BANCO DE INVESTIMENTO S/A</v>
          </cell>
        </row>
        <row r="12713">
          <cell r="B12713">
            <v>24838</v>
          </cell>
          <cell r="C12713" t="str">
            <v>BB BANCO DE INVESTIMENTO S/A</v>
          </cell>
          <cell r="D12713" t="str">
            <v>BB BANCO DE INVESTIMENTO S/A</v>
          </cell>
          <cell r="E12713" t="str">
            <v>BB BANCO DE INVESTIMENTO S/A</v>
          </cell>
        </row>
        <row r="12714">
          <cell r="B12714">
            <v>24839</v>
          </cell>
          <cell r="C12714" t="str">
            <v>BB GESTAO DE RECURSOS DTVM LTDA</v>
          </cell>
          <cell r="D12714" t="str">
            <v>BB GESTAO DE RECURSOS DTVM LTDA</v>
          </cell>
          <cell r="E12714" t="str">
            <v>BB GESTAO DE RECURSOS DTVM LTDA</v>
          </cell>
        </row>
        <row r="12715">
          <cell r="B12715">
            <v>24850</v>
          </cell>
          <cell r="C12715" t="str">
            <v>BB BANCO DE INVESTIMENTO S/A</v>
          </cell>
          <cell r="D12715" t="str">
            <v>BB BANCO DE INVESTIMENTO S/A</v>
          </cell>
          <cell r="E12715" t="str">
            <v>BB BANCO DE INVESTIMENTO S/A</v>
          </cell>
        </row>
        <row r="12716">
          <cell r="B12716">
            <v>24853</v>
          </cell>
          <cell r="C12716" t="str">
            <v>BB BANCO DE INVESTIMENTO S/A</v>
          </cell>
          <cell r="D12716" t="str">
            <v>BB BANCO DE INVESTIMENTO S/A</v>
          </cell>
          <cell r="E12716" t="str">
            <v>BB BANCO DE INVESTIMENTO S/A</v>
          </cell>
        </row>
        <row r="12717">
          <cell r="B12717">
            <v>24863</v>
          </cell>
          <cell r="C12717" t="str">
            <v>BB BANCO DE INVESTIMENTO S/A</v>
          </cell>
          <cell r="D12717" t="str">
            <v>BB BANCO DE INVESTIMENTO S/A</v>
          </cell>
          <cell r="E12717" t="str">
            <v>BB BANCO DE INVESTIMENTO S/A</v>
          </cell>
        </row>
        <row r="12718">
          <cell r="B12718">
            <v>24867</v>
          </cell>
          <cell r="C12718" t="str">
            <v>BB GESTAO DE RECURSOS DTVM LTDA</v>
          </cell>
          <cell r="D12718" t="str">
            <v>BB GESTAO DE RECURSOS DTVM LTDA</v>
          </cell>
          <cell r="E12718" t="str">
            <v>BANCO DO BRASIL S/A</v>
          </cell>
        </row>
        <row r="12719">
          <cell r="B12719">
            <v>24872</v>
          </cell>
          <cell r="C12719" t="str">
            <v>BB GESTAO DE RECURSOS DTVM LTDA</v>
          </cell>
          <cell r="D12719" t="str">
            <v>BB GESTAO DE RECURSOS DTVM LTDA</v>
          </cell>
          <cell r="E12719" t="str">
            <v>BANCO DO BRASIL S/A</v>
          </cell>
        </row>
        <row r="12720">
          <cell r="B12720">
            <v>24879</v>
          </cell>
          <cell r="C12720" t="str">
            <v>BB GESTAO DE RECURSOS DTVM LTDA</v>
          </cell>
          <cell r="D12720" t="str">
            <v>BB GESTAO DE RECURSOS DTVM LTDA</v>
          </cell>
          <cell r="E12720" t="str">
            <v>BANCO DO BRASIL S/A</v>
          </cell>
        </row>
        <row r="12721">
          <cell r="B12721">
            <v>24882</v>
          </cell>
          <cell r="C12721" t="str">
            <v>BB BANCO DE INVESTIMENTO S/A</v>
          </cell>
          <cell r="D12721" t="str">
            <v>BB BANCO DE INVESTIMENTO S/A</v>
          </cell>
          <cell r="E12721" t="str">
            <v>BB BANCO DE INVESTIMENTO S/A</v>
          </cell>
        </row>
        <row r="12722">
          <cell r="B12722">
            <v>24885</v>
          </cell>
          <cell r="C12722" t="str">
            <v>BB GESTAO DE RECURSOS DTVM LTDA</v>
          </cell>
          <cell r="D12722" t="str">
            <v>BB GESTAO DE RECURSOS DTVM LTDA</v>
          </cell>
          <cell r="E12722" t="str">
            <v>BB GESTAO DE RECURSOS DTVM LTDA</v>
          </cell>
        </row>
        <row r="12723">
          <cell r="B12723">
            <v>24901</v>
          </cell>
          <cell r="C12723" t="str">
            <v>BB BANCO DE INVESTIMENTO S/A</v>
          </cell>
          <cell r="D12723" t="str">
            <v>BB BANCO DE INVESTIMENTO S/A</v>
          </cell>
          <cell r="E12723" t="str">
            <v>BB BANCO DE INVESTIMENTO S/A</v>
          </cell>
        </row>
        <row r="12724">
          <cell r="B12724">
            <v>24902</v>
          </cell>
          <cell r="C12724" t="str">
            <v>BB GESTAO DE RECURSOS DTVM LTDA</v>
          </cell>
          <cell r="D12724" t="str">
            <v>BB GESTAO DE RECURSOS DTVM LTDA</v>
          </cell>
          <cell r="E12724" t="str">
            <v>BANCO DO BRASIL S/A</v>
          </cell>
        </row>
        <row r="12725">
          <cell r="B12725">
            <v>24905</v>
          </cell>
          <cell r="C12725" t="str">
            <v>BB BANCO DE INVESTIMENTO S/A</v>
          </cell>
          <cell r="D12725" t="str">
            <v>BB BANCO DE INVESTIMENTO S/A</v>
          </cell>
          <cell r="E12725" t="str">
            <v>BB BANCO DE INVESTIMENTO S/A</v>
          </cell>
        </row>
        <row r="12726">
          <cell r="B12726">
            <v>24915</v>
          </cell>
          <cell r="C12726" t="str">
            <v>BB GESTAO DE RECURSOS DTVM LTDA</v>
          </cell>
          <cell r="D12726" t="str">
            <v>BB GESTAO DE RECURSOS DTVM LTDA</v>
          </cell>
          <cell r="E12726" t="str">
            <v>BB GESTAO DE RECURSOS DTVM LTDA</v>
          </cell>
        </row>
        <row r="12727">
          <cell r="B12727">
            <v>24916</v>
          </cell>
          <cell r="C12727" t="str">
            <v>BB GESTAO DE RECURSOS DTVM LTDA</v>
          </cell>
          <cell r="D12727" t="str">
            <v>BB GESTAO DE RECURSOS DTVM LTDA</v>
          </cell>
          <cell r="E12727" t="str">
            <v>BANCO DO BRASIL S/A</v>
          </cell>
        </row>
        <row r="12728">
          <cell r="B12728">
            <v>24918</v>
          </cell>
          <cell r="C12728" t="str">
            <v>BB GESTAO DE RECURSOS DTVM LTDA</v>
          </cell>
          <cell r="D12728" t="str">
            <v>BB GESTAO DE RECURSOS DTVM LTDA</v>
          </cell>
          <cell r="E12728" t="str">
            <v>BB GESTAO DE RECURSOS DTVM LTDA</v>
          </cell>
        </row>
        <row r="12729">
          <cell r="B12729">
            <v>24920</v>
          </cell>
          <cell r="C12729" t="str">
            <v>BB BANCO DE INVESTIMENTO S/A</v>
          </cell>
          <cell r="D12729" t="str">
            <v>BB BANCO DE INVESTIMENTO S/A</v>
          </cell>
          <cell r="E12729" t="str">
            <v>BB BANCO DE INVESTIMENTO S/A</v>
          </cell>
        </row>
        <row r="12730">
          <cell r="B12730">
            <v>24921</v>
          </cell>
          <cell r="C12730" t="str">
            <v>BB BANCO DE INVESTIMENTO S/A</v>
          </cell>
          <cell r="D12730" t="str">
            <v>BB BANCO DE INVESTIMENTO S/A</v>
          </cell>
          <cell r="E12730" t="str">
            <v>BB BANCO DE INVESTIMENTO S/A</v>
          </cell>
        </row>
        <row r="12731">
          <cell r="B12731">
            <v>24924</v>
          </cell>
          <cell r="C12731" t="str">
            <v>BB GESTAO DE RECURSOS DTVM LTDA</v>
          </cell>
          <cell r="D12731" t="str">
            <v>BB GESTAO DE RECURSOS DTVM LTDA</v>
          </cell>
          <cell r="E12731" t="str">
            <v>BB GESTAO DE RECURSOS DTVM LTDA</v>
          </cell>
        </row>
        <row r="12732">
          <cell r="B12732">
            <v>24925</v>
          </cell>
          <cell r="C12732" t="str">
            <v>BB GESTAO DE RECURSOS DTVM LTDA</v>
          </cell>
          <cell r="D12732" t="str">
            <v>BB GESTAO DE RECURSOS DTVM LTDA</v>
          </cell>
          <cell r="E12732" t="str">
            <v>BB GESTAO DE RECURSOS DTVM LTDA</v>
          </cell>
        </row>
        <row r="12733">
          <cell r="B12733">
            <v>24929</v>
          </cell>
          <cell r="C12733" t="str">
            <v>BB GESTAO DE RECURSOS DTVM LTDA</v>
          </cell>
          <cell r="D12733" t="str">
            <v>BB GESTAO DE RECURSOS DTVM LTDA</v>
          </cell>
          <cell r="E12733" t="str">
            <v>BANCO DO BRASIL S/A</v>
          </cell>
        </row>
        <row r="12734">
          <cell r="B12734">
            <v>24930</v>
          </cell>
          <cell r="C12734" t="str">
            <v>BB BANCO DE INVESTIMENTO S/A</v>
          </cell>
          <cell r="D12734" t="str">
            <v>BB BANCO DE INVESTIMENTO S/A</v>
          </cell>
          <cell r="E12734" t="str">
            <v>BB BANCO DE INVESTIMENTO S/A</v>
          </cell>
        </row>
        <row r="12735">
          <cell r="B12735">
            <v>24931</v>
          </cell>
          <cell r="C12735" t="str">
            <v>BB GESTAO DE RECURSOS DTVM LTDA</v>
          </cell>
          <cell r="D12735" t="str">
            <v>BB GESTAO DE RECURSOS DTVM LTDA</v>
          </cell>
          <cell r="E12735" t="str">
            <v>BANCO DO BRASIL S/A</v>
          </cell>
        </row>
        <row r="12736">
          <cell r="B12736">
            <v>24932</v>
          </cell>
          <cell r="C12736" t="str">
            <v>BB GESTAO DE RECURSOS DTVM LTDA</v>
          </cell>
          <cell r="D12736" t="str">
            <v>BB GESTAO DE RECURSOS DTVM LTDA</v>
          </cell>
          <cell r="E12736" t="str">
            <v>BANCO DO BRASIL S/A</v>
          </cell>
        </row>
        <row r="12737">
          <cell r="B12737">
            <v>24934</v>
          </cell>
          <cell r="C12737" t="str">
            <v>BB BANCO DE INVESTIMENTO S/A</v>
          </cell>
          <cell r="D12737" t="str">
            <v>BB BANCO DE INVESTIMENTO S/A</v>
          </cell>
          <cell r="E12737" t="str">
            <v>BB BANCO DE INVESTIMENTO S/A</v>
          </cell>
        </row>
        <row r="12738">
          <cell r="B12738">
            <v>24942</v>
          </cell>
          <cell r="C12738" t="str">
            <v>BB GESTAO DE RECURSOS DTVM LTDA</v>
          </cell>
          <cell r="D12738" t="str">
            <v>BB GESTAO DE RECURSOS DTVM LTDA</v>
          </cell>
          <cell r="E12738" t="str">
            <v>BANCO DO BRASIL S/A</v>
          </cell>
        </row>
        <row r="12739">
          <cell r="B12739">
            <v>24953</v>
          </cell>
          <cell r="C12739" t="str">
            <v>BB GESTAO DE RECURSOS DTVM LTDA</v>
          </cell>
          <cell r="D12739" t="str">
            <v>BB GESTAO DE RECURSOS DTVM LTDA</v>
          </cell>
          <cell r="E12739" t="str">
            <v>BANCO DO BRASIL S/A</v>
          </cell>
        </row>
        <row r="12740">
          <cell r="B12740">
            <v>24954</v>
          </cell>
          <cell r="C12740" t="str">
            <v>BB BANCO DE INVESTIMENTO S/A</v>
          </cell>
          <cell r="D12740" t="str">
            <v>BB BANCO DE INVESTIMENTO S/A</v>
          </cell>
          <cell r="E12740" t="str">
            <v>BB BANCO DE INVESTIMENTO S/A</v>
          </cell>
        </row>
        <row r="12741">
          <cell r="B12741">
            <v>24955</v>
          </cell>
          <cell r="C12741" t="str">
            <v>BB BANCO DE INVESTIMENTO S/A</v>
          </cell>
          <cell r="D12741" t="str">
            <v>BB BANCO DE INVESTIMENTO S/A</v>
          </cell>
          <cell r="E12741" t="str">
            <v>BB BANCO DE INVESTIMENTO S/A</v>
          </cell>
        </row>
        <row r="12742">
          <cell r="B12742">
            <v>24956</v>
          </cell>
          <cell r="C12742" t="str">
            <v>BB GESTAO DE RECURSOS DTVM LTDA</v>
          </cell>
          <cell r="D12742" t="str">
            <v>BB GESTAO DE RECURSOS DTVM LTDA</v>
          </cell>
          <cell r="E12742" t="str">
            <v>BANCO DO BRASIL S/A</v>
          </cell>
        </row>
        <row r="12743">
          <cell r="B12743">
            <v>24957</v>
          </cell>
          <cell r="C12743" t="str">
            <v>BB GESTAO DE RECURSOS DTVM LTDA</v>
          </cell>
          <cell r="D12743" t="str">
            <v>BB GESTAO DE RECURSOS DTVM LTDA</v>
          </cell>
          <cell r="E12743" t="str">
            <v>BANCO DO BRASIL S/A</v>
          </cell>
        </row>
        <row r="12744">
          <cell r="B12744">
            <v>24964</v>
          </cell>
          <cell r="C12744" t="str">
            <v>BB GESTAO DE RECURSOS DTVM LTDA</v>
          </cell>
          <cell r="D12744" t="str">
            <v>BB GESTAO DE RECURSOS DTVM LTDA</v>
          </cell>
          <cell r="E12744" t="str">
            <v>BANCO DO BRASIL S/A</v>
          </cell>
        </row>
        <row r="12745">
          <cell r="B12745">
            <v>24965</v>
          </cell>
          <cell r="C12745" t="str">
            <v>BB BANCO DE INVESTIMENTO S/A</v>
          </cell>
          <cell r="D12745" t="str">
            <v>BB BANCO DE INVESTIMENTO S/A</v>
          </cell>
          <cell r="E12745" t="str">
            <v>BB BANCO DE INVESTIMENTO S/A</v>
          </cell>
        </row>
        <row r="12746">
          <cell r="B12746">
            <v>24968</v>
          </cell>
          <cell r="C12746" t="str">
            <v>BB GESTAO DE RECURSOS DTVM LTDA</v>
          </cell>
          <cell r="D12746" t="str">
            <v>BB GESTAO DE RECURSOS DTVM LTDA</v>
          </cell>
          <cell r="E12746" t="str">
            <v>BANCO DO BRASIL S/A</v>
          </cell>
        </row>
        <row r="12747">
          <cell r="B12747">
            <v>24993</v>
          </cell>
          <cell r="C12747" t="str">
            <v>BB GESTAO DE RECURSOS DTVM LTDA</v>
          </cell>
          <cell r="D12747" t="str">
            <v>BB GESTAO DE RECURSOS DTVM LTDA</v>
          </cell>
          <cell r="E12747" t="str">
            <v>BANCO DO BRASIL S/A</v>
          </cell>
        </row>
        <row r="12748">
          <cell r="B12748">
            <v>24994</v>
          </cell>
          <cell r="C12748" t="str">
            <v>BB GESTAO DE RECURSOS DTVM LTDA</v>
          </cell>
          <cell r="D12748" t="str">
            <v>BB GESTAO DE RECURSOS DTVM LTDA</v>
          </cell>
          <cell r="E12748" t="str">
            <v>BANCO DO BRASIL S/A</v>
          </cell>
        </row>
        <row r="12749">
          <cell r="B12749">
            <v>24995</v>
          </cell>
          <cell r="C12749" t="str">
            <v>BB BANCO DE INVESTIMENTO S/A</v>
          </cell>
          <cell r="D12749" t="str">
            <v>BB BANCO DE INVESTIMENTO S/A</v>
          </cell>
          <cell r="E12749" t="str">
            <v>BB BANCO DE INVESTIMENTO S/A</v>
          </cell>
        </row>
        <row r="12750">
          <cell r="B12750">
            <v>24998</v>
          </cell>
          <cell r="C12750" t="str">
            <v>BB GESTAO DE RECURSOS DTVM LTDA</v>
          </cell>
          <cell r="D12750" t="str">
            <v>BB GESTAO DE RECURSOS DTVM LTDA</v>
          </cell>
          <cell r="E12750" t="str">
            <v>BANCO DO BRASIL S/A</v>
          </cell>
        </row>
        <row r="12751">
          <cell r="B12751">
            <v>25001</v>
          </cell>
          <cell r="C12751" t="str">
            <v>BB GESTAO DE RECURSOS DTVM LTDA</v>
          </cell>
          <cell r="D12751" t="str">
            <v>BB GESTAO DE RECURSOS DTVM LTDA</v>
          </cell>
          <cell r="E12751" t="str">
            <v>BANCO DO BRASIL S/A</v>
          </cell>
        </row>
        <row r="12752">
          <cell r="B12752">
            <v>25004</v>
          </cell>
          <cell r="C12752" t="str">
            <v>BB BANCO DE INVESTIMENTO S/A</v>
          </cell>
          <cell r="D12752" t="str">
            <v>BB BANCO DE INVESTIMENTO S/A</v>
          </cell>
          <cell r="E12752" t="str">
            <v>BB BANCO DE INVESTIMENTO S/A</v>
          </cell>
        </row>
        <row r="12753">
          <cell r="B12753">
            <v>25015</v>
          </cell>
          <cell r="C12753" t="str">
            <v>BB BANCO DE INVESTIMENTO S/A</v>
          </cell>
          <cell r="D12753" t="str">
            <v>BB BANCO DE INVESTIMENTO S/A</v>
          </cell>
          <cell r="E12753" t="str">
            <v>BB BANCO DE INVESTIMENTO S/A</v>
          </cell>
        </row>
        <row r="12754">
          <cell r="B12754">
            <v>25086</v>
          </cell>
          <cell r="C12754" t="str">
            <v>BB BANCO DE INVESTIMENTO S/A</v>
          </cell>
          <cell r="D12754" t="str">
            <v>BB BANCO DE INVESTIMENTO S/A</v>
          </cell>
          <cell r="E12754" t="str">
            <v>BB BANCO DE INVESTIMENTO S/A</v>
          </cell>
        </row>
        <row r="12755">
          <cell r="B12755">
            <v>25087</v>
          </cell>
          <cell r="C12755" t="str">
            <v>BB GESTAO DE RECURSOS DTVM LTDA</v>
          </cell>
          <cell r="D12755" t="str">
            <v>BB GESTAO DE RECURSOS DTVM LTDA</v>
          </cell>
          <cell r="E12755" t="str">
            <v>BANCO DO BRASIL S/A</v>
          </cell>
        </row>
        <row r="12756">
          <cell r="B12756">
            <v>25153</v>
          </cell>
          <cell r="C12756" t="str">
            <v>LOUIS DREYFUS COMPANY BRASIL S/A</v>
          </cell>
          <cell r="D12756" t="str">
            <v>LOUIS DREYFUS COMPANY BRASIL S/A</v>
          </cell>
          <cell r="E12756" t="str">
            <v>LOUIS DREYFUS COMPANY BRASIL S/A</v>
          </cell>
        </row>
        <row r="12757">
          <cell r="B12757">
            <v>25170</v>
          </cell>
          <cell r="C12757" t="str">
            <v>BB GESTAO DE RECURSOS DTVM LTDA</v>
          </cell>
          <cell r="D12757" t="str">
            <v>BB GESTAO DE RECURSOS DTVM LTDA</v>
          </cell>
          <cell r="E12757" t="str">
            <v>BB GESTAO DE RECURSOS DTVM LTDA</v>
          </cell>
        </row>
        <row r="12758">
          <cell r="B12758">
            <v>25175</v>
          </cell>
          <cell r="C12758" t="str">
            <v>BB BANCO DE INVESTIMENTO S/A</v>
          </cell>
          <cell r="D12758" t="str">
            <v>BB BANCO DE INVESTIMENTO S/A</v>
          </cell>
          <cell r="E12758" t="str">
            <v>BB BANCO DE INVESTIMENTO S/A</v>
          </cell>
        </row>
        <row r="12759">
          <cell r="B12759">
            <v>25176</v>
          </cell>
          <cell r="C12759" t="str">
            <v>BB BANCO DE INVESTIMENTO S/A</v>
          </cell>
          <cell r="D12759" t="str">
            <v>BB BANCO DE INVESTIMENTO S/A</v>
          </cell>
          <cell r="E12759" t="str">
            <v>BB BANCO DE INVESTIMENTO S/A</v>
          </cell>
        </row>
        <row r="12760">
          <cell r="B12760">
            <v>25186</v>
          </cell>
          <cell r="C12760" t="str">
            <v>BB BANCO DE INVESTIMENTO S/A</v>
          </cell>
          <cell r="D12760" t="str">
            <v>BB BANCO DE INVESTIMENTO S/A</v>
          </cell>
          <cell r="E12760" t="str">
            <v>BB BANCO DE INVESTIMENTO S/A</v>
          </cell>
        </row>
        <row r="12761">
          <cell r="B12761">
            <v>25187</v>
          </cell>
          <cell r="C12761" t="str">
            <v>BB BANCO DE INVESTIMENTO S/A</v>
          </cell>
          <cell r="D12761" t="str">
            <v>BB BANCO DE INVESTIMENTO S/A</v>
          </cell>
          <cell r="E12761" t="str">
            <v>BB BANCO DE INVESTIMENTO S/A</v>
          </cell>
        </row>
        <row r="12762">
          <cell r="B12762">
            <v>25202</v>
          </cell>
          <cell r="C12762" t="str">
            <v>BB BANCO DE INVESTIMENTO S/A</v>
          </cell>
          <cell r="D12762" t="str">
            <v>BB BANCO DE INVESTIMENTO S/A</v>
          </cell>
          <cell r="E12762" t="str">
            <v>BB BANCO DE INVESTIMENTO S/A</v>
          </cell>
        </row>
        <row r="12763">
          <cell r="B12763">
            <v>25203</v>
          </cell>
          <cell r="C12763" t="str">
            <v>BB GESTAO DE RECURSOS DTVM LTDA</v>
          </cell>
          <cell r="D12763" t="str">
            <v>BB GESTAO DE RECURSOS DTVM LTDA</v>
          </cell>
          <cell r="E12763" t="str">
            <v>BB GESTAO DE RECURSOS DTVM LTDA</v>
          </cell>
        </row>
        <row r="12764">
          <cell r="B12764">
            <v>25204</v>
          </cell>
          <cell r="C12764" t="str">
            <v>BB BANCO DE INVESTIMENTO S/A</v>
          </cell>
          <cell r="D12764" t="str">
            <v>BB BANCO DE INVESTIMENTO S/A</v>
          </cell>
          <cell r="E12764" t="str">
            <v>BB BANCO DE INVESTIMENTO S/A</v>
          </cell>
        </row>
        <row r="12765">
          <cell r="B12765">
            <v>25226</v>
          </cell>
          <cell r="C12765" t="str">
            <v>BB BANCO DE INVESTIMENTO S/A</v>
          </cell>
          <cell r="D12765" t="str">
            <v>BB BANCO DE INVESTIMENTO S/A</v>
          </cell>
          <cell r="E12765" t="str">
            <v>BB BANCO DE INVESTIMENTO S/A</v>
          </cell>
        </row>
        <row r="12766">
          <cell r="B12766">
            <v>25231</v>
          </cell>
          <cell r="C12766" t="str">
            <v>BB GESTAO DE RECURSOS DTVM LTDA</v>
          </cell>
          <cell r="D12766" t="str">
            <v>BB GESTAO DE RECURSOS DTVM LTDA</v>
          </cell>
          <cell r="E12766" t="str">
            <v>BANCO DO BRASIL S/A</v>
          </cell>
        </row>
        <row r="12767">
          <cell r="B12767">
            <v>25345</v>
          </cell>
          <cell r="C12767" t="str">
            <v>BB GESTAO DE RECURSOS DTVM LTDA</v>
          </cell>
          <cell r="D12767" t="str">
            <v>BB GESTAO DE RECURSOS DTVM LTDA</v>
          </cell>
          <cell r="E12767" t="str">
            <v>BB GESTAO DE RECURSOS DTVM LTDA</v>
          </cell>
        </row>
        <row r="12768">
          <cell r="B12768">
            <v>25383</v>
          </cell>
          <cell r="C12768" t="str">
            <v>BB BANCO DE INVESTIMENTO S/A</v>
          </cell>
          <cell r="D12768" t="str">
            <v>BB BANCO DE INVESTIMENTO S/A</v>
          </cell>
          <cell r="E12768" t="str">
            <v>BB BANCO DE INVESTIMENTO S/A</v>
          </cell>
        </row>
        <row r="12769">
          <cell r="B12769">
            <v>25385</v>
          </cell>
          <cell r="C12769" t="str">
            <v>BB GESTAO DE RECURSOS DTVM LTDA</v>
          </cell>
          <cell r="D12769" t="str">
            <v>BB GESTAO DE RECURSOS DTVM LTDA</v>
          </cell>
          <cell r="E12769" t="str">
            <v>BANCO DO BRASIL S/A</v>
          </cell>
        </row>
        <row r="12770">
          <cell r="B12770">
            <v>25390</v>
          </cell>
          <cell r="C12770" t="str">
            <v>BB BANCO DE INVESTIMENTO S/A</v>
          </cell>
          <cell r="D12770" t="str">
            <v>BB BANCO DE INVESTIMENTO S/A</v>
          </cell>
          <cell r="E12770" t="str">
            <v>BB BANCO DE INVESTIMENTO S/A</v>
          </cell>
        </row>
        <row r="12771">
          <cell r="B12771">
            <v>25449</v>
          </cell>
          <cell r="C12771" t="str">
            <v>BB BANCO DE INVESTIMENTO S/A</v>
          </cell>
          <cell r="D12771" t="str">
            <v>BB BANCO DE INVESTIMENTO S/A</v>
          </cell>
          <cell r="E12771" t="str">
            <v>BB BANCO DE INVESTIMENTO S/A</v>
          </cell>
        </row>
        <row r="12772">
          <cell r="B12772">
            <v>25471</v>
          </cell>
          <cell r="C12772" t="str">
            <v>BB BANCO DE INVESTIMENTO S/A</v>
          </cell>
          <cell r="D12772" t="str">
            <v>BB BANCO DE INVESTIMENTO S/A</v>
          </cell>
          <cell r="E12772" t="str">
            <v>BB BANCO DE INVESTIMENTO S/A</v>
          </cell>
        </row>
        <row r="12773">
          <cell r="B12773">
            <v>25506</v>
          </cell>
          <cell r="C12773" t="str">
            <v>BB BANCO DE INVESTIMENTO S/A</v>
          </cell>
          <cell r="D12773" t="str">
            <v>BB BANCO DE INVESTIMENTO S/A</v>
          </cell>
          <cell r="E12773" t="str">
            <v>BB BANCO DE INVESTIMENTO S/A</v>
          </cell>
        </row>
        <row r="12774">
          <cell r="B12774">
            <v>25511</v>
          </cell>
          <cell r="C12774" t="str">
            <v>BB BANCO DE INVESTIMENTO S/A</v>
          </cell>
          <cell r="D12774" t="str">
            <v>BB BANCO DE INVESTIMENTO S/A</v>
          </cell>
          <cell r="E12774" t="str">
            <v>BB BANCO DE INVESTIMENTO S/A</v>
          </cell>
        </row>
        <row r="12775">
          <cell r="B12775">
            <v>25512</v>
          </cell>
          <cell r="C12775" t="str">
            <v>BB BANCO DE INVESTIMENTO S/A</v>
          </cell>
          <cell r="D12775" t="str">
            <v>BB BANCO DE INVESTIMENTO S/A</v>
          </cell>
          <cell r="E12775" t="str">
            <v>BB BANCO DE INVESTIMENTO S/A</v>
          </cell>
        </row>
        <row r="12776">
          <cell r="B12776">
            <v>25513</v>
          </cell>
          <cell r="C12776" t="str">
            <v>BB BANCO DE INVESTIMENTO S/A</v>
          </cell>
          <cell r="D12776" t="str">
            <v>BB BANCO DE INVESTIMENTO S/A</v>
          </cell>
          <cell r="E12776" t="str">
            <v>BB BANCO DE INVESTIMENTO S/A</v>
          </cell>
        </row>
        <row r="12777">
          <cell r="B12777">
            <v>25514</v>
          </cell>
          <cell r="C12777" t="str">
            <v>BB BANCO DE INVESTIMENTO S/A</v>
          </cell>
          <cell r="D12777" t="str">
            <v>BB BANCO DE INVESTIMENTO S/A</v>
          </cell>
          <cell r="E12777" t="str">
            <v>BB BANCO DE INVESTIMENTO S/A</v>
          </cell>
        </row>
        <row r="12778">
          <cell r="B12778">
            <v>25548</v>
          </cell>
          <cell r="C12778" t="str">
            <v>BB BANCO DE INVESTIMENTO S/A</v>
          </cell>
          <cell r="D12778" t="str">
            <v>BB BANCO DE INVESTIMENTO S/A</v>
          </cell>
          <cell r="E12778" t="str">
            <v>BB BANCO DE INVESTIMENTO S/A</v>
          </cell>
        </row>
        <row r="12779">
          <cell r="B12779">
            <v>25556</v>
          </cell>
          <cell r="C12779" t="str">
            <v>BB GESTAO DE RECURSOS DTVM LTDA</v>
          </cell>
          <cell r="D12779" t="str">
            <v>BB GESTAO DE RECURSOS DTVM LTDA</v>
          </cell>
          <cell r="E12779" t="str">
            <v>BANCO DO BRASIL S/A</v>
          </cell>
        </row>
        <row r="12780">
          <cell r="B12780">
            <v>25565</v>
          </cell>
          <cell r="C12780" t="str">
            <v>BB BANCO DE INVESTIMENTO S/A</v>
          </cell>
          <cell r="D12780" t="str">
            <v>BB BANCO DE INVESTIMENTO S/A</v>
          </cell>
          <cell r="E12780" t="str">
            <v>BB BANCO DE INVESTIMENTO S/A</v>
          </cell>
        </row>
        <row r="12781">
          <cell r="B12781">
            <v>25568</v>
          </cell>
          <cell r="C12781" t="str">
            <v>BB GESTAO DE RECURSOS DTVM LTDA</v>
          </cell>
          <cell r="D12781" t="str">
            <v>BB GESTAO DE RECURSOS DTVM LTDA</v>
          </cell>
          <cell r="E12781" t="str">
            <v>BANCO DO BRASIL S/A</v>
          </cell>
        </row>
        <row r="12782">
          <cell r="B12782">
            <v>25587</v>
          </cell>
          <cell r="C12782" t="str">
            <v>BB BANCO DE INVESTIMENTO S/A</v>
          </cell>
          <cell r="D12782" t="str">
            <v>BB BANCO DE INVESTIMENTO S/A</v>
          </cell>
          <cell r="E12782" t="str">
            <v>BB BANCO DE INVESTIMENTO S/A</v>
          </cell>
        </row>
        <row r="12783">
          <cell r="B12783">
            <v>25589</v>
          </cell>
          <cell r="C12783" t="str">
            <v>BB BANCO DE INVESTIMENTO S/A</v>
          </cell>
          <cell r="D12783" t="str">
            <v>BB BANCO DE INVESTIMENTO S/A</v>
          </cell>
          <cell r="E12783" t="str">
            <v>BB BANCO DE INVESTIMENTO S/A</v>
          </cell>
        </row>
        <row r="12784">
          <cell r="B12784">
            <v>25590</v>
          </cell>
          <cell r="C12784" t="str">
            <v>BB BANCO DE INVESTIMENTO S/A</v>
          </cell>
          <cell r="D12784" t="str">
            <v>BB BANCO DE INVESTIMENTO S/A</v>
          </cell>
          <cell r="E12784" t="str">
            <v>BB BANCO DE INVESTIMENTO S/A</v>
          </cell>
        </row>
        <row r="12785">
          <cell r="B12785">
            <v>25591</v>
          </cell>
          <cell r="C12785" t="str">
            <v>BB GESTAO DE RECURSOS DTVM LTDA</v>
          </cell>
          <cell r="D12785" t="str">
            <v>BB GESTAO DE RECURSOS DTVM LTDA</v>
          </cell>
          <cell r="E12785" t="str">
            <v>BB GESTAO DE RECURSOS DTVM LTDA</v>
          </cell>
        </row>
        <row r="12786">
          <cell r="B12786">
            <v>25596</v>
          </cell>
          <cell r="C12786" t="str">
            <v>BB BANCO DE INVESTIMENTO S/A</v>
          </cell>
          <cell r="D12786" t="str">
            <v>BB BANCO DE INVESTIMENTO S/A</v>
          </cell>
          <cell r="E12786" t="str">
            <v>BB BANCO DE INVESTIMENTO S/A</v>
          </cell>
        </row>
        <row r="12787">
          <cell r="B12787">
            <v>25603</v>
          </cell>
          <cell r="C12787" t="str">
            <v>BB BANCO DE INVESTIMENTO S/A</v>
          </cell>
          <cell r="D12787" t="str">
            <v>BB BANCO DE INVESTIMENTO S/A</v>
          </cell>
          <cell r="E12787" t="str">
            <v>BB BANCO DE INVESTIMENTO S/A</v>
          </cell>
        </row>
        <row r="12788">
          <cell r="B12788">
            <v>25605</v>
          </cell>
          <cell r="C12788" t="str">
            <v>BB GESTAO DE RECURSOS DTVM LTDA</v>
          </cell>
          <cell r="D12788" t="str">
            <v>BB GESTAO DE RECURSOS DTVM LTDA</v>
          </cell>
          <cell r="E12788" t="str">
            <v>BANCO DO BRASIL S/A</v>
          </cell>
        </row>
        <row r="12789">
          <cell r="B12789">
            <v>25606</v>
          </cell>
          <cell r="C12789" t="str">
            <v>BB BANCO DE INVESTIMENTO S/A</v>
          </cell>
          <cell r="D12789" t="str">
            <v>BB BANCO DE INVESTIMENTO S/A</v>
          </cell>
          <cell r="E12789" t="str">
            <v>BB BANCO DE INVESTIMENTO S/A</v>
          </cell>
        </row>
        <row r="12790">
          <cell r="B12790">
            <v>25607</v>
          </cell>
          <cell r="C12790" t="str">
            <v>BB BANCO DE INVESTIMENTO S/A</v>
          </cell>
          <cell r="D12790" t="str">
            <v>BB BANCO DE INVESTIMENTO S/A</v>
          </cell>
          <cell r="E12790" t="str">
            <v>BB BANCO DE INVESTIMENTO S/A</v>
          </cell>
        </row>
        <row r="12791">
          <cell r="B12791">
            <v>25608</v>
          </cell>
          <cell r="C12791" t="str">
            <v>BB GESTAO DE RECURSOS DTVM LTDA</v>
          </cell>
          <cell r="D12791" t="str">
            <v>BB GESTAO DE RECURSOS DTVM LTDA</v>
          </cell>
          <cell r="E12791" t="str">
            <v>BANCO DO BRASIL S/A</v>
          </cell>
        </row>
        <row r="12792">
          <cell r="B12792">
            <v>25611</v>
          </cell>
          <cell r="C12792" t="str">
            <v>BB GESTAO DE RECURSOS DTVM LTDA</v>
          </cell>
          <cell r="D12792" t="str">
            <v>BB GESTAO DE RECURSOS DTVM LTDA</v>
          </cell>
          <cell r="E12792" t="str">
            <v>BANCO DO BRASIL S/A</v>
          </cell>
        </row>
        <row r="12793">
          <cell r="B12793">
            <v>25612</v>
          </cell>
          <cell r="C12793" t="str">
            <v>BB BANCO DE INVESTIMENTO S/A</v>
          </cell>
          <cell r="D12793" t="str">
            <v>BB BANCO DE INVESTIMENTO S/A</v>
          </cell>
          <cell r="E12793" t="str">
            <v>BB BANCO DE INVESTIMENTO S/A</v>
          </cell>
        </row>
        <row r="12794">
          <cell r="B12794">
            <v>25614</v>
          </cell>
          <cell r="C12794" t="str">
            <v>BB BANCO DE INVESTIMENTO S/A</v>
          </cell>
          <cell r="D12794" t="str">
            <v>BB BANCO DE INVESTIMENTO S/A</v>
          </cell>
          <cell r="E12794" t="str">
            <v>BB BANCO DE INVESTIMENTO S/A</v>
          </cell>
        </row>
        <row r="12795">
          <cell r="B12795">
            <v>25617</v>
          </cell>
          <cell r="C12795" t="str">
            <v>BB BANCO DE INVESTIMENTO S/A</v>
          </cell>
          <cell r="D12795" t="str">
            <v>BB BANCO DE INVESTIMENTO S/A</v>
          </cell>
          <cell r="E12795" t="str">
            <v>BB BANCO DE INVESTIMENTO S/A</v>
          </cell>
        </row>
        <row r="12796">
          <cell r="B12796">
            <v>25621</v>
          </cell>
          <cell r="C12796" t="str">
            <v>BB BANCO DE INVESTIMENTO S/A</v>
          </cell>
          <cell r="D12796" t="str">
            <v>BB BANCO DE INVESTIMENTO S/A</v>
          </cell>
          <cell r="E12796" t="str">
            <v>BB BANCO DE INVESTIMENTO S/A</v>
          </cell>
        </row>
        <row r="12797">
          <cell r="B12797">
            <v>25622</v>
          </cell>
          <cell r="C12797" t="str">
            <v>BB BANCO DE INVESTIMENTO S/A</v>
          </cell>
          <cell r="D12797" t="str">
            <v>BB BANCO DE INVESTIMENTO S/A</v>
          </cell>
          <cell r="E12797" t="str">
            <v>BB BANCO DE INVESTIMENTO S/A</v>
          </cell>
        </row>
        <row r="12798">
          <cell r="B12798">
            <v>25625</v>
          </cell>
          <cell r="C12798" t="str">
            <v>BB BANCO DE INVESTIMENTO S/A</v>
          </cell>
          <cell r="D12798" t="str">
            <v>BB BANCO DE INVESTIMENTO S/A</v>
          </cell>
          <cell r="E12798" t="str">
            <v>BB BANCO DE INVESTIMENTO S/A</v>
          </cell>
        </row>
        <row r="12799">
          <cell r="B12799">
            <v>25633</v>
          </cell>
          <cell r="C12799" t="str">
            <v>BB GESTAO DE RECURSOS DTVM LTDA</v>
          </cell>
          <cell r="D12799" t="str">
            <v>BB GESTAO DE RECURSOS DTVM LTDA</v>
          </cell>
          <cell r="E12799" t="str">
            <v>BANCO DO BRASIL S/A</v>
          </cell>
        </row>
        <row r="12800">
          <cell r="B12800">
            <v>25644</v>
          </cell>
          <cell r="C12800" t="str">
            <v>BB GESTAO DE RECURSOS DTVM LTDA</v>
          </cell>
          <cell r="D12800" t="str">
            <v>BB GESTAO DE RECURSOS DTVM LTDA</v>
          </cell>
          <cell r="E12800" t="str">
            <v>BANCO DO BRASIL S/A</v>
          </cell>
        </row>
        <row r="12801">
          <cell r="B12801">
            <v>2568</v>
          </cell>
          <cell r="C12801" t="str">
            <v>JP MORGAN CHASE BANK NATIONAL ASSOCIATION</v>
          </cell>
          <cell r="D12801" t="str">
            <v>JP MORGAN CHASE BANK NATIONAL ASSOCIATION</v>
          </cell>
          <cell r="E12801" t="str">
            <v>JP MORGAN CHASE BANK NATIONAL ASSOCIATION</v>
          </cell>
        </row>
        <row r="12802">
          <cell r="B12802">
            <v>25681</v>
          </cell>
          <cell r="C12802" t="str">
            <v>KOSMOS GLOBAL FUND (ANTIGO KAIROS)</v>
          </cell>
          <cell r="D12802" t="str">
            <v>KOSMOS GLOBAL FUND (ANTIGO KAIROS)</v>
          </cell>
          <cell r="E12802" t="str">
            <v>KOSMOS GLOBAL FUND (ANTIGO KAIROS)</v>
          </cell>
        </row>
        <row r="12803">
          <cell r="B12803">
            <v>25682</v>
          </cell>
          <cell r="C12803" t="str">
            <v>KOSMOS GLOBAL FUND (ANTIGO KAIROS)</v>
          </cell>
          <cell r="D12803" t="str">
            <v>KOSMOS GLOBAL FUND (ANTIGO KAIROS)</v>
          </cell>
          <cell r="E12803" t="str">
            <v>KOSMOS GLOBAL FUND (ANTIGO KAIROS)</v>
          </cell>
        </row>
        <row r="12804">
          <cell r="B12804">
            <v>25683</v>
          </cell>
          <cell r="C12804" t="str">
            <v>BB GESTAO DE RECURSOS DTVM LTDA</v>
          </cell>
          <cell r="D12804" t="str">
            <v>BB GESTAO DE RECURSOS DTVM LTDA</v>
          </cell>
          <cell r="E12804" t="str">
            <v>BANCO DO BRASIL S/A</v>
          </cell>
        </row>
        <row r="12805">
          <cell r="B12805">
            <v>25685</v>
          </cell>
          <cell r="C12805" t="str">
            <v>BB GESTAO DE RECURSOS DTVM LTDA</v>
          </cell>
          <cell r="D12805" t="str">
            <v>BB GESTAO DE RECURSOS DTVM LTDA</v>
          </cell>
          <cell r="E12805" t="str">
            <v>BANCO DO BRASIL S/A</v>
          </cell>
        </row>
        <row r="12806">
          <cell r="B12806">
            <v>25700</v>
          </cell>
          <cell r="C12806" t="str">
            <v>BB GESTAO DE RECURSOS DTVM LTDA</v>
          </cell>
          <cell r="D12806" t="str">
            <v>BB GESTAO DE RECURSOS DTVM LTDA</v>
          </cell>
          <cell r="E12806" t="str">
            <v>BANCO DO BRASIL S/A</v>
          </cell>
        </row>
        <row r="12807">
          <cell r="B12807">
            <v>25705</v>
          </cell>
          <cell r="C12807" t="str">
            <v>BB BANCO DE INVESTIMENTO S/A</v>
          </cell>
          <cell r="D12807" t="str">
            <v>BB BANCO DE INVESTIMENTO S/A</v>
          </cell>
          <cell r="E12807" t="str">
            <v>BB BANCO DE INVESTIMENTO S/A</v>
          </cell>
        </row>
        <row r="12808">
          <cell r="B12808">
            <v>25707</v>
          </cell>
          <cell r="C12808" t="str">
            <v>BB GESTAO DE RECURSOS DTVM LTDA</v>
          </cell>
          <cell r="D12808" t="str">
            <v>BB GESTAO DE RECURSOS DTVM LTDA</v>
          </cell>
          <cell r="E12808" t="str">
            <v>BANCO DO BRASIL S/A</v>
          </cell>
        </row>
        <row r="12809">
          <cell r="B12809">
            <v>25737</v>
          </cell>
          <cell r="C12809" t="str">
            <v>BB GESTAO DE RECURSOS DTVM LTDA</v>
          </cell>
          <cell r="D12809" t="str">
            <v>BB GESTAO DE RECURSOS DTVM LTDA</v>
          </cell>
          <cell r="E12809" t="str">
            <v>BANCO DO BRASIL S/A</v>
          </cell>
        </row>
        <row r="12810">
          <cell r="B12810">
            <v>25740</v>
          </cell>
          <cell r="C12810" t="str">
            <v>BB GESTAO DE RECURSOS DTVM LTDA</v>
          </cell>
          <cell r="D12810" t="str">
            <v>BB GESTAO DE RECURSOS DTVM LTDA</v>
          </cell>
          <cell r="E12810" t="str">
            <v>BANCO DO BRASIL S/A</v>
          </cell>
        </row>
        <row r="12811">
          <cell r="B12811">
            <v>25745</v>
          </cell>
          <cell r="C12811" t="str">
            <v>BB GESTAO DE RECURSOS DTVM LTDA</v>
          </cell>
          <cell r="D12811" t="str">
            <v>BB GESTAO DE RECURSOS DTVM LTDA</v>
          </cell>
          <cell r="E12811" t="str">
            <v>BANCO DO BRASIL S/A</v>
          </cell>
        </row>
        <row r="12812">
          <cell r="B12812">
            <v>25746</v>
          </cell>
          <cell r="C12812" t="str">
            <v>BB GESTAO DE RECURSOS DTVM LTDA</v>
          </cell>
          <cell r="D12812" t="str">
            <v>BB GESTAO DE RECURSOS DTVM LTDA</v>
          </cell>
          <cell r="E12812" t="str">
            <v>BANCO DO BRASIL S/A</v>
          </cell>
        </row>
        <row r="12813">
          <cell r="B12813">
            <v>25752</v>
          </cell>
          <cell r="C12813" t="str">
            <v>BB GESTAO DE RECURSOS DTVM LTDA</v>
          </cell>
          <cell r="D12813" t="str">
            <v>BB GESTAO DE RECURSOS DTVM LTDA</v>
          </cell>
          <cell r="E12813" t="str">
            <v>BANCO DO BRASIL S/A</v>
          </cell>
        </row>
        <row r="12814">
          <cell r="B12814">
            <v>25760</v>
          </cell>
          <cell r="C12814" t="str">
            <v>BB BANCO DE INVESTIMENTO S/A</v>
          </cell>
          <cell r="D12814" t="str">
            <v>BB BANCO DE INVESTIMENTO S/A</v>
          </cell>
          <cell r="E12814" t="str">
            <v>BB BANCO DE INVESTIMENTO S/A</v>
          </cell>
        </row>
        <row r="12815">
          <cell r="B12815">
            <v>25763</v>
          </cell>
          <cell r="C12815" t="str">
            <v>BB BANCO DE INVESTIMENTO S/A</v>
          </cell>
          <cell r="D12815" t="str">
            <v>BB BANCO DE INVESTIMENTO S/A</v>
          </cell>
          <cell r="E12815" t="str">
            <v>BB BANCO DE INVESTIMENTO S/A</v>
          </cell>
        </row>
        <row r="12816">
          <cell r="B12816">
            <v>25766</v>
          </cell>
          <cell r="C12816" t="str">
            <v>BB BANCO DE INVESTIMENTO S/A</v>
          </cell>
          <cell r="D12816" t="str">
            <v>BB BANCO DE INVESTIMENTO S/A</v>
          </cell>
          <cell r="E12816" t="str">
            <v>BB BANCO DE INVESTIMENTO S/A</v>
          </cell>
        </row>
        <row r="12817">
          <cell r="B12817">
            <v>25778</v>
          </cell>
          <cell r="C12817" t="str">
            <v>BB GESTAO DE RECURSOS DTVM LTDA</v>
          </cell>
          <cell r="D12817" t="str">
            <v>BB GESTAO DE RECURSOS DTVM LTDA</v>
          </cell>
          <cell r="E12817" t="str">
            <v>BANCO DO BRASIL S/A</v>
          </cell>
        </row>
        <row r="12818">
          <cell r="B12818">
            <v>25785</v>
          </cell>
          <cell r="C12818" t="str">
            <v>CORINGA FI MULTIMERCADO CP</v>
          </cell>
          <cell r="D12818" t="str">
            <v>CORINGA FI MULTIMERCADO CP</v>
          </cell>
          <cell r="E12818" t="str">
            <v>ARSENAL INVESTIMENTOS LTDA</v>
          </cell>
        </row>
        <row r="12819">
          <cell r="B12819">
            <v>25786</v>
          </cell>
          <cell r="C12819" t="str">
            <v>AL RF FIM CREDITO PRIVADO</v>
          </cell>
          <cell r="D12819" t="str">
            <v>AL RF FIM CREDITO PRIVADO</v>
          </cell>
          <cell r="E12819" t="str">
            <v>ARSENAL INVESTIMENTOS LTDA</v>
          </cell>
        </row>
        <row r="12820">
          <cell r="B12820">
            <v>25787</v>
          </cell>
          <cell r="C12820" t="str">
            <v>FIA ARSENAL GLOBAL</v>
          </cell>
          <cell r="D12820" t="str">
            <v>FIA ARSENAL GLOBAL</v>
          </cell>
          <cell r="E12820" t="str">
            <v>ARSENAL INVESTIMENTOS LTDA</v>
          </cell>
        </row>
        <row r="12821">
          <cell r="B12821">
            <v>25788</v>
          </cell>
          <cell r="C12821" t="str">
            <v>AL PIBB FUNDO DE INVESTIMENTO DE AÃ‡Ã•ES</v>
          </cell>
          <cell r="D12821" t="str">
            <v>AL PIBB FUNDO DE INVESTIMENTO DE AÃ‡Ã•ES</v>
          </cell>
          <cell r="E12821" t="str">
            <v>ARSENAL INVESTIMENTOS LTDA</v>
          </cell>
        </row>
        <row r="12822">
          <cell r="B12822">
            <v>25789</v>
          </cell>
          <cell r="C12822" t="str">
            <v>BB BANCO DE INVESTIMENTO S/A</v>
          </cell>
          <cell r="D12822" t="str">
            <v>BB BANCO DE INVESTIMENTO S/A</v>
          </cell>
          <cell r="E12822" t="str">
            <v>BB BANCO DE INVESTIMENTO S/A</v>
          </cell>
        </row>
        <row r="12823">
          <cell r="B12823">
            <v>25790</v>
          </cell>
          <cell r="C12823" t="str">
            <v>TORA FUNDO DE INVESTIMENTO MULTIMERCADO CP</v>
          </cell>
          <cell r="D12823" t="str">
            <v>TORA FUNDO DE INVESTIMENTO MULTIMERCADO CP</v>
          </cell>
          <cell r="E12823" t="str">
            <v>JULIUS BAER FAMILY OFFICE BRASIL GESTAO DE PATRIMONIO LTDA</v>
          </cell>
        </row>
        <row r="12824">
          <cell r="B12824">
            <v>25792</v>
          </cell>
          <cell r="C12824" t="str">
            <v>BB BANCO DE INVESTIMENTO S/A</v>
          </cell>
          <cell r="D12824" t="str">
            <v>BB BANCO DE INVESTIMENTO S/A</v>
          </cell>
          <cell r="E12824" t="str">
            <v>BB BANCO DE INVESTIMENTO S/A</v>
          </cell>
        </row>
        <row r="12825">
          <cell r="B12825">
            <v>25799</v>
          </cell>
          <cell r="C12825" t="str">
            <v>BB GESTAO DE RECURSOS DTVM LTDA</v>
          </cell>
          <cell r="D12825" t="str">
            <v>BB GESTAO DE RECURSOS DTVM LTDA</v>
          </cell>
          <cell r="E12825" t="str">
            <v>BANCO DO BRASIL S/A</v>
          </cell>
        </row>
        <row r="12826">
          <cell r="B12826">
            <v>25836</v>
          </cell>
          <cell r="C12826" t="str">
            <v>BB GESTAO DE RECURSOS DTVM LTDA</v>
          </cell>
          <cell r="D12826" t="str">
            <v>BB GESTAO DE RECURSOS DTVM LTDA</v>
          </cell>
          <cell r="E12826" t="str">
            <v>BANCO DO BRASIL S/A</v>
          </cell>
        </row>
        <row r="12827">
          <cell r="B12827">
            <v>25847</v>
          </cell>
          <cell r="C12827" t="str">
            <v>BB GESTAO DE RECURSOS DTVM LTDA</v>
          </cell>
          <cell r="D12827" t="str">
            <v>BB GESTAO DE RECURSOS DTVM LTDA</v>
          </cell>
          <cell r="E12827" t="str">
            <v>BANCO DO BRASIL S/A</v>
          </cell>
        </row>
        <row r="12828">
          <cell r="B12828">
            <v>25851</v>
          </cell>
          <cell r="C12828" t="str">
            <v>BB BANCO DE INVESTIMENTO S/A</v>
          </cell>
          <cell r="D12828" t="str">
            <v>BB BANCO DE INVESTIMENTO S/A</v>
          </cell>
          <cell r="E12828" t="str">
            <v>BB BANCO DE INVESTIMENTO S/A</v>
          </cell>
        </row>
        <row r="12829">
          <cell r="B12829">
            <v>25869</v>
          </cell>
          <cell r="C12829" t="str">
            <v>BB BANCO DE INVESTIMENTO S/A</v>
          </cell>
          <cell r="D12829" t="str">
            <v>BB BANCO DE INVESTIMENTO S/A</v>
          </cell>
          <cell r="E12829" t="str">
            <v>BB BANCO DE INVESTIMENTO S/A</v>
          </cell>
        </row>
        <row r="12830">
          <cell r="B12830">
            <v>25877</v>
          </cell>
          <cell r="C12830" t="str">
            <v>BB GESTAO DE RECURSOS DTVM LTDA</v>
          </cell>
          <cell r="D12830" t="str">
            <v>BB GESTAO DE RECURSOS DTVM LTDA</v>
          </cell>
          <cell r="E12830" t="str">
            <v>BANCO DO BRASIL S/A</v>
          </cell>
        </row>
        <row r="12831">
          <cell r="B12831">
            <v>25880</v>
          </cell>
          <cell r="C12831" t="str">
            <v>BB GESTAO DE RECURSOS DTVM LTDA</v>
          </cell>
          <cell r="D12831" t="str">
            <v>BB GESTAO DE RECURSOS DTVM LTDA</v>
          </cell>
          <cell r="E12831" t="str">
            <v>BANCO DO BRASIL S/A</v>
          </cell>
        </row>
        <row r="12832">
          <cell r="B12832">
            <v>25881</v>
          </cell>
          <cell r="C12832" t="str">
            <v>BB BANCO DE INVESTIMENTO S/A</v>
          </cell>
          <cell r="D12832" t="str">
            <v>BB BANCO DE INVESTIMENTO S/A</v>
          </cell>
          <cell r="E12832" t="str">
            <v>BB BANCO DE INVESTIMENTO S/A</v>
          </cell>
        </row>
        <row r="12833">
          <cell r="B12833">
            <v>25886</v>
          </cell>
          <cell r="C12833" t="str">
            <v>BB GESTAO DE RECURSOS DTVM LTDA</v>
          </cell>
          <cell r="D12833" t="str">
            <v>BB GESTAO DE RECURSOS DTVM LTDA</v>
          </cell>
          <cell r="E12833" t="str">
            <v>BANCO DO BRASIL S/A</v>
          </cell>
        </row>
        <row r="12834">
          <cell r="B12834">
            <v>25896</v>
          </cell>
          <cell r="C12834" t="str">
            <v>BB BANCO DE INVESTIMENTO S/A</v>
          </cell>
          <cell r="D12834" t="str">
            <v>BB BANCO DE INVESTIMENTO S/A</v>
          </cell>
          <cell r="E12834" t="str">
            <v>BB BANCO DE INVESTIMENTO S/A</v>
          </cell>
        </row>
        <row r="12835">
          <cell r="B12835">
            <v>25903</v>
          </cell>
          <cell r="C12835" t="str">
            <v>BB BANCO DE INVESTIMENTO S/A</v>
          </cell>
          <cell r="D12835" t="str">
            <v>BB BANCO DE INVESTIMENTO S/A</v>
          </cell>
          <cell r="E12835" t="str">
            <v>BB BANCO DE INVESTIMENTO S/A</v>
          </cell>
        </row>
        <row r="12836">
          <cell r="B12836">
            <v>25905</v>
          </cell>
          <cell r="C12836" t="str">
            <v>BB BANCO DE INVESTIMENTO S/A</v>
          </cell>
          <cell r="D12836" t="str">
            <v>BB BANCO DE INVESTIMENTO S/A</v>
          </cell>
          <cell r="E12836" t="str">
            <v>BB BANCO DE INVESTIMENTO S/A</v>
          </cell>
        </row>
        <row r="12837">
          <cell r="B12837">
            <v>25907</v>
          </cell>
          <cell r="C12837" t="str">
            <v>BB BANCO DE INVESTIMENTO S/A</v>
          </cell>
          <cell r="D12837" t="str">
            <v>BB BANCO DE INVESTIMENTO S/A</v>
          </cell>
          <cell r="E12837" t="str">
            <v>BB BANCO DE INVESTIMENTO S/A</v>
          </cell>
        </row>
        <row r="12838">
          <cell r="B12838">
            <v>25909</v>
          </cell>
          <cell r="C12838" t="str">
            <v>BB BANCO DE INVESTIMENTO S/A</v>
          </cell>
          <cell r="D12838" t="str">
            <v>BB BANCO DE INVESTIMENTO S/A</v>
          </cell>
          <cell r="E12838" t="str">
            <v>BB BANCO DE INVESTIMENTO S/A</v>
          </cell>
        </row>
        <row r="12839">
          <cell r="B12839">
            <v>25910</v>
          </cell>
          <cell r="C12839" t="str">
            <v>BB BANCO DE INVESTIMENTO S/A</v>
          </cell>
          <cell r="D12839" t="str">
            <v>BB BANCO DE INVESTIMENTO S/A</v>
          </cell>
          <cell r="E12839" t="str">
            <v>BB BANCO DE INVESTIMENTO S/A</v>
          </cell>
        </row>
        <row r="12840">
          <cell r="B12840">
            <v>25911</v>
          </cell>
          <cell r="C12840" t="str">
            <v>BB GESTAO DE RECURSOS DTVM LTDA</v>
          </cell>
          <cell r="D12840" t="str">
            <v>BB GESTAO DE RECURSOS DTVM LTDA</v>
          </cell>
          <cell r="E12840" t="str">
            <v>BANCO DO BRASIL S/A</v>
          </cell>
        </row>
        <row r="12841">
          <cell r="B12841">
            <v>25997</v>
          </cell>
          <cell r="C12841" t="str">
            <v>BB GESTAO DE RECURSOS DTVM LTDA</v>
          </cell>
          <cell r="D12841" t="str">
            <v>BB GESTAO DE RECURSOS DTVM LTDA</v>
          </cell>
          <cell r="E12841" t="str">
            <v>BB GESTAO DE RECURSOS DTVM LTDA</v>
          </cell>
        </row>
        <row r="12842">
          <cell r="B12842">
            <v>26004</v>
          </cell>
          <cell r="C12842" t="str">
            <v>BB BANCO DE INVESTIMENTO S/A</v>
          </cell>
          <cell r="D12842" t="str">
            <v>BB BANCO DE INVESTIMENTO S/A</v>
          </cell>
          <cell r="E12842" t="str">
            <v>BB BANCO DE INVESTIMENTO S/A</v>
          </cell>
        </row>
        <row r="12843">
          <cell r="B12843">
            <v>26018</v>
          </cell>
          <cell r="C12843" t="str">
            <v>BB BANCO DE INVESTIMENTO S/A</v>
          </cell>
          <cell r="D12843" t="str">
            <v>BB BANCO DE INVESTIMENTO S/A</v>
          </cell>
          <cell r="E12843" t="str">
            <v>BB BANCO DE INVESTIMENTO S/A</v>
          </cell>
        </row>
        <row r="12844">
          <cell r="B12844">
            <v>26022</v>
          </cell>
          <cell r="C12844" t="str">
            <v>BB BANCO DE INVESTIMENTO S/A</v>
          </cell>
          <cell r="D12844" t="str">
            <v>BB BANCO DE INVESTIMENTO S/A</v>
          </cell>
          <cell r="E12844" t="str">
            <v>BB BANCO DE INVESTIMENTO S/A</v>
          </cell>
        </row>
        <row r="12845">
          <cell r="B12845">
            <v>26023</v>
          </cell>
          <cell r="C12845" t="str">
            <v>BB BANCO DE INVESTIMENTO S/A</v>
          </cell>
          <cell r="D12845" t="str">
            <v>BB BANCO DE INVESTIMENTO S/A</v>
          </cell>
          <cell r="E12845" t="str">
            <v>BB BANCO DE INVESTIMENTO S/A</v>
          </cell>
        </row>
        <row r="12846">
          <cell r="B12846">
            <v>26050</v>
          </cell>
          <cell r="C12846" t="str">
            <v>BB GESTAO DE RECURSOS DTVM LTDA</v>
          </cell>
          <cell r="D12846" t="str">
            <v>BB GESTAO DE RECURSOS DTVM LTDA</v>
          </cell>
          <cell r="E12846" t="str">
            <v>BANCO DO BRASIL S/A</v>
          </cell>
        </row>
        <row r="12847">
          <cell r="B12847">
            <v>26051</v>
          </cell>
          <cell r="C12847" t="str">
            <v>BB BANCO DE INVESTIMENTO S/A</v>
          </cell>
          <cell r="D12847" t="str">
            <v>BB BANCO DE INVESTIMENTO S/A</v>
          </cell>
          <cell r="E12847" t="str">
            <v>BB BANCO DE INVESTIMENTO S/A</v>
          </cell>
        </row>
        <row r="12848">
          <cell r="B12848">
            <v>26053</v>
          </cell>
          <cell r="C12848" t="str">
            <v>BB GESTAO DE RECURSOS DTVM LTDA</v>
          </cell>
          <cell r="D12848" t="str">
            <v>BB GESTAO DE RECURSOS DTVM LTDA</v>
          </cell>
          <cell r="E12848" t="str">
            <v>BB GESTAO DE RECURSOS DTVM LTDA</v>
          </cell>
        </row>
        <row r="12849">
          <cell r="B12849">
            <v>26062</v>
          </cell>
          <cell r="C12849" t="str">
            <v>BB BANCO DE INVESTIMENTO S/A</v>
          </cell>
          <cell r="D12849" t="str">
            <v>BB BANCO DE INVESTIMENTO S/A</v>
          </cell>
          <cell r="E12849" t="str">
            <v>BB BANCO DE INVESTIMENTO S/A</v>
          </cell>
        </row>
        <row r="12850">
          <cell r="B12850">
            <v>26064</v>
          </cell>
          <cell r="C12850" t="str">
            <v>BB GESTAO DE RECURSOS DTVM LTDA</v>
          </cell>
          <cell r="D12850" t="str">
            <v>BB GESTAO DE RECURSOS DTVM LTDA</v>
          </cell>
          <cell r="E12850" t="str">
            <v>BANCO DO BRASIL S/A</v>
          </cell>
        </row>
        <row r="12851">
          <cell r="B12851">
            <v>26066</v>
          </cell>
          <cell r="C12851" t="str">
            <v>BB GESTAO DE RECURSOS DTVM LTDA</v>
          </cell>
          <cell r="D12851" t="str">
            <v>BB GESTAO DE RECURSOS DTVM LTDA</v>
          </cell>
          <cell r="E12851" t="str">
            <v>BANCO DO BRASIL S/A</v>
          </cell>
        </row>
        <row r="12852">
          <cell r="B12852">
            <v>26077</v>
          </cell>
          <cell r="C12852" t="str">
            <v>BB BANCO DE INVESTIMENTO S/A</v>
          </cell>
          <cell r="D12852" t="str">
            <v>BB BANCO DE INVESTIMENTO S/A</v>
          </cell>
          <cell r="E12852" t="str">
            <v>BB BANCO DE INVESTIMENTO S/A</v>
          </cell>
        </row>
        <row r="12853">
          <cell r="B12853">
            <v>26099</v>
          </cell>
          <cell r="C12853" t="str">
            <v>BB BANCO DE INVESTIMENTO S/A</v>
          </cell>
          <cell r="D12853" t="str">
            <v>BB BANCO DE INVESTIMENTO S/A</v>
          </cell>
          <cell r="E12853" t="str">
            <v>BB BANCO DE INVESTIMENTO S/A</v>
          </cell>
        </row>
        <row r="12854">
          <cell r="B12854">
            <v>26108</v>
          </cell>
          <cell r="C12854" t="str">
            <v>BB GESTAO DE RECURSOS DTVM LTDA</v>
          </cell>
          <cell r="D12854" t="str">
            <v>BB GESTAO DE RECURSOS DTVM LTDA</v>
          </cell>
          <cell r="E12854" t="str">
            <v>BANCO DO BRASIL S/A</v>
          </cell>
        </row>
        <row r="12855">
          <cell r="B12855">
            <v>26121</v>
          </cell>
          <cell r="C12855" t="str">
            <v>BB GESTAO DE RECURSOS DTVM LTDA</v>
          </cell>
          <cell r="D12855" t="str">
            <v>BB GESTAO DE RECURSOS DTVM LTDA</v>
          </cell>
          <cell r="E12855" t="str">
            <v>BANCO DO BRASIL S/A</v>
          </cell>
        </row>
        <row r="12856">
          <cell r="B12856">
            <v>26142</v>
          </cell>
          <cell r="C12856" t="str">
            <v>BB BANCO DE INVESTIMENTO S/A</v>
          </cell>
          <cell r="D12856" t="str">
            <v>BB BANCO DE INVESTIMENTO S/A</v>
          </cell>
          <cell r="E12856" t="str">
            <v>BB BANCO DE INVESTIMENTO S/A</v>
          </cell>
        </row>
        <row r="12857">
          <cell r="B12857">
            <v>26149</v>
          </cell>
          <cell r="C12857" t="str">
            <v>BB GESTAO DE RECURSOS DTVM LTDA</v>
          </cell>
          <cell r="D12857" t="str">
            <v>BB GESTAO DE RECURSOS DTVM LTDA</v>
          </cell>
          <cell r="E12857" t="str">
            <v>BANCO DO BRASIL S/A</v>
          </cell>
        </row>
        <row r="12858">
          <cell r="B12858">
            <v>26188</v>
          </cell>
          <cell r="C12858" t="str">
            <v>BB GESTAO DE RECURSOS DTVM LTDA</v>
          </cell>
          <cell r="D12858" t="str">
            <v>BB GESTAO DE RECURSOS DTVM LTDA</v>
          </cell>
          <cell r="E12858" t="str">
            <v>BANCO DO BRASIL S/A</v>
          </cell>
        </row>
        <row r="12859">
          <cell r="B12859">
            <v>26198</v>
          </cell>
          <cell r="C12859" t="str">
            <v>BB BANCO DE INVESTIMENTO S/A</v>
          </cell>
          <cell r="D12859" t="str">
            <v>BB BANCO DE INVESTIMENTO S/A</v>
          </cell>
          <cell r="E12859" t="str">
            <v>BB BANCO DE INVESTIMENTO S/A</v>
          </cell>
        </row>
        <row r="12860">
          <cell r="B12860">
            <v>26200</v>
          </cell>
          <cell r="C12860" t="str">
            <v>BB GESTAO DE RECURSOS DTVM LTDA</v>
          </cell>
          <cell r="D12860" t="str">
            <v>BB GESTAO DE RECURSOS DTVM LTDA</v>
          </cell>
          <cell r="E12860" t="str">
            <v>BANCO DO BRASIL S/A</v>
          </cell>
        </row>
        <row r="12861">
          <cell r="B12861">
            <v>26205</v>
          </cell>
          <cell r="C12861" t="str">
            <v>BB BANCO DE INVESTIMENTO S/A</v>
          </cell>
          <cell r="D12861" t="str">
            <v>BB BANCO DE INVESTIMENTO S/A</v>
          </cell>
          <cell r="E12861" t="str">
            <v>BB BANCO DE INVESTIMENTO S/A</v>
          </cell>
        </row>
        <row r="12862">
          <cell r="B12862">
            <v>26216</v>
          </cell>
          <cell r="C12862" t="str">
            <v>BB GESTAO DE RECURSOS DTVM LTDA</v>
          </cell>
          <cell r="D12862" t="str">
            <v>BB GESTAO DE RECURSOS DTVM LTDA</v>
          </cell>
          <cell r="E12862" t="str">
            <v>BANCO DO BRASIL S/A</v>
          </cell>
        </row>
        <row r="12863">
          <cell r="B12863">
            <v>26237</v>
          </cell>
          <cell r="C12863" t="str">
            <v>BB BANCO DE INVESTIMENTO S/A</v>
          </cell>
          <cell r="D12863" t="str">
            <v>BB BANCO DE INVESTIMENTO S/A</v>
          </cell>
          <cell r="E12863" t="str">
            <v>BB BANCO DE INVESTIMENTO S/A</v>
          </cell>
        </row>
        <row r="12864">
          <cell r="B12864">
            <v>26248</v>
          </cell>
          <cell r="C12864" t="str">
            <v>BB GESTAO DE RECURSOS DTVM LTDA</v>
          </cell>
          <cell r="D12864" t="str">
            <v>BB GESTAO DE RECURSOS DTVM LTDA</v>
          </cell>
          <cell r="E12864" t="str">
            <v>BANCO DO BRASIL S/A</v>
          </cell>
        </row>
        <row r="12865">
          <cell r="B12865">
            <v>26249</v>
          </cell>
          <cell r="C12865" t="str">
            <v>BB GESTAO DE RECURSOS DTVM LTDA</v>
          </cell>
          <cell r="D12865" t="str">
            <v>BB GESTAO DE RECURSOS DTVM LTDA</v>
          </cell>
          <cell r="E12865" t="str">
            <v>BANCO DO BRASIL S/A</v>
          </cell>
        </row>
        <row r="12866">
          <cell r="B12866">
            <v>26251</v>
          </cell>
          <cell r="C12866" t="str">
            <v>BB BANCO DE INVESTIMENTO S/A</v>
          </cell>
          <cell r="D12866" t="str">
            <v>BB BANCO DE INVESTIMENTO S/A</v>
          </cell>
          <cell r="E12866" t="str">
            <v>BB BANCO DE INVESTIMENTO S/A</v>
          </cell>
        </row>
        <row r="12867">
          <cell r="B12867">
            <v>26253</v>
          </cell>
          <cell r="C12867" t="str">
            <v>BB GESTAO DE RECURSOS DTVM LTDA</v>
          </cell>
          <cell r="D12867" t="str">
            <v>BB GESTAO DE RECURSOS DTVM LTDA</v>
          </cell>
          <cell r="E12867" t="str">
            <v>BANCO DO BRASIL S/A</v>
          </cell>
        </row>
        <row r="12868">
          <cell r="B12868">
            <v>26306</v>
          </cell>
          <cell r="C12868" t="str">
            <v>BB GESTAO DE RECURSOS DTVM LTDA</v>
          </cell>
          <cell r="D12868" t="str">
            <v>BB GESTAO DE RECURSOS DTVM LTDA</v>
          </cell>
          <cell r="E12868" t="str">
            <v>BANCO DO BRASIL S/A</v>
          </cell>
        </row>
        <row r="12869">
          <cell r="B12869">
            <v>26313</v>
          </cell>
          <cell r="C12869" t="str">
            <v>BB BANCO DE INVESTIMENTO S/A</v>
          </cell>
          <cell r="D12869" t="str">
            <v>BB BANCO DE INVESTIMENTO S/A</v>
          </cell>
          <cell r="E12869" t="str">
            <v>BB BANCO DE INVESTIMENTO S/A</v>
          </cell>
        </row>
        <row r="12870">
          <cell r="B12870">
            <v>26322</v>
          </cell>
          <cell r="C12870" t="str">
            <v>BB GESTAO DE RECURSOS DTVM LTDA</v>
          </cell>
          <cell r="D12870" t="str">
            <v>BB GESTAO DE RECURSOS DTVM LTDA</v>
          </cell>
          <cell r="E12870" t="str">
            <v>BB GESTAO DE RECURSOS DTVM LTDA</v>
          </cell>
        </row>
        <row r="12871">
          <cell r="B12871">
            <v>26337</v>
          </cell>
          <cell r="C12871" t="str">
            <v>BB BANCO DE INVESTIMENTO S/A</v>
          </cell>
          <cell r="D12871" t="str">
            <v>BB BANCO DE INVESTIMENTO S/A</v>
          </cell>
          <cell r="E12871" t="str">
            <v>BB BANCO DE INVESTIMENTO S/A</v>
          </cell>
        </row>
        <row r="12872">
          <cell r="B12872">
            <v>26339</v>
          </cell>
          <cell r="C12872" t="str">
            <v>BB GESTAO DE RECURSOS DTVM LTDA</v>
          </cell>
          <cell r="D12872" t="str">
            <v>BB GESTAO DE RECURSOS DTVM LTDA</v>
          </cell>
          <cell r="E12872" t="str">
            <v>BANCO DO BRASIL S/A</v>
          </cell>
        </row>
        <row r="12873">
          <cell r="B12873">
            <v>26340</v>
          </cell>
          <cell r="C12873" t="str">
            <v>BB GESTAO DE RECURSOS DTVM LTDA</v>
          </cell>
          <cell r="D12873" t="str">
            <v>BB GESTAO DE RECURSOS DTVM LTDA</v>
          </cell>
          <cell r="E12873" t="str">
            <v>BANCO DO BRASIL S/A</v>
          </cell>
        </row>
        <row r="12874">
          <cell r="B12874">
            <v>26386</v>
          </cell>
          <cell r="C12874" t="str">
            <v>BB GESTAO DE RECURSOS DTVM LTDA</v>
          </cell>
          <cell r="D12874" t="str">
            <v>BB GESTAO DE RECURSOS DTVM LTDA</v>
          </cell>
          <cell r="E12874" t="str">
            <v>BANCO DO BRASIL S/A</v>
          </cell>
        </row>
        <row r="12875">
          <cell r="B12875">
            <v>26420</v>
          </cell>
          <cell r="C12875" t="str">
            <v>BB BANCO DE INVESTIMENTO S/A</v>
          </cell>
          <cell r="D12875" t="str">
            <v>BB BANCO DE INVESTIMENTO S/A</v>
          </cell>
          <cell r="E12875" t="str">
            <v>BB BANCO DE INVESTIMENTO S/A</v>
          </cell>
        </row>
        <row r="12876">
          <cell r="B12876">
            <v>26433</v>
          </cell>
          <cell r="C12876" t="str">
            <v>BB GESTAO DE RECURSOS DTVM LTDA</v>
          </cell>
          <cell r="D12876" t="str">
            <v>BB GESTAO DE RECURSOS DTVM LTDA</v>
          </cell>
          <cell r="E12876" t="str">
            <v>BANCO DO BRASIL S/A</v>
          </cell>
        </row>
        <row r="12877">
          <cell r="B12877">
            <v>26437</v>
          </cell>
          <cell r="C12877" t="str">
            <v>BB BANCO DE INVESTIMENTO S/A</v>
          </cell>
          <cell r="D12877" t="str">
            <v>BB BANCO DE INVESTIMENTO S/A</v>
          </cell>
          <cell r="E12877" t="str">
            <v>BB BANCO DE INVESTIMENTO S/A</v>
          </cell>
        </row>
        <row r="12878">
          <cell r="B12878">
            <v>26440</v>
          </cell>
          <cell r="C12878" t="str">
            <v>BB GESTAO DE RECURSOS DTVM LTDA</v>
          </cell>
          <cell r="D12878" t="str">
            <v>BB GESTAO DE RECURSOS DTVM LTDA</v>
          </cell>
          <cell r="E12878" t="str">
            <v>BANCO DO BRASIL S/A</v>
          </cell>
        </row>
        <row r="12879">
          <cell r="B12879">
            <v>26443</v>
          </cell>
          <cell r="C12879" t="str">
            <v>BB BANCO DE INVESTIMENTO S/A</v>
          </cell>
          <cell r="D12879" t="str">
            <v>BB BANCO DE INVESTIMENTO S/A</v>
          </cell>
          <cell r="E12879" t="str">
            <v>BB BANCO DE INVESTIMENTO S/A</v>
          </cell>
        </row>
        <row r="12880">
          <cell r="B12880">
            <v>26450</v>
          </cell>
          <cell r="C12880" t="str">
            <v>BB GESTAO DE RECURSOS DTVM LTDA</v>
          </cell>
          <cell r="D12880" t="str">
            <v>BB GESTAO DE RECURSOS DTVM LTDA</v>
          </cell>
          <cell r="E12880" t="str">
            <v>BB GESTAO DE RECURSOS DTVM LTDA</v>
          </cell>
        </row>
        <row r="12881">
          <cell r="B12881">
            <v>26457</v>
          </cell>
          <cell r="C12881" t="str">
            <v>BB GESTAO DE RECURSOS DTVM LTDA</v>
          </cell>
          <cell r="D12881" t="str">
            <v>BB GESTAO DE RECURSOS DTVM LTDA</v>
          </cell>
          <cell r="E12881" t="str">
            <v>BANCO DO BRASIL S/A</v>
          </cell>
        </row>
        <row r="12882">
          <cell r="B12882">
            <v>26458</v>
          </cell>
          <cell r="C12882" t="str">
            <v>BB BANCO DE INVESTIMENTO S/A</v>
          </cell>
          <cell r="D12882" t="str">
            <v>BB BANCO DE INVESTIMENTO S/A</v>
          </cell>
          <cell r="E12882" t="str">
            <v>BB BANCO DE INVESTIMENTO S/A</v>
          </cell>
        </row>
        <row r="12883">
          <cell r="B12883">
            <v>26469</v>
          </cell>
          <cell r="C12883" t="str">
            <v>BB GESTAO DE RECURSOS DTVM LTDA</v>
          </cell>
          <cell r="D12883" t="str">
            <v>BB GESTAO DE RECURSOS DTVM LTDA</v>
          </cell>
          <cell r="E12883" t="str">
            <v>BANCO DO BRASIL S/A</v>
          </cell>
        </row>
        <row r="12884">
          <cell r="B12884">
            <v>26492</v>
          </cell>
          <cell r="C12884" t="str">
            <v>BB GESTAO DE RECURSOS DTVM LTDA</v>
          </cell>
          <cell r="D12884" t="str">
            <v>BB GESTAO DE RECURSOS DTVM LTDA</v>
          </cell>
          <cell r="E12884" t="str">
            <v>BANCO DO BRASIL S/A</v>
          </cell>
        </row>
        <row r="12885">
          <cell r="B12885">
            <v>26493</v>
          </cell>
          <cell r="C12885" t="str">
            <v>BB BANCO DE INVESTIMENTO S/A</v>
          </cell>
          <cell r="D12885" t="str">
            <v>BB BANCO DE INVESTIMENTO S/A</v>
          </cell>
          <cell r="E12885" t="str">
            <v>BB BANCO DE INVESTIMENTO S/A</v>
          </cell>
        </row>
        <row r="12886">
          <cell r="B12886">
            <v>26506</v>
          </cell>
          <cell r="C12886" t="str">
            <v>BB GESTAO DE RECURSOS DTVM LTDA</v>
          </cell>
          <cell r="D12886" t="str">
            <v>BB GESTAO DE RECURSOS DTVM LTDA</v>
          </cell>
          <cell r="E12886" t="str">
            <v>BB GESTAO DE RECURSOS DTVM LTDA</v>
          </cell>
        </row>
        <row r="12887">
          <cell r="B12887">
            <v>26511</v>
          </cell>
          <cell r="C12887" t="str">
            <v>BB GESTAO DE RECURSOS DTVM LTDA</v>
          </cell>
          <cell r="D12887" t="str">
            <v>BB GESTAO DE RECURSOS DTVM LTDA</v>
          </cell>
          <cell r="E12887" t="str">
            <v>BB GESTAO DE RECURSOS DTVM LTDA</v>
          </cell>
        </row>
        <row r="12888">
          <cell r="B12888">
            <v>26516</v>
          </cell>
          <cell r="C12888" t="str">
            <v>BB BANCO DE INVESTIMENTO S/A</v>
          </cell>
          <cell r="D12888" t="str">
            <v>BB BANCO DE INVESTIMENTO S/A</v>
          </cell>
          <cell r="E12888" t="str">
            <v>BB BANCO DE INVESTIMENTO S/A</v>
          </cell>
        </row>
        <row r="12889">
          <cell r="B12889">
            <v>26518</v>
          </cell>
          <cell r="C12889" t="str">
            <v>BB BANCO DE INVESTIMENTO S/A</v>
          </cell>
          <cell r="D12889" t="str">
            <v>BB BANCO DE INVESTIMENTO S/A</v>
          </cell>
          <cell r="E12889" t="str">
            <v>BB BANCO DE INVESTIMENTO S/A</v>
          </cell>
        </row>
        <row r="12890">
          <cell r="B12890">
            <v>26522</v>
          </cell>
          <cell r="C12890" t="str">
            <v>BB GESTAO DE RECURSOS DTVM LTDA</v>
          </cell>
          <cell r="D12890" t="str">
            <v>BB GESTAO DE RECURSOS DTVM LTDA</v>
          </cell>
          <cell r="E12890" t="str">
            <v>BB GESTAO DE RECURSOS DTVM LTDA</v>
          </cell>
        </row>
        <row r="12891">
          <cell r="B12891">
            <v>26525</v>
          </cell>
          <cell r="C12891" t="str">
            <v>BRAL LLC</v>
          </cell>
          <cell r="D12891" t="str">
            <v>BRAL LLC</v>
          </cell>
          <cell r="E12891" t="str">
            <v>BRAL LLC</v>
          </cell>
        </row>
        <row r="12892">
          <cell r="B12892">
            <v>26527</v>
          </cell>
          <cell r="C12892" t="str">
            <v>BB GESTAO DE RECURSOS DTVM LTDA</v>
          </cell>
          <cell r="D12892" t="str">
            <v>BB GESTAO DE RECURSOS DTVM LTDA</v>
          </cell>
          <cell r="E12892" t="str">
            <v>BANCO DO BRASIL S/A</v>
          </cell>
        </row>
        <row r="12893">
          <cell r="B12893">
            <v>26530</v>
          </cell>
          <cell r="C12893" t="str">
            <v>BB BANCO DE INVESTIMENTO S/A</v>
          </cell>
          <cell r="D12893" t="str">
            <v>BB BANCO DE INVESTIMENTO S/A</v>
          </cell>
          <cell r="E12893" t="str">
            <v>BB BANCO DE INVESTIMENTO S/A</v>
          </cell>
        </row>
        <row r="12894">
          <cell r="B12894">
            <v>26538</v>
          </cell>
          <cell r="C12894" t="str">
            <v>BB BANCO DE INVESTIMENTO S/A</v>
          </cell>
          <cell r="D12894" t="str">
            <v>BB BANCO DE INVESTIMENTO S/A</v>
          </cell>
          <cell r="E12894" t="str">
            <v>BB BANCO DE INVESTIMENTO S/A</v>
          </cell>
        </row>
        <row r="12895">
          <cell r="B12895">
            <v>26548</v>
          </cell>
          <cell r="C12895" t="str">
            <v>BB BANCO DE INVESTIMENTO S/A</v>
          </cell>
          <cell r="D12895" t="str">
            <v>BB BANCO DE INVESTIMENTO S/A</v>
          </cell>
          <cell r="E12895" t="str">
            <v>BB BANCO DE INVESTIMENTO S/A</v>
          </cell>
        </row>
        <row r="12896">
          <cell r="B12896">
            <v>26644</v>
          </cell>
          <cell r="C12896" t="str">
            <v>BB BANCO DE INVESTIMENTO S/A</v>
          </cell>
          <cell r="D12896" t="str">
            <v>BB BANCO DE INVESTIMENTO S/A</v>
          </cell>
          <cell r="E12896" t="str">
            <v>BB BANCO DE INVESTIMENTO S/A</v>
          </cell>
        </row>
        <row r="12897">
          <cell r="B12897">
            <v>26686</v>
          </cell>
          <cell r="C12897" t="str">
            <v>BB GESTAO DE RECURSOS DTVM LTDA</v>
          </cell>
          <cell r="D12897" t="str">
            <v>BB GESTAO DE RECURSOS DTVM LTDA</v>
          </cell>
          <cell r="E12897" t="str">
            <v>BB GESTAO DE RECURSOS DTVM LTDA</v>
          </cell>
        </row>
        <row r="12898">
          <cell r="B12898">
            <v>26722</v>
          </cell>
          <cell r="C12898" t="str">
            <v>BB BANCO DE INVESTIMENTO S/A</v>
          </cell>
          <cell r="D12898" t="str">
            <v>BB BANCO DE INVESTIMENTO S/A</v>
          </cell>
          <cell r="E12898" t="str">
            <v>BB BANCO DE INVESTIMENTO S/A</v>
          </cell>
        </row>
        <row r="12899">
          <cell r="B12899">
            <v>26747</v>
          </cell>
          <cell r="C12899" t="str">
            <v>BB BANCO DE INVESTIMENTO S/A</v>
          </cell>
          <cell r="D12899" t="str">
            <v>BB BANCO DE INVESTIMENTO S/A</v>
          </cell>
          <cell r="E12899" t="str">
            <v>BB BANCO DE INVESTIMENTO S/A</v>
          </cell>
        </row>
        <row r="12900">
          <cell r="B12900">
            <v>26759</v>
          </cell>
          <cell r="C12900" t="str">
            <v>BB BANCO DE INVESTIMENTO S/A</v>
          </cell>
          <cell r="D12900" t="str">
            <v>BB BANCO DE INVESTIMENTO S/A</v>
          </cell>
          <cell r="E12900" t="str">
            <v>BB BANCO DE INVESTIMENTO S/A</v>
          </cell>
        </row>
        <row r="12901">
          <cell r="B12901">
            <v>26761</v>
          </cell>
          <cell r="C12901" t="str">
            <v>BB BANCO DE INVESTIMENTO S/A</v>
          </cell>
          <cell r="D12901" t="str">
            <v>BB BANCO DE INVESTIMENTO S/A</v>
          </cell>
          <cell r="E12901" t="str">
            <v>BB BANCO DE INVESTIMENTO S/A</v>
          </cell>
        </row>
        <row r="12902">
          <cell r="B12902">
            <v>26762</v>
          </cell>
          <cell r="C12902" t="str">
            <v>BB GESTAO DE RECURSOS DTVM LTDA</v>
          </cell>
          <cell r="D12902" t="str">
            <v>BB GESTAO DE RECURSOS DTVM LTDA</v>
          </cell>
          <cell r="E12902" t="str">
            <v>BB GESTAO DE RECURSOS DTVM LTDA</v>
          </cell>
        </row>
        <row r="12903">
          <cell r="B12903">
            <v>26768</v>
          </cell>
          <cell r="C12903" t="str">
            <v>BB BANCO DE INVESTIMENTO S/A</v>
          </cell>
          <cell r="D12903" t="str">
            <v>BB BANCO DE INVESTIMENTO S/A</v>
          </cell>
          <cell r="E12903" t="str">
            <v>BB BANCO DE INVESTIMENTO S/A</v>
          </cell>
        </row>
        <row r="12904">
          <cell r="B12904">
            <v>26773</v>
          </cell>
          <cell r="C12904" t="str">
            <v>BB GESTAO DE RECURSOS DTVM LTDA</v>
          </cell>
          <cell r="D12904" t="str">
            <v>BB GESTAO DE RECURSOS DTVM LTDA</v>
          </cell>
          <cell r="E12904" t="str">
            <v>BANCO DO BRASIL S/A</v>
          </cell>
        </row>
        <row r="12905">
          <cell r="B12905">
            <v>26792</v>
          </cell>
          <cell r="C12905" t="str">
            <v>BB GESTAO DE RECURSOS DTVM LTDA</v>
          </cell>
          <cell r="D12905" t="str">
            <v>BB GESTAO DE RECURSOS DTVM LTDA</v>
          </cell>
          <cell r="E12905" t="str">
            <v>BANCO DO BRASIL S/A</v>
          </cell>
        </row>
        <row r="12906">
          <cell r="B12906">
            <v>26798</v>
          </cell>
          <cell r="C12906" t="str">
            <v>BB BANCO DE INVESTIMENTO S/A</v>
          </cell>
          <cell r="D12906" t="str">
            <v>BB BANCO DE INVESTIMENTO S/A</v>
          </cell>
          <cell r="E12906" t="str">
            <v>BB BANCO DE INVESTIMENTO S/A</v>
          </cell>
        </row>
        <row r="12907">
          <cell r="B12907">
            <v>26803</v>
          </cell>
          <cell r="C12907" t="str">
            <v>BB GESTAO DE RECURSOS DTVM LTDA</v>
          </cell>
          <cell r="D12907" t="str">
            <v>BB GESTAO DE RECURSOS DTVM LTDA</v>
          </cell>
          <cell r="E12907" t="str">
            <v>BB GESTAO DE RECURSOS DTVM LTDA</v>
          </cell>
        </row>
        <row r="12908">
          <cell r="B12908">
            <v>26804</v>
          </cell>
          <cell r="C12908" t="str">
            <v>BB BANCO DE INVESTIMENTO S/A</v>
          </cell>
          <cell r="D12908" t="str">
            <v>BB BANCO DE INVESTIMENTO S/A</v>
          </cell>
          <cell r="E12908" t="str">
            <v>BB BANCO DE INVESTIMENTO S/A</v>
          </cell>
        </row>
        <row r="12909">
          <cell r="B12909">
            <v>26859</v>
          </cell>
          <cell r="C12909" t="str">
            <v>BB GESTAO DE RECURSOS DTVM LTDA</v>
          </cell>
          <cell r="D12909" t="str">
            <v>BB GESTAO DE RECURSOS DTVM LTDA</v>
          </cell>
          <cell r="E12909" t="str">
            <v>BB GESTAO DE RECURSOS DTVM LTDA</v>
          </cell>
        </row>
        <row r="12910">
          <cell r="B12910">
            <v>26869</v>
          </cell>
          <cell r="C12910" t="str">
            <v>BB BANCO DE INVESTIMENTO S/A</v>
          </cell>
          <cell r="D12910" t="str">
            <v>BB BANCO DE INVESTIMENTO S/A</v>
          </cell>
          <cell r="E12910" t="str">
            <v>BB BANCO DE INVESTIMENTO S/A</v>
          </cell>
        </row>
        <row r="12911">
          <cell r="B12911">
            <v>26872</v>
          </cell>
          <cell r="C12911" t="str">
            <v>BB BANCO DE INVESTIMENTO S/A</v>
          </cell>
          <cell r="D12911" t="str">
            <v>BB BANCO DE INVESTIMENTO S/A</v>
          </cell>
          <cell r="E12911" t="str">
            <v>BB BANCO DE INVESTIMENTO S/A</v>
          </cell>
        </row>
        <row r="12912">
          <cell r="B12912">
            <v>26884</v>
          </cell>
          <cell r="C12912" t="str">
            <v>BB BANCO DE INVESTIMENTO S/A</v>
          </cell>
          <cell r="D12912" t="str">
            <v>BB BANCO DE INVESTIMENTO S/A</v>
          </cell>
          <cell r="E12912" t="str">
            <v>BB BANCO DE INVESTIMENTO S/A</v>
          </cell>
        </row>
        <row r="12913">
          <cell r="B12913">
            <v>26912</v>
          </cell>
          <cell r="C12913" t="str">
            <v>BB BANCO DE INVESTIMENTO S/A</v>
          </cell>
          <cell r="D12913" t="str">
            <v>BB BANCO DE INVESTIMENTO S/A</v>
          </cell>
          <cell r="E12913" t="str">
            <v>BB BANCO DE INVESTIMENTO S/A</v>
          </cell>
        </row>
        <row r="12914">
          <cell r="B12914">
            <v>26920</v>
          </cell>
          <cell r="C12914" t="str">
            <v>BB BANCO DE INVESTIMENTO S/A</v>
          </cell>
          <cell r="D12914" t="str">
            <v>BB BANCO DE INVESTIMENTO S/A</v>
          </cell>
          <cell r="E12914" t="str">
            <v>BB BANCO DE INVESTIMENTO S/A</v>
          </cell>
        </row>
        <row r="12915">
          <cell r="B12915">
            <v>26927</v>
          </cell>
          <cell r="C12915" t="str">
            <v>BB BANCO DE INVESTIMENTO S/A</v>
          </cell>
          <cell r="D12915" t="str">
            <v>BB BANCO DE INVESTIMENTO S/A</v>
          </cell>
          <cell r="E12915" t="str">
            <v>BB BANCO DE INVESTIMENTO S/A</v>
          </cell>
        </row>
        <row r="12916">
          <cell r="B12916">
            <v>26931</v>
          </cell>
          <cell r="C12916" t="str">
            <v>BB BANCO DE INVESTIMENTO S/A</v>
          </cell>
          <cell r="D12916" t="str">
            <v>BB BANCO DE INVESTIMENTO S/A</v>
          </cell>
          <cell r="E12916" t="str">
            <v>BB BANCO DE INVESTIMENTO S/A</v>
          </cell>
        </row>
        <row r="12917">
          <cell r="B12917">
            <v>26939</v>
          </cell>
          <cell r="C12917" t="str">
            <v>BB BANCO DE INVESTIMENTO S/A</v>
          </cell>
          <cell r="D12917" t="str">
            <v>BB BANCO DE INVESTIMENTO S/A</v>
          </cell>
          <cell r="E12917" t="str">
            <v>BB BANCO DE INVESTIMENTO S/A</v>
          </cell>
        </row>
        <row r="12918">
          <cell r="B12918">
            <v>26947</v>
          </cell>
          <cell r="C12918" t="str">
            <v>BB BANCO DE INVESTIMENTO S/A</v>
          </cell>
          <cell r="D12918" t="str">
            <v>BB BANCO DE INVESTIMENTO S/A</v>
          </cell>
          <cell r="E12918" t="str">
            <v>BB BANCO DE INVESTIMENTO S/A</v>
          </cell>
        </row>
        <row r="12919">
          <cell r="B12919">
            <v>26954</v>
          </cell>
          <cell r="C12919" t="str">
            <v>BB BANCO DE INVESTIMENTO S/A</v>
          </cell>
          <cell r="D12919" t="str">
            <v>BB BANCO DE INVESTIMENTO S/A</v>
          </cell>
          <cell r="E12919" t="str">
            <v>BB BANCO DE INVESTIMENTO S/A</v>
          </cell>
        </row>
        <row r="12920">
          <cell r="B12920">
            <v>26966</v>
          </cell>
          <cell r="C12920" t="str">
            <v>BB BANCO DE INVESTIMENTO S/A</v>
          </cell>
          <cell r="D12920" t="str">
            <v>BB BANCO DE INVESTIMENTO S/A</v>
          </cell>
          <cell r="E12920" t="str">
            <v>BB BANCO DE INVESTIMENTO S/A</v>
          </cell>
        </row>
        <row r="12921">
          <cell r="B12921">
            <v>27087</v>
          </cell>
          <cell r="C12921" t="str">
            <v>BB BANCO DE INVESTIMENTO S/A</v>
          </cell>
          <cell r="D12921" t="str">
            <v>BB BANCO DE INVESTIMENTO S/A</v>
          </cell>
          <cell r="E12921" t="str">
            <v>BB BANCO DE INVESTIMENTO S/A</v>
          </cell>
        </row>
        <row r="12922">
          <cell r="B12922">
            <v>27150</v>
          </cell>
          <cell r="C12922" t="str">
            <v>BB BANCO DE INVESTIMENTO S/A</v>
          </cell>
          <cell r="D12922" t="str">
            <v>BB BANCO DE INVESTIMENTO S/A</v>
          </cell>
          <cell r="E12922" t="str">
            <v>BB BANCO DE INVESTIMENTO S/A</v>
          </cell>
        </row>
        <row r="12923">
          <cell r="B12923">
            <v>27235</v>
          </cell>
          <cell r="C12923" t="str">
            <v>BB BANCO DE INVESTIMENTO S/A</v>
          </cell>
          <cell r="D12923" t="str">
            <v>BB BANCO DE INVESTIMENTO S/A</v>
          </cell>
          <cell r="E12923" t="str">
            <v>BB BANCO DE INVESTIMENTO S/A</v>
          </cell>
        </row>
        <row r="12924">
          <cell r="B12924">
            <v>27264</v>
          </cell>
          <cell r="C12924" t="str">
            <v>BB BANCO DE INVESTIMENTO S/A</v>
          </cell>
          <cell r="D12924" t="str">
            <v>BB BANCO DE INVESTIMENTO S/A</v>
          </cell>
          <cell r="E12924" t="str">
            <v>BB BANCO DE INVESTIMENTO S/A</v>
          </cell>
        </row>
        <row r="12925">
          <cell r="B12925">
            <v>2749</v>
          </cell>
          <cell r="C12925" t="str">
            <v>LINK CM LTDA</v>
          </cell>
          <cell r="D12925">
            <v>2749</v>
          </cell>
          <cell r="E12925" t="str">
            <v>LINK CM LTDA</v>
          </cell>
        </row>
        <row r="12926">
          <cell r="B12926">
            <v>27563</v>
          </cell>
          <cell r="C12926" t="str">
            <v>BB BANCO DE INVESTIMENTO S/A</v>
          </cell>
          <cell r="D12926" t="str">
            <v>BB BANCO DE INVESTIMENTO S/A</v>
          </cell>
          <cell r="E12926" t="str">
            <v>BB BANCO DE INVESTIMENTO S/A</v>
          </cell>
        </row>
        <row r="12927">
          <cell r="B12927">
            <v>27573</v>
          </cell>
          <cell r="C12927" t="str">
            <v>RENATO GOMES DE ASSIS</v>
          </cell>
          <cell r="D12927" t="str">
            <v>RENATO GOMES DE ASSIS</v>
          </cell>
          <cell r="E12927" t="str">
            <v>RENATO GOMES DE ASSIS</v>
          </cell>
        </row>
        <row r="12928">
          <cell r="B12928">
            <v>27578</v>
          </cell>
          <cell r="C12928" t="str">
            <v>JANE ZVEITER DE MORAES</v>
          </cell>
          <cell r="D12928" t="str">
            <v>JANE ZVEITER DE MORAES</v>
          </cell>
          <cell r="E12928" t="str">
            <v>JANE ZVEITER DE MORAES</v>
          </cell>
        </row>
        <row r="12929">
          <cell r="B12929">
            <v>27630</v>
          </cell>
          <cell r="C12929" t="str">
            <v>ROSS ICE SHELF LLC</v>
          </cell>
          <cell r="D12929" t="str">
            <v>ROSS ICE SHELF LLC</v>
          </cell>
          <cell r="E12929" t="str">
            <v>ROSS ICE SHELF LLC</v>
          </cell>
        </row>
        <row r="12930">
          <cell r="B12930">
            <v>27631</v>
          </cell>
          <cell r="C12930" t="str">
            <v>VINSON FUND LLC</v>
          </cell>
          <cell r="D12930" t="str">
            <v>VINSON FUND LLC</v>
          </cell>
          <cell r="E12930" t="str">
            <v>VINSON FUND LLC</v>
          </cell>
        </row>
        <row r="12931">
          <cell r="B12931">
            <v>27632</v>
          </cell>
          <cell r="C12931" t="str">
            <v>MERIDIANO F I EM DIREITOS CREDITORIOS MULTISEGMENTOS NÃƒO PAD</v>
          </cell>
          <cell r="D12931" t="str">
            <v>MERIDIANO F I EM DIREITOS CREDITORIOS MULTISEGMENTOS NÃƒO PAD</v>
          </cell>
          <cell r="E12931" t="str">
            <v>MERIDIANO F I EM DIREITOS CREDITORIOS MULTISEGMENTOS NÃƒO PAD</v>
          </cell>
        </row>
        <row r="12932">
          <cell r="B12932">
            <v>27633</v>
          </cell>
          <cell r="C12932" t="str">
            <v>PAS FIM CREDITO PRIVADO</v>
          </cell>
          <cell r="D12932" t="str">
            <v>PAS FIM CREDITO PRIVADO</v>
          </cell>
          <cell r="E12932" t="str">
            <v>PAS FIM CREDITO PRIVADO</v>
          </cell>
        </row>
        <row r="12933">
          <cell r="B12933">
            <v>27634</v>
          </cell>
          <cell r="C12933" t="str">
            <v>NUNAVUT PRECATORIO FI EM DIREITOS CREDITORIOS</v>
          </cell>
          <cell r="D12933" t="str">
            <v>NUNAVUT PRECATORIO FI EM DIREITOS CREDITORIOS</v>
          </cell>
          <cell r="E12933" t="str">
            <v>OLIVEIRA TRUST DTVM LTDA</v>
          </cell>
        </row>
        <row r="12934">
          <cell r="B12934">
            <v>81259</v>
          </cell>
          <cell r="C12934" t="str">
            <v>GOLDMAN SACHS BANK USA</v>
          </cell>
          <cell r="D12934" t="str">
            <v>GOLDMAN SACHS BANK USA</v>
          </cell>
          <cell r="E12934" t="str">
            <v>GOLDMAN SACHS DO BRASIL BANCO MULTIPLO S/A</v>
          </cell>
        </row>
        <row r="12935">
          <cell r="B12935">
            <v>81456</v>
          </cell>
          <cell r="C12935" t="str">
            <v>GOLDMAN SACHS INTERNATIONAL - CITI</v>
          </cell>
          <cell r="D12935" t="str">
            <v>GOLDMAN SACHS INTERNATIONAL - CITI</v>
          </cell>
          <cell r="E12935" t="str">
            <v>GOLDMAN SACHS DO BRASIL BANCO MULTIPLO S/A</v>
          </cell>
        </row>
        <row r="12936">
          <cell r="B12936">
            <v>27784</v>
          </cell>
          <cell r="C12936" t="str">
            <v>BB BANCO DE INVESTIMENTO S/A</v>
          </cell>
          <cell r="D12936" t="str">
            <v>BB BANCO DE INVESTIMENTO S/A</v>
          </cell>
          <cell r="E12936" t="str">
            <v>BB BANCO DE INVESTIMENTO S/A</v>
          </cell>
        </row>
        <row r="12937">
          <cell r="B12937">
            <v>27805</v>
          </cell>
          <cell r="C12937" t="str">
            <v>BB BANCO DE INVESTIMENTO S/A</v>
          </cell>
          <cell r="D12937" t="str">
            <v>BB BANCO DE INVESTIMENTO S/A</v>
          </cell>
          <cell r="E12937" t="str">
            <v>BB BANCO DE INVESTIMENTO S/A</v>
          </cell>
        </row>
        <row r="12938">
          <cell r="B12938">
            <v>27842</v>
          </cell>
          <cell r="C12938" t="str">
            <v>BB BANCO DE INVESTIMENTO S/A</v>
          </cell>
          <cell r="D12938" t="str">
            <v>BB BANCO DE INVESTIMENTO S/A</v>
          </cell>
          <cell r="E12938" t="str">
            <v>BB BANCO DE INVESTIMENTO S/A</v>
          </cell>
        </row>
        <row r="12939">
          <cell r="B12939">
            <v>27896</v>
          </cell>
          <cell r="C12939" t="str">
            <v>MORRIS SAFDIE</v>
          </cell>
          <cell r="D12939" t="str">
            <v>MORRIS SAFDIE</v>
          </cell>
          <cell r="E12939" t="str">
            <v>MORRIS SAFDIE</v>
          </cell>
        </row>
        <row r="12940">
          <cell r="B12940">
            <v>28</v>
          </cell>
          <cell r="C12940" t="str">
            <v>ICAP DO BRASIL CTVM LTDA ( ATUAL TULLET)</v>
          </cell>
          <cell r="D12940" t="str">
            <v>ICAP DO BRASIL CTVM LTDA ( ATUAL TULLET)</v>
          </cell>
          <cell r="E12940" t="str">
            <v>ICAP DO BRASIL CTVM LTDA ( ATUAL TULLET)</v>
          </cell>
        </row>
        <row r="12941">
          <cell r="B12941">
            <v>28102</v>
          </cell>
          <cell r="C12941" t="str">
            <v>STANDARD CHARTERED BANK (BRASIL) S.A BCO DE INVESTIMENTO</v>
          </cell>
          <cell r="D12941" t="str">
            <v>STANDARD CHARTERED BANK (BRASIL) S.A BCO DE INVESTIMENTO</v>
          </cell>
          <cell r="E12941" t="str">
            <v>STANDARD CHARTERED BANK (BRASIL) S.A BCO DE INVESTIMENTO</v>
          </cell>
        </row>
        <row r="12942">
          <cell r="B12942">
            <v>28283</v>
          </cell>
          <cell r="C12942" t="str">
            <v>VALENCIA FUNDO DE INVESTIMENTO FINANCEIRO</v>
          </cell>
          <cell r="D12942" t="str">
            <v>VALENCIA FUNDO DE INVESTIMENTO FINANCEIRO</v>
          </cell>
          <cell r="E12942" t="str">
            <v>VALENCIA FUNDO DE INVESTIMENTO FINANCEIRO</v>
          </cell>
        </row>
        <row r="12943">
          <cell r="B12943">
            <v>28284</v>
          </cell>
          <cell r="C12943" t="str">
            <v>FIBRA PRO FIT FDO DE INVESTIMENTO FINANCEIRO</v>
          </cell>
          <cell r="D12943" t="str">
            <v>FIBRA PRO FIT FDO DE INVESTIMENTO FINANCEIRO</v>
          </cell>
          <cell r="E12943" t="str">
            <v>FIBRA PRO FIT FDO DE INVESTIMENTO FINANCEIRO</v>
          </cell>
        </row>
        <row r="12944">
          <cell r="B12944">
            <v>28285</v>
          </cell>
          <cell r="C12944" t="str">
            <v>FIBRA DIPLIC FDO DE INVEST.MULTIMERCADO</v>
          </cell>
          <cell r="D12944" t="str">
            <v>FIBRA DIPLIC FDO DE INVEST.MULTIMERCADO</v>
          </cell>
          <cell r="E12944" t="str">
            <v>FIBRA DIPLIC FDO DE INVEST.MULTIMERCADO</v>
          </cell>
        </row>
        <row r="12945">
          <cell r="B12945">
            <v>28520</v>
          </cell>
          <cell r="C12945" t="str">
            <v>BB BANCO DE INVESTIMENTO S/A</v>
          </cell>
          <cell r="D12945" t="str">
            <v>BB BANCO DE INVESTIMENTO S/A</v>
          </cell>
          <cell r="E12945" t="str">
            <v>BB BANCO DE INVESTIMENTO S/A</v>
          </cell>
        </row>
        <row r="12946">
          <cell r="B12946">
            <v>28719</v>
          </cell>
          <cell r="C12946" t="str">
            <v>BB BANCO DE INVESTIMENTO S/A</v>
          </cell>
          <cell r="D12946" t="str">
            <v>BB BANCO DE INVESTIMENTO S/A</v>
          </cell>
          <cell r="E12946" t="str">
            <v>BB BANCO DE INVESTIMENTO S/A</v>
          </cell>
        </row>
        <row r="12947">
          <cell r="B12947">
            <v>29015</v>
          </cell>
          <cell r="C12947" t="str">
            <v>BB BANCO DE INVESTIMENTO S/A</v>
          </cell>
          <cell r="D12947" t="str">
            <v>BB BANCO DE INVESTIMENTO S/A</v>
          </cell>
          <cell r="E12947" t="str">
            <v>BB BANCO DE INVESTIMENTO S/A</v>
          </cell>
        </row>
        <row r="12948">
          <cell r="B12948">
            <v>29035</v>
          </cell>
          <cell r="C12948" t="str">
            <v>BB BANCO DE INVESTIMENTO S/A</v>
          </cell>
          <cell r="D12948" t="str">
            <v>BB BANCO DE INVESTIMENTO S/A</v>
          </cell>
          <cell r="E12948" t="str">
            <v>BB BANCO DE INVESTIMENTO S/A</v>
          </cell>
        </row>
        <row r="12949">
          <cell r="B12949">
            <v>29080</v>
          </cell>
          <cell r="C12949" t="str">
            <v>BB BANCO DE INVESTIMENTO S/A</v>
          </cell>
          <cell r="D12949" t="str">
            <v>BB BANCO DE INVESTIMENTO S/A</v>
          </cell>
          <cell r="E12949" t="str">
            <v>BB BANCO DE INVESTIMENTO S/A</v>
          </cell>
        </row>
        <row r="12950">
          <cell r="B12950">
            <v>29225</v>
          </cell>
          <cell r="C12950" t="str">
            <v>BB BANCO DE INVESTIMENTO S/A</v>
          </cell>
          <cell r="D12950" t="str">
            <v>BB BANCO DE INVESTIMENTO S/A</v>
          </cell>
          <cell r="E12950" t="str">
            <v>BB BANCO DE INVESTIMENTO S/A</v>
          </cell>
        </row>
        <row r="12951">
          <cell r="B12951">
            <v>29242</v>
          </cell>
          <cell r="C12951" t="str">
            <v>BB BANCO DE INVESTIMENTO S/A</v>
          </cell>
          <cell r="D12951" t="str">
            <v>BB BANCO DE INVESTIMENTO S/A</v>
          </cell>
          <cell r="E12951" t="str">
            <v>BB BANCO DE INVESTIMENTO S/A</v>
          </cell>
        </row>
        <row r="12952">
          <cell r="B12952">
            <v>29271</v>
          </cell>
          <cell r="C12952" t="str">
            <v>BB BANCO DE INVESTIMENTO S/A</v>
          </cell>
          <cell r="D12952" t="str">
            <v>BB BANCO DE INVESTIMENTO S/A</v>
          </cell>
          <cell r="E12952" t="str">
            <v>BB BANCO DE INVESTIMENTO S/A</v>
          </cell>
        </row>
        <row r="12953">
          <cell r="B12953">
            <v>29337</v>
          </cell>
          <cell r="C12953" t="str">
            <v>BB BANCO DE INVESTIMENTO S/A</v>
          </cell>
          <cell r="D12953" t="str">
            <v>BB BANCO DE INVESTIMENTO S/A</v>
          </cell>
          <cell r="E12953" t="str">
            <v>BB BANCO DE INVESTIMENTO S/A</v>
          </cell>
        </row>
        <row r="12954">
          <cell r="B12954">
            <v>29369</v>
          </cell>
          <cell r="C12954" t="str">
            <v>BB BANCO DE INVESTIMENTO S/A</v>
          </cell>
          <cell r="D12954" t="str">
            <v>BB BANCO DE INVESTIMENTO S/A</v>
          </cell>
          <cell r="E12954" t="str">
            <v>BB BANCO DE INVESTIMENTO S/A</v>
          </cell>
        </row>
        <row r="12955">
          <cell r="B12955">
            <v>29396</v>
          </cell>
          <cell r="C12955" t="str">
            <v>BB BANCO DE INVESTIMENTO S/A</v>
          </cell>
          <cell r="D12955" t="str">
            <v>BB BANCO DE INVESTIMENTO S/A</v>
          </cell>
          <cell r="E12955" t="str">
            <v>BB BANCO DE INVESTIMENTO S/A</v>
          </cell>
        </row>
        <row r="12956">
          <cell r="B12956">
            <v>29397</v>
          </cell>
          <cell r="C12956" t="str">
            <v>BB BANCO DE INVESTIMENTO S/A</v>
          </cell>
          <cell r="D12956" t="str">
            <v>BB BANCO DE INVESTIMENTO S/A</v>
          </cell>
          <cell r="E12956" t="str">
            <v>BB BANCO DE INVESTIMENTO S/A</v>
          </cell>
        </row>
        <row r="12957">
          <cell r="B12957">
            <v>29399</v>
          </cell>
          <cell r="C12957" t="str">
            <v>BB GESTAO DE RECURSOS DTVM LTDA</v>
          </cell>
          <cell r="D12957" t="str">
            <v>BB GESTAO DE RECURSOS DTVM LTDA</v>
          </cell>
          <cell r="E12957" t="str">
            <v>BANCO DO BRASIL S/A</v>
          </cell>
        </row>
        <row r="12958">
          <cell r="B12958">
            <v>29412</v>
          </cell>
          <cell r="C12958" t="str">
            <v>BB BANCO DE INVESTIMENTO S/A</v>
          </cell>
          <cell r="D12958" t="str">
            <v>BB BANCO DE INVESTIMENTO S/A</v>
          </cell>
          <cell r="E12958" t="str">
            <v>BB BANCO DE INVESTIMENTO S/A</v>
          </cell>
        </row>
        <row r="12959">
          <cell r="B12959">
            <v>29416</v>
          </cell>
          <cell r="C12959" t="str">
            <v>BB BANCO DE INVESTIMENTO S/A</v>
          </cell>
          <cell r="D12959" t="str">
            <v>BB BANCO DE INVESTIMENTO S/A</v>
          </cell>
          <cell r="E12959" t="str">
            <v>BB BANCO DE INVESTIMENTO S/A</v>
          </cell>
        </row>
        <row r="12960">
          <cell r="B12960">
            <v>29417</v>
          </cell>
          <cell r="C12960" t="str">
            <v>BB BANCO DE INVESTIMENTO S/A</v>
          </cell>
          <cell r="D12960" t="str">
            <v>BB BANCO DE INVESTIMENTO S/A</v>
          </cell>
          <cell r="E12960" t="str">
            <v>BB BANCO DE INVESTIMENTO S/A</v>
          </cell>
        </row>
        <row r="12961">
          <cell r="B12961">
            <v>29418</v>
          </cell>
          <cell r="C12961" t="str">
            <v>BB BANCO DE INVESTIMENTO S/A</v>
          </cell>
          <cell r="D12961" t="str">
            <v>BB BANCO DE INVESTIMENTO S/A</v>
          </cell>
          <cell r="E12961" t="str">
            <v>BB BANCO DE INVESTIMENTO S/A</v>
          </cell>
        </row>
        <row r="12962">
          <cell r="B12962">
            <v>29430</v>
          </cell>
          <cell r="C12962" t="str">
            <v>BB BANCO DE INVESTIMENTO S/A</v>
          </cell>
          <cell r="D12962" t="str">
            <v>BB BANCO DE INVESTIMENTO S/A</v>
          </cell>
          <cell r="E12962" t="str">
            <v>BB BANCO DE INVESTIMENTO S/A</v>
          </cell>
        </row>
        <row r="12963">
          <cell r="B12963">
            <v>29433</v>
          </cell>
          <cell r="C12963" t="str">
            <v>BB BANCO DE INVESTIMENTO S/A</v>
          </cell>
          <cell r="D12963" t="str">
            <v>BB BANCO DE INVESTIMENTO S/A</v>
          </cell>
          <cell r="E12963" t="str">
            <v>BB BANCO DE INVESTIMENTO S/A</v>
          </cell>
        </row>
        <row r="12964">
          <cell r="B12964">
            <v>29441</v>
          </cell>
          <cell r="C12964" t="str">
            <v>BB BANCO DE INVESTIMENTO S/A</v>
          </cell>
          <cell r="D12964" t="str">
            <v>BB BANCO DE INVESTIMENTO S/A</v>
          </cell>
          <cell r="E12964" t="str">
            <v>BB BANCO DE INVESTIMENTO S/A</v>
          </cell>
        </row>
        <row r="12965">
          <cell r="B12965">
            <v>29454</v>
          </cell>
          <cell r="C12965" t="str">
            <v>BB BANCO DE INVESTIMENTO S/A</v>
          </cell>
          <cell r="D12965" t="str">
            <v>BB BANCO DE INVESTIMENTO S/A</v>
          </cell>
          <cell r="E12965" t="str">
            <v>BB BANCO DE INVESTIMENTO S/A</v>
          </cell>
        </row>
        <row r="12966">
          <cell r="B12966">
            <v>29458</v>
          </cell>
          <cell r="C12966" t="str">
            <v>BB BANCO DE INVESTIMENTO S/A</v>
          </cell>
          <cell r="D12966" t="str">
            <v>BB BANCO DE INVESTIMENTO S/A</v>
          </cell>
          <cell r="E12966" t="str">
            <v>BB BANCO DE INVESTIMENTO S/A</v>
          </cell>
        </row>
        <row r="12967">
          <cell r="B12967">
            <v>29520</v>
          </cell>
          <cell r="C12967" t="str">
            <v>BB BANCO DE INVESTIMENTO S/A</v>
          </cell>
          <cell r="D12967" t="str">
            <v>BB BANCO DE INVESTIMENTO S/A</v>
          </cell>
          <cell r="E12967" t="str">
            <v>BB BANCO DE INVESTIMENTO S/A</v>
          </cell>
        </row>
        <row r="12968">
          <cell r="B12968">
            <v>29575</v>
          </cell>
          <cell r="C12968" t="str">
            <v>BB BANCO DE INVESTIMENTO S/A</v>
          </cell>
          <cell r="D12968" t="str">
            <v>BB BANCO DE INVESTIMENTO S/A</v>
          </cell>
          <cell r="E12968" t="str">
            <v>BB BANCO DE INVESTIMENTO S/A</v>
          </cell>
        </row>
        <row r="12969">
          <cell r="B12969">
            <v>29601</v>
          </cell>
          <cell r="C12969" t="str">
            <v>BB BANCO DE INVESTIMENTO S/A</v>
          </cell>
          <cell r="D12969" t="str">
            <v>BB BANCO DE INVESTIMENTO S/A</v>
          </cell>
          <cell r="E12969" t="str">
            <v>BB BANCO DE INVESTIMENTO S/A</v>
          </cell>
        </row>
        <row r="12970">
          <cell r="B12970">
            <v>29602</v>
          </cell>
          <cell r="C12970" t="str">
            <v>BB BANCO DE INVESTIMENTO S/A</v>
          </cell>
          <cell r="D12970" t="str">
            <v>BB BANCO DE INVESTIMENTO S/A</v>
          </cell>
          <cell r="E12970" t="str">
            <v>BB BANCO DE INVESTIMENTO S/A</v>
          </cell>
        </row>
        <row r="12971">
          <cell r="B12971">
            <v>29603</v>
          </cell>
          <cell r="C12971" t="str">
            <v>BB BANCO DE INVESTIMENTO S/A</v>
          </cell>
          <cell r="D12971" t="str">
            <v>BB BANCO DE INVESTIMENTO S/A</v>
          </cell>
          <cell r="E12971" t="str">
            <v>BB BANCO DE INVESTIMENTO S/A</v>
          </cell>
        </row>
        <row r="12972">
          <cell r="B12972">
            <v>29604</v>
          </cell>
          <cell r="C12972" t="str">
            <v>BB BANCO DE INVESTIMENTO S/A</v>
          </cell>
          <cell r="D12972" t="str">
            <v>BB BANCO DE INVESTIMENTO S/A</v>
          </cell>
          <cell r="E12972" t="str">
            <v>BB BANCO DE INVESTIMENTO S/A</v>
          </cell>
        </row>
        <row r="12973">
          <cell r="B12973">
            <v>29605</v>
          </cell>
          <cell r="C12973" t="str">
            <v>BB BANCO DE INVESTIMENTO S/A</v>
          </cell>
          <cell r="D12973" t="str">
            <v>BB BANCO DE INVESTIMENTO S/A</v>
          </cell>
          <cell r="E12973" t="str">
            <v>BB BANCO DE INVESTIMENTO S/A</v>
          </cell>
        </row>
        <row r="12974">
          <cell r="B12974">
            <v>29606</v>
          </cell>
          <cell r="C12974" t="str">
            <v>BB BANCO DE INVESTIMENTO S/A</v>
          </cell>
          <cell r="D12974" t="str">
            <v>BB BANCO DE INVESTIMENTO S/A</v>
          </cell>
          <cell r="E12974" t="str">
            <v>BB BANCO DE INVESTIMENTO S/A</v>
          </cell>
        </row>
        <row r="12975">
          <cell r="B12975">
            <v>29627</v>
          </cell>
          <cell r="C12975" t="str">
            <v>BB BANCO DE INVESTIMENTO S/A</v>
          </cell>
          <cell r="D12975" t="str">
            <v>BB BANCO DE INVESTIMENTO S/A</v>
          </cell>
          <cell r="E12975" t="str">
            <v>BB BANCO DE INVESTIMENTO S/A</v>
          </cell>
        </row>
        <row r="12976">
          <cell r="B12976">
            <v>29663</v>
          </cell>
          <cell r="C12976" t="str">
            <v>BB BANCO DE INVESTIMENTO S/A</v>
          </cell>
          <cell r="D12976" t="str">
            <v>BB BANCO DE INVESTIMENTO S/A</v>
          </cell>
          <cell r="E12976" t="str">
            <v>BB BANCO DE INVESTIMENTO S/A</v>
          </cell>
        </row>
        <row r="12977">
          <cell r="B12977">
            <v>29680</v>
          </cell>
          <cell r="C12977" t="str">
            <v>BB BANCO DE INVESTIMENTO S/A</v>
          </cell>
          <cell r="D12977" t="str">
            <v>BB BANCO DE INVESTIMENTO S/A</v>
          </cell>
          <cell r="E12977" t="str">
            <v>BB BANCO DE INVESTIMENTO S/A</v>
          </cell>
        </row>
        <row r="12978">
          <cell r="B12978">
            <v>29691</v>
          </cell>
          <cell r="C12978" t="str">
            <v>BB BANCO DE INVESTIMENTO S/A</v>
          </cell>
          <cell r="D12978" t="str">
            <v>BB BANCO DE INVESTIMENTO S/A</v>
          </cell>
          <cell r="E12978" t="str">
            <v>BB BANCO DE INVESTIMENTO S/A</v>
          </cell>
        </row>
        <row r="12979">
          <cell r="B12979">
            <v>29737</v>
          </cell>
          <cell r="C12979" t="str">
            <v>BB BANCO DE INVESTIMENTO S/A</v>
          </cell>
          <cell r="D12979" t="str">
            <v>BB BANCO DE INVESTIMENTO S/A</v>
          </cell>
          <cell r="E12979" t="str">
            <v>BB BANCO DE INVESTIMENTO S/A</v>
          </cell>
        </row>
        <row r="12980">
          <cell r="B12980">
            <v>29769</v>
          </cell>
          <cell r="C12980" t="str">
            <v>BB BANCO DE INVESTIMENTO S/A</v>
          </cell>
          <cell r="D12980" t="str">
            <v>BB BANCO DE INVESTIMENTO S/A</v>
          </cell>
          <cell r="E12980" t="str">
            <v>BB BANCO DE INVESTIMENTO S/A</v>
          </cell>
        </row>
        <row r="12981">
          <cell r="B12981">
            <v>29776</v>
          </cell>
          <cell r="C12981" t="str">
            <v>BB BANCO DE INVESTIMENTO S/A</v>
          </cell>
          <cell r="D12981" t="str">
            <v>BB BANCO DE INVESTIMENTO S/A</v>
          </cell>
          <cell r="E12981" t="str">
            <v>BB BANCO DE INVESTIMENTO S/A</v>
          </cell>
        </row>
        <row r="12982">
          <cell r="B12982">
            <v>29780</v>
          </cell>
          <cell r="C12982" t="str">
            <v>BB BANCO DE INVESTIMENTO S/A</v>
          </cell>
          <cell r="D12982" t="str">
            <v>BB BANCO DE INVESTIMENTO S/A</v>
          </cell>
          <cell r="E12982" t="str">
            <v>BB BANCO DE INVESTIMENTO S/A</v>
          </cell>
        </row>
        <row r="12983">
          <cell r="B12983">
            <v>29816</v>
          </cell>
          <cell r="C12983" t="str">
            <v>BB BANCO DE INVESTIMENTO S/A</v>
          </cell>
          <cell r="D12983" t="str">
            <v>BB BANCO DE INVESTIMENTO S/A</v>
          </cell>
          <cell r="E12983" t="str">
            <v>BB BANCO DE INVESTIMENTO S/A</v>
          </cell>
        </row>
        <row r="12984">
          <cell r="B12984">
            <v>29823</v>
          </cell>
          <cell r="C12984" t="str">
            <v>BB BANCO DE INVESTIMENTO S/A</v>
          </cell>
          <cell r="D12984" t="str">
            <v>BB BANCO DE INVESTIMENTO S/A</v>
          </cell>
          <cell r="E12984" t="str">
            <v>BB BANCO DE INVESTIMENTO S/A</v>
          </cell>
        </row>
        <row r="12985">
          <cell r="B12985">
            <v>29893</v>
          </cell>
          <cell r="C12985" t="str">
            <v>BB BANCO DE INVESTIMENTO S/A</v>
          </cell>
          <cell r="D12985" t="str">
            <v>BB BANCO DE INVESTIMENTO S/A</v>
          </cell>
          <cell r="E12985" t="str">
            <v>BB BANCO DE INVESTIMENTO S/A</v>
          </cell>
        </row>
        <row r="12986">
          <cell r="B12986">
            <v>29895</v>
          </cell>
          <cell r="C12986" t="str">
            <v>BB BANCO DE INVESTIMENTO S/A</v>
          </cell>
          <cell r="D12986" t="str">
            <v>BB BANCO DE INVESTIMENTO S/A</v>
          </cell>
          <cell r="E12986" t="str">
            <v>BB BANCO DE INVESTIMENTO S/A</v>
          </cell>
        </row>
        <row r="12987">
          <cell r="B12987">
            <v>29903</v>
          </cell>
          <cell r="C12987" t="str">
            <v>BB BANCO DE INVESTIMENTO S/A</v>
          </cell>
          <cell r="D12987" t="str">
            <v>BB BANCO DE INVESTIMENTO S/A</v>
          </cell>
          <cell r="E12987" t="str">
            <v>BB BANCO DE INVESTIMENTO S/A</v>
          </cell>
        </row>
        <row r="12988">
          <cell r="B12988">
            <v>29919</v>
          </cell>
          <cell r="C12988" t="str">
            <v>BB BANCO DE INVESTIMENTO S/A</v>
          </cell>
          <cell r="D12988" t="str">
            <v>BB BANCO DE INVESTIMENTO S/A</v>
          </cell>
          <cell r="E12988" t="str">
            <v>BB BANCO DE INVESTIMENTO S/A</v>
          </cell>
        </row>
        <row r="12989">
          <cell r="B12989">
            <v>29952</v>
          </cell>
          <cell r="C12989" t="str">
            <v>BB BANCO DE INVESTIMENTO S/A</v>
          </cell>
          <cell r="D12989" t="str">
            <v>BB BANCO DE INVESTIMENTO S/A</v>
          </cell>
          <cell r="E12989" t="str">
            <v>BB BANCO DE INVESTIMENTO S/A</v>
          </cell>
        </row>
        <row r="12990">
          <cell r="B12990">
            <v>29957</v>
          </cell>
          <cell r="C12990" t="str">
            <v>BB BANCO DE INVESTIMENTO S/A</v>
          </cell>
          <cell r="D12990" t="str">
            <v>BB BANCO DE INVESTIMENTO S/A</v>
          </cell>
          <cell r="E12990" t="str">
            <v>BB BANCO DE INVESTIMENTO S/A</v>
          </cell>
        </row>
        <row r="12991">
          <cell r="B12991">
            <v>29977</v>
          </cell>
          <cell r="C12991" t="str">
            <v>BB BANCO DE INVESTIMENTO S/A</v>
          </cell>
          <cell r="D12991" t="str">
            <v>BB BANCO DE INVESTIMENTO S/A</v>
          </cell>
          <cell r="E12991" t="str">
            <v>BB BANCO DE INVESTIMENTO S/A</v>
          </cell>
        </row>
        <row r="12992">
          <cell r="B12992">
            <v>29995</v>
          </cell>
          <cell r="C12992" t="str">
            <v>BB BANCO DE INVESTIMENTO S/A</v>
          </cell>
          <cell r="D12992" t="str">
            <v>BB BANCO DE INVESTIMENTO S/A</v>
          </cell>
          <cell r="E12992" t="str">
            <v>BB BANCO DE INVESTIMENTO S/A</v>
          </cell>
        </row>
        <row r="12993">
          <cell r="B12993">
            <v>29997</v>
          </cell>
          <cell r="C12993" t="str">
            <v>BB BANCO DE INVESTIMENTO S/A</v>
          </cell>
          <cell r="D12993" t="str">
            <v>BB BANCO DE INVESTIMENTO S/A</v>
          </cell>
          <cell r="E12993" t="str">
            <v>BB BANCO DE INVESTIMENTO S/A</v>
          </cell>
        </row>
        <row r="12994">
          <cell r="B12994">
            <v>29998</v>
          </cell>
          <cell r="C12994" t="str">
            <v>BB GESTAO DE RECURSOS DTVM LTDA</v>
          </cell>
          <cell r="D12994" t="str">
            <v>BB GESTAO DE RECURSOS DTVM LTDA</v>
          </cell>
          <cell r="E12994" t="str">
            <v>BANCO DO BRASIL S/A</v>
          </cell>
        </row>
        <row r="12995">
          <cell r="B12995">
            <v>3000</v>
          </cell>
          <cell r="C12995" t="str">
            <v>FATOR S/A CV</v>
          </cell>
          <cell r="D12995">
            <v>3000</v>
          </cell>
          <cell r="E12995" t="str">
            <v>FATOR S/A CV</v>
          </cell>
        </row>
        <row r="12996">
          <cell r="B12996">
            <v>80023</v>
          </cell>
          <cell r="C12996" t="str">
            <v>BANCO SANTANDER, S/A (MADRID)</v>
          </cell>
          <cell r="D12996" t="str">
            <v>BANCO SANTANDER, S/A (MADRID)</v>
          </cell>
          <cell r="E12996" t="str">
            <v>BANCO SANTANDER S/A (HISPANO)</v>
          </cell>
        </row>
        <row r="12997">
          <cell r="B12997">
            <v>3009</v>
          </cell>
          <cell r="C12997" t="str">
            <v>VOTORANTIM CTVM LTDA</v>
          </cell>
          <cell r="D12997" t="str">
            <v>VOTORANTIM CTVM LTDA</v>
          </cell>
          <cell r="E12997" t="str">
            <v>VOTORANTIM CTVM LTDA</v>
          </cell>
        </row>
        <row r="12998">
          <cell r="B12998">
            <v>30220</v>
          </cell>
          <cell r="C12998" t="str">
            <v>MARIO JAMIL CHADUD</v>
          </cell>
          <cell r="D12998" t="str">
            <v>MARIO JAMIL CHADUD</v>
          </cell>
          <cell r="E12998" t="str">
            <v>MARIO JAMIL CHADUD</v>
          </cell>
        </row>
        <row r="12999">
          <cell r="B12999">
            <v>30337</v>
          </cell>
          <cell r="C12999" t="str">
            <v>ASM FAPA DE INVESTIMENTO FINANCEIRO</v>
          </cell>
          <cell r="D12999" t="str">
            <v>ASM FAPA DE INVESTIMENTO FINANCEIRO</v>
          </cell>
          <cell r="E12999" t="str">
            <v>ASM FAPA DE INVESTIMENTO FINANCEIRO</v>
          </cell>
        </row>
        <row r="13000">
          <cell r="B13000">
            <v>30338</v>
          </cell>
          <cell r="C13000" t="str">
            <v>ASM MEGA INSTITUCIONAL FIF</v>
          </cell>
          <cell r="D13000" t="str">
            <v>ASM MEGA INSTITUCIONAL FIF</v>
          </cell>
          <cell r="E13000" t="str">
            <v>ASM MEGA INSTITUCIONAL FIF</v>
          </cell>
        </row>
        <row r="13001">
          <cell r="B13001">
            <v>30339</v>
          </cell>
          <cell r="C13001" t="str">
            <v>ASM EXPERTISE FIF</v>
          </cell>
          <cell r="D13001" t="str">
            <v>ASM EXPERTISE FIF</v>
          </cell>
          <cell r="E13001" t="str">
            <v>ASM EXPERTISE FIF</v>
          </cell>
        </row>
        <row r="13002">
          <cell r="B13002">
            <v>30340</v>
          </cell>
          <cell r="C13002" t="str">
            <v>ASM CSN INVEST RENDA FIXA PLUS FIF</v>
          </cell>
          <cell r="D13002" t="str">
            <v>ASM CSN INVEST RENDA FIXA PLUS FIF</v>
          </cell>
          <cell r="E13002" t="str">
            <v>ASM CSN INVEST RENDA FIXA PLUS FIF</v>
          </cell>
        </row>
        <row r="13003">
          <cell r="B13003">
            <v>30341</v>
          </cell>
          <cell r="C13003" t="str">
            <v>FIBRA CSN INVEST.MULTICARTEIRA PLUS FIF</v>
          </cell>
          <cell r="D13003" t="str">
            <v>FIBRA CSN INVEST.MULTICARTEIRA PLUS FIF</v>
          </cell>
          <cell r="E13003" t="str">
            <v>FIBRA CSN INVEST.MULTICARTEIRA PLUS FIF</v>
          </cell>
        </row>
        <row r="13004">
          <cell r="B13004">
            <v>30342</v>
          </cell>
          <cell r="C13004" t="str">
            <v>CREDIT SUISSE CAUEIRA FDO INV.MULTIMERCADO</v>
          </cell>
          <cell r="D13004" t="str">
            <v>CREDIT SUISSE CAUEIRA FDO INV.MULTIMERCADO</v>
          </cell>
          <cell r="E13004" t="str">
            <v>CREDIT SUISSE CAUEIRA FDO INV.MULTIMERCADO</v>
          </cell>
        </row>
        <row r="13005">
          <cell r="B13005">
            <v>30343</v>
          </cell>
          <cell r="C13005" t="str">
            <v>ASM GUARA FIF</v>
          </cell>
          <cell r="D13005" t="str">
            <v>ASM GUARA FIF</v>
          </cell>
          <cell r="E13005" t="str">
            <v>ASM GUARA FIF</v>
          </cell>
        </row>
        <row r="13006">
          <cell r="B13006">
            <v>30344</v>
          </cell>
          <cell r="C13006" t="str">
            <v>MELLON BRASCAN GALES FIF</v>
          </cell>
          <cell r="D13006" t="str">
            <v>MELLON BRASCAN GALES FIF</v>
          </cell>
          <cell r="E13006" t="str">
            <v>MELLON BRASCAN GALES FIF</v>
          </cell>
        </row>
        <row r="13007">
          <cell r="B13007">
            <v>30345</v>
          </cell>
          <cell r="C13007" t="str">
            <v>MA CONSULTORIA &amp; ASSESSORIA FINANCEIRA LTDA</v>
          </cell>
          <cell r="D13007" t="str">
            <v>MA CONSULTORIA &amp; ASSESSORIA FINANCEIRA LTDA</v>
          </cell>
          <cell r="E13007" t="str">
            <v>MA CONSULTORIA &amp; ASSESSORIA FINANCEIRA LTDA</v>
          </cell>
        </row>
        <row r="13008">
          <cell r="B13008">
            <v>30346</v>
          </cell>
          <cell r="C13008" t="str">
            <v>ASM ARUANA FUNDO DE INVESTIMENTO FINANCEIRO</v>
          </cell>
          <cell r="D13008" t="str">
            <v>ASM ARUANA FUNDO DE INVESTIMENTO FINANCEIRO</v>
          </cell>
          <cell r="E13008" t="str">
            <v>ASM ARUANA FUNDO DE INVESTIMENTO FINANCEIRO</v>
          </cell>
        </row>
        <row r="13009">
          <cell r="B13009">
            <v>30347</v>
          </cell>
          <cell r="C13009" t="str">
            <v>BES FUNDO DE INVESTIMENTO MULTIMERCADO</v>
          </cell>
          <cell r="D13009" t="str">
            <v>BES FUNDO DE INVESTIMENTO MULTIMERCADO</v>
          </cell>
          <cell r="E13009" t="str">
            <v>BES FUNDO DE INVESTIMENTO MULTIMERCADO</v>
          </cell>
        </row>
        <row r="13010">
          <cell r="B13010">
            <v>30348</v>
          </cell>
          <cell r="C13010" t="str">
            <v>BES FUNDO DE INVESTIMENTO MULTIMERCADO 30</v>
          </cell>
          <cell r="D13010" t="str">
            <v>BES FUNDO DE INVESTIMENTO MULTIMERCADO 30</v>
          </cell>
          <cell r="E13010" t="str">
            <v>BES FUNDO DE INVESTIMENTO MULTIMERCADO 30</v>
          </cell>
        </row>
        <row r="13011">
          <cell r="B13011">
            <v>30349</v>
          </cell>
          <cell r="C13011" t="str">
            <v>BES FUNDO DE INV EM COTAS DE FIM FUCAS</v>
          </cell>
          <cell r="D13011" t="str">
            <v>BES FUNDO DE INV EM COTAS DE FIM FUCAS</v>
          </cell>
          <cell r="E13011" t="str">
            <v>BES FUNDO DE INV EM COTAS DE FIM FUCAS</v>
          </cell>
        </row>
        <row r="13012">
          <cell r="B13012">
            <v>30350</v>
          </cell>
          <cell r="C13012" t="str">
            <v>GAYLE ROZANE GUILHERMES MENDES</v>
          </cell>
          <cell r="D13012" t="str">
            <v>GAYLE ROZANE GUILHERMES MENDES</v>
          </cell>
          <cell r="E13012" t="str">
            <v>GAYLE ROZANE GUILHERMES MENDES</v>
          </cell>
        </row>
        <row r="13013">
          <cell r="B13013">
            <v>30390</v>
          </cell>
          <cell r="C13013" t="str">
            <v>FIF GLOBAL INVEST SAN MARINO</v>
          </cell>
          <cell r="D13013" t="str">
            <v>FIF GLOBAL INVEST SAN MARINO</v>
          </cell>
          <cell r="E13013" t="str">
            <v>FIF GLOBAL INVEST SAN MARINO</v>
          </cell>
        </row>
        <row r="13014">
          <cell r="B13014">
            <v>31045</v>
          </cell>
          <cell r="C13014" t="str">
            <v>MARCELO CALEFFI SPERB</v>
          </cell>
          <cell r="D13014" t="str">
            <v>MARCELO CALEFFI SPERB</v>
          </cell>
          <cell r="E13014" t="str">
            <v>MARCELO CALEFFI SPERB</v>
          </cell>
        </row>
        <row r="13015">
          <cell r="B13015">
            <v>31111</v>
          </cell>
          <cell r="C13015" t="str">
            <v>BANCO CREFISA S.A.</v>
          </cell>
          <cell r="D13015" t="str">
            <v>BANCO CREFISA S.A.</v>
          </cell>
          <cell r="E13015" t="str">
            <v>BANCO CREFISA S.A.</v>
          </cell>
        </row>
        <row r="13016">
          <cell r="B13016">
            <v>31123</v>
          </cell>
          <cell r="C13016" t="str">
            <v>BANCO ALFA DE INVESTIMENTO S/A</v>
          </cell>
          <cell r="D13016" t="str">
            <v>BANCO ALFA DE INVESTIMENTO S/A</v>
          </cell>
          <cell r="E13016" t="str">
            <v>BANCO ALFA DE INVESTIMENTO S/A</v>
          </cell>
        </row>
        <row r="13017">
          <cell r="B13017">
            <v>31144</v>
          </cell>
          <cell r="C13017" t="str">
            <v>TELE NORTE LESTE PARTICIPACOES SA</v>
          </cell>
          <cell r="D13017" t="str">
            <v>TELE NORTE LESTE PARTICIPACOES SA</v>
          </cell>
          <cell r="E13017" t="str">
            <v>TELE NORTE LESTE PARTICIPACOES SA</v>
          </cell>
        </row>
        <row r="13018">
          <cell r="B13018">
            <v>31161</v>
          </cell>
          <cell r="C13018" t="str">
            <v>BANCO DE INVESTIMENTOS UBS (BRASIL) S.A.</v>
          </cell>
          <cell r="D13018" t="str">
            <v>BANCO DE INVESTIMENTOS UBS (BRASIL) S.A.</v>
          </cell>
          <cell r="E13018" t="str">
            <v>BANCO DE INVESTIMENTO CREDIT SUISSE (BRASIL) S/A</v>
          </cell>
        </row>
        <row r="13019">
          <cell r="B13019">
            <v>3133</v>
          </cell>
          <cell r="C13019" t="str">
            <v>LINK CM LTDA</v>
          </cell>
          <cell r="D13019">
            <v>3133</v>
          </cell>
          <cell r="E13019" t="str">
            <v>LINK CM LTDA</v>
          </cell>
        </row>
        <row r="13020">
          <cell r="B13020">
            <v>31346</v>
          </cell>
          <cell r="C13020" t="str">
            <v>FDO DE INVEST FINANC PARANA CENTE</v>
          </cell>
          <cell r="D13020" t="str">
            <v>FDO DE INVEST FINANC PARANA CENTE</v>
          </cell>
          <cell r="E13020" t="str">
            <v>FDO DE INVEST FINANC PARANA CENTE</v>
          </cell>
        </row>
        <row r="13021">
          <cell r="B13021">
            <v>31707</v>
          </cell>
          <cell r="C13021" t="str">
            <v>BANCO DAYCOVAL S/A</v>
          </cell>
          <cell r="D13021" t="str">
            <v>BANCO DAYCOVAL S/A</v>
          </cell>
          <cell r="E13021" t="str">
            <v>BANCO DAYCOVAL S/A</v>
          </cell>
        </row>
        <row r="13022">
          <cell r="B13022">
            <v>31726</v>
          </cell>
          <cell r="C13022" t="str">
            <v>BANCO BVA S/A</v>
          </cell>
          <cell r="D13022" t="str">
            <v>BANCO BVA S/A</v>
          </cell>
          <cell r="E13022" t="str">
            <v>BANCO BVA S/A</v>
          </cell>
        </row>
        <row r="13023">
          <cell r="B13023">
            <v>32045</v>
          </cell>
          <cell r="C13023" t="str">
            <v>MARCO ANTONIO FRANKLIN</v>
          </cell>
          <cell r="D13023" t="str">
            <v>MARCO ANTONIO FRANKLIN</v>
          </cell>
          <cell r="E13023" t="str">
            <v>MARCO ANTONIO FRANKLIN</v>
          </cell>
        </row>
        <row r="13024">
          <cell r="B13024">
            <v>32100</v>
          </cell>
          <cell r="C13024" t="str">
            <v>BRZ LONG SHORT ADVANCED FUNDO DE INVESTIMENTO MULTIMERCADO</v>
          </cell>
          <cell r="D13024" t="str">
            <v>BRZ LONG SHORT ADVANCED FUNDO DE INVESTIMENTO MULTIMERCADO</v>
          </cell>
          <cell r="E13024" t="str">
            <v>BRZ INVESTIMENTOS LTDA</v>
          </cell>
        </row>
        <row r="13025">
          <cell r="B13025">
            <v>32101</v>
          </cell>
          <cell r="C13025" t="str">
            <v>ARARAS FUNDO DE INVESTIMENTO MULTIMERCADO</v>
          </cell>
          <cell r="D13025" t="str">
            <v>ARARAS FUNDO DE INVESTIMENTO MULTIMERCADO</v>
          </cell>
          <cell r="E13025" t="str">
            <v>BRZ INVESTIMENTOS LTDA</v>
          </cell>
        </row>
        <row r="13026">
          <cell r="B13026">
            <v>32102</v>
          </cell>
          <cell r="C13026" t="str">
            <v>BRZ VALOR FUNDO DE INVESTIMENTO DE AÃ‡Ã•ES</v>
          </cell>
          <cell r="D13026" t="str">
            <v>BRZ VALOR FUNDO DE INVESTIMENTO DE AÃ‡Ã•ES</v>
          </cell>
          <cell r="E13026" t="str">
            <v>BRZ INVESTIMENTOS LTDA</v>
          </cell>
        </row>
        <row r="13027">
          <cell r="B13027">
            <v>32103</v>
          </cell>
          <cell r="C13027" t="str">
            <v>BRZ LONG SHORT FUNDO DE INVESTIMENTO MULTIMERCADO</v>
          </cell>
          <cell r="D13027" t="str">
            <v>BRZ LONG SHORT FUNDO DE INVESTIMENTO MULTIMERCADO</v>
          </cell>
          <cell r="E13027" t="str">
            <v>BRZ INVESTIMENTOS LTDA</v>
          </cell>
        </row>
        <row r="13028">
          <cell r="B13028">
            <v>32104</v>
          </cell>
          <cell r="C13028" t="str">
            <v>PETROPOLIS PLUS FIF</v>
          </cell>
          <cell r="D13028" t="str">
            <v>PETROPOLIS PLUS FIF</v>
          </cell>
          <cell r="E13028" t="str">
            <v>BRZ INVESTIMENTOS LTDA</v>
          </cell>
        </row>
        <row r="13029">
          <cell r="B13029">
            <v>32220</v>
          </cell>
          <cell r="C13029" t="str">
            <v>ITATIAIA FIM</v>
          </cell>
          <cell r="D13029" t="str">
            <v>ITATIAIA FIM</v>
          </cell>
          <cell r="E13029" t="str">
            <v>BW GESTAO DE INVESTIMENTOS LTDA</v>
          </cell>
        </row>
        <row r="13030">
          <cell r="B13030">
            <v>32221</v>
          </cell>
          <cell r="C13030" t="str">
            <v>MANTIQUEIRA FI MULTIMERCADO CREDITO PRIVADO</v>
          </cell>
          <cell r="D13030" t="str">
            <v>MANTIQUEIRA FI MULTIMERCADO CREDITO PRIVADO</v>
          </cell>
          <cell r="E13030" t="str">
            <v>MANTIQUEIRA FI MULTIMERCADO CREDITO PRIVADO</v>
          </cell>
        </row>
        <row r="13031">
          <cell r="B13031">
            <v>32424</v>
          </cell>
          <cell r="C13031" t="str">
            <v>FLAVIO NUNES BYRON</v>
          </cell>
          <cell r="D13031" t="str">
            <v>FLAVIO NUNES BYRON</v>
          </cell>
          <cell r="E13031" t="str">
            <v>FLAVIO NUNES BYRON</v>
          </cell>
        </row>
        <row r="13032">
          <cell r="B13032">
            <v>32426</v>
          </cell>
          <cell r="C13032" t="str">
            <v>FABIO SOARES PFAENDER</v>
          </cell>
          <cell r="D13032" t="str">
            <v>FABIO SOARES PFAENDER</v>
          </cell>
          <cell r="E13032" t="str">
            <v>FABIO SOARES PFAENDER</v>
          </cell>
        </row>
        <row r="13033">
          <cell r="B13033">
            <v>32525</v>
          </cell>
          <cell r="C13033" t="str">
            <v>RODRIGO ZARKO VITAL BRASIL</v>
          </cell>
          <cell r="D13033" t="str">
            <v>RODRIGO ZARKO VITAL BRASIL</v>
          </cell>
          <cell r="E13033" t="str">
            <v>RODRIGO ZARKO VITAL BRASIL</v>
          </cell>
        </row>
        <row r="13034">
          <cell r="B13034">
            <v>32556</v>
          </cell>
          <cell r="C13034" t="str">
            <v>GUSTAVO ALONSO MORON</v>
          </cell>
          <cell r="D13034" t="str">
            <v>GUSTAVO ALONSO MORON</v>
          </cell>
          <cell r="E13034" t="str">
            <v>GUSTAVO ALONSO MORON</v>
          </cell>
        </row>
        <row r="13035">
          <cell r="B13035">
            <v>35</v>
          </cell>
          <cell r="C13035" t="str">
            <v>VOTORANTIM CTVM LTDA</v>
          </cell>
          <cell r="D13035">
            <v>900035</v>
          </cell>
        </row>
        <row r="13036">
          <cell r="B13036">
            <v>35010</v>
          </cell>
          <cell r="C13036" t="str">
            <v>EURO CARVALHO LEAL</v>
          </cell>
          <cell r="D13036" t="str">
            <v>EURO CARVALHO LEAL</v>
          </cell>
          <cell r="E13036" t="str">
            <v>EURO CARVALHO LEAL</v>
          </cell>
        </row>
        <row r="13037">
          <cell r="B13037">
            <v>35468</v>
          </cell>
          <cell r="C13037" t="str">
            <v>RENATO MOTTA VAZ DE CARVALHO.</v>
          </cell>
          <cell r="D13037" t="str">
            <v>RENATO MOTTA VAZ DE CARVALHO.</v>
          </cell>
          <cell r="E13037" t="str">
            <v>RENATO MOTTA VAZ DE CARVALHO.</v>
          </cell>
        </row>
        <row r="13038">
          <cell r="B13038">
            <v>35798</v>
          </cell>
          <cell r="C13038" t="str">
            <v>MEGAWATT FIF NUC</v>
          </cell>
          <cell r="D13038" t="str">
            <v>MEGAWATT FIF NUC</v>
          </cell>
          <cell r="E13038" t="str">
            <v>MEGAWATT FIF NUC</v>
          </cell>
        </row>
        <row r="13039">
          <cell r="B13039">
            <v>35824</v>
          </cell>
          <cell r="C13039" t="str">
            <v>OPPORTUNITY DTVM LTDA</v>
          </cell>
          <cell r="D13039" t="str">
            <v>OPPORTUNITY DTVM LTDA</v>
          </cell>
          <cell r="E13039" t="str">
            <v>OPPORTUNITY DTVM LTDA</v>
          </cell>
        </row>
        <row r="13040">
          <cell r="B13040">
            <v>35825</v>
          </cell>
          <cell r="C13040" t="str">
            <v>OPPORTUNITY DTVM LTDA</v>
          </cell>
          <cell r="D13040" t="str">
            <v>OPPORTUNITY DTVM LTDA</v>
          </cell>
          <cell r="E13040" t="str">
            <v>OPPORTUNITY DTVM LTDA</v>
          </cell>
        </row>
        <row r="13041">
          <cell r="B13041">
            <v>35826</v>
          </cell>
          <cell r="C13041" t="str">
            <v>OPPORTUNITY DTVM LTDA</v>
          </cell>
          <cell r="D13041" t="str">
            <v>OPPORTUNITY DTVM LTDA</v>
          </cell>
          <cell r="E13041" t="str">
            <v>OPPORTUNITY DTVM LTDA</v>
          </cell>
        </row>
        <row r="13042">
          <cell r="B13042">
            <v>35827</v>
          </cell>
          <cell r="C13042" t="str">
            <v>OPPORTUNITY DTVM LTDA</v>
          </cell>
          <cell r="D13042" t="str">
            <v>OPPORTUNITY DTVM LTDA</v>
          </cell>
          <cell r="E13042" t="str">
            <v>OPPORTUNITY DTVM LTDA</v>
          </cell>
        </row>
        <row r="13043">
          <cell r="B13043">
            <v>35828</v>
          </cell>
          <cell r="C13043" t="str">
            <v>OPPORTUNITY DTVM LTDA</v>
          </cell>
          <cell r="D13043" t="str">
            <v>OPPORTUNITY DTVM LTDA</v>
          </cell>
          <cell r="E13043" t="str">
            <v>OPPORTUNITY DTVM LTDA</v>
          </cell>
        </row>
        <row r="13044">
          <cell r="B13044">
            <v>35829</v>
          </cell>
          <cell r="C13044" t="str">
            <v>OPPORTUNITY DTVM LTDA</v>
          </cell>
          <cell r="D13044" t="str">
            <v>OPPORTUNITY DTVM LTDA</v>
          </cell>
          <cell r="E13044" t="str">
            <v>OPPORTUNITY DTVM LTDA</v>
          </cell>
        </row>
        <row r="13045">
          <cell r="B13045">
            <v>35841</v>
          </cell>
          <cell r="C13045" t="str">
            <v>OPPORTUNITY DTVM LTDA</v>
          </cell>
          <cell r="D13045" t="str">
            <v>OPPORTUNITY DTVM LTDA</v>
          </cell>
          <cell r="E13045" t="str">
            <v>OPPORTUNITY DTVM LTDA</v>
          </cell>
        </row>
        <row r="13046">
          <cell r="B13046">
            <v>35844</v>
          </cell>
          <cell r="C13046" t="str">
            <v>QUANTIX HEDGE FIF</v>
          </cell>
          <cell r="D13046" t="str">
            <v>QUANTIX HEDGE FIF</v>
          </cell>
          <cell r="E13046" t="str">
            <v>QUANTIX HEDGE FIF</v>
          </cell>
        </row>
        <row r="13047">
          <cell r="B13047">
            <v>35850</v>
          </cell>
          <cell r="C13047" t="str">
            <v>QUANTIX HIGH PERFORMANCE F.INV.MULTIMERCADO</v>
          </cell>
          <cell r="D13047" t="str">
            <v>QUANTIX HIGH PERFORMANCE F.INV.MULTIMERCADO</v>
          </cell>
          <cell r="E13047" t="str">
            <v>QUANTIX HIGH PERFORMANCE F.INV.MULTIMERCADO</v>
          </cell>
        </row>
        <row r="13048">
          <cell r="B13048">
            <v>36035</v>
          </cell>
          <cell r="C13048" t="str">
            <v>FIF MAPFRE SEG PRIVADO I</v>
          </cell>
          <cell r="D13048" t="str">
            <v>FIF MAPFRE SEG PRIVADO I</v>
          </cell>
          <cell r="E13048" t="str">
            <v>MAPFRE INVESTIMENTOS LTDA.</v>
          </cell>
        </row>
        <row r="13049">
          <cell r="B13049">
            <v>36036</v>
          </cell>
          <cell r="C13049" t="str">
            <v>FIF MAPFRE PREV SOBERANO</v>
          </cell>
          <cell r="D13049" t="str">
            <v>122*</v>
          </cell>
          <cell r="E13049" t="str">
            <v>MAPFRE INVESTIMENTOS LTDA.</v>
          </cell>
        </row>
        <row r="13050">
          <cell r="B13050">
            <v>36037</v>
          </cell>
          <cell r="C13050" t="str">
            <v>MAPFRE CORPORATE RF FIF</v>
          </cell>
          <cell r="D13050" t="str">
            <v>MAPFRE CORPORATE RF FIF</v>
          </cell>
          <cell r="E13050" t="str">
            <v>MAPFRE INVESTIMENTOS LTDA.</v>
          </cell>
        </row>
        <row r="13051">
          <cell r="B13051">
            <v>36084</v>
          </cell>
          <cell r="C13051" t="str">
            <v>ANTONIO TADEU DA SILVA</v>
          </cell>
          <cell r="D13051" t="str">
            <v>ANTONIO TADEU DA SILVA</v>
          </cell>
          <cell r="E13051" t="str">
            <v>ANTONIO TADEU DA SILVA</v>
          </cell>
        </row>
        <row r="13052">
          <cell r="B13052">
            <v>36087</v>
          </cell>
          <cell r="C13052" t="str">
            <v>FREDERICO PADILHA</v>
          </cell>
          <cell r="D13052" t="str">
            <v>FREDERICO PADILHA</v>
          </cell>
          <cell r="E13052" t="str">
            <v>FREDERICO PADILHA</v>
          </cell>
        </row>
        <row r="13053">
          <cell r="B13053">
            <v>36438</v>
          </cell>
          <cell r="C13053" t="str">
            <v>SAMAMBAIA EMPREENDIMENTO E PARTICIPAÃ‡Ã•ES LTDA</v>
          </cell>
          <cell r="D13053" t="str">
            <v>SAMAMBAIA EMPREENDIMENTO E PARTICIPAÃ‡Ã•ES LTDA</v>
          </cell>
          <cell r="E13053" t="str">
            <v>SAMAMBAIA EMPREENDIMENTO E PARTICIPAÃ‡Ã•ES LTDA</v>
          </cell>
        </row>
        <row r="13054">
          <cell r="B13054">
            <v>36820</v>
          </cell>
          <cell r="C13054" t="str">
            <v>BANCO NOSSA CAIXA S/A</v>
          </cell>
          <cell r="D13054" t="str">
            <v>BANCO NOSSA CAIXA S/A</v>
          </cell>
          <cell r="E13054" t="str">
            <v>BANCO NOSSA CAIXA S/A</v>
          </cell>
        </row>
        <row r="13055">
          <cell r="B13055">
            <v>37456</v>
          </cell>
          <cell r="C13055" t="str">
            <v>ACES FULL FIA</v>
          </cell>
          <cell r="D13055" t="str">
            <v>ACES FULL FIA</v>
          </cell>
          <cell r="E13055" t="str">
            <v>ACES FULL FIA</v>
          </cell>
        </row>
        <row r="13056">
          <cell r="B13056">
            <v>37972</v>
          </cell>
          <cell r="C13056" t="str">
            <v>BANCO BM&amp;F DE SERVIÃ‡OS DE LIQUIDAÃ‡ÃƒO E CUSTODIA S.A</v>
          </cell>
          <cell r="D13056" t="str">
            <v>BANCO BM&amp;F DE SERVIÃ‡OS DE LIQUIDAÃ‡ÃƒO E CUSTODIA S.A</v>
          </cell>
          <cell r="E13056" t="str">
            <v>B3 S/A - BRASIL BOLSA BALCÃƒO</v>
          </cell>
        </row>
        <row r="13057">
          <cell r="B13057">
            <v>38213</v>
          </cell>
          <cell r="C13057" t="str">
            <v>JOSE CARLOS PIEDADE DE FREITAS</v>
          </cell>
          <cell r="D13057" t="str">
            <v>JOSE CARLOS PIEDADE DE FREITAS</v>
          </cell>
          <cell r="E13057" t="str">
            <v>JOSE CARLOS PIEDADE DE FREITAS</v>
          </cell>
        </row>
        <row r="13058">
          <cell r="B13058">
            <v>38456</v>
          </cell>
          <cell r="C13058" t="str">
            <v>LATIN AMERICA SECURITIES LLC - AGORA SENIOR CTVM S.A</v>
          </cell>
          <cell r="D13058" t="str">
            <v>LATIN AMERICA SECURITIES LLC - AGORA SENIOR CTVM S.A</v>
          </cell>
          <cell r="E13058" t="str">
            <v>LATIN AMERICA SECURITIES LLC - AGORA SENIOR CTVM S.A</v>
          </cell>
        </row>
        <row r="13059">
          <cell r="B13059">
            <v>38457</v>
          </cell>
          <cell r="C13059" t="str">
            <v>BRAZILIAN EQUITIES LLC</v>
          </cell>
          <cell r="D13059" t="str">
            <v>BRAZILIAN EQUITIES LLC</v>
          </cell>
          <cell r="E13059" t="str">
            <v>BRAZILIAN EQUITIES LLC</v>
          </cell>
        </row>
        <row r="13060">
          <cell r="B13060">
            <v>38756</v>
          </cell>
          <cell r="C13060" t="str">
            <v>RONALDO CEZAR COELHO</v>
          </cell>
          <cell r="D13060" t="str">
            <v>RONALDO CEZAR COELHO</v>
          </cell>
          <cell r="E13060" t="str">
            <v>RONALDO CEZAR COELHO</v>
          </cell>
        </row>
        <row r="13061">
          <cell r="B13061">
            <v>3898</v>
          </cell>
          <cell r="C13061" t="str">
            <v>LINK CM LTDA</v>
          </cell>
          <cell r="D13061">
            <v>3898</v>
          </cell>
          <cell r="E13061" t="str">
            <v>LINK CM LTDA</v>
          </cell>
        </row>
        <row r="13062">
          <cell r="B13062">
            <v>39</v>
          </cell>
          <cell r="C13062" t="str">
            <v>AGORA CTVM S/A</v>
          </cell>
          <cell r="D13062">
            <v>39</v>
          </cell>
          <cell r="E13062" t="str">
            <v>AGORA GESTAO DE RECURSOS LTDA</v>
          </cell>
        </row>
        <row r="13063">
          <cell r="B13063">
            <v>390017</v>
          </cell>
          <cell r="C13063" t="str">
            <v>AGORA CTVM S/A</v>
          </cell>
          <cell r="D13063" t="str">
            <v>AGORA CTVM S/A</v>
          </cell>
          <cell r="E13063" t="str">
            <v>AGORA GESTAO DE RECURSOS LTDA</v>
          </cell>
        </row>
        <row r="13064">
          <cell r="B13064">
            <v>390137</v>
          </cell>
          <cell r="C13064" t="str">
            <v>AGORA CTVM S/A</v>
          </cell>
          <cell r="D13064" t="str">
            <v>AGORA CTVM S/A</v>
          </cell>
          <cell r="E13064" t="str">
            <v>AGORA GESTAO DE RECURSOS LTDA</v>
          </cell>
        </row>
        <row r="13065">
          <cell r="B13065">
            <v>39456</v>
          </cell>
          <cell r="C13065" t="str">
            <v>OPUS HEDGE FIM</v>
          </cell>
          <cell r="D13065" t="str">
            <v>OPUS HEDGE FIM</v>
          </cell>
          <cell r="E13065" t="str">
            <v>OPUS HEDGE FIM</v>
          </cell>
        </row>
        <row r="13066">
          <cell r="B13066">
            <v>39499</v>
          </cell>
          <cell r="C13066" t="str">
            <v>OPPORTUNITY DTVM LTDA</v>
          </cell>
          <cell r="D13066" t="str">
            <v>OPPORTUNITY DTVM LTDA</v>
          </cell>
          <cell r="E13066" t="str">
            <v>OPPORTUNITY DTVM LTDA</v>
          </cell>
        </row>
        <row r="13067">
          <cell r="B13067">
            <v>39601</v>
          </cell>
          <cell r="C13067" t="str">
            <v>OPUS EQUITY HEDGE FIM</v>
          </cell>
          <cell r="D13067" t="str">
            <v>OPUS EQUITY HEDGE FIM</v>
          </cell>
          <cell r="E13067" t="str">
            <v>OPUS EQUITY HEDGE FIM</v>
          </cell>
        </row>
        <row r="13068">
          <cell r="B13068">
            <v>39602</v>
          </cell>
          <cell r="C13068" t="str">
            <v>OPUS HEDGE AGRESSIVO FIM</v>
          </cell>
          <cell r="D13068" t="str">
            <v>OPUS HEDGE AGRESSIVO FIM</v>
          </cell>
          <cell r="E13068" t="str">
            <v>OPUS HEDGE AGRESSIVO FIM</v>
          </cell>
        </row>
        <row r="13069">
          <cell r="B13069">
            <v>39603</v>
          </cell>
          <cell r="C13069" t="str">
            <v>OPUS ACOES FIA</v>
          </cell>
          <cell r="D13069" t="str">
            <v>OPUS ACOES FIA</v>
          </cell>
          <cell r="E13069" t="str">
            <v>OPUS ACOES FIA</v>
          </cell>
        </row>
        <row r="13070">
          <cell r="B13070">
            <v>39604</v>
          </cell>
          <cell r="C13070" t="str">
            <v>OPUS MULTIMERCADO FIC FI CP</v>
          </cell>
          <cell r="D13070" t="str">
            <v>OPUS MULTIMERCADO FIC FI CP</v>
          </cell>
          <cell r="E13070" t="str">
            <v>OPUS MULTIMERCADO FIC FI CP</v>
          </cell>
        </row>
        <row r="13071">
          <cell r="B13071">
            <v>39605</v>
          </cell>
          <cell r="C13071" t="str">
            <v>OGR MAKALU FI EM AÃ‡Ã•ES</v>
          </cell>
          <cell r="D13071" t="str">
            <v>OGR MAKALU FI EM AÃ‡Ã•ES</v>
          </cell>
          <cell r="E13071" t="str">
            <v>OPUS GESTAO DE RECURSOS LTDA</v>
          </cell>
        </row>
        <row r="13072">
          <cell r="B13072">
            <v>39606</v>
          </cell>
          <cell r="C13072" t="str">
            <v>ORLA DIST. DE TÃT. E VAL. MOBIL. LTDA</v>
          </cell>
          <cell r="D13072" t="str">
            <v>ORLA DIST. DE TÃT. E VAL. MOBIL. LTDA</v>
          </cell>
          <cell r="E13072" t="str">
            <v>ORLA DIST. DE TÃT. E VAL. MOBIL. LTDA</v>
          </cell>
        </row>
        <row r="13073">
          <cell r="B13073">
            <v>39607</v>
          </cell>
          <cell r="C13073" t="str">
            <v>OPUS SOLUCAO FIM</v>
          </cell>
          <cell r="D13073" t="str">
            <v>OPUS SOLUCAO FIM</v>
          </cell>
          <cell r="E13073" t="str">
            <v>OPUS GESTAO DE RECURSOS LTDA</v>
          </cell>
        </row>
        <row r="13074">
          <cell r="B13074">
            <v>39608</v>
          </cell>
          <cell r="C13074" t="str">
            <v>OPUS ARBITRAGEM FIM</v>
          </cell>
          <cell r="D13074" t="str">
            <v>OPUS ARBITRAGEM FIM</v>
          </cell>
          <cell r="E13074" t="str">
            <v>OPUS GESTAO DE RECURSOS LTDA</v>
          </cell>
        </row>
        <row r="13075">
          <cell r="B13075">
            <v>40</v>
          </cell>
          <cell r="C13075" t="str">
            <v>UBIRAJARA PENNA PESSOA</v>
          </cell>
          <cell r="D13075" t="str">
            <v>40-ACERTAR</v>
          </cell>
          <cell r="E13075" t="str">
            <v>UBIRAJARA PENNA PESSOA</v>
          </cell>
        </row>
        <row r="13076">
          <cell r="B13076">
            <v>40055</v>
          </cell>
          <cell r="C13076" t="str">
            <v>GAP SYSTEM FIF</v>
          </cell>
          <cell r="D13076" t="str">
            <v>GAP SYSTEM FIF</v>
          </cell>
          <cell r="E13076" t="str">
            <v>GAP SYSTEM FIF</v>
          </cell>
        </row>
        <row r="13077">
          <cell r="B13077">
            <v>4024</v>
          </cell>
          <cell r="C13077" t="str">
            <v>BANCO CAIXA GERAL BRASIL SA</v>
          </cell>
          <cell r="D13077" t="str">
            <v>BANCO CAIXA GERAL BRASIL SA</v>
          </cell>
          <cell r="E13077" t="str">
            <v>BANCO CAIXA GERAL BRASIL S/A</v>
          </cell>
        </row>
        <row r="13078">
          <cell r="B13078">
            <v>40390</v>
          </cell>
          <cell r="C13078" t="str">
            <v>NEO MULTISTRATEGIA 30 FIM</v>
          </cell>
          <cell r="D13078" t="str">
            <v>NEO MULTISTRATEGIA 30 FIM</v>
          </cell>
        </row>
        <row r="13079">
          <cell r="B13079">
            <v>40391</v>
          </cell>
          <cell r="C13079" t="str">
            <v>NEO MULTI ESTRATEGIA FIC DE FIM</v>
          </cell>
          <cell r="D13079" t="str">
            <v>130*</v>
          </cell>
          <cell r="E13079" t="str">
            <v>NEO GESTÃO DE RECURSOS LTDA</v>
          </cell>
        </row>
        <row r="13080">
          <cell r="B13080">
            <v>40392</v>
          </cell>
          <cell r="C13080" t="str">
            <v>NEO LONG SHORT FIF MULTIMERCADO</v>
          </cell>
          <cell r="D13080" t="str">
            <v>NEO LONG SHORT FIF MULTIMERCADO</v>
          </cell>
        </row>
        <row r="13081">
          <cell r="B13081">
            <v>40393</v>
          </cell>
          <cell r="C13081" t="str">
            <v>NEO IBIZA FUNDO DE INVESTIMENTO MULTIMERCADO</v>
          </cell>
          <cell r="D13081" t="str">
            <v>NEO IBIZA FUNDO DE INVESTIMENTO MULTIMERCADO</v>
          </cell>
          <cell r="E13081" t="str">
            <v>NEO GESTÃO DE RECURSOS LTDA</v>
          </cell>
        </row>
        <row r="13082">
          <cell r="B13082">
            <v>40394</v>
          </cell>
          <cell r="C13082" t="str">
            <v>NEO MACRO FIM</v>
          </cell>
          <cell r="D13082" t="str">
            <v>NEO MACRO FIM</v>
          </cell>
          <cell r="E13082" t="str">
            <v>NEO GESTÃO DE RECURSOS LTDA</v>
          </cell>
        </row>
        <row r="13083">
          <cell r="B13083">
            <v>40395</v>
          </cell>
          <cell r="C13083" t="str">
            <v>NEO PORTFOLIO FIM</v>
          </cell>
          <cell r="D13083" t="str">
            <v>NEO PORTFOLIO FIM</v>
          </cell>
          <cell r="E13083" t="str">
            <v>NEO GESTÃO DE RECURSOS LTDA</v>
          </cell>
        </row>
        <row r="13084">
          <cell r="B13084">
            <v>40396</v>
          </cell>
          <cell r="C13084" t="str">
            <v>MEDIZ CAPITAL LLC</v>
          </cell>
          <cell r="D13084" t="str">
            <v>MEDIZ CAPITAL LLC</v>
          </cell>
          <cell r="E13084" t="str">
            <v>MEDIZ CAPITAL LLC</v>
          </cell>
        </row>
        <row r="13085">
          <cell r="B13085">
            <v>4042</v>
          </cell>
          <cell r="C13085" t="str">
            <v>BANCO DO BRASIL S/A</v>
          </cell>
          <cell r="D13085" t="str">
            <v>BANCO DO BRASIL S/A</v>
          </cell>
          <cell r="E13085" t="str">
            <v>BANCO DO BRASIL S/A</v>
          </cell>
        </row>
        <row r="13086">
          <cell r="B13086">
            <v>18505</v>
          </cell>
          <cell r="C13086" t="str">
            <v>NOBEL TOTAL 60 FUNDO DE INVESTIMENTO MULTIMERCADO</v>
          </cell>
          <cell r="D13086" t="str">
            <v>NOBEL TOTAL 60 FUNDO DE INVESTIMENTO MULTIMERCADO</v>
          </cell>
          <cell r="E13086" t="str">
            <v>NOBEL TOTAL 60 FUNDO DE INVESTIMENTO MULTIMERCADO</v>
          </cell>
        </row>
        <row r="13087">
          <cell r="B13087">
            <v>18543</v>
          </cell>
          <cell r="C13087" t="str">
            <v>RICARDO HESPANHA DINIZ KOVACH</v>
          </cell>
          <cell r="D13087" t="str">
            <v>RICARDO HESPANHA DINIZ KOVACH</v>
          </cell>
          <cell r="E13087" t="str">
            <v>RICARDO HESPANHA DINIZ KOVACH</v>
          </cell>
        </row>
        <row r="13088">
          <cell r="B13088">
            <v>18566</v>
          </cell>
          <cell r="C13088" t="str">
            <v>BB FEF SALVADOR CD FIA</v>
          </cell>
          <cell r="D13088" t="str">
            <v>BB FEF SALVADOR CD FIA</v>
          </cell>
          <cell r="E13088" t="str">
            <v>BANCO DO BRASIL S/A</v>
          </cell>
        </row>
        <row r="13089">
          <cell r="B13089">
            <v>18568</v>
          </cell>
          <cell r="C13089" t="str">
            <v>BB FEF CD FIM</v>
          </cell>
          <cell r="D13089" t="str">
            <v>BB FEF CD FIM</v>
          </cell>
          <cell r="E13089" t="str">
            <v>BANCO DO BRASIL S/A</v>
          </cell>
        </row>
        <row r="13090">
          <cell r="B13090">
            <v>18569</v>
          </cell>
          <cell r="C13090" t="str">
            <v>BB UNIMED RF 100C FI EM RF</v>
          </cell>
          <cell r="D13090" t="str">
            <v>BB UNIMED RF 100C FI EM RF</v>
          </cell>
          <cell r="E13090" t="str">
            <v>BANCO DO BRASIL S/A</v>
          </cell>
        </row>
        <row r="13091">
          <cell r="B13091">
            <v>18613</v>
          </cell>
          <cell r="C13091" t="str">
            <v>BANCO BVA S/A</v>
          </cell>
          <cell r="D13091" t="str">
            <v>BANCO BVA S/A</v>
          </cell>
          <cell r="E13091" t="str">
            <v>BANCO BVA S/A</v>
          </cell>
        </row>
        <row r="13092">
          <cell r="B13092">
            <v>18614</v>
          </cell>
          <cell r="C13092" t="str">
            <v>BVA FAST LAP FIF 60 DIAS</v>
          </cell>
          <cell r="D13092" t="str">
            <v>BVA FAST LAP FIF 60 DIAS</v>
          </cell>
          <cell r="E13092" t="str">
            <v>BVA FAST LAP FIF 60 DIAS</v>
          </cell>
        </row>
        <row r="13093">
          <cell r="B13093">
            <v>18620</v>
          </cell>
          <cell r="C13093" t="str">
            <v>BANCO ARBI S/A</v>
          </cell>
          <cell r="D13093" t="str">
            <v>BANCO ARBI S/A</v>
          </cell>
          <cell r="E13093" t="str">
            <v>BANCO ARBI S/A</v>
          </cell>
        </row>
        <row r="13094">
          <cell r="B13094">
            <v>18634</v>
          </cell>
          <cell r="C13094" t="str">
            <v>ENGUIA GEN BA LTDA</v>
          </cell>
          <cell r="D13094" t="str">
            <v>ENGUIA GEN BA LTDA</v>
          </cell>
          <cell r="E13094" t="str">
            <v>ENGUIA GEN BA LTDA</v>
          </cell>
        </row>
        <row r="13095">
          <cell r="B13095">
            <v>18646</v>
          </cell>
          <cell r="C13095" t="str">
            <v>ENGUIA GEN CE LTDA</v>
          </cell>
          <cell r="D13095" t="str">
            <v>ENGUIA GEN CE LTDA</v>
          </cell>
          <cell r="E13095" t="str">
            <v>ENGUIA GEN CE LTDA</v>
          </cell>
        </row>
        <row r="13096">
          <cell r="B13096">
            <v>18651</v>
          </cell>
          <cell r="C13096" t="str">
            <v>ENGUIA GEN PI LTDA</v>
          </cell>
          <cell r="D13096" t="str">
            <v>ENGUIA GEN PI LTDA</v>
          </cell>
          <cell r="E13096" t="str">
            <v>ENGUIA GEN PI LTDA</v>
          </cell>
        </row>
        <row r="13097">
          <cell r="B13097">
            <v>18657</v>
          </cell>
          <cell r="C13097" t="str">
            <v>DRESDNER BANK LATEINAMERIKA A.G.</v>
          </cell>
          <cell r="D13097" t="str">
            <v>DRESDNER BANK LATEINAMERIKA A.G.</v>
          </cell>
          <cell r="E13097" t="str">
            <v>DRESDNER BANK LATEINAMERIKA A.G.</v>
          </cell>
        </row>
        <row r="13098">
          <cell r="B13098">
            <v>18705</v>
          </cell>
          <cell r="C13098" t="str">
            <v>BANCO CACIQUE S/A</v>
          </cell>
          <cell r="D13098">
            <v>196</v>
          </cell>
          <cell r="E13098" t="str">
            <v>BANCO CACIQUE S/A</v>
          </cell>
        </row>
        <row r="13099">
          <cell r="B13099">
            <v>18707</v>
          </cell>
          <cell r="C13099" t="str">
            <v>CACIQUE PROMOTORA DE VENDAS LTDA</v>
          </cell>
          <cell r="D13099" t="str">
            <v>CACIQUE PROMOTORA DE VENDAS LTDA</v>
          </cell>
          <cell r="E13099" t="str">
            <v>CACIQUE PROMOTORA DE VENDAS LTDA</v>
          </cell>
        </row>
        <row r="13100">
          <cell r="B13100">
            <v>18743</v>
          </cell>
          <cell r="C13100" t="str">
            <v>OPPORTUNITY DTVM LTDA</v>
          </cell>
          <cell r="D13100" t="str">
            <v>OPPORTUNITY DTVM LTDA</v>
          </cell>
          <cell r="E13100" t="str">
            <v>OPPORTUNITY DTVM LTDA</v>
          </cell>
        </row>
        <row r="13101">
          <cell r="B13101">
            <v>18754</v>
          </cell>
          <cell r="C13101" t="str">
            <v>ESTRATEGIA INVESTIMENTOS S/A CVC</v>
          </cell>
          <cell r="D13101" t="str">
            <v>ESTRATEGIA INVESTIMENTOS S/A CVC</v>
          </cell>
          <cell r="E13101" t="str">
            <v>ESTRATEGIA INVESTIMENTOS S/A CVC</v>
          </cell>
        </row>
        <row r="13102">
          <cell r="B13102">
            <v>188</v>
          </cell>
          <cell r="C13102" t="str">
            <v>LINK CM LTDA</v>
          </cell>
          <cell r="D13102" t="str">
            <v>288*</v>
          </cell>
          <cell r="E13102" t="str">
            <v>LINK CM LTDA</v>
          </cell>
        </row>
        <row r="13103">
          <cell r="B13103">
            <v>18852</v>
          </cell>
          <cell r="C13103" t="str">
            <v>BANCO DO BRASIL S/A</v>
          </cell>
          <cell r="D13103" t="str">
            <v>BANCO DO BRASIL S/A</v>
          </cell>
          <cell r="E13103" t="str">
            <v>BANCO DO BRASIL S/A</v>
          </cell>
        </row>
        <row r="13104">
          <cell r="B13104">
            <v>18853</v>
          </cell>
          <cell r="C13104" t="str">
            <v>BB BANCO DE INVESTIMENTO S/A</v>
          </cell>
          <cell r="D13104" t="str">
            <v>BB BANCO DE INVESTIMENTO S/A</v>
          </cell>
          <cell r="E13104" t="str">
            <v>BB BANCO DE INVESTIMENTO S/A</v>
          </cell>
        </row>
        <row r="13105">
          <cell r="B13105">
            <v>18915</v>
          </cell>
          <cell r="C13105" t="str">
            <v>ARNALDO DAVID CEZAR COELHO</v>
          </cell>
          <cell r="D13105" t="str">
            <v>ARNALDO DAVID CEZAR COELHO</v>
          </cell>
          <cell r="E13105" t="str">
            <v>ARNALDO DAVID CEZAR COELHO</v>
          </cell>
        </row>
        <row r="13106">
          <cell r="B13106">
            <v>18950</v>
          </cell>
          <cell r="C13106" t="str">
            <v>LAURA FONSECA</v>
          </cell>
          <cell r="D13106" t="str">
            <v>LAURA FONSECA</v>
          </cell>
          <cell r="E13106" t="str">
            <v>LAURA FONSECA</v>
          </cell>
        </row>
        <row r="13107">
          <cell r="B13107">
            <v>19017</v>
          </cell>
          <cell r="C13107" t="str">
            <v>BB BANCO DE INVESTIMENTO S/A</v>
          </cell>
          <cell r="D13107" t="str">
            <v>BB BANCO DE INVESTIMENTO S/A</v>
          </cell>
          <cell r="E13107" t="str">
            <v>BB BANCO DE INVESTIMENTO S/A</v>
          </cell>
        </row>
        <row r="13108">
          <cell r="B13108">
            <v>19022</v>
          </cell>
          <cell r="C13108" t="str">
            <v>BB BANCO DE INVESTIMENTO S/A</v>
          </cell>
          <cell r="D13108" t="str">
            <v>BB BANCO DE INVESTIMENTO S/A</v>
          </cell>
          <cell r="E13108" t="str">
            <v>BB BANCO DE INVESTIMENTO S/A</v>
          </cell>
        </row>
        <row r="13109">
          <cell r="B13109">
            <v>19028</v>
          </cell>
          <cell r="C13109" t="str">
            <v>BB BANCO DE INVESTIMENTO S/A</v>
          </cell>
          <cell r="D13109" t="str">
            <v>BB BANCO DE INVESTIMENTO S/A</v>
          </cell>
          <cell r="E13109" t="str">
            <v>BB BANCO DE INVESTIMENTO S/A</v>
          </cell>
        </row>
        <row r="13110">
          <cell r="B13110">
            <v>19063</v>
          </cell>
          <cell r="C13110" t="str">
            <v>BB BANCO DE INVESTIMENTO S/A</v>
          </cell>
          <cell r="D13110" t="str">
            <v>BB BANCO DE INVESTIMENTO S/A</v>
          </cell>
          <cell r="E13110" t="str">
            <v>BB BANCO DE INVESTIMENTO S/A</v>
          </cell>
        </row>
        <row r="13111">
          <cell r="B13111">
            <v>19074</v>
          </cell>
          <cell r="C13111" t="str">
            <v>BB BANCO DE INVESTIMENTO S/A</v>
          </cell>
          <cell r="D13111" t="str">
            <v>BB BANCO DE INVESTIMENTO S/A</v>
          </cell>
          <cell r="E13111" t="str">
            <v>BB BANCO DE INVESTIMENTO S/A</v>
          </cell>
        </row>
        <row r="13112">
          <cell r="B13112">
            <v>19089</v>
          </cell>
          <cell r="C13112" t="str">
            <v>BB GESTAO DE RECURSOS DTVM LTDA</v>
          </cell>
          <cell r="D13112" t="str">
            <v>BB GESTAO DE RECURSOS DTVM LTDA</v>
          </cell>
          <cell r="E13112" t="str">
            <v>BB GESTAO DE RECURSOS DTVM LTDA</v>
          </cell>
        </row>
        <row r="13113">
          <cell r="B13113">
            <v>19101</v>
          </cell>
          <cell r="C13113" t="str">
            <v>BB BANCO DE INVESTIMENTO S/A</v>
          </cell>
          <cell r="D13113" t="str">
            <v>BB BANCO DE INVESTIMENTO S/A</v>
          </cell>
          <cell r="E13113" t="str">
            <v>BB BANCO DE INVESTIMENTO S/A</v>
          </cell>
        </row>
        <row r="13114">
          <cell r="B13114">
            <v>19106</v>
          </cell>
          <cell r="C13114" t="str">
            <v>BB BANCO DE INVESTIMENTO S/A</v>
          </cell>
          <cell r="D13114" t="str">
            <v>BB BANCO DE INVESTIMENTO S/A</v>
          </cell>
          <cell r="E13114" t="str">
            <v>BB BANCO DE INVESTIMENTO S/A</v>
          </cell>
        </row>
        <row r="13115">
          <cell r="B13115">
            <v>19189</v>
          </cell>
          <cell r="C13115" t="str">
            <v>BB GESTAO DE RECURSOS DTVM LTDA</v>
          </cell>
          <cell r="D13115" t="str">
            <v>BB GESTAO DE RECURSOS DTVM LTDA</v>
          </cell>
          <cell r="E13115" t="str">
            <v>BB BANCO DE INVESTIMENTO S/A</v>
          </cell>
        </row>
        <row r="13116">
          <cell r="B13116">
            <v>19285</v>
          </cell>
          <cell r="C13116" t="str">
            <v>BB BANCO DE INVESTIMENTO S/A</v>
          </cell>
          <cell r="D13116" t="str">
            <v>BB BANCO DE INVESTIMENTO S/A</v>
          </cell>
          <cell r="E13116" t="str">
            <v>BB BANCO DE INVESTIMENTO S/A</v>
          </cell>
        </row>
        <row r="13117">
          <cell r="B13117">
            <v>19289</v>
          </cell>
          <cell r="C13117" t="str">
            <v>BB BANCO DE INVESTIMENTO S/A</v>
          </cell>
          <cell r="D13117" t="str">
            <v>BB BANCO DE INVESTIMENTO S/A</v>
          </cell>
          <cell r="E13117" t="str">
            <v>BB BANCO DE INVESTIMENTO S/A</v>
          </cell>
        </row>
        <row r="13118">
          <cell r="B13118">
            <v>19310</v>
          </cell>
          <cell r="C13118" t="str">
            <v>BB BANCO DE INVESTIMENTO S/A</v>
          </cell>
          <cell r="D13118" t="str">
            <v>BB BANCO DE INVESTIMENTO S/A</v>
          </cell>
          <cell r="E13118" t="str">
            <v>BB BANCO DE INVESTIMENTO S/A</v>
          </cell>
        </row>
        <row r="13119">
          <cell r="B13119">
            <v>19320</v>
          </cell>
          <cell r="C13119" t="str">
            <v>BB BANCO DE INVESTIMENTO S/A</v>
          </cell>
          <cell r="D13119" t="str">
            <v>BB BANCO DE INVESTIMENTO S/A</v>
          </cell>
          <cell r="E13119" t="str">
            <v>BB BANCO DE INVESTIMENTO S/A</v>
          </cell>
        </row>
        <row r="13120">
          <cell r="B13120">
            <v>19333</v>
          </cell>
          <cell r="C13120" t="str">
            <v>BB BANCO DE INVESTIMENTO S/A</v>
          </cell>
          <cell r="D13120" t="str">
            <v>BB BANCO DE INVESTIMENTO S/A</v>
          </cell>
          <cell r="E13120" t="str">
            <v>BB BANCO DE INVESTIMENTO S/A</v>
          </cell>
        </row>
        <row r="13121">
          <cell r="B13121">
            <v>19334</v>
          </cell>
          <cell r="C13121" t="str">
            <v>BB BANCO DE INVESTIMENTO S/A</v>
          </cell>
          <cell r="D13121" t="str">
            <v>BB BANCO DE INVESTIMENTO S/A</v>
          </cell>
          <cell r="E13121" t="str">
            <v>BB BANCO DE INVESTIMENTO S/A</v>
          </cell>
        </row>
        <row r="13122">
          <cell r="B13122">
            <v>19335</v>
          </cell>
          <cell r="C13122" t="str">
            <v>BB BANCO DE INVESTIMENTO S/A</v>
          </cell>
          <cell r="D13122" t="str">
            <v>BB BANCO DE INVESTIMENTO S/A</v>
          </cell>
          <cell r="E13122" t="str">
            <v>BB BANCO DE INVESTIMENTO S/A</v>
          </cell>
        </row>
        <row r="13123">
          <cell r="B13123">
            <v>19336</v>
          </cell>
          <cell r="C13123" t="str">
            <v>BB BANCO DE INVESTIMENTO S/A</v>
          </cell>
          <cell r="D13123" t="str">
            <v>BB BANCO DE INVESTIMENTO S/A</v>
          </cell>
          <cell r="E13123" t="str">
            <v>BB BANCO DE INVESTIMENTO S/A</v>
          </cell>
        </row>
        <row r="13124">
          <cell r="B13124">
            <v>19338</v>
          </cell>
          <cell r="C13124" t="str">
            <v>BB BANCO DE INVESTIMENTO S/A</v>
          </cell>
          <cell r="D13124" t="str">
            <v>BB BANCO DE INVESTIMENTO S/A</v>
          </cell>
          <cell r="E13124" t="str">
            <v>BB BANCO DE INVESTIMENTO S/A</v>
          </cell>
        </row>
        <row r="13125">
          <cell r="B13125">
            <v>19339</v>
          </cell>
          <cell r="C13125" t="str">
            <v>BB BANCO DE INVESTIMENTO S/A</v>
          </cell>
          <cell r="D13125" t="str">
            <v>BB BANCO DE INVESTIMENTO S/A</v>
          </cell>
          <cell r="E13125" t="str">
            <v>BB BANCO DE INVESTIMENTO S/A</v>
          </cell>
        </row>
        <row r="13126">
          <cell r="B13126">
            <v>19340</v>
          </cell>
          <cell r="C13126" t="str">
            <v>BB BANCO DE INVESTIMENTO S/A</v>
          </cell>
          <cell r="D13126" t="str">
            <v>BB BANCO DE INVESTIMENTO S/A</v>
          </cell>
          <cell r="E13126" t="str">
            <v>BB BANCO DE INVESTIMENTO S/A</v>
          </cell>
        </row>
        <row r="13127">
          <cell r="B13127">
            <v>19341</v>
          </cell>
          <cell r="C13127" t="str">
            <v>BB BANCO DE INVESTIMENTO S/A</v>
          </cell>
          <cell r="D13127" t="str">
            <v>BB BANCO DE INVESTIMENTO S/A</v>
          </cell>
          <cell r="E13127" t="str">
            <v>BB BANCO DE INVESTIMENTO S/A</v>
          </cell>
        </row>
        <row r="13128">
          <cell r="B13128">
            <v>19342</v>
          </cell>
          <cell r="C13128" t="str">
            <v>BB BANCO DE INVESTIMENTO S/A</v>
          </cell>
          <cell r="D13128" t="str">
            <v>BB BANCO DE INVESTIMENTO S/A</v>
          </cell>
          <cell r="E13128" t="str">
            <v>BB BANCO DE INVESTIMENTO S/A</v>
          </cell>
        </row>
        <row r="13129">
          <cell r="B13129">
            <v>19343</v>
          </cell>
          <cell r="C13129" t="str">
            <v>BB BANCO DE INVESTIMENTO S/A</v>
          </cell>
          <cell r="D13129" t="str">
            <v>BB BANCO DE INVESTIMENTO S/A</v>
          </cell>
          <cell r="E13129" t="str">
            <v>BB BANCO DE INVESTIMENTO S/A</v>
          </cell>
        </row>
        <row r="13130">
          <cell r="B13130">
            <v>19344</v>
          </cell>
          <cell r="C13130" t="str">
            <v>BB BANCO DE INVESTIMENTO S/A</v>
          </cell>
          <cell r="D13130" t="str">
            <v>BB BANCO DE INVESTIMENTO S/A</v>
          </cell>
          <cell r="E13130" t="str">
            <v>BB BANCO DE INVESTIMENTO S/A</v>
          </cell>
        </row>
        <row r="13131">
          <cell r="B13131">
            <v>19345</v>
          </cell>
          <cell r="C13131" t="str">
            <v>BB BANCO DE INVESTIMENTO S/A</v>
          </cell>
          <cell r="D13131" t="str">
            <v>BB BANCO DE INVESTIMENTO S/A</v>
          </cell>
          <cell r="E13131" t="str">
            <v>BB BANCO DE INVESTIMENTO S/A</v>
          </cell>
        </row>
        <row r="13132">
          <cell r="B13132">
            <v>19347</v>
          </cell>
          <cell r="C13132" t="str">
            <v>BB BANCO DE INVESTIMENTO S/A</v>
          </cell>
          <cell r="D13132" t="str">
            <v>BB BANCO DE INVESTIMENTO S/A</v>
          </cell>
          <cell r="E13132" t="str">
            <v>BB BANCO DE INVESTIMENTO S/A</v>
          </cell>
        </row>
        <row r="13133">
          <cell r="B13133">
            <v>19348</v>
          </cell>
          <cell r="C13133" t="str">
            <v>BB BANCO DE INVESTIMENTO S/A</v>
          </cell>
          <cell r="D13133" t="str">
            <v>BB BANCO DE INVESTIMENTO S/A</v>
          </cell>
          <cell r="E13133" t="str">
            <v>BB BANCO DE INVESTIMENTO S/A</v>
          </cell>
        </row>
        <row r="13134">
          <cell r="B13134">
            <v>19349</v>
          </cell>
          <cell r="C13134" t="str">
            <v>BB BANCO DE INVESTIMENTO S/A</v>
          </cell>
          <cell r="D13134" t="str">
            <v>BB BANCO DE INVESTIMENTO S/A</v>
          </cell>
          <cell r="E13134" t="str">
            <v>BB BANCO DE INVESTIMENTO S/A</v>
          </cell>
        </row>
        <row r="13135">
          <cell r="B13135">
            <v>19350</v>
          </cell>
          <cell r="C13135" t="str">
            <v>BB BANCO DE INVESTIMENTO S/A</v>
          </cell>
          <cell r="D13135" t="str">
            <v>BB BANCO DE INVESTIMENTO S/A</v>
          </cell>
          <cell r="E13135" t="str">
            <v>BB BANCO DE INVESTIMENTO S/A</v>
          </cell>
        </row>
        <row r="13136">
          <cell r="B13136">
            <v>19351</v>
          </cell>
          <cell r="C13136" t="str">
            <v>BB BANCO DE INVESTIMENTO S/A</v>
          </cell>
          <cell r="D13136" t="str">
            <v>BB BANCO DE INVESTIMENTO S/A</v>
          </cell>
          <cell r="E13136" t="str">
            <v>BB BANCO DE INVESTIMENTO S/A</v>
          </cell>
        </row>
        <row r="13137">
          <cell r="B13137">
            <v>19352</v>
          </cell>
          <cell r="C13137" t="str">
            <v>BB BANCO DE INVESTIMENTO S/A</v>
          </cell>
          <cell r="D13137" t="str">
            <v>BB BANCO DE INVESTIMENTO S/A</v>
          </cell>
          <cell r="E13137" t="str">
            <v>BB BANCO DE INVESTIMENTO S/A</v>
          </cell>
        </row>
        <row r="13138">
          <cell r="B13138">
            <v>19353</v>
          </cell>
          <cell r="C13138" t="str">
            <v>BB BANCO DE INVESTIMENTO S/A</v>
          </cell>
          <cell r="D13138" t="str">
            <v>BB BANCO DE INVESTIMENTO S/A</v>
          </cell>
          <cell r="E13138" t="str">
            <v>BB BANCO DE INVESTIMENTO S/A</v>
          </cell>
        </row>
        <row r="13139">
          <cell r="B13139">
            <v>19354</v>
          </cell>
          <cell r="C13139" t="str">
            <v>BB BANCO DE INVESTIMENTO S/A</v>
          </cell>
          <cell r="D13139" t="str">
            <v>BB BANCO DE INVESTIMENTO S/A</v>
          </cell>
          <cell r="E13139" t="str">
            <v>BB BANCO DE INVESTIMENTO S/A</v>
          </cell>
        </row>
        <row r="13140">
          <cell r="B13140">
            <v>19355</v>
          </cell>
          <cell r="C13140" t="str">
            <v>BB BANCO DE INVESTIMENTO S/A</v>
          </cell>
          <cell r="D13140" t="str">
            <v>BB BANCO DE INVESTIMENTO S/A</v>
          </cell>
          <cell r="E13140" t="str">
            <v>BB BANCO DE INVESTIMENTO S/A</v>
          </cell>
        </row>
        <row r="13141">
          <cell r="B13141">
            <v>19356</v>
          </cell>
          <cell r="C13141" t="str">
            <v>BB BANCO DE INVESTIMENTO S/A</v>
          </cell>
          <cell r="D13141" t="str">
            <v>BB BANCO DE INVESTIMENTO S/A</v>
          </cell>
          <cell r="E13141" t="str">
            <v>BB BANCO DE INVESTIMENTO S/A</v>
          </cell>
        </row>
        <row r="13142">
          <cell r="B13142">
            <v>19357</v>
          </cell>
          <cell r="C13142" t="str">
            <v>BB BANCO DE INVESTIMENTO S/A</v>
          </cell>
          <cell r="D13142" t="str">
            <v>BB BANCO DE INVESTIMENTO S/A</v>
          </cell>
          <cell r="E13142" t="str">
            <v>BB BANCO DE INVESTIMENTO S/A</v>
          </cell>
        </row>
        <row r="13143">
          <cell r="B13143">
            <v>19358</v>
          </cell>
          <cell r="C13143" t="str">
            <v>BB GESTAO DE RECURSOS DTVM LTDA</v>
          </cell>
          <cell r="D13143" t="str">
            <v>BB GESTAO DE RECURSOS DTVM LTDA</v>
          </cell>
          <cell r="E13143" t="str">
            <v>BB BANCO DE INVESTIMENTO S/A</v>
          </cell>
        </row>
        <row r="13144">
          <cell r="B13144">
            <v>19359</v>
          </cell>
          <cell r="C13144" t="str">
            <v>BB BANCO DE INVESTIMENTO S/A</v>
          </cell>
          <cell r="D13144" t="str">
            <v>BB BANCO DE INVESTIMENTO S/A</v>
          </cell>
          <cell r="E13144" t="str">
            <v>BB BANCO DE INVESTIMENTO S/A</v>
          </cell>
        </row>
        <row r="13145">
          <cell r="B13145">
            <v>19360</v>
          </cell>
          <cell r="C13145" t="str">
            <v>BB BANCO DE INVESTIMENTO S/A</v>
          </cell>
          <cell r="D13145" t="str">
            <v>BB BANCO DE INVESTIMENTO S/A</v>
          </cell>
          <cell r="E13145" t="str">
            <v>BB BANCO DE INVESTIMENTO S/A</v>
          </cell>
        </row>
        <row r="13146">
          <cell r="B13146">
            <v>19361</v>
          </cell>
          <cell r="C13146" t="str">
            <v>BB BANCO DE INVESTIMENTO S/A</v>
          </cell>
          <cell r="D13146" t="str">
            <v>BB BANCO DE INVESTIMENTO S/A</v>
          </cell>
          <cell r="E13146" t="str">
            <v>BB BANCO DE INVESTIMENTO S/A</v>
          </cell>
        </row>
        <row r="13147">
          <cell r="B13147">
            <v>19362</v>
          </cell>
          <cell r="C13147" t="str">
            <v>BB BANCO DE INVESTIMENTO S/A</v>
          </cell>
          <cell r="D13147" t="str">
            <v>BB BANCO DE INVESTIMENTO S/A</v>
          </cell>
          <cell r="E13147" t="str">
            <v>BB BANCO DE INVESTIMENTO S/A</v>
          </cell>
        </row>
        <row r="13148">
          <cell r="B13148">
            <v>19363</v>
          </cell>
          <cell r="C13148" t="str">
            <v>BB BANCO DE INVESTIMENTO S/A</v>
          </cell>
          <cell r="D13148" t="str">
            <v>BB BANCO DE INVESTIMENTO S/A</v>
          </cell>
          <cell r="E13148" t="str">
            <v>BB BANCO DE INVESTIMENTO S/A</v>
          </cell>
        </row>
        <row r="13149">
          <cell r="B13149">
            <v>19364</v>
          </cell>
          <cell r="C13149" t="str">
            <v>BB BANCO DE INVESTIMENTO S/A</v>
          </cell>
          <cell r="D13149" t="str">
            <v>BB BANCO DE INVESTIMENTO S/A</v>
          </cell>
          <cell r="E13149" t="str">
            <v>BB BANCO DE INVESTIMENTO S/A</v>
          </cell>
        </row>
        <row r="13150">
          <cell r="B13150">
            <v>19370</v>
          </cell>
          <cell r="C13150" t="str">
            <v>BB BANCO DE INVESTIMENTO S/A</v>
          </cell>
          <cell r="D13150" t="str">
            <v>BB BANCO DE INVESTIMENTO S/A</v>
          </cell>
          <cell r="E13150" t="str">
            <v>BB BANCO DE INVESTIMENTO S/A</v>
          </cell>
        </row>
        <row r="13151">
          <cell r="B13151">
            <v>19371</v>
          </cell>
          <cell r="C13151" t="str">
            <v>BB BANCO DE INVESTIMENTO S/A</v>
          </cell>
          <cell r="D13151" t="str">
            <v>BB BANCO DE INVESTIMENTO S/A</v>
          </cell>
          <cell r="E13151" t="str">
            <v>BB BANCO DE INVESTIMENTO S/A</v>
          </cell>
        </row>
        <row r="13152">
          <cell r="B13152">
            <v>19372</v>
          </cell>
          <cell r="C13152" t="str">
            <v>BB BANCO DE INVESTIMENTO S/A</v>
          </cell>
          <cell r="D13152" t="str">
            <v>BB BANCO DE INVESTIMENTO S/A</v>
          </cell>
          <cell r="E13152" t="str">
            <v>BB BANCO DE INVESTIMENTO S/A</v>
          </cell>
        </row>
        <row r="13153">
          <cell r="B13153">
            <v>19373</v>
          </cell>
          <cell r="C13153" t="str">
            <v>BB BANCO DE INVESTIMENTO S/A</v>
          </cell>
          <cell r="D13153" t="str">
            <v>BB BANCO DE INVESTIMENTO S/A</v>
          </cell>
          <cell r="E13153" t="str">
            <v>BB BANCO DE INVESTIMENTO S/A</v>
          </cell>
        </row>
        <row r="13154">
          <cell r="B13154">
            <v>19374</v>
          </cell>
          <cell r="C13154" t="str">
            <v>BB BANCO DE INVESTIMENTO S/A</v>
          </cell>
          <cell r="D13154" t="str">
            <v>BB BANCO DE INVESTIMENTO S/A</v>
          </cell>
          <cell r="E13154" t="str">
            <v>BB BANCO DE INVESTIMENTO S/A</v>
          </cell>
        </row>
        <row r="13155">
          <cell r="B13155">
            <v>19375</v>
          </cell>
          <cell r="C13155" t="str">
            <v>BB BANCO DE INVESTIMENTO S/A</v>
          </cell>
          <cell r="D13155" t="str">
            <v>BB BANCO DE INVESTIMENTO S/A</v>
          </cell>
          <cell r="E13155" t="str">
            <v>BB BANCO DE INVESTIMENTO S/A</v>
          </cell>
        </row>
        <row r="13156">
          <cell r="B13156">
            <v>19376</v>
          </cell>
          <cell r="C13156" t="str">
            <v>BB BANCO DE INVESTIMENTO S/A</v>
          </cell>
          <cell r="D13156" t="str">
            <v>BB BANCO DE INVESTIMENTO S/A</v>
          </cell>
          <cell r="E13156" t="str">
            <v>BB BANCO DE INVESTIMENTO S/A</v>
          </cell>
        </row>
        <row r="13157">
          <cell r="B13157">
            <v>19377</v>
          </cell>
          <cell r="C13157" t="str">
            <v>BB BANCO DE INVESTIMENTO S/A</v>
          </cell>
          <cell r="D13157" t="str">
            <v>BB BANCO DE INVESTIMENTO S/A</v>
          </cell>
          <cell r="E13157" t="str">
            <v>BB BANCO DE INVESTIMENTO S/A</v>
          </cell>
        </row>
        <row r="13158">
          <cell r="B13158">
            <v>19378</v>
          </cell>
          <cell r="C13158" t="str">
            <v>BB BANCO DE INVESTIMENTO S/A</v>
          </cell>
          <cell r="D13158" t="str">
            <v>BB BANCO DE INVESTIMENTO S/A</v>
          </cell>
          <cell r="E13158" t="str">
            <v>BB BANCO DE INVESTIMENTO S/A</v>
          </cell>
        </row>
        <row r="13159">
          <cell r="B13159">
            <v>19379</v>
          </cell>
          <cell r="C13159" t="str">
            <v>BB BANCO DE INVESTIMENTO S/A</v>
          </cell>
          <cell r="D13159" t="str">
            <v>BB BANCO DE INVESTIMENTO S/A</v>
          </cell>
          <cell r="E13159" t="str">
            <v>BB BANCO DE INVESTIMENTO S/A</v>
          </cell>
        </row>
        <row r="13160">
          <cell r="B13160">
            <v>19380</v>
          </cell>
          <cell r="C13160" t="str">
            <v>BB GESTAO DE RECURSOS DTVM LTDA</v>
          </cell>
          <cell r="D13160" t="str">
            <v>BB GESTAO DE RECURSOS DTVM LTDA</v>
          </cell>
          <cell r="E13160" t="str">
            <v>BB BANCO DE INVESTIMENTO S/A</v>
          </cell>
        </row>
        <row r="13161">
          <cell r="B13161">
            <v>19381</v>
          </cell>
          <cell r="C13161" t="str">
            <v>BB BANCO DE INVESTIMENTO S/A</v>
          </cell>
          <cell r="D13161" t="str">
            <v>BB BANCO DE INVESTIMENTO S/A</v>
          </cell>
          <cell r="E13161" t="str">
            <v>BB BANCO DE INVESTIMENTO S/A</v>
          </cell>
        </row>
        <row r="13162">
          <cell r="B13162">
            <v>19382</v>
          </cell>
          <cell r="C13162" t="str">
            <v>BB BANCO DE INVESTIMENTO S/A</v>
          </cell>
          <cell r="D13162" t="str">
            <v>BB BANCO DE INVESTIMENTO S/A</v>
          </cell>
          <cell r="E13162" t="str">
            <v>BB BANCO DE INVESTIMENTO S/A</v>
          </cell>
        </row>
        <row r="13163">
          <cell r="B13163">
            <v>19383</v>
          </cell>
          <cell r="C13163" t="str">
            <v>BB BANCO DE INVESTIMENTO S/A</v>
          </cell>
          <cell r="D13163" t="str">
            <v>BB BANCO DE INVESTIMENTO S/A</v>
          </cell>
          <cell r="E13163" t="str">
            <v>BB BANCO DE INVESTIMENTO S/A</v>
          </cell>
        </row>
        <row r="13164">
          <cell r="B13164">
            <v>19384</v>
          </cell>
          <cell r="C13164" t="str">
            <v>BB BANCO DE INVESTIMENTO S/A</v>
          </cell>
          <cell r="D13164" t="str">
            <v>BB BANCO DE INVESTIMENTO S/A</v>
          </cell>
          <cell r="E13164" t="str">
            <v>BB BANCO DE INVESTIMENTO S/A</v>
          </cell>
        </row>
        <row r="13165">
          <cell r="B13165">
            <v>19385</v>
          </cell>
          <cell r="C13165" t="str">
            <v>BB BANCO DE INVESTIMENTO S/A</v>
          </cell>
          <cell r="D13165" t="str">
            <v>BB BANCO DE INVESTIMENTO S/A</v>
          </cell>
          <cell r="E13165" t="str">
            <v>BB BANCO DE INVESTIMENTO S/A</v>
          </cell>
        </row>
        <row r="13166">
          <cell r="B13166">
            <v>19386</v>
          </cell>
          <cell r="C13166" t="str">
            <v>BB BANCO DE INVESTIMENTO S/A</v>
          </cell>
          <cell r="D13166" t="str">
            <v>BB BANCO DE INVESTIMENTO S/A</v>
          </cell>
          <cell r="E13166" t="str">
            <v>BB BANCO DE INVESTIMENTO S/A</v>
          </cell>
        </row>
        <row r="13167">
          <cell r="B13167">
            <v>19387</v>
          </cell>
          <cell r="C13167" t="str">
            <v>BB BANCO DE INVESTIMENTO S/A</v>
          </cell>
          <cell r="D13167" t="str">
            <v>BB BANCO DE INVESTIMENTO S/A</v>
          </cell>
          <cell r="E13167" t="str">
            <v>BB BANCO DE INVESTIMENTO S/A</v>
          </cell>
        </row>
        <row r="13168">
          <cell r="B13168">
            <v>19388</v>
          </cell>
          <cell r="C13168" t="str">
            <v>BB BANCO DE INVESTIMENTO S/A</v>
          </cell>
          <cell r="D13168" t="str">
            <v>BB BANCO DE INVESTIMENTO S/A</v>
          </cell>
          <cell r="E13168" t="str">
            <v>BB BANCO DE INVESTIMENTO S/A</v>
          </cell>
        </row>
        <row r="13169">
          <cell r="B13169">
            <v>19389</v>
          </cell>
          <cell r="C13169" t="str">
            <v>BB BANCO DE INVESTIMENTO S/A</v>
          </cell>
          <cell r="D13169" t="str">
            <v>BB BANCO DE INVESTIMENTO S/A</v>
          </cell>
          <cell r="E13169" t="str">
            <v>BB BANCO DE INVESTIMENTO S/A</v>
          </cell>
        </row>
        <row r="13170">
          <cell r="B13170">
            <v>1939</v>
          </cell>
          <cell r="C13170" t="str">
            <v>LINK CM LTDA</v>
          </cell>
          <cell r="D13170">
            <v>1939</v>
          </cell>
          <cell r="E13170" t="str">
            <v>LINK CM LTDA</v>
          </cell>
        </row>
        <row r="13171">
          <cell r="B13171">
            <v>19390</v>
          </cell>
          <cell r="C13171" t="str">
            <v>BB BANCO DE INVESTIMENTO S/A</v>
          </cell>
          <cell r="D13171" t="str">
            <v>BB BANCO DE INVESTIMENTO S/A</v>
          </cell>
          <cell r="E13171" t="str">
            <v>BB BANCO DE INVESTIMENTO S/A</v>
          </cell>
        </row>
        <row r="13172">
          <cell r="B13172">
            <v>19391</v>
          </cell>
          <cell r="C13172" t="str">
            <v>BB BANCO DE INVESTIMENTO S/A</v>
          </cell>
          <cell r="D13172" t="str">
            <v>BB BANCO DE INVESTIMENTO S/A</v>
          </cell>
          <cell r="E13172" t="str">
            <v>BB BANCO DE INVESTIMENTO S/A</v>
          </cell>
        </row>
        <row r="13173">
          <cell r="B13173">
            <v>19392</v>
          </cell>
          <cell r="C13173" t="str">
            <v>BB BANCO DE INVESTIMENTO S/A</v>
          </cell>
          <cell r="D13173" t="str">
            <v>BB BANCO DE INVESTIMENTO S/A</v>
          </cell>
          <cell r="E13173" t="str">
            <v>BB BANCO DE INVESTIMENTO S/A</v>
          </cell>
        </row>
        <row r="13174">
          <cell r="B13174">
            <v>19393</v>
          </cell>
          <cell r="C13174" t="str">
            <v>BB BANCO DE INVESTIMENTO S/A</v>
          </cell>
          <cell r="D13174" t="str">
            <v>BB BANCO DE INVESTIMENTO S/A</v>
          </cell>
          <cell r="E13174" t="str">
            <v>BB BANCO DE INVESTIMENTO S/A</v>
          </cell>
        </row>
        <row r="13175">
          <cell r="B13175">
            <v>19394</v>
          </cell>
          <cell r="C13175" t="str">
            <v>BB BANCO DE INVESTIMENTO S/A</v>
          </cell>
          <cell r="D13175" t="str">
            <v>BB BANCO DE INVESTIMENTO S/A</v>
          </cell>
          <cell r="E13175" t="str">
            <v>BB BANCO DE INVESTIMENTO S/A</v>
          </cell>
        </row>
        <row r="13176">
          <cell r="B13176">
            <v>19398</v>
          </cell>
          <cell r="C13176" t="str">
            <v>BB BANCO DE INVESTIMENTO S/A</v>
          </cell>
          <cell r="D13176" t="str">
            <v>BB BANCO DE INVESTIMENTO S/A</v>
          </cell>
          <cell r="E13176" t="str">
            <v>BB BANCO DE INVESTIMENTO S/A</v>
          </cell>
        </row>
        <row r="13177">
          <cell r="B13177">
            <v>19400</v>
          </cell>
          <cell r="C13177" t="str">
            <v>BB BANCO DE INVESTIMENTO S/A</v>
          </cell>
          <cell r="D13177" t="str">
            <v>BB BANCO DE INVESTIMENTO S/A</v>
          </cell>
          <cell r="E13177" t="str">
            <v>BB BANCO DE INVESTIMENTO S/A</v>
          </cell>
        </row>
        <row r="13178">
          <cell r="B13178">
            <v>19401</v>
          </cell>
          <cell r="C13178" t="str">
            <v>BB BANCO DE INVESTIMENTO S/A</v>
          </cell>
          <cell r="D13178" t="str">
            <v>BB BANCO DE INVESTIMENTO S/A</v>
          </cell>
          <cell r="E13178" t="str">
            <v>BB BANCO DE INVESTIMENTO S/A</v>
          </cell>
        </row>
        <row r="13179">
          <cell r="B13179">
            <v>19402</v>
          </cell>
          <cell r="C13179" t="str">
            <v>BB BANCO DE INVESTIMENTO S/A</v>
          </cell>
          <cell r="D13179" t="str">
            <v>BB BANCO DE INVESTIMENTO S/A</v>
          </cell>
          <cell r="E13179" t="str">
            <v>BB BANCO DE INVESTIMENTO S/A</v>
          </cell>
        </row>
        <row r="13180">
          <cell r="B13180">
            <v>19403</v>
          </cell>
          <cell r="C13180" t="str">
            <v>BB BANCO DE INVESTIMENTO S/A</v>
          </cell>
          <cell r="D13180" t="str">
            <v>BB BANCO DE INVESTIMENTO S/A</v>
          </cell>
          <cell r="E13180" t="str">
            <v>BB BANCO DE INVESTIMENTO S/A</v>
          </cell>
        </row>
        <row r="13181">
          <cell r="B13181">
            <v>19404</v>
          </cell>
          <cell r="C13181" t="str">
            <v>BB BANCO DE INVESTIMENTO S/A</v>
          </cell>
          <cell r="D13181" t="str">
            <v>BB BANCO DE INVESTIMENTO S/A</v>
          </cell>
          <cell r="E13181" t="str">
            <v>BB BANCO DE INVESTIMENTO S/A</v>
          </cell>
        </row>
        <row r="13182">
          <cell r="B13182">
            <v>19405</v>
          </cell>
          <cell r="C13182" t="str">
            <v>BB BANCO DE INVESTIMENTO S/A</v>
          </cell>
          <cell r="D13182" t="str">
            <v>BB BANCO DE INVESTIMENTO S/A</v>
          </cell>
          <cell r="E13182" t="str">
            <v>BB BANCO DE INVESTIMENTO S/A</v>
          </cell>
        </row>
        <row r="13183">
          <cell r="B13183">
            <v>19410</v>
          </cell>
          <cell r="C13183" t="str">
            <v>BB BANCO DE INVESTIMENTO S/A</v>
          </cell>
          <cell r="D13183" t="str">
            <v>BB BANCO DE INVESTIMENTO S/A</v>
          </cell>
          <cell r="E13183" t="str">
            <v>BB BANCO DE INVESTIMENTO S/A</v>
          </cell>
        </row>
        <row r="13184">
          <cell r="B13184">
            <v>19415</v>
          </cell>
          <cell r="C13184" t="str">
            <v>BB BANCO DE INVESTIMENTO S/A</v>
          </cell>
          <cell r="D13184" t="str">
            <v>BB BANCO DE INVESTIMENTO S/A</v>
          </cell>
          <cell r="E13184" t="str">
            <v>BB BANCO DE INVESTIMENTO S/A</v>
          </cell>
        </row>
        <row r="13185">
          <cell r="B13185">
            <v>19424</v>
          </cell>
          <cell r="C13185" t="str">
            <v>BB BANCO DE INVESTIMENTO S/A</v>
          </cell>
          <cell r="D13185" t="str">
            <v>BB BANCO DE INVESTIMENTO S/A</v>
          </cell>
          <cell r="E13185" t="str">
            <v>BB BANCO DE INVESTIMENTO S/A</v>
          </cell>
        </row>
        <row r="13186">
          <cell r="B13186">
            <v>19430</v>
          </cell>
          <cell r="C13186" t="str">
            <v>BB BANCO DE INVESTIMENTO S/A</v>
          </cell>
          <cell r="D13186" t="str">
            <v>BB BANCO DE INVESTIMENTO S/A</v>
          </cell>
          <cell r="E13186" t="str">
            <v>BB BANCO DE INVESTIMENTO S/A</v>
          </cell>
        </row>
        <row r="13187">
          <cell r="B13187">
            <v>19436</v>
          </cell>
          <cell r="C13187" t="str">
            <v>BB BANCO DE INVESTIMENTO S/A</v>
          </cell>
          <cell r="D13187" t="str">
            <v>BB BANCO DE INVESTIMENTO S/A</v>
          </cell>
          <cell r="E13187" t="str">
            <v>BB BANCO DE INVESTIMENTO S/A</v>
          </cell>
        </row>
        <row r="13188">
          <cell r="B13188">
            <v>19447</v>
          </cell>
          <cell r="C13188" t="str">
            <v>BB BANCO DE INVESTIMENTO S/A</v>
          </cell>
          <cell r="D13188" t="str">
            <v>BB BANCO DE INVESTIMENTO S/A</v>
          </cell>
          <cell r="E13188" t="str">
            <v>BB BANCO DE INVESTIMENTO S/A</v>
          </cell>
        </row>
        <row r="13189">
          <cell r="B13189">
            <v>19451</v>
          </cell>
          <cell r="C13189" t="str">
            <v>BB GESTAO DE RECURSOS DTVM LTDA</v>
          </cell>
          <cell r="D13189" t="str">
            <v>BB GESTAO DE RECURSOS DTVM LTDA</v>
          </cell>
          <cell r="E13189" t="str">
            <v>BB GESTAO DE RECURSOS DTVM LTDA</v>
          </cell>
        </row>
        <row r="13190">
          <cell r="B13190">
            <v>19460</v>
          </cell>
          <cell r="C13190" t="str">
            <v>BB BANCO DE INVESTIMENTO S/A</v>
          </cell>
          <cell r="D13190" t="str">
            <v>BB BANCO DE INVESTIMENTO S/A</v>
          </cell>
          <cell r="E13190" t="str">
            <v>BB BANCO DE INVESTIMENTO S/A</v>
          </cell>
        </row>
        <row r="13191">
          <cell r="B13191">
            <v>19470</v>
          </cell>
          <cell r="C13191" t="str">
            <v>BB BANCO DE INVESTIMENTO S/A</v>
          </cell>
          <cell r="D13191" t="str">
            <v>BB BANCO DE INVESTIMENTO S/A</v>
          </cell>
          <cell r="E13191" t="str">
            <v>BB BANCO DE INVESTIMENTO S/A</v>
          </cell>
        </row>
        <row r="13192">
          <cell r="B13192">
            <v>19528</v>
          </cell>
          <cell r="C13192" t="str">
            <v>BB BANCO DE INVESTIMENTO S/A</v>
          </cell>
          <cell r="D13192" t="str">
            <v>BB BANCO DE INVESTIMENTO S/A</v>
          </cell>
          <cell r="E13192" t="str">
            <v>BB BANCO DE INVESTIMENTO S/A</v>
          </cell>
        </row>
        <row r="13193">
          <cell r="B13193">
            <v>19578</v>
          </cell>
          <cell r="C13193" t="str">
            <v>MARCIO HENRIQUE CAMARGO PIMENTA</v>
          </cell>
          <cell r="D13193" t="str">
            <v>MARCIO HENRIQUE CAMARGO PIMENTA</v>
          </cell>
          <cell r="E13193" t="str">
            <v>MARCIO HENRIQUE CAMARGO PIMENTA</v>
          </cell>
        </row>
        <row r="13194">
          <cell r="B13194">
            <v>19582</v>
          </cell>
          <cell r="C13194" t="str">
            <v>BB BANCO DE INVESTIMENTO S/A</v>
          </cell>
          <cell r="D13194" t="str">
            <v>BB BANCO DE INVESTIMENTO S/A</v>
          </cell>
          <cell r="E13194" t="str">
            <v>BB BANCO DE INVESTIMENTO S/A</v>
          </cell>
        </row>
        <row r="13195">
          <cell r="B13195">
            <v>19583</v>
          </cell>
          <cell r="C13195" t="str">
            <v>BB BANCO DE INVESTIMENTO S/A</v>
          </cell>
          <cell r="D13195" t="str">
            <v>BB BANCO DE INVESTIMENTO S/A</v>
          </cell>
          <cell r="E13195" t="str">
            <v>BB BANCO DE INVESTIMENTO S/A</v>
          </cell>
        </row>
        <row r="13196">
          <cell r="B13196">
            <v>19584</v>
          </cell>
          <cell r="C13196" t="str">
            <v>BB BANCO DE INVESTIMENTO S/A</v>
          </cell>
          <cell r="D13196" t="str">
            <v>BB BANCO DE INVESTIMENTO S/A</v>
          </cell>
          <cell r="E13196" t="str">
            <v>BB BANCO DE INVESTIMENTO S/A</v>
          </cell>
        </row>
        <row r="13197">
          <cell r="B13197">
            <v>19585</v>
          </cell>
          <cell r="C13197" t="str">
            <v>BB BANCO DE INVESTIMENTO S/A</v>
          </cell>
          <cell r="D13197" t="str">
            <v>BB BANCO DE INVESTIMENTO S/A</v>
          </cell>
          <cell r="E13197" t="str">
            <v>BB BANCO DE INVESTIMENTO S/A</v>
          </cell>
        </row>
        <row r="13198">
          <cell r="B13198">
            <v>19586</v>
          </cell>
          <cell r="C13198" t="str">
            <v>BB BANCO DE INVESTIMENTO S/A</v>
          </cell>
          <cell r="D13198" t="str">
            <v>BB BANCO DE INVESTIMENTO S/A</v>
          </cell>
          <cell r="E13198" t="str">
            <v>BB BANCO DE INVESTIMENTO S/A</v>
          </cell>
        </row>
        <row r="13199">
          <cell r="B13199">
            <v>19587</v>
          </cell>
          <cell r="C13199" t="str">
            <v>BB BANCO DE INVESTIMENTO S/A</v>
          </cell>
          <cell r="D13199" t="str">
            <v>BB BANCO DE INVESTIMENTO S/A</v>
          </cell>
          <cell r="E13199" t="str">
            <v>BB BANCO DE INVESTIMENTO S/A</v>
          </cell>
        </row>
        <row r="13200">
          <cell r="B13200">
            <v>19588</v>
          </cell>
          <cell r="C13200" t="str">
            <v>BB GESTAO DE RECURSOS DTVM LTDA</v>
          </cell>
          <cell r="D13200" t="str">
            <v>BB GESTAO DE RECURSOS DTVM LTDA</v>
          </cell>
          <cell r="E13200" t="str">
            <v>BB BANCO DE INVESTIMENTO S/A</v>
          </cell>
        </row>
        <row r="13201">
          <cell r="B13201">
            <v>19589</v>
          </cell>
          <cell r="C13201" t="str">
            <v>BB BANCO DE INVESTIMENTO S/A</v>
          </cell>
          <cell r="D13201" t="str">
            <v>BB BANCO DE INVESTIMENTO S/A</v>
          </cell>
          <cell r="E13201" t="str">
            <v>BB BANCO DE INVESTIMENTO S/A</v>
          </cell>
        </row>
        <row r="13202">
          <cell r="B13202">
            <v>19590</v>
          </cell>
          <cell r="C13202" t="str">
            <v>BB BANCO DE INVESTIMENTO S/A</v>
          </cell>
          <cell r="D13202" t="str">
            <v>BB BANCO DE INVESTIMENTO S/A</v>
          </cell>
          <cell r="E13202" t="str">
            <v>BB BANCO DE INVESTIMENTO S/A</v>
          </cell>
        </row>
        <row r="13203">
          <cell r="B13203">
            <v>19591</v>
          </cell>
          <cell r="C13203" t="str">
            <v>BB BANCO DE INVESTIMENTO S/A</v>
          </cell>
          <cell r="D13203" t="str">
            <v>BB BANCO DE INVESTIMENTO S/A</v>
          </cell>
          <cell r="E13203" t="str">
            <v>BB BANCO DE INVESTIMENTO S/A</v>
          </cell>
        </row>
        <row r="13204">
          <cell r="B13204">
            <v>19592</v>
          </cell>
          <cell r="C13204" t="str">
            <v>BB BANCO DE INVESTIMENTO S/A</v>
          </cell>
          <cell r="D13204" t="str">
            <v>BB BANCO DE INVESTIMENTO S/A</v>
          </cell>
          <cell r="E13204" t="str">
            <v>BB BANCO DE INVESTIMENTO S/A</v>
          </cell>
        </row>
        <row r="13205">
          <cell r="B13205">
            <v>19598</v>
          </cell>
          <cell r="C13205" t="str">
            <v>BB BANCO DE INVESTIMENTO S/A</v>
          </cell>
          <cell r="D13205" t="str">
            <v>BB BANCO DE INVESTIMENTO S/A</v>
          </cell>
          <cell r="E13205" t="str">
            <v>BB BANCO DE INVESTIMENTO S/A</v>
          </cell>
        </row>
        <row r="13206">
          <cell r="B13206">
            <v>19599</v>
          </cell>
          <cell r="C13206" t="str">
            <v>BB BANCO DE INVESTIMENTO S/A</v>
          </cell>
          <cell r="D13206" t="str">
            <v>BB BANCO DE INVESTIMENTO S/A</v>
          </cell>
          <cell r="E13206" t="str">
            <v>BB BANCO DE INVESTIMENTO S/A</v>
          </cell>
        </row>
        <row r="13207">
          <cell r="B13207">
            <v>19600</v>
          </cell>
          <cell r="C13207" t="str">
            <v>BB BANCO DE INVESTIMENTO S/A</v>
          </cell>
          <cell r="D13207" t="str">
            <v>BB BANCO DE INVESTIMENTO S/A</v>
          </cell>
          <cell r="E13207" t="str">
            <v>BB BANCO DE INVESTIMENTO S/A</v>
          </cell>
        </row>
        <row r="13208">
          <cell r="B13208">
            <v>19601</v>
          </cell>
          <cell r="C13208" t="str">
            <v>BB BANCO DE INVESTIMENTO S/A</v>
          </cell>
          <cell r="D13208" t="str">
            <v>BB BANCO DE INVESTIMENTO S/A</v>
          </cell>
          <cell r="E13208" t="str">
            <v>BB BANCO DE INVESTIMENTO S/A</v>
          </cell>
        </row>
        <row r="13209">
          <cell r="B13209">
            <v>19602</v>
          </cell>
          <cell r="C13209" t="str">
            <v>BB BANCO DE INVESTIMENTO S/A</v>
          </cell>
          <cell r="D13209" t="str">
            <v>BB BANCO DE INVESTIMENTO S/A</v>
          </cell>
          <cell r="E13209" t="str">
            <v>BB BANCO DE INVESTIMENTO S/A</v>
          </cell>
        </row>
        <row r="13210">
          <cell r="B13210">
            <v>19603</v>
          </cell>
          <cell r="C13210" t="str">
            <v>BB BANCO DE INVESTIMENTO S/A</v>
          </cell>
          <cell r="D13210" t="str">
            <v>BB BANCO DE INVESTIMENTO S/A</v>
          </cell>
          <cell r="E13210" t="str">
            <v>BB BANCO DE INVESTIMENTO S/A</v>
          </cell>
        </row>
        <row r="13211">
          <cell r="B13211">
            <v>19604</v>
          </cell>
          <cell r="C13211" t="str">
            <v>BB BANCO DE INVESTIMENTO S/A</v>
          </cell>
          <cell r="D13211" t="str">
            <v>BB BANCO DE INVESTIMENTO S/A</v>
          </cell>
          <cell r="E13211" t="str">
            <v>BB BANCO DE INVESTIMENTO S/A</v>
          </cell>
        </row>
        <row r="13212">
          <cell r="B13212">
            <v>19605</v>
          </cell>
          <cell r="C13212" t="str">
            <v>BB BANCO DE INVESTIMENTO S/A</v>
          </cell>
          <cell r="D13212" t="str">
            <v>BB BANCO DE INVESTIMENTO S/A</v>
          </cell>
          <cell r="E13212" t="str">
            <v>BB BANCO DE INVESTIMENTO S/A</v>
          </cell>
        </row>
        <row r="13213">
          <cell r="B13213">
            <v>19606</v>
          </cell>
          <cell r="C13213" t="str">
            <v>BB BANCO DE INVESTIMENTO S/A</v>
          </cell>
          <cell r="D13213" t="str">
            <v>BB BANCO DE INVESTIMENTO S/A</v>
          </cell>
          <cell r="E13213" t="str">
            <v>BB BANCO DE INVESTIMENTO S/A</v>
          </cell>
        </row>
        <row r="13214">
          <cell r="B13214">
            <v>19670</v>
          </cell>
          <cell r="C13214" t="str">
            <v>BB BANCO DE INVESTIMENTO S/A</v>
          </cell>
          <cell r="D13214" t="str">
            <v>BB BANCO DE INVESTIMENTO S/A</v>
          </cell>
          <cell r="E13214" t="str">
            <v>BB BANCO DE INVESTIMENTO S/A</v>
          </cell>
        </row>
        <row r="13215">
          <cell r="B13215">
            <v>19674</v>
          </cell>
          <cell r="C13215" t="str">
            <v>BB BANCO DE INVESTIMENTO S/A</v>
          </cell>
          <cell r="D13215" t="str">
            <v>BB BANCO DE INVESTIMENTO S/A</v>
          </cell>
          <cell r="E13215" t="str">
            <v>BB BANCO DE INVESTIMENTO S/A</v>
          </cell>
        </row>
        <row r="13216">
          <cell r="B13216">
            <v>19695</v>
          </cell>
          <cell r="C13216" t="str">
            <v>BB BANCO DE INVESTIMENTO S/A</v>
          </cell>
          <cell r="D13216" t="str">
            <v>BB BANCO DE INVESTIMENTO S/A</v>
          </cell>
          <cell r="E13216" t="str">
            <v>BB BANCO DE INVESTIMENTO S/A</v>
          </cell>
        </row>
        <row r="13217">
          <cell r="B13217">
            <v>19706</v>
          </cell>
          <cell r="C13217" t="str">
            <v>BB BANCO DE INVESTIMENTO S/A</v>
          </cell>
          <cell r="D13217" t="str">
            <v>BB BANCO DE INVESTIMENTO S/A</v>
          </cell>
          <cell r="E13217" t="str">
            <v>BB BANCO DE INVESTIMENTO S/A</v>
          </cell>
        </row>
        <row r="13218">
          <cell r="B13218">
            <v>19707</v>
          </cell>
          <cell r="C13218" t="str">
            <v>BB BANCO DE INVESTIMENTO S/A</v>
          </cell>
          <cell r="D13218" t="str">
            <v>BB BANCO DE INVESTIMENTO S/A</v>
          </cell>
          <cell r="E13218" t="str">
            <v>BB BANCO DE INVESTIMENTO S/A</v>
          </cell>
        </row>
        <row r="13219">
          <cell r="B13219">
            <v>19708</v>
          </cell>
          <cell r="C13219" t="str">
            <v>BB BANCO DE INVESTIMENTO S/A</v>
          </cell>
          <cell r="D13219" t="str">
            <v>BB BANCO DE INVESTIMENTO S/A</v>
          </cell>
          <cell r="E13219" t="str">
            <v>BB BANCO DE INVESTIMENTO S/A</v>
          </cell>
        </row>
        <row r="13220">
          <cell r="B13220">
            <v>19709</v>
          </cell>
          <cell r="C13220" t="str">
            <v>BB BANCO DE INVESTIMENTO S/A</v>
          </cell>
          <cell r="D13220" t="str">
            <v>BB BANCO DE INVESTIMENTO S/A</v>
          </cell>
          <cell r="E13220" t="str">
            <v>BB BANCO DE INVESTIMENTO S/A</v>
          </cell>
        </row>
        <row r="13221">
          <cell r="B13221">
            <v>19710</v>
          </cell>
          <cell r="C13221" t="str">
            <v>BB BANCO DE INVESTIMENTO S/A</v>
          </cell>
          <cell r="D13221" t="str">
            <v>BB BANCO DE INVESTIMENTO S/A</v>
          </cell>
          <cell r="E13221" t="str">
            <v>BB BANCO DE INVESTIMENTO S/A</v>
          </cell>
        </row>
        <row r="13222">
          <cell r="B13222">
            <v>19711</v>
          </cell>
          <cell r="C13222" t="str">
            <v>BB BANCO DE INVESTIMENTO S/A</v>
          </cell>
          <cell r="D13222" t="str">
            <v>BB BANCO DE INVESTIMENTO S/A</v>
          </cell>
          <cell r="E13222" t="str">
            <v>BB BANCO DE INVESTIMENTO S/A</v>
          </cell>
        </row>
        <row r="13223">
          <cell r="B13223">
            <v>19712</v>
          </cell>
          <cell r="C13223" t="str">
            <v>BB BANCO DE INVESTIMENTO S/A</v>
          </cell>
          <cell r="D13223" t="str">
            <v>BB BANCO DE INVESTIMENTO S/A</v>
          </cell>
          <cell r="E13223" t="str">
            <v>BB BANCO DE INVESTIMENTO S/A</v>
          </cell>
        </row>
        <row r="13224">
          <cell r="B13224">
            <v>19713</v>
          </cell>
          <cell r="C13224" t="str">
            <v>BB BANCO DE INVESTIMENTO S/A</v>
          </cell>
          <cell r="D13224" t="str">
            <v>BB BANCO DE INVESTIMENTO S/A</v>
          </cell>
          <cell r="E13224" t="str">
            <v>BB BANCO DE INVESTIMENTO S/A</v>
          </cell>
        </row>
        <row r="13225">
          <cell r="B13225">
            <v>19714</v>
          </cell>
          <cell r="C13225" t="str">
            <v>BB BANCO DE INVESTIMENTO S/A</v>
          </cell>
          <cell r="D13225" t="str">
            <v>BB BANCO DE INVESTIMENTO S/A</v>
          </cell>
          <cell r="E13225" t="str">
            <v>BB BANCO DE INVESTIMENTO S/A</v>
          </cell>
        </row>
        <row r="13226">
          <cell r="B13226">
            <v>19715</v>
          </cell>
          <cell r="C13226" t="str">
            <v>BB BANCO DE INVESTIMENTO S/A</v>
          </cell>
          <cell r="D13226" t="str">
            <v>BB BANCO DE INVESTIMENTO S/A</v>
          </cell>
          <cell r="E13226" t="str">
            <v>BB BANCO DE INVESTIMENTO S/A</v>
          </cell>
        </row>
        <row r="13227">
          <cell r="B13227">
            <v>19716</v>
          </cell>
          <cell r="C13227" t="str">
            <v>BB BANCO DE INVESTIMENTO S/A</v>
          </cell>
          <cell r="D13227" t="str">
            <v>BB BANCO DE INVESTIMENTO S/A</v>
          </cell>
          <cell r="E13227" t="str">
            <v>BB BANCO DE INVESTIMENTO S/A</v>
          </cell>
        </row>
        <row r="13228">
          <cell r="B13228">
            <v>19717</v>
          </cell>
          <cell r="C13228" t="str">
            <v>BB BANCO DE INVESTIMENTO S/A</v>
          </cell>
          <cell r="D13228" t="str">
            <v>BB BANCO DE INVESTIMENTO S/A</v>
          </cell>
          <cell r="E13228" t="str">
            <v>BB BANCO DE INVESTIMENTO S/A</v>
          </cell>
        </row>
        <row r="13229">
          <cell r="B13229">
            <v>19718</v>
          </cell>
          <cell r="C13229" t="str">
            <v>BB BANCO DE INVESTIMENTO S/A</v>
          </cell>
          <cell r="D13229" t="str">
            <v>BB BANCO DE INVESTIMENTO S/A</v>
          </cell>
          <cell r="E13229" t="str">
            <v>BB BANCO DE INVESTIMENTO S/A</v>
          </cell>
        </row>
        <row r="13230">
          <cell r="B13230">
            <v>19719</v>
          </cell>
          <cell r="C13230" t="str">
            <v>BB BANCO DE INVESTIMENTO S/A</v>
          </cell>
          <cell r="D13230" t="str">
            <v>BB BANCO DE INVESTIMENTO S/A</v>
          </cell>
          <cell r="E13230" t="str">
            <v>BB BANCO DE INVESTIMENTO S/A</v>
          </cell>
        </row>
        <row r="13231">
          <cell r="B13231">
            <v>19720</v>
          </cell>
          <cell r="C13231" t="str">
            <v>BB BANCO DE INVESTIMENTO S/A</v>
          </cell>
          <cell r="D13231" t="str">
            <v>BB BANCO DE INVESTIMENTO S/A</v>
          </cell>
          <cell r="E13231" t="str">
            <v>BB BANCO DE INVESTIMENTO S/A</v>
          </cell>
        </row>
        <row r="13232">
          <cell r="B13232">
            <v>19721</v>
          </cell>
          <cell r="C13232" t="str">
            <v>BB BANCO DE INVESTIMENTO S/A</v>
          </cell>
          <cell r="D13232" t="str">
            <v>BB BANCO DE INVESTIMENTO S/A</v>
          </cell>
          <cell r="E13232" t="str">
            <v>BB BANCO DE INVESTIMENTO S/A</v>
          </cell>
        </row>
        <row r="13233">
          <cell r="B13233">
            <v>19722</v>
          </cell>
          <cell r="C13233" t="str">
            <v>BB GESTAO DE RECURSOS DTVM LTDA</v>
          </cell>
          <cell r="D13233" t="str">
            <v>BB GESTAO DE RECURSOS DTVM LTDA</v>
          </cell>
          <cell r="E13233" t="str">
            <v>BB BANCO DE INVESTIMENTO S/A</v>
          </cell>
        </row>
        <row r="13234">
          <cell r="B13234">
            <v>19723</v>
          </cell>
          <cell r="C13234" t="str">
            <v>BB BANCO DE INVESTIMENTO S/A</v>
          </cell>
          <cell r="D13234" t="str">
            <v>BB BANCO DE INVESTIMENTO S/A</v>
          </cell>
          <cell r="E13234" t="str">
            <v>BB BANCO DE INVESTIMENTO S/A</v>
          </cell>
        </row>
        <row r="13235">
          <cell r="B13235">
            <v>19724</v>
          </cell>
          <cell r="C13235" t="str">
            <v>BB BANCO DE INVESTIMENTO S/A</v>
          </cell>
          <cell r="D13235" t="str">
            <v>BB BANCO DE INVESTIMENTO S/A</v>
          </cell>
          <cell r="E13235" t="str">
            <v>BB BANCO DE INVESTIMENTO S/A</v>
          </cell>
        </row>
        <row r="13236">
          <cell r="B13236">
            <v>19725</v>
          </cell>
          <cell r="C13236" t="str">
            <v>BB BANCO DE INVESTIMENTO S/A</v>
          </cell>
          <cell r="D13236" t="str">
            <v>BB BANCO DE INVESTIMENTO S/A</v>
          </cell>
          <cell r="E13236" t="str">
            <v>BB BANCO DE INVESTIMENTO S/A</v>
          </cell>
        </row>
        <row r="13237">
          <cell r="B13237">
            <v>19726</v>
          </cell>
          <cell r="C13237" t="str">
            <v>BB BANCO DE INVESTIMENTO S/A</v>
          </cell>
          <cell r="D13237" t="str">
            <v>BB BANCO DE INVESTIMENTO S/A</v>
          </cell>
          <cell r="E13237" t="str">
            <v>BB BANCO DE INVESTIMENTO S/A</v>
          </cell>
        </row>
        <row r="13238">
          <cell r="B13238">
            <v>19727</v>
          </cell>
          <cell r="C13238" t="str">
            <v>BB BANCO DE INVESTIMENTO S/A</v>
          </cell>
          <cell r="D13238" t="str">
            <v>BB BANCO DE INVESTIMENTO S/A</v>
          </cell>
          <cell r="E13238" t="str">
            <v>BB BANCO DE INVESTIMENTO S/A</v>
          </cell>
        </row>
        <row r="13239">
          <cell r="B13239">
            <v>19728</v>
          </cell>
          <cell r="C13239" t="str">
            <v>BB BANCO DE INVESTIMENTO S/A</v>
          </cell>
          <cell r="D13239" t="str">
            <v>BB BANCO DE INVESTIMENTO S/A</v>
          </cell>
          <cell r="E13239" t="str">
            <v>BB BANCO DE INVESTIMENTO S/A</v>
          </cell>
        </row>
        <row r="13240">
          <cell r="B13240">
            <v>19729</v>
          </cell>
          <cell r="C13240" t="str">
            <v>BB BANCO DE INVESTIMENTO S/A</v>
          </cell>
          <cell r="D13240" t="str">
            <v>BB BANCO DE INVESTIMENTO S/A</v>
          </cell>
          <cell r="E13240" t="str">
            <v>BB BANCO DE INVESTIMENTO S/A</v>
          </cell>
        </row>
        <row r="13241">
          <cell r="B13241">
            <v>19730</v>
          </cell>
          <cell r="C13241" t="str">
            <v>BB BANCO DE INVESTIMENTO S/A</v>
          </cell>
          <cell r="D13241" t="str">
            <v>BB BANCO DE INVESTIMENTO S/A</v>
          </cell>
          <cell r="E13241" t="str">
            <v>BB BANCO DE INVESTIMENTO S/A</v>
          </cell>
        </row>
        <row r="13242">
          <cell r="B13242">
            <v>19731</v>
          </cell>
          <cell r="C13242" t="str">
            <v>BB BANCO DE INVESTIMENTO S/A</v>
          </cell>
          <cell r="D13242" t="str">
            <v>BB BANCO DE INVESTIMENTO S/A</v>
          </cell>
          <cell r="E13242" t="str">
            <v>BB BANCO DE INVESTIMENTO S/A</v>
          </cell>
        </row>
        <row r="13243">
          <cell r="B13243">
            <v>19752</v>
          </cell>
          <cell r="C13243" t="str">
            <v>BB BANCO DE INVESTIMENTO S/A</v>
          </cell>
          <cell r="D13243" t="str">
            <v>BB BANCO DE INVESTIMENTO S/A</v>
          </cell>
          <cell r="E13243" t="str">
            <v>BB BANCO DE INVESTIMENTO S/A</v>
          </cell>
        </row>
        <row r="13244">
          <cell r="B13244">
            <v>19759</v>
          </cell>
          <cell r="C13244" t="str">
            <v>BB BANCO DE INVESTIMENTO S/A</v>
          </cell>
          <cell r="D13244" t="str">
            <v>BB BANCO DE INVESTIMENTO S/A</v>
          </cell>
          <cell r="E13244" t="str">
            <v>BB BANCO DE INVESTIMENTO S/A</v>
          </cell>
        </row>
        <row r="13245">
          <cell r="B13245">
            <v>19760</v>
          </cell>
          <cell r="C13245" t="str">
            <v>BB BANCO DE INVESTIMENTO S/A</v>
          </cell>
          <cell r="D13245" t="str">
            <v>BB BANCO DE INVESTIMENTO S/A</v>
          </cell>
          <cell r="E13245" t="str">
            <v>BB BANCO DE INVESTIMENTO S/A</v>
          </cell>
        </row>
        <row r="13246">
          <cell r="B13246">
            <v>19808</v>
          </cell>
          <cell r="C13246" t="str">
            <v>BB BANCO DE INVESTIMENTO S/A</v>
          </cell>
          <cell r="D13246" t="str">
            <v>BB BANCO DE INVESTIMENTO S/A</v>
          </cell>
          <cell r="E13246" t="str">
            <v>BB BANCO DE INVESTIMENTO S/A</v>
          </cell>
        </row>
        <row r="13247">
          <cell r="B13247">
            <v>19848</v>
          </cell>
          <cell r="C13247" t="str">
            <v>BB BANCO DE INVESTIMENTO S/A</v>
          </cell>
          <cell r="D13247" t="str">
            <v>BB BANCO DE INVESTIMENTO S/A</v>
          </cell>
          <cell r="E13247" t="str">
            <v>BB BANCO DE INVESTIMENTO S/A</v>
          </cell>
        </row>
        <row r="13248">
          <cell r="B13248">
            <v>19852</v>
          </cell>
          <cell r="C13248" t="str">
            <v>BANCO SCHAHIN S/A</v>
          </cell>
          <cell r="D13248" t="str">
            <v>BANCO SCHAHIN S/A</v>
          </cell>
          <cell r="E13248" t="str">
            <v>BANCO SCHAHIN S/A</v>
          </cell>
        </row>
        <row r="13249">
          <cell r="B13249">
            <v>19855</v>
          </cell>
          <cell r="C13249" t="str">
            <v>BB BANCO DE INVESTIMENTO S/A</v>
          </cell>
          <cell r="D13249" t="str">
            <v>BB BANCO DE INVESTIMENTO S/A</v>
          </cell>
          <cell r="E13249" t="str">
            <v>BB BANCO DE INVESTIMENTO S/A</v>
          </cell>
        </row>
        <row r="13250">
          <cell r="B13250">
            <v>19857</v>
          </cell>
          <cell r="C13250" t="str">
            <v>FORESSE INTERACTION FIF</v>
          </cell>
          <cell r="D13250" t="str">
            <v>FORESSE INTERACTION FIF</v>
          </cell>
          <cell r="E13250" t="str">
            <v>FORESSE INTERACTION FIF</v>
          </cell>
        </row>
        <row r="13251">
          <cell r="B13251">
            <v>19870</v>
          </cell>
          <cell r="C13251" t="str">
            <v>BB GESTAO DE RECURSOS DTVM LTDA</v>
          </cell>
          <cell r="D13251" t="str">
            <v>BB GESTAO DE RECURSOS DTVM LTDA</v>
          </cell>
          <cell r="E13251" t="str">
            <v>BB BANCO DE INVESTIMENTO S/A</v>
          </cell>
        </row>
        <row r="13252">
          <cell r="B13252">
            <v>19875</v>
          </cell>
          <cell r="C13252" t="str">
            <v>BB GESTAO DE RECURSOS DTVM LTDA</v>
          </cell>
          <cell r="D13252" t="str">
            <v>BB GESTAO DE RECURSOS DTVM LTDA</v>
          </cell>
          <cell r="E13252" t="str">
            <v>BB BANCO DE INVESTIMENTO S/A</v>
          </cell>
        </row>
        <row r="13253">
          <cell r="B13253">
            <v>19885</v>
          </cell>
          <cell r="C13253" t="str">
            <v>BB GESTAO DE RECURSOS DTVM LTDA</v>
          </cell>
          <cell r="D13253" t="str">
            <v>BB GESTAO DE RECURSOS DTVM LTDA</v>
          </cell>
          <cell r="E13253" t="str">
            <v>BB BANCO DE INVESTIMENTO S/A</v>
          </cell>
        </row>
        <row r="13254">
          <cell r="B13254">
            <v>19887</v>
          </cell>
          <cell r="C13254" t="str">
            <v>BB BANCO DE INVESTIMENTO S/A</v>
          </cell>
          <cell r="D13254" t="str">
            <v>BB BANCO DE INVESTIMENTO S/A</v>
          </cell>
          <cell r="E13254" t="str">
            <v>BB BANCO DE INVESTIMENTO S/A</v>
          </cell>
        </row>
        <row r="13255">
          <cell r="B13255">
            <v>19894</v>
          </cell>
          <cell r="C13255" t="str">
            <v>BB BANCO DE INVESTIMENTO S/A</v>
          </cell>
          <cell r="D13255" t="str">
            <v>BB BANCO DE INVESTIMENTO S/A</v>
          </cell>
          <cell r="E13255" t="str">
            <v>BB BANCO DE INVESTIMENTO S/A</v>
          </cell>
        </row>
        <row r="13256">
          <cell r="B13256">
            <v>19923</v>
          </cell>
          <cell r="C13256" t="str">
            <v>BB BANCO DE INVESTIMENTO S/A</v>
          </cell>
          <cell r="D13256" t="str">
            <v>BB BANCO DE INVESTIMENTO S/A</v>
          </cell>
          <cell r="E13256" t="str">
            <v>BB BANCO DE INVESTIMENTO S/A</v>
          </cell>
        </row>
        <row r="13257">
          <cell r="B13257">
            <v>19929</v>
          </cell>
          <cell r="C13257" t="str">
            <v>BB BANCO DE INVESTIMENTO S/A</v>
          </cell>
          <cell r="D13257" t="str">
            <v>BB BANCO DE INVESTIMENTO S/A</v>
          </cell>
          <cell r="E13257" t="str">
            <v>BB BANCO DE INVESTIMENTO S/A</v>
          </cell>
        </row>
        <row r="13258">
          <cell r="B13258">
            <v>19930</v>
          </cell>
          <cell r="C13258" t="str">
            <v>BB BANCO DE INVESTIMENTO S/A</v>
          </cell>
          <cell r="D13258" t="str">
            <v>BB BANCO DE INVESTIMENTO S/A</v>
          </cell>
          <cell r="E13258" t="str">
            <v>BB BANCO DE INVESTIMENTO S/A</v>
          </cell>
        </row>
        <row r="13259">
          <cell r="B13259">
            <v>19931</v>
          </cell>
          <cell r="C13259" t="str">
            <v>BB BANCO DE INVESTIMENTO S/A</v>
          </cell>
          <cell r="D13259" t="str">
            <v>BB BANCO DE INVESTIMENTO S/A</v>
          </cell>
          <cell r="E13259" t="str">
            <v>BB BANCO DE INVESTIMENTO S/A</v>
          </cell>
        </row>
        <row r="13260">
          <cell r="B13260">
            <v>19933</v>
          </cell>
          <cell r="C13260" t="str">
            <v>BB BANCO DE INVESTIMENTO S/A</v>
          </cell>
          <cell r="D13260" t="str">
            <v>BB BANCO DE INVESTIMENTO S/A</v>
          </cell>
          <cell r="E13260" t="str">
            <v>BB BANCO DE INVESTIMENTO S/A</v>
          </cell>
        </row>
        <row r="13261">
          <cell r="B13261">
            <v>19934</v>
          </cell>
          <cell r="C13261" t="str">
            <v>BB BANCO DE INVESTIMENTO S/A</v>
          </cell>
          <cell r="D13261" t="str">
            <v>BB BANCO DE INVESTIMENTO S/A</v>
          </cell>
          <cell r="E13261" t="str">
            <v>BB BANCO DE INVESTIMENTO S/A</v>
          </cell>
        </row>
        <row r="13262">
          <cell r="B13262">
            <v>19938</v>
          </cell>
          <cell r="C13262" t="str">
            <v>BB BANCO DE INVESTIMENTO S/A</v>
          </cell>
          <cell r="D13262" t="str">
            <v>BB BANCO DE INVESTIMENTO S/A</v>
          </cell>
          <cell r="E13262" t="str">
            <v>BB BANCO DE INVESTIMENTO S/A</v>
          </cell>
        </row>
        <row r="13263">
          <cell r="B13263">
            <v>19966</v>
          </cell>
          <cell r="C13263" t="str">
            <v>BB BANCO DE INVESTIMENTO S/A</v>
          </cell>
          <cell r="D13263" t="str">
            <v>BB BANCO DE INVESTIMENTO S/A</v>
          </cell>
          <cell r="E13263" t="str">
            <v>BB BANCO DE INVESTIMENTO S/A</v>
          </cell>
        </row>
        <row r="13264">
          <cell r="B13264">
            <v>19968</v>
          </cell>
          <cell r="C13264" t="str">
            <v>BB BANCO DE INVESTIMENTO S/A</v>
          </cell>
          <cell r="D13264" t="str">
            <v>BB BANCO DE INVESTIMENTO S/A</v>
          </cell>
          <cell r="E13264" t="str">
            <v>BB BANCO DE INVESTIMENTO S/A</v>
          </cell>
        </row>
        <row r="13265">
          <cell r="B13265">
            <v>19971</v>
          </cell>
          <cell r="C13265" t="str">
            <v>BB BANCO DE INVESTIMENTO S/A</v>
          </cell>
          <cell r="D13265" t="str">
            <v>BB BANCO DE INVESTIMENTO S/A</v>
          </cell>
          <cell r="E13265" t="str">
            <v>BB BANCO DE INVESTIMENTO S/A</v>
          </cell>
        </row>
        <row r="13266">
          <cell r="B13266">
            <v>19973</v>
          </cell>
          <cell r="C13266" t="str">
            <v>BB BANCO DE INVESTIMENTO S/A</v>
          </cell>
          <cell r="D13266" t="str">
            <v>BB BANCO DE INVESTIMENTO S/A</v>
          </cell>
          <cell r="E13266" t="str">
            <v>BB BANCO DE INVESTIMENTO S/A</v>
          </cell>
        </row>
        <row r="13267">
          <cell r="B13267">
            <v>19981</v>
          </cell>
          <cell r="C13267" t="str">
            <v>BB BANCO DE INVESTIMENTO S/A</v>
          </cell>
          <cell r="D13267" t="str">
            <v>BB BANCO DE INVESTIMENTO S/A</v>
          </cell>
          <cell r="E13267" t="str">
            <v>BB BANCO DE INVESTIMENTO S/A</v>
          </cell>
        </row>
        <row r="13268">
          <cell r="B13268">
            <v>19986</v>
          </cell>
          <cell r="C13268" t="str">
            <v>BB BANCO DE INVESTIMENTO S/A</v>
          </cell>
          <cell r="D13268" t="str">
            <v>BB BANCO DE INVESTIMENTO S/A</v>
          </cell>
          <cell r="E13268" t="str">
            <v>BB BANCO DE INVESTIMENTO S/A</v>
          </cell>
        </row>
        <row r="13269">
          <cell r="B13269">
            <v>19989</v>
          </cell>
          <cell r="C13269" t="str">
            <v>BB BANCO DE INVESTIMENTO S/A</v>
          </cell>
          <cell r="D13269" t="str">
            <v>BB BANCO DE INVESTIMENTO S/A</v>
          </cell>
          <cell r="E13269" t="str">
            <v>BB BANCO DE INVESTIMENTO S/A</v>
          </cell>
        </row>
        <row r="13270">
          <cell r="B13270">
            <v>19990</v>
          </cell>
          <cell r="C13270" t="str">
            <v>BB BANCO DE INVESTIMENTO S/A</v>
          </cell>
          <cell r="D13270" t="str">
            <v>BB BANCO DE INVESTIMENTO S/A</v>
          </cell>
          <cell r="E13270" t="str">
            <v>BB BANCO DE INVESTIMENTO S/A</v>
          </cell>
        </row>
        <row r="13271">
          <cell r="B13271">
            <v>19991</v>
          </cell>
          <cell r="C13271" t="str">
            <v>BB BANCO DE INVESTIMENTO S/A</v>
          </cell>
          <cell r="D13271" t="str">
            <v>BB BANCO DE INVESTIMENTO S/A</v>
          </cell>
          <cell r="E13271" t="str">
            <v>BB BANCO DE INVESTIMENTO S/A</v>
          </cell>
        </row>
        <row r="13272">
          <cell r="B13272">
            <v>19992</v>
          </cell>
          <cell r="C13272" t="str">
            <v>BB BANCO DE INVESTIMENTO S/A</v>
          </cell>
          <cell r="D13272" t="str">
            <v>BB BANCO DE INVESTIMENTO S/A</v>
          </cell>
          <cell r="E13272" t="str">
            <v>BB BANCO DE INVESTIMENTO S/A</v>
          </cell>
        </row>
        <row r="13273">
          <cell r="B13273">
            <v>2000</v>
          </cell>
          <cell r="C13273" t="str">
            <v>FATOR S/A CV</v>
          </cell>
          <cell r="D13273">
            <v>2000</v>
          </cell>
          <cell r="E13273" t="str">
            <v>FATOR S/A CV</v>
          </cell>
        </row>
        <row r="13274">
          <cell r="B13274">
            <v>20002</v>
          </cell>
          <cell r="C13274" t="str">
            <v>HERMANN ALEXANDRE LEITAO S. VON USLAR</v>
          </cell>
          <cell r="D13274" t="str">
            <v>HERMANN ALEXANDRE LEITAO S. VON USLAR</v>
          </cell>
          <cell r="E13274" t="str">
            <v>HERMANN ALEXANDRE LEITAO S. VON USLAR</v>
          </cell>
        </row>
        <row r="13275">
          <cell r="B13275">
            <v>20004</v>
          </cell>
          <cell r="C13275" t="str">
            <v>OTACILIO FORZAN DE MORAIS</v>
          </cell>
          <cell r="D13275" t="str">
            <v>OTACILIO FORZAN DE MORAIS</v>
          </cell>
          <cell r="E13275" t="str">
            <v>OTACILIO FORZAN DE MORAIS</v>
          </cell>
        </row>
        <row r="13276">
          <cell r="B13276">
            <v>20008</v>
          </cell>
          <cell r="C13276" t="str">
            <v>FIDUCIA ASSET MANAGEMENT</v>
          </cell>
          <cell r="D13276" t="str">
            <v>FIDUCIA ASSET MANAGEMENT</v>
          </cell>
          <cell r="E13276" t="str">
            <v>FIDUCIA ASSET MANAGEMENT</v>
          </cell>
        </row>
        <row r="13277">
          <cell r="B13277">
            <v>20009</v>
          </cell>
          <cell r="C13277" t="str">
            <v>JONAS LUIZ SUCOLOTTI</v>
          </cell>
          <cell r="D13277" t="str">
            <v>JONAS LUIZ SUCOLOTTI</v>
          </cell>
          <cell r="E13277" t="str">
            <v>JONAS LUIZ SUCOLOTTI</v>
          </cell>
        </row>
        <row r="13278">
          <cell r="B13278">
            <v>20100</v>
          </cell>
          <cell r="C13278" t="str">
            <v>IPANEMA FIM</v>
          </cell>
          <cell r="D13278">
            <v>28</v>
          </cell>
          <cell r="E13278" t="str">
            <v>IPANEMA FIM</v>
          </cell>
        </row>
        <row r="13279">
          <cell r="B13279">
            <v>20130</v>
          </cell>
          <cell r="C13279" t="str">
            <v>DIEGO TRAESEL COELHO</v>
          </cell>
          <cell r="D13279" t="str">
            <v>DIEGO TRAESEL COELHO</v>
          </cell>
          <cell r="E13279" t="str">
            <v>DIEGO TRAESEL COELHO</v>
          </cell>
        </row>
        <row r="13280">
          <cell r="B13280">
            <v>202</v>
          </cell>
          <cell r="C13280" t="str">
            <v>FLOW CM LTDA</v>
          </cell>
          <cell r="D13280" t="str">
            <v>202*</v>
          </cell>
          <cell r="E13280" t="str">
            <v>FLOW CM LTDA</v>
          </cell>
        </row>
        <row r="13281">
          <cell r="B13281">
            <v>20538</v>
          </cell>
          <cell r="C13281" t="str">
            <v>OPPORTUNITY DTVM LTDA</v>
          </cell>
          <cell r="D13281" t="str">
            <v>OPPORTUNITY DTVM LTDA</v>
          </cell>
          <cell r="E13281" t="str">
            <v>OPPORTUNITY DTVM LTDA</v>
          </cell>
        </row>
        <row r="13282">
          <cell r="B13282">
            <v>20560</v>
          </cell>
          <cell r="C13282" t="str">
            <v>PAULO PFAENDER</v>
          </cell>
          <cell r="D13282" t="str">
            <v>PAULO PFAENDER</v>
          </cell>
          <cell r="E13282" t="str">
            <v>PAULO PFAENDER</v>
          </cell>
        </row>
        <row r="13283">
          <cell r="B13283">
            <v>80024</v>
          </cell>
          <cell r="C13283" t="str">
            <v>BANCO SANTANDER, S/A (MADRID)</v>
          </cell>
          <cell r="D13283" t="str">
            <v>BANCO SANTANDER, S/A (MADRID)</v>
          </cell>
          <cell r="E13283" t="str">
            <v>BANCO SANTANDER S/A (HISPANO)</v>
          </cell>
        </row>
        <row r="13284">
          <cell r="B13284">
            <v>20810</v>
          </cell>
          <cell r="C13284" t="str">
            <v>ROGERIA COSTA BEBER</v>
          </cell>
          <cell r="D13284" t="str">
            <v>ROGERIA COSTA BEBER</v>
          </cell>
          <cell r="E13284" t="str">
            <v>ROGERIA COSTA BEBER</v>
          </cell>
        </row>
        <row r="13285">
          <cell r="B13285">
            <v>21085</v>
          </cell>
          <cell r="C13285" t="str">
            <v>BRENO BARBOSA LIMA FERNANDES</v>
          </cell>
          <cell r="D13285" t="str">
            <v>BRENO BARBOSA LIMA FERNANDES</v>
          </cell>
          <cell r="E13285" t="str">
            <v>BRENO BARBOSA LIMA FERNANDES</v>
          </cell>
        </row>
        <row r="13286">
          <cell r="B13286">
            <v>21144</v>
          </cell>
          <cell r="C13286" t="str">
            <v>EMPR.BRASILEIRA DE TELECOMUNICAOES S/A-EMBRA</v>
          </cell>
          <cell r="D13286" t="str">
            <v>EMPR.BRASILEIRA DE TELECOMUNICAOES S/A-EMBRA</v>
          </cell>
          <cell r="E13286" t="str">
            <v>EMPR.BRASILEIRA DE TELECOMUNICAOES S/A-EMBRA</v>
          </cell>
        </row>
        <row r="13287">
          <cell r="B13287">
            <v>213</v>
          </cell>
          <cell r="C13287" t="str">
            <v>ICAP DO BRASIL CTVM LTDA ( ATUAL TULLET)</v>
          </cell>
          <cell r="D13287" t="str">
            <v>213*</v>
          </cell>
          <cell r="E13287" t="str">
            <v>ICAP DO BRASIL CTVM LTDA ( ATUAL TULLET)</v>
          </cell>
        </row>
        <row r="13288">
          <cell r="B13288">
            <v>2130</v>
          </cell>
          <cell r="C13288" t="str">
            <v>LOPEZ LEON DERIVATIVOS CM S/A</v>
          </cell>
          <cell r="D13288">
            <v>2130</v>
          </cell>
          <cell r="E13288" t="str">
            <v>LOPEZ LEON DERIVATIVOS CM S/A</v>
          </cell>
        </row>
        <row r="13289">
          <cell r="B13289">
            <v>2132</v>
          </cell>
          <cell r="C13289" t="str">
            <v>LOPEZ LEON DERIVATIVOS CM S/A</v>
          </cell>
          <cell r="D13289">
            <v>2132</v>
          </cell>
          <cell r="E13289" t="str">
            <v>LOPEZ LEON DERIVATIVOS CM S/A</v>
          </cell>
        </row>
        <row r="13290">
          <cell r="B13290">
            <v>22</v>
          </cell>
          <cell r="C13290" t="str">
            <v>BRASCAN S/A CTV</v>
          </cell>
          <cell r="D13290">
            <v>22</v>
          </cell>
          <cell r="E13290" t="str">
            <v>BRASCAN S/A CTV</v>
          </cell>
        </row>
        <row r="13291">
          <cell r="B13291">
            <v>22004</v>
          </cell>
          <cell r="C13291" t="str">
            <v>BB BANCO DE INVESTIMENTO S/A</v>
          </cell>
          <cell r="D13291" t="str">
            <v>BB BANCO DE INVESTIMENTO S/A</v>
          </cell>
          <cell r="E13291" t="str">
            <v>BB BANCO DE INVESTIMENTO S/A</v>
          </cell>
        </row>
        <row r="13292">
          <cell r="B13292">
            <v>22005</v>
          </cell>
          <cell r="C13292" t="str">
            <v>BB GESTAO DE RECURSOS DTVM LTDA</v>
          </cell>
          <cell r="D13292" t="str">
            <v>BB GESTAO DE RECURSOS DTVM LTDA</v>
          </cell>
          <cell r="E13292" t="str">
            <v>BB BANCO DE INVESTIMENTO S/A</v>
          </cell>
        </row>
        <row r="13293">
          <cell r="B13293">
            <v>22006</v>
          </cell>
          <cell r="C13293" t="str">
            <v>BB BANCO DE INVESTIMENTO S/A</v>
          </cell>
          <cell r="D13293" t="str">
            <v>BB BANCO DE INVESTIMENTO S/A</v>
          </cell>
          <cell r="E13293" t="str">
            <v>BB BANCO DE INVESTIMENTO S/A</v>
          </cell>
        </row>
        <row r="13294">
          <cell r="B13294">
            <v>22010</v>
          </cell>
          <cell r="C13294" t="str">
            <v>BB BANCO DE INVESTIMENTO S/A</v>
          </cell>
          <cell r="D13294" t="str">
            <v>BB BANCO DE INVESTIMENTO S/A</v>
          </cell>
          <cell r="E13294" t="str">
            <v>BB BANCO DE INVESTIMENTO S/A</v>
          </cell>
        </row>
        <row r="13295">
          <cell r="B13295">
            <v>22011</v>
          </cell>
          <cell r="C13295" t="str">
            <v>BB BANCO DE INVESTIMENTO S/A</v>
          </cell>
          <cell r="D13295" t="str">
            <v>BB BANCO DE INVESTIMENTO S/A</v>
          </cell>
          <cell r="E13295" t="str">
            <v>BB BANCO DE INVESTIMENTO S/A</v>
          </cell>
        </row>
        <row r="13296">
          <cell r="B13296">
            <v>22012</v>
          </cell>
          <cell r="C13296" t="str">
            <v>BB BANCO DE INVESTIMENTO S/A</v>
          </cell>
          <cell r="D13296" t="str">
            <v>BB BANCO DE INVESTIMENTO S/A</v>
          </cell>
          <cell r="E13296" t="str">
            <v>BB BANCO DE INVESTIMENTO S/A</v>
          </cell>
        </row>
        <row r="13297">
          <cell r="B13297">
            <v>22016</v>
          </cell>
          <cell r="C13297" t="str">
            <v>BB BANCO DE INVESTIMENTO S/A</v>
          </cell>
          <cell r="D13297" t="str">
            <v>BB BANCO DE INVESTIMENTO S/A</v>
          </cell>
          <cell r="E13297" t="str">
            <v>BB BANCO DE INVESTIMENTO S/A</v>
          </cell>
        </row>
        <row r="13298">
          <cell r="B13298">
            <v>22022</v>
          </cell>
          <cell r="C13298" t="str">
            <v>BB BANCO DE INVESTIMENTO S/A</v>
          </cell>
          <cell r="D13298" t="str">
            <v>BB BANCO DE INVESTIMENTO S/A</v>
          </cell>
          <cell r="E13298" t="str">
            <v>BB BANCO DE INVESTIMENTO S/A</v>
          </cell>
        </row>
        <row r="13299">
          <cell r="B13299">
            <v>22026</v>
          </cell>
          <cell r="C13299" t="str">
            <v>BB BANCO DE INVESTIMENTO S/A</v>
          </cell>
          <cell r="D13299" t="str">
            <v>BB BANCO DE INVESTIMENTO S/A</v>
          </cell>
          <cell r="E13299" t="str">
            <v>BB BANCO DE INVESTIMENTO S/A</v>
          </cell>
        </row>
        <row r="13300">
          <cell r="B13300">
            <v>22028</v>
          </cell>
          <cell r="C13300" t="str">
            <v>BB BANCO DE INVESTIMENTO S/A</v>
          </cell>
          <cell r="D13300" t="str">
            <v>BB BANCO DE INVESTIMENTO S/A</v>
          </cell>
          <cell r="E13300" t="str">
            <v>BB BANCO DE INVESTIMENTO S/A</v>
          </cell>
        </row>
        <row r="13301">
          <cell r="B13301">
            <v>22029</v>
          </cell>
          <cell r="C13301" t="str">
            <v>BB BANCO DE INVESTIMENTO S/A</v>
          </cell>
          <cell r="D13301" t="str">
            <v>BB BANCO DE INVESTIMENTO S/A</v>
          </cell>
          <cell r="E13301" t="str">
            <v>BB BANCO DE INVESTIMENTO S/A</v>
          </cell>
        </row>
        <row r="13302">
          <cell r="B13302">
            <v>22030</v>
          </cell>
          <cell r="C13302" t="str">
            <v>BB BANCO DE INVESTIMENTO S/A</v>
          </cell>
          <cell r="D13302" t="str">
            <v>BB BANCO DE INVESTIMENTO S/A</v>
          </cell>
          <cell r="E13302" t="str">
            <v>BB BANCO DE INVESTIMENTO S/A</v>
          </cell>
        </row>
        <row r="13303">
          <cell r="B13303">
            <v>22031</v>
          </cell>
          <cell r="C13303" t="str">
            <v>BB BANCO DE INVESTIMENTO S/A</v>
          </cell>
          <cell r="D13303" t="str">
            <v>BB BANCO DE INVESTIMENTO S/A</v>
          </cell>
          <cell r="E13303" t="str">
            <v>BB BANCO DE INVESTIMENTO S/A</v>
          </cell>
        </row>
        <row r="13304">
          <cell r="B13304">
            <v>22032</v>
          </cell>
          <cell r="C13304" t="str">
            <v>BB BANCO DE INVESTIMENTO S/A</v>
          </cell>
          <cell r="D13304" t="str">
            <v>BB BANCO DE INVESTIMENTO S/A</v>
          </cell>
          <cell r="E13304" t="str">
            <v>BB BANCO DE INVESTIMENTO S/A</v>
          </cell>
        </row>
        <row r="13305">
          <cell r="B13305">
            <v>22047</v>
          </cell>
          <cell r="C13305" t="str">
            <v>BB BANCO DE INVESTIMENTO S/A</v>
          </cell>
          <cell r="D13305" t="str">
            <v>BB BANCO DE INVESTIMENTO S/A</v>
          </cell>
          <cell r="E13305" t="str">
            <v>BB BANCO DE INVESTIMENTO S/A</v>
          </cell>
        </row>
        <row r="13306">
          <cell r="B13306">
            <v>22048</v>
          </cell>
          <cell r="C13306" t="str">
            <v>BB BANCO DE INVESTIMENTO S/A</v>
          </cell>
          <cell r="D13306" t="str">
            <v>BB BANCO DE INVESTIMENTO S/A</v>
          </cell>
          <cell r="E13306" t="str">
            <v>BB BANCO DE INVESTIMENTO S/A</v>
          </cell>
        </row>
        <row r="13307">
          <cell r="B13307">
            <v>22049</v>
          </cell>
          <cell r="C13307" t="str">
            <v>BB BANCO DE INVESTIMENTO S/A</v>
          </cell>
          <cell r="D13307" t="str">
            <v>BB BANCO DE INVESTIMENTO S/A</v>
          </cell>
          <cell r="E13307" t="str">
            <v>BB BANCO DE INVESTIMENTO S/A</v>
          </cell>
        </row>
        <row r="13308">
          <cell r="B13308">
            <v>22052</v>
          </cell>
          <cell r="C13308" t="str">
            <v>BB BANCO DE INVESTIMENTO S/A</v>
          </cell>
          <cell r="D13308" t="str">
            <v>BB BANCO DE INVESTIMENTO S/A</v>
          </cell>
          <cell r="E13308" t="str">
            <v>BB BANCO DE INVESTIMENTO S/A</v>
          </cell>
        </row>
        <row r="13309">
          <cell r="B13309">
            <v>22057</v>
          </cell>
          <cell r="C13309" t="str">
            <v>BB BANCO DE INVESTIMENTO S/A</v>
          </cell>
          <cell r="D13309" t="str">
            <v>BB BANCO DE INVESTIMENTO S/A</v>
          </cell>
          <cell r="E13309" t="str">
            <v>BB BANCO DE INVESTIMENTO S/A</v>
          </cell>
        </row>
        <row r="13310">
          <cell r="B13310">
            <v>22058</v>
          </cell>
          <cell r="C13310" t="str">
            <v>BB BANCO DE INVESTIMENTO S/A</v>
          </cell>
          <cell r="D13310" t="str">
            <v>BB BANCO DE INVESTIMENTO S/A</v>
          </cell>
          <cell r="E13310" t="str">
            <v>BB BANCO DE INVESTIMENTO S/A</v>
          </cell>
        </row>
        <row r="13311">
          <cell r="B13311">
            <v>22067</v>
          </cell>
          <cell r="C13311" t="str">
            <v>BB BANCO DE INVESTIMENTO S/A</v>
          </cell>
          <cell r="D13311" t="str">
            <v>BB BANCO DE INVESTIMENTO S/A</v>
          </cell>
          <cell r="E13311" t="str">
            <v>BB BANCO DE INVESTIMENTO S/A</v>
          </cell>
        </row>
        <row r="13312">
          <cell r="B13312">
            <v>22073</v>
          </cell>
          <cell r="C13312" t="str">
            <v>BB BANCO DE INVESTIMENTO S/A</v>
          </cell>
          <cell r="D13312" t="str">
            <v>BB BANCO DE INVESTIMENTO S/A</v>
          </cell>
          <cell r="E13312" t="str">
            <v>BB BANCO DE INVESTIMENTO S/A</v>
          </cell>
        </row>
        <row r="13313">
          <cell r="B13313">
            <v>22077</v>
          </cell>
          <cell r="C13313" t="str">
            <v>BB BANCO DE INVESTIMENTO S/A</v>
          </cell>
          <cell r="D13313" t="str">
            <v>BB BANCO DE INVESTIMENTO S/A</v>
          </cell>
          <cell r="E13313" t="str">
            <v>BB BANCO DE INVESTIMENTO S/A</v>
          </cell>
        </row>
        <row r="13314">
          <cell r="B13314">
            <v>22080</v>
          </cell>
          <cell r="C13314" t="str">
            <v>BB BANCO DE INVESTIMENTO S/A</v>
          </cell>
          <cell r="D13314" t="str">
            <v>BB BANCO DE INVESTIMENTO S/A</v>
          </cell>
          <cell r="E13314" t="str">
            <v>BB BANCO DE INVESTIMENTO S/A</v>
          </cell>
        </row>
        <row r="13315">
          <cell r="B13315">
            <v>22085</v>
          </cell>
          <cell r="C13315" t="str">
            <v>BB BANCO DE INVESTIMENTO S/A</v>
          </cell>
          <cell r="D13315" t="str">
            <v>BB BANCO DE INVESTIMENTO S/A</v>
          </cell>
          <cell r="E13315" t="str">
            <v>BB BANCO DE INVESTIMENTO S/A</v>
          </cell>
        </row>
        <row r="13316">
          <cell r="B13316">
            <v>22086</v>
          </cell>
          <cell r="C13316" t="str">
            <v>BB BANCO DE INVESTIMENTO S/A</v>
          </cell>
          <cell r="D13316" t="str">
            <v>BB BANCO DE INVESTIMENTO S/A</v>
          </cell>
          <cell r="E13316" t="str">
            <v>BB BANCO DE INVESTIMENTO S/A</v>
          </cell>
        </row>
        <row r="13317">
          <cell r="B13317">
            <v>22089</v>
          </cell>
          <cell r="C13317" t="str">
            <v>BB BANCO DE INVESTIMENTO S/A</v>
          </cell>
          <cell r="D13317" t="str">
            <v>BB BANCO DE INVESTIMENTO S/A</v>
          </cell>
          <cell r="E13317" t="str">
            <v>BB BANCO DE INVESTIMENTO S/A</v>
          </cell>
        </row>
        <row r="13318">
          <cell r="B13318">
            <v>22093</v>
          </cell>
          <cell r="C13318" t="str">
            <v>BB BANCO DE INVESTIMENTO S/A</v>
          </cell>
          <cell r="D13318" t="str">
            <v>BB BANCO DE INVESTIMENTO S/A</v>
          </cell>
          <cell r="E13318" t="str">
            <v>BB BANCO DE INVESTIMENTO S/A</v>
          </cell>
        </row>
        <row r="13319">
          <cell r="B13319">
            <v>22094</v>
          </cell>
          <cell r="C13319" t="str">
            <v>BB GESTAO DE RECURSOS DTVM LTDA</v>
          </cell>
          <cell r="D13319" t="str">
            <v>BB GESTAO DE RECURSOS DTVM LTDA</v>
          </cell>
          <cell r="E13319" t="str">
            <v>BB BANCO DE INVESTIMENTO S/A</v>
          </cell>
        </row>
        <row r="13320">
          <cell r="B13320">
            <v>22097</v>
          </cell>
          <cell r="C13320" t="str">
            <v>BB BANCO DE INVESTIMENTO S/A</v>
          </cell>
          <cell r="D13320" t="str">
            <v>BB BANCO DE INVESTIMENTO S/A</v>
          </cell>
          <cell r="E13320" t="str">
            <v>BB BANCO DE INVESTIMENTO S/A</v>
          </cell>
        </row>
        <row r="13321">
          <cell r="B13321">
            <v>22100</v>
          </cell>
          <cell r="C13321" t="str">
            <v>BB BANCO DE INVESTIMENTO S/A</v>
          </cell>
          <cell r="D13321" t="str">
            <v>BB BANCO DE INVESTIMENTO S/A</v>
          </cell>
          <cell r="E13321" t="str">
            <v>BB BANCO DE INVESTIMENTO S/A</v>
          </cell>
        </row>
        <row r="13322">
          <cell r="B13322">
            <v>22101</v>
          </cell>
          <cell r="C13322" t="str">
            <v>BB BANCO DE INVESTIMENTO S/A</v>
          </cell>
          <cell r="D13322" t="str">
            <v>BB BANCO DE INVESTIMENTO S/A</v>
          </cell>
          <cell r="E13322" t="str">
            <v>BB BANCO DE INVESTIMENTO S/A</v>
          </cell>
        </row>
        <row r="13323">
          <cell r="B13323">
            <v>22102</v>
          </cell>
          <cell r="C13323" t="str">
            <v>BB BANCO DE INVESTIMENTO S/A</v>
          </cell>
          <cell r="D13323" t="str">
            <v>BB BANCO DE INVESTIMENTO S/A</v>
          </cell>
          <cell r="E13323" t="str">
            <v>BB BANCO DE INVESTIMENTO S/A</v>
          </cell>
        </row>
        <row r="13324">
          <cell r="B13324">
            <v>22106</v>
          </cell>
          <cell r="C13324" t="str">
            <v>BB BANCO DE INVESTIMENTO S/A</v>
          </cell>
          <cell r="D13324" t="str">
            <v>BB BANCO DE INVESTIMENTO S/A</v>
          </cell>
          <cell r="E13324" t="str">
            <v>BB BANCO DE INVESTIMENTO S/A</v>
          </cell>
        </row>
        <row r="13325">
          <cell r="B13325">
            <v>22107</v>
          </cell>
          <cell r="C13325" t="str">
            <v>BB GESTAO DE RECURSOS DTVM LTDA</v>
          </cell>
          <cell r="D13325" t="str">
            <v>BB GESTAO DE RECURSOS DTVM LTDA</v>
          </cell>
          <cell r="E13325" t="str">
            <v>BB BANCO DE INVESTIMENTO S/A</v>
          </cell>
        </row>
        <row r="13326">
          <cell r="B13326">
            <v>22109</v>
          </cell>
          <cell r="C13326" t="str">
            <v>BB BANCO DE INVESTIMENTO S/A</v>
          </cell>
          <cell r="D13326" t="str">
            <v>BB BANCO DE INVESTIMENTO S/A</v>
          </cell>
          <cell r="E13326" t="str">
            <v>BB BANCO DE INVESTIMENTO S/A</v>
          </cell>
        </row>
        <row r="13327">
          <cell r="B13327">
            <v>22110</v>
          </cell>
          <cell r="C13327" t="str">
            <v>BB BANCO DE INVESTIMENTO S/A</v>
          </cell>
          <cell r="D13327" t="str">
            <v>BB BANCO DE INVESTIMENTO S/A</v>
          </cell>
          <cell r="E13327" t="str">
            <v>BB BANCO DE INVESTIMENTO S/A</v>
          </cell>
        </row>
        <row r="13328">
          <cell r="B13328">
            <v>22111</v>
          </cell>
          <cell r="C13328" t="str">
            <v>BB GESTAO DE RECURSOS DTVM LTDA</v>
          </cell>
          <cell r="D13328" t="str">
            <v>BB GESTAO DE RECURSOS DTVM LTDA</v>
          </cell>
          <cell r="E13328" t="str">
            <v>BB BANCO DE INVESTIMENTO S/A</v>
          </cell>
        </row>
        <row r="13329">
          <cell r="B13329">
            <v>22112</v>
          </cell>
          <cell r="C13329" t="str">
            <v>BB BANCO DE INVESTIMENTO S/A</v>
          </cell>
          <cell r="D13329" t="str">
            <v>BB BANCO DE INVESTIMENTO S/A</v>
          </cell>
          <cell r="E13329" t="str">
            <v>BB BANCO DE INVESTIMENTO S/A</v>
          </cell>
        </row>
        <row r="13330">
          <cell r="B13330">
            <v>22113</v>
          </cell>
          <cell r="C13330" t="str">
            <v>BB BANCO DE INVESTIMENTO S/A</v>
          </cell>
          <cell r="D13330" t="str">
            <v>BB BANCO DE INVESTIMENTO S/A</v>
          </cell>
          <cell r="E13330" t="str">
            <v>BB BANCO DE INVESTIMENTO S/A</v>
          </cell>
        </row>
        <row r="13331">
          <cell r="B13331">
            <v>22115</v>
          </cell>
          <cell r="C13331" t="str">
            <v>BB BANCO DE INVESTIMENTO S/A</v>
          </cell>
          <cell r="D13331" t="str">
            <v>BB BANCO DE INVESTIMENTO S/A</v>
          </cell>
          <cell r="E13331" t="str">
            <v>BB BANCO DE INVESTIMENTO S/A</v>
          </cell>
        </row>
        <row r="13332">
          <cell r="B13332">
            <v>22116</v>
          </cell>
          <cell r="C13332" t="str">
            <v>BB BANCO DE INVESTIMENTO S/A</v>
          </cell>
          <cell r="D13332" t="str">
            <v>BB BANCO DE INVESTIMENTO S/A</v>
          </cell>
          <cell r="E13332" t="str">
            <v>BB BANCO DE INVESTIMENTO S/A</v>
          </cell>
        </row>
        <row r="13333">
          <cell r="B13333">
            <v>22127</v>
          </cell>
          <cell r="C13333" t="str">
            <v>BB BANCO DE INVESTIMENTO S/A</v>
          </cell>
          <cell r="D13333" t="str">
            <v>BB BANCO DE INVESTIMENTO S/A</v>
          </cell>
          <cell r="E13333" t="str">
            <v>BB BANCO DE INVESTIMENTO S/A</v>
          </cell>
        </row>
        <row r="13334">
          <cell r="B13334">
            <v>22131</v>
          </cell>
          <cell r="C13334" t="str">
            <v>BB BANCO DE INVESTIMENTO S/A</v>
          </cell>
          <cell r="D13334" t="str">
            <v>BB BANCO DE INVESTIMENTO S/A</v>
          </cell>
          <cell r="E13334" t="str">
            <v>BB BANCO DE INVESTIMENTO S/A</v>
          </cell>
        </row>
        <row r="13335">
          <cell r="B13335">
            <v>22135</v>
          </cell>
          <cell r="C13335" t="str">
            <v>BB BANCO DE INVESTIMENTO S/A</v>
          </cell>
          <cell r="D13335" t="str">
            <v>BB BANCO DE INVESTIMENTO S/A</v>
          </cell>
          <cell r="E13335" t="str">
            <v>BB BANCO DE INVESTIMENTO S/A</v>
          </cell>
        </row>
        <row r="13336">
          <cell r="B13336">
            <v>22141</v>
          </cell>
          <cell r="C13336" t="str">
            <v>BB BANCO DE INVESTIMENTO S/A</v>
          </cell>
          <cell r="D13336" t="str">
            <v>BB BANCO DE INVESTIMENTO S/A</v>
          </cell>
          <cell r="E13336" t="str">
            <v>BB BANCO DE INVESTIMENTO S/A</v>
          </cell>
        </row>
        <row r="13337">
          <cell r="B13337">
            <v>22142</v>
          </cell>
          <cell r="C13337" t="str">
            <v>BB BANCO DE INVESTIMENTO S/A</v>
          </cell>
          <cell r="D13337" t="str">
            <v>BB BANCO DE INVESTIMENTO S/A</v>
          </cell>
          <cell r="E13337" t="str">
            <v>BB BANCO DE INVESTIMENTO S/A</v>
          </cell>
        </row>
        <row r="13338">
          <cell r="B13338">
            <v>22145</v>
          </cell>
          <cell r="C13338" t="str">
            <v>BB BANCO DE INVESTIMENTO S/A</v>
          </cell>
          <cell r="D13338" t="str">
            <v>BB BANCO DE INVESTIMENTO S/A</v>
          </cell>
          <cell r="E13338" t="str">
            <v>BB BANCO DE INVESTIMENTO S/A</v>
          </cell>
        </row>
        <row r="13339">
          <cell r="B13339">
            <v>22146</v>
          </cell>
          <cell r="C13339" t="str">
            <v>BB BANCO DE INVESTIMENTO S/A</v>
          </cell>
          <cell r="D13339" t="str">
            <v>BB BANCO DE INVESTIMENTO S/A</v>
          </cell>
          <cell r="E13339" t="str">
            <v>BB BANCO DE INVESTIMENTO S/A</v>
          </cell>
        </row>
        <row r="13340">
          <cell r="B13340">
            <v>22147</v>
          </cell>
          <cell r="C13340" t="str">
            <v>BB BANCO DE INVESTIMENTO S/A</v>
          </cell>
          <cell r="D13340" t="str">
            <v>BB BANCO DE INVESTIMENTO S/A</v>
          </cell>
          <cell r="E13340" t="str">
            <v>BB BANCO DE INVESTIMENTO S/A</v>
          </cell>
        </row>
        <row r="13341">
          <cell r="B13341">
            <v>22148</v>
          </cell>
          <cell r="C13341" t="str">
            <v>BB BANCO DE INVESTIMENTO S/A</v>
          </cell>
          <cell r="D13341" t="str">
            <v>BB BANCO DE INVESTIMENTO S/A</v>
          </cell>
          <cell r="E13341" t="str">
            <v>BB BANCO DE INVESTIMENTO S/A</v>
          </cell>
        </row>
        <row r="13342">
          <cell r="B13342">
            <v>22153</v>
          </cell>
          <cell r="C13342" t="str">
            <v>BB BANCO DE INVESTIMENTO S/A</v>
          </cell>
          <cell r="D13342" t="str">
            <v>BB BANCO DE INVESTIMENTO S/A</v>
          </cell>
          <cell r="E13342" t="str">
            <v>BB BANCO DE INVESTIMENTO S/A</v>
          </cell>
        </row>
        <row r="13343">
          <cell r="B13343">
            <v>22162</v>
          </cell>
          <cell r="C13343" t="str">
            <v>BB BANCO DE INVESTIMENTO S/A</v>
          </cell>
          <cell r="D13343" t="str">
            <v>BB BANCO DE INVESTIMENTO S/A</v>
          </cell>
          <cell r="E13343" t="str">
            <v>BB BANCO DE INVESTIMENTO S/A</v>
          </cell>
        </row>
        <row r="13344">
          <cell r="B13344">
            <v>22164</v>
          </cell>
          <cell r="C13344" t="str">
            <v>BB BANCO DE INVESTIMENTO S/A</v>
          </cell>
          <cell r="D13344" t="str">
            <v>BB BANCO DE INVESTIMENTO S/A</v>
          </cell>
          <cell r="E13344" t="str">
            <v>BB BANCO DE INVESTIMENTO S/A</v>
          </cell>
        </row>
        <row r="13345">
          <cell r="B13345">
            <v>22165</v>
          </cell>
          <cell r="C13345" t="str">
            <v>BB BANCO DE INVESTIMENTO S/A</v>
          </cell>
          <cell r="D13345" t="str">
            <v>BB BANCO DE INVESTIMENTO S/A</v>
          </cell>
          <cell r="E13345" t="str">
            <v>BB BANCO DE INVESTIMENTO S/A</v>
          </cell>
        </row>
        <row r="13346">
          <cell r="B13346">
            <v>22170</v>
          </cell>
          <cell r="C13346" t="str">
            <v>BB BANCO DE INVESTIMENTO S/A</v>
          </cell>
          <cell r="D13346" t="str">
            <v>BB BANCO DE INVESTIMENTO S/A</v>
          </cell>
          <cell r="E13346" t="str">
            <v>BB BANCO DE INVESTIMENTO S/A</v>
          </cell>
        </row>
        <row r="13347">
          <cell r="B13347">
            <v>22180</v>
          </cell>
          <cell r="C13347" t="str">
            <v>BB BANCO DE INVESTIMENTO S/A</v>
          </cell>
          <cell r="D13347" t="str">
            <v>BB BANCO DE INVESTIMENTO S/A</v>
          </cell>
          <cell r="E13347" t="str">
            <v>BB BANCO DE INVESTIMENTO S/A</v>
          </cell>
        </row>
        <row r="13348">
          <cell r="B13348">
            <v>22181</v>
          </cell>
          <cell r="C13348" t="str">
            <v>BB BANCO DE INVESTIMENTO S/A</v>
          </cell>
          <cell r="D13348" t="str">
            <v>BB BANCO DE INVESTIMENTO S/A</v>
          </cell>
          <cell r="E13348" t="str">
            <v>BB BANCO DE INVESTIMENTO S/A</v>
          </cell>
        </row>
        <row r="13349">
          <cell r="B13349">
            <v>22182</v>
          </cell>
          <cell r="C13349" t="str">
            <v>BB BANCO DE INVESTIMENTO S/A</v>
          </cell>
          <cell r="D13349" t="str">
            <v>BB BANCO DE INVESTIMENTO S/A</v>
          </cell>
          <cell r="E13349" t="str">
            <v>BB BANCO DE INVESTIMENTO S/A</v>
          </cell>
        </row>
        <row r="13350">
          <cell r="B13350">
            <v>22184</v>
          </cell>
          <cell r="C13350" t="str">
            <v>BB BANCO DE INVESTIMENTO S/A</v>
          </cell>
          <cell r="D13350" t="str">
            <v>BB BANCO DE INVESTIMENTO S/A</v>
          </cell>
          <cell r="E13350" t="str">
            <v>BB BANCO DE INVESTIMENTO S/A</v>
          </cell>
        </row>
        <row r="13351">
          <cell r="B13351">
            <v>22185</v>
          </cell>
          <cell r="C13351" t="str">
            <v>BB BANCO DE INVESTIMENTO S/A</v>
          </cell>
          <cell r="D13351" t="str">
            <v>BB BANCO DE INVESTIMENTO S/A</v>
          </cell>
          <cell r="E13351" t="str">
            <v>BB BANCO DE INVESTIMENTO S/A</v>
          </cell>
        </row>
        <row r="13352">
          <cell r="B13352">
            <v>22186</v>
          </cell>
          <cell r="C13352" t="str">
            <v>BB BANCO DE INVESTIMENTO S/A</v>
          </cell>
          <cell r="D13352" t="str">
            <v>BB BANCO DE INVESTIMENTO S/A</v>
          </cell>
          <cell r="E13352" t="str">
            <v>BB BANCO DE INVESTIMENTO S/A</v>
          </cell>
        </row>
        <row r="13353">
          <cell r="B13353">
            <v>22187</v>
          </cell>
          <cell r="C13353" t="str">
            <v>BB BANCO DE INVESTIMENTO S/A</v>
          </cell>
          <cell r="D13353" t="str">
            <v>BB BANCO DE INVESTIMENTO S/A</v>
          </cell>
          <cell r="E13353" t="str">
            <v>BB BANCO DE INVESTIMENTO S/A</v>
          </cell>
        </row>
        <row r="13354">
          <cell r="B13354">
            <v>22188</v>
          </cell>
          <cell r="C13354" t="str">
            <v>BB BANCO DE INVESTIMENTO S/A</v>
          </cell>
          <cell r="D13354" t="str">
            <v>BB BANCO DE INVESTIMENTO S/A</v>
          </cell>
          <cell r="E13354" t="str">
            <v>BB BANCO DE INVESTIMENTO S/A</v>
          </cell>
        </row>
        <row r="13355">
          <cell r="B13355">
            <v>22191</v>
          </cell>
          <cell r="C13355" t="str">
            <v>BB BANCO DE INVESTIMENTO S/A</v>
          </cell>
          <cell r="D13355" t="str">
            <v>BB BANCO DE INVESTIMENTO S/A</v>
          </cell>
          <cell r="E13355" t="str">
            <v>BB BANCO DE INVESTIMENTO S/A</v>
          </cell>
        </row>
        <row r="13356">
          <cell r="B13356">
            <v>22192</v>
          </cell>
          <cell r="C13356" t="str">
            <v>BB BANCO DE INVESTIMENTO S/A</v>
          </cell>
          <cell r="D13356" t="str">
            <v>BB BANCO DE INVESTIMENTO S/A</v>
          </cell>
          <cell r="E13356" t="str">
            <v>BB BANCO DE INVESTIMENTO S/A</v>
          </cell>
        </row>
        <row r="13357">
          <cell r="B13357">
            <v>22199</v>
          </cell>
          <cell r="C13357" t="str">
            <v>BB GESTAO DE RECURSOS DTVM LTDA</v>
          </cell>
          <cell r="D13357" t="str">
            <v>BB GESTAO DE RECURSOS DTVM LTDA</v>
          </cell>
          <cell r="E13357" t="str">
            <v>BB BANCO DE INVESTIMENTO S/A</v>
          </cell>
        </row>
        <row r="13358">
          <cell r="B13358">
            <v>22205</v>
          </cell>
          <cell r="C13358" t="str">
            <v>BB BANCO DE INVESTIMENTO S/A</v>
          </cell>
          <cell r="D13358" t="str">
            <v>BB BANCO DE INVESTIMENTO S/A</v>
          </cell>
          <cell r="E13358" t="str">
            <v>BB BANCO DE INVESTIMENTO S/A</v>
          </cell>
        </row>
        <row r="13359">
          <cell r="B13359">
            <v>22207</v>
          </cell>
          <cell r="C13359" t="str">
            <v>BB BANCO DE INVESTIMENTO S/A</v>
          </cell>
          <cell r="D13359" t="str">
            <v>BB BANCO DE INVESTIMENTO S/A</v>
          </cell>
          <cell r="E13359" t="str">
            <v>BB BANCO DE INVESTIMENTO S/A</v>
          </cell>
        </row>
        <row r="13360">
          <cell r="B13360">
            <v>22208</v>
          </cell>
          <cell r="C13360" t="str">
            <v>BB BANCO DE INVESTIMENTO S/A</v>
          </cell>
          <cell r="D13360" t="str">
            <v>BB BANCO DE INVESTIMENTO S/A</v>
          </cell>
          <cell r="E13360" t="str">
            <v>BB BANCO DE INVESTIMENTO S/A</v>
          </cell>
        </row>
        <row r="13361">
          <cell r="B13361">
            <v>22209</v>
          </cell>
          <cell r="C13361" t="str">
            <v>BB BANCO DE INVESTIMENTO S/A</v>
          </cell>
          <cell r="D13361" t="str">
            <v>BB BANCO DE INVESTIMENTO S/A</v>
          </cell>
          <cell r="E13361" t="str">
            <v>BB BANCO DE INVESTIMENTO S/A</v>
          </cell>
        </row>
        <row r="13362">
          <cell r="B13362">
            <v>22210</v>
          </cell>
          <cell r="C13362" t="str">
            <v>BB BANCO DE INVESTIMENTO S/A</v>
          </cell>
          <cell r="D13362" t="str">
            <v>BB BANCO DE INVESTIMENTO S/A</v>
          </cell>
          <cell r="E13362" t="str">
            <v>BB BANCO DE INVESTIMENTO S/A</v>
          </cell>
        </row>
        <row r="13363">
          <cell r="B13363">
            <v>22211</v>
          </cell>
          <cell r="C13363" t="str">
            <v>BB BANCO DE INVESTIMENTO S/A</v>
          </cell>
          <cell r="D13363" t="str">
            <v>BB BANCO DE INVESTIMENTO S/A</v>
          </cell>
          <cell r="E13363" t="str">
            <v>BB BANCO DE INVESTIMENTO S/A</v>
          </cell>
        </row>
        <row r="13364">
          <cell r="B13364">
            <v>22216</v>
          </cell>
          <cell r="C13364" t="str">
            <v>BB GESTAO DE RECURSOS DTVM LTDA</v>
          </cell>
          <cell r="D13364" t="str">
            <v>BB GESTAO DE RECURSOS DTVM LTDA</v>
          </cell>
          <cell r="E13364" t="str">
            <v>BB BANCO DE INVESTIMENTO S/A</v>
          </cell>
        </row>
        <row r="13365">
          <cell r="B13365">
            <v>22220</v>
          </cell>
          <cell r="C13365" t="str">
            <v>BB BANCO DE INVESTIMENTO S/A</v>
          </cell>
          <cell r="D13365" t="str">
            <v>BB BANCO DE INVESTIMENTO S/A</v>
          </cell>
          <cell r="E13365" t="str">
            <v>BB BANCO DE INVESTIMENTO S/A</v>
          </cell>
        </row>
        <row r="13366">
          <cell r="B13366">
            <v>22222</v>
          </cell>
          <cell r="C13366" t="str">
            <v>BB GESTAO DE RECURSOS DTVM LTDA</v>
          </cell>
          <cell r="D13366" t="str">
            <v>BB GESTAO DE RECURSOS DTVM LTDA</v>
          </cell>
          <cell r="E13366" t="str">
            <v>BB BANCO DE INVESTIMENTO S/A</v>
          </cell>
        </row>
        <row r="13367">
          <cell r="B13367">
            <v>22226</v>
          </cell>
          <cell r="C13367" t="str">
            <v>BB BANCO DE INVESTIMENTO S/A</v>
          </cell>
          <cell r="D13367" t="str">
            <v>BB BANCO DE INVESTIMENTO S/A</v>
          </cell>
          <cell r="E13367" t="str">
            <v>BB BANCO DE INVESTIMENTO S/A</v>
          </cell>
        </row>
        <row r="13368">
          <cell r="B13368">
            <v>22230</v>
          </cell>
          <cell r="C13368" t="str">
            <v>BB BANCO DE INVESTIMENTO S/A</v>
          </cell>
          <cell r="D13368" t="str">
            <v>BB BANCO DE INVESTIMENTO S/A</v>
          </cell>
          <cell r="E13368" t="str">
            <v>BB BANCO DE INVESTIMENTO S/A</v>
          </cell>
        </row>
        <row r="13369">
          <cell r="B13369">
            <v>22232</v>
          </cell>
          <cell r="C13369" t="str">
            <v>BB BANCO DE INVESTIMENTO S/A</v>
          </cell>
          <cell r="D13369" t="str">
            <v>BB BANCO DE INVESTIMENTO S/A</v>
          </cell>
          <cell r="E13369" t="str">
            <v>BB BANCO DE INVESTIMENTO S/A</v>
          </cell>
        </row>
        <row r="13370">
          <cell r="B13370">
            <v>22233</v>
          </cell>
          <cell r="C13370" t="str">
            <v>BB BANCO DE INVESTIMENTO S/A</v>
          </cell>
          <cell r="D13370" t="str">
            <v>BB BANCO DE INVESTIMENTO S/A</v>
          </cell>
          <cell r="E13370" t="str">
            <v>BB BANCO DE INVESTIMENTO S/A</v>
          </cell>
        </row>
        <row r="13371">
          <cell r="B13371">
            <v>22234</v>
          </cell>
          <cell r="C13371" t="str">
            <v>BB BANCO DE INVESTIMENTO S/A</v>
          </cell>
          <cell r="D13371" t="str">
            <v>BB BANCO DE INVESTIMENTO S/A</v>
          </cell>
          <cell r="E13371" t="str">
            <v>BB BANCO DE INVESTIMENTO S/A</v>
          </cell>
        </row>
        <row r="13372">
          <cell r="B13372">
            <v>22237</v>
          </cell>
          <cell r="C13372" t="str">
            <v>BB GESTAO DE RECURSOS DTVM LTDA</v>
          </cell>
          <cell r="D13372" t="str">
            <v>BB GESTAO DE RECURSOS DTVM LTDA</v>
          </cell>
          <cell r="E13372" t="str">
            <v>BB BANCO DE INVESTIMENTO S/A</v>
          </cell>
        </row>
        <row r="13373">
          <cell r="B13373">
            <v>22238</v>
          </cell>
          <cell r="C13373" t="str">
            <v>BB BANCO DE INVESTIMENTO S/A</v>
          </cell>
          <cell r="D13373" t="str">
            <v>BB BANCO DE INVESTIMENTO S/A</v>
          </cell>
          <cell r="E13373" t="str">
            <v>BB BANCO DE INVESTIMENTO S/A</v>
          </cell>
        </row>
        <row r="13374">
          <cell r="B13374">
            <v>22240</v>
          </cell>
          <cell r="C13374" t="str">
            <v>BB GESTAO DE RECURSOS DTVM LTDA</v>
          </cell>
          <cell r="D13374" t="str">
            <v>BB GESTAO DE RECURSOS DTVM LTDA</v>
          </cell>
          <cell r="E13374" t="str">
            <v>BB GESTAO DE RECURSOS DTVM LTDA</v>
          </cell>
        </row>
        <row r="13375">
          <cell r="B13375">
            <v>22244</v>
          </cell>
          <cell r="C13375" t="str">
            <v>BB BANCO DE INVESTIMENTO S/A</v>
          </cell>
          <cell r="D13375" t="str">
            <v>BB BANCO DE INVESTIMENTO S/A</v>
          </cell>
          <cell r="E13375" t="str">
            <v>BB BANCO DE INVESTIMENTO S/A</v>
          </cell>
        </row>
        <row r="13376">
          <cell r="B13376">
            <v>22245</v>
          </cell>
          <cell r="C13376" t="str">
            <v>BB BANCO DE INVESTIMENTO S/A</v>
          </cell>
          <cell r="D13376" t="str">
            <v>BB BANCO DE INVESTIMENTO S/A</v>
          </cell>
          <cell r="E13376" t="str">
            <v>BB BANCO DE INVESTIMENTO S/A</v>
          </cell>
        </row>
        <row r="13377">
          <cell r="B13377">
            <v>22249</v>
          </cell>
          <cell r="C13377" t="str">
            <v>BB BANCO DE INVESTIMENTO S/A</v>
          </cell>
          <cell r="D13377" t="str">
            <v>BB BANCO DE INVESTIMENTO S/A</v>
          </cell>
          <cell r="E13377" t="str">
            <v>BB BANCO DE INVESTIMENTO S/A</v>
          </cell>
        </row>
        <row r="13378">
          <cell r="B13378">
            <v>22258</v>
          </cell>
          <cell r="C13378" t="str">
            <v>BB BANCO DE INVESTIMENTO S/A</v>
          </cell>
          <cell r="D13378" t="str">
            <v>BB BANCO DE INVESTIMENTO S/A</v>
          </cell>
          <cell r="E13378" t="str">
            <v>BB BANCO DE INVESTIMENTO S/A</v>
          </cell>
        </row>
        <row r="13379">
          <cell r="B13379">
            <v>222650</v>
          </cell>
          <cell r="C13379" t="str">
            <v>BB BANCO DE INVESTIMENTO S/A</v>
          </cell>
          <cell r="D13379" t="str">
            <v>BB BANCO DE INVESTIMENTO S/A</v>
          </cell>
          <cell r="E13379" t="str">
            <v>BB BANCO DE INVESTIMENTO S/A</v>
          </cell>
        </row>
        <row r="13380">
          <cell r="B13380">
            <v>22268</v>
          </cell>
          <cell r="C13380" t="str">
            <v>BB GESTAO DE RECURSOS DTVM LTDA</v>
          </cell>
          <cell r="D13380" t="str">
            <v>BB GESTAO DE RECURSOS DTVM LTDA</v>
          </cell>
          <cell r="E13380" t="str">
            <v>BB BANCO DE INVESTIMENTO S/A</v>
          </cell>
        </row>
        <row r="13381">
          <cell r="B13381">
            <v>22269</v>
          </cell>
          <cell r="C13381" t="str">
            <v>BB BANCO DE INVESTIMENTO S/A</v>
          </cell>
          <cell r="D13381" t="str">
            <v>BB BANCO DE INVESTIMENTO S/A</v>
          </cell>
          <cell r="E13381" t="str">
            <v>BB BANCO DE INVESTIMENTO S/A</v>
          </cell>
        </row>
        <row r="13382">
          <cell r="B13382">
            <v>22272</v>
          </cell>
          <cell r="C13382" t="str">
            <v>BB BANCO DE INVESTIMENTO S/A</v>
          </cell>
          <cell r="D13382" t="str">
            <v>BB BANCO DE INVESTIMENTO S/A</v>
          </cell>
          <cell r="E13382" t="str">
            <v>BB BANCO DE INVESTIMENTO S/A</v>
          </cell>
        </row>
        <row r="13383">
          <cell r="B13383">
            <v>22274</v>
          </cell>
          <cell r="C13383" t="str">
            <v>BB BANCO DE INVESTIMENTO S/A</v>
          </cell>
          <cell r="D13383" t="str">
            <v>BB BANCO DE INVESTIMENTO S/A</v>
          </cell>
          <cell r="E13383" t="str">
            <v>BB BANCO DE INVESTIMENTO S/A</v>
          </cell>
        </row>
        <row r="13384">
          <cell r="B13384">
            <v>22278</v>
          </cell>
          <cell r="C13384" t="str">
            <v>BB BANCO DE INVESTIMENTO S/A</v>
          </cell>
          <cell r="D13384" t="str">
            <v>BB BANCO DE INVESTIMENTO S/A</v>
          </cell>
          <cell r="E13384" t="str">
            <v>BB BANCO DE INVESTIMENTO S/A</v>
          </cell>
        </row>
        <row r="13385">
          <cell r="B13385">
            <v>22280</v>
          </cell>
          <cell r="C13385" t="str">
            <v>BB BANCO DE INVESTIMENTO S/A</v>
          </cell>
          <cell r="D13385" t="str">
            <v>BB BANCO DE INVESTIMENTO S/A</v>
          </cell>
          <cell r="E13385" t="str">
            <v>BB BANCO DE INVESTIMENTO S/A</v>
          </cell>
        </row>
        <row r="13386">
          <cell r="B13386">
            <v>22281</v>
          </cell>
          <cell r="C13386" t="str">
            <v>BB BANCO DE INVESTIMENTO S/A</v>
          </cell>
          <cell r="D13386" t="str">
            <v>BB BANCO DE INVESTIMENTO S/A</v>
          </cell>
          <cell r="E13386" t="str">
            <v>BB BANCO DE INVESTIMENTO S/A</v>
          </cell>
        </row>
        <row r="13387">
          <cell r="B13387">
            <v>22282</v>
          </cell>
          <cell r="C13387" t="str">
            <v>BB BANCO DE INVESTIMENTO S/A</v>
          </cell>
          <cell r="D13387" t="str">
            <v>BB BANCO DE INVESTIMENTO S/A</v>
          </cell>
          <cell r="E13387" t="str">
            <v>BB BANCO DE INVESTIMENTO S/A</v>
          </cell>
        </row>
        <row r="13388">
          <cell r="B13388">
            <v>22285</v>
          </cell>
          <cell r="C13388" t="str">
            <v>BB BANCO DE INVESTIMENTO S/A</v>
          </cell>
          <cell r="D13388" t="str">
            <v>BB BANCO DE INVESTIMENTO S/A</v>
          </cell>
          <cell r="E13388" t="str">
            <v>BB BANCO DE INVESTIMENTO S/A</v>
          </cell>
        </row>
        <row r="13389">
          <cell r="B13389">
            <v>22286</v>
          </cell>
          <cell r="C13389" t="str">
            <v>BB BANCO DE INVESTIMENTO S/A</v>
          </cell>
          <cell r="D13389" t="str">
            <v>BB BANCO DE INVESTIMENTO S/A</v>
          </cell>
          <cell r="E13389" t="str">
            <v>BB BANCO DE INVESTIMENTO S/A</v>
          </cell>
        </row>
        <row r="13390">
          <cell r="B13390">
            <v>22287</v>
          </cell>
          <cell r="C13390" t="str">
            <v>BB GESTAO DE RECURSOS DTVM LTDA</v>
          </cell>
          <cell r="D13390" t="str">
            <v>BB GESTAO DE RECURSOS DTVM LTDA</v>
          </cell>
          <cell r="E13390" t="str">
            <v>BB GESTAO DE RECURSOS DTVM LTDA</v>
          </cell>
        </row>
        <row r="13391">
          <cell r="B13391">
            <v>22288</v>
          </cell>
          <cell r="C13391" t="str">
            <v>BB BANCO DE INVESTIMENTO S/A</v>
          </cell>
          <cell r="D13391" t="str">
            <v>BB BANCO DE INVESTIMENTO S/A</v>
          </cell>
          <cell r="E13391" t="str">
            <v>BB BANCO DE INVESTIMENTO S/A</v>
          </cell>
        </row>
        <row r="13392">
          <cell r="B13392">
            <v>22289</v>
          </cell>
          <cell r="C13392" t="str">
            <v>BB BANCO DE INVESTIMENTO S/A</v>
          </cell>
          <cell r="D13392" t="str">
            <v>BB BANCO DE INVESTIMENTO S/A</v>
          </cell>
          <cell r="E13392" t="str">
            <v>BB BANCO DE INVESTIMENTO S/A</v>
          </cell>
        </row>
        <row r="13393">
          <cell r="B13393">
            <v>22290</v>
          </cell>
          <cell r="C13393" t="str">
            <v>BB BANCO DE INVESTIMENTO S/A</v>
          </cell>
          <cell r="D13393" t="str">
            <v>BB BANCO DE INVESTIMENTO S/A</v>
          </cell>
          <cell r="E13393" t="str">
            <v>BB BANCO DE INVESTIMENTO S/A</v>
          </cell>
        </row>
        <row r="13394">
          <cell r="B13394">
            <v>22291</v>
          </cell>
          <cell r="C13394" t="str">
            <v>BB BANCO DE INVESTIMENTO S/A</v>
          </cell>
          <cell r="D13394" t="str">
            <v>BB BANCO DE INVESTIMENTO S/A</v>
          </cell>
          <cell r="E13394" t="str">
            <v>BB BANCO DE INVESTIMENTO S/A</v>
          </cell>
        </row>
        <row r="13395">
          <cell r="B13395">
            <v>22292</v>
          </cell>
          <cell r="C13395" t="str">
            <v>BB BANCO DE INVESTIMENTO S/A</v>
          </cell>
          <cell r="D13395" t="str">
            <v>BB BANCO DE INVESTIMENTO S/A</v>
          </cell>
          <cell r="E13395" t="str">
            <v>BB BANCO DE INVESTIMENTO S/A</v>
          </cell>
        </row>
        <row r="13396">
          <cell r="B13396">
            <v>22294</v>
          </cell>
          <cell r="C13396" t="str">
            <v>BB BANCO DE INVESTIMENTO S/A</v>
          </cell>
          <cell r="D13396" t="str">
            <v>BB BANCO DE INVESTIMENTO S/A</v>
          </cell>
          <cell r="E13396" t="str">
            <v>BB BANCO DE INVESTIMENTO S/A</v>
          </cell>
        </row>
        <row r="13397">
          <cell r="B13397">
            <v>22299</v>
          </cell>
          <cell r="C13397" t="str">
            <v>BB BANCO DE INVESTIMENTO S/A</v>
          </cell>
          <cell r="D13397" t="str">
            <v>BB BANCO DE INVESTIMENTO S/A</v>
          </cell>
          <cell r="E13397" t="str">
            <v>BB BANCO DE INVESTIMENTO S/A</v>
          </cell>
        </row>
        <row r="13398">
          <cell r="B13398">
            <v>22300</v>
          </cell>
          <cell r="C13398" t="str">
            <v>BB GESTAO DE RECURSOS DTVM LTDA</v>
          </cell>
          <cell r="D13398" t="str">
            <v>BB GESTAO DE RECURSOS DTVM LTDA</v>
          </cell>
          <cell r="E13398" t="str">
            <v>BB BANCO DE INVESTIMENTO S/A</v>
          </cell>
        </row>
        <row r="13399">
          <cell r="B13399">
            <v>22301</v>
          </cell>
          <cell r="C13399" t="str">
            <v>BB BANCO DE INVESTIMENTO S/A</v>
          </cell>
          <cell r="D13399" t="str">
            <v>BB BANCO DE INVESTIMENTO S/A</v>
          </cell>
          <cell r="E13399" t="str">
            <v>BB BANCO DE INVESTIMENTO S/A</v>
          </cell>
        </row>
        <row r="13400">
          <cell r="B13400">
            <v>22307</v>
          </cell>
          <cell r="C13400" t="str">
            <v>BB BANCO DE INVESTIMENTO S/A</v>
          </cell>
          <cell r="D13400" t="str">
            <v>BB BANCO DE INVESTIMENTO S/A</v>
          </cell>
          <cell r="E13400" t="str">
            <v>BB BANCO DE INVESTIMENTO S/A</v>
          </cell>
        </row>
        <row r="13401">
          <cell r="B13401">
            <v>22310</v>
          </cell>
          <cell r="C13401" t="str">
            <v>BB BANCO DE INVESTIMENTO S/A</v>
          </cell>
          <cell r="D13401" t="str">
            <v>BB BANCO DE INVESTIMENTO S/A</v>
          </cell>
          <cell r="E13401" t="str">
            <v>BB BANCO DE INVESTIMENTO S/A</v>
          </cell>
        </row>
        <row r="13402">
          <cell r="B13402">
            <v>22311</v>
          </cell>
          <cell r="C13402" t="str">
            <v>BB GESTAO DE RECURSOS DTVM LTDA</v>
          </cell>
          <cell r="D13402" t="str">
            <v>BB GESTAO DE RECURSOS DTVM LTDA</v>
          </cell>
          <cell r="E13402" t="str">
            <v>BB GESTAO DE RECURSOS DTVM LTDA</v>
          </cell>
        </row>
        <row r="13403">
          <cell r="B13403">
            <v>22320</v>
          </cell>
          <cell r="C13403" t="str">
            <v>BB BANCO DE INVESTIMENTO S/A</v>
          </cell>
          <cell r="D13403" t="str">
            <v>BB BANCO DE INVESTIMENTO S/A</v>
          </cell>
          <cell r="E13403" t="str">
            <v>BB BANCO DE INVESTIMENTO S/A</v>
          </cell>
        </row>
        <row r="13404">
          <cell r="B13404">
            <v>22327</v>
          </cell>
          <cell r="C13404" t="str">
            <v>BB BANCO DE INVESTIMENTO S/A</v>
          </cell>
          <cell r="D13404" t="str">
            <v>BB BANCO DE INVESTIMENTO S/A</v>
          </cell>
          <cell r="E13404" t="str">
            <v>BB BANCO DE INVESTIMENTO S/A</v>
          </cell>
        </row>
        <row r="13405">
          <cell r="B13405">
            <v>22328</v>
          </cell>
          <cell r="C13405" t="str">
            <v>BB BANCO DE INVESTIMENTO S/A</v>
          </cell>
          <cell r="D13405" t="str">
            <v>BB BANCO DE INVESTIMENTO S/A</v>
          </cell>
          <cell r="E13405" t="str">
            <v>BB BANCO DE INVESTIMENTO S/A</v>
          </cell>
        </row>
        <row r="13406">
          <cell r="B13406">
            <v>22329</v>
          </cell>
          <cell r="C13406" t="str">
            <v>BB BANCO DE INVESTIMENTO S/A</v>
          </cell>
          <cell r="D13406" t="str">
            <v>BB BANCO DE INVESTIMENTO S/A</v>
          </cell>
          <cell r="E13406" t="str">
            <v>BB BANCO DE INVESTIMENTO S/A</v>
          </cell>
        </row>
        <row r="13407">
          <cell r="B13407">
            <v>22331</v>
          </cell>
          <cell r="C13407" t="str">
            <v>BB BANCO DE INVESTIMENTO S/A</v>
          </cell>
          <cell r="D13407" t="str">
            <v>BB BANCO DE INVESTIMENTO S/A</v>
          </cell>
          <cell r="E13407" t="str">
            <v>BB BANCO DE INVESTIMENTO S/A</v>
          </cell>
        </row>
        <row r="13408">
          <cell r="B13408">
            <v>22332</v>
          </cell>
          <cell r="C13408" t="str">
            <v>BB BANCO DE INVESTIMENTO S/A</v>
          </cell>
          <cell r="D13408" t="str">
            <v>BB BANCO DE INVESTIMENTO S/A</v>
          </cell>
          <cell r="E13408" t="str">
            <v>BB BANCO DE INVESTIMENTO S/A</v>
          </cell>
        </row>
        <row r="13409">
          <cell r="B13409">
            <v>22333</v>
          </cell>
          <cell r="C13409" t="str">
            <v>BB BANCO DE INVESTIMENTO S/A</v>
          </cell>
          <cell r="D13409" t="str">
            <v>BB BANCO DE INVESTIMENTO S/A</v>
          </cell>
          <cell r="E13409" t="str">
            <v>BB BANCO DE INVESTIMENTO S/A</v>
          </cell>
        </row>
        <row r="13410">
          <cell r="B13410">
            <v>22334</v>
          </cell>
          <cell r="C13410" t="str">
            <v>BB BANCO DE INVESTIMENTO S/A</v>
          </cell>
          <cell r="D13410" t="str">
            <v>BB BANCO DE INVESTIMENTO S/A</v>
          </cell>
          <cell r="E13410" t="str">
            <v>BB BANCO DE INVESTIMENTO S/A</v>
          </cell>
        </row>
        <row r="13411">
          <cell r="B13411">
            <v>22337</v>
          </cell>
          <cell r="C13411" t="str">
            <v>BB GESTAO DE RECURSOS DTVM LTDA</v>
          </cell>
          <cell r="D13411" t="str">
            <v>BB GESTAO DE RECURSOS DTVM LTDA</v>
          </cell>
          <cell r="E13411" t="str">
            <v>BB BANCO DE INVESTIMENTO S/A</v>
          </cell>
        </row>
        <row r="13412">
          <cell r="B13412">
            <v>22339</v>
          </cell>
          <cell r="C13412" t="str">
            <v>BB BANCO DE INVESTIMENTO S/A</v>
          </cell>
          <cell r="D13412" t="str">
            <v>BB BANCO DE INVESTIMENTO S/A</v>
          </cell>
          <cell r="E13412" t="str">
            <v>BB BANCO DE INVESTIMENTO S/A</v>
          </cell>
        </row>
        <row r="13413">
          <cell r="B13413">
            <v>22340</v>
          </cell>
          <cell r="C13413" t="str">
            <v>BB BANCO DE INVESTIMENTO S/A</v>
          </cell>
          <cell r="D13413" t="str">
            <v>BB BANCO DE INVESTIMENTO S/A</v>
          </cell>
          <cell r="E13413" t="str">
            <v>BB BANCO DE INVESTIMENTO S/A</v>
          </cell>
        </row>
        <row r="13414">
          <cell r="B13414">
            <v>22341</v>
          </cell>
          <cell r="C13414" t="str">
            <v>BB BANCO DE INVESTIMENTO S/A</v>
          </cell>
          <cell r="D13414" t="str">
            <v>BB BANCO DE INVESTIMENTO S/A</v>
          </cell>
          <cell r="E13414" t="str">
            <v>BB BANCO DE INVESTIMENTO S/A</v>
          </cell>
        </row>
        <row r="13415">
          <cell r="B13415">
            <v>22342</v>
          </cell>
          <cell r="C13415" t="str">
            <v>BB BANCO DE INVESTIMENTO S/A</v>
          </cell>
          <cell r="D13415" t="str">
            <v>BB BANCO DE INVESTIMENTO S/A</v>
          </cell>
          <cell r="E13415" t="str">
            <v>BB BANCO DE INVESTIMENTO S/A</v>
          </cell>
        </row>
        <row r="13416">
          <cell r="B13416">
            <v>22344</v>
          </cell>
          <cell r="C13416" t="str">
            <v>BB BANCO DE INVESTIMENTO S/A</v>
          </cell>
          <cell r="D13416" t="str">
            <v>BB BANCO DE INVESTIMENTO S/A</v>
          </cell>
          <cell r="E13416" t="str">
            <v>BB BANCO DE INVESTIMENTO S/A</v>
          </cell>
        </row>
        <row r="13417">
          <cell r="B13417">
            <v>22349</v>
          </cell>
          <cell r="C13417" t="str">
            <v>BB BANCO DE INVESTIMENTO S/A</v>
          </cell>
          <cell r="D13417" t="str">
            <v>BB BANCO DE INVESTIMENTO S/A</v>
          </cell>
          <cell r="E13417" t="str">
            <v>BB BANCO DE INVESTIMENTO S/A</v>
          </cell>
        </row>
        <row r="13418">
          <cell r="B13418">
            <v>22352</v>
          </cell>
          <cell r="C13418" t="str">
            <v>BB BANCO DE INVESTIMENTO S/A</v>
          </cell>
          <cell r="D13418" t="str">
            <v>BB BANCO DE INVESTIMENTO S/A</v>
          </cell>
          <cell r="E13418" t="str">
            <v>BB BANCO DE INVESTIMENTO S/A</v>
          </cell>
        </row>
        <row r="13419">
          <cell r="B13419">
            <v>22354</v>
          </cell>
          <cell r="C13419" t="str">
            <v>BB BANCO DE INVESTIMENTO S/A</v>
          </cell>
          <cell r="D13419" t="str">
            <v>BB BANCO DE INVESTIMENTO S/A</v>
          </cell>
          <cell r="E13419" t="str">
            <v>BB BANCO DE INVESTIMENTO S/A</v>
          </cell>
        </row>
        <row r="13420">
          <cell r="B13420">
            <v>22355</v>
          </cell>
          <cell r="C13420" t="str">
            <v>BB BANCO DE INVESTIMENTO S/A</v>
          </cell>
          <cell r="D13420" t="str">
            <v>BB BANCO DE INVESTIMENTO S/A</v>
          </cell>
          <cell r="E13420" t="str">
            <v>BB BANCO DE INVESTIMENTO S/A</v>
          </cell>
        </row>
        <row r="13421">
          <cell r="B13421">
            <v>22356</v>
          </cell>
          <cell r="C13421" t="str">
            <v>BB BANCO DE INVESTIMENTO S/A</v>
          </cell>
          <cell r="D13421" t="str">
            <v>BB BANCO DE INVESTIMENTO S/A</v>
          </cell>
          <cell r="E13421" t="str">
            <v>BB BANCO DE INVESTIMENTO S/A</v>
          </cell>
        </row>
        <row r="13422">
          <cell r="B13422">
            <v>22357</v>
          </cell>
          <cell r="C13422" t="str">
            <v>BB BANCO DE INVESTIMENTO S/A</v>
          </cell>
          <cell r="D13422" t="str">
            <v>BB BANCO DE INVESTIMENTO S/A</v>
          </cell>
          <cell r="E13422" t="str">
            <v>BB BANCO DE INVESTIMENTO S/A</v>
          </cell>
        </row>
        <row r="13423">
          <cell r="B13423">
            <v>22360</v>
          </cell>
          <cell r="C13423" t="str">
            <v>BB BANCO DE INVESTIMENTO S/A</v>
          </cell>
          <cell r="D13423" t="str">
            <v>BB BANCO DE INVESTIMENTO S/A</v>
          </cell>
          <cell r="E13423" t="str">
            <v>BB BANCO DE INVESTIMENTO S/A</v>
          </cell>
        </row>
        <row r="13424">
          <cell r="B13424">
            <v>22364</v>
          </cell>
          <cell r="C13424" t="str">
            <v>BB BANCO DE INVESTIMENTO S/A</v>
          </cell>
          <cell r="D13424" t="str">
            <v>BB BANCO DE INVESTIMENTO S/A</v>
          </cell>
          <cell r="E13424" t="str">
            <v>BB BANCO DE INVESTIMENTO S/A</v>
          </cell>
        </row>
        <row r="13425">
          <cell r="B13425">
            <v>22368</v>
          </cell>
          <cell r="C13425" t="str">
            <v>BB BANCO DE INVESTIMENTO S/A</v>
          </cell>
          <cell r="D13425" t="str">
            <v>BB BANCO DE INVESTIMENTO S/A</v>
          </cell>
          <cell r="E13425" t="str">
            <v>BB BANCO DE INVESTIMENTO S/A</v>
          </cell>
        </row>
        <row r="13426">
          <cell r="B13426">
            <v>22369</v>
          </cell>
          <cell r="C13426" t="str">
            <v>BB BANCO DE INVESTIMENTO S/A</v>
          </cell>
          <cell r="D13426" t="str">
            <v>BB BANCO DE INVESTIMENTO S/A</v>
          </cell>
          <cell r="E13426" t="str">
            <v>BB BANCO DE INVESTIMENTO S/A</v>
          </cell>
        </row>
        <row r="13427">
          <cell r="B13427">
            <v>22372</v>
          </cell>
          <cell r="C13427" t="str">
            <v>BB BANCO DE INVESTIMENTO S/A</v>
          </cell>
          <cell r="D13427" t="str">
            <v>BB BANCO DE INVESTIMENTO S/A</v>
          </cell>
          <cell r="E13427" t="str">
            <v>BB BANCO DE INVESTIMENTO S/A</v>
          </cell>
        </row>
        <row r="13428">
          <cell r="B13428">
            <v>22373</v>
          </cell>
          <cell r="C13428" t="str">
            <v>BB BANCO DE INVESTIMENTO S/A</v>
          </cell>
          <cell r="D13428" t="str">
            <v>BB BANCO DE INVESTIMENTO S/A</v>
          </cell>
          <cell r="E13428" t="str">
            <v>BB BANCO DE INVESTIMENTO S/A</v>
          </cell>
        </row>
        <row r="13429">
          <cell r="B13429">
            <v>22379</v>
          </cell>
          <cell r="C13429" t="str">
            <v>BB BANCO DE INVESTIMENTO S/A</v>
          </cell>
          <cell r="D13429" t="str">
            <v>BB BANCO DE INVESTIMENTO S/A</v>
          </cell>
          <cell r="E13429" t="str">
            <v>BB BANCO DE INVESTIMENTO S/A</v>
          </cell>
        </row>
        <row r="13430">
          <cell r="B13430">
            <v>22381</v>
          </cell>
          <cell r="C13430" t="str">
            <v>BB BANCO DE INVESTIMENTO S/A</v>
          </cell>
          <cell r="D13430" t="str">
            <v>BB BANCO DE INVESTIMENTO S/A</v>
          </cell>
          <cell r="E13430" t="str">
            <v>BB BANCO DE INVESTIMENTO S/A</v>
          </cell>
        </row>
        <row r="13431">
          <cell r="B13431">
            <v>22382</v>
          </cell>
          <cell r="C13431" t="str">
            <v>BB BANCO DE INVESTIMENTO S/A</v>
          </cell>
          <cell r="D13431" t="str">
            <v>BB BANCO DE INVESTIMENTO S/A</v>
          </cell>
          <cell r="E13431" t="str">
            <v>BB BANCO DE INVESTIMENTO S/A</v>
          </cell>
        </row>
        <row r="13432">
          <cell r="B13432">
            <v>22391</v>
          </cell>
          <cell r="C13432" t="str">
            <v>BB GESTAO DE RECURSOS DTVM LTDA</v>
          </cell>
          <cell r="D13432" t="str">
            <v>BB GESTAO DE RECURSOS DTVM LTDA</v>
          </cell>
          <cell r="E13432" t="str">
            <v>BB BANCO DE INVESTIMENTO S/A</v>
          </cell>
        </row>
        <row r="13433">
          <cell r="B13433">
            <v>22393</v>
          </cell>
          <cell r="C13433" t="str">
            <v>BB BANCO DE INVESTIMENTO S/A</v>
          </cell>
          <cell r="D13433" t="str">
            <v>BB BANCO DE INVESTIMENTO S/A</v>
          </cell>
          <cell r="E13433" t="str">
            <v>BB BANCO DE INVESTIMENTO S/A</v>
          </cell>
        </row>
        <row r="13434">
          <cell r="B13434">
            <v>22394</v>
          </cell>
          <cell r="C13434" t="str">
            <v>BB BANCO DE INVESTIMENTO S/A</v>
          </cell>
          <cell r="D13434" t="str">
            <v>BB BANCO DE INVESTIMENTO S/A</v>
          </cell>
          <cell r="E13434" t="str">
            <v>BB BANCO DE INVESTIMENTO S/A</v>
          </cell>
        </row>
        <row r="13435">
          <cell r="B13435">
            <v>22395</v>
          </cell>
          <cell r="C13435" t="str">
            <v>BB GESTAO DE RECURSOS DTVM LTDA</v>
          </cell>
          <cell r="D13435" t="str">
            <v>BB GESTAO DE RECURSOS DTVM LTDA</v>
          </cell>
          <cell r="E13435" t="str">
            <v>BB GESTAO DE RECURSOS DTVM LTDA</v>
          </cell>
        </row>
        <row r="13436">
          <cell r="B13436">
            <v>22397</v>
          </cell>
          <cell r="C13436" t="str">
            <v>BB BANCO DE INVESTIMENTO S/A</v>
          </cell>
          <cell r="D13436" t="str">
            <v>BB BANCO DE INVESTIMENTO S/A</v>
          </cell>
          <cell r="E13436" t="str">
            <v>BB BANCO DE INVESTIMENTO S/A</v>
          </cell>
        </row>
        <row r="13437">
          <cell r="B13437">
            <v>22400</v>
          </cell>
          <cell r="C13437" t="str">
            <v>BB BANCO DE INVESTIMENTO S/A</v>
          </cell>
          <cell r="D13437" t="str">
            <v>BB BANCO DE INVESTIMENTO S/A</v>
          </cell>
          <cell r="E13437" t="str">
            <v>BB BANCO DE INVESTIMENTO S/A</v>
          </cell>
        </row>
        <row r="13438">
          <cell r="B13438">
            <v>22402</v>
          </cell>
          <cell r="C13438" t="str">
            <v>BB BANCO DE INVESTIMENTO S/A</v>
          </cell>
          <cell r="D13438" t="str">
            <v>BB BANCO DE INVESTIMENTO S/A</v>
          </cell>
          <cell r="E13438" t="str">
            <v>BB BANCO DE INVESTIMENTO S/A</v>
          </cell>
        </row>
        <row r="13439">
          <cell r="B13439">
            <v>22403</v>
          </cell>
          <cell r="C13439" t="str">
            <v>BB BANCO DE INVESTIMENTO S/A</v>
          </cell>
          <cell r="D13439" t="str">
            <v>BB BANCO DE INVESTIMENTO S/A</v>
          </cell>
          <cell r="E13439" t="str">
            <v>BB BANCO DE INVESTIMENTO S/A</v>
          </cell>
        </row>
        <row r="13440">
          <cell r="B13440">
            <v>22404</v>
          </cell>
          <cell r="C13440" t="str">
            <v>BB BANCO DE INVESTIMENTO S/A</v>
          </cell>
          <cell r="D13440" t="str">
            <v>BB BANCO DE INVESTIMENTO S/A</v>
          </cell>
          <cell r="E13440" t="str">
            <v>BB BANCO DE INVESTIMENTO S/A</v>
          </cell>
        </row>
        <row r="13441">
          <cell r="B13441">
            <v>22405</v>
          </cell>
          <cell r="C13441" t="str">
            <v>BB BANCO DE INVESTIMENTO S/A</v>
          </cell>
          <cell r="D13441" t="str">
            <v>BB BANCO DE INVESTIMENTO S/A</v>
          </cell>
          <cell r="E13441" t="str">
            <v>BB BANCO DE INVESTIMENTO S/A</v>
          </cell>
        </row>
        <row r="13442">
          <cell r="B13442">
            <v>22407</v>
          </cell>
          <cell r="C13442" t="str">
            <v>BB GESTAO DE RECURSOS DTVM LTDA</v>
          </cell>
          <cell r="D13442" t="str">
            <v>BB GESTAO DE RECURSOS DTVM LTDA</v>
          </cell>
          <cell r="E13442" t="str">
            <v>BANCO DO BRASIL S/A</v>
          </cell>
        </row>
        <row r="13443">
          <cell r="B13443">
            <v>22409</v>
          </cell>
          <cell r="C13443" t="str">
            <v>BB BANCO DE INVESTIMENTO S/A</v>
          </cell>
          <cell r="D13443" t="str">
            <v>BB BANCO DE INVESTIMENTO S/A</v>
          </cell>
          <cell r="E13443" t="str">
            <v>BB BANCO DE INVESTIMENTO S/A</v>
          </cell>
        </row>
        <row r="13444">
          <cell r="B13444">
            <v>22415</v>
          </cell>
          <cell r="C13444" t="str">
            <v>BB BANCO DE INVESTIMENTO S/A</v>
          </cell>
          <cell r="D13444" t="str">
            <v>BB BANCO DE INVESTIMENTO S/A</v>
          </cell>
          <cell r="E13444" t="str">
            <v>BB BANCO DE INVESTIMENTO S/A</v>
          </cell>
        </row>
        <row r="13445">
          <cell r="B13445">
            <v>22416</v>
          </cell>
          <cell r="C13445" t="str">
            <v>BB GESTAO DE RECURSOS DTVM LTDA</v>
          </cell>
          <cell r="D13445" t="str">
            <v>BB GESTAO DE RECURSOS DTVM LTDA</v>
          </cell>
          <cell r="E13445" t="str">
            <v>BB GESTAO DE RECURSOS DTVM LTDA</v>
          </cell>
        </row>
        <row r="13446">
          <cell r="B13446">
            <v>22419</v>
          </cell>
          <cell r="C13446" t="str">
            <v>BB BANCO DE INVESTIMENTO S/A</v>
          </cell>
          <cell r="D13446" t="str">
            <v>BB BANCO DE INVESTIMENTO S/A</v>
          </cell>
          <cell r="E13446" t="str">
            <v>BB BANCO DE INVESTIMENTO S/A</v>
          </cell>
        </row>
        <row r="13447">
          <cell r="B13447">
            <v>22422</v>
          </cell>
          <cell r="C13447" t="str">
            <v>BB GESTAO DE RECURSOS DTVM LTDA</v>
          </cell>
          <cell r="D13447" t="str">
            <v>BB GESTAO DE RECURSOS DTVM LTDA</v>
          </cell>
          <cell r="E13447" t="str">
            <v>BB BANCO DE INVESTIMENTO S/A</v>
          </cell>
        </row>
        <row r="13448">
          <cell r="B13448">
            <v>22426</v>
          </cell>
          <cell r="C13448" t="str">
            <v>BB BANCO DE INVESTIMENTO S/A</v>
          </cell>
          <cell r="D13448" t="str">
            <v>BB BANCO DE INVESTIMENTO S/A</v>
          </cell>
          <cell r="E13448" t="str">
            <v>BB BANCO DE INVESTIMENTO S/A</v>
          </cell>
        </row>
        <row r="13449">
          <cell r="B13449">
            <v>22435</v>
          </cell>
          <cell r="C13449" t="str">
            <v>MELLON IBX STRATEGY FIA</v>
          </cell>
          <cell r="D13449" t="str">
            <v>MELLON IBX STRATEGY FIA</v>
          </cell>
          <cell r="E13449" t="str">
            <v>MELLON IBX STRATEGY FIA</v>
          </cell>
        </row>
        <row r="13450">
          <cell r="B13450">
            <v>22437</v>
          </cell>
          <cell r="C13450" t="str">
            <v>BB BANCO DE INVESTIMENTO S/A</v>
          </cell>
          <cell r="D13450" t="str">
            <v>BB BANCO DE INVESTIMENTO S/A</v>
          </cell>
          <cell r="E13450" t="str">
            <v>BB BANCO DE INVESTIMENTO S/A</v>
          </cell>
        </row>
        <row r="13451">
          <cell r="B13451">
            <v>22438</v>
          </cell>
          <cell r="C13451" t="str">
            <v>BB GESTAO DE RECURSOS DTVM LTDA</v>
          </cell>
          <cell r="D13451" t="str">
            <v>BB GESTAO DE RECURSOS DTVM LTDA</v>
          </cell>
          <cell r="E13451" t="str">
            <v>BB GESTAO DE RECURSOS DTVM LTDA</v>
          </cell>
        </row>
        <row r="13452">
          <cell r="B13452">
            <v>22439</v>
          </cell>
          <cell r="C13452" t="str">
            <v>BB BANCO DE INVESTIMENTO S/A</v>
          </cell>
          <cell r="D13452" t="str">
            <v>BB BANCO DE INVESTIMENTO S/A</v>
          </cell>
          <cell r="E13452" t="str">
            <v>BB BANCO DE INVESTIMENTO S/A</v>
          </cell>
        </row>
        <row r="13453">
          <cell r="B13453">
            <v>22442</v>
          </cell>
          <cell r="C13453" t="str">
            <v>BB BANCO DE INVESTIMENTO S/A</v>
          </cell>
          <cell r="D13453" t="str">
            <v>BB BANCO DE INVESTIMENTO S/A</v>
          </cell>
          <cell r="E13453" t="str">
            <v>BB BANCO DE INVESTIMENTO S/A</v>
          </cell>
        </row>
        <row r="13454">
          <cell r="B13454">
            <v>22447</v>
          </cell>
          <cell r="C13454" t="str">
            <v>BB BANCO DE INVESTIMENTO S/A</v>
          </cell>
          <cell r="D13454" t="str">
            <v>BB BANCO DE INVESTIMENTO S/A</v>
          </cell>
          <cell r="E13454" t="str">
            <v>BB BANCO DE INVESTIMENTO S/A</v>
          </cell>
        </row>
        <row r="13455">
          <cell r="B13455">
            <v>22449</v>
          </cell>
          <cell r="C13455" t="str">
            <v>BB BANCO DE INVESTIMENTO S/A</v>
          </cell>
          <cell r="D13455" t="str">
            <v>BB BANCO DE INVESTIMENTO S/A</v>
          </cell>
          <cell r="E13455" t="str">
            <v>BB BANCO DE INVESTIMENTO S/A</v>
          </cell>
        </row>
        <row r="13456">
          <cell r="B13456">
            <v>22450</v>
          </cell>
          <cell r="C13456" t="str">
            <v>BB BANCO DE INVESTIMENTO S/A</v>
          </cell>
          <cell r="D13456" t="str">
            <v>BB BANCO DE INVESTIMENTO S/A</v>
          </cell>
          <cell r="E13456" t="str">
            <v>BB BANCO DE INVESTIMENTO S/A</v>
          </cell>
        </row>
        <row r="13457">
          <cell r="B13457">
            <v>22454</v>
          </cell>
          <cell r="C13457" t="str">
            <v>BB BANCO DE INVESTIMENTO S/A</v>
          </cell>
          <cell r="D13457" t="str">
            <v>BB BANCO DE INVESTIMENTO S/A</v>
          </cell>
          <cell r="E13457" t="str">
            <v>BB BANCO DE INVESTIMENTO S/A</v>
          </cell>
        </row>
        <row r="13458">
          <cell r="B13458">
            <v>22457</v>
          </cell>
          <cell r="C13458" t="str">
            <v>BB BANCO DE INVESTIMENTO S/A</v>
          </cell>
          <cell r="D13458" t="str">
            <v>BB BANCO DE INVESTIMENTO S/A</v>
          </cell>
          <cell r="E13458" t="str">
            <v>BB BANCO DE INVESTIMENTO S/A</v>
          </cell>
        </row>
        <row r="13459">
          <cell r="B13459">
            <v>22460</v>
          </cell>
          <cell r="C13459" t="str">
            <v>BB BANCO DE INVESTIMENTO S/A</v>
          </cell>
          <cell r="D13459" t="str">
            <v>BB BANCO DE INVESTIMENTO S/A</v>
          </cell>
          <cell r="E13459" t="str">
            <v>BB BANCO DE INVESTIMENTO S/A</v>
          </cell>
        </row>
        <row r="13460">
          <cell r="B13460">
            <v>22466</v>
          </cell>
          <cell r="C13460" t="str">
            <v>BB BANCO DE INVESTIMENTO S/A</v>
          </cell>
          <cell r="D13460" t="str">
            <v>BB BANCO DE INVESTIMENTO S/A</v>
          </cell>
          <cell r="E13460" t="str">
            <v>BB BANCO DE INVESTIMENTO S/A</v>
          </cell>
        </row>
        <row r="13461">
          <cell r="B13461">
            <v>22469</v>
          </cell>
          <cell r="C13461" t="str">
            <v>BB BANCO DE INVESTIMENTO S/A</v>
          </cell>
          <cell r="D13461" t="str">
            <v>BB BANCO DE INVESTIMENTO S/A</v>
          </cell>
          <cell r="E13461" t="str">
            <v>BB BANCO DE INVESTIMENTO S/A</v>
          </cell>
        </row>
        <row r="13462">
          <cell r="B13462">
            <v>22470</v>
          </cell>
          <cell r="C13462" t="str">
            <v>BB BANCO DE INVESTIMENTO S/A</v>
          </cell>
          <cell r="D13462" t="str">
            <v>BB BANCO DE INVESTIMENTO S/A</v>
          </cell>
          <cell r="E13462" t="str">
            <v>BB BANCO DE INVESTIMENTO S/A</v>
          </cell>
        </row>
        <row r="13463">
          <cell r="B13463">
            <v>22472</v>
          </cell>
          <cell r="C13463" t="str">
            <v>BB BANCO DE INVESTIMENTO S/A</v>
          </cell>
          <cell r="D13463" t="str">
            <v>BB BANCO DE INVESTIMENTO S/A</v>
          </cell>
          <cell r="E13463" t="str">
            <v>BB BANCO DE INVESTIMENTO S/A</v>
          </cell>
        </row>
        <row r="13464">
          <cell r="B13464">
            <v>22473</v>
          </cell>
          <cell r="C13464" t="str">
            <v>BB BANCO DE INVESTIMENTO S/A</v>
          </cell>
          <cell r="D13464" t="str">
            <v>BB BANCO DE INVESTIMENTO S/A</v>
          </cell>
          <cell r="E13464" t="str">
            <v>BB BANCO DE INVESTIMENTO S/A</v>
          </cell>
        </row>
        <row r="13465">
          <cell r="B13465">
            <v>22474</v>
          </cell>
          <cell r="C13465" t="str">
            <v>BB BANCO DE INVESTIMENTO S/A</v>
          </cell>
          <cell r="D13465" t="str">
            <v>BB BANCO DE INVESTIMENTO S/A</v>
          </cell>
          <cell r="E13465" t="str">
            <v>BB BANCO DE INVESTIMENTO S/A</v>
          </cell>
        </row>
        <row r="13466">
          <cell r="B13466">
            <v>22491</v>
          </cell>
          <cell r="C13466" t="str">
            <v>BB BANCO DE INVESTIMENTO S/A</v>
          </cell>
          <cell r="D13466" t="str">
            <v>BB BANCO DE INVESTIMENTO S/A</v>
          </cell>
          <cell r="E13466" t="str">
            <v>BB BANCO DE INVESTIMENTO S/A</v>
          </cell>
        </row>
        <row r="13467">
          <cell r="B13467">
            <v>22492</v>
          </cell>
          <cell r="C13467" t="str">
            <v>BB BANCO DE INVESTIMENTO S/A</v>
          </cell>
          <cell r="D13467" t="str">
            <v>BB BANCO DE INVESTIMENTO S/A</v>
          </cell>
          <cell r="E13467" t="str">
            <v>BB BANCO DE INVESTIMENTO S/A</v>
          </cell>
        </row>
        <row r="13468">
          <cell r="B13468">
            <v>22493</v>
          </cell>
          <cell r="C13468" t="str">
            <v>BB BANCO DE INVESTIMENTO S/A</v>
          </cell>
          <cell r="D13468" t="str">
            <v>BB BANCO DE INVESTIMENTO S/A</v>
          </cell>
          <cell r="E13468" t="str">
            <v>BB BANCO DE INVESTIMENTO S/A</v>
          </cell>
        </row>
        <row r="13469">
          <cell r="B13469">
            <v>22496</v>
          </cell>
          <cell r="C13469" t="str">
            <v>BB BANCO DE INVESTIMENTO S/A</v>
          </cell>
          <cell r="D13469" t="str">
            <v>BB BANCO DE INVESTIMENTO S/A</v>
          </cell>
          <cell r="E13469" t="str">
            <v>BB BANCO DE INVESTIMENTO S/A</v>
          </cell>
        </row>
        <row r="13470">
          <cell r="B13470">
            <v>22499</v>
          </cell>
          <cell r="C13470" t="str">
            <v>BB BANCO DE INVESTIMENTO S/A</v>
          </cell>
          <cell r="D13470" t="str">
            <v>BB BANCO DE INVESTIMENTO S/A</v>
          </cell>
          <cell r="E13470" t="str">
            <v>BB BANCO DE INVESTIMENTO S/A</v>
          </cell>
        </row>
        <row r="13471">
          <cell r="B13471">
            <v>22501</v>
          </cell>
          <cell r="C13471" t="str">
            <v>BB GESTAO DE RECURSOS DTVM LTDA</v>
          </cell>
          <cell r="D13471" t="str">
            <v>BB GESTAO DE RECURSOS DTVM LTDA</v>
          </cell>
          <cell r="E13471" t="str">
            <v>BB BANCO DE INVESTIMENTO S/A</v>
          </cell>
        </row>
        <row r="13472">
          <cell r="B13472">
            <v>22503</v>
          </cell>
          <cell r="C13472" t="str">
            <v>BB BANCO DE INVESTIMENTO S/A</v>
          </cell>
          <cell r="D13472" t="str">
            <v>BB BANCO DE INVESTIMENTO S/A</v>
          </cell>
          <cell r="E13472" t="str">
            <v>BB BANCO DE INVESTIMENTO S/A</v>
          </cell>
        </row>
        <row r="13473">
          <cell r="B13473">
            <v>22505</v>
          </cell>
          <cell r="C13473" t="str">
            <v>BB BANCO DE INVESTIMENTO S/A</v>
          </cell>
          <cell r="D13473" t="str">
            <v>BB BANCO DE INVESTIMENTO S/A</v>
          </cell>
          <cell r="E13473" t="str">
            <v>BB BANCO DE INVESTIMENTO S/A</v>
          </cell>
        </row>
        <row r="13474">
          <cell r="B13474">
            <v>22510</v>
          </cell>
          <cell r="C13474" t="str">
            <v>BB BANCO DE INVESTIMENTO S/A</v>
          </cell>
          <cell r="D13474" t="str">
            <v>BB BANCO DE INVESTIMENTO S/A</v>
          </cell>
          <cell r="E13474" t="str">
            <v>BB BANCO DE INVESTIMENTO S/A</v>
          </cell>
        </row>
        <row r="13475">
          <cell r="B13475">
            <v>22511</v>
          </cell>
          <cell r="C13475" t="str">
            <v>BB BANCO DE INVESTIMENTO S/A</v>
          </cell>
          <cell r="D13475" t="str">
            <v>BB BANCO DE INVESTIMENTO S/A</v>
          </cell>
          <cell r="E13475" t="str">
            <v>BB BANCO DE INVESTIMENTO S/A</v>
          </cell>
        </row>
        <row r="13476">
          <cell r="B13476">
            <v>22512</v>
          </cell>
          <cell r="C13476" t="str">
            <v>BB BANCO DE INVESTIMENTO S/A</v>
          </cell>
          <cell r="D13476" t="str">
            <v>BB BANCO DE INVESTIMENTO S/A</v>
          </cell>
          <cell r="E13476" t="str">
            <v>BB BANCO DE INVESTIMENTO S/A</v>
          </cell>
        </row>
        <row r="13477">
          <cell r="B13477">
            <v>22513</v>
          </cell>
          <cell r="C13477" t="str">
            <v>BB BANCO DE INVESTIMENTO S/A</v>
          </cell>
          <cell r="D13477" t="str">
            <v>BB BANCO DE INVESTIMENTO S/A</v>
          </cell>
          <cell r="E13477" t="str">
            <v>BB BANCO DE INVESTIMENTO S/A</v>
          </cell>
        </row>
        <row r="13478">
          <cell r="B13478">
            <v>22517</v>
          </cell>
          <cell r="C13478" t="str">
            <v>BB BANCO DE INVESTIMENTO S/A</v>
          </cell>
          <cell r="D13478" t="str">
            <v>BB BANCO DE INVESTIMENTO S/A</v>
          </cell>
          <cell r="E13478" t="str">
            <v>BB BANCO DE INVESTIMENTO S/A</v>
          </cell>
        </row>
        <row r="13479">
          <cell r="B13479">
            <v>22519</v>
          </cell>
          <cell r="C13479" t="str">
            <v>BB BANCO DE INVESTIMENTO S/A</v>
          </cell>
          <cell r="D13479" t="str">
            <v>BB BANCO DE INVESTIMENTO S/A</v>
          </cell>
          <cell r="E13479" t="str">
            <v>BB BANCO DE INVESTIMENTO S/A</v>
          </cell>
        </row>
        <row r="13480">
          <cell r="B13480">
            <v>22520</v>
          </cell>
          <cell r="C13480" t="str">
            <v>BB BANCO DE INVESTIMENTO S/A</v>
          </cell>
          <cell r="D13480" t="str">
            <v>BB BANCO DE INVESTIMENTO S/A</v>
          </cell>
          <cell r="E13480" t="str">
            <v>BB BANCO DE INVESTIMENTO S/A</v>
          </cell>
        </row>
        <row r="13481">
          <cell r="B13481">
            <v>22521</v>
          </cell>
          <cell r="C13481" t="str">
            <v>BB BANCO DE INVESTIMENTO S/A</v>
          </cell>
          <cell r="D13481" t="str">
            <v>BB BANCO DE INVESTIMENTO S/A</v>
          </cell>
          <cell r="E13481" t="str">
            <v>BB BANCO DE INVESTIMENTO S/A</v>
          </cell>
        </row>
        <row r="13482">
          <cell r="B13482">
            <v>22522</v>
          </cell>
          <cell r="C13482" t="str">
            <v>BB BANCO DE INVESTIMENTO S/A</v>
          </cell>
          <cell r="D13482" t="str">
            <v>BB BANCO DE INVESTIMENTO S/A</v>
          </cell>
          <cell r="E13482" t="str">
            <v>BB BANCO DE INVESTIMENTO S/A</v>
          </cell>
        </row>
        <row r="13483">
          <cell r="B13483">
            <v>22523</v>
          </cell>
          <cell r="C13483" t="str">
            <v>BB GESTAO DE RECURSOS DTVM LTDA</v>
          </cell>
          <cell r="D13483" t="str">
            <v>BB GESTAO DE RECURSOS DTVM LTDA</v>
          </cell>
          <cell r="E13483" t="str">
            <v>BB BANCO DE INVESTIMENTO S/A</v>
          </cell>
        </row>
        <row r="13484">
          <cell r="B13484">
            <v>22524</v>
          </cell>
          <cell r="C13484" t="str">
            <v>BB BANCO DE INVESTIMENTO S/A</v>
          </cell>
          <cell r="D13484" t="str">
            <v>BB BANCO DE INVESTIMENTO S/A</v>
          </cell>
          <cell r="E13484" t="str">
            <v>BB BANCO DE INVESTIMENTO S/A</v>
          </cell>
        </row>
        <row r="13485">
          <cell r="B13485">
            <v>22525</v>
          </cell>
          <cell r="C13485" t="str">
            <v>BB BANCO DE INVESTIMENTO S/A</v>
          </cell>
          <cell r="D13485" t="str">
            <v>BB BANCO DE INVESTIMENTO S/A</v>
          </cell>
          <cell r="E13485" t="str">
            <v>BB BANCO DE INVESTIMENTO S/A</v>
          </cell>
        </row>
        <row r="13486">
          <cell r="B13486">
            <v>22528</v>
          </cell>
          <cell r="C13486" t="str">
            <v>BB BANCO DE INVESTIMENTO S/A</v>
          </cell>
          <cell r="D13486" t="str">
            <v>BB BANCO DE INVESTIMENTO S/A</v>
          </cell>
          <cell r="E13486" t="str">
            <v>BB BANCO DE INVESTIMENTO S/A</v>
          </cell>
        </row>
        <row r="13487">
          <cell r="B13487">
            <v>22529</v>
          </cell>
          <cell r="C13487" t="str">
            <v>BB BANCO DE INVESTIMENTO S/A</v>
          </cell>
          <cell r="D13487" t="str">
            <v>BB BANCO DE INVESTIMENTO S/A</v>
          </cell>
          <cell r="E13487" t="str">
            <v>BB BANCO DE INVESTIMENTO S/A</v>
          </cell>
        </row>
        <row r="13488">
          <cell r="B13488">
            <v>22530</v>
          </cell>
          <cell r="C13488" t="str">
            <v>BB BANCO DE INVESTIMENTO S/A</v>
          </cell>
          <cell r="D13488" t="str">
            <v>BB BANCO DE INVESTIMENTO S/A</v>
          </cell>
          <cell r="E13488" t="str">
            <v>BB BANCO DE INVESTIMENTO S/A</v>
          </cell>
        </row>
        <row r="13489">
          <cell r="B13489">
            <v>22531</v>
          </cell>
          <cell r="C13489" t="str">
            <v>BB BANCO DE INVESTIMENTO S/A</v>
          </cell>
          <cell r="D13489" t="str">
            <v>BB BANCO DE INVESTIMENTO S/A</v>
          </cell>
          <cell r="E13489" t="str">
            <v>BB BANCO DE INVESTIMENTO S/A</v>
          </cell>
        </row>
        <row r="13490">
          <cell r="B13490">
            <v>22536</v>
          </cell>
          <cell r="C13490" t="str">
            <v>BB BANCO DE INVESTIMENTO S/A</v>
          </cell>
          <cell r="D13490" t="str">
            <v>BB BANCO DE INVESTIMENTO S/A</v>
          </cell>
          <cell r="E13490" t="str">
            <v>BB BANCO DE INVESTIMENTO S/A</v>
          </cell>
        </row>
        <row r="13491">
          <cell r="B13491">
            <v>22537</v>
          </cell>
          <cell r="C13491" t="str">
            <v>BB GESTAO DE RECURSOS DTVM LTDA</v>
          </cell>
          <cell r="D13491" t="str">
            <v>BB GESTAO DE RECURSOS DTVM LTDA</v>
          </cell>
          <cell r="E13491" t="str">
            <v>BB GESTAO DE RECURSOS DTVM LTDA</v>
          </cell>
        </row>
        <row r="13492">
          <cell r="B13492">
            <v>22538</v>
          </cell>
          <cell r="C13492" t="str">
            <v>BB BANCO DE INVESTIMENTO S/A</v>
          </cell>
          <cell r="D13492" t="str">
            <v>BB BANCO DE INVESTIMENTO S/A</v>
          </cell>
          <cell r="E13492" t="str">
            <v>BB BANCO DE INVESTIMENTO S/A</v>
          </cell>
        </row>
        <row r="13493">
          <cell r="B13493">
            <v>22540</v>
          </cell>
          <cell r="C13493" t="str">
            <v>BB BANCO DE INVESTIMENTO S/A</v>
          </cell>
          <cell r="D13493" t="str">
            <v>BB BANCO DE INVESTIMENTO S/A</v>
          </cell>
          <cell r="E13493" t="str">
            <v>BB BANCO DE INVESTIMENTO S/A</v>
          </cell>
        </row>
        <row r="13494">
          <cell r="B13494">
            <v>22541</v>
          </cell>
          <cell r="C13494" t="str">
            <v>BB BANCO DE INVESTIMENTO S/A</v>
          </cell>
          <cell r="D13494" t="str">
            <v>BB BANCO DE INVESTIMENTO S/A</v>
          </cell>
          <cell r="E13494" t="str">
            <v>BB BANCO DE INVESTIMENTO S/A</v>
          </cell>
        </row>
        <row r="13495">
          <cell r="B13495">
            <v>22542</v>
          </cell>
          <cell r="C13495" t="str">
            <v>BB BANCO DE INVESTIMENTO S/A</v>
          </cell>
          <cell r="D13495" t="str">
            <v>BB BANCO DE INVESTIMENTO S/A</v>
          </cell>
          <cell r="E13495" t="str">
            <v>BB BANCO DE INVESTIMENTO S/A</v>
          </cell>
        </row>
        <row r="13496">
          <cell r="B13496">
            <v>22544</v>
          </cell>
          <cell r="C13496" t="str">
            <v>BB BANCO DE INVESTIMENTO S/A</v>
          </cell>
          <cell r="D13496" t="str">
            <v>BB BANCO DE INVESTIMENTO S/A</v>
          </cell>
          <cell r="E13496" t="str">
            <v>BB BANCO DE INVESTIMENTO S/A</v>
          </cell>
        </row>
        <row r="13497">
          <cell r="B13497">
            <v>22545</v>
          </cell>
          <cell r="C13497" t="str">
            <v>BB BANCO DE INVESTIMENTO S/A</v>
          </cell>
          <cell r="D13497" t="str">
            <v>BB BANCO DE INVESTIMENTO S/A</v>
          </cell>
          <cell r="E13497" t="str">
            <v>BB BANCO DE INVESTIMENTO S/A</v>
          </cell>
        </row>
        <row r="13498">
          <cell r="B13498">
            <v>22548</v>
          </cell>
          <cell r="C13498" t="str">
            <v>BB GESTAO DE RECURSOS DTVM LTDA</v>
          </cell>
          <cell r="D13498" t="str">
            <v>BB GESTAO DE RECURSOS DTVM LTDA</v>
          </cell>
          <cell r="E13498" t="str">
            <v>BB GESTAO DE RECURSOS DTVM LTDA</v>
          </cell>
        </row>
        <row r="13499">
          <cell r="B13499">
            <v>22549</v>
          </cell>
          <cell r="C13499" t="str">
            <v>BB BANCO DE INVESTIMENTO S/A</v>
          </cell>
          <cell r="D13499" t="str">
            <v>BB BANCO DE INVESTIMENTO S/A</v>
          </cell>
          <cell r="E13499" t="str">
            <v>BB BANCO DE INVESTIMENTO S/A</v>
          </cell>
        </row>
        <row r="13500">
          <cell r="B13500">
            <v>22550</v>
          </cell>
          <cell r="C13500" t="str">
            <v>BB BANCO DE INVESTIMENTO S/A</v>
          </cell>
          <cell r="D13500" t="str">
            <v>BB BANCO DE INVESTIMENTO S/A</v>
          </cell>
          <cell r="E13500" t="str">
            <v>BB BANCO DE INVESTIMENTO S/A</v>
          </cell>
        </row>
        <row r="13501">
          <cell r="B13501">
            <v>22551</v>
          </cell>
          <cell r="C13501" t="str">
            <v>BB BANCO DE INVESTIMENTO S/A</v>
          </cell>
          <cell r="D13501" t="str">
            <v>BB BANCO DE INVESTIMENTO S/A</v>
          </cell>
          <cell r="E13501" t="str">
            <v>BB BANCO DE INVESTIMENTO S/A</v>
          </cell>
        </row>
        <row r="13502">
          <cell r="B13502">
            <v>22553</v>
          </cell>
          <cell r="C13502" t="str">
            <v>BB BANCO DE INVESTIMENTO S/A</v>
          </cell>
          <cell r="D13502" t="str">
            <v>BB BANCO DE INVESTIMENTO S/A</v>
          </cell>
          <cell r="E13502" t="str">
            <v>BB BANCO DE INVESTIMENTO S/A</v>
          </cell>
        </row>
        <row r="13503">
          <cell r="B13503">
            <v>22554</v>
          </cell>
          <cell r="C13503" t="str">
            <v>BB BANCO DE INVESTIMENTO S/A</v>
          </cell>
          <cell r="D13503" t="str">
            <v>BB BANCO DE INVESTIMENTO S/A</v>
          </cell>
          <cell r="E13503" t="str">
            <v>BB BANCO DE INVESTIMENTO S/A</v>
          </cell>
        </row>
        <row r="13504">
          <cell r="B13504">
            <v>22555</v>
          </cell>
          <cell r="C13504" t="str">
            <v>BB BANCO DE INVESTIMENTO S/A</v>
          </cell>
          <cell r="D13504" t="str">
            <v>BB BANCO DE INVESTIMENTO S/A</v>
          </cell>
          <cell r="E13504" t="str">
            <v>BB BANCO DE INVESTIMENTO S/A</v>
          </cell>
        </row>
        <row r="13505">
          <cell r="B13505">
            <v>22557</v>
          </cell>
          <cell r="C13505" t="str">
            <v>BB BANCO DE INVESTIMENTO S/A</v>
          </cell>
          <cell r="D13505" t="str">
            <v>BB BANCO DE INVESTIMENTO S/A</v>
          </cell>
          <cell r="E13505" t="str">
            <v>BB BANCO DE INVESTIMENTO S/A</v>
          </cell>
        </row>
        <row r="13506">
          <cell r="B13506">
            <v>22558</v>
          </cell>
          <cell r="C13506" t="str">
            <v>BB BANCO DE INVESTIMENTO S/A</v>
          </cell>
          <cell r="D13506" t="str">
            <v>BB BANCO DE INVESTIMENTO S/A</v>
          </cell>
          <cell r="E13506" t="str">
            <v>BB BANCO DE INVESTIMENTO S/A</v>
          </cell>
        </row>
        <row r="13507">
          <cell r="B13507">
            <v>22559</v>
          </cell>
          <cell r="C13507" t="str">
            <v>BB BANCO DE INVESTIMENTO S/A</v>
          </cell>
          <cell r="D13507" t="str">
            <v>BB BANCO DE INVESTIMENTO S/A</v>
          </cell>
          <cell r="E13507" t="str">
            <v>BB BANCO DE INVESTIMENTO S/A</v>
          </cell>
        </row>
        <row r="13508">
          <cell r="B13508">
            <v>22560</v>
          </cell>
          <cell r="C13508" t="str">
            <v>BB BANCO DE INVESTIMENTO S/A</v>
          </cell>
          <cell r="D13508" t="str">
            <v>BB BANCO DE INVESTIMENTO S/A</v>
          </cell>
          <cell r="E13508" t="str">
            <v>BB BANCO DE INVESTIMENTO S/A</v>
          </cell>
        </row>
        <row r="13509">
          <cell r="B13509">
            <v>22561</v>
          </cell>
          <cell r="C13509" t="str">
            <v>BB BANCO DE INVESTIMENTO S/A</v>
          </cell>
          <cell r="D13509" t="str">
            <v>BB BANCO DE INVESTIMENTO S/A</v>
          </cell>
          <cell r="E13509" t="str">
            <v>BB BANCO DE INVESTIMENTO S/A</v>
          </cell>
        </row>
        <row r="13510">
          <cell r="B13510">
            <v>22562</v>
          </cell>
          <cell r="C13510" t="str">
            <v>BB BANCO DE INVESTIMENTO S/A</v>
          </cell>
          <cell r="D13510" t="str">
            <v>BB BANCO DE INVESTIMENTO S/A</v>
          </cell>
          <cell r="E13510" t="str">
            <v>BB BANCO DE INVESTIMENTO S/A</v>
          </cell>
        </row>
        <row r="13511">
          <cell r="B13511">
            <v>22564</v>
          </cell>
          <cell r="C13511" t="str">
            <v>BB BANCO DE INVESTIMENTO S/A</v>
          </cell>
          <cell r="D13511" t="str">
            <v>BB BANCO DE INVESTIMENTO S/A</v>
          </cell>
          <cell r="E13511" t="str">
            <v>BB BANCO DE INVESTIMENTO S/A</v>
          </cell>
        </row>
        <row r="13512">
          <cell r="B13512">
            <v>22565</v>
          </cell>
          <cell r="C13512" t="str">
            <v>BB BANCO DE INVESTIMENTO S/A</v>
          </cell>
          <cell r="D13512" t="str">
            <v>BB BANCO DE INVESTIMENTO S/A</v>
          </cell>
          <cell r="E13512" t="str">
            <v>BB BANCO DE INVESTIMENTO S/A</v>
          </cell>
        </row>
        <row r="13513">
          <cell r="B13513">
            <v>22568</v>
          </cell>
          <cell r="C13513" t="str">
            <v>MELLON CAPIBARIBE FIA</v>
          </cell>
          <cell r="D13513" t="str">
            <v>MELLON CAPIBARIBE FIA</v>
          </cell>
          <cell r="E13513" t="str">
            <v>MELLON CAPIBARIBE FIA</v>
          </cell>
        </row>
        <row r="13514">
          <cell r="B13514">
            <v>22570</v>
          </cell>
          <cell r="C13514" t="str">
            <v>BB BANCO DE INVESTIMENTO S/A</v>
          </cell>
          <cell r="D13514" t="str">
            <v>BB BANCO DE INVESTIMENTO S/A</v>
          </cell>
          <cell r="E13514" t="str">
            <v>BB BANCO DE INVESTIMENTO S/A</v>
          </cell>
        </row>
        <row r="13515">
          <cell r="B13515">
            <v>22574</v>
          </cell>
          <cell r="C13515" t="str">
            <v>BB BANCO DE INVESTIMENTO S/A</v>
          </cell>
          <cell r="D13515" t="str">
            <v>BB BANCO DE INVESTIMENTO S/A</v>
          </cell>
          <cell r="E13515" t="str">
            <v>BB BANCO DE INVESTIMENTO S/A</v>
          </cell>
        </row>
        <row r="13516">
          <cell r="B13516">
            <v>22575</v>
          </cell>
          <cell r="C13516" t="str">
            <v>BB BANCO DE INVESTIMENTO S/A</v>
          </cell>
          <cell r="D13516" t="str">
            <v>BB BANCO DE INVESTIMENTO S/A</v>
          </cell>
          <cell r="E13516" t="str">
            <v>BB BANCO DE INVESTIMENTO S/A</v>
          </cell>
        </row>
        <row r="13517">
          <cell r="B13517">
            <v>22576</v>
          </cell>
          <cell r="C13517" t="str">
            <v>BB BANCO DE INVESTIMENTO S/A</v>
          </cell>
          <cell r="D13517" t="str">
            <v>BB BANCO DE INVESTIMENTO S/A</v>
          </cell>
          <cell r="E13517" t="str">
            <v>BB BANCO DE INVESTIMENTO S/A</v>
          </cell>
        </row>
        <row r="13518">
          <cell r="B13518">
            <v>22578</v>
          </cell>
          <cell r="C13518" t="str">
            <v>BB BANCO DE INVESTIMENTO S/A</v>
          </cell>
          <cell r="D13518" t="str">
            <v>BB BANCO DE INVESTIMENTO S/A</v>
          </cell>
          <cell r="E13518" t="str">
            <v>BB BANCO DE INVESTIMENTO S/A</v>
          </cell>
        </row>
        <row r="13519">
          <cell r="B13519">
            <v>22580</v>
          </cell>
          <cell r="C13519" t="str">
            <v>BB BANCO DE INVESTIMENTO S/A</v>
          </cell>
          <cell r="D13519" t="str">
            <v>BB BANCO DE INVESTIMENTO S/A</v>
          </cell>
          <cell r="E13519" t="str">
            <v>BB BANCO DE INVESTIMENTO S/A</v>
          </cell>
        </row>
        <row r="13520">
          <cell r="B13520">
            <v>22581</v>
          </cell>
          <cell r="C13520" t="str">
            <v>BB BANCO DE INVESTIMENTO S/A</v>
          </cell>
          <cell r="D13520" t="str">
            <v>BB BANCO DE INVESTIMENTO S/A</v>
          </cell>
          <cell r="E13520" t="str">
            <v>BB BANCO DE INVESTIMENTO S/A</v>
          </cell>
        </row>
        <row r="13521">
          <cell r="B13521">
            <v>22583</v>
          </cell>
          <cell r="C13521" t="str">
            <v>BB BANCO DE INVESTIMENTO S/A</v>
          </cell>
          <cell r="D13521" t="str">
            <v>BB BANCO DE INVESTIMENTO S/A</v>
          </cell>
          <cell r="E13521" t="str">
            <v>BB BANCO DE INVESTIMENTO S/A</v>
          </cell>
        </row>
        <row r="13522">
          <cell r="B13522">
            <v>22584</v>
          </cell>
          <cell r="C13522" t="str">
            <v>BB BANCO DE INVESTIMENTO S/A</v>
          </cell>
          <cell r="D13522" t="str">
            <v>BB BANCO DE INVESTIMENTO S/A</v>
          </cell>
          <cell r="E13522" t="str">
            <v>BB BANCO DE INVESTIMENTO S/A</v>
          </cell>
        </row>
        <row r="13523">
          <cell r="B13523">
            <v>22586</v>
          </cell>
          <cell r="C13523" t="str">
            <v>BB BANCO DE INVESTIMENTO S/A</v>
          </cell>
          <cell r="D13523" t="str">
            <v>BB BANCO DE INVESTIMENTO S/A</v>
          </cell>
          <cell r="E13523" t="str">
            <v>BB BANCO DE INVESTIMENTO S/A</v>
          </cell>
        </row>
        <row r="13524">
          <cell r="B13524">
            <v>22591</v>
          </cell>
          <cell r="C13524" t="str">
            <v>BB BANCO DE INVESTIMENTO S/A</v>
          </cell>
          <cell r="D13524" t="str">
            <v>BB BANCO DE INVESTIMENTO S/A</v>
          </cell>
          <cell r="E13524" t="str">
            <v>BB BANCO DE INVESTIMENTO S/A</v>
          </cell>
        </row>
        <row r="13525">
          <cell r="B13525">
            <v>22592</v>
          </cell>
          <cell r="C13525" t="str">
            <v>BB BANCO DE INVESTIMENTO S/A</v>
          </cell>
          <cell r="D13525" t="str">
            <v>BB BANCO DE INVESTIMENTO S/A</v>
          </cell>
          <cell r="E13525" t="str">
            <v>BB BANCO DE INVESTIMENTO S/A</v>
          </cell>
        </row>
        <row r="13526">
          <cell r="B13526">
            <v>22595</v>
          </cell>
          <cell r="C13526" t="str">
            <v>BB BANCO DE INVESTIMENTO S/A</v>
          </cell>
          <cell r="D13526" t="str">
            <v>BB BANCO DE INVESTIMENTO S/A</v>
          </cell>
          <cell r="E13526" t="str">
            <v>BB BANCO DE INVESTIMENTO S/A</v>
          </cell>
        </row>
        <row r="13527">
          <cell r="B13527">
            <v>22596</v>
          </cell>
          <cell r="C13527" t="str">
            <v>BB BANCO DE INVESTIMENTO S/A</v>
          </cell>
          <cell r="D13527" t="str">
            <v>BB BANCO DE INVESTIMENTO S/A</v>
          </cell>
          <cell r="E13527" t="str">
            <v>BB BANCO DE INVESTIMENTO S/A</v>
          </cell>
        </row>
        <row r="13528">
          <cell r="B13528">
            <v>22598</v>
          </cell>
          <cell r="C13528" t="str">
            <v>BB BANCO DE INVESTIMENTO S/A</v>
          </cell>
          <cell r="D13528" t="str">
            <v>BB BANCO DE INVESTIMENTO S/A</v>
          </cell>
          <cell r="E13528" t="str">
            <v>BB BANCO DE INVESTIMENTO S/A</v>
          </cell>
        </row>
        <row r="13529">
          <cell r="B13529">
            <v>22600</v>
          </cell>
          <cell r="C13529" t="str">
            <v>BB BANCO DE INVESTIMENTO S/A</v>
          </cell>
          <cell r="D13529" t="str">
            <v>BB BANCO DE INVESTIMENTO S/A</v>
          </cell>
          <cell r="E13529" t="str">
            <v>BB BANCO DE INVESTIMENTO S/A</v>
          </cell>
        </row>
        <row r="13530">
          <cell r="B13530">
            <v>22601</v>
          </cell>
          <cell r="C13530" t="str">
            <v>BB BANCO DE INVESTIMENTO S/A</v>
          </cell>
          <cell r="D13530" t="str">
            <v>BB BANCO DE INVESTIMENTO S/A</v>
          </cell>
          <cell r="E13530" t="str">
            <v>BB BANCO DE INVESTIMENTO S/A</v>
          </cell>
        </row>
        <row r="13531">
          <cell r="B13531">
            <v>22602</v>
          </cell>
          <cell r="C13531" t="str">
            <v>BB BANCO DE INVESTIMENTO S/A</v>
          </cell>
          <cell r="D13531" t="str">
            <v>BB BANCO DE INVESTIMENTO S/A</v>
          </cell>
          <cell r="E13531" t="str">
            <v>BB BANCO DE INVESTIMENTO S/A</v>
          </cell>
        </row>
        <row r="13532">
          <cell r="B13532">
            <v>22603</v>
          </cell>
          <cell r="C13532" t="str">
            <v>BB BANCO DE INVESTIMENTO S/A</v>
          </cell>
          <cell r="D13532" t="str">
            <v>BB BANCO DE INVESTIMENTO S/A</v>
          </cell>
          <cell r="E13532" t="str">
            <v>BB BANCO DE INVESTIMENTO S/A</v>
          </cell>
        </row>
        <row r="13533">
          <cell r="B13533">
            <v>22606</v>
          </cell>
          <cell r="C13533" t="str">
            <v>BB BANCO DE INVESTIMENTO S/A</v>
          </cell>
          <cell r="D13533" t="str">
            <v>BB BANCO DE INVESTIMENTO S/A</v>
          </cell>
          <cell r="E13533" t="str">
            <v>BB BANCO DE INVESTIMENTO S/A</v>
          </cell>
        </row>
        <row r="13534">
          <cell r="B13534">
            <v>22610</v>
          </cell>
          <cell r="C13534" t="str">
            <v>BB BANCO DE INVESTIMENTO S/A</v>
          </cell>
          <cell r="D13534" t="str">
            <v>BB BANCO DE INVESTIMENTO S/A</v>
          </cell>
          <cell r="E13534" t="str">
            <v>BB BANCO DE INVESTIMENTO S/A</v>
          </cell>
        </row>
        <row r="13535">
          <cell r="B13535">
            <v>22612</v>
          </cell>
          <cell r="C13535" t="str">
            <v>BB BANCO DE INVESTIMENTO S/A</v>
          </cell>
          <cell r="D13535" t="str">
            <v>BB BANCO DE INVESTIMENTO S/A</v>
          </cell>
          <cell r="E13535" t="str">
            <v>BB BANCO DE INVESTIMENTO S/A</v>
          </cell>
        </row>
        <row r="13536">
          <cell r="B13536">
            <v>22618</v>
          </cell>
          <cell r="C13536" t="str">
            <v>BB BANCO DE INVESTIMENTO S/A</v>
          </cell>
          <cell r="D13536" t="str">
            <v>BB BANCO DE INVESTIMENTO S/A</v>
          </cell>
          <cell r="E13536" t="str">
            <v>BB BANCO DE INVESTIMENTO S/A</v>
          </cell>
        </row>
        <row r="13537">
          <cell r="B13537">
            <v>22620</v>
          </cell>
          <cell r="C13537" t="str">
            <v>BB BANCO DE INVESTIMENTO S/A</v>
          </cell>
          <cell r="D13537" t="str">
            <v>BB BANCO DE INVESTIMENTO S/A</v>
          </cell>
          <cell r="E13537" t="str">
            <v>BB BANCO DE INVESTIMENTO S/A</v>
          </cell>
        </row>
        <row r="13538">
          <cell r="B13538">
            <v>22626</v>
          </cell>
          <cell r="C13538" t="str">
            <v>BB GESTAO DE RECURSOS DTVM LTDA</v>
          </cell>
          <cell r="D13538" t="str">
            <v>BB GESTAO DE RECURSOS DTVM LTDA</v>
          </cell>
          <cell r="E13538" t="str">
            <v>BB BANCO DE INVESTIMENTO S/A</v>
          </cell>
        </row>
        <row r="13539">
          <cell r="B13539">
            <v>22631</v>
          </cell>
          <cell r="C13539" t="str">
            <v>BB GESTAO DE RECURSOS DTVM LTDA</v>
          </cell>
          <cell r="D13539" t="str">
            <v>BB GESTAO DE RECURSOS DTVM LTDA</v>
          </cell>
          <cell r="E13539" t="str">
            <v>BB GESTAO DE RECURSOS DTVM LTDA</v>
          </cell>
        </row>
        <row r="13540">
          <cell r="B13540">
            <v>22633</v>
          </cell>
          <cell r="C13540" t="str">
            <v>BB GESTAO DE RECURSOS DTVM LTDA</v>
          </cell>
          <cell r="D13540" t="str">
            <v>BB GESTAO DE RECURSOS DTVM LTDA</v>
          </cell>
          <cell r="E13540" t="str">
            <v>BB GESTAO DE RECURSOS DTVM LTDA</v>
          </cell>
        </row>
        <row r="13541">
          <cell r="B13541">
            <v>22634</v>
          </cell>
          <cell r="C13541" t="str">
            <v>BB BANCO DE INVESTIMENTO S/A</v>
          </cell>
          <cell r="D13541" t="str">
            <v>BB BANCO DE INVESTIMENTO S/A</v>
          </cell>
          <cell r="E13541" t="str">
            <v>BB BANCO DE INVESTIMENTO S/A</v>
          </cell>
        </row>
        <row r="13542">
          <cell r="B13542">
            <v>22635</v>
          </cell>
          <cell r="C13542" t="str">
            <v>BB BANCO DE INVESTIMENTO S/A</v>
          </cell>
          <cell r="D13542" t="str">
            <v>BB BANCO DE INVESTIMENTO S/A</v>
          </cell>
          <cell r="E13542" t="str">
            <v>BB BANCO DE INVESTIMENTO S/A</v>
          </cell>
        </row>
        <row r="13543">
          <cell r="B13543">
            <v>22637</v>
          </cell>
          <cell r="C13543" t="str">
            <v>BB GESTAO DE RECURSOS DTVM LTDA</v>
          </cell>
          <cell r="D13543" t="str">
            <v>BB GESTAO DE RECURSOS DTVM LTDA</v>
          </cell>
          <cell r="E13543" t="str">
            <v>BB GESTAO DE RECURSOS DTVM LTDA</v>
          </cell>
        </row>
        <row r="13544">
          <cell r="B13544">
            <v>22648</v>
          </cell>
          <cell r="C13544" t="str">
            <v>BB GESTAO DE RECURSOS DTVM LTDA</v>
          </cell>
          <cell r="D13544" t="str">
            <v>BB GESTAO DE RECURSOS DTVM LTDA</v>
          </cell>
          <cell r="E13544" t="str">
            <v>BB BANCO DE INVESTIMENTO S/A</v>
          </cell>
        </row>
        <row r="13545">
          <cell r="B13545">
            <v>22662</v>
          </cell>
          <cell r="C13545" t="str">
            <v>BB GESTAO DE RECURSOS DTVM LTDA</v>
          </cell>
          <cell r="D13545" t="str">
            <v>BB GESTAO DE RECURSOS DTVM LTDA</v>
          </cell>
          <cell r="E13545" t="str">
            <v>BB GESTAO DE RECURSOS DTVM LTDA</v>
          </cell>
        </row>
        <row r="13546">
          <cell r="B13546">
            <v>22669</v>
          </cell>
          <cell r="C13546" t="str">
            <v>BB BANCO DE INVESTIMENTO S/A</v>
          </cell>
          <cell r="D13546" t="str">
            <v>BB BANCO DE INVESTIMENTO S/A</v>
          </cell>
          <cell r="E13546" t="str">
            <v>BB BANCO DE INVESTIMENTO S/A</v>
          </cell>
        </row>
        <row r="13547">
          <cell r="B13547">
            <v>22673</v>
          </cell>
          <cell r="C13547" t="str">
            <v>BB GESTAO DE RECURSOS DTVM LTDA</v>
          </cell>
          <cell r="D13547" t="str">
            <v>BB GESTAO DE RECURSOS DTVM LTDA</v>
          </cell>
          <cell r="E13547" t="str">
            <v>BB BANCO DE INVESTIMENTO S/A</v>
          </cell>
        </row>
        <row r="13548">
          <cell r="B13548">
            <v>22675</v>
          </cell>
          <cell r="C13548" t="str">
            <v>BB GESTAO DE RECURSOS DTVM LTDA</v>
          </cell>
          <cell r="D13548" t="str">
            <v>BB GESTAO DE RECURSOS DTVM LTDA</v>
          </cell>
          <cell r="E13548" t="str">
            <v>BB BANCO DE INVESTIMENTO S/A</v>
          </cell>
        </row>
        <row r="13549">
          <cell r="B13549">
            <v>22677</v>
          </cell>
          <cell r="C13549" t="str">
            <v>BB BANCO DE INVESTIMENTO S/A</v>
          </cell>
          <cell r="D13549" t="str">
            <v>BB BANCO DE INVESTIMENTO S/A</v>
          </cell>
          <cell r="E13549" t="str">
            <v>BB BANCO DE INVESTIMENTO S/A</v>
          </cell>
        </row>
        <row r="13550">
          <cell r="B13550">
            <v>22683</v>
          </cell>
          <cell r="C13550" t="str">
            <v>BB GESTAO DE RECURSOS DTVM LTDA</v>
          </cell>
          <cell r="D13550" t="str">
            <v>BB GESTAO DE RECURSOS DTVM LTDA</v>
          </cell>
          <cell r="E13550" t="str">
            <v>BB BANCO DE INVESTIMENTO S/A</v>
          </cell>
        </row>
        <row r="13551">
          <cell r="B13551">
            <v>22689</v>
          </cell>
          <cell r="C13551" t="str">
            <v>BB BANCO DE INVESTIMENTO S/A</v>
          </cell>
          <cell r="D13551" t="str">
            <v>BB BANCO DE INVESTIMENTO S/A</v>
          </cell>
          <cell r="E13551" t="str">
            <v>BB BANCO DE INVESTIMENTO S/A</v>
          </cell>
        </row>
        <row r="13552">
          <cell r="B13552">
            <v>22690</v>
          </cell>
          <cell r="C13552" t="str">
            <v>BB GESTAO DE RECURSOS DTVM LTDA</v>
          </cell>
          <cell r="D13552" t="str">
            <v>BB GESTAO DE RECURSOS DTVM LTDA</v>
          </cell>
          <cell r="E13552" t="str">
            <v>BB GESTAO DE RECURSOS DTVM LTDA</v>
          </cell>
        </row>
        <row r="13553">
          <cell r="B13553">
            <v>22694</v>
          </cell>
          <cell r="C13553" t="str">
            <v>BB GESTAO DE RECURSOS DTVM LTDA</v>
          </cell>
          <cell r="D13553" t="str">
            <v>BB GESTAO DE RECURSOS DTVM LTDA</v>
          </cell>
          <cell r="E13553" t="str">
            <v>BB BANCO DE INVESTIMENTO S/A</v>
          </cell>
        </row>
        <row r="13554">
          <cell r="B13554">
            <v>22704</v>
          </cell>
          <cell r="C13554" t="str">
            <v>BB BANCO DE INVESTIMENTO S/A</v>
          </cell>
          <cell r="D13554" t="str">
            <v>BB BANCO DE INVESTIMENTO S/A</v>
          </cell>
          <cell r="E13554" t="str">
            <v>BB BANCO DE INVESTIMENTO S/A</v>
          </cell>
        </row>
        <row r="13555">
          <cell r="B13555">
            <v>22710</v>
          </cell>
          <cell r="C13555" t="str">
            <v>BB GESTAO DE RECURSOS DTVM LTDA</v>
          </cell>
          <cell r="D13555" t="str">
            <v>BB GESTAO DE RECURSOS DTVM LTDA</v>
          </cell>
          <cell r="E13555" t="str">
            <v>BB BANCO DE INVESTIMENTO S/A</v>
          </cell>
        </row>
        <row r="13556">
          <cell r="B13556">
            <v>22719</v>
          </cell>
          <cell r="C13556" t="str">
            <v>BB BANCO DE INVESTIMENTO S/A</v>
          </cell>
          <cell r="D13556" t="str">
            <v>BB BANCO DE INVESTIMENTO S/A</v>
          </cell>
          <cell r="E13556" t="str">
            <v>BB BANCO DE INVESTIMENTO S/A</v>
          </cell>
        </row>
        <row r="13557">
          <cell r="B13557">
            <v>22726</v>
          </cell>
          <cell r="C13557" t="str">
            <v>BB GESTAO DE RECURSOS DTVM LTDA</v>
          </cell>
          <cell r="D13557" t="str">
            <v>BB GESTAO DE RECURSOS DTVM LTDA</v>
          </cell>
          <cell r="E13557" t="str">
            <v>BB GESTAO DE RECURSOS DTVM LTDA</v>
          </cell>
        </row>
        <row r="13558">
          <cell r="B13558">
            <v>22728</v>
          </cell>
          <cell r="C13558" t="str">
            <v>BB GESTAO DE RECURSOS DTVM LTDA</v>
          </cell>
          <cell r="D13558" t="str">
            <v>BB GESTAO DE RECURSOS DTVM LTDA</v>
          </cell>
          <cell r="E13558" t="str">
            <v>BB BANCO DE INVESTIMENTO S/A</v>
          </cell>
        </row>
        <row r="13559">
          <cell r="B13559">
            <v>22729</v>
          </cell>
          <cell r="C13559" t="str">
            <v>BB BANCO DE INVESTIMENTO S/A</v>
          </cell>
          <cell r="D13559" t="str">
            <v>BB BANCO DE INVESTIMENTO S/A</v>
          </cell>
          <cell r="E13559" t="str">
            <v>BB BANCO DE INVESTIMENTO S/A</v>
          </cell>
        </row>
        <row r="13560">
          <cell r="B13560">
            <v>22734</v>
          </cell>
          <cell r="C13560" t="str">
            <v>BB GESTAO DE RECURSOS DTVM LTDA</v>
          </cell>
          <cell r="D13560" t="str">
            <v>BB GESTAO DE RECURSOS DTVM LTDA</v>
          </cell>
          <cell r="E13560" t="str">
            <v>BB BANCO DE INVESTIMENTO S/A</v>
          </cell>
        </row>
        <row r="13561">
          <cell r="B13561">
            <v>22736</v>
          </cell>
          <cell r="C13561" t="str">
            <v>BB GESTAO DE RECURSOS DTVM LTDA</v>
          </cell>
          <cell r="D13561" t="str">
            <v>BB GESTAO DE RECURSOS DTVM LTDA</v>
          </cell>
          <cell r="E13561" t="str">
            <v>BB BANCO DE INVESTIMENTO S/A</v>
          </cell>
        </row>
        <row r="13562">
          <cell r="B13562">
            <v>22739</v>
          </cell>
          <cell r="C13562" t="str">
            <v>BB BANCO DE INVESTIMENTO S/A</v>
          </cell>
          <cell r="D13562" t="str">
            <v>BB BANCO DE INVESTIMENTO S/A</v>
          </cell>
          <cell r="E13562" t="str">
            <v>BB BANCO DE INVESTIMENTO S/A</v>
          </cell>
        </row>
        <row r="13563">
          <cell r="B13563">
            <v>22747</v>
          </cell>
          <cell r="C13563" t="str">
            <v>BB GESTAO DE RECURSOS DTVM LTDA</v>
          </cell>
          <cell r="D13563" t="str">
            <v>BB GESTAO DE RECURSOS DTVM LTDA</v>
          </cell>
          <cell r="E13563" t="str">
            <v>BB BANCO DE INVESTIMENTO S/A</v>
          </cell>
        </row>
        <row r="13564">
          <cell r="B13564">
            <v>22748</v>
          </cell>
          <cell r="C13564" t="str">
            <v>BB BANCO DE INVESTIMENTO S/A</v>
          </cell>
          <cell r="D13564" t="str">
            <v>BB BANCO DE INVESTIMENTO S/A</v>
          </cell>
          <cell r="E13564" t="str">
            <v>BB BANCO DE INVESTIMENTO S/A</v>
          </cell>
        </row>
        <row r="13565">
          <cell r="B13565">
            <v>22750</v>
          </cell>
          <cell r="C13565" t="str">
            <v>BB GESTAO DE RECURSOS DTVM LTDA</v>
          </cell>
          <cell r="D13565" t="str">
            <v>BB GESTAO DE RECURSOS DTVM LTDA</v>
          </cell>
          <cell r="E13565" t="str">
            <v>BB BANCO DE INVESTIMENTO S/A</v>
          </cell>
        </row>
        <row r="13566">
          <cell r="B13566">
            <v>22751</v>
          </cell>
          <cell r="C13566" t="str">
            <v>BB GESTAO DE RECURSOS DTVM LTDA</v>
          </cell>
          <cell r="D13566" t="str">
            <v>BB GESTAO DE RECURSOS DTVM LTDA</v>
          </cell>
          <cell r="E13566" t="str">
            <v>BB BANCO DE INVESTIMENTO S/A</v>
          </cell>
        </row>
        <row r="13567">
          <cell r="B13567">
            <v>22754</v>
          </cell>
          <cell r="C13567" t="str">
            <v>BB BANCO DE INVESTIMENTO S/A</v>
          </cell>
          <cell r="D13567" t="str">
            <v>BB BANCO DE INVESTIMENTO S/A</v>
          </cell>
          <cell r="E13567" t="str">
            <v>BB BANCO DE INVESTIMENTO S/A</v>
          </cell>
        </row>
        <row r="13568">
          <cell r="B13568">
            <v>22757</v>
          </cell>
          <cell r="C13568" t="str">
            <v>BB GESTAO DE RECURSOS DTVM LTDA</v>
          </cell>
          <cell r="D13568" t="str">
            <v>BB GESTAO DE RECURSOS DTVM LTDA</v>
          </cell>
          <cell r="E13568" t="str">
            <v>BB BANCO DE INVESTIMENTO S/A</v>
          </cell>
        </row>
        <row r="13569">
          <cell r="B13569">
            <v>22758</v>
          </cell>
          <cell r="C13569" t="str">
            <v>BB BANCO DE INVESTIMENTO S/A</v>
          </cell>
          <cell r="D13569" t="str">
            <v>BB BANCO DE INVESTIMENTO S/A</v>
          </cell>
          <cell r="E13569" t="str">
            <v>BB BANCO DE INVESTIMENTO S/A</v>
          </cell>
        </row>
        <row r="13570">
          <cell r="B13570">
            <v>22763</v>
          </cell>
          <cell r="C13570" t="str">
            <v>BB GESTAO DE RECURSOS DTVM LTDA</v>
          </cell>
          <cell r="D13570" t="str">
            <v>BB GESTAO DE RECURSOS DTVM LTDA</v>
          </cell>
          <cell r="E13570" t="str">
            <v>BB BANCO DE INVESTIMENTO S/A</v>
          </cell>
        </row>
        <row r="13571">
          <cell r="B13571">
            <v>22766</v>
          </cell>
          <cell r="C13571" t="str">
            <v>BB GESTAO DE RECURSOS DTVM LTDA</v>
          </cell>
          <cell r="D13571" t="str">
            <v>BB GESTAO DE RECURSOS DTVM LTDA</v>
          </cell>
          <cell r="E13571" t="str">
            <v>BB BANCO DE INVESTIMENTO S/A</v>
          </cell>
        </row>
        <row r="13572">
          <cell r="B13572">
            <v>22768</v>
          </cell>
          <cell r="C13572" t="str">
            <v>BB GESTAO DE RECURSOS DTVM LTDA</v>
          </cell>
          <cell r="D13572" t="str">
            <v>BB GESTAO DE RECURSOS DTVM LTDA</v>
          </cell>
          <cell r="E13572" t="str">
            <v>BB BANCO DE INVESTIMENTO S/A</v>
          </cell>
        </row>
        <row r="13573">
          <cell r="B13573">
            <v>22772</v>
          </cell>
          <cell r="C13573" t="str">
            <v>BB GESTAO DE RECURSOS DTVM LTDA</v>
          </cell>
          <cell r="D13573" t="str">
            <v>BB GESTAO DE RECURSOS DTVM LTDA</v>
          </cell>
          <cell r="E13573" t="str">
            <v>BB GESTAO DE RECURSOS DTVM LTDA</v>
          </cell>
        </row>
        <row r="13574">
          <cell r="B13574">
            <v>22774</v>
          </cell>
          <cell r="C13574" t="str">
            <v>BB BANCO DE INVESTIMENTO S/A</v>
          </cell>
          <cell r="D13574" t="str">
            <v>BB BANCO DE INVESTIMENTO S/A</v>
          </cell>
          <cell r="E13574" t="str">
            <v>BB BANCO DE INVESTIMENTO S/A</v>
          </cell>
        </row>
        <row r="13575">
          <cell r="B13575">
            <v>22775</v>
          </cell>
          <cell r="C13575" t="str">
            <v>BB BANCO DE INVESTIMENTO S/A</v>
          </cell>
          <cell r="D13575" t="str">
            <v>BB BANCO DE INVESTIMENTO S/A</v>
          </cell>
          <cell r="E13575" t="str">
            <v>BB BANCO DE INVESTIMENTO S/A</v>
          </cell>
        </row>
        <row r="13576">
          <cell r="B13576">
            <v>22776</v>
          </cell>
          <cell r="C13576" t="str">
            <v>BB BANCO DE INVESTIMENTO S/A</v>
          </cell>
          <cell r="D13576" t="str">
            <v>BB BANCO DE INVESTIMENTO S/A</v>
          </cell>
          <cell r="E13576" t="str">
            <v>BB BANCO DE INVESTIMENTO S/A</v>
          </cell>
        </row>
        <row r="13577">
          <cell r="B13577">
            <v>22781</v>
          </cell>
          <cell r="C13577" t="str">
            <v>BB BANCO DE INVESTIMENTO S/A</v>
          </cell>
          <cell r="D13577" t="str">
            <v>BB BANCO DE INVESTIMENTO S/A</v>
          </cell>
          <cell r="E13577" t="str">
            <v>BB BANCO DE INVESTIMENTO S/A</v>
          </cell>
        </row>
        <row r="13578">
          <cell r="B13578">
            <v>22782</v>
          </cell>
          <cell r="C13578" t="str">
            <v>BB BANCO DE INVESTIMENTO S/A</v>
          </cell>
          <cell r="D13578" t="str">
            <v>BB BANCO DE INVESTIMENTO S/A</v>
          </cell>
          <cell r="E13578" t="str">
            <v>BB BANCO DE INVESTIMENTO S/A</v>
          </cell>
        </row>
        <row r="13579">
          <cell r="B13579">
            <v>22801</v>
          </cell>
          <cell r="C13579" t="str">
            <v>BB GESTAO DE RECURSOS DTVM LTDA</v>
          </cell>
          <cell r="D13579" t="str">
            <v>BB GESTAO DE RECURSOS DTVM LTDA</v>
          </cell>
          <cell r="E13579" t="str">
            <v>BB BANCO DE INVESTIMENTO S/A</v>
          </cell>
        </row>
        <row r="13580">
          <cell r="B13580">
            <v>22804</v>
          </cell>
          <cell r="C13580" t="str">
            <v>BB BANCO DE INVESTIMENTO S/A</v>
          </cell>
          <cell r="D13580" t="str">
            <v>BB BANCO DE INVESTIMENTO S/A</v>
          </cell>
          <cell r="E13580" t="str">
            <v>BB BANCO DE INVESTIMENTO S/A</v>
          </cell>
        </row>
        <row r="13581">
          <cell r="B13581">
            <v>22806</v>
          </cell>
          <cell r="C13581" t="str">
            <v>BB GESTAO DE RECURSOS DTVM LTDA</v>
          </cell>
          <cell r="D13581" t="str">
            <v>BB GESTAO DE RECURSOS DTVM LTDA</v>
          </cell>
          <cell r="E13581" t="str">
            <v>BB BANCO DE INVESTIMENTO S/A</v>
          </cell>
        </row>
        <row r="13582">
          <cell r="B13582">
            <v>22819</v>
          </cell>
          <cell r="C13582" t="str">
            <v>BB BANCO DE INVESTIMENTO S/A</v>
          </cell>
          <cell r="D13582" t="str">
            <v>BB BANCO DE INVESTIMENTO S/A</v>
          </cell>
          <cell r="E13582" t="str">
            <v>BB BANCO DE INVESTIMENTO S/A</v>
          </cell>
        </row>
        <row r="13583">
          <cell r="B13583">
            <v>22821</v>
          </cell>
          <cell r="C13583" t="str">
            <v>BB BANCO DE INVESTIMENTO S/A</v>
          </cell>
          <cell r="D13583" t="str">
            <v>BB BANCO DE INVESTIMENTO S/A</v>
          </cell>
          <cell r="E13583" t="str">
            <v>BB BANCO DE INVESTIMENTO S/A</v>
          </cell>
        </row>
        <row r="13584">
          <cell r="B13584">
            <v>22823</v>
          </cell>
          <cell r="C13584" t="str">
            <v>BB GESTAO DE RECURSOS DTVM LTDA</v>
          </cell>
          <cell r="D13584" t="str">
            <v>BB GESTAO DE RECURSOS DTVM LTDA</v>
          </cell>
          <cell r="E13584" t="str">
            <v>BB GESTAO DE RECURSOS DTVM LTDA</v>
          </cell>
        </row>
        <row r="13585">
          <cell r="B13585">
            <v>22826</v>
          </cell>
          <cell r="C13585" t="str">
            <v>BB BANCO DE INVESTIMENTO S/A</v>
          </cell>
          <cell r="D13585" t="str">
            <v>BB BANCO DE INVESTIMENTO S/A</v>
          </cell>
          <cell r="E13585" t="str">
            <v>BB BANCO DE INVESTIMENTO S/A</v>
          </cell>
        </row>
        <row r="13586">
          <cell r="B13586">
            <v>22830</v>
          </cell>
          <cell r="C13586" t="str">
            <v>BB BANCO DE INVESTIMENTO S/A</v>
          </cell>
          <cell r="D13586" t="str">
            <v>BB BANCO DE INVESTIMENTO S/A</v>
          </cell>
          <cell r="E13586" t="str">
            <v>BB BANCO DE INVESTIMENTO S/A</v>
          </cell>
        </row>
        <row r="13587">
          <cell r="B13587">
            <v>22831</v>
          </cell>
          <cell r="C13587" t="str">
            <v>BB BANCO DE INVESTIMENTO S/A</v>
          </cell>
          <cell r="D13587" t="str">
            <v>BB BANCO DE INVESTIMENTO S/A</v>
          </cell>
          <cell r="E13587" t="str">
            <v>BB BANCO DE INVESTIMENTO S/A</v>
          </cell>
        </row>
        <row r="13588">
          <cell r="B13588">
            <v>22832</v>
          </cell>
          <cell r="C13588" t="str">
            <v>BB BANCO DE INVESTIMENTO S/A</v>
          </cell>
          <cell r="D13588" t="str">
            <v>BB BANCO DE INVESTIMENTO S/A</v>
          </cell>
          <cell r="E13588" t="str">
            <v>BB BANCO DE INVESTIMENTO S/A</v>
          </cell>
        </row>
        <row r="13589">
          <cell r="B13589">
            <v>22834</v>
          </cell>
          <cell r="C13589" t="str">
            <v>BB BANCO DE INVESTIMENTO S/A</v>
          </cell>
          <cell r="D13589" t="str">
            <v>BB BANCO DE INVESTIMENTO S/A</v>
          </cell>
          <cell r="E13589" t="str">
            <v>BB BANCO DE INVESTIMENTO S/A</v>
          </cell>
        </row>
        <row r="13590">
          <cell r="B13590">
            <v>22838</v>
          </cell>
          <cell r="C13590" t="str">
            <v>BB BANCO DE INVESTIMENTO S/A</v>
          </cell>
          <cell r="D13590" t="str">
            <v>BB BANCO DE INVESTIMENTO S/A</v>
          </cell>
          <cell r="E13590" t="str">
            <v>BB BANCO DE INVESTIMENTO S/A</v>
          </cell>
        </row>
        <row r="13591">
          <cell r="B13591">
            <v>228384</v>
          </cell>
          <cell r="C13591" t="str">
            <v>BB BANCO DE INVESTIMENTO S/A</v>
          </cell>
          <cell r="D13591" t="str">
            <v>BB BANCO DE INVESTIMENTO S/A</v>
          </cell>
          <cell r="E13591" t="str">
            <v>BB BANCO DE INVESTIMENTO S/A</v>
          </cell>
        </row>
        <row r="13592">
          <cell r="B13592">
            <v>22839</v>
          </cell>
          <cell r="C13592" t="str">
            <v>BB BANCO DE INVESTIMENTO S/A</v>
          </cell>
          <cell r="D13592" t="str">
            <v>BB BANCO DE INVESTIMENTO S/A</v>
          </cell>
          <cell r="E13592" t="str">
            <v>BB BANCO DE INVESTIMENTO S/A</v>
          </cell>
        </row>
        <row r="13593">
          <cell r="B13593">
            <v>22840</v>
          </cell>
          <cell r="C13593" t="str">
            <v>BB GESTAO DE RECURSOS DTVM LTDA</v>
          </cell>
          <cell r="D13593" t="str">
            <v>BB GESTAO DE RECURSOS DTVM LTDA</v>
          </cell>
          <cell r="E13593" t="str">
            <v>BB GESTAO DE RECURSOS DTVM LTDA</v>
          </cell>
        </row>
        <row r="13594">
          <cell r="B13594">
            <v>22842</v>
          </cell>
          <cell r="C13594" t="str">
            <v>BB GESTAO DE RECURSOS DTVM LTDA</v>
          </cell>
          <cell r="D13594" t="str">
            <v>BB GESTAO DE RECURSOS DTVM LTDA</v>
          </cell>
          <cell r="E13594" t="str">
            <v>BB BANCO DE INVESTIMENTO S/A</v>
          </cell>
        </row>
        <row r="13595">
          <cell r="B13595">
            <v>22843</v>
          </cell>
          <cell r="C13595" t="str">
            <v>BB GESTAO DE RECURSOS DTVM LTDA</v>
          </cell>
          <cell r="D13595" t="str">
            <v>BB GESTAO DE RECURSOS DTVM LTDA</v>
          </cell>
          <cell r="E13595" t="str">
            <v>BB BANCO DE INVESTIMENTO S/A</v>
          </cell>
        </row>
        <row r="13596">
          <cell r="B13596">
            <v>22844</v>
          </cell>
          <cell r="C13596" t="str">
            <v>BB GESTAO DE RECURSOS DTVM LTDA</v>
          </cell>
          <cell r="D13596" t="str">
            <v>BB GESTAO DE RECURSOS DTVM LTDA</v>
          </cell>
          <cell r="E13596" t="str">
            <v>BB BANCO DE INVESTIMENTO S/A</v>
          </cell>
        </row>
        <row r="13597">
          <cell r="B13597">
            <v>22846</v>
          </cell>
          <cell r="C13597" t="str">
            <v>BB GESTAO DE RECURSOS DTVM LTDA</v>
          </cell>
          <cell r="D13597" t="str">
            <v>BB GESTAO DE RECURSOS DTVM LTDA</v>
          </cell>
          <cell r="E13597" t="str">
            <v>BB BANCO DE INVESTIMENTO S/A</v>
          </cell>
        </row>
        <row r="13598">
          <cell r="B13598">
            <v>22848</v>
          </cell>
          <cell r="C13598" t="str">
            <v>BB GESTAO DE RECURSOS DTVM LTDA</v>
          </cell>
          <cell r="D13598" t="str">
            <v>BB GESTAO DE RECURSOS DTVM LTDA</v>
          </cell>
          <cell r="E13598" t="str">
            <v>BB BANCO DE INVESTIMENTO S/A</v>
          </cell>
        </row>
        <row r="13599">
          <cell r="B13599">
            <v>22849</v>
          </cell>
          <cell r="C13599" t="str">
            <v>BB BANCO DE INVESTIMENTO S/A</v>
          </cell>
          <cell r="D13599" t="str">
            <v>BB BANCO DE INVESTIMENTO S/A</v>
          </cell>
          <cell r="E13599" t="str">
            <v>BB BANCO DE INVESTIMENTO S/A</v>
          </cell>
        </row>
        <row r="13600">
          <cell r="B13600">
            <v>22850</v>
          </cell>
          <cell r="C13600" t="str">
            <v>BB GESTAO DE RECURSOS DTVM LTDA</v>
          </cell>
          <cell r="D13600" t="str">
            <v>BB GESTAO DE RECURSOS DTVM LTDA</v>
          </cell>
          <cell r="E13600" t="str">
            <v>BB BANCO DE INVESTIMENTO S/A</v>
          </cell>
        </row>
        <row r="13601">
          <cell r="B13601">
            <v>22851</v>
          </cell>
          <cell r="C13601" t="str">
            <v>BB BANCO DE INVESTIMENTO S/A</v>
          </cell>
          <cell r="D13601" t="str">
            <v>BB BANCO DE INVESTIMENTO S/A</v>
          </cell>
          <cell r="E13601" t="str">
            <v>BB BANCO DE INVESTIMENTO S/A</v>
          </cell>
        </row>
        <row r="13602">
          <cell r="B13602">
            <v>22853</v>
          </cell>
          <cell r="C13602" t="str">
            <v>BB GESTAO DE RECURSOS DTVM LTDA</v>
          </cell>
          <cell r="D13602" t="str">
            <v>BB GESTAO DE RECURSOS DTVM LTDA</v>
          </cell>
          <cell r="E13602" t="str">
            <v>BB BANCO DE INVESTIMENTO S/A</v>
          </cell>
        </row>
        <row r="13603">
          <cell r="B13603">
            <v>22854</v>
          </cell>
          <cell r="C13603" t="str">
            <v>BB GESTAO DE RECURSOS DTVM LTDA</v>
          </cell>
          <cell r="D13603" t="str">
            <v>BB GESTAO DE RECURSOS DTVM LTDA</v>
          </cell>
          <cell r="E13603" t="str">
            <v>BB BANCO DE INVESTIMENTO S/A</v>
          </cell>
        </row>
        <row r="13604">
          <cell r="B13604">
            <v>22856</v>
          </cell>
          <cell r="C13604" t="str">
            <v>BB GESTAO DE RECURSOS DTVM LTDA</v>
          </cell>
          <cell r="D13604" t="str">
            <v>BB GESTAO DE RECURSOS DTVM LTDA</v>
          </cell>
          <cell r="E13604" t="str">
            <v>BB BANCO DE INVESTIMENTO S/A</v>
          </cell>
        </row>
        <row r="13605">
          <cell r="B13605">
            <v>22857</v>
          </cell>
          <cell r="C13605" t="str">
            <v>BB GESTAO DE RECURSOS DTVM LTDA</v>
          </cell>
          <cell r="D13605" t="str">
            <v>BB GESTAO DE RECURSOS DTVM LTDA</v>
          </cell>
          <cell r="E13605" t="str">
            <v>BB BANCO DE INVESTIMENTO S/A</v>
          </cell>
        </row>
        <row r="13606">
          <cell r="B13606">
            <v>22858</v>
          </cell>
          <cell r="C13606" t="str">
            <v>BB BANCO DE INVESTIMENTO S/A</v>
          </cell>
          <cell r="D13606" t="str">
            <v>BB BANCO DE INVESTIMENTO S/A</v>
          </cell>
          <cell r="E13606" t="str">
            <v>BB BANCO DE INVESTIMENTO S/A</v>
          </cell>
        </row>
        <row r="13607">
          <cell r="B13607">
            <v>22861</v>
          </cell>
          <cell r="C13607" t="str">
            <v>BB GESTAO DE RECURSOS DTVM LTDA</v>
          </cell>
          <cell r="D13607" t="str">
            <v>BB GESTAO DE RECURSOS DTVM LTDA</v>
          </cell>
          <cell r="E13607" t="str">
            <v>BB BANCO DE INVESTIMENTO S/A</v>
          </cell>
        </row>
        <row r="13608">
          <cell r="B13608">
            <v>22862</v>
          </cell>
          <cell r="C13608" t="str">
            <v>BB GESTAO DE RECURSOS DTVM LTDA</v>
          </cell>
          <cell r="D13608" t="str">
            <v>BB GESTAO DE RECURSOS DTVM LTDA</v>
          </cell>
          <cell r="E13608" t="str">
            <v>BB BANCO DE INVESTIMENTO S/A</v>
          </cell>
        </row>
        <row r="13609">
          <cell r="B13609">
            <v>22863</v>
          </cell>
          <cell r="C13609" t="str">
            <v>BB GESTAO DE RECURSOS DTVM LTDA</v>
          </cell>
          <cell r="D13609" t="str">
            <v>BB GESTAO DE RECURSOS DTVM LTDA</v>
          </cell>
          <cell r="E13609" t="str">
            <v>BB BANCO DE INVESTIMENTO S/A</v>
          </cell>
        </row>
        <row r="13610">
          <cell r="B13610">
            <v>22871</v>
          </cell>
          <cell r="C13610" t="str">
            <v>BB BANCO DE INVESTIMENTO S/A</v>
          </cell>
          <cell r="D13610" t="str">
            <v>BB BANCO DE INVESTIMENTO S/A</v>
          </cell>
          <cell r="E13610" t="str">
            <v>BB BANCO DE INVESTIMENTO S/A</v>
          </cell>
        </row>
        <row r="13611">
          <cell r="B13611">
            <v>22873</v>
          </cell>
          <cell r="C13611" t="str">
            <v>BB BANCO DE INVESTIMENTO S/A</v>
          </cell>
          <cell r="D13611" t="str">
            <v>BB BANCO DE INVESTIMENTO S/A</v>
          </cell>
          <cell r="E13611" t="str">
            <v>BB BANCO DE INVESTIMENTO S/A</v>
          </cell>
        </row>
        <row r="13612">
          <cell r="B13612">
            <v>22874</v>
          </cell>
          <cell r="C13612" t="str">
            <v>BB BANCO DE INVESTIMENTO S/A</v>
          </cell>
          <cell r="D13612" t="str">
            <v>BB BANCO DE INVESTIMENTO S/A</v>
          </cell>
          <cell r="E13612" t="str">
            <v>BB BANCO DE INVESTIMENTO S/A</v>
          </cell>
        </row>
        <row r="13613">
          <cell r="B13613">
            <v>22875</v>
          </cell>
          <cell r="C13613" t="str">
            <v>BB BANCO DE INVESTIMENTO S/A</v>
          </cell>
          <cell r="D13613" t="str">
            <v>BB BANCO DE INVESTIMENTO S/A</v>
          </cell>
          <cell r="E13613" t="str">
            <v>BB BANCO DE INVESTIMENTO S/A</v>
          </cell>
        </row>
        <row r="13614">
          <cell r="B13614">
            <v>22876</v>
          </cell>
          <cell r="C13614" t="str">
            <v>BB BANCO DE INVESTIMENTO S/A</v>
          </cell>
          <cell r="D13614" t="str">
            <v>BB BANCO DE INVESTIMENTO S/A</v>
          </cell>
          <cell r="E13614" t="str">
            <v>BB BANCO DE INVESTIMENTO S/A</v>
          </cell>
        </row>
        <row r="13615">
          <cell r="B13615">
            <v>22881</v>
          </cell>
          <cell r="C13615" t="str">
            <v>BB BANCO DE INVESTIMENTO S/A</v>
          </cell>
          <cell r="D13615" t="str">
            <v>BB BANCO DE INVESTIMENTO S/A</v>
          </cell>
          <cell r="E13615" t="str">
            <v>BB BANCO DE INVESTIMENTO S/A</v>
          </cell>
        </row>
        <row r="13616">
          <cell r="B13616">
            <v>22882</v>
          </cell>
          <cell r="C13616" t="str">
            <v>BB BANCO DE INVESTIMENTO S/A</v>
          </cell>
          <cell r="D13616" t="str">
            <v>BB BANCO DE INVESTIMENTO S/A</v>
          </cell>
          <cell r="E13616" t="str">
            <v>BB BANCO DE INVESTIMENTO S/A</v>
          </cell>
        </row>
        <row r="13617">
          <cell r="B13617">
            <v>22891</v>
          </cell>
          <cell r="C13617" t="str">
            <v>BB BANCO DE INVESTIMENTO S/A</v>
          </cell>
          <cell r="D13617" t="str">
            <v>BB BANCO DE INVESTIMENTO S/A</v>
          </cell>
          <cell r="E13617" t="str">
            <v>BB BANCO DE INVESTIMENTO S/A</v>
          </cell>
        </row>
        <row r="13618">
          <cell r="B13618">
            <v>22900</v>
          </cell>
          <cell r="C13618" t="str">
            <v>BB BANCO DE INVESTIMENTO S/A</v>
          </cell>
          <cell r="D13618" t="str">
            <v>BB BANCO DE INVESTIMENTO S/A</v>
          </cell>
          <cell r="E13618" t="str">
            <v>BB BANCO DE INVESTIMENTO S/A</v>
          </cell>
        </row>
        <row r="13619">
          <cell r="B13619">
            <v>22905</v>
          </cell>
          <cell r="C13619" t="str">
            <v>BB BANCO DE INVESTIMENTO S/A</v>
          </cell>
          <cell r="D13619" t="str">
            <v>BB BANCO DE INVESTIMENTO S/A</v>
          </cell>
          <cell r="E13619" t="str">
            <v>BB BANCO DE INVESTIMENTO S/A</v>
          </cell>
        </row>
        <row r="13620">
          <cell r="B13620">
            <v>22907</v>
          </cell>
          <cell r="C13620" t="str">
            <v>BB BANCO DE INVESTIMENTO S/A</v>
          </cell>
          <cell r="D13620" t="str">
            <v>BB BANCO DE INVESTIMENTO S/A</v>
          </cell>
          <cell r="E13620" t="str">
            <v>BB BANCO DE INVESTIMENTO S/A</v>
          </cell>
        </row>
        <row r="13621">
          <cell r="B13621">
            <v>22912</v>
          </cell>
          <cell r="C13621" t="str">
            <v>BB BANCO DE INVESTIMENTO S/A</v>
          </cell>
          <cell r="D13621" t="str">
            <v>BB BANCO DE INVESTIMENTO S/A</v>
          </cell>
          <cell r="E13621" t="str">
            <v>BB BANCO DE INVESTIMENTO S/A</v>
          </cell>
        </row>
        <row r="13622">
          <cell r="B13622">
            <v>22919</v>
          </cell>
          <cell r="C13622" t="str">
            <v>BB BANCO DE INVESTIMENTO S/A</v>
          </cell>
          <cell r="D13622" t="str">
            <v>BB BANCO DE INVESTIMENTO S/A</v>
          </cell>
          <cell r="E13622" t="str">
            <v>BB BANCO DE INVESTIMENTO S/A</v>
          </cell>
        </row>
        <row r="13623">
          <cell r="B13623">
            <v>22920</v>
          </cell>
          <cell r="C13623" t="str">
            <v>BB BANCO DE INVESTIMENTO S/A</v>
          </cell>
          <cell r="D13623" t="str">
            <v>BB BANCO DE INVESTIMENTO S/A</v>
          </cell>
          <cell r="E13623" t="str">
            <v>BB BANCO DE INVESTIMENTO S/A</v>
          </cell>
        </row>
        <row r="13624">
          <cell r="B13624">
            <v>22921</v>
          </cell>
          <cell r="C13624" t="str">
            <v>BB BANCO DE INVESTIMENTO S/A</v>
          </cell>
          <cell r="D13624" t="str">
            <v>BB BANCO DE INVESTIMENTO S/A</v>
          </cell>
          <cell r="E13624" t="str">
            <v>BB BANCO DE INVESTIMENTO S/A</v>
          </cell>
        </row>
        <row r="13625">
          <cell r="B13625">
            <v>22922</v>
          </cell>
          <cell r="C13625" t="str">
            <v>BB BANCO DE INVESTIMENTO S/A</v>
          </cell>
          <cell r="D13625" t="str">
            <v>BB BANCO DE INVESTIMENTO S/A</v>
          </cell>
          <cell r="E13625" t="str">
            <v>BB BANCO DE INVESTIMENTO S/A</v>
          </cell>
        </row>
        <row r="13626">
          <cell r="B13626">
            <v>22923</v>
          </cell>
          <cell r="C13626" t="str">
            <v>BB BANCO DE INVESTIMENTO S/A</v>
          </cell>
          <cell r="D13626" t="str">
            <v>BB BANCO DE INVESTIMENTO S/A</v>
          </cell>
          <cell r="E13626" t="str">
            <v>BB BANCO DE INVESTIMENTO S/A</v>
          </cell>
        </row>
        <row r="13627">
          <cell r="B13627">
            <v>22924</v>
          </cell>
          <cell r="C13627" t="str">
            <v>BB BANCO DE INVESTIMENTO S/A</v>
          </cell>
          <cell r="D13627" t="str">
            <v>BB BANCO DE INVESTIMENTO S/A</v>
          </cell>
          <cell r="E13627" t="str">
            <v>BB BANCO DE INVESTIMENTO S/A</v>
          </cell>
        </row>
        <row r="13628">
          <cell r="B13628">
            <v>22925</v>
          </cell>
          <cell r="C13628" t="str">
            <v>BB BANCO DE INVESTIMENTO S/A</v>
          </cell>
          <cell r="D13628" t="str">
            <v>BB BANCO DE INVESTIMENTO S/A</v>
          </cell>
          <cell r="E13628" t="str">
            <v>BB BANCO DE INVESTIMENTO S/A</v>
          </cell>
        </row>
        <row r="13629">
          <cell r="B13629">
            <v>22927</v>
          </cell>
          <cell r="C13629" t="str">
            <v>BB BANCO DE INVESTIMENTO S/A</v>
          </cell>
          <cell r="D13629" t="str">
            <v>BB BANCO DE INVESTIMENTO S/A</v>
          </cell>
          <cell r="E13629" t="str">
            <v>BB BANCO DE INVESTIMENTO S/A</v>
          </cell>
        </row>
        <row r="13630">
          <cell r="B13630">
            <v>22928</v>
          </cell>
          <cell r="C13630" t="str">
            <v>BB BANCO DE INVESTIMENTO S/A</v>
          </cell>
          <cell r="D13630" t="str">
            <v>BB BANCO DE INVESTIMENTO S/A</v>
          </cell>
          <cell r="E13630" t="str">
            <v>BB BANCO DE INVESTIMENTO S/A</v>
          </cell>
        </row>
        <row r="13631">
          <cell r="B13631">
            <v>22929</v>
          </cell>
          <cell r="C13631" t="str">
            <v>BB GESTAO DE RECURSOS DTVM LTDA</v>
          </cell>
          <cell r="D13631" t="str">
            <v>BB GESTAO DE RECURSOS DTVM LTDA</v>
          </cell>
          <cell r="E13631" t="str">
            <v>BB BANCO DE INVESTIMENTO S/A</v>
          </cell>
        </row>
        <row r="13632">
          <cell r="B13632">
            <v>22932</v>
          </cell>
          <cell r="C13632" t="str">
            <v>BB GESTAO DE RECURSOS DTVM LTDA</v>
          </cell>
          <cell r="D13632" t="str">
            <v>BB GESTAO DE RECURSOS DTVM LTDA</v>
          </cell>
          <cell r="E13632" t="str">
            <v>BB BANCO DE INVESTIMENTO S/A</v>
          </cell>
        </row>
        <row r="13633">
          <cell r="B13633">
            <v>22933</v>
          </cell>
          <cell r="C13633" t="str">
            <v>BB BANCO DE INVESTIMENTO S/A</v>
          </cell>
          <cell r="D13633" t="str">
            <v>BB BANCO DE INVESTIMENTO S/A</v>
          </cell>
          <cell r="E13633" t="str">
            <v>BB BANCO DE INVESTIMENTO S/A</v>
          </cell>
        </row>
        <row r="13634">
          <cell r="B13634">
            <v>22935</v>
          </cell>
          <cell r="C13634" t="str">
            <v>BB BANCO DE INVESTIMENTO S/A</v>
          </cell>
          <cell r="D13634" t="str">
            <v>BB BANCO DE INVESTIMENTO S/A</v>
          </cell>
          <cell r="E13634" t="str">
            <v>BB BANCO DE INVESTIMENTO S/A</v>
          </cell>
        </row>
        <row r="13635">
          <cell r="B13635">
            <v>22937</v>
          </cell>
          <cell r="C13635" t="str">
            <v>BB GESTAO DE RECURSOS DTVM LTDA</v>
          </cell>
          <cell r="D13635" t="str">
            <v>BB GESTAO DE RECURSOS DTVM LTDA</v>
          </cell>
          <cell r="E13635" t="str">
            <v>BB GESTAO DE RECURSOS DTVM LTDA</v>
          </cell>
        </row>
        <row r="13636">
          <cell r="B13636">
            <v>22943</v>
          </cell>
          <cell r="C13636" t="str">
            <v>BB BANCO DE INVESTIMENTO S/A</v>
          </cell>
          <cell r="D13636" t="str">
            <v>BB BANCO DE INVESTIMENTO S/A</v>
          </cell>
          <cell r="E13636" t="str">
            <v>BB BANCO DE INVESTIMENTO S/A</v>
          </cell>
        </row>
        <row r="13637">
          <cell r="B13637">
            <v>22944</v>
          </cell>
          <cell r="C13637" t="str">
            <v>BB BANCO DE INVESTIMENTO S/A</v>
          </cell>
          <cell r="D13637" t="str">
            <v>BB BANCO DE INVESTIMENTO S/A</v>
          </cell>
          <cell r="E13637" t="str">
            <v>BB BANCO DE INVESTIMENTO S/A</v>
          </cell>
        </row>
        <row r="13638">
          <cell r="B13638">
            <v>22946</v>
          </cell>
          <cell r="C13638" t="str">
            <v>BB BANCO DE INVESTIMENTO S/A</v>
          </cell>
          <cell r="D13638" t="str">
            <v>BB BANCO DE INVESTIMENTO S/A</v>
          </cell>
          <cell r="E13638" t="str">
            <v>BB BANCO DE INVESTIMENTO S/A</v>
          </cell>
        </row>
        <row r="13639">
          <cell r="B13639">
            <v>22947</v>
          </cell>
          <cell r="C13639" t="str">
            <v>BB BANCO DE INVESTIMENTO S/A</v>
          </cell>
          <cell r="D13639" t="str">
            <v>BB BANCO DE INVESTIMENTO S/A</v>
          </cell>
          <cell r="E13639" t="str">
            <v>BB BANCO DE INVESTIMENTO S/A</v>
          </cell>
        </row>
        <row r="13640">
          <cell r="B13640">
            <v>22949</v>
          </cell>
          <cell r="C13640" t="str">
            <v>BB BANCO DE INVESTIMENTO S/A</v>
          </cell>
          <cell r="D13640" t="str">
            <v>BB BANCO DE INVESTIMENTO S/A</v>
          </cell>
          <cell r="E13640" t="str">
            <v>BB BANCO DE INVESTIMENTO S/A</v>
          </cell>
        </row>
        <row r="13641">
          <cell r="B13641">
            <v>22952</v>
          </cell>
          <cell r="C13641" t="str">
            <v>BB BANCO DE INVESTIMENTO S/A</v>
          </cell>
          <cell r="D13641" t="str">
            <v>BB BANCO DE INVESTIMENTO S/A</v>
          </cell>
          <cell r="E13641" t="str">
            <v>BB BANCO DE INVESTIMENTO S/A</v>
          </cell>
        </row>
        <row r="13642">
          <cell r="B13642">
            <v>22953</v>
          </cell>
          <cell r="C13642" t="str">
            <v>BB BANCO DE INVESTIMENTO S/A</v>
          </cell>
          <cell r="D13642" t="str">
            <v>BB BANCO DE INVESTIMENTO S/A</v>
          </cell>
          <cell r="E13642" t="str">
            <v>BB BANCO DE INVESTIMENTO S/A</v>
          </cell>
        </row>
        <row r="13643">
          <cell r="B13643">
            <v>22955</v>
          </cell>
          <cell r="C13643" t="str">
            <v>BB BANCO DE INVESTIMENTO S/A</v>
          </cell>
          <cell r="D13643" t="str">
            <v>BB BANCO DE INVESTIMENTO S/A</v>
          </cell>
          <cell r="E13643" t="str">
            <v>BB BANCO DE INVESTIMENTO S/A</v>
          </cell>
        </row>
        <row r="13644">
          <cell r="B13644">
            <v>22956</v>
          </cell>
          <cell r="C13644" t="str">
            <v>BB BANCO DE INVESTIMENTO S/A</v>
          </cell>
          <cell r="D13644" t="str">
            <v>BB BANCO DE INVESTIMENTO S/A</v>
          </cell>
          <cell r="E13644" t="str">
            <v>BB BANCO DE INVESTIMENTO S/A</v>
          </cell>
        </row>
        <row r="13645">
          <cell r="B13645">
            <v>22960</v>
          </cell>
          <cell r="C13645" t="str">
            <v>BB BANCO DE INVESTIMENTO S/A</v>
          </cell>
          <cell r="D13645" t="str">
            <v>BB BANCO DE INVESTIMENTO S/A</v>
          </cell>
          <cell r="E13645" t="str">
            <v>BB BANCO DE INVESTIMENTO S/A</v>
          </cell>
        </row>
        <row r="13646">
          <cell r="B13646">
            <v>22962</v>
          </cell>
          <cell r="C13646" t="str">
            <v>BB BANCO DE INVESTIMENTO S/A</v>
          </cell>
          <cell r="D13646" t="str">
            <v>BB BANCO DE INVESTIMENTO S/A</v>
          </cell>
          <cell r="E13646" t="str">
            <v>BB BANCO DE INVESTIMENTO S/A</v>
          </cell>
        </row>
        <row r="13647">
          <cell r="B13647">
            <v>22974</v>
          </cell>
          <cell r="C13647" t="str">
            <v>BB GESTAO DE RECURSOS DTVM LTDA</v>
          </cell>
          <cell r="D13647" t="str">
            <v>BB GESTAO DE RECURSOS DTVM LTDA</v>
          </cell>
          <cell r="E13647" t="str">
            <v>BB BANCO DE INVESTIMENTO S/A</v>
          </cell>
        </row>
        <row r="13648">
          <cell r="B13648">
            <v>22975</v>
          </cell>
          <cell r="C13648" t="str">
            <v>BB GESTAO DE RECURSOS DTVM LTDA</v>
          </cell>
          <cell r="D13648" t="str">
            <v>BB GESTAO DE RECURSOS DTVM LTDA</v>
          </cell>
          <cell r="E13648" t="str">
            <v>BB BANCO DE INVESTIMENTO S/A</v>
          </cell>
        </row>
        <row r="13649">
          <cell r="B13649">
            <v>22977</v>
          </cell>
          <cell r="C13649" t="str">
            <v>BB BANCO DE INVESTIMENTO S/A</v>
          </cell>
          <cell r="D13649" t="str">
            <v>BB BANCO DE INVESTIMENTO S/A</v>
          </cell>
          <cell r="E13649" t="str">
            <v>BB BANCO DE INVESTIMENTO S/A</v>
          </cell>
        </row>
        <row r="13650">
          <cell r="B13650">
            <v>22978</v>
          </cell>
          <cell r="C13650" t="str">
            <v>BB GESTAO DE RECURSOS DTVM LTDA</v>
          </cell>
          <cell r="D13650" t="str">
            <v>BB GESTAO DE RECURSOS DTVM LTDA</v>
          </cell>
          <cell r="E13650" t="str">
            <v>BB BANCO DE INVESTIMENTO S/A</v>
          </cell>
        </row>
        <row r="13651">
          <cell r="B13651">
            <v>22979</v>
          </cell>
          <cell r="C13651" t="str">
            <v>BB BANCO DE INVESTIMENTO S/A</v>
          </cell>
          <cell r="D13651" t="str">
            <v>BB BANCO DE INVESTIMENTO S/A</v>
          </cell>
          <cell r="E13651" t="str">
            <v>BB BANCO DE INVESTIMENTO S/A</v>
          </cell>
        </row>
        <row r="13652">
          <cell r="B13652">
            <v>22980</v>
          </cell>
          <cell r="C13652" t="str">
            <v>BB BANCO DE INVESTIMENTO S/A</v>
          </cell>
          <cell r="D13652" t="str">
            <v>BB BANCO DE INVESTIMENTO S/A</v>
          </cell>
          <cell r="E13652" t="str">
            <v>BB BANCO DE INVESTIMENTO S/A</v>
          </cell>
        </row>
        <row r="13653">
          <cell r="B13653">
            <v>22981</v>
          </cell>
          <cell r="C13653" t="str">
            <v>BB GESTAO DE RECURSOS DTVM LTDA</v>
          </cell>
          <cell r="D13653" t="str">
            <v>BB GESTAO DE RECURSOS DTVM LTDA</v>
          </cell>
          <cell r="E13653" t="str">
            <v>BB GESTAO DE RECURSOS DTVM LTDA</v>
          </cell>
        </row>
        <row r="13654">
          <cell r="B13654">
            <v>22983</v>
          </cell>
          <cell r="C13654" t="str">
            <v>BB BANCO DE INVESTIMENTO S/A</v>
          </cell>
          <cell r="D13654" t="str">
            <v>BB BANCO DE INVESTIMENTO S/A</v>
          </cell>
          <cell r="E13654" t="str">
            <v>BB BANCO DE INVESTIMENTO S/A</v>
          </cell>
        </row>
        <row r="13655">
          <cell r="B13655">
            <v>22985</v>
          </cell>
          <cell r="C13655" t="str">
            <v>BB BANCO DE INVESTIMENTO S/A</v>
          </cell>
          <cell r="D13655" t="str">
            <v>BB BANCO DE INVESTIMENTO S/A</v>
          </cell>
          <cell r="E13655" t="str">
            <v>BB BANCO DE INVESTIMENTO S/A</v>
          </cell>
        </row>
        <row r="13656">
          <cell r="B13656">
            <v>22986</v>
          </cell>
          <cell r="C13656" t="str">
            <v>BB BANCO DE INVESTIMENTO S/A</v>
          </cell>
          <cell r="D13656" t="str">
            <v>BB BANCO DE INVESTIMENTO S/A</v>
          </cell>
          <cell r="E13656" t="str">
            <v>BB BANCO DE INVESTIMENTO S/A</v>
          </cell>
        </row>
        <row r="13657">
          <cell r="B13657">
            <v>22987</v>
          </cell>
          <cell r="C13657" t="str">
            <v>BB BANCO DE INVESTIMENTO S/A</v>
          </cell>
          <cell r="D13657" t="str">
            <v>BB BANCO DE INVESTIMENTO S/A</v>
          </cell>
          <cell r="E13657" t="str">
            <v>BB BANCO DE INVESTIMENTO S/A</v>
          </cell>
        </row>
        <row r="13658">
          <cell r="B13658">
            <v>22989</v>
          </cell>
          <cell r="C13658" t="str">
            <v>BB BANCO DE INVESTIMENTO S/A</v>
          </cell>
          <cell r="D13658" t="str">
            <v>BB BANCO DE INVESTIMENTO S/A</v>
          </cell>
          <cell r="E13658" t="str">
            <v>BB BANCO DE INVESTIMENTO S/A</v>
          </cell>
        </row>
        <row r="13659">
          <cell r="B13659">
            <v>22990</v>
          </cell>
          <cell r="C13659" t="str">
            <v>BB GESTAO DE RECURSOS DTVM LTDA</v>
          </cell>
          <cell r="D13659" t="str">
            <v>BB GESTAO DE RECURSOS DTVM LTDA</v>
          </cell>
          <cell r="E13659" t="str">
            <v>BB GESTAO DE RECURSOS DTVM LTDA</v>
          </cell>
        </row>
        <row r="13660">
          <cell r="B13660">
            <v>22991</v>
          </cell>
          <cell r="C13660" t="str">
            <v>BB BANCO DE INVESTIMENTO S/A</v>
          </cell>
          <cell r="D13660" t="str">
            <v>BB BANCO DE INVESTIMENTO S/A</v>
          </cell>
          <cell r="E13660" t="str">
            <v>BB BANCO DE INVESTIMENTO S/A</v>
          </cell>
        </row>
        <row r="13661">
          <cell r="B13661">
            <v>22999</v>
          </cell>
          <cell r="C13661" t="str">
            <v>BB GESTAO DE RECURSOS DTVM LTDA</v>
          </cell>
          <cell r="D13661" t="str">
            <v>BB GESTAO DE RECURSOS DTVM LTDA</v>
          </cell>
          <cell r="E13661" t="str">
            <v>BB BANCO DE INVESTIMENTO S/A</v>
          </cell>
        </row>
        <row r="13662">
          <cell r="B13662">
            <v>23</v>
          </cell>
          <cell r="C13662" t="str">
            <v>CONCORDIA S/A CVMCC</v>
          </cell>
          <cell r="D13662" t="str">
            <v>23*</v>
          </cell>
          <cell r="E13662" t="str">
            <v>CONCORDIA S/A CVMCC</v>
          </cell>
        </row>
        <row r="13663">
          <cell r="B13663">
            <v>23002</v>
          </cell>
          <cell r="C13663" t="str">
            <v>BB BANCO DE INVESTIMENTO S/A</v>
          </cell>
          <cell r="D13663" t="str">
            <v>BB BANCO DE INVESTIMENTO S/A</v>
          </cell>
          <cell r="E13663" t="str">
            <v>BB BANCO DE INVESTIMENTO S/A</v>
          </cell>
        </row>
        <row r="13664">
          <cell r="B13664">
            <v>23006</v>
          </cell>
          <cell r="C13664" t="str">
            <v>BB BANCO DE INVESTIMENTO S/A</v>
          </cell>
          <cell r="D13664" t="str">
            <v>BB BANCO DE INVESTIMENTO S/A</v>
          </cell>
          <cell r="E13664" t="str">
            <v>BB BANCO DE INVESTIMENTO S/A</v>
          </cell>
        </row>
        <row r="13665">
          <cell r="B13665">
            <v>23011</v>
          </cell>
          <cell r="C13665" t="str">
            <v>CONCORDIA S/A CVMCC</v>
          </cell>
          <cell r="D13665">
            <v>23011</v>
          </cell>
          <cell r="E13665" t="str">
            <v>CONCORDIA S/A CVMCC</v>
          </cell>
        </row>
        <row r="13666">
          <cell r="B13666">
            <v>23012</v>
          </cell>
          <cell r="C13666" t="str">
            <v>BB BANCO DE INVESTIMENTO S/A</v>
          </cell>
          <cell r="D13666" t="str">
            <v>BB BANCO DE INVESTIMENTO S/A</v>
          </cell>
          <cell r="E13666" t="str">
            <v>BB BANCO DE INVESTIMENTO S/A</v>
          </cell>
        </row>
        <row r="13667">
          <cell r="B13667">
            <v>23017</v>
          </cell>
          <cell r="C13667" t="str">
            <v>BB BANCO DE INVESTIMENTO S/A</v>
          </cell>
          <cell r="D13667" t="str">
            <v>BB BANCO DE INVESTIMENTO S/A</v>
          </cell>
          <cell r="E13667" t="str">
            <v>BB BANCO DE INVESTIMENTO S/A</v>
          </cell>
        </row>
        <row r="13668">
          <cell r="B13668">
            <v>23023</v>
          </cell>
          <cell r="C13668" t="str">
            <v>BB BANCO DE INVESTIMENTO S/A</v>
          </cell>
          <cell r="D13668" t="str">
            <v>BB BANCO DE INVESTIMENTO S/A</v>
          </cell>
          <cell r="E13668" t="str">
            <v>BB BANCO DE INVESTIMENTO S/A</v>
          </cell>
        </row>
        <row r="13669">
          <cell r="B13669">
            <v>23024</v>
          </cell>
          <cell r="C13669" t="str">
            <v>BB BANCO DE INVESTIMENTO S/A</v>
          </cell>
          <cell r="D13669" t="str">
            <v>BB BANCO DE INVESTIMENTO S/A</v>
          </cell>
          <cell r="E13669" t="str">
            <v>BB BANCO DE INVESTIMENTO S/A</v>
          </cell>
        </row>
        <row r="13670">
          <cell r="B13670">
            <v>23026</v>
          </cell>
          <cell r="C13670" t="str">
            <v>BB BANCO DE INVESTIMENTO S/A</v>
          </cell>
          <cell r="D13670" t="str">
            <v>BB BANCO DE INVESTIMENTO S/A</v>
          </cell>
          <cell r="E13670" t="str">
            <v>BB BANCO DE INVESTIMENTO S/A</v>
          </cell>
        </row>
        <row r="13671">
          <cell r="B13671">
            <v>23030</v>
          </cell>
          <cell r="C13671" t="str">
            <v>BB GESTAO DE RECURSOS DTVM LTDA</v>
          </cell>
          <cell r="D13671" t="str">
            <v>BB GESTAO DE RECURSOS DTVM LTDA</v>
          </cell>
          <cell r="E13671" t="str">
            <v>BB BANCO DE INVESTIMENTO S/A</v>
          </cell>
        </row>
        <row r="13672">
          <cell r="B13672">
            <v>23031</v>
          </cell>
          <cell r="C13672" t="str">
            <v>BB BANCO DE INVESTIMENTO S/A</v>
          </cell>
          <cell r="D13672" t="str">
            <v>BB BANCO DE INVESTIMENTO S/A</v>
          </cell>
          <cell r="E13672" t="str">
            <v>BB BANCO DE INVESTIMENTO S/A</v>
          </cell>
        </row>
        <row r="13673">
          <cell r="B13673">
            <v>23034</v>
          </cell>
          <cell r="C13673" t="str">
            <v>BB BANCO DE INVESTIMENTO S/A</v>
          </cell>
          <cell r="D13673" t="str">
            <v>BB BANCO DE INVESTIMENTO S/A</v>
          </cell>
          <cell r="E13673" t="str">
            <v>BB BANCO DE INVESTIMENTO S/A</v>
          </cell>
        </row>
        <row r="13674">
          <cell r="B13674">
            <v>23036</v>
          </cell>
          <cell r="C13674" t="str">
            <v>BB GESTAO DE RECURSOS DTVM LTDA</v>
          </cell>
          <cell r="D13674" t="str">
            <v>BB GESTAO DE RECURSOS DTVM LTDA</v>
          </cell>
          <cell r="E13674" t="str">
            <v>BB BANCO DE INVESTIMENTO S/A</v>
          </cell>
        </row>
        <row r="13675">
          <cell r="B13675">
            <v>23039</v>
          </cell>
          <cell r="C13675" t="str">
            <v>BB BANCO DE INVESTIMENTO S/A</v>
          </cell>
          <cell r="D13675" t="str">
            <v>BB BANCO DE INVESTIMENTO S/A</v>
          </cell>
          <cell r="E13675" t="str">
            <v>BB BANCO DE INVESTIMENTO S/A</v>
          </cell>
        </row>
        <row r="13676">
          <cell r="B13676">
            <v>23044</v>
          </cell>
          <cell r="C13676" t="str">
            <v>BB BANCO DE INVESTIMENTO S/A</v>
          </cell>
          <cell r="D13676" t="str">
            <v>BB BANCO DE INVESTIMENTO S/A</v>
          </cell>
          <cell r="E13676" t="str">
            <v>BB BANCO DE INVESTIMENTO S/A</v>
          </cell>
        </row>
        <row r="13677">
          <cell r="B13677">
            <v>23046</v>
          </cell>
          <cell r="C13677" t="str">
            <v>BB GESTAO DE RECURSOS DTVM LTDA</v>
          </cell>
          <cell r="D13677" t="str">
            <v>BB GESTAO DE RECURSOS DTVM LTDA</v>
          </cell>
          <cell r="E13677" t="str">
            <v>BB BANCO DE INVESTIMENTO S/A</v>
          </cell>
        </row>
        <row r="13678">
          <cell r="B13678">
            <v>23052</v>
          </cell>
          <cell r="C13678" t="str">
            <v>BB BANCO DE INVESTIMENTO S/A</v>
          </cell>
          <cell r="D13678" t="str">
            <v>BB BANCO DE INVESTIMENTO S/A</v>
          </cell>
          <cell r="E13678" t="str">
            <v>BB BANCO DE INVESTIMENTO S/A</v>
          </cell>
        </row>
        <row r="13679">
          <cell r="B13679">
            <v>23061</v>
          </cell>
          <cell r="C13679" t="str">
            <v>BB BANCO DE INVESTIMENTO S/A</v>
          </cell>
          <cell r="D13679" t="str">
            <v>BB BANCO DE INVESTIMENTO S/A</v>
          </cell>
          <cell r="E13679" t="str">
            <v>BB BANCO DE INVESTIMENTO S/A</v>
          </cell>
        </row>
        <row r="13680">
          <cell r="B13680">
            <v>23065</v>
          </cell>
          <cell r="C13680" t="str">
            <v>BB GESTAO DE RECURSOS DTVM LTDA</v>
          </cell>
          <cell r="D13680" t="str">
            <v>BB GESTAO DE RECURSOS DTVM LTDA</v>
          </cell>
          <cell r="E13680" t="str">
            <v>BB BANCO DE INVESTIMENTO S/A</v>
          </cell>
        </row>
        <row r="13681">
          <cell r="B13681">
            <v>23066</v>
          </cell>
          <cell r="C13681" t="str">
            <v>BB BANCO DE INVESTIMENTO S/A</v>
          </cell>
          <cell r="D13681" t="str">
            <v>BB BANCO DE INVESTIMENTO S/A</v>
          </cell>
          <cell r="E13681" t="str">
            <v>BB BANCO DE INVESTIMENTO S/A</v>
          </cell>
        </row>
        <row r="13682">
          <cell r="B13682">
            <v>23067</v>
          </cell>
          <cell r="C13682" t="str">
            <v>BB GESTAO DE RECURSOS DTVM LTDA</v>
          </cell>
          <cell r="D13682" t="str">
            <v>BB GESTAO DE RECURSOS DTVM LTDA</v>
          </cell>
          <cell r="E13682" t="str">
            <v>BB BANCO DE INVESTIMENTO S/A</v>
          </cell>
        </row>
        <row r="13683">
          <cell r="B13683">
            <v>23070</v>
          </cell>
          <cell r="C13683" t="str">
            <v>BB BANCO DE INVESTIMENTO S/A</v>
          </cell>
          <cell r="D13683" t="str">
            <v>BB BANCO DE INVESTIMENTO S/A</v>
          </cell>
          <cell r="E13683" t="str">
            <v>BB BANCO DE INVESTIMENTO S/A</v>
          </cell>
        </row>
        <row r="13684">
          <cell r="B13684">
            <v>23073</v>
          </cell>
          <cell r="C13684" t="str">
            <v>BB GESTAO DE RECURSOS DTVM LTDA</v>
          </cell>
          <cell r="D13684" t="str">
            <v>BB GESTAO DE RECURSOS DTVM LTDA</v>
          </cell>
          <cell r="E13684" t="str">
            <v>BB BANCO DE INVESTIMENTO S/A</v>
          </cell>
        </row>
        <row r="13685">
          <cell r="B13685">
            <v>23074</v>
          </cell>
          <cell r="C13685" t="str">
            <v>BB GESTAO DE RECURSOS DTVM LTDA</v>
          </cell>
          <cell r="D13685" t="str">
            <v>BB GESTAO DE RECURSOS DTVM LTDA</v>
          </cell>
          <cell r="E13685" t="str">
            <v>BB BANCO DE INVESTIMENTO S/A</v>
          </cell>
        </row>
        <row r="13686">
          <cell r="B13686">
            <v>23076</v>
          </cell>
          <cell r="C13686" t="str">
            <v>BB GESTAO DE RECURSOS DTVM LTDA</v>
          </cell>
          <cell r="D13686" t="str">
            <v>BB GESTAO DE RECURSOS DTVM LTDA</v>
          </cell>
          <cell r="E13686" t="str">
            <v>BB BANCO DE INVESTIMENTO S/A</v>
          </cell>
        </row>
        <row r="13687">
          <cell r="B13687">
            <v>23079</v>
          </cell>
          <cell r="C13687" t="str">
            <v>BB BANCO DE INVESTIMENTO S/A</v>
          </cell>
          <cell r="D13687" t="str">
            <v>BB BANCO DE INVESTIMENTO S/A</v>
          </cell>
          <cell r="E13687" t="str">
            <v>BB BANCO DE INVESTIMENTO S/A</v>
          </cell>
        </row>
        <row r="13688">
          <cell r="B13688">
            <v>23081</v>
          </cell>
          <cell r="C13688" t="str">
            <v>BB BANCO DE INVESTIMENTO S/A</v>
          </cell>
          <cell r="D13688" t="str">
            <v>BB BANCO DE INVESTIMENTO S/A</v>
          </cell>
          <cell r="E13688" t="str">
            <v>BB BANCO DE INVESTIMENTO S/A</v>
          </cell>
        </row>
        <row r="13689">
          <cell r="B13689">
            <v>23085</v>
          </cell>
          <cell r="C13689" t="str">
            <v>BB BANCO DE INVESTIMENTO S/A</v>
          </cell>
          <cell r="D13689" t="str">
            <v>BB BANCO DE INVESTIMENTO S/A</v>
          </cell>
          <cell r="E13689" t="str">
            <v>BB BANCO DE INVESTIMENTO S/A</v>
          </cell>
        </row>
        <row r="13690">
          <cell r="B13690">
            <v>23091</v>
          </cell>
          <cell r="C13690" t="str">
            <v>BB GESTAO DE RECURSOS DTVM LTDA</v>
          </cell>
          <cell r="D13690" t="str">
            <v>BB GESTAO DE RECURSOS DTVM LTDA</v>
          </cell>
          <cell r="E13690" t="str">
            <v>BB BANCO DE INVESTIMENTO S/A</v>
          </cell>
        </row>
        <row r="13691">
          <cell r="B13691">
            <v>23095</v>
          </cell>
          <cell r="C13691" t="str">
            <v>BB GESTAO DE RECURSOS DTVM LTDA</v>
          </cell>
          <cell r="D13691" t="str">
            <v>BB GESTAO DE RECURSOS DTVM LTDA</v>
          </cell>
          <cell r="E13691" t="str">
            <v>BB BANCO DE INVESTIMENTO S/A</v>
          </cell>
        </row>
        <row r="13692">
          <cell r="B13692">
            <v>23096</v>
          </cell>
          <cell r="C13692" t="str">
            <v>BB GESTAO DE RECURSOS DTVM LTDA</v>
          </cell>
          <cell r="D13692" t="str">
            <v>BB GESTAO DE RECURSOS DTVM LTDA</v>
          </cell>
          <cell r="E13692" t="str">
            <v>BB BANCO DE INVESTIMENTO S/A</v>
          </cell>
        </row>
        <row r="13693">
          <cell r="B13693">
            <v>23099</v>
          </cell>
          <cell r="C13693" t="str">
            <v>BB BANCO DE INVESTIMENTO S/A</v>
          </cell>
          <cell r="D13693" t="str">
            <v>BB BANCO DE INVESTIMENTO S/A</v>
          </cell>
          <cell r="E13693" t="str">
            <v>BB BANCO DE INVESTIMENTO S/A</v>
          </cell>
        </row>
        <row r="13694">
          <cell r="B13694">
            <v>23101</v>
          </cell>
          <cell r="C13694" t="str">
            <v>BB BANCO DE INVESTIMENTO S/A</v>
          </cell>
          <cell r="D13694" t="str">
            <v>BB BANCO DE INVESTIMENTO S/A</v>
          </cell>
          <cell r="E13694" t="str">
            <v>BB BANCO DE INVESTIMENTO S/A</v>
          </cell>
        </row>
        <row r="13695">
          <cell r="B13695">
            <v>23104</v>
          </cell>
          <cell r="C13695" t="str">
            <v>BB BANCO DE INVESTIMENTO S/A</v>
          </cell>
          <cell r="D13695" t="str">
            <v>BB BANCO DE INVESTIMENTO S/A</v>
          </cell>
          <cell r="E13695" t="str">
            <v>BB BANCO DE INVESTIMENTO S/A</v>
          </cell>
        </row>
        <row r="13696">
          <cell r="B13696">
            <v>23107</v>
          </cell>
          <cell r="C13696" t="str">
            <v>BB BANCO DE INVESTIMENTO S/A</v>
          </cell>
          <cell r="D13696" t="str">
            <v>BB BANCO DE INVESTIMENTO S/A</v>
          </cell>
          <cell r="E13696" t="str">
            <v>BB BANCO DE INVESTIMENTO S/A</v>
          </cell>
        </row>
        <row r="13697">
          <cell r="B13697">
            <v>23110</v>
          </cell>
          <cell r="C13697" t="str">
            <v>BB BANCO DE INVESTIMENTO S/A</v>
          </cell>
          <cell r="D13697" t="str">
            <v>BB BANCO DE INVESTIMENTO S/A</v>
          </cell>
          <cell r="E13697" t="str">
            <v>BB BANCO DE INVESTIMENTO S/A</v>
          </cell>
        </row>
        <row r="13698">
          <cell r="B13698">
            <v>23116</v>
          </cell>
          <cell r="C13698" t="str">
            <v>BB BANCO DE INVESTIMENTO S/A</v>
          </cell>
          <cell r="D13698" t="str">
            <v>BB BANCO DE INVESTIMENTO S/A</v>
          </cell>
          <cell r="E13698" t="str">
            <v>BB BANCO DE INVESTIMENTO S/A</v>
          </cell>
        </row>
        <row r="13699">
          <cell r="B13699">
            <v>23117</v>
          </cell>
          <cell r="C13699" t="str">
            <v>BB BANCO DE INVESTIMENTO S/A</v>
          </cell>
          <cell r="D13699" t="str">
            <v>BB BANCO DE INVESTIMENTO S/A</v>
          </cell>
          <cell r="E13699" t="str">
            <v>BB BANCO DE INVESTIMENTO S/A</v>
          </cell>
        </row>
        <row r="13700">
          <cell r="B13700">
            <v>23118</v>
          </cell>
          <cell r="C13700" t="str">
            <v>BB GESTAO DE RECURSOS DTVM LTDA</v>
          </cell>
          <cell r="D13700" t="str">
            <v>BB GESTAO DE RECURSOS DTVM LTDA</v>
          </cell>
          <cell r="E13700" t="str">
            <v>BB BANCO DE INVESTIMENTO S/A</v>
          </cell>
        </row>
        <row r="13701">
          <cell r="B13701">
            <v>23119</v>
          </cell>
          <cell r="C13701" t="str">
            <v>BB GESTAO DE RECURSOS DTVM LTDA</v>
          </cell>
          <cell r="D13701" t="str">
            <v>BB GESTAO DE RECURSOS DTVM LTDA</v>
          </cell>
          <cell r="E13701" t="str">
            <v>BB BANCO DE INVESTIMENTO S/A</v>
          </cell>
        </row>
        <row r="13702">
          <cell r="B13702">
            <v>23123</v>
          </cell>
          <cell r="C13702" t="str">
            <v>BB BANCO DE INVESTIMENTO S/A</v>
          </cell>
          <cell r="D13702" t="str">
            <v>BB BANCO DE INVESTIMENTO S/A</v>
          </cell>
          <cell r="E13702" t="str">
            <v>BB BANCO DE INVESTIMENTO S/A</v>
          </cell>
        </row>
        <row r="13703">
          <cell r="B13703">
            <v>23126</v>
          </cell>
          <cell r="C13703" t="str">
            <v>BB GESTAO DE RECURSOS DTVM LTDA</v>
          </cell>
          <cell r="D13703" t="str">
            <v>BB GESTAO DE RECURSOS DTVM LTDA</v>
          </cell>
          <cell r="E13703" t="str">
            <v>BB BANCO DE INVESTIMENTO S/A</v>
          </cell>
        </row>
        <row r="13704">
          <cell r="B13704">
            <v>23127</v>
          </cell>
          <cell r="C13704" t="str">
            <v>BB GESTAO DE RECURSOS DTVM LTDA</v>
          </cell>
          <cell r="D13704" t="str">
            <v>BB GESTAO DE RECURSOS DTVM LTDA</v>
          </cell>
          <cell r="E13704" t="str">
            <v>BB BANCO DE INVESTIMENTO S/A</v>
          </cell>
        </row>
        <row r="13705">
          <cell r="B13705">
            <v>23128</v>
          </cell>
          <cell r="C13705" t="str">
            <v>BB BANCO DE INVESTIMENTO S/A</v>
          </cell>
          <cell r="D13705" t="str">
            <v>BB BANCO DE INVESTIMENTO S/A</v>
          </cell>
          <cell r="E13705" t="str">
            <v>BB BANCO DE INVESTIMENTO S/A</v>
          </cell>
        </row>
        <row r="13706">
          <cell r="B13706">
            <v>23133</v>
          </cell>
          <cell r="C13706" t="str">
            <v>BB GESTAO DE RECURSOS DTVM LTDA</v>
          </cell>
          <cell r="D13706" t="str">
            <v>BB GESTAO DE RECURSOS DTVM LTDA</v>
          </cell>
          <cell r="E13706" t="str">
            <v>BB BANCO DE INVESTIMENTO S/A</v>
          </cell>
        </row>
        <row r="13707">
          <cell r="B13707">
            <v>23139</v>
          </cell>
          <cell r="C13707" t="str">
            <v>BB BANCO DE INVESTIMENTO S/A</v>
          </cell>
          <cell r="D13707" t="str">
            <v>BB BANCO DE INVESTIMENTO S/A</v>
          </cell>
          <cell r="E13707" t="str">
            <v>BB BANCO DE INVESTIMENTO S/A</v>
          </cell>
        </row>
        <row r="13708">
          <cell r="B13708">
            <v>23142</v>
          </cell>
          <cell r="C13708" t="str">
            <v>BB GESTAO DE RECURSOS DTVM LTDA</v>
          </cell>
          <cell r="D13708" t="str">
            <v>BB GESTAO DE RECURSOS DTVM LTDA</v>
          </cell>
          <cell r="E13708" t="str">
            <v>BB GESTAO DE RECURSOS DTVM LTDA</v>
          </cell>
        </row>
        <row r="13709">
          <cell r="B13709">
            <v>23143</v>
          </cell>
          <cell r="C13709" t="str">
            <v>BB GESTAO DE RECURSOS DTVM LTDA</v>
          </cell>
          <cell r="D13709" t="str">
            <v>BB GESTAO DE RECURSOS DTVM LTDA</v>
          </cell>
          <cell r="E13709" t="str">
            <v>BB BANCO DE INVESTIMENTO S/A</v>
          </cell>
        </row>
        <row r="13710">
          <cell r="B13710">
            <v>23144</v>
          </cell>
          <cell r="C13710" t="str">
            <v>BB BANCO DE INVESTIMENTO S/A</v>
          </cell>
          <cell r="D13710" t="str">
            <v>BB BANCO DE INVESTIMENTO S/A</v>
          </cell>
          <cell r="E13710" t="str">
            <v>BB BANCO DE INVESTIMENTO S/A</v>
          </cell>
        </row>
        <row r="13711">
          <cell r="B13711">
            <v>23146</v>
          </cell>
          <cell r="C13711" t="str">
            <v>BB BANCO DE INVESTIMENTO S/A</v>
          </cell>
          <cell r="D13711" t="str">
            <v>BB BANCO DE INVESTIMENTO S/A</v>
          </cell>
          <cell r="E13711" t="str">
            <v>BB BANCO DE INVESTIMENTO S/A</v>
          </cell>
        </row>
        <row r="13712">
          <cell r="B13712">
            <v>23147</v>
          </cell>
          <cell r="C13712" t="str">
            <v>BB BANCO DE INVESTIMENTO S/A</v>
          </cell>
          <cell r="D13712" t="str">
            <v>BB BANCO DE INVESTIMENTO S/A</v>
          </cell>
          <cell r="E13712" t="str">
            <v>BB BANCO DE INVESTIMENTO S/A</v>
          </cell>
        </row>
        <row r="13713">
          <cell r="B13713">
            <v>23153</v>
          </cell>
          <cell r="C13713" t="str">
            <v>BB GESTAO DE RECURSOS DTVM LTDA</v>
          </cell>
          <cell r="D13713" t="str">
            <v>BB GESTAO DE RECURSOS DTVM LTDA</v>
          </cell>
          <cell r="E13713" t="str">
            <v>BB BANCO DE INVESTIMENTO S/A</v>
          </cell>
        </row>
        <row r="13714">
          <cell r="B13714">
            <v>23157</v>
          </cell>
          <cell r="C13714" t="str">
            <v>BB GESTAO DE RECURSOS DTVM LTDA</v>
          </cell>
          <cell r="D13714" t="str">
            <v>BB GESTAO DE RECURSOS DTVM LTDA</v>
          </cell>
          <cell r="E13714" t="str">
            <v>BB BANCO DE INVESTIMENTO S/A</v>
          </cell>
        </row>
        <row r="13715">
          <cell r="B13715">
            <v>23158</v>
          </cell>
          <cell r="C13715" t="str">
            <v>BB GESTAO DE RECURSOS DTVM LTDA</v>
          </cell>
          <cell r="D13715" t="str">
            <v>BB GESTAO DE RECURSOS DTVM LTDA</v>
          </cell>
          <cell r="E13715" t="str">
            <v>BB BANCO DE INVESTIMENTO S/A</v>
          </cell>
        </row>
        <row r="13716">
          <cell r="B13716">
            <v>23163</v>
          </cell>
          <cell r="C13716" t="str">
            <v>BB GESTAO DE RECURSOS DTVM LTDA</v>
          </cell>
          <cell r="D13716" t="str">
            <v>BB GESTAO DE RECURSOS DTVM LTDA</v>
          </cell>
          <cell r="E13716" t="str">
            <v>BB GESTAO DE RECURSOS DTVM LTDA</v>
          </cell>
        </row>
        <row r="13717">
          <cell r="B13717">
            <v>23168</v>
          </cell>
          <cell r="C13717" t="str">
            <v>BB GESTAO DE RECURSOS DTVM LTDA</v>
          </cell>
          <cell r="D13717" t="str">
            <v>BB GESTAO DE RECURSOS DTVM LTDA</v>
          </cell>
          <cell r="E13717" t="str">
            <v>BB BANCO DE INVESTIMENTO S/A</v>
          </cell>
        </row>
        <row r="13718">
          <cell r="B13718">
            <v>23172</v>
          </cell>
          <cell r="C13718" t="str">
            <v>BB BANCO DE INVESTIMENTO S/A</v>
          </cell>
          <cell r="D13718" t="str">
            <v>BB BANCO DE INVESTIMENTO S/A</v>
          </cell>
          <cell r="E13718" t="str">
            <v>BB BANCO DE INVESTIMENTO S/A</v>
          </cell>
        </row>
        <row r="13719">
          <cell r="B13719">
            <v>23173</v>
          </cell>
          <cell r="C13719" t="str">
            <v>BB BANCO DE INVESTIMENTO S/A</v>
          </cell>
          <cell r="D13719" t="str">
            <v>BB BANCO DE INVESTIMENTO S/A</v>
          </cell>
          <cell r="E13719" t="str">
            <v>BB BANCO DE INVESTIMENTO S/A</v>
          </cell>
        </row>
        <row r="13720">
          <cell r="B13720">
            <v>23175</v>
          </cell>
          <cell r="C13720" t="str">
            <v>BB GESTAO DE RECURSOS DTVM LTDA</v>
          </cell>
          <cell r="D13720" t="str">
            <v>BB GESTAO DE RECURSOS DTVM LTDA</v>
          </cell>
          <cell r="E13720" t="str">
            <v>BANCO DO BRASIL S/A</v>
          </cell>
        </row>
        <row r="13721">
          <cell r="B13721">
            <v>23179</v>
          </cell>
          <cell r="C13721" t="str">
            <v>BB BANCO DE INVESTIMENTO S/A</v>
          </cell>
          <cell r="D13721" t="str">
            <v>BB BANCO DE INVESTIMENTO S/A</v>
          </cell>
          <cell r="E13721" t="str">
            <v>BB BANCO DE INVESTIMENTO S/A</v>
          </cell>
        </row>
        <row r="13722">
          <cell r="B13722">
            <v>23180</v>
          </cell>
          <cell r="C13722" t="str">
            <v>BB GESTAO DE RECURSOS DTVM LTDA</v>
          </cell>
          <cell r="D13722" t="str">
            <v>BB GESTAO DE RECURSOS DTVM LTDA</v>
          </cell>
          <cell r="E13722" t="str">
            <v>BB GESTAO DE RECURSOS DTVM LTDA</v>
          </cell>
        </row>
        <row r="13723">
          <cell r="B13723">
            <v>23181</v>
          </cell>
          <cell r="C13723" t="str">
            <v>BB BANCO DE INVESTIMENTO S/A</v>
          </cell>
          <cell r="D13723" t="str">
            <v>BB BANCO DE INVESTIMENTO S/A</v>
          </cell>
          <cell r="E13723" t="str">
            <v>BB BANCO DE INVESTIMENTO S/A</v>
          </cell>
        </row>
        <row r="13724">
          <cell r="B13724">
            <v>23183</v>
          </cell>
          <cell r="C13724" t="str">
            <v>BB GESTAO DE RECURSOS DTVM LTDA</v>
          </cell>
          <cell r="D13724" t="str">
            <v>BB GESTAO DE RECURSOS DTVM LTDA</v>
          </cell>
          <cell r="E13724" t="str">
            <v>BANCO DO BRASIL S/A</v>
          </cell>
        </row>
        <row r="13725">
          <cell r="B13725">
            <v>23185</v>
          </cell>
          <cell r="C13725" t="str">
            <v>BB BANCO DE INVESTIMENTO S/A</v>
          </cell>
          <cell r="D13725" t="str">
            <v>BB BANCO DE INVESTIMENTO S/A</v>
          </cell>
          <cell r="E13725" t="str">
            <v>BB BANCO DE INVESTIMENTO S/A</v>
          </cell>
        </row>
        <row r="13726">
          <cell r="B13726">
            <v>23186</v>
          </cell>
          <cell r="C13726" t="str">
            <v>BB BANCO DE INVESTIMENTO S/A</v>
          </cell>
          <cell r="D13726" t="str">
            <v>BB BANCO DE INVESTIMENTO S/A</v>
          </cell>
          <cell r="E13726" t="str">
            <v>BB BANCO DE INVESTIMENTO S/A</v>
          </cell>
        </row>
        <row r="13727">
          <cell r="B13727">
            <v>23187</v>
          </cell>
          <cell r="C13727" t="str">
            <v>BB BANCO DE INVESTIMENTO S/A</v>
          </cell>
          <cell r="D13727" t="str">
            <v>BB BANCO DE INVESTIMENTO S/A</v>
          </cell>
          <cell r="E13727" t="str">
            <v>BB BANCO DE INVESTIMENTO S/A</v>
          </cell>
        </row>
        <row r="13728">
          <cell r="B13728">
            <v>23188</v>
          </cell>
          <cell r="C13728" t="str">
            <v>BB BANCO DE INVESTIMENTO S/A</v>
          </cell>
          <cell r="D13728" t="str">
            <v>BB BANCO DE INVESTIMENTO S/A</v>
          </cell>
          <cell r="E13728" t="str">
            <v>BB BANCO DE INVESTIMENTO S/A</v>
          </cell>
        </row>
        <row r="13729">
          <cell r="B13729">
            <v>23189</v>
          </cell>
          <cell r="C13729" t="str">
            <v>BB BANCO DE INVESTIMENTO S/A</v>
          </cell>
          <cell r="D13729" t="str">
            <v>BB BANCO DE INVESTIMENTO S/A</v>
          </cell>
          <cell r="E13729" t="str">
            <v>BB BANCO DE INVESTIMENTO S/A</v>
          </cell>
        </row>
        <row r="13730">
          <cell r="B13730">
            <v>23190</v>
          </cell>
          <cell r="C13730" t="str">
            <v>BB BANCO DE INVESTIMENTO S/A</v>
          </cell>
          <cell r="D13730" t="str">
            <v>BB BANCO DE INVESTIMENTO S/A</v>
          </cell>
          <cell r="E13730" t="str">
            <v>BB BANCO DE INVESTIMENTO S/A</v>
          </cell>
        </row>
        <row r="13731">
          <cell r="B13731">
            <v>23191</v>
          </cell>
          <cell r="C13731" t="str">
            <v>BB BANCO DE INVESTIMENTO S/A</v>
          </cell>
          <cell r="D13731" t="str">
            <v>BB BANCO DE INVESTIMENTO S/A</v>
          </cell>
          <cell r="E13731" t="str">
            <v>BB BANCO DE INVESTIMENTO S/A</v>
          </cell>
        </row>
        <row r="13732">
          <cell r="B13732">
            <v>23192</v>
          </cell>
          <cell r="C13732" t="str">
            <v>BB GESTAO DE RECURSOS DTVM LTDA</v>
          </cell>
          <cell r="D13732" t="str">
            <v>BB GESTAO DE RECURSOS DTVM LTDA</v>
          </cell>
          <cell r="E13732" t="str">
            <v>BANCO DO BRASIL S/A</v>
          </cell>
        </row>
        <row r="13733">
          <cell r="B13733">
            <v>23193</v>
          </cell>
          <cell r="C13733" t="str">
            <v>BB GESTAO DE RECURSOS DTVM LTDA</v>
          </cell>
          <cell r="D13733" t="str">
            <v>BB GESTAO DE RECURSOS DTVM LTDA</v>
          </cell>
          <cell r="E13733" t="str">
            <v>BANCO DO BRASIL S/A</v>
          </cell>
        </row>
        <row r="13734">
          <cell r="B13734">
            <v>23194</v>
          </cell>
          <cell r="C13734" t="str">
            <v>BB GESTAO DE RECURSOS DTVM LTDA</v>
          </cell>
          <cell r="D13734" t="str">
            <v>BB GESTAO DE RECURSOS DTVM LTDA</v>
          </cell>
          <cell r="E13734" t="str">
            <v>BANCO DO BRASIL S/A</v>
          </cell>
        </row>
        <row r="13735">
          <cell r="B13735">
            <v>23197</v>
          </cell>
          <cell r="C13735" t="str">
            <v>BB BANCO DE INVESTIMENTO S/A</v>
          </cell>
          <cell r="D13735" t="str">
            <v>BB BANCO DE INVESTIMENTO S/A</v>
          </cell>
          <cell r="E13735" t="str">
            <v>BB BANCO DE INVESTIMENTO S/A</v>
          </cell>
        </row>
        <row r="13736">
          <cell r="B13736">
            <v>23198</v>
          </cell>
          <cell r="C13736" t="str">
            <v>BB BANCO DE INVESTIMENTO S/A</v>
          </cell>
          <cell r="D13736" t="str">
            <v>BB BANCO DE INVESTIMENTO S/A</v>
          </cell>
          <cell r="E13736" t="str">
            <v>BB BANCO DE INVESTIMENTO S/A</v>
          </cell>
        </row>
        <row r="13737">
          <cell r="B13737">
            <v>23199</v>
          </cell>
          <cell r="C13737" t="str">
            <v>BB BANCO DE INVESTIMENTO S/A</v>
          </cell>
          <cell r="D13737" t="str">
            <v>BB BANCO DE INVESTIMENTO S/A</v>
          </cell>
          <cell r="E13737" t="str">
            <v>BB BANCO DE INVESTIMENTO S/A</v>
          </cell>
        </row>
        <row r="13738">
          <cell r="B13738">
            <v>23200</v>
          </cell>
          <cell r="C13738" t="str">
            <v>BB BANCO DE INVESTIMENTO S/A</v>
          </cell>
          <cell r="D13738" t="str">
            <v>BB BANCO DE INVESTIMENTO S/A</v>
          </cell>
          <cell r="E13738" t="str">
            <v>BB BANCO DE INVESTIMENTO S/A</v>
          </cell>
        </row>
        <row r="13739">
          <cell r="B13739">
            <v>23201</v>
          </cell>
          <cell r="C13739" t="str">
            <v>BB BANCO DE INVESTIMENTO S/A</v>
          </cell>
          <cell r="D13739" t="str">
            <v>BB BANCO DE INVESTIMENTO S/A</v>
          </cell>
          <cell r="E13739" t="str">
            <v>BB BANCO DE INVESTIMENTO S/A</v>
          </cell>
        </row>
        <row r="13740">
          <cell r="B13740">
            <v>23202</v>
          </cell>
          <cell r="C13740" t="str">
            <v>BB GESTAO DE RECURSOS DTVM LTDA</v>
          </cell>
          <cell r="D13740" t="str">
            <v>BB GESTAO DE RECURSOS DTVM LTDA</v>
          </cell>
          <cell r="E13740" t="str">
            <v>BANCO DO BRASIL S/A</v>
          </cell>
        </row>
        <row r="13741">
          <cell r="B13741">
            <v>23203</v>
          </cell>
          <cell r="C13741" t="str">
            <v>BB BANCO DE INVESTIMENTO S/A</v>
          </cell>
          <cell r="D13741" t="str">
            <v>BB BANCO DE INVESTIMENTO S/A</v>
          </cell>
          <cell r="E13741" t="str">
            <v>BB BANCO DE INVESTIMENTO S/A</v>
          </cell>
        </row>
        <row r="13742">
          <cell r="B13742">
            <v>23204</v>
          </cell>
          <cell r="C13742" t="str">
            <v>BB BANCO DE INVESTIMENTO S/A</v>
          </cell>
          <cell r="D13742" t="str">
            <v>BB BANCO DE INVESTIMENTO S/A</v>
          </cell>
          <cell r="E13742" t="str">
            <v>BB BANCO DE INVESTIMENTO S/A</v>
          </cell>
        </row>
        <row r="13743">
          <cell r="B13743">
            <v>23205</v>
          </cell>
          <cell r="C13743" t="str">
            <v>BB BANCO DE INVESTIMENTO S/A</v>
          </cell>
          <cell r="D13743" t="str">
            <v>BB BANCO DE INVESTIMENTO S/A</v>
          </cell>
          <cell r="E13743" t="str">
            <v>BB BANCO DE INVESTIMENTO S/A</v>
          </cell>
        </row>
        <row r="13744">
          <cell r="B13744">
            <v>23206</v>
          </cell>
          <cell r="C13744" t="str">
            <v>BB BANCO DE INVESTIMENTO S/A</v>
          </cell>
          <cell r="D13744" t="str">
            <v>BB BANCO DE INVESTIMENTO S/A</v>
          </cell>
          <cell r="E13744" t="str">
            <v>BB BANCO DE INVESTIMENTO S/A</v>
          </cell>
        </row>
        <row r="13745">
          <cell r="B13745">
            <v>23207</v>
          </cell>
          <cell r="C13745" t="str">
            <v>BB BANCO DE INVESTIMENTO S/A</v>
          </cell>
          <cell r="D13745" t="str">
            <v>BB BANCO DE INVESTIMENTO S/A</v>
          </cell>
          <cell r="E13745" t="str">
            <v>BB BANCO DE INVESTIMENTO S/A</v>
          </cell>
        </row>
        <row r="13746">
          <cell r="B13746">
            <v>23208</v>
          </cell>
          <cell r="C13746" t="str">
            <v>BB BANCO DE INVESTIMENTO S/A</v>
          </cell>
          <cell r="D13746" t="str">
            <v>BB BANCO DE INVESTIMENTO S/A</v>
          </cell>
          <cell r="E13746" t="str">
            <v>BB BANCO DE INVESTIMENTO S/A</v>
          </cell>
        </row>
        <row r="13747">
          <cell r="B13747">
            <v>23209</v>
          </cell>
          <cell r="C13747" t="str">
            <v>BB BANCO DE INVESTIMENTO S/A</v>
          </cell>
          <cell r="D13747" t="str">
            <v>BB BANCO DE INVESTIMENTO S/A</v>
          </cell>
          <cell r="E13747" t="str">
            <v>BB BANCO DE INVESTIMENTO S/A</v>
          </cell>
        </row>
        <row r="13748">
          <cell r="B13748">
            <v>23211</v>
          </cell>
          <cell r="C13748" t="str">
            <v>BB BANCO DE INVESTIMENTO S/A</v>
          </cell>
          <cell r="D13748" t="str">
            <v>BB BANCO DE INVESTIMENTO S/A</v>
          </cell>
          <cell r="E13748" t="str">
            <v>BB BANCO DE INVESTIMENTO S/A</v>
          </cell>
        </row>
        <row r="13749">
          <cell r="B13749">
            <v>23212</v>
          </cell>
          <cell r="C13749" t="str">
            <v>BB BANCO DE INVESTIMENTO S/A</v>
          </cell>
          <cell r="D13749" t="str">
            <v>BB BANCO DE INVESTIMENTO S/A</v>
          </cell>
          <cell r="E13749" t="str">
            <v>BB BANCO DE INVESTIMENTO S/A</v>
          </cell>
        </row>
        <row r="13750">
          <cell r="B13750">
            <v>23213</v>
          </cell>
          <cell r="C13750" t="str">
            <v>BB BANCO DE INVESTIMENTO S/A</v>
          </cell>
          <cell r="D13750" t="str">
            <v>BB BANCO DE INVESTIMENTO S/A</v>
          </cell>
          <cell r="E13750" t="str">
            <v>BB BANCO DE INVESTIMENTO S/A</v>
          </cell>
        </row>
        <row r="13751">
          <cell r="B13751">
            <v>23216</v>
          </cell>
          <cell r="C13751" t="str">
            <v>BB BANCO DE INVESTIMENTO S/A</v>
          </cell>
          <cell r="D13751" t="str">
            <v>BB BANCO DE INVESTIMENTO S/A</v>
          </cell>
          <cell r="E13751" t="str">
            <v>BB BANCO DE INVESTIMENTO S/A</v>
          </cell>
        </row>
        <row r="13752">
          <cell r="B13752">
            <v>23217</v>
          </cell>
          <cell r="C13752" t="str">
            <v>BB GESTAO DE RECURSOS DTVM LTDA</v>
          </cell>
          <cell r="D13752" t="str">
            <v>BB GESTAO DE RECURSOS DTVM LTDA</v>
          </cell>
          <cell r="E13752" t="str">
            <v>BB GESTAO DE RECURSOS DTVM LTDA</v>
          </cell>
        </row>
        <row r="13753">
          <cell r="B13753">
            <v>23218</v>
          </cell>
          <cell r="C13753" t="str">
            <v>BB BANCO DE INVESTIMENTO S/A</v>
          </cell>
          <cell r="D13753" t="str">
            <v>BB BANCO DE INVESTIMENTO S/A</v>
          </cell>
          <cell r="E13753" t="str">
            <v>BB BANCO DE INVESTIMENTO S/A</v>
          </cell>
        </row>
        <row r="13754">
          <cell r="B13754">
            <v>23219</v>
          </cell>
          <cell r="C13754" t="str">
            <v>BB GESTAO DE RECURSOS DTVM LTDA</v>
          </cell>
          <cell r="D13754" t="str">
            <v>BB GESTAO DE RECURSOS DTVM LTDA</v>
          </cell>
          <cell r="E13754" t="str">
            <v>BANCO DO BRASIL S/A</v>
          </cell>
        </row>
        <row r="13755">
          <cell r="B13755">
            <v>23221</v>
          </cell>
          <cell r="C13755" t="str">
            <v>BB BANCO DE INVESTIMENTO S/A</v>
          </cell>
          <cell r="D13755" t="str">
            <v>BB BANCO DE INVESTIMENTO S/A</v>
          </cell>
          <cell r="E13755" t="str">
            <v>BB BANCO DE INVESTIMENTO S/A</v>
          </cell>
        </row>
        <row r="13756">
          <cell r="B13756">
            <v>23222</v>
          </cell>
          <cell r="C13756" t="str">
            <v>BB BANCO DE INVESTIMENTO S/A</v>
          </cell>
          <cell r="D13756" t="str">
            <v>BB BANCO DE INVESTIMENTO S/A</v>
          </cell>
          <cell r="E13756" t="str">
            <v>BB BANCO DE INVESTIMENTO S/A</v>
          </cell>
        </row>
        <row r="13757">
          <cell r="B13757">
            <v>23223</v>
          </cell>
          <cell r="C13757" t="str">
            <v>BB BANCO DE INVESTIMENTO S/A</v>
          </cell>
          <cell r="D13757" t="str">
            <v>BB BANCO DE INVESTIMENTO S/A</v>
          </cell>
          <cell r="E13757" t="str">
            <v>BB BANCO DE INVESTIMENTO S/A</v>
          </cell>
        </row>
        <row r="13758">
          <cell r="B13758">
            <v>23224</v>
          </cell>
          <cell r="C13758" t="str">
            <v>BB GESTAO DE RECURSOS DTVM LTDA</v>
          </cell>
          <cell r="D13758" t="str">
            <v>BB GESTAO DE RECURSOS DTVM LTDA</v>
          </cell>
          <cell r="E13758" t="str">
            <v>BB GESTAO DE RECURSOS DTVM LTDA</v>
          </cell>
        </row>
        <row r="13759">
          <cell r="B13759">
            <v>23225</v>
          </cell>
          <cell r="C13759" t="str">
            <v>BB GESTAO DE RECURSOS DTVM LTDA</v>
          </cell>
          <cell r="D13759" t="str">
            <v>BB GESTAO DE RECURSOS DTVM LTDA</v>
          </cell>
          <cell r="E13759" t="str">
            <v>BANCO DO BRASIL S/A</v>
          </cell>
        </row>
        <row r="13760">
          <cell r="B13760">
            <v>23228</v>
          </cell>
          <cell r="C13760" t="str">
            <v>BB GESTAO DE RECURSOS DTVM LTDA</v>
          </cell>
          <cell r="D13760" t="str">
            <v>BB GESTAO DE RECURSOS DTVM LTDA</v>
          </cell>
          <cell r="E13760" t="str">
            <v>BANCO DO BRASIL S/A</v>
          </cell>
        </row>
        <row r="13761">
          <cell r="B13761">
            <v>23233</v>
          </cell>
          <cell r="C13761" t="str">
            <v>BB GESTAO DE RECURSOS DTVM LTDA</v>
          </cell>
          <cell r="D13761" t="str">
            <v>BB GESTAO DE RECURSOS DTVM LTDA</v>
          </cell>
          <cell r="E13761" t="str">
            <v>BANCO DO BRASIL S/A</v>
          </cell>
        </row>
        <row r="13762">
          <cell r="B13762">
            <v>23234</v>
          </cell>
          <cell r="C13762" t="str">
            <v>BB GESTAO DE RECURSOS DTVM LTDA</v>
          </cell>
          <cell r="D13762" t="str">
            <v>BB GESTAO DE RECURSOS DTVM LTDA</v>
          </cell>
          <cell r="E13762" t="str">
            <v>BANCO DO BRASIL S/A</v>
          </cell>
        </row>
        <row r="13763">
          <cell r="B13763">
            <v>23238</v>
          </cell>
          <cell r="C13763" t="str">
            <v>BB GESTAO DE RECURSOS DTVM LTDA</v>
          </cell>
          <cell r="D13763" t="str">
            <v>BB GESTAO DE RECURSOS DTVM LTDA</v>
          </cell>
          <cell r="E13763" t="str">
            <v>BANCO DO BRASIL S/A</v>
          </cell>
        </row>
        <row r="13764">
          <cell r="B13764">
            <v>23242</v>
          </cell>
          <cell r="C13764" t="str">
            <v>BB GESTAO DE RECURSOS DTVM LTDA</v>
          </cell>
          <cell r="D13764" t="str">
            <v>BB GESTAO DE RECURSOS DTVM LTDA</v>
          </cell>
          <cell r="E13764" t="str">
            <v>BANCO DO BRASIL S/A</v>
          </cell>
        </row>
        <row r="13765">
          <cell r="B13765">
            <v>23252</v>
          </cell>
          <cell r="C13765" t="str">
            <v>BB GESTAO DE RECURSOS DTVM LTDA</v>
          </cell>
          <cell r="D13765" t="str">
            <v>BB GESTAO DE RECURSOS DTVM LTDA</v>
          </cell>
          <cell r="E13765" t="str">
            <v>BANCO DO BRASIL S/A</v>
          </cell>
        </row>
        <row r="13766">
          <cell r="B13766">
            <v>23257</v>
          </cell>
          <cell r="C13766" t="str">
            <v>BB BANCO DE INVESTIMENTO S/A</v>
          </cell>
          <cell r="D13766" t="str">
            <v>BB BANCO DE INVESTIMENTO S/A</v>
          </cell>
          <cell r="E13766" t="str">
            <v>BB BANCO DE INVESTIMENTO S/A</v>
          </cell>
        </row>
        <row r="13767">
          <cell r="B13767">
            <v>23268</v>
          </cell>
          <cell r="C13767" t="str">
            <v>BB BANCO DE INVESTIMENTO S/A</v>
          </cell>
          <cell r="D13767" t="str">
            <v>BB BANCO DE INVESTIMENTO S/A</v>
          </cell>
          <cell r="E13767" t="str">
            <v>BB BANCO DE INVESTIMENTO S/A</v>
          </cell>
        </row>
        <row r="13768">
          <cell r="B13768">
            <v>23270</v>
          </cell>
          <cell r="C13768" t="str">
            <v>BB GESTAO DE RECURSOS DTVM LTDA</v>
          </cell>
          <cell r="D13768" t="str">
            <v>BB GESTAO DE RECURSOS DTVM LTDA</v>
          </cell>
          <cell r="E13768" t="str">
            <v>BANCO DO BRASIL S/A</v>
          </cell>
        </row>
        <row r="13769">
          <cell r="B13769">
            <v>23272</v>
          </cell>
          <cell r="C13769" t="str">
            <v>BB BANCO DE INVESTIMENTO S/A</v>
          </cell>
          <cell r="D13769" t="str">
            <v>BB BANCO DE INVESTIMENTO S/A</v>
          </cell>
          <cell r="E13769" t="str">
            <v>BB BANCO DE INVESTIMENTO S/A</v>
          </cell>
        </row>
        <row r="13770">
          <cell r="B13770">
            <v>23276</v>
          </cell>
          <cell r="C13770" t="str">
            <v>BB BANCO DE INVESTIMENTO S/A</v>
          </cell>
          <cell r="D13770" t="str">
            <v>BB BANCO DE INVESTIMENTO S/A</v>
          </cell>
          <cell r="E13770" t="str">
            <v>BB BANCO DE INVESTIMENTO S/A</v>
          </cell>
        </row>
        <row r="13771">
          <cell r="B13771">
            <v>23279</v>
          </cell>
          <cell r="C13771" t="str">
            <v>BB BANCO DE INVESTIMENTO S/A</v>
          </cell>
          <cell r="D13771" t="str">
            <v>BB BANCO DE INVESTIMENTO S/A</v>
          </cell>
          <cell r="E13771" t="str">
            <v>BB BANCO DE INVESTIMENTO S/A</v>
          </cell>
        </row>
        <row r="13772">
          <cell r="B13772">
            <v>23285</v>
          </cell>
          <cell r="C13772" t="str">
            <v>BB BANCO DE INVESTIMENTO S/A</v>
          </cell>
          <cell r="D13772" t="str">
            <v>BB BANCO DE INVESTIMENTO S/A</v>
          </cell>
          <cell r="E13772" t="str">
            <v>BB BANCO DE INVESTIMENTO S/A</v>
          </cell>
        </row>
        <row r="13773">
          <cell r="B13773">
            <v>23289</v>
          </cell>
          <cell r="C13773" t="str">
            <v>BB BANCO DE INVESTIMENTO S/A</v>
          </cell>
          <cell r="D13773" t="str">
            <v>BB BANCO DE INVESTIMENTO S/A</v>
          </cell>
          <cell r="E13773" t="str">
            <v>BB BANCO DE INVESTIMENTO S/A</v>
          </cell>
        </row>
        <row r="13774">
          <cell r="B13774">
            <v>23292</v>
          </cell>
          <cell r="C13774" t="str">
            <v>BB GESTAO DE RECURSOS DTVM LTDA</v>
          </cell>
          <cell r="D13774" t="str">
            <v>BB GESTAO DE RECURSOS DTVM LTDA</v>
          </cell>
          <cell r="E13774" t="str">
            <v>BANCO DO BRASIL S/A</v>
          </cell>
        </row>
        <row r="13775">
          <cell r="B13775">
            <v>23294</v>
          </cell>
          <cell r="C13775" t="str">
            <v>BB GESTAO DE RECURSOS DTVM LTDA</v>
          </cell>
          <cell r="D13775" t="str">
            <v>BB GESTAO DE RECURSOS DTVM LTDA</v>
          </cell>
          <cell r="E13775" t="str">
            <v>BANCO DO BRASIL S/A</v>
          </cell>
        </row>
        <row r="13776">
          <cell r="B13776">
            <v>23295</v>
          </cell>
          <cell r="C13776" t="str">
            <v>BB GESTAO DE RECURSOS DTVM LTDA</v>
          </cell>
          <cell r="D13776" t="str">
            <v>BB GESTAO DE RECURSOS DTVM LTDA</v>
          </cell>
          <cell r="E13776" t="str">
            <v>BANCO DO BRASIL S/A</v>
          </cell>
        </row>
        <row r="13777">
          <cell r="B13777">
            <v>23298</v>
          </cell>
          <cell r="C13777" t="str">
            <v>BB GESTAO DE RECURSOS DTVM LTDA</v>
          </cell>
          <cell r="D13777" t="str">
            <v>BB GESTAO DE RECURSOS DTVM LTDA</v>
          </cell>
          <cell r="E13777" t="str">
            <v>BANCO DO BRASIL S/A</v>
          </cell>
        </row>
        <row r="13778">
          <cell r="B13778">
            <v>23300</v>
          </cell>
          <cell r="C13778" t="str">
            <v>BB GESTAO DE RECURSOS DTVM LTDA</v>
          </cell>
          <cell r="D13778" t="str">
            <v>BB GESTAO DE RECURSOS DTVM LTDA</v>
          </cell>
          <cell r="E13778" t="str">
            <v>BANCO DO BRASIL S/A</v>
          </cell>
        </row>
        <row r="13779">
          <cell r="B13779">
            <v>23302</v>
          </cell>
          <cell r="C13779" t="str">
            <v>BB BANCO DE INVESTIMENTO S/A</v>
          </cell>
          <cell r="D13779" t="str">
            <v>BB BANCO DE INVESTIMENTO S/A</v>
          </cell>
          <cell r="E13779" t="str">
            <v>BB BANCO DE INVESTIMENTO S/A</v>
          </cell>
        </row>
        <row r="13780">
          <cell r="B13780">
            <v>23305</v>
          </cell>
          <cell r="C13780" t="str">
            <v>BB GESTAO DE RECURSOS DTVM LTDA</v>
          </cell>
          <cell r="D13780" t="str">
            <v>BB GESTAO DE RECURSOS DTVM LTDA</v>
          </cell>
          <cell r="E13780" t="str">
            <v>BANCO DO BRASIL S/A</v>
          </cell>
        </row>
        <row r="13781">
          <cell r="B13781">
            <v>124387</v>
          </cell>
          <cell r="C13781" t="str">
            <v>RAPIER ALPHA FIM</v>
          </cell>
          <cell r="D13781" t="str">
            <v>RAPIER ALPHA FIM</v>
          </cell>
          <cell r="E13781" t="str">
            <v>RAPIER ALPHA FIM</v>
          </cell>
        </row>
        <row r="13782">
          <cell r="B13782">
            <v>124388</v>
          </cell>
          <cell r="C13782" t="str">
            <v>MONGERAL AEGON SOBERANO FI RF</v>
          </cell>
          <cell r="D13782" t="str">
            <v>MONGERAL AEGON SOBERANO FI RF</v>
          </cell>
          <cell r="E13782" t="str">
            <v>MONGERAL AEGON INVESTIMENTOS LTDA</v>
          </cell>
        </row>
        <row r="13783">
          <cell r="B13783">
            <v>124389</v>
          </cell>
          <cell r="C13783" t="str">
            <v>MONGERAL AEGON SBOTPREV FIM</v>
          </cell>
          <cell r="D13783" t="str">
            <v>MONGERAL AEGON SBOTPREV FIM</v>
          </cell>
          <cell r="E13783" t="str">
            <v>MONGERAL AEGON INVESTIMENTOS LTDA</v>
          </cell>
        </row>
        <row r="13784">
          <cell r="B13784">
            <v>124390</v>
          </cell>
          <cell r="C13784" t="str">
            <v>MONGERAL AEGON CP INSTITUCIONAL FIRF LP</v>
          </cell>
          <cell r="D13784" t="str">
            <v>MONGERAL AEGON CP INSTITUCIONAL FIRF LP</v>
          </cell>
          <cell r="E13784" t="str">
            <v>MONGERAL AEGON INVESTIMENTOS LTDA</v>
          </cell>
        </row>
        <row r="13785">
          <cell r="B13785">
            <v>124391</v>
          </cell>
          <cell r="C13785" t="str">
            <v>MONGERAL AEGON PREVIDENCIA RENDA FIXA FI</v>
          </cell>
          <cell r="D13785" t="str">
            <v>MONGERAL AEGON PREVIDENCIA RENDA FIXA FI</v>
          </cell>
          <cell r="E13785" t="str">
            <v>MONGERAL AEGON INVESTIMENTOS LTDA</v>
          </cell>
        </row>
        <row r="13786">
          <cell r="B13786">
            <v>124392</v>
          </cell>
          <cell r="C13786" t="str">
            <v>MONGERAL AEGON OABPREV GO FIM</v>
          </cell>
          <cell r="D13786" t="str">
            <v>MONGERAL AEGON OABPREV GO FIM</v>
          </cell>
          <cell r="E13786" t="str">
            <v>MONGERAL AEGON INVESTIMENTOS LTDA</v>
          </cell>
        </row>
        <row r="13787">
          <cell r="B13787">
            <v>124393</v>
          </cell>
          <cell r="C13787" t="str">
            <v>MONGERAL AEGON INFLACAO INSTITUCIONAL FI RF</v>
          </cell>
          <cell r="D13787" t="str">
            <v>MONGERAL AEGON INFLACAO INSTITUCIONAL FI RF</v>
          </cell>
          <cell r="E13787" t="str">
            <v>MONGERAL AEGON INVESTIMENTOS LTDA</v>
          </cell>
        </row>
        <row r="13788">
          <cell r="B13788">
            <v>124395</v>
          </cell>
          <cell r="C13788" t="str">
            <v>MONGERAL AEGON RF PRIVATE PREVIDENCIA IPCA FI</v>
          </cell>
          <cell r="D13788" t="str">
            <v>MONGERAL AEGON RF PRIVATE PREVIDENCIA IPCA FI</v>
          </cell>
          <cell r="E13788" t="str">
            <v>MONGERAL AEGON INVESTIMENTOS LTDA</v>
          </cell>
        </row>
        <row r="13789">
          <cell r="B13789">
            <v>124396</v>
          </cell>
          <cell r="C13789" t="str">
            <v>MONGERAL AEGON PREVIDENCIA ACOES FI</v>
          </cell>
          <cell r="D13789" t="str">
            <v>MONGERAL AEGON PREVIDENCIA ACOES FI</v>
          </cell>
          <cell r="E13789" t="str">
            <v>MONGERAL AEGON INVESTIMENTOS LTDA</v>
          </cell>
        </row>
        <row r="13790">
          <cell r="B13790">
            <v>124397</v>
          </cell>
          <cell r="C13790" t="str">
            <v>MONGERAL AEGON MULTIMERCADO IE FI</v>
          </cell>
          <cell r="D13790" t="str">
            <v>MONGERAL AEGON MULTIMERCADO IE FI</v>
          </cell>
          <cell r="E13790" t="str">
            <v>MONGERAL AEGON INVESTIMENTOS LTDA</v>
          </cell>
        </row>
        <row r="13791">
          <cell r="B13791">
            <v>124398</v>
          </cell>
          <cell r="C13791" t="str">
            <v>MONGERAL AEGON OABPREV SP FIRF</v>
          </cell>
          <cell r="D13791" t="str">
            <v>MONGERAL AEGON OABPREV SP FIRF</v>
          </cell>
          <cell r="E13791" t="str">
            <v>MONGERAL AEGON INVESTIMENTOS LTDA</v>
          </cell>
        </row>
        <row r="13792">
          <cell r="B13792">
            <v>124399</v>
          </cell>
          <cell r="C13792" t="str">
            <v>MONGERAL AEGON INSTITUCIONAL FIM</v>
          </cell>
          <cell r="D13792" t="str">
            <v>MONGERAL AEGON INSTITUCIONAL FIM</v>
          </cell>
          <cell r="E13792" t="str">
            <v>MONGERAL AEGON INVESTIMENTOS LTDA</v>
          </cell>
        </row>
        <row r="13793">
          <cell r="B13793">
            <v>124400</v>
          </cell>
          <cell r="C13793" t="str">
            <v>MONGERAL AEGON RF PRIVATE TOP PREV FI</v>
          </cell>
          <cell r="D13793" t="str">
            <v>MONGERAL AEGON RF PRIVATE TOP PREV FI</v>
          </cell>
          <cell r="E13793" t="str">
            <v>MONGERAL AEGON INVESTIMENTOS LTDA</v>
          </cell>
        </row>
        <row r="13794">
          <cell r="B13794">
            <v>124401</v>
          </cell>
          <cell r="C13794" t="str">
            <v>MONGERAL QP2 FIM</v>
          </cell>
          <cell r="D13794" t="str">
            <v>MONGERAL QP2 FIM</v>
          </cell>
          <cell r="E13794" t="str">
            <v>MONGERAL AEGON INVESTIMENTOS LTDA</v>
          </cell>
        </row>
        <row r="13795">
          <cell r="B13795">
            <v>124402</v>
          </cell>
          <cell r="C13795" t="str">
            <v>PARAGUACU I FI RF PREVIDENCIARIO CP</v>
          </cell>
          <cell r="D13795" t="str">
            <v>PARAGUACU I FI RF PREVIDENCIARIO CP</v>
          </cell>
          <cell r="E13795" t="str">
            <v>MONGERAL AEGON INVESTIMENTOS LTDA</v>
          </cell>
        </row>
        <row r="13796">
          <cell r="B13796">
            <v>124403</v>
          </cell>
          <cell r="C13796" t="str">
            <v>NEUBERGER BERMAN US MULTI CAP FIM IE</v>
          </cell>
          <cell r="D13796" t="str">
            <v>NEUBERGER BERMAN US MULTI CAP FIM IE</v>
          </cell>
          <cell r="E13796" t="str">
            <v>MONGERAL AEGON INVESTIMENTOS LTDA</v>
          </cell>
        </row>
        <row r="13797">
          <cell r="B13797">
            <v>124404</v>
          </cell>
          <cell r="C13797" t="str">
            <v>OABPREV RJ FIM</v>
          </cell>
          <cell r="D13797" t="str">
            <v>OABPREV RJ FIM</v>
          </cell>
          <cell r="E13797" t="str">
            <v>MONGERAL AEGON INVESTIMENTOS LTDA</v>
          </cell>
        </row>
        <row r="13798">
          <cell r="B13798">
            <v>124405</v>
          </cell>
          <cell r="C13798" t="str">
            <v>OABPREV CLASSICO FIM</v>
          </cell>
          <cell r="D13798" t="str">
            <v>OABPREV CLASSICO FIM</v>
          </cell>
          <cell r="E13798" t="str">
            <v>MONGERAL AEGON INVESTIMENTOS LTDA</v>
          </cell>
        </row>
        <row r="13799">
          <cell r="B13799">
            <v>124406</v>
          </cell>
          <cell r="C13799" t="str">
            <v>ACADIAN GLOBAL MANAGED VOLATILITY EQUITY FIM IE</v>
          </cell>
          <cell r="D13799" t="str">
            <v>ACADIAN GLOBAL MANAGED VOLATILITY EQUITY FIM IE</v>
          </cell>
          <cell r="E13799" t="str">
            <v>MONGERAL AEGON INVESTIMENTOS LTDA</v>
          </cell>
        </row>
        <row r="13800">
          <cell r="B13800">
            <v>124407</v>
          </cell>
          <cell r="C13800" t="str">
            <v>VOLKS UP CP FIM</v>
          </cell>
          <cell r="D13800" t="str">
            <v>VOLKS UP CP FIM</v>
          </cell>
          <cell r="E13800" t="str">
            <v>MONGERAL AEGON INVESTIMENTOS LTDA</v>
          </cell>
        </row>
        <row r="13801">
          <cell r="B13801">
            <v>124409</v>
          </cell>
          <cell r="C13801" t="str">
            <v>MONGERAL AEGON MACRO FIM</v>
          </cell>
          <cell r="D13801" t="str">
            <v>MONGERAL AEGON MACRO FIM</v>
          </cell>
          <cell r="E13801" t="str">
            <v>MONGERAL AEGON INVESTIMENTOS LTDA</v>
          </cell>
        </row>
        <row r="13802">
          <cell r="B13802">
            <v>124410</v>
          </cell>
          <cell r="C13802" t="str">
            <v>MONGERAL AEGON MACRO FIC DE FI</v>
          </cell>
          <cell r="D13802" t="str">
            <v>MONGERAL AEGON MACRO FIC DE FI</v>
          </cell>
          <cell r="E13802" t="str">
            <v>MONGERAL AEGON INVESTIMENTOS LTDA</v>
          </cell>
        </row>
        <row r="13803">
          <cell r="B13803">
            <v>124411</v>
          </cell>
          <cell r="C13803" t="str">
            <v>OPUS ALOCAÃ‡ÃƒO RV FIC FIA</v>
          </cell>
          <cell r="D13803" t="str">
            <v>OPUS ALOCAÃ‡ÃƒO RV FIC FIA</v>
          </cell>
          <cell r="E13803" t="str">
            <v>OPUS GESTAO DE RECURSOS LTDA</v>
          </cell>
        </row>
        <row r="13804">
          <cell r="B13804">
            <v>124412</v>
          </cell>
          <cell r="C13804" t="str">
            <v>AREOSA FIM CP</v>
          </cell>
          <cell r="D13804" t="str">
            <v>AREOSA FIM CP</v>
          </cell>
          <cell r="E13804" t="str">
            <v>OPUS GESTAO DE RECURSOS LTDA</v>
          </cell>
        </row>
        <row r="13805">
          <cell r="B13805">
            <v>124413</v>
          </cell>
          <cell r="C13805" t="str">
            <v>OPUS AÃ‡Ã•ES MASTER FIA</v>
          </cell>
          <cell r="D13805" t="str">
            <v>OPUS AÃ‡Ã•ES MASTER FIA</v>
          </cell>
          <cell r="E13805" t="str">
            <v>OPUS AÃ‡Ã•ES MASTER FIA</v>
          </cell>
        </row>
        <row r="13806">
          <cell r="B13806">
            <v>124414</v>
          </cell>
          <cell r="C13806" t="str">
            <v>BB GESTAO DE RECURSOS DTVM LTDA</v>
          </cell>
          <cell r="D13806" t="str">
            <v>BB GESTAO DE RECURSOS DTVM LTDA</v>
          </cell>
          <cell r="E13806" t="str">
            <v>BB GESTAO DE RECURSOS DTVM LTDA</v>
          </cell>
        </row>
        <row r="13807">
          <cell r="B13807">
            <v>124415</v>
          </cell>
          <cell r="C13807" t="str">
            <v>BB GESTAO DE RECURSOS DTVM LTDA</v>
          </cell>
          <cell r="D13807" t="str">
            <v>BB GESTAO DE RECURSOS DTVM LTDA</v>
          </cell>
          <cell r="E13807" t="str">
            <v>BB GESTAO DE RECURSOS DTVM LTDA</v>
          </cell>
        </row>
        <row r="13808">
          <cell r="B13808">
            <v>124416</v>
          </cell>
          <cell r="C13808" t="str">
            <v>BB GESTAO DE RECURSOS DTVM LTDA</v>
          </cell>
          <cell r="D13808" t="str">
            <v>BB GESTAO DE RECURSOS DTVM LTDA</v>
          </cell>
          <cell r="E13808" t="str">
            <v>BB GESTAO DE RECURSOS DTVM LTDA</v>
          </cell>
        </row>
        <row r="13809">
          <cell r="B13809">
            <v>124417</v>
          </cell>
          <cell r="C13809" t="str">
            <v>BB GESTAO DE RECURSOS DTVM LTDA</v>
          </cell>
          <cell r="D13809" t="str">
            <v>BB GESTAO DE RECURSOS DTVM LTDA</v>
          </cell>
          <cell r="E13809" t="str">
            <v>BB GESTAO DE RECURSOS DTVM LTDA</v>
          </cell>
        </row>
        <row r="13810">
          <cell r="B13810">
            <v>124418</v>
          </cell>
          <cell r="C13810" t="str">
            <v>BB GESTAO DE RECURSOS DTVM LTDA</v>
          </cell>
          <cell r="D13810" t="str">
            <v>BB GESTAO DE RECURSOS DTVM LTDA</v>
          </cell>
          <cell r="E13810" t="str">
            <v>BB GESTAO DE RECURSOS DTVM LTDA</v>
          </cell>
        </row>
        <row r="13811">
          <cell r="B13811">
            <v>124419</v>
          </cell>
          <cell r="C13811" t="str">
            <v>RPS FIA SELECTION MASTER</v>
          </cell>
          <cell r="D13811" t="str">
            <v>RPS FIA SELECTION MASTER</v>
          </cell>
          <cell r="E13811" t="str">
            <v>RPS CAPITAL ADMINISTRADORA DE RECURSOS LTDA</v>
          </cell>
        </row>
        <row r="13812">
          <cell r="B13812">
            <v>124420</v>
          </cell>
          <cell r="C13812" t="str">
            <v>RIVIERA MASTER STRATEGY I FI RF</v>
          </cell>
          <cell r="D13812" t="str">
            <v>RIVIERA MASTER STRATEGY I FI RF</v>
          </cell>
          <cell r="E13812" t="str">
            <v>RIVIERA MASTER STRATEGY I FI RF</v>
          </cell>
        </row>
        <row r="13813">
          <cell r="B13813">
            <v>124421</v>
          </cell>
          <cell r="C13813" t="str">
            <v>FIM RIVIERA</v>
          </cell>
          <cell r="D13813" t="str">
            <v>FIM RIVIERA</v>
          </cell>
          <cell r="E13813" t="str">
            <v>RIVIERA GESTORA DE RECURSOS LTDA</v>
          </cell>
        </row>
        <row r="13814">
          <cell r="B13814">
            <v>124422</v>
          </cell>
          <cell r="C13814" t="str">
            <v>OABPREV - RJ MULTIMERCADO PREVIDENCIA FI</v>
          </cell>
          <cell r="D13814" t="str">
            <v>OABPREV - RJ MULTIMERCADO PREVIDENCIA FI</v>
          </cell>
          <cell r="E13814" t="str">
            <v>RIVIERA GESTORA DE RECURSOS LTDA</v>
          </cell>
        </row>
        <row r="13815">
          <cell r="B13815">
            <v>124423</v>
          </cell>
          <cell r="C13815" t="str">
            <v>TRUXT INVESTMENTS- EQUITY LONG ONLY MASTER FUND LLC</v>
          </cell>
          <cell r="D13815" t="str">
            <v>TRUXT INVESTMENTS- EQUITY LONG ONLY MASTER FUND LLC</v>
          </cell>
          <cell r="E13815" t="str">
            <v>TRUXT INVESTIMENTOS LTDA</v>
          </cell>
        </row>
        <row r="13816">
          <cell r="B13816">
            <v>124043</v>
          </cell>
          <cell r="C13816" t="str">
            <v>BNP PARIBAS SKY FIM</v>
          </cell>
          <cell r="D13816" t="str">
            <v>BNP PARIBAS SKY FIM</v>
          </cell>
          <cell r="E13816" t="str">
            <v>BNP PARIBAS ASSET MANAGEMENT BRASIL LTDA</v>
          </cell>
        </row>
        <row r="13817">
          <cell r="B13817">
            <v>124426</v>
          </cell>
          <cell r="C13817" t="str">
            <v>ITAU K2 MULTIMERCADO FI</v>
          </cell>
          <cell r="D13817" t="str">
            <v>ITAU K2 MULTIMERCADO FI</v>
          </cell>
          <cell r="E13817" t="str">
            <v>ITAU UNIBANCO ASSET - TACO</v>
          </cell>
        </row>
        <row r="13818">
          <cell r="B13818">
            <v>124427</v>
          </cell>
          <cell r="C13818" t="str">
            <v>ITAU AÃ‡OES DUNAMIS FI</v>
          </cell>
          <cell r="D13818" t="str">
            <v>ITAU AÃ‡OES DUNAMIS FI</v>
          </cell>
          <cell r="E13818" t="str">
            <v>ITAU UNIBANCO S/A</v>
          </cell>
        </row>
        <row r="13819">
          <cell r="B13819">
            <v>124428</v>
          </cell>
          <cell r="C13819" t="str">
            <v>ITAU SOLUTIONS LONG AND SHORT FIM</v>
          </cell>
          <cell r="D13819" t="str">
            <v>ITAU SOLUTIONS LONG AND SHORT FIM</v>
          </cell>
          <cell r="E13819" t="str">
            <v>ITAU UNIBANCO ASSET - TACO</v>
          </cell>
        </row>
        <row r="13820">
          <cell r="B13820">
            <v>124429</v>
          </cell>
          <cell r="C13820" t="str">
            <v>TEXAS FIA</v>
          </cell>
          <cell r="D13820" t="str">
            <v>TEXAS FIA</v>
          </cell>
          <cell r="E13820" t="str">
            <v>ITAU UNIBANCO ASSET - TACO</v>
          </cell>
        </row>
        <row r="13821">
          <cell r="B13821">
            <v>124430</v>
          </cell>
          <cell r="C13821" t="str">
            <v>MZL IMA-B FI RF</v>
          </cell>
          <cell r="D13821" t="str">
            <v>MZL IMA-B FI RF</v>
          </cell>
          <cell r="E13821" t="str">
            <v>ELLEVEN GESTORA DE RECURSOS LTDA</v>
          </cell>
        </row>
        <row r="13822">
          <cell r="B13822">
            <v>124431</v>
          </cell>
          <cell r="C13822" t="str">
            <v>ITAU FLEXPREV IBOVESPA ATIVO AÃ‡Ã•ES FI</v>
          </cell>
          <cell r="D13822" t="str">
            <v>ITAU FLEXPREV IBOVESPA ATIVO AÃ‡Ã•ES FI</v>
          </cell>
          <cell r="E13822" t="str">
            <v>ITAU UNIBANCO S/A</v>
          </cell>
        </row>
        <row r="13823">
          <cell r="B13823">
            <v>124432</v>
          </cell>
          <cell r="C13823" t="str">
            <v>ITAÃš PREVIDÃŠNCIA IBRX FIF EM AÃ‡Ã•ES RL</v>
          </cell>
          <cell r="D13823" t="str">
            <v>ITAÃš PREVIDÃŠNCIA IBRX FIF EM AÃ‡Ã•ES RL</v>
          </cell>
          <cell r="E13823" t="str">
            <v>ITAU UNIBANCO ASSET - TACO</v>
          </cell>
        </row>
        <row r="13824">
          <cell r="B13824">
            <v>124044</v>
          </cell>
          <cell r="C13824" t="str">
            <v>FI MAIS VIDA MULTIMERCADO I</v>
          </cell>
          <cell r="D13824" t="str">
            <v>FI MAIS VIDA MULTIMERCADO I</v>
          </cell>
          <cell r="E13824" t="str">
            <v>BNP PARIBAS ASSET MANAGEMENT BRASIL LTDA</v>
          </cell>
        </row>
        <row r="13825">
          <cell r="B13825">
            <v>124434</v>
          </cell>
          <cell r="C13825" t="str">
            <v>ITAU ACOES AGUIA FI</v>
          </cell>
          <cell r="D13825" t="str">
            <v>ITAU ACOES AGUIA FI</v>
          </cell>
          <cell r="E13825" t="str">
            <v>ITAU ACOES AGUIA FI</v>
          </cell>
        </row>
        <row r="13826">
          <cell r="B13826">
            <v>124436</v>
          </cell>
          <cell r="C13826" t="str">
            <v>ITAU AÃ‡Ã•ES DIVIDENDOS MASTER II FI</v>
          </cell>
          <cell r="D13826" t="str">
            <v>ITAU AÃ‡Ã•ES DIVIDENDOS MASTER II FI</v>
          </cell>
          <cell r="E13826" t="str">
            <v>ITAU UNIBANCO S/A</v>
          </cell>
        </row>
        <row r="13827">
          <cell r="B13827">
            <v>124437</v>
          </cell>
          <cell r="C13827" t="str">
            <v>FI FORD FPP AÃ‡Ã•ES</v>
          </cell>
          <cell r="D13827" t="str">
            <v>FI FORD FPP AÃ‡Ã•ES</v>
          </cell>
          <cell r="E13827" t="str">
            <v>ITAU UNIBANCO ASSET - TACO</v>
          </cell>
        </row>
        <row r="13828">
          <cell r="B13828">
            <v>124438</v>
          </cell>
          <cell r="C13828" t="str">
            <v>EVEREST 2 AÃ‡Ã•ES - FI</v>
          </cell>
          <cell r="D13828" t="str">
            <v>EVEREST 2 AÃ‡Ã•ES - FI</v>
          </cell>
          <cell r="E13828" t="str">
            <v>ITAU UNIBANCO ASSET - TACO</v>
          </cell>
        </row>
        <row r="13829">
          <cell r="B13829">
            <v>124439</v>
          </cell>
          <cell r="C13829" t="str">
            <v>ITAU SMALL CAP VALUATION FIA</v>
          </cell>
          <cell r="D13829" t="str">
            <v>ITAU SMALL CAP VALUATION FIA</v>
          </cell>
          <cell r="E13829" t="str">
            <v>ITAU UNIBANCO S/A</v>
          </cell>
        </row>
        <row r="13830">
          <cell r="B13830">
            <v>124440</v>
          </cell>
          <cell r="C13830" t="str">
            <v>ITAU INSTITUCIONAL SMALL CAP FIA</v>
          </cell>
          <cell r="D13830" t="str">
            <v>ITAU INSTITUCIONAL SMALL CAP FIA</v>
          </cell>
          <cell r="E13830" t="str">
            <v>ITAU UNIBANCO S/A</v>
          </cell>
        </row>
        <row r="13831">
          <cell r="B13831">
            <v>124441</v>
          </cell>
          <cell r="C13831" t="str">
            <v>FIA SML4</v>
          </cell>
          <cell r="D13831" t="str">
            <v>FIA SML4</v>
          </cell>
          <cell r="E13831" t="str">
            <v>FIA SML4</v>
          </cell>
        </row>
        <row r="13832">
          <cell r="B13832">
            <v>124442</v>
          </cell>
          <cell r="C13832" t="str">
            <v>ITAU SELEÃ‡ÃƒO AÃ‡Ã•ES- FI</v>
          </cell>
          <cell r="D13832" t="str">
            <v>ITAU SELEÃ‡ÃƒO AÃ‡Ã•ES- FI</v>
          </cell>
          <cell r="E13832" t="str">
            <v>ITAU UNIBANCO S/A</v>
          </cell>
        </row>
        <row r="13833">
          <cell r="B13833">
            <v>124443</v>
          </cell>
          <cell r="C13833" t="str">
            <v>ITAU AÃ‡Ã•ES SMALL CAP FI</v>
          </cell>
          <cell r="D13833" t="str">
            <v>ITAU AÃ‡Ã•ES SMALL CAP FI</v>
          </cell>
          <cell r="E13833" t="str">
            <v>ITAU UNIBANCO S/A</v>
          </cell>
        </row>
        <row r="13834">
          <cell r="B13834">
            <v>124444</v>
          </cell>
          <cell r="C13834" t="str">
            <v>SANTA RITA - FIA</v>
          </cell>
          <cell r="D13834" t="str">
            <v>SANTA RITA - FIA</v>
          </cell>
          <cell r="E13834" t="str">
            <v>ITAU UNIBANCO S/A</v>
          </cell>
        </row>
        <row r="13835">
          <cell r="B13835">
            <v>124445</v>
          </cell>
          <cell r="C13835" t="str">
            <v>UNILEVERPREV- SOCIEDADE DE PREVIDENCIA PRIVADA</v>
          </cell>
          <cell r="D13835" t="str">
            <v>UNILEVERPREV- SOCIEDADE DE PREVIDENCIA PRIVADA</v>
          </cell>
          <cell r="E13835" t="str">
            <v>ITAU UNIBANCO S/A</v>
          </cell>
        </row>
        <row r="13836">
          <cell r="B13836">
            <v>124446</v>
          </cell>
          <cell r="C13836" t="str">
            <v>ITAU AÃ‡Ã•ES VALUATION MASTER - FI</v>
          </cell>
          <cell r="D13836" t="str">
            <v>ITAU AÃ‡Ã•ES VALUATION MASTER - FI</v>
          </cell>
          <cell r="E13836" t="str">
            <v>ITAU AÃ‡Ã•ES VALUATION MASTER - FI</v>
          </cell>
        </row>
        <row r="13837">
          <cell r="B13837">
            <v>124447</v>
          </cell>
          <cell r="C13837" t="str">
            <v>BRADESCO CAPITALIZAÃ‡ÃƒO S/A - LIVRE RV</v>
          </cell>
          <cell r="D13837" t="str">
            <v>BRADESCO CAPITALIZAÃ‡ÃƒO S/A - LIVRE RV</v>
          </cell>
          <cell r="E13837" t="str">
            <v>BRADESCO CAPITALIZAÃ‡ÃƒO S/A - LIVRE RV</v>
          </cell>
        </row>
        <row r="13838">
          <cell r="B13838">
            <v>124448</v>
          </cell>
          <cell r="C13838" t="str">
            <v>BRADESCO VIDA E PREVIDENCIA S.A - LIVRE RV</v>
          </cell>
          <cell r="D13838" t="str">
            <v>BRADESCO VIDA E PREVIDENCIA S.A - LIVRE RV</v>
          </cell>
          <cell r="E13838" t="str">
            <v>BRAM - BRADESCO ASSET MANAGEMENT S/A DTVM</v>
          </cell>
        </row>
        <row r="13839">
          <cell r="B13839">
            <v>124449</v>
          </cell>
          <cell r="C13839" t="str">
            <v>BRADESCO SEGUROS S/A</v>
          </cell>
          <cell r="D13839" t="str">
            <v>BRADESCO SEGUROS S/A</v>
          </cell>
          <cell r="E13839" t="str">
            <v>BRAM - BRADESCO ASSET MANAGEMENT S/A DTVM</v>
          </cell>
        </row>
        <row r="13840">
          <cell r="B13840">
            <v>124450</v>
          </cell>
          <cell r="C13840" t="str">
            <v>BRADESCO SAUDE S/A - LIVRE RV</v>
          </cell>
          <cell r="D13840" t="str">
            <v>BRADESCO SAUDE S/A - LIVRE RV</v>
          </cell>
          <cell r="E13840" t="str">
            <v>BRADESCO SAUDE S/A - LIVRE RV</v>
          </cell>
        </row>
        <row r="13841">
          <cell r="B13841">
            <v>124451</v>
          </cell>
          <cell r="C13841" t="str">
            <v>BRADESCO CARTEIRA IMOBILIARIA ATIVA - FFII IMOBILIARIO - FII</v>
          </cell>
          <cell r="D13841" t="str">
            <v>BRADESCO CARTEIRA IMOBILIARIA ATIVA - FFII IMOBILIARIO - FII</v>
          </cell>
          <cell r="E13841" t="str">
            <v>BRAM - BRADESCO ASSET MANAGEMENT S/A DTVM</v>
          </cell>
        </row>
        <row r="13842">
          <cell r="B13842">
            <v>124452</v>
          </cell>
          <cell r="C13842" t="str">
            <v>SANTANDER CACEIS BRASIL DTVM S.A.</v>
          </cell>
          <cell r="D13842" t="str">
            <v>SANTANDER CACEIS BRASIL DTVM S.A.</v>
          </cell>
          <cell r="E13842" t="str">
            <v>SANTANDER BRASIL GESTAO DE RECURSOS LTDA</v>
          </cell>
        </row>
        <row r="13843">
          <cell r="B13843">
            <v>124453</v>
          </cell>
          <cell r="C13843" t="str">
            <v>BB GESTAO DE RECURSOS DTVM LTDA</v>
          </cell>
          <cell r="D13843" t="str">
            <v>BB GESTAO DE RECURSOS DTVM LTDA</v>
          </cell>
          <cell r="E13843" t="str">
            <v>BB GESTAO DE RECURSOS DTVM LTDA</v>
          </cell>
        </row>
        <row r="13844">
          <cell r="B13844">
            <v>124454</v>
          </cell>
          <cell r="C13844" t="str">
            <v>URCA FIM CP</v>
          </cell>
          <cell r="D13844" t="str">
            <v>URCA FIM CP</v>
          </cell>
          <cell r="E13844" t="str">
            <v>SANTANDER BRASIL GESTAO DE RECURSOS LTDA</v>
          </cell>
        </row>
        <row r="13845">
          <cell r="B13845">
            <v>124455</v>
          </cell>
          <cell r="C13845" t="str">
            <v>FIM BELGRADO</v>
          </cell>
          <cell r="D13845" t="str">
            <v>FIM BELGRADO</v>
          </cell>
          <cell r="E13845" t="str">
            <v>FIM BELGRADO</v>
          </cell>
        </row>
        <row r="13846">
          <cell r="B13846">
            <v>124456</v>
          </cell>
          <cell r="C13846" t="str">
            <v>IDRA FI RF</v>
          </cell>
          <cell r="D13846" t="str">
            <v>IDRA FI RF</v>
          </cell>
          <cell r="E13846" t="str">
            <v>FUNDACAO VALE DO RIO DOCE DE SEGURIDADE SOCIAL - VALIA</v>
          </cell>
        </row>
        <row r="13847">
          <cell r="B13847">
            <v>124457</v>
          </cell>
          <cell r="C13847" t="str">
            <v>FIM TOPAZIO CP</v>
          </cell>
          <cell r="D13847" t="str">
            <v>FIM TOPAZIO CP</v>
          </cell>
          <cell r="E13847" t="str">
            <v>FUNDACAO VALE DO RIO DOCE DE SEGURIDADE SOCIAL - VALIA</v>
          </cell>
        </row>
        <row r="13848">
          <cell r="B13848">
            <v>124458</v>
          </cell>
          <cell r="C13848" t="str">
            <v>NELSON VIDAL LACERDA DE GODOY</v>
          </cell>
          <cell r="D13848" t="str">
            <v>NELSON VIDAL LACERDA DE GODOY</v>
          </cell>
          <cell r="E13848" t="str">
            <v>NELSON VIDAL LACERDA DE GODOY</v>
          </cell>
        </row>
        <row r="13849">
          <cell r="B13849">
            <v>124459</v>
          </cell>
          <cell r="C13849" t="str">
            <v>SAFRA GALILEO MASTER FIM</v>
          </cell>
          <cell r="D13849" t="str">
            <v>SAFRA GALILEO MASTER FIM</v>
          </cell>
          <cell r="E13849" t="str">
            <v>EMERALD GESTAO DE INVESTIMENTOS LTDA</v>
          </cell>
        </row>
        <row r="13850">
          <cell r="B13850">
            <v>124460</v>
          </cell>
          <cell r="C13850" t="str">
            <v>MORGAN STANLEY CTVM S/A</v>
          </cell>
          <cell r="D13850" t="str">
            <v>MORGAN STANLEY CTVM S/A</v>
          </cell>
          <cell r="E13850" t="str">
            <v>MORGAN STANLEY CTVM S/A</v>
          </cell>
        </row>
        <row r="13851">
          <cell r="B13851">
            <v>124461</v>
          </cell>
          <cell r="C13851" t="str">
            <v>MORGAN STANLEY CTVM S/A</v>
          </cell>
          <cell r="D13851" t="str">
            <v>MORGAN STANLEY CTVM S/A</v>
          </cell>
          <cell r="E13851" t="str">
            <v>MORGAN STANLEY CTVM S/A</v>
          </cell>
        </row>
        <row r="13852">
          <cell r="B13852">
            <v>124463</v>
          </cell>
          <cell r="C13852" t="str">
            <v>ANDRE WATT VIANNA</v>
          </cell>
          <cell r="D13852" t="str">
            <v>ANDRE WATT VIANNA</v>
          </cell>
          <cell r="E13852" t="str">
            <v>ANDRE WATT VIANNA</v>
          </cell>
        </row>
        <row r="13853">
          <cell r="B13853">
            <v>124464</v>
          </cell>
          <cell r="C13853" t="str">
            <v>SANTANDER CACEIS BRASIL DTVM S.A.</v>
          </cell>
          <cell r="D13853" t="str">
            <v>SANTANDER CACEIS BRASIL DTVM S.A.</v>
          </cell>
          <cell r="E13853" t="str">
            <v>SANTANDER CACEIS BRASIL DTVM S.A.</v>
          </cell>
        </row>
        <row r="13854">
          <cell r="B13854">
            <v>124466</v>
          </cell>
          <cell r="C13854" t="str">
            <v>ALFA DIVIDENDOS FIA IQ</v>
          </cell>
          <cell r="D13854" t="str">
            <v>ALFA DIVIDENDOS FIA IQ</v>
          </cell>
          <cell r="E13854" t="str">
            <v>ALFA DIVIDENDOS FIA IQ</v>
          </cell>
        </row>
        <row r="13855">
          <cell r="B13855">
            <v>124468</v>
          </cell>
          <cell r="C13855" t="str">
            <v>BB GESTAO DE RECURSOS DTVM LTDA</v>
          </cell>
          <cell r="D13855" t="str">
            <v>BB GESTAO DE RECURSOS DTVM LTDA</v>
          </cell>
          <cell r="E13855" t="str">
            <v>BB GESTAO DE RECURSOS DTVM LTDA</v>
          </cell>
        </row>
        <row r="13856">
          <cell r="B13856">
            <v>124470</v>
          </cell>
          <cell r="C13856" t="str">
            <v>JGP MAX MASTER FIM</v>
          </cell>
          <cell r="D13856" t="str">
            <v>JGP MAX MASTER FIM</v>
          </cell>
          <cell r="E13856" t="str">
            <v>JGP MAX MASTER FIM</v>
          </cell>
        </row>
        <row r="13857">
          <cell r="B13857">
            <v>124471</v>
          </cell>
          <cell r="C13857" t="str">
            <v>SANTANDER CACEIS BRASIL DTVM S.A.</v>
          </cell>
          <cell r="D13857" t="str">
            <v>SANTANDER CACEIS BRASIL DTVM S.A.</v>
          </cell>
          <cell r="E13857" t="str">
            <v>SANTANDER CACEIS BRASIL DTVM S.A.</v>
          </cell>
        </row>
        <row r="13858">
          <cell r="B13858">
            <v>124472</v>
          </cell>
          <cell r="C13858" t="str">
            <v>SANTANDER CACEIS BRASIL DTVM S.A.</v>
          </cell>
          <cell r="D13858" t="str">
            <v>SANTANDER CACEIS BRASIL DTVM S.A.</v>
          </cell>
          <cell r="E13858" t="str">
            <v>SANTANDER CACEIS BRASIL DTVM S.A.</v>
          </cell>
        </row>
        <row r="13859">
          <cell r="B13859">
            <v>124473</v>
          </cell>
          <cell r="C13859" t="str">
            <v>DUO HIX CAPITAL FIA</v>
          </cell>
          <cell r="D13859" t="str">
            <v>DUO HIX CAPITAL FIA</v>
          </cell>
          <cell r="E13859" t="str">
            <v>DUO HIX CAPITAL FIA</v>
          </cell>
        </row>
        <row r="13860">
          <cell r="B13860">
            <v>124474</v>
          </cell>
          <cell r="C13860" t="str">
            <v>BANCO BRADESCO S/A</v>
          </cell>
          <cell r="D13860" t="str">
            <v>BANCO BRADESCO S/A</v>
          </cell>
          <cell r="E13860" t="str">
            <v>BANCO BRADESCO S/A</v>
          </cell>
        </row>
        <row r="13861">
          <cell r="B13861">
            <v>124475</v>
          </cell>
          <cell r="C13861" t="str">
            <v>MANTARO LB MASTER FIM</v>
          </cell>
          <cell r="D13861" t="str">
            <v>MANTARO LB MASTER FIM</v>
          </cell>
          <cell r="E13861" t="str">
            <v>MANTARO CAPITAL LTDA</v>
          </cell>
        </row>
        <row r="13862">
          <cell r="B13862">
            <v>124476</v>
          </cell>
          <cell r="C13862" t="str">
            <v>FIM COLISEU</v>
          </cell>
          <cell r="D13862" t="str">
            <v>FIM COLISEU</v>
          </cell>
          <cell r="E13862" t="str">
            <v>FIM COLISEU</v>
          </cell>
        </row>
        <row r="13863">
          <cell r="B13863">
            <v>124477</v>
          </cell>
          <cell r="C13863" t="str">
            <v>ITAU MOMENTO II AÃ‡Ã•ES FI</v>
          </cell>
          <cell r="D13863" t="str">
            <v>ITAU MOMENTO II AÃ‡Ã•ES FI</v>
          </cell>
          <cell r="E13863" t="str">
            <v>ITAU UNIBANCO ASSET - TACO</v>
          </cell>
        </row>
        <row r="13864">
          <cell r="B13864">
            <v>124478</v>
          </cell>
          <cell r="C13864" t="str">
            <v>ITAU PHOENIX AÃ‡OES FI</v>
          </cell>
          <cell r="D13864" t="str">
            <v>ITAU PHOENIX AÃ‡OES FI</v>
          </cell>
          <cell r="E13864" t="str">
            <v>ITAU UNIBANCO ASSET - TACO</v>
          </cell>
        </row>
        <row r="13865">
          <cell r="B13865">
            <v>124479</v>
          </cell>
          <cell r="C13865" t="str">
            <v>ALFA AÃ‡Ã•ES PREMIUM - FIA</v>
          </cell>
          <cell r="D13865" t="str">
            <v>ALFA AÃ‡Ã•ES PREMIUM - FIA</v>
          </cell>
          <cell r="E13865" t="str">
            <v>BANCO ALFA DE INVESTIMENTO S/A</v>
          </cell>
        </row>
        <row r="13866">
          <cell r="B13866">
            <v>124480</v>
          </cell>
          <cell r="C13866" t="str">
            <v>LNX - FIM IE CP IP</v>
          </cell>
          <cell r="D13866" t="str">
            <v>LNX - FIM IE CP IP</v>
          </cell>
          <cell r="E13866" t="str">
            <v>BANCO ALFA DE INVESTIMENTO S/A</v>
          </cell>
        </row>
        <row r="13867">
          <cell r="B13867">
            <v>124481</v>
          </cell>
          <cell r="C13867" t="str">
            <v>ALFA INVESTOR 20 FIM IQ</v>
          </cell>
          <cell r="D13867" t="str">
            <v>ALFA INVESTOR 20 FIM IQ</v>
          </cell>
          <cell r="E13867" t="str">
            <v>BANCO ALFA DE INVESTIMENTO S/A</v>
          </cell>
        </row>
        <row r="13868">
          <cell r="B13868">
            <v>124482</v>
          </cell>
          <cell r="C13868" t="str">
            <v>ALFA INVESTOR 035 FIM CP IE IP</v>
          </cell>
          <cell r="D13868" t="str">
            <v>ALFA INVESTOR 035 FIM CP IE IP</v>
          </cell>
          <cell r="E13868" t="str">
            <v>ALFA INVESTOR 035 FIM CP IE IP</v>
          </cell>
        </row>
        <row r="13869">
          <cell r="B13869">
            <v>124483</v>
          </cell>
          <cell r="C13869" t="str">
            <v>ALFA DYNAMIC FIM CP INVESTIDOR PROFISSIONAL</v>
          </cell>
          <cell r="D13869" t="str">
            <v>ALFA DYNAMIC FIM CP INVESTIDOR PROFISSIONAL</v>
          </cell>
          <cell r="E13869" t="str">
            <v>BANCO ALFA DE INVESTIMENTO S/A</v>
          </cell>
        </row>
        <row r="13870">
          <cell r="B13870">
            <v>124484</v>
          </cell>
          <cell r="C13870" t="str">
            <v>ALFA INVESTOR 60 FIM CP IP</v>
          </cell>
          <cell r="D13870" t="str">
            <v>ALFA INVESTOR 60 FIM CP IP</v>
          </cell>
          <cell r="E13870" t="str">
            <v>BANCO ALFA DE INVESTIMENTO S/A</v>
          </cell>
        </row>
        <row r="13871">
          <cell r="B13871">
            <v>124485</v>
          </cell>
          <cell r="C13871" t="str">
            <v>ILHABELA FIM CP IE IP</v>
          </cell>
          <cell r="D13871" t="str">
            <v>ILHABELA FIM CP IE IP</v>
          </cell>
          <cell r="E13871" t="str">
            <v>BANCO ALFA DE INVESTIMENTO S/A</v>
          </cell>
        </row>
        <row r="13872">
          <cell r="B13872">
            <v>124486</v>
          </cell>
          <cell r="C13872" t="str">
            <v>ALFA PRIVATE MIDAS FIM CP IP</v>
          </cell>
          <cell r="D13872" t="str">
            <v>ALFA PRIVATE MIDAS FIM CP IP</v>
          </cell>
          <cell r="E13872" t="str">
            <v>BANCO ALFA DE INVESTIMENTO S/A</v>
          </cell>
        </row>
        <row r="13873">
          <cell r="B13873">
            <v>124487</v>
          </cell>
          <cell r="C13873" t="str">
            <v>TRANSAMERICA ESTRATEGIA FIM</v>
          </cell>
          <cell r="D13873" t="str">
            <v>TRANSAMERICA ESTRATEGIA FIM</v>
          </cell>
          <cell r="E13873" t="str">
            <v>TRANSAMERICA ESTRATEGIA FIM</v>
          </cell>
        </row>
        <row r="13874">
          <cell r="B13874">
            <v>124488</v>
          </cell>
          <cell r="C13874" t="str">
            <v>TRANSAMERICA RV ALFAPREV MASTER FIA PREVIDENCIARIO</v>
          </cell>
          <cell r="D13874" t="str">
            <v>TRANSAMERICA RV ALFAPREV MASTER FIA PREVIDENCIARIO</v>
          </cell>
          <cell r="E13874" t="str">
            <v>BANCO ALFA DE INVESTIMENTO S/A</v>
          </cell>
        </row>
        <row r="13875">
          <cell r="B13875">
            <v>124489</v>
          </cell>
          <cell r="C13875" t="str">
            <v>VEYRON FIM CP IP</v>
          </cell>
          <cell r="D13875" t="str">
            <v>VEYRON FIM CP IP</v>
          </cell>
          <cell r="E13875" t="str">
            <v>VEYRON FIM CP IP</v>
          </cell>
        </row>
        <row r="13876">
          <cell r="B13876">
            <v>124490</v>
          </cell>
          <cell r="C13876" t="str">
            <v>ALFA DIVIDENDOS FIA IQ</v>
          </cell>
          <cell r="D13876" t="str">
            <v>ALFA DIVIDENDOS FIA IQ</v>
          </cell>
          <cell r="E13876" t="str">
            <v>ALFA DIVIDENDOS FIA IQ</v>
          </cell>
        </row>
        <row r="13877">
          <cell r="B13877">
            <v>124491</v>
          </cell>
          <cell r="C13877" t="str">
            <v>SAINT - EMILION FIM CP IE IP</v>
          </cell>
          <cell r="D13877" t="str">
            <v>SAINT - EMILION FIM CP IE IP</v>
          </cell>
          <cell r="E13877" t="str">
            <v>SAINT - EMILION FIM CP IE IP</v>
          </cell>
        </row>
        <row r="13878">
          <cell r="B13878">
            <v>124492</v>
          </cell>
          <cell r="C13878" t="str">
            <v>MARCELLA - FIM CP IP</v>
          </cell>
          <cell r="D13878" t="str">
            <v>MARCELLA - FIM CP IP</v>
          </cell>
          <cell r="E13878" t="str">
            <v>BANCO ALFA DE INVESTIMENTO S/A</v>
          </cell>
        </row>
        <row r="13879">
          <cell r="B13879">
            <v>124493</v>
          </cell>
          <cell r="C13879" t="str">
            <v>DIOFEL - FIA IE IP</v>
          </cell>
          <cell r="D13879" t="str">
            <v>DIOFEL - FIA IE IP</v>
          </cell>
          <cell r="E13879" t="str">
            <v>BANCO ALFA DE INVESTIMENTO S/A</v>
          </cell>
        </row>
        <row r="13880">
          <cell r="B13880">
            <v>124494</v>
          </cell>
          <cell r="C13880" t="str">
            <v>ALFA INVESTOR 197 FIM CP IP</v>
          </cell>
          <cell r="D13880" t="str">
            <v>ALFA INVESTOR 197 FIM CP IP</v>
          </cell>
          <cell r="E13880" t="str">
            <v>BANCO ALFA DE INVESTIMENTO S/A</v>
          </cell>
        </row>
        <row r="13881">
          <cell r="B13881">
            <v>124495</v>
          </cell>
          <cell r="C13881" t="str">
            <v>MIRAMAR - FIM CP IP</v>
          </cell>
          <cell r="D13881" t="str">
            <v>MIRAMAR - FIM CP IP</v>
          </cell>
          <cell r="E13881" t="str">
            <v>MIRAMAR - FIM CP IP</v>
          </cell>
        </row>
        <row r="13882">
          <cell r="B13882">
            <v>124496</v>
          </cell>
          <cell r="C13882" t="str">
            <v>NAXOS FIM CP IE IP</v>
          </cell>
          <cell r="D13882" t="str">
            <v>NAXOS FIM CP IE IP</v>
          </cell>
          <cell r="E13882" t="str">
            <v>NAXOS FIM CP IE IP</v>
          </cell>
        </row>
        <row r="13883">
          <cell r="B13883">
            <v>124497</v>
          </cell>
          <cell r="C13883" t="str">
            <v>SANTORINI FIM CP IE IP</v>
          </cell>
          <cell r="D13883" t="str">
            <v>SANTORINI FIM CP IE IP</v>
          </cell>
          <cell r="E13883" t="str">
            <v>SANTORINI FIM CP IE IP</v>
          </cell>
        </row>
        <row r="13884">
          <cell r="B13884">
            <v>124498</v>
          </cell>
          <cell r="C13884" t="str">
            <v>TMB FIM IP</v>
          </cell>
          <cell r="D13884" t="str">
            <v>TMB FIM IP</v>
          </cell>
          <cell r="E13884" t="str">
            <v>TMB FIM IP</v>
          </cell>
        </row>
        <row r="13885">
          <cell r="B13885">
            <v>124499</v>
          </cell>
          <cell r="C13885" t="str">
            <v>ALFA SCORPIUS MASTER - FUNDO DE INVESTIMENTO MULTIMERCADO</v>
          </cell>
          <cell r="D13885" t="str">
            <v>ALFA SCORPIUS MASTER - FUNDO DE INVESTIMENTO MULTIMERCADO</v>
          </cell>
          <cell r="E13885" t="str">
            <v>BANCO ALFA DE INVESTIMENTO S/A</v>
          </cell>
        </row>
        <row r="13886">
          <cell r="B13886">
            <v>124500</v>
          </cell>
          <cell r="C13886" t="str">
            <v>ALFA FEAG FIM IE CP IP</v>
          </cell>
          <cell r="D13886" t="str">
            <v>ALFA FEAG FIM IE CP IP</v>
          </cell>
          <cell r="E13886" t="str">
            <v>BANCO ALFA DE INVESTIMENTO S/A</v>
          </cell>
        </row>
        <row r="13887">
          <cell r="B13887">
            <v>124501</v>
          </cell>
          <cell r="C13887" t="str">
            <v>CARANDAI FIM LP CP IP IE</v>
          </cell>
          <cell r="D13887" t="str">
            <v>CARANDAI FIM LP CP IP IE</v>
          </cell>
          <cell r="E13887" t="str">
            <v>BANCO ALFA DE INVESTIMENTO S/A</v>
          </cell>
        </row>
        <row r="13888">
          <cell r="B13888">
            <v>124502</v>
          </cell>
          <cell r="C13888" t="str">
            <v>DIOLIPE- FIM IE CP IP</v>
          </cell>
          <cell r="D13888" t="str">
            <v>DIOLIPE- FIM IE CP IP</v>
          </cell>
          <cell r="E13888" t="str">
            <v>BANCO ALFA DE INVESTIMENTO S/A</v>
          </cell>
        </row>
        <row r="13889">
          <cell r="B13889">
            <v>124503</v>
          </cell>
          <cell r="C13889" t="str">
            <v>ALFAPREV DINAMICO MASTER - FIM PREVIDENCIARIO</v>
          </cell>
          <cell r="D13889" t="str">
            <v>ALFAPREV DINAMICO MASTER - FIM PREVIDENCIARIO</v>
          </cell>
          <cell r="E13889" t="str">
            <v>BANCO ALFA DE INVESTIMENTO S/A</v>
          </cell>
        </row>
        <row r="13890">
          <cell r="B13890">
            <v>124504</v>
          </cell>
          <cell r="C13890" t="str">
            <v>AZ QUEST LOW VOL FIM</v>
          </cell>
          <cell r="D13890" t="str">
            <v>AZ QUEST LOW VOL FIM</v>
          </cell>
          <cell r="E13890" t="str">
            <v>AZ QUEST INVESTIMENTOS LTDA</v>
          </cell>
        </row>
        <row r="13891">
          <cell r="B13891">
            <v>124505</v>
          </cell>
          <cell r="C13891" t="str">
            <v>AZ QUEST TERMO FIF RF</v>
          </cell>
          <cell r="D13891" t="str">
            <v>AZ QUEST TERMO FIF RF</v>
          </cell>
          <cell r="E13891" t="str">
            <v>AZ QUEST INVESTIMENTOS LTDA</v>
          </cell>
        </row>
        <row r="13892">
          <cell r="B13892">
            <v>124506</v>
          </cell>
          <cell r="C13892" t="str">
            <v>FCOPEL  FIA II</v>
          </cell>
          <cell r="D13892" t="str">
            <v>FCOPEL  FIA II</v>
          </cell>
          <cell r="E13892" t="str">
            <v>AZ QUEST INVESTIMENTOS LTDA</v>
          </cell>
        </row>
        <row r="13893">
          <cell r="B13893">
            <v>124507</v>
          </cell>
          <cell r="C13893" t="str">
            <v>AZ QUEST MULTIMANAGER BBDC FIM</v>
          </cell>
          <cell r="D13893" t="str">
            <v>AZ QUEST MULTIMANAGER BBDC FIM</v>
          </cell>
          <cell r="E13893" t="str">
            <v>AZ QUEST INVESTIMENTOS LTDA</v>
          </cell>
        </row>
        <row r="13894">
          <cell r="B13894">
            <v>124508</v>
          </cell>
          <cell r="C13894" t="str">
            <v>FP ATLANTIS FIM</v>
          </cell>
          <cell r="D13894" t="str">
            <v>FP ATLANTIS FIM</v>
          </cell>
          <cell r="E13894" t="str">
            <v>AZ QUEST INVESTIMENTOS LTDA</v>
          </cell>
        </row>
        <row r="13895">
          <cell r="B13895">
            <v>124509</v>
          </cell>
          <cell r="C13895" t="str">
            <v>AZ LEGAN BRASIL FIA</v>
          </cell>
          <cell r="D13895" t="str">
            <v>AZ LEGAN BRASIL FIA</v>
          </cell>
          <cell r="E13895" t="str">
            <v>AZ LEGAN BRASIL FIA</v>
          </cell>
        </row>
        <row r="13896">
          <cell r="B13896">
            <v>124510</v>
          </cell>
          <cell r="C13896" t="str">
            <v>AZ LEGAN VALORE FI RF CP</v>
          </cell>
          <cell r="D13896" t="str">
            <v>AZ LEGAN VALORE FI RF CP</v>
          </cell>
          <cell r="E13896" t="str">
            <v>AZ LEGAN VALORE FI RF CP</v>
          </cell>
        </row>
        <row r="13897">
          <cell r="B13897">
            <v>124511</v>
          </cell>
          <cell r="C13897" t="str">
            <v>AZ QUEST QUALITY FIA</v>
          </cell>
          <cell r="D13897" t="str">
            <v>AZ QUEST QUALITY FIA</v>
          </cell>
          <cell r="E13897" t="str">
            <v>AZ QUEST INVESTIMENTOS LTDA</v>
          </cell>
        </row>
        <row r="13898">
          <cell r="B13898">
            <v>124512</v>
          </cell>
          <cell r="C13898" t="str">
            <v>AZ QUEST ICATU MULTI PREV MASTER FIFE FUNDO DE INVESTIMENTO</v>
          </cell>
          <cell r="D13898" t="str">
            <v>AZ QUEST ICATU MULTI PREV MASTER FIFE FUNDO DE INVESTIMENTO</v>
          </cell>
          <cell r="E13898" t="str">
            <v>AZ QUEST INVESTIMENTOS LTDA</v>
          </cell>
        </row>
        <row r="13899">
          <cell r="B13899">
            <v>124513</v>
          </cell>
          <cell r="C13899" t="str">
            <v>ARGUCIA QUARK FIF MULT RL</v>
          </cell>
          <cell r="D13899" t="str">
            <v>ARGUCIA QUARK FIF MULT RL</v>
          </cell>
          <cell r="E13899" t="str">
            <v>ARGUCIA CAPITAL GESTAO DE RECURSOS LTDA</v>
          </cell>
        </row>
        <row r="13900">
          <cell r="B13900">
            <v>124514</v>
          </cell>
          <cell r="C13900" t="str">
            <v>SANTANDER CACEIS BRASIL DTVM S.A.</v>
          </cell>
          <cell r="D13900" t="str">
            <v>SANTANDER CACEIS BRASIL DTVM S.A.</v>
          </cell>
          <cell r="E13900" t="str">
            <v>SANTANDER CACEIS BRASIL DTVM S.A.</v>
          </cell>
        </row>
        <row r="13901">
          <cell r="B13901">
            <v>124515</v>
          </cell>
          <cell r="C13901" t="str">
            <v>DAYCOVAL IBOVESPA ATIVO FIA</v>
          </cell>
          <cell r="D13901" t="str">
            <v>DAYCOVAL IBOVESPA ATIVO FIA</v>
          </cell>
          <cell r="E13901" t="str">
            <v>DAYCOVAL IBOVESPA ATIVO FIA</v>
          </cell>
        </row>
        <row r="13902">
          <cell r="B13902">
            <v>124516</v>
          </cell>
          <cell r="C13902" t="str">
            <v>DAYCOVAL MULTIESTRATÃ‰GIA FIM</v>
          </cell>
          <cell r="D13902" t="str">
            <v>DAYCOVAL MULTIESTRATÃ‰GIA FIM</v>
          </cell>
          <cell r="E13902" t="str">
            <v>DAYCOVAL MULTIESTRATÃ‰GIA FIM</v>
          </cell>
        </row>
        <row r="13903">
          <cell r="B13903">
            <v>124517</v>
          </cell>
          <cell r="C13903" t="str">
            <v>IJK FIM CP IE</v>
          </cell>
          <cell r="D13903" t="str">
            <v>IJK FIM CP IE</v>
          </cell>
          <cell r="E13903" t="str">
            <v>IJK FIM CP IE</v>
          </cell>
        </row>
        <row r="13904">
          <cell r="B13904">
            <v>124518</v>
          </cell>
          <cell r="C13904" t="str">
            <v>FIA CAIXA BRASIL IBX 50</v>
          </cell>
          <cell r="D13904" t="str">
            <v>FIA CAIXA BRASIL IBX 50</v>
          </cell>
          <cell r="E13904" t="str">
            <v>FIA CAIXA BRASIL IBX 50</v>
          </cell>
        </row>
        <row r="13905">
          <cell r="B13905">
            <v>124519</v>
          </cell>
          <cell r="C13905" t="str">
            <v>FIA CAIXA IBRX ATIVO</v>
          </cell>
          <cell r="D13905" t="str">
            <v>FIA CAIXA IBRX ATIVO</v>
          </cell>
          <cell r="E13905" t="str">
            <v>FIA CAIXA IBRX ATIVO</v>
          </cell>
        </row>
        <row r="13906">
          <cell r="B13906">
            <v>124520</v>
          </cell>
          <cell r="C13906" t="str">
            <v>CAIXA MASTER ESTRATEGICO FIF MULT LP RL</v>
          </cell>
          <cell r="D13906" t="str">
            <v>CAIXA MASTER ESTRATEGICO FIF MULT LP RL</v>
          </cell>
          <cell r="E13906" t="str">
            <v>CAIXA ECONOMICA FEDERAL</v>
          </cell>
        </row>
        <row r="13907">
          <cell r="B13907">
            <v>124521</v>
          </cell>
          <cell r="C13907" t="str">
            <v>FIA CAIXA IBOVESPA ATIVO</v>
          </cell>
          <cell r="D13907" t="str">
            <v>FIA CAIXA IBOVESPA ATIVO</v>
          </cell>
          <cell r="E13907" t="str">
            <v>CAIXA ECONOMICA FEDERAL</v>
          </cell>
        </row>
        <row r="13908">
          <cell r="B13908">
            <v>124522</v>
          </cell>
          <cell r="C13908" t="str">
            <v>FI CAIXA MASTER LONG SHORT MULTIMERCADO LP</v>
          </cell>
          <cell r="D13908" t="str">
            <v>FI CAIXA MASTER LONG SHORT MULTIMERCADO LP</v>
          </cell>
          <cell r="E13908" t="str">
            <v>FI CAIXA MASTER LONG SHORT MULTIMERCADO LP</v>
          </cell>
        </row>
        <row r="13909">
          <cell r="B13909">
            <v>124523</v>
          </cell>
          <cell r="C13909" t="str">
            <v>FIA CAIXA SMALL CAPS ATIVO</v>
          </cell>
          <cell r="D13909" t="str">
            <v>FIA CAIXA SMALL CAPS ATIVO</v>
          </cell>
          <cell r="E13909" t="str">
            <v>FIA CAIXA SMALL CAPS ATIVO</v>
          </cell>
        </row>
        <row r="13910">
          <cell r="B13910">
            <v>124524</v>
          </cell>
          <cell r="C13910" t="str">
            <v>SKOPOS GUPEMA FUNDO DE INVESTIMENTO EM ACOES</v>
          </cell>
          <cell r="D13910" t="str">
            <v>SKOPOS GUPEMA FUNDO DE INVESTIMENTO EM ACOES</v>
          </cell>
          <cell r="E13910" t="str">
            <v>SKOPOS INVESTIMENTOS LTDA</v>
          </cell>
        </row>
        <row r="13911">
          <cell r="B13911">
            <v>124525</v>
          </cell>
          <cell r="C13911" t="str">
            <v>SKOPOS BLUE BIRDS LONG ONLY FUNDO DE INVESTIMENTO DE ACOES</v>
          </cell>
          <cell r="D13911" t="str">
            <v>SKOPOS BLUE BIRDS LONG ONLY FUNDO DE INVESTIMENTO DE ACOES</v>
          </cell>
          <cell r="E13911" t="str">
            <v>SKOPOS INVESTIMENTOS LTDA</v>
          </cell>
        </row>
        <row r="13912">
          <cell r="B13912">
            <v>124526</v>
          </cell>
          <cell r="C13912" t="str">
            <v>SKOPOS MARATHON I FIA</v>
          </cell>
          <cell r="D13912" t="str">
            <v>SKOPOS MARATHON I FIA</v>
          </cell>
          <cell r="E13912" t="str">
            <v>SKOPOS MARATHON I FIA</v>
          </cell>
        </row>
        <row r="13913">
          <cell r="B13913">
            <v>124527</v>
          </cell>
          <cell r="C13913" t="str">
            <v>SKOPOS VIX FIM</v>
          </cell>
          <cell r="D13913" t="str">
            <v>SKOPOS VIX FIM</v>
          </cell>
          <cell r="E13913" t="str">
            <v>SKOPOS INVESTIMENTOS LTDA</v>
          </cell>
        </row>
        <row r="13914">
          <cell r="B13914">
            <v>124528</v>
          </cell>
          <cell r="C13914" t="str">
            <v>BB GESTAO DE RECURSOS DTVM LTDA</v>
          </cell>
          <cell r="D13914" t="str">
            <v>BB GESTAO DE RECURSOS DTVM LTDA</v>
          </cell>
          <cell r="E13914" t="str">
            <v>BB GESTAO DE RECURSOS DTVM LTDA</v>
          </cell>
        </row>
        <row r="13915">
          <cell r="B13915">
            <v>124529</v>
          </cell>
          <cell r="C13915" t="str">
            <v>TAGUS TOP FI EM COTAS FIM</v>
          </cell>
          <cell r="D13915" t="str">
            <v>TAGUS TOP FI EM COTAS FIM</v>
          </cell>
          <cell r="E13915" t="str">
            <v>TAGUS TOP FI EM COTAS FIM</v>
          </cell>
        </row>
        <row r="13916">
          <cell r="B13916">
            <v>124530</v>
          </cell>
          <cell r="C13916" t="str">
            <v>TAGUS EQUITY HEDGE FIM</v>
          </cell>
          <cell r="D13916" t="str">
            <v>TAGUS EQUITY HEDGE FIM</v>
          </cell>
          <cell r="E13916" t="str">
            <v>TAGUS INVESTIMENTOS LTDA</v>
          </cell>
        </row>
        <row r="13917">
          <cell r="B13917">
            <v>124531</v>
          </cell>
          <cell r="C13917" t="str">
            <v>TAGUS TOSCANA LOW VOL FIM</v>
          </cell>
          <cell r="D13917" t="str">
            <v>TAGUS TOSCANA LOW VOL FIM</v>
          </cell>
          <cell r="E13917" t="str">
            <v>TAGUS INVESTIMENTOS LTDA</v>
          </cell>
        </row>
        <row r="13918">
          <cell r="B13918">
            <v>124532</v>
          </cell>
          <cell r="C13918" t="str">
            <v>JPA FUNDO DE INVESTIMENTO MULTIMERCADO</v>
          </cell>
          <cell r="D13918" t="str">
            <v>JPA FUNDO DE INVESTIMENTO MULTIMERCADO</v>
          </cell>
          <cell r="E13918" t="str">
            <v>TAGUS INVESTIMENTOS LTDA</v>
          </cell>
        </row>
        <row r="13919">
          <cell r="B13919">
            <v>124534</v>
          </cell>
          <cell r="C13919" t="str">
            <v>TAGUS RF FI</v>
          </cell>
          <cell r="D13919" t="str">
            <v>TAGUS RF FI</v>
          </cell>
          <cell r="E13919" t="str">
            <v>TAGUS INVESTIMENTOS LTDA</v>
          </cell>
        </row>
        <row r="13920">
          <cell r="B13920">
            <v>124535</v>
          </cell>
          <cell r="C13920" t="str">
            <v>TAGUS INSTITUCIONAL FIM CP</v>
          </cell>
          <cell r="D13920" t="str">
            <v>TAGUS INSTITUCIONAL FIM CP</v>
          </cell>
          <cell r="E13920" t="str">
            <v>JGP GESTAO DE CREDITO LTDA</v>
          </cell>
        </row>
        <row r="13921">
          <cell r="B13921">
            <v>124537</v>
          </cell>
          <cell r="C13921" t="str">
            <v>TAGUS TOP FI RF CP</v>
          </cell>
          <cell r="D13921" t="str">
            <v>TAGUS TOP FI RF CP</v>
          </cell>
          <cell r="E13921" t="str">
            <v>TAGUS INVESTIMENTOS LTDA</v>
          </cell>
        </row>
        <row r="13922">
          <cell r="B13922">
            <v>124538</v>
          </cell>
          <cell r="C13922" t="str">
            <v>VENTOR AÃ‡Ã•ES FIF EM AÃ‡Ã•ES RL</v>
          </cell>
          <cell r="D13922" t="str">
            <v>VENTOR AÃ‡Ã•ES FIF EM AÃ‡Ã•ES RL</v>
          </cell>
          <cell r="E13922" t="str">
            <v>VENTOR INVESTIMENTOS LTDA</v>
          </cell>
        </row>
        <row r="13923">
          <cell r="B13923">
            <v>124539</v>
          </cell>
          <cell r="C13923" t="str">
            <v>FACT TOTAL RETURN MASTER FIM</v>
          </cell>
          <cell r="D13923" t="str">
            <v>FACT TOTAL RETURN MASTER FIM</v>
          </cell>
          <cell r="E13923" t="str">
            <v>FACT INVESTMENTS GESTAO DE RECURSOS LTDA</v>
          </cell>
        </row>
        <row r="13924">
          <cell r="B13924">
            <v>124540</v>
          </cell>
          <cell r="C13924" t="str">
            <v>FACT ACTIVE FIA</v>
          </cell>
          <cell r="D13924" t="str">
            <v>FACT ACTIVE FIA</v>
          </cell>
          <cell r="E13924" t="str">
            <v>FACT INVESTMENTS GESTAO DE RECURSOS LTDA</v>
          </cell>
        </row>
        <row r="13925">
          <cell r="B13925">
            <v>124541</v>
          </cell>
          <cell r="C13925" t="str">
            <v>TMJ FIA</v>
          </cell>
          <cell r="D13925" t="str">
            <v>TMJ FIA</v>
          </cell>
          <cell r="E13925" t="str">
            <v>ELLEVEN GESTORA DE RECURSOS LTDA</v>
          </cell>
        </row>
        <row r="13926">
          <cell r="B13926">
            <v>124542</v>
          </cell>
          <cell r="C13926" t="str">
            <v>SAFIRA FIM</v>
          </cell>
          <cell r="D13926" t="str">
            <v>SAFIRA FIM</v>
          </cell>
          <cell r="E13926" t="str">
            <v>SAFIRA FIM</v>
          </cell>
        </row>
        <row r="13927">
          <cell r="B13927">
            <v>124543</v>
          </cell>
          <cell r="C13927" t="str">
            <v>TMJ HEDGE FIM</v>
          </cell>
          <cell r="D13927" t="str">
            <v>TMJ HEDGE FIM</v>
          </cell>
          <cell r="E13927" t="str">
            <v>TMJ HEDGE FIM</v>
          </cell>
        </row>
        <row r="13928">
          <cell r="B13928">
            <v>124544</v>
          </cell>
          <cell r="C13928" t="str">
            <v>HIX CAPITAL MASTER FIA</v>
          </cell>
          <cell r="D13928" t="str">
            <v>HIX CAPITAL MASTER FIA</v>
          </cell>
          <cell r="E13928" t="str">
            <v>HIX INVESTIMENTOS LTDA</v>
          </cell>
        </row>
        <row r="13929">
          <cell r="B13929">
            <v>124545</v>
          </cell>
          <cell r="C13929" t="str">
            <v>SANTANDER CACEIS BRASIL DTVM S.A.</v>
          </cell>
          <cell r="D13929" t="str">
            <v>SANTANDER CACEIS BRASIL DTVM S.A.</v>
          </cell>
          <cell r="E13929" t="str">
            <v>SANTANDER CACEIS BRASIL DTVM S.A.</v>
          </cell>
        </row>
        <row r="13930">
          <cell r="B13930">
            <v>124546</v>
          </cell>
          <cell r="C13930" t="str">
            <v>SANTANDER CACEIS BRASIL DTVM S.A.</v>
          </cell>
          <cell r="D13930" t="str">
            <v>SANTANDER CACEIS BRASIL DTVM S.A.</v>
          </cell>
          <cell r="E13930" t="str">
            <v>SANTANDER CACEIS BRASIL DTVM S.A.</v>
          </cell>
        </row>
        <row r="13931">
          <cell r="B13931">
            <v>124547</v>
          </cell>
          <cell r="C13931" t="str">
            <v>GAVEA MACRO PLUS MASTER FIM</v>
          </cell>
          <cell r="D13931" t="str">
            <v>GAVEA MACRO PLUS MASTER FIM</v>
          </cell>
          <cell r="E13931" t="str">
            <v>GAVEA MACRO PLUS MASTER FIM</v>
          </cell>
        </row>
        <row r="13932">
          <cell r="B13932">
            <v>124548</v>
          </cell>
          <cell r="C13932" t="str">
            <v>GAVEA CAPITAL HOLDINGS LLC</v>
          </cell>
          <cell r="D13932" t="str">
            <v>GAVEA CAPITAL HOLDINGS LLC</v>
          </cell>
          <cell r="E13932" t="str">
            <v>GAVEA CAPITAL HOLDINGS LLC</v>
          </cell>
        </row>
        <row r="13933">
          <cell r="B13933">
            <v>124549</v>
          </cell>
          <cell r="C13933" t="str">
            <v>GBW CAPITAL HOLDINGS LLC</v>
          </cell>
          <cell r="D13933" t="str">
            <v>GBW CAPITAL HOLDINGS LLC</v>
          </cell>
          <cell r="E13933" t="str">
            <v>GBW CAPITAL HOLDINGS LLC</v>
          </cell>
        </row>
        <row r="13934">
          <cell r="B13934">
            <v>124550</v>
          </cell>
          <cell r="C13934" t="str">
            <v>GF PLUS CAPITAL HOLDINGS LLC</v>
          </cell>
          <cell r="D13934" t="str">
            <v>GF PLUS CAPITAL HOLDINGS LLC</v>
          </cell>
          <cell r="E13934" t="str">
            <v>GF PLUS CAPITAL HOLDINGS LLC</v>
          </cell>
        </row>
        <row r="13935">
          <cell r="B13935">
            <v>124551</v>
          </cell>
          <cell r="C13935" t="str">
            <v>JGP SELECT PREMIUM FIM CP IE</v>
          </cell>
          <cell r="D13935" t="str">
            <v>JGP SELECT PREMIUM FIM CP IE</v>
          </cell>
          <cell r="E13935" t="str">
            <v>JGP SELECT PREMIUM FIM CP IE</v>
          </cell>
        </row>
        <row r="13936">
          <cell r="B13936">
            <v>124552</v>
          </cell>
          <cell r="C13936" t="str">
            <v>JGP SELECT MASTER FIM CP</v>
          </cell>
          <cell r="D13936" t="str">
            <v>JGP SELECT MASTER FIM CP</v>
          </cell>
          <cell r="E13936" t="str">
            <v>JGP SELECT MASTER FIM CP</v>
          </cell>
        </row>
        <row r="13937">
          <cell r="B13937">
            <v>124553</v>
          </cell>
          <cell r="C13937" t="str">
            <v>JGP CORPORATE PLUS MASTER FIM CP</v>
          </cell>
          <cell r="D13937" t="str">
            <v>JGP CORPORATE PLUS MASTER FIM CP</v>
          </cell>
          <cell r="E13937" t="str">
            <v>JGP CORPORATE PLUS MASTER FIM CP</v>
          </cell>
        </row>
        <row r="13938">
          <cell r="B13938">
            <v>124554</v>
          </cell>
          <cell r="C13938" t="str">
            <v>JGP CORPORATE MASTER FI RF CP LP</v>
          </cell>
          <cell r="D13938" t="str">
            <v>JGP CORPORATE MASTER FI RF CP LP</v>
          </cell>
          <cell r="E13938" t="str">
            <v>JGP CORPORATE MASTER FI RF CP LP</v>
          </cell>
        </row>
        <row r="13939">
          <cell r="B13939">
            <v>124555</v>
          </cell>
          <cell r="C13939" t="str">
            <v>GRUMARI FIA</v>
          </cell>
          <cell r="D13939" t="str">
            <v>GRUMARI FIA</v>
          </cell>
          <cell r="E13939" t="str">
            <v>GRUMARI FIA</v>
          </cell>
        </row>
        <row r="13940">
          <cell r="B13940">
            <v>124556</v>
          </cell>
          <cell r="C13940" t="str">
            <v>JGP LONG ONLY INSTITUCIONAL 60 FIA</v>
          </cell>
          <cell r="D13940" t="str">
            <v>JGP LONG ONLY INSTITUCIONAL 60 FIA</v>
          </cell>
          <cell r="E13940" t="str">
            <v>JGP LONG ONLY INSTITUCIONAL 60 FIA</v>
          </cell>
        </row>
        <row r="13941">
          <cell r="B13941">
            <v>124557</v>
          </cell>
          <cell r="C13941" t="str">
            <v>FCOPEL FIA I</v>
          </cell>
          <cell r="D13941" t="str">
            <v>FCOPEL FIA I</v>
          </cell>
          <cell r="E13941" t="str">
            <v>JGP GESTAO PATRIMONIAL LTDA</v>
          </cell>
        </row>
        <row r="13942">
          <cell r="B13942">
            <v>124558</v>
          </cell>
          <cell r="C13942" t="str">
            <v>FIM CP ALBATROZ</v>
          </cell>
          <cell r="D13942" t="str">
            <v>FIM CP ALBATROZ</v>
          </cell>
          <cell r="E13942" t="str">
            <v>FIM CP ALBATROZ</v>
          </cell>
        </row>
        <row r="13943">
          <cell r="B13943">
            <v>124559</v>
          </cell>
          <cell r="C13943" t="str">
            <v>JGP CREDITO XP FIM CP</v>
          </cell>
          <cell r="D13943" t="str">
            <v>JGP CREDITO XP FIM CP</v>
          </cell>
          <cell r="E13943" t="str">
            <v>JGP CREDITO XP FIM CP</v>
          </cell>
        </row>
        <row r="13944">
          <cell r="B13944">
            <v>124560</v>
          </cell>
          <cell r="C13944" t="str">
            <v>VINLAND MACRO PLUS MASTER FIM IE</v>
          </cell>
          <cell r="D13944" t="str">
            <v>VINLAND MACRO PLUS MASTER FIM IE</v>
          </cell>
          <cell r="E13944" t="str">
            <v>VINLAND CAPITAL MANAGEMENT GESTORA DE RECURSOS LTDA</v>
          </cell>
        </row>
        <row r="13945">
          <cell r="B13945">
            <v>124561</v>
          </cell>
          <cell r="C13945" t="str">
            <v>VINLAND LONG BIAS MASTER FIM</v>
          </cell>
          <cell r="D13945" t="str">
            <v>VINLAND LONG BIAS MASTER FIM</v>
          </cell>
          <cell r="E13945" t="str">
            <v>VINLAND CAPITAL MANAGEMENT GESTORA DE RECURSOS LTDA</v>
          </cell>
        </row>
        <row r="13946">
          <cell r="B13946">
            <v>124563</v>
          </cell>
          <cell r="C13946" t="str">
            <v>JGP STRATEGY MASTER FIM</v>
          </cell>
          <cell r="D13946" t="str">
            <v>JGP STRATEGY MASTER FIM</v>
          </cell>
          <cell r="E13946" t="str">
            <v>JGP GESTAO PATRIMONIAL LTDA</v>
          </cell>
        </row>
        <row r="13947">
          <cell r="B13947">
            <v>124564</v>
          </cell>
          <cell r="C13947" t="str">
            <v>JGP MAX MASTER FIM</v>
          </cell>
          <cell r="D13947" t="str">
            <v>JGP MAX MASTER FIM</v>
          </cell>
          <cell r="E13947" t="str">
            <v>JGP GESTAO PATRIMONIAL LTDA</v>
          </cell>
        </row>
        <row r="13948">
          <cell r="B13948">
            <v>124565</v>
          </cell>
          <cell r="C13948" t="str">
            <v>JGP HEDGE MASTER FIM</v>
          </cell>
          <cell r="D13948" t="str">
            <v>JGP HEDGE MASTER FIM</v>
          </cell>
          <cell r="E13948" t="str">
            <v>JGP GESTAO PATRIMONIAL LTDA</v>
          </cell>
        </row>
        <row r="13949">
          <cell r="B13949">
            <v>124566</v>
          </cell>
          <cell r="C13949" t="str">
            <v>NORTHERN GATE LLC</v>
          </cell>
          <cell r="D13949" t="str">
            <v>NORTHERN GATE LLC</v>
          </cell>
          <cell r="E13949" t="str">
            <v>JGP GESTAO PATRIMONIAL LTDA</v>
          </cell>
        </row>
        <row r="13950">
          <cell r="B13950">
            <v>124567</v>
          </cell>
          <cell r="C13950" t="str">
            <v>SOLOIST CAPITAL , LLC</v>
          </cell>
          <cell r="D13950" t="str">
            <v>SOLOIST CAPITAL , LLC</v>
          </cell>
          <cell r="E13950" t="str">
            <v>JGP GESTAO PATRIMONIAL LTDA</v>
          </cell>
        </row>
        <row r="13951">
          <cell r="B13951">
            <v>124568</v>
          </cell>
          <cell r="C13951" t="str">
            <v>MODAL XP ICATU PREVIDENCIA FIM</v>
          </cell>
          <cell r="D13951" t="str">
            <v>MODAL XP ICATU PREVIDENCIA FIM</v>
          </cell>
          <cell r="E13951" t="str">
            <v>MODAL XP ICATU PREVIDENCIA FIM</v>
          </cell>
        </row>
        <row r="13952">
          <cell r="B13952">
            <v>124569</v>
          </cell>
          <cell r="C13952" t="str">
            <v>NOVUS INSTITUCIONAL MASTER FIM</v>
          </cell>
          <cell r="D13952" t="str">
            <v>NOVUS INSTITUCIONAL MASTER FIM</v>
          </cell>
          <cell r="E13952" t="str">
            <v>NOVUS CAPITAL GESTORA DE RECURSOS LTDA</v>
          </cell>
        </row>
        <row r="13953">
          <cell r="B13953">
            <v>122303</v>
          </cell>
          <cell r="C13953" t="str">
            <v>CLARITAS INSTITUCIONAL FIM</v>
          </cell>
          <cell r="D13953" t="str">
            <v>CLARITAS INSTITUCIONAL FIM</v>
          </cell>
          <cell r="E13953" t="str">
            <v>CLARITAS ADMINISTRAÇÃO DE RECURSOS LTDA</v>
          </cell>
        </row>
        <row r="13954">
          <cell r="B13954">
            <v>124571</v>
          </cell>
          <cell r="C13954" t="str">
            <v>BRADESCO FIM CP IE LD</v>
          </cell>
          <cell r="D13954" t="str">
            <v>BRADESCO FIM CP IE LD</v>
          </cell>
          <cell r="E13954" t="str">
            <v>BRAM - BRADESCO ASSET MANAGEMENT S/A DTVM</v>
          </cell>
        </row>
        <row r="13955">
          <cell r="B13955">
            <v>124572</v>
          </cell>
          <cell r="C13955" t="str">
            <v>BRAM MACRO MULTIESTRATEGIA FIM</v>
          </cell>
          <cell r="D13955" t="str">
            <v>BRAM MACRO MULTIESTRATEGIA FIM</v>
          </cell>
          <cell r="E13955" t="str">
            <v>BRAM - BRADESCO ASSET MANAGEMENT S/A DTVM</v>
          </cell>
        </row>
        <row r="13956">
          <cell r="B13956">
            <v>124573</v>
          </cell>
          <cell r="C13956" t="str">
            <v>BRADESCO FIM LONG SHORT</v>
          </cell>
          <cell r="D13956" t="str">
            <v>BRADESCO FIM LONG SHORT</v>
          </cell>
          <cell r="E13956" t="str">
            <v>BRAM - BRADESCO ASSET MANAGEMENT S/A DTVM</v>
          </cell>
        </row>
        <row r="13957">
          <cell r="B13957">
            <v>124574</v>
          </cell>
          <cell r="C13957" t="str">
            <v>KAPITALO TARKUS MASTER FIA</v>
          </cell>
          <cell r="D13957" t="str">
            <v>KAPITALO TARKUS MASTER FIA</v>
          </cell>
          <cell r="E13957" t="str">
            <v>KAPITALO INVESTIMENTOS LTDA</v>
          </cell>
        </row>
        <row r="13958">
          <cell r="B13958">
            <v>124575</v>
          </cell>
          <cell r="C13958" t="str">
            <v>FUNDACAO PETROBRAS DE SEGURIDADE SOCIAL PETROS</v>
          </cell>
          <cell r="D13958" t="str">
            <v>FUNDACAO PETROBRAS DE SEGURIDADE SOCIAL PETROS</v>
          </cell>
          <cell r="E13958" t="str">
            <v>FUNDACAO PETROBRAS DE SEGURIDADE SOCIAL PETROS</v>
          </cell>
        </row>
        <row r="13959">
          <cell r="B13959">
            <v>124576</v>
          </cell>
          <cell r="C13959" t="str">
            <v>FUNDACAO PETROBRAS DE SEGURIDADE SOCIAL PETROS</v>
          </cell>
          <cell r="D13959" t="str">
            <v>FUNDACAO PETROBRAS DE SEGURIDADE SOCIAL PETROS</v>
          </cell>
          <cell r="E13959" t="str">
            <v>FUNDACAO PETROBRAS DE SEGURIDADE SOCIAL PETROS</v>
          </cell>
        </row>
        <row r="13960">
          <cell r="B13960">
            <v>124577</v>
          </cell>
          <cell r="C13960" t="str">
            <v>ESH THETA 18 FIC DE FIM</v>
          </cell>
          <cell r="D13960" t="str">
            <v>ESH THETA 18 FIC DE FIM</v>
          </cell>
          <cell r="E13960" t="str">
            <v>ESH CAPITAL INVESTIMENTOS LTDA.</v>
          </cell>
        </row>
        <row r="13961">
          <cell r="B13961">
            <v>124578</v>
          </cell>
          <cell r="C13961" t="str">
            <v>BB GESTAO DE RECURSOS DTVM LTDA</v>
          </cell>
          <cell r="D13961" t="str">
            <v>BB GESTAO DE RECURSOS DTVM LTDA</v>
          </cell>
          <cell r="E13961" t="str">
            <v>BB GESTAO DE RECURSOS DTVM LTDA</v>
          </cell>
        </row>
        <row r="13962">
          <cell r="B13962">
            <v>124579</v>
          </cell>
          <cell r="C13962" t="str">
            <v>GROUPER EQUITY LLC</v>
          </cell>
          <cell r="D13962" t="str">
            <v>GROUPER EQUITY LLC</v>
          </cell>
          <cell r="E13962" t="str">
            <v>SQUADRA INVESTIMENTOS GESTÃƒO DE RECURSOS LTDA</v>
          </cell>
        </row>
        <row r="13963">
          <cell r="B13963">
            <v>124580</v>
          </cell>
          <cell r="C13963" t="str">
            <v>SNAPPER EQUITY LLC</v>
          </cell>
          <cell r="D13963" t="str">
            <v>SNAPPER EQUITY LLC</v>
          </cell>
          <cell r="E13963" t="str">
            <v>SQUADRA INVESTIMENTOS GESTÃƒO DE RECURSOS LTDA</v>
          </cell>
        </row>
        <row r="13964">
          <cell r="B13964">
            <v>124581</v>
          </cell>
          <cell r="C13964" t="str">
            <v>SQUADRA VE I FIA</v>
          </cell>
          <cell r="D13964" t="str">
            <v>SQUADRA VE I FIA</v>
          </cell>
          <cell r="E13964" t="str">
            <v>SQUADRA VE I FIA</v>
          </cell>
        </row>
        <row r="13965">
          <cell r="B13965">
            <v>124582</v>
          </cell>
          <cell r="C13965" t="str">
            <v>TUNA EQUITY LLC</v>
          </cell>
          <cell r="D13965" t="str">
            <v>TUNA EQUITY LLC</v>
          </cell>
          <cell r="E13965" t="str">
            <v>TUNA EQUITY LLC</v>
          </cell>
        </row>
        <row r="13966">
          <cell r="B13966">
            <v>124583</v>
          </cell>
          <cell r="C13966" t="str">
            <v>SQUADRA MASTER LONG-BIASED FIA</v>
          </cell>
          <cell r="D13966" t="str">
            <v>SQUADRA MASTER LONG-BIASED FIA</v>
          </cell>
          <cell r="E13966" t="str">
            <v>SQUADRA INVESTIMENTOS GESTÃƒO DE RECURSOS LTDA</v>
          </cell>
        </row>
        <row r="13967">
          <cell r="B13967">
            <v>124584</v>
          </cell>
          <cell r="C13967" t="str">
            <v>SQUADRA MASTER LONG-ONLY FIA</v>
          </cell>
          <cell r="D13967" t="str">
            <v>SQUADRA MASTER LONG-ONLY FIA</v>
          </cell>
          <cell r="E13967" t="str">
            <v>SQUADRA INVESTIMENTOS GESTÃƒO DE RECURSOS LTDA</v>
          </cell>
        </row>
        <row r="13968">
          <cell r="B13968">
            <v>124585</v>
          </cell>
          <cell r="C13968" t="str">
            <v>MANDATTO CONSOLIDADOR RENDA VARIAVEL FIA</v>
          </cell>
          <cell r="D13968" t="str">
            <v>MANDATTO CONSOLIDADOR RENDA VARIAVEL FIA</v>
          </cell>
          <cell r="E13968" t="str">
            <v>MANDATTO GESTAO DE INVESTIMENTOS LTDA</v>
          </cell>
        </row>
        <row r="13969">
          <cell r="B13969">
            <v>124587</v>
          </cell>
          <cell r="C13969" t="str">
            <v>SANTANDER CACEIS BRASIL DTVM S.A.</v>
          </cell>
          <cell r="D13969" t="str">
            <v>SANTANDER CACEIS BRASIL DTVM S.A.</v>
          </cell>
          <cell r="E13969" t="str">
            <v>SANTANDER CACEIS BRASIL DTVM S.A.</v>
          </cell>
        </row>
        <row r="13970">
          <cell r="B13970">
            <v>124588</v>
          </cell>
          <cell r="C13970" t="str">
            <v>SANTANDER CACEIS BRASIL DTVM S.A.</v>
          </cell>
          <cell r="D13970" t="str">
            <v>SANTANDER CACEIS BRASIL DTVM S.A.</v>
          </cell>
          <cell r="E13970" t="str">
            <v>SANTANDER CACEIS BRASIL DTVM S.A.</v>
          </cell>
        </row>
        <row r="13971">
          <cell r="B13971">
            <v>124589</v>
          </cell>
          <cell r="C13971" t="str">
            <v>KONDOR ANDES MASTER FIM</v>
          </cell>
          <cell r="D13971" t="str">
            <v>KONDOR ANDES MASTER FIM</v>
          </cell>
          <cell r="E13971" t="str">
            <v>KONDOR ANDES MASTER FIM</v>
          </cell>
        </row>
        <row r="13972">
          <cell r="B13972">
            <v>124590</v>
          </cell>
          <cell r="C13972" t="str">
            <v>ITAU MASTER GLOBAL DINAMICO MULTIMERCADO FI</v>
          </cell>
          <cell r="D13972" t="str">
            <v>ITAU MASTER GLOBAL DINAMICO MULTIMERCADO FI</v>
          </cell>
          <cell r="E13972" t="str">
            <v>ITAU UNIBANCO ASSET - TACO</v>
          </cell>
        </row>
        <row r="13973">
          <cell r="B13973">
            <v>124591</v>
          </cell>
          <cell r="C13973" t="str">
            <v>ITAU FLEXPREV MACRO MULTIMERCADO FI</v>
          </cell>
          <cell r="D13973" t="str">
            <v>ITAU FLEXPREV MACRO MULTIMERCADO FI</v>
          </cell>
          <cell r="E13973" t="str">
            <v>ITAU UNIBANCO S/A</v>
          </cell>
        </row>
        <row r="13974">
          <cell r="B13974">
            <v>124592</v>
          </cell>
          <cell r="C13974" t="str">
            <v>VENEZA INSTITUCIONAL FIA</v>
          </cell>
          <cell r="D13974" t="str">
            <v>VENEZA INSTITUCIONAL FIA</v>
          </cell>
          <cell r="E13974" t="str">
            <v>VENEZA INSTITUCIONAL FIA</v>
          </cell>
        </row>
        <row r="13975">
          <cell r="B13975">
            <v>124593</v>
          </cell>
          <cell r="C13975" t="str">
            <v>WM MACRO ALLOCATION FIM</v>
          </cell>
          <cell r="D13975" t="str">
            <v>WM MACRO ALLOCATION FIM</v>
          </cell>
          <cell r="E13975" t="str">
            <v>ITAU UNIBANCO S/A</v>
          </cell>
        </row>
        <row r="13976">
          <cell r="B13976">
            <v>124594</v>
          </cell>
          <cell r="C13976" t="str">
            <v>WM IBOVESPA PLUS FIA</v>
          </cell>
          <cell r="D13976" t="str">
            <v>WM IBOVESPA PLUS FIA</v>
          </cell>
          <cell r="E13976" t="str">
            <v>ITAU UNIBANCO S/A</v>
          </cell>
        </row>
        <row r="13977">
          <cell r="B13977">
            <v>124595</v>
          </cell>
          <cell r="C13977" t="str">
            <v>WM RF IMA GERAL FI</v>
          </cell>
          <cell r="D13977" t="str">
            <v>WM RF IMA GERAL FI</v>
          </cell>
          <cell r="E13977" t="str">
            <v>ITAU UNIBANCO ASSET - TACO</v>
          </cell>
        </row>
        <row r="13978">
          <cell r="B13978">
            <v>124596</v>
          </cell>
          <cell r="C13978" t="str">
            <v>REISC FI PREVIDENCIARIO MULTIMERCADO II</v>
          </cell>
          <cell r="D13978" t="str">
            <v>REISC FI PREVIDENCIARIO MULTIMERCADO II</v>
          </cell>
          <cell r="E13978" t="str">
            <v>REISC FI PREVIDENCIARIO MULTIMERCADO II</v>
          </cell>
        </row>
        <row r="13979">
          <cell r="B13979">
            <v>124597</v>
          </cell>
          <cell r="C13979" t="str">
            <v>WM SMALL CAP FIA</v>
          </cell>
          <cell r="D13979" t="str">
            <v>WM SMALL CAP FIA</v>
          </cell>
          <cell r="E13979" t="str">
            <v>ITAU UNIBANCO ASSET - TACO</v>
          </cell>
        </row>
        <row r="13980">
          <cell r="B13980">
            <v>124598</v>
          </cell>
          <cell r="C13980" t="str">
            <v>ITAU AÃ‡Ã•ES PETROBRAS I FI</v>
          </cell>
          <cell r="D13980" t="str">
            <v>ITAU AÃ‡Ã•ES PETROBRAS I FI</v>
          </cell>
          <cell r="E13980" t="str">
            <v>ITAU UNIBANCO ASSET - TACO</v>
          </cell>
        </row>
        <row r="13981">
          <cell r="B13981">
            <v>124599</v>
          </cell>
          <cell r="C13981" t="str">
            <v>LUMA FIM IE</v>
          </cell>
          <cell r="D13981" t="str">
            <v>LUMA FIM IE</v>
          </cell>
          <cell r="E13981" t="str">
            <v>LUMA FIM IE</v>
          </cell>
        </row>
        <row r="13982">
          <cell r="B13982">
            <v>124600</v>
          </cell>
          <cell r="C13982" t="str">
            <v>BB GESTAO DE RECURSOS DTVM LTDA</v>
          </cell>
          <cell r="D13982" t="str">
            <v>BB GESTAO DE RECURSOS DTVM LTDA</v>
          </cell>
          <cell r="E13982" t="str">
            <v>BB GESTAO DE RECURSOS DTVM LTDA</v>
          </cell>
        </row>
        <row r="13983">
          <cell r="B13983">
            <v>124601</v>
          </cell>
          <cell r="C13983" t="str">
            <v>CENTAURO I FIF CIA RL</v>
          </cell>
          <cell r="D13983" t="str">
            <v>CENTAURO I FIF CIA RL</v>
          </cell>
          <cell r="E13983" t="str">
            <v>STONEX INVESTIMENTOS LTDA</v>
          </cell>
        </row>
        <row r="13984">
          <cell r="B13984">
            <v>124602</v>
          </cell>
          <cell r="C13984" t="str">
            <v>ABSOLUTE ICATU PREV MASTER FIM</v>
          </cell>
          <cell r="D13984" t="str">
            <v>ABSOLUTE ICATU PREV MASTER FIM</v>
          </cell>
          <cell r="E13984" t="str">
            <v>ABSOLUTE GESTAO DE INVESTIMENTOS LTDA</v>
          </cell>
        </row>
        <row r="13985">
          <cell r="B13985">
            <v>124603</v>
          </cell>
          <cell r="C13985" t="str">
            <v>WRIGHT GLOBAL ALLOCATION FIM CRED PRIV IE</v>
          </cell>
          <cell r="D13985" t="str">
            <v>WRIGHT GLOBAL ALLOCATION FIM CRED PRIV IE</v>
          </cell>
          <cell r="E13985" t="str">
            <v>WRIGHT GLOBAL ALLOCATION FIM CRED PRIV IE</v>
          </cell>
        </row>
        <row r="13986">
          <cell r="B13986">
            <v>124604</v>
          </cell>
          <cell r="C13986" t="str">
            <v>KUWAIT INVESTMENT AUTHORITY - CITIBANK DTVM S.A</v>
          </cell>
          <cell r="D13986" t="str">
            <v>KUWAIT INVESTMENT AUTHORITY - CITIBANK DTVM S.A</v>
          </cell>
          <cell r="E13986" t="str">
            <v>FRANKLIN TEMPLETON INVESTIMENTOS (BRASIL) LTDA</v>
          </cell>
        </row>
        <row r="13987">
          <cell r="B13987">
            <v>124605</v>
          </cell>
          <cell r="C13987" t="str">
            <v>BB GESTAO DE RECURSOS DTVM LTDA</v>
          </cell>
          <cell r="D13987" t="str">
            <v>BB GESTAO DE RECURSOS DTVM LTDA</v>
          </cell>
          <cell r="E13987" t="str">
            <v>BB GESTAO DE RECURSOS DTVM LTDA</v>
          </cell>
        </row>
        <row r="13988">
          <cell r="B13988">
            <v>124606</v>
          </cell>
          <cell r="C13988" t="str">
            <v>FORPUS KOI FIA</v>
          </cell>
          <cell r="D13988" t="str">
            <v>FORPUS KOI FIA</v>
          </cell>
          <cell r="E13988" t="str">
            <v>FORPUS CAPITAL GESTÃƒO DE RECURSOS LTDA</v>
          </cell>
        </row>
        <row r="13989">
          <cell r="B13989">
            <v>124608</v>
          </cell>
          <cell r="C13989" t="str">
            <v>BB GESTAO DE RECURSOS DTVM LTDA</v>
          </cell>
          <cell r="D13989" t="str">
            <v>BB GESTAO DE RECURSOS DTVM LTDA</v>
          </cell>
          <cell r="E13989" t="str">
            <v>BB GESTAO DE RECURSOS DTVM LTDA</v>
          </cell>
        </row>
        <row r="13990">
          <cell r="B13990">
            <v>124609</v>
          </cell>
          <cell r="C13990" t="str">
            <v>BB GESTAO DE RECURSOS DTVM LTDA</v>
          </cell>
          <cell r="D13990" t="str">
            <v>BB GESTAO DE RECURSOS DTVM LTDA</v>
          </cell>
          <cell r="E13990" t="str">
            <v>BB GESTAO DE RECURSOS DTVM LTDA</v>
          </cell>
        </row>
        <row r="13991">
          <cell r="B13991">
            <v>124610</v>
          </cell>
          <cell r="C13991" t="str">
            <v>BB GESTAO DE RECURSOS DTVM LTDA</v>
          </cell>
          <cell r="D13991" t="str">
            <v>BB GESTAO DE RECURSOS DTVM LTDA</v>
          </cell>
          <cell r="E13991" t="str">
            <v>BB GESTAO DE RECURSOS DTVM LTDA</v>
          </cell>
        </row>
        <row r="13992">
          <cell r="B13992">
            <v>124611</v>
          </cell>
          <cell r="C13992" t="str">
            <v>GUSTAVO DE CASTRO SHORT</v>
          </cell>
          <cell r="D13992" t="str">
            <v>GUSTAVO DE CASTRO SHORT</v>
          </cell>
          <cell r="E13992" t="str">
            <v>GUSTAVO DE CASTRO SHORT</v>
          </cell>
        </row>
        <row r="13993">
          <cell r="B13993">
            <v>124612</v>
          </cell>
          <cell r="C13993" t="str">
            <v>QUANTITAS FIA MONTECRISTO</v>
          </cell>
          <cell r="D13993" t="str">
            <v>QUANTITAS FIA MONTECRISTO</v>
          </cell>
          <cell r="E13993" t="str">
            <v>QUANTITAS FIA MONTECRISTO</v>
          </cell>
        </row>
        <row r="13994">
          <cell r="B13994">
            <v>124613</v>
          </cell>
          <cell r="C13994" t="str">
            <v>ANTHURIUM FIM CP IE</v>
          </cell>
          <cell r="D13994" t="str">
            <v>ANTHURIUM FIM CP IE</v>
          </cell>
          <cell r="E13994" t="str">
            <v>BANCO SAFRA S/A</v>
          </cell>
        </row>
        <row r="13995">
          <cell r="B13995">
            <v>124614</v>
          </cell>
          <cell r="C13995" t="str">
            <v>EARTH FIM CP</v>
          </cell>
          <cell r="D13995" t="str">
            <v>EARTH FIM CP</v>
          </cell>
          <cell r="E13995" t="str">
            <v>EARTH FIM CP</v>
          </cell>
        </row>
        <row r="13996">
          <cell r="B13996">
            <v>124615</v>
          </cell>
          <cell r="C13996" t="str">
            <v>LIBRA FIM CP IE</v>
          </cell>
          <cell r="D13996" t="str">
            <v>LIBRA FIM CP IE</v>
          </cell>
          <cell r="E13996" t="str">
            <v>EMERALD GESTAO DE INVESTIMENTOS LTDA</v>
          </cell>
        </row>
        <row r="13997">
          <cell r="B13997">
            <v>124616</v>
          </cell>
          <cell r="C13997" t="str">
            <v>CIRCINUS FIM CP IE</v>
          </cell>
          <cell r="D13997" t="str">
            <v>CIRCINUS FIM CP IE</v>
          </cell>
          <cell r="E13997" t="str">
            <v>EMERALD GESTAO DE INVESTIMENTOS LTDA</v>
          </cell>
        </row>
        <row r="13998">
          <cell r="B13998">
            <v>124617</v>
          </cell>
          <cell r="C13998" t="str">
            <v>VIRGO FIM CP IE</v>
          </cell>
          <cell r="D13998" t="str">
            <v>VIRGO FIM CP IE</v>
          </cell>
          <cell r="E13998" t="str">
            <v>BANCO SAFRA S/A</v>
          </cell>
        </row>
        <row r="13999">
          <cell r="B13999">
            <v>124618</v>
          </cell>
          <cell r="C13999" t="str">
            <v>AUSTRALE FIM</v>
          </cell>
          <cell r="D13999" t="str">
            <v>AUSTRALE FIM</v>
          </cell>
          <cell r="E13999" t="str">
            <v>BANCO SAFRA S/A</v>
          </cell>
        </row>
        <row r="14000">
          <cell r="B14000">
            <v>124620</v>
          </cell>
          <cell r="C14000" t="str">
            <v>EARTH FIM CP</v>
          </cell>
          <cell r="D14000" t="str">
            <v>EARTH FIM CP</v>
          </cell>
          <cell r="E14000" t="str">
            <v>EARTH FIM CP</v>
          </cell>
        </row>
        <row r="14001">
          <cell r="B14001">
            <v>124621</v>
          </cell>
          <cell r="C14001" t="str">
            <v>BB GESTAO DE RECURSOS DTVM LTDA</v>
          </cell>
          <cell r="D14001" t="str">
            <v>BB GESTAO DE RECURSOS DTVM LTDA</v>
          </cell>
          <cell r="E14001" t="str">
            <v>BB GESTAO DE RECURSOS DTVM LTDA</v>
          </cell>
        </row>
        <row r="14002">
          <cell r="B14002">
            <v>124622</v>
          </cell>
          <cell r="C14002" t="str">
            <v>FP NEO TOTAL RETURN FIA</v>
          </cell>
          <cell r="D14002" t="str">
            <v>FP NEO TOTAL RETURN FIA</v>
          </cell>
          <cell r="E14002" t="str">
            <v>NEO GESTÃO DE RECURSOS LTDA</v>
          </cell>
        </row>
        <row r="14003">
          <cell r="B14003">
            <v>12568</v>
          </cell>
          <cell r="C14003" t="str">
            <v>BB BANCO DE INVESTIMENTO S/A</v>
          </cell>
          <cell r="D14003" t="str">
            <v>BB BANCO DE INVESTIMENTO S/A</v>
          </cell>
          <cell r="E14003" t="str">
            <v>BB BANCO DE INVESTIMENTO S/A</v>
          </cell>
        </row>
        <row r="14004">
          <cell r="B14004">
            <v>12578</v>
          </cell>
          <cell r="C14004" t="str">
            <v>LACAN PARTICIPACOES LTDA</v>
          </cell>
          <cell r="D14004" t="str">
            <v>LACAN PARTICIPACOES LTDA</v>
          </cell>
          <cell r="E14004" t="str">
            <v>LACAN PARTICIPACOES LTDA</v>
          </cell>
        </row>
        <row r="14005">
          <cell r="B14005">
            <v>12587</v>
          </cell>
          <cell r="C14005" t="str">
            <v>ABB LTDA</v>
          </cell>
          <cell r="D14005">
            <v>53</v>
          </cell>
          <cell r="E14005" t="str">
            <v>ABB LTDA</v>
          </cell>
        </row>
        <row r="14006">
          <cell r="B14006">
            <v>12622</v>
          </cell>
          <cell r="C14006" t="str">
            <v>MARIO SERGIO GONCALVES LEITE</v>
          </cell>
          <cell r="D14006" t="str">
            <v>MARIO SERGIO GONCALVES LEITE</v>
          </cell>
          <cell r="E14006" t="str">
            <v>MARIO SERGIO GONCALVES LEITE</v>
          </cell>
        </row>
        <row r="14007">
          <cell r="B14007">
            <v>12644</v>
          </cell>
          <cell r="C14007" t="str">
            <v>PAULO VICENTE VIANNA DA SILVA JUNIOR</v>
          </cell>
          <cell r="D14007" t="str">
            <v>PAULO VICENTE VIANNA DA SILVA JUNIOR</v>
          </cell>
          <cell r="E14007" t="str">
            <v>PAULO VICENTE VIANNA DA SILVA JUNIOR</v>
          </cell>
        </row>
        <row r="14008">
          <cell r="B14008">
            <v>12680</v>
          </cell>
          <cell r="C14008" t="str">
            <v>LEOPOLDO PIMENTEL B. VIEIRA CAETANO</v>
          </cell>
          <cell r="D14008" t="str">
            <v>LEOPOLDO PIMENTEL B. VIEIRA CAETANO</v>
          </cell>
          <cell r="E14008" t="str">
            <v>LEOPOLDO PIMENTEL B. VIEIRA CAETANO</v>
          </cell>
        </row>
        <row r="14009">
          <cell r="B14009">
            <v>127</v>
          </cell>
          <cell r="C14009" t="str">
            <v>TULLETT PREBON BRASIL CVC (ANTIGA CONVENÃ‡AO)</v>
          </cell>
          <cell r="D14009" t="str">
            <v>TULLETT PREBON BRASIL CVC (ANTIGA CONVENÃ‡AO)</v>
          </cell>
          <cell r="E14009" t="str">
            <v>TULLETT PREBON BRASIL CVC LTDA</v>
          </cell>
        </row>
        <row r="14010">
          <cell r="B14010">
            <v>12730</v>
          </cell>
          <cell r="C14010" t="str">
            <v>CLAUDIO ADOLFO VEGA RIVEROS</v>
          </cell>
          <cell r="D14010" t="str">
            <v>CLAUDIO ADOLFO VEGA RIVEROS</v>
          </cell>
          <cell r="E14010" t="str">
            <v>CLAUDIO ADOLFO VEGA RIVEROS</v>
          </cell>
        </row>
        <row r="14011">
          <cell r="B14011">
            <v>13</v>
          </cell>
          <cell r="C14011" t="str">
            <v>MERRILL LYNCH S/A CTVM</v>
          </cell>
          <cell r="D14011" t="str">
            <v>MERRILL LYNCH S/A CTVM</v>
          </cell>
          <cell r="E14011" t="str">
            <v>MERRILL LYNCH S/A CTVM</v>
          </cell>
        </row>
        <row r="14012">
          <cell r="B14012">
            <v>131</v>
          </cell>
          <cell r="C14012" t="str">
            <v>FATOR S/A CV</v>
          </cell>
          <cell r="D14012" t="str">
            <v>131*</v>
          </cell>
          <cell r="E14012" t="str">
            <v>FATOR S/A CV</v>
          </cell>
        </row>
        <row r="14013">
          <cell r="B14013">
            <v>13111</v>
          </cell>
          <cell r="C14013" t="str">
            <v>BB GESTAO DE RECURSOS DTVM LTDA</v>
          </cell>
          <cell r="D14013" t="str">
            <v>BB GESTAO DE RECURSOS DTVM LTDA</v>
          </cell>
          <cell r="E14013" t="str">
            <v>BB BANCO DE INVESTIMENTO S/A</v>
          </cell>
        </row>
        <row r="14014">
          <cell r="B14014">
            <v>13194</v>
          </cell>
          <cell r="C14014" t="str">
            <v>BB GESTAO DE RECURSOS DTVM LTDA</v>
          </cell>
          <cell r="D14014" t="str">
            <v>BB GESTAO DE RECURSOS DTVM LTDA</v>
          </cell>
          <cell r="E14014" t="str">
            <v>BB BANCO DE INVESTIMENTO S/A</v>
          </cell>
        </row>
        <row r="14015">
          <cell r="B14015">
            <v>13258</v>
          </cell>
          <cell r="C14015" t="str">
            <v>VIVIANNE MENDONÃ‡A BATISTA</v>
          </cell>
          <cell r="D14015" t="str">
            <v>VIVIANNE MENDONÃ‡A BATISTA</v>
          </cell>
          <cell r="E14015" t="str">
            <v>VIVIANNE MENDONÃ‡A BATISTA</v>
          </cell>
        </row>
        <row r="14016">
          <cell r="B14016">
            <v>13259</v>
          </cell>
          <cell r="C14016" t="str">
            <v>BANCO VOITER S/A</v>
          </cell>
          <cell r="D14016" t="str">
            <v>BANCO VOITER S/A</v>
          </cell>
          <cell r="E14016" t="str">
            <v>BANCO VOITER S/A</v>
          </cell>
        </row>
        <row r="14017">
          <cell r="B14017">
            <v>13458</v>
          </cell>
          <cell r="C14017" t="str">
            <v>BB BANCO DE INVESTIMENTO S/A</v>
          </cell>
          <cell r="D14017" t="str">
            <v>BB BANCO DE INVESTIMENTO S/A</v>
          </cell>
          <cell r="E14017" t="str">
            <v>BB BANCO DE INVESTIMENTO S/A</v>
          </cell>
        </row>
        <row r="14018">
          <cell r="B14018">
            <v>13520</v>
          </cell>
          <cell r="C14018" t="str">
            <v>MOACIR MARIO KANG</v>
          </cell>
          <cell r="D14018" t="str">
            <v>MOACIR MARIO KANG</v>
          </cell>
          <cell r="E14018" t="str">
            <v>MOACIR MARIO KANG</v>
          </cell>
        </row>
        <row r="14019">
          <cell r="B14019">
            <v>13546</v>
          </cell>
          <cell r="C14019" t="str">
            <v>MERCATTO ARPOADOR PRINCIPAL PROTEGIDO FIF</v>
          </cell>
          <cell r="D14019" t="str">
            <v>MERCATTO ARPOADOR PRINCIPAL PROTEGIDO FIF</v>
          </cell>
          <cell r="E14019" t="str">
            <v>MERCATTO ARPOADOR PRINCIPAL PROTEGIDO FIF</v>
          </cell>
        </row>
        <row r="14020">
          <cell r="B14020">
            <v>13877</v>
          </cell>
          <cell r="C14020" t="str">
            <v>CELSO PIRES MARTINS</v>
          </cell>
          <cell r="D14020" t="str">
            <v>CELSO PIRES MARTINS</v>
          </cell>
          <cell r="E14020" t="str">
            <v>CELSO PIRES MARTINS</v>
          </cell>
        </row>
        <row r="14021">
          <cell r="B14021">
            <v>14</v>
          </cell>
          <cell r="C14021" t="str">
            <v>CRUZEIRO DO SUL S/A CVM</v>
          </cell>
          <cell r="D14021" t="str">
            <v>CRUZEIRO DO SUL S/A CVM</v>
          </cell>
          <cell r="E14021" t="str">
            <v>CRUZEIRO DO SUL S/A CVM</v>
          </cell>
        </row>
        <row r="14022">
          <cell r="B14022">
            <v>14235</v>
          </cell>
          <cell r="C14022" t="str">
            <v>BANCO BANESTADO S/A</v>
          </cell>
          <cell r="D14022" t="str">
            <v>BANCO BANESTADO S/A</v>
          </cell>
          <cell r="E14022" t="str">
            <v>BANCO BANESTADO S/A</v>
          </cell>
        </row>
        <row r="14023">
          <cell r="B14023">
            <v>14252</v>
          </cell>
          <cell r="C14023" t="str">
            <v>QUELUZ ALOCACAO FIC DE FIM</v>
          </cell>
          <cell r="D14023" t="str">
            <v>QUELUZ ALOCACAO FIC DE FIM</v>
          </cell>
          <cell r="E14023" t="str">
            <v>QLZ GESTAO DE RECURSOS FINANCEIROS LTDA</v>
          </cell>
        </row>
        <row r="14024">
          <cell r="B14024">
            <v>14253</v>
          </cell>
          <cell r="C14024" t="str">
            <v>QUELUZ VALOR FUNDO DE INVESTIMENTO EM AÃ‡Ã•ES</v>
          </cell>
          <cell r="D14024" t="str">
            <v>QUELUZ VALOR FUNDO DE INVESTIMENTO EM AÃ‡Ã•ES</v>
          </cell>
          <cell r="E14024" t="str">
            <v>QLZ GESTAO DE RECURSOS FINANCEIROS LTDA</v>
          </cell>
        </row>
        <row r="14025">
          <cell r="B14025">
            <v>14254</v>
          </cell>
          <cell r="C14025" t="str">
            <v>FIM AVANTI CONSERVADOR</v>
          </cell>
          <cell r="D14025" t="str">
            <v>FIM AVANTI CONSERVADOR</v>
          </cell>
          <cell r="E14025" t="str">
            <v>QLZ GESTAO DE RECURSOS FINANCEIROS LTDA</v>
          </cell>
        </row>
        <row r="14026">
          <cell r="B14026">
            <v>14255</v>
          </cell>
          <cell r="C14026" t="str">
            <v>FIM EXCLUSIVO BULL LONGO PRAZO</v>
          </cell>
          <cell r="D14026" t="str">
            <v>FIM EXCLUSIVO BULL LONGO PRAZO</v>
          </cell>
          <cell r="E14026" t="str">
            <v>QLZ GESTAO DE RECURSOS FINANCEIROS LTDA</v>
          </cell>
        </row>
        <row r="14027">
          <cell r="B14027">
            <v>14256</v>
          </cell>
          <cell r="C14027" t="str">
            <v>FIM EXCLUSIVO WIT LONGO PRAZO</v>
          </cell>
          <cell r="D14027" t="str">
            <v>FIM EXCLUSIVO WIT LONGO PRAZO</v>
          </cell>
          <cell r="E14027" t="str">
            <v>FIM EXCLUSIVO WIT LONGO PRAZO</v>
          </cell>
        </row>
        <row r="14028">
          <cell r="B14028">
            <v>14257</v>
          </cell>
          <cell r="C14028" t="str">
            <v>BANCO PECUNIA S/A</v>
          </cell>
          <cell r="D14028" t="str">
            <v>BANCO PECUNIA S/A</v>
          </cell>
          <cell r="E14028" t="str">
            <v>BANCO PECUNIA S/A</v>
          </cell>
        </row>
        <row r="14029">
          <cell r="B14029">
            <v>14258</v>
          </cell>
          <cell r="C14029" t="str">
            <v>BANCO PINE S/A</v>
          </cell>
          <cell r="D14029" t="str">
            <v>BANCO PINE S/A</v>
          </cell>
          <cell r="E14029" t="str">
            <v>BANCO PINE S/A</v>
          </cell>
        </row>
        <row r="14030">
          <cell r="B14030">
            <v>14260</v>
          </cell>
          <cell r="C14030" t="str">
            <v>TAGUS TOP FI EM COTAS FIM</v>
          </cell>
          <cell r="D14030" t="str">
            <v>TAGUS TOP FI EM COTAS FIM</v>
          </cell>
          <cell r="E14030" t="str">
            <v>TAGUS TOP FI EM COTAS FIM</v>
          </cell>
        </row>
        <row r="14031">
          <cell r="B14031">
            <v>14320</v>
          </cell>
          <cell r="C14031" t="str">
            <v>BANK OF CHINA (BRASIL) BANCO MULTIPLO S/A</v>
          </cell>
          <cell r="D14031" t="str">
            <v>BANK OF CHINA (BRASIL) BANCO MULTIPLO S/A</v>
          </cell>
          <cell r="E14031" t="str">
            <v>BANCO DA CHINA BRASIL S/A</v>
          </cell>
        </row>
        <row r="14032">
          <cell r="B14032">
            <v>14323</v>
          </cell>
          <cell r="C14032" t="str">
            <v>TEORICA FIM</v>
          </cell>
          <cell r="D14032" t="str">
            <v>TEORICA FIM</v>
          </cell>
          <cell r="E14032" t="str">
            <v>TEORICA FIM</v>
          </cell>
        </row>
        <row r="14033">
          <cell r="B14033">
            <v>14330</v>
          </cell>
          <cell r="C14033" t="str">
            <v>ADIPAR EMPREENDIMENTOS E PARTICIPAÃ‡OES LTDA</v>
          </cell>
          <cell r="D14033" t="str">
            <v>ADIPAR EMPREENDIMENTOS E PARTICIPAÃ‡OES LTDA</v>
          </cell>
          <cell r="E14033" t="str">
            <v>ADIPAR EMPREENDIMENTOS E PARTICIPAÃ‡OES LTDA</v>
          </cell>
        </row>
        <row r="14034">
          <cell r="B14034">
            <v>14331</v>
          </cell>
          <cell r="C14034" t="str">
            <v>BANCO SUMITOMO MITSUI BRASILEIRO S.A</v>
          </cell>
          <cell r="D14034" t="str">
            <v>BANCO SUMITOMO MITSUI BRASILEIRO S.A</v>
          </cell>
          <cell r="E14034" t="str">
            <v>BANCO SUMITOMO MITSUI BRASILEIRO S/A</v>
          </cell>
        </row>
        <row r="14035">
          <cell r="B14035">
            <v>14332</v>
          </cell>
          <cell r="C14035" t="str">
            <v>BANCO DE LA PROVINCIA DE BUENOS AIRES</v>
          </cell>
          <cell r="D14035">
            <v>197</v>
          </cell>
          <cell r="E14035" t="str">
            <v>BANCO DE LA PROVINCIA DE BUENOS AIRES</v>
          </cell>
        </row>
        <row r="14036">
          <cell r="B14036">
            <v>14333</v>
          </cell>
          <cell r="C14036" t="str">
            <v>BANCO PAULISTA S/A</v>
          </cell>
          <cell r="D14036">
            <v>268</v>
          </cell>
          <cell r="E14036" t="str">
            <v>BANCO PAULISTA S/A</v>
          </cell>
        </row>
        <row r="14037">
          <cell r="B14037">
            <v>14335</v>
          </cell>
          <cell r="C14037" t="str">
            <v>BANCO ABC BRASIL S/A</v>
          </cell>
          <cell r="D14037" t="str">
            <v>BANCO ABC BRASIL S/A</v>
          </cell>
          <cell r="E14037" t="str">
            <v>BANCO ABC BRASIL S/A</v>
          </cell>
        </row>
        <row r="14038">
          <cell r="B14038">
            <v>14336</v>
          </cell>
          <cell r="C14038" t="str">
            <v>SPARTA ADMINISTRADORA DE RECURSOS LTDA</v>
          </cell>
          <cell r="D14038" t="str">
            <v>SPARTA ADMINISTRADORA DE RECURSOS LTDA</v>
          </cell>
          <cell r="E14038" t="str">
            <v>SPARTA ADMINISTRADORA DE RECURSOS LTDA</v>
          </cell>
        </row>
        <row r="14039">
          <cell r="B14039">
            <v>14337</v>
          </cell>
          <cell r="C14039" t="str">
            <v>SPARTA ANTI-CICLICO FIM</v>
          </cell>
          <cell r="D14039" t="str">
            <v>SPARTA ANTI-CICLICO FIM</v>
          </cell>
          <cell r="E14039" t="str">
            <v>SPARTA ANTI-CICLICO FIM</v>
          </cell>
        </row>
        <row r="14040">
          <cell r="B14040">
            <v>14338</v>
          </cell>
          <cell r="C14040" t="str">
            <v>SPARTA CICLICO FIM</v>
          </cell>
          <cell r="D14040" t="str">
            <v>SPARTA CICLICO FIM</v>
          </cell>
          <cell r="E14040" t="str">
            <v>SPARTA CICLICO FIM</v>
          </cell>
        </row>
        <row r="14041">
          <cell r="B14041">
            <v>14350</v>
          </cell>
          <cell r="C14041" t="str">
            <v>BANCO SUDAMERIS BRASIL S/A</v>
          </cell>
          <cell r="D14041" t="str">
            <v>BANCO SUDAMERIS BRASIL S/A</v>
          </cell>
          <cell r="E14041" t="str">
            <v>BANCO SUDAMERIS BRASIL S/A</v>
          </cell>
        </row>
        <row r="14042">
          <cell r="B14042">
            <v>14360</v>
          </cell>
          <cell r="C14042" t="str">
            <v>HOYA CORRETORA DE VALORES E CAMBIO LTDA</v>
          </cell>
          <cell r="D14042" t="str">
            <v>HOYA CORRETORA DE VALORES E CAMBIO LTDA</v>
          </cell>
          <cell r="E14042" t="str">
            <v>HOYA CORRETORA DE VALORES E CAMBIO LTDA</v>
          </cell>
        </row>
        <row r="14043">
          <cell r="B14043">
            <v>14361</v>
          </cell>
          <cell r="C14043" t="str">
            <v>HOYA CORRETORA DE VALORES E CAMBIO LTDA</v>
          </cell>
          <cell r="D14043" t="str">
            <v>HOYA CORRETORA DE VALORES E CAMBIO LTDA</v>
          </cell>
          <cell r="E14043" t="str">
            <v>HOYA CORRETORA DE VALORES E CAMBIO LTDA</v>
          </cell>
        </row>
        <row r="14044">
          <cell r="B14044">
            <v>14379</v>
          </cell>
          <cell r="C14044" t="str">
            <v>OLIVEIRA TRUST DTVM LTDA</v>
          </cell>
          <cell r="D14044" t="str">
            <v>OLIVEIRA TRUST DTVM LTDA</v>
          </cell>
          <cell r="E14044" t="str">
            <v>OLIVEIRA TRUST DTVM LTDA</v>
          </cell>
        </row>
        <row r="14045">
          <cell r="B14045">
            <v>14380</v>
          </cell>
          <cell r="C14045" t="str">
            <v>LACAN INVESTIMENTOS E PARTICIPACOES LTDA</v>
          </cell>
          <cell r="D14045" t="str">
            <v>LACAN INVESTIMENTOS E PARTICIPACOES LTDA</v>
          </cell>
          <cell r="E14045" t="str">
            <v>LACAN INVESTIMENTOS E PARTICIPACOES LTDA</v>
          </cell>
        </row>
        <row r="14046">
          <cell r="B14046">
            <v>14381</v>
          </cell>
          <cell r="C14046" t="str">
            <v>BTG PACTUAL SERVICOS FINANCEIROS SA DTVM</v>
          </cell>
          <cell r="D14046" t="str">
            <v>BTG PACTUAL SERVICOS FINANCEIROS SA DTVM</v>
          </cell>
          <cell r="E14046" t="str">
            <v>BTG PACTUAL ASSET MANAGEMENT SA DTVM</v>
          </cell>
        </row>
        <row r="14047">
          <cell r="B14047">
            <v>14382</v>
          </cell>
          <cell r="C14047" t="str">
            <v>FOCO ASSET MANAGEMENT LTDA</v>
          </cell>
          <cell r="D14047" t="str">
            <v>FOCO ASSET MANAGEMENT LTDA</v>
          </cell>
          <cell r="E14047" t="str">
            <v>FOCO ASSET MANAGEMENT LTDA</v>
          </cell>
        </row>
        <row r="14048">
          <cell r="B14048">
            <v>14384</v>
          </cell>
          <cell r="C14048" t="str">
            <v>SAFRA DISTRIBUIDORA DE TITULOS E VALORES MOBILIARIOS LTDA.</v>
          </cell>
          <cell r="D14048">
            <v>260</v>
          </cell>
          <cell r="E14048" t="str">
            <v>SAFRA ASSET MANAGEMENT LTDA</v>
          </cell>
        </row>
        <row r="14049">
          <cell r="B14049">
            <v>14385</v>
          </cell>
          <cell r="C14049" t="str">
            <v>TAVOLA CAPITAL GESTAO DE RECURSOS LTDA</v>
          </cell>
          <cell r="D14049" t="str">
            <v>TAVOLA CAPITAL GESTAO DE RECURSOS LTDA</v>
          </cell>
          <cell r="E14049" t="str">
            <v>TAVOLA CAPITAL GESTAO DE RECURSOS LTDA</v>
          </cell>
        </row>
        <row r="14050">
          <cell r="B14050">
            <v>14386</v>
          </cell>
          <cell r="C14050" t="str">
            <v>LEME INVESTIMENTOS LTDA</v>
          </cell>
          <cell r="D14050" t="str">
            <v>LEME INVESTIMENTOS LTDA</v>
          </cell>
          <cell r="E14050" t="str">
            <v>LEME INVESTIMENTOS LTDA</v>
          </cell>
        </row>
        <row r="14051">
          <cell r="B14051">
            <v>14387</v>
          </cell>
          <cell r="C14051" t="str">
            <v>PLATINA INVESTIMENTOS LTDA</v>
          </cell>
          <cell r="D14051" t="str">
            <v>PLATINA INVESTIMENTOS LTDA</v>
          </cell>
          <cell r="E14051" t="str">
            <v>PLATINA INVESTIMENTOS LTDA</v>
          </cell>
        </row>
        <row r="14052">
          <cell r="B14052">
            <v>14388</v>
          </cell>
          <cell r="C14052" t="str">
            <v>PERSONALE CONSULTORIA E GESTAO DE CARTEIRAS LTDA</v>
          </cell>
          <cell r="D14052" t="str">
            <v>PERSONALE CONSULTORIA E GESTAO DE CARTEIRAS LTDA</v>
          </cell>
          <cell r="E14052" t="str">
            <v>PERSONALE CONSULTORIA E GESTAO DE CARTEIRAS LTDA</v>
          </cell>
        </row>
        <row r="14053">
          <cell r="B14053">
            <v>14389</v>
          </cell>
          <cell r="C14053" t="str">
            <v>SPARTA ADMINISTRADORA DE RECURSOS LTDA</v>
          </cell>
          <cell r="D14053" t="str">
            <v>SPARTA ADMINISTRADORA DE RECURSOS LTDA</v>
          </cell>
          <cell r="E14053" t="str">
            <v>SPARTA ADMINISTRADORA DE RECURSOS LTDA</v>
          </cell>
        </row>
        <row r="14054">
          <cell r="B14054">
            <v>14390</v>
          </cell>
          <cell r="C14054" t="str">
            <v>UPSIDE GESTAO DE RECURSOS LTDA</v>
          </cell>
          <cell r="D14054" t="str">
            <v>UPSIDE GESTAO DE RECURSOS LTDA</v>
          </cell>
          <cell r="E14054" t="str">
            <v>UPSIDE GESTAO DE RECURSOS LTDA</v>
          </cell>
        </row>
        <row r="14055">
          <cell r="B14055">
            <v>82467</v>
          </cell>
          <cell r="C14055" t="str">
            <v>BANCO BRADESCO S/A</v>
          </cell>
          <cell r="D14055" t="str">
            <v>BANCO BRADESCO S/A</v>
          </cell>
          <cell r="E14055" t="str">
            <v>BRAM - BRADESCO ASSET MANAGEMENT S/A DTVM</v>
          </cell>
        </row>
        <row r="14056">
          <cell r="B14056">
            <v>14394</v>
          </cell>
          <cell r="C14056" t="str">
            <v>NOBEL GESTAO DE RECURSOS LTDA</v>
          </cell>
          <cell r="D14056" t="str">
            <v>28*</v>
          </cell>
          <cell r="E14056" t="str">
            <v>NOBEL GESTAO DE RECURSOS LTDA</v>
          </cell>
        </row>
        <row r="14057">
          <cell r="B14057">
            <v>14395</v>
          </cell>
          <cell r="C14057" t="str">
            <v>NEO GESTAO DE RECURSOS LTDA.</v>
          </cell>
          <cell r="D14057">
            <v>130</v>
          </cell>
          <cell r="E14057" t="str">
            <v>NEO GESTÃO DE RECURSOS LTDA</v>
          </cell>
        </row>
        <row r="14058">
          <cell r="B14058">
            <v>14396</v>
          </cell>
          <cell r="C14058" t="str">
            <v>MORGAN STANLEY ADMINISTRADORA DE CARTEIRAS S/A</v>
          </cell>
          <cell r="D14058" t="str">
            <v>MORGAN STANLEY ADMINISTRADORA DE CARTEIRAS S/A</v>
          </cell>
          <cell r="E14058" t="str">
            <v>MORGAN STANLEY ADMINISTRADORA DE CARTEIRAS S/A</v>
          </cell>
        </row>
        <row r="14059">
          <cell r="B14059">
            <v>14398</v>
          </cell>
          <cell r="C14059" t="str">
            <v>DIRECIONAL ADMINISTRAÃ‡ÃƒO DE RECURSOS LTDA</v>
          </cell>
          <cell r="D14059" t="str">
            <v>DIRECIONAL ADMINISTRAÃ‡ÃƒO DE RECURSOS LTDA</v>
          </cell>
          <cell r="E14059" t="str">
            <v>DIRECIONAL ADMINISTRAÃ‡ÃƒO DE RECURSOS LTDA</v>
          </cell>
        </row>
        <row r="14060">
          <cell r="B14060">
            <v>144</v>
          </cell>
          <cell r="C14060" t="str">
            <v>TULLETT PREBON BRASIL CVC (ANTIGA CONVENÃ‡AO)</v>
          </cell>
          <cell r="D14060" t="str">
            <v>TULLETT PREBON BRASIL CVC (ANTIGA CONVENÃ‡AO)</v>
          </cell>
          <cell r="E14060" t="str">
            <v>TULLETT PREBON BRASIL CVC LTDA</v>
          </cell>
        </row>
        <row r="14061">
          <cell r="B14061">
            <v>14400</v>
          </cell>
          <cell r="C14061" t="str">
            <v>BESAF BES ATIVOS FINANCEIROS LTDA</v>
          </cell>
          <cell r="D14061">
            <v>194</v>
          </cell>
          <cell r="E14061" t="str">
            <v>BESAF BES ATIVOS FINANCEIROS LTDA</v>
          </cell>
        </row>
        <row r="14062">
          <cell r="B14062">
            <v>144008</v>
          </cell>
          <cell r="C14062" t="str">
            <v>ARBITRAGEM FIM</v>
          </cell>
          <cell r="D14062" t="str">
            <v>ARBITRAGEM FIM</v>
          </cell>
          <cell r="E14062" t="str">
            <v>ARBITRAGEM FIM</v>
          </cell>
        </row>
        <row r="14063">
          <cell r="B14063">
            <v>14401</v>
          </cell>
          <cell r="C14063" t="str">
            <v>VENTURESTAR SERVICOS FINANCEIROS LTDA</v>
          </cell>
          <cell r="D14063" t="str">
            <v>VENTURESTAR SERVICOS FINANCEIROS LTDA</v>
          </cell>
          <cell r="E14063" t="str">
            <v>VENTURESTAR SERVICOS FINANCEIROS LTDA</v>
          </cell>
        </row>
        <row r="14064">
          <cell r="B14064">
            <v>14402</v>
          </cell>
          <cell r="C14064" t="str">
            <v>MODAL ADMINISTRADORA DE RECURSOS SA</v>
          </cell>
          <cell r="D14064" t="str">
            <v>MODAL ADMINISTRADORA DE RECURSOS SA</v>
          </cell>
          <cell r="E14064" t="str">
            <v>MODAL ADMINISTRADORA DE RECURSOS SA</v>
          </cell>
        </row>
        <row r="14065">
          <cell r="B14065">
            <v>14403</v>
          </cell>
          <cell r="C14065" t="str">
            <v>MODAL ASSET MANAGEMENT LTDA</v>
          </cell>
          <cell r="D14065">
            <v>353</v>
          </cell>
          <cell r="E14065" t="str">
            <v>MODAL ASSET MANAGEMENT LTDA</v>
          </cell>
        </row>
        <row r="14066">
          <cell r="B14066">
            <v>144030</v>
          </cell>
          <cell r="C14066" t="str">
            <v>JP MORGAN CHASE BANK LONDON BRANCH</v>
          </cell>
          <cell r="D14066" t="str">
            <v>JP MORGAN CHASE BANK LONDON BRANCH</v>
          </cell>
          <cell r="E14066" t="str">
            <v>JP MORGAN CHASE BANK LONDON BRANCH</v>
          </cell>
        </row>
        <row r="14067">
          <cell r="B14067">
            <v>14404</v>
          </cell>
          <cell r="C14067" t="str">
            <v>META ASSET MANAGEMENT LTDA</v>
          </cell>
          <cell r="D14067" t="str">
            <v>META ASSET MANAGEMENT LTDA</v>
          </cell>
          <cell r="E14067" t="str">
            <v>META ASSET MANAGEMENT LTDA</v>
          </cell>
        </row>
        <row r="14068">
          <cell r="B14068">
            <v>14405</v>
          </cell>
          <cell r="C14068" t="str">
            <v>OPUS GESTAO DE RECURSOS LTDA</v>
          </cell>
          <cell r="D14068">
            <v>255</v>
          </cell>
          <cell r="E14068" t="str">
            <v>OPUS GESTAO DE RECURSOS LTDA</v>
          </cell>
        </row>
        <row r="14069">
          <cell r="B14069">
            <v>14406</v>
          </cell>
          <cell r="C14069" t="str">
            <v>ARX INVESTIMENTOS LTDA</v>
          </cell>
          <cell r="D14069" t="str">
            <v>ARX INVESTIMENTOS LTDA</v>
          </cell>
          <cell r="E14069" t="str">
            <v>ARX INVESTIMENTOS LTDA</v>
          </cell>
        </row>
        <row r="14070">
          <cell r="B14070">
            <v>14407</v>
          </cell>
          <cell r="C14070" t="str">
            <v>BNY MELLON ADMINISTRAÃ‡ÃƒO DE ATIVOS LTDA</v>
          </cell>
          <cell r="D14070" t="str">
            <v>BNY MELLON ADMINISTRAÃ‡ÃƒO DE ATIVOS LTDA</v>
          </cell>
          <cell r="E14070" t="str">
            <v>BNY MELLON ADMINISTRAÃ‡ÃƒO DE ATIVOS LTDA</v>
          </cell>
        </row>
        <row r="14071">
          <cell r="B14071">
            <v>144078</v>
          </cell>
          <cell r="C14071" t="str">
            <v>SANTANDER BRASIL S/A CTVM</v>
          </cell>
          <cell r="D14071" t="str">
            <v>SANTANDER BRASIL S/A CTVM</v>
          </cell>
          <cell r="E14071" t="str">
            <v>MAXIMA S/A CTVM</v>
          </cell>
        </row>
        <row r="14072">
          <cell r="B14072">
            <v>14408</v>
          </cell>
          <cell r="C14072" t="str">
            <v>MAXIMA MANDARIM INVESTIMENTOS GESTORA DE RECURSOS LTDA</v>
          </cell>
          <cell r="D14072" t="str">
            <v>MAXIMA MANDARIM INVESTIMENTOS GESTORA DE RECURSOS LTDA</v>
          </cell>
          <cell r="E14072" t="str">
            <v>MAXIMA MANDARIM INVESTIMENTOS GESTORA DE RECURSOS LTDA</v>
          </cell>
        </row>
        <row r="14073">
          <cell r="B14073">
            <v>14409</v>
          </cell>
          <cell r="C14073" t="str">
            <v>GLOBAL EQUITY ADMINISTRADORA DE RECURSOS S/A</v>
          </cell>
          <cell r="D14073" t="str">
            <v>GLOBAL EQUITY ADMINISTRADORA DE RECURSOS S/A</v>
          </cell>
          <cell r="E14073" t="str">
            <v>GLOBAL EQUITY ADMINISTRADORA DE RECURSOS S/A</v>
          </cell>
        </row>
        <row r="14074">
          <cell r="B14074">
            <v>14411</v>
          </cell>
          <cell r="C14074" t="str">
            <v>GLOBAL CAPITAL2000 ADMINISTRADORA DE RECURSOS FINANCEIROS S/</v>
          </cell>
          <cell r="D14074" t="str">
            <v>GLOBAL CAPITAL2000 ADMINISTRADORA DE RECURSOS FINANCEIROS S/</v>
          </cell>
          <cell r="E14074" t="str">
            <v>GLOBAL CAPITAL2000 ADMINISTRADORA DE RECURSOS FINANCEIROS S/</v>
          </cell>
        </row>
        <row r="14075">
          <cell r="B14075">
            <v>144112</v>
          </cell>
          <cell r="C14075" t="str">
            <v>ING BANK NV</v>
          </cell>
          <cell r="D14075" t="str">
            <v>ING BANK NV</v>
          </cell>
          <cell r="E14075" t="str">
            <v>ING BANK NV</v>
          </cell>
        </row>
        <row r="14076">
          <cell r="B14076">
            <v>144113</v>
          </cell>
          <cell r="C14076" t="str">
            <v>ING BANK NV</v>
          </cell>
          <cell r="D14076" t="str">
            <v>ING BANK NV</v>
          </cell>
          <cell r="E14076" t="str">
            <v>ING BANK NV</v>
          </cell>
        </row>
        <row r="14077">
          <cell r="B14077">
            <v>144114</v>
          </cell>
          <cell r="C14077" t="str">
            <v>ING BANK NV</v>
          </cell>
          <cell r="D14077" t="str">
            <v>ING BANK NV</v>
          </cell>
          <cell r="E14077" t="str">
            <v>ING BANK NV</v>
          </cell>
        </row>
        <row r="14078">
          <cell r="B14078">
            <v>144115</v>
          </cell>
          <cell r="C14078" t="str">
            <v>ING BANK NV</v>
          </cell>
          <cell r="D14078" t="str">
            <v>ING BANK NV</v>
          </cell>
          <cell r="E14078" t="str">
            <v>ING BANK NV</v>
          </cell>
        </row>
        <row r="14079">
          <cell r="B14079">
            <v>144116</v>
          </cell>
          <cell r="C14079" t="str">
            <v>ING BANK NV</v>
          </cell>
          <cell r="D14079" t="str">
            <v>ING BANK NV</v>
          </cell>
          <cell r="E14079" t="str">
            <v>ING BANK NV</v>
          </cell>
        </row>
        <row r="14080">
          <cell r="B14080">
            <v>144117</v>
          </cell>
          <cell r="C14080" t="str">
            <v>ING BANK NV</v>
          </cell>
          <cell r="D14080" t="str">
            <v>ING BANK NV</v>
          </cell>
          <cell r="E14080" t="str">
            <v>ING BANK NV</v>
          </cell>
        </row>
        <row r="14081">
          <cell r="B14081">
            <v>14412</v>
          </cell>
          <cell r="C14081" t="str">
            <v>BANCOOB ADMINISTRAÃ‡ÃƒO E GESTÃƒO DE RECURSOS LTDA</v>
          </cell>
          <cell r="D14081" t="str">
            <v>BANCOOB ADMINISTRAÃ‡ÃƒO E GESTÃƒO DE RECURSOS LTDA</v>
          </cell>
          <cell r="E14081" t="str">
            <v>BANCO COOPERATIVO SICOOB S/A</v>
          </cell>
        </row>
        <row r="14082">
          <cell r="B14082">
            <v>14413</v>
          </cell>
          <cell r="C14082" t="str">
            <v>QLZ GESTAO DE RECURSOS FINANCEIROS LTDA</v>
          </cell>
          <cell r="D14082" t="str">
            <v>QLZ GESTAO DE RECURSOS FINANCEIROS LTDA</v>
          </cell>
          <cell r="E14082" t="str">
            <v>QLZ GESTAO DE RECURSOS FINANCEIROS LTDA</v>
          </cell>
        </row>
        <row r="14083">
          <cell r="B14083">
            <v>14414</v>
          </cell>
          <cell r="C14083" t="str">
            <v>BP GESTORA DE ATIVOS FINANACEIROS E VALORES MOBILIARIOS LTDA</v>
          </cell>
          <cell r="D14083" t="str">
            <v>BP GESTORA DE ATIVOS FINANACEIROS E VALORES MOBILIARIOS LTDA</v>
          </cell>
          <cell r="E14083" t="str">
            <v>BP GESTORA DE ATIVOS FINANACEIROS E VALORES MOBILIARIOS LTDA</v>
          </cell>
        </row>
        <row r="14084">
          <cell r="B14084">
            <v>14415</v>
          </cell>
          <cell r="C14084" t="str">
            <v>GS ALLOCATION INVESTIMENTOS</v>
          </cell>
          <cell r="D14084" t="str">
            <v>GS ALLOCATION INVESTIMENTOS</v>
          </cell>
          <cell r="E14084" t="str">
            <v>GS ALLOCATION INVESTIMENTOS</v>
          </cell>
        </row>
        <row r="14085">
          <cell r="B14085">
            <v>14417</v>
          </cell>
          <cell r="C14085" t="str">
            <v>VITORIA ASSET MANAGEMENT S.A</v>
          </cell>
          <cell r="D14085" t="str">
            <v>VITORIA ASSET MANAGEMENT S.A</v>
          </cell>
          <cell r="E14085" t="str">
            <v>VITORIA ASSET MANAGEMENT S.A</v>
          </cell>
        </row>
        <row r="14086">
          <cell r="B14086">
            <v>14421</v>
          </cell>
          <cell r="C14086" t="str">
            <v>JP MORGAN S/A DTVM</v>
          </cell>
          <cell r="D14086">
            <v>544</v>
          </cell>
          <cell r="E14086" t="str">
            <v>JP MORGAN S/A DTVM</v>
          </cell>
        </row>
        <row r="14087">
          <cell r="B14087">
            <v>14422</v>
          </cell>
          <cell r="C14087" t="str">
            <v>JP MORGAN OVERSEAS CAPITAL CORPORATION</v>
          </cell>
          <cell r="D14087" t="str">
            <v>JP MORGAN OVERSEAS CAPITAL CORPORATION</v>
          </cell>
          <cell r="E14087" t="str">
            <v>JP MORGAN OVERSEAS CAPITAL CORPORATION</v>
          </cell>
        </row>
        <row r="14088">
          <cell r="B14088">
            <v>144231</v>
          </cell>
          <cell r="C14088" t="str">
            <v>ANTONIO MANUEL DE CARVALHO BAPTISTA VIEIRA</v>
          </cell>
          <cell r="D14088" t="str">
            <v>ANTONIO MANUEL DE CARVALHO BAPTISTA VIEIRA</v>
          </cell>
          <cell r="E14088" t="str">
            <v>ANTONIO MANUEL DE CARVALHO BAPTISTA VIEIRA</v>
          </cell>
        </row>
        <row r="14089">
          <cell r="B14089">
            <v>14426</v>
          </cell>
          <cell r="C14089" t="str">
            <v>LANX CAPITAL INVESTIMENTOS LTDA</v>
          </cell>
          <cell r="D14089" t="str">
            <v>LANX CAPITAL INVESTIMENTOS LTDA</v>
          </cell>
          <cell r="E14089" t="str">
            <v>LANX CAPITAL INVESTIMENTOS LTDA</v>
          </cell>
        </row>
        <row r="14090">
          <cell r="B14090">
            <v>14427</v>
          </cell>
          <cell r="C14090" t="str">
            <v>GAVEA GESTAO DE INVESTIMENTOS LTDA</v>
          </cell>
          <cell r="D14090" t="str">
            <v>GAVEA GESTAO DE INVESTIMENTOS LTDA</v>
          </cell>
          <cell r="E14090" t="str">
            <v>GAVEA GESTAO DE INVESTIMENTOS LTDA</v>
          </cell>
        </row>
        <row r="14091">
          <cell r="B14091">
            <v>14428</v>
          </cell>
          <cell r="C14091" t="str">
            <v>TELOS FUNDACAO EMBRATEL DE SEGURIDADE SOCIAL</v>
          </cell>
          <cell r="D14091" t="str">
            <v>TELOS FUNDACAO EMBRATEL DE SEGURIDADE SOCIAL</v>
          </cell>
          <cell r="E14091" t="str">
            <v>TELOS FUNDACAO EMBRATEL DE SEGURIDADE SOCIAL</v>
          </cell>
        </row>
        <row r="14092">
          <cell r="B14092">
            <v>14429</v>
          </cell>
          <cell r="C14092" t="str">
            <v>FRAM CAPITAL GESTAO DE ATIVOS LTDA</v>
          </cell>
          <cell r="D14092" t="str">
            <v>155*</v>
          </cell>
          <cell r="E14092" t="str">
            <v>FRAM CAPITAL GESTAO DE ATIVOS LTDA</v>
          </cell>
        </row>
        <row r="14093">
          <cell r="B14093">
            <v>14431</v>
          </cell>
          <cell r="C14093" t="str">
            <v>TELEMAR NORTE LESTE S/A</v>
          </cell>
          <cell r="D14093" t="str">
            <v>TELEMAR NORTE LESTE S/A</v>
          </cell>
          <cell r="E14093" t="str">
            <v>TELEMAR NORTE LESTE S/A</v>
          </cell>
        </row>
        <row r="14094">
          <cell r="B14094">
            <v>14433</v>
          </cell>
          <cell r="C14094" t="str">
            <v>BB GESTAO DE RECURSOS DTVM LTDA</v>
          </cell>
          <cell r="D14094">
            <v>1201</v>
          </cell>
          <cell r="E14094" t="str">
            <v>BB GESTAO DE RECURSOS DTVM LTDA</v>
          </cell>
        </row>
        <row r="14095">
          <cell r="B14095">
            <v>14434</v>
          </cell>
          <cell r="C14095" t="str">
            <v>NP ADMINISTRAÃ‡ÃƒO DE RECURSOS LTDA</v>
          </cell>
          <cell r="D14095" t="str">
            <v>NP ADMINISTRAÃ‡ÃƒO DE RECURSOS LTDA</v>
          </cell>
          <cell r="E14095" t="str">
            <v>NP ADMINISTRAÃ‡ÃƒO DE RECURSOS LTDA</v>
          </cell>
        </row>
        <row r="14096">
          <cell r="B14096">
            <v>14435</v>
          </cell>
          <cell r="C14096" t="str">
            <v>SIP CAPITAL EQUITIES INVESTIMENTOS LTDA</v>
          </cell>
          <cell r="D14096" t="str">
            <v>SIP CAPITAL EQUITIES INVESTIMENTOS LTDA</v>
          </cell>
          <cell r="E14096" t="str">
            <v>SIP CAPITAL EQUITIES INVESTIMENTOS LTDA</v>
          </cell>
        </row>
        <row r="14097">
          <cell r="B14097">
            <v>14436</v>
          </cell>
          <cell r="C14097" t="str">
            <v>ICATU GESTAO PATRIMONIAL LTDA</v>
          </cell>
          <cell r="D14097" t="str">
            <v>ICATU GESTAO PATRIMONIAL LTDA</v>
          </cell>
          <cell r="E14097" t="str">
            <v>ICATU VANGUARDA GESTAO DE RECURSOS LTDA</v>
          </cell>
        </row>
        <row r="14098">
          <cell r="B14098">
            <v>144369</v>
          </cell>
          <cell r="C14098" t="str">
            <v>144 R STEARNS &amp; CO INC</v>
          </cell>
          <cell r="D14098" t="str">
            <v>144 R STEARNS &amp; CO INC</v>
          </cell>
          <cell r="E14098" t="str">
            <v>144 R STEARNS &amp; CO INC</v>
          </cell>
        </row>
        <row r="14099">
          <cell r="B14099">
            <v>14437</v>
          </cell>
          <cell r="C14099" t="str">
            <v>MONGERAL AEGON SEGUROS E PREVIDENCIA S/A</v>
          </cell>
          <cell r="D14099" t="str">
            <v>MONGERAL AEGON SEGUROS E PREVIDENCIA S/A</v>
          </cell>
          <cell r="E14099" t="str">
            <v>MONGERAL AEGON INVESTIMENTOS LTDA</v>
          </cell>
        </row>
        <row r="14100">
          <cell r="B14100">
            <v>144370</v>
          </cell>
          <cell r="C14100" t="str">
            <v>BEAR STEARNS INTERNATIONAL LIMITED</v>
          </cell>
          <cell r="D14100" t="str">
            <v>BEAR STEARNS INTERNATIONAL LIMITED</v>
          </cell>
          <cell r="E14100" t="str">
            <v>BEAR STEARNS INTERNATIONAL LIMITED</v>
          </cell>
        </row>
        <row r="14101">
          <cell r="B14101">
            <v>144371</v>
          </cell>
          <cell r="C14101" t="str">
            <v>BEAR STEARNS SECURITIES CORP</v>
          </cell>
          <cell r="D14101" t="str">
            <v>BEAR STEARNS SECURITIES CORP</v>
          </cell>
          <cell r="E14101" t="str">
            <v>BEAR STEARNS SECURITIES CORP</v>
          </cell>
        </row>
        <row r="14102">
          <cell r="B14102">
            <v>14438</v>
          </cell>
          <cell r="C14102" t="str">
            <v>LAPB GESTAO DE RECURSOS FINANCEIROS LTDA ( ANTIGO MCAP)</v>
          </cell>
          <cell r="D14102" t="str">
            <v>LAPB GESTAO DE RECURSOS FINANCEIROS LTDA ( ANTIGO MCAP)</v>
          </cell>
          <cell r="E14102" t="str">
            <v>LAPB GESTAO DE RECURSOS FINANCEIROS LTDA ( ANTIGO MCAP)</v>
          </cell>
        </row>
        <row r="14103">
          <cell r="B14103">
            <v>14441</v>
          </cell>
          <cell r="C14103" t="str">
            <v>MERCATTO GESTAO DE RECURSOS LTDA</v>
          </cell>
          <cell r="D14103">
            <v>904870</v>
          </cell>
          <cell r="E14103" t="str">
            <v>MERCATTO GESTAO DE RECURSOS LTDA</v>
          </cell>
        </row>
        <row r="14104">
          <cell r="B14104">
            <v>14442</v>
          </cell>
          <cell r="C14104" t="str">
            <v>VINCI SECURITAS GESTORA DE RECURSOS LTDA</v>
          </cell>
          <cell r="D14104" t="str">
            <v>VINCI SECURITAS GESTORA DE RECURSOS LTDA</v>
          </cell>
          <cell r="E14104" t="str">
            <v>VINCI GESTORA DE RECURSOS LTDA</v>
          </cell>
        </row>
        <row r="14105">
          <cell r="B14105">
            <v>144421</v>
          </cell>
          <cell r="C14105" t="str">
            <v>KOSMOS ADM DE CARTEIRA DE VALORES MOBILIARIOS LTDA</v>
          </cell>
          <cell r="D14105" t="str">
            <v>KOSMOS ADM DE CARTEIRA DE VALORES MOBILIARIOS LTDA</v>
          </cell>
          <cell r="E14105" t="str">
            <v>KOSMOS ADM DE CARTEIRA DE VALORES MOBILIARIOS LTDA</v>
          </cell>
        </row>
        <row r="14106">
          <cell r="B14106">
            <v>144424</v>
          </cell>
          <cell r="C14106" t="str">
            <v>SDA GESTAO DE RECURSOS LTDA</v>
          </cell>
          <cell r="D14106" t="str">
            <v>SDA GESTAO DE RECURSOS LTDA</v>
          </cell>
          <cell r="E14106" t="str">
            <v>SDA GESTAO DE RECURSOS LTDA</v>
          </cell>
        </row>
        <row r="14107">
          <cell r="B14107">
            <v>144427</v>
          </cell>
          <cell r="C14107" t="str">
            <v>UNIBANCO CONSULTORIA DE INVESTIMENTO LTDA</v>
          </cell>
          <cell r="D14107" t="str">
            <v>UNIBANCO CONSULTORIA DE INVESTIMENTO LTDA</v>
          </cell>
          <cell r="E14107" t="str">
            <v>UNIBANCO CONSULTORIA DE INVESTIMENTO LTDA</v>
          </cell>
        </row>
        <row r="14108">
          <cell r="B14108">
            <v>144428</v>
          </cell>
          <cell r="C14108" t="str">
            <v>INVESTIDOR PROFISSIONAL GESTAO DE RECURSOS LTDA</v>
          </cell>
          <cell r="D14108">
            <v>300</v>
          </cell>
          <cell r="E14108" t="str">
            <v>INVESTIDOR PROFISSIONAL GESTAO DE RECURSOS LTDA</v>
          </cell>
        </row>
        <row r="14109">
          <cell r="B14109">
            <v>144429</v>
          </cell>
          <cell r="C14109" t="str">
            <v>NORTE INVESTIMENTOS ADMINISTRADORES DE RECURSOS</v>
          </cell>
          <cell r="D14109" t="str">
            <v>NORTE INVESTIMENTOS ADMINISTRADORES DE RECURSOS</v>
          </cell>
          <cell r="E14109" t="str">
            <v>NORTE INVESTIMENTOS ADMINISTRADORES DE RECURSOS</v>
          </cell>
        </row>
        <row r="14110">
          <cell r="B14110">
            <v>79233</v>
          </cell>
          <cell r="C14110" t="str">
            <v>GLOBAL FIM CP IE</v>
          </cell>
          <cell r="D14110" t="str">
            <v>GLOBAL FIM CP IE</v>
          </cell>
          <cell r="E14110" t="str">
            <v>CAPITÂNIA INVEST S/A</v>
          </cell>
        </row>
        <row r="14111">
          <cell r="B14111">
            <v>144431</v>
          </cell>
          <cell r="C14111" t="str">
            <v>VISION BRAZIL GESTÃƒO DE INVESTIMENTOS E PARTICIPAÃ‡Ã•ES LTDA</v>
          </cell>
          <cell r="D14111" t="str">
            <v>VISION BRAZIL GESTÃƒO DE INVESTIMENTOS E PARTICIPAÃ‡Ã•ES LTDA</v>
          </cell>
          <cell r="E14111" t="str">
            <v>VISION BRAZIL GESTÃƒO DE INVESTIMENTOS E PARTICIPAÃ‡Ã•ES LTDA</v>
          </cell>
        </row>
        <row r="14112">
          <cell r="B14112">
            <v>144432</v>
          </cell>
          <cell r="C14112" t="str">
            <v>ATICO ADMINISTRACAO DE RECURSOS LTDA</v>
          </cell>
          <cell r="D14112" t="str">
            <v>ATICO ADMINISTRACAO DE RECURSOS LTDA</v>
          </cell>
          <cell r="E14112" t="str">
            <v>ATICO ADMINISTRACAO DE RECURSOS LTDA</v>
          </cell>
        </row>
        <row r="14113">
          <cell r="B14113">
            <v>144433</v>
          </cell>
          <cell r="C14113" t="str">
            <v>ARSENAL INVESTIMENTOS LTDA</v>
          </cell>
          <cell r="D14113" t="str">
            <v>ARSENAL INVESTIMENTOS LTDA</v>
          </cell>
          <cell r="E14113" t="str">
            <v>ARSENAL INVESTIMENTOS LTDA</v>
          </cell>
        </row>
        <row r="14114">
          <cell r="B14114">
            <v>144434</v>
          </cell>
          <cell r="C14114" t="str">
            <v>SPRINGS CAPITAL LTDA</v>
          </cell>
          <cell r="D14114" t="str">
            <v>SPRINGS CAPITAL LTDA</v>
          </cell>
          <cell r="E14114" t="str">
            <v>SPRINGS CAPITAL LTDA</v>
          </cell>
        </row>
        <row r="14115">
          <cell r="B14115">
            <v>144435</v>
          </cell>
          <cell r="C14115" t="str">
            <v>MAXIMA MANDARIM INVESTIMENTOS GESTORA DE RECURSOS LTDA</v>
          </cell>
          <cell r="D14115" t="str">
            <v>MAXIMA MANDARIM INVESTIMENTOS GESTORA DE RECURSOS LTDA</v>
          </cell>
          <cell r="E14115" t="str">
            <v>MAXIMA MANDARIM INVESTIMENTOS GESTORA DE RECURSOS LTDA</v>
          </cell>
        </row>
        <row r="14116">
          <cell r="B14116">
            <v>144436</v>
          </cell>
          <cell r="C14116" t="str">
            <v>VETORIAL GESTAO DE RECURSOS LTDA</v>
          </cell>
          <cell r="D14116" t="str">
            <v>VETORIAL GESTAO DE RECURSOS LTDA</v>
          </cell>
          <cell r="E14116" t="str">
            <v>VETORIAL GESTAO DE RECURSOS LTDA</v>
          </cell>
        </row>
        <row r="14117">
          <cell r="B14117">
            <v>144437</v>
          </cell>
          <cell r="C14117" t="str">
            <v>ICATU SEGUROS S/A</v>
          </cell>
          <cell r="D14117" t="str">
            <v>ICATU SEGUROS S/A</v>
          </cell>
          <cell r="E14117" t="str">
            <v>ICATU VANGUARDA GESTAO DE RECURSOS LTDA</v>
          </cell>
        </row>
        <row r="14118">
          <cell r="B14118">
            <v>144438</v>
          </cell>
          <cell r="C14118" t="str">
            <v>ICATU VANGUARDA GESTÃƒO DE RECURSOS LTDA</v>
          </cell>
          <cell r="D14118">
            <v>297</v>
          </cell>
          <cell r="E14118" t="str">
            <v>ICATU VANGUARDA GESTAO DE RECURSOS LTDA</v>
          </cell>
        </row>
        <row r="14119">
          <cell r="B14119">
            <v>144439</v>
          </cell>
          <cell r="C14119" t="str">
            <v>BNY MELLON ALOCACAO DE PATRIMONIO LTDA</v>
          </cell>
          <cell r="D14119" t="str">
            <v>BNY MELLON ALOCACAO DE PATRIMONIO LTDA</v>
          </cell>
          <cell r="E14119" t="str">
            <v>BNY MELLON ALOCACAO DE PATRIMONIO LTDA</v>
          </cell>
        </row>
        <row r="14120">
          <cell r="B14120">
            <v>14444</v>
          </cell>
          <cell r="C14120" t="str">
            <v>BANCO JP MORGAN S/A</v>
          </cell>
          <cell r="D14120" t="str">
            <v>BANCO JP MORGAN S/A</v>
          </cell>
          <cell r="E14120" t="str">
            <v>BANCO JP MORGAN S/A</v>
          </cell>
        </row>
        <row r="14121">
          <cell r="B14121">
            <v>144440</v>
          </cell>
          <cell r="C14121" t="str">
            <v>UV GESTORA DE ATIVOS FINANCEIROS LTDA</v>
          </cell>
          <cell r="D14121" t="str">
            <v>UV GESTORA DE ATIVOS FINANCEIROS LTDA</v>
          </cell>
          <cell r="E14121" t="str">
            <v>UV GESTORA DE ATIVOS FINANCEIROS LTDA</v>
          </cell>
        </row>
        <row r="14122">
          <cell r="B14122">
            <v>144441</v>
          </cell>
          <cell r="C14122" t="str">
            <v>PLATINA INVESTIMENTOS LTDA</v>
          </cell>
          <cell r="D14122" t="str">
            <v>PLATINA INVESTIMENTOS LTDA</v>
          </cell>
          <cell r="E14122" t="str">
            <v>PLATINA INVESTIMENTOS LTDA</v>
          </cell>
        </row>
        <row r="14123">
          <cell r="B14123">
            <v>144442</v>
          </cell>
          <cell r="C14123" t="str">
            <v>BRZ INVESTIMENTOS LTDA</v>
          </cell>
          <cell r="D14123" t="str">
            <v>BRZ INVESTIMENTOS LTDA</v>
          </cell>
          <cell r="E14123" t="str">
            <v>BRZ INVESTIMENTOS LTDA</v>
          </cell>
        </row>
        <row r="14124">
          <cell r="B14124">
            <v>144443</v>
          </cell>
          <cell r="C14124" t="str">
            <v>TARGET GESTÃƒO DE RECURSOS LTDA</v>
          </cell>
          <cell r="D14124" t="str">
            <v>TARGET GESTÃƒO DE RECURSOS LTDA</v>
          </cell>
          <cell r="E14124" t="str">
            <v>TARGET GESTÃƒO DE RECURSOS LTDA</v>
          </cell>
        </row>
        <row r="14125">
          <cell r="B14125">
            <v>144445</v>
          </cell>
          <cell r="C14125" t="str">
            <v>BNY MELLON SERVIÃ‡OS FINANCEIROS DTVM S/A</v>
          </cell>
          <cell r="D14125" t="str">
            <v>BNY MELLON SERVIÃ‡OS FINANCEIROS DTVM S/A</v>
          </cell>
          <cell r="E14125" t="str">
            <v>BNY MELLON SERVIÃ‡OS FINANCEIROS DTVM S/A</v>
          </cell>
        </row>
        <row r="14126">
          <cell r="B14126">
            <v>144446</v>
          </cell>
          <cell r="C14126" t="str">
            <v>LEBLON EQUITIES GESTAO DE RECURSOS LTDA</v>
          </cell>
          <cell r="D14126" t="str">
            <v>LEBLON EQUITIES GESTAO DE RECURSOS LTDA</v>
          </cell>
          <cell r="E14126" t="str">
            <v>LEBLON EQUITIES GESTAO DE RECURSOS LTDA</v>
          </cell>
        </row>
        <row r="14127">
          <cell r="B14127">
            <v>144447</v>
          </cell>
          <cell r="C14127" t="str">
            <v>NEST INVESTIMENTOS LTDA</v>
          </cell>
          <cell r="D14127" t="str">
            <v>NEST INVESTIMENTOS LTDA</v>
          </cell>
          <cell r="E14127" t="str">
            <v>NEST INVESTIMENTOS LTDA</v>
          </cell>
        </row>
        <row r="14128">
          <cell r="B14128">
            <v>144448</v>
          </cell>
          <cell r="C14128" t="str">
            <v>SAFDIE DTVM LTDA</v>
          </cell>
          <cell r="D14128" t="str">
            <v>SAFDIE DTVM LTDA</v>
          </cell>
          <cell r="E14128" t="str">
            <v>SAFDIE DTVM LTDA</v>
          </cell>
        </row>
        <row r="14129">
          <cell r="B14129">
            <v>144449</v>
          </cell>
          <cell r="C14129" t="str">
            <v>SECURITY ADMINISTRADORA DE RECURSOS LTDA</v>
          </cell>
          <cell r="D14129" t="str">
            <v>SECURITY ADMINISTRADORA DE RECURSOS LTDA</v>
          </cell>
          <cell r="E14129" t="str">
            <v>SECURITY ADMINISTRADORA DE RECURSOS LTDA</v>
          </cell>
        </row>
        <row r="14130">
          <cell r="B14130">
            <v>14445</v>
          </cell>
          <cell r="C14130" t="str">
            <v>HEDGING GRIFFO CV S/A</v>
          </cell>
          <cell r="D14130" t="str">
            <v>HEDGING GRIFFO CV S/A</v>
          </cell>
          <cell r="E14130" t="str">
            <v>HEDGING GRIFFO CV S/A</v>
          </cell>
        </row>
        <row r="14131">
          <cell r="B14131">
            <v>144450</v>
          </cell>
          <cell r="C14131" t="str">
            <v>NOVINVEST CVM LTDA</v>
          </cell>
          <cell r="D14131">
            <v>349</v>
          </cell>
          <cell r="E14131" t="str">
            <v>NOVINVEST CVM LTDA</v>
          </cell>
        </row>
        <row r="14132">
          <cell r="B14132">
            <v>144451</v>
          </cell>
          <cell r="C14132" t="str">
            <v>LATITUDE INVEST PARTNERS GESTÃƒO E FIN LTDA</v>
          </cell>
          <cell r="D14132" t="str">
            <v>LATITUDE INVEST PARTNERS GESTÃƒO E FIN LTDA</v>
          </cell>
          <cell r="E14132" t="str">
            <v>LATITUDE INVEST PARTNERS GESTÃƒO E FIN LTDA</v>
          </cell>
        </row>
        <row r="14133">
          <cell r="B14133">
            <v>144452</v>
          </cell>
          <cell r="C14133" t="str">
            <v>CONSENSO INVESTIMENTOS LTDA</v>
          </cell>
          <cell r="D14133">
            <v>316</v>
          </cell>
          <cell r="E14133" t="str">
            <v>CONSENSO INVESTIMENTOS LTDA</v>
          </cell>
        </row>
        <row r="14134">
          <cell r="B14134">
            <v>144453</v>
          </cell>
          <cell r="C14134" t="str">
            <v>IPANEMA GESTORA DE RECURSOS LTDA</v>
          </cell>
          <cell r="D14134" t="str">
            <v>192*</v>
          </cell>
          <cell r="E14134" t="str">
            <v>IPANEMA GESTORA DE RECURSOS LTDA</v>
          </cell>
        </row>
        <row r="14135">
          <cell r="B14135">
            <v>144454</v>
          </cell>
          <cell r="C14135" t="str">
            <v>AZ QUEST INVESTIMENTOS LTDA</v>
          </cell>
          <cell r="D14135" t="str">
            <v>AZ QUEST INVESTIMENTOS LTDA</v>
          </cell>
          <cell r="E14135" t="str">
            <v>AZ QUEST INVESTIMENTOS LTDA</v>
          </cell>
        </row>
        <row r="14136">
          <cell r="B14136">
            <v>144458</v>
          </cell>
          <cell r="C14136" t="str">
            <v>PATRIA INVESTIMENTOS LTDA</v>
          </cell>
          <cell r="D14136">
            <v>321</v>
          </cell>
          <cell r="E14136" t="str">
            <v>PATRIA INVESTIMENTOS LTDA</v>
          </cell>
        </row>
        <row r="14137">
          <cell r="B14137">
            <v>144459</v>
          </cell>
          <cell r="C14137" t="str">
            <v>BI CAPITAL GESTÃƒO DE RECURSOS LTDA</v>
          </cell>
          <cell r="D14137" t="str">
            <v>BI CAPITAL GESTÃƒO DE RECURSOS LTDA</v>
          </cell>
          <cell r="E14137" t="str">
            <v>BI CAPITAL GESTÃƒO DE RECURSOS LTDA</v>
          </cell>
        </row>
        <row r="14138">
          <cell r="B14138">
            <v>14446</v>
          </cell>
          <cell r="C14138" t="str">
            <v>ROOT CAPITAL GESTAO DE RECURSOS LTDA</v>
          </cell>
          <cell r="D14138" t="str">
            <v>ROOT CAPITAL GESTAO DE RECURSOS LTDA</v>
          </cell>
          <cell r="E14138" t="str">
            <v>ROOT CAPITAL - GESTÃO DE RECURSOS LTDA</v>
          </cell>
        </row>
        <row r="14139">
          <cell r="B14139">
            <v>144460</v>
          </cell>
          <cell r="C14139" t="str">
            <v>ADVIS INVESTIMENTOS LTDA (ANTIGO ADVISOR ADM DE RECURSOS)</v>
          </cell>
          <cell r="D14139">
            <v>346</v>
          </cell>
          <cell r="E14139" t="str">
            <v>ADVIS INVESTIMENTOS LTDA (ANTIGO ADVISOR ADM DE RECURSOS)</v>
          </cell>
        </row>
        <row r="14140">
          <cell r="B14140">
            <v>14447</v>
          </cell>
          <cell r="C14140" t="str">
            <v>BANCO BOCOM BBM S.A</v>
          </cell>
          <cell r="D14140" t="str">
            <v>BANCO BOCOM BBM S.A</v>
          </cell>
          <cell r="E14140" t="str">
            <v>BANCO BOCOM BBM S/A</v>
          </cell>
        </row>
        <row r="14141">
          <cell r="B14141">
            <v>144475</v>
          </cell>
          <cell r="C14141" t="str">
            <v>VINCI GESTORA DE RECURSOS LTDA</v>
          </cell>
          <cell r="D14141" t="str">
            <v>VINCI GESTORA DE RECURSOS LTDA</v>
          </cell>
          <cell r="E14141" t="str">
            <v>VINCI GESTORA DE RECURSOS LTDA</v>
          </cell>
        </row>
        <row r="14142">
          <cell r="B14142">
            <v>14448</v>
          </cell>
          <cell r="C14142" t="str">
            <v>BANCO BOCOM BBM S.A</v>
          </cell>
          <cell r="D14142" t="str">
            <v>BANCO BOCOM BBM S.A</v>
          </cell>
          <cell r="E14142" t="str">
            <v>BANCO BOCOM BBM S/A</v>
          </cell>
        </row>
        <row r="14143">
          <cell r="B14143">
            <v>144482</v>
          </cell>
          <cell r="C14143" t="str">
            <v>FORSIX ADMINISTRADORA DE RECURSOS LTDA</v>
          </cell>
          <cell r="D14143">
            <v>332</v>
          </cell>
          <cell r="E14143" t="str">
            <v>FORSIX ADMINISTRADORA DE RECURSOS LTDA</v>
          </cell>
        </row>
        <row r="14144">
          <cell r="B14144">
            <v>144483</v>
          </cell>
          <cell r="C14144" t="str">
            <v>BANK OF AMERICA MERRILL LYNCH BANCO MULTIPLO S/A</v>
          </cell>
          <cell r="D14144" t="str">
            <v>BANK OF AMERICA MERRILL LYNCH BANCO MULTIPLO S/A</v>
          </cell>
          <cell r="E14144" t="str">
            <v>BANK OF AMERICA MERRILL LYNCH BANCO MULTIPLO S/A</v>
          </cell>
        </row>
        <row r="14145">
          <cell r="B14145">
            <v>144484</v>
          </cell>
          <cell r="C14145" t="str">
            <v>APOENA GESTORA DE RECURSOS LTDA</v>
          </cell>
          <cell r="D14145" t="str">
            <v>APOENA GESTORA DE RECURSOS LTDA</v>
          </cell>
          <cell r="E14145" t="str">
            <v>APOENA GESTORA DE RECURSOS LTDA</v>
          </cell>
        </row>
        <row r="14146">
          <cell r="B14146">
            <v>144485</v>
          </cell>
          <cell r="C14146" t="str">
            <v>GAP GESTORA DE RECURSOS LTDA</v>
          </cell>
          <cell r="D14146" t="str">
            <v>GAP GESTORA DE RECURSOS LTDA</v>
          </cell>
          <cell r="E14146" t="str">
            <v>GAP GESTORA DE RECURSOS LTDA</v>
          </cell>
        </row>
        <row r="14147">
          <cell r="B14147">
            <v>144486</v>
          </cell>
          <cell r="C14147" t="str">
            <v>GAP PRUDENTIAL LT GESTAO DE RECURSOS LTDA</v>
          </cell>
          <cell r="D14147" t="str">
            <v>GAP PRUDENTIAL LT GESTAO DE RECURSOS LTDA</v>
          </cell>
          <cell r="E14147" t="str">
            <v>GAP PRUDENTIAL LT GESTAO DE RECURSOS LTDA</v>
          </cell>
        </row>
        <row r="14148">
          <cell r="B14148">
            <v>144487</v>
          </cell>
          <cell r="C14148" t="str">
            <v>CITIBANK DTVM S/A</v>
          </cell>
          <cell r="D14148">
            <v>16</v>
          </cell>
          <cell r="E14148" t="str">
            <v>CITIBANK DTVM S/A</v>
          </cell>
        </row>
        <row r="14149">
          <cell r="B14149">
            <v>144488</v>
          </cell>
          <cell r="C14149" t="str">
            <v>KONDOR ADMINISTRADORA E GESTORA DE RECURSOS FINANCEIROS LTDA</v>
          </cell>
          <cell r="D14149" t="str">
            <v>KONDOR ADMINISTRADORA E GESTORA DE RECURSOS FINANCEIROS LTDA</v>
          </cell>
          <cell r="E14149" t="str">
            <v>KONDOR ADMINISTRADORA E GESTORA DE RECURSOS FINANCEIROS LTDA</v>
          </cell>
        </row>
        <row r="14150">
          <cell r="B14150">
            <v>144489</v>
          </cell>
          <cell r="C14150" t="str">
            <v>DYNAMO ADMINISTRACAO DE RECURSOS LTDA</v>
          </cell>
          <cell r="D14150">
            <v>399</v>
          </cell>
          <cell r="E14150" t="str">
            <v>DYNAMO ADMINISTRACAO DE RECURSOS LTDA</v>
          </cell>
        </row>
        <row r="14151">
          <cell r="B14151">
            <v>14449</v>
          </cell>
          <cell r="C14151" t="str">
            <v>BBM HIGH YIELD 1 FIM</v>
          </cell>
          <cell r="D14151" t="str">
            <v>BBM HIGH YIELD 1 FIM</v>
          </cell>
          <cell r="E14151" t="str">
            <v>BBM HIGH YIELD 1 FIM</v>
          </cell>
        </row>
        <row r="14152">
          <cell r="B14152">
            <v>144491</v>
          </cell>
          <cell r="C14152" t="str">
            <v>MAXIMA ASSET MANAGEMENT LTDA</v>
          </cell>
          <cell r="D14152">
            <v>98082</v>
          </cell>
          <cell r="E14152" t="str">
            <v>MAXIMA ASSET MANAGEMENT LTDA</v>
          </cell>
        </row>
        <row r="14153">
          <cell r="B14153">
            <v>144492</v>
          </cell>
          <cell r="C14153" t="str">
            <v>TEMPO CAPITAL GESTAO DE RECURSOS LTDA</v>
          </cell>
          <cell r="D14153" t="str">
            <v>TEMPO CAPITAL GESTAO DE RECURSOS LTDA</v>
          </cell>
          <cell r="E14153" t="str">
            <v>TEMPO CAPITAL GESTAO DE RECURSOS LTDA</v>
          </cell>
        </row>
        <row r="14154">
          <cell r="B14154">
            <v>144493</v>
          </cell>
          <cell r="C14154" t="str">
            <v>BEHAVIOR GESTAO DE CAPITAL LTDA</v>
          </cell>
          <cell r="D14154">
            <v>954</v>
          </cell>
          <cell r="E14154" t="str">
            <v>BEHAVIOR GESTAO DE CAPITAL LTDA</v>
          </cell>
        </row>
        <row r="14155">
          <cell r="B14155">
            <v>144494</v>
          </cell>
          <cell r="C14155" t="str">
            <v>ADVIS EQUITIES ADMINISTRAÃ‡ÃƒO DE RECURSOS LTDA</v>
          </cell>
          <cell r="D14155" t="str">
            <v>ADVIS EQUITIES ADMINISTRAÃ‡ÃƒO DE RECURSOS LTDA</v>
          </cell>
          <cell r="E14155" t="str">
            <v>REAG ASSET MANAGEMENT LTDA</v>
          </cell>
        </row>
        <row r="14156">
          <cell r="B14156">
            <v>144495</v>
          </cell>
          <cell r="C14156" t="str">
            <v>KADIMA GESTAO DE INVESTIMENTOS LTDA</v>
          </cell>
          <cell r="D14156">
            <v>380</v>
          </cell>
          <cell r="E14156" t="str">
            <v>KADIMA GESTAO DE INVESTIMENTOS LTDA</v>
          </cell>
        </row>
        <row r="14157">
          <cell r="B14157">
            <v>79162</v>
          </cell>
          <cell r="C14157" t="str">
            <v>XP MACRO FIM</v>
          </cell>
          <cell r="D14157" t="str">
            <v>XP MACRO FIM</v>
          </cell>
          <cell r="E14157" t="str">
            <v>XP GESTAO DE RECURSOS LTDA</v>
          </cell>
        </row>
        <row r="14158">
          <cell r="B14158">
            <v>144497</v>
          </cell>
          <cell r="C14158" t="str">
            <v>APPIA PRIME GESTAO DE RECURSOS LTDA</v>
          </cell>
          <cell r="D14158" t="str">
            <v>APPIA PRIME GESTAO DE RECURSOS LTDA</v>
          </cell>
          <cell r="E14158" t="str">
            <v>APPIA PRIME GESTAO DE RECURSOS LTDA</v>
          </cell>
        </row>
        <row r="14159">
          <cell r="B14159">
            <v>144498</v>
          </cell>
          <cell r="C14159" t="str">
            <v>AMPLIO CAPITAL LTDA</v>
          </cell>
          <cell r="D14159" t="str">
            <v>AMPLIO CAPITAL LTDA</v>
          </cell>
          <cell r="E14159" t="str">
            <v>AMPLIO CAPITAL LTDA</v>
          </cell>
        </row>
        <row r="14160">
          <cell r="B14160">
            <v>80700</v>
          </cell>
          <cell r="C14160" t="str">
            <v>IBIUNA LONG BIASED MASTER FIF CLASSE DE INV MULT RL</v>
          </cell>
          <cell r="D14160" t="str">
            <v>IBIUNA LONG BIASED MASTER FIF CLASSE DE INV MULT RL</v>
          </cell>
          <cell r="E14160" t="str">
            <v>IBIUNA GESTAO DE RECURSOS LTDA</v>
          </cell>
        </row>
        <row r="14161">
          <cell r="B14161">
            <v>14450</v>
          </cell>
          <cell r="C14161" t="str">
            <v>BBM IBOV FMIA - CARTEIRA LIVRE</v>
          </cell>
          <cell r="D14161" t="str">
            <v>BBM IBOV FMIA - CARTEIRA LIVRE</v>
          </cell>
          <cell r="E14161" t="str">
            <v>BBM IBOV FMIA - CARTEIRA LIVRE</v>
          </cell>
        </row>
        <row r="14162">
          <cell r="B14162">
            <v>144500</v>
          </cell>
          <cell r="C14162" t="str">
            <v>BANCO SOCIETE GENERALE BRASIL S/A</v>
          </cell>
          <cell r="D14162" t="str">
            <v>BANCO SOCIETE GENERALE BRASIL S/A</v>
          </cell>
          <cell r="E14162" t="str">
            <v>BANCO SOCIETE GENERALE BRASIL S/A</v>
          </cell>
        </row>
        <row r="14163">
          <cell r="B14163">
            <v>144501</v>
          </cell>
          <cell r="C14163" t="str">
            <v>BNY MELLON ALOCACAO DE PATRIMONIO LTDA</v>
          </cell>
          <cell r="D14163" t="str">
            <v>BNY MELLON ALOCACAO DE PATRIMONIO LTDA</v>
          </cell>
          <cell r="E14163" t="str">
            <v>BNY MELLON ALOCACAO DE PATRIMONIO LTDA</v>
          </cell>
        </row>
        <row r="14164">
          <cell r="B14164">
            <v>144502</v>
          </cell>
          <cell r="C14164" t="str">
            <v>KINITRO CAPITAL GESTAO DE RECURSOS DE TERCEIROS LTDA</v>
          </cell>
          <cell r="D14164" t="str">
            <v>KINITRO CAPITAL GESTAO DE RECURSOS DE TERCEIROS LTDA</v>
          </cell>
          <cell r="E14164" t="str">
            <v>KINITRO CAPITAL GESTAO DE RECURSOS DE TERCEIROS LTDA</v>
          </cell>
        </row>
        <row r="14165">
          <cell r="B14165">
            <v>144503</v>
          </cell>
          <cell r="C14165" t="str">
            <v>ABSOLUTE GESTAO DE INVESTIMENTOS LTDA</v>
          </cell>
          <cell r="D14165" t="str">
            <v>ABSOLUTE GESTAO DE INVESTIMENTOS LTDA</v>
          </cell>
          <cell r="E14165" t="str">
            <v>ABSOLUTE GESTAO DE INVESTIMENTOS LTDA</v>
          </cell>
        </row>
        <row r="14166">
          <cell r="B14166">
            <v>79187</v>
          </cell>
          <cell r="C14166" t="str">
            <v>BRASIL PLURAL YIELD FI REFERENCIADO DI</v>
          </cell>
          <cell r="D14166" t="str">
            <v>BRASIL PLURAL YIELD FI REFERENCIADO DI</v>
          </cell>
          <cell r="E14166" t="str">
            <v>PLURAL GESTÃO DE RECURSOS LTDA</v>
          </cell>
        </row>
        <row r="14167">
          <cell r="B14167">
            <v>144505</v>
          </cell>
          <cell r="C14167" t="str">
            <v>MERCATTO GESTAO DE RECURSOS LTDA</v>
          </cell>
          <cell r="D14167" t="str">
            <v>MERCATTO GESTAO DE RECURSOS LTDA</v>
          </cell>
          <cell r="E14167" t="str">
            <v>MERCATTO GESTAO DE RECURSOS LTDA</v>
          </cell>
        </row>
        <row r="14168">
          <cell r="B14168">
            <v>144506</v>
          </cell>
          <cell r="C14168" t="str">
            <v>QUANTITAS GESTAO DE RECURSOS LTDA</v>
          </cell>
          <cell r="D14168" t="str">
            <v>QUANTITAS GESTAO DE RECURSOS LTDA</v>
          </cell>
          <cell r="E14168" t="str">
            <v>QUANTITAS GESTAO DE RECURSOS LTDA</v>
          </cell>
        </row>
        <row r="14169">
          <cell r="B14169">
            <v>144507</v>
          </cell>
          <cell r="C14169" t="str">
            <v>IPANEMA GESTORA DE RECURSOS LTDA</v>
          </cell>
          <cell r="D14169" t="str">
            <v>IPANEMA GESTORA DE RECURSOS LTDA</v>
          </cell>
          <cell r="E14169" t="str">
            <v>IPANEMA GESTORA DE RECURSOS LTDA</v>
          </cell>
        </row>
        <row r="14170">
          <cell r="B14170">
            <v>144508</v>
          </cell>
          <cell r="C14170" t="str">
            <v>CITIBANK DTVM S/A</v>
          </cell>
          <cell r="D14170" t="str">
            <v>CITIBANK DTVM S/A</v>
          </cell>
          <cell r="E14170" t="str">
            <v>CITIBANK DTVM S/A</v>
          </cell>
        </row>
        <row r="14171">
          <cell r="B14171">
            <v>144509</v>
          </cell>
          <cell r="C14171" t="str">
            <v>CAIXA SEGURADORA S/A</v>
          </cell>
          <cell r="D14171" t="str">
            <v>CAIXA SEGURADORA S/A</v>
          </cell>
          <cell r="E14171" t="str">
            <v>CAIXA SEGURADORA S/A</v>
          </cell>
        </row>
        <row r="14172">
          <cell r="B14172">
            <v>14451</v>
          </cell>
          <cell r="C14172" t="str">
            <v>BANCO CITIBANK S/A</v>
          </cell>
          <cell r="D14172" t="str">
            <v>BANCO CITIBANK S/A</v>
          </cell>
          <cell r="E14172" t="str">
            <v>BANCO CITIBANK S/A</v>
          </cell>
        </row>
        <row r="14173">
          <cell r="B14173">
            <v>82467</v>
          </cell>
          <cell r="C14173" t="str">
            <v>BANCO BRADESCO S/A</v>
          </cell>
          <cell r="D14173" t="str">
            <v>78*</v>
          </cell>
          <cell r="E14173" t="str">
            <v>BRAM - BRADESCO ASSET MANAGEMENT S/A DTVM</v>
          </cell>
        </row>
        <row r="14174">
          <cell r="B14174">
            <v>144512</v>
          </cell>
          <cell r="C14174" t="str">
            <v>RIVIERA GESTORA DE RECURSOS LTDA</v>
          </cell>
          <cell r="D14174" t="str">
            <v>RIVIERA GESTORA DE RECURSOS LTDA</v>
          </cell>
          <cell r="E14174" t="str">
            <v>RIVIERA GESTORA DE RECURSOS LTDA</v>
          </cell>
        </row>
        <row r="14175">
          <cell r="B14175">
            <v>80699</v>
          </cell>
          <cell r="C14175" t="str">
            <v>IBIUNA PREVIDENCIA MASTER FUNDO DE INVESTIMENTO MULTIMERCADO</v>
          </cell>
          <cell r="D14175" t="str">
            <v>IBIUNA PREVIDENCIA MASTER FUNDO DE INVESTIMENTO MULTIMERCADO</v>
          </cell>
          <cell r="E14175" t="str">
            <v>IBIUNA GESTAO DE RECURSOS LTDA</v>
          </cell>
        </row>
        <row r="14176">
          <cell r="B14176">
            <v>144514</v>
          </cell>
          <cell r="C14176" t="str">
            <v>REAG WM GESTORA DE PATRIMÃ”NIO LTDA</v>
          </cell>
          <cell r="D14176" t="str">
            <v>REAG WM GESTORA DE PATRIMÃ”NIO LTDA</v>
          </cell>
          <cell r="E14176" t="str">
            <v>REAG ASSET MANAGEMENT LTDA</v>
          </cell>
        </row>
        <row r="14177">
          <cell r="B14177">
            <v>144515</v>
          </cell>
          <cell r="C14177" t="str">
            <v>QUATA GESTAO DE RECURSOS LTDA</v>
          </cell>
          <cell r="D14177" t="str">
            <v>QUATA GESTAO DE RECURSOS LTDA</v>
          </cell>
          <cell r="E14177" t="str">
            <v>QUATA GESTAO DE RECURSOS LTDA</v>
          </cell>
        </row>
        <row r="14178">
          <cell r="B14178">
            <v>144516</v>
          </cell>
          <cell r="C14178" t="str">
            <v>IRIS INVESTIMENTOS E GESTAO DE RECURSOS LTDA</v>
          </cell>
          <cell r="D14178" t="str">
            <v>IRIS INVESTIMENTOS E GESTAO DE RECURSOS LTDA</v>
          </cell>
          <cell r="E14178" t="str">
            <v>IRIS INVESTIMENTOS E GESTAO DE RECURSOS LTDA</v>
          </cell>
        </row>
        <row r="14179">
          <cell r="B14179">
            <v>144517</v>
          </cell>
          <cell r="C14179" t="str">
            <v>INVESTIDOR PROFISSIONAL GESTAO DE RECURSOS LTDA</v>
          </cell>
          <cell r="D14179" t="str">
            <v>INVESTIDOR PROFISSIONAL GESTAO DE RECURSOS LTDA</v>
          </cell>
          <cell r="E14179" t="str">
            <v>INVESTIDOR PROFISSIONAL GESTAO DE RECURSOS LTDA</v>
          </cell>
        </row>
        <row r="14180">
          <cell r="B14180">
            <v>144518</v>
          </cell>
          <cell r="C14180" t="str">
            <v>IP ADMINISTRAÃ‡ÃƒO DE CARTEIRAS GLOBAL LTDA</v>
          </cell>
          <cell r="D14180" t="str">
            <v>IP ADMINISTRAÃ‡ÃƒO DE CARTEIRAS GLOBAL LTDA</v>
          </cell>
          <cell r="E14180" t="str">
            <v>IP ADMINISTRAÃ‡ÃƒO DE CARTEIRAS GLOBAL LTDA</v>
          </cell>
        </row>
        <row r="14181">
          <cell r="B14181">
            <v>144519</v>
          </cell>
          <cell r="C14181" t="str">
            <v>VINCI SOLUÃ‡Ã•ES DE INVESTIMENTOS LTDA</v>
          </cell>
          <cell r="D14181" t="str">
            <v>VINCI SOLUÃ‡Ã•ES DE INVESTIMENTOS LTDA</v>
          </cell>
          <cell r="E14181" t="str">
            <v>VINCI GESTORA DE RECURSOS LTDA</v>
          </cell>
        </row>
        <row r="14182">
          <cell r="B14182">
            <v>80195</v>
          </cell>
          <cell r="C14182" t="str">
            <v>BANCO SANTANDER S.A (HISPANO)</v>
          </cell>
          <cell r="D14182" t="str">
            <v>BANCO SANTANDER S.A (HISPANO)</v>
          </cell>
          <cell r="E14182" t="str">
            <v>BANCO SANTANDER S/A (HISPANO)</v>
          </cell>
        </row>
        <row r="14183">
          <cell r="B14183">
            <v>144520</v>
          </cell>
          <cell r="C14183" t="str">
            <v>BB GESTAO DE RECURSOS DTVM LTDA</v>
          </cell>
          <cell r="D14183" t="str">
            <v>BB GESTAO DE RECURSOS DTVM LTDA</v>
          </cell>
          <cell r="E14183" t="str">
            <v>BB GESTAO DE RECURSOS DTVM LTDA</v>
          </cell>
        </row>
        <row r="14184">
          <cell r="B14184">
            <v>144521</v>
          </cell>
          <cell r="C14184" t="str">
            <v>ADVIS INVESTIMENTOS LTDA (ANTIGO ADVISOR ADM DE RECURSOS)</v>
          </cell>
          <cell r="D14184" t="str">
            <v>ADVIS INVESTIMENTOS LTDA (ANTIGO ADVISOR ADM DE RECURSOS)</v>
          </cell>
          <cell r="E14184" t="str">
            <v>ADVIS INVESTIMENTOS LTDA (ANTIGO ADVISOR ADM DE RECURSOS)</v>
          </cell>
        </row>
        <row r="14185">
          <cell r="B14185">
            <v>144522</v>
          </cell>
          <cell r="C14185" t="str">
            <v>OPUS GESTAO DE RECURSOS LTDA</v>
          </cell>
          <cell r="D14185" t="str">
            <v>OPUS GESTAO DE RECURSOS LTDA</v>
          </cell>
          <cell r="E14185" t="str">
            <v>OPUS GESTAO DE RECURSOS LTDA</v>
          </cell>
        </row>
        <row r="14186">
          <cell r="B14186">
            <v>144523</v>
          </cell>
          <cell r="C14186" t="str">
            <v>QUANTITAS GESTAO DE RECURSOS LTDA</v>
          </cell>
          <cell r="D14186" t="str">
            <v>QUANTITAS GESTAO DE RECURSOS LTDA</v>
          </cell>
          <cell r="E14186" t="str">
            <v>QUANTITAS GESTAO DE RECURSOS LTDA</v>
          </cell>
        </row>
        <row r="14187">
          <cell r="B14187">
            <v>144524</v>
          </cell>
          <cell r="C14187" t="str">
            <v>RIO PERFORMANCE GESTAO DE RECURSOS LTDA</v>
          </cell>
          <cell r="D14187" t="str">
            <v>RIO PERFORMANCE GESTAO DE RECURSOS LTDA</v>
          </cell>
          <cell r="E14187" t="str">
            <v>RIO PERFORMANCE GESTAO DE RECURSOS LTDA</v>
          </cell>
        </row>
        <row r="14188">
          <cell r="B14188">
            <v>144525</v>
          </cell>
          <cell r="C14188" t="str">
            <v>KADIMA GESTAO DE INVESTIMENTOS LTDA</v>
          </cell>
          <cell r="D14188" t="str">
            <v>KADIMA GESTAO DE INVESTIMENTOS LTDA</v>
          </cell>
          <cell r="E14188" t="str">
            <v>KADIMA GESTAO DE INVESTIMENTOS LTDA</v>
          </cell>
        </row>
        <row r="14189">
          <cell r="B14189">
            <v>79240</v>
          </cell>
          <cell r="C14189" t="str">
            <v>XP GESTAO DE RECURSOS LTDA</v>
          </cell>
          <cell r="D14189">
            <v>392</v>
          </cell>
          <cell r="E14189" t="str">
            <v>XP GESTAO DE RECURSOS LTDA</v>
          </cell>
        </row>
        <row r="14190">
          <cell r="B14190">
            <v>144527</v>
          </cell>
          <cell r="C14190" t="str">
            <v>PRINCIPAL ASSET MANAGEMENT LTDA</v>
          </cell>
          <cell r="D14190" t="str">
            <v>PRINCIPAL ASSET MANAGEMENT LTDA</v>
          </cell>
          <cell r="E14190" t="str">
            <v>PRINCIPAL ASSET MANAGEMENT LTDA</v>
          </cell>
        </row>
        <row r="14191">
          <cell r="B14191">
            <v>144528</v>
          </cell>
          <cell r="C14191" t="str">
            <v>TF GESTAO DE RECURSOS LTDA</v>
          </cell>
          <cell r="D14191" t="str">
            <v>TF GESTAO DE RECURSOS LTDA</v>
          </cell>
          <cell r="E14191" t="str">
            <v>TF GESTAO DE RECURSOS LTDA</v>
          </cell>
        </row>
        <row r="14192">
          <cell r="B14192">
            <v>144529</v>
          </cell>
          <cell r="C14192" t="str">
            <v>UNICA ADMINISTRACAO E GESTAO DE RECURSOS LTDA</v>
          </cell>
          <cell r="D14192" t="str">
            <v>UNICA ADMINISTRACAO E GESTAO DE RECURSOS LTDA</v>
          </cell>
          <cell r="E14192" t="str">
            <v>UNICA ADMINISTRACAO E GESTAO DE RECURSOS LTDA</v>
          </cell>
        </row>
        <row r="14193">
          <cell r="B14193">
            <v>14453</v>
          </cell>
          <cell r="C14193" t="str">
            <v>BANCO BOCOM BBM S.A</v>
          </cell>
          <cell r="D14193" t="str">
            <v>BANCO BOCOM BBM S.A</v>
          </cell>
          <cell r="E14193" t="str">
            <v>BANCO BOCOM BBM S/A</v>
          </cell>
        </row>
        <row r="14194">
          <cell r="B14194">
            <v>144530</v>
          </cell>
          <cell r="C14194" t="str">
            <v>VINCI GESTORA DE RECURSOS LTDA</v>
          </cell>
          <cell r="D14194" t="str">
            <v>VINCI GESTORA DE RECURSOS LTDA</v>
          </cell>
          <cell r="E14194" t="str">
            <v>VINCI GESTORA DE RECURSOS LTDA</v>
          </cell>
        </row>
        <row r="14195">
          <cell r="B14195">
            <v>144531</v>
          </cell>
          <cell r="C14195" t="str">
            <v>CITRINO GESTAO DE RECURSOS LTDA</v>
          </cell>
          <cell r="D14195" t="str">
            <v>CITRINO GESTAO DE RECURSOS LTDA</v>
          </cell>
          <cell r="E14195" t="str">
            <v>CITRINO GESTAO DE RECURSOS LTDA</v>
          </cell>
        </row>
        <row r="14196">
          <cell r="B14196">
            <v>144532</v>
          </cell>
          <cell r="C14196" t="str">
            <v>GARDE ASSET MANAGEMENT GESTAO DE RECURSOS LTDA</v>
          </cell>
          <cell r="D14196" t="str">
            <v>GARDE ASSET MANAGEMENT GESTAO DE RECURSOS LTDA</v>
          </cell>
          <cell r="E14196" t="str">
            <v>GARDE ASSET MANAGEMENT GESTAO DE RECURSOS LTDA</v>
          </cell>
        </row>
        <row r="14197">
          <cell r="B14197">
            <v>79412</v>
          </cell>
          <cell r="C14197" t="str">
            <v>SUL AMERICA INVESTIMENTOS DTVM S/A</v>
          </cell>
          <cell r="D14197" t="str">
            <v>109*</v>
          </cell>
          <cell r="E14197" t="str">
            <v>SUL AMERICA INVESTIMENTOS GESTORA DE RECURSOS S/A</v>
          </cell>
        </row>
        <row r="14198">
          <cell r="B14198">
            <v>144534</v>
          </cell>
          <cell r="C14198" t="str">
            <v>IRB BRASIL RESSEGUROS S.A.</v>
          </cell>
          <cell r="D14198" t="str">
            <v>IRB BRASIL RESSEGUROS S.A.</v>
          </cell>
          <cell r="E14198" t="str">
            <v>IRB BRASIL RESSEGUROS S.A.</v>
          </cell>
        </row>
        <row r="14199">
          <cell r="B14199">
            <v>144535</v>
          </cell>
          <cell r="C14199" t="str">
            <v>GRIMPER CAPITAL GESTORA DE RECURSOS LTDA</v>
          </cell>
          <cell r="D14199" t="str">
            <v>GRIMPER CAPITAL GESTORA DE RECURSOS LTDA</v>
          </cell>
          <cell r="E14199" t="str">
            <v>GRIMPER CAPITAL GESTORA DE RECURSOS LTDA</v>
          </cell>
        </row>
        <row r="14200">
          <cell r="B14200">
            <v>144536</v>
          </cell>
          <cell r="C14200" t="str">
            <v>GRIMPER CAPITAL GESTORA DE RECURSOS LTDA</v>
          </cell>
          <cell r="D14200" t="str">
            <v>GRIMPER CAPITAL GESTORA DE RECURSOS LTDA</v>
          </cell>
          <cell r="E14200" t="str">
            <v>GRIMPER CAPITAL GESTORA DE RECURSOS LTDA</v>
          </cell>
        </row>
        <row r="14201">
          <cell r="B14201">
            <v>144537</v>
          </cell>
          <cell r="C14201" t="str">
            <v>DYNAMO ADMINISTRACAO DE RECURSOS LTDA</v>
          </cell>
          <cell r="D14201" t="str">
            <v>DYNAMO ADMINISTRACAO DE RECURSOS LTDA</v>
          </cell>
          <cell r="E14201" t="str">
            <v>DYNAMO ADMINISTRACAO DE RECURSOS LTDA</v>
          </cell>
        </row>
        <row r="14202">
          <cell r="B14202">
            <v>144538</v>
          </cell>
          <cell r="C14202" t="str">
            <v>NOVUS CAPITAL GESTORA DE RECURSOS LTDA</v>
          </cell>
          <cell r="D14202" t="str">
            <v>NOVUS CAPITAL GESTORA DE RECURSOS LTDA</v>
          </cell>
          <cell r="E14202" t="str">
            <v>NOVUS CAPITAL GESTORA DE RECURSOS LTDA</v>
          </cell>
        </row>
        <row r="14203">
          <cell r="B14203">
            <v>144539</v>
          </cell>
          <cell r="C14203" t="str">
            <v>BRASIF GESTAO INTERNACIONAL LTDA</v>
          </cell>
          <cell r="D14203" t="str">
            <v>BRASIF GESTAO INTERNACIONAL LTDA</v>
          </cell>
          <cell r="E14203" t="str">
            <v>BRASIF GESTAO INTERNACIONAL LTDA</v>
          </cell>
        </row>
        <row r="14204">
          <cell r="B14204">
            <v>14454</v>
          </cell>
          <cell r="C14204" t="str">
            <v>BANCO BOCOM BBM S.A</v>
          </cell>
          <cell r="D14204" t="str">
            <v>BANCO BOCOM BBM S.A</v>
          </cell>
          <cell r="E14204" t="str">
            <v>BANCO BOCOM BBM S/A</v>
          </cell>
        </row>
        <row r="14205">
          <cell r="B14205">
            <v>144540</v>
          </cell>
          <cell r="C14205" t="str">
            <v>WRIGHT CAPITAL GESTAO DE RECURSOS LTDA</v>
          </cell>
          <cell r="D14205" t="str">
            <v>WRIGHT CAPITAL GESTAO DE RECURSOS LTDA</v>
          </cell>
          <cell r="E14205" t="str">
            <v>WRIGHT CAPITAL GESTAO DE RECURSOS LTDA</v>
          </cell>
        </row>
        <row r="14206">
          <cell r="B14206">
            <v>144541</v>
          </cell>
          <cell r="C14206" t="str">
            <v>VISTA CAPITAL GESTORA DE RECURSOS LTDA.</v>
          </cell>
          <cell r="D14206" t="str">
            <v>VISTA CAPITAL GESTORA DE RECURSOS LTDA.</v>
          </cell>
          <cell r="E14206" t="str">
            <v>VISTA CAPITAL GESTORA DE RECURSOS LTDA</v>
          </cell>
        </row>
        <row r="14207">
          <cell r="B14207">
            <v>144542</v>
          </cell>
          <cell r="C14207" t="str">
            <v>WRIGHT CAPITAL GESTAO DE RECURSOS LTDA</v>
          </cell>
          <cell r="D14207" t="str">
            <v>WRIGHT CAPITAL GESTAO DE RECURSOS LTDA</v>
          </cell>
          <cell r="E14207" t="str">
            <v>WRIGHT CAPITAL GESTAO DE RECURSOS LTDA</v>
          </cell>
        </row>
        <row r="14208">
          <cell r="B14208">
            <v>144543</v>
          </cell>
          <cell r="C14208" t="str">
            <v>ARGUCIACAPITAL GESTAO DE RECURSOS LTDA</v>
          </cell>
          <cell r="D14208" t="str">
            <v>ARGUCIACAPITAL GESTAO DE RECURSOS LTDA</v>
          </cell>
          <cell r="E14208" t="str">
            <v>ARGUCIA CAPITAL GESTAO DE RECURSOS LTDA</v>
          </cell>
        </row>
        <row r="14209">
          <cell r="B14209">
            <v>144544</v>
          </cell>
          <cell r="C14209" t="str">
            <v>ELLEVEN GESTORA DE RECURSOS LTDA</v>
          </cell>
          <cell r="D14209" t="str">
            <v>ELLEVEN GESTORA DE RECURSOS LTDA</v>
          </cell>
          <cell r="E14209" t="str">
            <v>ELLEVEN GESTORA DE RECURSOS LTDA</v>
          </cell>
        </row>
        <row r="14210">
          <cell r="B14210">
            <v>144545</v>
          </cell>
          <cell r="C14210" t="str">
            <v>ARIA CAPITAL ASSET ADM DE RECURSOS LTDA</v>
          </cell>
          <cell r="D14210" t="str">
            <v>ARIA CAPITAL ASSET ADM DE RECURSOS LTDA</v>
          </cell>
          <cell r="E14210" t="str">
            <v>ARIA CAPITAL ASSET ADM DE RECURSOS LTDA</v>
          </cell>
        </row>
        <row r="14211">
          <cell r="B14211">
            <v>144546</v>
          </cell>
          <cell r="C14211" t="str">
            <v>FINGER LAKER GESTORA DE RECURSOS LTDA</v>
          </cell>
          <cell r="D14211" t="str">
            <v>FINGER LAKER GESTORA DE RECURSOS LTDA</v>
          </cell>
          <cell r="E14211" t="str">
            <v>FINGER LAKER GESTORA DE RECURSOS LTDA</v>
          </cell>
        </row>
        <row r="14212">
          <cell r="B14212">
            <v>14457</v>
          </cell>
          <cell r="C14212" t="str">
            <v>BANCO BOCOM BBM S.A</v>
          </cell>
          <cell r="D14212" t="str">
            <v>BANCO BOCOM BBM S.A</v>
          </cell>
          <cell r="E14212" t="str">
            <v>BANCO BOCOM BBM S/A</v>
          </cell>
        </row>
        <row r="14213">
          <cell r="B14213">
            <v>14458</v>
          </cell>
          <cell r="C14213" t="str">
            <v>BBM ADMINISTRACAO DE RECURSOS</v>
          </cell>
          <cell r="D14213" t="str">
            <v>BBM ADMINISTRACAO DE RECURSOS</v>
          </cell>
          <cell r="E14213" t="str">
            <v>BBM ADMINISTRACAO DE RECURSOS</v>
          </cell>
        </row>
        <row r="14214">
          <cell r="B14214">
            <v>14460</v>
          </cell>
          <cell r="C14214" t="str">
            <v>BANCO BOCOM BBM S.A</v>
          </cell>
          <cell r="D14214" t="str">
            <v>BANCO BOCOM BBM S.A</v>
          </cell>
          <cell r="E14214" t="str">
            <v>BANCO BOCOM BBM S/A</v>
          </cell>
        </row>
        <row r="14215">
          <cell r="B14215">
            <v>14461</v>
          </cell>
          <cell r="C14215" t="str">
            <v>BANCO BOCOM BBM S.A</v>
          </cell>
          <cell r="D14215" t="str">
            <v>BANCO BOCOM BBM S.A</v>
          </cell>
          <cell r="E14215" t="str">
            <v>BANCO BOCOM BBM S/A</v>
          </cell>
        </row>
        <row r="14216">
          <cell r="B14216">
            <v>14462</v>
          </cell>
          <cell r="C14216" t="str">
            <v>BANCO BOCOM BBM S.A</v>
          </cell>
          <cell r="D14216" t="str">
            <v>BANCO BOCOM BBM S.A</v>
          </cell>
          <cell r="E14216" t="str">
            <v>BANCO BOCOM BBM S/A</v>
          </cell>
        </row>
        <row r="14217">
          <cell r="B14217">
            <v>14464</v>
          </cell>
          <cell r="C14217" t="str">
            <v>BANCO BOCOM BBM S.A</v>
          </cell>
          <cell r="D14217" t="str">
            <v>BANCO BOCOM BBM S.A</v>
          </cell>
          <cell r="E14217" t="str">
            <v>BANCO BOCOM BBM S/A</v>
          </cell>
        </row>
        <row r="14218">
          <cell r="B14218">
            <v>14465</v>
          </cell>
          <cell r="C14218" t="str">
            <v>KRAKATOA FUNDO DE INVESTIMENTO MULTIMERCADO</v>
          </cell>
          <cell r="D14218" t="str">
            <v>KRAKATOA FUNDO DE INVESTIMENTO MULTIMERCADO</v>
          </cell>
          <cell r="E14218" t="str">
            <v>KRAKATOA FUNDO DE INVESTIMENTO MULTIMERCADO</v>
          </cell>
        </row>
        <row r="14219">
          <cell r="B14219">
            <v>14467</v>
          </cell>
          <cell r="C14219" t="str">
            <v>BANCO BOCOM BBM S.A</v>
          </cell>
          <cell r="D14219" t="str">
            <v>BANCO BOCOM BBM S.A</v>
          </cell>
          <cell r="E14219" t="str">
            <v>BANCO BOCOM BBM S/A</v>
          </cell>
        </row>
        <row r="14220">
          <cell r="B14220">
            <v>14468</v>
          </cell>
          <cell r="C14220" t="str">
            <v>BANCO BOCOM BBM S.A</v>
          </cell>
          <cell r="D14220" t="str">
            <v>BANCO BOCOM BBM S.A</v>
          </cell>
          <cell r="E14220" t="str">
            <v>BANCO BOCOM BBM S/A</v>
          </cell>
        </row>
        <row r="14221">
          <cell r="B14221">
            <v>1447</v>
          </cell>
          <cell r="C14221" t="str">
            <v>BGC LIQUIDEZ DTVM LTDA - GFI</v>
          </cell>
          <cell r="D14221" t="str">
            <v>BGC LIQUIDEZ DTVM LTDA - GFI</v>
          </cell>
          <cell r="E14221" t="str">
            <v>BGC LIQUIDEZ DTVM LTDA - GFI</v>
          </cell>
        </row>
        <row r="14222">
          <cell r="B14222">
            <v>14471</v>
          </cell>
          <cell r="C14222" t="str">
            <v>BANCO BOCOM BBM S.A</v>
          </cell>
          <cell r="D14222" t="str">
            <v>BANCO BOCOM BBM S.A</v>
          </cell>
          <cell r="E14222" t="str">
            <v>BANCO BOCOM BBM S/A</v>
          </cell>
        </row>
        <row r="14223">
          <cell r="B14223">
            <v>14473</v>
          </cell>
          <cell r="C14223" t="str">
            <v>BANCO BOCOM BBM S.A</v>
          </cell>
          <cell r="D14223" t="str">
            <v>BANCO BOCOM BBM S.A</v>
          </cell>
          <cell r="E14223" t="str">
            <v>BANCO BOCOM BBM S/A</v>
          </cell>
        </row>
        <row r="14224">
          <cell r="B14224">
            <v>14475</v>
          </cell>
          <cell r="C14224" t="str">
            <v>BANCO BOCOM BBM S.A</v>
          </cell>
          <cell r="D14224" t="str">
            <v>BANCO BOCOM BBM S.A</v>
          </cell>
          <cell r="E14224" t="str">
            <v>BANCO BOCOM BBM S/A</v>
          </cell>
        </row>
        <row r="14225">
          <cell r="B14225">
            <v>14476</v>
          </cell>
          <cell r="C14225" t="str">
            <v>BANCO BOCOM BBM S.A</v>
          </cell>
          <cell r="D14225" t="str">
            <v>BANCO BOCOM BBM S.A</v>
          </cell>
          <cell r="E14225" t="str">
            <v>BANCO BOCOM BBM S/A</v>
          </cell>
        </row>
        <row r="14226">
          <cell r="B14226">
            <v>14477</v>
          </cell>
          <cell r="C14226" t="str">
            <v>BANCO BOCOM BBM S.A</v>
          </cell>
          <cell r="D14226" t="str">
            <v>BANCO BOCOM BBM S.A</v>
          </cell>
          <cell r="E14226" t="str">
            <v>BANCO BOCOM BBM S/A</v>
          </cell>
        </row>
        <row r="14227">
          <cell r="B14227">
            <v>80196</v>
          </cell>
          <cell r="C14227" t="str">
            <v>BANCO SANTANDER S.A (HISPANO)</v>
          </cell>
          <cell r="D14227" t="str">
            <v>BANCO SANTANDER S.A (HISPANO)</v>
          </cell>
          <cell r="E14227" t="str">
            <v>BANCO SANTANDER S/A (HISPANO)</v>
          </cell>
        </row>
        <row r="14228">
          <cell r="B14228">
            <v>80197</v>
          </cell>
          <cell r="C14228" t="str">
            <v>BANCO SANTANDER S.A (HISPANO)</v>
          </cell>
          <cell r="D14228" t="str">
            <v>BANCO SANTANDER S.A (HISPANO)</v>
          </cell>
          <cell r="E14228" t="str">
            <v>BANCO SANTANDER S/A (HISPANO)</v>
          </cell>
        </row>
        <row r="14229">
          <cell r="B14229">
            <v>14483</v>
          </cell>
          <cell r="C14229" t="str">
            <v>BANCO BOCOM BBM S.A</v>
          </cell>
          <cell r="D14229" t="str">
            <v>BANCO BOCOM BBM S.A</v>
          </cell>
          <cell r="E14229" t="str">
            <v>BANCO BOCOM BBM S/A</v>
          </cell>
        </row>
        <row r="14230">
          <cell r="B14230">
            <v>14484</v>
          </cell>
          <cell r="C14230" t="str">
            <v>BANCO BOCOM BBM S.A</v>
          </cell>
          <cell r="D14230" t="str">
            <v>BANCO BOCOM BBM S.A</v>
          </cell>
          <cell r="E14230" t="str">
            <v>BANCO BOCOM BBM S/A</v>
          </cell>
        </row>
        <row r="14231">
          <cell r="B14231">
            <v>14485</v>
          </cell>
          <cell r="C14231" t="str">
            <v>BANCO BOCOM BBM S.A</v>
          </cell>
          <cell r="D14231" t="str">
            <v>BANCO BOCOM BBM S.A</v>
          </cell>
          <cell r="E14231" t="str">
            <v>BANCO BOCOM BBM S/A</v>
          </cell>
        </row>
        <row r="14232">
          <cell r="B14232">
            <v>14486</v>
          </cell>
          <cell r="C14232" t="str">
            <v>ITAU CORRETORA DE VALORES S.A.</v>
          </cell>
          <cell r="D14232" t="str">
            <v>ITAU CORRETORA DE VALORES S.A.</v>
          </cell>
          <cell r="E14232" t="str">
            <v>ITAU CV S/A</v>
          </cell>
        </row>
        <row r="14233">
          <cell r="B14233">
            <v>14487</v>
          </cell>
          <cell r="C14233" t="str">
            <v>ITAU CORRETORA DE VALORES S.A.</v>
          </cell>
          <cell r="D14233" t="str">
            <v>ITAU CORRETORA DE VALORES S.A.</v>
          </cell>
          <cell r="E14233" t="str">
            <v>ITAU CV S/A</v>
          </cell>
        </row>
        <row r="14234">
          <cell r="B14234">
            <v>14488</v>
          </cell>
          <cell r="C14234" t="str">
            <v>ITAU CORRETORA DE VALORES S.A.</v>
          </cell>
          <cell r="D14234" t="str">
            <v>ITAU CORRETORA DE VALORES S.A.</v>
          </cell>
          <cell r="E14234" t="str">
            <v>ITAU CV S/A</v>
          </cell>
        </row>
        <row r="14235">
          <cell r="B14235">
            <v>14489</v>
          </cell>
          <cell r="C14235" t="str">
            <v>ITAU CORRETORA DE VALORES S.A.</v>
          </cell>
          <cell r="D14235" t="str">
            <v>ITAU CORRETORA DE VALORES S.A.</v>
          </cell>
          <cell r="E14235" t="str">
            <v>ITAU CV S/A</v>
          </cell>
        </row>
        <row r="14236">
          <cell r="B14236">
            <v>14490</v>
          </cell>
          <cell r="C14236" t="str">
            <v>BANCO BOCOM BBM S.A</v>
          </cell>
          <cell r="D14236" t="str">
            <v>BANCO BOCOM BBM S.A</v>
          </cell>
          <cell r="E14236" t="str">
            <v>BANCO BOCOM BBM S/A</v>
          </cell>
        </row>
        <row r="14237">
          <cell r="B14237">
            <v>14491</v>
          </cell>
          <cell r="C14237" t="str">
            <v>BANKBOSTON, N.A. ( CARTEIRA 51 )</v>
          </cell>
          <cell r="D14237" t="str">
            <v>BANKBOSTON, N.A. ( CARTEIRA 51 )</v>
          </cell>
          <cell r="E14237" t="str">
            <v>BANKBOSTON, N.A. ( CARTEIRA 51 )</v>
          </cell>
        </row>
        <row r="14238">
          <cell r="B14238">
            <v>14492</v>
          </cell>
          <cell r="C14238" t="str">
            <v>BANCO BMC S/A</v>
          </cell>
          <cell r="D14238" t="str">
            <v>BANCO BMC S/A</v>
          </cell>
          <cell r="E14238" t="str">
            <v>BANCO BMC S/A</v>
          </cell>
        </row>
        <row r="14239">
          <cell r="B14239">
            <v>14493</v>
          </cell>
          <cell r="C14239" t="str">
            <v>BANKBOSTON, N.A. ( CARTEIRA 51 )</v>
          </cell>
          <cell r="D14239" t="str">
            <v>BANKBOSTON, N.A. ( CARTEIRA 51 )</v>
          </cell>
          <cell r="E14239" t="str">
            <v>BANKBOSTON, N.A. ( CARTEIRA 51 )</v>
          </cell>
        </row>
        <row r="14240">
          <cell r="B14240">
            <v>14494</v>
          </cell>
          <cell r="C14240" t="str">
            <v>BANCO BOCOM BBM S.A</v>
          </cell>
          <cell r="D14240" t="str">
            <v>BANCO BOCOM BBM S.A</v>
          </cell>
          <cell r="E14240" t="str">
            <v>BANCO BOCOM BBM S/A</v>
          </cell>
        </row>
        <row r="14241">
          <cell r="B14241">
            <v>14495</v>
          </cell>
          <cell r="C14241" t="str">
            <v>BANCO BOCOM BBM S.A</v>
          </cell>
          <cell r="D14241" t="str">
            <v>BANCO BOCOM BBM S.A</v>
          </cell>
          <cell r="E14241" t="str">
            <v>BANCO BOCOM BBM S/A</v>
          </cell>
        </row>
        <row r="14242">
          <cell r="B14242">
            <v>14496</v>
          </cell>
          <cell r="C14242" t="str">
            <v>BANCO BOCOM BBM S.A</v>
          </cell>
          <cell r="D14242" t="str">
            <v>BANCO BOCOM BBM S.A</v>
          </cell>
          <cell r="E14242" t="str">
            <v>BANCO BOCOM BBM S/A</v>
          </cell>
        </row>
        <row r="14243">
          <cell r="B14243">
            <v>14497</v>
          </cell>
          <cell r="C14243" t="str">
            <v>KIRTON BANK S.A. - BANCO MULTIPLO</v>
          </cell>
          <cell r="D14243" t="str">
            <v>KIRTON BANK S.A. - BANCO MULTIPLO</v>
          </cell>
          <cell r="E14243" t="str">
            <v>KIRTON BANK S.A. - BANCO MULTIPLO</v>
          </cell>
        </row>
        <row r="14244">
          <cell r="B14244">
            <v>14505</v>
          </cell>
          <cell r="C14244" t="str">
            <v>BANCO BARCLAYS S/A</v>
          </cell>
          <cell r="D14244" t="str">
            <v>BANCO BARCLAYS S/A</v>
          </cell>
          <cell r="E14244" t="str">
            <v>BARCLAYS BANK PLC</v>
          </cell>
        </row>
        <row r="14245">
          <cell r="B14245">
            <v>14516</v>
          </cell>
          <cell r="C14245" t="str">
            <v>SDA HEDGE FUNDO DE INVESTIMENTO MULTIMERCADO</v>
          </cell>
          <cell r="D14245" t="str">
            <v>SDA HEDGE FUNDO DE INVESTIMENTO MULTIMERCADO</v>
          </cell>
          <cell r="E14245" t="str">
            <v>SDA HEDGE FUNDO DE INVESTIMENTO MULTIMERCADO</v>
          </cell>
        </row>
        <row r="14246">
          <cell r="B14246">
            <v>14517</v>
          </cell>
          <cell r="C14246" t="str">
            <v>SDA ABSOLUTO MASTER FIM</v>
          </cell>
          <cell r="D14246" t="str">
            <v>SDA ABSOLUTO MASTER FIM</v>
          </cell>
          <cell r="E14246" t="str">
            <v>SDA GESTAO DE RECURSOS LTDA</v>
          </cell>
        </row>
        <row r="14247">
          <cell r="B14247">
            <v>14518</v>
          </cell>
          <cell r="C14247" t="str">
            <v>SDA 130-130 FIA</v>
          </cell>
          <cell r="D14247" t="str">
            <v>SDA 130-130 FIA</v>
          </cell>
          <cell r="E14247" t="str">
            <v>SDA GESTAO DE RECURSOS LTDA</v>
          </cell>
        </row>
        <row r="14248">
          <cell r="B14248">
            <v>14519</v>
          </cell>
          <cell r="C14248" t="str">
            <v>SDA HEDGE FIM</v>
          </cell>
          <cell r="D14248" t="str">
            <v>SDA HEDGE FIM</v>
          </cell>
          <cell r="E14248" t="str">
            <v>SDA GESTAO DE RECURSOS LTDA</v>
          </cell>
        </row>
        <row r="14249">
          <cell r="B14249">
            <v>14520</v>
          </cell>
          <cell r="C14249" t="str">
            <v>ICAP DO BRASIL CTVM LTDA ( ATUAL TULLET)</v>
          </cell>
          <cell r="D14249" t="str">
            <v>ICAP DO BRASIL CTVM LTDA ( ATUAL TULLET)</v>
          </cell>
          <cell r="E14249" t="str">
            <v>ICAP DO BRASIL CTVM LTDA ( ATUAL TULLET)</v>
          </cell>
        </row>
        <row r="14250">
          <cell r="B14250">
            <v>14532</v>
          </cell>
          <cell r="C14250" t="str">
            <v>VETORIAL FIM TOP</v>
          </cell>
          <cell r="D14250" t="str">
            <v>VETORIAL FIM TOP</v>
          </cell>
          <cell r="E14250" t="str">
            <v>VETORIAL FIM TOP</v>
          </cell>
        </row>
        <row r="14251">
          <cell r="B14251">
            <v>14533</v>
          </cell>
          <cell r="C14251" t="str">
            <v>VETORIAL FIM FDC</v>
          </cell>
          <cell r="D14251" t="str">
            <v>VETORIAL FIM FDC</v>
          </cell>
          <cell r="E14251" t="str">
            <v>VETORIAL FIM FDC</v>
          </cell>
        </row>
        <row r="14252">
          <cell r="B14252">
            <v>14534</v>
          </cell>
          <cell r="C14252" t="str">
            <v>ICONE ABSOLUTO FIM</v>
          </cell>
          <cell r="D14252" t="str">
            <v>ICONE ABSOLUTO FIM</v>
          </cell>
          <cell r="E14252" t="str">
            <v>VETORIAL GESTAO DE RECURSOS LTDA</v>
          </cell>
        </row>
        <row r="14253">
          <cell r="B14253">
            <v>14546</v>
          </cell>
          <cell r="C14253" t="str">
            <v>SUNSHINE OVERSEAS LLC - MELLON SERVIÃ‡OS FINANCEIROS DTVM S.A</v>
          </cell>
          <cell r="D14253" t="str">
            <v>SUNSHINE OVERSEAS LLC - MELLON SERVIÃ‡OS FINANCEIROS DTVM S.A</v>
          </cell>
          <cell r="E14253" t="str">
            <v>SUNSHINE OVERSEAS LLC - MELLON SERVIÃ‡OS FINANCEIROS DTVM S.A</v>
          </cell>
        </row>
        <row r="14254">
          <cell r="B14254">
            <v>14559</v>
          </cell>
          <cell r="C14254" t="str">
            <v>TARGET PERSONAL FUNDO DE INVESTIMENTO MULTIMERCADO</v>
          </cell>
          <cell r="D14254" t="str">
            <v>TARGET PERSONAL FUNDO DE INVESTIMENTO MULTIMERCADO</v>
          </cell>
          <cell r="E14254" t="str">
            <v>TARGET PERSONAL FUNDO DE INVESTIMENTO MULTIMERCADO</v>
          </cell>
        </row>
        <row r="14255">
          <cell r="B14255">
            <v>14563</v>
          </cell>
          <cell r="C14255" t="str">
            <v>UV ABSOLUTO FIM</v>
          </cell>
          <cell r="D14255" t="str">
            <v>UV ABSOLUTO FIM</v>
          </cell>
          <cell r="E14255" t="str">
            <v>UV GESTORA DE ATIVOS FINANCEIROS LTDA</v>
          </cell>
        </row>
        <row r="14256">
          <cell r="B14256">
            <v>14564</v>
          </cell>
          <cell r="C14256" t="str">
            <v>UV BAOBA FIM INVESTIMENTO NO EXTERIOR</v>
          </cell>
          <cell r="D14256" t="str">
            <v>UV BAOBA FIM INVESTIMENTO NO EXTERIOR</v>
          </cell>
          <cell r="E14256" t="str">
            <v>UV GESTORA DE ATIVOS FINANCEIROS LTDA</v>
          </cell>
        </row>
        <row r="14257">
          <cell r="B14257">
            <v>14565</v>
          </cell>
          <cell r="C14257" t="str">
            <v>UV EQUITY BRASIL FIA</v>
          </cell>
          <cell r="D14257" t="str">
            <v>UV EQUITY BRASIL FIA</v>
          </cell>
          <cell r="E14257" t="str">
            <v>UV EQUITY BRASIL FIA</v>
          </cell>
        </row>
        <row r="14258">
          <cell r="B14258">
            <v>14566</v>
          </cell>
          <cell r="C14258" t="str">
            <v>UV PLATANO FIM INV. NO EXTERIOR</v>
          </cell>
          <cell r="D14258" t="str">
            <v>UV PLATANO FIM INV. NO EXTERIOR</v>
          </cell>
          <cell r="E14258" t="str">
            <v>UV GESTORA DE ATIVOS FINANCEIROS LTDA</v>
          </cell>
        </row>
        <row r="14259">
          <cell r="B14259">
            <v>14567</v>
          </cell>
          <cell r="C14259" t="str">
            <v>UV IPE FIM INVESTIMENTO NO EXTERIOR</v>
          </cell>
          <cell r="D14259" t="str">
            <v>UV IPE FIM INVESTIMENTO NO EXTERIOR</v>
          </cell>
          <cell r="E14259" t="str">
            <v>UV GESTORA DE ATIVOS FINANCEIROS LTDA</v>
          </cell>
        </row>
        <row r="14260">
          <cell r="B14260">
            <v>14568</v>
          </cell>
          <cell r="C14260" t="str">
            <v>THOR FIM CREDITO PRIVADO (UV SEQUOIA FIM)</v>
          </cell>
          <cell r="D14260" t="str">
            <v>THOR FIM CREDITO PRIVADO (UV SEQUOIA FIM)</v>
          </cell>
          <cell r="E14260" t="str">
            <v>UV GESTORA DE ATIVOS FINANCEIROS LTDA</v>
          </cell>
        </row>
        <row r="14261">
          <cell r="B14261">
            <v>14569</v>
          </cell>
          <cell r="C14261" t="str">
            <v>MIRA FIM</v>
          </cell>
          <cell r="D14261" t="str">
            <v>MIRA FIM</v>
          </cell>
          <cell r="E14261" t="str">
            <v>MIRA FIM</v>
          </cell>
        </row>
        <row r="14262">
          <cell r="B14262">
            <v>14595</v>
          </cell>
          <cell r="C14262" t="str">
            <v>HEDGING GRIFFO CV S/A</v>
          </cell>
          <cell r="D14262" t="str">
            <v>HEDGING GRIFFO CV S/A</v>
          </cell>
          <cell r="E14262" t="str">
            <v>HEDGING GRIFFO CV S/A</v>
          </cell>
        </row>
        <row r="14263">
          <cell r="B14263">
            <v>14598</v>
          </cell>
          <cell r="C14263" t="str">
            <v>BANCO ITAUCARD S/A</v>
          </cell>
          <cell r="D14263" t="str">
            <v>BANCO ITAUCARD S/A</v>
          </cell>
          <cell r="E14263" t="str">
            <v>BANCO   ITAUCARD S/A</v>
          </cell>
        </row>
        <row r="14264">
          <cell r="B14264">
            <v>14620</v>
          </cell>
          <cell r="C14264" t="str">
            <v>META MULTIMERCADO FIM</v>
          </cell>
          <cell r="D14264" t="str">
            <v>META MULTIMERCADO FIM</v>
          </cell>
          <cell r="E14264" t="str">
            <v>META MULTIMERCADO FIM</v>
          </cell>
        </row>
        <row r="14265">
          <cell r="B14265">
            <v>14624</v>
          </cell>
          <cell r="C14265" t="str">
            <v>META 5 FIM</v>
          </cell>
          <cell r="D14265" t="str">
            <v>META 5 FIM</v>
          </cell>
          <cell r="E14265" t="str">
            <v>META 5 FIM</v>
          </cell>
        </row>
        <row r="14266">
          <cell r="B14266">
            <v>14625</v>
          </cell>
          <cell r="C14266" t="str">
            <v>META INSTITUCIONAL FIF</v>
          </cell>
          <cell r="D14266" t="str">
            <v>META INSTITUCIONAL FIF</v>
          </cell>
          <cell r="E14266" t="str">
            <v>META INSTITUCIONAL FIF</v>
          </cell>
        </row>
        <row r="14267">
          <cell r="B14267">
            <v>14626</v>
          </cell>
          <cell r="C14267" t="str">
            <v>META PLUS FIM</v>
          </cell>
          <cell r="D14267" t="str">
            <v>META PLUS FIM</v>
          </cell>
          <cell r="E14267" t="str">
            <v>META PLUS FIM</v>
          </cell>
        </row>
        <row r="14268">
          <cell r="B14268">
            <v>14627</v>
          </cell>
          <cell r="C14268" t="str">
            <v>M89 FUNDO DE INVESTIMENTO EM AÃ‡OES</v>
          </cell>
          <cell r="D14268" t="str">
            <v>M89 FUNDO DE INVESTIMENTO EM AÃ‡OES</v>
          </cell>
          <cell r="E14268" t="str">
            <v>M89 FUNDO DE INVESTIMENTO EM AÃ‡OES</v>
          </cell>
        </row>
        <row r="14269">
          <cell r="B14269">
            <v>14629</v>
          </cell>
          <cell r="C14269" t="str">
            <v>ILMAR MENDES GOMES</v>
          </cell>
          <cell r="D14269" t="str">
            <v>ILMAR MENDES GOMES</v>
          </cell>
          <cell r="E14269" t="str">
            <v>ILMAR MENDES GOMES</v>
          </cell>
        </row>
        <row r="14270">
          <cell r="B14270">
            <v>14631</v>
          </cell>
          <cell r="C14270" t="str">
            <v>SDA INSTITUCIONAL I FI MULTI. EXCLUSIVO</v>
          </cell>
          <cell r="D14270" t="str">
            <v>SDA INSTITUCIONAL I FI MULTI. EXCLUSIVO</v>
          </cell>
          <cell r="E14270" t="str">
            <v>SDA INSTITUCIONAL I FI MULTI. EXCLUSIVO</v>
          </cell>
        </row>
        <row r="14271">
          <cell r="B14271">
            <v>14632</v>
          </cell>
          <cell r="C14271" t="str">
            <v>UPSIDE FI MULTIMERCADO</v>
          </cell>
          <cell r="D14271" t="str">
            <v>UPSIDE FI MULTIMERCADO</v>
          </cell>
          <cell r="E14271" t="str">
            <v>UPSIDE FI MULTIMERCADO</v>
          </cell>
        </row>
        <row r="14272">
          <cell r="B14272">
            <v>14633</v>
          </cell>
          <cell r="C14272" t="str">
            <v>UPSIDE FUNDO DE INVESTIMENTO RENDA FIXA LONGO PRAZO</v>
          </cell>
          <cell r="D14272" t="str">
            <v>UPSIDE FUNDO DE INVESTIMENTO RENDA FIXA LONGO PRAZO</v>
          </cell>
          <cell r="E14272" t="str">
            <v>UPSIDE FUNDO DE INVESTIMENTO RENDA FIXA LONGO PRAZO</v>
          </cell>
        </row>
        <row r="14273">
          <cell r="B14273">
            <v>14635</v>
          </cell>
          <cell r="C14273" t="str">
            <v>FRAM CAPITAL AMUNDSEN FIM</v>
          </cell>
          <cell r="D14273" t="str">
            <v>FRAM CAPITAL AMUNDSEN FIM</v>
          </cell>
          <cell r="E14273" t="str">
            <v>FRAM CAPITAL GESTAO DE ATIVOS LTDA</v>
          </cell>
        </row>
        <row r="14274">
          <cell r="B14274">
            <v>14637</v>
          </cell>
          <cell r="C14274" t="str">
            <v>BB MIRANTE IBX FIA</v>
          </cell>
          <cell r="D14274" t="str">
            <v>BB MIRANTE IBX FIA</v>
          </cell>
          <cell r="E14274" t="str">
            <v>BB MIRANTE IBX FIA</v>
          </cell>
        </row>
        <row r="14275">
          <cell r="B14275">
            <v>14657</v>
          </cell>
          <cell r="C14275" t="str">
            <v>BB MILENIO 23 FIM LP</v>
          </cell>
          <cell r="D14275" t="str">
            <v>BB MILENIO 23 FIM LP</v>
          </cell>
          <cell r="E14275" t="str">
            <v>BANCO DO BRASIL S/A</v>
          </cell>
        </row>
        <row r="14276">
          <cell r="B14276">
            <v>14658</v>
          </cell>
          <cell r="C14276" t="str">
            <v>BB MIRANTE FI RF</v>
          </cell>
          <cell r="D14276" t="str">
            <v>BB MIRANTE FI RF</v>
          </cell>
          <cell r="E14276" t="str">
            <v>BANCO DO BRASIL S/A</v>
          </cell>
        </row>
        <row r="14277">
          <cell r="B14277">
            <v>14659</v>
          </cell>
          <cell r="C14277" t="str">
            <v>BB VULCANO FI RF</v>
          </cell>
          <cell r="D14277" t="str">
            <v>BB VULCANO FI RF</v>
          </cell>
          <cell r="E14277" t="str">
            <v>BANCO DO BRASIL S/A</v>
          </cell>
        </row>
        <row r="14278">
          <cell r="B14278">
            <v>14660</v>
          </cell>
          <cell r="C14278" t="str">
            <v>BB IRAI FI RF</v>
          </cell>
          <cell r="D14278" t="str">
            <v>BB IRAI FI RF</v>
          </cell>
          <cell r="E14278" t="str">
            <v>BANCO DO BRASIL S/A</v>
          </cell>
        </row>
        <row r="14279">
          <cell r="B14279">
            <v>14661</v>
          </cell>
          <cell r="C14279" t="str">
            <v>FI RF FAELCE QUIXABA</v>
          </cell>
          <cell r="D14279" t="str">
            <v>FI RF FAELCE QUIXABA</v>
          </cell>
          <cell r="E14279" t="str">
            <v>FI RF FAELCE QUIXABA</v>
          </cell>
        </row>
        <row r="14280">
          <cell r="B14280">
            <v>14662</v>
          </cell>
          <cell r="C14280" t="str">
            <v>BB MILENIO 33 FI RF</v>
          </cell>
          <cell r="D14280" t="str">
            <v>BB MILENIO 33 FI RF</v>
          </cell>
          <cell r="E14280" t="str">
            <v>BANCO DO BRASIL S/A</v>
          </cell>
        </row>
        <row r="14281">
          <cell r="B14281">
            <v>14663</v>
          </cell>
          <cell r="C14281" t="str">
            <v>BB FORTALEZA FIM</v>
          </cell>
          <cell r="D14281" t="str">
            <v>BB FORTALEZA FIM</v>
          </cell>
          <cell r="E14281" t="str">
            <v>BANCO DO BRASIL S/A</v>
          </cell>
        </row>
        <row r="14282">
          <cell r="B14282">
            <v>14664</v>
          </cell>
          <cell r="C14282" t="str">
            <v>BB PREVSAN FUNDO DE INVESTIMENTO RENDA FIXA</v>
          </cell>
          <cell r="D14282" t="str">
            <v>BB PREVSAN FUNDO DE INVESTIMENTO RENDA FIXA</v>
          </cell>
          <cell r="E14282" t="str">
            <v>BANCO DO BRASIL S/A</v>
          </cell>
        </row>
        <row r="14283">
          <cell r="B14283">
            <v>14665</v>
          </cell>
          <cell r="C14283" t="str">
            <v>BB PRIME 18 FI RF</v>
          </cell>
          <cell r="D14283" t="str">
            <v>BB PRIME 18 FI RF</v>
          </cell>
          <cell r="E14283" t="str">
            <v>BANCO DO BRASIL S/A</v>
          </cell>
        </row>
        <row r="14284">
          <cell r="B14284">
            <v>14666</v>
          </cell>
          <cell r="C14284" t="str">
            <v>BB PRIME 19 - 4 FIM</v>
          </cell>
          <cell r="D14284" t="str">
            <v>BB PRIME 19 - 4 FIM</v>
          </cell>
          <cell r="E14284" t="str">
            <v>BANCO DO BRASIL S/A</v>
          </cell>
        </row>
        <row r="14285">
          <cell r="B14285">
            <v>14667</v>
          </cell>
          <cell r="C14285" t="str">
            <v>BB EUROPIO NUC FI RF</v>
          </cell>
          <cell r="D14285" t="str">
            <v>BB EUROPIO NUC FI RF</v>
          </cell>
          <cell r="E14285" t="str">
            <v>BANCO DO BRASIL S/A</v>
          </cell>
        </row>
        <row r="14286">
          <cell r="B14286">
            <v>14668</v>
          </cell>
          <cell r="C14286" t="str">
            <v>BB POLO 24 FI RF</v>
          </cell>
          <cell r="D14286" t="str">
            <v>BB POLO 24 FI RF</v>
          </cell>
          <cell r="E14286" t="str">
            <v>BANCO DO BRASIL S/A</v>
          </cell>
        </row>
        <row r="14287">
          <cell r="B14287">
            <v>14669</v>
          </cell>
          <cell r="C14287" t="str">
            <v>FIM SAO PAULO</v>
          </cell>
          <cell r="D14287" t="str">
            <v>FIM SAO PAULO</v>
          </cell>
          <cell r="E14287" t="str">
            <v>BANCO DO BRASIL S/A</v>
          </cell>
        </row>
        <row r="14288">
          <cell r="B14288">
            <v>14670</v>
          </cell>
          <cell r="C14288" t="str">
            <v>BB PARANAGUA FI RF PREVIDENCIARIO</v>
          </cell>
          <cell r="D14288" t="str">
            <v>BB PARANAGUA FI RF PREVIDENCIARIO</v>
          </cell>
          <cell r="E14288" t="str">
            <v>BANCO DO BRASIL S/A</v>
          </cell>
        </row>
        <row r="14289">
          <cell r="B14289">
            <v>14676</v>
          </cell>
          <cell r="C14289" t="str">
            <v>BB BELPART 2 FIM</v>
          </cell>
          <cell r="D14289" t="str">
            <v>BB BELPART 2 FIM</v>
          </cell>
          <cell r="E14289" t="str">
            <v>BANCO DO BRASIL S/A</v>
          </cell>
        </row>
        <row r="14290">
          <cell r="B14290">
            <v>14680</v>
          </cell>
          <cell r="C14290" t="str">
            <v>BB INFRAPREV ATUARIAL PLUS FIM</v>
          </cell>
          <cell r="D14290" t="str">
            <v>BB INFRAPREV ATUARIAL PLUS FIM</v>
          </cell>
          <cell r="E14290" t="str">
            <v>BANCO DO BRASIL S/A</v>
          </cell>
        </row>
        <row r="14291">
          <cell r="B14291">
            <v>14687</v>
          </cell>
          <cell r="C14291" t="str">
            <v>BB MILENIO 8 FIM</v>
          </cell>
          <cell r="D14291" t="str">
            <v>BB MILENIO 8 FIM</v>
          </cell>
          <cell r="E14291" t="str">
            <v>BANCO DO BRASIL S/A</v>
          </cell>
        </row>
        <row r="14292">
          <cell r="B14292">
            <v>14693</v>
          </cell>
          <cell r="C14292" t="str">
            <v>MORGAN STANLEY AND CO LLC</v>
          </cell>
          <cell r="D14292" t="str">
            <v>MORGAN STANLEY AND CO LLC</v>
          </cell>
          <cell r="E14292" t="str">
            <v>MORGAN STANLEY AND CO LLC</v>
          </cell>
        </row>
        <row r="14293">
          <cell r="B14293">
            <v>14730</v>
          </cell>
          <cell r="C14293" t="str">
            <v>FDO DE INVEST.MULTIMERCADO MODERADO RONCADOR</v>
          </cell>
          <cell r="D14293" t="str">
            <v>FDO DE INVEST.MULTIMERCADO MODERADO RONCADOR</v>
          </cell>
          <cell r="E14293" t="str">
            <v>FDO DE INVEST.MULTIMERCADO MODERADO RONCADOR</v>
          </cell>
        </row>
        <row r="14294">
          <cell r="B14294">
            <v>14731</v>
          </cell>
          <cell r="C14294" t="str">
            <v>BB ANTARES 3 FI RF</v>
          </cell>
          <cell r="D14294" t="str">
            <v>BB ANTARES 3 FI RF</v>
          </cell>
          <cell r="E14294" t="str">
            <v>BANCO DO BRASIL S/A</v>
          </cell>
        </row>
        <row r="14295">
          <cell r="B14295">
            <v>14732</v>
          </cell>
          <cell r="C14295" t="str">
            <v>BB ANTARES 8 BD FIM</v>
          </cell>
          <cell r="D14295" t="str">
            <v>BB ANTARES 8 BD FIM</v>
          </cell>
          <cell r="E14295" t="str">
            <v>BANCO DO BRASIL S/A</v>
          </cell>
        </row>
        <row r="14296">
          <cell r="B14296">
            <v>14740</v>
          </cell>
          <cell r="C14296" t="str">
            <v>MARCILIO TEIXEIRA MARINHO FILHO</v>
          </cell>
          <cell r="D14296" t="str">
            <v>MARCILIO TEIXEIRA MARINHO FILHO</v>
          </cell>
          <cell r="E14296" t="str">
            <v>MARCILIO TEIXEIRA MARINHO FILHO</v>
          </cell>
        </row>
        <row r="14297">
          <cell r="B14297">
            <v>14752</v>
          </cell>
          <cell r="C14297" t="str">
            <v>ABN AMRO ASSET MANAGEMENT DTVM S/A</v>
          </cell>
          <cell r="D14297" t="str">
            <v>ABN AMRO ASSET MANAGEMENT DTVM S/A</v>
          </cell>
          <cell r="E14297" t="str">
            <v>SANTANDER BRASIL GESTAO DE RECURSOS LTDA</v>
          </cell>
        </row>
        <row r="14298">
          <cell r="B14298">
            <v>14789</v>
          </cell>
          <cell r="C14298" t="str">
            <v>BANCO FATOR S/A</v>
          </cell>
          <cell r="D14298" t="str">
            <v>BANCO FATOR S/A</v>
          </cell>
          <cell r="E14298" t="str">
            <v>BANCO FATOR S/A</v>
          </cell>
        </row>
        <row r="14299">
          <cell r="B14299">
            <v>148</v>
          </cell>
          <cell r="C14299" t="str">
            <v>LOPEZ LEON DERIVATIVOS CM S/A</v>
          </cell>
          <cell r="D14299" t="str">
            <v>LOPEZ LEON DERIVATIVOS CM S/A</v>
          </cell>
          <cell r="E14299" t="str">
            <v>LOPEZ LEON DERIVATIVOS CM S/A</v>
          </cell>
        </row>
        <row r="14300">
          <cell r="B14300">
            <v>14896</v>
          </cell>
          <cell r="C14300" t="str">
            <v>CRISTHIAN ALMEIDA REGO</v>
          </cell>
          <cell r="D14300" t="str">
            <v>CRISTHIAN ALMEIDA REGO</v>
          </cell>
          <cell r="E14300" t="str">
            <v>CRISTHIAN ALMEIDA REGO</v>
          </cell>
        </row>
        <row r="14301">
          <cell r="B14301">
            <v>14915</v>
          </cell>
          <cell r="C14301" t="str">
            <v>BANCOOB CAPITAL FUNDO DE INV. FINANCEIRO</v>
          </cell>
          <cell r="D14301" t="str">
            <v>BANCOOB CAPITAL FUNDO DE INV. FINANCEIRO</v>
          </cell>
          <cell r="E14301" t="str">
            <v>BANCOOB CAPITAL FUNDO DE INV. FINANCEIRO</v>
          </cell>
        </row>
        <row r="14302">
          <cell r="B14302">
            <v>14916</v>
          </cell>
          <cell r="C14302" t="str">
            <v>BLUCREDI SICOOB FIF</v>
          </cell>
          <cell r="D14302" t="str">
            <v>BLUCREDI SICOOB FIF</v>
          </cell>
          <cell r="E14302" t="str">
            <v>BANCO COOPERATIVO SICOOB S/A</v>
          </cell>
        </row>
        <row r="14303">
          <cell r="B14303">
            <v>14917</v>
          </cell>
          <cell r="C14303" t="str">
            <v>COOPMUTUO FUNDO DE INVESTIMENTO FINANCEIRO</v>
          </cell>
          <cell r="D14303" t="str">
            <v>COOPMUTUO FUNDO DE INVESTIMENTO FINANCEIRO</v>
          </cell>
          <cell r="E14303" t="str">
            <v>COOPMUTUO FUNDO DE INVESTIMENTO FINANCEIRO</v>
          </cell>
        </row>
        <row r="14304">
          <cell r="B14304">
            <v>14919</v>
          </cell>
          <cell r="C14304" t="str">
            <v>DIAMANTE FUNDO DE INVESTIMENTO FINANCEIRO</v>
          </cell>
          <cell r="D14304" t="str">
            <v>DIAMANTE FUNDO DE INVESTIMENTO FINANCEIRO</v>
          </cell>
          <cell r="E14304" t="str">
            <v>DIAMANTE FUNDO DE INVESTIMENTO FINANCEIRO</v>
          </cell>
        </row>
        <row r="14305">
          <cell r="B14305">
            <v>15000</v>
          </cell>
          <cell r="C14305" t="str">
            <v>FDO IP PARTICI. MUTUO DE INV. EM AÃ‡Ã•ES C. LIVRE</v>
          </cell>
          <cell r="D14305" t="str">
            <v>FDO IP PARTICI. MUTUO DE INV. EM AÃ‡Ã•ES C. LIVRE</v>
          </cell>
          <cell r="E14305" t="str">
            <v>INVESTIDOR PROFISSIONAL GESTAO DE RECURSOS LTDA</v>
          </cell>
        </row>
        <row r="14306">
          <cell r="B14306">
            <v>15001</v>
          </cell>
          <cell r="C14306" t="str">
            <v>FPRV IP ANDORINHAS FIA PREVIDENCIARIO</v>
          </cell>
          <cell r="D14306" t="str">
            <v>FPRV IP ANDORINHAS FIA PREVIDENCIARIO</v>
          </cell>
          <cell r="E14306" t="str">
            <v>INVESTIDOR PROFISSIONAL GESTAO DE RECURSOS LTDA</v>
          </cell>
        </row>
        <row r="14307">
          <cell r="B14307">
            <v>15002</v>
          </cell>
          <cell r="C14307" t="str">
            <v>IP EQUITY HEDGE FIF</v>
          </cell>
          <cell r="D14307" t="str">
            <v>IP EQUITY HEDGE FIF</v>
          </cell>
          <cell r="E14307" t="str">
            <v>INVESTIDOR PROFISSIONAL GESTAO DE RECURSOS LTDA</v>
          </cell>
        </row>
        <row r="14308">
          <cell r="B14308">
            <v>15003</v>
          </cell>
          <cell r="C14308" t="str">
            <v>IP VALUE HEDGE FI EM AÃ‡Ã•ES</v>
          </cell>
          <cell r="D14308" t="str">
            <v>IP VALUE HEDGE FI EM AÃ‡Ã•ES</v>
          </cell>
          <cell r="E14308" t="str">
            <v>INVESTIDOR PROFISSIONAL GESTAO DE RECURSOS LTDA</v>
          </cell>
        </row>
        <row r="14309">
          <cell r="B14309">
            <v>15004</v>
          </cell>
          <cell r="C14309" t="str">
            <v>GIBRALTAR FIP</v>
          </cell>
          <cell r="D14309" t="str">
            <v>GIBRALTAR FIP</v>
          </cell>
          <cell r="E14309" t="str">
            <v>INVESTIDOR PROFISSIONAL GESTAO DE RECURSOS LTDA</v>
          </cell>
        </row>
        <row r="14310">
          <cell r="B14310">
            <v>15005</v>
          </cell>
          <cell r="C14310" t="str">
            <v>SOUTHWOOD FUNDO DE INVEST EM COTAS DE FIM</v>
          </cell>
          <cell r="D14310" t="str">
            <v>SOUTHWOOD FUNDO DE INVEST EM COTAS DE FIM</v>
          </cell>
          <cell r="E14310" t="str">
            <v>INVESTIDOR PROFISSIONAL GESTAO DE RECURSOS LTDA</v>
          </cell>
        </row>
        <row r="14311">
          <cell r="B14311">
            <v>15006</v>
          </cell>
          <cell r="C14311" t="str">
            <v>LARGE CAPS SELECT FIA</v>
          </cell>
          <cell r="D14311" t="str">
            <v>LARGE CAPS SELECT FIA</v>
          </cell>
          <cell r="E14311" t="str">
            <v>INVESTIDOR PROFISSIONAL GESTAO DE RECURSOS LTDA</v>
          </cell>
        </row>
        <row r="14312">
          <cell r="B14312">
            <v>15007</v>
          </cell>
          <cell r="C14312" t="str">
            <v>FUNDO IP PARTIC INSTITUC FMIA CL ADMINISTR</v>
          </cell>
          <cell r="D14312" t="str">
            <v>FUNDO IP PARTIC INSTITUC FMIA CL ADMINISTR</v>
          </cell>
          <cell r="E14312" t="str">
            <v>INVESTIDOR PROFISSIONAL GESTAO DE RECURSOS LTDA</v>
          </cell>
        </row>
        <row r="14313">
          <cell r="B14313">
            <v>15008</v>
          </cell>
          <cell r="C14313" t="str">
            <v>BANESPREV MAIS VALOR AÇOES FI</v>
          </cell>
          <cell r="D14313" t="str">
            <v>BANESPREV MAIS VALOR AÇOES FI</v>
          </cell>
          <cell r="E14313" t="str">
            <v>INVESTIDOR PROFISSIONAL GESTAO DE RECURSOS LTDA</v>
          </cell>
        </row>
        <row r="14314">
          <cell r="B14314">
            <v>15009</v>
          </cell>
          <cell r="C14314" t="str">
            <v>IP SELECAO FIA</v>
          </cell>
          <cell r="D14314" t="str">
            <v>IP SELECAO FIA</v>
          </cell>
          <cell r="E14314" t="str">
            <v>INVESTIDOR PROFISSIONAL GESTAO DE RECURSOS LTDA</v>
          </cell>
        </row>
        <row r="14315">
          <cell r="B14315">
            <v>15010</v>
          </cell>
          <cell r="C14315" t="str">
            <v>SAMAMBAIA V FUNDO DE INVEST. EM AÃ‡Ã•ES</v>
          </cell>
          <cell r="D14315" t="str">
            <v>SAMAMBAIA V FUNDO DE INVEST. EM AÃ‡Ã•ES</v>
          </cell>
          <cell r="E14315" t="str">
            <v>UNIBANCO CONSULTORIA DE INVESTIMENTO LTDA</v>
          </cell>
        </row>
        <row r="14316">
          <cell r="B14316">
            <v>15011</v>
          </cell>
          <cell r="C14316" t="str">
            <v>HATTERAS LLC</v>
          </cell>
          <cell r="D14316" t="str">
            <v>HATTERAS LLC</v>
          </cell>
          <cell r="E14316" t="str">
            <v>INVESTIDOR PROFISSIONAL GESTAO DE RECURSOS LTDA</v>
          </cell>
        </row>
        <row r="14317">
          <cell r="B14317">
            <v>15014</v>
          </cell>
          <cell r="C14317" t="str">
            <v>IP EQUITY HEDGE II FIM</v>
          </cell>
          <cell r="D14317" t="str">
            <v>IP EQUITY HEDGE II FIM</v>
          </cell>
          <cell r="E14317" t="str">
            <v>INVESTIDOR PROFISSIONAL GESTAO DE RECURSOS LTDA</v>
          </cell>
        </row>
        <row r="14318">
          <cell r="B14318">
            <v>15115</v>
          </cell>
          <cell r="C14318" t="str">
            <v>BANCO STANDARD DE INVESTIMENTOS S/A</v>
          </cell>
          <cell r="D14318" t="str">
            <v>BANCO STANDARD DE INVESTIMENTOS S/A</v>
          </cell>
          <cell r="E14318" t="str">
            <v>BANCO STANDARD DE INVESTIMENTOS S/A</v>
          </cell>
        </row>
        <row r="14319">
          <cell r="B14319">
            <v>15153</v>
          </cell>
          <cell r="C14319" t="str">
            <v>ROSALI FINKIELSZTEJN</v>
          </cell>
          <cell r="D14319" t="str">
            <v>ROSALI FINKIELSZTEJN</v>
          </cell>
          <cell r="E14319" t="str">
            <v>ROSALI FINKIELSZTEJN</v>
          </cell>
        </row>
        <row r="14320">
          <cell r="B14320">
            <v>15237</v>
          </cell>
          <cell r="C14320" t="str">
            <v>CIA SIDERURGIA NACIONAL CSN</v>
          </cell>
          <cell r="D14320" t="str">
            <v>CIA SIDERURGIA NACIONAL CSN</v>
          </cell>
          <cell r="E14320" t="str">
            <v>CIA SIDERURGIA NACIONAL CSN</v>
          </cell>
        </row>
        <row r="14321">
          <cell r="B14321">
            <v>15238</v>
          </cell>
          <cell r="C14321" t="str">
            <v>FIM NORTE MODERADO</v>
          </cell>
          <cell r="D14321" t="str">
            <v>FIM NORTE MODERADO</v>
          </cell>
          <cell r="E14321" t="str">
            <v>NORTE INVESTIMENTOS ADMINISTRADORES DE RECURSOS</v>
          </cell>
        </row>
        <row r="14322">
          <cell r="B14322">
            <v>15345</v>
          </cell>
          <cell r="C14322" t="str">
            <v>DIRECIONAL FUNDO DE INVESTIMENTO MULTIMERCADO</v>
          </cell>
          <cell r="D14322" t="str">
            <v>DIRECIONAL FUNDO DE INVESTIMENTO MULTIMERCADO</v>
          </cell>
          <cell r="E14322" t="str">
            <v>DIRECIONAL FUNDO DE INVESTIMENTO MULTIMERCADO</v>
          </cell>
        </row>
        <row r="14323">
          <cell r="B14323">
            <v>15346</v>
          </cell>
          <cell r="C14323" t="str">
            <v>DIRECIONAL 30 FUNDO DE INVESTIMENTO MULTIMERCADO</v>
          </cell>
          <cell r="D14323" t="str">
            <v>DIRECIONAL 30 FUNDO DE INVESTIMENTO MULTIMERCADO</v>
          </cell>
          <cell r="E14323" t="str">
            <v>DIRECIONAL 30 FUNDO DE INVESTIMENTO MULTIMERCADO</v>
          </cell>
        </row>
        <row r="14324">
          <cell r="B14324">
            <v>15473</v>
          </cell>
          <cell r="C14324" t="str">
            <v>TIVIO CAPITAL DISTRIBUIDORA DE TITULOS E VALORES MOBILIARIOS</v>
          </cell>
          <cell r="D14324" t="str">
            <v>TIVIO CAPITAL DISTRIBUIDORA DE TITULOS E VALORES MOBILIARIOS</v>
          </cell>
          <cell r="E14324" t="str">
            <v>TIVIO CAPITAL DISTRIBUIDORA DE TITULOS E VALORES MOBILIARIOS</v>
          </cell>
        </row>
        <row r="14325">
          <cell r="B14325">
            <v>15500</v>
          </cell>
          <cell r="C14325" t="str">
            <v>BTG PACTUAL GESTORA DE INV ALTERNATIVOS LTDA</v>
          </cell>
          <cell r="D14325" t="str">
            <v>BTG PACTUAL GESTORA DE INV ALTERNATIVOS LTDA</v>
          </cell>
          <cell r="E14325" t="str">
            <v>BTG PACTUAL ASSET MANAGEMENT SA DTVM</v>
          </cell>
        </row>
        <row r="14326">
          <cell r="B14326">
            <v>15502</v>
          </cell>
          <cell r="C14326" t="str">
            <v>BTG PACTUAL GESTORA DE RECURSOS LTDA</v>
          </cell>
          <cell r="D14326" t="str">
            <v>BTG PACTUAL GESTORA DE RECURSOS LTDA</v>
          </cell>
          <cell r="E14326" t="str">
            <v>BTG PACTUAL ASSET MANAGEMENT SA DTVM</v>
          </cell>
        </row>
        <row r="14327">
          <cell r="B14327">
            <v>15700</v>
          </cell>
          <cell r="C14327" t="str">
            <v>FREDERICO DE OLIVA MORGENROTH</v>
          </cell>
          <cell r="D14327" t="str">
            <v>FREDERICO DE OLIVA MORGENROTH</v>
          </cell>
          <cell r="E14327" t="str">
            <v>FREDERICO DE OLIVA MORGENROTH</v>
          </cell>
        </row>
        <row r="14328">
          <cell r="B14328">
            <v>15787</v>
          </cell>
          <cell r="C14328" t="str">
            <v>LEME BRASPREV FI RF LP PREVIDENCIARIO CP</v>
          </cell>
          <cell r="D14328">
            <v>741</v>
          </cell>
          <cell r="E14328" t="str">
            <v>LEME BRASPREV FI RF LP PREVIDENCIARIO CP</v>
          </cell>
        </row>
        <row r="14329">
          <cell r="B14329">
            <v>15788</v>
          </cell>
          <cell r="C14329" t="str">
            <v>LEME  MULTIMERCADO FIF</v>
          </cell>
          <cell r="D14329" t="str">
            <v>LEME  MULTIMERCADO FIF</v>
          </cell>
          <cell r="E14329" t="str">
            <v>LEME  MULTIMERCADO FIF</v>
          </cell>
        </row>
        <row r="14330">
          <cell r="B14330">
            <v>15789</v>
          </cell>
          <cell r="C14330" t="str">
            <v>JBS S/A</v>
          </cell>
          <cell r="D14330" t="str">
            <v>JBS S/A</v>
          </cell>
          <cell r="E14330" t="str">
            <v>JBS S/A</v>
          </cell>
        </row>
        <row r="14331">
          <cell r="B14331">
            <v>15790</v>
          </cell>
          <cell r="C14331" t="str">
            <v>TOTAL RETURN LLC</v>
          </cell>
          <cell r="D14331" t="str">
            <v>TOTAL RETURN LLC</v>
          </cell>
          <cell r="E14331" t="str">
            <v>TOTAL RETURN LLC</v>
          </cell>
        </row>
        <row r="14332">
          <cell r="B14332">
            <v>15860</v>
          </cell>
          <cell r="C14332" t="str">
            <v>TOKIO MARINE BRASIL SEGURADORA S/A</v>
          </cell>
          <cell r="D14332" t="str">
            <v>63.3</v>
          </cell>
          <cell r="E14332" t="str">
            <v>TOKIO MARINE BRASIL SEGURADORA S/A</v>
          </cell>
        </row>
        <row r="14333">
          <cell r="B14333">
            <v>15895</v>
          </cell>
          <cell r="C14333" t="str">
            <v>OPPORTUNITY DTVM LTDA</v>
          </cell>
          <cell r="D14333" t="str">
            <v>OPPORTUNITY DTVM LTDA</v>
          </cell>
          <cell r="E14333" t="str">
            <v>OPPORTUNITY DTVM LTDA</v>
          </cell>
        </row>
        <row r="14334">
          <cell r="B14334">
            <v>15896</v>
          </cell>
          <cell r="C14334" t="str">
            <v>OPPORTUNITY DTVM LTDA</v>
          </cell>
          <cell r="D14334" t="str">
            <v>OPPORTUNITY DTVM LTDA</v>
          </cell>
          <cell r="E14334" t="str">
            <v>OPPORTUNITY DTVM LTDA</v>
          </cell>
        </row>
        <row r="14335">
          <cell r="B14335">
            <v>15897</v>
          </cell>
          <cell r="C14335" t="str">
            <v>OPPORTUNITY DTVM LTDA</v>
          </cell>
          <cell r="D14335" t="str">
            <v>OPPORTUNITY DTVM LTDA</v>
          </cell>
          <cell r="E14335" t="str">
            <v>OPPORTUNITY DTVM LTDA</v>
          </cell>
        </row>
        <row r="14336">
          <cell r="B14336">
            <v>16125</v>
          </cell>
          <cell r="C14336" t="str">
            <v>LLOYDSTSB BANK PLC</v>
          </cell>
          <cell r="D14336" t="str">
            <v>LLOYDSTSB BANK PLC</v>
          </cell>
          <cell r="E14336" t="str">
            <v>LLOYDSTSB BANK PLC</v>
          </cell>
        </row>
        <row r="14337">
          <cell r="B14337">
            <v>16166</v>
          </cell>
          <cell r="C14337" t="str">
            <v>ITAU UNIBANCO S.A.</v>
          </cell>
          <cell r="D14337" t="str">
            <v>ITAU UNIBANCO S.A.</v>
          </cell>
          <cell r="E14337" t="str">
            <v>ITAU UNIBANCO S/A</v>
          </cell>
        </row>
        <row r="14338">
          <cell r="B14338">
            <v>16167</v>
          </cell>
          <cell r="C14338" t="str">
            <v>ITAU UNIBANCO S.A.</v>
          </cell>
          <cell r="D14338">
            <v>51</v>
          </cell>
          <cell r="E14338" t="str">
            <v>ITAU UNIBANCO S/A</v>
          </cell>
        </row>
        <row r="14339">
          <cell r="B14339">
            <v>16168</v>
          </cell>
          <cell r="C14339" t="str">
            <v>ITAU UNIBANCO S.A.</v>
          </cell>
          <cell r="D14339" t="str">
            <v>ITAU UNIBANCO S.A.</v>
          </cell>
          <cell r="E14339" t="str">
            <v>ITAU UNIBANCO S/A</v>
          </cell>
        </row>
        <row r="14340">
          <cell r="B14340">
            <v>16169</v>
          </cell>
          <cell r="C14340" t="str">
            <v>ITAU UNIBANCO S.A.</v>
          </cell>
          <cell r="D14340" t="str">
            <v>ITAU UNIBANCO S.A.</v>
          </cell>
          <cell r="E14340" t="str">
            <v>ITAU UNIBANCO S/A</v>
          </cell>
        </row>
        <row r="14341">
          <cell r="B14341">
            <v>16309</v>
          </cell>
          <cell r="C14341" t="str">
            <v>VISION BRAZIL FIDC AGRO - MULTIMERCADO</v>
          </cell>
          <cell r="D14341" t="str">
            <v>VISION BRAZIL FIDC AGRO - MULTIMERCADO</v>
          </cell>
          <cell r="E14341" t="str">
            <v>VISION BRAZIL GESTÃƒO DE INVESTIMENTOS E PARTICIPAÃ‡Ã•ES LTDA</v>
          </cell>
        </row>
        <row r="14342">
          <cell r="B14342">
            <v>16500</v>
          </cell>
          <cell r="C14342" t="str">
            <v>TIAGO MARTINI BRRII</v>
          </cell>
          <cell r="D14342" t="str">
            <v>TIAGO MARTINI BRRII</v>
          </cell>
          <cell r="E14342" t="str">
            <v>TIAGO MARTINI BRRII</v>
          </cell>
        </row>
        <row r="14343">
          <cell r="B14343">
            <v>16524</v>
          </cell>
          <cell r="C14343" t="str">
            <v>FIM VOLT GLOBAL</v>
          </cell>
          <cell r="D14343" t="str">
            <v>FIM VOLT GLOBAL</v>
          </cell>
          <cell r="E14343" t="str">
            <v>LANX CAPITAL INVESTIMENTOS LTDA</v>
          </cell>
        </row>
        <row r="14344">
          <cell r="B14344">
            <v>16567</v>
          </cell>
          <cell r="C14344" t="str">
            <v>LLOYDSTSB BANK PLC</v>
          </cell>
          <cell r="D14344" t="str">
            <v>LLOYDSTSB BANK PLC</v>
          </cell>
          <cell r="E14344" t="str">
            <v>LLOYDSTSB BANK PLC</v>
          </cell>
        </row>
        <row r="14345">
          <cell r="B14345">
            <v>16605</v>
          </cell>
          <cell r="C14345" t="str">
            <v>CLAUDIO LEAL FRANCA</v>
          </cell>
          <cell r="D14345" t="str">
            <v>CLAUDIO LEAL FRANCA</v>
          </cell>
          <cell r="E14345" t="str">
            <v>CLAUDIO LEAL FRANCA</v>
          </cell>
        </row>
        <row r="14346">
          <cell r="B14346">
            <v>166666</v>
          </cell>
          <cell r="C14346" t="str">
            <v>J.P. MORGAN OVERSEAS CAPITAL LLC - J.P. MORGAN S.A. DTVM</v>
          </cell>
          <cell r="D14346" t="str">
            <v>J.P. MORGAN OVERSEAS CAPITAL LLC - J.P. MORGAN S.A. DTVM</v>
          </cell>
          <cell r="E14346" t="str">
            <v>BANCO JP MORGAN S/A</v>
          </cell>
        </row>
        <row r="14347">
          <cell r="B14347">
            <v>16704</v>
          </cell>
          <cell r="C14347" t="str">
            <v>BANCO BRADESCO BBI S/A</v>
          </cell>
          <cell r="D14347" t="str">
            <v>BANCO BRADESCO BBI S/A</v>
          </cell>
          <cell r="E14347" t="str">
            <v>BANCO BRADESCO BBI S/A</v>
          </cell>
        </row>
        <row r="14348">
          <cell r="B14348">
            <v>16742</v>
          </cell>
          <cell r="C14348" t="str">
            <v>MONAZITA FIF NUC</v>
          </cell>
          <cell r="D14348" t="str">
            <v>MONAZITA FIF NUC</v>
          </cell>
          <cell r="E14348" t="str">
            <v>MONAZITA FIF NUC</v>
          </cell>
        </row>
        <row r="14349">
          <cell r="B14349">
            <v>16750</v>
          </cell>
          <cell r="C14349" t="str">
            <v>BOREAL DTVM S/A</v>
          </cell>
          <cell r="D14349" t="str">
            <v>BOREAL DTVM S/A</v>
          </cell>
          <cell r="E14349" t="str">
            <v>BOREAL DTVM S/A</v>
          </cell>
        </row>
        <row r="14350">
          <cell r="B14350">
            <v>16751</v>
          </cell>
          <cell r="C14350" t="str">
            <v>BOREAL DTVM S/A</v>
          </cell>
          <cell r="D14350" t="str">
            <v>BOREAL DTVM S/A</v>
          </cell>
          <cell r="E14350" t="str">
            <v>BOREAL DTVM S/A</v>
          </cell>
        </row>
        <row r="14351">
          <cell r="B14351">
            <v>16803</v>
          </cell>
          <cell r="C14351" t="str">
            <v>PERSONALE LEBLON FIM</v>
          </cell>
          <cell r="D14351" t="str">
            <v>PERSONALE LEBLON FIM</v>
          </cell>
          <cell r="E14351" t="str">
            <v>PERSONALE LEBLON FIM</v>
          </cell>
        </row>
        <row r="14352">
          <cell r="B14352">
            <v>16804</v>
          </cell>
          <cell r="C14352" t="str">
            <v>PERSONALE BRAVO FUNDO DE INVESTIMENTO MULTIMERCADO</v>
          </cell>
          <cell r="D14352" t="str">
            <v>PERSONALE BRAVO FUNDO DE INVESTIMENTO MULTIMERCADO</v>
          </cell>
          <cell r="E14352" t="str">
            <v>PERSONALE BRAVO FUNDO DE INVESTIMENTO MULTIMERCADO</v>
          </cell>
        </row>
        <row r="14353">
          <cell r="B14353">
            <v>16805</v>
          </cell>
          <cell r="C14353" t="str">
            <v>PERSONALE ORION FIF</v>
          </cell>
          <cell r="D14353" t="str">
            <v>PERSONALE ORION FIF</v>
          </cell>
          <cell r="E14353" t="str">
            <v>PERSONALE ORION FIF</v>
          </cell>
        </row>
        <row r="14354">
          <cell r="B14354">
            <v>16806</v>
          </cell>
          <cell r="C14354" t="str">
            <v>PERSONALE PODIUM FIA</v>
          </cell>
          <cell r="D14354" t="str">
            <v>PERSONALE PODIUM FIA</v>
          </cell>
          <cell r="E14354" t="str">
            <v>PERSONALE PODIUM FIA</v>
          </cell>
        </row>
        <row r="14355">
          <cell r="B14355">
            <v>16807</v>
          </cell>
          <cell r="C14355" t="str">
            <v>FI PERSONALE ONIX MULTIMERCADO</v>
          </cell>
          <cell r="D14355" t="str">
            <v>FI PERSONALE ONIX MULTIMERCADO</v>
          </cell>
          <cell r="E14355" t="str">
            <v>FI PERSONALE ONIX MULTIMERCADO</v>
          </cell>
        </row>
        <row r="14356">
          <cell r="B14356">
            <v>16808</v>
          </cell>
          <cell r="C14356" t="str">
            <v>CLUBE DE INVESTIMENTO INTERSET</v>
          </cell>
          <cell r="D14356" t="str">
            <v>CLUBE DE INVESTIMENTO INTERSET</v>
          </cell>
          <cell r="E14356" t="str">
            <v>CLUBE DE INVESTIMENTO INTERSET</v>
          </cell>
        </row>
        <row r="14357">
          <cell r="B14357">
            <v>16809</v>
          </cell>
          <cell r="C14357" t="str">
            <v>PERSONALE DRIVE FIM</v>
          </cell>
          <cell r="D14357" t="str">
            <v>PERSONALE DRIVE FIM</v>
          </cell>
          <cell r="E14357" t="str">
            <v>PERSONALE CONSULTORIA E GESTAO DE CARTEIRAS LTDA</v>
          </cell>
        </row>
        <row r="14358">
          <cell r="B14358">
            <v>16810</v>
          </cell>
          <cell r="C14358" t="str">
            <v>FIM KROISOS IE</v>
          </cell>
          <cell r="D14358">
            <v>248</v>
          </cell>
          <cell r="E14358" t="str">
            <v>FIM KROISOS IE</v>
          </cell>
        </row>
        <row r="14359">
          <cell r="B14359">
            <v>16811</v>
          </cell>
          <cell r="C14359" t="str">
            <v>PERSONALE AFRODITE FIM</v>
          </cell>
          <cell r="D14359" t="str">
            <v>PERSONALE AFRODITE FIM</v>
          </cell>
          <cell r="E14359" t="str">
            <v>PERSONALE CONSULTORIA E GESTAO DE CARTEIRAS LTDA</v>
          </cell>
        </row>
        <row r="14360">
          <cell r="B14360">
            <v>16812</v>
          </cell>
          <cell r="C14360" t="str">
            <v>PERSONALE DINAMICO FIA</v>
          </cell>
          <cell r="D14360" t="str">
            <v>PERSONALE DINAMICO FIA</v>
          </cell>
          <cell r="E14360" t="str">
            <v>PERSONALE CONSULTORIA E GESTAO DE CARTEIRAS LTDA</v>
          </cell>
        </row>
        <row r="14361">
          <cell r="B14361">
            <v>16813</v>
          </cell>
          <cell r="C14361" t="str">
            <v>PERSONALE DINAMICO II FIA</v>
          </cell>
          <cell r="D14361" t="str">
            <v>PERSONALE DINAMICO II FIA</v>
          </cell>
          <cell r="E14361" t="str">
            <v>PERSONALE DINAMICO II FIA</v>
          </cell>
        </row>
        <row r="14362">
          <cell r="B14362">
            <v>16814</v>
          </cell>
          <cell r="C14362" t="str">
            <v>FIM VITORIA MULTIESTRATEGIA I</v>
          </cell>
          <cell r="D14362">
            <v>1812</v>
          </cell>
          <cell r="E14362" t="str">
            <v>FIM VITORIA MULTIESTRATEGIA I</v>
          </cell>
        </row>
        <row r="14363">
          <cell r="B14363">
            <v>16815</v>
          </cell>
          <cell r="C14363" t="str">
            <v>PERSONALE HDN FIM</v>
          </cell>
          <cell r="D14363" t="str">
            <v>PERSONALE HDN FIM</v>
          </cell>
          <cell r="E14363" t="str">
            <v>PERSONALE CONSULTORIA E GESTAO DE CARTEIRAS LTDA</v>
          </cell>
        </row>
        <row r="14364">
          <cell r="B14364">
            <v>16850</v>
          </cell>
          <cell r="C14364" t="str">
            <v>FGF REPRESENTACAO E CONSULT EM INFORM LTDA</v>
          </cell>
          <cell r="D14364" t="str">
            <v>FGF REPRESENTACAO E CONSULT EM INFORM LTDA</v>
          </cell>
          <cell r="E14364" t="str">
            <v>FGF REPRESENTACAO E CONSULT EM INFORM LTDA</v>
          </cell>
        </row>
        <row r="14365">
          <cell r="B14365">
            <v>170</v>
          </cell>
          <cell r="C14365" t="str">
            <v>BANCO BTG PACTUAL S/A</v>
          </cell>
          <cell r="D14365" t="str">
            <v>170*</v>
          </cell>
          <cell r="E14365" t="str">
            <v>BANCO BTG PACTUAL S/A</v>
          </cell>
        </row>
        <row r="14366">
          <cell r="B14366">
            <v>17172</v>
          </cell>
          <cell r="C14366" t="str">
            <v>PAULO GUILHERME MENEZES FELIX.</v>
          </cell>
          <cell r="D14366" t="str">
            <v>PAULO GUILHERME MENEZES FELIX.</v>
          </cell>
          <cell r="E14366" t="str">
            <v>PAULO GUILHERME MENEZES FELIX.</v>
          </cell>
        </row>
        <row r="14367">
          <cell r="B14367">
            <v>17178</v>
          </cell>
          <cell r="C14367" t="str">
            <v>MARIO URZEDO PAIVA</v>
          </cell>
          <cell r="D14367" t="str">
            <v>MARIO URZEDO PAIVA</v>
          </cell>
          <cell r="E14367" t="str">
            <v>MARIO URZEDO PAIVA</v>
          </cell>
        </row>
        <row r="14368">
          <cell r="B14368">
            <v>17179</v>
          </cell>
          <cell r="C14368" t="str">
            <v>VICTOR JUNIOR PINHEIRO</v>
          </cell>
          <cell r="D14368" t="str">
            <v>VICTOR JUNIOR PINHEIRO</v>
          </cell>
          <cell r="E14368" t="str">
            <v>VICTOR JUNIOR PINHEIRO</v>
          </cell>
        </row>
        <row r="14369">
          <cell r="B14369">
            <v>17180</v>
          </cell>
          <cell r="C14369" t="str">
            <v>SIGFRIED MAX BOETTCHER</v>
          </cell>
          <cell r="D14369" t="str">
            <v>SIGFRIED MAX BOETTCHER</v>
          </cell>
          <cell r="E14369" t="str">
            <v>SIGFRIED MAX BOETTCHER</v>
          </cell>
        </row>
        <row r="14370">
          <cell r="B14370">
            <v>17181</v>
          </cell>
          <cell r="C14370" t="str">
            <v>DUILIO CESAR PERUFFO AZZOLIN</v>
          </cell>
          <cell r="D14370" t="str">
            <v>DUILIO CESAR PERUFFO AZZOLIN</v>
          </cell>
          <cell r="E14370" t="str">
            <v>DUILIO CESAR PERUFFO AZZOLIN</v>
          </cell>
        </row>
        <row r="14371">
          <cell r="B14371">
            <v>17185</v>
          </cell>
          <cell r="C14371" t="str">
            <v>RAUL DAVIES MENDEZ</v>
          </cell>
          <cell r="D14371" t="str">
            <v>RAUL DAVIES MENDEZ</v>
          </cell>
          <cell r="E14371" t="str">
            <v>RAUL DAVIES MENDEZ</v>
          </cell>
        </row>
        <row r="14372">
          <cell r="B14372">
            <v>17200</v>
          </cell>
          <cell r="C14372" t="str">
            <v>HERMANN MIRANDA SANTOS</v>
          </cell>
          <cell r="D14372" t="str">
            <v>HERMANN MIRANDA SANTOS</v>
          </cell>
          <cell r="E14372" t="str">
            <v>HERMANN MIRANDA SANTOS</v>
          </cell>
        </row>
        <row r="14373">
          <cell r="B14373">
            <v>172500</v>
          </cell>
          <cell r="C14373" t="str">
            <v>BANCO BARCLAYS S/A</v>
          </cell>
          <cell r="D14373" t="str">
            <v>88.1</v>
          </cell>
          <cell r="E14373" t="str">
            <v>BARCLAYS BANK PLC</v>
          </cell>
        </row>
        <row r="14374">
          <cell r="B14374">
            <v>172501</v>
          </cell>
          <cell r="C14374" t="str">
            <v>BARCLAYS BANK PLC</v>
          </cell>
          <cell r="D14374">
            <v>88</v>
          </cell>
          <cell r="E14374" t="str">
            <v>BARCLAYS BANK PLC</v>
          </cell>
        </row>
        <row r="14375">
          <cell r="B14375">
            <v>172502</v>
          </cell>
          <cell r="C14375" t="str">
            <v>BARCLAYS FIM CP INVESTIMENTO NO EXTERIOR</v>
          </cell>
          <cell r="D14375" t="str">
            <v>88.2</v>
          </cell>
          <cell r="E14375" t="str">
            <v>BARCLAYS FIM CP INVESTIMENTO NO EXTERIOR</v>
          </cell>
        </row>
        <row r="14376">
          <cell r="B14376">
            <v>17393</v>
          </cell>
          <cell r="C14376" t="str">
            <v>UNIBANCO UNIAO DE BANCOS BRASILEIROS S/A</v>
          </cell>
          <cell r="D14376" t="str">
            <v>UNIBANCO UNIAO DE BANCOS BRASILEIROS S/A</v>
          </cell>
          <cell r="E14376" t="str">
            <v>UNIBANCO UNIAO DE BANCOS BRASILEIROS S/A</v>
          </cell>
        </row>
        <row r="14377">
          <cell r="B14377">
            <v>17500</v>
          </cell>
          <cell r="C14377" t="str">
            <v>JOSE MAURICIO GOMES TEIXEIRA</v>
          </cell>
          <cell r="D14377" t="str">
            <v>JOSE MAURICIO GOMES TEIXEIRA</v>
          </cell>
          <cell r="E14377" t="str">
            <v>JOSE MAURICIO GOMES TEIXEIRA</v>
          </cell>
        </row>
        <row r="14378">
          <cell r="B14378">
            <v>17662</v>
          </cell>
          <cell r="C14378" t="str">
            <v>ATICO HEDGE FIM</v>
          </cell>
          <cell r="D14378">
            <v>212</v>
          </cell>
          <cell r="E14378" t="str">
            <v>ATICO HEDGE FIM</v>
          </cell>
        </row>
        <row r="14379">
          <cell r="B14379">
            <v>17800</v>
          </cell>
          <cell r="C14379" t="str">
            <v>ROGERIO ALVES DE FREITAS</v>
          </cell>
          <cell r="D14379" t="str">
            <v>ROGERIO ALVES DE FREITAS</v>
          </cell>
          <cell r="E14379" t="str">
            <v>ROGERIO ALVES DE FREITAS</v>
          </cell>
        </row>
        <row r="14380">
          <cell r="B14380">
            <v>17820</v>
          </cell>
          <cell r="C14380" t="str">
            <v>MARCO NICOLINO VIGGIANI</v>
          </cell>
          <cell r="D14380" t="str">
            <v>MARCO NICOLINO VIGGIANI</v>
          </cell>
          <cell r="E14380" t="str">
            <v>MARCO NICOLINO VIGGIANI</v>
          </cell>
        </row>
        <row r="14381">
          <cell r="B14381">
            <v>17850</v>
          </cell>
          <cell r="C14381" t="str">
            <v>EDUARDO COTRIM KNOTT</v>
          </cell>
          <cell r="D14381" t="str">
            <v>EDUARDO COTRIM KNOTT</v>
          </cell>
          <cell r="E14381" t="str">
            <v>EDUARDO COTRIM KNOTT</v>
          </cell>
        </row>
        <row r="14382">
          <cell r="B14382">
            <v>17852</v>
          </cell>
          <cell r="C14382" t="str">
            <v>SAULO COLOZIO MELLES</v>
          </cell>
          <cell r="D14382" t="str">
            <v>SAULO COLOZIO MELLES</v>
          </cell>
          <cell r="E14382" t="str">
            <v>SAULO COLOZIO MELLES</v>
          </cell>
        </row>
        <row r="14383">
          <cell r="B14383">
            <v>17900</v>
          </cell>
          <cell r="C14383" t="str">
            <v>MIGUEL COELHO NETTO PIRES GONCALVES</v>
          </cell>
          <cell r="D14383" t="str">
            <v>MIGUEL COELHO NETTO PIRES GONCALVES</v>
          </cell>
          <cell r="E14383" t="str">
            <v>MIGUEL COELHO NETTO PIRES GONCALVES</v>
          </cell>
        </row>
        <row r="14384">
          <cell r="B14384">
            <v>17915</v>
          </cell>
          <cell r="C14384" t="str">
            <v>CARLOS ALBERTO BRUNELLI</v>
          </cell>
          <cell r="D14384" t="str">
            <v>CARLOS ALBERTO BRUNELLI</v>
          </cell>
          <cell r="E14384" t="str">
            <v>CARLOS ALBERTO BRUNELLI</v>
          </cell>
        </row>
        <row r="14385">
          <cell r="B14385">
            <v>17950</v>
          </cell>
          <cell r="C14385" t="str">
            <v>JOSE ELENO RORIZ</v>
          </cell>
          <cell r="D14385" t="str">
            <v>JOSE ELENO RORIZ</v>
          </cell>
          <cell r="E14385" t="str">
            <v>JOSE ELENO RORIZ</v>
          </cell>
        </row>
        <row r="14386">
          <cell r="B14386">
            <v>18200</v>
          </cell>
          <cell r="C14386" t="str">
            <v>MATOLA AGROPECUARIA E PARTICIPACOES</v>
          </cell>
          <cell r="D14386" t="str">
            <v>MATOLA AGROPECUARIA E PARTICIPACOES</v>
          </cell>
          <cell r="E14386" t="str">
            <v>MATOLA AGROPECUARIA E PARTICIPACOES</v>
          </cell>
        </row>
        <row r="14387">
          <cell r="B14387">
            <v>18201</v>
          </cell>
          <cell r="C14387" t="str">
            <v>SUN MORITZ ADMINISTRADORA DE BENS S/C LTDA</v>
          </cell>
          <cell r="D14387" t="str">
            <v>SUN MORITZ ADMINISTRADORA DE BENS S/C LTDA</v>
          </cell>
          <cell r="E14387" t="str">
            <v>SUN MORITZ ADMINISTRADORA DE BENS S/C LTDA</v>
          </cell>
        </row>
        <row r="14388">
          <cell r="B14388">
            <v>18234</v>
          </cell>
          <cell r="C14388" t="str">
            <v>BANCO ITAU BBA S/A</v>
          </cell>
          <cell r="D14388" t="str">
            <v>BANCO ITAU BBA S/A</v>
          </cell>
          <cell r="E14388" t="str">
            <v>BANCO ITAU BBA S/A</v>
          </cell>
        </row>
        <row r="14389">
          <cell r="B14389">
            <v>18235</v>
          </cell>
          <cell r="C14389" t="str">
            <v>BANCO ITAU BBA S/A</v>
          </cell>
          <cell r="D14389" t="str">
            <v>BANCO ITAU BBA S/A</v>
          </cell>
          <cell r="E14389" t="str">
            <v>BANCO ITAU BBA S/A</v>
          </cell>
        </row>
        <row r="14390">
          <cell r="B14390">
            <v>18236</v>
          </cell>
          <cell r="C14390" t="str">
            <v>BANCO ITAU BBA S/A</v>
          </cell>
          <cell r="D14390" t="str">
            <v>BANCO ITAU BBA S/A</v>
          </cell>
          <cell r="E14390" t="str">
            <v>BANCO ITAU BBA S/A</v>
          </cell>
        </row>
        <row r="14391">
          <cell r="B14391">
            <v>18237</v>
          </cell>
          <cell r="C14391" t="str">
            <v>BANCO ITAU BBA S/A</v>
          </cell>
          <cell r="D14391" t="str">
            <v>BANCO ITAU BBA S/A</v>
          </cell>
          <cell r="E14391" t="str">
            <v>BANCO ITAU BBA S/A</v>
          </cell>
        </row>
        <row r="14392">
          <cell r="B14392">
            <v>18238</v>
          </cell>
          <cell r="C14392" t="str">
            <v>BANCO ITAU BBA S/A</v>
          </cell>
          <cell r="D14392" t="str">
            <v>BANCO ITAU BBA S/A</v>
          </cell>
          <cell r="E14392" t="str">
            <v>BANCO ITAU BBA S/A</v>
          </cell>
        </row>
        <row r="14393">
          <cell r="B14393">
            <v>18239</v>
          </cell>
          <cell r="C14393" t="str">
            <v>BANCO ITAU BBA S/A</v>
          </cell>
          <cell r="D14393" t="str">
            <v>BANCO ITAU BBA S/A</v>
          </cell>
          <cell r="E14393" t="str">
            <v>BANCO ITAU BBA S/A</v>
          </cell>
        </row>
        <row r="14394">
          <cell r="B14394">
            <v>18240</v>
          </cell>
          <cell r="C14394" t="str">
            <v>COMERCIAL ASSET MANAGEMENT ADM RECURSOS S/A</v>
          </cell>
          <cell r="D14394" t="str">
            <v>COMERCIAL ASSET MANAGEMENT ADM RECURSOS S/A</v>
          </cell>
          <cell r="E14394" t="str">
            <v>COMERCIAL ASSET MANAGEMENT ADM RECURSOS S/A</v>
          </cell>
        </row>
        <row r="14395">
          <cell r="B14395">
            <v>18241</v>
          </cell>
          <cell r="C14395" t="str">
            <v>BANCO ITAU BBA S/A</v>
          </cell>
          <cell r="D14395" t="str">
            <v>BANCO ITAU BBA S/A</v>
          </cell>
          <cell r="E14395" t="str">
            <v>BANCO ITAU BBA S/A</v>
          </cell>
        </row>
        <row r="14396">
          <cell r="B14396">
            <v>18242</v>
          </cell>
          <cell r="C14396" t="str">
            <v>BANCO ITAU BBA S/A</v>
          </cell>
          <cell r="D14396" t="str">
            <v>BANCO ITAU BBA S/A</v>
          </cell>
          <cell r="E14396" t="str">
            <v>BANCO ITAU BBA S/A</v>
          </cell>
        </row>
        <row r="14397">
          <cell r="B14397">
            <v>18243</v>
          </cell>
          <cell r="C14397" t="str">
            <v>BANCO ITAU BBA S/A</v>
          </cell>
          <cell r="D14397" t="str">
            <v>BANCO ITAU BBA S/A</v>
          </cell>
          <cell r="E14397" t="str">
            <v>BANCO ITAU BBA S/A</v>
          </cell>
        </row>
        <row r="14398">
          <cell r="B14398">
            <v>18330</v>
          </cell>
          <cell r="C14398" t="str">
            <v>MODAL EAGLE 60 FIM</v>
          </cell>
          <cell r="D14398" t="str">
            <v>MODAL EAGLE 60 FIM</v>
          </cell>
          <cell r="E14398" t="str">
            <v>MODAL EAGLE 60 FIM</v>
          </cell>
        </row>
        <row r="14399">
          <cell r="B14399">
            <v>18331</v>
          </cell>
          <cell r="C14399" t="str">
            <v>FIF MODAL SHARK</v>
          </cell>
          <cell r="D14399" t="str">
            <v>FIF MODAL SHARK</v>
          </cell>
          <cell r="E14399" t="str">
            <v>MODAL ASSET MANAGEMENT LTDA</v>
          </cell>
        </row>
        <row r="14400">
          <cell r="B14400">
            <v>18332</v>
          </cell>
          <cell r="C14400" t="str">
            <v>MODAL INSTITUCIONAL FIM</v>
          </cell>
          <cell r="D14400" t="str">
            <v>MODAL INSTITUCIONAL FIM</v>
          </cell>
          <cell r="E14400" t="str">
            <v>MODAL INSTITUCIONAL FIM</v>
          </cell>
        </row>
        <row r="14401">
          <cell r="B14401">
            <v>18333</v>
          </cell>
          <cell r="C14401" t="str">
            <v>MODAL RECEBIVEIS FI EM DIREITOS CREDITORIOS</v>
          </cell>
          <cell r="D14401" t="str">
            <v>MODAL RECEBIVEIS FI EM DIREITOS CREDITORIOS</v>
          </cell>
          <cell r="E14401" t="str">
            <v>MODAL RECEBIVEIS FI EM DIREITOS CREDITORIOS</v>
          </cell>
        </row>
        <row r="14402">
          <cell r="B14402">
            <v>18334</v>
          </cell>
          <cell r="C14402" t="str">
            <v>MODAL LION FIM CP</v>
          </cell>
          <cell r="D14402" t="str">
            <v>MODAL LION FIM CP</v>
          </cell>
          <cell r="E14402" t="str">
            <v>MODAL LION FIM CP</v>
          </cell>
        </row>
        <row r="14403">
          <cell r="B14403">
            <v>18335</v>
          </cell>
          <cell r="C14403" t="str">
            <v>MODAL PHOENIX FIM</v>
          </cell>
          <cell r="D14403" t="str">
            <v>MODAL PHOENIX FIM</v>
          </cell>
          <cell r="E14403" t="str">
            <v>MODAL PHOENIX FIM</v>
          </cell>
        </row>
        <row r="14404">
          <cell r="B14404">
            <v>18336</v>
          </cell>
          <cell r="C14404" t="str">
            <v>BANCO MODAL S/A</v>
          </cell>
          <cell r="D14404">
            <v>29</v>
          </cell>
          <cell r="E14404" t="str">
            <v>BANCO MODAL S/A</v>
          </cell>
        </row>
        <row r="14405">
          <cell r="B14405">
            <v>18337</v>
          </cell>
          <cell r="C14405" t="str">
            <v>GLOBAL EMERGING MARKET</v>
          </cell>
          <cell r="D14405" t="str">
            <v>29.9</v>
          </cell>
          <cell r="E14405" t="str">
            <v>GLOBAL EMERGING MARKET</v>
          </cell>
        </row>
        <row r="14406">
          <cell r="B14406">
            <v>18338</v>
          </cell>
          <cell r="C14406" t="str">
            <v>MODAL EAGLE FIC DE FIM</v>
          </cell>
          <cell r="D14406" t="str">
            <v>MODAL EAGLE FIC DE FIM</v>
          </cell>
          <cell r="E14406" t="str">
            <v>MODAL EAGLE FIC DE FIM</v>
          </cell>
        </row>
        <row r="14407">
          <cell r="B14407">
            <v>18339</v>
          </cell>
          <cell r="C14407" t="str">
            <v>FIF MODAL FOX</v>
          </cell>
          <cell r="D14407" t="str">
            <v>29.10</v>
          </cell>
          <cell r="E14407" t="str">
            <v>BANCO MODAL S/A</v>
          </cell>
        </row>
        <row r="14408">
          <cell r="B14408">
            <v>18340</v>
          </cell>
          <cell r="C14408" t="str">
            <v>MODAL BULL FIA</v>
          </cell>
          <cell r="D14408" t="str">
            <v>MODAL BULL FIA</v>
          </cell>
          <cell r="E14408" t="str">
            <v>MODAL BULL FIA</v>
          </cell>
        </row>
        <row r="14409">
          <cell r="B14409">
            <v>18341</v>
          </cell>
          <cell r="C14409" t="str">
            <v>FUNDO  DE INVEST. MULTI INFRA</v>
          </cell>
          <cell r="D14409" t="str">
            <v>29.1</v>
          </cell>
          <cell r="E14409" t="str">
            <v>FUNDO  DE INVEST. MULTI INFRA</v>
          </cell>
        </row>
        <row r="14410">
          <cell r="B14410">
            <v>18342</v>
          </cell>
          <cell r="C14410" t="str">
            <v>MODAL FIM PETROS CP</v>
          </cell>
          <cell r="D14410" t="str">
            <v>MODAL FIM PETROS CP</v>
          </cell>
          <cell r="E14410" t="str">
            <v>MODAL ASSET MANAGEMENT LTDA</v>
          </cell>
        </row>
        <row r="14411">
          <cell r="B14411">
            <v>18343</v>
          </cell>
          <cell r="C14411" t="str">
            <v>MODAL EAGLE MASTER FIM</v>
          </cell>
          <cell r="D14411" t="str">
            <v>MODAL EAGLE MASTER FIM</v>
          </cell>
          <cell r="E14411" t="str">
            <v>MODAL EAGLE MASTER FIM</v>
          </cell>
        </row>
        <row r="14412">
          <cell r="B14412">
            <v>18344</v>
          </cell>
          <cell r="C14412" t="str">
            <v>RENO FIM CP IE</v>
          </cell>
          <cell r="D14412" t="str">
            <v>RENO FIM CP IE</v>
          </cell>
          <cell r="E14412" t="str">
            <v>RENO FIM CP IE</v>
          </cell>
        </row>
        <row r="14413">
          <cell r="B14413">
            <v>18345</v>
          </cell>
          <cell r="C14413" t="str">
            <v>FUNDO DE INVESTIMENTO MINAS</v>
          </cell>
          <cell r="D14413" t="str">
            <v>FUNDO DE INVESTIMENTO MINAS</v>
          </cell>
          <cell r="E14413" t="str">
            <v>FUNDO DE INVESTIMENTO MINAS</v>
          </cell>
        </row>
        <row r="14414">
          <cell r="B14414">
            <v>18347</v>
          </cell>
          <cell r="C14414" t="str">
            <v>SANDVIKA FUNDO DE INVESTIMENTO MULTIMERCADO</v>
          </cell>
          <cell r="D14414" t="str">
            <v>SANDVIKA FUNDO DE INVESTIMENTO MULTIMERCADO</v>
          </cell>
          <cell r="E14414" t="str">
            <v>SANDVIKA FUNDO DE INVESTIMENTO MULTIMERCADO</v>
          </cell>
        </row>
        <row r="14415">
          <cell r="B14415">
            <v>18348</v>
          </cell>
          <cell r="C14415" t="str">
            <v>GAP HEDGE FIM</v>
          </cell>
          <cell r="D14415" t="str">
            <v>GAP HEDGE FIM</v>
          </cell>
          <cell r="E14415" t="str">
            <v>GAP GESTORA DE RECURSOS LTDA</v>
          </cell>
        </row>
        <row r="14416">
          <cell r="B14416">
            <v>18349</v>
          </cell>
          <cell r="C14416" t="str">
            <v>ZEFIRO INVESTIMENTS LLC - BANCO MODAL SA</v>
          </cell>
          <cell r="D14416" t="str">
            <v>ZEFIRO INVESTIMENTS LLC - BANCO MODAL SA</v>
          </cell>
          <cell r="E14416" t="str">
            <v>ZEFIRO INVESTIMENTS LLC - BANCO MODAL SA</v>
          </cell>
        </row>
        <row r="14417">
          <cell r="B14417">
            <v>18350</v>
          </cell>
          <cell r="C14417" t="str">
            <v>ATENAS FUNDO DE INVESTIMENTO MULTIMERCADO CP</v>
          </cell>
          <cell r="D14417" t="str">
            <v>ATENAS FUNDO DE INVESTIMENTO MULTIMERCADO CP</v>
          </cell>
          <cell r="E14417" t="str">
            <v>ATENAS FUNDO DE INVESTIMENTO MULTIMERCADO CP</v>
          </cell>
        </row>
        <row r="14418">
          <cell r="B14418">
            <v>18352</v>
          </cell>
          <cell r="C14418" t="str">
            <v>VERONA INST.GEAP FIM</v>
          </cell>
          <cell r="D14418" t="str">
            <v>VERONA INST.GEAP FIM</v>
          </cell>
          <cell r="E14418" t="str">
            <v>MODAL ASSET MANAGEMENT LTDA</v>
          </cell>
        </row>
        <row r="14419">
          <cell r="B14419">
            <v>18353</v>
          </cell>
          <cell r="C14419" t="str">
            <v>NUCLEOS II MODAL FUNDO DE INVESTIMENTO MULTIMERCADO</v>
          </cell>
          <cell r="D14419" t="str">
            <v>NUCLEOS II MODAL FUNDO DE INVESTIMENTO MULTIMERCADO</v>
          </cell>
          <cell r="E14419" t="str">
            <v>MODAL ASSET MANAGEMENT LTDA</v>
          </cell>
        </row>
        <row r="14420">
          <cell r="B14420">
            <v>18354</v>
          </cell>
          <cell r="C14420" t="str">
            <v>TAVEX MODAL RECEBIVEIS PERFORMADOS II FIDC</v>
          </cell>
          <cell r="D14420" t="str">
            <v>TAVEX MODAL RECEBIVEIS PERFORMADOS II FIDC</v>
          </cell>
          <cell r="E14420" t="str">
            <v>MODAL ADMINISTRADORA DE RECURSOS SA</v>
          </cell>
        </row>
        <row r="14421">
          <cell r="B14421">
            <v>18355</v>
          </cell>
          <cell r="C14421" t="str">
            <v>FUNDO DE INVESTIMENTO MULTIMERCADO  NISSEN</v>
          </cell>
          <cell r="D14421" t="str">
            <v>FUNDO DE INVESTIMENTO MULTIMERCADO  NISSEN</v>
          </cell>
          <cell r="E14421" t="str">
            <v>PERSONALE CONSULTORIA E GESTAO DE CARTEIRAS LTDA</v>
          </cell>
        </row>
        <row r="14422">
          <cell r="B14422">
            <v>18356</v>
          </cell>
          <cell r="C14422" t="str">
            <v>WARRIOR VI FIM CREDITO PRIVADO</v>
          </cell>
          <cell r="D14422" t="str">
            <v>WARRIOR VI FIM CREDITO PRIVADO</v>
          </cell>
          <cell r="E14422" t="str">
            <v>WARRIOR VI FIM CREDITO PRIVADO</v>
          </cell>
        </row>
        <row r="14423">
          <cell r="B14423">
            <v>18359</v>
          </cell>
          <cell r="C14423" t="str">
            <v>GAP HEDGE INSTITUCIONAL FIF</v>
          </cell>
          <cell r="D14423" t="str">
            <v>GAP HEDGE INSTITUCIONAL FIF</v>
          </cell>
          <cell r="E14423" t="str">
            <v>GAP HEDGE INSTITUCIONAL FIF</v>
          </cell>
        </row>
        <row r="14424">
          <cell r="B14424">
            <v>18439</v>
          </cell>
          <cell r="C14424" t="str">
            <v>WARRIOR II FUNDO DE INVESTIMENTO MULTIMERCADO</v>
          </cell>
          <cell r="D14424" t="str">
            <v>29.5</v>
          </cell>
          <cell r="E14424" t="str">
            <v>WARRIOR II FUNDO DE INVESTIMENTO MULTIMERCADO</v>
          </cell>
        </row>
        <row r="14425">
          <cell r="B14425">
            <v>18440</v>
          </cell>
          <cell r="C14425" t="str">
            <v>WARRIOR FDO DE INVEST. MULT. CREDITO PRIVADO</v>
          </cell>
          <cell r="D14425" t="str">
            <v>29.4</v>
          </cell>
          <cell r="E14425" t="str">
            <v>WARRIOR FDO DE INVEST. MULT. CREDITO PRIVADO</v>
          </cell>
        </row>
        <row r="14426">
          <cell r="B14426">
            <v>18441</v>
          </cell>
          <cell r="C14426" t="str">
            <v>MODAL TENDA FIM CP</v>
          </cell>
          <cell r="D14426" t="str">
            <v>29.7</v>
          </cell>
          <cell r="E14426" t="str">
            <v>MODAL TENDA FIM CP</v>
          </cell>
        </row>
        <row r="14427">
          <cell r="B14427">
            <v>18456</v>
          </cell>
          <cell r="C14427" t="str">
            <v>MODAL LONG AND SHORT FIA</v>
          </cell>
          <cell r="D14427" t="str">
            <v>MODAL LONG AND SHORT FIA</v>
          </cell>
          <cell r="E14427" t="str">
            <v>MODAL LONG AND SHORT FIA</v>
          </cell>
        </row>
        <row r="14428">
          <cell r="B14428">
            <v>18467</v>
          </cell>
          <cell r="C14428" t="str">
            <v>BB BANCO DE INVESTIMENTO S/A</v>
          </cell>
          <cell r="D14428" t="str">
            <v>BB BANCO DE INVESTIMENTO S/A</v>
          </cell>
          <cell r="E14428" t="str">
            <v>BB BANCO DE INVESTIMENTO S/A</v>
          </cell>
        </row>
        <row r="14429">
          <cell r="B14429">
            <v>18468</v>
          </cell>
          <cell r="C14429" t="str">
            <v>BB BANCO DE INVESTIMENTO S/A</v>
          </cell>
          <cell r="D14429" t="str">
            <v>BB BANCO DE INVESTIMENTO S/A</v>
          </cell>
          <cell r="E14429" t="str">
            <v>BB BANCO DE INVESTIMENTO S/A</v>
          </cell>
        </row>
        <row r="14430">
          <cell r="B14430">
            <v>18469</v>
          </cell>
          <cell r="C14430" t="str">
            <v>BB BANCO DE INVESTIMENTO S/A</v>
          </cell>
          <cell r="D14430" t="str">
            <v>BB BANCO DE INVESTIMENTO S/A</v>
          </cell>
          <cell r="E14430" t="str">
            <v>BB BANCO DE INVESTIMENTO S/A</v>
          </cell>
        </row>
        <row r="14431">
          <cell r="B14431">
            <v>18504</v>
          </cell>
          <cell r="C14431" t="str">
            <v>FUNDO NOBEL ADVANCED FIM</v>
          </cell>
          <cell r="D14431" t="str">
            <v>FUNDO NOBEL ADVANCED FIM</v>
          </cell>
          <cell r="E14431" t="str">
            <v>FUNDO NOBEL ADVANCED FIM</v>
          </cell>
        </row>
        <row r="14432">
          <cell r="B14432">
            <v>123752</v>
          </cell>
          <cell r="C14432" t="str">
            <v>MBPREV III MULTIMERCADO FI</v>
          </cell>
          <cell r="D14432" t="str">
            <v>MBPREV III MULTIMERCADO FI</v>
          </cell>
          <cell r="E14432" t="str">
            <v>WESTERN ASSET MANAGEMENT COMPANY DTVM LTDA</v>
          </cell>
        </row>
        <row r="14433">
          <cell r="B14433">
            <v>123753</v>
          </cell>
          <cell r="C14433" t="str">
            <v>FRG FUNDO DE INVESTIMENTO EM ACOES SHARP</v>
          </cell>
          <cell r="D14433" t="str">
            <v>FRG FUNDO DE INVESTIMENTO EM ACOES SHARP</v>
          </cell>
          <cell r="E14433" t="str">
            <v>SHARP CAPITAL GESTORA DE RECURSOS LTDA</v>
          </cell>
        </row>
        <row r="14434">
          <cell r="B14434">
            <v>123754</v>
          </cell>
          <cell r="C14434" t="str">
            <v>SHARP LONG SHORT 2X FIM</v>
          </cell>
          <cell r="D14434" t="str">
            <v>SHARP LONG SHORT 2X FIM</v>
          </cell>
          <cell r="E14434" t="str">
            <v>SHARP LONG SHORT 2X FIM</v>
          </cell>
        </row>
        <row r="14435">
          <cell r="B14435">
            <v>123755</v>
          </cell>
          <cell r="C14435" t="str">
            <v>GAP MULTIPORTFOLIO DOLAR FIM</v>
          </cell>
          <cell r="D14435" t="str">
            <v>GAP MULTIPORTFOLIO DOLAR FIM</v>
          </cell>
          <cell r="E14435" t="str">
            <v>GAP GESTORA DE RECURSOS LTDA</v>
          </cell>
        </row>
        <row r="14436">
          <cell r="B14436">
            <v>123756</v>
          </cell>
          <cell r="C14436" t="str">
            <v>OTAVIO AMORIM E SILVA</v>
          </cell>
          <cell r="D14436" t="str">
            <v>OTAVIO AMORIM E SILVA</v>
          </cell>
          <cell r="E14436" t="str">
            <v>OTAVIO AMORIM E SILVA</v>
          </cell>
        </row>
        <row r="14437">
          <cell r="B14437">
            <v>123757</v>
          </cell>
          <cell r="C14437" t="str">
            <v>VINICIUS HENRIQUE ALVES</v>
          </cell>
          <cell r="D14437" t="str">
            <v>VINICIUS HENRIQUE ALVES</v>
          </cell>
          <cell r="E14437" t="str">
            <v>VINICIUS HENRIQUE ALVES</v>
          </cell>
        </row>
        <row r="14438">
          <cell r="B14438">
            <v>123758</v>
          </cell>
          <cell r="C14438" t="str">
            <v>RIO DAS PEDRAS ACOES FIA</v>
          </cell>
          <cell r="D14438" t="str">
            <v>RIO DAS PEDRAS ACOES FIA</v>
          </cell>
          <cell r="E14438" t="str">
            <v>RIO DAS PEDRAS ACOES FIA</v>
          </cell>
        </row>
        <row r="14439">
          <cell r="B14439">
            <v>123759</v>
          </cell>
          <cell r="C14439" t="str">
            <v>RIO DAS PEDRAS HEDGE II FIM CP IE</v>
          </cell>
          <cell r="D14439" t="str">
            <v>RIO DAS PEDRAS HEDGE II FIM CP IE</v>
          </cell>
          <cell r="E14439" t="str">
            <v>RIO DAS PEDRAS HEDGE II FIM CP IE</v>
          </cell>
        </row>
        <row r="14440">
          <cell r="B14440">
            <v>123760</v>
          </cell>
          <cell r="C14440" t="str">
            <v>RIO DAS PEDRAS MACRO FIM</v>
          </cell>
          <cell r="D14440" t="str">
            <v>RIO DAS PEDRAS MACRO FIM</v>
          </cell>
          <cell r="E14440" t="str">
            <v>RIO DAS PEDRAS MACRO FIM</v>
          </cell>
        </row>
        <row r="14441">
          <cell r="B14441">
            <v>123761</v>
          </cell>
          <cell r="C14441" t="str">
            <v>JOSE ALEXIS DA SILVA BRAGA</v>
          </cell>
          <cell r="D14441" t="str">
            <v>JOSE ALEXIS DA SILVA BRAGA</v>
          </cell>
          <cell r="E14441" t="str">
            <v>JOSE ALEXIS DA SILVA BRAGA</v>
          </cell>
        </row>
        <row r="14442">
          <cell r="B14442">
            <v>123762</v>
          </cell>
          <cell r="C14442" t="str">
            <v>SPX FALCON MASTER FIF EM AÃ‡Ã•ES RL</v>
          </cell>
          <cell r="D14442" t="str">
            <v>SPX FALCON MASTER FIF EM AÃ‡Ã•ES RL</v>
          </cell>
          <cell r="E14442" t="str">
            <v>SPX FALCON MASTER FIF EM AÃ‡Ã•ES RL</v>
          </cell>
        </row>
        <row r="14443">
          <cell r="B14443">
            <v>123763</v>
          </cell>
          <cell r="C14443" t="str">
            <v>SPX PATRIOT MASTER FI FIA RESPONSABILIDADE LIMITADA</v>
          </cell>
          <cell r="D14443" t="str">
            <v>SPX PATRIOT MASTER FI FIA RESPONSABILIDADE LIMITADA</v>
          </cell>
          <cell r="E14443" t="str">
            <v>SPX PATRIOT MASTER FI FIA RESPONSABILIDADE LIMITADA</v>
          </cell>
        </row>
        <row r="14444">
          <cell r="B14444">
            <v>123764</v>
          </cell>
          <cell r="C14444" t="str">
            <v>SPX APACHE FUNDO DE INVESTIMENTO FINANCEIRO DE AÃ‡Ã•ES RL</v>
          </cell>
          <cell r="D14444" t="str">
            <v>SPX APACHE FUNDO DE INVESTIMENTO FINANCEIRO DE AÃ‡Ã•ES RL</v>
          </cell>
          <cell r="E14444" t="str">
            <v>SPX GESTAO DE RECURSOS LTDA</v>
          </cell>
        </row>
        <row r="14445">
          <cell r="B14445">
            <v>123765</v>
          </cell>
          <cell r="C14445" t="str">
            <v>XMZ FIM CP IE</v>
          </cell>
          <cell r="D14445" t="str">
            <v>XMZ FIM CP IE</v>
          </cell>
          <cell r="E14445" t="str">
            <v>XMZ FIM CP IE</v>
          </cell>
        </row>
        <row r="14446">
          <cell r="B14446">
            <v>123766</v>
          </cell>
          <cell r="C14446" t="str">
            <v>CONSENSO PREVIDENCIA FIM</v>
          </cell>
          <cell r="D14446" t="str">
            <v>CONSENSO PREVIDENCIA FIM</v>
          </cell>
          <cell r="E14446" t="str">
            <v>CONSENSO INVESTIMENTOS LTDA</v>
          </cell>
        </row>
        <row r="14447">
          <cell r="B14447">
            <v>123767</v>
          </cell>
          <cell r="C14447" t="str">
            <v>RENTAVEL PREVIDENCIA FIM CP</v>
          </cell>
          <cell r="D14447" t="str">
            <v>RENTAVEL PREVIDENCIA FIM CP</v>
          </cell>
          <cell r="E14447" t="str">
            <v>RENTAVEL PREVIDENCIA FIM CP</v>
          </cell>
        </row>
        <row r="14448">
          <cell r="B14448">
            <v>123768</v>
          </cell>
          <cell r="C14448" t="str">
            <v>NORTHERN GATE LLC</v>
          </cell>
          <cell r="D14448" t="str">
            <v>NORTHERN GATE LLC</v>
          </cell>
          <cell r="E14448" t="str">
            <v>JGP GESTAO PATRIMONIAL LTDA</v>
          </cell>
        </row>
        <row r="14449">
          <cell r="B14449">
            <v>123769</v>
          </cell>
          <cell r="C14449" t="str">
            <v>SOLOIST CAPITAL , LLC</v>
          </cell>
          <cell r="D14449" t="str">
            <v>SOLOIST CAPITAL , LLC</v>
          </cell>
          <cell r="E14449" t="str">
            <v>JGP GESTAO PATRIMONIAL LTDA</v>
          </cell>
        </row>
        <row r="14450">
          <cell r="B14450">
            <v>12377</v>
          </cell>
          <cell r="C14450" t="str">
            <v>JGP GESTAO DE RECURSOS LTDA</v>
          </cell>
          <cell r="D14450" t="str">
            <v>JGP GESTAO DE RECURSOS LTDA</v>
          </cell>
          <cell r="E14450" t="str">
            <v>JGP GESTAO PATRIMONIAL LTDA</v>
          </cell>
        </row>
        <row r="14451">
          <cell r="B14451">
            <v>123770</v>
          </cell>
          <cell r="C14451" t="str">
            <v>ALEXANDRE DA COSTA SOARES</v>
          </cell>
          <cell r="D14451" t="str">
            <v>ALEXANDRE DA COSTA SOARES</v>
          </cell>
          <cell r="E14451" t="str">
            <v>ALEXANDRE DA COSTA SOARES</v>
          </cell>
        </row>
        <row r="14452">
          <cell r="B14452">
            <v>123771</v>
          </cell>
          <cell r="C14452" t="str">
            <v>MORGAN STANLEY CTVM S/A</v>
          </cell>
          <cell r="D14452" t="str">
            <v>MORGAN STANLEY CTVM S/A</v>
          </cell>
          <cell r="E14452" t="str">
            <v>MORGAN STANLEY CTVM S/A</v>
          </cell>
        </row>
        <row r="14453">
          <cell r="B14453">
            <v>123772</v>
          </cell>
          <cell r="C14453" t="str">
            <v>SPX NIMITZ MASTER FI FIM RESPONSABILIDADE LIMITADA</v>
          </cell>
          <cell r="D14453" t="str">
            <v>SPX NIMITZ MASTER FI FIM RESPONSABILIDADE LIMITADA</v>
          </cell>
          <cell r="E14453" t="str">
            <v>SPX NIMITZ MASTER FI FIM RESPONSABILIDADE LIMITADA</v>
          </cell>
        </row>
        <row r="14454">
          <cell r="B14454">
            <v>123773</v>
          </cell>
          <cell r="C14454" t="str">
            <v>SPX RAPTOR MASTER FI EXT MM CP</v>
          </cell>
          <cell r="D14454" t="str">
            <v>SPX RAPTOR MASTER FI EXT MM CP</v>
          </cell>
          <cell r="E14454" t="str">
            <v>SPX RAPTOR MASTER FI EXT MM CP</v>
          </cell>
        </row>
        <row r="14455">
          <cell r="B14455">
            <v>123774</v>
          </cell>
          <cell r="C14455" t="str">
            <v>BB GESTAO DE RECURSOS DTVM LTDA</v>
          </cell>
          <cell r="D14455" t="str">
            <v>BB GESTAO DE RECURSOS DTVM LTDA</v>
          </cell>
          <cell r="E14455" t="str">
            <v>BB GESTAO DE RECURSOS DTVM LTDA</v>
          </cell>
        </row>
        <row r="14456">
          <cell r="B14456">
            <v>123775</v>
          </cell>
          <cell r="C14456" t="str">
            <v>MERRILL LYNCH S/A CTVM</v>
          </cell>
          <cell r="D14456" t="str">
            <v>MERRILL LYNCH S/A CTVM</v>
          </cell>
          <cell r="E14456" t="str">
            <v>MERRILL LYNCH S/A CTVM</v>
          </cell>
        </row>
        <row r="14457">
          <cell r="B14457">
            <v>123776</v>
          </cell>
          <cell r="C14457" t="str">
            <v>MORGAN STANLEY CTVM S/A</v>
          </cell>
          <cell r="D14457" t="str">
            <v>MORGAN STANLEY CTVM S/A</v>
          </cell>
          <cell r="E14457" t="str">
            <v>MORGAN STANLEY CTVM S/A</v>
          </cell>
        </row>
        <row r="14458">
          <cell r="B14458">
            <v>123777</v>
          </cell>
          <cell r="C14458" t="str">
            <v>MORGAN STANLEY CTVM S/A</v>
          </cell>
          <cell r="D14458" t="str">
            <v>MORGAN STANLEY CTVM S/A</v>
          </cell>
          <cell r="E14458" t="str">
            <v>MORGAN STANLEY CTVM S/A</v>
          </cell>
        </row>
        <row r="14459">
          <cell r="B14459">
            <v>123778</v>
          </cell>
          <cell r="C14459" t="str">
            <v>MORGAN STANLEY CTVM S/A</v>
          </cell>
          <cell r="D14459" t="str">
            <v>MORGAN STANLEY CTVM S/A</v>
          </cell>
          <cell r="E14459" t="str">
            <v>MORGAN STANLEY CTVM S/A</v>
          </cell>
        </row>
        <row r="14460">
          <cell r="B14460">
            <v>123779</v>
          </cell>
          <cell r="C14460" t="str">
            <v>MORGAN STANLEY CTVM S/A</v>
          </cell>
          <cell r="D14460" t="str">
            <v>MORGAN STANLEY CTVM S/A</v>
          </cell>
          <cell r="E14460" t="str">
            <v>MORGAN STANLEY CTVM S/A</v>
          </cell>
        </row>
        <row r="14461">
          <cell r="B14461">
            <v>123780</v>
          </cell>
          <cell r="C14461" t="str">
            <v>MORGAN STANLEY CTVM S/A</v>
          </cell>
          <cell r="D14461" t="str">
            <v>MORGAN STANLEY CTVM S/A</v>
          </cell>
          <cell r="E14461" t="str">
            <v>MORGAN STANLEY CTVM S/A</v>
          </cell>
        </row>
        <row r="14462">
          <cell r="B14462">
            <v>123781</v>
          </cell>
          <cell r="C14462" t="str">
            <v>MORGAN STANLEY CTVM S/A</v>
          </cell>
          <cell r="D14462" t="str">
            <v>MORGAN STANLEY CTVM S/A</v>
          </cell>
          <cell r="E14462" t="str">
            <v>MORGAN STANLEY CTVM S/A</v>
          </cell>
        </row>
        <row r="14463">
          <cell r="B14463">
            <v>123782</v>
          </cell>
          <cell r="C14463" t="str">
            <v>MORGAN STANLEY CTVM S/A</v>
          </cell>
          <cell r="D14463" t="str">
            <v>MORGAN STANLEY CTVM S/A</v>
          </cell>
          <cell r="E14463" t="str">
            <v>MORGAN STANLEY CTVM S/A</v>
          </cell>
        </row>
        <row r="14464">
          <cell r="B14464">
            <v>123783</v>
          </cell>
          <cell r="C14464" t="str">
            <v>MORGAN STANLEY CTVM S/A</v>
          </cell>
          <cell r="D14464" t="str">
            <v>MORGAN STANLEY CTVM S/A</v>
          </cell>
          <cell r="E14464" t="str">
            <v>MORGAN STANLEY CTVM S/A</v>
          </cell>
        </row>
        <row r="14465">
          <cell r="B14465">
            <v>123784</v>
          </cell>
          <cell r="C14465" t="str">
            <v>MORGAN STANLEY CTVM S/A</v>
          </cell>
          <cell r="D14465" t="str">
            <v>MORGAN STANLEY CTVM S/A</v>
          </cell>
          <cell r="E14465" t="str">
            <v>MORGAN STANLEY CTVM S/A</v>
          </cell>
        </row>
        <row r="14466">
          <cell r="B14466">
            <v>123785</v>
          </cell>
          <cell r="C14466" t="str">
            <v>MORGAN STANLEY CTVM S/A</v>
          </cell>
          <cell r="D14466" t="str">
            <v>MORGAN STANLEY CTVM S/A</v>
          </cell>
          <cell r="E14466" t="str">
            <v>MORGAN STANLEY CTVM S/A</v>
          </cell>
        </row>
        <row r="14467">
          <cell r="B14467">
            <v>123786</v>
          </cell>
          <cell r="C14467" t="str">
            <v>MORGAN STANLEY CTVM S/A</v>
          </cell>
          <cell r="D14467" t="str">
            <v>MORGAN STANLEY CTVM S/A</v>
          </cell>
          <cell r="E14467" t="str">
            <v>MORGAN STANLEY CTVM S/A</v>
          </cell>
        </row>
        <row r="14468">
          <cell r="B14468">
            <v>123787</v>
          </cell>
          <cell r="C14468" t="str">
            <v>BANCO VOTORANTIM S/A</v>
          </cell>
          <cell r="D14468" t="str">
            <v>BANCO VOTORANTIM S/A</v>
          </cell>
          <cell r="E14468" t="str">
            <v>BANCO VOTORANTIM S/A</v>
          </cell>
        </row>
        <row r="14469">
          <cell r="B14469">
            <v>123788</v>
          </cell>
          <cell r="C14469" t="str">
            <v>BANCO VOTORANTIM S/A</v>
          </cell>
          <cell r="D14469" t="str">
            <v>BANCO VOTORANTIM S/A</v>
          </cell>
          <cell r="E14469" t="str">
            <v>BANCO VOTORANTIM S/A</v>
          </cell>
        </row>
        <row r="14470">
          <cell r="B14470">
            <v>123789</v>
          </cell>
          <cell r="C14470" t="str">
            <v>BANCO VOTORANTIM S/A</v>
          </cell>
          <cell r="D14470" t="str">
            <v>BANCO VOTORANTIM S/A</v>
          </cell>
          <cell r="E14470" t="str">
            <v>BANCO VOTORANTIM S/A</v>
          </cell>
        </row>
        <row r="14471">
          <cell r="B14471">
            <v>12379</v>
          </cell>
          <cell r="C14471" t="str">
            <v>DXA GESTAO DE INVESTIMENTOS LTDA</v>
          </cell>
          <cell r="D14471" t="str">
            <v>DXA GESTAO DE INVESTIMENTOS LTDA</v>
          </cell>
          <cell r="E14471" t="str">
            <v>DXA GESTAO DE INVESTIMENTOS LTDA</v>
          </cell>
        </row>
        <row r="14472">
          <cell r="B14472">
            <v>123790</v>
          </cell>
          <cell r="C14472" t="str">
            <v>MORGAN STANLEY CTVM S/A</v>
          </cell>
          <cell r="D14472" t="str">
            <v>MORGAN STANLEY CTVM S/A</v>
          </cell>
          <cell r="E14472" t="str">
            <v>MORGAN STANLEY CTVM S/A</v>
          </cell>
        </row>
        <row r="14473">
          <cell r="B14473">
            <v>123791</v>
          </cell>
          <cell r="C14473" t="str">
            <v>BOZANO MACRO MASTER FIM</v>
          </cell>
          <cell r="D14473" t="str">
            <v>BOZANO MACRO MASTER FIM</v>
          </cell>
          <cell r="E14473" t="str">
            <v>BOZANO MACRO MASTER FIM</v>
          </cell>
        </row>
        <row r="14474">
          <cell r="B14474">
            <v>123792</v>
          </cell>
          <cell r="C14474" t="str">
            <v>VINCI PORTIFOLIO 15 B FIM CP IE</v>
          </cell>
          <cell r="D14474" t="str">
            <v>VINCI PORTIFOLIO 15 B FIM CP IE</v>
          </cell>
          <cell r="E14474" t="str">
            <v>VINCI GESTORA DE RECURSOS LTDA</v>
          </cell>
        </row>
        <row r="14475">
          <cell r="B14475">
            <v>123793</v>
          </cell>
          <cell r="C14475" t="str">
            <v>FIM CP PROPRIETARIO 2B IE</v>
          </cell>
          <cell r="D14475" t="str">
            <v>FIM CP PROPRIETARIO 2B IE</v>
          </cell>
          <cell r="E14475" t="str">
            <v>FIM CP PROPRIETARIO 2B IE</v>
          </cell>
        </row>
        <row r="14476">
          <cell r="B14476">
            <v>123794</v>
          </cell>
          <cell r="C14476" t="str">
            <v>ABSOLUTE ALPHA GLOBAL MASTER FIM</v>
          </cell>
          <cell r="D14476" t="str">
            <v>ABSOLUTE ALPHA GLOBAL MASTER FIM</v>
          </cell>
          <cell r="E14476" t="str">
            <v>ABSOLUTE GESTAO DE INVESTIMENTOS LTDA</v>
          </cell>
        </row>
        <row r="14477">
          <cell r="B14477">
            <v>123795</v>
          </cell>
          <cell r="C14477" t="str">
            <v>BR FIM INR</v>
          </cell>
          <cell r="D14477" t="str">
            <v>BR FIM INR</v>
          </cell>
          <cell r="E14477" t="str">
            <v>BR FIM INR</v>
          </cell>
        </row>
        <row r="14478">
          <cell r="B14478">
            <v>123796</v>
          </cell>
          <cell r="C14478" t="str">
            <v>FIM REIMS</v>
          </cell>
          <cell r="D14478" t="str">
            <v>FIM REIMS</v>
          </cell>
          <cell r="E14478" t="str">
            <v>AMS CAPITAL LTDA</v>
          </cell>
        </row>
        <row r="14479">
          <cell r="B14479">
            <v>123797</v>
          </cell>
          <cell r="C14479" t="str">
            <v>PBLO LLC</v>
          </cell>
          <cell r="D14479" t="str">
            <v>PBLO LLC</v>
          </cell>
          <cell r="E14479" t="str">
            <v>EMPIRICUS GESTAO DE RECURSOS LTDA</v>
          </cell>
        </row>
        <row r="14480">
          <cell r="B14480">
            <v>123798</v>
          </cell>
          <cell r="C14480" t="str">
            <v>PBRE LLC</v>
          </cell>
          <cell r="D14480" t="str">
            <v>PBRE LLC</v>
          </cell>
          <cell r="E14480" t="str">
            <v>EMPIRICUS GESTAO DE RECURSOS LTDA</v>
          </cell>
        </row>
        <row r="14481">
          <cell r="B14481">
            <v>123799</v>
          </cell>
          <cell r="C14481" t="str">
            <v>CANADIAN EAGLE PORTFOLIO LLC</v>
          </cell>
          <cell r="D14481" t="str">
            <v>CANADIAN EAGLE PORTFOLIO LLC</v>
          </cell>
          <cell r="E14481" t="str">
            <v>SPX GESTAO DE RECURSOS LTDA</v>
          </cell>
        </row>
        <row r="14482">
          <cell r="B14482">
            <v>12380</v>
          </cell>
          <cell r="C14482" t="str">
            <v>BOZANO GESTAO DE RECURSOS LTDA</v>
          </cell>
          <cell r="D14482" t="str">
            <v>BOZANO GESTAO DE RECURSOS LTDA</v>
          </cell>
          <cell r="E14482" t="str">
            <v>BOZANO GESTAO DE RECURSOS LTDA</v>
          </cell>
        </row>
        <row r="14483">
          <cell r="B14483">
            <v>123800</v>
          </cell>
          <cell r="C14483" t="str">
            <v>SPX BRAZIL LLC</v>
          </cell>
          <cell r="D14483" t="str">
            <v>SPX BRAZIL LLC</v>
          </cell>
          <cell r="E14483" t="str">
            <v>SPX GESTAO DE RECURSOS LTDA</v>
          </cell>
        </row>
        <row r="14484">
          <cell r="B14484">
            <v>123801</v>
          </cell>
          <cell r="C14484" t="str">
            <v>CLARITAS PRIVATE LONG SHORT FIM</v>
          </cell>
          <cell r="D14484" t="str">
            <v>CLARITAS PRIVATE LONG SHORT FIM</v>
          </cell>
          <cell r="E14484" t="str">
            <v>CLARITAS ADMINISTRAÇÃO DE RECURSOS LTDA</v>
          </cell>
        </row>
        <row r="14485">
          <cell r="B14485">
            <v>123802</v>
          </cell>
          <cell r="C14485" t="str">
            <v>KONDOR FX FIM</v>
          </cell>
          <cell r="D14485" t="str">
            <v>KONDOR FX FIM</v>
          </cell>
          <cell r="E14485" t="str">
            <v>KONDOR ADMINISTRADORA E GESTORA DE RECURSOS FINANCEIROS LTDA</v>
          </cell>
        </row>
        <row r="14486">
          <cell r="B14486">
            <v>123803</v>
          </cell>
          <cell r="C14486" t="str">
            <v>SAGA SNAKE FIM</v>
          </cell>
          <cell r="D14486" t="str">
            <v>SAGA SNAKE FIM</v>
          </cell>
          <cell r="E14486" t="str">
            <v>SAGA SNAKE FIM</v>
          </cell>
        </row>
        <row r="14487">
          <cell r="B14487">
            <v>123804</v>
          </cell>
          <cell r="C14487" t="str">
            <v>SAGA DLEBTA FIM LP IE</v>
          </cell>
          <cell r="D14487" t="str">
            <v>SAGA DLEBTA FIM LP IE</v>
          </cell>
          <cell r="E14487" t="str">
            <v>SAGA DLEBTA FIM LP IE</v>
          </cell>
        </row>
        <row r="14488">
          <cell r="B14488">
            <v>123805</v>
          </cell>
          <cell r="C14488" t="str">
            <v>SAGA CABAMA FIM</v>
          </cell>
          <cell r="D14488" t="str">
            <v>SAGA CABAMA FIM</v>
          </cell>
          <cell r="E14488" t="str">
            <v>SAGA CABAMA FIM</v>
          </cell>
        </row>
        <row r="14489">
          <cell r="B14489">
            <v>123806</v>
          </cell>
          <cell r="C14489" t="str">
            <v>SAGA EAGLE FUNDO DE INVEST.MULTIMERCADO</v>
          </cell>
          <cell r="D14489" t="str">
            <v>SAGA EAGLE FUNDO DE INVEST.MULTIMERCADO</v>
          </cell>
          <cell r="E14489" t="str">
            <v>SAGA EAGLE FUNDO DE INVEST.MULTIMERCADO</v>
          </cell>
        </row>
        <row r="14490">
          <cell r="B14490">
            <v>123807</v>
          </cell>
          <cell r="C14490" t="str">
            <v>SAGA MONTLACER II FIM</v>
          </cell>
          <cell r="D14490" t="str">
            <v>SAGA MONTLACER II FIM</v>
          </cell>
          <cell r="E14490" t="str">
            <v>SAGA MONTLACER II FIM</v>
          </cell>
        </row>
        <row r="14491">
          <cell r="B14491">
            <v>123808</v>
          </cell>
          <cell r="C14491" t="str">
            <v>M SAFRA EQUITIES FIA</v>
          </cell>
          <cell r="D14491" t="str">
            <v>M SAFRA EQUITIES FIA</v>
          </cell>
          <cell r="E14491" t="str">
            <v>AMS CAPITAL LTDA</v>
          </cell>
        </row>
        <row r="14492">
          <cell r="B14492">
            <v>123809</v>
          </cell>
          <cell r="C14492" t="str">
            <v>M SAFRA MASTER FIM</v>
          </cell>
          <cell r="D14492" t="str">
            <v>M SAFRA MASTER FIM</v>
          </cell>
          <cell r="E14492" t="str">
            <v>AMS CAPITAL LTDA</v>
          </cell>
        </row>
        <row r="14493">
          <cell r="B14493">
            <v>12381</v>
          </cell>
          <cell r="C14493" t="str">
            <v>AMS INTERNATIONAL GESTAO FINANCEIRA LTDA</v>
          </cell>
          <cell r="D14493" t="str">
            <v>AMS INTERNATIONAL GESTAO FINANCEIRA LTDA</v>
          </cell>
          <cell r="E14493" t="str">
            <v>AMS INTERNATIONAL GESTAO FINANCEIRA LTDA</v>
          </cell>
        </row>
        <row r="14494">
          <cell r="B14494">
            <v>123810</v>
          </cell>
          <cell r="C14494" t="str">
            <v>BELVEDERE MATISSE FIM CP</v>
          </cell>
          <cell r="D14494" t="str">
            <v>BELVEDERE MATISSE FIM CP</v>
          </cell>
          <cell r="E14494" t="str">
            <v>BELVEDERE MATISSE FIM CP</v>
          </cell>
        </row>
        <row r="14495">
          <cell r="B14495">
            <v>123811</v>
          </cell>
          <cell r="C14495" t="str">
            <v>EAGLE MONET FIA</v>
          </cell>
          <cell r="D14495" t="str">
            <v>EAGLE MONET FIA</v>
          </cell>
          <cell r="E14495" t="str">
            <v>EAGLE CAPITAL SS LTDA</v>
          </cell>
        </row>
        <row r="14496">
          <cell r="B14496">
            <v>123812</v>
          </cell>
          <cell r="C14496" t="str">
            <v>BELVEDERE RENOIR FIA</v>
          </cell>
          <cell r="D14496" t="str">
            <v>BELVEDERE RENOIR FIA</v>
          </cell>
          <cell r="E14496" t="str">
            <v>BELVEDERE RENOIR FIA</v>
          </cell>
        </row>
        <row r="14497">
          <cell r="B14497">
            <v>123813</v>
          </cell>
          <cell r="C14497" t="str">
            <v>ZARABATANA FIM CP IE</v>
          </cell>
          <cell r="D14497" t="str">
            <v>ZARABATANA FIM CP IE</v>
          </cell>
          <cell r="E14497" t="str">
            <v>ZARABATANA FIM CP IE</v>
          </cell>
        </row>
        <row r="14498">
          <cell r="B14498">
            <v>123814</v>
          </cell>
          <cell r="C14498" t="str">
            <v>JOAO HENRIQUE CUNHA DE ALMEIDA</v>
          </cell>
          <cell r="D14498" t="str">
            <v>JOAO HENRIQUE CUNHA DE ALMEIDA</v>
          </cell>
          <cell r="E14498" t="str">
            <v>JOAO HENRIQUE CUNHA DE ALMEIDA</v>
          </cell>
        </row>
        <row r="14499">
          <cell r="B14499">
            <v>123815</v>
          </cell>
          <cell r="C14499" t="str">
            <v>SANTANDER CACEIS BRASIL DTVM S.A.</v>
          </cell>
          <cell r="D14499" t="str">
            <v>SANTANDER CACEIS BRASIL DTVM S.A.</v>
          </cell>
          <cell r="E14499" t="str">
            <v>SANTANDER BRASIL GESTAO DE RECURSOS LTDA</v>
          </cell>
        </row>
        <row r="14500">
          <cell r="B14500">
            <v>123816</v>
          </cell>
          <cell r="C14500" t="str">
            <v>SANTANDER CACEIS BRASIL DTVM S.A.</v>
          </cell>
          <cell r="D14500" t="str">
            <v>SANTANDER CACEIS BRASIL DTVM S.A.</v>
          </cell>
          <cell r="E14500" t="str">
            <v>SANTANDER BRASIL GESTAO DE RECURSOS LTDA</v>
          </cell>
        </row>
        <row r="14501">
          <cell r="B14501">
            <v>80198</v>
          </cell>
          <cell r="C14501" t="str">
            <v>BANCO SANTANDER S.A (HISPANO)</v>
          </cell>
          <cell r="D14501" t="str">
            <v>BANCO SANTANDER S.A (HISPANO)</v>
          </cell>
          <cell r="E14501" t="str">
            <v>BANCO SANTANDER S/A (HISPANO)</v>
          </cell>
        </row>
        <row r="14502">
          <cell r="B14502">
            <v>123818</v>
          </cell>
          <cell r="C14502" t="str">
            <v>ADAM ADVANCED MASTER FIM CP IE</v>
          </cell>
          <cell r="D14502" t="str">
            <v>ADAM ADVANCED MASTER FIM CP IE</v>
          </cell>
          <cell r="E14502" t="str">
            <v>ADAM ADVANCED MASTER FIM CP IE</v>
          </cell>
        </row>
        <row r="14503">
          <cell r="B14503">
            <v>123819</v>
          </cell>
          <cell r="C14503" t="str">
            <v>KONDOR EQUITY INSTITUCIONAL FIA</v>
          </cell>
          <cell r="D14503" t="str">
            <v>KONDOR EQUITY INSTITUCIONAL FIA</v>
          </cell>
          <cell r="E14503" t="str">
            <v>KONDOR ADMINISTRADORA E GESTORA DE RECURSOS FINANCEIROS LTDA</v>
          </cell>
        </row>
        <row r="14504">
          <cell r="B14504">
            <v>12382</v>
          </cell>
          <cell r="C14504" t="str">
            <v>AMS CAPITAL LTDA ( ANTIGO EVEREST PARTICIPACOES LTDA</v>
          </cell>
          <cell r="D14504" t="str">
            <v>AMS CAPITAL LTDA ( ANTIGO EVEREST PARTICIPACOES LTDA</v>
          </cell>
          <cell r="E14504" t="str">
            <v>AMS CAPITAL LTDA</v>
          </cell>
        </row>
        <row r="14505">
          <cell r="B14505">
            <v>123820</v>
          </cell>
          <cell r="C14505" t="str">
            <v>KONDOR LONG SHORT FIM</v>
          </cell>
          <cell r="D14505" t="str">
            <v>KONDOR LONG SHORT FIM</v>
          </cell>
          <cell r="E14505" t="str">
            <v>KONDOR LONG SHORT FIM</v>
          </cell>
        </row>
        <row r="14506">
          <cell r="B14506">
            <v>123821</v>
          </cell>
          <cell r="C14506" t="str">
            <v>KR BH FIF CI MULT CP RL</v>
          </cell>
          <cell r="D14506" t="str">
            <v>KR BH FIF CI MULT CP RL</v>
          </cell>
          <cell r="E14506" t="str">
            <v>KONDOR ADMINISTRADORA E GESTORA DE RECURSOS FINANCEIROS LTDA</v>
          </cell>
        </row>
        <row r="14507">
          <cell r="B14507">
            <v>123822</v>
          </cell>
          <cell r="C14507" t="str">
            <v>ADAM MACRO MASTER FIM</v>
          </cell>
          <cell r="D14507" t="str">
            <v>ADAM MACRO MASTER FIM</v>
          </cell>
          <cell r="E14507" t="str">
            <v>ADAM MACRO MASTER FIM</v>
          </cell>
        </row>
        <row r="14508">
          <cell r="B14508">
            <v>123823</v>
          </cell>
          <cell r="C14508" t="str">
            <v>MORGAN STANLEY CTVM S/A</v>
          </cell>
          <cell r="D14508" t="str">
            <v>MORGAN STANLEY CTVM S/A</v>
          </cell>
          <cell r="E14508" t="str">
            <v>MORGAN STANLEY CTVM S/A</v>
          </cell>
        </row>
        <row r="14509">
          <cell r="B14509">
            <v>123824</v>
          </cell>
          <cell r="C14509" t="str">
            <v>BRASIL PLURAL PETROS FIA</v>
          </cell>
          <cell r="D14509" t="str">
            <v>BRASIL PLURAL PETROS FIA</v>
          </cell>
          <cell r="E14509" t="str">
            <v>PLURAL GESTÃO DE RECURSOS LTDA</v>
          </cell>
        </row>
        <row r="14510">
          <cell r="B14510">
            <v>123825</v>
          </cell>
          <cell r="C14510" t="str">
            <v>INDIE LOGOS MASTER FIA</v>
          </cell>
          <cell r="D14510" t="str">
            <v>INDIE LOGOS MASTER FIA</v>
          </cell>
          <cell r="E14510" t="str">
            <v>INDIE CAPITAL INVESTIMENTOS LTDA</v>
          </cell>
        </row>
        <row r="14511">
          <cell r="B14511">
            <v>123826</v>
          </cell>
          <cell r="C14511" t="str">
            <v>INDIE MASTER FIA</v>
          </cell>
          <cell r="D14511" t="str">
            <v>INDIE MASTER FIA</v>
          </cell>
          <cell r="E14511" t="str">
            <v>INDIE CAPITAL INVESTIMENTOS LTDA</v>
          </cell>
        </row>
        <row r="14512">
          <cell r="B14512">
            <v>123827</v>
          </cell>
          <cell r="C14512" t="str">
            <v>INDIE INSTITUCIONAL MASTER FIA</v>
          </cell>
          <cell r="D14512" t="str">
            <v>INDIE INSTITUCIONAL MASTER FIA</v>
          </cell>
          <cell r="E14512" t="str">
            <v>INDIE CAPITAL INVESTIMENTOS LTDA</v>
          </cell>
        </row>
        <row r="14513">
          <cell r="B14513">
            <v>123828</v>
          </cell>
          <cell r="C14513" t="str">
            <v>BB AGATA III FIM CP</v>
          </cell>
          <cell r="D14513" t="str">
            <v>BB AGATA III FIM CP</v>
          </cell>
          <cell r="E14513" t="str">
            <v>BB GESTAO DE RECURSOS DTVM LTDA</v>
          </cell>
        </row>
        <row r="14514">
          <cell r="B14514">
            <v>123829</v>
          </cell>
          <cell r="C14514" t="str">
            <v>MACUCO FIM CP IE</v>
          </cell>
          <cell r="D14514" t="str">
            <v>MACUCO FIM CP IE</v>
          </cell>
          <cell r="E14514" t="str">
            <v>MACUCO FIM CP IE</v>
          </cell>
        </row>
        <row r="14515">
          <cell r="B14515">
            <v>12383</v>
          </cell>
          <cell r="C14515" t="str">
            <v>EAGLE CAPITAL SS LTDA</v>
          </cell>
          <cell r="D14515" t="str">
            <v>EAGLE CAPITAL SS LTDA</v>
          </cell>
          <cell r="E14515" t="str">
            <v>EAGLE CAPITAL SS LTDA</v>
          </cell>
        </row>
        <row r="14516">
          <cell r="B14516">
            <v>123830</v>
          </cell>
          <cell r="C14516" t="str">
            <v>CONSISTENCIA FIM CP IE</v>
          </cell>
          <cell r="D14516" t="str">
            <v>CONSISTENCIA FIM CP IE</v>
          </cell>
          <cell r="E14516" t="str">
            <v>CONSISTENCIA FIM CP IE</v>
          </cell>
        </row>
        <row r="14517">
          <cell r="B14517">
            <v>123831</v>
          </cell>
          <cell r="C14517" t="str">
            <v>BANCO BRADESCO S/A GRAND CAYMAN BRANCH</v>
          </cell>
          <cell r="D14517" t="str">
            <v>BANCO BRADESCO S/A GRAND CAYMAN BRANCH</v>
          </cell>
          <cell r="E14517" t="str">
            <v>BANCO BRADESCO S/A GRAND CAYMAN BRANCH</v>
          </cell>
        </row>
        <row r="14518">
          <cell r="B14518">
            <v>123832</v>
          </cell>
          <cell r="C14518" t="str">
            <v>KONDOR ZEB VII FIM</v>
          </cell>
          <cell r="D14518" t="str">
            <v>KONDOR ZEB VII FIM</v>
          </cell>
          <cell r="E14518" t="str">
            <v>KONDOR ADMINISTRADORA E GESTORA DE RECURSOS FINANCEIROS LTDA</v>
          </cell>
        </row>
        <row r="14519">
          <cell r="B14519">
            <v>123833</v>
          </cell>
          <cell r="C14519" t="str">
            <v>VINCI SV FIM CP</v>
          </cell>
          <cell r="D14519" t="str">
            <v>VINCI SV FIM CP</v>
          </cell>
          <cell r="E14519" t="str">
            <v>VINCI SV FIM CP</v>
          </cell>
        </row>
        <row r="14520">
          <cell r="B14520">
            <v>123834</v>
          </cell>
          <cell r="C14520" t="str">
            <v>CITRINO MACRO FIM CP IE</v>
          </cell>
          <cell r="D14520" t="str">
            <v>CITRINO MACRO FIM CP IE</v>
          </cell>
          <cell r="E14520" t="str">
            <v>CITRINO MACRO FIM CP IE</v>
          </cell>
        </row>
        <row r="14521">
          <cell r="B14521">
            <v>123835</v>
          </cell>
          <cell r="C14521" t="str">
            <v>SANTANDER CACEIS BRASIL DTVM S.A.</v>
          </cell>
          <cell r="D14521" t="str">
            <v>SANTANDER CACEIS BRASIL DTVM S.A.</v>
          </cell>
          <cell r="E14521" t="str">
            <v>SANTANDER BRASIL GESTAO DE RECURSOS LTDA</v>
          </cell>
        </row>
        <row r="14522">
          <cell r="B14522">
            <v>123836</v>
          </cell>
          <cell r="C14522" t="str">
            <v>SANTANDER CACEIS BRASIL DTVM S.A.</v>
          </cell>
          <cell r="D14522" t="str">
            <v>SANTANDER CACEIS BRASIL DTVM S.A.</v>
          </cell>
          <cell r="E14522" t="str">
            <v>SANTANDER BRASIL GESTAO DE RECURSOS LTDA</v>
          </cell>
        </row>
        <row r="14523">
          <cell r="B14523">
            <v>123837</v>
          </cell>
          <cell r="C14523" t="str">
            <v>SANTANDER CACEIS BRASIL DTVM S.A.</v>
          </cell>
          <cell r="D14523" t="str">
            <v>SANTANDER CACEIS BRASIL DTVM S.A.</v>
          </cell>
          <cell r="E14523" t="str">
            <v>SANTANDER BRASIL GESTAO DE RECURSOS LTDA</v>
          </cell>
        </row>
        <row r="14524">
          <cell r="B14524">
            <v>123838</v>
          </cell>
          <cell r="C14524" t="str">
            <v>BRASIL PLURAL GLOBAL EQUITIES FIA IE</v>
          </cell>
          <cell r="D14524" t="str">
            <v>BRASIL PLURAL GLOBAL EQUITIES FIA IE</v>
          </cell>
          <cell r="E14524" t="str">
            <v>PLURAL GESTÃO DE RECURSOS LTDA</v>
          </cell>
        </row>
        <row r="14525">
          <cell r="B14525">
            <v>123839</v>
          </cell>
          <cell r="C14525" t="str">
            <v>BNP PARIBAS FINANCIAL MARKETS</v>
          </cell>
          <cell r="D14525" t="str">
            <v>BNP PARIBAS FINANCIAL MARKETS</v>
          </cell>
          <cell r="E14525" t="str">
            <v>BANCO BNP PARIBAS BRASIL S/A</v>
          </cell>
        </row>
        <row r="14526">
          <cell r="B14526">
            <v>12384</v>
          </cell>
          <cell r="C14526" t="str">
            <v>ADAMCAPITAL GESTAO DE RECURSOS LTDA</v>
          </cell>
          <cell r="D14526" t="str">
            <v>ADAMCAPITAL GESTAO DE RECURSOS LTDA</v>
          </cell>
          <cell r="E14526" t="str">
            <v>ADAMCAPITAL GESTAO DE RECURSOS LTDA</v>
          </cell>
        </row>
        <row r="14527">
          <cell r="B14527">
            <v>123840</v>
          </cell>
          <cell r="C14527" t="str">
            <v>SANTANDER CACEIS BRASIL DTVM S.A.</v>
          </cell>
          <cell r="D14527" t="str">
            <v>SANTANDER CACEIS BRASIL DTVM S.A.</v>
          </cell>
          <cell r="E14527" t="str">
            <v>SANTANDER BRASIL GESTAO DE RECURSOS LTDA</v>
          </cell>
        </row>
        <row r="14528">
          <cell r="B14528">
            <v>79303</v>
          </cell>
          <cell r="C14528" t="str">
            <v>XP ADVISORY GESTAO DE RECURSOS LTDA</v>
          </cell>
          <cell r="D14528">
            <v>98113</v>
          </cell>
          <cell r="E14528" t="str">
            <v>XP GESTAO DE RECURSOS LTDA</v>
          </cell>
        </row>
        <row r="14529">
          <cell r="B14529">
            <v>123842</v>
          </cell>
          <cell r="C14529" t="str">
            <v>MAUA PREV SOCIEDADE DE PREVIDENCIA PRIVADA</v>
          </cell>
          <cell r="D14529" t="str">
            <v>MAUA PREV SOCIEDADE DE PREVIDENCIA PRIVADA</v>
          </cell>
          <cell r="E14529" t="str">
            <v>MAUA PREV SOCIEDADE DE PREVIDENCIA PRIVADA</v>
          </cell>
        </row>
        <row r="14530">
          <cell r="B14530">
            <v>123843</v>
          </cell>
          <cell r="C14530" t="str">
            <v>BRAL LLC</v>
          </cell>
          <cell r="D14530" t="str">
            <v>BRAL LLC</v>
          </cell>
          <cell r="E14530" t="str">
            <v>BRAL LLC</v>
          </cell>
        </row>
        <row r="14531">
          <cell r="B14531">
            <v>123844</v>
          </cell>
          <cell r="C14531" t="str">
            <v>NEO PROVECTUS II FUNDO DE INVESTIMENTO MULTIMERCADO</v>
          </cell>
          <cell r="D14531" t="str">
            <v>NEO PROVECTUS II FUNDO DE INVESTIMENTO MULTIMERCADO</v>
          </cell>
          <cell r="E14531" t="str">
            <v>NEO GESTÃO DE RECURSOS LTDA</v>
          </cell>
        </row>
        <row r="14532">
          <cell r="B14532">
            <v>123845</v>
          </cell>
          <cell r="C14532" t="str">
            <v>ROSANGELA VIDAL DE ARAUJO</v>
          </cell>
          <cell r="D14532" t="str">
            <v>ROSANGELA VIDAL DE ARAUJO</v>
          </cell>
          <cell r="E14532" t="str">
            <v>ROSANGELA VIDAL DE ARAUJO</v>
          </cell>
        </row>
        <row r="14533">
          <cell r="B14533">
            <v>123846</v>
          </cell>
          <cell r="C14533" t="str">
            <v>HIX CAPITAL FIA</v>
          </cell>
          <cell r="D14533" t="str">
            <v>HIX CAPITAL FIA</v>
          </cell>
          <cell r="E14533" t="str">
            <v>HIX INVESTIMENTOS LTDA</v>
          </cell>
        </row>
        <row r="14534">
          <cell r="B14534">
            <v>123847</v>
          </cell>
          <cell r="C14534" t="str">
            <v>HIX CAPITAL INSTITUCIONAL FIA</v>
          </cell>
          <cell r="D14534" t="str">
            <v>HIX CAPITAL INSTITUCIONAL FIA</v>
          </cell>
          <cell r="E14534" t="str">
            <v>HIX INVESTIMENTOS LTDA</v>
          </cell>
        </row>
        <row r="14535">
          <cell r="B14535">
            <v>123848</v>
          </cell>
          <cell r="C14535" t="str">
            <v>ANGRA FIM CP IE</v>
          </cell>
          <cell r="D14535" t="str">
            <v>ANGRA FIM CP IE</v>
          </cell>
          <cell r="E14535" t="str">
            <v>ANGRA FIM CP IE</v>
          </cell>
        </row>
        <row r="14536">
          <cell r="B14536">
            <v>123620</v>
          </cell>
          <cell r="C14536" t="str">
            <v>BRASIL PLURAL XAVANTES FIA</v>
          </cell>
          <cell r="D14536" t="str">
            <v>BRASIL PLURAL XAVANTES FIA</v>
          </cell>
          <cell r="E14536" t="str">
            <v>PLURAL GESTÃO DE RECURSOS LTDA</v>
          </cell>
        </row>
        <row r="14537">
          <cell r="B14537">
            <v>12385</v>
          </cell>
          <cell r="C14537" t="str">
            <v>INDIE CAPITAL INVESTIMENTOS LTDA</v>
          </cell>
          <cell r="D14537" t="str">
            <v>INDIE CAPITAL INVESTIMENTOS LTDA</v>
          </cell>
          <cell r="E14537" t="str">
            <v>INDIE CAPITAL INVESTIMENTOS LTDA</v>
          </cell>
        </row>
        <row r="14538">
          <cell r="B14538">
            <v>123850</v>
          </cell>
          <cell r="C14538" t="str">
            <v>SOCIETE MONDIALE FIA</v>
          </cell>
          <cell r="D14538" t="str">
            <v>SOCIETE MONDIALE FIA</v>
          </cell>
          <cell r="E14538" t="str">
            <v>UNICA ADMINISTRACAO E GESTAO DE RECURSOS LTDA</v>
          </cell>
        </row>
        <row r="14539">
          <cell r="B14539">
            <v>123851</v>
          </cell>
          <cell r="C14539" t="str">
            <v>RAFAEL TAKEO KIYUNA</v>
          </cell>
          <cell r="D14539" t="str">
            <v>RAFAEL TAKEO KIYUNA</v>
          </cell>
          <cell r="E14539" t="str">
            <v>RAFAEL TAKEO KIYUNA</v>
          </cell>
        </row>
        <row r="14540">
          <cell r="B14540">
            <v>123852</v>
          </cell>
          <cell r="C14540" t="str">
            <v>HIX CAPITAL SPO II FIM</v>
          </cell>
          <cell r="D14540" t="str">
            <v>HIX CAPITAL SPO II FIM</v>
          </cell>
          <cell r="E14540" t="str">
            <v>HIX INVESTIMENTOS LTDA</v>
          </cell>
        </row>
        <row r="14541">
          <cell r="B14541">
            <v>123853</v>
          </cell>
          <cell r="C14541" t="str">
            <v>HIX CAPITAL SPO III FIA</v>
          </cell>
          <cell r="D14541" t="str">
            <v>HIX CAPITAL SPO III FIA</v>
          </cell>
          <cell r="E14541" t="str">
            <v>HIX INVESTIMENTOS LTDA</v>
          </cell>
        </row>
        <row r="14542">
          <cell r="B14542">
            <v>123854</v>
          </cell>
          <cell r="C14542" t="str">
            <v>AVANTE FIM CP IE</v>
          </cell>
          <cell r="D14542" t="str">
            <v>AVANTE FIM CP IE</v>
          </cell>
          <cell r="E14542" t="str">
            <v>TERA CAPITAL GESTAO DE RECURSOS LTDA</v>
          </cell>
        </row>
        <row r="14543">
          <cell r="B14543">
            <v>123855</v>
          </cell>
          <cell r="C14543" t="str">
            <v>DONOSTIA FIM CP IE</v>
          </cell>
          <cell r="D14543" t="str">
            <v>DONOSTIA FIM CP IE</v>
          </cell>
          <cell r="E14543" t="str">
            <v>DONOSTIA FIM CP IE</v>
          </cell>
        </row>
        <row r="14544">
          <cell r="B14544">
            <v>123856</v>
          </cell>
          <cell r="C14544" t="str">
            <v>GUIMA FIM CP IE</v>
          </cell>
          <cell r="D14544" t="str">
            <v>GUIMA FIM CP IE</v>
          </cell>
          <cell r="E14544" t="str">
            <v>GUIMA FIM CP IE</v>
          </cell>
        </row>
        <row r="14545">
          <cell r="B14545">
            <v>123857</v>
          </cell>
          <cell r="C14545" t="str">
            <v>LOREMA FIM CP IE</v>
          </cell>
          <cell r="D14545" t="str">
            <v>LOREMA FIM CP IE</v>
          </cell>
          <cell r="E14545" t="str">
            <v>LOREMA FIM CP IE</v>
          </cell>
        </row>
        <row r="14546">
          <cell r="B14546">
            <v>123858</v>
          </cell>
          <cell r="C14546" t="str">
            <v>MALUBI FIM IE CP</v>
          </cell>
          <cell r="D14546" t="str">
            <v>MALUBI FIM IE CP</v>
          </cell>
          <cell r="E14546" t="str">
            <v>MALUBI FIM IE CP</v>
          </cell>
        </row>
        <row r="14547">
          <cell r="B14547">
            <v>123859</v>
          </cell>
          <cell r="C14547" t="str">
            <v>PADOVA FIM IE CP</v>
          </cell>
          <cell r="D14547" t="str">
            <v>PADOVA FIM IE CP</v>
          </cell>
          <cell r="E14547" t="str">
            <v>PADOVA FIM IE CP</v>
          </cell>
        </row>
        <row r="14548">
          <cell r="B14548">
            <v>23458</v>
          </cell>
          <cell r="C14548" t="str">
            <v>SUL AMERICA INVESTIMENTOS DTVM S/A</v>
          </cell>
          <cell r="D14548" t="str">
            <v>SUL AMERICA INVESTIMENTOS DTVM S/A</v>
          </cell>
          <cell r="E14548" t="str">
            <v>SUL AMERICA INVESTIMENTOS GESTORA DE RECURSOS S/A</v>
          </cell>
        </row>
        <row r="14549">
          <cell r="B14549">
            <v>123860</v>
          </cell>
          <cell r="C14549" t="str">
            <v>RM FIM IE CP</v>
          </cell>
          <cell r="D14549" t="str">
            <v>RM FIM IE CP</v>
          </cell>
          <cell r="E14549" t="str">
            <v>RM FIM IE CP</v>
          </cell>
        </row>
        <row r="14550">
          <cell r="B14550">
            <v>123861</v>
          </cell>
          <cell r="C14550" t="str">
            <v>SANTANDER CACEIS BRASIL DTVM S.A.</v>
          </cell>
          <cell r="D14550" t="str">
            <v>SANTANDER CACEIS BRASIL DTVM S.A.</v>
          </cell>
          <cell r="E14550" t="str">
            <v>SANTANDER BRASIL GESTAO DE RECURSOS LTDA</v>
          </cell>
        </row>
        <row r="14551">
          <cell r="B14551">
            <v>123862</v>
          </cell>
          <cell r="C14551" t="str">
            <v>SANTANDER CACEIS BRASIL DTVM S.A.</v>
          </cell>
          <cell r="D14551" t="str">
            <v>SANTANDER CACEIS BRASIL DTVM S.A.</v>
          </cell>
          <cell r="E14551" t="str">
            <v>SANTANDER BRASIL GESTAO DE RECURSOS LTDA</v>
          </cell>
        </row>
        <row r="14552">
          <cell r="B14552">
            <v>123863</v>
          </cell>
          <cell r="C14552" t="str">
            <v>SANTANDER CACEIS BRASIL DTVM S.A.</v>
          </cell>
          <cell r="D14552" t="str">
            <v>SANTANDER CACEIS BRASIL DTVM S.A.</v>
          </cell>
          <cell r="E14552" t="str">
            <v>SANTANDER BRASIL GESTAO DE RECURSOS LTDA</v>
          </cell>
        </row>
        <row r="14553">
          <cell r="B14553">
            <v>123864</v>
          </cell>
          <cell r="C14553" t="str">
            <v>FIF DE GARANTIA DO TEMPO DE SERVIÃ‡O</v>
          </cell>
          <cell r="D14553" t="str">
            <v>FIF DE GARANTIA DO TEMPO DE SERVIÃ‡O</v>
          </cell>
          <cell r="E14553" t="str">
            <v>FIF DE GARANTIA DO TEMPO DE SERVIÃ‡O</v>
          </cell>
        </row>
        <row r="14554">
          <cell r="B14554">
            <v>123865</v>
          </cell>
          <cell r="C14554" t="str">
            <v>JOAO LUIZ BUSCH</v>
          </cell>
          <cell r="D14554" t="str">
            <v>JOAO LUIZ BUSCH</v>
          </cell>
          <cell r="E14554" t="str">
            <v>JOAO LUIZ BUSCH</v>
          </cell>
        </row>
        <row r="14555">
          <cell r="B14555">
            <v>123866</v>
          </cell>
          <cell r="C14555" t="str">
            <v>BB GESTAO DE RECURSOS DTVM LTDA</v>
          </cell>
          <cell r="D14555" t="str">
            <v>BB GESTAO DE RECURSOS DTVM LTDA</v>
          </cell>
          <cell r="E14555" t="str">
            <v>BB GESTAO DE RECURSOS DTVM LTDA</v>
          </cell>
        </row>
        <row r="14556">
          <cell r="B14556">
            <v>123867</v>
          </cell>
          <cell r="C14556" t="str">
            <v>PSR FIM CP IE</v>
          </cell>
          <cell r="D14556" t="str">
            <v>PSR FIM CP IE</v>
          </cell>
          <cell r="E14556" t="str">
            <v>PSR FIM CP IE</v>
          </cell>
        </row>
        <row r="14557">
          <cell r="B14557">
            <v>123868</v>
          </cell>
          <cell r="C14557" t="str">
            <v>SERENO FIM CP IE</v>
          </cell>
          <cell r="D14557" t="str">
            <v>SERENO FIM CP IE</v>
          </cell>
          <cell r="E14557" t="str">
            <v>SERENO FIM CP IE</v>
          </cell>
        </row>
        <row r="14558">
          <cell r="B14558">
            <v>123869</v>
          </cell>
          <cell r="C14558" t="str">
            <v>IT NOW IBOVESPA FUNDO DE INDICE</v>
          </cell>
          <cell r="D14558" t="str">
            <v>IT NOW IBOVESPA FUNDO DE INDICE</v>
          </cell>
          <cell r="E14558" t="str">
            <v>ITAU UNIBANCO ASSET - TACO</v>
          </cell>
        </row>
        <row r="14559">
          <cell r="B14559">
            <v>12387</v>
          </cell>
          <cell r="C14559" t="str">
            <v>GRIMPER CAPITAL GESTORA DE RECURSOS LTDA</v>
          </cell>
          <cell r="D14559" t="str">
            <v>GRIMPER CAPITAL GESTORA DE RECURSOS LTDA</v>
          </cell>
          <cell r="E14559" t="str">
            <v>GRIMPER CAPITAL GESTORA DE RECURSOS LTDA</v>
          </cell>
        </row>
        <row r="14560">
          <cell r="B14560">
            <v>123870</v>
          </cell>
          <cell r="C14560" t="str">
            <v>ITAU DUNAMIS MASTER FIA</v>
          </cell>
          <cell r="D14560" t="str">
            <v>ITAU DUNAMIS MASTER FIA</v>
          </cell>
          <cell r="E14560" t="str">
            <v>ITAU UNIBANCO ASSET - TACO</v>
          </cell>
        </row>
        <row r="14561">
          <cell r="B14561">
            <v>123871</v>
          </cell>
          <cell r="C14561" t="str">
            <v>UJAY HEDGE FIM</v>
          </cell>
          <cell r="D14561" t="str">
            <v>UJAY HEDGE FIM</v>
          </cell>
          <cell r="E14561" t="str">
            <v>UJAY CAPITAL INVESTIMENTOS LTDA</v>
          </cell>
        </row>
        <row r="14562">
          <cell r="B14562">
            <v>123872</v>
          </cell>
          <cell r="C14562" t="str">
            <v>UJAY LONG BIASED MASTER FIA</v>
          </cell>
          <cell r="D14562" t="str">
            <v>UJAY LONG BIASED MASTER FIA</v>
          </cell>
          <cell r="E14562" t="str">
            <v>UJAY LONG BIASED MASTER FIA</v>
          </cell>
        </row>
        <row r="14563">
          <cell r="B14563">
            <v>123873</v>
          </cell>
          <cell r="C14563" t="str">
            <v>UJAY MASTER FIX FIM</v>
          </cell>
          <cell r="D14563" t="str">
            <v>UJAY MASTER FIX FIM</v>
          </cell>
          <cell r="E14563" t="str">
            <v>UJAY CAPITAL INVESTIMENTOS LTDA</v>
          </cell>
        </row>
        <row r="14564">
          <cell r="B14564">
            <v>123874</v>
          </cell>
          <cell r="C14564" t="str">
            <v>M2 FUTURA FIM CP IE</v>
          </cell>
          <cell r="D14564" t="str">
            <v>M2 FUTURA FIM CP IE</v>
          </cell>
          <cell r="E14564" t="str">
            <v>UJAY CAPITAL INVESTIMENTOS LTDA</v>
          </cell>
        </row>
        <row r="14565">
          <cell r="B14565">
            <v>123875</v>
          </cell>
          <cell r="C14565" t="str">
            <v>CREDIT SUISSE (BRASIL) S/A CTVM</v>
          </cell>
          <cell r="D14565" t="str">
            <v>CREDIT SUISSE (BRASIL) S/A CTVM</v>
          </cell>
          <cell r="E14565" t="str">
            <v>CREDIT SUISSE (BRASIL) S/A CTVM</v>
          </cell>
        </row>
        <row r="14566">
          <cell r="B14566">
            <v>123876</v>
          </cell>
          <cell r="C14566" t="str">
            <v>CREDIT SUISSE (BRASIL) S/A CTVM</v>
          </cell>
          <cell r="D14566" t="str">
            <v>CREDIT SUISSE (BRASIL) S/A CTVM</v>
          </cell>
          <cell r="E14566" t="str">
            <v>CREDIT SUISSE (BRASIL) S/A CTVM</v>
          </cell>
        </row>
        <row r="14567">
          <cell r="B14567">
            <v>123877</v>
          </cell>
          <cell r="C14567" t="str">
            <v>KRV FIM CRED PRIV IE</v>
          </cell>
          <cell r="D14567" t="str">
            <v>KRV FIM CRED PRIV IE</v>
          </cell>
          <cell r="E14567" t="str">
            <v>KONDOR ADMINISTRADORA E GESTORA DE RECURSOS FINANCEIROS LTDA</v>
          </cell>
        </row>
        <row r="14568">
          <cell r="B14568">
            <v>123878</v>
          </cell>
          <cell r="C14568" t="str">
            <v>BR PARTNERS CERRADO I FIM CP</v>
          </cell>
          <cell r="D14568" t="str">
            <v>BR PARTNERS CERRADO I FIM CP</v>
          </cell>
          <cell r="E14568" t="str">
            <v>BR PARTNERS CERRADO I FIM CP</v>
          </cell>
        </row>
        <row r="14569">
          <cell r="B14569">
            <v>123879</v>
          </cell>
          <cell r="C14569" t="str">
            <v>FI SANTIAGO MULTIMERCADO CP</v>
          </cell>
          <cell r="D14569" t="str">
            <v>FI SANTIAGO MULTIMERCADO CP</v>
          </cell>
          <cell r="E14569" t="str">
            <v>SANTANDER BRASIL GESTAO DE RECURSOS LTDA</v>
          </cell>
        </row>
        <row r="14570">
          <cell r="B14570">
            <v>12388</v>
          </cell>
          <cell r="C14570" t="str">
            <v>HIX INVESTIMENTOS LTDA</v>
          </cell>
          <cell r="D14570" t="str">
            <v>HIX INVESTIMENTOS LTDA</v>
          </cell>
          <cell r="E14570" t="str">
            <v>HIX INVESTIMENTOS LTDA</v>
          </cell>
        </row>
        <row r="14571">
          <cell r="B14571">
            <v>123880</v>
          </cell>
          <cell r="C14571" t="str">
            <v>BB GESTAO DE RECURSOS DTVM LTDA</v>
          </cell>
          <cell r="D14571" t="str">
            <v>BB GESTAO DE RECURSOS DTVM LTDA</v>
          </cell>
          <cell r="E14571" t="str">
            <v>BB GESTAO DE RECURSOS DTVM LTDA</v>
          </cell>
        </row>
        <row r="14572">
          <cell r="B14572">
            <v>123881</v>
          </cell>
          <cell r="C14572" t="str">
            <v>THYAGO DE SOUZA COSTA</v>
          </cell>
          <cell r="D14572" t="str">
            <v>THYAGO DE SOUZA COSTA</v>
          </cell>
          <cell r="E14572" t="str">
            <v>THYAGO DE SOUZA COSTA</v>
          </cell>
        </row>
        <row r="14573">
          <cell r="B14573">
            <v>123882</v>
          </cell>
          <cell r="C14573" t="str">
            <v>SAGA TOP FIM</v>
          </cell>
          <cell r="D14573" t="str">
            <v>SAGA TOP FIM</v>
          </cell>
          <cell r="E14573" t="str">
            <v>SAGA TOP FIM</v>
          </cell>
        </row>
        <row r="14574">
          <cell r="B14574">
            <v>123883</v>
          </cell>
          <cell r="C14574" t="str">
            <v>ITATIAIA MASTER FIM IE</v>
          </cell>
          <cell r="D14574" t="str">
            <v>ITATIAIA MASTER FIM IE</v>
          </cell>
          <cell r="E14574" t="str">
            <v>BW GESTAO DE INVESTIMENTOS LTDA</v>
          </cell>
        </row>
        <row r="14575">
          <cell r="B14575">
            <v>123681</v>
          </cell>
          <cell r="C14575" t="str">
            <v>NUCLEOS I BRASIL PLURAL FIM</v>
          </cell>
          <cell r="D14575" t="str">
            <v>NUCLEOS I BRASIL PLURAL FIM</v>
          </cell>
          <cell r="E14575" t="str">
            <v>PLURAL GESTÃO DE RECURSOS LTDA</v>
          </cell>
        </row>
        <row r="14576">
          <cell r="B14576">
            <v>123885</v>
          </cell>
          <cell r="C14576" t="str">
            <v>ANDRE LUIZ SALGUEIRO DE ALBUQUERQUE TIRONE</v>
          </cell>
          <cell r="D14576" t="str">
            <v>ANDRE LUIZ SALGUEIRO DE ALBUQUERQUE TIRONE</v>
          </cell>
          <cell r="E14576" t="str">
            <v>ANDRE LUIZ SALGUEIRO DE ALBUQUERQUE TIRONE</v>
          </cell>
        </row>
        <row r="14577">
          <cell r="B14577">
            <v>123886</v>
          </cell>
          <cell r="C14577" t="str">
            <v>NOVUS ACOES INSTITUCIONAL MASTER FIA</v>
          </cell>
          <cell r="D14577" t="str">
            <v>NOVUS ACOES INSTITUCIONAL MASTER FIA</v>
          </cell>
          <cell r="E14577" t="str">
            <v>NOVUS CAPITAL GESTORA DE RECURSOS LTDA</v>
          </cell>
        </row>
        <row r="14578">
          <cell r="B14578">
            <v>123887</v>
          </cell>
          <cell r="C14578" t="str">
            <v>RPS EQUITY HEDGE MASTER FIM</v>
          </cell>
          <cell r="D14578" t="str">
            <v>RPS EQUITY HEDGE MASTER FIM</v>
          </cell>
          <cell r="E14578" t="str">
            <v>RPS CAPITAL ADMINISTRADORA DE RECURSOS LTDA</v>
          </cell>
        </row>
        <row r="14579">
          <cell r="B14579">
            <v>123888</v>
          </cell>
          <cell r="C14579" t="str">
            <v>BB GESTAO DE RECURSOS DTVM LTDA</v>
          </cell>
          <cell r="D14579" t="str">
            <v>BB GESTAO DE RECURSOS DTVM LTDA</v>
          </cell>
          <cell r="E14579" t="str">
            <v>BB GESTAO DE RECURSOS DTVM LTDA</v>
          </cell>
        </row>
        <row r="14580">
          <cell r="B14580">
            <v>123889</v>
          </cell>
          <cell r="C14580" t="str">
            <v>BB GESTAO DE RECURSOS DTVM LTDA</v>
          </cell>
          <cell r="D14580" t="str">
            <v>BB GESTAO DE RECURSOS DTVM LTDA</v>
          </cell>
          <cell r="E14580" t="str">
            <v>BB GESTAO DE RECURSOS DTVM LTDA</v>
          </cell>
        </row>
        <row r="14581">
          <cell r="B14581">
            <v>12389</v>
          </cell>
          <cell r="C14581" t="str">
            <v>FUNDACAO VALE DO RIO DOCE DE SEGURIDADE SOCIAL - VALIA</v>
          </cell>
          <cell r="D14581" t="str">
            <v>FUNDACAO VALE DO RIO DOCE DE SEGURIDADE SOCIAL - VALIA</v>
          </cell>
          <cell r="E14581" t="str">
            <v>FUNDACAO VALE DO RIO DOCE DE SEGURIDADE SOCIAL - VALIA</v>
          </cell>
        </row>
        <row r="14582">
          <cell r="B14582">
            <v>123891</v>
          </cell>
          <cell r="C14582" t="str">
            <v>L2 PARTICIPACOES FI EM PARTICIPACOES</v>
          </cell>
          <cell r="D14582" t="str">
            <v>L2 PARTICIPACOES FI EM PARTICIPACOES</v>
          </cell>
          <cell r="E14582" t="str">
            <v>L2 PARTICIPACOES FI EM PARTICIPACOES</v>
          </cell>
        </row>
        <row r="14583">
          <cell r="B14583">
            <v>123892</v>
          </cell>
          <cell r="C14583" t="str">
            <v>OPTIVER V.O.F.</v>
          </cell>
          <cell r="D14583" t="str">
            <v>OPTIVER V.O.F.</v>
          </cell>
          <cell r="E14583" t="str">
            <v>OPTIVER V.O.F.</v>
          </cell>
        </row>
        <row r="14584">
          <cell r="B14584">
            <v>123893</v>
          </cell>
          <cell r="C14584" t="str">
            <v>OPTIVER V.O.F.</v>
          </cell>
          <cell r="D14584" t="str">
            <v>OPTIVER V.O.F.</v>
          </cell>
          <cell r="E14584" t="str">
            <v>OPTIVER V.O.F.</v>
          </cell>
        </row>
        <row r="14585">
          <cell r="B14585">
            <v>123894</v>
          </cell>
          <cell r="C14585" t="str">
            <v>FIPECQ-FUNDACAO DE PREVIDENCIA COMPLEMENTAR DOS EMPREGADOS O</v>
          </cell>
          <cell r="D14585" t="str">
            <v>FIPECQ-FUNDACAO DE PREVIDENCIA COMPLEMENTAR DOS EMPREGADOS O</v>
          </cell>
          <cell r="E14585" t="str">
            <v>FIPECQ-FUNDACAO DE PREVIDENCIA COMPLEMENTAR DOS EMPREGADOS O</v>
          </cell>
        </row>
        <row r="14586">
          <cell r="B14586">
            <v>123895</v>
          </cell>
          <cell r="C14586" t="str">
            <v>FIPECQ-FUNDACAO DE PREVIDENCIA COMPLEMENTAR DOS EMPREGADOS O</v>
          </cell>
          <cell r="D14586" t="str">
            <v>FIPECQ-FUNDACAO DE PREVIDENCIA COMPLEMENTAR DOS EMPREGADOS O</v>
          </cell>
          <cell r="E14586" t="str">
            <v>FIPECQ-FUNDACAO DE PREVIDENCIA COMPLEMENTAR DOS EMPREGADOS O</v>
          </cell>
        </row>
        <row r="14587">
          <cell r="B14587">
            <v>123896</v>
          </cell>
          <cell r="C14587" t="str">
            <v>FIPECQ-FUNDACAO DE PREVIDENCIA COMPLEMENTAR DOS EMPREGADOS O</v>
          </cell>
          <cell r="D14587" t="str">
            <v>FIPECQ-FUNDACAO DE PREVIDENCIA COMPLEMENTAR DOS EMPREGADOS O</v>
          </cell>
          <cell r="E14587" t="str">
            <v>FIPECQ-FUNDACAO DE PREVIDENCIA COMPLEMENTAR DOS EMPREGADOS O</v>
          </cell>
        </row>
        <row r="14588">
          <cell r="B14588">
            <v>123897</v>
          </cell>
          <cell r="C14588" t="str">
            <v>VALMIRIO AUGUSTO DA SILVA</v>
          </cell>
          <cell r="D14588" t="str">
            <v>VALMIRIO AUGUSTO DA SILVA</v>
          </cell>
          <cell r="E14588" t="str">
            <v>VALMIRIO AUGUSTO DA SILVA</v>
          </cell>
        </row>
        <row r="14589">
          <cell r="B14589">
            <v>123898</v>
          </cell>
          <cell r="C14589" t="str">
            <v>TELOS IBOVESPA FIA</v>
          </cell>
          <cell r="D14589" t="str">
            <v>TELOS IBOVESPA FIA</v>
          </cell>
          <cell r="E14589" t="str">
            <v>BB GESTAO DE RECURSOS DTVM LTDA</v>
          </cell>
        </row>
        <row r="14590">
          <cell r="B14590">
            <v>123899</v>
          </cell>
          <cell r="C14590" t="str">
            <v>ITAU VERTICE IBOVESPA EQUITIES FIA</v>
          </cell>
          <cell r="D14590" t="str">
            <v>ITAU VERTICE IBOVESPA EQUITIES FIA</v>
          </cell>
          <cell r="E14590" t="str">
            <v>ITAU UNIBANCO ASSET - TACO</v>
          </cell>
        </row>
        <row r="14591">
          <cell r="B14591">
            <v>12390</v>
          </cell>
          <cell r="C14591" t="str">
            <v>UNICA ADMINISTRACAO E GESTAO DE RECURSOS LTDA</v>
          </cell>
          <cell r="D14591" t="str">
            <v>UNICA ADMINISTRACAO E GESTAO DE RECURSOS LTDA</v>
          </cell>
          <cell r="E14591" t="str">
            <v>UNICA ADMINISTRACAO E GESTAO DE RECURSOS LTDA</v>
          </cell>
        </row>
        <row r="14592">
          <cell r="B14592">
            <v>123900</v>
          </cell>
          <cell r="C14592" t="str">
            <v>BOSCH BRASIL VIII FIA PREVIDENCIARIO</v>
          </cell>
          <cell r="D14592" t="str">
            <v>BOSCH BRASIL VIII FIA PREVIDENCIARIO</v>
          </cell>
          <cell r="E14592" t="str">
            <v>SANTANDER BRASIL GESTAO DE RECURSOS LTDA</v>
          </cell>
        </row>
        <row r="14593">
          <cell r="B14593">
            <v>123901</v>
          </cell>
          <cell r="C14593" t="str">
            <v>ITAU FLEXPREV S&amp;P/ BOVESPA LOW VOLATILITYTM FIA</v>
          </cell>
          <cell r="D14593" t="str">
            <v>ITAU FLEXPREV S&amp;P/ BOVESPA LOW VOLATILITYTM FIA</v>
          </cell>
          <cell r="E14593" t="str">
            <v>ITAU UNIBANCO ASSET - TACO</v>
          </cell>
        </row>
        <row r="14594">
          <cell r="B14594">
            <v>123902</v>
          </cell>
          <cell r="C14594" t="str">
            <v>ITAU IBOVESPA ATIVO MASTER FIA</v>
          </cell>
          <cell r="D14594" t="str">
            <v>ITAU IBOVESPA ATIVO MASTER FIA</v>
          </cell>
          <cell r="E14594" t="str">
            <v>ITAU UNIBANCO ASSET - TACO</v>
          </cell>
        </row>
        <row r="14595">
          <cell r="B14595">
            <v>123903</v>
          </cell>
          <cell r="C14595" t="str">
            <v>ITAU FLEXPREV MULTIMERCADO EQUITY HEDGE ADVANCED FI</v>
          </cell>
          <cell r="D14595" t="str">
            <v>ITAU FLEXPREV MULTIMERCADO EQUITY HEDGE ADVANCED FI</v>
          </cell>
          <cell r="E14595" t="str">
            <v>ITAU UNIBANCO ASSET - TACO</v>
          </cell>
        </row>
        <row r="14596">
          <cell r="B14596">
            <v>123904</v>
          </cell>
          <cell r="C14596" t="str">
            <v>ITAU LONG AND SHORT PLUS MULTIMERCADO FI</v>
          </cell>
          <cell r="D14596" t="str">
            <v>ITAU LONG AND SHORT PLUS MULTIMERCADO FI</v>
          </cell>
          <cell r="E14596" t="str">
            <v>ITAU UNIBANCO ASSET - TACO</v>
          </cell>
        </row>
        <row r="14597">
          <cell r="B14597">
            <v>123905</v>
          </cell>
          <cell r="C14597" t="str">
            <v>ITAU IBRX ATIVO MASTER FIA</v>
          </cell>
          <cell r="D14597" t="str">
            <v>ITAU IBRX ATIVO MASTER FIA</v>
          </cell>
          <cell r="E14597" t="str">
            <v>ITAU IBRX ATIVO MASTER FIA</v>
          </cell>
        </row>
        <row r="14598">
          <cell r="B14598">
            <v>123906</v>
          </cell>
          <cell r="C14598" t="str">
            <v>ITAU INSTITUCIONAL BOLSA INDEX FIA</v>
          </cell>
          <cell r="D14598" t="str">
            <v>ITAU INSTITUCIONAL BOLSA INDEX FIA</v>
          </cell>
          <cell r="E14598" t="str">
            <v>ITAU UNIBANCO ASSET - TACO</v>
          </cell>
        </row>
        <row r="14599">
          <cell r="B14599">
            <v>123907</v>
          </cell>
          <cell r="C14599" t="str">
            <v>ITAU MULTIMERCADO GLOBAL EQUITY HEDGE FI</v>
          </cell>
          <cell r="D14599" t="str">
            <v>ITAU MULTIMERCADO GLOBAL EQUITY HEDGE FI</v>
          </cell>
          <cell r="E14599" t="str">
            <v>ITAU UNIBANCO ASSET - HIGH   ALPHA</v>
          </cell>
        </row>
        <row r="14600">
          <cell r="B14600">
            <v>123908</v>
          </cell>
          <cell r="C14600" t="str">
            <v>ITAU FI EM PIBBS ACOES</v>
          </cell>
          <cell r="D14600" t="str">
            <v>ITAU FI EM PIBBS ACOES</v>
          </cell>
          <cell r="E14600" t="str">
            <v>ITAU UNIBANCO ASSET - TACO</v>
          </cell>
        </row>
        <row r="14601">
          <cell r="B14601">
            <v>123909</v>
          </cell>
          <cell r="C14601" t="str">
            <v>SUPRA FIA IE</v>
          </cell>
          <cell r="D14601" t="str">
            <v>SUPRA FIA IE</v>
          </cell>
          <cell r="E14601" t="str">
            <v>ITAU UNIBANCO S/A</v>
          </cell>
        </row>
        <row r="14602">
          <cell r="B14602">
            <v>12391</v>
          </cell>
          <cell r="C14602" t="str">
            <v>TERA CAPITAL GESTAO DE RECURSOS LTDA</v>
          </cell>
          <cell r="D14602" t="str">
            <v>TERA CAPITAL GESTAO DE RECURSOS LTDA</v>
          </cell>
          <cell r="E14602" t="str">
            <v>TERA CAPITAL GESTAO DE RECURSOS LTDA</v>
          </cell>
        </row>
        <row r="14603">
          <cell r="B14603">
            <v>123910</v>
          </cell>
          <cell r="C14603" t="str">
            <v>RT SOLSTICE ACOES FI</v>
          </cell>
          <cell r="D14603" t="str">
            <v>RT SOLSTICE ACOES FI</v>
          </cell>
          <cell r="E14603" t="str">
            <v>ITAU UNIBANCO ASSET - TACO</v>
          </cell>
        </row>
        <row r="14604">
          <cell r="B14604">
            <v>123911</v>
          </cell>
          <cell r="C14604" t="str">
            <v>ITAU ALOCACAO SETORIAL FIA</v>
          </cell>
          <cell r="D14604" t="str">
            <v>ITAU ALOCACAO SETORIAL FIA</v>
          </cell>
          <cell r="E14604" t="str">
            <v>ITAU UNIBANCO ASSET - TACO</v>
          </cell>
        </row>
        <row r="14605">
          <cell r="B14605">
            <v>123912</v>
          </cell>
          <cell r="C14605" t="str">
            <v>ITAU ACOES PETROBRAS FI</v>
          </cell>
          <cell r="D14605" t="str">
            <v>ITAU ACOES PETROBRAS FI</v>
          </cell>
          <cell r="E14605" t="str">
            <v>ITAU UNIBANCO ASSET - TACO</v>
          </cell>
        </row>
        <row r="14606">
          <cell r="B14606">
            <v>123913</v>
          </cell>
          <cell r="C14606" t="str">
            <v>IT NOW IFNC FUNDO DE INDICE</v>
          </cell>
          <cell r="D14606" t="str">
            <v>IT NOW IFNC FUNDO DE INDICE</v>
          </cell>
          <cell r="E14606" t="str">
            <v>ITAU UNIBANCO ASSET - TACO</v>
          </cell>
        </row>
        <row r="14607">
          <cell r="B14607">
            <v>123914</v>
          </cell>
          <cell r="C14607" t="str">
            <v>IT NOW IDIV FUNDO DE INDICE</v>
          </cell>
          <cell r="D14607" t="str">
            <v>IT NOW IDIV FUNDO DE INDICE</v>
          </cell>
          <cell r="E14607" t="str">
            <v>ITAU UNIBANCO ASSET - TACO</v>
          </cell>
        </row>
        <row r="14608">
          <cell r="B14608">
            <v>123915</v>
          </cell>
          <cell r="C14608" t="str">
            <v>IT NOW IGCT FUNDO DE INDICE INVESTIMENTO SUSTENTAVEL</v>
          </cell>
          <cell r="D14608" t="str">
            <v>IT NOW IGCT FUNDO DE INDICE INVESTIMENTO SUSTENTAVEL</v>
          </cell>
          <cell r="E14608" t="str">
            <v>ITAU UNIBANCO ASSET - TACO</v>
          </cell>
        </row>
        <row r="14609">
          <cell r="B14609">
            <v>123916</v>
          </cell>
          <cell r="C14609" t="str">
            <v>IT NOW ISE FUNDO DE INDICE</v>
          </cell>
          <cell r="D14609" t="str">
            <v>IT NOW ISE FUNDO DE INDICE</v>
          </cell>
          <cell r="E14609" t="str">
            <v>ITAU UNIBANCO ASSET - TACO</v>
          </cell>
        </row>
        <row r="14610">
          <cell r="B14610">
            <v>123917</v>
          </cell>
          <cell r="C14610" t="str">
            <v>ITAU HEDGE PLUS MULTIMERCADO FI</v>
          </cell>
          <cell r="D14610" t="str">
            <v>ITAU HEDGE PLUS MULTIMERCADO FI</v>
          </cell>
          <cell r="E14610" t="str">
            <v>ITAU UNIBANCO ASSET - TACO</v>
          </cell>
        </row>
        <row r="14611">
          <cell r="B14611">
            <v>123918</v>
          </cell>
          <cell r="C14611" t="str">
            <v>RT EQUINOX FIF EM AÃ‡Ã•ES RESP LIMITADA</v>
          </cell>
          <cell r="D14611" t="str">
            <v>RT EQUINOX FIF EM AÃ‡Ã•ES RESP LIMITADA</v>
          </cell>
          <cell r="E14611" t="str">
            <v>ITAU UNIBANCO ASSET - TACO</v>
          </cell>
        </row>
        <row r="14612">
          <cell r="B14612">
            <v>123919</v>
          </cell>
          <cell r="C14612" t="str">
            <v>ITAU PRIVATE ACOES PETROBRAS FI</v>
          </cell>
          <cell r="D14612" t="str">
            <v>ITAU PRIVATE ACOES PETROBRAS FI</v>
          </cell>
          <cell r="E14612" t="str">
            <v>ITAU UNIBANCO ASSET - TACO</v>
          </cell>
        </row>
        <row r="14613">
          <cell r="B14613">
            <v>123920</v>
          </cell>
          <cell r="C14613" t="str">
            <v>ITAU AÃ‡Ã•ES ITAU UNIBANCO FI</v>
          </cell>
          <cell r="D14613" t="str">
            <v>ITAU AÃ‡Ã•ES ITAU UNIBANCO FI</v>
          </cell>
          <cell r="E14613" t="str">
            <v>ITAU UNIBANCO ASSET - TACO</v>
          </cell>
        </row>
        <row r="14614">
          <cell r="B14614">
            <v>123921</v>
          </cell>
          <cell r="C14614" t="str">
            <v>ITAU AÃ‡Ã•ES INFRA ESTRUTURA FI</v>
          </cell>
          <cell r="D14614" t="str">
            <v>ITAU AÃ‡Ã•ES INFRA ESTRUTURA FI</v>
          </cell>
          <cell r="E14614" t="str">
            <v>ITAU UNIBANCO ASSET - TACO</v>
          </cell>
        </row>
        <row r="14615">
          <cell r="B14615">
            <v>123922</v>
          </cell>
          <cell r="C14615" t="str">
            <v>ITAU FLEXPREV AÃ‡Ã•ES FI</v>
          </cell>
          <cell r="D14615" t="str">
            <v>ITAU FLEXPREV AÃ‡Ã•ES FI</v>
          </cell>
          <cell r="E14615" t="str">
            <v>ITAU UNIBANCO ASSET - TACO</v>
          </cell>
        </row>
        <row r="14616">
          <cell r="B14616">
            <v>123923</v>
          </cell>
          <cell r="C14616" t="str">
            <v>ITAU ACOES VALE FI</v>
          </cell>
          <cell r="D14616" t="str">
            <v>ITAU ACOES VALE FI</v>
          </cell>
          <cell r="E14616" t="str">
            <v>ITAU UNIBANCO ASSET - TACO</v>
          </cell>
        </row>
        <row r="14617">
          <cell r="B14617">
            <v>123924</v>
          </cell>
          <cell r="C14617" t="str">
            <v>ITAU FTSE RAFI BRASIL 50 CAPPED INDEX FIA</v>
          </cell>
          <cell r="D14617" t="str">
            <v>ITAU FTSE RAFI BRASIL 50 CAPPED INDEX FIA</v>
          </cell>
          <cell r="E14617" t="str">
            <v>ITAU UNIBANCO ASSET - TACO</v>
          </cell>
        </row>
        <row r="14618">
          <cell r="B14618">
            <v>123925</v>
          </cell>
          <cell r="C14618" t="str">
            <v>ITAU INDEX AÃ‡Ã•ES IBRX FI</v>
          </cell>
          <cell r="D14618" t="str">
            <v>ITAU INDEX AÃ‡Ã•ES IBRX FI</v>
          </cell>
          <cell r="E14618" t="str">
            <v>ITAU UNIBANCO ASSET - TACO</v>
          </cell>
        </row>
        <row r="14619">
          <cell r="B14619">
            <v>123926</v>
          </cell>
          <cell r="C14619" t="str">
            <v>ITAU EXCELENCIA SOCIAL AÃ‡Ã•ES FI</v>
          </cell>
          <cell r="D14619" t="str">
            <v>ITAU EXCELENCIA SOCIAL AÃ‡Ã•ES FI</v>
          </cell>
          <cell r="E14619" t="str">
            <v>ITAU UNIBANCO ASSET - TACO</v>
          </cell>
        </row>
        <row r="14620">
          <cell r="B14620">
            <v>123927</v>
          </cell>
          <cell r="C14620" t="str">
            <v>ITAU ESTRATEGIA S&amp;P500 FIA</v>
          </cell>
          <cell r="D14620" t="str">
            <v>ITAU ESTRATEGIA S&amp;P500 FIA</v>
          </cell>
          <cell r="E14620" t="str">
            <v>ITAU UNIBANCO ASSET - TACO</v>
          </cell>
        </row>
        <row r="14621">
          <cell r="B14621">
            <v>123928</v>
          </cell>
          <cell r="C14621" t="str">
            <v>IT NOW PIBB IBRX 50 FUNDO DE INDICE</v>
          </cell>
          <cell r="D14621" t="str">
            <v>IT NOW PIBB IBRX 50 FUNDO DE INDICE</v>
          </cell>
          <cell r="E14621" t="str">
            <v>ITAU UNIBANCO ASSET - TACO</v>
          </cell>
        </row>
        <row r="14622">
          <cell r="B14622">
            <v>123929</v>
          </cell>
          <cell r="C14622" t="str">
            <v>ITAU GOVERNANCA CORPORATIVA AÃ‡Ã•ES FI</v>
          </cell>
          <cell r="D14622" t="str">
            <v>ITAU GOVERNANCA CORPORATIVA AÃ‡Ã•ES FI</v>
          </cell>
          <cell r="E14622" t="str">
            <v>ITAU UNIBANCO ASSET - TACO</v>
          </cell>
        </row>
        <row r="14623">
          <cell r="B14623">
            <v>12393</v>
          </cell>
          <cell r="C14623" t="str">
            <v>UJAY CAPITAL INVESTIMENTOS LTDA.</v>
          </cell>
          <cell r="D14623" t="str">
            <v>UJAY CAPITAL INVESTIMENTOS LTDA.</v>
          </cell>
          <cell r="E14623" t="str">
            <v>UJAY CAPITAL INVESTIMENTOS LTDA</v>
          </cell>
        </row>
        <row r="14624">
          <cell r="B14624">
            <v>123930</v>
          </cell>
          <cell r="C14624" t="str">
            <v>ITAU EQUITY HEDGE ADVANCED MULTIMERCADO FI</v>
          </cell>
          <cell r="D14624" t="str">
            <v>ITAU EQUITY HEDGE ADVANCED MULTIMERCADO FI</v>
          </cell>
          <cell r="E14624" t="str">
            <v>ITAU UNIBANCO S/A</v>
          </cell>
        </row>
        <row r="14625">
          <cell r="B14625">
            <v>123931</v>
          </cell>
          <cell r="C14625" t="str">
            <v>IT NOW IMAT FUNDO DE INDICE</v>
          </cell>
          <cell r="D14625" t="str">
            <v>IT NOW IMAT FUNDO DE INDICE</v>
          </cell>
          <cell r="E14625" t="str">
            <v>ITAU UNIBANCO ASSET - TACO</v>
          </cell>
        </row>
        <row r="14626">
          <cell r="B14626">
            <v>123932</v>
          </cell>
          <cell r="C14626" t="str">
            <v>ITAU HEDGE MULTIMERCADO FI</v>
          </cell>
          <cell r="D14626" t="str">
            <v>ITAU HEDGE MULTIMERCADO FI</v>
          </cell>
          <cell r="E14626" t="str">
            <v>ITAU UNIBANCO ASSET - TACO</v>
          </cell>
        </row>
        <row r="14627">
          <cell r="B14627">
            <v>123933</v>
          </cell>
          <cell r="C14627" t="str">
            <v>ITAU MULTIMERCADO LONG AND SHORT FI</v>
          </cell>
          <cell r="D14627" t="str">
            <v>ITAU MULTIMERCADO LONG AND SHORT FI</v>
          </cell>
          <cell r="E14627" t="str">
            <v>ITAU UNIBANCO ASSET - HIGH   ALPHA</v>
          </cell>
        </row>
        <row r="14628">
          <cell r="B14628">
            <v>123934</v>
          </cell>
          <cell r="C14628" t="str">
            <v>ITAU INDEX ACOES IBOVESPA FI</v>
          </cell>
          <cell r="D14628" t="str">
            <v>ITAU INDEX ACOES IBOVESPA FI</v>
          </cell>
          <cell r="E14628" t="str">
            <v>ITAU UNIBANCO ASSET - TACO</v>
          </cell>
        </row>
        <row r="14629">
          <cell r="B14629">
            <v>123935</v>
          </cell>
          <cell r="C14629" t="str">
            <v>ITAU FLEXPREV ACOES DIVIDENDOS INDEXADO FI</v>
          </cell>
          <cell r="D14629" t="str">
            <v>ITAU FLEXPREV ACOES DIVIDENDOS INDEXADO FI</v>
          </cell>
          <cell r="E14629" t="str">
            <v>ITAU UNIBANCO ASSET - TACO</v>
          </cell>
        </row>
        <row r="14630">
          <cell r="B14630">
            <v>123936</v>
          </cell>
          <cell r="C14630" t="str">
            <v>ITAU MULTIMERCADO ESTRATEGIA S&amp;500 US FI</v>
          </cell>
          <cell r="D14630" t="str">
            <v>ITAU MULTIMERCADO ESTRATEGIA S&amp;500 US FI</v>
          </cell>
          <cell r="E14630" t="str">
            <v>ITAU UNIBANCO ASSET - TACO</v>
          </cell>
        </row>
        <row r="14631">
          <cell r="B14631">
            <v>123937</v>
          </cell>
          <cell r="C14631" t="str">
            <v>ITAU AÃ‡Ã•ES DIVIDENDOS FI</v>
          </cell>
          <cell r="D14631" t="str">
            <v>ITAU AÃ‡Ã•ES DIVIDENDOS FI</v>
          </cell>
          <cell r="E14631" t="str">
            <v>ITAU UNIBANCO ASSET - TACO</v>
          </cell>
        </row>
        <row r="14632">
          <cell r="B14632">
            <v>123938</v>
          </cell>
          <cell r="C14632" t="str">
            <v>ITAU INDEX ACOES IBOVESPA I FIA</v>
          </cell>
          <cell r="D14632" t="str">
            <v>ITAU INDEX ACOES IBOVESPA I FIA</v>
          </cell>
          <cell r="E14632" t="str">
            <v>ITAU UNIBANCO ASSET - TACO</v>
          </cell>
        </row>
        <row r="14633">
          <cell r="B14633">
            <v>123939</v>
          </cell>
          <cell r="C14633" t="str">
            <v>ITAU AÃ‡Ã•ES COMMODITIES FI</v>
          </cell>
          <cell r="D14633" t="str">
            <v>ITAU AÃ‡Ã•ES COMMODITIES FI</v>
          </cell>
          <cell r="E14633" t="str">
            <v>ITAU UNIBANCO ASSET - TACO</v>
          </cell>
        </row>
        <row r="14634">
          <cell r="B14634">
            <v>12394</v>
          </cell>
          <cell r="C14634" t="str">
            <v>WRIGHT CAPITAL GESTAO DE RECURSOS LTDA</v>
          </cell>
          <cell r="D14634" t="str">
            <v>WRIGHT CAPITAL GESTAO DE RECURSOS LTDA</v>
          </cell>
          <cell r="E14634" t="str">
            <v>WRIGHT CAPITAL GESTAO DE RECURSOS LTDA</v>
          </cell>
        </row>
        <row r="14635">
          <cell r="B14635">
            <v>123940</v>
          </cell>
          <cell r="C14635" t="str">
            <v>ITAU MACRO PREV VERTICE MULTIMERCADO FI</v>
          </cell>
          <cell r="D14635" t="str">
            <v>ITAU MACRO PREV VERTICE MULTIMERCADO FI</v>
          </cell>
          <cell r="E14635" t="str">
            <v>ITAU UNIBANCO ASSET - TACO</v>
          </cell>
        </row>
        <row r="14636">
          <cell r="B14636">
            <v>123941</v>
          </cell>
          <cell r="C14636" t="str">
            <v>ITAU FLEXPREV CORPORATE PRAT XIII MULTIMERCADO FI</v>
          </cell>
          <cell r="D14636" t="str">
            <v>ITAU FLEXPREV CORPORATE PRAT XIII MULTIMERCADO FI</v>
          </cell>
          <cell r="E14636" t="str">
            <v>ITAU UNIBANCO S/A</v>
          </cell>
        </row>
        <row r="14637">
          <cell r="B14637">
            <v>123942</v>
          </cell>
          <cell r="C14637" t="str">
            <v>CAMABEN FIC DE FIA</v>
          </cell>
          <cell r="D14637" t="str">
            <v>CAMABEN FIC DE FIA</v>
          </cell>
          <cell r="E14637" t="str">
            <v>CAMABEN FIC DE FIA</v>
          </cell>
        </row>
        <row r="14638">
          <cell r="B14638">
            <v>123943</v>
          </cell>
          <cell r="C14638" t="str">
            <v>IPORANGA FIA</v>
          </cell>
          <cell r="D14638" t="str">
            <v>IPORANGA FIA</v>
          </cell>
          <cell r="E14638" t="str">
            <v>IPORANGA FIA</v>
          </cell>
        </row>
        <row r="14639">
          <cell r="B14639">
            <v>123944</v>
          </cell>
          <cell r="C14639" t="str">
            <v>ITAU TREND MULTIMERCADO FI</v>
          </cell>
          <cell r="D14639" t="str">
            <v>ITAU TREND MULTIMERCADO FI</v>
          </cell>
          <cell r="E14639" t="str">
            <v>ITAU TREND MULTIMERCADO FI</v>
          </cell>
        </row>
        <row r="14640">
          <cell r="B14640">
            <v>123945</v>
          </cell>
          <cell r="C14640" t="str">
            <v>VERTRA EQT LLC</v>
          </cell>
          <cell r="D14640" t="str">
            <v>VERTRA EQT LLC</v>
          </cell>
          <cell r="E14640" t="str">
            <v>VERTRA EQT LLC</v>
          </cell>
        </row>
        <row r="14641">
          <cell r="B14641">
            <v>123946</v>
          </cell>
          <cell r="C14641" t="str">
            <v>FI ABGF FGIE MULT</v>
          </cell>
          <cell r="D14641" t="str">
            <v>FI ABGF FGIE MULT</v>
          </cell>
          <cell r="E14641" t="str">
            <v>FI ABGF FGIE MULT</v>
          </cell>
        </row>
        <row r="14642">
          <cell r="B14642">
            <v>123947</v>
          </cell>
          <cell r="C14642" t="str">
            <v>WARM FIA</v>
          </cell>
          <cell r="D14642" t="str">
            <v>WARM FIA</v>
          </cell>
          <cell r="E14642" t="str">
            <v>UNA CAPITAL LTDA</v>
          </cell>
        </row>
        <row r="14643">
          <cell r="B14643">
            <v>123948</v>
          </cell>
          <cell r="C14643" t="str">
            <v>FIA MAINA</v>
          </cell>
          <cell r="D14643" t="str">
            <v>FIA MAINA</v>
          </cell>
          <cell r="E14643" t="str">
            <v>UNA CAPITAL LTDA</v>
          </cell>
        </row>
        <row r="14644">
          <cell r="B14644">
            <v>123949</v>
          </cell>
          <cell r="C14644" t="str">
            <v>UNA CAPITAL FI SELECAO ACOES BDR NIVEL I</v>
          </cell>
          <cell r="D14644" t="str">
            <v>UNA CAPITAL FI SELECAO ACOES BDR NIVEL I</v>
          </cell>
          <cell r="E14644" t="str">
            <v>UNA CAPITAL FI SELECAO ACOES BDR NIVEL I</v>
          </cell>
        </row>
        <row r="14645">
          <cell r="B14645">
            <v>123801</v>
          </cell>
          <cell r="C14645" t="str">
            <v>CLARITAS PRIVATE LONG SHORT FIM</v>
          </cell>
          <cell r="D14645" t="str">
            <v>CLARITAS PRIVATE LONG SHORT FIM</v>
          </cell>
          <cell r="E14645" t="str">
            <v>CLARITAS ADMINISTRAÇÃO DE RECURSOS LTDA</v>
          </cell>
        </row>
        <row r="14646">
          <cell r="B14646">
            <v>123951</v>
          </cell>
          <cell r="C14646" t="str">
            <v>SANTANDER CACEIS BRASIL DTVM S.A.</v>
          </cell>
          <cell r="D14646" t="str">
            <v>SANTANDER CACEIS BRASIL DTVM S.A.</v>
          </cell>
          <cell r="E14646" t="str">
            <v>SANTANDER BRASIL GESTAO DE RECURSOS LTDA</v>
          </cell>
        </row>
        <row r="14647">
          <cell r="B14647">
            <v>123952</v>
          </cell>
          <cell r="C14647" t="str">
            <v>PALMEIRA MULTIMERCADO FI CP IE</v>
          </cell>
          <cell r="D14647" t="str">
            <v>PALMEIRA MULTIMERCADO FI CP IE</v>
          </cell>
          <cell r="E14647" t="str">
            <v>PALMEIRA MULTIMERCADO FI CP IE</v>
          </cell>
        </row>
        <row r="14648">
          <cell r="B14648">
            <v>123953</v>
          </cell>
          <cell r="C14648" t="str">
            <v>BTG PACTUAL ABSOLUTO BRASIL EQUITY FONDO DE INVERSION</v>
          </cell>
          <cell r="D14648" t="str">
            <v>BTG PACTUAL ABSOLUTO BRASIL EQUITY FONDO DE INVERSION</v>
          </cell>
          <cell r="E14648" t="str">
            <v>BTG PACTUAL ASSET MANAGEMENT SA DTVM</v>
          </cell>
        </row>
        <row r="14649">
          <cell r="B14649">
            <v>123954</v>
          </cell>
          <cell r="C14649" t="str">
            <v>SANTANDER CACEIS BRASIL DTVM S.A.</v>
          </cell>
          <cell r="D14649" t="str">
            <v>SANTANDER CACEIS BRASIL DTVM S.A.</v>
          </cell>
          <cell r="E14649" t="str">
            <v>SANTANDER BRASIL GESTAO DE RECURSOS LTDA</v>
          </cell>
        </row>
        <row r="14650">
          <cell r="B14650">
            <v>123955</v>
          </cell>
          <cell r="C14650" t="str">
            <v>BANCO DE INVESTIMENTOS UBS (BRASIL) S.A.</v>
          </cell>
          <cell r="D14650" t="str">
            <v>BANCO DE INVESTIMENTOS UBS (BRASIL) S.A.</v>
          </cell>
          <cell r="E14650" t="str">
            <v>BANCO DE INVESTIMENTO CREDIT SUISSE (BRASIL) S/A</v>
          </cell>
        </row>
        <row r="14651">
          <cell r="B14651">
            <v>123956</v>
          </cell>
          <cell r="C14651" t="str">
            <v>BNP PARIBAS EQD BRAZIL FUND CLASSE DE INVESTIMENTO MULTI CP</v>
          </cell>
          <cell r="D14651" t="str">
            <v>BNP PARIBAS EQD BRAZIL FUND CLASSE DE INVESTIMENTO MULTI CP</v>
          </cell>
          <cell r="E14651" t="str">
            <v>BANCO BNP PARIBAS BRASIL S/A</v>
          </cell>
        </row>
        <row r="14652">
          <cell r="B14652">
            <v>123957</v>
          </cell>
          <cell r="C14652" t="str">
            <v>ACAIA II FIM CP IE</v>
          </cell>
          <cell r="D14652" t="str">
            <v>ACAIA II FIM CP IE</v>
          </cell>
          <cell r="E14652" t="str">
            <v>ACAIA II FIM CP IE</v>
          </cell>
        </row>
        <row r="14653">
          <cell r="B14653">
            <v>123958</v>
          </cell>
          <cell r="C14653" t="str">
            <v>RUGIR FIA IE</v>
          </cell>
          <cell r="D14653" t="str">
            <v>RUGIR FIA IE</v>
          </cell>
          <cell r="E14653" t="str">
            <v>CONSENSO INVESTIMENTOS LTDA</v>
          </cell>
        </row>
        <row r="14654">
          <cell r="B14654">
            <v>123959</v>
          </cell>
          <cell r="C14654" t="str">
            <v>BB GESTAO DE RECURSOS DTVM LTDA</v>
          </cell>
          <cell r="D14654" t="str">
            <v>BB GESTAO DE RECURSOS DTVM LTDA</v>
          </cell>
          <cell r="E14654" t="str">
            <v>BB GESTAO DE RECURSOS DTVM LTDA</v>
          </cell>
        </row>
        <row r="14655">
          <cell r="B14655">
            <v>12396</v>
          </cell>
          <cell r="C14655" t="str">
            <v>CERES FUNDACAO DE SEGURIDADE SOCIAL</v>
          </cell>
          <cell r="D14655" t="str">
            <v>CERES FUNDACAO DE SEGURIDADE SOCIAL</v>
          </cell>
          <cell r="E14655" t="str">
            <v>CERES FUNDACAO DE SEGURIDADE SOCIAL</v>
          </cell>
        </row>
        <row r="14656">
          <cell r="B14656">
            <v>123960</v>
          </cell>
          <cell r="C14656" t="str">
            <v>BRADESCO FI RF IDKA I GBS</v>
          </cell>
          <cell r="D14656" t="str">
            <v>BRADESCO FI RF IDKA I GBS</v>
          </cell>
          <cell r="E14656" t="str">
            <v>BRADESCO FI RF IDKA I GBS</v>
          </cell>
        </row>
        <row r="14657">
          <cell r="B14657">
            <v>123961</v>
          </cell>
          <cell r="C14657" t="str">
            <v>BRADESCO FIC DE FIM MIP II</v>
          </cell>
          <cell r="D14657" t="str">
            <v>BRADESCO FIC DE FIM MIP II</v>
          </cell>
          <cell r="E14657" t="str">
            <v>BRADESCO FIC DE FIM MIP II</v>
          </cell>
        </row>
        <row r="14658">
          <cell r="B14658">
            <v>123962</v>
          </cell>
          <cell r="C14658" t="str">
            <v>BRADESCO FUNDO DE RF IRFM ATIVO GBS</v>
          </cell>
          <cell r="D14658" t="str">
            <v>BRADESCO FUNDO DE RF IRFM ATIVO GBS</v>
          </cell>
          <cell r="E14658" t="str">
            <v>BRADESCO FUNDO DE RF IRFM ATIVO GBS</v>
          </cell>
        </row>
        <row r="14659">
          <cell r="B14659">
            <v>123963</v>
          </cell>
          <cell r="C14659" t="str">
            <v>BRADESCO FIM GLOBAL IE BALANCED</v>
          </cell>
          <cell r="D14659" t="str">
            <v>BRADESCO FIM GLOBAL IE BALANCED</v>
          </cell>
          <cell r="E14659" t="str">
            <v>BRAM - BRADESCO ASSET MANAGEMENT S/A DTVM</v>
          </cell>
        </row>
        <row r="14660">
          <cell r="B14660">
            <v>123964</v>
          </cell>
          <cell r="C14660" t="str">
            <v>BRADESCO PRIVATE FIM GLOBAL IE CONSERVATIVE</v>
          </cell>
          <cell r="D14660" t="str">
            <v>BRADESCO PRIVATE FIM GLOBAL IE CONSERVATIVE</v>
          </cell>
          <cell r="E14660" t="str">
            <v>BRAM - BRADESCO ASSET MANAGEMENT S/A DTVM</v>
          </cell>
        </row>
        <row r="14661">
          <cell r="B14661">
            <v>123965</v>
          </cell>
          <cell r="C14661" t="str">
            <v>BRAM FIA LONG ONLY</v>
          </cell>
          <cell r="D14661" t="str">
            <v>BRAM FIA LONG ONLY</v>
          </cell>
          <cell r="E14661" t="str">
            <v>BRAM - BRADESCO ASSET MANAGEMENT S/A DTVM</v>
          </cell>
        </row>
        <row r="14662">
          <cell r="B14662">
            <v>123966</v>
          </cell>
          <cell r="C14662" t="str">
            <v>BRAM FIA ABSOLUTO INSTITUCIONAL</v>
          </cell>
          <cell r="D14662" t="str">
            <v>BRAM FIA ABSOLUTO INSTITUCIONAL</v>
          </cell>
          <cell r="E14662" t="str">
            <v>BRAM - BRADESCO ASSET MANAGEMENT S/A DTVM</v>
          </cell>
        </row>
        <row r="14663">
          <cell r="B14663">
            <v>123967</v>
          </cell>
          <cell r="C14663" t="str">
            <v>ARCOBALENO FIM CP IE</v>
          </cell>
          <cell r="D14663" t="str">
            <v>ARCOBALENO FIM CP IE</v>
          </cell>
          <cell r="E14663" t="str">
            <v>ARCOBALENO FIM CP IE</v>
          </cell>
        </row>
        <row r="14664">
          <cell r="B14664">
            <v>123968</v>
          </cell>
          <cell r="C14664" t="str">
            <v>ASTAPOVO FIM CP IE</v>
          </cell>
          <cell r="D14664" t="str">
            <v>ASTAPOVO FIM CP IE</v>
          </cell>
          <cell r="E14664" t="str">
            <v>ASTAPOVO FIM CP IE</v>
          </cell>
        </row>
        <row r="14665">
          <cell r="B14665">
            <v>123969</v>
          </cell>
          <cell r="C14665" t="str">
            <v>ASTORGA FIM CP IE</v>
          </cell>
          <cell r="D14665" t="str">
            <v>ASTORGA FIM CP IE</v>
          </cell>
          <cell r="E14665" t="str">
            <v>ASTORGA FIM CP IE</v>
          </cell>
        </row>
        <row r="14666">
          <cell r="B14666">
            <v>123970</v>
          </cell>
          <cell r="C14666" t="str">
            <v>AUGURI FIM CP IE</v>
          </cell>
          <cell r="D14666" t="str">
            <v>AUGURI FIM CP IE</v>
          </cell>
          <cell r="E14666" t="str">
            <v>AUGURI FIM CP IE</v>
          </cell>
        </row>
        <row r="14667">
          <cell r="B14667">
            <v>123971</v>
          </cell>
          <cell r="C14667" t="str">
            <v>ELECTRA FIM CP IE</v>
          </cell>
          <cell r="D14667" t="str">
            <v>ELECTRA FIM CP IE</v>
          </cell>
          <cell r="E14667" t="str">
            <v>ELECTRA FIM CP IE</v>
          </cell>
        </row>
        <row r="14668">
          <cell r="B14668">
            <v>123972</v>
          </cell>
          <cell r="C14668" t="str">
            <v>GENIAL FIM CP IE</v>
          </cell>
          <cell r="D14668" t="str">
            <v>GENIAL FIM CP IE</v>
          </cell>
          <cell r="E14668" t="str">
            <v>GENIAL FIM CP IE</v>
          </cell>
        </row>
        <row r="14669">
          <cell r="B14669">
            <v>123973</v>
          </cell>
          <cell r="C14669" t="str">
            <v>HEIDELBERG FIM CP IE</v>
          </cell>
          <cell r="D14669" t="str">
            <v>HEIDELBERG FIM CP IE</v>
          </cell>
          <cell r="E14669" t="str">
            <v>HEIDELBERG FIM CP IE</v>
          </cell>
        </row>
        <row r="14670">
          <cell r="B14670">
            <v>123974</v>
          </cell>
          <cell r="C14670" t="str">
            <v>LUZES FIM CP IE</v>
          </cell>
          <cell r="D14670" t="str">
            <v>LUZES FIM CP IE</v>
          </cell>
          <cell r="E14670" t="str">
            <v>LUZES FIM CP IE</v>
          </cell>
        </row>
        <row r="14671">
          <cell r="B14671">
            <v>123975</v>
          </cell>
          <cell r="C14671" t="str">
            <v>MESTICO FIC FIM CP</v>
          </cell>
          <cell r="D14671" t="str">
            <v>MESTICO FIC FIM CP</v>
          </cell>
          <cell r="E14671" t="str">
            <v>MESTICO FIC FIM CP</v>
          </cell>
        </row>
        <row r="14672">
          <cell r="B14672">
            <v>123976</v>
          </cell>
          <cell r="C14672" t="str">
            <v>TUPINAMBA FIM CP IE</v>
          </cell>
          <cell r="D14672" t="str">
            <v>TUPINAMBA FIM CP IE</v>
          </cell>
          <cell r="E14672" t="str">
            <v>TUPINAMBA FIM CP IE</v>
          </cell>
        </row>
        <row r="14673">
          <cell r="B14673">
            <v>123977</v>
          </cell>
          <cell r="C14673" t="str">
            <v>TXAI FIM CP IE</v>
          </cell>
          <cell r="D14673" t="str">
            <v>TXAI FIM CP IE</v>
          </cell>
          <cell r="E14673" t="str">
            <v>TXAI FIM CP IE</v>
          </cell>
        </row>
        <row r="14674">
          <cell r="B14674">
            <v>123978</v>
          </cell>
          <cell r="C14674" t="str">
            <v>VFV FIM CRED PRIV IE</v>
          </cell>
          <cell r="D14674" t="str">
            <v>VFV FIM CRED PRIV IE</v>
          </cell>
          <cell r="E14674" t="str">
            <v>WRIGHT CAPITAL GESTAO DE RECURSOS LTDA</v>
          </cell>
        </row>
        <row r="14675">
          <cell r="B14675">
            <v>123979</v>
          </cell>
          <cell r="C14675" t="str">
            <v>WRIGHT CASH FIC DE FIM CP</v>
          </cell>
          <cell r="D14675" t="str">
            <v>WRIGHT CASH FIC DE FIM CP</v>
          </cell>
          <cell r="E14675" t="str">
            <v>WRIGHT CASH FIC DE FIM CP</v>
          </cell>
        </row>
        <row r="14676">
          <cell r="B14676">
            <v>12398</v>
          </cell>
          <cell r="C14676" t="str">
            <v>OCTANTE GESTAO DE RECURSOS LTDA</v>
          </cell>
          <cell r="D14676" t="str">
            <v>OCTANTE GESTAO DE RECURSOS LTDA</v>
          </cell>
          <cell r="E14676" t="str">
            <v>OCTANTE GESTAO DE RECURSOS LTDA</v>
          </cell>
        </row>
        <row r="14677">
          <cell r="B14677">
            <v>123980</v>
          </cell>
          <cell r="C14677" t="str">
            <v>WRIGHT CREDITO FIM CP IE</v>
          </cell>
          <cell r="D14677" t="str">
            <v>WRIGHT CREDITO FIM CP IE</v>
          </cell>
          <cell r="E14677" t="str">
            <v>WRIGHT CREDITO FIM CP IE</v>
          </cell>
        </row>
        <row r="14678">
          <cell r="B14678">
            <v>123981</v>
          </cell>
          <cell r="C14678" t="str">
            <v>WRIGHT EQUITY FIM CP IE</v>
          </cell>
          <cell r="D14678" t="str">
            <v>WRIGHT EQUITY FIM CP IE</v>
          </cell>
          <cell r="E14678" t="str">
            <v>WRIGHT EQUITY FIM CP IE</v>
          </cell>
        </row>
        <row r="14679">
          <cell r="B14679">
            <v>123982</v>
          </cell>
          <cell r="C14679" t="str">
            <v>WRIGHT IMPACTO SOCIAL FIC FIM CP IE</v>
          </cell>
          <cell r="D14679" t="str">
            <v>WRIGHT IMPACTO SOCIAL FIC FIM CP IE</v>
          </cell>
          <cell r="E14679" t="str">
            <v>WRIGHT IMPACTO SOCIAL FIC FIM CP IE</v>
          </cell>
        </row>
        <row r="14680">
          <cell r="B14680">
            <v>123983</v>
          </cell>
          <cell r="C14680" t="str">
            <v>WRIGHT MULTI FIM CRED PRIV IE</v>
          </cell>
          <cell r="D14680" t="str">
            <v>WRIGHT MULTI FIM CRED PRIV IE</v>
          </cell>
          <cell r="E14680" t="str">
            <v>WRIGHT MULTI FIM CRED PRIV IE</v>
          </cell>
        </row>
        <row r="14681">
          <cell r="B14681">
            <v>123984</v>
          </cell>
          <cell r="C14681" t="str">
            <v>K4P FIM</v>
          </cell>
          <cell r="D14681" t="str">
            <v>K4P FIM</v>
          </cell>
          <cell r="E14681" t="str">
            <v>K4P FIM</v>
          </cell>
        </row>
        <row r="14682">
          <cell r="B14682">
            <v>123985</v>
          </cell>
          <cell r="C14682" t="str">
            <v>K4F FIM CP IE</v>
          </cell>
          <cell r="D14682" t="str">
            <v>K4F FIM CP IE</v>
          </cell>
          <cell r="E14682" t="str">
            <v>K4F FIM CP IE</v>
          </cell>
        </row>
        <row r="14683">
          <cell r="B14683">
            <v>123986</v>
          </cell>
          <cell r="C14683" t="str">
            <v>TRAVEL FIM CRED PRIV IE</v>
          </cell>
          <cell r="D14683" t="str">
            <v>TRAVEL FIM CRED PRIV IE</v>
          </cell>
          <cell r="E14683" t="str">
            <v>TRAVEL FIM CRED PRIV IE</v>
          </cell>
        </row>
        <row r="14684">
          <cell r="B14684">
            <v>123987</v>
          </cell>
          <cell r="C14684" t="str">
            <v>CSHG LBB FC MULT CP IE</v>
          </cell>
          <cell r="D14684" t="str">
            <v>CSHG LBB FC MULT CP IE</v>
          </cell>
          <cell r="E14684" t="str">
            <v>CSHG LBB FC MULT CP IE</v>
          </cell>
        </row>
        <row r="14685">
          <cell r="B14685">
            <v>123988</v>
          </cell>
          <cell r="C14685" t="str">
            <v>CSHG 1160 FIM CP IE</v>
          </cell>
          <cell r="D14685" t="str">
            <v>CSHG 1160 FIM CP IE</v>
          </cell>
          <cell r="E14685" t="str">
            <v>CSHG 1160 FIM CP IE</v>
          </cell>
        </row>
        <row r="14686">
          <cell r="B14686">
            <v>123989</v>
          </cell>
          <cell r="C14686" t="str">
            <v>WRIGHT JUROS FIM CP IE</v>
          </cell>
          <cell r="D14686" t="str">
            <v>WRIGHT JUROS FIM CP IE</v>
          </cell>
          <cell r="E14686" t="str">
            <v>WRIGHT JUROS FIM CP IE</v>
          </cell>
        </row>
        <row r="14687">
          <cell r="B14687">
            <v>12399</v>
          </cell>
          <cell r="C14687" t="str">
            <v>DAYCOVAL ASSET MANAGEMENT ADMINISTRACAO DE RECURSOS LTDA</v>
          </cell>
          <cell r="D14687" t="str">
            <v>DAYCOVAL ASSET MANAGEMENT ADMINISTRACAO DE RECURSOS LTDA</v>
          </cell>
          <cell r="E14687" t="str">
            <v>DAYCOVAL ASSET MANAGEMENT ADMINISTRACAO DE RECURSOS LTDA</v>
          </cell>
        </row>
        <row r="14688">
          <cell r="B14688">
            <v>123990</v>
          </cell>
          <cell r="C14688" t="str">
            <v>ATHENA FI RF</v>
          </cell>
          <cell r="D14688" t="str">
            <v>ATHENA FI RF</v>
          </cell>
          <cell r="E14688" t="str">
            <v>FUNDACAO VALE DO RIO DOCE DE SEGURIDADE SOCIAL - VALIA</v>
          </cell>
        </row>
        <row r="14689">
          <cell r="B14689">
            <v>123991</v>
          </cell>
          <cell r="C14689" t="str">
            <v>FIM HUNTER CP</v>
          </cell>
          <cell r="D14689" t="str">
            <v>FIM HUNTER CP</v>
          </cell>
          <cell r="E14689" t="str">
            <v>FUNDACAO VALE DO RIO DOCE DE SEGURIDADE SOCIAL - VALIA</v>
          </cell>
        </row>
        <row r="14690">
          <cell r="B14690">
            <v>123992</v>
          </cell>
          <cell r="C14690" t="str">
            <v>FIM SAFIRA CP</v>
          </cell>
          <cell r="D14690" t="str">
            <v>FIM SAFIRA CP</v>
          </cell>
          <cell r="E14690" t="str">
            <v>FUNDACAO VALE DO RIO DOCE DE SEGURIDADE SOCIAL - VALIA</v>
          </cell>
        </row>
        <row r="14691">
          <cell r="B14691">
            <v>123993</v>
          </cell>
          <cell r="C14691" t="str">
            <v>FIM KANSAS CP</v>
          </cell>
          <cell r="D14691" t="str">
            <v>FIM KANSAS CP</v>
          </cell>
          <cell r="E14691" t="str">
            <v>FUNDACAO VALE DO RIO DOCE DE SEGURIDADE SOCIAL - VALIA</v>
          </cell>
        </row>
        <row r="14692">
          <cell r="B14692">
            <v>123994</v>
          </cell>
          <cell r="C14692" t="str">
            <v>FIM TURQUESA CREDITO PRIVADO</v>
          </cell>
          <cell r="D14692" t="str">
            <v>FIM TURQUESA CREDITO PRIVADO</v>
          </cell>
          <cell r="E14692" t="str">
            <v>FUNDACAO VALE DO RIO DOCE DE SEGURIDADE SOCIAL - VALIA</v>
          </cell>
        </row>
        <row r="14693">
          <cell r="B14693">
            <v>123995</v>
          </cell>
          <cell r="C14693" t="str">
            <v>BRADESCO FIM GLOBAL IE - GROWTH</v>
          </cell>
          <cell r="D14693" t="str">
            <v>BRADESCO FIM GLOBAL IE - GROWTH</v>
          </cell>
          <cell r="E14693" t="str">
            <v>BRADESCO FIM GLOBAL IE - GROWTH</v>
          </cell>
        </row>
        <row r="14694">
          <cell r="B14694">
            <v>123996</v>
          </cell>
          <cell r="C14694" t="str">
            <v>BRAM FIM LONG SHORT</v>
          </cell>
          <cell r="D14694" t="str">
            <v>BRAM FIM LONG SHORT</v>
          </cell>
          <cell r="E14694" t="str">
            <v>BRAM - BRADESCO ASSET MANAGEMENT S/A DTVM</v>
          </cell>
        </row>
        <row r="14695">
          <cell r="B14695">
            <v>123997</v>
          </cell>
          <cell r="C14695" t="str">
            <v>RAFFAELE SCURTI NETTO</v>
          </cell>
          <cell r="D14695" t="str">
            <v>RAFFAELE SCURTI NETTO</v>
          </cell>
          <cell r="E14695" t="str">
            <v>RAFFAELE SCURTI NETTO</v>
          </cell>
        </row>
        <row r="14696">
          <cell r="B14696">
            <v>123998</v>
          </cell>
          <cell r="C14696" t="str">
            <v>OAK FIM CP IE</v>
          </cell>
          <cell r="D14696" t="str">
            <v>OAK FIM CP IE</v>
          </cell>
          <cell r="E14696" t="str">
            <v>OAK FIM CP IE</v>
          </cell>
        </row>
        <row r="14697">
          <cell r="B14697">
            <v>123999</v>
          </cell>
          <cell r="C14697" t="str">
            <v>KONDOR EQUITIES ALPHA FIA IE</v>
          </cell>
          <cell r="D14697" t="str">
            <v>KONDOR EQUITIES ALPHA FIA IE</v>
          </cell>
          <cell r="E14697" t="str">
            <v>KONDOR ADMINISTRADORA E GESTORA DE RECURSOS FINANCEIROS LTDA</v>
          </cell>
        </row>
        <row r="14698">
          <cell r="B14698">
            <v>12400</v>
          </cell>
          <cell r="C14698" t="str">
            <v>LARRY CARRIS CARDOSO</v>
          </cell>
          <cell r="D14698" t="str">
            <v>LARRY CARRIS CARDOSO</v>
          </cell>
          <cell r="E14698" t="str">
            <v>LARRY CARRIS CARDOSO</v>
          </cell>
        </row>
        <row r="14699">
          <cell r="B14699">
            <v>124000</v>
          </cell>
          <cell r="C14699" t="str">
            <v>AZ QUEST MASTER TOTAL RETURN FIM</v>
          </cell>
          <cell r="D14699" t="str">
            <v>AZ QUEST MASTER TOTAL RETURN FIM</v>
          </cell>
          <cell r="E14699" t="str">
            <v>AZ QUEST INVESTIMENTOS LTDA</v>
          </cell>
        </row>
        <row r="14700">
          <cell r="B14700">
            <v>124001</v>
          </cell>
          <cell r="C14700" t="str">
            <v>AZ QUEST TOTAL RETURN II MASTER FIA</v>
          </cell>
          <cell r="D14700" t="str">
            <v>AZ QUEST TOTAL RETURN II MASTER FIA</v>
          </cell>
          <cell r="E14700" t="str">
            <v>AZ QUEST TOTAL RETURN II MASTER FIA</v>
          </cell>
        </row>
        <row r="14701">
          <cell r="B14701">
            <v>124002</v>
          </cell>
          <cell r="C14701" t="str">
            <v>AZ QUEST SMALL MID CAPS MASTER FIA</v>
          </cell>
          <cell r="D14701" t="str">
            <v>AZ QUEST SMALL MID CAPS MASTER FIA</v>
          </cell>
          <cell r="E14701" t="str">
            <v>AZ QUEST INVESTIMENTOS LTDA</v>
          </cell>
        </row>
        <row r="14702">
          <cell r="B14702">
            <v>124003</v>
          </cell>
          <cell r="C14702" t="str">
            <v>AZ QUEST MASTER FIM</v>
          </cell>
          <cell r="D14702" t="str">
            <v>AZ QUEST MASTER FIM</v>
          </cell>
          <cell r="E14702" t="str">
            <v>AZ QUEST INVESTIMENTOS LTDA</v>
          </cell>
        </row>
        <row r="14703">
          <cell r="B14703">
            <v>124004</v>
          </cell>
          <cell r="C14703" t="str">
            <v>AZ QUEST MASTER FIA</v>
          </cell>
          <cell r="D14703" t="str">
            <v>AZ QUEST MASTER FIA</v>
          </cell>
          <cell r="E14703" t="str">
            <v>AZ QUEST INVESTIMENTOS LTDA</v>
          </cell>
        </row>
        <row r="14704">
          <cell r="B14704">
            <v>124005</v>
          </cell>
          <cell r="C14704" t="str">
            <v>AZ QUEST MASTER EQUITY HEDGE FIM</v>
          </cell>
          <cell r="D14704" t="str">
            <v>AZ QUEST MASTER EQUITY HEDGE FIM</v>
          </cell>
          <cell r="E14704" t="str">
            <v>AZ QUEST INVESTIMENTOS LTDA</v>
          </cell>
        </row>
        <row r="14705">
          <cell r="B14705">
            <v>124006</v>
          </cell>
          <cell r="C14705" t="str">
            <v>AZ QUEST TOP MASTER FIA</v>
          </cell>
          <cell r="D14705" t="str">
            <v>AZ QUEST TOP MASTER FIA</v>
          </cell>
          <cell r="E14705" t="str">
            <v>AZ QUEST INVESTIMENTOS LTDA</v>
          </cell>
        </row>
        <row r="14706">
          <cell r="B14706">
            <v>124007</v>
          </cell>
          <cell r="C14706" t="str">
            <v>FI AGROCIENCIA ACOES</v>
          </cell>
          <cell r="D14706" t="str">
            <v>FI AGROCIENCIA ACOES</v>
          </cell>
          <cell r="E14706" t="str">
            <v>CERES FUNDACAO DE SEGURIDADE SOCIAL</v>
          </cell>
        </row>
        <row r="14707">
          <cell r="B14707">
            <v>124008</v>
          </cell>
          <cell r="C14707" t="str">
            <v>ICATU VANGUARDA ACOES IBX FI</v>
          </cell>
          <cell r="D14707" t="str">
            <v>ICATU VANGUARDA ACOES IBX FI</v>
          </cell>
          <cell r="E14707" t="str">
            <v>ICATU VANGUARDA ACOES IBX FI</v>
          </cell>
        </row>
        <row r="14708">
          <cell r="B14708">
            <v>124009</v>
          </cell>
          <cell r="C14708" t="str">
            <v>ICATU SEG INCOME PREVIDENCIARIO FIA</v>
          </cell>
          <cell r="D14708" t="str">
            <v>ICATU SEG INCOME PREVIDENCIARIO FIA</v>
          </cell>
          <cell r="E14708" t="str">
            <v>ICATU SEG INCOME PREVIDENCIARIO FIA</v>
          </cell>
        </row>
        <row r="14709">
          <cell r="B14709">
            <v>12401</v>
          </cell>
          <cell r="C14709" t="str">
            <v>BELVEDERE ADMINISTRAÃ‡ÃƒO DE VALORES MOBILIARIOS LTDA</v>
          </cell>
          <cell r="D14709" t="str">
            <v>BELVEDERE ADMINISTRAÃ‡ÃƒO DE VALORES MOBILIARIOS LTDA</v>
          </cell>
          <cell r="E14709" t="str">
            <v>BELVEDERE ADMINISTRAÃ‡ÃƒO DE VALORES MOBILIARIOS LTDA</v>
          </cell>
        </row>
        <row r="14710">
          <cell r="B14710">
            <v>124010</v>
          </cell>
          <cell r="C14710" t="str">
            <v>ICATU SEG FIM PREVIDENCIARIO</v>
          </cell>
          <cell r="D14710" t="str">
            <v>ICATU SEG FIM PREVIDENCIARIO</v>
          </cell>
          <cell r="E14710" t="str">
            <v>ICATU SEG FIM PREVIDENCIARIO</v>
          </cell>
        </row>
        <row r="14711">
          <cell r="B14711">
            <v>124011</v>
          </cell>
          <cell r="C14711" t="str">
            <v>ICATU VANGUARDA MACRO FIM</v>
          </cell>
          <cell r="D14711" t="str">
            <v>ICATU VANGUARDA MACRO FIM</v>
          </cell>
          <cell r="E14711" t="str">
            <v>ICATU VANGUARDA MACRO FIM</v>
          </cell>
        </row>
        <row r="14712">
          <cell r="B14712">
            <v>124012</v>
          </cell>
          <cell r="C14712" t="str">
            <v>ICATU VANGUARDA ESTRATEGIA FIM</v>
          </cell>
          <cell r="D14712" t="str">
            <v>ICATU VANGUARDA ESTRATEGIA FIM</v>
          </cell>
          <cell r="E14712" t="str">
            <v>ICATU VANGUARDA GESTAO DE RECURSOS LTDA</v>
          </cell>
        </row>
        <row r="14713">
          <cell r="B14713">
            <v>124013</v>
          </cell>
          <cell r="C14713" t="str">
            <v>ICATU QP6 FIM CP</v>
          </cell>
          <cell r="D14713" t="str">
            <v>ICATU QP6 FIM CP</v>
          </cell>
          <cell r="E14713" t="str">
            <v>ICATU QP6 FIM CP</v>
          </cell>
        </row>
        <row r="14714">
          <cell r="B14714">
            <v>80199</v>
          </cell>
          <cell r="C14714" t="str">
            <v>BANCO SANTANDER S.A (HISPANO)</v>
          </cell>
          <cell r="D14714" t="str">
            <v>BANCO SANTANDER S.A (HISPANO)</v>
          </cell>
          <cell r="E14714" t="str">
            <v>BANCO SANTANDER S/A (HISPANO)</v>
          </cell>
        </row>
        <row r="14715">
          <cell r="B14715">
            <v>80200</v>
          </cell>
          <cell r="C14715" t="str">
            <v>BANCO SANTANDER S.A (HISPANO)</v>
          </cell>
          <cell r="D14715" t="str">
            <v>BANCO SANTANDER S.A (HISPANO)</v>
          </cell>
          <cell r="E14715" t="str">
            <v>BANCO SANTANDER S/A (HISPANO)</v>
          </cell>
        </row>
        <row r="14716">
          <cell r="B14716">
            <v>80201</v>
          </cell>
          <cell r="C14716" t="str">
            <v>BANCO SANTANDER S.A (HISPANO)</v>
          </cell>
          <cell r="D14716" t="str">
            <v>BANCO SANTANDER S.A (HISPANO)</v>
          </cell>
          <cell r="E14716" t="str">
            <v>BANCO SANTANDER S/A (HISPANO)</v>
          </cell>
        </row>
        <row r="14717">
          <cell r="B14717">
            <v>80202</v>
          </cell>
          <cell r="C14717" t="str">
            <v>BANCO SANTANDER S.A (HISPANO)</v>
          </cell>
          <cell r="D14717" t="str">
            <v>BANCO SANTANDER S.A (HISPANO)</v>
          </cell>
          <cell r="E14717" t="str">
            <v>BANCO SANTANDER S/A (HISPANO)</v>
          </cell>
        </row>
        <row r="14718">
          <cell r="B14718">
            <v>124018</v>
          </cell>
          <cell r="C14718" t="str">
            <v>SANTANDER FI GUARUJA MULTIMERCADO CP IE</v>
          </cell>
          <cell r="D14718" t="str">
            <v>SANTANDER FI GUARUJA MULTIMERCADO CP IE</v>
          </cell>
          <cell r="E14718" t="str">
            <v>SANTANDER BRASIL GESTAO DE RECURSOS LTDA</v>
          </cell>
        </row>
        <row r="14719">
          <cell r="B14719">
            <v>124019</v>
          </cell>
          <cell r="C14719" t="str">
            <v>SANTANDER FI GUARUJA MULTIMERCADO CP IE</v>
          </cell>
          <cell r="D14719" t="str">
            <v>SANTANDER FI GUARUJA MULTIMERCADO CP IE</v>
          </cell>
          <cell r="E14719" t="str">
            <v>SANTANDER BRASIL GESTAO DE RECURSOS LTDA</v>
          </cell>
        </row>
        <row r="14720">
          <cell r="B14720">
            <v>124020</v>
          </cell>
          <cell r="C14720" t="str">
            <v>SANTANDER FI GUARUJA MULTIMERCADO CP IE</v>
          </cell>
          <cell r="D14720" t="str">
            <v>SANTANDER FI GUARUJA MULTIMERCADO CP IE</v>
          </cell>
          <cell r="E14720" t="str">
            <v>SANTANDER BRASIL GESTAO DE RECURSOS LTDA</v>
          </cell>
        </row>
        <row r="14721">
          <cell r="B14721">
            <v>124021</v>
          </cell>
          <cell r="C14721" t="str">
            <v>SANTANDER FI GUARUJA MULTIMERCADO CP IE</v>
          </cell>
          <cell r="D14721" t="str">
            <v>SANTANDER FI GUARUJA MULTIMERCADO CP IE</v>
          </cell>
          <cell r="E14721" t="str">
            <v>SANTANDER BRASIL GESTAO DE RECURSOS LTDA</v>
          </cell>
        </row>
        <row r="14722">
          <cell r="B14722">
            <v>124023</v>
          </cell>
          <cell r="C14722" t="str">
            <v>SOLANA EQUITY HEDGE FIM</v>
          </cell>
          <cell r="D14722" t="str">
            <v>SOLANA EQUITY HEDGE FIM</v>
          </cell>
          <cell r="E14722" t="str">
            <v>SOLANA GESTORA DE RECURSOS LTDA</v>
          </cell>
        </row>
        <row r="14723">
          <cell r="B14723">
            <v>124024</v>
          </cell>
          <cell r="C14723" t="str">
            <v>FIA STRATOSPHERE</v>
          </cell>
          <cell r="D14723" t="str">
            <v>FIA STRATOSPHERE</v>
          </cell>
          <cell r="E14723" t="str">
            <v>AGUILA CAPITAL ADM E GESTAO DE CAPITAIS LTDA</v>
          </cell>
        </row>
        <row r="14724">
          <cell r="B14724">
            <v>124026</v>
          </cell>
          <cell r="C14724" t="str">
            <v>MORGAN STANLEY CTVM S/A</v>
          </cell>
          <cell r="D14724" t="str">
            <v>MORGAN STANLEY CTVM S/A</v>
          </cell>
          <cell r="E14724" t="str">
            <v>MORGAN STANLEY CTVM S/A</v>
          </cell>
        </row>
        <row r="14725">
          <cell r="B14725">
            <v>124027</v>
          </cell>
          <cell r="C14725" t="str">
            <v>BB GESTAO DE RECURSOS DTVM LTDA</v>
          </cell>
          <cell r="D14725" t="str">
            <v>BB GESTAO DE RECURSOS DTVM LTDA</v>
          </cell>
          <cell r="E14725" t="str">
            <v>BB GESTAO DE RECURSOS DTVM LTDA</v>
          </cell>
        </row>
        <row r="14726">
          <cell r="B14726">
            <v>124029</v>
          </cell>
          <cell r="C14726" t="str">
            <v>AMSTERDAM FIA</v>
          </cell>
          <cell r="D14726" t="str">
            <v>AMSTERDAM FIA</v>
          </cell>
          <cell r="E14726" t="str">
            <v>ALASKA INVESTIMENTOS LTDA</v>
          </cell>
        </row>
        <row r="14727">
          <cell r="B14727">
            <v>12403</v>
          </cell>
          <cell r="C14727" t="str">
            <v>ELLEVEN GESTORA DE RECURSOS LTDA</v>
          </cell>
          <cell r="D14727" t="str">
            <v>ELLEVEN GESTORA DE RECURSOS LTDA</v>
          </cell>
          <cell r="E14727" t="str">
            <v>ELLEVEN GESTORA DE RECURSOS LTDA</v>
          </cell>
        </row>
        <row r="14728">
          <cell r="B14728">
            <v>124032</v>
          </cell>
          <cell r="C14728" t="str">
            <v>DOLPHIN AQ3 FIM</v>
          </cell>
          <cell r="D14728" t="str">
            <v>DOLPHIN AQ3 FIM</v>
          </cell>
          <cell r="E14728" t="str">
            <v>DOLPHIN AQ3 FIM</v>
          </cell>
        </row>
        <row r="14729">
          <cell r="B14729">
            <v>124033</v>
          </cell>
          <cell r="C14729" t="str">
            <v>SANTANDER CACEIS BRASIL DTVM S.A.</v>
          </cell>
          <cell r="D14729" t="str">
            <v>SANTANDER CACEIS BRASIL DTVM S.A.</v>
          </cell>
          <cell r="E14729" t="str">
            <v>SANTANDER BRASIL GESTAO DE RECURSOS LTDA</v>
          </cell>
        </row>
        <row r="14730">
          <cell r="B14730">
            <v>124034</v>
          </cell>
          <cell r="C14730" t="str">
            <v>BRADESCO FI RF CONEGLIANO</v>
          </cell>
          <cell r="D14730" t="str">
            <v>BRADESCO FI RF CONEGLIANO</v>
          </cell>
          <cell r="E14730" t="str">
            <v>BRADESCO FI RF CONEGLIANO</v>
          </cell>
        </row>
        <row r="14731">
          <cell r="B14731">
            <v>124035</v>
          </cell>
          <cell r="C14731" t="str">
            <v>BRADESCO FIM ABSOLUTO</v>
          </cell>
          <cell r="D14731" t="str">
            <v>BRADESCO FIM ABSOLUTO</v>
          </cell>
          <cell r="E14731" t="str">
            <v>BRAM - BRADESCO ASSET MANAGEMENT S/A DTVM</v>
          </cell>
        </row>
        <row r="14732">
          <cell r="B14732">
            <v>124036</v>
          </cell>
          <cell r="C14732" t="str">
            <v>FIM MASTER EQUITY IE</v>
          </cell>
          <cell r="D14732" t="str">
            <v>FIM MASTER EQUITY IE</v>
          </cell>
          <cell r="E14732" t="str">
            <v>BRAM - BRADESCO ASSET MANAGEMENT S/A DTVM</v>
          </cell>
        </row>
        <row r="14733">
          <cell r="B14733">
            <v>124037</v>
          </cell>
          <cell r="C14733" t="str">
            <v>BRAM MACRO MULTIESTRATEGIA FIM</v>
          </cell>
          <cell r="D14733" t="str">
            <v>BRAM MACRO MULTIESTRATEGIA FIM</v>
          </cell>
          <cell r="E14733" t="str">
            <v>BRAM MACRO MULTIESTRATEGIA FIM</v>
          </cell>
        </row>
        <row r="14734">
          <cell r="B14734">
            <v>124038</v>
          </cell>
          <cell r="C14734" t="str">
            <v>BRADESCO FIM TACTICAL</v>
          </cell>
          <cell r="D14734" t="str">
            <v>BRADESCO FIM TACTICAL</v>
          </cell>
          <cell r="E14734" t="str">
            <v>BRADESCO FIM TACTICAL</v>
          </cell>
        </row>
        <row r="14735">
          <cell r="B14735">
            <v>124039</v>
          </cell>
          <cell r="C14735" t="str">
            <v>BRAM FIM DRACMA</v>
          </cell>
          <cell r="D14735" t="str">
            <v>BRAM FIM DRACMA</v>
          </cell>
          <cell r="E14735" t="str">
            <v>BRAM - BRADESCO ASSET MANAGEMENT S/A DTVM</v>
          </cell>
        </row>
        <row r="14736">
          <cell r="B14736">
            <v>124040</v>
          </cell>
          <cell r="C14736" t="str">
            <v>BRADESCO FIC FIA IE LVM</v>
          </cell>
          <cell r="D14736" t="str">
            <v>BRADESCO FIC FIA IE LVM</v>
          </cell>
          <cell r="E14736" t="str">
            <v>BRAM - BRADESCO ASSET MANAGEMENT S/A DTVM</v>
          </cell>
        </row>
        <row r="14737">
          <cell r="B14737">
            <v>124041</v>
          </cell>
          <cell r="C14737" t="str">
            <v>BRAM FIM AJAX</v>
          </cell>
          <cell r="D14737" t="str">
            <v>BRAM FIM AJAX</v>
          </cell>
          <cell r="E14737" t="str">
            <v>BRAM - BRADESCO ASSET MANAGEMENT S/A DTVM</v>
          </cell>
        </row>
        <row r="14738">
          <cell r="B14738">
            <v>124042</v>
          </cell>
          <cell r="C14738" t="str">
            <v>8 MACRO FIM CP</v>
          </cell>
          <cell r="D14738" t="str">
            <v>8 MACRO FIM CP</v>
          </cell>
          <cell r="E14738" t="str">
            <v>8 MACRO FIM CP</v>
          </cell>
        </row>
        <row r="14739">
          <cell r="B14739">
            <v>124045</v>
          </cell>
          <cell r="C14739" t="str">
            <v>PREVCUMMINS II FIM</v>
          </cell>
          <cell r="D14739" t="str">
            <v>PREVCUMMINS II FIM</v>
          </cell>
          <cell r="E14739" t="str">
            <v>BNP PARIBAS ASSET MANAGEMENT BRASIL LTDA</v>
          </cell>
        </row>
        <row r="14740">
          <cell r="B14740">
            <v>124046</v>
          </cell>
          <cell r="C14740" t="str">
            <v>BNP PARIBAS PARTHENON FIM</v>
          </cell>
          <cell r="D14740" t="str">
            <v>BNP PARIBAS PARTHENON FIM</v>
          </cell>
          <cell r="E14740" t="str">
            <v>BNP PARIBAS ASSET MANAGEMENT BRASIL LTDA</v>
          </cell>
        </row>
        <row r="14741">
          <cell r="B14741">
            <v>12290</v>
          </cell>
          <cell r="C14741" t="str">
            <v>BNP PARIBAS ASSET MANAGEMENT BRASIL LTDA</v>
          </cell>
          <cell r="D14741" t="str">
            <v>BNP PARIBAS ASSET MANAGEMENT BRASIL LTDA</v>
          </cell>
          <cell r="E14741" t="str">
            <v>BNP PARIBAS ASSET MANAGEMENT BRASIL LTDA</v>
          </cell>
        </row>
        <row r="14742">
          <cell r="B14742">
            <v>122668</v>
          </cell>
          <cell r="C14742" t="str">
            <v>BNP PARIBAS YIELD CLASSIQUE FI MULTIMERCADO LONGO PRAZO</v>
          </cell>
          <cell r="D14742" t="str">
            <v>BNP PARIBAS YIELD CLASSIQUE FI MULTIMERCADO LONGO PRAZO</v>
          </cell>
          <cell r="E14742" t="str">
            <v>BNP PARIBAS ASSET MANAGEMENT BRASIL LTDA</v>
          </cell>
        </row>
        <row r="14743">
          <cell r="B14743">
            <v>124047</v>
          </cell>
          <cell r="C14743" t="str">
            <v>BRADESCO FIM GLOBAL IE - GROWTH</v>
          </cell>
          <cell r="D14743" t="str">
            <v>BRADESCO FIM GLOBAL IE - GROWTH</v>
          </cell>
          <cell r="E14743" t="str">
            <v>BRADESCO FIM GLOBAL IE - GROWTH</v>
          </cell>
        </row>
        <row r="14744">
          <cell r="B14744">
            <v>124048</v>
          </cell>
          <cell r="C14744" t="str">
            <v>MONTEFIORE I FIM CP IE</v>
          </cell>
          <cell r="D14744" t="str">
            <v>MONTEFIORE I FIM CP IE</v>
          </cell>
          <cell r="E14744" t="str">
            <v>MONTEFIORE I FIM CP IE</v>
          </cell>
        </row>
        <row r="14745">
          <cell r="B14745">
            <v>124049</v>
          </cell>
          <cell r="C14745" t="str">
            <v>PAINEIRAS HEDGE MASTER II FIM INR</v>
          </cell>
          <cell r="D14745" t="str">
            <v>PAINEIRAS HEDGE MASTER II FIM INR</v>
          </cell>
          <cell r="E14745" t="str">
            <v>PAINEIRAS HEDGE MASTER II FIM INR</v>
          </cell>
        </row>
        <row r="14746">
          <cell r="B14746">
            <v>124050</v>
          </cell>
          <cell r="C14746" t="str">
            <v>CONDE DOS MURÃ‡AS FIM INR</v>
          </cell>
          <cell r="D14746" t="str">
            <v>CONDE DOS MURÃ‡AS FIM INR</v>
          </cell>
          <cell r="E14746" t="str">
            <v>CONDE DOS MURÃ‡AS FIM INR</v>
          </cell>
        </row>
        <row r="14747">
          <cell r="B14747">
            <v>124052</v>
          </cell>
          <cell r="C14747" t="str">
            <v>BB GESTAO DE RECURSOS DTVM LTDA</v>
          </cell>
          <cell r="D14747" t="str">
            <v>BB GESTAO DE RECURSOS DTVM LTDA</v>
          </cell>
          <cell r="E14747" t="str">
            <v>BB GESTAO DE RECURSOS DTVM LTDA</v>
          </cell>
        </row>
        <row r="14748">
          <cell r="B14748">
            <v>124053</v>
          </cell>
          <cell r="C14748" t="str">
            <v>FUNDACAO PETROBRAS DE SEGURIDADE SOCIAL PETROS</v>
          </cell>
          <cell r="D14748" t="str">
            <v>FUNDACAO PETROBRAS DE SEGURIDADE SOCIAL PETROS</v>
          </cell>
          <cell r="E14748" t="str">
            <v>FUNDACAO PETROBRAS DE SEGURIDADE SOCIAL PETROS</v>
          </cell>
        </row>
        <row r="14749">
          <cell r="B14749">
            <v>124058</v>
          </cell>
          <cell r="C14749" t="str">
            <v>FUNDACAO PETROBRAS DE SEGURIDADE SOCIAL PETROS</v>
          </cell>
          <cell r="D14749" t="str">
            <v>FUNDACAO PETROBRAS DE SEGURIDADE SOCIAL PETROS</v>
          </cell>
          <cell r="E14749" t="str">
            <v>FUNDACAO PETROBRAS DE SEGURIDADE SOCIAL PETROS</v>
          </cell>
        </row>
        <row r="14750">
          <cell r="B14750">
            <v>124059</v>
          </cell>
          <cell r="C14750" t="str">
            <v>FUNDACAO PETROBRAS DE SEGURIDADE SOCIAL PETROS</v>
          </cell>
          <cell r="D14750" t="str">
            <v>FUNDACAO PETROBRAS DE SEGURIDADE SOCIAL PETROS</v>
          </cell>
          <cell r="E14750" t="str">
            <v>FUNDACAO PETROBRAS DE SEGURIDADE SOCIAL PETROS</v>
          </cell>
        </row>
        <row r="14751">
          <cell r="B14751">
            <v>12406</v>
          </cell>
          <cell r="C14751" t="str">
            <v>BTG PACTUAL ASSET MANAGEMENT SA DTVM</v>
          </cell>
          <cell r="D14751" t="str">
            <v>BTG PACTUAL ASSET MANAGEMENT SA DTVM</v>
          </cell>
          <cell r="E14751" t="str">
            <v>BTG PACTUAL ASSET MANAGEMENT SA DTVM</v>
          </cell>
        </row>
        <row r="14752">
          <cell r="B14752">
            <v>124061</v>
          </cell>
          <cell r="C14752" t="str">
            <v>FUNDACAO PETROBRAS DE SEGURIDADE SOCIAL PETROS</v>
          </cell>
          <cell r="D14752" t="str">
            <v>FUNDACAO PETROBRAS DE SEGURIDADE SOCIAL PETROS</v>
          </cell>
          <cell r="E14752" t="str">
            <v>FUNDACAO PETROBRAS DE SEGURIDADE SOCIAL PETROS</v>
          </cell>
        </row>
        <row r="14753">
          <cell r="B14753">
            <v>124062</v>
          </cell>
          <cell r="C14753" t="str">
            <v>POLO AÃ‡Ã•ES FIA</v>
          </cell>
          <cell r="D14753" t="str">
            <v>POLO AÃ‡Ã•ES FIA</v>
          </cell>
          <cell r="E14753" t="str">
            <v>POLO CAPITAL GESTÃO DE RECURSOS LTDA</v>
          </cell>
        </row>
        <row r="14754">
          <cell r="B14754">
            <v>124063</v>
          </cell>
          <cell r="C14754" t="str">
            <v>UJAY HEDGE FIM</v>
          </cell>
          <cell r="D14754" t="str">
            <v>UJAY HEDGE FIM</v>
          </cell>
          <cell r="E14754" t="str">
            <v>UJAY CAPITAL INVESTIMENTOS LTDA</v>
          </cell>
        </row>
        <row r="14755">
          <cell r="B14755">
            <v>124064</v>
          </cell>
          <cell r="C14755" t="str">
            <v>UJAY MASTER FIX FIM</v>
          </cell>
          <cell r="D14755" t="str">
            <v>UJAY MASTER FIX FIM</v>
          </cell>
          <cell r="E14755" t="str">
            <v>UJAY CAPITAL INVESTIMENTOS LTDA</v>
          </cell>
        </row>
        <row r="14756">
          <cell r="B14756">
            <v>124065</v>
          </cell>
          <cell r="C14756" t="str">
            <v>CALIL NEME NETO</v>
          </cell>
          <cell r="D14756" t="str">
            <v>CALIL NEME NETO</v>
          </cell>
          <cell r="E14756" t="str">
            <v>CALIL NEME NETO</v>
          </cell>
        </row>
        <row r="14757">
          <cell r="B14757">
            <v>124066</v>
          </cell>
          <cell r="C14757" t="str">
            <v>DAYCOVAL ASTOR FIM CP</v>
          </cell>
          <cell r="D14757" t="str">
            <v>DAYCOVAL ASTOR FIM CP</v>
          </cell>
          <cell r="E14757" t="str">
            <v>DAYCOVAL ASSET MANAGEMENT ADMINISTRACAO DE RECURSOS LTDA</v>
          </cell>
        </row>
        <row r="14758">
          <cell r="B14758">
            <v>124067</v>
          </cell>
          <cell r="C14758" t="str">
            <v>KESSEF FIM CP IE</v>
          </cell>
          <cell r="D14758" t="str">
            <v>KESSEF FIM CP IE</v>
          </cell>
          <cell r="E14758" t="str">
            <v>DAYCOVAL ASSET MANAGEMENT ADMINISTRACAO DE RECURSOS LTDA</v>
          </cell>
        </row>
        <row r="14759">
          <cell r="B14759">
            <v>124068</v>
          </cell>
          <cell r="C14759" t="str">
            <v>CR FIM CP IE</v>
          </cell>
          <cell r="D14759" t="str">
            <v>CR FIM CP IE</v>
          </cell>
          <cell r="E14759" t="str">
            <v>DAYCOVAL ASSET MANAGEMENT ADMINISTRACAO DE RECURSOS LTDA</v>
          </cell>
        </row>
        <row r="14760">
          <cell r="B14760">
            <v>124069</v>
          </cell>
          <cell r="C14760" t="str">
            <v>UJAY LONG BIASED MASTER FIA</v>
          </cell>
          <cell r="D14760" t="str">
            <v>UJAY LONG BIASED MASTER FIA</v>
          </cell>
          <cell r="E14760" t="str">
            <v>UJAY LONG BIASED MASTER FIA</v>
          </cell>
        </row>
        <row r="14761">
          <cell r="B14761">
            <v>12407</v>
          </cell>
          <cell r="C14761" t="str">
            <v>CAIXA DE PREVIDENCIA DOS FUNCS DO BANCO DO BRASIL- PREVI</v>
          </cell>
          <cell r="D14761" t="str">
            <v>CAIXA DE PREVIDENCIA DOS FUNCS DO BANCO DO BRASIL- PREVI</v>
          </cell>
          <cell r="E14761" t="str">
            <v>CAIXA DE PREVIDENCIA DOS FUNCS DO BANCO DO BRASIL- PREVI</v>
          </cell>
        </row>
        <row r="14762">
          <cell r="B14762">
            <v>124070</v>
          </cell>
          <cell r="C14762" t="str">
            <v>CSHG IBOVESPA ATIVO 70-130 FIM</v>
          </cell>
          <cell r="D14762" t="str">
            <v>CSHG IBOVESPA ATIVO 70-130 FIM</v>
          </cell>
          <cell r="E14762" t="str">
            <v>CSHG IBOVESPA ATIVO 70-130 FIM</v>
          </cell>
        </row>
        <row r="14763">
          <cell r="B14763">
            <v>124071</v>
          </cell>
          <cell r="C14763" t="str">
            <v>ORQUIDEA FIM CP IE</v>
          </cell>
          <cell r="D14763" t="str">
            <v>ORQUIDEA FIM CP IE</v>
          </cell>
          <cell r="E14763" t="str">
            <v>ORQUIDEA FIM CP IE</v>
          </cell>
        </row>
        <row r="14764">
          <cell r="B14764">
            <v>124072</v>
          </cell>
          <cell r="C14764" t="str">
            <v>BAHIA AM MUTA MASTER FUNDO DE INVESTIMENTO MULTIMERCADO</v>
          </cell>
          <cell r="D14764" t="str">
            <v>BAHIA AM MUTA MASTER FUNDO DE INVESTIMENTO MULTIMERCADO</v>
          </cell>
          <cell r="E14764" t="str">
            <v>BAHIA AM LTDA</v>
          </cell>
        </row>
        <row r="14765">
          <cell r="B14765">
            <v>124073</v>
          </cell>
          <cell r="C14765" t="str">
            <v>ADAM MACRO STRATEGY MASTER FIM</v>
          </cell>
          <cell r="D14765" t="str">
            <v>ADAM MACRO STRATEGY MASTER FIM</v>
          </cell>
          <cell r="E14765" t="str">
            <v>ADAM MACRO STRATEGY MASTER FIM</v>
          </cell>
        </row>
        <row r="14766">
          <cell r="B14766">
            <v>124074</v>
          </cell>
          <cell r="C14766" t="str">
            <v>BRADESCO FIM LONG AND SHORT</v>
          </cell>
          <cell r="D14766" t="str">
            <v>BRADESCO FIM LONG AND SHORT</v>
          </cell>
          <cell r="E14766" t="str">
            <v>BRAM - BRADESCO ASSET MANAGEMENT S/A DTVM</v>
          </cell>
        </row>
        <row r="14767">
          <cell r="B14767">
            <v>124075</v>
          </cell>
          <cell r="C14767" t="str">
            <v>BRADESCO FIM LONG SHORT</v>
          </cell>
          <cell r="D14767" t="str">
            <v>BRADESCO FIM LONG SHORT</v>
          </cell>
          <cell r="E14767" t="str">
            <v>BRADESCO FIM LONG SHORT</v>
          </cell>
        </row>
        <row r="14768">
          <cell r="B14768">
            <v>124076</v>
          </cell>
          <cell r="C14768" t="str">
            <v>BRADESCO FIA BRADESCO</v>
          </cell>
          <cell r="D14768" t="str">
            <v>BRADESCO FIA BRADESCO</v>
          </cell>
          <cell r="E14768" t="str">
            <v>BRAM - BRADESCO ASSET MANAGEMENT S/A DTVM</v>
          </cell>
        </row>
        <row r="14769">
          <cell r="B14769">
            <v>124077</v>
          </cell>
          <cell r="C14769" t="str">
            <v>GAUSS FIFE FUNDO DE INVESTIMENTO MULTIMERCADO</v>
          </cell>
          <cell r="D14769" t="str">
            <v>GAUSS FIFE FUNDO DE INVESTIMENTO MULTIMERCADO</v>
          </cell>
          <cell r="E14769" t="str">
            <v>ASA ASSET GESTAO EM INVESTIMENTOS LTDA</v>
          </cell>
        </row>
        <row r="14770">
          <cell r="B14770">
            <v>124078</v>
          </cell>
          <cell r="C14770" t="str">
            <v>LD FIM CP IE</v>
          </cell>
          <cell r="D14770" t="str">
            <v>LD FIM CP IE</v>
          </cell>
          <cell r="E14770" t="str">
            <v>DAYCOVAL ASSET MANAGEMENT ADMINISTRACAO DE RECURSOS LTDA</v>
          </cell>
        </row>
        <row r="14771">
          <cell r="B14771">
            <v>124079</v>
          </cell>
          <cell r="C14771" t="str">
            <v>D&amp;D FIM CP IE</v>
          </cell>
          <cell r="D14771" t="str">
            <v>D&amp;D FIM CP IE</v>
          </cell>
          <cell r="E14771" t="str">
            <v>DAYCOVAL ASSET MANAGEMENT ADMINISTRACAO DE RECURSOS LTDA</v>
          </cell>
        </row>
        <row r="14772">
          <cell r="B14772">
            <v>12408</v>
          </cell>
          <cell r="C14772" t="str">
            <v>FIPECQ-FUNDACAO DE PREVIDENCIA COMPLEMENTAR DOS EMPREGADOS O</v>
          </cell>
          <cell r="D14772" t="str">
            <v>FIPECQ-FUNDACAO DE PREVIDENCIA COMPLEMENTAR DOS EMPREGADOS O</v>
          </cell>
          <cell r="E14772" t="str">
            <v>FIPECQ-FUNDACAO DE PREVIDENCIA COMPLEMENTAR DOS EMPREGADOS O</v>
          </cell>
        </row>
        <row r="14773">
          <cell r="B14773">
            <v>124080</v>
          </cell>
          <cell r="C14773" t="str">
            <v>PREGUINHO FIM CP IE</v>
          </cell>
          <cell r="D14773" t="str">
            <v>PREGUINHO FIM CP IE</v>
          </cell>
          <cell r="E14773" t="str">
            <v>DAYCOVAL ASSET MANAGEMENT ADMINISTRACAO DE RECURSOS LTDA</v>
          </cell>
        </row>
        <row r="14774">
          <cell r="B14774">
            <v>124082</v>
          </cell>
          <cell r="C14774" t="str">
            <v>BRADESCO FIF CLASSE DE INVESTIMENTO EM ACOES PETROBRAS RL</v>
          </cell>
          <cell r="D14774" t="str">
            <v>BRADESCO FIF CLASSE DE INVESTIMENTO EM ACOES PETROBRAS RL</v>
          </cell>
          <cell r="E14774" t="str">
            <v>BRAM - BRADESCO ASSET MANAGEMENT S/A DTVM</v>
          </cell>
        </row>
        <row r="14775">
          <cell r="B14775">
            <v>124083</v>
          </cell>
          <cell r="C14775" t="str">
            <v>BRADESCO H FIA SRI</v>
          </cell>
          <cell r="D14775" t="str">
            <v>BRADESCO H FIA SRI</v>
          </cell>
          <cell r="E14775" t="str">
            <v>BRAM - BRADESCO ASSET MANAGEMENT S/A DTVM</v>
          </cell>
        </row>
        <row r="14776">
          <cell r="B14776">
            <v>124085</v>
          </cell>
          <cell r="C14776" t="str">
            <v>BRADESCO H FI EM PIBB-AÃ‡OES IBRX -50</v>
          </cell>
          <cell r="D14776" t="str">
            <v>BRADESCO H FI EM PIBB-AÃ‡OES IBRX -50</v>
          </cell>
          <cell r="E14776" t="str">
            <v>BRAM - BRADESCO ASSET MANAGEMENT S/A DTVM</v>
          </cell>
        </row>
        <row r="14777">
          <cell r="B14777">
            <v>124086</v>
          </cell>
          <cell r="C14777" t="str">
            <v>BRADESCO H FIA GLOBAL EMERGING MARKETS EQUITY IE</v>
          </cell>
          <cell r="D14777" t="str">
            <v>BRADESCO H FIA GLOBAL EMERGING MARKETS EQUITY IE</v>
          </cell>
          <cell r="E14777" t="str">
            <v>BRAM - BRADESCO ASSET MANAGEMENT S/A DTVM</v>
          </cell>
        </row>
        <row r="14778">
          <cell r="B14778">
            <v>124087</v>
          </cell>
          <cell r="C14778" t="str">
            <v>BRADESCO FIA CONSUMO</v>
          </cell>
          <cell r="D14778" t="str">
            <v>BRADESCO FIA CONSUMO</v>
          </cell>
          <cell r="E14778" t="str">
            <v>BRAM - BRADESCO ASSET MANAGEMENT S/A DTVM</v>
          </cell>
        </row>
        <row r="14779">
          <cell r="B14779">
            <v>124088</v>
          </cell>
          <cell r="C14779" t="str">
            <v>BRADESCO FIA MASTER SMALL CAP</v>
          </cell>
          <cell r="D14779" t="str">
            <v>BRADESCO FIA MASTER SMALL CAP</v>
          </cell>
          <cell r="E14779" t="str">
            <v>BRAM - BRADESCO ASSET MANAGEMENT S/A DTVM</v>
          </cell>
        </row>
        <row r="14780">
          <cell r="B14780">
            <v>124089</v>
          </cell>
          <cell r="C14780" t="str">
            <v>BRADESCO H FIM VGBL MODERADO II</v>
          </cell>
          <cell r="D14780" t="str">
            <v>BRADESCO H FIM VGBL MODERADO II</v>
          </cell>
          <cell r="E14780" t="str">
            <v>BRAM - BRADESCO ASSET MANAGEMENT S/A DTVM</v>
          </cell>
        </row>
        <row r="14781">
          <cell r="B14781">
            <v>12409</v>
          </cell>
          <cell r="C14781" t="str">
            <v>ARIA CAPITAL ASSET ADM DE RECURSOS LTDA</v>
          </cell>
          <cell r="D14781" t="str">
            <v>ARIA CAPITAL ASSET ADM DE RECURSOS LTDA</v>
          </cell>
          <cell r="E14781" t="str">
            <v>ARIA CAPITAL ASSET ADM DE RECURSOS LTDA</v>
          </cell>
        </row>
        <row r="14782">
          <cell r="B14782">
            <v>124090</v>
          </cell>
          <cell r="C14782" t="str">
            <v>BRADESCO H FIM PGBL MODERADO II</v>
          </cell>
          <cell r="D14782" t="str">
            <v>BRADESCO H FIM PGBL MODERADO II</v>
          </cell>
          <cell r="E14782" t="str">
            <v>BRAM - BRADESCO ASSET MANAGEMENT S/A DTVM</v>
          </cell>
        </row>
        <row r="14783">
          <cell r="B14783">
            <v>124091</v>
          </cell>
          <cell r="C14783" t="str">
            <v>BRAM H INSTITUCIONAL FI FINANCEIRO CIA RL</v>
          </cell>
          <cell r="D14783" t="str">
            <v>BRAM H INSTITUCIONAL FI FINANCEIRO CIA RL</v>
          </cell>
          <cell r="E14783" t="str">
            <v>BRAM - BRADESCO ASSET MANAGEMENT S/A DTVM</v>
          </cell>
        </row>
        <row r="14784">
          <cell r="B14784">
            <v>124092</v>
          </cell>
          <cell r="C14784" t="str">
            <v>BRADESCO H FIM PGBL/VGBL VALOR</v>
          </cell>
          <cell r="D14784" t="str">
            <v>BRADESCO H FIM PGBL/VGBL VALOR</v>
          </cell>
          <cell r="E14784" t="str">
            <v>BRAM - BRADESCO ASSET MANAGEMENT S/A DTVM</v>
          </cell>
        </row>
        <row r="14785">
          <cell r="B14785">
            <v>124093</v>
          </cell>
          <cell r="C14785" t="str">
            <v>BRADESCO H FIM PGBL/ VGBL EMPRESARIAL MODERADO</v>
          </cell>
          <cell r="D14785" t="str">
            <v>BRADESCO H FIM PGBL/ VGBL EMPRESARIAL MODERADO</v>
          </cell>
          <cell r="E14785" t="str">
            <v>BRAM - BRADESCO ASSET MANAGEMENT S/A DTVM</v>
          </cell>
        </row>
        <row r="14786">
          <cell r="B14786">
            <v>124094</v>
          </cell>
          <cell r="C14786" t="str">
            <v>BRADESCO H FIM PGBL/VGBL FUTURE COMPOSTO I</v>
          </cell>
          <cell r="D14786" t="str">
            <v>BRADESCO H FIM PGBL/VGBL FUTURE COMPOSTO I</v>
          </cell>
          <cell r="E14786" t="str">
            <v>BRAM - BRADESCO ASSET MANAGEMENT S/A DTVM</v>
          </cell>
        </row>
        <row r="14787">
          <cell r="B14787">
            <v>124095</v>
          </cell>
          <cell r="C14787" t="str">
            <v>BRADESCO FIA SALUBRE</v>
          </cell>
          <cell r="D14787" t="str">
            <v>BRADESCO FIA SALUBRE</v>
          </cell>
          <cell r="E14787" t="str">
            <v>BRAM - BRADESCO ASSET MANAGEMENT S/A DTVM</v>
          </cell>
        </row>
        <row r="14788">
          <cell r="B14788">
            <v>124096</v>
          </cell>
          <cell r="C14788" t="str">
            <v>BRADESCO H FIM PGBL MODERADO</v>
          </cell>
          <cell r="D14788" t="str">
            <v>BRADESCO H FIM PGBL MODERADO</v>
          </cell>
          <cell r="E14788" t="str">
            <v>BRAM - BRADESCO ASSET MANAGEMENT S/A DTVM</v>
          </cell>
        </row>
        <row r="14789">
          <cell r="B14789">
            <v>124097</v>
          </cell>
          <cell r="C14789" t="str">
            <v>BRADESCO FIA DIVIDENDOS</v>
          </cell>
          <cell r="D14789" t="str">
            <v>BRADESCO FIA DIVIDENDOS</v>
          </cell>
          <cell r="E14789" t="str">
            <v>BRAM - BRADESCO ASSET MANAGEMENT S/A DTVM</v>
          </cell>
        </row>
        <row r="14790">
          <cell r="B14790">
            <v>124098</v>
          </cell>
          <cell r="C14790" t="str">
            <v>BRAM H FIA DIVIDENDOS</v>
          </cell>
          <cell r="D14790" t="str">
            <v>BRAM H FIA DIVIDENDOS</v>
          </cell>
          <cell r="E14790" t="str">
            <v>BRAM - BRADESCO ASSET MANAGEMENT S/A DTVM</v>
          </cell>
        </row>
        <row r="14791">
          <cell r="B14791">
            <v>124099</v>
          </cell>
          <cell r="C14791" t="str">
            <v>BRAM H FIM OPORTUNIDADE II</v>
          </cell>
          <cell r="D14791" t="str">
            <v>BRAM H FIM OPORTUNIDADE II</v>
          </cell>
          <cell r="E14791" t="str">
            <v>BRAM - BRADESCO ASSET MANAGEMENT S/A DTVM</v>
          </cell>
        </row>
        <row r="14792">
          <cell r="B14792">
            <v>12410</v>
          </cell>
          <cell r="C14792" t="str">
            <v>CENTRUS -FUNDAÃ‡ÃƒO BANCO CENTRAL DE PREVIDENCIA PRIVADA</v>
          </cell>
          <cell r="D14792" t="str">
            <v>CENTRUS -FUNDAÃ‡ÃƒO BANCO CENTRAL DE PREVIDENCIA PRIVADA</v>
          </cell>
          <cell r="E14792" t="str">
            <v>CENTRUS -FUNDAÇÃO BANCO CENTRAL DE PREVIDENCIA PRIVADA</v>
          </cell>
        </row>
        <row r="14793">
          <cell r="B14793">
            <v>124100</v>
          </cell>
          <cell r="C14793" t="str">
            <v>BRAM H FIA PASSIVO IBRX</v>
          </cell>
          <cell r="D14793" t="str">
            <v>BRAM H FIA PASSIVO IBRX</v>
          </cell>
          <cell r="E14793" t="str">
            <v>BRAM - BRADESCO ASSET MANAGEMENT S/A DTVM</v>
          </cell>
        </row>
        <row r="14794">
          <cell r="B14794">
            <v>124101</v>
          </cell>
          <cell r="C14794" t="str">
            <v>BRADESCO H FIA SMALL CAPS</v>
          </cell>
          <cell r="D14794" t="str">
            <v>BRADESCO H FIA SMALL CAPS</v>
          </cell>
          <cell r="E14794" t="str">
            <v>BRAM - BRADESCO ASSET MANAGEMENT S/A DTVM</v>
          </cell>
        </row>
        <row r="14795">
          <cell r="B14795">
            <v>124102</v>
          </cell>
          <cell r="C14795" t="str">
            <v>BRAM FIA SMALL CAPS</v>
          </cell>
          <cell r="D14795" t="str">
            <v>BRAM FIA SMALL CAPS</v>
          </cell>
          <cell r="E14795" t="str">
            <v>BRAM - BRADESCO ASSET MANAGEMENT S/A DTVM</v>
          </cell>
        </row>
        <row r="14796">
          <cell r="B14796">
            <v>124103</v>
          </cell>
          <cell r="C14796" t="str">
            <v>BRADESCO H FIM PGBL/VGBL FUTURE COMPOSTO III</v>
          </cell>
          <cell r="D14796" t="str">
            <v>BRADESCO H FIM PGBL/VGBL FUTURE COMPOSTO III</v>
          </cell>
          <cell r="E14796" t="str">
            <v>BRAM - BRADESCO ASSET MANAGEMENT S/A DTVM</v>
          </cell>
        </row>
        <row r="14797">
          <cell r="B14797">
            <v>124104</v>
          </cell>
          <cell r="C14797" t="str">
            <v>BRADESCO H FIM VGBL AGRESSIVO</v>
          </cell>
          <cell r="D14797" t="str">
            <v>BRADESCO H FIM VGBL AGRESSIVO</v>
          </cell>
          <cell r="E14797" t="str">
            <v>BRAM - BRADESCO ASSET MANAGEMENT S/A DTVM</v>
          </cell>
        </row>
        <row r="14798">
          <cell r="B14798">
            <v>124105</v>
          </cell>
          <cell r="C14798" t="str">
            <v>BRADESCO H FIM PGBL/VGBL POTENCIAL</v>
          </cell>
          <cell r="D14798" t="str">
            <v>BRADESCO H FIM PGBL/VGBL POTENCIAL</v>
          </cell>
          <cell r="E14798" t="str">
            <v>BRAM - BRADESCO ASSET MANAGEMENT S/A DTVM</v>
          </cell>
        </row>
        <row r="14799">
          <cell r="B14799">
            <v>124106</v>
          </cell>
          <cell r="C14799" t="str">
            <v>BRADESCO H FIM PGBL AGRESSIVO</v>
          </cell>
          <cell r="D14799" t="str">
            <v>BRADESCO H FIM PGBL AGRESSIVO</v>
          </cell>
          <cell r="E14799" t="str">
            <v>BRAM - BRADESCO ASSET MANAGEMENT S/A DTVM</v>
          </cell>
        </row>
        <row r="14800">
          <cell r="B14800">
            <v>124107</v>
          </cell>
          <cell r="C14800" t="str">
            <v>BRADESCO H FMP FGTS VALE DO RIO DOCE</v>
          </cell>
          <cell r="D14800" t="str">
            <v>BRADESCO H FMP FGTS VALE DO RIO DOCE</v>
          </cell>
          <cell r="E14800" t="str">
            <v>BRAM - BRADESCO ASSET MANAGEMENT S/A DTVM</v>
          </cell>
        </row>
        <row r="14801">
          <cell r="B14801">
            <v>124108</v>
          </cell>
          <cell r="C14801" t="str">
            <v>BRADESCO H FIM PGBL/VGBL FUTURE COMPOSTO II</v>
          </cell>
          <cell r="D14801" t="str">
            <v>BRADESCO H FIM PGBL/VGBL FUTURE COMPOSTO II</v>
          </cell>
          <cell r="E14801" t="str">
            <v>BRAM - BRADESCO ASSET MANAGEMENT S/A DTVM</v>
          </cell>
        </row>
        <row r="14802">
          <cell r="B14802">
            <v>124109</v>
          </cell>
          <cell r="C14802" t="str">
            <v>BRADESCO H FIM VGBL MODERADO</v>
          </cell>
          <cell r="D14802" t="str">
            <v>BRADESCO H FIM VGBL MODERADO</v>
          </cell>
          <cell r="E14802" t="str">
            <v>BRAM - BRADESCO ASSET MANAGEMENT S/A DTVM</v>
          </cell>
        </row>
        <row r="14803">
          <cell r="B14803">
            <v>12411</v>
          </cell>
          <cell r="C14803" t="str">
            <v>FINGER LAKER GESTORA DE RECURSOS LTDA</v>
          </cell>
          <cell r="D14803" t="str">
            <v>FINGER LAKER GESTORA DE RECURSOS LTDA</v>
          </cell>
          <cell r="E14803" t="str">
            <v>FINGER LAKER GESTORA DE RECURSOS LTDA</v>
          </cell>
        </row>
        <row r="14804">
          <cell r="B14804">
            <v>124110</v>
          </cell>
          <cell r="C14804" t="str">
            <v>BRAM FIM MACRO INSTITUCIONAL</v>
          </cell>
          <cell r="D14804" t="str">
            <v>BRAM FIM MACRO INSTITUCIONAL</v>
          </cell>
          <cell r="E14804" t="str">
            <v>BRAM - BRADESCO ASSET MANAGEMENT S/A DTVM</v>
          </cell>
        </row>
        <row r="14805">
          <cell r="B14805">
            <v>124111</v>
          </cell>
          <cell r="C14805" t="str">
            <v>VINCI ATLAS MASTER FIM</v>
          </cell>
          <cell r="D14805" t="str">
            <v>VINCI ATLAS MASTER FIM</v>
          </cell>
          <cell r="E14805" t="str">
            <v>VINCI GESTORA DE RECURSOS LTDA</v>
          </cell>
        </row>
        <row r="14806">
          <cell r="B14806">
            <v>124112</v>
          </cell>
          <cell r="C14806" t="str">
            <v>BRADESCO FIM PRINCIPAL PROTEGIDO</v>
          </cell>
          <cell r="D14806" t="str">
            <v>BRADESCO FIM PRINCIPAL PROTEGIDO</v>
          </cell>
          <cell r="E14806" t="str">
            <v>BRAM - BRADESCO ASSET MANAGEMENT S/A DTVM</v>
          </cell>
        </row>
        <row r="14807">
          <cell r="B14807">
            <v>124113</v>
          </cell>
          <cell r="C14807" t="str">
            <v>BRADESCO FMP - FGTS PETROBRAS</v>
          </cell>
          <cell r="D14807" t="str">
            <v>BRADESCO FMP - FGTS PETROBRAS</v>
          </cell>
          <cell r="E14807" t="str">
            <v>BRAM - BRADESCO ASSET MANAGEMENT S/A DTVM</v>
          </cell>
        </row>
        <row r="14808">
          <cell r="B14808">
            <v>124114</v>
          </cell>
          <cell r="C14808" t="str">
            <v>BRADESCO FI RF LP YELD</v>
          </cell>
          <cell r="D14808" t="str">
            <v>BRADESCO FI RF LP YELD</v>
          </cell>
          <cell r="E14808" t="str">
            <v>BRADESCO FI RF LP YELD</v>
          </cell>
        </row>
        <row r="14809">
          <cell r="B14809">
            <v>124115</v>
          </cell>
          <cell r="C14809" t="str">
            <v>BRADESCO FIA IBOVESPA PLUS</v>
          </cell>
          <cell r="D14809" t="str">
            <v>BRADESCO FIA IBOVESPA PLUS</v>
          </cell>
          <cell r="E14809" t="str">
            <v>BRAM - BRADESCO ASSET MANAGEMENT S/A DTVM</v>
          </cell>
        </row>
        <row r="14810">
          <cell r="B14810">
            <v>124116</v>
          </cell>
          <cell r="C14810" t="str">
            <v>BRADESCO FI RF BOND</v>
          </cell>
          <cell r="D14810" t="str">
            <v>BRADESCO FI RF BOND</v>
          </cell>
          <cell r="E14810" t="str">
            <v>BRAM - BRADESCO ASSET MANAGEMENT S/A DTVM</v>
          </cell>
        </row>
        <row r="14811">
          <cell r="B14811">
            <v>124117</v>
          </cell>
          <cell r="C14811" t="str">
            <v>BRADESCO FI RF LP ALFA</v>
          </cell>
          <cell r="D14811" t="str">
            <v>BRADESCO FI RF LP ALFA</v>
          </cell>
          <cell r="E14811" t="str">
            <v>BRADESCO FI RF LP ALFA</v>
          </cell>
        </row>
        <row r="14812">
          <cell r="B14812">
            <v>124118</v>
          </cell>
          <cell r="C14812" t="str">
            <v>BRADESCO FI RF RIVIERA</v>
          </cell>
          <cell r="D14812" t="str">
            <v>BRADESCO FI RF RIVIERA</v>
          </cell>
          <cell r="E14812" t="str">
            <v>BRADESCO FI RF RIVIERA</v>
          </cell>
        </row>
        <row r="14813">
          <cell r="B14813">
            <v>124119</v>
          </cell>
          <cell r="C14813" t="str">
            <v>BRADESCO H FIA DIVIDENDOS</v>
          </cell>
          <cell r="D14813" t="str">
            <v>BRADESCO H FIA DIVIDENDOS</v>
          </cell>
          <cell r="E14813" t="str">
            <v>BRAM - BRADESCO ASSET MANAGEMENT S/A DTVM</v>
          </cell>
        </row>
        <row r="14814">
          <cell r="B14814">
            <v>124120</v>
          </cell>
          <cell r="C14814" t="str">
            <v>BRADESCO FIA PONTUAL</v>
          </cell>
          <cell r="D14814" t="str">
            <v>BRADESCO FIA PONTUAL</v>
          </cell>
          <cell r="E14814" t="str">
            <v>BRAM - BRADESCO ASSET MANAGEMENT S/A DTVM</v>
          </cell>
        </row>
        <row r="14815">
          <cell r="B14815">
            <v>124121</v>
          </cell>
          <cell r="C14815" t="str">
            <v>BRADESCO FIA INSTITUCIONAL IBRX ATIVO</v>
          </cell>
          <cell r="D14815" t="str">
            <v>BRADESCO FIA INSTITUCIONAL IBRX ATIVO</v>
          </cell>
          <cell r="E14815" t="str">
            <v>BRAM - BRADESCO ASSET MANAGEMENT S/A DTVM</v>
          </cell>
        </row>
        <row r="14816">
          <cell r="B14816">
            <v>124122</v>
          </cell>
          <cell r="C14816" t="str">
            <v>BRADESCO FIA INDICE VALOR</v>
          </cell>
          <cell r="D14816" t="str">
            <v>BRADESCO FIA INDICE VALOR</v>
          </cell>
          <cell r="E14816" t="str">
            <v>BRAM - BRADESCO ASSET MANAGEMENT S/A DTVM</v>
          </cell>
        </row>
        <row r="14817">
          <cell r="B14817">
            <v>124123</v>
          </cell>
          <cell r="C14817" t="str">
            <v>BRADESCO FIM CP IE PARATI</v>
          </cell>
          <cell r="D14817" t="str">
            <v>BRADESCO FIM CP IE PARATI</v>
          </cell>
          <cell r="E14817" t="str">
            <v>BRADESCO FIM CP IE PARATI</v>
          </cell>
        </row>
        <row r="14818">
          <cell r="B14818">
            <v>124124</v>
          </cell>
          <cell r="C14818" t="str">
            <v>BRADESCO FI RF MIDAS</v>
          </cell>
          <cell r="D14818" t="str">
            <v>BRADESCO FI RF MIDAS</v>
          </cell>
          <cell r="E14818" t="str">
            <v>BRAM - BRADESCO ASSET MANAGEMENT S/A DTVM</v>
          </cell>
        </row>
        <row r="14819">
          <cell r="B14819">
            <v>124125</v>
          </cell>
          <cell r="C14819" t="str">
            <v>BRADESCO FIC DE FIM CP IE LONG BIASED GBS</v>
          </cell>
          <cell r="D14819" t="str">
            <v>BRADESCO FIC DE FIM CP IE LONG BIASED GBS</v>
          </cell>
          <cell r="E14819" t="str">
            <v>BRADESCO FIC DE FIM CP IE LONG BIASED GBS</v>
          </cell>
        </row>
        <row r="14820">
          <cell r="B14820">
            <v>124126</v>
          </cell>
          <cell r="C14820" t="str">
            <v>BRADESCO FIA EQUITIES</v>
          </cell>
          <cell r="D14820" t="str">
            <v>BRADESCO FIA EQUITIES</v>
          </cell>
          <cell r="E14820" t="str">
            <v>BRAM - BRADESCO ASSET MANAGEMENT S/A DTVM</v>
          </cell>
        </row>
        <row r="14821">
          <cell r="B14821">
            <v>124127</v>
          </cell>
          <cell r="C14821" t="str">
            <v>BRADESCO FIM PLUS</v>
          </cell>
          <cell r="D14821" t="str">
            <v>BRADESCO FIM PLUS</v>
          </cell>
          <cell r="E14821" t="str">
            <v>BRADESCO FIM PLUS</v>
          </cell>
        </row>
        <row r="14822">
          <cell r="B14822">
            <v>124128</v>
          </cell>
          <cell r="C14822" t="str">
            <v>BRADESCO FI ENERGIA RF</v>
          </cell>
          <cell r="D14822" t="str">
            <v>BRADESCO FI ENERGIA RF</v>
          </cell>
          <cell r="E14822" t="str">
            <v>BRADESCO FI ENERGIA RF</v>
          </cell>
        </row>
        <row r="14823">
          <cell r="B14823">
            <v>124129</v>
          </cell>
          <cell r="C14823" t="str">
            <v>BRADESCO FIA MULTI SETORIAL</v>
          </cell>
          <cell r="D14823" t="str">
            <v>BRADESCO FIA MULTI SETORIAL</v>
          </cell>
          <cell r="E14823" t="str">
            <v>BRAM - BRADESCO ASSET MANAGEMENT S/A DTVM</v>
          </cell>
        </row>
        <row r="14824">
          <cell r="B14824">
            <v>124130</v>
          </cell>
          <cell r="C14824" t="str">
            <v>BRADESCO FIA ENERGIA</v>
          </cell>
          <cell r="D14824" t="str">
            <v>BRADESCO FIA ENERGIA</v>
          </cell>
          <cell r="E14824" t="str">
            <v>BRADESCO FIA ENERGIA</v>
          </cell>
        </row>
        <row r="14825">
          <cell r="B14825">
            <v>124131</v>
          </cell>
          <cell r="C14825" t="str">
            <v>BRAM FI RF TARGET</v>
          </cell>
          <cell r="D14825" t="str">
            <v>BRAM FI RF TARGET</v>
          </cell>
          <cell r="E14825" t="str">
            <v>BRAM FI RF TARGET</v>
          </cell>
        </row>
        <row r="14826">
          <cell r="B14826">
            <v>124132</v>
          </cell>
          <cell r="C14826" t="str">
            <v>BRADESCO FIM TEAM</v>
          </cell>
          <cell r="D14826" t="str">
            <v>BRADESCO FIM TEAM</v>
          </cell>
          <cell r="E14826" t="str">
            <v>BRADESCO FIM TEAM</v>
          </cell>
        </row>
        <row r="14827">
          <cell r="B14827">
            <v>124133</v>
          </cell>
          <cell r="C14827" t="str">
            <v>BRADESCO FI RF SERRANO</v>
          </cell>
          <cell r="D14827" t="str">
            <v>BRADESCO FI RF SERRANO</v>
          </cell>
          <cell r="E14827" t="str">
            <v>BRADESCO FI RF SERRANO</v>
          </cell>
        </row>
        <row r="14828">
          <cell r="B14828">
            <v>124134</v>
          </cell>
          <cell r="C14828" t="str">
            <v>BRADESCO PRIVATE FIA IBOVESPA ALANVACADO</v>
          </cell>
          <cell r="D14828" t="str">
            <v>BRADESCO PRIVATE FIA IBOVESPA ALANVACADO</v>
          </cell>
          <cell r="E14828" t="str">
            <v>BRAM - BRADESCO ASSET MANAGEMENT S/A DTVM</v>
          </cell>
        </row>
        <row r="14829">
          <cell r="B14829">
            <v>124135</v>
          </cell>
          <cell r="C14829" t="str">
            <v>BRADESCO FIA SELECTION</v>
          </cell>
          <cell r="D14829" t="str">
            <v>BRADESCO FIA SELECTION</v>
          </cell>
          <cell r="E14829" t="str">
            <v>BRAM - BRADESCO ASSET MANAGEMENT S/A DTVM</v>
          </cell>
        </row>
        <row r="14830">
          <cell r="B14830">
            <v>124136</v>
          </cell>
          <cell r="C14830" t="str">
            <v>BRADESCO H FMP - FGTS PETROBRAS</v>
          </cell>
          <cell r="D14830" t="str">
            <v>BRADESCO H FMP - FGTS PETROBRAS</v>
          </cell>
          <cell r="E14830" t="str">
            <v>BRADESCO H FMP - FGTS PETROBRAS</v>
          </cell>
        </row>
        <row r="14831">
          <cell r="B14831">
            <v>124137</v>
          </cell>
          <cell r="C14831" t="str">
            <v>BRADESCO FIM DYNAMIC</v>
          </cell>
          <cell r="D14831" t="str">
            <v>BRADESCO FIM DYNAMIC</v>
          </cell>
          <cell r="E14831" t="str">
            <v>BRADESCO FIM DYNAMIC</v>
          </cell>
        </row>
        <row r="14832">
          <cell r="B14832">
            <v>124139</v>
          </cell>
          <cell r="C14832" t="str">
            <v>BELVEDERE FIM CP IE</v>
          </cell>
          <cell r="D14832" t="str">
            <v>BELVEDERE FIM CP IE</v>
          </cell>
          <cell r="E14832" t="str">
            <v>BELVEDERE FIM CP IE</v>
          </cell>
        </row>
        <row r="14833">
          <cell r="B14833">
            <v>12414</v>
          </cell>
          <cell r="C14833" t="str">
            <v>GARIN INVESTIMENTOS LTDA</v>
          </cell>
          <cell r="D14833" t="str">
            <v>GARIN INVESTIMENTOS LTDA</v>
          </cell>
          <cell r="E14833" t="str">
            <v>GARIN INVESTIMENTOS LTDA</v>
          </cell>
        </row>
        <row r="14834">
          <cell r="B14834">
            <v>124140</v>
          </cell>
          <cell r="C14834" t="str">
            <v>BRADESCO FIA SUPER AÃ‡ÃƒO</v>
          </cell>
          <cell r="D14834" t="str">
            <v>BRADESCO FIA SUPER AÃ‡ÃƒO</v>
          </cell>
          <cell r="E14834" t="str">
            <v>BRAM - BRADESCO ASSET MANAGEMENT S/A DTVM</v>
          </cell>
        </row>
        <row r="14835">
          <cell r="B14835">
            <v>124141</v>
          </cell>
          <cell r="C14835" t="str">
            <v>BRAM FIA IBOVESPA ALAVANCADO</v>
          </cell>
          <cell r="D14835" t="str">
            <v>BRAM FIA IBOVESPA ALAVANCADO</v>
          </cell>
          <cell r="E14835" t="str">
            <v>BRAM - BRADESCO ASSET MANAGEMENT S/A DTVM</v>
          </cell>
        </row>
        <row r="14836">
          <cell r="B14836">
            <v>124142</v>
          </cell>
          <cell r="C14836" t="str">
            <v>BRADESCO H FIA IBOVESPA VALUATION</v>
          </cell>
          <cell r="D14836" t="str">
            <v>BRADESCO H FIA IBOVESPA VALUATION</v>
          </cell>
          <cell r="E14836" t="str">
            <v>BRAM - BRADESCO ASSET MANAGEMENT S/A DTVM</v>
          </cell>
        </row>
        <row r="14837">
          <cell r="B14837">
            <v>124143</v>
          </cell>
          <cell r="C14837" t="str">
            <v>TRUXT VALOR MASTER FIF ACOES RESP LTDA</v>
          </cell>
          <cell r="D14837" t="str">
            <v>TRUXT VALOR MASTER FIF ACOES RESP LTDA</v>
          </cell>
          <cell r="E14837" t="str">
            <v>TRUXT INVESTIMENTOS LTDA</v>
          </cell>
        </row>
        <row r="14838">
          <cell r="B14838">
            <v>124144</v>
          </cell>
          <cell r="C14838" t="str">
            <v>TRUXT VALOR MASTER INSTITUCIONAL FIA</v>
          </cell>
          <cell r="D14838" t="str">
            <v>TRUXT VALOR MASTER INSTITUCIONAL FIA</v>
          </cell>
          <cell r="E14838" t="str">
            <v>TRUXT INVESTIMENTOS LTDA</v>
          </cell>
        </row>
        <row r="14839">
          <cell r="B14839">
            <v>124145</v>
          </cell>
          <cell r="C14839" t="str">
            <v>TRUXT MACRO MASTER FIM</v>
          </cell>
          <cell r="D14839" t="str">
            <v>TRUXT MACRO MASTER FIM</v>
          </cell>
          <cell r="E14839" t="str">
            <v>TRUXT INVESTIMENTOS LTDA</v>
          </cell>
        </row>
        <row r="14840">
          <cell r="B14840">
            <v>124146</v>
          </cell>
          <cell r="C14840" t="str">
            <v>TRUXT LONG SHORT MASTER FIM</v>
          </cell>
          <cell r="D14840" t="str">
            <v>TRUXT LONG SHORT MASTER FIM</v>
          </cell>
          <cell r="E14840" t="str">
            <v>TRUXT INVESTIMENTOS LTDA</v>
          </cell>
        </row>
        <row r="14841">
          <cell r="B14841">
            <v>124147</v>
          </cell>
          <cell r="C14841" t="str">
            <v>TRUXT LONG BIAS MASTER FIM</v>
          </cell>
          <cell r="D14841" t="str">
            <v>TRUXT LONG BIAS MASTER FIM</v>
          </cell>
          <cell r="E14841" t="str">
            <v>TRUXT INVESTIMENTOS LTDA</v>
          </cell>
        </row>
        <row r="14842">
          <cell r="B14842">
            <v>124148</v>
          </cell>
          <cell r="C14842" t="str">
            <v>BRADESCO FIM PLUS I</v>
          </cell>
          <cell r="D14842" t="str">
            <v>BRADESCO FIM PLUS I</v>
          </cell>
          <cell r="E14842" t="str">
            <v>BRADESCO FIM PLUS I</v>
          </cell>
        </row>
        <row r="14843">
          <cell r="B14843">
            <v>124149</v>
          </cell>
          <cell r="C14843" t="str">
            <v>BRADESCO FIM FEB BD</v>
          </cell>
          <cell r="D14843" t="str">
            <v>BRADESCO FIM FEB BD</v>
          </cell>
          <cell r="E14843" t="str">
            <v>BRADESCO FIM FEB BD</v>
          </cell>
        </row>
        <row r="14844">
          <cell r="B14844">
            <v>12415</v>
          </cell>
          <cell r="C14844" t="str">
            <v>ESH CAPITAL INVESTIMENTOS LTDA.</v>
          </cell>
          <cell r="D14844" t="str">
            <v>ESH CAPITAL INVESTIMENTOS LTDA.</v>
          </cell>
          <cell r="E14844" t="str">
            <v>ESH CAPITAL INVESTIMENTOS LTDA.</v>
          </cell>
        </row>
        <row r="14845">
          <cell r="B14845">
            <v>124150</v>
          </cell>
          <cell r="C14845" t="str">
            <v>BRADESCO FI RF CAPOF NEBRASKA</v>
          </cell>
          <cell r="D14845" t="str">
            <v>BRADESCO FI RF CAPOF NEBRASKA</v>
          </cell>
          <cell r="E14845" t="str">
            <v>BRADESCO FI RF CAPOF NEBRASKA</v>
          </cell>
        </row>
        <row r="14846">
          <cell r="B14846">
            <v>124151</v>
          </cell>
          <cell r="C14846" t="str">
            <v>BRADESCO FI RF FPP</v>
          </cell>
          <cell r="D14846" t="str">
            <v>BRADESCO FI RF FPP</v>
          </cell>
          <cell r="E14846" t="str">
            <v>BRADESCO FI RF FPP</v>
          </cell>
        </row>
        <row r="14847">
          <cell r="B14847">
            <v>124152</v>
          </cell>
          <cell r="C14847" t="str">
            <v>BRADESCO FIM CP DALIA</v>
          </cell>
          <cell r="D14847" t="str">
            <v>BRADESCO FIM CP DALIA</v>
          </cell>
          <cell r="E14847" t="str">
            <v>BRAM - BRADESCO ASSET MANAGEMENT S/A DTVM</v>
          </cell>
        </row>
        <row r="14848">
          <cell r="B14848">
            <v>124153</v>
          </cell>
          <cell r="C14848" t="str">
            <v>BRADESCO FIA INDICE MOMENTO</v>
          </cell>
          <cell r="D14848" t="str">
            <v>BRADESCO FIA INDICE MOMENTO</v>
          </cell>
          <cell r="E14848" t="str">
            <v>BRAM - BRADESCO ASSET MANAGEMENT S/A DTVM</v>
          </cell>
        </row>
        <row r="14849">
          <cell r="B14849">
            <v>124154</v>
          </cell>
          <cell r="C14849" t="str">
            <v>BRAM FIM CURRENCIES</v>
          </cell>
          <cell r="D14849" t="str">
            <v>BRAM FIM CURRENCIES</v>
          </cell>
          <cell r="E14849" t="str">
            <v>BRAM FIM CURRENCIES</v>
          </cell>
        </row>
        <row r="14850">
          <cell r="B14850">
            <v>124155</v>
          </cell>
          <cell r="C14850" t="str">
            <v>BRADESCO FIM CP FUTURE &amp; FAMILY HERITAGE</v>
          </cell>
          <cell r="D14850" t="str">
            <v>BRADESCO FIM CP FUTURE &amp; FAMILY HERITAGE</v>
          </cell>
          <cell r="E14850" t="str">
            <v>BRADESCO FIM CP FUTURE &amp; FAMILY HERITAGE</v>
          </cell>
        </row>
        <row r="14851">
          <cell r="B14851">
            <v>124156</v>
          </cell>
          <cell r="C14851" t="str">
            <v>BRADESCO FIM CP IE OCEANO</v>
          </cell>
          <cell r="D14851" t="str">
            <v>BRADESCO FIM CP IE OCEANO</v>
          </cell>
          <cell r="E14851" t="str">
            <v>BRADESCO FIM CP IE OCEANO</v>
          </cell>
        </row>
        <row r="14852">
          <cell r="B14852">
            <v>124157</v>
          </cell>
          <cell r="C14852" t="str">
            <v>BRAM FI RF</v>
          </cell>
          <cell r="D14852" t="str">
            <v>BRAM FI RF</v>
          </cell>
          <cell r="E14852" t="str">
            <v>BRAM FI RF</v>
          </cell>
        </row>
        <row r="14853">
          <cell r="B14853">
            <v>124158</v>
          </cell>
          <cell r="C14853" t="str">
            <v>BRADESCO FIA IDEAL</v>
          </cell>
          <cell r="D14853" t="str">
            <v>BRADESCO FIA IDEAL</v>
          </cell>
          <cell r="E14853" t="str">
            <v>BRAM - BRADESCO ASSET MANAGEMENT S/A DTVM</v>
          </cell>
        </row>
        <row r="14854">
          <cell r="B14854">
            <v>124159</v>
          </cell>
          <cell r="C14854" t="str">
            <v>BRADESCO PRIME FIM PRINCIPAL PROTEGIDO</v>
          </cell>
          <cell r="D14854" t="str">
            <v>BRADESCO PRIME FIM PRINCIPAL PROTEGIDO</v>
          </cell>
          <cell r="E14854" t="str">
            <v>BRADESCO PRIME FIM PRINCIPAL PROTEGIDO</v>
          </cell>
        </row>
        <row r="14855">
          <cell r="B14855">
            <v>124160</v>
          </cell>
          <cell r="C14855" t="str">
            <v>BRAM FIM PORTIFOLIO DE MERCADO</v>
          </cell>
          <cell r="D14855" t="str">
            <v>BRAM FIM PORTIFOLIO DE MERCADO</v>
          </cell>
          <cell r="E14855" t="str">
            <v>BRAM FIM PORTIFOLIO DE MERCADO</v>
          </cell>
        </row>
        <row r="14856">
          <cell r="B14856">
            <v>124161</v>
          </cell>
          <cell r="C14856" t="str">
            <v>BRAM FIA BDR NIVEL I SPECIAL EQUITIES</v>
          </cell>
          <cell r="D14856" t="str">
            <v>BRAM FIA BDR NIVEL I SPECIAL EQUITIES</v>
          </cell>
          <cell r="E14856" t="str">
            <v>BRAM - BRADESCO ASSET MANAGEMENT S/A DTVM</v>
          </cell>
        </row>
        <row r="14857">
          <cell r="B14857">
            <v>124162</v>
          </cell>
          <cell r="C14857" t="str">
            <v>BRADESCO FI RF TARGET I</v>
          </cell>
          <cell r="D14857" t="str">
            <v>BRADESCO FI RF TARGET I</v>
          </cell>
          <cell r="E14857" t="str">
            <v>BRADESCO FI RF TARGET I</v>
          </cell>
        </row>
        <row r="14858">
          <cell r="B14858">
            <v>124163</v>
          </cell>
          <cell r="C14858" t="str">
            <v>FIM CP NSP PREV</v>
          </cell>
          <cell r="D14858" t="str">
            <v>FIM CP NSP PREV</v>
          </cell>
          <cell r="E14858" t="str">
            <v>FIM CP NSP PREV</v>
          </cell>
        </row>
        <row r="14859">
          <cell r="B14859">
            <v>124164</v>
          </cell>
          <cell r="C14859" t="str">
            <v>RIO BRAVO PANDAS MASTER FIM</v>
          </cell>
          <cell r="D14859" t="str">
            <v>RIO BRAVO PANDAS MASTER FIM</v>
          </cell>
          <cell r="E14859" t="str">
            <v>FUNDAMENTAL INVESTIMENTOS LTDA</v>
          </cell>
        </row>
        <row r="14860">
          <cell r="B14860">
            <v>124165</v>
          </cell>
          <cell r="C14860" t="str">
            <v>BRADESCO FI RF NEGOCIAL</v>
          </cell>
          <cell r="D14860" t="str">
            <v>BRADESCO FI RF NEGOCIAL</v>
          </cell>
          <cell r="E14860" t="str">
            <v>BRADESCO FI RF NEGOCIAL</v>
          </cell>
        </row>
        <row r="14861">
          <cell r="B14861">
            <v>124166</v>
          </cell>
          <cell r="C14861" t="str">
            <v>BRAM FI RF MULTI-INDICES</v>
          </cell>
          <cell r="D14861" t="str">
            <v>BRAM FI RF MULTI-INDICES</v>
          </cell>
          <cell r="E14861" t="str">
            <v>BRAM FI RF MULTI-INDICES</v>
          </cell>
        </row>
        <row r="14862">
          <cell r="B14862">
            <v>124167</v>
          </cell>
          <cell r="C14862" t="str">
            <v>FIM CP TRADICAO</v>
          </cell>
          <cell r="D14862" t="str">
            <v>FIM CP TRADICAO</v>
          </cell>
          <cell r="E14862" t="str">
            <v>BRAM - BRADESCO ASSET MANAGEMENT S/A DTVM</v>
          </cell>
        </row>
        <row r="14863">
          <cell r="B14863">
            <v>124168</v>
          </cell>
          <cell r="C14863" t="str">
            <v>BRADESCO FIM ALBI</v>
          </cell>
          <cell r="D14863" t="str">
            <v>BRADESCO FIM ALBI</v>
          </cell>
          <cell r="E14863" t="str">
            <v>BRADESCO FIM ALBI</v>
          </cell>
        </row>
        <row r="14864">
          <cell r="B14864">
            <v>124169</v>
          </cell>
          <cell r="C14864" t="str">
            <v>BRADESCO FIM DELTA II</v>
          </cell>
          <cell r="D14864" t="str">
            <v>BRADESCO FIM DELTA II</v>
          </cell>
          <cell r="E14864" t="str">
            <v>BRAM - BRADESCO ASSET MANAGEMENT S/A DTVM</v>
          </cell>
        </row>
        <row r="14865">
          <cell r="B14865">
            <v>12417</v>
          </cell>
          <cell r="C14865" t="str">
            <v>OITI FIM CP IE</v>
          </cell>
          <cell r="D14865" t="str">
            <v>OITI FIM CP IE</v>
          </cell>
          <cell r="E14865" t="str">
            <v>ITAU UNIBANCO S/A</v>
          </cell>
        </row>
        <row r="14866">
          <cell r="B14866">
            <v>124170</v>
          </cell>
          <cell r="C14866" t="str">
            <v>BRADESCO FIA INDICE DE SUSTENTABILIDADE EMPRESARIAL</v>
          </cell>
          <cell r="D14866" t="str">
            <v>BRADESCO FIA INDICE DE SUSTENTABILIDADE EMPRESARIAL</v>
          </cell>
          <cell r="E14866" t="str">
            <v>BRAM - BRADESCO ASSET MANAGEMENT S/A DTVM</v>
          </cell>
        </row>
        <row r="14867">
          <cell r="B14867">
            <v>124171</v>
          </cell>
          <cell r="C14867" t="str">
            <v>BRADESCO FIM CP CENTURION</v>
          </cell>
          <cell r="D14867" t="str">
            <v>BRADESCO FIM CP CENTURION</v>
          </cell>
          <cell r="E14867" t="str">
            <v>BRAM - BRADESCO ASSET MANAGEMENT S/A DTVM</v>
          </cell>
        </row>
        <row r="14868">
          <cell r="B14868">
            <v>124172</v>
          </cell>
          <cell r="C14868" t="str">
            <v>BRADESCO FIM DUBLIN</v>
          </cell>
          <cell r="D14868" t="str">
            <v>BRADESCO FIM DUBLIN</v>
          </cell>
          <cell r="E14868" t="str">
            <v>BRADESCO FIM DUBLIN</v>
          </cell>
        </row>
        <row r="14869">
          <cell r="B14869">
            <v>124173</v>
          </cell>
          <cell r="C14869" t="str">
            <v>BRADESCO PRIVATE FIA</v>
          </cell>
          <cell r="D14869" t="str">
            <v>BRADESCO PRIVATE FIA</v>
          </cell>
          <cell r="E14869" t="str">
            <v>BRAM - BRADESCO ASSET MANAGEMENT S/A DTVM</v>
          </cell>
        </row>
        <row r="14870">
          <cell r="B14870">
            <v>124174</v>
          </cell>
          <cell r="C14870" t="str">
            <v>BRADESCO FIA SMALL CAP SML 7</v>
          </cell>
          <cell r="D14870" t="str">
            <v>BRADESCO FIA SMALL CAP SML 7</v>
          </cell>
          <cell r="E14870" t="str">
            <v>BRAM - BRADESCO ASSET MANAGEMENT S/A DTVM</v>
          </cell>
        </row>
        <row r="14871">
          <cell r="B14871">
            <v>124175</v>
          </cell>
          <cell r="C14871" t="str">
            <v>BRADESCO PRIME FIM PRINCIPAL PROTEGIDO 2</v>
          </cell>
          <cell r="D14871" t="str">
            <v>BRADESCO PRIME FIM PRINCIPAL PROTEGIDO 2</v>
          </cell>
          <cell r="E14871" t="str">
            <v>BRAM - BRADESCO ASSET MANAGEMENT S/A DTVM</v>
          </cell>
        </row>
        <row r="14872">
          <cell r="B14872">
            <v>124176</v>
          </cell>
          <cell r="C14872" t="str">
            <v>BRADESCO FI RF CP UNIPRIME</v>
          </cell>
          <cell r="D14872" t="str">
            <v>BRADESCO FI RF CP UNIPRIME</v>
          </cell>
          <cell r="E14872" t="str">
            <v>BRADESCO FI RF CP UNIPRIME</v>
          </cell>
        </row>
        <row r="14873">
          <cell r="B14873">
            <v>124177</v>
          </cell>
          <cell r="C14873" t="str">
            <v>BRADESCO FIA SELECAO</v>
          </cell>
          <cell r="D14873" t="str">
            <v>BRADESCO FIA SELECAO</v>
          </cell>
          <cell r="E14873" t="str">
            <v>BRAM - BRADESCO ASSET MANAGEMENT S/A DTVM</v>
          </cell>
        </row>
        <row r="14874">
          <cell r="B14874">
            <v>124178</v>
          </cell>
          <cell r="C14874" t="str">
            <v>BRADESCO FIM FMP T-SYSTEM</v>
          </cell>
          <cell r="D14874" t="str">
            <v>BRADESCO FIM FMP T-SYSTEM</v>
          </cell>
          <cell r="E14874" t="str">
            <v>BRAM - BRADESCO ASSET MANAGEMENT S/A DTVM</v>
          </cell>
        </row>
        <row r="14875">
          <cell r="B14875">
            <v>124179</v>
          </cell>
          <cell r="C14875" t="str">
            <v>BRADESCO FIM PRINCIPAL PROTEGIDO 1</v>
          </cell>
          <cell r="D14875" t="str">
            <v>BRADESCO FIM PRINCIPAL PROTEGIDO 1</v>
          </cell>
          <cell r="E14875" t="str">
            <v>BRAM - BRADESCO ASSET MANAGEMENT S/A DTVM</v>
          </cell>
        </row>
        <row r="14876">
          <cell r="B14876">
            <v>12418</v>
          </cell>
          <cell r="C14876" t="str">
            <v>PACIFICO GESTAO DE RECURSOS LTDA</v>
          </cell>
          <cell r="D14876" t="str">
            <v>PACIFICO GESTAO DE RECURSOS LTDA</v>
          </cell>
          <cell r="E14876" t="str">
            <v>PACIFICO GESTAO DE RECURSOS LTDA</v>
          </cell>
        </row>
        <row r="14877">
          <cell r="B14877">
            <v>124180</v>
          </cell>
          <cell r="C14877" t="str">
            <v>BRADESCO FIM AVONPREV</v>
          </cell>
          <cell r="D14877" t="str">
            <v>BRADESCO FIM AVONPREV</v>
          </cell>
          <cell r="E14877" t="str">
            <v>BRADESCO FIM AVONPREV</v>
          </cell>
        </row>
        <row r="14878">
          <cell r="B14878">
            <v>124181</v>
          </cell>
          <cell r="C14878" t="str">
            <v>BRAM FIA IBRX 50</v>
          </cell>
          <cell r="D14878" t="str">
            <v>BRAM FIA IBRX 50</v>
          </cell>
          <cell r="E14878" t="str">
            <v>BRAM - BRADESCO ASSET MANAGEMENT S/A DTVM</v>
          </cell>
        </row>
        <row r="14879">
          <cell r="B14879">
            <v>124182</v>
          </cell>
          <cell r="C14879" t="str">
            <v>BRADESCO FIM S&amp;P 500 MAIS</v>
          </cell>
          <cell r="D14879" t="str">
            <v>BRADESCO FIM S&amp;P 500 MAIS</v>
          </cell>
          <cell r="E14879" t="str">
            <v>BRADESCO FIM S&amp;P 500 MAIS</v>
          </cell>
        </row>
        <row r="14880">
          <cell r="B14880">
            <v>124183</v>
          </cell>
          <cell r="C14880" t="str">
            <v>BRADESCO FIM MASTER PREVIDENCIA</v>
          </cell>
          <cell r="D14880" t="str">
            <v>BRADESCO FIM MASTER PREVIDENCIA</v>
          </cell>
          <cell r="E14880" t="str">
            <v>BRAM - BRADESCO ASSET MANAGEMENT S/A DTVM</v>
          </cell>
        </row>
        <row r="14881">
          <cell r="B14881">
            <v>124184</v>
          </cell>
          <cell r="C14881" t="str">
            <v>BRADESCO FIM CP IE CH</v>
          </cell>
          <cell r="D14881" t="str">
            <v>BRADESCO FIM CP IE CH</v>
          </cell>
          <cell r="E14881" t="str">
            <v>BRADESCO FIM CP IE CH</v>
          </cell>
        </row>
        <row r="14882">
          <cell r="B14882">
            <v>124185</v>
          </cell>
          <cell r="C14882" t="str">
            <v>MBPREV I RF FI</v>
          </cell>
          <cell r="D14882" t="str">
            <v>MBPREV I RF FI</v>
          </cell>
          <cell r="E14882" t="str">
            <v>MBPREV I RF FI</v>
          </cell>
        </row>
        <row r="14883">
          <cell r="B14883">
            <v>124186</v>
          </cell>
          <cell r="C14883" t="str">
            <v>BRADESCO FIM FIOPREV</v>
          </cell>
          <cell r="D14883" t="str">
            <v>BRADESCO FIM FIOPREV</v>
          </cell>
          <cell r="E14883" t="str">
            <v>BRADESCO FIM FIOPREV</v>
          </cell>
        </row>
        <row r="14884">
          <cell r="B14884">
            <v>124187</v>
          </cell>
          <cell r="C14884" t="str">
            <v>BRADESCO FIA FPP RENDA VARIAVEL</v>
          </cell>
          <cell r="D14884" t="str">
            <v>BRADESCO FIA FPP RENDA VARIAVEL</v>
          </cell>
          <cell r="E14884" t="str">
            <v>BRAM - BRADESCO ASSET MANAGEMENT S/A DTVM</v>
          </cell>
        </row>
        <row r="14885">
          <cell r="B14885">
            <v>124188</v>
          </cell>
          <cell r="C14885" t="str">
            <v>BRADESCO BA FIA VALE</v>
          </cell>
          <cell r="D14885" t="str">
            <v>BRADESCO BA FIA VALE</v>
          </cell>
          <cell r="E14885" t="str">
            <v>BRAM - BRADESCO ASSET MANAGEMENT S/A DTVM</v>
          </cell>
        </row>
        <row r="14886">
          <cell r="B14886">
            <v>124189</v>
          </cell>
          <cell r="C14886" t="str">
            <v>BRADESCO FI RF CP BRASIL UNICRED</v>
          </cell>
          <cell r="D14886" t="str">
            <v>BRADESCO FI RF CP BRASIL UNICRED</v>
          </cell>
          <cell r="E14886" t="str">
            <v>BRAM - BRADESCO ASSET MANAGEMENT S/A DTVM</v>
          </cell>
        </row>
        <row r="14887">
          <cell r="B14887">
            <v>12419</v>
          </cell>
          <cell r="C14887" t="str">
            <v>BANCO ALFA DE INVESTIMENTO S/A</v>
          </cell>
          <cell r="D14887" t="str">
            <v>BANCO ALFA DE INVESTIMENTO S/A</v>
          </cell>
          <cell r="E14887" t="str">
            <v>BANCO ALFA DE INVESTIMENTO S/A</v>
          </cell>
        </row>
        <row r="14888">
          <cell r="B14888">
            <v>124190</v>
          </cell>
          <cell r="C14888" t="str">
            <v>BRAM PRIVATE FIM MULTIESTRATEGIA</v>
          </cell>
          <cell r="D14888" t="str">
            <v>BRAM PRIVATE FIM MULTIESTRATEGIA</v>
          </cell>
          <cell r="E14888" t="str">
            <v>BRAM PRIVATE FIM MULTIESTRATEGIA</v>
          </cell>
        </row>
        <row r="14889">
          <cell r="B14889">
            <v>124191</v>
          </cell>
          <cell r="C14889" t="str">
            <v>BRADESCO FIM CP BLANKI</v>
          </cell>
          <cell r="D14889" t="str">
            <v>BRADESCO FIM CP BLANKI</v>
          </cell>
          <cell r="E14889" t="str">
            <v>BRADESCO FIM CP BLANKI</v>
          </cell>
        </row>
        <row r="14890">
          <cell r="B14890">
            <v>124192</v>
          </cell>
          <cell r="C14890" t="str">
            <v>BRADESCO FIA ESTRATEGIA BS</v>
          </cell>
          <cell r="D14890" t="str">
            <v>BRADESCO FIA ESTRATEGIA BS</v>
          </cell>
          <cell r="E14890" t="str">
            <v>BRAM - BRADESCO ASSET MANAGEMENT S/A DTVM</v>
          </cell>
        </row>
        <row r="14891">
          <cell r="B14891">
            <v>124193</v>
          </cell>
          <cell r="C14891" t="str">
            <v>BRAM FIA IBOVESPA</v>
          </cell>
          <cell r="D14891" t="str">
            <v>BRAM FIA IBOVESPA</v>
          </cell>
          <cell r="E14891" t="str">
            <v>BRAM - BRADESCO ASSET MANAGEMENT S/A DTVM</v>
          </cell>
        </row>
        <row r="14892">
          <cell r="B14892">
            <v>124194</v>
          </cell>
          <cell r="C14892" t="str">
            <v>BRAM MACRO 22 FI FINANCEIRO - CI MULT - RESP LIMITADA</v>
          </cell>
          <cell r="D14892" t="str">
            <v>BRAM MACRO 22 FI FINANCEIRO - CI MULT - RESP LIMITADA</v>
          </cell>
          <cell r="E14892" t="str">
            <v>BRAM - BRADESCO ASSET MANAGEMENT S/A DTVM</v>
          </cell>
        </row>
        <row r="14893">
          <cell r="B14893">
            <v>124195</v>
          </cell>
          <cell r="C14893" t="str">
            <v>BRADESCO FIA BB SEGURIDADE</v>
          </cell>
          <cell r="D14893" t="str">
            <v>BRADESCO FIA BB SEGURIDADE</v>
          </cell>
          <cell r="E14893" t="str">
            <v>BRAM - BRADESCO ASSET MANAGEMENT S/A DTVM</v>
          </cell>
        </row>
        <row r="14894">
          <cell r="B14894">
            <v>124196</v>
          </cell>
          <cell r="C14894" t="str">
            <v>CONTINUOS FIM CP IE</v>
          </cell>
          <cell r="D14894" t="str">
            <v>CONTINUOS FIM CP IE</v>
          </cell>
          <cell r="E14894" t="str">
            <v>CONTINUOS FIM CP IE</v>
          </cell>
        </row>
        <row r="14895">
          <cell r="B14895">
            <v>124197</v>
          </cell>
          <cell r="C14895" t="str">
            <v>BRADESCO FI RF MEMORIAL</v>
          </cell>
          <cell r="D14895" t="str">
            <v>BRADESCO FI RF MEMORIAL</v>
          </cell>
          <cell r="E14895" t="str">
            <v>BRADESCO FI RF MEMORIAL</v>
          </cell>
        </row>
        <row r="14896">
          <cell r="B14896">
            <v>124198</v>
          </cell>
          <cell r="C14896" t="str">
            <v>BRADESCO FMP FGTS VALE MIGRAÃ‡ÃƒO</v>
          </cell>
          <cell r="D14896" t="str">
            <v>BRADESCO FMP FGTS VALE MIGRAÃ‡ÃƒO</v>
          </cell>
          <cell r="E14896" t="str">
            <v>BRAM - BRADESCO ASSET MANAGEMENT S/A DTVM</v>
          </cell>
        </row>
        <row r="14897">
          <cell r="B14897">
            <v>124199</v>
          </cell>
          <cell r="C14897" t="str">
            <v>BRADESCO FMP FGTS VALE</v>
          </cell>
          <cell r="D14897" t="str">
            <v>BRADESCO FMP FGTS VALE</v>
          </cell>
          <cell r="E14897" t="str">
            <v>BRAM - BRADESCO ASSET MANAGEMENT S/A DTVM</v>
          </cell>
        </row>
        <row r="14898">
          <cell r="B14898">
            <v>12420</v>
          </cell>
          <cell r="C14898" t="str">
            <v>VANDA CARRIS</v>
          </cell>
          <cell r="D14898" t="str">
            <v>VANDA CARRIS</v>
          </cell>
          <cell r="E14898" t="str">
            <v>VANDA CARRIS</v>
          </cell>
        </row>
        <row r="14899">
          <cell r="B14899">
            <v>124200</v>
          </cell>
          <cell r="C14899" t="str">
            <v>MBPREV II MULTIMERCADO FI</v>
          </cell>
          <cell r="D14899" t="str">
            <v>MBPREV II MULTIMERCADO FI</v>
          </cell>
          <cell r="E14899" t="str">
            <v>BRAM - BRADESCO ASSET MANAGEMENT S/A DTVM</v>
          </cell>
        </row>
        <row r="14900">
          <cell r="B14900">
            <v>124201</v>
          </cell>
          <cell r="C14900" t="str">
            <v>FIM CP FALCO</v>
          </cell>
          <cell r="D14900" t="str">
            <v>FIM CP FALCO</v>
          </cell>
          <cell r="E14900" t="str">
            <v>BRAM - BRADESCO ASSET MANAGEMENT S/A DTVM</v>
          </cell>
        </row>
        <row r="14901">
          <cell r="B14901">
            <v>124202</v>
          </cell>
          <cell r="C14901" t="str">
            <v>BRADESCO FIA BDR NIVEL I</v>
          </cell>
          <cell r="D14901" t="str">
            <v>BRADESCO FIA BDR NIVEL I</v>
          </cell>
          <cell r="E14901" t="str">
            <v>BRAM - BRADESCO ASSET MANAGEMENT S/A DTVM</v>
          </cell>
        </row>
        <row r="14902">
          <cell r="B14902">
            <v>124203</v>
          </cell>
          <cell r="C14902" t="str">
            <v>BRADESCO FIA INSTITUCIONAL IBRX ALPHA</v>
          </cell>
          <cell r="D14902" t="str">
            <v>BRADESCO FIA INSTITUCIONAL IBRX ALPHA</v>
          </cell>
          <cell r="E14902" t="str">
            <v>BRAM - BRADESCO ASSET MANAGEMENT S/A DTVM</v>
          </cell>
        </row>
        <row r="14903">
          <cell r="B14903">
            <v>124204</v>
          </cell>
          <cell r="C14903" t="str">
            <v>BRAM H FIA IBOVESPA GESTAO</v>
          </cell>
          <cell r="D14903" t="str">
            <v>BRAM H FIA IBOVESPA GESTAO</v>
          </cell>
          <cell r="E14903" t="str">
            <v>BRAM - BRADESCO ASSET MANAGEMENT S/A DTVM</v>
          </cell>
        </row>
        <row r="14904">
          <cell r="B14904">
            <v>124205</v>
          </cell>
          <cell r="C14904" t="str">
            <v>BRADESCO FIA SAFE IBRX - 50</v>
          </cell>
          <cell r="D14904" t="str">
            <v>BRADESCO FIA SAFE IBRX - 50</v>
          </cell>
          <cell r="E14904" t="str">
            <v>BRAM - BRADESCO ASSET MANAGEMENT S/A DTVM</v>
          </cell>
        </row>
        <row r="14905">
          <cell r="B14905">
            <v>124206</v>
          </cell>
          <cell r="C14905" t="str">
            <v>BRADESCO FIA - PETROBRAS 2010</v>
          </cell>
          <cell r="D14905" t="str">
            <v>BRADESCO FIA - PETROBRAS 2010</v>
          </cell>
          <cell r="E14905" t="str">
            <v>BRADESCO FIA - PETROBRAS 2010</v>
          </cell>
        </row>
        <row r="14906">
          <cell r="B14906">
            <v>124207</v>
          </cell>
          <cell r="C14906" t="str">
            <v>BRADESCO FI RF CARDIAL</v>
          </cell>
          <cell r="D14906" t="str">
            <v>BRADESCO FI RF CARDIAL</v>
          </cell>
          <cell r="E14906" t="str">
            <v>BRADESCO FI RF CARDIAL</v>
          </cell>
        </row>
        <row r="14907">
          <cell r="B14907">
            <v>124208</v>
          </cell>
          <cell r="C14907" t="str">
            <v>FI RF RIO DE JANEIRO LONGO PRAZO</v>
          </cell>
          <cell r="D14907" t="str">
            <v>FI RF RIO DE JANEIRO LONGO PRAZO</v>
          </cell>
          <cell r="E14907" t="str">
            <v>FI RF RIO DE JANEIRO LONGO PRAZO</v>
          </cell>
        </row>
        <row r="14908">
          <cell r="B14908">
            <v>124209</v>
          </cell>
          <cell r="C14908" t="str">
            <v>BRADESCO FIM CP IE PANDA</v>
          </cell>
          <cell r="D14908" t="str">
            <v>BRADESCO FIM CP IE PANDA</v>
          </cell>
          <cell r="E14908" t="str">
            <v>BRADESCO FIM CP IE PANDA</v>
          </cell>
        </row>
        <row r="14909">
          <cell r="B14909">
            <v>12421</v>
          </cell>
          <cell r="C14909" t="str">
            <v>SKOPOS INVESTIMENTOS LTDA</v>
          </cell>
          <cell r="D14909" t="str">
            <v>SKOPOS INVESTIMENTOS LTDA</v>
          </cell>
          <cell r="E14909" t="str">
            <v>SKOPOS INVESTIMENTOS LTDA</v>
          </cell>
        </row>
        <row r="14910">
          <cell r="B14910">
            <v>124210</v>
          </cell>
          <cell r="C14910" t="str">
            <v>BRADESCO FIM FEB II CD</v>
          </cell>
          <cell r="D14910" t="str">
            <v>BRADESCO FIM FEB II CD</v>
          </cell>
          <cell r="E14910" t="str">
            <v>BRAM - BRADESCO ASSET MANAGEMENT S/A DTVM</v>
          </cell>
        </row>
        <row r="14911">
          <cell r="B14911">
            <v>124211</v>
          </cell>
          <cell r="C14911" t="str">
            <v>BRADESCO FIM CP IE SUNSHINE</v>
          </cell>
          <cell r="D14911" t="str">
            <v>BRADESCO FIM CP IE SUNSHINE</v>
          </cell>
          <cell r="E14911" t="str">
            <v>BRAM - BRADESCO ASSET MANAGEMENT S/A DTVM</v>
          </cell>
        </row>
        <row r="14912">
          <cell r="B14912">
            <v>124212</v>
          </cell>
          <cell r="C14912" t="str">
            <v>ANDERSON LEAL DA SILVA</v>
          </cell>
          <cell r="D14912" t="str">
            <v>ANDERSON LEAL DA SILVA</v>
          </cell>
          <cell r="E14912" t="str">
            <v>ANDERSON LEAL DA SILVA</v>
          </cell>
        </row>
        <row r="14913">
          <cell r="B14913">
            <v>124213</v>
          </cell>
          <cell r="C14913" t="str">
            <v>INDIE CAPITAL PLATINUM FIA</v>
          </cell>
          <cell r="D14913" t="str">
            <v>INDIE CAPITAL PLATINUM FIA</v>
          </cell>
          <cell r="E14913" t="str">
            <v>INDIE CAPITAL INVESTIMENTOS LTDA</v>
          </cell>
        </row>
        <row r="14914">
          <cell r="B14914">
            <v>124214</v>
          </cell>
          <cell r="C14914" t="str">
            <v>CARLOS AUGUSTO FERNANDES COELHO</v>
          </cell>
          <cell r="D14914" t="str">
            <v>CARLOS AUGUSTO FERNANDES COELHO</v>
          </cell>
          <cell r="E14914" t="str">
            <v>CARLOS AUGUSTO FERNANDES COELHO</v>
          </cell>
        </row>
        <row r="14915">
          <cell r="B14915">
            <v>124215</v>
          </cell>
          <cell r="C14915" t="str">
            <v>MATHEUS ROCHA SERANTES TEIXEIRA</v>
          </cell>
          <cell r="D14915" t="str">
            <v>MATHEUS ROCHA SERANTES TEIXEIRA</v>
          </cell>
          <cell r="E14915" t="str">
            <v>MATHEUS ROCHA SERANTES TEIXEIRA</v>
          </cell>
        </row>
        <row r="14916">
          <cell r="B14916">
            <v>124216</v>
          </cell>
          <cell r="C14916" t="str">
            <v>BRADESCO H FIC DE FIA ACUMULACAO</v>
          </cell>
          <cell r="D14916" t="str">
            <v>BRADESCO H FIC DE FIA ACUMULACAO</v>
          </cell>
          <cell r="E14916" t="str">
            <v>BRAM - BRADESCO ASSET MANAGEMENT S/A DTVM</v>
          </cell>
        </row>
        <row r="14917">
          <cell r="B14917">
            <v>124217</v>
          </cell>
          <cell r="C14917" t="str">
            <v>BRADESCO H FIF CIA VALE DO RIO DOCE RL</v>
          </cell>
          <cell r="D14917" t="str">
            <v>BRADESCO H FIF CIA VALE DO RIO DOCE RL</v>
          </cell>
          <cell r="E14917" t="str">
            <v>BRAM - BRADESCO ASSET MANAGEMENT S/A DTVM</v>
          </cell>
        </row>
        <row r="14918">
          <cell r="B14918">
            <v>124218</v>
          </cell>
          <cell r="C14918" t="str">
            <v>BB GESTAO DE RECURSOS DTVM LTDA</v>
          </cell>
          <cell r="D14918" t="str">
            <v>BB GESTAO DE RECURSOS DTVM LTDA</v>
          </cell>
          <cell r="E14918" t="str">
            <v>BB GESTAO DE RECURSOS DTVM LTDA</v>
          </cell>
        </row>
        <row r="14919">
          <cell r="B14919">
            <v>124219</v>
          </cell>
          <cell r="C14919" t="str">
            <v>TMJ IMA-B FI RF</v>
          </cell>
          <cell r="D14919" t="str">
            <v>TMJ IMA-B FI RF</v>
          </cell>
          <cell r="E14919" t="str">
            <v>ELLEVEN GESTORA DE RECURSOS LTDA</v>
          </cell>
        </row>
        <row r="14920">
          <cell r="B14920">
            <v>124220</v>
          </cell>
          <cell r="C14920" t="str">
            <v>TMJ CAPITAL JURO REAL FI RF</v>
          </cell>
          <cell r="D14920" t="str">
            <v>TMJ CAPITAL JURO REAL FI RF</v>
          </cell>
          <cell r="E14920" t="str">
            <v>TMJ CAPITAL JURO REAL FI RF</v>
          </cell>
        </row>
        <row r="14921">
          <cell r="B14921">
            <v>124221</v>
          </cell>
          <cell r="C14921" t="str">
            <v>BRADESCO FIM CP TIFFANY</v>
          </cell>
          <cell r="D14921" t="str">
            <v>BRADESCO FIM CP TIFFANY</v>
          </cell>
          <cell r="E14921" t="str">
            <v>BRADESCO FIM CP TIFFANY</v>
          </cell>
        </row>
        <row r="14922">
          <cell r="B14922">
            <v>124222</v>
          </cell>
          <cell r="C14922" t="str">
            <v>BRADESCO INSTITUCIONAL FIA NIVEL I</v>
          </cell>
          <cell r="D14922" t="str">
            <v>BRADESCO INSTITUCIONAL FIA NIVEL I</v>
          </cell>
          <cell r="E14922" t="str">
            <v>BRAM - BRADESCO ASSET MANAGEMENT S/A DTVM</v>
          </cell>
        </row>
        <row r="14923">
          <cell r="B14923">
            <v>124223</v>
          </cell>
          <cell r="C14923" t="str">
            <v>FI RF DOURADO</v>
          </cell>
          <cell r="D14923" t="str">
            <v>FI RF DOURADO</v>
          </cell>
          <cell r="E14923" t="str">
            <v>BRAM - BRADESCO ASSET MANAGEMENT S/A DTVM</v>
          </cell>
        </row>
        <row r="14924">
          <cell r="B14924">
            <v>124224</v>
          </cell>
          <cell r="C14924" t="str">
            <v>BRADESCO FMP FGTS PRIVATE III PETROBRAS</v>
          </cell>
          <cell r="D14924" t="str">
            <v>BRADESCO FMP FGTS PRIVATE III PETROBRAS</v>
          </cell>
          <cell r="E14924" t="str">
            <v>BRAM - BRADESCO ASSET MANAGEMENT S/A DTVM</v>
          </cell>
        </row>
        <row r="14925">
          <cell r="B14925">
            <v>124225</v>
          </cell>
          <cell r="C14925" t="str">
            <v>BRADESCO PRIVATE FI RF</v>
          </cell>
          <cell r="D14925" t="str">
            <v>BRADESCO PRIVATE FI RF</v>
          </cell>
          <cell r="E14925" t="str">
            <v>BRADESCO PRIVATE FI RF</v>
          </cell>
        </row>
        <row r="14926">
          <cell r="B14926">
            <v>124226</v>
          </cell>
          <cell r="C14926" t="str">
            <v>BRADESCO FIM CP WWWY</v>
          </cell>
          <cell r="D14926" t="str">
            <v>BRADESCO FIM CP WWWY</v>
          </cell>
          <cell r="E14926" t="str">
            <v>BRADESCO FIM CP WWWY</v>
          </cell>
        </row>
        <row r="14927">
          <cell r="B14927">
            <v>124227</v>
          </cell>
          <cell r="C14927" t="str">
            <v>BRADESCO GLOBAL FIA IE</v>
          </cell>
          <cell r="D14927" t="str">
            <v>BRADESCO GLOBAL FIA IE</v>
          </cell>
          <cell r="E14927" t="str">
            <v>BRAM - BRADESCO ASSET MANAGEMENT S/A DTVM</v>
          </cell>
        </row>
        <row r="14928">
          <cell r="B14928">
            <v>124228</v>
          </cell>
          <cell r="C14928" t="str">
            <v>BRADESCO FIM CP IE MATA AZUL</v>
          </cell>
          <cell r="D14928" t="str">
            <v>BRADESCO FIM CP IE MATA AZUL</v>
          </cell>
          <cell r="E14928" t="str">
            <v>BRAM - BRADESCO ASSET MANAGEMENT S/A DTVM</v>
          </cell>
        </row>
        <row r="14929">
          <cell r="B14929">
            <v>124229</v>
          </cell>
          <cell r="C14929" t="str">
            <v>BRADESCO H FIM BOLSA AMERICANA</v>
          </cell>
          <cell r="D14929" t="str">
            <v>BRADESCO H FIM BOLSA AMERICANA</v>
          </cell>
          <cell r="E14929" t="str">
            <v>BRAM - BRADESCO ASSET MANAGEMENT S/A DTVM</v>
          </cell>
        </row>
        <row r="14930">
          <cell r="B14930">
            <v>12423</v>
          </cell>
          <cell r="C14930" t="str">
            <v>FACT INVESTMENTS GESTAO DE RECURSOS LTDA</v>
          </cell>
          <cell r="D14930" t="str">
            <v>FACT INVESTMENTS GESTAO DE RECURSOS LTDA</v>
          </cell>
          <cell r="E14930" t="str">
            <v>FACT INVESTMENTS GESTAO DE RECURSOS LTDA</v>
          </cell>
        </row>
        <row r="14931">
          <cell r="B14931">
            <v>124230</v>
          </cell>
          <cell r="C14931" t="str">
            <v>FIM MARAU</v>
          </cell>
          <cell r="D14931" t="str">
            <v>FIM MARAU</v>
          </cell>
          <cell r="E14931" t="str">
            <v>BRAM - BRADESCO ASSET MANAGEMENT S/A DTVM</v>
          </cell>
        </row>
        <row r="14932">
          <cell r="B14932">
            <v>124231</v>
          </cell>
          <cell r="C14932" t="str">
            <v>BRADESCO FIC DE FIA ATIVO GBS</v>
          </cell>
          <cell r="D14932" t="str">
            <v>BRADESCO FIC DE FIA ATIVO GBS</v>
          </cell>
          <cell r="E14932" t="str">
            <v>BRAM - BRADESCO ASSET MANAGEMENT S/A DTVM</v>
          </cell>
        </row>
        <row r="14933">
          <cell r="B14933">
            <v>124232</v>
          </cell>
          <cell r="C14933" t="str">
            <v>BRADESCO FMP FGTS CARTEIRA LIVRE</v>
          </cell>
          <cell r="D14933" t="str">
            <v>BRADESCO FMP FGTS CARTEIRA LIVRE</v>
          </cell>
          <cell r="E14933" t="str">
            <v>BRAM - BRADESCO ASSET MANAGEMENT S/A DTVM</v>
          </cell>
        </row>
        <row r="14934">
          <cell r="B14934">
            <v>124233</v>
          </cell>
          <cell r="C14934" t="str">
            <v>BB GESTAO DE RECURSOS DTVM LTDA</v>
          </cell>
          <cell r="D14934" t="str">
            <v>BB GESTAO DE RECURSOS DTVM LTDA</v>
          </cell>
          <cell r="E14934" t="str">
            <v>BB GESTAO DE RECURSOS DTVM LTDA</v>
          </cell>
        </row>
        <row r="14935">
          <cell r="B14935">
            <v>124234</v>
          </cell>
          <cell r="C14935" t="str">
            <v>FN FIM CP IE</v>
          </cell>
          <cell r="D14935" t="str">
            <v>FN FIM CP IE</v>
          </cell>
          <cell r="E14935" t="str">
            <v>FN FIM CP IE</v>
          </cell>
        </row>
        <row r="14936">
          <cell r="B14936">
            <v>124235</v>
          </cell>
          <cell r="C14936" t="str">
            <v>FORUS FIC FIM CP</v>
          </cell>
          <cell r="D14936" t="str">
            <v>FORUS FIC FIM CP</v>
          </cell>
          <cell r="E14936" t="str">
            <v>FORUS FIC FIM CP</v>
          </cell>
        </row>
        <row r="14937">
          <cell r="B14937">
            <v>124236</v>
          </cell>
          <cell r="C14937" t="str">
            <v>LAJOTA FIM CP IE</v>
          </cell>
          <cell r="D14937" t="str">
            <v>LAJOTA FIM CP IE</v>
          </cell>
          <cell r="E14937" t="str">
            <v>WRIGHT CAPITAL GESTAO DE RECURSOS LTDA</v>
          </cell>
        </row>
        <row r="14938">
          <cell r="B14938">
            <v>124237</v>
          </cell>
          <cell r="C14938" t="str">
            <v>LUMASIQ FIM CP IE</v>
          </cell>
          <cell r="D14938" t="str">
            <v>LUMASIQ FIM CP IE</v>
          </cell>
          <cell r="E14938" t="str">
            <v>LUMASIQ FIM CP IE</v>
          </cell>
        </row>
        <row r="14939">
          <cell r="B14939">
            <v>124238</v>
          </cell>
          <cell r="C14939" t="str">
            <v>SOLO FIM CP IE</v>
          </cell>
          <cell r="D14939" t="str">
            <v>SOLO FIM CP IE</v>
          </cell>
          <cell r="E14939" t="str">
            <v>SOLO FIM CP IE</v>
          </cell>
        </row>
        <row r="14940">
          <cell r="B14940">
            <v>124239</v>
          </cell>
          <cell r="C14940" t="str">
            <v>SUMATRA FIM CP IE</v>
          </cell>
          <cell r="D14940" t="str">
            <v>SUMATRA FIM CP IE</v>
          </cell>
          <cell r="E14940" t="str">
            <v>SUMATRA FIM CP IE</v>
          </cell>
        </row>
        <row r="14941">
          <cell r="B14941">
            <v>12424</v>
          </cell>
          <cell r="C14941" t="str">
            <v>TELOS FUNDACAO EMBRATEL DE SEGURIDADE SOCIAL</v>
          </cell>
          <cell r="D14941" t="str">
            <v>TELOS FUNDACAO EMBRATEL DE SEGURIDADE SOCIAL</v>
          </cell>
          <cell r="E14941" t="str">
            <v>TELOS FUNDACAO EMBRATEL DE SEGURIDADE SOCIAL</v>
          </cell>
        </row>
        <row r="14942">
          <cell r="B14942">
            <v>124240</v>
          </cell>
          <cell r="C14942" t="str">
            <v>SQUADRA MASTER LONG-BIASED FIA</v>
          </cell>
          <cell r="D14942" t="str">
            <v>SQUADRA MASTER LONG-BIASED FIA</v>
          </cell>
          <cell r="E14942" t="str">
            <v>SQUADRA MASTER LONG-BIASED FIA</v>
          </cell>
        </row>
        <row r="14943">
          <cell r="B14943">
            <v>124241</v>
          </cell>
          <cell r="C14943" t="str">
            <v>SQUADRA MASTER LONG-ONLY FIA</v>
          </cell>
          <cell r="D14943" t="str">
            <v>SQUADRA MASTER LONG-ONLY FIA</v>
          </cell>
          <cell r="E14943" t="str">
            <v>SQUADRA MASTER LONG-ONLY FIA</v>
          </cell>
        </row>
        <row r="14944">
          <cell r="B14944">
            <v>124242</v>
          </cell>
          <cell r="C14944" t="str">
            <v>ITAU FLEXPREV LONG AND SHORT MULT FI</v>
          </cell>
          <cell r="D14944" t="str">
            <v>ITAU FLEXPREV LONG AND SHORT MULT FI</v>
          </cell>
          <cell r="E14944" t="str">
            <v>ITAU UNIBANCO ASSET - TACO</v>
          </cell>
        </row>
        <row r="14945">
          <cell r="B14945">
            <v>124243</v>
          </cell>
          <cell r="C14945" t="str">
            <v>ITAU MASTER SHORT IBOVESPA 2X FIM</v>
          </cell>
          <cell r="D14945" t="str">
            <v>ITAU MASTER SHORT IBOVESPA 2X FIM</v>
          </cell>
          <cell r="E14945" t="str">
            <v>ITAU UNIBANCO ASSET - TACO</v>
          </cell>
        </row>
        <row r="14946">
          <cell r="B14946">
            <v>124244</v>
          </cell>
          <cell r="C14946" t="str">
            <v>FF FIM CP IE</v>
          </cell>
          <cell r="D14946" t="str">
            <v>FF FIM CP IE</v>
          </cell>
          <cell r="E14946" t="str">
            <v>FF FIM CP IE</v>
          </cell>
        </row>
        <row r="14947">
          <cell r="B14947">
            <v>124245</v>
          </cell>
          <cell r="C14947" t="str">
            <v>BRADESCO FIM SUPRE II</v>
          </cell>
          <cell r="D14947" t="str">
            <v>BRADESCO FIM SUPRE II</v>
          </cell>
          <cell r="E14947" t="str">
            <v>BRADESCO FIM SUPRE II</v>
          </cell>
        </row>
        <row r="14948">
          <cell r="B14948">
            <v>124246</v>
          </cell>
          <cell r="C14948" t="str">
            <v>BRADESCO FIA MASTER VALOR</v>
          </cell>
          <cell r="D14948" t="str">
            <v>BRADESCO FIA MASTER VALOR</v>
          </cell>
          <cell r="E14948" t="str">
            <v>BRADESCO FIA MASTER VALOR</v>
          </cell>
        </row>
        <row r="14949">
          <cell r="B14949">
            <v>124247</v>
          </cell>
          <cell r="C14949" t="str">
            <v>BRADESCO FIA MASTER IBRX</v>
          </cell>
          <cell r="D14949" t="str">
            <v>BRADESCO FIA MASTER IBRX</v>
          </cell>
          <cell r="E14949" t="str">
            <v>BRAM - BRADESCO ASSET MANAGEMENT S/A DTVM</v>
          </cell>
        </row>
        <row r="14950">
          <cell r="B14950">
            <v>124248</v>
          </cell>
          <cell r="C14950" t="str">
            <v>BRADESCO FIA MASTER INFRAESTRUTURA</v>
          </cell>
          <cell r="D14950" t="str">
            <v>BRADESCO FIA MASTER INFRAESTRUTURA</v>
          </cell>
          <cell r="E14950" t="str">
            <v>BRADESCO FIA MASTER INFRAESTRUTURA</v>
          </cell>
        </row>
        <row r="14951">
          <cell r="B14951">
            <v>12425</v>
          </cell>
          <cell r="C14951" t="str">
            <v>JGP GESTAO DE RECURSOS LTDA</v>
          </cell>
          <cell r="D14951" t="str">
            <v>JGP GESTAO DE RECURSOS LTDA</v>
          </cell>
          <cell r="E14951" t="str">
            <v>JGP GESTAO PATRIMONIAL LTDA</v>
          </cell>
        </row>
        <row r="14952">
          <cell r="B14952">
            <v>124250</v>
          </cell>
          <cell r="C14952" t="str">
            <v>BRADESCO FIM FPP ALM</v>
          </cell>
          <cell r="D14952" t="str">
            <v>BRADESCO FIM FPP ALM</v>
          </cell>
          <cell r="E14952" t="str">
            <v>BRADESCO FIM FPP ALM</v>
          </cell>
        </row>
        <row r="14953">
          <cell r="B14953">
            <v>124252</v>
          </cell>
          <cell r="C14953" t="str">
            <v>BRADESCO FIA IBRX MULTIPATROCINADO</v>
          </cell>
          <cell r="D14953" t="str">
            <v>BRADESCO FIA IBRX MULTIPATROCINADO</v>
          </cell>
          <cell r="E14953" t="str">
            <v>BRAM - BRADESCO ASSET MANAGEMENT S/A DTVM</v>
          </cell>
        </row>
        <row r="14954">
          <cell r="B14954">
            <v>124253</v>
          </cell>
          <cell r="C14954" t="str">
            <v>BRADESCO FI RF PRATIGI</v>
          </cell>
          <cell r="D14954" t="str">
            <v>BRADESCO FI RF PRATIGI</v>
          </cell>
          <cell r="E14954" t="str">
            <v>BRADESCO FI RF PRATIGI</v>
          </cell>
        </row>
        <row r="14955">
          <cell r="B14955">
            <v>124254</v>
          </cell>
          <cell r="C14955" t="str">
            <v>BRADESCO FIM FUNSEJEM MULTIESTRATEGIA</v>
          </cell>
          <cell r="D14955" t="str">
            <v>BRADESCO FIM FUNSEJEM MULTIESTRATEGIA</v>
          </cell>
          <cell r="E14955" t="str">
            <v>BRADESCO FIM FUNSEJEM MULTIESTRATEGIA</v>
          </cell>
        </row>
        <row r="14956">
          <cell r="B14956">
            <v>124255</v>
          </cell>
          <cell r="C14956" t="str">
            <v>BRADESCO FIA PROMON</v>
          </cell>
          <cell r="D14956" t="str">
            <v>BRADESCO FIA PROMON</v>
          </cell>
          <cell r="E14956" t="str">
            <v>BRAM - BRADESCO ASSET MANAGEMENT S/A DTVM</v>
          </cell>
        </row>
        <row r="14957">
          <cell r="B14957">
            <v>124256</v>
          </cell>
          <cell r="C14957" t="str">
            <v>BRADESCO FIM FUNSEJEM CONSERVADOR</v>
          </cell>
          <cell r="D14957" t="str">
            <v>BRADESCO FIM FUNSEJEM CONSERVADOR</v>
          </cell>
          <cell r="E14957" t="str">
            <v>BRADESCO FIM FUNSEJEM CONSERVADOR</v>
          </cell>
        </row>
        <row r="14958">
          <cell r="B14958">
            <v>124257</v>
          </cell>
          <cell r="C14958" t="str">
            <v>BRADESCO FIM FUNDAÃ‡ÃƒO AMAZONAS SUSTENTAVEL - FAS</v>
          </cell>
          <cell r="D14958" t="str">
            <v>BRADESCO FIM FUNDAÃ‡ÃƒO AMAZONAS SUSTENTAVEL - FAS</v>
          </cell>
          <cell r="E14958" t="str">
            <v>BRAM - BRADESCO ASSET MANAGEMENT S/A DTVM</v>
          </cell>
        </row>
        <row r="14959">
          <cell r="B14959">
            <v>124258</v>
          </cell>
          <cell r="C14959" t="str">
            <v>BRAM FIA IBRX ATIVO</v>
          </cell>
          <cell r="D14959" t="str">
            <v>BRAM FIA IBRX ATIVO</v>
          </cell>
          <cell r="E14959" t="str">
            <v>BRAM - BRADESCO ASSET MANAGEMENT S/A DTVM</v>
          </cell>
        </row>
        <row r="14960">
          <cell r="B14960">
            <v>124259</v>
          </cell>
          <cell r="C14960" t="str">
            <v>BRADESCO FIM PLANOS CD</v>
          </cell>
          <cell r="D14960" t="str">
            <v>BRADESCO FIM PLANOS CD</v>
          </cell>
          <cell r="E14960" t="str">
            <v>BRAM - BRADESCO ASSET MANAGEMENT S/A DTVM</v>
          </cell>
        </row>
        <row r="14961">
          <cell r="B14961">
            <v>124260</v>
          </cell>
          <cell r="C14961" t="str">
            <v>BRADESCO FI RF REFERENCIADO DP CP GIPPEL</v>
          </cell>
          <cell r="D14961" t="str">
            <v>BRADESCO FI RF REFERENCIADO DP CP GIPPEL</v>
          </cell>
          <cell r="E14961" t="str">
            <v>BRADESCO FI RF REFERENCIADO DP CP GIPPEL</v>
          </cell>
        </row>
        <row r="14962">
          <cell r="B14962">
            <v>124261</v>
          </cell>
          <cell r="C14962" t="str">
            <v>BRADESCO FI RF CP FIRENZE</v>
          </cell>
          <cell r="D14962" t="str">
            <v>BRADESCO FI RF CP FIRENZE</v>
          </cell>
          <cell r="E14962" t="str">
            <v>BRADESCO FI RF CP FIRENZE</v>
          </cell>
        </row>
        <row r="14963">
          <cell r="B14963">
            <v>124262</v>
          </cell>
          <cell r="C14963" t="str">
            <v>BRADESCO FI RF CP VR</v>
          </cell>
          <cell r="D14963" t="str">
            <v>BRADESCO FI RF CP VR</v>
          </cell>
          <cell r="E14963" t="str">
            <v>BRADESCO FI RF CP VR</v>
          </cell>
        </row>
        <row r="14964">
          <cell r="B14964">
            <v>124263</v>
          </cell>
          <cell r="C14964" t="str">
            <v>BRADESCO FIA STOCK PICKING</v>
          </cell>
          <cell r="D14964" t="str">
            <v>BRADESCO FIA STOCK PICKING</v>
          </cell>
          <cell r="E14964" t="str">
            <v>BRAM - BRADESCO ASSET MANAGEMENT S/A DTVM</v>
          </cell>
        </row>
        <row r="14965">
          <cell r="B14965">
            <v>124264</v>
          </cell>
          <cell r="C14965" t="str">
            <v>BRADESCO FI RF MAXI PODER PUBLICO</v>
          </cell>
          <cell r="D14965" t="str">
            <v>BRADESCO FI RF MAXI PODER PUBLICO</v>
          </cell>
          <cell r="E14965" t="str">
            <v>BRADESCO FI RF MAXI PODER PUBLICO</v>
          </cell>
        </row>
        <row r="14966">
          <cell r="B14966">
            <v>124265</v>
          </cell>
          <cell r="C14966" t="str">
            <v>FI FINANCEIRO MULTIMERCADO UNIPREV IV</v>
          </cell>
          <cell r="D14966" t="str">
            <v>FI FINANCEIRO MULTIMERCADO UNIPREV IV</v>
          </cell>
          <cell r="E14966" t="str">
            <v>FI FINANCEIRO MULTIMERCADO UNIPREV IV</v>
          </cell>
        </row>
        <row r="14967">
          <cell r="B14967">
            <v>124266</v>
          </cell>
          <cell r="C14967" t="str">
            <v>BRADESCO FIA CIELO</v>
          </cell>
          <cell r="D14967" t="str">
            <v>BRADESCO FIA CIELO</v>
          </cell>
          <cell r="E14967" t="str">
            <v>BRAM - BRADESCO ASSET MANAGEMENT S/A DTVM</v>
          </cell>
        </row>
        <row r="14968">
          <cell r="B14968">
            <v>124267</v>
          </cell>
          <cell r="C14968" t="str">
            <v>BRADESCO FIM CP LONTRAS</v>
          </cell>
          <cell r="D14968" t="str">
            <v>BRADESCO FIM CP LONTRAS</v>
          </cell>
          <cell r="E14968" t="str">
            <v>BRAM - BRADESCO ASSET MANAGEMENT S/A DTVM</v>
          </cell>
        </row>
        <row r="14969">
          <cell r="B14969">
            <v>124268</v>
          </cell>
          <cell r="C14969" t="str">
            <v>BRADESCO FIM MACRO</v>
          </cell>
          <cell r="D14969" t="str">
            <v>BRADESCO FIM MACRO</v>
          </cell>
          <cell r="E14969" t="str">
            <v>BRADESCO FIM MACRO</v>
          </cell>
        </row>
        <row r="14970">
          <cell r="B14970">
            <v>124269</v>
          </cell>
          <cell r="C14970" t="str">
            <v>BRADESCO FIC DE FIM MACRO</v>
          </cell>
          <cell r="D14970" t="str">
            <v>BRADESCO FIC DE FIM MACRO</v>
          </cell>
          <cell r="E14970" t="str">
            <v>BRAM - BRADESCO ASSET MANAGEMENT S/A DTVM</v>
          </cell>
        </row>
        <row r="14971">
          <cell r="B14971">
            <v>124270</v>
          </cell>
          <cell r="C14971" t="str">
            <v>BRADESCO FIA LONG BIASED</v>
          </cell>
          <cell r="D14971" t="str">
            <v>BRADESCO FIA LONG BIASED</v>
          </cell>
          <cell r="E14971" t="str">
            <v>BRADESCO FIA LONG BIASED</v>
          </cell>
        </row>
        <row r="14972">
          <cell r="B14972">
            <v>124271</v>
          </cell>
          <cell r="C14972" t="str">
            <v>BB GESTAO DE RECURSOS DTVM LTDA</v>
          </cell>
          <cell r="D14972" t="str">
            <v>BB GESTAO DE RECURSOS DTVM LTDA</v>
          </cell>
          <cell r="E14972" t="str">
            <v>BB GESTAO DE RECURSOS DTVM LTDA</v>
          </cell>
        </row>
        <row r="14973">
          <cell r="B14973">
            <v>124272</v>
          </cell>
          <cell r="C14973" t="str">
            <v>BRAM FIM ABSOLUTO 42</v>
          </cell>
          <cell r="D14973" t="str">
            <v>BRAM FIM ABSOLUTO 42</v>
          </cell>
          <cell r="E14973" t="str">
            <v>BRAM - BRADESCO ASSET MANAGEMENT S/A DTVM</v>
          </cell>
        </row>
        <row r="14974">
          <cell r="B14974">
            <v>124273</v>
          </cell>
          <cell r="C14974" t="str">
            <v>FIM ANGRA CP</v>
          </cell>
          <cell r="D14974" t="str">
            <v>FIM ANGRA CP</v>
          </cell>
          <cell r="E14974" t="str">
            <v>FIM ANGRA CP</v>
          </cell>
        </row>
        <row r="14975">
          <cell r="B14975">
            <v>124274</v>
          </cell>
          <cell r="C14975" t="str">
            <v>FI MOCAMBIQUE MULTIMERCADO</v>
          </cell>
          <cell r="D14975" t="str">
            <v>FI MOCAMBIQUE MULTIMERCADO</v>
          </cell>
          <cell r="E14975" t="str">
            <v>FI MOCAMBIQUE MULTIMERCADO</v>
          </cell>
        </row>
        <row r="14976">
          <cell r="B14976">
            <v>124275</v>
          </cell>
          <cell r="C14976" t="str">
            <v>FIM BARRA VELHA II</v>
          </cell>
          <cell r="D14976" t="str">
            <v>FIM BARRA VELHA II</v>
          </cell>
          <cell r="E14976" t="str">
            <v>FIM BARRA VELHA II</v>
          </cell>
        </row>
        <row r="14977">
          <cell r="B14977">
            <v>124276</v>
          </cell>
          <cell r="C14977" t="str">
            <v>BRADESCO FMP FGTS PRIVATE IV PETROBRAS</v>
          </cell>
          <cell r="D14977" t="str">
            <v>BRADESCO FMP FGTS PRIVATE IV PETROBRAS</v>
          </cell>
          <cell r="E14977" t="str">
            <v>BRADESCO FMP FGTS PRIVATE IV PETROBRAS</v>
          </cell>
        </row>
        <row r="14978">
          <cell r="B14978">
            <v>124277</v>
          </cell>
          <cell r="C14978" t="str">
            <v>FUNDO FORCA - BRADESCO FMP FGTS VALE DO RIO DOCE</v>
          </cell>
          <cell r="D14978" t="str">
            <v>FUNDO FORCA - BRADESCO FMP FGTS VALE DO RIO DOCE</v>
          </cell>
          <cell r="E14978" t="str">
            <v>FUNDO FORCA - BRADESCO FMP FGTS VALE DO RIO DOCE</v>
          </cell>
        </row>
        <row r="14979">
          <cell r="B14979">
            <v>124278</v>
          </cell>
          <cell r="C14979" t="str">
            <v>BRADESCO BA FMP FGTS VALE</v>
          </cell>
          <cell r="D14979" t="str">
            <v>BRADESCO BA FMP FGTS VALE</v>
          </cell>
          <cell r="E14979" t="str">
            <v>BRADESCO BA FMP FGTS VALE</v>
          </cell>
        </row>
        <row r="14980">
          <cell r="B14980">
            <v>124279</v>
          </cell>
          <cell r="C14980" t="str">
            <v>BRADESCO FIM CP MURALHA</v>
          </cell>
          <cell r="D14980" t="str">
            <v>BRADESCO FIM CP MURALHA</v>
          </cell>
          <cell r="E14980" t="str">
            <v>BRADESCO FIM CP MURALHA</v>
          </cell>
        </row>
        <row r="14981">
          <cell r="B14981">
            <v>12428</v>
          </cell>
          <cell r="C14981" t="str">
            <v>QUANTITAS GESTAO DE RECURSOS LTDA</v>
          </cell>
          <cell r="D14981" t="str">
            <v>QUANTITAS GESTAO DE RECURSOS LTDA</v>
          </cell>
          <cell r="E14981" t="str">
            <v>QUANTITAS GESTAO DE RECURSOS LTDA</v>
          </cell>
        </row>
        <row r="14982">
          <cell r="B14982">
            <v>124280</v>
          </cell>
          <cell r="C14982" t="str">
            <v>BRADESCO FIM CP FRT100</v>
          </cell>
          <cell r="D14982" t="str">
            <v>BRADESCO FIM CP FRT100</v>
          </cell>
          <cell r="E14982" t="str">
            <v>BRADESCO FIM CP FRT100</v>
          </cell>
        </row>
        <row r="14983">
          <cell r="B14983">
            <v>124281</v>
          </cell>
          <cell r="C14983" t="str">
            <v>BRADESCO FIM CP MERCURY</v>
          </cell>
          <cell r="D14983" t="str">
            <v>BRADESCO FIM CP MERCURY</v>
          </cell>
          <cell r="E14983" t="str">
            <v>BRADESCO FIM CP MERCURY</v>
          </cell>
        </row>
        <row r="14984">
          <cell r="B14984">
            <v>124282</v>
          </cell>
          <cell r="C14984" t="str">
            <v>BRADESCO H FIC DE FIA SUSTENTABILIDADE</v>
          </cell>
          <cell r="D14984" t="str">
            <v>BRADESCO H FIC DE FIA SUSTENTABILIDADE</v>
          </cell>
          <cell r="E14984" t="str">
            <v>BRADESCO H FIC DE FIA SUSTENTABILIDADE</v>
          </cell>
        </row>
        <row r="14985">
          <cell r="B14985">
            <v>124283</v>
          </cell>
          <cell r="C14985" t="str">
            <v>BRADESCO FIA MASTER PREVIDENCIA</v>
          </cell>
          <cell r="D14985" t="str">
            <v>BRADESCO FIA MASTER PREVIDENCIA</v>
          </cell>
          <cell r="E14985" t="str">
            <v>BRAM - BRADESCO ASSET MANAGEMENT S/A DTVM</v>
          </cell>
        </row>
        <row r="14986">
          <cell r="B14986">
            <v>124284</v>
          </cell>
          <cell r="C14986" t="str">
            <v>BRADESCO FIM CP IE ANDROMEDA</v>
          </cell>
          <cell r="D14986" t="str">
            <v>BRADESCO FIM CP IE ANDROMEDA</v>
          </cell>
          <cell r="E14986" t="str">
            <v>BRADESCO FIM CP IE ANDROMEDA</v>
          </cell>
        </row>
        <row r="14987">
          <cell r="B14987">
            <v>124285</v>
          </cell>
          <cell r="C14987" t="str">
            <v>BRADESCO FIM PREVCUMMINS</v>
          </cell>
          <cell r="D14987" t="str">
            <v>BRADESCO FIM PREVCUMMINS</v>
          </cell>
          <cell r="E14987" t="str">
            <v>BRADESCO FIM PREVCUMMINS</v>
          </cell>
        </row>
        <row r="14988">
          <cell r="B14988">
            <v>124286</v>
          </cell>
          <cell r="C14988" t="str">
            <v>BRADESCO FIA IS SUSTENTABILIDADE EMPRESARIAL</v>
          </cell>
          <cell r="D14988" t="str">
            <v>BRADESCO FIA IS SUSTENTABILIDADE EMPRESARIAL</v>
          </cell>
          <cell r="E14988" t="str">
            <v>BRAM - BRADESCO ASSET MANAGEMENT S/A DTVM</v>
          </cell>
        </row>
        <row r="14989">
          <cell r="B14989">
            <v>124287</v>
          </cell>
          <cell r="C14989" t="str">
            <v>MAUA MACRO R FIM</v>
          </cell>
          <cell r="D14989" t="str">
            <v>MAUA MACRO R FIM</v>
          </cell>
          <cell r="E14989" t="str">
            <v>MAUA INVESTIMENTOS LTDA</v>
          </cell>
        </row>
        <row r="14990">
          <cell r="B14990">
            <v>124288</v>
          </cell>
          <cell r="C14990" t="str">
            <v>MAUA IPCA HEDGE MASTER FIM</v>
          </cell>
          <cell r="D14990" t="str">
            <v>MAUA IPCA HEDGE MASTER FIM</v>
          </cell>
          <cell r="E14990" t="str">
            <v>MAUA INVESTIMENTOS LTDA</v>
          </cell>
        </row>
        <row r="14991">
          <cell r="B14991">
            <v>124289</v>
          </cell>
          <cell r="C14991" t="str">
            <v>MAUA INSTITUCIONAL MASTER FIM</v>
          </cell>
          <cell r="D14991" t="str">
            <v>MAUA INSTITUCIONAL MASTER FIM</v>
          </cell>
          <cell r="E14991" t="str">
            <v>MAUA INVESTIMENTOS LTDA</v>
          </cell>
        </row>
        <row r="14992">
          <cell r="B14992">
            <v>124290</v>
          </cell>
          <cell r="C14992" t="str">
            <v>BRADESCO H FIA IBOVESPA</v>
          </cell>
          <cell r="D14992" t="str">
            <v>BRADESCO H FIA IBOVESPA</v>
          </cell>
          <cell r="E14992" t="str">
            <v>BRAM - BRADESCO ASSET MANAGEMENT S/A DTVM</v>
          </cell>
        </row>
        <row r="14993">
          <cell r="B14993">
            <v>124291</v>
          </cell>
          <cell r="C14993" t="str">
            <v>BRADESCO FIM CP PALMART</v>
          </cell>
          <cell r="D14993" t="str">
            <v>BRADESCO FIM CP PALMART</v>
          </cell>
          <cell r="E14993" t="str">
            <v>BRADESCO FIM CP PALMART</v>
          </cell>
        </row>
        <row r="14994">
          <cell r="B14994">
            <v>124292</v>
          </cell>
          <cell r="C14994" t="str">
            <v>BRADESCO FIA MASTER DIVIDENDOS</v>
          </cell>
          <cell r="D14994" t="str">
            <v>BRADESCO FIA MASTER DIVIDENDOS</v>
          </cell>
          <cell r="E14994" t="str">
            <v>BRAM - BRADESCO ASSET MANAGEMENT S/A DTVM</v>
          </cell>
        </row>
        <row r="14995">
          <cell r="B14995">
            <v>124293</v>
          </cell>
          <cell r="C14995" t="str">
            <v>BRADESCO FIM CP ROMANEE</v>
          </cell>
          <cell r="D14995" t="str">
            <v>BRADESCO FIM CP ROMANEE</v>
          </cell>
          <cell r="E14995" t="str">
            <v>BRADESCO FIM CP ROMANEE</v>
          </cell>
        </row>
        <row r="14996">
          <cell r="B14996">
            <v>124294</v>
          </cell>
          <cell r="C14996" t="str">
            <v>FIM CP FRATELLI</v>
          </cell>
          <cell r="D14996" t="str">
            <v>FIM CP FRATELLI</v>
          </cell>
          <cell r="E14996" t="str">
            <v>FIM CP FRATELLI</v>
          </cell>
        </row>
        <row r="14997">
          <cell r="B14997">
            <v>124295</v>
          </cell>
          <cell r="C14997" t="str">
            <v>BRADESCO FIA IBRX PLUS</v>
          </cell>
          <cell r="D14997" t="str">
            <v>BRADESCO FIA IBRX PLUS</v>
          </cell>
          <cell r="E14997" t="str">
            <v>BRADESCO FIA IBRX PLUS</v>
          </cell>
        </row>
        <row r="14998">
          <cell r="B14998">
            <v>124296</v>
          </cell>
          <cell r="C14998" t="str">
            <v>BRADESCO FIA INDICE QUALIDADE</v>
          </cell>
          <cell r="D14998" t="str">
            <v>BRADESCO FIA INDICE QUALIDADE</v>
          </cell>
          <cell r="E14998" t="str">
            <v>BRAM - BRADESCO ASSET MANAGEMENT S/A DTVM</v>
          </cell>
        </row>
        <row r="14999">
          <cell r="B14999">
            <v>124297</v>
          </cell>
          <cell r="C14999" t="str">
            <v>BRADESCO FIM CP BRANSCHIN 21</v>
          </cell>
          <cell r="D14999" t="str">
            <v>BRADESCO FIM CP BRANSCHIN 21</v>
          </cell>
          <cell r="E14999" t="str">
            <v>BRAM - BRADESCO ASSET MANAGEMENT S/A DTVM</v>
          </cell>
        </row>
        <row r="15000">
          <cell r="B15000">
            <v>124298</v>
          </cell>
          <cell r="C15000" t="str">
            <v>BRAM LONG BIASED FUNDO DE INVESTIMENTO EM AÃ‡Ã•ES</v>
          </cell>
          <cell r="D15000" t="str">
            <v>BRAM LONG BIASED FUNDO DE INVESTIMENTO EM AÃ‡Ã•ES</v>
          </cell>
          <cell r="E15000" t="str">
            <v>BRAM - BRADESCO ASSET MANAGEMENT S/A DTVM</v>
          </cell>
        </row>
        <row r="15001">
          <cell r="B15001">
            <v>124299</v>
          </cell>
          <cell r="C15001" t="str">
            <v>BRADESCO FIM SUPREMO</v>
          </cell>
          <cell r="D15001" t="str">
            <v>BRADESCO FIM SUPREMO</v>
          </cell>
          <cell r="E15001" t="str">
            <v>BRADESCO FIM SUPREMO</v>
          </cell>
        </row>
        <row r="15002">
          <cell r="B15002">
            <v>124300</v>
          </cell>
          <cell r="C15002" t="str">
            <v>BRAM FIA IBOVESPA ATIVO</v>
          </cell>
          <cell r="D15002" t="str">
            <v>BRAM FIA IBOVESPA ATIVO</v>
          </cell>
          <cell r="E15002" t="str">
            <v>BRAM - BRADESCO ASSET MANAGEMENT S/A DTVM</v>
          </cell>
        </row>
        <row r="15003">
          <cell r="B15003">
            <v>124301</v>
          </cell>
          <cell r="C15003" t="str">
            <v>NOVOS TEMPOS FIM CP IE</v>
          </cell>
          <cell r="D15003" t="str">
            <v>NOVOS TEMPOS FIM CP IE</v>
          </cell>
          <cell r="E15003" t="str">
            <v>NOVOS TEMPOS FIM CP IE</v>
          </cell>
        </row>
        <row r="15004">
          <cell r="B15004">
            <v>124302</v>
          </cell>
          <cell r="C15004" t="str">
            <v>BRADESCO FIA SMALL CAP PLUS</v>
          </cell>
          <cell r="D15004" t="str">
            <v>BRADESCO FIA SMALL CAP PLUS</v>
          </cell>
          <cell r="E15004" t="str">
            <v>BRAM - BRADESCO ASSET MANAGEMENT S/A DTVM</v>
          </cell>
        </row>
        <row r="15005">
          <cell r="B15005">
            <v>124303</v>
          </cell>
          <cell r="C15005" t="str">
            <v>BRADESCO FIA MASTER IBOVESPA</v>
          </cell>
          <cell r="D15005" t="str">
            <v>BRADESCO FIA MASTER IBOVESPA</v>
          </cell>
          <cell r="E15005" t="str">
            <v>BRAM - BRADESCO ASSET MANAGEMENT S/A DTVM</v>
          </cell>
        </row>
        <row r="15006">
          <cell r="B15006">
            <v>124304</v>
          </cell>
          <cell r="C15006" t="str">
            <v>FIA IBOVESPA 157</v>
          </cell>
          <cell r="D15006" t="str">
            <v>FIA IBOVESPA 157</v>
          </cell>
          <cell r="E15006" t="str">
            <v>BRAM - BRADESCO ASSET MANAGEMENT S/A DTVM</v>
          </cell>
        </row>
        <row r="15007">
          <cell r="B15007">
            <v>124305</v>
          </cell>
          <cell r="C15007" t="str">
            <v>BRADESCO FI RF CP HEMATITA</v>
          </cell>
          <cell r="D15007" t="str">
            <v>BRADESCO FI RF CP HEMATITA</v>
          </cell>
          <cell r="E15007" t="str">
            <v>BRADESCO FI RF CP HEMATITA</v>
          </cell>
        </row>
        <row r="15008">
          <cell r="B15008">
            <v>124306</v>
          </cell>
          <cell r="C15008" t="str">
            <v>BRAM PRIVATE FIM DINAMICO</v>
          </cell>
          <cell r="D15008" t="str">
            <v>BRAM PRIVATE FIM DINAMICO</v>
          </cell>
          <cell r="E15008" t="str">
            <v>BRAM PRIVATE FIM DINAMICO</v>
          </cell>
        </row>
        <row r="15009">
          <cell r="B15009">
            <v>124307</v>
          </cell>
          <cell r="C15009" t="str">
            <v>BRADESCO FMP - FGTS VALE - PRIVATE</v>
          </cell>
          <cell r="D15009" t="str">
            <v>BRADESCO FMP - FGTS VALE - PRIVATE</v>
          </cell>
          <cell r="E15009" t="str">
            <v>BRAM - BRADESCO ASSET MANAGEMENT S/A DTVM</v>
          </cell>
        </row>
        <row r="15010">
          <cell r="B15010">
            <v>124308</v>
          </cell>
          <cell r="C15010" t="str">
            <v>AT FIM CP IE</v>
          </cell>
          <cell r="D15010" t="str">
            <v>AT FIM CP IE</v>
          </cell>
          <cell r="E15010" t="str">
            <v>AT FIM CP IE</v>
          </cell>
        </row>
        <row r="15011">
          <cell r="B15011">
            <v>124309</v>
          </cell>
          <cell r="C15011" t="str">
            <v>BRADESCO FIA INFRA - ESTRUTURA</v>
          </cell>
          <cell r="D15011" t="str">
            <v>BRADESCO FIA INFRA - ESTRUTURA</v>
          </cell>
          <cell r="E15011" t="str">
            <v>BRADESCO FIA INFRA - ESTRUTURA</v>
          </cell>
        </row>
        <row r="15012">
          <cell r="B15012">
            <v>124310</v>
          </cell>
          <cell r="C15012" t="str">
            <v>BRADESCO FI EM PIBBS I - AÃ‡Ã•ES</v>
          </cell>
          <cell r="D15012" t="str">
            <v>BRADESCO FI EM PIBBS I - AÃ‡Ã•ES</v>
          </cell>
          <cell r="E15012" t="str">
            <v>BRADESCO FI EM PIBBS I - AÃ‡Ã•ES</v>
          </cell>
        </row>
        <row r="15013">
          <cell r="B15013">
            <v>124311</v>
          </cell>
          <cell r="C15013" t="str">
            <v>BRADESCO FIM CP APREV</v>
          </cell>
          <cell r="D15013" t="str">
            <v>BRADESCO FIM CP APREV</v>
          </cell>
          <cell r="E15013" t="str">
            <v>BRADESCO FIM CP APREV</v>
          </cell>
        </row>
        <row r="15014">
          <cell r="B15014">
            <v>124312</v>
          </cell>
          <cell r="C15014" t="str">
            <v>BRADESCO FI EM PIBBS II - AÃ‡Ã•ES</v>
          </cell>
          <cell r="D15014" t="str">
            <v>BRADESCO FI EM PIBBS II - AÃ‡Ã•ES</v>
          </cell>
          <cell r="E15014" t="str">
            <v>BRADESCO FI EM PIBBS II - AÃ‡Ã•ES</v>
          </cell>
        </row>
        <row r="15015">
          <cell r="B15015">
            <v>124313</v>
          </cell>
          <cell r="C15015" t="str">
            <v>VX5 FUNDO IE MULTIMERCADO CP</v>
          </cell>
          <cell r="D15015" t="str">
            <v>VX5 FUNDO IE MULTIMERCADO CP</v>
          </cell>
          <cell r="E15015" t="str">
            <v>VX5 FUNDO IE MULTIMERCADO CP</v>
          </cell>
        </row>
        <row r="15016">
          <cell r="B15016">
            <v>124314</v>
          </cell>
          <cell r="C15016" t="str">
            <v>RANDONPREV FUNDO DE PENSAO</v>
          </cell>
          <cell r="D15016" t="str">
            <v>RANDONPREV FUNDO DE PENSAO</v>
          </cell>
          <cell r="E15016" t="str">
            <v>RANDONPREV FUNDO DE PENSAO</v>
          </cell>
        </row>
        <row r="15017">
          <cell r="B15017">
            <v>124315</v>
          </cell>
          <cell r="C15017" t="str">
            <v>IAJA - INSTITUTO ADVESTISTA DE JUBILACAO E ASSISTENCIA II</v>
          </cell>
          <cell r="D15017" t="str">
            <v>IAJA - INSTITUTO ADVESTISTA DE JUBILACAO E ASSISTENCIA II</v>
          </cell>
          <cell r="E15017" t="str">
            <v>IAJA - INSTITUTO ADVESTISTA DE JUBILACAO E ASSISTENCIA II</v>
          </cell>
        </row>
        <row r="15018">
          <cell r="B15018">
            <v>79605</v>
          </cell>
          <cell r="C15018" t="str">
            <v>MORE INVEST GESTORA DE RECURSOS LTDA</v>
          </cell>
          <cell r="D15018">
            <v>99605</v>
          </cell>
          <cell r="E15018" t="str">
            <v>MORE INVEST GESTORA DE RECURSOS LTDA</v>
          </cell>
        </row>
        <row r="15019">
          <cell r="B15019">
            <v>124317</v>
          </cell>
          <cell r="C15019" t="str">
            <v>8 GLOBAL MASTER FIM CP</v>
          </cell>
          <cell r="D15019" t="str">
            <v>8 GLOBAL MASTER FIM CP</v>
          </cell>
          <cell r="E15019" t="str">
            <v>OCTANTE GESTAO DE RECURSOS LTDA</v>
          </cell>
        </row>
        <row r="15020">
          <cell r="B15020">
            <v>124318</v>
          </cell>
          <cell r="C15020" t="str">
            <v>MULTIPENSIONS BRADESCO - FUNDO MULTIPATROCINADO DE PREVI PRI</v>
          </cell>
          <cell r="D15020" t="str">
            <v>MULTIPENSIONS BRADESCO - FUNDO MULTIPATROCINADO DE PREVI PRI</v>
          </cell>
          <cell r="E15020" t="str">
            <v>MULTIPENSIONS BRADESCO - FUNDO MULTIPATROCINADO DE PREVI PRI</v>
          </cell>
        </row>
        <row r="15021">
          <cell r="B15021">
            <v>124319</v>
          </cell>
          <cell r="C15021" t="str">
            <v>BRADESCO FIF CLASSE DE INVESTIMENTO EM AÃ‡Ã•ES ZINCO RL</v>
          </cell>
          <cell r="D15021" t="str">
            <v>BRADESCO FIF CLASSE DE INVESTIMENTO EM AÃ‡Ã•ES ZINCO RL</v>
          </cell>
          <cell r="E15021" t="str">
            <v>BRAM - BRADESCO ASSET MANAGEMENT S/A DTVM</v>
          </cell>
        </row>
        <row r="15022">
          <cell r="B15022">
            <v>124320</v>
          </cell>
          <cell r="C15022" t="str">
            <v>P&amp;G PREV - SOCIEDADE DE PREVIDENCIA PRIVADA</v>
          </cell>
          <cell r="D15022" t="str">
            <v>P&amp;G PREV - SOCIEDADE DE PREVIDENCIA PRIVADA</v>
          </cell>
          <cell r="E15022" t="str">
            <v>BRAM - BRADESCO ASSET MANAGEMENT S/A DTVM</v>
          </cell>
        </row>
        <row r="15023">
          <cell r="B15023">
            <v>124321</v>
          </cell>
          <cell r="C15023" t="str">
            <v>BRADESCO FMP - FGTS VALE DO RIO DOCE - PRIVATE I</v>
          </cell>
          <cell r="D15023" t="str">
            <v>BRADESCO FMP - FGTS VALE DO RIO DOCE - PRIVATE I</v>
          </cell>
          <cell r="E15023" t="str">
            <v>BRAM - BRADESCO ASSET MANAGEMENT S/A DTVM</v>
          </cell>
        </row>
        <row r="15024">
          <cell r="B15024">
            <v>124322</v>
          </cell>
          <cell r="C15024" t="str">
            <v>BRADESCO FIM CP ESTRELA D ALVA</v>
          </cell>
          <cell r="D15024" t="str">
            <v>BRADESCO FIM CP ESTRELA D ALVA</v>
          </cell>
          <cell r="E15024" t="str">
            <v>BRADESCO FIM CP ESTRELA D ALVA</v>
          </cell>
        </row>
        <row r="15025">
          <cell r="B15025">
            <v>124323</v>
          </cell>
          <cell r="C15025" t="str">
            <v>BRADESCO FIA VALE</v>
          </cell>
          <cell r="D15025" t="str">
            <v>BRADESCO FIA VALE</v>
          </cell>
          <cell r="E15025" t="str">
            <v>BRAM - BRADESCO ASSET MANAGEMENT S/A DTVM</v>
          </cell>
        </row>
        <row r="15026">
          <cell r="B15026">
            <v>124324</v>
          </cell>
          <cell r="C15026" t="str">
            <v>BRADESCO MULTIPORTIFOLIO FMP - FGTS - CARTEIRA LIVRE</v>
          </cell>
          <cell r="D15026" t="str">
            <v>BRADESCO MULTIPORTIFOLIO FMP - FGTS - CARTEIRA LIVRE</v>
          </cell>
          <cell r="E15026" t="str">
            <v>BRAM - BRADESCO ASSET MANAGEMENT S/A DTVM</v>
          </cell>
        </row>
        <row r="15027">
          <cell r="B15027">
            <v>124325</v>
          </cell>
          <cell r="C15027" t="str">
            <v>BRADESCO FI RF CAROF LENCOIS</v>
          </cell>
          <cell r="D15027" t="str">
            <v>BRADESCO FI RF CAROF LENCOIS</v>
          </cell>
          <cell r="E15027" t="str">
            <v>BRADESCO FI RF CAROF LENCOIS</v>
          </cell>
        </row>
        <row r="15028">
          <cell r="B15028">
            <v>124326</v>
          </cell>
          <cell r="C15028" t="str">
            <v>BRADESCO FIM CP IE YIELD EXPLORER</v>
          </cell>
          <cell r="D15028" t="str">
            <v>BRADESCO FIM CP IE YIELD EXPLORER</v>
          </cell>
          <cell r="E15028" t="str">
            <v>BRADESCO FIM CP IE YIELD EXPLORER</v>
          </cell>
        </row>
        <row r="15029">
          <cell r="B15029">
            <v>124327</v>
          </cell>
          <cell r="C15029" t="str">
            <v>BRADESCO FI RF CP GUAIBA</v>
          </cell>
          <cell r="D15029" t="str">
            <v>BRADESCO FI RF CP GUAIBA</v>
          </cell>
          <cell r="E15029" t="str">
            <v>BRADESCO FI RF CP GUAIBA</v>
          </cell>
        </row>
        <row r="15030">
          <cell r="B15030">
            <v>124328</v>
          </cell>
          <cell r="C15030" t="str">
            <v>BRADESCO FI RF CP VIRADA</v>
          </cell>
          <cell r="D15030" t="str">
            <v>BRADESCO FI RF CP VIRADA</v>
          </cell>
          <cell r="E15030" t="str">
            <v>BRADESCO FI RF CP VIRADA</v>
          </cell>
        </row>
        <row r="15031">
          <cell r="B15031">
            <v>124329</v>
          </cell>
          <cell r="C15031" t="str">
            <v>BRAM FIA</v>
          </cell>
          <cell r="D15031" t="str">
            <v>BRAM FIA</v>
          </cell>
          <cell r="E15031" t="str">
            <v>BRAM - BRADESCO ASSET MANAGEMENT S/A DTVM</v>
          </cell>
        </row>
        <row r="15032">
          <cell r="B15032">
            <v>124330</v>
          </cell>
          <cell r="C15032" t="str">
            <v>BRADESCO FIM COMMODITIES</v>
          </cell>
          <cell r="D15032" t="str">
            <v>BRADESCO FIM COMMODITIES</v>
          </cell>
          <cell r="E15032" t="str">
            <v>BRADESCO FIM COMMODITIES</v>
          </cell>
        </row>
        <row r="15033">
          <cell r="B15033">
            <v>124331</v>
          </cell>
          <cell r="C15033" t="str">
            <v>FIM CMD</v>
          </cell>
          <cell r="D15033" t="str">
            <v>FIM CMD</v>
          </cell>
          <cell r="E15033" t="str">
            <v>FIM CMD</v>
          </cell>
        </row>
        <row r="15034">
          <cell r="B15034">
            <v>124332</v>
          </cell>
          <cell r="C15034" t="str">
            <v>FIM CMD</v>
          </cell>
          <cell r="D15034" t="str">
            <v>FIM CMD</v>
          </cell>
          <cell r="E15034" t="str">
            <v>BRAM - BRADESCO ASSET MANAGEMENT S/A DTVM</v>
          </cell>
        </row>
        <row r="15035">
          <cell r="B15035">
            <v>124333</v>
          </cell>
          <cell r="C15035" t="str">
            <v>BRADESCO FIM CP GALILEO</v>
          </cell>
          <cell r="D15035" t="str">
            <v>BRADESCO FIM CP GALILEO</v>
          </cell>
          <cell r="E15035" t="str">
            <v>BRADESCO FIM CP GALILEO</v>
          </cell>
        </row>
        <row r="15036">
          <cell r="B15036">
            <v>124334</v>
          </cell>
          <cell r="C15036" t="str">
            <v>BRADESCO FIM CP DINI</v>
          </cell>
          <cell r="D15036" t="str">
            <v>BRADESCO FIM CP DINI</v>
          </cell>
          <cell r="E15036" t="str">
            <v>BRADESCO FIM CP DINI</v>
          </cell>
        </row>
        <row r="15037">
          <cell r="B15037">
            <v>124335</v>
          </cell>
          <cell r="C15037" t="str">
            <v>PORTUS INSTITUTO DE SEGURIDADE SOCIAL</v>
          </cell>
          <cell r="D15037" t="str">
            <v>PORTUS INSTITUTO DE SEGURIDADE SOCIAL</v>
          </cell>
          <cell r="E15037" t="str">
            <v>PORTUS INSTITUTO DE SEGURIDADE SOCIAL</v>
          </cell>
        </row>
        <row r="15038">
          <cell r="B15038">
            <v>124336</v>
          </cell>
          <cell r="C15038" t="str">
            <v>ARTESANAL MASTER FIM</v>
          </cell>
          <cell r="D15038" t="str">
            <v>ARTESANAL MASTER FIM</v>
          </cell>
          <cell r="E15038" t="str">
            <v>ARTESANAL INVESTIMENTOS LTDA</v>
          </cell>
        </row>
        <row r="15039">
          <cell r="B15039">
            <v>124337</v>
          </cell>
          <cell r="C15039" t="str">
            <v>VERTRA PSE FIA</v>
          </cell>
          <cell r="D15039" t="str">
            <v>VERTRA PSE FIA</v>
          </cell>
          <cell r="E15039" t="str">
            <v>FRONTIER CAPITAL GESTAO DE RECURSOS LTDA</v>
          </cell>
        </row>
        <row r="15040">
          <cell r="B15040">
            <v>124338</v>
          </cell>
          <cell r="C15040" t="str">
            <v>BTG PACTUAL ARF INVESTMENTS LP</v>
          </cell>
          <cell r="D15040" t="str">
            <v>BTG PACTUAL ARF INVESTMENTS LP</v>
          </cell>
          <cell r="E15040" t="str">
            <v>BTG PACTUAL ASSET MANAGEMENT SA DTVM</v>
          </cell>
        </row>
        <row r="15041">
          <cell r="B15041">
            <v>124339</v>
          </cell>
          <cell r="C15041" t="str">
            <v>NORGES BANK</v>
          </cell>
          <cell r="D15041" t="str">
            <v>NORGES BANK</v>
          </cell>
          <cell r="E15041" t="str">
            <v>BC GESTAO DE RECURSOS LTDA</v>
          </cell>
        </row>
        <row r="15042">
          <cell r="B15042">
            <v>124340</v>
          </cell>
          <cell r="C15042" t="str">
            <v>BB GESTAO DE RECURSOS DTVM LTDA</v>
          </cell>
          <cell r="D15042" t="str">
            <v>BB GESTAO DE RECURSOS DTVM LTDA</v>
          </cell>
          <cell r="E15042" t="str">
            <v>BB GESTAO DE RECURSOS DTVM LTDA</v>
          </cell>
        </row>
        <row r="15043">
          <cell r="B15043">
            <v>124341</v>
          </cell>
          <cell r="C15043" t="str">
            <v>AZ QUEST MULTI MAX MASTER FIM</v>
          </cell>
          <cell r="D15043" t="str">
            <v>AZ QUEST MULTI MAX MASTER FIM</v>
          </cell>
          <cell r="E15043" t="str">
            <v>AZ QUEST INVESTIMENTOS LTDA</v>
          </cell>
        </row>
        <row r="15044">
          <cell r="B15044">
            <v>124342</v>
          </cell>
          <cell r="C15044" t="str">
            <v>BB GESTAO DE RECURSOS DTVM LTDA</v>
          </cell>
          <cell r="D15044" t="str">
            <v>BB GESTAO DE RECURSOS DTVM LTDA</v>
          </cell>
          <cell r="E15044" t="str">
            <v>BB GESTAO DE RECURSOS DTVM LTDA</v>
          </cell>
        </row>
        <row r="15045">
          <cell r="B15045">
            <v>124343</v>
          </cell>
          <cell r="C15045" t="str">
            <v>KONDOR PREVIDENCIA FIFE FIM CP</v>
          </cell>
          <cell r="D15045" t="str">
            <v>KONDOR PREVIDENCIA FIFE FIM CP</v>
          </cell>
          <cell r="E15045" t="str">
            <v>KONDOR ADMINISTRADORA E GESTORA DE RECURSOS FINANCEIROS LTDA</v>
          </cell>
        </row>
        <row r="15046">
          <cell r="B15046">
            <v>124344</v>
          </cell>
          <cell r="C15046" t="str">
            <v>ERMINIO OLIVI LUCCI</v>
          </cell>
          <cell r="D15046" t="str">
            <v>ERMINIO OLIVI LUCCI</v>
          </cell>
          <cell r="E15046" t="str">
            <v>ERMINIO OLIVI LUCCI</v>
          </cell>
        </row>
        <row r="15047">
          <cell r="B15047">
            <v>124345</v>
          </cell>
          <cell r="C15047" t="str">
            <v>BB ADELINO MULTIMERCADO CP LP</v>
          </cell>
          <cell r="D15047" t="str">
            <v>BB ADELINO MULTIMERCADO CP LP</v>
          </cell>
          <cell r="E15047" t="str">
            <v>CAIXA ECONOMICA FEDERAL</v>
          </cell>
        </row>
        <row r="15048">
          <cell r="B15048">
            <v>124346</v>
          </cell>
          <cell r="C15048" t="str">
            <v>SANTANDER CACEIS BRASIL DTVM S.A.</v>
          </cell>
          <cell r="D15048" t="str">
            <v>SANTANDER CACEIS BRASIL DTVM S.A.</v>
          </cell>
          <cell r="E15048" t="str">
            <v>SANTANDER BRASIL GESTAO DE RECURSOS LTDA</v>
          </cell>
        </row>
        <row r="15049">
          <cell r="B15049">
            <v>124347</v>
          </cell>
          <cell r="C15049" t="str">
            <v>BB GESTAO DE RECURSOS DTVM LTDA</v>
          </cell>
          <cell r="D15049" t="str">
            <v>BB GESTAO DE RECURSOS DTVM LTDA</v>
          </cell>
          <cell r="E15049" t="str">
            <v>BB GESTAO DE RECURSOS DTVM LTDA</v>
          </cell>
        </row>
        <row r="15050">
          <cell r="B15050">
            <v>124348</v>
          </cell>
          <cell r="C15050" t="str">
            <v>RIO BRAVO JUROS MASTER FI RF</v>
          </cell>
          <cell r="D15050" t="str">
            <v>RIO BRAVO JUROS MASTER FI RF</v>
          </cell>
          <cell r="E15050" t="str">
            <v>RIO BRAVO JUROS MASTER FI RF</v>
          </cell>
        </row>
        <row r="15051">
          <cell r="B15051">
            <v>124349</v>
          </cell>
          <cell r="C15051" t="str">
            <v>RIO BRAVO APOLLO MASTER FIM</v>
          </cell>
          <cell r="D15051" t="str">
            <v>RIO BRAVO APOLLO MASTER FIM</v>
          </cell>
          <cell r="E15051" t="str">
            <v>RIO BRAVO APOLLO MASTER FIM</v>
          </cell>
        </row>
        <row r="15052">
          <cell r="B15052">
            <v>12435</v>
          </cell>
          <cell r="C15052" t="str">
            <v>BB GESTAO DE RECURSOS DTVM LTDA</v>
          </cell>
          <cell r="D15052" t="str">
            <v>BB GESTAO DE RECURSOS DTVM LTDA</v>
          </cell>
          <cell r="E15052" t="str">
            <v>BB BANCO DE INVESTIMENTO S/A</v>
          </cell>
        </row>
        <row r="15053">
          <cell r="B15053">
            <v>124350</v>
          </cell>
          <cell r="C15053" t="str">
            <v>ARTESANAL MASTER FIM</v>
          </cell>
          <cell r="D15053" t="str">
            <v>ARTESANAL MASTER FIM</v>
          </cell>
          <cell r="E15053" t="str">
            <v>ARTESANAL MASTER FIM</v>
          </cell>
        </row>
        <row r="15054">
          <cell r="B15054">
            <v>124351</v>
          </cell>
          <cell r="C15054" t="str">
            <v>CSHG GAUSS PLUS MASTER FIM CP IE</v>
          </cell>
          <cell r="D15054" t="str">
            <v>CSHG GAUSS PLUS MASTER FIM CP IE</v>
          </cell>
          <cell r="E15054" t="str">
            <v>ASA ASSET GESTAO EM INVESTIMENTOS LTDA</v>
          </cell>
        </row>
        <row r="15055">
          <cell r="B15055">
            <v>124352</v>
          </cell>
          <cell r="C15055" t="str">
            <v>SANTANDER CACEIS BRASIL DTVM S.A.</v>
          </cell>
          <cell r="D15055" t="str">
            <v>SANTANDER CACEIS BRASIL DTVM S.A.</v>
          </cell>
          <cell r="E15055" t="str">
            <v>SANTANDER BRASIL GESTAO DE RECURSOS LTDA</v>
          </cell>
        </row>
        <row r="15056">
          <cell r="B15056">
            <v>124353</v>
          </cell>
          <cell r="C15056" t="str">
            <v>FIA SABESPREV BAHIA AM VALUATION</v>
          </cell>
          <cell r="D15056" t="str">
            <v>FIA SABESPREV BAHIA AM VALUATION</v>
          </cell>
          <cell r="E15056" t="str">
            <v>FIA SABESPREV BAHIA AM VALUATION</v>
          </cell>
        </row>
        <row r="15057">
          <cell r="B15057">
            <v>124354</v>
          </cell>
          <cell r="C15057" t="str">
            <v>BBM BRAZIL EQUITY FUND LLC</v>
          </cell>
          <cell r="D15057" t="str">
            <v>BBM BRAZIL EQUITY FUND LLC</v>
          </cell>
          <cell r="E15057" t="str">
            <v>BAHIA AM LTDA</v>
          </cell>
        </row>
        <row r="15058">
          <cell r="B15058">
            <v>124355</v>
          </cell>
          <cell r="C15058" t="str">
            <v>ARX ALLOCATION FIC DE FIM</v>
          </cell>
          <cell r="D15058" t="str">
            <v>ARX ALLOCATION FIC DE FIM</v>
          </cell>
          <cell r="E15058" t="str">
            <v>ARX INVESTIMENTOS LTDA</v>
          </cell>
        </row>
        <row r="15059">
          <cell r="B15059">
            <v>124356</v>
          </cell>
          <cell r="C15059" t="str">
            <v>ARX MACRO FUNDO DE INVESTIMENTO MULTIMERCADO</v>
          </cell>
          <cell r="D15059" t="str">
            <v>ARX MACRO FUNDO DE INVESTIMENTO MULTIMERCADO</v>
          </cell>
          <cell r="E15059" t="str">
            <v>ARX INVESTIMENTOS LTDA</v>
          </cell>
        </row>
        <row r="15060">
          <cell r="B15060">
            <v>124357</v>
          </cell>
          <cell r="C15060" t="str">
            <v>FL PREMIUM INSTITUCIONAL FI RF LP</v>
          </cell>
          <cell r="D15060" t="str">
            <v>FL PREMIUM INSTITUCIONAL FI RF LP</v>
          </cell>
          <cell r="E15060" t="str">
            <v>FINGER LAKER GESTORA DE RECURSOS LTDA</v>
          </cell>
        </row>
        <row r="15061">
          <cell r="B15061">
            <v>124358</v>
          </cell>
          <cell r="C15061" t="str">
            <v>FL DOURADO INSTITUCIONAL FIM</v>
          </cell>
          <cell r="D15061" t="str">
            <v>FL DOURADO INSTITUCIONAL FIM</v>
          </cell>
          <cell r="E15061" t="str">
            <v>FL DOURADO INSTITUCIONAL FIM</v>
          </cell>
        </row>
        <row r="15062">
          <cell r="B15062">
            <v>124359</v>
          </cell>
          <cell r="C15062" t="str">
            <v>BB GESTAO DE RECURSOS DTVM LTDA</v>
          </cell>
          <cell r="D15062" t="str">
            <v>BB GESTAO DE RECURSOS DTVM LTDA</v>
          </cell>
          <cell r="E15062" t="str">
            <v>BB GESTAO DE RECURSOS DTVM LTDA</v>
          </cell>
        </row>
        <row r="15063">
          <cell r="B15063">
            <v>124360</v>
          </cell>
          <cell r="C15063" t="str">
            <v>SANTANDER CACEIS BRASIL DTVM S.A.</v>
          </cell>
          <cell r="D15063" t="str">
            <v>SANTANDER CACEIS BRASIL DTVM S.A.</v>
          </cell>
          <cell r="E15063" t="str">
            <v>SANTANDER BRASIL GESTAO DE RECURSOS LTDA</v>
          </cell>
        </row>
        <row r="15064">
          <cell r="B15064">
            <v>124361</v>
          </cell>
          <cell r="C15064" t="str">
            <v>SANTANDER CACEIS BRASIL DTVM S.A.</v>
          </cell>
          <cell r="D15064" t="str">
            <v>SANTANDER CACEIS BRASIL DTVM S.A.</v>
          </cell>
          <cell r="E15064" t="str">
            <v>SANTANDER BRASIL GESTAO DE RECURSOS LTDA</v>
          </cell>
        </row>
        <row r="15065">
          <cell r="B15065">
            <v>124362</v>
          </cell>
          <cell r="C15065" t="str">
            <v>WARM FIA</v>
          </cell>
          <cell r="D15065" t="str">
            <v>WARM FIA</v>
          </cell>
          <cell r="E15065" t="str">
            <v>UNA CAPITAL LTDA</v>
          </cell>
        </row>
        <row r="15066">
          <cell r="B15066">
            <v>124363</v>
          </cell>
          <cell r="C15066" t="str">
            <v>SANTANDER CACEIS BRASIL DTVM S.A.</v>
          </cell>
          <cell r="D15066" t="str">
            <v>SANTANDER CACEIS BRASIL DTVM S.A.</v>
          </cell>
          <cell r="E15066" t="str">
            <v>SANTANDER BRASIL GESTAO DE RECURSOS LTDA</v>
          </cell>
        </row>
        <row r="15067">
          <cell r="B15067">
            <v>124364</v>
          </cell>
          <cell r="C15067" t="str">
            <v>POLO HIGH YIELD MASTER CP IE FIM</v>
          </cell>
          <cell r="D15067" t="str">
            <v>POLO HIGH YIELD MASTER CP IE FIM</v>
          </cell>
          <cell r="E15067" t="str">
            <v>POLO CAPITAL GESTÃO DE RECURSOS LTDA</v>
          </cell>
        </row>
        <row r="15068">
          <cell r="B15068">
            <v>124365</v>
          </cell>
          <cell r="C15068" t="str">
            <v>GAUSS CAPITAL GESTORA DE RECURSOS LTDA</v>
          </cell>
          <cell r="D15068">
            <v>397</v>
          </cell>
          <cell r="E15068" t="str">
            <v>ASA ASSET GESTAO EM INVESTIMENTOS LTDA</v>
          </cell>
        </row>
        <row r="15069">
          <cell r="B15069">
            <v>124366</v>
          </cell>
          <cell r="C15069" t="str">
            <v>NEO FUTURE FIA</v>
          </cell>
          <cell r="D15069" t="str">
            <v>NEO FUTURE FIA</v>
          </cell>
          <cell r="E15069" t="str">
            <v>NEO GESTÃO DE RECURSOS LTDA</v>
          </cell>
        </row>
        <row r="15070">
          <cell r="B15070">
            <v>124367</v>
          </cell>
          <cell r="C15070" t="str">
            <v>NEO NAVITAS MASTER FIA</v>
          </cell>
          <cell r="D15070" t="str">
            <v>NEO NAVITAS MASTER FIA</v>
          </cell>
          <cell r="E15070" t="str">
            <v>NEO GESTÃO DE RECURSOS LTDA</v>
          </cell>
        </row>
        <row r="15071">
          <cell r="B15071">
            <v>124368</v>
          </cell>
          <cell r="C15071" t="str">
            <v>KAPITALO MASTER I FIM</v>
          </cell>
          <cell r="D15071" t="str">
            <v>KAPITALO MASTER I FIM</v>
          </cell>
          <cell r="E15071" t="str">
            <v>KAPITALO INVESTIMENTOS LTDA</v>
          </cell>
        </row>
        <row r="15072">
          <cell r="B15072">
            <v>124369</v>
          </cell>
          <cell r="C15072" t="str">
            <v>KAPITALO MASTER II FIM</v>
          </cell>
          <cell r="D15072" t="str">
            <v>KAPITALO MASTER II FIM</v>
          </cell>
          <cell r="E15072" t="str">
            <v>KAPITALO INVESTIMENTOS LTDA</v>
          </cell>
        </row>
        <row r="15073">
          <cell r="B15073">
            <v>124370</v>
          </cell>
          <cell r="C15073" t="str">
            <v>KAPITALO ESTRATEGIAS MASTER FIM</v>
          </cell>
          <cell r="D15073" t="str">
            <v>KAPITALO ESTRATEGIAS MASTER FIM</v>
          </cell>
          <cell r="E15073" t="str">
            <v>KAPITALO INVESTIMENTOS LTDA</v>
          </cell>
        </row>
        <row r="15074">
          <cell r="B15074">
            <v>124371</v>
          </cell>
          <cell r="C15074" t="str">
            <v>TRUXT VALOR MASTER FIF ACOES RESP LTDA</v>
          </cell>
          <cell r="D15074" t="str">
            <v>TRUXT VALOR MASTER FIF ACOES RESP LTDA</v>
          </cell>
          <cell r="E15074" t="str">
            <v>TRUXT INVESTIMENTOS LTDA</v>
          </cell>
        </row>
        <row r="15075">
          <cell r="B15075">
            <v>124372</v>
          </cell>
          <cell r="C15075" t="str">
            <v>TRUXT VALOR MASTER INSTITUCIONAL FIA</v>
          </cell>
          <cell r="D15075" t="str">
            <v>TRUXT VALOR MASTER INSTITUCIONAL FIA</v>
          </cell>
          <cell r="E15075" t="str">
            <v>TRUXT INVESTIMENTOS LTDA</v>
          </cell>
        </row>
        <row r="15076">
          <cell r="B15076">
            <v>124373</v>
          </cell>
          <cell r="C15076" t="str">
            <v>TRUXT MACRO MASTER FIM</v>
          </cell>
          <cell r="D15076" t="str">
            <v>TRUXT MACRO MASTER FIM</v>
          </cell>
          <cell r="E15076" t="str">
            <v>TRUXT INVESTIMENTOS LTDA</v>
          </cell>
        </row>
        <row r="15077">
          <cell r="B15077">
            <v>124374</v>
          </cell>
          <cell r="C15077" t="str">
            <v>TRUXT LONG SHORT MASTER FIM</v>
          </cell>
          <cell r="D15077" t="str">
            <v>TRUXT LONG SHORT MASTER FIM</v>
          </cell>
          <cell r="E15077" t="str">
            <v>TRUXT INVESTIMENTOS LTDA</v>
          </cell>
        </row>
        <row r="15078">
          <cell r="B15078">
            <v>124375</v>
          </cell>
          <cell r="C15078" t="str">
            <v>TRUXT LONG BIAS MASTER FIM</v>
          </cell>
          <cell r="D15078" t="str">
            <v>TRUXT LONG BIAS MASTER FIM</v>
          </cell>
          <cell r="E15078" t="str">
            <v>TRUXT INVESTIMENTOS LTDA</v>
          </cell>
        </row>
        <row r="15079">
          <cell r="B15079">
            <v>124376</v>
          </cell>
          <cell r="C15079" t="str">
            <v>TRUXT MULTIMANAGER BBDC FIM</v>
          </cell>
          <cell r="D15079" t="str">
            <v>TRUXT MULTIMANAGER BBDC FIM</v>
          </cell>
          <cell r="E15079" t="str">
            <v>TRUXT INVESTIMENTOS LTDA</v>
          </cell>
        </row>
        <row r="15080">
          <cell r="B15080">
            <v>124377</v>
          </cell>
          <cell r="C15080" t="str">
            <v>MORGAN STANLEY CTVM S/A</v>
          </cell>
          <cell r="D15080" t="str">
            <v>MORGAN STANLEY CTVM S/A</v>
          </cell>
          <cell r="E15080" t="str">
            <v>MORGAN STANLEY CTVM S/A</v>
          </cell>
        </row>
        <row r="15081">
          <cell r="B15081">
            <v>123950</v>
          </cell>
          <cell r="C15081" t="str">
            <v>CLARITAS UNIMEDVX FI RENDA FIXA LP CP</v>
          </cell>
          <cell r="D15081" t="str">
            <v>CLARITAS UNIMEDVX FI RENDA FIXA LP CP</v>
          </cell>
          <cell r="E15081" t="str">
            <v>CLARITAS ADMINISTRAÇÃO DE RECURSOS LTDA</v>
          </cell>
        </row>
        <row r="15082">
          <cell r="B15082">
            <v>124379</v>
          </cell>
          <cell r="C15082" t="str">
            <v>SANTANDER CACEIS BRASIL DTVM S.A.</v>
          </cell>
          <cell r="D15082" t="str">
            <v>SANTANDER CACEIS BRASIL DTVM S.A.</v>
          </cell>
          <cell r="E15082" t="str">
            <v>SANTANDER BRASIL GESTAO DE RECURSOS LTDA</v>
          </cell>
        </row>
        <row r="15083">
          <cell r="B15083">
            <v>124380</v>
          </cell>
          <cell r="C15083" t="str">
            <v>GAUSS MASTER FIM</v>
          </cell>
          <cell r="D15083" t="str">
            <v>GAUSS MASTER FIM</v>
          </cell>
          <cell r="E15083" t="str">
            <v>ASA ASSET GESTAO EM INVESTIMENTOS LTDA</v>
          </cell>
        </row>
        <row r="15084">
          <cell r="B15084">
            <v>124381</v>
          </cell>
          <cell r="C15084" t="str">
            <v>CSHG IBOVESPA ATIVO 70-130 FIM</v>
          </cell>
          <cell r="D15084" t="str">
            <v>CSHG IBOVESPA ATIVO 70-130 FIM</v>
          </cell>
          <cell r="E15084" t="str">
            <v>CSHG IBOVESPA ATIVO 70-130 FIM</v>
          </cell>
        </row>
        <row r="15085">
          <cell r="B15085">
            <v>124382</v>
          </cell>
          <cell r="C15085" t="str">
            <v>GAUSS FIFE FUNDO DE INVESTIMENTO MULTIMERCADO</v>
          </cell>
          <cell r="D15085" t="str">
            <v>GAUSS FIFE FUNDO DE INVESTIMENTO MULTIMERCADO</v>
          </cell>
          <cell r="E15085" t="str">
            <v>ASA ASSET GESTAO EM INVESTIMENTOS LTDA</v>
          </cell>
        </row>
        <row r="15086">
          <cell r="B15086">
            <v>124383</v>
          </cell>
          <cell r="C15086" t="str">
            <v>CSHG GAUSS PLUS MASTER FIM CP IE</v>
          </cell>
          <cell r="D15086" t="str">
            <v>CSHG GAUSS PLUS MASTER FIM CP IE</v>
          </cell>
          <cell r="E15086" t="str">
            <v>ASA ASSET GESTAO EM INVESTIMENTOS LTDA</v>
          </cell>
        </row>
        <row r="15087">
          <cell r="B15087">
            <v>124385</v>
          </cell>
          <cell r="C15087" t="str">
            <v>GARIN OR FIM</v>
          </cell>
          <cell r="D15087" t="str">
            <v>GARIN OR FIM</v>
          </cell>
          <cell r="E15087" t="str">
            <v>GARIN INVESTIMENTOS LTDA</v>
          </cell>
        </row>
        <row r="15088">
          <cell r="B15088">
            <v>124386</v>
          </cell>
          <cell r="C15088" t="str">
            <v>GARIN CICLICO LONG BIASED FIF MULTIMERCADO</v>
          </cell>
          <cell r="D15088" t="str">
            <v>GARIN CICLICO LONG BIASED FIF MULTIMERCADO</v>
          </cell>
          <cell r="E15088" t="str">
            <v>GARIN INVESTIMENTOS LTDA</v>
          </cell>
        </row>
        <row r="15089">
          <cell r="B15089">
            <v>932496</v>
          </cell>
          <cell r="C15089" t="str">
            <v>UBS BRASIL CCTVM S/A (ANTIGA LINK S/A CCTVM)</v>
          </cell>
          <cell r="D15089" t="str">
            <v>UBS BRASIL CCTVM S/A (ANTIGA LINK S/A CCTVM)</v>
          </cell>
          <cell r="E15089" t="str">
            <v>UBS AG, LONDON BRANCH NOVO</v>
          </cell>
        </row>
        <row r="15090">
          <cell r="B15090">
            <v>901522</v>
          </cell>
          <cell r="C15090" t="str">
            <v>CITIBANK DTVM S/A</v>
          </cell>
          <cell r="D15090" t="str">
            <v>A901522</v>
          </cell>
          <cell r="E15090" t="str">
            <v>CITIBANK DTVM S/A</v>
          </cell>
        </row>
        <row r="15091">
          <cell r="B15091">
            <v>90153</v>
          </cell>
          <cell r="C15091" t="str">
            <v>BB GESTAO DE RECURSOS DTVM LTDA</v>
          </cell>
          <cell r="D15091" t="str">
            <v>BB GESTAO DE RECURSOS DTVM LTDA</v>
          </cell>
          <cell r="E15091" t="str">
            <v>BANCO DO BRASIL S/A</v>
          </cell>
        </row>
        <row r="15092">
          <cell r="B15092">
            <v>901713</v>
          </cell>
          <cell r="C15092" t="str">
            <v>BANCO BTG PACTUAL S/A</v>
          </cell>
          <cell r="D15092" t="str">
            <v>BANCO BTG PACTUAL S/A</v>
          </cell>
          <cell r="E15092" t="str">
            <v>BANCO BTG PACTUAL S/A</v>
          </cell>
        </row>
        <row r="15093">
          <cell r="B15093">
            <v>90183</v>
          </cell>
          <cell r="C15093" t="str">
            <v>BB GESTAO DE RECURSOS DTVM LTDA</v>
          </cell>
          <cell r="D15093" t="str">
            <v>BB GESTAO DE RECURSOS DTVM LTDA</v>
          </cell>
          <cell r="E15093" t="str">
            <v>BANCO DO BRASIL S/A</v>
          </cell>
        </row>
        <row r="15094">
          <cell r="B15094" t="str">
            <v>M42274737000142</v>
          </cell>
          <cell r="C15094" t="str">
            <v>TERRA GESTORA DE RECURSOS LTDA.</v>
          </cell>
          <cell r="D15094" t="str">
            <v>TERRA GESTORA DE RECURSOS LTDA.</v>
          </cell>
          <cell r="E15094" t="str">
            <v>TERRA GESTORA DE RECURSOS LTDA.</v>
          </cell>
        </row>
        <row r="15095">
          <cell r="B15095">
            <v>90189</v>
          </cell>
          <cell r="C15095" t="str">
            <v>BB GESTAO DE RECURSOS DTVM LTDA</v>
          </cell>
          <cell r="D15095" t="str">
            <v>BB GESTAO DE RECURSOS DTVM LTDA</v>
          </cell>
          <cell r="E15095" t="str">
            <v>BANCO DO BRASIL S/A</v>
          </cell>
        </row>
        <row r="15096">
          <cell r="B15096">
            <v>933188</v>
          </cell>
          <cell r="C15096" t="str">
            <v>UBS BRASIL CCTVM S/A (ANTIGA LINK S/A CCTVM)</v>
          </cell>
          <cell r="D15096" t="str">
            <v>UBS BRASIL CCTVM S/A (ANTIGA LINK S/A CCTVM)</v>
          </cell>
          <cell r="E15096" t="str">
            <v>UBS AG, LONDON BRANCH NOVO</v>
          </cell>
        </row>
        <row r="15097">
          <cell r="B15097">
            <v>90196</v>
          </cell>
          <cell r="C15097" t="str">
            <v>BB GESTAO DE RECURSOS DTVM LTDA</v>
          </cell>
          <cell r="D15097" t="str">
            <v>BB GESTAO DE RECURSOS DTVM LTDA</v>
          </cell>
          <cell r="E15097" t="str">
            <v>BANCO DO BRASIL S/A</v>
          </cell>
        </row>
        <row r="15098">
          <cell r="B15098">
            <v>901967</v>
          </cell>
          <cell r="C15098" t="str">
            <v>VOTORANTIM CTVM LTDA</v>
          </cell>
          <cell r="D15098" t="str">
            <v>VOTORANTIM CTVM LTDA</v>
          </cell>
          <cell r="E15098" t="str">
            <v>VOTORANTIM CTVM LTDA</v>
          </cell>
        </row>
        <row r="15099">
          <cell r="B15099">
            <v>901991</v>
          </cell>
          <cell r="C15099" t="str">
            <v>VOTORANTIM CTVM LTDA</v>
          </cell>
          <cell r="D15099" t="str">
            <v>168.5</v>
          </cell>
          <cell r="E15099" t="str">
            <v>VOTORANTIM CTVM LTDA</v>
          </cell>
        </row>
        <row r="15100">
          <cell r="B15100">
            <v>902008</v>
          </cell>
          <cell r="C15100" t="str">
            <v>LINK CM LTDA</v>
          </cell>
          <cell r="D15100" t="str">
            <v>LINK CM LTDA</v>
          </cell>
          <cell r="E15100" t="str">
            <v>LINK CM LTDA</v>
          </cell>
        </row>
        <row r="15101">
          <cell r="B15101">
            <v>902013</v>
          </cell>
          <cell r="C15101" t="str">
            <v>CGD INVESTIMENTOS CORRETORA DE VALORES E CAMBIO S/A</v>
          </cell>
          <cell r="D15101" t="str">
            <v>CGD INVESTIMENTOS CORRETORA DE VALORES E CAMBIO S/A</v>
          </cell>
        </row>
        <row r="15102">
          <cell r="B15102">
            <v>902021</v>
          </cell>
          <cell r="C15102" t="str">
            <v>CREDIT SUISSE HEDGING GRIFFO CV S/A</v>
          </cell>
          <cell r="D15102" t="str">
            <v>CREDIT SUISSE HEDGING GRIFFO CV S/A</v>
          </cell>
          <cell r="E15102" t="str">
            <v>CREDIT SUISSE HEDGING-GRIFFO WEALTH MANAGEMENT S/A</v>
          </cell>
        </row>
        <row r="15103">
          <cell r="B15103">
            <v>902064</v>
          </cell>
          <cell r="C15103" t="str">
            <v>CGD INVESTIMENTOS CORRETORA DE VALORES E CAMBIO S/A</v>
          </cell>
          <cell r="D15103" t="str">
            <v>CGD INVESTIMENTOS CORRETORA DE VALORES E CAMBIO S/A</v>
          </cell>
          <cell r="E15103" t="str">
            <v>CGD INVESTIMENTOS CORRETORA DE VALORES E CAMBIO S/A</v>
          </cell>
        </row>
        <row r="15104">
          <cell r="B15104">
            <v>902082</v>
          </cell>
          <cell r="C15104" t="str">
            <v>FLOW CM LTDA</v>
          </cell>
          <cell r="D15104" t="str">
            <v>FLOW CM LTDA</v>
          </cell>
          <cell r="E15104" t="str">
            <v>FLOW CM LTDA</v>
          </cell>
        </row>
        <row r="15105">
          <cell r="B15105">
            <v>902100</v>
          </cell>
          <cell r="C15105" t="str">
            <v>ITAU CORRETORA DE VALORES S.A.</v>
          </cell>
          <cell r="D15105">
            <v>202100</v>
          </cell>
          <cell r="E15105" t="str">
            <v>ITAU CV S/A</v>
          </cell>
        </row>
        <row r="15106">
          <cell r="B15106">
            <v>902115</v>
          </cell>
          <cell r="C15106" t="str">
            <v>CRUZEIRO DO SUL S/A CVM</v>
          </cell>
          <cell r="D15106" t="str">
            <v>CRUZEIRO DO SUL S/A CVM</v>
          </cell>
          <cell r="E15106" t="str">
            <v>CRUZEIRO DO SUL S/A CVM</v>
          </cell>
        </row>
        <row r="15107">
          <cell r="B15107">
            <v>902214</v>
          </cell>
          <cell r="C15107" t="str">
            <v>VOTORANTIM CTVM LTDA</v>
          </cell>
          <cell r="D15107" t="str">
            <v>VOTORANTIM CTVM LTDA</v>
          </cell>
          <cell r="E15107" t="str">
            <v>VOTORANTIM CTVM LTDA</v>
          </cell>
        </row>
        <row r="15108">
          <cell r="B15108">
            <v>902215</v>
          </cell>
          <cell r="C15108" t="str">
            <v>VOTORANTIM CTVM LTDA</v>
          </cell>
          <cell r="D15108" t="str">
            <v>VOTORANTIM CTVM LTDA</v>
          </cell>
          <cell r="E15108" t="str">
            <v>VOTORANTIM CTVM LTDA</v>
          </cell>
        </row>
        <row r="15109">
          <cell r="B15109">
            <v>902217</v>
          </cell>
          <cell r="C15109" t="str">
            <v>HENCORP COMMCOR CM LTDA</v>
          </cell>
          <cell r="D15109" t="str">
            <v>HENCORP COMMCOR CM LTDA</v>
          </cell>
          <cell r="E15109" t="str">
            <v>HENCORP COMMCOR CM LTDA</v>
          </cell>
        </row>
        <row r="15110">
          <cell r="B15110">
            <v>902278</v>
          </cell>
          <cell r="C15110" t="str">
            <v>ICAP DO BRASIL CTVM LTDA ( ATUAL TULLET)</v>
          </cell>
          <cell r="D15110" t="str">
            <v>ICAP DO BRASIL CTVM LTDA ( ATUAL TULLET)</v>
          </cell>
          <cell r="E15110" t="str">
            <v>ICAP DO BRASIL CTVM LTDA ( ATUAL TULLET)</v>
          </cell>
        </row>
        <row r="15111">
          <cell r="B15111">
            <v>90230</v>
          </cell>
          <cell r="C15111" t="str">
            <v>INTERBOLSA DO BRASIL CCTVM LTDA</v>
          </cell>
          <cell r="D15111">
            <v>367</v>
          </cell>
          <cell r="E15111" t="str">
            <v>INTERBOLSA DO BRASIL CCTVM LTDA</v>
          </cell>
        </row>
        <row r="15112">
          <cell r="B15112">
            <v>902300</v>
          </cell>
          <cell r="C15112" t="str">
            <v>ITAU CORRETORA DE VALORES S.A.</v>
          </cell>
          <cell r="D15112">
            <v>202300</v>
          </cell>
          <cell r="E15112" t="str">
            <v>ITAU CV S/A</v>
          </cell>
        </row>
        <row r="15113">
          <cell r="B15113">
            <v>902334</v>
          </cell>
          <cell r="C15113" t="str">
            <v>VOTORANTIM CTVM LTDA</v>
          </cell>
          <cell r="D15113" t="str">
            <v>168.4</v>
          </cell>
          <cell r="E15113" t="str">
            <v>VOTORANTIM CTVM LTDA</v>
          </cell>
        </row>
        <row r="15114">
          <cell r="B15114">
            <v>935208</v>
          </cell>
          <cell r="C15114" t="str">
            <v>UBS BRASIL CCTVM S/A (ANTIGA LINK S/A CCTVM)</v>
          </cell>
          <cell r="D15114" t="str">
            <v>UBS BRASIL CCTVM S/A (ANTIGA LINK S/A CCTVM)</v>
          </cell>
          <cell r="E15114" t="str">
            <v>UBS AG, LONDON BRANCH NOVO</v>
          </cell>
        </row>
        <row r="15115">
          <cell r="B15115">
            <v>902541</v>
          </cell>
          <cell r="C15115" t="str">
            <v>BTG PACTUAL CM LTDA</v>
          </cell>
          <cell r="D15115" t="str">
            <v>BTG PACTUAL CM LTDA</v>
          </cell>
          <cell r="E15115" t="str">
            <v>BTG PACTUAL CM LTDA</v>
          </cell>
        </row>
        <row r="15116">
          <cell r="B15116">
            <v>902542</v>
          </cell>
          <cell r="C15116" t="str">
            <v>BTG PACTUAL CM LTDA</v>
          </cell>
          <cell r="D15116" t="str">
            <v>BTG PACTUAL CM LTDA</v>
          </cell>
          <cell r="E15116" t="str">
            <v>BTG PACTUAL CM LTDA</v>
          </cell>
        </row>
        <row r="15117">
          <cell r="B15117">
            <v>902547</v>
          </cell>
          <cell r="C15117" t="str">
            <v>BTG PACTUAL CORRETORA DE TITULOS E VALORES MOBILIARIOS S/A</v>
          </cell>
          <cell r="D15117">
            <v>2547</v>
          </cell>
          <cell r="E15117" t="str">
            <v>BTG PACTUAL CORRETORA DE TITULOS E VALORES MOBILIARIOS S/A</v>
          </cell>
        </row>
        <row r="15118">
          <cell r="B15118">
            <v>902548</v>
          </cell>
          <cell r="C15118" t="str">
            <v>BTG PACTUAL CORRETORA DE TITULOS E VALORES MOBILIARIOS S/A</v>
          </cell>
          <cell r="D15118" t="str">
            <v>BTG PACTUAL CORRETORA DE TITULOS E VALORES MOBILIARIOS S/A</v>
          </cell>
          <cell r="E15118" t="str">
            <v>BTG PACTUAL CORRETORA DE TITULOS E VALORES MOBILIARIOS S/A</v>
          </cell>
        </row>
        <row r="15119">
          <cell r="B15119">
            <v>902549</v>
          </cell>
          <cell r="C15119" t="str">
            <v>BTG PACTUAL CORRETORA DE TITULOS E VALORES MOBILIARIOS S/A</v>
          </cell>
          <cell r="D15119" t="str">
            <v>BTG PACTUAL CORRETORA DE TITULOS E VALORES MOBILIARIOS S/A</v>
          </cell>
          <cell r="E15119" t="str">
            <v>BTG PACTUAL CORRETORA DE TITULOS E VALORES MOBILIARIOS S/A</v>
          </cell>
        </row>
        <row r="15120">
          <cell r="B15120">
            <v>902550</v>
          </cell>
          <cell r="C15120" t="str">
            <v>BTG PACTUAL CORRETORA DE TITULOS E VALORES MOBILIARIOS S/A</v>
          </cell>
          <cell r="D15120" t="str">
            <v>BTG PACTUAL CORRETORA DE TITULOS E VALORES MOBILIARIOS S/A</v>
          </cell>
          <cell r="E15120" t="str">
            <v>BTG PACTUAL CORRETORA DE TITULOS E VALORES MOBILIARIOS S/A</v>
          </cell>
        </row>
        <row r="15121">
          <cell r="B15121">
            <v>902552</v>
          </cell>
          <cell r="C15121" t="str">
            <v>BTG PACTUAL CM LTDA</v>
          </cell>
          <cell r="D15121" t="str">
            <v>BTG PACTUAL CM LTDA</v>
          </cell>
          <cell r="E15121" t="str">
            <v>BTG PACTUAL CM LTDA</v>
          </cell>
        </row>
        <row r="15122">
          <cell r="B15122">
            <v>902553</v>
          </cell>
          <cell r="C15122" t="str">
            <v>BTG PACTUAL CORRETORA DE TITULOS E VALORES MOBILIARIOS S/A</v>
          </cell>
          <cell r="D15122" t="str">
            <v>BTG PACTUAL CORRETORA DE TITULOS E VALORES MOBILIARIOS S/A</v>
          </cell>
          <cell r="E15122" t="str">
            <v>BTG PACTUAL CORRETORA DE TITULOS E VALORES MOBILIARIOS S/A</v>
          </cell>
        </row>
        <row r="15123">
          <cell r="B15123">
            <v>902554</v>
          </cell>
          <cell r="C15123" t="str">
            <v>BTG PACTUAL CM LTDA</v>
          </cell>
          <cell r="D15123">
            <v>379</v>
          </cell>
          <cell r="E15123" t="str">
            <v>BTG PACTUAL CM LTDA</v>
          </cell>
        </row>
        <row r="15124">
          <cell r="B15124">
            <v>902555</v>
          </cell>
          <cell r="C15124" t="str">
            <v>BTG PACTUAL CORRETORA DE TITULOS E VALORES MOBILIARIOS S/A</v>
          </cell>
          <cell r="D15124" t="str">
            <v>BTG PACTUAL CORRETORA DE TITULOS E VALORES MOBILIARIOS S/A</v>
          </cell>
          <cell r="E15124" t="str">
            <v>BTG PACTUAL CORRETORA DE TITULOS E VALORES MOBILIARIOS S/A</v>
          </cell>
        </row>
        <row r="15125">
          <cell r="B15125">
            <v>902556</v>
          </cell>
          <cell r="C15125" t="str">
            <v>BTG PACTUAL CORRETORA DE TITULOS E VALORES MOBILIARIOS S/A</v>
          </cell>
          <cell r="D15125" t="str">
            <v>BTG PACTUAL CORRETORA DE TITULOS E VALORES MOBILIARIOS S/A</v>
          </cell>
          <cell r="E15125" t="str">
            <v>BTG PACTUAL CORRETORA DE TITULOS E VALORES MOBILIARIOS S/A</v>
          </cell>
        </row>
        <row r="15126">
          <cell r="B15126">
            <v>902557</v>
          </cell>
          <cell r="C15126" t="str">
            <v>BTG PACTUAL CM LTDA</v>
          </cell>
          <cell r="D15126" t="str">
            <v>BTG PACTUAL CM LTDA</v>
          </cell>
          <cell r="E15126" t="str">
            <v>BTG PACTUAL CM LTDA</v>
          </cell>
        </row>
        <row r="15127">
          <cell r="B15127">
            <v>902601</v>
          </cell>
          <cell r="C15127" t="str">
            <v>CREDIT SUISSE HEDGING GRIFFO CV S/A</v>
          </cell>
          <cell r="D15127" t="str">
            <v>CREDIT SUISSE HEDGING GRIFFO CV S/A</v>
          </cell>
          <cell r="E15127" t="str">
            <v>CREDIT SUISSE HEDGING-GRIFFO WEALTH MANAGEMENT S/A</v>
          </cell>
        </row>
        <row r="15128">
          <cell r="B15128">
            <v>902653</v>
          </cell>
          <cell r="C15128" t="str">
            <v>ATIVA S/A CTCV</v>
          </cell>
          <cell r="D15128">
            <v>357</v>
          </cell>
          <cell r="E15128" t="str">
            <v>ATIVA S/A CTCV</v>
          </cell>
        </row>
        <row r="15129">
          <cell r="B15129">
            <v>902654</v>
          </cell>
          <cell r="C15129" t="str">
            <v>ATIVA S/A CTCV</v>
          </cell>
          <cell r="D15129" t="str">
            <v>ATIVA S/A CTCV</v>
          </cell>
          <cell r="E15129" t="str">
            <v>ATIVA S/A CTCV</v>
          </cell>
        </row>
        <row r="15130">
          <cell r="B15130">
            <v>902657</v>
          </cell>
          <cell r="C15130" t="str">
            <v>BTG PACTUAL CM LTDA</v>
          </cell>
          <cell r="D15130" t="str">
            <v>BTG PACTUAL CM LTDA</v>
          </cell>
          <cell r="E15130" t="str">
            <v>BTG PACTUAL CM LTDA</v>
          </cell>
        </row>
        <row r="15131">
          <cell r="B15131">
            <v>90279</v>
          </cell>
          <cell r="C15131" t="str">
            <v>ATIVA S/A CTCV</v>
          </cell>
          <cell r="D15131" t="str">
            <v>A90279</v>
          </cell>
          <cell r="E15131" t="str">
            <v>ATIVA S/A CTCV</v>
          </cell>
        </row>
        <row r="15132">
          <cell r="B15132">
            <v>90280</v>
          </cell>
          <cell r="C15132" t="str">
            <v>ATIVA S/A CTCV</v>
          </cell>
          <cell r="D15132" t="str">
            <v>ATIVA S/A CTCV</v>
          </cell>
          <cell r="E15132" t="str">
            <v>ATIVA S/A CTCV</v>
          </cell>
        </row>
        <row r="15133">
          <cell r="B15133">
            <v>90435</v>
          </cell>
          <cell r="C15133" t="str">
            <v>BB GESTAO DE RECURSOS DTVM LTDA</v>
          </cell>
          <cell r="D15133" t="str">
            <v>BB GESTAO DE RECURSOS DTVM LTDA</v>
          </cell>
          <cell r="E15133" t="str">
            <v>BANCO DO BRASIL S/A</v>
          </cell>
        </row>
        <row r="15134">
          <cell r="B15134">
            <v>904444</v>
          </cell>
          <cell r="C15134" t="str">
            <v>CM CAPITAL MARKETS CCTVM LTDA</v>
          </cell>
          <cell r="D15134" t="str">
            <v>A904444</v>
          </cell>
          <cell r="E15134" t="str">
            <v>CM CAPITAL MARKETS CCTVM LTDA</v>
          </cell>
        </row>
        <row r="15135">
          <cell r="B15135">
            <v>90450</v>
          </cell>
          <cell r="C15135" t="str">
            <v>FATOR S/A CV</v>
          </cell>
          <cell r="D15135" t="str">
            <v>FATOR S/A CV</v>
          </cell>
          <cell r="E15135" t="str">
            <v>FATOR S/A CV</v>
          </cell>
        </row>
        <row r="15136">
          <cell r="B15136">
            <v>904711</v>
          </cell>
          <cell r="C15136" t="str">
            <v>ITAU CORRETORA DE VALORES S.A.</v>
          </cell>
          <cell r="D15136" t="str">
            <v>ITAU CORRETORA DE VALORES S.A.</v>
          </cell>
          <cell r="E15136" t="str">
            <v>ITAU CV S/A</v>
          </cell>
        </row>
        <row r="15137">
          <cell r="B15137">
            <v>904712</v>
          </cell>
          <cell r="C15137" t="str">
            <v>ITAU CORRETORA DE VALORES S.A.</v>
          </cell>
          <cell r="D15137" t="str">
            <v>ITAU CORRETORA DE VALORES S.A.</v>
          </cell>
          <cell r="E15137" t="str">
            <v>ITAU CV S/A</v>
          </cell>
        </row>
        <row r="15138">
          <cell r="B15138">
            <v>904713</v>
          </cell>
          <cell r="C15138" t="str">
            <v>ITAU CORRETORA DE VALORES S.A.</v>
          </cell>
          <cell r="D15138">
            <v>4713</v>
          </cell>
          <cell r="E15138" t="str">
            <v>ITAU CV S/A</v>
          </cell>
        </row>
        <row r="15139">
          <cell r="B15139">
            <v>904715</v>
          </cell>
          <cell r="C15139" t="str">
            <v>ITAU CORRETORA DE VALORES S.A.</v>
          </cell>
          <cell r="D15139" t="str">
            <v>ITAU CORRETORA DE VALORES S.A.</v>
          </cell>
          <cell r="E15139" t="str">
            <v>ITAU CV S/A</v>
          </cell>
        </row>
        <row r="15140">
          <cell r="B15140">
            <v>904716</v>
          </cell>
          <cell r="C15140" t="str">
            <v>ITAU CORRETORA DE VALORES S.A.</v>
          </cell>
          <cell r="D15140" t="str">
            <v>ITAU CORRETORA DE VALORES S.A.</v>
          </cell>
          <cell r="E15140" t="str">
            <v>ITAU CV S/A</v>
          </cell>
        </row>
        <row r="15141">
          <cell r="B15141">
            <v>904718</v>
          </cell>
          <cell r="C15141" t="str">
            <v>ITAU CORRETORA DE VALORES S.A.</v>
          </cell>
          <cell r="D15141" t="str">
            <v>ITAU CORRETORA DE VALORES S.A.</v>
          </cell>
          <cell r="E15141" t="str">
            <v>ITAU CV S/A</v>
          </cell>
        </row>
        <row r="15142">
          <cell r="B15142">
            <v>904725</v>
          </cell>
          <cell r="C15142" t="str">
            <v>ITAU CORRETORA DE VALORES S.A.</v>
          </cell>
          <cell r="D15142" t="str">
            <v>ITAU CORRETORA DE VALORES S.A.</v>
          </cell>
          <cell r="E15142" t="str">
            <v>ITAU CV S/A</v>
          </cell>
        </row>
        <row r="15143">
          <cell r="B15143">
            <v>904727</v>
          </cell>
          <cell r="C15143" t="str">
            <v>ITAU CORRETORA DE VALORES S.A.</v>
          </cell>
          <cell r="D15143" t="str">
            <v>ITAU CORRETORA DE VALORES S.A.</v>
          </cell>
          <cell r="E15143" t="str">
            <v>ITAU CV S/A</v>
          </cell>
        </row>
        <row r="15144">
          <cell r="B15144">
            <v>904731</v>
          </cell>
          <cell r="C15144" t="str">
            <v>ITAU CORRETORA DE VALORES S.A.</v>
          </cell>
          <cell r="D15144">
            <v>4731</v>
          </cell>
          <cell r="E15144" t="str">
            <v>ITAU CV S/A</v>
          </cell>
        </row>
        <row r="15145">
          <cell r="B15145">
            <v>904732</v>
          </cell>
          <cell r="C15145" t="str">
            <v>ITAU CORRETORA DE VALORES S.A.</v>
          </cell>
          <cell r="D15145" t="str">
            <v>ITAU CORRETORA DE VALORES S.A.</v>
          </cell>
          <cell r="E15145" t="str">
            <v>ITAU CV S/A</v>
          </cell>
        </row>
        <row r="15146">
          <cell r="B15146">
            <v>904733</v>
          </cell>
          <cell r="C15146" t="str">
            <v>ITAU CORRETORA DE VALORES S.A.</v>
          </cell>
          <cell r="D15146" t="str">
            <v>ITAU CORRETORA DE VALORES S.A.</v>
          </cell>
          <cell r="E15146" t="str">
            <v>ITAU CV S/A</v>
          </cell>
        </row>
        <row r="15147">
          <cell r="B15147">
            <v>904734</v>
          </cell>
          <cell r="C15147" t="str">
            <v>ITAU CORRETORA DE VALORES S.A.</v>
          </cell>
          <cell r="D15147">
            <v>166</v>
          </cell>
          <cell r="E15147" t="str">
            <v>ITAU CV S/A</v>
          </cell>
        </row>
        <row r="15148">
          <cell r="B15148">
            <v>904744</v>
          </cell>
          <cell r="C15148" t="str">
            <v>ITAU CORRETORA DE VALORES S.A.</v>
          </cell>
          <cell r="D15148" t="str">
            <v>ITAU CORRETORA DE VALORES S.A.</v>
          </cell>
          <cell r="E15148" t="str">
            <v>ITAU CV S/A</v>
          </cell>
        </row>
        <row r="15149">
          <cell r="B15149">
            <v>904746</v>
          </cell>
          <cell r="C15149" t="str">
            <v>ITAU CORRETORA DE VALORES S.A.</v>
          </cell>
          <cell r="D15149">
            <v>83</v>
          </cell>
          <cell r="E15149" t="str">
            <v>ITAU CV S/A</v>
          </cell>
        </row>
        <row r="15150">
          <cell r="B15150">
            <v>904747</v>
          </cell>
          <cell r="C15150" t="str">
            <v>ITAU CORRETORA DE VALORES S.A.</v>
          </cell>
          <cell r="D15150" t="str">
            <v>ITAU CORRETORA DE VALORES S.A.</v>
          </cell>
          <cell r="E15150" t="str">
            <v>ITAU CV S/A</v>
          </cell>
        </row>
        <row r="15151">
          <cell r="B15151">
            <v>904748</v>
          </cell>
          <cell r="C15151" t="str">
            <v>ITAU CORRETORA DE VALORES S.A.</v>
          </cell>
          <cell r="D15151" t="str">
            <v>152*</v>
          </cell>
          <cell r="E15151" t="str">
            <v>ITAU CV S/A</v>
          </cell>
        </row>
        <row r="15152">
          <cell r="B15152">
            <v>904751</v>
          </cell>
          <cell r="C15152" t="str">
            <v>ITAU CORRETORA DE VALORES S.A.</v>
          </cell>
          <cell r="D15152" t="str">
            <v>ITAU CORRETORA DE VALORES S.A.</v>
          </cell>
          <cell r="E15152" t="str">
            <v>ITAU CV S/A</v>
          </cell>
        </row>
        <row r="15153">
          <cell r="B15153">
            <v>904754</v>
          </cell>
          <cell r="C15153" t="str">
            <v>ITAU CORRETORA DE VALORES S.A.</v>
          </cell>
          <cell r="D15153" t="str">
            <v>ITAU CORRETORA DE VALORES S.A.</v>
          </cell>
          <cell r="E15153" t="str">
            <v>ITAU CV S/A</v>
          </cell>
        </row>
        <row r="15154">
          <cell r="B15154">
            <v>904760</v>
          </cell>
          <cell r="C15154" t="str">
            <v>ITAU CORRETORA DE VALORES S.A.</v>
          </cell>
          <cell r="D15154" t="str">
            <v>ITAU CORRETORA DE VALORES S.A.</v>
          </cell>
          <cell r="E15154" t="str">
            <v>ITAU CV S/A</v>
          </cell>
        </row>
        <row r="15155">
          <cell r="B15155">
            <v>904768</v>
          </cell>
          <cell r="C15155" t="str">
            <v>ITAU CORRETORA DE VALORES S.A.</v>
          </cell>
          <cell r="D15155" t="str">
            <v>ITAU CORRETORA DE VALORES S.A.</v>
          </cell>
          <cell r="E15155" t="str">
            <v>ITAU CV S/A</v>
          </cell>
        </row>
        <row r="15156">
          <cell r="B15156">
            <v>904773</v>
          </cell>
          <cell r="C15156" t="str">
            <v>ITAU CORRETORA DE VALORES S.A.</v>
          </cell>
          <cell r="D15156">
            <v>173</v>
          </cell>
          <cell r="E15156" t="str">
            <v>ITAU CV S/A</v>
          </cell>
        </row>
        <row r="15157">
          <cell r="B15157">
            <v>904780</v>
          </cell>
          <cell r="C15157" t="str">
            <v>ITAU CORRETORA DE VALORES S.A.</v>
          </cell>
          <cell r="D15157">
            <v>4</v>
          </cell>
          <cell r="E15157" t="str">
            <v>ITAU CV S/A</v>
          </cell>
        </row>
        <row r="15158">
          <cell r="B15158">
            <v>904781</v>
          </cell>
          <cell r="C15158" t="str">
            <v>ITAU CORRETORA DE VALORES S.A.</v>
          </cell>
          <cell r="D15158" t="str">
            <v>ITAU CORRETORA DE VALORES S.A.</v>
          </cell>
          <cell r="E15158" t="str">
            <v>ITAU CV S/A</v>
          </cell>
        </row>
        <row r="15159">
          <cell r="B15159">
            <v>904782</v>
          </cell>
          <cell r="C15159" t="str">
            <v>ITAU CORRETORA DE VALORES S.A.</v>
          </cell>
          <cell r="D15159" t="str">
            <v>ITAU CORRETORA DE VALORES S.A.</v>
          </cell>
          <cell r="E15159" t="str">
            <v>ITAU CV S/A</v>
          </cell>
        </row>
        <row r="15160">
          <cell r="B15160">
            <v>904790</v>
          </cell>
          <cell r="C15160" t="str">
            <v>ITAU CORRETORA DE VALORES S.A.</v>
          </cell>
          <cell r="D15160" t="str">
            <v>ITAU CORRETORA DE VALORES S.A.</v>
          </cell>
          <cell r="E15160" t="str">
            <v>ITAU CV S/A</v>
          </cell>
        </row>
        <row r="15161">
          <cell r="B15161">
            <v>904793</v>
          </cell>
          <cell r="C15161" t="str">
            <v>ITAU CORRETORA DE VALORES S.A.</v>
          </cell>
          <cell r="D15161" t="str">
            <v>ITAU CORRETORA DE VALORES S.A.</v>
          </cell>
          <cell r="E15161" t="str">
            <v>ITAU CV S/A</v>
          </cell>
        </row>
        <row r="15162">
          <cell r="B15162">
            <v>904794</v>
          </cell>
          <cell r="C15162" t="str">
            <v>ITAU CORRETORA DE VALORES S.A.</v>
          </cell>
          <cell r="D15162" t="str">
            <v>ITAU CORRETORA DE VALORES S.A.</v>
          </cell>
          <cell r="E15162" t="str">
            <v>ITAU CV S/A</v>
          </cell>
        </row>
        <row r="15163">
          <cell r="B15163">
            <v>904795</v>
          </cell>
          <cell r="C15163" t="str">
            <v>ITAU CORRETORA DE VALORES S.A.</v>
          </cell>
          <cell r="D15163" t="str">
            <v>ITAU CORRETORA DE VALORES S.A.</v>
          </cell>
          <cell r="E15163" t="str">
            <v>ITAU CV S/A</v>
          </cell>
        </row>
        <row r="15164">
          <cell r="B15164">
            <v>904796</v>
          </cell>
          <cell r="C15164" t="str">
            <v>ITAU CORRETORA DE VALORES S.A.</v>
          </cell>
          <cell r="D15164" t="str">
            <v>ITAU CORRETORA DE VALORES S.A.</v>
          </cell>
          <cell r="E15164" t="str">
            <v>ITAU CV S/A</v>
          </cell>
        </row>
        <row r="15165">
          <cell r="B15165">
            <v>904814</v>
          </cell>
          <cell r="C15165" t="str">
            <v>ITAU CORRETORA DE VALORES S.A.</v>
          </cell>
          <cell r="D15165" t="str">
            <v>ITAU CORRETORA DE VALORES S.A.</v>
          </cell>
          <cell r="E15165" t="str">
            <v>ITAU CV S/A</v>
          </cell>
        </row>
        <row r="15166">
          <cell r="B15166">
            <v>904869</v>
          </cell>
          <cell r="C15166" t="str">
            <v>ITAU CORRETORA DE VALORES S.A.</v>
          </cell>
          <cell r="D15166" t="str">
            <v>ITAU CORRETORA DE VALORES S.A.</v>
          </cell>
          <cell r="E15166" t="str">
            <v>ITAU CV S/A</v>
          </cell>
        </row>
        <row r="15167">
          <cell r="B15167">
            <v>904870</v>
          </cell>
          <cell r="C15167" t="str">
            <v>ITAU CORRETORA DE VALORES S.A.</v>
          </cell>
          <cell r="D15167" t="str">
            <v>A904870</v>
          </cell>
          <cell r="E15167" t="str">
            <v>ITAU CV S/A</v>
          </cell>
        </row>
        <row r="15168">
          <cell r="B15168">
            <v>904871</v>
          </cell>
          <cell r="C15168" t="str">
            <v>ITAU CORRETORA DE VALORES S.A.</v>
          </cell>
          <cell r="D15168" t="str">
            <v>A904871</v>
          </cell>
          <cell r="E15168" t="str">
            <v>ITAU CV S/A</v>
          </cell>
        </row>
        <row r="15169">
          <cell r="B15169">
            <v>904872</v>
          </cell>
          <cell r="C15169" t="str">
            <v>ITAU CORRETORA DE VALORES S.A.</v>
          </cell>
          <cell r="D15169" t="str">
            <v>ITAU CORRETORA DE VALORES S.A.</v>
          </cell>
          <cell r="E15169" t="str">
            <v>ITAU CV S/A</v>
          </cell>
        </row>
        <row r="15170">
          <cell r="B15170">
            <v>904873</v>
          </cell>
          <cell r="C15170" t="str">
            <v>ITAU CORRETORA DE VALORES S.A.</v>
          </cell>
          <cell r="D15170">
            <v>6</v>
          </cell>
          <cell r="E15170" t="str">
            <v>ITAU CV S/A</v>
          </cell>
        </row>
        <row r="15171">
          <cell r="B15171">
            <v>904881</v>
          </cell>
          <cell r="C15171" t="str">
            <v>ITAU CORRETORA DE VALORES S.A.</v>
          </cell>
          <cell r="D15171" t="str">
            <v>ITAU CORRETORA DE VALORES S.A.</v>
          </cell>
          <cell r="E15171" t="str">
            <v>ITAU CV S/A</v>
          </cell>
        </row>
        <row r="15172">
          <cell r="B15172">
            <v>904882</v>
          </cell>
          <cell r="C15172" t="str">
            <v>ITAU CORRETORA DE VALORES S.A.</v>
          </cell>
          <cell r="D15172" t="str">
            <v>A904882</v>
          </cell>
          <cell r="E15172" t="str">
            <v>ITAU CV S/A</v>
          </cell>
        </row>
        <row r="15173">
          <cell r="B15173">
            <v>904883</v>
          </cell>
          <cell r="C15173" t="str">
            <v>ITAU CORRETORA DE VALORES S.A.</v>
          </cell>
          <cell r="D15173" t="str">
            <v>ITAU CORRETORA DE VALORES S.A.</v>
          </cell>
          <cell r="E15173" t="str">
            <v>ITAU CV S/A</v>
          </cell>
        </row>
        <row r="15174">
          <cell r="B15174">
            <v>904884</v>
          </cell>
          <cell r="C15174" t="str">
            <v>ITAU CORRETORA DE VALORES S.A.</v>
          </cell>
          <cell r="D15174" t="str">
            <v>A904884</v>
          </cell>
          <cell r="E15174" t="str">
            <v>ITAU CV S/A</v>
          </cell>
        </row>
        <row r="15175">
          <cell r="B15175">
            <v>904885</v>
          </cell>
          <cell r="C15175" t="str">
            <v>ITAU CORRETORA DE VALORES S.A.</v>
          </cell>
          <cell r="D15175" t="str">
            <v>A904885</v>
          </cell>
          <cell r="E15175" t="str">
            <v>ITAU CV S/A</v>
          </cell>
        </row>
        <row r="15176">
          <cell r="B15176">
            <v>904886</v>
          </cell>
          <cell r="C15176" t="str">
            <v>ITAU CORRETORA DE VALORES S.A.</v>
          </cell>
          <cell r="D15176" t="str">
            <v>158*</v>
          </cell>
          <cell r="E15176" t="str">
            <v>ITAU CV S/A</v>
          </cell>
        </row>
        <row r="15177">
          <cell r="B15177">
            <v>904887</v>
          </cell>
          <cell r="C15177" t="str">
            <v>ITAU CORRETORA DE VALORES S.A.</v>
          </cell>
          <cell r="D15177" t="str">
            <v>ITAU CORRETORA DE VALORES S.A.</v>
          </cell>
          <cell r="E15177" t="str">
            <v>ITAU CV S/A</v>
          </cell>
        </row>
        <row r="15178">
          <cell r="B15178">
            <v>904890</v>
          </cell>
          <cell r="C15178" t="str">
            <v>ITAU CORRETORA DE VALORES S.A.</v>
          </cell>
          <cell r="D15178" t="str">
            <v>A904890</v>
          </cell>
          <cell r="E15178" t="str">
            <v>ITAU CV S/A</v>
          </cell>
        </row>
        <row r="15179">
          <cell r="B15179">
            <v>904896</v>
          </cell>
          <cell r="C15179" t="str">
            <v>ITAU CORRETORA DE VALORES S.A.</v>
          </cell>
          <cell r="D15179" t="str">
            <v>A904896</v>
          </cell>
          <cell r="E15179" t="str">
            <v>ITAU CV S/A</v>
          </cell>
        </row>
        <row r="15180">
          <cell r="B15180">
            <v>904897</v>
          </cell>
          <cell r="C15180" t="str">
            <v>ITAU CORRETORA DE VALORES S.A.</v>
          </cell>
          <cell r="D15180" t="str">
            <v>ITAU CORRETORA DE VALORES S.A.</v>
          </cell>
          <cell r="E15180" t="str">
            <v>ITAU CV S/A</v>
          </cell>
        </row>
        <row r="15181">
          <cell r="B15181">
            <v>904950</v>
          </cell>
          <cell r="C15181" t="str">
            <v>MAXIMA S/A CTVM</v>
          </cell>
          <cell r="D15181" t="str">
            <v>MAXIMA S/A CTVM</v>
          </cell>
          <cell r="E15181" t="str">
            <v>MAXIMA S/A CTVM</v>
          </cell>
        </row>
        <row r="15182">
          <cell r="B15182">
            <v>904988</v>
          </cell>
          <cell r="C15182" t="str">
            <v>ITAU CORRETORA DE VALORES S.A.</v>
          </cell>
          <cell r="D15182" t="str">
            <v>ITAU CORRETORA DE VALORES S.A.</v>
          </cell>
          <cell r="E15182" t="str">
            <v>ITAU CV S/A</v>
          </cell>
        </row>
        <row r="15183">
          <cell r="B15183">
            <v>904990</v>
          </cell>
          <cell r="C15183" t="str">
            <v>ITAU CORRETORA DE VALORES S.A.</v>
          </cell>
          <cell r="D15183" t="str">
            <v>ITAU CORRETORA DE VALORES S.A.</v>
          </cell>
          <cell r="E15183" t="str">
            <v>ITAU CV S/A</v>
          </cell>
        </row>
        <row r="15184">
          <cell r="B15184">
            <v>90505</v>
          </cell>
          <cell r="C15184" t="str">
            <v>MERRILL LYNCH S/A CTVM</v>
          </cell>
          <cell r="D15184" t="str">
            <v>A90505</v>
          </cell>
          <cell r="E15184" t="str">
            <v>MERRILL LYNCH S/A CTVM</v>
          </cell>
        </row>
        <row r="15185">
          <cell r="B15185">
            <v>905150</v>
          </cell>
          <cell r="C15185" t="str">
            <v>MAXIMA S/A CTVM</v>
          </cell>
          <cell r="D15185" t="str">
            <v>MAXIMA S/A CTVM</v>
          </cell>
          <cell r="E15185" t="str">
            <v>MAXIMA S/A CTVM</v>
          </cell>
        </row>
        <row r="15186">
          <cell r="B15186">
            <v>905400</v>
          </cell>
          <cell r="C15186" t="str">
            <v>MAXIMA S/A CTVM</v>
          </cell>
          <cell r="D15186">
            <v>154</v>
          </cell>
          <cell r="E15186" t="str">
            <v>MAXIMA S/A CTVM</v>
          </cell>
        </row>
        <row r="15187">
          <cell r="B15187">
            <v>905500</v>
          </cell>
          <cell r="C15187" t="str">
            <v>MAXIMA S/A CTVM</v>
          </cell>
          <cell r="D15187" t="str">
            <v>MAXIMA S/A CTVM</v>
          </cell>
          <cell r="E15187" t="str">
            <v>MAXIMA S/A CTVM</v>
          </cell>
        </row>
        <row r="15188">
          <cell r="B15188">
            <v>905631</v>
          </cell>
          <cell r="C15188" t="str">
            <v>VOTORANTIM CTVM LTDA</v>
          </cell>
          <cell r="D15188">
            <v>170</v>
          </cell>
          <cell r="E15188" t="str">
            <v>VOTORANTIM CTVM LTDA</v>
          </cell>
        </row>
        <row r="15189">
          <cell r="B15189">
            <v>905632</v>
          </cell>
          <cell r="C15189" t="str">
            <v>VOTORANTIM CTVM LTDA</v>
          </cell>
          <cell r="D15189">
            <v>18</v>
          </cell>
          <cell r="E15189" t="str">
            <v>VOTORANTIM CTVM LTDA</v>
          </cell>
        </row>
        <row r="15190">
          <cell r="B15190">
            <v>905650</v>
          </cell>
          <cell r="C15190" t="str">
            <v>VOTORANTIM CTVM LTDA</v>
          </cell>
          <cell r="D15190" t="str">
            <v>VOTORANTIM CTVM LTDA</v>
          </cell>
          <cell r="E15190" t="str">
            <v>VOTORANTIM CTVM LTDA</v>
          </cell>
        </row>
        <row r="15191">
          <cell r="B15191">
            <v>905651</v>
          </cell>
          <cell r="C15191" t="str">
            <v>JBS LOW FIM</v>
          </cell>
          <cell r="D15191" t="str">
            <v>JBS LOW FIM</v>
          </cell>
          <cell r="E15191" t="str">
            <v>JBS LOW FIM</v>
          </cell>
        </row>
        <row r="15192">
          <cell r="B15192">
            <v>905652</v>
          </cell>
          <cell r="C15192" t="str">
            <v>VOTORANTIM CTVM LTDA</v>
          </cell>
          <cell r="D15192" t="str">
            <v>VOTORANTIM CTVM LTDA</v>
          </cell>
          <cell r="E15192" t="str">
            <v>VOTORANTIM CTVM LTDA</v>
          </cell>
        </row>
        <row r="15193">
          <cell r="B15193">
            <v>905653</v>
          </cell>
          <cell r="C15193" t="str">
            <v>JBS QUANTUM FIM</v>
          </cell>
          <cell r="D15193" t="str">
            <v>JBS QUANTUM FIM</v>
          </cell>
          <cell r="E15193" t="str">
            <v>JBS QUANTUM FIM</v>
          </cell>
        </row>
        <row r="15194">
          <cell r="B15194">
            <v>905654</v>
          </cell>
          <cell r="C15194" t="str">
            <v>VOTORANTIM CTVM LTDA</v>
          </cell>
          <cell r="D15194" t="str">
            <v>VOTORANTIM CTVM LTDA</v>
          </cell>
          <cell r="E15194" t="str">
            <v>VOTORANTIM CTVM LTDA</v>
          </cell>
        </row>
        <row r="15195">
          <cell r="B15195">
            <v>905655</v>
          </cell>
          <cell r="C15195" t="str">
            <v>JBS COMMODITIES FIM</v>
          </cell>
          <cell r="D15195" t="str">
            <v>JBS COMMODITIES FIM</v>
          </cell>
          <cell r="E15195" t="str">
            <v>JBS COMMODITIES FIM</v>
          </cell>
        </row>
        <row r="15196">
          <cell r="B15196">
            <v>905656</v>
          </cell>
          <cell r="C15196" t="str">
            <v>JBS CO-STRAT FIM</v>
          </cell>
          <cell r="D15196" t="str">
            <v>JBS CO-STRAT FIM</v>
          </cell>
          <cell r="E15196" t="str">
            <v>JBS CO-STRAT FIM</v>
          </cell>
        </row>
        <row r="15197">
          <cell r="B15197">
            <v>905657</v>
          </cell>
          <cell r="C15197" t="str">
            <v>VOTORANTIM CTVM LTDA</v>
          </cell>
          <cell r="D15197" t="str">
            <v>VOTORANTIM CTVM LTDA</v>
          </cell>
          <cell r="E15197" t="str">
            <v>VOTORANTIM CTVM LTDA</v>
          </cell>
        </row>
        <row r="15198">
          <cell r="B15198">
            <v>905658</v>
          </cell>
          <cell r="C15198" t="str">
            <v>VOTORANTIM CTVM LTDA</v>
          </cell>
          <cell r="D15198" t="str">
            <v>VOTORANTIM CTVM LTDA</v>
          </cell>
          <cell r="E15198" t="str">
            <v>VOTORANTIM CTVM LTDA</v>
          </cell>
        </row>
        <row r="15199">
          <cell r="B15199">
            <v>905660</v>
          </cell>
          <cell r="C15199" t="str">
            <v>VOTORANTIM CTVM LTDA</v>
          </cell>
          <cell r="D15199" t="str">
            <v>VOTORANTIM CTVM LTDA</v>
          </cell>
          <cell r="E15199" t="str">
            <v>VOTORANTIM CTVM LTDA</v>
          </cell>
        </row>
        <row r="15200">
          <cell r="B15200">
            <v>90586</v>
          </cell>
          <cell r="C15200" t="str">
            <v>ITAU CORRETORA DE VALORES S.A.</v>
          </cell>
          <cell r="D15200" t="str">
            <v>A90586</v>
          </cell>
          <cell r="E15200" t="str">
            <v>ITAU CV S/A</v>
          </cell>
        </row>
        <row r="15201">
          <cell r="B15201">
            <v>905872</v>
          </cell>
          <cell r="C15201" t="str">
            <v>SANTANDER BRASIL S/A CTVM</v>
          </cell>
          <cell r="D15201">
            <v>582</v>
          </cell>
          <cell r="E15201" t="str">
            <v>SANTANDER BRASIL S/A CTVM</v>
          </cell>
        </row>
        <row r="15202">
          <cell r="B15202">
            <v>90595</v>
          </cell>
          <cell r="C15202" t="str">
            <v>SANTANDER CORRETORA DE CAMBIO E VALORES MOBILIARIOS S/A</v>
          </cell>
          <cell r="D15202" t="str">
            <v>A90595</v>
          </cell>
          <cell r="E15202" t="str">
            <v>SANTANDER S/A CCT</v>
          </cell>
        </row>
        <row r="15203">
          <cell r="B15203">
            <v>90596</v>
          </cell>
          <cell r="C15203" t="str">
            <v>SANTANDER CORRETORA DE CAMBIO E VALORES MOBILIARIOS S/A</v>
          </cell>
          <cell r="D15203" t="str">
            <v>A90596</v>
          </cell>
          <cell r="E15203" t="str">
            <v>SANTANDER S/A CCT</v>
          </cell>
        </row>
        <row r="15204">
          <cell r="B15204">
            <v>906243</v>
          </cell>
          <cell r="C15204" t="str">
            <v>ITAU CORRETORA DE VALORES S.A.</v>
          </cell>
          <cell r="D15204" t="str">
            <v>ITAU CORRETORA DE VALORES S.A.</v>
          </cell>
          <cell r="E15204" t="str">
            <v>ITAU CV S/A</v>
          </cell>
        </row>
        <row r="15205">
          <cell r="B15205">
            <v>906255</v>
          </cell>
          <cell r="C15205" t="str">
            <v>ITAU CORRETORA DE VALORES S.A.</v>
          </cell>
          <cell r="D15205" t="str">
            <v>ITAU CORRETORA DE VALORES S.A.</v>
          </cell>
          <cell r="E15205" t="str">
            <v>ITAU CV S/A</v>
          </cell>
        </row>
        <row r="15206">
          <cell r="B15206">
            <v>90650</v>
          </cell>
          <cell r="C15206" t="str">
            <v>BTG PACTUAL CM LTDA</v>
          </cell>
          <cell r="D15206" t="str">
            <v>BTG PACTUAL CM LTDA</v>
          </cell>
          <cell r="E15206" t="str">
            <v>BTG PACTUAL CM LTDA</v>
          </cell>
        </row>
        <row r="15207">
          <cell r="B15207">
            <v>906891</v>
          </cell>
          <cell r="C15207" t="str">
            <v>DISTRIBUIDORA INTERCAP TVM LTDA</v>
          </cell>
          <cell r="D15207" t="str">
            <v>DISTRIBUIDORA INTERCAP TVM LTDA</v>
          </cell>
          <cell r="E15207" t="str">
            <v>DISTRIBUIDORA INTERCAP TVM LTDA</v>
          </cell>
        </row>
        <row r="15208">
          <cell r="B15208">
            <v>906966</v>
          </cell>
          <cell r="C15208" t="str">
            <v>SANTANDER S/A CCT</v>
          </cell>
          <cell r="D15208" t="str">
            <v>SANTANDER S/A CCT</v>
          </cell>
          <cell r="E15208" t="str">
            <v>SANTANDER S/A CCT</v>
          </cell>
        </row>
        <row r="15209">
          <cell r="B15209">
            <v>906968</v>
          </cell>
          <cell r="C15209" t="str">
            <v>SANTANDER S/A CCT</v>
          </cell>
          <cell r="D15209" t="str">
            <v>SANTANDER S/A CCT</v>
          </cell>
          <cell r="E15209" t="str">
            <v>SANTANDER S/A CCT</v>
          </cell>
        </row>
        <row r="15210">
          <cell r="B15210" t="str">
            <v>M03751794000113</v>
          </cell>
          <cell r="C15210" t="str">
            <v>TERRA INVESTIMENTOS DISTRIBUIDORA DE TITULOS E VALORES MOBILIARIOS LTDA</v>
          </cell>
          <cell r="D15210" t="str">
            <v>TERRA INVESTIMENTOS DISTRIBUIDORA DE TITULOS E VALORES MOBILIARIOS LTDA</v>
          </cell>
          <cell r="E15210" t="str">
            <v>TERRA INVESTIMENTOS DISTRIBUIDORA DE TITULOS E VALORES MOBILIARIOS LTDA</v>
          </cell>
        </row>
        <row r="15211">
          <cell r="B15211">
            <v>90735</v>
          </cell>
          <cell r="C15211" t="str">
            <v>ITAU CORRETORA DE VALORES S.A.</v>
          </cell>
          <cell r="D15211" t="str">
            <v>ITAU CORRETORA DE VALORES S.A.</v>
          </cell>
          <cell r="E15211" t="str">
            <v>ITAU CV S/A</v>
          </cell>
        </row>
        <row r="15212">
          <cell r="B15212">
            <v>907359</v>
          </cell>
          <cell r="C15212" t="str">
            <v>ICAP DO BRASIL CTVM LTDA ( ATUAL TULLET)</v>
          </cell>
          <cell r="D15212" t="str">
            <v>ICAP DO BRASIL CTVM LTDA ( ATUAL TULLET)</v>
          </cell>
          <cell r="E15212" t="str">
            <v>ICAP DO BRASIL CTVM LTDA ( ATUAL TULLET)</v>
          </cell>
        </row>
        <row r="15213">
          <cell r="B15213">
            <v>907567</v>
          </cell>
          <cell r="C15213" t="str">
            <v>BRADESCO S/A CTVM</v>
          </cell>
          <cell r="D15213" t="str">
            <v>75*</v>
          </cell>
          <cell r="E15213" t="str">
            <v>BRADESCO SA CORRETORA DE TITULOS E VALORES MOBILIARIOS</v>
          </cell>
        </row>
        <row r="15214">
          <cell r="B15214">
            <v>90761</v>
          </cell>
          <cell r="C15214" t="str">
            <v>BTG PACTUAL CORRETORA DE TITULOS E VALORES MOBILIARIOS S/A</v>
          </cell>
          <cell r="D15214" t="str">
            <v>A90761</v>
          </cell>
          <cell r="E15214" t="str">
            <v>BTG PACTUAL CORRETORA DE TITULOS E VALORES MOBILIARIOS S/A</v>
          </cell>
        </row>
        <row r="15215">
          <cell r="B15215">
            <v>907958</v>
          </cell>
          <cell r="C15215" t="str">
            <v>ICAP DO BRASIL CTVM LTDA ( ATUAL TULLET)</v>
          </cell>
          <cell r="D15215" t="str">
            <v>A907958</v>
          </cell>
          <cell r="E15215" t="str">
            <v>ICAP DO BRASIL CTVM LTDA ( ATUAL TULLET)</v>
          </cell>
        </row>
        <row r="15216">
          <cell r="B15216">
            <v>907959</v>
          </cell>
          <cell r="C15216" t="str">
            <v>ICAP DO BRASIL CTVM LTDA ( ATUAL TULLET)</v>
          </cell>
          <cell r="D15216" t="str">
            <v>A907959</v>
          </cell>
          <cell r="E15216" t="str">
            <v>ICAP DO BRASIL CTVM LTDA ( ATUAL TULLET)</v>
          </cell>
        </row>
        <row r="15217">
          <cell r="B15217">
            <v>908014</v>
          </cell>
          <cell r="C15217" t="str">
            <v>ITAU CORRETORA DE VALORES S.A.</v>
          </cell>
          <cell r="D15217" t="str">
            <v>ITAU CORRETORA DE VALORES S.A.</v>
          </cell>
          <cell r="E15217" t="str">
            <v>ITAU CV S/A</v>
          </cell>
        </row>
        <row r="15218">
          <cell r="B15218">
            <v>908017</v>
          </cell>
          <cell r="C15218" t="str">
            <v>VOTORANTIM CTVM LTDA</v>
          </cell>
          <cell r="D15218" t="str">
            <v>A908017</v>
          </cell>
          <cell r="E15218" t="str">
            <v>VOTORANTIM CTVM LTDA</v>
          </cell>
        </row>
        <row r="15219">
          <cell r="B15219">
            <v>908046</v>
          </cell>
          <cell r="C15219" t="str">
            <v>CGD INVESTIMENTOS CORRETORA DE VALORES E CAMBIO S/A</v>
          </cell>
          <cell r="D15219" t="str">
            <v>CGD INVESTIMENTOS CORRETORA DE VALORES E CAMBIO S/A</v>
          </cell>
        </row>
        <row r="15220">
          <cell r="B15220">
            <v>90850</v>
          </cell>
          <cell r="C15220" t="str">
            <v>PROSPER S/A CVC</v>
          </cell>
          <cell r="D15220" t="str">
            <v>PROSPER S/A CVC</v>
          </cell>
          <cell r="E15220" t="str">
            <v>PROSPER S/A CVC</v>
          </cell>
        </row>
        <row r="15221">
          <cell r="B15221">
            <v>937924</v>
          </cell>
          <cell r="C15221" t="str">
            <v>UBS BRASIL CCTVM S/A (ANTIGA LINK S/A CCTVM)</v>
          </cell>
          <cell r="D15221" t="str">
            <v>UBS BRASIL CCTVM S/A (ANTIGA LINK S/A CCTVM)</v>
          </cell>
          <cell r="E15221" t="str">
            <v>UBS AG, LONDON BRANCH NOVO</v>
          </cell>
        </row>
        <row r="15222">
          <cell r="B15222">
            <v>144496</v>
          </cell>
          <cell r="C15222" t="str">
            <v>XP ADVISORY GESTAO DE RECURSOS LTDA</v>
          </cell>
          <cell r="D15222" t="str">
            <v>XP ADVISORY GESTAO DE RECURSOS LTDA</v>
          </cell>
          <cell r="E15222" t="str">
            <v>XP GESTAO DE RECURSOS LTDA</v>
          </cell>
        </row>
        <row r="15223">
          <cell r="B15223">
            <v>909055</v>
          </cell>
          <cell r="C15223" t="str">
            <v>CORRETORA SOUZA BARROS CAMBIO E TITULOS S.A</v>
          </cell>
          <cell r="D15223" t="str">
            <v>CORRETORA SOUZA BARROS CAMBIO E TITULOS S.A</v>
          </cell>
          <cell r="E15223" t="str">
            <v>CORRETORA SOUZA BARROS CAMBIO E TITULOS S.A</v>
          </cell>
        </row>
        <row r="15224">
          <cell r="B15224">
            <v>909090</v>
          </cell>
          <cell r="C15224" t="str">
            <v>MAXIMA S/A CTVM</v>
          </cell>
          <cell r="D15224" t="str">
            <v>MAXIMA S/A CTVM</v>
          </cell>
          <cell r="E15224" t="str">
            <v>MAXIMA S/A CTVM</v>
          </cell>
        </row>
        <row r="15225">
          <cell r="B15225">
            <v>909140</v>
          </cell>
          <cell r="C15225" t="str">
            <v>CGD INVESTIMENTOS CORRETORA DE VALORES E CAMBIO S/A</v>
          </cell>
          <cell r="D15225" t="str">
            <v>CGD INVESTIMENTOS CORRETORA DE VALORES E CAMBIO S/A</v>
          </cell>
        </row>
        <row r="15226">
          <cell r="B15226">
            <v>909167</v>
          </cell>
          <cell r="C15226" t="str">
            <v>BRASCAN S/A CTV</v>
          </cell>
          <cell r="D15226" t="str">
            <v>BRASCAN S/A CTV</v>
          </cell>
          <cell r="E15226" t="str">
            <v>BRASCAN S/A CTV</v>
          </cell>
        </row>
        <row r="15227">
          <cell r="B15227">
            <v>909668</v>
          </cell>
          <cell r="C15227" t="str">
            <v>VOTORANTIM CTVM LTDA</v>
          </cell>
          <cell r="D15227" t="str">
            <v>VOTORANTIM CTVM LTDA</v>
          </cell>
          <cell r="E15227" t="str">
            <v>VOTORANTIM CTVM LTDA</v>
          </cell>
        </row>
        <row r="15228">
          <cell r="B15228">
            <v>937925</v>
          </cell>
          <cell r="C15228" t="str">
            <v>UBS BRASIL CCTVM S/A (ANTIGA LINK S/A CCTVM)</v>
          </cell>
          <cell r="D15228" t="str">
            <v>UBS BRASIL CCTVM S/A (ANTIGA LINK S/A CCTVM)</v>
          </cell>
          <cell r="E15228" t="str">
            <v>UBS AG, LONDON BRANCH NOVO</v>
          </cell>
        </row>
        <row r="15229">
          <cell r="B15229">
            <v>937926</v>
          </cell>
          <cell r="C15229" t="str">
            <v>UBS BRASIL CCTVM S/A (ANTIGA LINK S/A CCTVM)</v>
          </cell>
          <cell r="D15229" t="str">
            <v>UBS BRASIL CCTVM S/A (ANTIGA LINK S/A CCTVM)</v>
          </cell>
          <cell r="E15229" t="str">
            <v>UBS AG, LONDON BRANCH NOVO</v>
          </cell>
        </row>
        <row r="15230">
          <cell r="B15230">
            <v>937927</v>
          </cell>
          <cell r="C15230" t="str">
            <v>UBS BRASIL CCTVM S/A (ANTIGA LINK S/A CCTVM)</v>
          </cell>
          <cell r="D15230" t="str">
            <v>UBS BRASIL CCTVM S/A (ANTIGA LINK S/A CCTVM)</v>
          </cell>
          <cell r="E15230" t="str">
            <v>UBS AG, LONDON BRANCH NOVO</v>
          </cell>
        </row>
        <row r="15231">
          <cell r="B15231">
            <v>909897</v>
          </cell>
          <cell r="C15231" t="str">
            <v>ALPES CCTVM LTDA</v>
          </cell>
          <cell r="D15231" t="str">
            <v>ALPES CCTVM LTDA</v>
          </cell>
          <cell r="E15231" t="str">
            <v>ALPES CCTVM LTDA</v>
          </cell>
        </row>
        <row r="15232">
          <cell r="B15232">
            <v>909898</v>
          </cell>
          <cell r="C15232" t="str">
            <v>ALPES CCTVM LTDA</v>
          </cell>
          <cell r="D15232" t="str">
            <v>ALPES CCTVM LTDA</v>
          </cell>
          <cell r="E15232" t="str">
            <v>ALPES CCTVM LTDA</v>
          </cell>
        </row>
        <row r="15233">
          <cell r="B15233">
            <v>909899</v>
          </cell>
          <cell r="C15233" t="str">
            <v>ALPES CCTVM LTDA</v>
          </cell>
          <cell r="D15233" t="str">
            <v>ALPES CCTVM LTDA</v>
          </cell>
          <cell r="E15233" t="str">
            <v>ALPES CCTVM LTDA</v>
          </cell>
        </row>
        <row r="15234">
          <cell r="B15234">
            <v>909941</v>
          </cell>
          <cell r="C15234" t="str">
            <v>HAITONG SECURITIES  DO BRASIL CCVM (BES SECURITIES DO BRASIL</v>
          </cell>
          <cell r="D15234" t="str">
            <v>HAITONG SECURITIES  DO BRASIL CCVM (BES SECURITIES DO BRASIL</v>
          </cell>
          <cell r="E15234" t="str">
            <v>HAITONG BANCO DE INVESTIMENTO DO BRASIL S/A</v>
          </cell>
        </row>
        <row r="15235">
          <cell r="B15235">
            <v>909942</v>
          </cell>
          <cell r="C15235" t="str">
            <v>HAITONG SECURITIES  DO BRASIL CCVM (BES SECURITIES DO BRASIL</v>
          </cell>
          <cell r="D15235" t="str">
            <v>HAITONG SECURITIES  DO BRASIL CCVM (BES SECURITIES DO BRASIL</v>
          </cell>
          <cell r="E15235" t="str">
            <v>HAITONG BANCO DE INVESTIMENTO DO BRASIL S/A</v>
          </cell>
        </row>
        <row r="15236">
          <cell r="B15236">
            <v>909943</v>
          </cell>
          <cell r="C15236" t="str">
            <v>HAITONG SECURITIES  DO BRASIL CCVM (BES SECURITIES DO BRASIL</v>
          </cell>
          <cell r="D15236" t="str">
            <v>HAITONG SECURITIES  DO BRASIL CCVM (BES SECURITIES DO BRASIL</v>
          </cell>
          <cell r="E15236" t="str">
            <v>HAITONG BANCO DE INVESTIMENTO DO BRASIL S/A</v>
          </cell>
        </row>
        <row r="15237">
          <cell r="B15237">
            <v>91000</v>
          </cell>
          <cell r="C15237" t="str">
            <v>DB INVEST FUNDO DE INVEST MULTIMERCADO</v>
          </cell>
          <cell r="D15237" t="str">
            <v>39*</v>
          </cell>
          <cell r="E15237" t="str">
            <v>DB INVEST FUNDO DE INVEST MULTIMERCADO</v>
          </cell>
        </row>
        <row r="15238">
          <cell r="B15238">
            <v>91002</v>
          </cell>
          <cell r="C15238" t="str">
            <v>MORGAN STANLEY CTVM S/A</v>
          </cell>
          <cell r="D15238" t="str">
            <v>MORGAN STANLEY CTVM S/A</v>
          </cell>
          <cell r="E15238" t="str">
            <v>MORGAN STANLEY CTVM S/A</v>
          </cell>
        </row>
        <row r="15239">
          <cell r="B15239">
            <v>91005</v>
          </cell>
          <cell r="C15239" t="str">
            <v>MORGAN STANLEY CTVM S/A</v>
          </cell>
          <cell r="D15239" t="str">
            <v>MORGAN STANLEY CTVM S/A</v>
          </cell>
          <cell r="E15239" t="str">
            <v>MORGAN STANLEY CTVM S/A</v>
          </cell>
        </row>
        <row r="15240">
          <cell r="B15240">
            <v>910105</v>
          </cell>
          <cell r="C15240" t="str">
            <v>BRADESCO S/A CTVM</v>
          </cell>
          <cell r="D15240" t="str">
            <v>BRADESCO S/A CTVM</v>
          </cell>
          <cell r="E15240" t="str">
            <v>BRADESCO SA CORRETORA DE TITULOS E VALORES MOBILIARIOS</v>
          </cell>
        </row>
        <row r="15241">
          <cell r="B15241">
            <v>910114</v>
          </cell>
          <cell r="C15241" t="str">
            <v>CM CAPITAL MARKETS CCTVM LTDA</v>
          </cell>
          <cell r="D15241" t="str">
            <v>CM CAPITAL MARKETS CCTVM LTDA</v>
          </cell>
          <cell r="E15241" t="str">
            <v>CM CAPITAL MARKETS CCTVM LTDA</v>
          </cell>
        </row>
        <row r="15242">
          <cell r="B15242">
            <v>910124</v>
          </cell>
          <cell r="C15242" t="str">
            <v>NOVINVEST CVM LTDA</v>
          </cell>
          <cell r="D15242" t="str">
            <v>NOVINVEST CVM LTDA</v>
          </cell>
          <cell r="E15242" t="str">
            <v>NOVINVEST CVM LTDA</v>
          </cell>
        </row>
        <row r="15243">
          <cell r="B15243">
            <v>910144</v>
          </cell>
          <cell r="C15243" t="str">
            <v>SINGULARE CORRETORA DE TIRULOS E VALORES MOBILIARIOS SA</v>
          </cell>
          <cell r="D15243" t="str">
            <v>A910144</v>
          </cell>
          <cell r="E15243" t="str">
            <v>SINGULARE CORRETORA DE TIRULOS E VALORES MOBILIARIOS SA</v>
          </cell>
        </row>
        <row r="15244">
          <cell r="B15244">
            <v>910240</v>
          </cell>
          <cell r="C15244" t="str">
            <v>FATOR S/A CV</v>
          </cell>
          <cell r="D15244" t="str">
            <v>FATOR S/A CV</v>
          </cell>
          <cell r="E15244" t="str">
            <v>FATOR S/A CV</v>
          </cell>
        </row>
        <row r="15245">
          <cell r="B15245">
            <v>9103000</v>
          </cell>
          <cell r="C15245" t="str">
            <v>VOTORANTIM CTVM LTDA</v>
          </cell>
          <cell r="D15245" t="str">
            <v>VOTORANTIM CTVM LTDA</v>
          </cell>
          <cell r="E15245" t="str">
            <v>VOTORANTIM CTVM LTDA</v>
          </cell>
        </row>
        <row r="15246">
          <cell r="B15246">
            <v>910366</v>
          </cell>
          <cell r="C15246" t="str">
            <v>UNIBANCO CVM S/A</v>
          </cell>
          <cell r="D15246" t="str">
            <v>UNIBANCO CVM S/A</v>
          </cell>
          <cell r="E15246" t="str">
            <v>UNIBANCO CVM S/A</v>
          </cell>
        </row>
        <row r="15247">
          <cell r="B15247">
            <v>910400</v>
          </cell>
          <cell r="C15247" t="str">
            <v>LINK CM LTDA</v>
          </cell>
          <cell r="D15247" t="str">
            <v>LINK CM LTDA</v>
          </cell>
          <cell r="E15247" t="str">
            <v>LINK CM LTDA</v>
          </cell>
        </row>
        <row r="15248">
          <cell r="B15248">
            <v>910410</v>
          </cell>
          <cell r="C15248" t="str">
            <v>ING CCT S/A</v>
          </cell>
          <cell r="D15248">
            <v>410410</v>
          </cell>
          <cell r="E15248" t="str">
            <v>ING CCT S/A</v>
          </cell>
        </row>
        <row r="15249">
          <cell r="B15249">
            <v>910555</v>
          </cell>
          <cell r="C15249" t="str">
            <v>BRADESCO S/A CTVM</v>
          </cell>
          <cell r="D15249">
            <v>10555</v>
          </cell>
          <cell r="E15249" t="str">
            <v>BRADESCO SA CORRETORA DE TITULOS E VALORES MOBILIARIOS</v>
          </cell>
        </row>
        <row r="15250">
          <cell r="B15250">
            <v>988112</v>
          </cell>
          <cell r="C15250" t="str">
            <v>UBS BRASIL CCTVM S/A (ANTIGA LINK S/A CCTVM)</v>
          </cell>
          <cell r="D15250" t="str">
            <v>UBS BRASIL CCTVM S/A (ANTIGA LINK S/A CCTVM)</v>
          </cell>
          <cell r="E15250" t="str">
            <v>UBS AG, LONDON BRANCH NOVO</v>
          </cell>
        </row>
        <row r="15251">
          <cell r="B15251">
            <v>91077</v>
          </cell>
          <cell r="C15251" t="str">
            <v>JP MORGAN CCVM S/A</v>
          </cell>
          <cell r="D15251" t="str">
            <v>A91077</v>
          </cell>
          <cell r="E15251" t="str">
            <v>JP MORGAN ADMINISTRADORA DE CARTEIRAS BRASIL LTDA</v>
          </cell>
        </row>
        <row r="15252">
          <cell r="B15252">
            <v>9108010</v>
          </cell>
          <cell r="C15252" t="str">
            <v>VOTORANTIM CTVM LTDA</v>
          </cell>
          <cell r="D15252" t="str">
            <v>168.1</v>
          </cell>
          <cell r="E15252" t="str">
            <v>VOTORANTIM CTVM LTDA</v>
          </cell>
        </row>
        <row r="15253">
          <cell r="B15253">
            <v>9108011</v>
          </cell>
          <cell r="C15253" t="str">
            <v>VOTORANTIM CTVM LTDA</v>
          </cell>
          <cell r="D15253" t="str">
            <v>A9108011</v>
          </cell>
          <cell r="E15253" t="str">
            <v>VOTORANTIM CTVM LTDA</v>
          </cell>
        </row>
        <row r="15254">
          <cell r="B15254">
            <v>9108012</v>
          </cell>
          <cell r="C15254" t="str">
            <v>VOTORANTIM CTVM LTDA</v>
          </cell>
          <cell r="D15254" t="str">
            <v>VOTORANTIM CTVM LTDA</v>
          </cell>
          <cell r="E15254" t="str">
            <v>VOTORANTIM CTVM LTDA</v>
          </cell>
        </row>
        <row r="15255">
          <cell r="B15255">
            <v>9108013</v>
          </cell>
          <cell r="C15255" t="str">
            <v>VOTORANTIM CTVM LTDA</v>
          </cell>
          <cell r="D15255" t="str">
            <v>A9108013</v>
          </cell>
          <cell r="E15255" t="str">
            <v>VOTORANTIM CTVM LTDA</v>
          </cell>
        </row>
        <row r="15256">
          <cell r="B15256">
            <v>9108014</v>
          </cell>
          <cell r="C15256" t="str">
            <v>VOTORANTIM CTVM LTDA</v>
          </cell>
          <cell r="D15256" t="str">
            <v>A9108014</v>
          </cell>
          <cell r="E15256" t="str">
            <v>VOTORANTIM CTVM LTDA</v>
          </cell>
        </row>
        <row r="15257">
          <cell r="B15257">
            <v>9108015</v>
          </cell>
          <cell r="C15257" t="str">
            <v>VOTORANTIM CTVM LTDA</v>
          </cell>
          <cell r="D15257" t="str">
            <v>168.2</v>
          </cell>
          <cell r="E15257" t="str">
            <v>VOTORANTIM CTVM LTDA</v>
          </cell>
        </row>
        <row r="15258">
          <cell r="B15258">
            <v>9108016</v>
          </cell>
          <cell r="C15258" t="str">
            <v>VOTORANTIM CTVM LTDA</v>
          </cell>
          <cell r="D15258" t="str">
            <v>168.3</v>
          </cell>
          <cell r="E15258" t="str">
            <v>VOTORANTIM CTVM LTDA</v>
          </cell>
        </row>
        <row r="15259">
          <cell r="B15259">
            <v>911011</v>
          </cell>
          <cell r="C15259" t="str">
            <v>ATIVA S/A CTCV</v>
          </cell>
          <cell r="D15259">
            <v>11011</v>
          </cell>
          <cell r="E15259" t="str">
            <v>ATIVA S/A CTCV</v>
          </cell>
        </row>
        <row r="15260">
          <cell r="B15260">
            <v>911100</v>
          </cell>
          <cell r="C15260" t="str">
            <v>CONCORDIA S/A CVMCC</v>
          </cell>
          <cell r="D15260">
            <v>111000</v>
          </cell>
          <cell r="E15260" t="str">
            <v>CONCORDIA S/A CVMCC</v>
          </cell>
        </row>
        <row r="15261">
          <cell r="B15261">
            <v>911200</v>
          </cell>
          <cell r="C15261" t="str">
            <v>BTG PACTUAL CM LTDA</v>
          </cell>
          <cell r="D15261">
            <v>112000</v>
          </cell>
          <cell r="E15261" t="str">
            <v>BTG PACTUAL CM LTDA</v>
          </cell>
        </row>
        <row r="15262">
          <cell r="B15262">
            <v>911201</v>
          </cell>
          <cell r="C15262" t="str">
            <v>BTG PACTUAL CM LTDA</v>
          </cell>
          <cell r="D15262" t="str">
            <v>157*</v>
          </cell>
          <cell r="E15262" t="str">
            <v>BTG PACTUAL CM LTDA</v>
          </cell>
        </row>
        <row r="15263">
          <cell r="B15263">
            <v>911202</v>
          </cell>
          <cell r="C15263" t="str">
            <v>BTG PACTUAL CM LTDA</v>
          </cell>
          <cell r="D15263" t="str">
            <v>BTG PACTUAL CM LTDA</v>
          </cell>
          <cell r="E15263" t="str">
            <v>BTG PACTUAL CM LTDA</v>
          </cell>
        </row>
        <row r="15264">
          <cell r="B15264">
            <v>911203</v>
          </cell>
          <cell r="C15264" t="str">
            <v>BANCO BTG PACTUAL S/A</v>
          </cell>
          <cell r="D15264">
            <v>157</v>
          </cell>
          <cell r="E15264" t="str">
            <v>BANCO BTG PACTUAL S/A</v>
          </cell>
        </row>
        <row r="15265">
          <cell r="B15265">
            <v>911204</v>
          </cell>
          <cell r="C15265" t="str">
            <v>BTG PACTUAL CM LTDA</v>
          </cell>
          <cell r="D15265" t="str">
            <v>BTG PACTUAL CM LTDA</v>
          </cell>
          <cell r="E15265" t="str">
            <v>BANCO BTG PACTUAL S/A</v>
          </cell>
        </row>
        <row r="15266">
          <cell r="B15266">
            <v>911205</v>
          </cell>
          <cell r="C15266" t="str">
            <v>BTG PACTUAL CM LTDA</v>
          </cell>
          <cell r="D15266" t="str">
            <v>BTG PACTUAL CM LTDA</v>
          </cell>
          <cell r="E15266" t="str">
            <v>BTG PACTUAL CM LTDA</v>
          </cell>
        </row>
        <row r="15267">
          <cell r="B15267">
            <v>911206</v>
          </cell>
          <cell r="C15267" t="str">
            <v>BTG PACTUAL CM LTDA</v>
          </cell>
          <cell r="D15267" t="str">
            <v>BTG PACTUAL CM LTDA</v>
          </cell>
          <cell r="E15267" t="str">
            <v>BTG PACTUAL CM LTDA</v>
          </cell>
        </row>
        <row r="15268">
          <cell r="B15268">
            <v>911210</v>
          </cell>
          <cell r="C15268" t="str">
            <v>BTG PACTUAL CM LTDA</v>
          </cell>
          <cell r="D15268" t="str">
            <v>BTG PACTUAL CM LTDA</v>
          </cell>
          <cell r="E15268" t="str">
            <v>BTG PACTUAL CM LTDA</v>
          </cell>
        </row>
        <row r="15269">
          <cell r="B15269">
            <v>911211</v>
          </cell>
          <cell r="C15269" t="str">
            <v>BTG PACTUAL CM LTDA</v>
          </cell>
          <cell r="D15269" t="str">
            <v>BTG PACTUAL CM LTDA</v>
          </cell>
          <cell r="E15269" t="str">
            <v>BTG PACTUAL CM LTDA</v>
          </cell>
        </row>
        <row r="15270">
          <cell r="B15270">
            <v>911212</v>
          </cell>
          <cell r="C15270" t="str">
            <v>BTG PACTUAL CM LTDA</v>
          </cell>
          <cell r="D15270" t="str">
            <v>BTG PACTUAL CM LTDA</v>
          </cell>
          <cell r="E15270" t="str">
            <v>BTG PACTUAL CM LTDA</v>
          </cell>
        </row>
        <row r="15271">
          <cell r="B15271">
            <v>911213</v>
          </cell>
          <cell r="C15271" t="str">
            <v>BTG PACTUAL CM LTDA</v>
          </cell>
          <cell r="D15271" t="str">
            <v>BTG PACTUAL CM LTDA</v>
          </cell>
          <cell r="E15271" t="str">
            <v>BTG PACTUAL CM LTDA</v>
          </cell>
        </row>
        <row r="15272">
          <cell r="B15272">
            <v>911214</v>
          </cell>
          <cell r="C15272" t="str">
            <v>BTG PACTUAL CM LTDA</v>
          </cell>
          <cell r="D15272" t="str">
            <v>388*</v>
          </cell>
          <cell r="E15272" t="str">
            <v>BTG PACTUAL CM LTDA</v>
          </cell>
        </row>
        <row r="15273">
          <cell r="B15273">
            <v>911300</v>
          </cell>
          <cell r="C15273" t="str">
            <v>BRADESCO S/A CTVM</v>
          </cell>
          <cell r="D15273" t="str">
            <v>BRADESCO S/A CTVM</v>
          </cell>
          <cell r="E15273" t="str">
            <v>BRADESCO SA CORRETORA DE TITULOS E VALORES MOBILIARIOS</v>
          </cell>
        </row>
        <row r="15274">
          <cell r="B15274">
            <v>911481</v>
          </cell>
          <cell r="C15274" t="str">
            <v>ITAU CORRETORA DE VALORES S.A.</v>
          </cell>
          <cell r="D15274" t="str">
            <v>ITAU CORRETORA DE VALORES S.A.</v>
          </cell>
          <cell r="E15274" t="str">
            <v>ITAU CV S/A</v>
          </cell>
        </row>
        <row r="15275">
          <cell r="B15275">
            <v>911490</v>
          </cell>
          <cell r="C15275" t="str">
            <v>ICAP DO BRASIL CTVM LTDA ( ATUAL TULLET)</v>
          </cell>
          <cell r="D15275" t="str">
            <v>ICAP DO BRASIL CTVM LTDA ( ATUAL TULLET)</v>
          </cell>
          <cell r="E15275" t="str">
            <v>ICAP DO BRASIL CTVM LTDA ( ATUAL TULLET)</v>
          </cell>
        </row>
        <row r="15276">
          <cell r="B15276">
            <v>911492</v>
          </cell>
          <cell r="C15276" t="str">
            <v>ITAU CORRETORA DE VALORES S.A.</v>
          </cell>
          <cell r="D15276" t="str">
            <v>ITAU CORRETORA DE VALORES S.A.</v>
          </cell>
          <cell r="E15276" t="str">
            <v>ITAU CV S/A</v>
          </cell>
        </row>
        <row r="15277">
          <cell r="B15277">
            <v>9115</v>
          </cell>
          <cell r="C15277" t="str">
            <v>UM INVESTIMENTOS S/A CTVM</v>
          </cell>
          <cell r="D15277" t="str">
            <v>331*</v>
          </cell>
          <cell r="E15277" t="str">
            <v>UM INVESTIMENTOS S/A CTVM</v>
          </cell>
        </row>
        <row r="15278">
          <cell r="B15278">
            <v>911528</v>
          </cell>
          <cell r="C15278" t="str">
            <v>ITAU CORRETORA DE VALORES S.A.</v>
          </cell>
          <cell r="D15278" t="str">
            <v>ITAU CORRETORA DE VALORES S.A.</v>
          </cell>
          <cell r="E15278" t="str">
            <v>ITAU CV S/A</v>
          </cell>
        </row>
        <row r="15279">
          <cell r="B15279">
            <v>9116</v>
          </cell>
          <cell r="C15279" t="str">
            <v>ITAU CORRETORA DE VALORES S.A.</v>
          </cell>
          <cell r="D15279" t="str">
            <v>ITAU CORRETORA DE VALORES S.A.</v>
          </cell>
          <cell r="E15279" t="str">
            <v>ITAU CV S/A</v>
          </cell>
        </row>
        <row r="15280">
          <cell r="B15280">
            <v>911704</v>
          </cell>
          <cell r="C15280" t="str">
            <v>HSBC CTVM S/A ATUAL BRADESCO-KIRTON</v>
          </cell>
          <cell r="D15280" t="str">
            <v>HSBC CTVM S/A ATUAL BRADESCO-KIRTON</v>
          </cell>
          <cell r="E15280" t="str">
            <v>HSBC CTVM S/A ATUAL BRADESCO-KIRTON</v>
          </cell>
        </row>
        <row r="15281">
          <cell r="B15281">
            <v>911851</v>
          </cell>
          <cell r="C15281" t="str">
            <v>ITAU CORRETORA DE VALORES S.A.</v>
          </cell>
          <cell r="D15281" t="str">
            <v>61.3</v>
          </cell>
          <cell r="E15281" t="str">
            <v>ITAU CV S/A</v>
          </cell>
        </row>
        <row r="15282">
          <cell r="B15282">
            <v>911862</v>
          </cell>
          <cell r="C15282" t="str">
            <v>LINK CM LTDA</v>
          </cell>
          <cell r="D15282" t="str">
            <v>LINK CM LTDA</v>
          </cell>
          <cell r="E15282" t="str">
            <v>LINK CM LTDA</v>
          </cell>
        </row>
        <row r="15283">
          <cell r="B15283">
            <v>912001</v>
          </cell>
          <cell r="C15283" t="str">
            <v>BRADESCO S/A CTVM</v>
          </cell>
          <cell r="D15283" t="str">
            <v>BRADESCO S/A CTVM</v>
          </cell>
          <cell r="E15283" t="str">
            <v>BRADESCO SA CORRETORA DE TITULOS E VALORES MOBILIARIOS</v>
          </cell>
        </row>
        <row r="15284">
          <cell r="B15284">
            <v>912008</v>
          </cell>
          <cell r="C15284" t="str">
            <v>MAXIMA S/A CTVM</v>
          </cell>
          <cell r="D15284" t="str">
            <v>MAXIMA S/A CTVM</v>
          </cell>
          <cell r="E15284" t="str">
            <v>MAXIMA S/A CTVM</v>
          </cell>
        </row>
        <row r="15285">
          <cell r="B15285">
            <v>912158</v>
          </cell>
          <cell r="C15285" t="str">
            <v>VOTORANTIM CTVM LTDA</v>
          </cell>
          <cell r="D15285" t="str">
            <v>VOTORANTIM CTVM LTDA</v>
          </cell>
          <cell r="E15285" t="str">
            <v>VOTORANTIM CTVM LTDA</v>
          </cell>
        </row>
        <row r="15286">
          <cell r="B15286">
            <v>912212</v>
          </cell>
          <cell r="C15286" t="str">
            <v>LINK CM LTDA</v>
          </cell>
          <cell r="D15286" t="str">
            <v>LINK CM LTDA</v>
          </cell>
          <cell r="E15286" t="str">
            <v>LINK CM LTDA</v>
          </cell>
        </row>
        <row r="15287">
          <cell r="B15287">
            <v>912244</v>
          </cell>
          <cell r="C15287" t="str">
            <v>ITAU CORRETORA DE VALORES S.A.</v>
          </cell>
          <cell r="D15287" t="str">
            <v>ITAU CORRETORA DE VALORES S.A.</v>
          </cell>
          <cell r="E15287" t="str">
            <v>ITAU CV S/A</v>
          </cell>
        </row>
        <row r="15288">
          <cell r="B15288">
            <v>912245</v>
          </cell>
          <cell r="C15288" t="str">
            <v>ITAU CORRETORA DE VALORES S.A.</v>
          </cell>
          <cell r="D15288" t="str">
            <v>ITAU CORRETORA DE VALORES S.A.</v>
          </cell>
          <cell r="E15288" t="str">
            <v>ITAU CV S/A</v>
          </cell>
        </row>
        <row r="15289">
          <cell r="B15289">
            <v>912246</v>
          </cell>
          <cell r="C15289" t="str">
            <v>ITAU CORRETORA DE VALORES S.A.</v>
          </cell>
          <cell r="D15289">
            <v>387</v>
          </cell>
          <cell r="E15289" t="str">
            <v>ITAU CV S/A</v>
          </cell>
        </row>
        <row r="15290">
          <cell r="B15290">
            <v>912275</v>
          </cell>
          <cell r="C15290" t="str">
            <v>CONCORDIA S/A CVMCC</v>
          </cell>
          <cell r="D15290" t="str">
            <v>CONCORDIA S/A CVMCC</v>
          </cell>
          <cell r="E15290" t="str">
            <v>CONCORDIA S/A CVMCC</v>
          </cell>
        </row>
        <row r="15291">
          <cell r="B15291">
            <v>9122977</v>
          </cell>
          <cell r="C15291" t="str">
            <v>BTG PACTUAL CM LTDA</v>
          </cell>
          <cell r="D15291" t="str">
            <v>BTG PACTUAL CM LTDA</v>
          </cell>
          <cell r="E15291" t="str">
            <v>BTG PACTUAL CM LTDA</v>
          </cell>
        </row>
        <row r="15292">
          <cell r="B15292">
            <v>912977</v>
          </cell>
          <cell r="C15292" t="str">
            <v>BTG PACTUAL CM LTDA</v>
          </cell>
          <cell r="D15292" t="str">
            <v>A912977</v>
          </cell>
          <cell r="E15292" t="str">
            <v>BTG PACTUAL CM LTDA</v>
          </cell>
        </row>
        <row r="15293">
          <cell r="B15293">
            <v>913118</v>
          </cell>
          <cell r="C15293" t="str">
            <v>FATOR S/A CV</v>
          </cell>
          <cell r="D15293">
            <v>131018</v>
          </cell>
          <cell r="E15293" t="str">
            <v>FATOR S/A CV</v>
          </cell>
        </row>
        <row r="15294">
          <cell r="B15294">
            <v>91312</v>
          </cell>
          <cell r="C15294" t="str">
            <v>ICAP DO BRASIL CTVM LTDA ( ATUAL TULLET)</v>
          </cell>
          <cell r="D15294" t="str">
            <v>ICAP DO BRASIL CTVM LTDA ( ATUAL TULLET)</v>
          </cell>
          <cell r="E15294" t="str">
            <v>ICAP DO BRASIL CTVM LTDA ( ATUAL TULLET)</v>
          </cell>
        </row>
        <row r="15295">
          <cell r="B15295">
            <v>913121</v>
          </cell>
          <cell r="C15295" t="str">
            <v>FATOR S/A CV</v>
          </cell>
          <cell r="D15295" t="str">
            <v>FATOR S/A CV</v>
          </cell>
          <cell r="E15295" t="str">
            <v>FATOR S/A CV</v>
          </cell>
        </row>
        <row r="15296">
          <cell r="B15296">
            <v>913129</v>
          </cell>
          <cell r="C15296" t="str">
            <v>FATOR S/A CV</v>
          </cell>
          <cell r="D15296" t="str">
            <v>FATOR S/A CV</v>
          </cell>
          <cell r="E15296" t="str">
            <v>FATOR S/A CV</v>
          </cell>
        </row>
        <row r="15297">
          <cell r="B15297">
            <v>913213</v>
          </cell>
          <cell r="C15297" t="str">
            <v>ICAP DO BRASIL CTVM LTDA ( ATUAL TULLET)</v>
          </cell>
          <cell r="D15297" t="str">
            <v>ICAP DO BRASIL CTVM LTDA ( ATUAL TULLET)</v>
          </cell>
          <cell r="E15297" t="str">
            <v>ICAP DO BRASIL CTVM LTDA ( ATUAL TULLET)</v>
          </cell>
        </row>
        <row r="15298">
          <cell r="B15298">
            <v>913231</v>
          </cell>
          <cell r="C15298" t="str">
            <v>ICAP DO BRASIL CTVM LTDA ( ATUAL TULLET)</v>
          </cell>
          <cell r="D15298" t="str">
            <v>ICAP DO BRASIL CTVM LTDA ( ATUAL TULLET)</v>
          </cell>
          <cell r="E15298" t="str">
            <v>ICAP DO BRASIL CTVM LTDA ( ATUAL TULLET)</v>
          </cell>
        </row>
        <row r="15299">
          <cell r="B15299">
            <v>913400</v>
          </cell>
          <cell r="C15299" t="str">
            <v>INTERBOLSA DO BRASIL CCTVM LTDA</v>
          </cell>
          <cell r="D15299" t="str">
            <v>INTERBOLSA DO BRASIL CCTVM LTDA</v>
          </cell>
          <cell r="E15299" t="str">
            <v>INTERBOLSA DO BRASIL CCTVM LTDA</v>
          </cell>
        </row>
        <row r="15300">
          <cell r="B15300">
            <v>914000</v>
          </cell>
          <cell r="C15300" t="str">
            <v>LOPEZ LEON DERIVATIVOS CM S/A</v>
          </cell>
          <cell r="D15300" t="str">
            <v>LOPEZ LEON DERIVATIVOS CM S/A</v>
          </cell>
          <cell r="E15300" t="str">
            <v>LOPEZ LEON DERIVATIVOS CM S/A</v>
          </cell>
        </row>
        <row r="15301">
          <cell r="B15301">
            <v>91401</v>
          </cell>
          <cell r="C15301" t="str">
            <v>SLW CVC LTDA</v>
          </cell>
          <cell r="D15301" t="str">
            <v>SLW CVC LTDA</v>
          </cell>
          <cell r="E15301" t="str">
            <v>SLW CVC LTDA</v>
          </cell>
        </row>
        <row r="15302">
          <cell r="B15302">
            <v>914058</v>
          </cell>
          <cell r="C15302" t="str">
            <v>GRADUAL CCTVM S/A</v>
          </cell>
          <cell r="D15302" t="str">
            <v>GRADUAL CCTVM S/A</v>
          </cell>
          <cell r="E15302" t="str">
            <v>GRADUAL CCTVM S/A</v>
          </cell>
        </row>
        <row r="15303">
          <cell r="B15303">
            <v>91412</v>
          </cell>
          <cell r="C15303" t="str">
            <v>BRADESCO S/A CTVM</v>
          </cell>
          <cell r="D15303" t="str">
            <v>BRADESCO S/A CTVM</v>
          </cell>
          <cell r="E15303" t="str">
            <v>BRADESCO SA CORRETORA DE TITULOS E VALORES MOBILIARIOS</v>
          </cell>
        </row>
        <row r="15304">
          <cell r="B15304">
            <v>914213</v>
          </cell>
          <cell r="C15304" t="str">
            <v>ICAP DO BRASIL CTVM LTDA ( ATUAL TULLET)</v>
          </cell>
          <cell r="D15304" t="str">
            <v>ICAP DO BRASIL CTVM LTDA ( ATUAL TULLET)</v>
          </cell>
          <cell r="E15304" t="str">
            <v>ICAP DO BRASIL CTVM LTDA ( ATUAL TULLET)</v>
          </cell>
        </row>
        <row r="15305">
          <cell r="B15305">
            <v>9144001</v>
          </cell>
          <cell r="C15305" t="str">
            <v>HAITONG SECURITIES  DO BRASIL CCVM (BES SECURITIES DO BRASIL</v>
          </cell>
          <cell r="D15305" t="str">
            <v>HAITONG SECURITIES  DO BRASIL CCVM (BES SECURITIES DO BRASIL</v>
          </cell>
          <cell r="E15305" t="str">
            <v>HAITONG BANCO DE INVESTIMENTO DO BRASIL S/A</v>
          </cell>
        </row>
        <row r="15306">
          <cell r="B15306">
            <v>9144002</v>
          </cell>
          <cell r="C15306" t="str">
            <v>HAITONG SECURITIES  DO BRASIL CCVM (BES SECURITIES DO BRASIL</v>
          </cell>
          <cell r="D15306" t="str">
            <v>HAITONG SECURITIES  DO BRASIL CCVM (BES SECURITIES DO BRASIL</v>
          </cell>
          <cell r="E15306" t="str">
            <v>HAITONG BANCO DE INVESTIMENTO DO BRASIL S/A</v>
          </cell>
        </row>
        <row r="15307">
          <cell r="B15307">
            <v>9144003</v>
          </cell>
          <cell r="C15307" t="str">
            <v>HAITONG SECURITIES  DO BRASIL CCVM (BES SECURITIES DO BRASIL</v>
          </cell>
          <cell r="D15307" t="str">
            <v>HAITONG SECURITIES  DO BRASIL CCVM (BES SECURITIES DO BRASIL</v>
          </cell>
          <cell r="E15307" t="str">
            <v>HAITONG BANCO DE INVESTIMENTO DO BRASIL S/A</v>
          </cell>
        </row>
        <row r="15308">
          <cell r="B15308">
            <v>9144105</v>
          </cell>
          <cell r="C15308" t="str">
            <v>HEDGING GRIFFO CV S/A</v>
          </cell>
          <cell r="D15308" t="str">
            <v>HEDGING GRIFFO CV S/A</v>
          </cell>
          <cell r="E15308" t="str">
            <v>HEDGING GRIFFO CV S/A</v>
          </cell>
        </row>
        <row r="15309">
          <cell r="B15309">
            <v>914414</v>
          </cell>
          <cell r="C15309" t="str">
            <v>ATIVA S/A CTCV</v>
          </cell>
          <cell r="D15309" t="str">
            <v>A914414</v>
          </cell>
          <cell r="E15309" t="str">
            <v>ATIVA S/A CTCV</v>
          </cell>
        </row>
        <row r="15310">
          <cell r="B15310">
            <v>9144143</v>
          </cell>
          <cell r="C15310" t="str">
            <v>BTG PACTUAL CORRETORA DE TITULOS E VALORES MOBILIARIOS S/A</v>
          </cell>
          <cell r="D15310" t="str">
            <v>A9144143</v>
          </cell>
          <cell r="E15310" t="str">
            <v>BTG PACTUAL CORRETORA DE TITULOS E VALORES MOBILIARIOS S/A</v>
          </cell>
        </row>
        <row r="15311">
          <cell r="B15311">
            <v>914424</v>
          </cell>
          <cell r="C15311" t="str">
            <v>MERRILL LYNCH S/A CTVM</v>
          </cell>
          <cell r="D15311" t="str">
            <v>A914424</v>
          </cell>
          <cell r="E15311" t="str">
            <v>MERRILL LYNCH S/A CTVM</v>
          </cell>
        </row>
        <row r="15312">
          <cell r="B15312">
            <v>9144250</v>
          </cell>
          <cell r="C15312" t="str">
            <v>SANTANDER S/A CCT</v>
          </cell>
          <cell r="D15312" t="str">
            <v>285*</v>
          </cell>
          <cell r="E15312" t="str">
            <v>SANTANDER S/A CCT</v>
          </cell>
        </row>
        <row r="15313">
          <cell r="B15313">
            <v>9144251</v>
          </cell>
          <cell r="C15313" t="str">
            <v>SANTANDER S/A CCT</v>
          </cell>
          <cell r="D15313" t="str">
            <v>A9144251</v>
          </cell>
          <cell r="E15313" t="str">
            <v>SANTANDER S/A CCT</v>
          </cell>
        </row>
        <row r="15314">
          <cell r="B15314">
            <v>9144252</v>
          </cell>
          <cell r="C15314" t="str">
            <v>SANTANDER S/A CCT</v>
          </cell>
          <cell r="D15314" t="str">
            <v>SANTANDER S/A CCT</v>
          </cell>
          <cell r="E15314" t="str">
            <v>SANTANDER S/A CCT</v>
          </cell>
        </row>
        <row r="15315">
          <cell r="B15315">
            <v>914441</v>
          </cell>
          <cell r="C15315" t="str">
            <v>SANTANDER BRASIL S/A CTVM</v>
          </cell>
          <cell r="D15315">
            <v>73</v>
          </cell>
          <cell r="E15315" t="str">
            <v>SANTANDER BRASIL S/A CTVM</v>
          </cell>
        </row>
        <row r="15316">
          <cell r="B15316">
            <v>914445</v>
          </cell>
          <cell r="C15316" t="str">
            <v>HEDGING GRIFFO CV S/A</v>
          </cell>
          <cell r="D15316" t="str">
            <v>HEDGING GRIFFO CV S/A</v>
          </cell>
          <cell r="E15316" t="str">
            <v>HEDGING GRIFFO CV S/A</v>
          </cell>
        </row>
        <row r="15317">
          <cell r="B15317">
            <v>914454</v>
          </cell>
          <cell r="C15317" t="str">
            <v>VOTORANTIM CTVM LTDA</v>
          </cell>
          <cell r="D15317" t="str">
            <v>VOTORANTIM CTVM LTDA</v>
          </cell>
          <cell r="E15317" t="str">
            <v>VOTORANTIM CTVM LTDA</v>
          </cell>
        </row>
        <row r="15318">
          <cell r="B15318">
            <v>914455</v>
          </cell>
          <cell r="C15318" t="str">
            <v>BTG PACTUAL CORRETORA DE TITULOS E VALORES MOBILIARIOS S/A</v>
          </cell>
          <cell r="D15318" t="str">
            <v>BTG PACTUAL CORRETORA DE TITULOS E VALORES MOBILIARIOS S/A</v>
          </cell>
          <cell r="E15318" t="str">
            <v>BTG PACTUAL CORRETORA DE TITULOS E VALORES MOBILIARIOS S/A</v>
          </cell>
        </row>
        <row r="15319">
          <cell r="B15319">
            <v>914456</v>
          </cell>
          <cell r="C15319" t="str">
            <v>BTG PACTUAL CM LTDA</v>
          </cell>
          <cell r="D15319" t="str">
            <v>BTG PACTUAL CM LTDA</v>
          </cell>
          <cell r="E15319" t="str">
            <v>BANCO BTG PACTUAL S/A</v>
          </cell>
        </row>
        <row r="15320">
          <cell r="B15320">
            <v>914459</v>
          </cell>
          <cell r="C15320" t="str">
            <v>MERRILL LYNCH S/A CTVM</v>
          </cell>
          <cell r="D15320" t="str">
            <v>A914459</v>
          </cell>
          <cell r="E15320" t="str">
            <v>MERRILL LYNCH S/A CTVM</v>
          </cell>
        </row>
        <row r="15321">
          <cell r="B15321">
            <v>914463</v>
          </cell>
          <cell r="C15321" t="str">
            <v>CONCORDIA S/A CVMCC</v>
          </cell>
          <cell r="D15321" t="str">
            <v>CONCORDIA S/A CVMCC</v>
          </cell>
          <cell r="E15321" t="str">
            <v>CONCORDIA S/A CVMCC</v>
          </cell>
        </row>
        <row r="15322">
          <cell r="B15322">
            <v>914464</v>
          </cell>
          <cell r="C15322" t="str">
            <v>CONCORDIA S/A CVMCC</v>
          </cell>
          <cell r="D15322" t="str">
            <v>CONCORDIA S/A CVMCC</v>
          </cell>
          <cell r="E15322" t="str">
            <v>CONCORDIA S/A CVMCC</v>
          </cell>
        </row>
        <row r="15323">
          <cell r="B15323">
            <v>914466</v>
          </cell>
          <cell r="C15323" t="str">
            <v>ITAU CORRETORA DE VALORES S.A.</v>
          </cell>
          <cell r="D15323" t="str">
            <v>57*</v>
          </cell>
          <cell r="E15323" t="str">
            <v>ITAU CV S/A</v>
          </cell>
        </row>
        <row r="15324">
          <cell r="B15324">
            <v>914469</v>
          </cell>
          <cell r="C15324" t="str">
            <v>MERRILL LYNCH S/A CTVM</v>
          </cell>
          <cell r="D15324" t="str">
            <v>A914469</v>
          </cell>
          <cell r="E15324" t="str">
            <v>MERRILL LYNCH S/A CTVM</v>
          </cell>
        </row>
        <row r="15325">
          <cell r="B15325">
            <v>914470</v>
          </cell>
          <cell r="C15325" t="str">
            <v>CREDIT SUISSE HEDGING GRIFFO CV S/A</v>
          </cell>
          <cell r="D15325" t="str">
            <v>CREDIT SUISSE HEDGING GRIFFO CV S/A</v>
          </cell>
          <cell r="E15325" t="str">
            <v>CREDIT SUISSE HEDGING-GRIFFO WEALTH MANAGEMENT S/A</v>
          </cell>
        </row>
        <row r="15326">
          <cell r="B15326">
            <v>914505</v>
          </cell>
          <cell r="C15326" t="str">
            <v>SANTANDER S/A CCT</v>
          </cell>
          <cell r="D15326" t="str">
            <v>SANTANDER S/A CCT</v>
          </cell>
          <cell r="E15326" t="str">
            <v>SANTANDER S/A CCT</v>
          </cell>
        </row>
        <row r="15327">
          <cell r="B15327">
            <v>914506</v>
          </cell>
          <cell r="C15327" t="str">
            <v>SANTANDER S/A CCT</v>
          </cell>
          <cell r="D15327" t="str">
            <v>SANTANDER S/A CCT</v>
          </cell>
          <cell r="E15327" t="str">
            <v>SANTANDER S/A CCT</v>
          </cell>
        </row>
        <row r="15328">
          <cell r="B15328">
            <v>914507</v>
          </cell>
          <cell r="C15328" t="str">
            <v>SANTANDER S/A CCT</v>
          </cell>
          <cell r="D15328">
            <v>883</v>
          </cell>
          <cell r="E15328" t="str">
            <v>SANTANDER S/A CCT</v>
          </cell>
        </row>
        <row r="15329">
          <cell r="B15329">
            <v>914569</v>
          </cell>
          <cell r="C15329" t="str">
            <v>MIRA FIM</v>
          </cell>
          <cell r="D15329" t="str">
            <v>MIRA FIM</v>
          </cell>
          <cell r="E15329" t="str">
            <v>MIRA FIM</v>
          </cell>
        </row>
        <row r="15330">
          <cell r="B15330">
            <v>914732</v>
          </cell>
          <cell r="C15330" t="str">
            <v>BRADESCO S/A CTVM</v>
          </cell>
          <cell r="D15330" t="str">
            <v>A914732</v>
          </cell>
          <cell r="E15330" t="str">
            <v>BRADESCO SA CORRETORA DE TITULOS E VALORES MOBILIARIOS</v>
          </cell>
        </row>
        <row r="15331">
          <cell r="B15331">
            <v>914766</v>
          </cell>
          <cell r="C15331" t="str">
            <v>ITAU CORRETORA DE VALORES S.A.</v>
          </cell>
          <cell r="D15331" t="str">
            <v>ITAU CORRETORA DE VALORES S.A.</v>
          </cell>
          <cell r="E15331" t="str">
            <v>ITAU CV S/A</v>
          </cell>
        </row>
        <row r="15332">
          <cell r="B15332">
            <v>915000</v>
          </cell>
          <cell r="C15332" t="str">
            <v>SAFRA ASSET CORRETORA DE TITULOS E VALORES MOBILIARIOS S.A.</v>
          </cell>
          <cell r="D15332" t="str">
            <v>SAFRA ASSET CORRETORA DE TITULOS E VALORES MOBILIARIOS S.A.</v>
          </cell>
          <cell r="E15332" t="str">
            <v>SAFRA ASSET MANAGEMENT LTDA</v>
          </cell>
        </row>
        <row r="15333">
          <cell r="B15333">
            <v>91502</v>
          </cell>
          <cell r="C15333" t="str">
            <v>ICAP DO BRASIL CTVM LTDA ( ATUAL TULLET)</v>
          </cell>
          <cell r="D15333" t="str">
            <v>ICAP DO BRASIL CTVM LTDA ( ATUAL TULLET)</v>
          </cell>
          <cell r="E15333" t="str">
            <v>ICAP DO BRASIL CTVM LTDA ( ATUAL TULLET)</v>
          </cell>
        </row>
        <row r="15334">
          <cell r="B15334">
            <v>91519</v>
          </cell>
          <cell r="C15334" t="str">
            <v>AGORA CTVM S/A</v>
          </cell>
          <cell r="D15334" t="str">
            <v>A91519</v>
          </cell>
          <cell r="E15334" t="str">
            <v>AGORA GESTAO DE RECURSOS LTDA</v>
          </cell>
        </row>
        <row r="15335">
          <cell r="B15335">
            <v>915360</v>
          </cell>
          <cell r="C15335" t="str">
            <v>MAXIMA S/A CTVM</v>
          </cell>
          <cell r="D15335" t="str">
            <v>MAXIMA S/A CTVM</v>
          </cell>
          <cell r="E15335" t="str">
            <v>MAXIMA S/A CTVM</v>
          </cell>
        </row>
        <row r="15336">
          <cell r="B15336">
            <v>915503</v>
          </cell>
          <cell r="C15336" t="str">
            <v>BANCO BTG PACTUAL S/A</v>
          </cell>
          <cell r="D15336" t="str">
            <v>BANCO BTG PACTUAL S/A</v>
          </cell>
          <cell r="E15336" t="str">
            <v>BANCO BTG PACTUAL S/A</v>
          </cell>
        </row>
        <row r="15337">
          <cell r="B15337">
            <v>915572</v>
          </cell>
          <cell r="C15337" t="str">
            <v>BRADESCO S/A CTVM</v>
          </cell>
          <cell r="D15337" t="str">
            <v>BRADESCO S/A CTVM</v>
          </cell>
          <cell r="E15337" t="str">
            <v>BRADESCO SA CORRETORA DE TITULOS E VALORES MOBILIARIOS</v>
          </cell>
        </row>
        <row r="15338">
          <cell r="B15338">
            <v>915651</v>
          </cell>
          <cell r="C15338" t="str">
            <v>VOTORANTIM CTVM LTDA</v>
          </cell>
          <cell r="D15338">
            <v>15651</v>
          </cell>
          <cell r="E15338" t="str">
            <v>VOTORANTIM CTVM LTDA</v>
          </cell>
        </row>
        <row r="15339">
          <cell r="B15339">
            <v>915654</v>
          </cell>
          <cell r="C15339" t="str">
            <v>VOTORANTIM CTVM LTDA</v>
          </cell>
          <cell r="D15339" t="str">
            <v>VOTORANTIM CTVM LTDA</v>
          </cell>
          <cell r="E15339" t="str">
            <v>VOTORANTIM CTVM LTDA</v>
          </cell>
        </row>
        <row r="15340">
          <cell r="B15340">
            <v>915708</v>
          </cell>
          <cell r="C15340" t="str">
            <v>VOTORANTIM CTVM LTDA</v>
          </cell>
          <cell r="D15340">
            <v>228</v>
          </cell>
          <cell r="E15340" t="str">
            <v>VOTORANTIM CTVM LTDA</v>
          </cell>
        </row>
        <row r="15341">
          <cell r="B15341">
            <v>144526</v>
          </cell>
          <cell r="C15341" t="str">
            <v>XP GESTAO DE RECURSOS LTDA</v>
          </cell>
          <cell r="D15341" t="str">
            <v>XP GESTAO DE RECURSOS LTDA</v>
          </cell>
          <cell r="E15341" t="str">
            <v>XP GESTAO DE RECURSOS LTDA</v>
          </cell>
        </row>
        <row r="15342">
          <cell r="B15342">
            <v>917122</v>
          </cell>
          <cell r="C15342" t="str">
            <v>JP MORGAN CCVM S/A</v>
          </cell>
          <cell r="D15342" t="str">
            <v>JP MORGAN CCVM S/A</v>
          </cell>
          <cell r="E15342" t="str">
            <v>JP MORGAN ADMINISTRADORA DE CARTEIRAS BRASIL LTDA</v>
          </cell>
        </row>
        <row r="15343">
          <cell r="B15343">
            <v>918236</v>
          </cell>
          <cell r="C15343" t="str">
            <v>ITAU CORRETORA DE VALORES S.A.</v>
          </cell>
          <cell r="D15343" t="str">
            <v>ITAU CORRETORA DE VALORES S.A.</v>
          </cell>
          <cell r="E15343" t="str">
            <v>ITAU CV S/A</v>
          </cell>
        </row>
        <row r="15344">
          <cell r="B15344">
            <v>918600</v>
          </cell>
          <cell r="C15344" t="str">
            <v>BRASCAN S/A CTV</v>
          </cell>
          <cell r="D15344" t="str">
            <v>BRASCAN S/A CTV</v>
          </cell>
          <cell r="E15344" t="str">
            <v>BRASCAN S/A CTV</v>
          </cell>
        </row>
        <row r="15345">
          <cell r="B15345">
            <v>99652</v>
          </cell>
          <cell r="C15345" t="str">
            <v>UBS BRASIL CCTVM S/A (ANTIGA LINK S/A CCTVM)</v>
          </cell>
          <cell r="D15345" t="str">
            <v>UBS BRASIL CCTVM S/A (ANTIGA LINK S/A CCTVM)</v>
          </cell>
          <cell r="E15345" t="str">
            <v>UBS AG, LONDON BRANCH NOVO</v>
          </cell>
        </row>
        <row r="15346">
          <cell r="B15346">
            <v>9188111</v>
          </cell>
          <cell r="C15346" t="str">
            <v>LINK CM LTDA</v>
          </cell>
          <cell r="D15346" t="str">
            <v>LINK CM LTDA</v>
          </cell>
          <cell r="E15346" t="str">
            <v>LINK CM LTDA</v>
          </cell>
        </row>
        <row r="15347">
          <cell r="B15347">
            <v>79530</v>
          </cell>
          <cell r="C15347" t="str">
            <v>UBS BRASIL CCTVM S/A (ANTIGA LINK S/A CCTVM)</v>
          </cell>
          <cell r="D15347" t="str">
            <v>UBS BRASIL CCTVM S/A (ANTIGA LINK S/A CCTVM)</v>
          </cell>
          <cell r="E15347" t="str">
            <v>UBS AG, LONDON BRANCH NOVO</v>
          </cell>
        </row>
        <row r="15348">
          <cell r="B15348">
            <v>919077</v>
          </cell>
          <cell r="C15348" t="str">
            <v>LINK CM LTDA</v>
          </cell>
          <cell r="D15348" t="str">
            <v>LINK CM LTDA</v>
          </cell>
          <cell r="E15348" t="str">
            <v>LINK CM LTDA</v>
          </cell>
        </row>
        <row r="15349">
          <cell r="B15349">
            <v>919199</v>
          </cell>
          <cell r="C15349" t="str">
            <v>NOVINVEST CVM LTDA</v>
          </cell>
          <cell r="D15349" t="str">
            <v>NOVINVEST CVM LTDA</v>
          </cell>
          <cell r="E15349" t="str">
            <v>NOVINVEST CVM LTDA</v>
          </cell>
        </row>
        <row r="15350">
          <cell r="B15350">
            <v>919631</v>
          </cell>
          <cell r="C15350" t="str">
            <v>DISTRIBUIDORA INTERCAP TVM LTDA</v>
          </cell>
          <cell r="D15350" t="str">
            <v>DISTRIBUIDORA INTERCAP TVM LTDA</v>
          </cell>
          <cell r="E15350" t="str">
            <v>DISTRIBUIDORA INTERCAP TVM LTDA</v>
          </cell>
        </row>
        <row r="15351">
          <cell r="B15351">
            <v>92</v>
          </cell>
          <cell r="C15351" t="str">
            <v>RENASCENÃ‡A DTVM LTDA</v>
          </cell>
          <cell r="D15351">
            <v>400</v>
          </cell>
          <cell r="E15351" t="str">
            <v>WARREN BRASIL GESTÃO E ADMINISTRAÇÃO DE RECURSOS LTDA</v>
          </cell>
        </row>
        <row r="15352">
          <cell r="B15352">
            <v>920000</v>
          </cell>
          <cell r="C15352" t="str">
            <v>ITAU CORRETORA DE VALORES S.A.</v>
          </cell>
          <cell r="D15352" t="str">
            <v>ITAU CORRETORA DE VALORES S.A.</v>
          </cell>
          <cell r="E15352" t="str">
            <v>ITAU CV S/A</v>
          </cell>
        </row>
        <row r="15353">
          <cell r="B15353">
            <v>92001</v>
          </cell>
          <cell r="C15353" t="str">
            <v>BB GESTAO DE RECURSOS DTVM LTDA</v>
          </cell>
          <cell r="D15353" t="str">
            <v>BB GESTAO DE RECURSOS DTVM LTDA</v>
          </cell>
          <cell r="E15353" t="str">
            <v>BB BANCO DE INVESTIMENTO S/A</v>
          </cell>
        </row>
        <row r="15354">
          <cell r="B15354">
            <v>920010</v>
          </cell>
          <cell r="C15354" t="str">
            <v>INTERBOLSA DO BRASIL CCTVM LTDA</v>
          </cell>
          <cell r="D15354">
            <v>20010</v>
          </cell>
          <cell r="E15354" t="str">
            <v>INTERBOLSA DO BRASIL CCTVM LTDA</v>
          </cell>
        </row>
        <row r="15355">
          <cell r="B15355">
            <v>9200144</v>
          </cell>
          <cell r="C15355" t="str">
            <v>ITAU CORRETORA DE VALORES S.A.</v>
          </cell>
          <cell r="D15355" t="str">
            <v>ITAU CORRETORA DE VALORES S.A.</v>
          </cell>
          <cell r="E15355" t="str">
            <v>ITAU CV S/A</v>
          </cell>
        </row>
        <row r="15356">
          <cell r="B15356">
            <v>92003</v>
          </cell>
          <cell r="C15356" t="str">
            <v>BB GESTAO DE RECURSOS DTVM LTDA</v>
          </cell>
          <cell r="D15356" t="str">
            <v>BB GESTAO DE RECURSOS DTVM LTDA</v>
          </cell>
          <cell r="E15356" t="str">
            <v>BB BANCO DE INVESTIMENTO S/A</v>
          </cell>
        </row>
        <row r="15357">
          <cell r="B15357">
            <v>92008</v>
          </cell>
          <cell r="C15357" t="str">
            <v>BB GESTAO DE RECURSOS DTVM LTDA</v>
          </cell>
          <cell r="D15357" t="str">
            <v>BB GESTAO DE RECURSOS DTVM LTDA</v>
          </cell>
          <cell r="E15357" t="str">
            <v>BB BANCO DE INVESTIMENTO S/A</v>
          </cell>
        </row>
        <row r="15358">
          <cell r="B15358">
            <v>92009</v>
          </cell>
          <cell r="C15358" t="str">
            <v>BB GESTAO DE RECURSOS DTVM LTDA</v>
          </cell>
          <cell r="D15358" t="str">
            <v>BB GESTAO DE RECURSOS DTVM LTDA</v>
          </cell>
          <cell r="E15358" t="str">
            <v>BB BANCO DE INVESTIMENTO S/A</v>
          </cell>
        </row>
        <row r="15359">
          <cell r="B15359">
            <v>920202</v>
          </cell>
          <cell r="C15359" t="str">
            <v>BTG PACTUAL CM LTDA</v>
          </cell>
          <cell r="D15359" t="str">
            <v>BTG PACTUAL CM LTDA</v>
          </cell>
          <cell r="E15359" t="str">
            <v>BANCO BTG PACTUAL S/A</v>
          </cell>
        </row>
        <row r="15360">
          <cell r="B15360">
            <v>80203</v>
          </cell>
          <cell r="C15360" t="str">
            <v>BANCO SANTANDER S.A (HISPANO)</v>
          </cell>
          <cell r="D15360" t="str">
            <v>BANCO SANTANDER S.A (HISPANO)</v>
          </cell>
          <cell r="E15360" t="str">
            <v>BANCO SANTANDER S/A (HISPANO)</v>
          </cell>
        </row>
        <row r="15361">
          <cell r="B15361">
            <v>92022</v>
          </cell>
          <cell r="C15361" t="str">
            <v>CREDIT SUISSE HEDGING GRIFFO CV S/A</v>
          </cell>
          <cell r="D15361" t="str">
            <v>CREDIT SUISSE HEDGING GRIFFO CV S/A</v>
          </cell>
          <cell r="E15361" t="str">
            <v>CREDIT SUISSE HEDGING-GRIFFO WEALTH MANAGEMENT S/A</v>
          </cell>
        </row>
        <row r="15362">
          <cell r="B15362">
            <v>9202333</v>
          </cell>
          <cell r="C15362" t="str">
            <v>FLOW CM LTDA</v>
          </cell>
          <cell r="D15362" t="str">
            <v>FLOW CM LTDA</v>
          </cell>
          <cell r="E15362" t="str">
            <v>FLOW CM LTDA</v>
          </cell>
        </row>
        <row r="15363">
          <cell r="B15363">
            <v>920444</v>
          </cell>
          <cell r="C15363" t="str">
            <v>ITAU CORRETORA DE VALORES S.A.</v>
          </cell>
          <cell r="D15363">
            <v>149</v>
          </cell>
          <cell r="E15363" t="str">
            <v>ITAU CV S/A</v>
          </cell>
        </row>
        <row r="15364">
          <cell r="B15364">
            <v>920962</v>
          </cell>
          <cell r="C15364" t="str">
            <v>BRADESCO S/A CTVM</v>
          </cell>
          <cell r="D15364" t="str">
            <v>BRADESCO S/A CTVM</v>
          </cell>
          <cell r="E15364" t="str">
            <v>BRADESCO SA CORRETORA DE TITULOS E VALORES MOBILIARIOS</v>
          </cell>
        </row>
        <row r="15365">
          <cell r="B15365">
            <v>92105</v>
          </cell>
          <cell r="C15365" t="str">
            <v>BRADESCO S/A CTVM</v>
          </cell>
          <cell r="D15365" t="str">
            <v>BRADESCO S/A CTVM</v>
          </cell>
          <cell r="E15365" t="str">
            <v>BRADESCO SA CORRETORA DE TITULOS E VALORES MOBILIARIOS</v>
          </cell>
        </row>
        <row r="15366">
          <cell r="B15366">
            <v>921640</v>
          </cell>
          <cell r="C15366" t="str">
            <v>BRADESCO S/A CTVM</v>
          </cell>
          <cell r="D15366">
            <v>21640</v>
          </cell>
          <cell r="E15366" t="str">
            <v>BRADESCO SA CORRETORA DE TITULOS E VALORES MOBILIARIOS</v>
          </cell>
        </row>
        <row r="15367">
          <cell r="B15367">
            <v>921642</v>
          </cell>
          <cell r="C15367" t="str">
            <v>BRADESCO S/A CTVM</v>
          </cell>
          <cell r="D15367">
            <v>21642</v>
          </cell>
          <cell r="E15367" t="str">
            <v>BRADESCO SA CORRETORA DE TITULOS E VALORES MOBILIARIOS</v>
          </cell>
        </row>
        <row r="15368">
          <cell r="B15368" t="str">
            <v>M09630188000126</v>
          </cell>
          <cell r="C15368" t="str">
            <v>PLURAL INVESTIMENTOS GESTAO DE RECURSOS LTDA</v>
          </cell>
          <cell r="D15368" t="str">
            <v>PLURAL INVESTIMENTOS GESTÃƒO DE RECURSOS LTDA.</v>
          </cell>
          <cell r="E15368" t="str">
            <v>PLURAL INVESTIMENTOS GESTAO DE RECURSOS LTDA</v>
          </cell>
        </row>
        <row r="15369">
          <cell r="B15369">
            <v>922227</v>
          </cell>
          <cell r="C15369" t="str">
            <v>GRADUAL CCTVM S/A</v>
          </cell>
          <cell r="D15369">
            <v>374</v>
          </cell>
          <cell r="E15369" t="str">
            <v>GRADUAL CCTVM S/A</v>
          </cell>
        </row>
        <row r="15370">
          <cell r="B15370">
            <v>922733</v>
          </cell>
          <cell r="C15370" t="str">
            <v>GRADUAL CCTVM S/A</v>
          </cell>
          <cell r="D15370" t="str">
            <v>A922733</v>
          </cell>
          <cell r="E15370" t="str">
            <v>GRADUAL CCTVM S/A</v>
          </cell>
        </row>
        <row r="15371">
          <cell r="B15371">
            <v>923104</v>
          </cell>
          <cell r="C15371" t="str">
            <v>CONCORDIA S/A CVMCC</v>
          </cell>
          <cell r="D15371" t="str">
            <v>CONCORDIA S/A CVMCC</v>
          </cell>
          <cell r="E15371" t="str">
            <v>CONCORDIA S/A CVMCC</v>
          </cell>
        </row>
        <row r="15372">
          <cell r="B15372">
            <v>923111</v>
          </cell>
          <cell r="C15372" t="str">
            <v>CONCORDIA S/A CVMCC</v>
          </cell>
          <cell r="D15372" t="str">
            <v>CONCORDIA S/A CVMCC</v>
          </cell>
          <cell r="E15372" t="str">
            <v>CONCORDIA S/A CVMCC</v>
          </cell>
        </row>
        <row r="15373">
          <cell r="B15373">
            <v>923163</v>
          </cell>
          <cell r="C15373" t="str">
            <v>CONCORDIA S/A CVMCC</v>
          </cell>
          <cell r="D15373" t="str">
            <v>CONCORDIA S/A CVMCC</v>
          </cell>
          <cell r="E15373" t="str">
            <v>CONCORDIA S/A CVMCC</v>
          </cell>
        </row>
        <row r="15374">
          <cell r="B15374">
            <v>923202</v>
          </cell>
          <cell r="C15374" t="str">
            <v>CONCORDIA S/A CVMCC</v>
          </cell>
          <cell r="D15374" t="str">
            <v>CONCORDIA S/A CVMCC</v>
          </cell>
          <cell r="E15374" t="str">
            <v>CONCORDIA S/A CVMCC</v>
          </cell>
        </row>
        <row r="15375">
          <cell r="B15375">
            <v>923850</v>
          </cell>
          <cell r="C15375" t="str">
            <v>CONCORDIA S/A CVMCC</v>
          </cell>
          <cell r="D15375">
            <v>23850</v>
          </cell>
          <cell r="E15375" t="str">
            <v>CONCORDIA S/A CVMCC</v>
          </cell>
        </row>
        <row r="15376">
          <cell r="B15376">
            <v>923851</v>
          </cell>
          <cell r="C15376" t="str">
            <v>CONCORDIA S/A CVMCC</v>
          </cell>
          <cell r="D15376" t="str">
            <v>CONCORDIA S/A CVMCC</v>
          </cell>
          <cell r="E15376" t="str">
            <v>CONCORDIA S/A CVMCC</v>
          </cell>
        </row>
        <row r="15377">
          <cell r="B15377">
            <v>923852</v>
          </cell>
          <cell r="C15377" t="str">
            <v>CONCORDIA S/A CVMCC</v>
          </cell>
          <cell r="D15377" t="str">
            <v>CONCORDIA S/A CVMCC</v>
          </cell>
          <cell r="E15377" t="str">
            <v>CONCORDIA S/A CVMCC</v>
          </cell>
        </row>
        <row r="15378">
          <cell r="B15378">
            <v>923881</v>
          </cell>
          <cell r="C15378" t="str">
            <v>CONCORDIA S/A CVMCC</v>
          </cell>
          <cell r="D15378" t="str">
            <v>CONCORDIA S/A CVMCC</v>
          </cell>
          <cell r="E15378" t="str">
            <v>CONCORDIA S/A CVMCC</v>
          </cell>
        </row>
        <row r="15379">
          <cell r="B15379">
            <v>925153</v>
          </cell>
          <cell r="C15379" t="str">
            <v>VOTORANTIM CTVM LTDA</v>
          </cell>
          <cell r="D15379" t="str">
            <v>VOTORANTIM CTVM LTDA</v>
          </cell>
          <cell r="E15379" t="str">
            <v>VOTORANTIM CTVM LTDA</v>
          </cell>
        </row>
        <row r="15380">
          <cell r="B15380">
            <v>901510</v>
          </cell>
          <cell r="C15380" t="str">
            <v>UBS BRASIL CCTVM S/A (ANTIGA LINK S/A CCTVM)</v>
          </cell>
          <cell r="D15380">
            <v>15100</v>
          </cell>
          <cell r="E15380" t="str">
            <v>UBS AG, LONDON BRANCH NOVO</v>
          </cell>
        </row>
        <row r="15381">
          <cell r="B15381">
            <v>90190</v>
          </cell>
          <cell r="C15381" t="str">
            <v>UBS BRASIL CCTVM S/A (ANTIGA LINK S/A CCTVM)</v>
          </cell>
          <cell r="D15381" t="str">
            <v>UBS BRASIL CCTVM S/A (ANTIGA LINK S/A CCTVM)</v>
          </cell>
          <cell r="E15381" t="str">
            <v>UBS AG, LONDON BRANCH NOVO</v>
          </cell>
        </row>
        <row r="15382">
          <cell r="B15382">
            <v>9254178</v>
          </cell>
          <cell r="C15382" t="str">
            <v>BTG PACTUAL CM LTDA</v>
          </cell>
          <cell r="D15382" t="str">
            <v>BTG PACTUAL CM LTDA</v>
          </cell>
          <cell r="E15382" t="str">
            <v>BTG PACTUAL CM LTDA</v>
          </cell>
        </row>
        <row r="15383">
          <cell r="B15383">
            <v>9254182</v>
          </cell>
          <cell r="C15383" t="str">
            <v>BTG PACTUAL CM LTDA</v>
          </cell>
          <cell r="D15383" t="str">
            <v>BTG PACTUAL CM LTDA</v>
          </cell>
          <cell r="E15383" t="str">
            <v>BTG PACTUAL CM LTDA</v>
          </cell>
        </row>
        <row r="15384">
          <cell r="B15384">
            <v>9254300</v>
          </cell>
          <cell r="C15384" t="str">
            <v>BTG PACTUAL CM LTDA</v>
          </cell>
          <cell r="D15384" t="str">
            <v>A92544300</v>
          </cell>
          <cell r="E15384" t="str">
            <v>BTG PACTUAL CM LTDA</v>
          </cell>
        </row>
        <row r="15385">
          <cell r="B15385">
            <v>9254500</v>
          </cell>
          <cell r="C15385" t="str">
            <v>BANCO BTG PACTUAL S/A</v>
          </cell>
          <cell r="D15385" t="str">
            <v>BANCO BTG PACTUAL S/A</v>
          </cell>
          <cell r="E15385" t="str">
            <v>BANCO BTG PACTUAL S/A</v>
          </cell>
        </row>
        <row r="15386">
          <cell r="B15386">
            <v>92551</v>
          </cell>
          <cell r="C15386" t="str">
            <v>BTG PACTUAL CORRETORA DE TITULOS E VALORES MOBILIARIOS S/A</v>
          </cell>
          <cell r="D15386" t="str">
            <v>BTG PACTUAL CORRETORA DE TITULOS E VALORES MOBILIARIOS S/A</v>
          </cell>
          <cell r="E15386" t="str">
            <v>BTG PACTUAL CORRETORA DE TITULOS E VALORES MOBILIARIOS S/A</v>
          </cell>
        </row>
        <row r="15387">
          <cell r="B15387">
            <v>92558</v>
          </cell>
          <cell r="C15387" t="str">
            <v>BTG PACTUAL CM LTDA</v>
          </cell>
          <cell r="D15387" t="str">
            <v>BTG PACTUAL CM LTDA</v>
          </cell>
          <cell r="E15387" t="str">
            <v>BTG PACTUAL CM LTDA</v>
          </cell>
        </row>
        <row r="15388">
          <cell r="B15388">
            <v>92559</v>
          </cell>
          <cell r="C15388" t="str">
            <v>BTG PACTUAL CORRETORA DE TITULOS E VALORES MOBILIARIOS S/A</v>
          </cell>
          <cell r="D15388" t="str">
            <v>BTG PACTUAL CORRETORA DE TITULOS E VALORES MOBILIARIOS S/A</v>
          </cell>
          <cell r="E15388" t="str">
            <v>BTG PACTUAL CORRETORA DE TITULOS E VALORES MOBILIARIOS S/A</v>
          </cell>
        </row>
        <row r="15389">
          <cell r="B15389">
            <v>92560</v>
          </cell>
          <cell r="C15389" t="str">
            <v>BTG PACTUAL CM LTDA</v>
          </cell>
          <cell r="D15389" t="str">
            <v>A92560</v>
          </cell>
          <cell r="E15389" t="str">
            <v>BTG PACTUAL CM LTDA</v>
          </cell>
        </row>
        <row r="15390">
          <cell r="B15390">
            <v>92561</v>
          </cell>
          <cell r="C15390" t="str">
            <v>BTG PACTUAL CM LTDA</v>
          </cell>
          <cell r="D15390" t="str">
            <v>A92561</v>
          </cell>
          <cell r="E15390" t="str">
            <v>BTG PACTUAL CM LTDA</v>
          </cell>
        </row>
        <row r="15391">
          <cell r="B15391">
            <v>92562</v>
          </cell>
          <cell r="C15391" t="str">
            <v>BTG PACTUAL CORRETORA DE TITULOS E VALORES MOBILIARIOS S/A</v>
          </cell>
          <cell r="D15391" t="str">
            <v>BTG PACTUAL CORRETORA DE TITULOS E VALORES MOBILIARIOS S/A</v>
          </cell>
          <cell r="E15391" t="str">
            <v>BTG PACTUAL CORRETORA DE TITULOS E VALORES MOBILIARIOS S/A</v>
          </cell>
        </row>
        <row r="15392">
          <cell r="B15392">
            <v>92563</v>
          </cell>
          <cell r="C15392" t="str">
            <v>BTG PACTUAL CORRETORA DE TITULOS E VALORES MOBILIARIOS S/A</v>
          </cell>
          <cell r="D15392" t="str">
            <v>BTG PACTUAL CORRETORA DE TITULOS E VALORES MOBILIARIOS S/A</v>
          </cell>
          <cell r="E15392" t="str">
            <v>BTG PACTUAL CORRETORA DE TITULOS E VALORES MOBILIARIOS S/A</v>
          </cell>
        </row>
        <row r="15393">
          <cell r="B15393">
            <v>92564</v>
          </cell>
          <cell r="C15393" t="str">
            <v>BTG PACTUAL CM LTDA</v>
          </cell>
          <cell r="D15393" t="str">
            <v>A92564</v>
          </cell>
          <cell r="E15393" t="str">
            <v>BTG PACTUAL CM LTDA</v>
          </cell>
        </row>
        <row r="15394">
          <cell r="B15394">
            <v>92565</v>
          </cell>
          <cell r="C15394" t="str">
            <v>BTG PACTUAL CM LTDA</v>
          </cell>
          <cell r="D15394" t="str">
            <v>A92565</v>
          </cell>
          <cell r="E15394" t="str">
            <v>BTG PACTUAL CM LTDA</v>
          </cell>
        </row>
        <row r="15395">
          <cell r="B15395">
            <v>92566</v>
          </cell>
          <cell r="C15395" t="str">
            <v>BTG PACTUAL CORRETORA DE TITULOS E VALORES MOBILIARIOS S/A</v>
          </cell>
          <cell r="D15395" t="str">
            <v>BTG PACTUAL CORRETORA DE TITULOS E VALORES MOBILIARIOS S/A</v>
          </cell>
          <cell r="E15395" t="str">
            <v>BTG PACTUAL CORRETORA DE TITULOS E VALORES MOBILIARIOS S/A</v>
          </cell>
        </row>
        <row r="15396">
          <cell r="B15396">
            <v>92567</v>
          </cell>
          <cell r="C15396" t="str">
            <v>BTG PACTUAL CORRETORA DE TITULOS E VALORES MOBILIARIOS S/A</v>
          </cell>
          <cell r="D15396" t="str">
            <v>BTG PACTUAL CORRETORA DE TITULOS E VALORES MOBILIARIOS S/A</v>
          </cell>
          <cell r="E15396" t="str">
            <v>BTG PACTUAL CORRETORA DE TITULOS E VALORES MOBILIARIOS S/A</v>
          </cell>
        </row>
        <row r="15397">
          <cell r="B15397">
            <v>925890</v>
          </cell>
          <cell r="C15397" t="str">
            <v>ITAU CORRETORA DE VALORES S.A.</v>
          </cell>
          <cell r="D15397" t="str">
            <v>ITAU CORRETORA DE VALORES S.A.</v>
          </cell>
          <cell r="E15397" t="str">
            <v>ITAU CV S/A</v>
          </cell>
        </row>
        <row r="15398">
          <cell r="B15398">
            <v>925891</v>
          </cell>
          <cell r="C15398" t="str">
            <v>ITAU CORRETORA DE VALORES S.A.</v>
          </cell>
          <cell r="D15398" t="str">
            <v>ITAU CORRETORA DE VALORES S.A.</v>
          </cell>
          <cell r="E15398" t="str">
            <v>ITAU CV S/A</v>
          </cell>
        </row>
        <row r="15399">
          <cell r="B15399">
            <v>92709</v>
          </cell>
          <cell r="C15399" t="str">
            <v>ITAU CORRETORA DE VALORES S.A.</v>
          </cell>
          <cell r="D15399" t="str">
            <v>ITAU CORRETORA DE VALORES S.A.</v>
          </cell>
          <cell r="E15399" t="str">
            <v>ITAU CV S/A</v>
          </cell>
        </row>
        <row r="15400">
          <cell r="B15400">
            <v>927122</v>
          </cell>
          <cell r="C15400" t="str">
            <v>GRADUAL CCTVM S/A</v>
          </cell>
          <cell r="D15400">
            <v>364</v>
          </cell>
          <cell r="E15400" t="str">
            <v>GRADUAL CCTVM S/A</v>
          </cell>
        </row>
        <row r="15401">
          <cell r="B15401">
            <v>927147</v>
          </cell>
          <cell r="C15401" t="str">
            <v>SANTANDER CORRETORA DE CAMBIO E VALORES MOBILIARIOS S/A</v>
          </cell>
          <cell r="D15401" t="str">
            <v>SANTANDER CORRETORA DE CAMBIO E VALORES MOBILIARIOS S/A</v>
          </cell>
          <cell r="E15401" t="str">
            <v>SANTANDER S/A CCT</v>
          </cell>
        </row>
        <row r="15402">
          <cell r="B15402">
            <v>927148</v>
          </cell>
          <cell r="C15402" t="str">
            <v>SANTANDER S/A CCT</v>
          </cell>
          <cell r="D15402" t="str">
            <v>SANTANDER S/A CCT</v>
          </cell>
          <cell r="E15402" t="str">
            <v>SANTANDER S/A CCT</v>
          </cell>
        </row>
        <row r="15403">
          <cell r="B15403">
            <v>927149</v>
          </cell>
          <cell r="C15403" t="str">
            <v>SANTANDER S/A CCT</v>
          </cell>
          <cell r="D15403" t="str">
            <v>SANTANDER S/A CCT</v>
          </cell>
          <cell r="E15403" t="str">
            <v>SANTANDER S/A CCT</v>
          </cell>
        </row>
        <row r="15404">
          <cell r="B15404">
            <v>92780</v>
          </cell>
          <cell r="C15404" t="str">
            <v>BRADESCO S/A CTVM</v>
          </cell>
          <cell r="D15404" t="str">
            <v>A92780</v>
          </cell>
          <cell r="E15404" t="str">
            <v>BRADESCO SA CORRETORA DE TITULOS E VALORES MOBILIARIOS</v>
          </cell>
        </row>
        <row r="15405">
          <cell r="B15405">
            <v>928755</v>
          </cell>
          <cell r="C15405" t="str">
            <v>BTG PACTUAL CORRETORA DE TITULOS E VALORES MOBILIARIOS S/A</v>
          </cell>
          <cell r="D15405" t="str">
            <v>BTG PACTUAL CORRETORA DE TITULOS E VALORES MOBILIARIOS S/A</v>
          </cell>
          <cell r="E15405" t="str">
            <v>BTG PACTUAL CORRETORA DE TITULOS E VALORES MOBILIARIOS S/A</v>
          </cell>
        </row>
        <row r="15406">
          <cell r="B15406">
            <v>928756</v>
          </cell>
          <cell r="C15406" t="str">
            <v>BTG PACTUAL CORRETORA DE TITULOS E VALORES MOBILIARIOS S/A</v>
          </cell>
          <cell r="D15406" t="str">
            <v>BTG PACTUAL CORRETORA DE TITULOS E VALORES MOBILIARIOS S/A</v>
          </cell>
          <cell r="E15406" t="str">
            <v>BTG PACTUAL CORRETORA DE TITULOS E VALORES MOBILIARIOS S/A</v>
          </cell>
        </row>
        <row r="15407">
          <cell r="B15407">
            <v>929213</v>
          </cell>
          <cell r="C15407" t="str">
            <v>ICAP DO BRASIL CTVM LTDA ( ATUAL TULLET)</v>
          </cell>
          <cell r="D15407" t="str">
            <v>ICAP DO BRASIL CTVM LTDA ( ATUAL TULLET)</v>
          </cell>
          <cell r="E15407" t="str">
            <v>ICAP DO BRASIL CTVM LTDA ( ATUAL TULLET)</v>
          </cell>
        </row>
        <row r="15408">
          <cell r="B15408">
            <v>929214</v>
          </cell>
          <cell r="C15408" t="str">
            <v>ICAP DO BRASIL CTVM LTDA ( ATUAL TULLET)</v>
          </cell>
          <cell r="D15408" t="str">
            <v>ICAP DO BRASIL CTVM LTDA ( ATUAL TULLET)</v>
          </cell>
          <cell r="E15408" t="str">
            <v>ICAP DO BRASIL CTVM LTDA ( ATUAL TULLET)</v>
          </cell>
        </row>
        <row r="15409">
          <cell r="B15409">
            <v>929216</v>
          </cell>
          <cell r="C15409" t="str">
            <v>ICAP DO BRASIL CTVM LTDA ( ATUAL TULLET)</v>
          </cell>
          <cell r="D15409" t="str">
            <v>A929216</v>
          </cell>
          <cell r="E15409" t="str">
            <v>ICAP DO BRASIL CTVM LTDA ( ATUAL TULLET)</v>
          </cell>
        </row>
        <row r="15410">
          <cell r="B15410">
            <v>929217</v>
          </cell>
          <cell r="C15410" t="str">
            <v>ICAP DO BRASIL CTVM LTDA ( ATUAL TULLET)</v>
          </cell>
          <cell r="D15410" t="str">
            <v>A929217</v>
          </cell>
          <cell r="E15410" t="str">
            <v>ICAP DO BRASIL CTVM LTDA ( ATUAL TULLET)</v>
          </cell>
        </row>
        <row r="15411">
          <cell r="B15411">
            <v>929218</v>
          </cell>
          <cell r="C15411" t="str">
            <v>ICAP DO BRASIL CTVM LTDA ( ATUAL TULLET)</v>
          </cell>
          <cell r="D15411" t="str">
            <v>ICAP DO BRASIL CTVM LTDA ( ATUAL TULLET)</v>
          </cell>
          <cell r="E15411" t="str">
            <v>ICAP DO BRASIL CTVM LTDA ( ATUAL TULLET)</v>
          </cell>
        </row>
        <row r="15412">
          <cell r="B15412">
            <v>929219</v>
          </cell>
          <cell r="C15412" t="str">
            <v>ICAP DO BRASIL CTVM LTDA ( ATUAL TULLET)</v>
          </cell>
          <cell r="D15412" t="str">
            <v>ICAP DO BRASIL CTVM LTDA ( ATUAL TULLET)</v>
          </cell>
          <cell r="E15412" t="str">
            <v>ICAP DO BRASIL CTVM LTDA ( ATUAL TULLET)</v>
          </cell>
        </row>
        <row r="15413">
          <cell r="B15413">
            <v>929220</v>
          </cell>
          <cell r="C15413" t="str">
            <v>ICAP DO BRASIL CTVM LTDA ( ATUAL TULLET)</v>
          </cell>
          <cell r="D15413" t="str">
            <v>ICAP DO BRASIL CTVM LTDA ( ATUAL TULLET)</v>
          </cell>
          <cell r="E15413" t="str">
            <v>ICAP DO BRASIL CTVM LTDA ( ATUAL TULLET)</v>
          </cell>
        </row>
        <row r="15414">
          <cell r="B15414">
            <v>929221</v>
          </cell>
          <cell r="C15414" t="str">
            <v>ICAP DO BRASIL CTVM LTDA ( ATUAL TULLET)</v>
          </cell>
          <cell r="D15414" t="str">
            <v>ICAP DO BRASIL CTVM LTDA ( ATUAL TULLET)</v>
          </cell>
          <cell r="E15414" t="str">
            <v>ICAP DO BRASIL CTVM LTDA ( ATUAL TULLET)</v>
          </cell>
        </row>
        <row r="15415">
          <cell r="B15415">
            <v>930000</v>
          </cell>
          <cell r="C15415" t="str">
            <v>SANTANDER S/A CCT</v>
          </cell>
          <cell r="D15415" t="str">
            <v>63.1</v>
          </cell>
          <cell r="E15415" t="str">
            <v>SANTANDER S/A CCT</v>
          </cell>
        </row>
        <row r="15416">
          <cell r="B15416">
            <v>930018</v>
          </cell>
          <cell r="C15416" t="str">
            <v>AGORA CTVM S/A</v>
          </cell>
          <cell r="D15416" t="str">
            <v>AGORA CTVM S/A</v>
          </cell>
          <cell r="E15416" t="str">
            <v>AGORA GESTAO DE RECURSOS LTDA</v>
          </cell>
        </row>
        <row r="15417">
          <cell r="B15417">
            <v>930019</v>
          </cell>
          <cell r="C15417" t="str">
            <v>AGORA CTVM S/A</v>
          </cell>
          <cell r="D15417" t="str">
            <v>AGORA CTVM S/A</v>
          </cell>
          <cell r="E15417" t="str">
            <v>AGORA GESTAO DE RECURSOS LTDA</v>
          </cell>
        </row>
        <row r="15418">
          <cell r="B15418">
            <v>902523</v>
          </cell>
          <cell r="C15418" t="str">
            <v>UBS BRASIL CCTVM S/A (ANTIGA LINK S/A CCTVM)</v>
          </cell>
          <cell r="D15418" t="str">
            <v>UBS BRASIL CCTVM S/A (ANTIGA LINK S/A CCTVM)</v>
          </cell>
          <cell r="E15418" t="str">
            <v>UBS AG, LONDON BRANCH NOVO</v>
          </cell>
        </row>
        <row r="15419">
          <cell r="B15419">
            <v>93031</v>
          </cell>
          <cell r="C15419" t="str">
            <v>MORGAN STANLEY CTVM S/A</v>
          </cell>
          <cell r="D15419" t="str">
            <v>MORGAN STANLEY CTVM S/A</v>
          </cell>
          <cell r="E15419" t="str">
            <v>MORGAN STANLEY CTVM S/A</v>
          </cell>
        </row>
        <row r="15420">
          <cell r="B15420">
            <v>930317</v>
          </cell>
          <cell r="C15420" t="str">
            <v>BTG PACTUAL CM LTDA</v>
          </cell>
          <cell r="D15420">
            <v>30317</v>
          </cell>
          <cell r="E15420" t="str">
            <v>BTG PACTUAL CM LTDA</v>
          </cell>
        </row>
        <row r="15421">
          <cell r="B15421">
            <v>930318</v>
          </cell>
          <cell r="C15421" t="str">
            <v>BANCO BTG PACTUAL S/A</v>
          </cell>
          <cell r="D15421">
            <v>30318</v>
          </cell>
          <cell r="E15421" t="str">
            <v>BANCO BTG PACTUAL S/A</v>
          </cell>
        </row>
        <row r="15422">
          <cell r="B15422">
            <v>930319</v>
          </cell>
          <cell r="C15422" t="str">
            <v>BANCO BTG PACTUAL S/A</v>
          </cell>
          <cell r="D15422">
            <v>30319</v>
          </cell>
          <cell r="E15422" t="str">
            <v>BANCO BTG PACTUAL S/A</v>
          </cell>
        </row>
        <row r="15423">
          <cell r="B15423">
            <v>93032</v>
          </cell>
          <cell r="C15423" t="str">
            <v>MORGAN STANLEY CTVM S/A</v>
          </cell>
          <cell r="D15423" t="str">
            <v>A93032</v>
          </cell>
          <cell r="E15423" t="str">
            <v>MORGAN STANLEY CTVM S/A</v>
          </cell>
        </row>
        <row r="15424">
          <cell r="B15424">
            <v>93090</v>
          </cell>
          <cell r="C15424" t="str">
            <v>FIBRA CAMBIAL FUNDO DE INVEST. FINANCEIRO.</v>
          </cell>
          <cell r="D15424" t="str">
            <v>FIBRA CAMBIAL FUNDO DE INVEST. FINANCEIRO.</v>
          </cell>
          <cell r="E15424" t="str">
            <v>FIBRA CAMBIAL FUNDO DE INVEST. FINANCEIRO.</v>
          </cell>
        </row>
        <row r="15425">
          <cell r="B15425">
            <v>908812</v>
          </cell>
          <cell r="C15425" t="str">
            <v>UBS BRASIL CCTVM S/A (ANTIGA LINK S/A CCTVM)</v>
          </cell>
          <cell r="D15425" t="str">
            <v>UBS BRASIL CCTVM S/A (ANTIGA LINK S/A CCTVM)</v>
          </cell>
          <cell r="E15425" t="str">
            <v>UBS AG, LONDON BRANCH NOVO</v>
          </cell>
        </row>
        <row r="15426">
          <cell r="B15426">
            <v>931800</v>
          </cell>
          <cell r="C15426" t="str">
            <v>HEDGING GRIFFO CV S/A</v>
          </cell>
          <cell r="D15426">
            <v>291</v>
          </cell>
          <cell r="E15426" t="str">
            <v>HEDGING GRIFFO CV S/A</v>
          </cell>
        </row>
        <row r="15427">
          <cell r="B15427">
            <v>90980</v>
          </cell>
          <cell r="C15427" t="str">
            <v>UBS BRASIL CCTVM S/A (ANTIGA LINK S/A CCTVM)</v>
          </cell>
          <cell r="D15427" t="str">
            <v>UBS BRASIL CCTVM S/A (ANTIGA LINK S/A CCTVM)</v>
          </cell>
          <cell r="E15427" t="str">
            <v>UBS AG, LONDON BRANCH NOVO</v>
          </cell>
        </row>
        <row r="15428">
          <cell r="B15428">
            <v>90981</v>
          </cell>
          <cell r="C15428" t="str">
            <v>UBS BRASIL CCTVM S/A (ANTIGA LINK S/A CCTVM)</v>
          </cell>
          <cell r="D15428" t="str">
            <v>UBS BRASIL CCTVM S/A (ANTIGA LINK S/A CCTVM)</v>
          </cell>
          <cell r="E15428" t="str">
            <v>UBS AG, LONDON BRANCH NOVO</v>
          </cell>
        </row>
        <row r="15429">
          <cell r="B15429">
            <v>933252</v>
          </cell>
          <cell r="C15429" t="str">
            <v>SANTANDER S/A CCT</v>
          </cell>
          <cell r="D15429">
            <v>325</v>
          </cell>
          <cell r="E15429" t="str">
            <v>SANTANDER S/A CCT</v>
          </cell>
        </row>
        <row r="15430">
          <cell r="B15430">
            <v>933254</v>
          </cell>
          <cell r="C15430" t="str">
            <v>BTG PACTUAL CM LTDA</v>
          </cell>
          <cell r="D15430">
            <v>33254</v>
          </cell>
          <cell r="E15430" t="str">
            <v>BTG PACTUAL CM LTDA</v>
          </cell>
        </row>
        <row r="15431">
          <cell r="B15431">
            <v>935148</v>
          </cell>
          <cell r="C15431" t="str">
            <v>LOPEZ LEON DERIVATIVOS CM S/A</v>
          </cell>
          <cell r="D15431">
            <v>35148</v>
          </cell>
          <cell r="E15431" t="str">
            <v>LOPEZ LEON DERIVATIVOS CM S/A</v>
          </cell>
        </row>
        <row r="15432">
          <cell r="B15432">
            <v>935149</v>
          </cell>
          <cell r="C15432" t="str">
            <v>ATIVA S/A CTCV</v>
          </cell>
          <cell r="D15432">
            <v>35149</v>
          </cell>
          <cell r="E15432" t="str">
            <v>ATIVA S/A CTCV</v>
          </cell>
        </row>
        <row r="15433">
          <cell r="B15433">
            <v>90982</v>
          </cell>
          <cell r="C15433" t="str">
            <v>UBS BRASIL CCTVM S/A (ANTIGA LINK S/A CCTVM)</v>
          </cell>
          <cell r="D15433" t="str">
            <v>UBS BRASIL CCTVM S/A (ANTIGA LINK S/A CCTVM)</v>
          </cell>
          <cell r="E15433" t="str">
            <v>UBS AG, LONDON BRANCH NOVO</v>
          </cell>
        </row>
        <row r="15434">
          <cell r="B15434">
            <v>935400</v>
          </cell>
          <cell r="C15434" t="str">
            <v>VOTORANTIM CTVM LTDA</v>
          </cell>
          <cell r="D15434" t="str">
            <v>VOTORANTIM CTVM LTDA</v>
          </cell>
          <cell r="E15434" t="str">
            <v>VOTORANTIM CTVM LTDA</v>
          </cell>
        </row>
        <row r="15435">
          <cell r="B15435">
            <v>935500</v>
          </cell>
          <cell r="C15435" t="str">
            <v>VOTORANTIM CTVM LTDA</v>
          </cell>
          <cell r="D15435">
            <v>35500</v>
          </cell>
          <cell r="E15435" t="str">
            <v>VOTORANTIM CTVM LTDA</v>
          </cell>
        </row>
        <row r="15436">
          <cell r="B15436">
            <v>935550</v>
          </cell>
          <cell r="C15436" t="str">
            <v>VOTORANTIM CTVM LTDA</v>
          </cell>
          <cell r="D15436">
            <v>35550</v>
          </cell>
          <cell r="E15436" t="str">
            <v>VOTORANTIM CTVM LTDA</v>
          </cell>
        </row>
        <row r="15437">
          <cell r="B15437">
            <v>910630</v>
          </cell>
          <cell r="C15437" t="str">
            <v>UBS BRASIL CCTVM S/A (ANTIGA LINK S/A CCTVM)</v>
          </cell>
          <cell r="D15437" t="str">
            <v>UBS BRASIL CCTVM S/A (ANTIGA LINK S/A CCTVM)</v>
          </cell>
          <cell r="E15437" t="str">
            <v>UBS AG, LONDON BRANCH NOVO</v>
          </cell>
        </row>
        <row r="15438">
          <cell r="B15438">
            <v>918810</v>
          </cell>
          <cell r="C15438" t="str">
            <v>UBS BRASIL CCTVM S/A (ANTIGA LINK S/A CCTVM)</v>
          </cell>
          <cell r="D15438" t="str">
            <v>UBS BRASIL CCTVM S/A (ANTIGA LINK S/A CCTVM)</v>
          </cell>
          <cell r="E15438" t="str">
            <v>UBS AG, LONDON BRANCH NOVO</v>
          </cell>
        </row>
        <row r="15439">
          <cell r="B15439">
            <v>918854</v>
          </cell>
          <cell r="C15439" t="str">
            <v>UBS BRASIL CCTVM S/A (ANTIGA LINK S/A CCTVM)</v>
          </cell>
          <cell r="D15439">
            <v>306</v>
          </cell>
          <cell r="E15439" t="str">
            <v>UBS AG, LONDON BRANCH NOVO</v>
          </cell>
        </row>
        <row r="15440">
          <cell r="B15440">
            <v>925154</v>
          </cell>
          <cell r="C15440" t="str">
            <v>UBS BRASIL CCTVM S/A (ANTIGA LINK S/A CCTVM)</v>
          </cell>
          <cell r="D15440">
            <v>25154</v>
          </cell>
          <cell r="E15440" t="str">
            <v>UBS AG, LONDON BRANCH NOVO</v>
          </cell>
        </row>
        <row r="15441">
          <cell r="B15441">
            <v>938254</v>
          </cell>
          <cell r="C15441" t="str">
            <v>BTG PACTUAL CM LTDA</v>
          </cell>
          <cell r="D15441" t="str">
            <v>BTG PACTUAL CM LTDA</v>
          </cell>
          <cell r="E15441" t="str">
            <v>BANCO BTG PACTUAL S/A</v>
          </cell>
        </row>
        <row r="15442">
          <cell r="B15442">
            <v>9391515</v>
          </cell>
          <cell r="C15442" t="str">
            <v>AGORA CTVM S/A</v>
          </cell>
          <cell r="D15442" t="str">
            <v>AGORA CTVM S/A</v>
          </cell>
          <cell r="E15442" t="str">
            <v>AGORA GESTAO DE RECURSOS LTDA</v>
          </cell>
        </row>
        <row r="15443">
          <cell r="B15443">
            <v>9391516</v>
          </cell>
          <cell r="C15443" t="str">
            <v>AGORA CTVM S/A</v>
          </cell>
          <cell r="D15443" t="str">
            <v>AGORA CTVM S/A</v>
          </cell>
          <cell r="E15443" t="str">
            <v>AGORA GESTAO DE RECURSOS LTDA</v>
          </cell>
        </row>
        <row r="15444">
          <cell r="B15444">
            <v>9391517</v>
          </cell>
          <cell r="C15444" t="str">
            <v>AGORA CTVM S/A</v>
          </cell>
          <cell r="D15444" t="str">
            <v>AGORA CTVM S/A</v>
          </cell>
          <cell r="E15444" t="str">
            <v>AGORA GESTAO DE RECURSOS LTDA</v>
          </cell>
        </row>
        <row r="15445">
          <cell r="B15445">
            <v>939883</v>
          </cell>
          <cell r="C15445" t="str">
            <v>AGORA CTVM S/A</v>
          </cell>
          <cell r="D15445" t="str">
            <v>AGORA CTVM S/A</v>
          </cell>
          <cell r="E15445" t="str">
            <v>AGORA GESTAO DE RECURSOS LTDA</v>
          </cell>
        </row>
        <row r="15446">
          <cell r="B15446">
            <v>939885</v>
          </cell>
          <cell r="C15446" t="str">
            <v>AGORA CTVM S/A</v>
          </cell>
          <cell r="D15446">
            <v>39885</v>
          </cell>
          <cell r="E15446" t="str">
            <v>AGORA GESTAO DE RECURSOS LTDA</v>
          </cell>
        </row>
        <row r="15447">
          <cell r="B15447">
            <v>939900</v>
          </cell>
          <cell r="C15447" t="str">
            <v>AGORA CTVM S/A</v>
          </cell>
          <cell r="D15447">
            <v>39900</v>
          </cell>
          <cell r="E15447" t="str">
            <v>AGORA GESTAO DE RECURSOS LTDA</v>
          </cell>
        </row>
        <row r="15448">
          <cell r="B15448">
            <v>940149</v>
          </cell>
          <cell r="C15448" t="str">
            <v>ITAU CORRETORA DE VALORES S.A.</v>
          </cell>
          <cell r="D15448" t="str">
            <v>A940149</v>
          </cell>
          <cell r="E15448" t="str">
            <v>ITAU CV S/A</v>
          </cell>
        </row>
        <row r="15449">
          <cell r="B15449">
            <v>94031</v>
          </cell>
          <cell r="C15449" t="str">
            <v>BB GESTAO DE RECURSOS DTVM LTDA</v>
          </cell>
          <cell r="D15449" t="str">
            <v>BB GESTAO DE RECURSOS DTVM LTDA</v>
          </cell>
          <cell r="E15449" t="str">
            <v>BANCO DO BRASIL S/A</v>
          </cell>
        </row>
        <row r="15450">
          <cell r="B15450">
            <v>940416</v>
          </cell>
          <cell r="C15450" t="str">
            <v>BTG PACTUAL CM LTDA</v>
          </cell>
          <cell r="D15450" t="str">
            <v>BTG PACTUAL CM LTDA</v>
          </cell>
          <cell r="E15450" t="str">
            <v>BTG PACTUAL CM LTDA</v>
          </cell>
        </row>
        <row r="15451">
          <cell r="B15451">
            <v>940610</v>
          </cell>
          <cell r="C15451" t="str">
            <v>GRADUAL CCTVM S/A</v>
          </cell>
          <cell r="D15451" t="str">
            <v>A940610</v>
          </cell>
          <cell r="E15451" t="str">
            <v>GRADUAL CCTVM S/A</v>
          </cell>
        </row>
        <row r="15452">
          <cell r="B15452">
            <v>94065</v>
          </cell>
          <cell r="C15452" t="str">
            <v>DIFERENCIAL CTVM S/A P/C 1-1</v>
          </cell>
          <cell r="D15452" t="str">
            <v>DIFERENCIAL CTVM S/A P/C 1-1</v>
          </cell>
          <cell r="E15452" t="str">
            <v>DIFERENCIAL CTVM S/A P/C 1-1</v>
          </cell>
        </row>
        <row r="15453">
          <cell r="B15453">
            <v>941000</v>
          </cell>
          <cell r="C15453" t="str">
            <v>ING CCT S/A</v>
          </cell>
          <cell r="D15453">
            <v>41000</v>
          </cell>
          <cell r="E15453" t="str">
            <v>ING CCT S/A</v>
          </cell>
        </row>
        <row r="15454">
          <cell r="B15454">
            <v>941007</v>
          </cell>
          <cell r="C15454" t="str">
            <v>ING CCT S/A</v>
          </cell>
          <cell r="D15454">
            <v>41007</v>
          </cell>
          <cell r="E15454" t="str">
            <v>ING CCT S/A</v>
          </cell>
        </row>
        <row r="15455">
          <cell r="B15455">
            <v>94170</v>
          </cell>
          <cell r="C15455" t="str">
            <v>BB GESTAO DE RECURSOS DTVM LTDA</v>
          </cell>
          <cell r="D15455" t="str">
            <v>BB GESTAO DE RECURSOS DTVM LTDA</v>
          </cell>
          <cell r="E15455" t="str">
            <v>BANCO DO BRASIL S/A</v>
          </cell>
        </row>
        <row r="15456">
          <cell r="B15456">
            <v>94184</v>
          </cell>
          <cell r="C15456" t="str">
            <v>BB GESTAO DE RECURSOS DTVM LTDA</v>
          </cell>
          <cell r="D15456" t="str">
            <v>BB GESTAO DE RECURSOS DTVM LTDA</v>
          </cell>
          <cell r="E15456" t="str">
            <v>BANCO DO BRASIL S/A</v>
          </cell>
        </row>
        <row r="15457">
          <cell r="B15457">
            <v>94245</v>
          </cell>
          <cell r="C15457" t="str">
            <v>DIFERENCIAL CTVM S/A P/C 1-1</v>
          </cell>
          <cell r="D15457" t="str">
            <v>DIFERENCIAL CTVM S/A P/C 1-1</v>
          </cell>
          <cell r="E15457" t="str">
            <v>DIFERENCIAL CTVM S/A P/C 1-1</v>
          </cell>
        </row>
        <row r="15458">
          <cell r="B15458">
            <v>94273</v>
          </cell>
          <cell r="C15458" t="str">
            <v>DIFERENCIAL CTVM S/A P/C 1-1</v>
          </cell>
          <cell r="D15458" t="str">
            <v>DIFERENCIAL CTVM S/A P/C 1-1</v>
          </cell>
          <cell r="E15458" t="str">
            <v>DIFERENCIAL CTVM S/A P/C 1-1</v>
          </cell>
        </row>
        <row r="15459">
          <cell r="B15459">
            <v>94275</v>
          </cell>
          <cell r="C15459" t="str">
            <v>DIFERENCIAL CTVM S/A P/C 1-1</v>
          </cell>
          <cell r="D15459" t="str">
            <v>DIFERENCIAL CTVM S/A P/C 1-1</v>
          </cell>
          <cell r="E15459" t="str">
            <v>DIFERENCIAL CTVM S/A P/C 1-1</v>
          </cell>
        </row>
        <row r="15460">
          <cell r="B15460">
            <v>94276</v>
          </cell>
          <cell r="C15460" t="str">
            <v>DIFERENCIAL CTVM S/A P/C 1-1</v>
          </cell>
          <cell r="D15460" t="str">
            <v>DIFERENCIAL CTVM S/A P/C 1-1</v>
          </cell>
          <cell r="E15460" t="str">
            <v>DIFERENCIAL CTVM S/A P/C 1-1</v>
          </cell>
        </row>
        <row r="15461">
          <cell r="B15461">
            <v>944005</v>
          </cell>
          <cell r="C15461" t="str">
            <v>HAITONG SECURITIES  DO BRASIL CCVM (BES SECURITIES DO BRASIL</v>
          </cell>
          <cell r="D15461" t="str">
            <v>HAITONG SECURITIES  DO BRASIL CCVM (BES SECURITIES DO BRASIL</v>
          </cell>
          <cell r="E15461" t="str">
            <v>HAITONG BANCO DE INVESTIMENTO DO BRASIL S/A</v>
          </cell>
        </row>
        <row r="15462">
          <cell r="B15462">
            <v>944057</v>
          </cell>
          <cell r="C15462" t="str">
            <v>ATIVA S/A CTCV</v>
          </cell>
          <cell r="D15462" t="str">
            <v>A944057</v>
          </cell>
          <cell r="E15462" t="str">
            <v>ATIVA S/A CTCV</v>
          </cell>
        </row>
        <row r="15463">
          <cell r="B15463">
            <v>944142</v>
          </cell>
          <cell r="C15463" t="str">
            <v>BTG PACTUAL CM LTDA</v>
          </cell>
          <cell r="D15463">
            <v>87</v>
          </cell>
          <cell r="E15463" t="str">
            <v>BTG PACTUAL CM LTDA</v>
          </cell>
        </row>
        <row r="15464">
          <cell r="B15464">
            <v>944143</v>
          </cell>
          <cell r="C15464" t="str">
            <v>BTG PACTUAL CM LTDA</v>
          </cell>
          <cell r="D15464" t="str">
            <v>BTG PACTUAL CM LTDA</v>
          </cell>
          <cell r="E15464" t="str">
            <v>BANCO BTG PACTUAL S/A</v>
          </cell>
        </row>
        <row r="15465">
          <cell r="B15465">
            <v>944383</v>
          </cell>
          <cell r="C15465" t="str">
            <v>MERRILL LYNCH S/A CTVM</v>
          </cell>
          <cell r="D15465" t="str">
            <v>A944383</v>
          </cell>
          <cell r="E15465" t="str">
            <v>MERRILL LYNCH S/A CTVM</v>
          </cell>
        </row>
        <row r="15466">
          <cell r="B15466">
            <v>944490</v>
          </cell>
          <cell r="C15466" t="str">
            <v>MERRILL LYNCH S/A CTVM</v>
          </cell>
          <cell r="D15466" t="str">
            <v>A944490</v>
          </cell>
          <cell r="E15466" t="str">
            <v>MERRILL LYNCH S/A CTVM</v>
          </cell>
        </row>
        <row r="15467">
          <cell r="B15467">
            <v>80204</v>
          </cell>
          <cell r="C15467" t="str">
            <v>BANCO SANTANDER S.A (HISPANO)</v>
          </cell>
          <cell r="D15467" t="str">
            <v>BANCO SANTANDER S.A (HISPANO)</v>
          </cell>
          <cell r="E15467" t="str">
            <v>BANCO SANTANDER S/A (HISPANO)</v>
          </cell>
        </row>
        <row r="15468">
          <cell r="B15468">
            <v>944600</v>
          </cell>
          <cell r="C15468" t="str">
            <v>SANTANDER BRASIL S/A CTVM</v>
          </cell>
          <cell r="D15468" t="str">
            <v>SANTANDER BRASIL S/A CTVM</v>
          </cell>
          <cell r="E15468" t="str">
            <v>SANTANDER BRASIL S/A CTVM</v>
          </cell>
        </row>
        <row r="15469">
          <cell r="B15469">
            <v>944661</v>
          </cell>
          <cell r="C15469" t="str">
            <v>UNIBANCO INVESTSHOP-CVMC</v>
          </cell>
          <cell r="D15469" t="str">
            <v>UNIBANCO INVESTSHOP-CVMC</v>
          </cell>
          <cell r="E15469" t="str">
            <v>UNIBANCO INVESTSHOP-CVMC</v>
          </cell>
        </row>
        <row r="15470">
          <cell r="B15470">
            <v>944662</v>
          </cell>
          <cell r="C15470" t="str">
            <v>UNIBANCO INVESTSHOP-CVMC</v>
          </cell>
          <cell r="D15470" t="str">
            <v>UNIBANCO INVESTSHOP-CVMC</v>
          </cell>
          <cell r="E15470" t="str">
            <v>UNIBANCO INVESTSHOP-CVMC</v>
          </cell>
        </row>
        <row r="15471">
          <cell r="B15471">
            <v>944755</v>
          </cell>
          <cell r="C15471" t="str">
            <v>MERRILL LYNCH S/A CTVM</v>
          </cell>
          <cell r="D15471" t="str">
            <v>A944755</v>
          </cell>
          <cell r="E15471" t="str">
            <v>MERRILL LYNCH S/A CTVM</v>
          </cell>
        </row>
        <row r="15472">
          <cell r="B15472">
            <v>944756</v>
          </cell>
          <cell r="C15472" t="str">
            <v>MERRILL LYNCH S/A CTVM</v>
          </cell>
          <cell r="D15472" t="str">
            <v>MERRILL LYNCH S/A CTVM</v>
          </cell>
          <cell r="E15472" t="str">
            <v>MERRILL LYNCH S/A CTVM</v>
          </cell>
        </row>
        <row r="15473">
          <cell r="B15473">
            <v>944999</v>
          </cell>
          <cell r="C15473" t="str">
            <v>SANTANDER S/A CCT</v>
          </cell>
          <cell r="D15473" t="str">
            <v>SANTANDER S/A CCT</v>
          </cell>
          <cell r="E15473" t="str">
            <v>SANTANDER S/A CCT</v>
          </cell>
        </row>
        <row r="15474">
          <cell r="B15474">
            <v>945000</v>
          </cell>
          <cell r="C15474" t="str">
            <v>CREDIT SUISSE (BRASIL) S/A CTVM</v>
          </cell>
          <cell r="D15474">
            <v>45000</v>
          </cell>
          <cell r="E15474" t="str">
            <v>CREDIT SUISSE (BRASIL) S/A CTVM</v>
          </cell>
        </row>
        <row r="15475">
          <cell r="B15475">
            <v>94524</v>
          </cell>
          <cell r="C15475" t="str">
            <v>BB BANCO DE INVESTIMENTO S/A</v>
          </cell>
          <cell r="D15475" t="str">
            <v>BB BANCO DE INVESTIMENTO S/A</v>
          </cell>
          <cell r="E15475" t="str">
            <v>BB BANCO DE INVESTIMENTO S/A</v>
          </cell>
        </row>
        <row r="15476">
          <cell r="B15476">
            <v>94559</v>
          </cell>
          <cell r="C15476" t="str">
            <v>CM CAPITAL MARKETS CCTVM LTDA</v>
          </cell>
          <cell r="D15476" t="str">
            <v>A94559</v>
          </cell>
          <cell r="E15476" t="str">
            <v>CM CAPITAL MARKETS CCTVM LTDA</v>
          </cell>
        </row>
        <row r="15477">
          <cell r="B15477">
            <v>94560</v>
          </cell>
          <cell r="C15477" t="str">
            <v>CM CAPITAL MARKETS CCTVM LTDA</v>
          </cell>
          <cell r="D15477" t="str">
            <v>CM CAPITAL MARKETS CCTVM LTDA</v>
          </cell>
          <cell r="E15477" t="str">
            <v>CM CAPITAL MARKETS CCTVM LTDA</v>
          </cell>
        </row>
        <row r="15478">
          <cell r="B15478">
            <v>925188</v>
          </cell>
          <cell r="C15478" t="str">
            <v>UBS BRASIL CCTVM S/A (ANTIGA LINK S/A CCTVM)</v>
          </cell>
          <cell r="D15478" t="str">
            <v>61.1</v>
          </cell>
          <cell r="E15478" t="str">
            <v>UBS AG, LONDON BRANCH NOVO</v>
          </cell>
        </row>
        <row r="15479">
          <cell r="B15479">
            <v>94647</v>
          </cell>
          <cell r="C15479" t="str">
            <v>HEDGING-GRIFFO BRASIL FUNDO LLC</v>
          </cell>
          <cell r="D15479" t="str">
            <v>HEDGING-GRIFFO BRASIL FUNDO LLC</v>
          </cell>
          <cell r="E15479" t="str">
            <v>HEDGING-GRIFFO BRASIL FUNDO LLC</v>
          </cell>
        </row>
        <row r="15480">
          <cell r="B15480">
            <v>947101</v>
          </cell>
          <cell r="C15480" t="str">
            <v>ITAU CORRETORA DE VALORES S.A.</v>
          </cell>
          <cell r="D15480" t="str">
            <v>70.1</v>
          </cell>
          <cell r="E15480" t="str">
            <v>ITAU CV S/A</v>
          </cell>
        </row>
        <row r="15481">
          <cell r="B15481">
            <v>947102</v>
          </cell>
          <cell r="C15481" t="str">
            <v>ITAU CORRETORA DE VALORES S.A.</v>
          </cell>
          <cell r="D15481" t="str">
            <v>70.2</v>
          </cell>
          <cell r="E15481" t="str">
            <v>ITAU CV S/A</v>
          </cell>
        </row>
        <row r="15482">
          <cell r="B15482">
            <v>947103</v>
          </cell>
          <cell r="C15482" t="str">
            <v>ITAU CORRETORA DE VALORES S.A.</v>
          </cell>
          <cell r="D15482" t="str">
            <v>70.3</v>
          </cell>
          <cell r="E15482" t="str">
            <v>ITAU CV S/A</v>
          </cell>
        </row>
        <row r="15483">
          <cell r="B15483">
            <v>947104</v>
          </cell>
          <cell r="C15483" t="str">
            <v>ITAU CORRETORA DE VALORES S.A.</v>
          </cell>
          <cell r="D15483" t="str">
            <v>70.4</v>
          </cell>
          <cell r="E15483" t="str">
            <v>ITAU CV S/A</v>
          </cell>
        </row>
        <row r="15484">
          <cell r="B15484">
            <v>947105</v>
          </cell>
          <cell r="C15484" t="str">
            <v>ITAU CORRETORA DE VALORES S.A.</v>
          </cell>
          <cell r="D15484" t="str">
            <v>70.5</v>
          </cell>
          <cell r="E15484" t="str">
            <v>ITAU CV S/A</v>
          </cell>
        </row>
        <row r="15485">
          <cell r="B15485">
            <v>947106</v>
          </cell>
          <cell r="C15485" t="str">
            <v>ITAU CORRETORA DE VALORES S.A.</v>
          </cell>
          <cell r="D15485" t="str">
            <v>70.6</v>
          </cell>
          <cell r="E15485" t="str">
            <v>ITAU CV S/A</v>
          </cell>
        </row>
        <row r="15486">
          <cell r="B15486">
            <v>947107</v>
          </cell>
          <cell r="C15486" t="str">
            <v>ITAU CORRETORA DE VALORES S.A.</v>
          </cell>
          <cell r="D15486" t="str">
            <v>70.7</v>
          </cell>
          <cell r="E15486" t="str">
            <v>ITAU CV S/A</v>
          </cell>
        </row>
        <row r="15487">
          <cell r="B15487">
            <v>947108</v>
          </cell>
          <cell r="C15487" t="str">
            <v>ITAU CORRETORA DE VALORES S.A.</v>
          </cell>
          <cell r="D15487" t="str">
            <v>70.8</v>
          </cell>
          <cell r="E15487" t="str">
            <v>ITAU CV S/A</v>
          </cell>
        </row>
        <row r="15488">
          <cell r="B15488">
            <v>947109</v>
          </cell>
          <cell r="C15488" t="str">
            <v>ITAU CORRETORA DE VALORES S.A.</v>
          </cell>
          <cell r="D15488" t="str">
            <v>70.9</v>
          </cell>
          <cell r="E15488" t="str">
            <v>ITAU CV S/A</v>
          </cell>
        </row>
        <row r="15489">
          <cell r="B15489">
            <v>947110</v>
          </cell>
          <cell r="C15489" t="str">
            <v>ITAU CORRETORA DE VALORES S.A.</v>
          </cell>
          <cell r="D15489" t="str">
            <v>70.12</v>
          </cell>
          <cell r="E15489" t="str">
            <v>ITAU CV S/A</v>
          </cell>
        </row>
        <row r="15490">
          <cell r="B15490">
            <v>947111</v>
          </cell>
          <cell r="C15490" t="str">
            <v>ITAU CORRETORA DE VALORES S.A.</v>
          </cell>
          <cell r="D15490" t="str">
            <v>70.13</v>
          </cell>
          <cell r="E15490" t="str">
            <v>ITAU CV S/A</v>
          </cell>
        </row>
        <row r="15491">
          <cell r="B15491">
            <v>947112</v>
          </cell>
          <cell r="C15491" t="str">
            <v>ITAU CORRETORA DE VALORES S.A.</v>
          </cell>
          <cell r="D15491" t="str">
            <v>70.14</v>
          </cell>
          <cell r="E15491" t="str">
            <v>ITAU CV S/A</v>
          </cell>
        </row>
        <row r="15492">
          <cell r="B15492">
            <v>947113</v>
          </cell>
          <cell r="C15492" t="str">
            <v>ITAU CORRETORA DE VALORES S.A.</v>
          </cell>
          <cell r="D15492" t="str">
            <v>70.15</v>
          </cell>
          <cell r="E15492" t="str">
            <v>ITAU CV S/A</v>
          </cell>
        </row>
        <row r="15493">
          <cell r="B15493">
            <v>947114</v>
          </cell>
          <cell r="C15493" t="str">
            <v>ITAU CORRETORA DE VALORES S.A.</v>
          </cell>
          <cell r="D15493" t="str">
            <v>70.16</v>
          </cell>
          <cell r="E15493" t="str">
            <v>ITAU CV S/A</v>
          </cell>
        </row>
        <row r="15494">
          <cell r="B15494">
            <v>947115</v>
          </cell>
          <cell r="C15494" t="str">
            <v>ITAU CORRETORA DE VALORES S.A.</v>
          </cell>
          <cell r="D15494" t="str">
            <v>70.17</v>
          </cell>
          <cell r="E15494" t="str">
            <v>ITAU CV S/A</v>
          </cell>
        </row>
        <row r="15495">
          <cell r="B15495">
            <v>947116</v>
          </cell>
          <cell r="C15495" t="str">
            <v>ITAU CORRETORA DE VALORES S.A.</v>
          </cell>
          <cell r="D15495" t="str">
            <v>70.18</v>
          </cell>
          <cell r="E15495" t="str">
            <v>ITAU CV S/A</v>
          </cell>
        </row>
        <row r="15496">
          <cell r="B15496">
            <v>947117</v>
          </cell>
          <cell r="C15496" t="str">
            <v>ITAU CORRETORA DE VALORES S.A.</v>
          </cell>
          <cell r="D15496" t="str">
            <v>70.19</v>
          </cell>
          <cell r="E15496" t="str">
            <v>ITAU CV S/A</v>
          </cell>
        </row>
        <row r="15497">
          <cell r="B15497">
            <v>947118</v>
          </cell>
          <cell r="C15497" t="str">
            <v>ITAU CORRETORA DE VALORES S.A.</v>
          </cell>
          <cell r="D15497" t="str">
            <v>ITAU CORRETORA DE VALORES S.A.</v>
          </cell>
          <cell r="E15497" t="str">
            <v>ITAU CV S/A</v>
          </cell>
        </row>
        <row r="15498">
          <cell r="B15498">
            <v>947119</v>
          </cell>
          <cell r="C15498" t="str">
            <v>ITAU CORRETORA DE VALORES S.A.</v>
          </cell>
          <cell r="D15498" t="str">
            <v>70.10</v>
          </cell>
          <cell r="E15498" t="str">
            <v>ITAU CV S/A</v>
          </cell>
        </row>
        <row r="15499">
          <cell r="B15499">
            <v>947130</v>
          </cell>
          <cell r="C15499" t="str">
            <v>ITAU CORRETORA DE VALORES S.A.</v>
          </cell>
          <cell r="D15499" t="str">
            <v>A947130</v>
          </cell>
          <cell r="E15499" t="str">
            <v>ITAU CV S/A</v>
          </cell>
        </row>
        <row r="15500">
          <cell r="B15500">
            <v>94790</v>
          </cell>
          <cell r="C15500" t="str">
            <v>DIFERENCIAL CTVM S/A P/C 1-1</v>
          </cell>
          <cell r="D15500" t="str">
            <v>DIFERENCIAL CTVM S/A P/C 1-1</v>
          </cell>
          <cell r="E15500" t="str">
            <v>DIFERENCIAL CTVM S/A P/C 1-1</v>
          </cell>
        </row>
        <row r="15501">
          <cell r="B15501">
            <v>94875</v>
          </cell>
          <cell r="C15501" t="str">
            <v>ITAU CORRETORA DE VALORES S.A.</v>
          </cell>
          <cell r="D15501" t="str">
            <v>ITAU CORRETORA DE VALORES S.A.</v>
          </cell>
          <cell r="E15501" t="str">
            <v>ITAU CV S/A</v>
          </cell>
        </row>
        <row r="15502">
          <cell r="B15502">
            <v>94876</v>
          </cell>
          <cell r="C15502" t="str">
            <v>ITAU CORRETORA DE VALORES S.A.</v>
          </cell>
          <cell r="D15502" t="str">
            <v>ITAU CORRETORA DE VALORES S.A.</v>
          </cell>
          <cell r="E15502" t="str">
            <v>ITAU CV S/A</v>
          </cell>
        </row>
        <row r="15503">
          <cell r="B15503">
            <v>94877</v>
          </cell>
          <cell r="C15503" t="str">
            <v>ITAU CORRETORA DE VALORES S.A.</v>
          </cell>
          <cell r="D15503" t="str">
            <v>ITAU CORRETORA DE VALORES S.A.</v>
          </cell>
          <cell r="E15503" t="str">
            <v>ITAU CV S/A</v>
          </cell>
        </row>
        <row r="15504">
          <cell r="B15504">
            <v>94878</v>
          </cell>
          <cell r="C15504" t="str">
            <v>ITAU CORRETORA DE VALORES S.A.</v>
          </cell>
          <cell r="D15504" t="str">
            <v>ITAU CORRETORA DE VALORES S.A.</v>
          </cell>
          <cell r="E15504" t="str">
            <v>ITAU CV S/A</v>
          </cell>
        </row>
        <row r="15505">
          <cell r="B15505">
            <v>94879</v>
          </cell>
          <cell r="C15505" t="str">
            <v>ITAU CORRETORA DE VALORES S.A.</v>
          </cell>
          <cell r="D15505" t="str">
            <v>ITAU CORRETORA DE VALORES S.A.</v>
          </cell>
          <cell r="E15505" t="str">
            <v>ITAU CV S/A</v>
          </cell>
        </row>
        <row r="15506">
          <cell r="B15506">
            <v>94880</v>
          </cell>
          <cell r="C15506" t="str">
            <v>ITAU CORRETORA DE VALORES S.A.</v>
          </cell>
          <cell r="D15506" t="str">
            <v>ITAU CORRETORA DE VALORES S.A.</v>
          </cell>
          <cell r="E15506" t="str">
            <v>ITAU CV S/A</v>
          </cell>
        </row>
        <row r="15507">
          <cell r="B15507">
            <v>94888</v>
          </cell>
          <cell r="C15507" t="str">
            <v>ITAU CORRETORA DE VALORES S.A.</v>
          </cell>
          <cell r="D15507" t="str">
            <v>ITAU CORRETORA DE VALORES S.A.</v>
          </cell>
          <cell r="E15507" t="str">
            <v>ITAU CV S/A</v>
          </cell>
        </row>
        <row r="15508">
          <cell r="B15508">
            <v>94889</v>
          </cell>
          <cell r="C15508" t="str">
            <v>ITAU CORRETORA DE VALORES S.A.</v>
          </cell>
          <cell r="D15508" t="str">
            <v>ITAU CORRETORA DE VALORES S.A.</v>
          </cell>
          <cell r="E15508" t="str">
            <v>ITAU CV S/A</v>
          </cell>
        </row>
        <row r="15509">
          <cell r="B15509">
            <v>94890</v>
          </cell>
          <cell r="C15509" t="str">
            <v>ITAU CORRETORA DE VALORES S.A.</v>
          </cell>
          <cell r="D15509" t="str">
            <v>ITAU CORRETORA DE VALORES S.A.</v>
          </cell>
          <cell r="E15509" t="str">
            <v>ITAU CV S/A</v>
          </cell>
        </row>
        <row r="15510">
          <cell r="B15510">
            <v>94891</v>
          </cell>
          <cell r="C15510" t="str">
            <v>ITAU CORRETORA DE VALORES S.A.</v>
          </cell>
          <cell r="D15510" t="str">
            <v>ITAU CORRETORA DE VALORES S.A.</v>
          </cell>
          <cell r="E15510" t="str">
            <v>ITAU CV S/A</v>
          </cell>
        </row>
        <row r="15511">
          <cell r="B15511">
            <v>94892</v>
          </cell>
          <cell r="C15511" t="str">
            <v>ITAU CORRETORA DE VALORES S.A.</v>
          </cell>
          <cell r="D15511" t="str">
            <v>ITAU CORRETORA DE VALORES S.A.</v>
          </cell>
          <cell r="E15511" t="str">
            <v>ITAU CV S/A</v>
          </cell>
        </row>
        <row r="15512">
          <cell r="B15512">
            <v>94894</v>
          </cell>
          <cell r="C15512" t="str">
            <v>ITAU CORRETORA DE VALORES S.A.</v>
          </cell>
          <cell r="D15512" t="str">
            <v>ITAU CORRETORA DE VALORES S.A.</v>
          </cell>
          <cell r="E15512" t="str">
            <v>ITAU CV S/A</v>
          </cell>
        </row>
        <row r="15513">
          <cell r="B15513">
            <v>94895</v>
          </cell>
          <cell r="C15513" t="str">
            <v>ITAU CORRETORA DE VALORES S.A.</v>
          </cell>
          <cell r="D15513" t="str">
            <v>ITAU CORRETORA DE VALORES S.A.</v>
          </cell>
          <cell r="E15513" t="str">
            <v>ITAU CV S/A</v>
          </cell>
        </row>
        <row r="15514">
          <cell r="B15514">
            <v>94898</v>
          </cell>
          <cell r="C15514" t="str">
            <v>ITAU CORRETORA DE VALORES S.A.</v>
          </cell>
          <cell r="D15514" t="str">
            <v>A94898</v>
          </cell>
          <cell r="E15514" t="str">
            <v>ITAU CV S/A</v>
          </cell>
        </row>
        <row r="15515">
          <cell r="B15515">
            <v>94899</v>
          </cell>
          <cell r="C15515" t="str">
            <v>ITAU CORRETORA DE VALORES S.A.</v>
          </cell>
          <cell r="D15515" t="str">
            <v>A94899</v>
          </cell>
          <cell r="E15515" t="str">
            <v>ITAU CV S/A</v>
          </cell>
        </row>
        <row r="15516">
          <cell r="B15516">
            <v>94900</v>
          </cell>
          <cell r="C15516" t="str">
            <v>ITAU CORRETORA DE VALORES S.A.</v>
          </cell>
          <cell r="D15516" t="str">
            <v>A94900</v>
          </cell>
          <cell r="E15516" t="str">
            <v>ITAU CV S/A</v>
          </cell>
        </row>
        <row r="15517">
          <cell r="B15517">
            <v>94901</v>
          </cell>
          <cell r="C15517" t="str">
            <v>ATIVA S/A CTCV</v>
          </cell>
          <cell r="D15517">
            <v>46</v>
          </cell>
          <cell r="E15517" t="str">
            <v>ATIVA S/A CTCV</v>
          </cell>
        </row>
        <row r="15518">
          <cell r="B15518">
            <v>94902</v>
          </cell>
          <cell r="C15518" t="str">
            <v>ITAU CORRETORA DE VALORES S.A.</v>
          </cell>
          <cell r="D15518" t="str">
            <v>A94902</v>
          </cell>
          <cell r="E15518" t="str">
            <v>ITAU CV S/A</v>
          </cell>
        </row>
        <row r="15519">
          <cell r="B15519">
            <v>94903</v>
          </cell>
          <cell r="C15519" t="str">
            <v>ITAU CORRETORA DE VALORES S.A.</v>
          </cell>
          <cell r="D15519" t="str">
            <v>ITAU CORRETORA DE VALORES S.A.</v>
          </cell>
          <cell r="E15519" t="str">
            <v>ITAU CV S/A</v>
          </cell>
        </row>
        <row r="15520">
          <cell r="B15520">
            <v>949131</v>
          </cell>
          <cell r="C15520" t="str">
            <v>FATOR S/A CV</v>
          </cell>
          <cell r="D15520" t="str">
            <v>FATOR S/A CV</v>
          </cell>
          <cell r="E15520" t="str">
            <v>FATOR S/A CV</v>
          </cell>
        </row>
        <row r="15521">
          <cell r="B15521">
            <v>949450</v>
          </cell>
          <cell r="C15521" t="str">
            <v>FATOR S/A CV</v>
          </cell>
          <cell r="D15521" t="str">
            <v>FATOR S/A CV</v>
          </cell>
          <cell r="E15521" t="str">
            <v>FATOR S/A CV</v>
          </cell>
        </row>
        <row r="15522">
          <cell r="B15522">
            <v>94985</v>
          </cell>
          <cell r="C15522" t="str">
            <v>ITAU CORRETORA DE VALORES S.A.</v>
          </cell>
          <cell r="D15522" t="str">
            <v>A94985</v>
          </cell>
          <cell r="E15522" t="str">
            <v>ITAU CV S/A</v>
          </cell>
        </row>
        <row r="15523">
          <cell r="B15523">
            <v>94986</v>
          </cell>
          <cell r="C15523" t="str">
            <v>ITAU CORRETORA DE VALORES S.A.</v>
          </cell>
          <cell r="D15523" t="str">
            <v>ITAU CORRETORA DE VALORES S.A.</v>
          </cell>
          <cell r="E15523" t="str">
            <v>ITAU CV S/A</v>
          </cell>
        </row>
        <row r="15524">
          <cell r="B15524">
            <v>94987</v>
          </cell>
          <cell r="C15524" t="str">
            <v>ITAU CORRETORA DE VALORES S.A.</v>
          </cell>
          <cell r="D15524" t="str">
            <v>ITAU CORRETORA DE VALORES S.A.</v>
          </cell>
          <cell r="E15524" t="str">
            <v>ITAU CV S/A</v>
          </cell>
        </row>
        <row r="15525">
          <cell r="B15525">
            <v>94988</v>
          </cell>
          <cell r="C15525" t="str">
            <v>ITAU CORRETORA DE VALORES S.A.</v>
          </cell>
          <cell r="D15525" t="str">
            <v>ITAU CORRETORA DE VALORES S.A.</v>
          </cell>
          <cell r="E15525" t="str">
            <v>ITAU CV S/A</v>
          </cell>
        </row>
        <row r="15526">
          <cell r="B15526">
            <v>94989</v>
          </cell>
          <cell r="C15526" t="str">
            <v>ITAU CORRETORA DE VALORES S.A.</v>
          </cell>
          <cell r="D15526" t="str">
            <v>ITAU CORRETORA DE VALORES S.A.</v>
          </cell>
          <cell r="E15526" t="str">
            <v>ITAU CV S/A</v>
          </cell>
        </row>
        <row r="15527">
          <cell r="B15527">
            <v>94991</v>
          </cell>
          <cell r="C15527" t="str">
            <v>ITAU CORRETORA DE VALORES S.A.</v>
          </cell>
          <cell r="D15527" t="str">
            <v>ITAU CORRETORA DE VALORES S.A.</v>
          </cell>
          <cell r="E15527" t="str">
            <v>ITAU CV S/A</v>
          </cell>
        </row>
        <row r="15528">
          <cell r="B15528">
            <v>95</v>
          </cell>
          <cell r="C15528" t="str">
            <v>CREDIT SUISSE HEDGING GRIFFO CV S/A</v>
          </cell>
          <cell r="D15528" t="str">
            <v>95.1</v>
          </cell>
          <cell r="E15528" t="str">
            <v>CREDIT SUISSE HEDGING-GRIFFO WEALTH MANAGEMENT S/A</v>
          </cell>
        </row>
        <row r="15529">
          <cell r="B15529">
            <v>95008</v>
          </cell>
          <cell r="C15529" t="str">
            <v>BANCO BNP PARIBAS BRASIL S/A</v>
          </cell>
          <cell r="D15529" t="str">
            <v>BANCO BNP PARIBAS BRASIL S/A</v>
          </cell>
          <cell r="E15529" t="str">
            <v>BANCO BNP PARIBAS BRASIL S/A</v>
          </cell>
        </row>
        <row r="15530">
          <cell r="B15530">
            <v>122670</v>
          </cell>
          <cell r="C15530" t="str">
            <v>BNP PARIBAS LONG AND SHORT FIM</v>
          </cell>
          <cell r="D15530" t="str">
            <v>BNP PARIBAS LONG AND SHORT FIM</v>
          </cell>
          <cell r="E15530" t="str">
            <v>BNP PARIBAS ASSET MANAGEMENT BRASIL LTDA</v>
          </cell>
        </row>
        <row r="15531">
          <cell r="B15531">
            <v>950908</v>
          </cell>
          <cell r="C15531" t="str">
            <v>PROSPER S/A CVC</v>
          </cell>
          <cell r="D15531">
            <v>150908</v>
          </cell>
          <cell r="E15531" t="str">
            <v>PROSPER S/A CVC</v>
          </cell>
        </row>
        <row r="15532">
          <cell r="B15532">
            <v>951000</v>
          </cell>
          <cell r="C15532" t="str">
            <v>CITIBANK DTVM S/A</v>
          </cell>
          <cell r="D15532" t="str">
            <v>CITIBANK DTVM S/A</v>
          </cell>
          <cell r="E15532" t="str">
            <v>CITIBANK DTVM S/A</v>
          </cell>
        </row>
        <row r="15533">
          <cell r="B15533">
            <v>951144</v>
          </cell>
          <cell r="C15533" t="str">
            <v>FATOR S/A CV</v>
          </cell>
          <cell r="D15533" t="str">
            <v>A951144</v>
          </cell>
          <cell r="E15533" t="str">
            <v>FATOR S/A CV</v>
          </cell>
        </row>
        <row r="15534">
          <cell r="B15534">
            <v>95133</v>
          </cell>
          <cell r="C15534" t="str">
            <v>CGD INVESTIMENTOS CORRETORA DE VALORES E CAMBIO S/A</v>
          </cell>
          <cell r="D15534" t="str">
            <v>CGD INVESTIMENTOS CORRETORA DE VALORES E CAMBIO S/A</v>
          </cell>
          <cell r="E15534" t="str">
            <v>CGD INVESTIMENTOS CORRETORA DE VALORES E CAMBIO S/A</v>
          </cell>
        </row>
        <row r="15535">
          <cell r="B15535">
            <v>952000</v>
          </cell>
          <cell r="C15535" t="str">
            <v>CITIBANK DTVM S/A</v>
          </cell>
          <cell r="D15535" t="str">
            <v>CITIBANK DTVM S/A</v>
          </cell>
          <cell r="E15535" t="str">
            <v>CITIBANK DTVM S/A</v>
          </cell>
        </row>
        <row r="15536">
          <cell r="B15536">
            <v>952151</v>
          </cell>
          <cell r="C15536" t="str">
            <v>CM CAPITAL MARKETS CCTVM LTDA</v>
          </cell>
          <cell r="D15536" t="str">
            <v>61.4</v>
          </cell>
          <cell r="E15536" t="str">
            <v>CM CAPITAL MARKETS CCTVM LTDA</v>
          </cell>
        </row>
        <row r="15537">
          <cell r="B15537">
            <v>95236</v>
          </cell>
          <cell r="C15537" t="str">
            <v>SKOPOS BRK FIC DE FIA</v>
          </cell>
          <cell r="D15537" t="str">
            <v>SKOPOS BRK FIC DE FIA</v>
          </cell>
          <cell r="E15537" t="str">
            <v>SKOPOS BRK FIC DE FIA</v>
          </cell>
        </row>
        <row r="15538">
          <cell r="B15538">
            <v>954182</v>
          </cell>
          <cell r="C15538" t="str">
            <v>BTG PACTUAL CM LTDA</v>
          </cell>
          <cell r="D15538" t="str">
            <v>A954182</v>
          </cell>
          <cell r="E15538" t="str">
            <v>BTG PACTUAL CM LTDA</v>
          </cell>
        </row>
        <row r="15539">
          <cell r="B15539">
            <v>955000</v>
          </cell>
          <cell r="C15539" t="str">
            <v>CITIBANK DTVM S/A</v>
          </cell>
          <cell r="D15539">
            <v>17</v>
          </cell>
          <cell r="E15539" t="str">
            <v>CITIBANK DTVM S/A</v>
          </cell>
        </row>
        <row r="15540">
          <cell r="B15540">
            <v>955100</v>
          </cell>
          <cell r="C15540" t="str">
            <v>CITIBANK DTVM S/A</v>
          </cell>
          <cell r="D15540" t="str">
            <v>CITIBANK DTVM S/A</v>
          </cell>
          <cell r="E15540" t="str">
            <v>CITIBANK DTVM S/A</v>
          </cell>
        </row>
        <row r="15541">
          <cell r="B15541">
            <v>955236</v>
          </cell>
          <cell r="C15541" t="str">
            <v>BRADESCO S/A CTVM</v>
          </cell>
          <cell r="D15541" t="str">
            <v>BRADESCO S/A CTVM</v>
          </cell>
          <cell r="E15541" t="str">
            <v>BRADESCO SA CORRETORA DE TITULOS E VALORES MOBILIARIOS</v>
          </cell>
        </row>
        <row r="15542">
          <cell r="B15542">
            <v>956125</v>
          </cell>
          <cell r="C15542" t="str">
            <v>CREDIT SUISSE HEDGING GRIFFO CV S/A</v>
          </cell>
          <cell r="D15542" t="str">
            <v>CREDIT SUISSE HEDGING GRIFFO CV S/A</v>
          </cell>
          <cell r="E15542" t="str">
            <v>CREDIT SUISSE HEDGING-GRIFFO WEALTH MANAGEMENT S/A</v>
          </cell>
        </row>
        <row r="15543">
          <cell r="B15543">
            <v>956600</v>
          </cell>
          <cell r="C15543" t="str">
            <v>ATIVA S/A CTCV</v>
          </cell>
          <cell r="D15543">
            <v>56600</v>
          </cell>
          <cell r="E15543" t="str">
            <v>ATIVA S/A CTCV</v>
          </cell>
        </row>
        <row r="15544">
          <cell r="B15544">
            <v>95687</v>
          </cell>
          <cell r="C15544" t="str">
            <v>DIFERENCIAL CTVM S/A P/C 1-1</v>
          </cell>
          <cell r="D15544" t="str">
            <v>DIFERENCIAL CTVM S/A P/C 1-1</v>
          </cell>
          <cell r="E15544" t="str">
            <v>DIFERENCIAL CTVM S/A P/C 1-1</v>
          </cell>
        </row>
        <row r="15545">
          <cell r="B15545">
            <v>957473</v>
          </cell>
          <cell r="C15545" t="str">
            <v>HEDGING GRIFFO CV S/A</v>
          </cell>
          <cell r="D15545">
            <v>209</v>
          </cell>
          <cell r="E15545" t="str">
            <v>CREDIT SUISSE HEDGING-GRIFFO WEALTH MANAGEMENT S/A</v>
          </cell>
        </row>
        <row r="15546">
          <cell r="B15546">
            <v>82662</v>
          </cell>
          <cell r="C15546" t="str">
            <v>PLURAL INVESTIMENTOS GESTAO DE RECURSOS LTDA</v>
          </cell>
          <cell r="D15546" t="str">
            <v>PLURAL INVESTIMENTOS GESTAO DE RECURSOS LTDA</v>
          </cell>
          <cell r="E15546" t="str">
            <v>PLURAL INVESTIMENTOS GESTAO DE RECURSOS LTDA</v>
          </cell>
        </row>
        <row r="15547">
          <cell r="B15547">
            <v>958577</v>
          </cell>
          <cell r="C15547" t="str">
            <v>ITAU CORRETORA DE VALORES S.A.</v>
          </cell>
          <cell r="D15547" t="str">
            <v>A958577</v>
          </cell>
          <cell r="E15547" t="str">
            <v>ITAU CV S/A</v>
          </cell>
        </row>
        <row r="15548">
          <cell r="B15548">
            <v>959876</v>
          </cell>
          <cell r="C15548" t="str">
            <v>FLOW CM LTDA</v>
          </cell>
          <cell r="D15548" t="str">
            <v>FLOW CM LTDA</v>
          </cell>
          <cell r="E15548" t="str">
            <v>FLOW CM LTDA</v>
          </cell>
        </row>
        <row r="15549">
          <cell r="B15549">
            <v>959900</v>
          </cell>
          <cell r="C15549" t="str">
            <v>BRADESCO S/A CTVM</v>
          </cell>
          <cell r="D15549">
            <v>1</v>
          </cell>
          <cell r="E15549" t="str">
            <v>BRADESCO SA CORRETORA DE TITULOS E VALORES MOBILIARIOS</v>
          </cell>
        </row>
        <row r="15550">
          <cell r="B15550">
            <v>959990</v>
          </cell>
          <cell r="C15550" t="str">
            <v>J SAFRA CVC LTDA</v>
          </cell>
          <cell r="D15550" t="str">
            <v>J SAFRA CVC LTDA</v>
          </cell>
          <cell r="E15550" t="str">
            <v>J SAFRA CVC LTDA</v>
          </cell>
        </row>
        <row r="15551">
          <cell r="B15551">
            <v>960114</v>
          </cell>
          <cell r="C15551" t="str">
            <v>ITAU CORRETORA DE VALORES S.A.</v>
          </cell>
          <cell r="D15551" t="str">
            <v>ITAU CORRETORA DE VALORES S.A.</v>
          </cell>
          <cell r="E15551" t="str">
            <v>ITAU CV S/A</v>
          </cell>
        </row>
        <row r="15552">
          <cell r="B15552">
            <v>96036</v>
          </cell>
          <cell r="C15552" t="str">
            <v>HSBC CTVM S/A ATUAL BRADESCO-KIRTON</v>
          </cell>
          <cell r="D15552" t="str">
            <v>A96036</v>
          </cell>
          <cell r="E15552" t="str">
            <v>HSBC CTVM S/A ATUAL BRADESCO-KIRTON</v>
          </cell>
        </row>
        <row r="15553">
          <cell r="B15553">
            <v>960514</v>
          </cell>
          <cell r="C15553" t="str">
            <v>ITAU CORRETORA DE VALORES S.A.</v>
          </cell>
          <cell r="D15553" t="str">
            <v>ITAU CORRETORA DE VALORES S.A.</v>
          </cell>
          <cell r="E15553" t="str">
            <v>ITAU CV S/A</v>
          </cell>
        </row>
        <row r="15554">
          <cell r="B15554">
            <v>960515</v>
          </cell>
          <cell r="C15554" t="str">
            <v>ITAU CORRETORA DE VALORES S.A.</v>
          </cell>
          <cell r="D15554">
            <v>312</v>
          </cell>
          <cell r="E15554" t="str">
            <v>ITAU CV S/A</v>
          </cell>
        </row>
        <row r="15555">
          <cell r="B15555">
            <v>961445</v>
          </cell>
          <cell r="C15555" t="str">
            <v>PIONEER CM E FUTUROS LTDA</v>
          </cell>
          <cell r="D15555" t="str">
            <v>PIONEER CM E FUTUROS LTDA</v>
          </cell>
          <cell r="E15555" t="str">
            <v>PIONEER CM E FUTUROS LTDA</v>
          </cell>
        </row>
        <row r="15556">
          <cell r="B15556">
            <v>96776</v>
          </cell>
          <cell r="C15556" t="str">
            <v>ICAP DO BRASIL CTVM LTDA ( ATUAL TULLET)</v>
          </cell>
          <cell r="D15556" t="str">
            <v>A96776</v>
          </cell>
          <cell r="E15556" t="str">
            <v>ICAP DO BRASIL CTVM LTDA ( ATUAL TULLET)</v>
          </cell>
        </row>
        <row r="15557">
          <cell r="B15557">
            <v>970076</v>
          </cell>
          <cell r="C15557" t="str">
            <v>ITAU CORRETORA DE VALORES S.A.</v>
          </cell>
          <cell r="D15557" t="str">
            <v>A970076</v>
          </cell>
          <cell r="E15557" t="str">
            <v>ITAU CV S/A</v>
          </cell>
        </row>
        <row r="15558">
          <cell r="B15558">
            <v>970100</v>
          </cell>
          <cell r="C15558" t="str">
            <v>JP MORGAN CCVM S/A</v>
          </cell>
          <cell r="D15558" t="str">
            <v>JP MORGAN CCVM S/A</v>
          </cell>
          <cell r="E15558" t="str">
            <v>JP MORGAN ADMINISTRADORA DE CARTEIRAS BRASIL LTDA</v>
          </cell>
        </row>
        <row r="15559">
          <cell r="B15559">
            <v>970101</v>
          </cell>
          <cell r="C15559" t="str">
            <v>JP MORGAN CCVM S/A</v>
          </cell>
          <cell r="D15559" t="str">
            <v>JP MORGAN CCVM S/A</v>
          </cell>
          <cell r="E15559" t="str">
            <v>JP MORGAN ADMINISTRADORA DE CARTEIRAS BRASIL LTDA</v>
          </cell>
        </row>
        <row r="15560">
          <cell r="B15560">
            <v>970179</v>
          </cell>
          <cell r="C15560" t="str">
            <v>HSBC CTVM S/A ATUAL BRADESCO-KIRTON</v>
          </cell>
          <cell r="D15560" t="str">
            <v>HSBC CTVM S/A ATUAL BRADESCO-KIRTON</v>
          </cell>
          <cell r="E15560" t="str">
            <v>HSBC CTVM S/A ATUAL BRADESCO-KIRTON</v>
          </cell>
        </row>
        <row r="15561">
          <cell r="B15561">
            <v>970395</v>
          </cell>
          <cell r="C15561" t="str">
            <v>CM CAPITAL MARKETS CCTVM LTDA</v>
          </cell>
          <cell r="D15561">
            <v>30</v>
          </cell>
          <cell r="E15561" t="str">
            <v>CM CAPITAL MARKETS CCTVM LTDA</v>
          </cell>
        </row>
        <row r="15562">
          <cell r="B15562">
            <v>970396</v>
          </cell>
          <cell r="C15562" t="str">
            <v>CM CAPITAL MARKETS CCTVM LTDA</v>
          </cell>
          <cell r="D15562" t="str">
            <v>30*</v>
          </cell>
          <cell r="E15562" t="str">
            <v>CM CAPITAL MARKETS CCTVM LTDA</v>
          </cell>
        </row>
        <row r="15563">
          <cell r="B15563">
            <v>970397</v>
          </cell>
          <cell r="C15563" t="str">
            <v>CM CAPITAL MARKETS CCTVM LTDA</v>
          </cell>
          <cell r="D15563" t="str">
            <v>CM CAPITAL MARKETS CCTVM LTDA</v>
          </cell>
          <cell r="E15563" t="str">
            <v>CM CAPITAL MARKETS CCTVM LTDA</v>
          </cell>
        </row>
        <row r="15564">
          <cell r="B15564">
            <v>972000</v>
          </cell>
          <cell r="C15564" t="str">
            <v>BRADESCO S/A CTVM</v>
          </cell>
          <cell r="D15564">
            <v>78</v>
          </cell>
          <cell r="E15564" t="str">
            <v>BRADESCO SA CORRETORA DE TITULOS E VALORES MOBILIARIOS</v>
          </cell>
        </row>
        <row r="15565">
          <cell r="B15565">
            <v>972010</v>
          </cell>
          <cell r="C15565" t="str">
            <v>BRADESCO S/A CTVM</v>
          </cell>
          <cell r="D15565" t="str">
            <v>BRADESCO S/A CTVM</v>
          </cell>
          <cell r="E15565" t="str">
            <v>BRADESCO SA CORRETORA DE TITULOS E VALORES MOBILIARIOS</v>
          </cell>
        </row>
        <row r="15566">
          <cell r="B15566">
            <v>972011</v>
          </cell>
          <cell r="C15566" t="str">
            <v>BRADESCO S/A CTVM</v>
          </cell>
          <cell r="D15566" t="str">
            <v>BRADESCO S/A CTVM</v>
          </cell>
          <cell r="E15566" t="str">
            <v>BRADESCO SA CORRETORA DE TITULOS E VALORES MOBILIARIOS</v>
          </cell>
        </row>
        <row r="15567">
          <cell r="B15567">
            <v>972104</v>
          </cell>
          <cell r="C15567" t="str">
            <v>BRADESCO S/A CTVM</v>
          </cell>
          <cell r="D15567" t="str">
            <v>A972104</v>
          </cell>
          <cell r="E15567" t="str">
            <v>BRADESCO SA CORRETORA DE TITULOS E VALORES MOBILIARIOS</v>
          </cell>
        </row>
        <row r="15568">
          <cell r="B15568">
            <v>972701</v>
          </cell>
          <cell r="C15568" t="str">
            <v>BRADESCO S/A CTVM</v>
          </cell>
          <cell r="D15568" t="str">
            <v>BRADESCO S/A CTVM</v>
          </cell>
          <cell r="E15568" t="str">
            <v>BRADESCO SA CORRETORA DE TITULOS E VALORES MOBILIARIOS</v>
          </cell>
        </row>
        <row r="15569">
          <cell r="B15569">
            <v>972702</v>
          </cell>
          <cell r="C15569" t="str">
            <v>BRADESCO S/A CTVM</v>
          </cell>
          <cell r="D15569" t="str">
            <v>BRADESCO S/A CTVM</v>
          </cell>
          <cell r="E15569" t="str">
            <v>BRADESCO SA CORRETORA DE TITULOS E VALORES MOBILIARIOS</v>
          </cell>
        </row>
        <row r="15570">
          <cell r="B15570">
            <v>972703</v>
          </cell>
          <cell r="C15570" t="str">
            <v>BRADESCO S/A CTVM</v>
          </cell>
          <cell r="D15570" t="str">
            <v>A972703</v>
          </cell>
          <cell r="E15570" t="str">
            <v>BRADESCO SA CORRETORA DE TITULOS E VALORES MOBILIARIOS</v>
          </cell>
        </row>
        <row r="15571">
          <cell r="B15571">
            <v>972708</v>
          </cell>
          <cell r="C15571" t="str">
            <v>BRADESCO S/A CTVM</v>
          </cell>
          <cell r="D15571" t="str">
            <v>A972708</v>
          </cell>
          <cell r="E15571" t="str">
            <v>BRADESCO SA CORRETORA DE TITULOS E VALORES MOBILIARIOS</v>
          </cell>
        </row>
        <row r="15572">
          <cell r="B15572">
            <v>972720</v>
          </cell>
          <cell r="C15572" t="str">
            <v>BRADESCO S/A CTVM</v>
          </cell>
          <cell r="D15572">
            <v>72720</v>
          </cell>
          <cell r="E15572" t="str">
            <v>BRADESCO SA CORRETORA DE TITULOS E VALORES MOBILIARIOS</v>
          </cell>
        </row>
        <row r="15573">
          <cell r="B15573">
            <v>972875</v>
          </cell>
          <cell r="C15573" t="str">
            <v>CM CAPITAL MARKETS CCTVM LTDA</v>
          </cell>
          <cell r="D15573" t="str">
            <v>CM CAPITAL MARKETS CCTVM LTDA</v>
          </cell>
          <cell r="E15573" t="str">
            <v>CM CAPITAL MARKETS CCTVM LTDA</v>
          </cell>
        </row>
        <row r="15574">
          <cell r="B15574">
            <v>974000</v>
          </cell>
          <cell r="C15574" t="str">
            <v>J SAFRA CVC LTDA</v>
          </cell>
          <cell r="D15574" t="str">
            <v>A974000</v>
          </cell>
          <cell r="E15574" t="str">
            <v>J SAFRA CVC LTDA</v>
          </cell>
        </row>
        <row r="15575">
          <cell r="B15575">
            <v>974003</v>
          </cell>
          <cell r="C15575" t="str">
            <v>J SAFRA CVC LTDA</v>
          </cell>
          <cell r="D15575">
            <v>80</v>
          </cell>
          <cell r="E15575" t="str">
            <v>J SAFRA CVC LTDA</v>
          </cell>
        </row>
        <row r="15576">
          <cell r="B15576">
            <v>974284</v>
          </cell>
          <cell r="C15576" t="str">
            <v>CM CAPITAL MARKETS CCTVM LTDA</v>
          </cell>
          <cell r="D15576" t="str">
            <v>CM CAPITAL MARKETS CCTVM LTDA</v>
          </cell>
          <cell r="E15576" t="str">
            <v>CM CAPITAL MARKETS CCTVM LTDA</v>
          </cell>
        </row>
        <row r="15577">
          <cell r="B15577">
            <v>974870</v>
          </cell>
          <cell r="C15577" t="str">
            <v>ITAU CORRETORA DE VALORES S.A.</v>
          </cell>
          <cell r="D15577" t="str">
            <v>ITAU CORRETORA DE VALORES S.A.</v>
          </cell>
          <cell r="E15577" t="str">
            <v>ITAU CV S/A</v>
          </cell>
        </row>
        <row r="15578">
          <cell r="B15578">
            <v>974871</v>
          </cell>
          <cell r="C15578" t="str">
            <v>ITAU CORRETORA DE VALORES S.A.</v>
          </cell>
          <cell r="D15578" t="str">
            <v>A974871</v>
          </cell>
          <cell r="E15578" t="str">
            <v>ITAU CV S/A</v>
          </cell>
        </row>
        <row r="15579">
          <cell r="B15579">
            <v>974872</v>
          </cell>
          <cell r="C15579" t="str">
            <v>ITAU CORRETORA DE VALORES S.A.</v>
          </cell>
          <cell r="D15579" t="str">
            <v>A974872</v>
          </cell>
          <cell r="E15579" t="str">
            <v>ITAU CV S/A</v>
          </cell>
        </row>
        <row r="15580">
          <cell r="B15580">
            <v>975198</v>
          </cell>
          <cell r="C15580" t="str">
            <v>ITAU CORRETORA DE VALORES S.A.</v>
          </cell>
          <cell r="D15580" t="str">
            <v>A975198</v>
          </cell>
          <cell r="E15580" t="str">
            <v>ITAU CV S/A</v>
          </cell>
        </row>
        <row r="15581">
          <cell r="B15581">
            <v>975199</v>
          </cell>
          <cell r="C15581" t="str">
            <v>ITAU CORRETORA DE VALORES S.A.</v>
          </cell>
          <cell r="D15581" t="str">
            <v>A975199</v>
          </cell>
          <cell r="E15581" t="str">
            <v>ITAU CV S/A</v>
          </cell>
        </row>
        <row r="15582">
          <cell r="B15582">
            <v>975200</v>
          </cell>
          <cell r="C15582" t="str">
            <v>ITAU CORRETORA DE VALORES S.A.</v>
          </cell>
          <cell r="D15582" t="str">
            <v>A975200</v>
          </cell>
          <cell r="E15582" t="str">
            <v>ITAU CV S/A</v>
          </cell>
        </row>
        <row r="15583">
          <cell r="B15583">
            <v>975201</v>
          </cell>
          <cell r="C15583" t="str">
            <v>ITAU CORRETORA DE VALORES S.A.</v>
          </cell>
          <cell r="D15583" t="str">
            <v>A975201</v>
          </cell>
          <cell r="E15583" t="str">
            <v>ITAU CV S/A</v>
          </cell>
        </row>
        <row r="15584">
          <cell r="B15584">
            <v>975202</v>
          </cell>
          <cell r="C15584" t="str">
            <v>ITAU CORRETORA DE VALORES S.A.</v>
          </cell>
          <cell r="D15584" t="str">
            <v>A975202</v>
          </cell>
          <cell r="E15584" t="str">
            <v>ITAU CV S/A</v>
          </cell>
        </row>
        <row r="15585">
          <cell r="B15585">
            <v>975535</v>
          </cell>
          <cell r="C15585" t="str">
            <v>VOTORANTIM CTVM LTDA</v>
          </cell>
          <cell r="D15585">
            <v>931</v>
          </cell>
          <cell r="E15585" t="str">
            <v>VOTORANTIM CTVM LTDA</v>
          </cell>
        </row>
        <row r="15586">
          <cell r="B15586">
            <v>97583</v>
          </cell>
          <cell r="C15586" t="str">
            <v>SINGULARE CORRETORA DE TIRULOS E VALORES MOBILIARIOS SA</v>
          </cell>
          <cell r="D15586" t="str">
            <v>A97583</v>
          </cell>
          <cell r="E15586" t="str">
            <v>SINGULARE CORRETORA DE TIRULOS E VALORES MOBILIARIOS SA</v>
          </cell>
        </row>
        <row r="15587">
          <cell r="B15587">
            <v>97584</v>
          </cell>
          <cell r="C15587" t="str">
            <v>ITAU CORRETORA DE VALORES S.A.</v>
          </cell>
          <cell r="D15587" t="str">
            <v>A97584</v>
          </cell>
          <cell r="E15587" t="str">
            <v>ITAU CV S/A</v>
          </cell>
        </row>
        <row r="15588">
          <cell r="B15588">
            <v>97585</v>
          </cell>
          <cell r="C15588" t="str">
            <v>ITAU CORRETORA DE VALORES S.A.</v>
          </cell>
          <cell r="D15588" t="str">
            <v>A97585</v>
          </cell>
          <cell r="E15588" t="str">
            <v>ITAU CV S/A</v>
          </cell>
        </row>
        <row r="15589">
          <cell r="B15589">
            <v>97588</v>
          </cell>
          <cell r="C15589" t="str">
            <v>ITAU CORRETORA DE VALORES S.A.</v>
          </cell>
          <cell r="D15589" t="str">
            <v>A97588</v>
          </cell>
          <cell r="E15589" t="str">
            <v>ITAU CV S/A</v>
          </cell>
        </row>
        <row r="15590">
          <cell r="B15590">
            <v>97601</v>
          </cell>
          <cell r="C15590" t="str">
            <v>ITAU CORRETORA DE VALORES S.A.</v>
          </cell>
          <cell r="D15590" t="str">
            <v>A97601</v>
          </cell>
          <cell r="E15590" t="str">
            <v>ITAU CV S/A</v>
          </cell>
        </row>
        <row r="15591">
          <cell r="B15591">
            <v>97602</v>
          </cell>
          <cell r="C15591" t="str">
            <v>ITAU CORRETORA DE VALORES S.A.</v>
          </cell>
          <cell r="D15591" t="str">
            <v>A97602</v>
          </cell>
          <cell r="E15591" t="str">
            <v>ITAU CV S/A</v>
          </cell>
        </row>
        <row r="15592">
          <cell r="B15592">
            <v>97603</v>
          </cell>
          <cell r="C15592" t="str">
            <v>ITAU CORRETORA DE VALORES S.A.</v>
          </cell>
          <cell r="D15592" t="str">
            <v>A97603</v>
          </cell>
          <cell r="E15592" t="str">
            <v>ITAU CV S/A</v>
          </cell>
        </row>
        <row r="15593">
          <cell r="B15593">
            <v>97604</v>
          </cell>
          <cell r="C15593" t="str">
            <v>ITAU CORRETORA DE VALORES S.A.</v>
          </cell>
          <cell r="D15593" t="str">
            <v>A97604</v>
          </cell>
          <cell r="E15593" t="str">
            <v>ITAU CV S/A</v>
          </cell>
        </row>
        <row r="15594">
          <cell r="B15594">
            <v>97607</v>
          </cell>
          <cell r="C15594" t="str">
            <v>ITAU CORRETORA DE VALORES S.A.</v>
          </cell>
          <cell r="D15594" t="str">
            <v>A97607</v>
          </cell>
          <cell r="E15594" t="str">
            <v>ITAU CV S/A</v>
          </cell>
        </row>
        <row r="15595">
          <cell r="B15595">
            <v>97610</v>
          </cell>
          <cell r="C15595" t="str">
            <v>ITAU CORRETORA DE VALORES S.A.</v>
          </cell>
          <cell r="D15595" t="str">
            <v>A97610</v>
          </cell>
          <cell r="E15595" t="str">
            <v>ITAU CV S/A</v>
          </cell>
        </row>
        <row r="15596">
          <cell r="B15596">
            <v>97611</v>
          </cell>
          <cell r="C15596" t="str">
            <v>ITAU CORRETORA DE VALORES S.A.</v>
          </cell>
          <cell r="D15596" t="str">
            <v>A97611</v>
          </cell>
          <cell r="E15596" t="str">
            <v>ITAU CV S/A</v>
          </cell>
        </row>
        <row r="15597">
          <cell r="B15597">
            <v>97612</v>
          </cell>
          <cell r="C15597" t="str">
            <v>ITAU CORRETORA DE VALORES S.A.</v>
          </cell>
          <cell r="D15597" t="str">
            <v>A97612</v>
          </cell>
          <cell r="E15597" t="str">
            <v>ITAU CV S/A</v>
          </cell>
        </row>
        <row r="15598">
          <cell r="B15598">
            <v>97613</v>
          </cell>
          <cell r="C15598" t="str">
            <v>ITAU CORRETORA DE VALORES S.A.</v>
          </cell>
          <cell r="D15598" t="str">
            <v>A97613</v>
          </cell>
          <cell r="E15598" t="str">
            <v>ITAU CV S/A</v>
          </cell>
        </row>
        <row r="15599">
          <cell r="B15599">
            <v>97614</v>
          </cell>
          <cell r="C15599" t="str">
            <v>ITAU CORRETORA DE VALORES S.A.</v>
          </cell>
          <cell r="D15599" t="str">
            <v>A97614</v>
          </cell>
          <cell r="E15599" t="str">
            <v>ITAU CV S/A</v>
          </cell>
        </row>
        <row r="15600">
          <cell r="B15600">
            <v>97615</v>
          </cell>
          <cell r="C15600" t="str">
            <v>ITAU CORRETORA DE VALORES S.A.</v>
          </cell>
          <cell r="D15600" t="str">
            <v>A97615</v>
          </cell>
          <cell r="E15600" t="str">
            <v>ITAU CV S/A</v>
          </cell>
        </row>
        <row r="15601">
          <cell r="B15601">
            <v>97616</v>
          </cell>
          <cell r="C15601" t="str">
            <v>ITAU CORRETORA DE VALORES S.A.</v>
          </cell>
          <cell r="D15601" t="str">
            <v>A97616</v>
          </cell>
          <cell r="E15601" t="str">
            <v>ITAU CV S/A</v>
          </cell>
        </row>
        <row r="15602">
          <cell r="B15602">
            <v>97617</v>
          </cell>
          <cell r="C15602" t="str">
            <v>ITAU CORRETORA DE VALORES S.A.</v>
          </cell>
          <cell r="D15602" t="str">
            <v>A97617</v>
          </cell>
          <cell r="E15602" t="str">
            <v>ITAU CV S/A</v>
          </cell>
        </row>
        <row r="15603">
          <cell r="B15603">
            <v>97618</v>
          </cell>
          <cell r="C15603" t="str">
            <v>ITAU CORRETORA DE VALORES S.A.</v>
          </cell>
          <cell r="D15603" t="str">
            <v>A97618</v>
          </cell>
          <cell r="E15603" t="str">
            <v>ITAU CV S/A</v>
          </cell>
        </row>
        <row r="15604">
          <cell r="B15604">
            <v>97654</v>
          </cell>
          <cell r="C15604" t="str">
            <v>ITAU CORRETORA DE VALORES S.A.</v>
          </cell>
          <cell r="D15604" t="str">
            <v>A97654</v>
          </cell>
          <cell r="E15604" t="str">
            <v>ITAU CV S/A</v>
          </cell>
        </row>
        <row r="15605">
          <cell r="B15605">
            <v>97655</v>
          </cell>
          <cell r="C15605" t="str">
            <v>ITAU CORRETORA DE VALORES S.A.</v>
          </cell>
          <cell r="D15605" t="str">
            <v>A97655</v>
          </cell>
          <cell r="E15605" t="str">
            <v>ITAU CV S/A</v>
          </cell>
        </row>
        <row r="15606">
          <cell r="B15606">
            <v>97656</v>
          </cell>
          <cell r="C15606" t="str">
            <v>ITAU CORRETORA DE VALORES S.A.</v>
          </cell>
          <cell r="D15606" t="str">
            <v>A97656</v>
          </cell>
          <cell r="E15606" t="str">
            <v>ITAU CV S/A</v>
          </cell>
        </row>
        <row r="15607">
          <cell r="B15607">
            <v>97657</v>
          </cell>
          <cell r="C15607" t="str">
            <v>ITAU CORRETORA DE VALORES S.A.</v>
          </cell>
          <cell r="D15607" t="str">
            <v>A97657</v>
          </cell>
          <cell r="E15607" t="str">
            <v>ITAU CV S/A</v>
          </cell>
        </row>
        <row r="15608">
          <cell r="B15608">
            <v>97658</v>
          </cell>
          <cell r="C15608" t="str">
            <v>ITAU CORRETORA DE VALORES S.A.</v>
          </cell>
          <cell r="D15608" t="str">
            <v>A97658</v>
          </cell>
          <cell r="E15608" t="str">
            <v>ITAU CV S/A</v>
          </cell>
        </row>
        <row r="15609">
          <cell r="B15609">
            <v>97659</v>
          </cell>
          <cell r="C15609" t="str">
            <v>ITAU CORRETORA DE VALORES S.A.</v>
          </cell>
          <cell r="D15609" t="str">
            <v>A97659</v>
          </cell>
          <cell r="E15609" t="str">
            <v>ITAU CV S/A</v>
          </cell>
        </row>
        <row r="15610">
          <cell r="B15610">
            <v>976632</v>
          </cell>
          <cell r="C15610" t="str">
            <v>VOTORANTIM CTVM LTDA</v>
          </cell>
          <cell r="D15610" t="str">
            <v>A900035</v>
          </cell>
          <cell r="E15610" t="str">
            <v>VOTORANTIM CTVM LTDA</v>
          </cell>
        </row>
        <row r="15611">
          <cell r="B15611">
            <v>976633</v>
          </cell>
          <cell r="C15611" t="str">
            <v>VOTORANTIM CTVM LTDA</v>
          </cell>
          <cell r="D15611" t="str">
            <v>A976633</v>
          </cell>
          <cell r="E15611" t="str">
            <v>VOTORANTIM CTVM LTDA</v>
          </cell>
        </row>
        <row r="15612">
          <cell r="B15612">
            <v>976634</v>
          </cell>
          <cell r="C15612" t="str">
            <v>VOTORANTIM CTVM LTDA</v>
          </cell>
          <cell r="D15612" t="str">
            <v>A976634</v>
          </cell>
          <cell r="E15612" t="str">
            <v>VOTORANTIM CTVM LTDA</v>
          </cell>
        </row>
        <row r="15613">
          <cell r="B15613">
            <v>976635</v>
          </cell>
          <cell r="C15613" t="str">
            <v>VOTORANTIM CTVM LTDA</v>
          </cell>
          <cell r="D15613">
            <v>180</v>
          </cell>
          <cell r="E15613" t="str">
            <v>VOTORANTIM CTVM LTDA</v>
          </cell>
        </row>
        <row r="15614">
          <cell r="B15614">
            <v>976636</v>
          </cell>
          <cell r="C15614" t="str">
            <v>VOTORANTIM CTVM LTDA</v>
          </cell>
          <cell r="D15614" t="str">
            <v>VOTORANTIM CTVM LTDA</v>
          </cell>
          <cell r="E15614" t="str">
            <v>VOTORANTIM CTVM LTDA</v>
          </cell>
        </row>
        <row r="15615">
          <cell r="B15615">
            <v>976637</v>
          </cell>
          <cell r="C15615" t="str">
            <v>VOTORANTIM CTVM LTDA</v>
          </cell>
          <cell r="D15615" t="str">
            <v>VOTORANTIM CTVM LTDA</v>
          </cell>
          <cell r="E15615" t="str">
            <v>VOTORANTIM CTVM LTDA</v>
          </cell>
        </row>
        <row r="15616">
          <cell r="B15616">
            <v>976638</v>
          </cell>
          <cell r="C15616" t="str">
            <v>VOTORANTIM CTVM LTDA</v>
          </cell>
          <cell r="D15616" t="str">
            <v>VOTORANTIM CTVM LTDA</v>
          </cell>
          <cell r="E15616" t="str">
            <v>VOTORANTIM CTVM LTDA</v>
          </cell>
        </row>
        <row r="15617">
          <cell r="B15617">
            <v>976639</v>
          </cell>
          <cell r="C15617" t="str">
            <v>VOTORANTIM CTVM LTDA</v>
          </cell>
          <cell r="D15617" t="str">
            <v>VOTORANTIM CTVM LTDA</v>
          </cell>
          <cell r="E15617" t="str">
            <v>VOTORANTIM CTVM LTDA</v>
          </cell>
        </row>
        <row r="15618">
          <cell r="B15618">
            <v>976766</v>
          </cell>
          <cell r="C15618" t="str">
            <v>BRASCAN S/A CTV</v>
          </cell>
          <cell r="D15618" t="str">
            <v>BRASCAN S/A CTV</v>
          </cell>
          <cell r="E15618" t="str">
            <v>BRASCAN S/A CTV</v>
          </cell>
        </row>
        <row r="15619">
          <cell r="B15619">
            <v>977000</v>
          </cell>
          <cell r="C15619" t="str">
            <v>SANTANDER BRASIL S/A CTVM</v>
          </cell>
          <cell r="D15619">
            <v>77000</v>
          </cell>
          <cell r="E15619" t="str">
            <v>MAXIMA S/A CTVM</v>
          </cell>
        </row>
        <row r="15620">
          <cell r="B15620">
            <v>979192</v>
          </cell>
          <cell r="C15620" t="str">
            <v>BTG PACTUAL CM LTDA</v>
          </cell>
          <cell r="D15620">
            <v>211</v>
          </cell>
          <cell r="E15620" t="str">
            <v>BTG PACTUAL CM LTDA</v>
          </cell>
        </row>
        <row r="15621">
          <cell r="B15621">
            <v>979572</v>
          </cell>
          <cell r="C15621" t="str">
            <v>ITAU CORRETORA DE VALORES S.A.</v>
          </cell>
          <cell r="D15621" t="str">
            <v>A979572</v>
          </cell>
          <cell r="E15621" t="str">
            <v>ITAU CV S/A</v>
          </cell>
        </row>
        <row r="15622">
          <cell r="B15622">
            <v>979574</v>
          </cell>
          <cell r="C15622" t="str">
            <v>ITAU CORRETORA DE VALORES S.A.</v>
          </cell>
          <cell r="D15622" t="str">
            <v>A979574</v>
          </cell>
          <cell r="E15622" t="str">
            <v>ITAU CV S/A</v>
          </cell>
        </row>
        <row r="15623">
          <cell r="B15623">
            <v>980131</v>
          </cell>
          <cell r="C15623" t="str">
            <v>FATOR S/A CV</v>
          </cell>
          <cell r="D15623" t="str">
            <v>11*</v>
          </cell>
          <cell r="E15623" t="str">
            <v>FATOR S/A CV</v>
          </cell>
        </row>
        <row r="15624">
          <cell r="B15624">
            <v>980145</v>
          </cell>
          <cell r="C15624" t="str">
            <v>BANCO BTG PACTUAL S/A</v>
          </cell>
          <cell r="D15624" t="str">
            <v>BANCO BTG PACTUAL S/A</v>
          </cell>
          <cell r="E15624" t="str">
            <v>BANCO BTG PACTUAL S/A</v>
          </cell>
        </row>
        <row r="15625">
          <cell r="B15625">
            <v>98017</v>
          </cell>
          <cell r="C15625" t="str">
            <v>VOTORANTIM CTVM LTDA</v>
          </cell>
          <cell r="D15625">
            <v>169</v>
          </cell>
          <cell r="E15625" t="str">
            <v>VOTORANTIM CTVM LTDA</v>
          </cell>
        </row>
        <row r="15626">
          <cell r="B15626">
            <v>98082</v>
          </cell>
          <cell r="C15626" t="str">
            <v>ICAP DO BRASIL CTVM LTDA ( ATUAL TULLET)</v>
          </cell>
          <cell r="D15626" t="str">
            <v>A98082</v>
          </cell>
          <cell r="E15626" t="str">
            <v>ICAP DO BRASIL CTVM LTDA ( ATUAL TULLET)</v>
          </cell>
        </row>
        <row r="15627">
          <cell r="B15627">
            <v>98083</v>
          </cell>
          <cell r="C15627" t="str">
            <v>ICAP DO BRASIL CTVM LTDA ( ATUAL TULLET)</v>
          </cell>
          <cell r="D15627" t="str">
            <v>A98083</v>
          </cell>
          <cell r="E15627" t="str">
            <v>ICAP DO BRASIL CTVM LTDA ( ATUAL TULLET)</v>
          </cell>
        </row>
        <row r="15628">
          <cell r="B15628">
            <v>98084</v>
          </cell>
          <cell r="C15628" t="str">
            <v>ICAP DO BRASIL CTVM LTDA ( ATUAL TULLET)</v>
          </cell>
          <cell r="D15628" t="str">
            <v>A98084</v>
          </cell>
          <cell r="E15628" t="str">
            <v>ICAP DO BRASIL CTVM LTDA ( ATUAL TULLET)</v>
          </cell>
        </row>
        <row r="15629">
          <cell r="B15629">
            <v>98113</v>
          </cell>
          <cell r="C15629" t="str">
            <v>ICAP DO BRASIL CTVM LTDA ( ATUAL TULLET)</v>
          </cell>
          <cell r="D15629" t="str">
            <v>A98113</v>
          </cell>
          <cell r="E15629" t="str">
            <v>ICAP DO BRASIL CTVM LTDA ( ATUAL TULLET)</v>
          </cell>
        </row>
        <row r="15630">
          <cell r="B15630">
            <v>981131</v>
          </cell>
          <cell r="C15630" t="str">
            <v>FATOR S/A CV</v>
          </cell>
          <cell r="D15630">
            <v>40</v>
          </cell>
          <cell r="E15630" t="str">
            <v>FATOR S/A CV</v>
          </cell>
        </row>
        <row r="15631">
          <cell r="B15631">
            <v>98162</v>
          </cell>
          <cell r="C15631" t="str">
            <v>ICAP DO BRASIL CTVM LTDA ( ATUAL TULLET)</v>
          </cell>
          <cell r="D15631" t="str">
            <v>A98162</v>
          </cell>
          <cell r="E15631" t="str">
            <v>ICAP DO BRASIL CTVM LTDA ( ATUAL TULLET)</v>
          </cell>
        </row>
        <row r="15632">
          <cell r="B15632">
            <v>982131</v>
          </cell>
          <cell r="C15632" t="str">
            <v>FATOR S/A CV</v>
          </cell>
          <cell r="D15632" t="str">
            <v>FATOR S/A CV</v>
          </cell>
          <cell r="E15632" t="str">
            <v>FATOR S/A CV</v>
          </cell>
        </row>
        <row r="15633">
          <cell r="B15633">
            <v>982132</v>
          </cell>
          <cell r="C15633" t="str">
            <v>FATOR S/A CV</v>
          </cell>
          <cell r="D15633" t="str">
            <v>FATOR S/A CV</v>
          </cell>
          <cell r="E15633" t="str">
            <v>FATOR S/A CV</v>
          </cell>
        </row>
        <row r="15634">
          <cell r="B15634">
            <v>98231</v>
          </cell>
          <cell r="C15634" t="str">
            <v>BTG PACTUAL CM LTDA</v>
          </cell>
          <cell r="D15634" t="str">
            <v>BTG PACTUAL CM LTDA</v>
          </cell>
          <cell r="E15634" t="str">
            <v>BTG PACTUAL CM LTDA</v>
          </cell>
        </row>
        <row r="15635">
          <cell r="B15635">
            <v>985202</v>
          </cell>
          <cell r="C15635" t="str">
            <v>FLOW CM LTDA</v>
          </cell>
          <cell r="D15635" t="str">
            <v>FLOW CM LTDA</v>
          </cell>
          <cell r="E15635" t="str">
            <v>FLOW CM LTDA</v>
          </cell>
        </row>
        <row r="15636">
          <cell r="B15636">
            <v>98534</v>
          </cell>
          <cell r="C15636" t="str">
            <v>SAO CARLOS EMPR. E PART. S/A</v>
          </cell>
          <cell r="D15636" t="str">
            <v>SAO CARLOS EMPR. E PART. S/A</v>
          </cell>
          <cell r="E15636" t="str">
            <v>SAO CARLOS EMPR. E PART. S/A</v>
          </cell>
        </row>
        <row r="15637">
          <cell r="B15637">
            <v>988061</v>
          </cell>
          <cell r="C15637" t="str">
            <v>UNIBANCO INVESTSHOP-CVMC</v>
          </cell>
          <cell r="D15637" t="str">
            <v>UNIBANCO INVESTSHOP-CVMC</v>
          </cell>
          <cell r="E15637" t="str">
            <v>UNIBANCO INVESTSHOP-CVMC</v>
          </cell>
        </row>
        <row r="15638">
          <cell r="B15638">
            <v>988062</v>
          </cell>
          <cell r="C15638" t="str">
            <v>UNIBANCO INVESTSHOP-CVMC</v>
          </cell>
          <cell r="D15638" t="str">
            <v>UNIBANCO INVESTSHOP-CVMC</v>
          </cell>
          <cell r="E15638" t="str">
            <v>UNIBANCO INVESTSHOP-CVMC</v>
          </cell>
        </row>
        <row r="15639">
          <cell r="B15639">
            <v>930188</v>
          </cell>
          <cell r="C15639" t="str">
            <v>UBS BRASIL CCTVM S/A (ANTIGA LINK S/A CCTVM)</v>
          </cell>
          <cell r="D15639" t="str">
            <v>A930188</v>
          </cell>
          <cell r="E15639" t="str">
            <v>UBS AG, LONDON BRANCH NOVO</v>
          </cell>
        </row>
        <row r="15640">
          <cell r="B15640">
            <v>98813</v>
          </cell>
          <cell r="C15640" t="str">
            <v>SANTANDER BRASIL S/A CTVM</v>
          </cell>
          <cell r="D15640">
            <v>8813</v>
          </cell>
          <cell r="E15640" t="str">
            <v>SANTANDER BRASIL S/A CTVM</v>
          </cell>
        </row>
        <row r="15641">
          <cell r="B15641">
            <v>98815</v>
          </cell>
          <cell r="C15641" t="str">
            <v>SANTANDER BRASIL S/A CTVM</v>
          </cell>
          <cell r="D15641" t="str">
            <v>SANTANDER BRASIL S/A CTVM</v>
          </cell>
          <cell r="E15641" t="str">
            <v>SANTANDER BRASIL S/A CTVM</v>
          </cell>
        </row>
        <row r="15642">
          <cell r="B15642">
            <v>98908</v>
          </cell>
          <cell r="C15642" t="str">
            <v>OPPORTUNITY DTVM LTDA</v>
          </cell>
          <cell r="D15642" t="str">
            <v>OPPORTUNITY DTVM LTDA</v>
          </cell>
          <cell r="E15642" t="str">
            <v>OPPORTUNITY DTVM LTDA</v>
          </cell>
        </row>
        <row r="15643">
          <cell r="B15643">
            <v>99001</v>
          </cell>
          <cell r="C15643" t="str">
            <v>LATINVEST JUPITER FIF</v>
          </cell>
          <cell r="D15643" t="str">
            <v>LATINVEST JUPITER FIF</v>
          </cell>
          <cell r="E15643" t="str">
            <v>LATINVEST JUPITER FIF</v>
          </cell>
        </row>
        <row r="15644">
          <cell r="B15644">
            <v>990017</v>
          </cell>
          <cell r="C15644" t="str">
            <v>AGORA CTVM S/A</v>
          </cell>
          <cell r="D15644" t="str">
            <v>AGORA CTVM S/A</v>
          </cell>
          <cell r="E15644" t="str">
            <v>AGORA GESTAO DE RECURSOS LTDA</v>
          </cell>
        </row>
        <row r="15645">
          <cell r="B15645">
            <v>990021</v>
          </cell>
          <cell r="C15645" t="str">
            <v>AGORA CTVM S/A</v>
          </cell>
          <cell r="D15645" t="str">
            <v>A990021</v>
          </cell>
          <cell r="E15645" t="str">
            <v>AGORA GESTAO DE RECURSOS LTDA</v>
          </cell>
        </row>
        <row r="15646">
          <cell r="B15646">
            <v>99004</v>
          </cell>
          <cell r="C15646" t="str">
            <v>UNICRED MG CP FIM</v>
          </cell>
          <cell r="D15646" t="str">
            <v>UNICRED MG CP FIM</v>
          </cell>
          <cell r="E15646" t="str">
            <v>UNICRED MG CP FIM</v>
          </cell>
        </row>
        <row r="15647">
          <cell r="B15647">
            <v>99005</v>
          </cell>
          <cell r="C15647" t="str">
            <v>GLOBALVEST INFRAPREV FIF</v>
          </cell>
          <cell r="D15647" t="str">
            <v>GLOBALVEST INFRAPREV FIF</v>
          </cell>
          <cell r="E15647" t="str">
            <v>MATURITY PLUS FIM</v>
          </cell>
        </row>
        <row r="15648">
          <cell r="B15648">
            <v>99006</v>
          </cell>
          <cell r="C15648" t="str">
            <v>MATURITY PLUS FIM</v>
          </cell>
          <cell r="D15648" t="str">
            <v>MATURITY PLUS FIM</v>
          </cell>
          <cell r="E15648" t="str">
            <v>MATURITY PLUS FIM</v>
          </cell>
        </row>
        <row r="15649">
          <cell r="B15649">
            <v>990063</v>
          </cell>
          <cell r="C15649" t="str">
            <v>SANTANDER S/A CCT</v>
          </cell>
          <cell r="D15649" t="str">
            <v>SANTANDER S/A CCT</v>
          </cell>
          <cell r="E15649" t="str">
            <v>SANTANDER S/A CCT</v>
          </cell>
        </row>
        <row r="15650">
          <cell r="B15650">
            <v>990068</v>
          </cell>
          <cell r="C15650" t="str">
            <v>SANTANDER S/A CCT</v>
          </cell>
          <cell r="D15650">
            <v>328</v>
          </cell>
          <cell r="E15650" t="str">
            <v>SANTANDER S/A CCT</v>
          </cell>
        </row>
        <row r="15651">
          <cell r="B15651">
            <v>990069</v>
          </cell>
          <cell r="C15651" t="str">
            <v>SANTANDER S/A CCT</v>
          </cell>
          <cell r="D15651">
            <v>327</v>
          </cell>
          <cell r="E15651" t="str">
            <v>SANTANDER S/A CCT</v>
          </cell>
        </row>
        <row r="15652">
          <cell r="B15652">
            <v>99007</v>
          </cell>
          <cell r="C15652" t="str">
            <v>LATINVEST NETUNO CAMBIAL FIF</v>
          </cell>
          <cell r="D15652" t="str">
            <v>LATINVEST NETUNO CAMBIAL FIF</v>
          </cell>
          <cell r="E15652" t="str">
            <v>LATINVEST NETUNO CAMBIAL FIF</v>
          </cell>
        </row>
        <row r="15653">
          <cell r="B15653">
            <v>990070</v>
          </cell>
          <cell r="C15653" t="str">
            <v>SANTANDER S/A CCT</v>
          </cell>
          <cell r="D15653">
            <v>326</v>
          </cell>
          <cell r="E15653" t="str">
            <v>SANTANDER S/A CCT</v>
          </cell>
        </row>
        <row r="15654">
          <cell r="B15654">
            <v>99008</v>
          </cell>
          <cell r="C15654" t="str">
            <v>INFRAPREV GLOBAL CAPITAL GREEN CREDITO PRIVADO</v>
          </cell>
          <cell r="D15654" t="str">
            <v>INFRAPREV GLOBAL CAPITAL GREEN CREDITO PRIVADO</v>
          </cell>
          <cell r="E15654" t="str">
            <v>INFRAPREV GLOBAL CAPITAL GREEN CREDITO PRIVADO</v>
          </cell>
        </row>
        <row r="15655">
          <cell r="B15655">
            <v>99009</v>
          </cell>
          <cell r="C15655" t="str">
            <v>LATINVEST NETUNO FIF</v>
          </cell>
          <cell r="D15655" t="str">
            <v>LATINVEST NETUNO FIF</v>
          </cell>
          <cell r="E15655" t="str">
            <v>LATINVEST NETUNO FIF</v>
          </cell>
        </row>
        <row r="15656">
          <cell r="B15656">
            <v>99010</v>
          </cell>
          <cell r="C15656" t="str">
            <v>UNICRED LONG TERM CP FIM</v>
          </cell>
          <cell r="D15656" t="str">
            <v>UNICRED LONG TERM CP FIM</v>
          </cell>
          <cell r="E15656" t="str">
            <v>UNICRED LONG TERM CP FIM</v>
          </cell>
        </row>
        <row r="15657">
          <cell r="B15657">
            <v>99011</v>
          </cell>
          <cell r="C15657" t="str">
            <v>PLATINA HEDGE FIM</v>
          </cell>
          <cell r="D15657" t="str">
            <v>PLATINA HEDGE FIM</v>
          </cell>
          <cell r="E15657" t="str">
            <v>PLATINA INVESTIMENTOS LTDA</v>
          </cell>
        </row>
        <row r="15658">
          <cell r="B15658">
            <v>990118</v>
          </cell>
          <cell r="C15658" t="str">
            <v>SANTANDER S/A CCT</v>
          </cell>
          <cell r="D15658">
            <v>324</v>
          </cell>
          <cell r="E15658" t="str">
            <v>SANTANDER S/A CCT</v>
          </cell>
        </row>
        <row r="15659">
          <cell r="B15659">
            <v>99012</v>
          </cell>
          <cell r="C15659" t="str">
            <v>ROMA ENERGIA II FDO DE INVESTIMENTO EM ACOES</v>
          </cell>
          <cell r="D15659" t="str">
            <v>ROMA ENERGIA II FDO DE INVESTIMENTO EM ACOES</v>
          </cell>
          <cell r="E15659" t="str">
            <v>MATURITY PLUS FIM</v>
          </cell>
        </row>
        <row r="15660">
          <cell r="B15660">
            <v>99013</v>
          </cell>
          <cell r="C15660" t="str">
            <v>FDO DE INV MULTIMERCADO GLOBALVEST PETROLEO</v>
          </cell>
          <cell r="D15660" t="str">
            <v>FDO DE INV MULTIMERCADO GLOBALVEST PETROLEO</v>
          </cell>
          <cell r="E15660" t="str">
            <v>FDO DE INV MULTIMERCADO GLOBALVEST PETROLEO</v>
          </cell>
        </row>
        <row r="15661">
          <cell r="B15661">
            <v>99014</v>
          </cell>
          <cell r="C15661" t="str">
            <v>GLOBALVEST FUND FITVM</v>
          </cell>
          <cell r="D15661" t="str">
            <v>GLOBALVEST FUND FITVM</v>
          </cell>
          <cell r="E15661" t="str">
            <v>GLOBALVEST FUND FITVM</v>
          </cell>
        </row>
        <row r="15662">
          <cell r="B15662">
            <v>990144</v>
          </cell>
          <cell r="C15662" t="str">
            <v>SINGULARE CORRETORA DE TIRULOS E VALORES MOBILIARIOS SA</v>
          </cell>
          <cell r="D15662" t="str">
            <v>SINGULARE CORRETORA DE TIRULOS E VALORES MOBILIARIOS SA</v>
          </cell>
          <cell r="E15662" t="str">
            <v>SINGULARE CORRETORA DE TIRULOS E VALORES MOBILIARIOS SA</v>
          </cell>
        </row>
        <row r="15663">
          <cell r="B15663">
            <v>990159</v>
          </cell>
          <cell r="C15663" t="str">
            <v>CGD INVESTIMENTOS CORRETORA DE VALORES E CAMBIO S/A</v>
          </cell>
          <cell r="D15663" t="str">
            <v>CGD INVESTIMENTOS CORRETORA DE VALORES E CAMBIO S/A</v>
          </cell>
          <cell r="E15663" t="str">
            <v>CGD INVESTIMENTOS CORRETORA DE VALORES E CAMBIO S/A</v>
          </cell>
        </row>
        <row r="15664">
          <cell r="B15664">
            <v>99016</v>
          </cell>
          <cell r="C15664" t="str">
            <v>GLOBAL EQUITY INSTITUCIONAL FIM</v>
          </cell>
          <cell r="D15664" t="str">
            <v>GLOBAL EQUITY INSTITUCIONAL FIM</v>
          </cell>
          <cell r="E15664" t="str">
            <v>GLOBAL EQUITY INSTITUCIONAL FIM</v>
          </cell>
        </row>
        <row r="15665">
          <cell r="B15665">
            <v>990167</v>
          </cell>
          <cell r="C15665" t="str">
            <v>SANTANDER S/A CCT</v>
          </cell>
          <cell r="D15665" t="str">
            <v>SANTANDER S/A CCT</v>
          </cell>
          <cell r="E15665" t="str">
            <v>SANTANDER S/A CCT</v>
          </cell>
        </row>
        <row r="15666">
          <cell r="B15666">
            <v>990453</v>
          </cell>
          <cell r="C15666" t="str">
            <v>ATIVA S/A CTCV</v>
          </cell>
          <cell r="D15666" t="str">
            <v>ATIVA S/A CTCV</v>
          </cell>
          <cell r="E15666" t="str">
            <v>ATIVA S/A CTCV</v>
          </cell>
        </row>
        <row r="15667">
          <cell r="B15667">
            <v>99067</v>
          </cell>
          <cell r="C15667" t="str">
            <v>ITAU CORRETORA DE VALORES S.A.</v>
          </cell>
          <cell r="D15667" t="str">
            <v>A99067</v>
          </cell>
          <cell r="E15667" t="str">
            <v>ITAU CV S/A</v>
          </cell>
        </row>
        <row r="15668">
          <cell r="B15668">
            <v>991518</v>
          </cell>
          <cell r="C15668" t="str">
            <v>AGORA CTVM S/A</v>
          </cell>
          <cell r="D15668" t="str">
            <v>A991518</v>
          </cell>
          <cell r="E15668" t="str">
            <v>AGORA GESTAO DE RECURSOS LTDA</v>
          </cell>
        </row>
        <row r="15669">
          <cell r="B15669">
            <v>992000</v>
          </cell>
          <cell r="C15669" t="str">
            <v>DEUTSCHE BANK S/A BANCO ALEMÃƒO</v>
          </cell>
          <cell r="D15669" t="str">
            <v>DEUTSCHE BANK S/A BANCO ALEMÃƒO</v>
          </cell>
          <cell r="E15669" t="str">
            <v>DEUTSCHE BANK S/A</v>
          </cell>
        </row>
        <row r="15670">
          <cell r="B15670">
            <v>99312</v>
          </cell>
          <cell r="C15670" t="str">
            <v>FLOW CM LTDA</v>
          </cell>
          <cell r="D15670" t="str">
            <v>FLOW CM LTDA</v>
          </cell>
          <cell r="E15670" t="str">
            <v>FLOW CM LTDA</v>
          </cell>
        </row>
        <row r="15671">
          <cell r="B15671">
            <v>99333</v>
          </cell>
          <cell r="C15671" t="str">
            <v>SAPPHIRE PARTICIPACOES S/A</v>
          </cell>
          <cell r="D15671" t="str">
            <v>SAPPHIRE PARTICIPACOES S/A</v>
          </cell>
          <cell r="E15671" t="str">
            <v>MATURITY PLUS FIM</v>
          </cell>
        </row>
        <row r="15672">
          <cell r="B15672">
            <v>993502</v>
          </cell>
          <cell r="C15672" t="str">
            <v>VOTORANTIM CTVM LTDA</v>
          </cell>
          <cell r="D15672" t="str">
            <v>A993502</v>
          </cell>
          <cell r="E15672" t="str">
            <v>VOTORANTIM CTVM LTDA</v>
          </cell>
        </row>
        <row r="15673">
          <cell r="B15673">
            <v>995006</v>
          </cell>
          <cell r="C15673" t="str">
            <v>SANTANDER BRASIL S/A CTVM</v>
          </cell>
          <cell r="D15673" t="str">
            <v>SANTANDER BRASIL S/A CTVM</v>
          </cell>
          <cell r="E15673" t="str">
            <v>SANTANDER BRASIL S/A CTVM</v>
          </cell>
        </row>
        <row r="15674">
          <cell r="B15674">
            <v>99604</v>
          </cell>
          <cell r="C15674" t="str">
            <v>ITAU CORRETORA DE VALORES S.A.</v>
          </cell>
          <cell r="D15674" t="str">
            <v>A99604</v>
          </cell>
          <cell r="E15674" t="str">
            <v>ITAU CV S/A</v>
          </cell>
        </row>
        <row r="15675">
          <cell r="B15675">
            <v>99605</v>
          </cell>
          <cell r="C15675" t="str">
            <v>BTG PACTUAL CORRETORA DE TITULOS E VALORES MOBILIARIOS S/A</v>
          </cell>
          <cell r="D15675" t="str">
            <v>A99605</v>
          </cell>
          <cell r="E15675" t="str">
            <v>BTG PACTUAL CORRETORA DE TITULOS E VALORES MOBILIARIOS S/A</v>
          </cell>
        </row>
        <row r="15676">
          <cell r="B15676">
            <v>99606</v>
          </cell>
          <cell r="C15676" t="str">
            <v>ITAU CORRETORA DE VALORES S.A.</v>
          </cell>
          <cell r="D15676" t="str">
            <v>A99606</v>
          </cell>
          <cell r="E15676" t="str">
            <v>ITAU CV S/A</v>
          </cell>
        </row>
        <row r="15677">
          <cell r="B15677">
            <v>99607</v>
          </cell>
          <cell r="C15677" t="str">
            <v>BTG PACTUAL CORRETORA DE TITULOS E VALORES MOBILIARIOS S/A</v>
          </cell>
          <cell r="D15677" t="str">
            <v>A99607</v>
          </cell>
          <cell r="E15677" t="str">
            <v>BTG PACTUAL CORRETORA DE TITULOS E VALORES MOBILIARIOS S/A</v>
          </cell>
        </row>
        <row r="15678">
          <cell r="B15678">
            <v>99608</v>
          </cell>
          <cell r="C15678" t="str">
            <v>GRADUAL CCTVM S/A</v>
          </cell>
          <cell r="D15678" t="str">
            <v>A99608</v>
          </cell>
          <cell r="E15678" t="str">
            <v>GRADUAL CCTVM S/A</v>
          </cell>
        </row>
        <row r="15679">
          <cell r="B15679">
            <v>99609</v>
          </cell>
          <cell r="C15679" t="str">
            <v>ITAU CORRETORA DE VALORES S.A.</v>
          </cell>
          <cell r="D15679" t="str">
            <v>A99609</v>
          </cell>
          <cell r="E15679" t="str">
            <v>ITAU CV S/A</v>
          </cell>
        </row>
        <row r="15680">
          <cell r="B15680">
            <v>99610</v>
          </cell>
          <cell r="C15680" t="str">
            <v>ITAU CORRETORA DE VALORES S.A.</v>
          </cell>
          <cell r="D15680" t="str">
            <v>A99610</v>
          </cell>
          <cell r="E15680" t="str">
            <v>ITAU CV S/A</v>
          </cell>
        </row>
        <row r="15681">
          <cell r="B15681">
            <v>99611</v>
          </cell>
          <cell r="C15681" t="str">
            <v>ITAU CORRETORA DE VALORES S.A.</v>
          </cell>
          <cell r="D15681" t="str">
            <v>A99611</v>
          </cell>
          <cell r="E15681" t="str">
            <v>ITAU CV S/A</v>
          </cell>
        </row>
        <row r="15682">
          <cell r="B15682">
            <v>99645</v>
          </cell>
          <cell r="C15682" t="str">
            <v>SANTANDER CORRETORA DE CAMBIO E VALORES MOBILIARIOS S/A</v>
          </cell>
          <cell r="D15682" t="str">
            <v>A99645</v>
          </cell>
          <cell r="E15682" t="str">
            <v>SANTANDER S/A CCT</v>
          </cell>
        </row>
        <row r="15683">
          <cell r="B15683">
            <v>996452</v>
          </cell>
          <cell r="C15683" t="str">
            <v>FLOW CM LTDA</v>
          </cell>
          <cell r="D15683" t="str">
            <v>FLOW CM LTDA</v>
          </cell>
          <cell r="E15683" t="str">
            <v>FLOW CM LTDA</v>
          </cell>
        </row>
        <row r="15684">
          <cell r="B15684">
            <v>99646</v>
          </cell>
          <cell r="C15684" t="str">
            <v>SANTANDER CORRETORA DE CAMBIO E VALORES MOBILIARIOS S/A</v>
          </cell>
          <cell r="D15684" t="str">
            <v>SANTANDER CORRETORA DE CAMBIO E VALORES MOBILIARIOS S/A</v>
          </cell>
          <cell r="E15684" t="str">
            <v>SANTANDER S/A CCT</v>
          </cell>
        </row>
        <row r="15685">
          <cell r="B15685">
            <v>99647</v>
          </cell>
          <cell r="C15685" t="str">
            <v>SANTANDER CORRETORA DE CAMBIO E VALORES MOBILIARIOS S/A</v>
          </cell>
          <cell r="D15685" t="str">
            <v>A99647</v>
          </cell>
          <cell r="E15685" t="str">
            <v>SANTANDER S/A CCT</v>
          </cell>
        </row>
        <row r="15686">
          <cell r="B15686">
            <v>99648</v>
          </cell>
          <cell r="C15686" t="str">
            <v>SANTANDER CORRETORA DE CAMBIO E VALORES MOBILIARIOS S/A</v>
          </cell>
          <cell r="D15686" t="str">
            <v>A99648</v>
          </cell>
          <cell r="E15686" t="str">
            <v>SANTANDER S/A CCT</v>
          </cell>
        </row>
        <row r="15687">
          <cell r="B15687">
            <v>99649</v>
          </cell>
          <cell r="C15687" t="str">
            <v>SANTANDER CORRETORA DE CAMBIO E VALORES MOBILIARIOS S/A</v>
          </cell>
          <cell r="D15687" t="str">
            <v>A99649</v>
          </cell>
          <cell r="E15687" t="str">
            <v>SANTANDER S/A CCT</v>
          </cell>
        </row>
        <row r="15688">
          <cell r="B15688">
            <v>99650</v>
          </cell>
          <cell r="C15688" t="str">
            <v>SANTANDER CORRETORA DE CAMBIO E VALORES MOBILIARIOS S/A</v>
          </cell>
          <cell r="D15688" t="str">
            <v>A99650</v>
          </cell>
          <cell r="E15688" t="str">
            <v>SANTANDER S/A CCT</v>
          </cell>
        </row>
        <row r="15689">
          <cell r="B15689">
            <v>99651</v>
          </cell>
          <cell r="C15689" t="str">
            <v>SANTANDER CORRETORA DE CAMBIO E VALORES MOBILIARIOS S/A</v>
          </cell>
          <cell r="D15689" t="str">
            <v>A99651</v>
          </cell>
          <cell r="E15689" t="str">
            <v>SANTANDER S/A CCT</v>
          </cell>
        </row>
        <row r="15690">
          <cell r="B15690">
            <v>931188</v>
          </cell>
          <cell r="C15690" t="str">
            <v>UBS BRASIL CCTVM S/A (ANTIGA LINK S/A CCTVM)</v>
          </cell>
          <cell r="D15690" t="str">
            <v>A931188</v>
          </cell>
          <cell r="E15690" t="str">
            <v>UBS AG, LONDON BRANCH NOVO</v>
          </cell>
        </row>
        <row r="15691">
          <cell r="B15691">
            <v>99657</v>
          </cell>
          <cell r="C15691" t="str">
            <v>J SAFRA CVC LTDA</v>
          </cell>
          <cell r="D15691" t="str">
            <v>A99657</v>
          </cell>
          <cell r="E15691" t="str">
            <v>J SAFRA CVC LTDA</v>
          </cell>
        </row>
        <row r="15692">
          <cell r="B15692">
            <v>99659</v>
          </cell>
          <cell r="C15692" t="str">
            <v>CONCORDIA S/A CVMCC</v>
          </cell>
          <cell r="D15692" t="str">
            <v>A99659</v>
          </cell>
          <cell r="E15692" t="str">
            <v>CONCORDIA S/A CVMCC</v>
          </cell>
        </row>
        <row r="15693">
          <cell r="B15693">
            <v>99666</v>
          </cell>
          <cell r="C15693" t="str">
            <v>ICAP DO BRASIL CTVM LTDA ( ATUAL TULLET)</v>
          </cell>
          <cell r="D15693" t="str">
            <v>A99666</v>
          </cell>
          <cell r="E15693" t="str">
            <v>ICAP DO BRASIL CTVM LTDA ( ATUAL TULLET)</v>
          </cell>
        </row>
        <row r="15694">
          <cell r="B15694">
            <v>99668</v>
          </cell>
          <cell r="C15694" t="str">
            <v>CREDIT SUISSE (BRASIL) S/A CTVM</v>
          </cell>
          <cell r="D15694" t="str">
            <v>A99668</v>
          </cell>
          <cell r="E15694" t="str">
            <v>CREDIT SUISSE (BRASIL) S/A CTVM</v>
          </cell>
        </row>
        <row r="15695">
          <cell r="B15695">
            <v>99674</v>
          </cell>
          <cell r="C15695" t="str">
            <v>ITAU CORRETORA DE VALORES S.A.</v>
          </cell>
          <cell r="D15695" t="str">
            <v>A99674</v>
          </cell>
          <cell r="E15695" t="str">
            <v>ITAU CV S/A</v>
          </cell>
        </row>
        <row r="15696">
          <cell r="B15696">
            <v>99677</v>
          </cell>
          <cell r="C15696" t="str">
            <v>ITAU CORRETORA DE VALORES S.A.</v>
          </cell>
          <cell r="D15696" t="str">
            <v>ITAU CORRETORA DE VALORES S.A.</v>
          </cell>
          <cell r="E15696" t="str">
            <v>ITAU CV S/A</v>
          </cell>
        </row>
        <row r="15697">
          <cell r="B15697">
            <v>99678</v>
          </cell>
          <cell r="C15697" t="str">
            <v>CGD INVESTIMENTOS CORRETORA DE VALORES E CAMBIO S/A</v>
          </cell>
          <cell r="D15697" t="str">
            <v>A99678</v>
          </cell>
          <cell r="E15697" t="str">
            <v>CGD INVESTIMENTOS CORRETORA DE VALORES E CAMBIO S/A</v>
          </cell>
        </row>
        <row r="15698">
          <cell r="B15698">
            <v>999133</v>
          </cell>
          <cell r="C15698" t="str">
            <v>CGD INVESTIMENTOS CORRETORA DE VALORES E CAMBIO S/A</v>
          </cell>
          <cell r="D15698" t="str">
            <v>CGD INVESTIMENTOS CORRETORA DE VALORES E CAMBIO S/A</v>
          </cell>
        </row>
        <row r="15699">
          <cell r="B15699">
            <v>80361</v>
          </cell>
          <cell r="C15699" t="str">
            <v>TERRA NOVA GESTAO E ADMINISTRAÃ‡ÃƒO DE NEGOCIOS LTDA</v>
          </cell>
          <cell r="D15699" t="str">
            <v>TERRA NOVA GESTAO E ADMINISTRAÃ‡ÃƒO DE NEGOCIOS LTDA</v>
          </cell>
          <cell r="E15699" t="str">
            <v>TERRA NOVA GESTAO E ADMINISTRAÃ‡ÃƒO DE NEGOCIOS LTDA</v>
          </cell>
        </row>
        <row r="15700">
          <cell r="B15700">
            <v>122840</v>
          </cell>
          <cell r="C15700" t="str">
            <v>XP MACRO FIM</v>
          </cell>
          <cell r="D15700" t="str">
            <v>XP MACRO FIM</v>
          </cell>
          <cell r="E15700" t="str">
            <v>XP GESTAO DE RECURSOS LTDA</v>
          </cell>
        </row>
        <row r="15701">
          <cell r="B15701">
            <v>99991</v>
          </cell>
          <cell r="C15701" t="str">
            <v>BGC LIQUIDEZ DTVM LTDA</v>
          </cell>
          <cell r="D15701" t="str">
            <v>BGC LIQUIDEZ DTVM LTDA</v>
          </cell>
          <cell r="E15701" t="str">
            <v>BGC LIQUIDEZ DTVM LTDA</v>
          </cell>
        </row>
        <row r="15702">
          <cell r="B15702">
            <v>999921</v>
          </cell>
          <cell r="C15702" t="str">
            <v>BGC LIQUIDEZ DTVM LTDA</v>
          </cell>
          <cell r="D15702" t="str">
            <v>BGC LIQUIDEZ DTVM LTDA</v>
          </cell>
          <cell r="E15702" t="str">
            <v>BGC LIQUIDEZ DTVM LTDA</v>
          </cell>
        </row>
        <row r="15703">
          <cell r="B15703">
            <v>9999300</v>
          </cell>
          <cell r="C15703" t="str">
            <v>BGC LIQUIDEZ DTVM LTDA</v>
          </cell>
          <cell r="D15703" t="str">
            <v>BGC LIQUIDEZ DTVM LTDA</v>
          </cell>
          <cell r="E15703" t="str">
            <v>BGC LIQUIDEZ DTVM LTDA</v>
          </cell>
        </row>
        <row r="15704">
          <cell r="B15704">
            <v>9999601</v>
          </cell>
          <cell r="C15704" t="str">
            <v>BGC LIQUIDEZ DTVM LTDA</v>
          </cell>
          <cell r="D15704" t="str">
            <v>BGC LIQUIDEZ DTVM LTDA</v>
          </cell>
          <cell r="E15704" t="str">
            <v>BGC LIQUIDEZ DTVM LTDA</v>
          </cell>
        </row>
        <row r="15705">
          <cell r="B15705">
            <v>999999</v>
          </cell>
          <cell r="C15705" t="str">
            <v>BGC LIQUIDEZ DTVM LTDA</v>
          </cell>
          <cell r="D15705" t="str">
            <v>*</v>
          </cell>
          <cell r="E15705" t="str">
            <v>BGC LIQUIDEZ DTVM LTDA</v>
          </cell>
        </row>
        <row r="15706">
          <cell r="B15706">
            <v>10001</v>
          </cell>
          <cell r="C15706" t="str">
            <v>NATIONWIDE DREYFUS FIX FIF</v>
          </cell>
          <cell r="D15706" t="str">
            <v>NATIONWIDE DREYFUS FIX FIF</v>
          </cell>
          <cell r="E15706" t="str">
            <v>BNY MELLON ADMINISTRAÃ‡ÃƒO DE ATIVOS LTDA</v>
          </cell>
        </row>
        <row r="15707">
          <cell r="B15707">
            <v>10002</v>
          </cell>
          <cell r="C15707" t="str">
            <v>ICATU HARTFORD PRIVILEGE FIM</v>
          </cell>
          <cell r="D15707" t="str">
            <v>ICATU HARTFORD PRIVILEGE FIM</v>
          </cell>
          <cell r="E15707" t="str">
            <v>ICATU VANGUARDA GESTAO DE RECURSOS LTDA</v>
          </cell>
        </row>
        <row r="15708">
          <cell r="B15708">
            <v>10003</v>
          </cell>
          <cell r="C15708" t="str">
            <v>ICATU HARTFORD MULT PREVIDENCIA FI</v>
          </cell>
          <cell r="D15708" t="str">
            <v>ICATU HARTFORD MULT PREVIDENCIA FI</v>
          </cell>
          <cell r="E15708" t="str">
            <v>ICATU VANGUARDA GESTAO DE RECURSOS LTDA</v>
          </cell>
        </row>
        <row r="15709">
          <cell r="B15709">
            <v>10004</v>
          </cell>
          <cell r="C15709" t="str">
            <v>ICATU HARTFORD MODERADO B FIF</v>
          </cell>
          <cell r="D15709" t="str">
            <v>ICATU HARTFORD MODERADO B FIF</v>
          </cell>
          <cell r="E15709" t="str">
            <v>ICATU VANGUARDA GESTAO DE RECURSOS LTDA</v>
          </cell>
        </row>
        <row r="15710">
          <cell r="B15710">
            <v>10005</v>
          </cell>
          <cell r="C15710" t="str">
            <v>ICATU HARTFORD MODERADO C-FIC DE FIRF</v>
          </cell>
          <cell r="D15710" t="str">
            <v>ICATU HARTFORD MODERADO C-FIC DE FIRF</v>
          </cell>
          <cell r="E15710" t="str">
            <v>ICATU VANGUARDA GESTAO DE RECURSOS LTDA</v>
          </cell>
        </row>
        <row r="15711">
          <cell r="B15711">
            <v>10006</v>
          </cell>
          <cell r="C15711" t="str">
            <v>ICATU HARTFORD MODERADO FIC DE FIRF</v>
          </cell>
          <cell r="D15711" t="str">
            <v>ICATU HARTFORD MODERADO FIC DE FIRF</v>
          </cell>
          <cell r="E15711" t="str">
            <v>ICATU VANGUARDA GESTAO DE RECURSOS LTDA</v>
          </cell>
        </row>
        <row r="15712">
          <cell r="B15712">
            <v>10007</v>
          </cell>
          <cell r="C15712" t="str">
            <v>ICATU HARTFORD MINHA A2020 FIC FIM</v>
          </cell>
          <cell r="D15712" t="str">
            <v>ICATU HARTFORD MINHA A2020 FIC FIM</v>
          </cell>
          <cell r="E15712" t="str">
            <v>ICATU VANGUARDA GESTAO DE RECURSOS LTDA</v>
          </cell>
        </row>
        <row r="15713">
          <cell r="B15713">
            <v>10008</v>
          </cell>
          <cell r="C15713" t="str">
            <v>ICATU HARTFORD MINHA A2010 FIC FIM</v>
          </cell>
          <cell r="D15713" t="str">
            <v>ICATU HARTFORD MINHA A2010 FIC FIM</v>
          </cell>
          <cell r="E15713" t="str">
            <v>ICATU VANGUARDA GESTAO DE RECURSOS LTDA</v>
          </cell>
        </row>
        <row r="15714">
          <cell r="B15714">
            <v>10009</v>
          </cell>
          <cell r="C15714" t="str">
            <v>ICATU HARTFORD INFLACAO FI RENDA FIXA</v>
          </cell>
          <cell r="D15714" t="str">
            <v>ICATU HARTFORD INFLACAO FI RENDA FIXA</v>
          </cell>
          <cell r="E15714" t="str">
            <v>ICATU VANGUARDA GESTAO DE RECURSOS LTDA</v>
          </cell>
        </row>
        <row r="15715">
          <cell r="B15715">
            <v>10010</v>
          </cell>
          <cell r="C15715" t="str">
            <v>ICATU HARTFORD FI RF ACUMULACAO</v>
          </cell>
          <cell r="D15715" t="str">
            <v>ICATU HARTFORD FI RF ACUMULACAO</v>
          </cell>
          <cell r="E15715" t="str">
            <v>ICATU VANGUARDA GESTAO DE RECURSOS LTDA</v>
          </cell>
        </row>
        <row r="15716">
          <cell r="B15716">
            <v>10011</v>
          </cell>
          <cell r="C15716" t="str">
            <v>ICATU HARTFORD FI RF PREVIDENCIA</v>
          </cell>
          <cell r="D15716" t="str">
            <v>ICATU HARTFORD FI RF PREVIDENCIA</v>
          </cell>
          <cell r="E15716" t="str">
            <v>ICATU VANGUARDA GESTAO DE RECURSOS LTDA</v>
          </cell>
        </row>
        <row r="15717">
          <cell r="B15717">
            <v>10012</v>
          </cell>
          <cell r="C15717" t="str">
            <v>ICATU HARTFORD COMPOSTO 20B FIF</v>
          </cell>
          <cell r="D15717" t="str">
            <v>ICATU HARTFORD COMPOSTO 20B FIF</v>
          </cell>
          <cell r="E15717" t="str">
            <v>ICATU VANGUARDA GESTAO DE RECURSOS LTDA</v>
          </cell>
        </row>
        <row r="15718">
          <cell r="B15718">
            <v>10013</v>
          </cell>
          <cell r="C15718" t="str">
            <v>ICATU HARTFORD COMPOSTO 20C FIC DE FIM</v>
          </cell>
          <cell r="D15718" t="str">
            <v>ICATU HARTFORD COMPOSTO 20C FIC DE FIM</v>
          </cell>
          <cell r="E15718" t="str">
            <v>ICATU VANGUARDA GESTAO DE RECURSOS LTDA</v>
          </cell>
        </row>
        <row r="15719">
          <cell r="B15719">
            <v>10014</v>
          </cell>
          <cell r="C15719" t="str">
            <v>ICATU HARTFORD COMPOSTO 20E FIF</v>
          </cell>
          <cell r="D15719" t="str">
            <v>ICATU HARTFORD COMPOSTO 20E FIF</v>
          </cell>
          <cell r="E15719" t="str">
            <v>ICATU VANGUARDA GESTAO DE RECURSOS LTDA</v>
          </cell>
        </row>
        <row r="15720">
          <cell r="B15720">
            <v>10015</v>
          </cell>
          <cell r="C15720" t="str">
            <v>ICATU HARTFORD COMPOSTO 49E FIF</v>
          </cell>
          <cell r="D15720" t="str">
            <v>ICATU HARTFORD COMPOSTO 49E FIF</v>
          </cell>
          <cell r="E15720" t="str">
            <v>ICATU VANGUARDA GESTAO DE RECURSOS LTDA</v>
          </cell>
        </row>
        <row r="15721">
          <cell r="B15721">
            <v>10016</v>
          </cell>
          <cell r="C15721" t="str">
            <v>ICATU HARTFORD FIC FI COMPOSTO 20 MULTIMERCADO</v>
          </cell>
          <cell r="D15721" t="str">
            <v>ICATU HARTFORD FIC FI COMPOSTO 20 MULTIMERCADO</v>
          </cell>
          <cell r="E15721" t="str">
            <v>ICATU VANGUARDA GESTAO DE RECURSOS LTDA</v>
          </cell>
        </row>
        <row r="15722">
          <cell r="B15722">
            <v>10017</v>
          </cell>
          <cell r="C15722" t="str">
            <v>ICATU HARTFORD FI IPCA RENDA FIXA PREVIDENCIA</v>
          </cell>
          <cell r="D15722" t="str">
            <v>ICATU HARTFORD FI IPCA RENDA FIXA PREVIDENCIA</v>
          </cell>
          <cell r="E15722" t="str">
            <v>ICATU VANGUARDA GESTAO DE RECURSOS LTDA</v>
          </cell>
        </row>
        <row r="15723">
          <cell r="B15723">
            <v>10018</v>
          </cell>
          <cell r="C15723" t="str">
            <v>ICATU HARTFORD ANIS PREVIDENCIA DIM</v>
          </cell>
          <cell r="D15723" t="str">
            <v>ICATU HARTFORD ANIS PREVIDENCIA DIM</v>
          </cell>
          <cell r="E15723" t="str">
            <v>ICATU VANGUARDA GESTAO DE RECURSOS LTDA</v>
          </cell>
        </row>
        <row r="15724">
          <cell r="B15724">
            <v>10019</v>
          </cell>
          <cell r="C15724" t="str">
            <v>ICATU HARTFORD DI FI REFERENCIADO CLASSIC</v>
          </cell>
          <cell r="D15724" t="str">
            <v>ICATU HARTFORD DI FI REFERENCIADO CLASSIC</v>
          </cell>
          <cell r="E15724" t="str">
            <v>ICATU VANGUARDA GESTAO DE RECURSOS LTDA</v>
          </cell>
        </row>
        <row r="15725">
          <cell r="B15725">
            <v>10020</v>
          </cell>
          <cell r="C15725" t="str">
            <v>ICATU HARTFORD FIC DE FI COMP 20 MMPP</v>
          </cell>
          <cell r="D15725" t="str">
            <v>ICATU HARTFORD FIC DE FI COMP 20 MMPP</v>
          </cell>
          <cell r="E15725" t="str">
            <v>ICATU VANGUARDA GESTAO DE RECURSOS LTDA</v>
          </cell>
        </row>
        <row r="15726">
          <cell r="B15726">
            <v>10021</v>
          </cell>
          <cell r="C15726" t="str">
            <v>ICATU HARTFORD FOCO MINHA AP2020 FIC</v>
          </cell>
          <cell r="D15726" t="str">
            <v>ICATU HARTFORD FOCO MINHA AP2020 FIC</v>
          </cell>
          <cell r="E15726" t="str">
            <v>ICATU VANGUARDA GESTAO DE RECURSOS LTDA</v>
          </cell>
        </row>
        <row r="15727">
          <cell r="B15727">
            <v>10022</v>
          </cell>
          <cell r="C15727" t="str">
            <v>ICATU HARTFORD FOCO MINHA AP2030 FIC</v>
          </cell>
          <cell r="D15727" t="str">
            <v>ICATU HARTFORD FOCO MINHA AP2030 FIC</v>
          </cell>
          <cell r="E15727" t="str">
            <v>ICATU VANGUARDA GESTAO DE RECURSOS LTDA</v>
          </cell>
        </row>
        <row r="15728">
          <cell r="B15728">
            <v>10023</v>
          </cell>
          <cell r="C15728" t="str">
            <v>ICATU HARTFORD FOCO MINHA AP2040 FIC</v>
          </cell>
          <cell r="D15728" t="str">
            <v>ICATU HARTFORD FOCO MINHA AP2040 FIC</v>
          </cell>
          <cell r="E15728" t="str">
            <v>ICATU VANGUARDA GESTAO DE RECURSOS LTDA</v>
          </cell>
        </row>
        <row r="15729">
          <cell r="B15729">
            <v>10024</v>
          </cell>
          <cell r="C15729" t="str">
            <v>ICATU SEG FIA PREVIDENCIARIO</v>
          </cell>
          <cell r="D15729" t="str">
            <v>ICATU SEG FIA PREVIDENCIARIO</v>
          </cell>
          <cell r="E15729" t="str">
            <v>ICATU VANGUARDA GESTAO DE RECURSOS LTDA</v>
          </cell>
        </row>
        <row r="15730">
          <cell r="B15730">
            <v>10025</v>
          </cell>
          <cell r="C15730" t="str">
            <v>ICATU HARTFORD FIC FI RF MMP</v>
          </cell>
          <cell r="D15730" t="str">
            <v>ICATU HARTFORD FIC FI RF MMP</v>
          </cell>
          <cell r="E15730" t="str">
            <v>ICATU VANGUARDA GESTAO DE RECURSOS LTDA</v>
          </cell>
        </row>
        <row r="15731">
          <cell r="B15731">
            <v>10026</v>
          </cell>
          <cell r="C15731" t="str">
            <v>ICATU HARTFORD FIC FI RF MPP</v>
          </cell>
          <cell r="D15731" t="str">
            <v>ICATU HARTFORD FIC FI RF MPP</v>
          </cell>
          <cell r="E15731" t="str">
            <v>ICATU VANGUARDA GESTAO DE RECURSOS LTDA</v>
          </cell>
        </row>
        <row r="15732">
          <cell r="B15732">
            <v>10027</v>
          </cell>
          <cell r="C15732" t="str">
            <v>ICATU HARTFORD FIC FI RF MP</v>
          </cell>
          <cell r="D15732" t="str">
            <v>ICATU HARTFORD FIC FI RF MP</v>
          </cell>
          <cell r="E15732" t="str">
            <v>ICATU VANGUARDA GESTAO DE RECURSOS LTDA</v>
          </cell>
        </row>
        <row r="15733">
          <cell r="B15733">
            <v>10028</v>
          </cell>
          <cell r="C15733" t="str">
            <v>ICATU HARTFORD RELIANCE ASSET ALLOCATION FIM</v>
          </cell>
          <cell r="D15733" t="str">
            <v>ICATU HARTFORD RELIANCE ASSET ALLOCATION FIM</v>
          </cell>
          <cell r="E15733" t="str">
            <v>ICATU VANGUARDA GESTAO DE RECURSOS LTDA</v>
          </cell>
        </row>
        <row r="15734">
          <cell r="B15734">
            <v>10029</v>
          </cell>
          <cell r="C15734" t="str">
            <v>ICATU HARTFORD MINHA AP 2040 FIC FIM</v>
          </cell>
          <cell r="D15734" t="str">
            <v>ICATU HARTFORD MINHA AP 2040 FIC FIM</v>
          </cell>
          <cell r="E15734" t="str">
            <v>ICATU VANGUARDA GESTAO DE RECURSOS LTDA</v>
          </cell>
        </row>
        <row r="15735">
          <cell r="B15735">
            <v>10030</v>
          </cell>
          <cell r="C15735" t="str">
            <v>ICATU HARTFORD COMPOSTO 49B FIF</v>
          </cell>
          <cell r="D15735" t="str">
            <v>ICATU HARTFORD COMPOSTO 49B FIF</v>
          </cell>
          <cell r="E15735" t="str">
            <v>ICATU VANGUARDA GESTAO DE RECURSOS LTDA</v>
          </cell>
        </row>
        <row r="15736">
          <cell r="B15736">
            <v>10031</v>
          </cell>
          <cell r="C15736" t="str">
            <v>ICATU HARTFORD COMPOSTO 49C FIF</v>
          </cell>
          <cell r="D15736" t="str">
            <v>ICATU HARTFORD COMPOSTO 49C FIF</v>
          </cell>
          <cell r="E15736" t="str">
            <v>ICATU VANGUARDA GESTAO DE RECURSOS LTDA</v>
          </cell>
        </row>
        <row r="15737">
          <cell r="B15737">
            <v>10032</v>
          </cell>
          <cell r="C15737" t="str">
            <v>ICATU HARTFORD COMPOSTO 10C FIC FIM</v>
          </cell>
          <cell r="D15737" t="str">
            <v>ICATU HARTFORD COMPOSTO 10C FIC FIM</v>
          </cell>
          <cell r="E15737" t="str">
            <v>ICATU VANGUARDA GESTAO DE RECURSOS LTDA</v>
          </cell>
        </row>
        <row r="15738">
          <cell r="B15738">
            <v>10033</v>
          </cell>
          <cell r="C15738" t="str">
            <v>ICATU HARTFORD COMPOSTO 10E FIF</v>
          </cell>
          <cell r="D15738" t="str">
            <v>ICATU HARTFORD COMPOSTO 10E FIF</v>
          </cell>
          <cell r="E15738" t="str">
            <v>ICATU VANGUARDA GESTAO DE RECURSOS LTDA</v>
          </cell>
        </row>
        <row r="15739">
          <cell r="B15739">
            <v>10034</v>
          </cell>
          <cell r="C15739" t="str">
            <v>ICATU HARTFORD COMPOSTO 10B FIF</v>
          </cell>
          <cell r="D15739" t="str">
            <v>ICATU HARTFORD COMPOSTO 10B FIF</v>
          </cell>
          <cell r="E15739" t="str">
            <v>ICATU VANGUARDA GESTAO DE RECURSOS LTDA</v>
          </cell>
        </row>
        <row r="15740">
          <cell r="B15740">
            <v>10035</v>
          </cell>
          <cell r="C15740" t="str">
            <v>ICATU HARTFORD CLASSIC MODERADO FI RENDA FIXA</v>
          </cell>
          <cell r="D15740" t="str">
            <v>ICATU HARTFORD CLASSIC MODERADO FI RENDA FIXA</v>
          </cell>
          <cell r="E15740" t="str">
            <v>ICATU VANGUARDA GESTAO DE RECURSOS LTDA</v>
          </cell>
        </row>
        <row r="15741">
          <cell r="B15741">
            <v>10036</v>
          </cell>
          <cell r="C15741" t="str">
            <v>ICATU HARTFORD XI FIF</v>
          </cell>
          <cell r="D15741" t="str">
            <v>ICATU HARTFORD XI FIF</v>
          </cell>
          <cell r="E15741" t="str">
            <v>ICATU VANGUARDA GESTAO DE RECURSOS LTDA</v>
          </cell>
        </row>
        <row r="15742">
          <cell r="B15742">
            <v>10037</v>
          </cell>
          <cell r="C15742" t="str">
            <v>ICATU HARTFORD XXXIII FIF</v>
          </cell>
          <cell r="D15742" t="str">
            <v>ICATU HARTFORD XXXIII FIF</v>
          </cell>
          <cell r="E15742" t="str">
            <v>ICATU VANGUARDA GESTAO DE RECURSOS LTDA</v>
          </cell>
        </row>
        <row r="15743">
          <cell r="B15743">
            <v>10038</v>
          </cell>
          <cell r="C15743" t="str">
            <v>ICATU HARTFORD SEGUROS SOBERANO R FI RF</v>
          </cell>
          <cell r="D15743" t="str">
            <v>ICATU HARTFORD SEGUROS SOBERANO R FI RF</v>
          </cell>
          <cell r="E15743" t="str">
            <v>ICATU VANGUARDA GESTAO DE RECURSOS LTDA</v>
          </cell>
        </row>
        <row r="15744">
          <cell r="B15744">
            <v>10039</v>
          </cell>
          <cell r="C15744" t="str">
            <v>ICATU HARTFORD SEGUROS SOBERANO T FI RF</v>
          </cell>
          <cell r="D15744" t="str">
            <v>ICATU HARTFORD SEGUROS SOBERANO T FI RF</v>
          </cell>
          <cell r="E15744" t="str">
            <v>ICATU VANGUARDA GESTAO DE RECURSOS LTDA</v>
          </cell>
        </row>
        <row r="15745">
          <cell r="B15745">
            <v>10040</v>
          </cell>
          <cell r="C15745" t="str">
            <v>ICATU HARTFORD SEG SOBERANO FIF</v>
          </cell>
          <cell r="D15745" t="str">
            <v>ICATU HARTFORD SEG SOBERANO FIF</v>
          </cell>
          <cell r="E15745" t="str">
            <v>ICATU VANGUARDA GESTAO DE RECURSOS LTDA</v>
          </cell>
        </row>
        <row r="15746">
          <cell r="B15746">
            <v>10041</v>
          </cell>
          <cell r="C15746" t="str">
            <v>ICATU HARTFORD RENDA FIXA REAL FI</v>
          </cell>
          <cell r="D15746" t="str">
            <v>ICATU HARTFORD RENDA FIXA REAL FI</v>
          </cell>
          <cell r="E15746" t="str">
            <v>ICATU VANGUARDA GESTAO DE RECURSOS LTDA</v>
          </cell>
        </row>
        <row r="15747">
          <cell r="B15747">
            <v>10042</v>
          </cell>
          <cell r="C15747" t="str">
            <v>ICATU HARTFORD RENDA FIXA FI</v>
          </cell>
          <cell r="D15747" t="str">
            <v>ICATU HARTFORD RENDA FIXA FI</v>
          </cell>
          <cell r="E15747" t="str">
            <v>ICATU VANGUARDA GESTAO DE RECURSOS LTDA</v>
          </cell>
        </row>
        <row r="15748">
          <cell r="B15748">
            <v>10043</v>
          </cell>
          <cell r="C15748" t="str">
            <v>ICATU HARTFORD REFERENCIADO SELIC FI</v>
          </cell>
          <cell r="D15748" t="str">
            <v>ICATU HARTFORD REFERENCIADO SELIC FI</v>
          </cell>
          <cell r="E15748" t="str">
            <v>ICATU VANGUARDA GESTAO DE RECURSOS LTDA</v>
          </cell>
        </row>
        <row r="15749">
          <cell r="B15749">
            <v>10044</v>
          </cell>
          <cell r="C15749" t="str">
            <v>ICATU HARTFORD MULT FMP FI COTAS DE FI</v>
          </cell>
          <cell r="D15749" t="str">
            <v>ICATU HARTFORD MULT FMP FI COTAS DE FI</v>
          </cell>
          <cell r="E15749" t="str">
            <v>ICATU VANGUARDA GESTAO DE RECURSOS LTDA</v>
          </cell>
        </row>
        <row r="15750">
          <cell r="B15750">
            <v>10045</v>
          </cell>
          <cell r="C15750" t="str">
            <v>ICATU HARTFORD MULT FMP FIEC FICFI</v>
          </cell>
          <cell r="D15750" t="str">
            <v>ICATU HARTFORD MULT FMP FIEC FICFI</v>
          </cell>
          <cell r="E15750" t="str">
            <v>ICATU VANGUARDA GESTAO DE RECURSOS LTDA</v>
          </cell>
        </row>
        <row r="15751">
          <cell r="B15751">
            <v>10046</v>
          </cell>
          <cell r="C15751" t="str">
            <v>ICATU HARTFORD LONG SHORT FIM</v>
          </cell>
          <cell r="D15751" t="str">
            <v>ICATU HARTFORD LONG SHORT FIM</v>
          </cell>
          <cell r="E15751" t="str">
            <v>ICATU VANGUARDA GESTAO DE RECURSOS LTDA</v>
          </cell>
        </row>
        <row r="15752">
          <cell r="B15752">
            <v>10047</v>
          </cell>
          <cell r="C15752" t="str">
            <v>ICATU HARTFORD IPC RENDA FIXA FI</v>
          </cell>
          <cell r="D15752" t="str">
            <v>ICATU HARTFORD IPC RENDA FIXA FI</v>
          </cell>
          <cell r="E15752" t="str">
            <v>ICATU VANGUARDA GESTAO DE RECURSOS LTDA</v>
          </cell>
        </row>
        <row r="15753">
          <cell r="B15753">
            <v>10048</v>
          </cell>
          <cell r="C15753" t="str">
            <v>ICATU HARTFORD FI MAUA PREV MULTI INSTITUCIONAL</v>
          </cell>
          <cell r="D15753" t="str">
            <v>ICATU HARTFORD FI MAUA PREV MULTI INSTITUCIONAL</v>
          </cell>
          <cell r="E15753" t="str">
            <v>ICATU VANGUARDA GESTAO DE RECURSOS LTDA</v>
          </cell>
        </row>
        <row r="15754">
          <cell r="B15754">
            <v>10049</v>
          </cell>
          <cell r="C15754" t="str">
            <v>ICATU HARTFORD FMP ATUARIAL RENDA FIXA FI</v>
          </cell>
          <cell r="D15754" t="str">
            <v>ICATU HARTFORD FMP ATUARIAL RENDA FIXA FI</v>
          </cell>
          <cell r="E15754" t="str">
            <v>ICATU VANGUARDA GESTAO DE RECURSOS LTDA</v>
          </cell>
        </row>
        <row r="15755">
          <cell r="B15755">
            <v>10050</v>
          </cell>
          <cell r="C15755" t="str">
            <v>ICATU VANGUARDA DIVIDENDOS FIA</v>
          </cell>
          <cell r="D15755" t="str">
            <v>ICATU VANGUARDA DIVIDENDOS FIA</v>
          </cell>
          <cell r="E15755" t="str">
            <v>ICATU VANGUARDA GESTAO DE RECURSOS LTDA</v>
          </cell>
        </row>
        <row r="15756">
          <cell r="B15756">
            <v>10051</v>
          </cell>
          <cell r="C15756" t="str">
            <v>ICATU HARTFORD DELTA CAPOF FI PREVID MULT</v>
          </cell>
          <cell r="D15756" t="str">
            <v>ICATU HARTFORD DELTA CAPOF FI PREVID MULT</v>
          </cell>
          <cell r="E15756" t="str">
            <v>ICATU VANGUARDA GESTAO DE RECURSOS LTDA</v>
          </cell>
        </row>
        <row r="15757">
          <cell r="B15757">
            <v>10052</v>
          </cell>
          <cell r="C15757" t="str">
            <v>ICATU HARTFORD CAP SOBERANO FIF</v>
          </cell>
          <cell r="D15757" t="str">
            <v>ICATU HARTFORD CAP SOBERANO FIF</v>
          </cell>
          <cell r="E15757" t="str">
            <v>ICATU VANGUARDA GESTAO DE RECURSOS LTDA</v>
          </cell>
        </row>
        <row r="15758">
          <cell r="B15758">
            <v>10053</v>
          </cell>
          <cell r="C15758" t="str">
            <v>ICATU HARTFORD ADVANCED PLUS FIM</v>
          </cell>
          <cell r="D15758" t="str">
            <v>ICATU HARTFORD ADVANCED PLUS FIM</v>
          </cell>
          <cell r="E15758" t="str">
            <v>ICATU VANGUARDA GESTAO DE RECURSOS LTDA</v>
          </cell>
        </row>
        <row r="15759">
          <cell r="B15759">
            <v>10054</v>
          </cell>
          <cell r="C15759" t="str">
            <v>ICATU VANGUARDA ACOES IBX FI</v>
          </cell>
          <cell r="D15759" t="str">
            <v>ICATU VANGUARDA ACOES IBX FI</v>
          </cell>
          <cell r="E15759" t="str">
            <v>ICATU VANGUARDA GESTAO DE RECURSOS LTDA</v>
          </cell>
        </row>
        <row r="15760">
          <cell r="B15760">
            <v>10055</v>
          </cell>
          <cell r="C15760" t="str">
            <v>ICATU HARTFORD ADVANCED INSTITUCIONAL FIM</v>
          </cell>
          <cell r="D15760" t="str">
            <v>ICATU HARTFORD ADVANCED INSTITUCIONAL FIM</v>
          </cell>
          <cell r="E15760" t="str">
            <v>ICATU VANGUARDA GESTAO DE RECURSOS LTDA</v>
          </cell>
        </row>
        <row r="15761">
          <cell r="B15761">
            <v>10056</v>
          </cell>
          <cell r="C15761" t="str">
            <v>ICATU HARTFORD FIM PREVIDENCIARIO</v>
          </cell>
          <cell r="D15761" t="str">
            <v>ICATU HARTFORD FIM PREVIDENCIARIO</v>
          </cell>
          <cell r="E15761" t="str">
            <v>ICATU VANGUARDA GESTAO DE RECURSOS LTDA</v>
          </cell>
        </row>
        <row r="15762">
          <cell r="B15762">
            <v>10057</v>
          </cell>
          <cell r="C15762" t="str">
            <v>ICATU HARTFORD CP FI RF LP</v>
          </cell>
          <cell r="D15762" t="str">
            <v>ICATU HARTFORD CP FI RF LP</v>
          </cell>
          <cell r="E15762" t="str">
            <v>ICATU VANGUARDA GESTAO DE RECURSOS LTDA</v>
          </cell>
        </row>
        <row r="15763">
          <cell r="B15763">
            <v>10058</v>
          </cell>
          <cell r="C15763" t="str">
            <v>ICATU HARTFORD CETUS SOBERANO RF FI</v>
          </cell>
          <cell r="D15763" t="str">
            <v>ICATU HARTFORD CETUS SOBERANO RF FI</v>
          </cell>
          <cell r="E15763" t="str">
            <v>ICATU VANGUARDA GESTAO DE RECURSOS LTDA</v>
          </cell>
        </row>
        <row r="15764">
          <cell r="B15764">
            <v>10060</v>
          </cell>
          <cell r="C15764" t="str">
            <v>WALTER GERALDO DA SILVEIRA</v>
          </cell>
          <cell r="D15764" t="str">
            <v>WALTER GERALDO DA SILVEIRA</v>
          </cell>
          <cell r="E15764" t="str">
            <v>WALTER GERALDO DA SILVEIRA</v>
          </cell>
        </row>
        <row r="15765">
          <cell r="B15765">
            <v>1025</v>
          </cell>
          <cell r="C15765" t="str">
            <v>ICAP DO BRASIL CTVM LTDA ( ATUAL TULLET)</v>
          </cell>
          <cell r="D15765" t="str">
            <v>ICAP DO BRASIL CTVM LTDA ( ATUAL TULLET)</v>
          </cell>
          <cell r="E15765" t="str">
            <v>ICAP DO BRASIL CTVM LTDA ( ATUAL TULLET)</v>
          </cell>
        </row>
        <row r="15766">
          <cell r="B15766">
            <v>10600</v>
          </cell>
          <cell r="C15766" t="str">
            <v>MERCOBANK S/A CTVM</v>
          </cell>
          <cell r="D15766" t="str">
            <v>MERCOBANK S/A CTVM</v>
          </cell>
          <cell r="E15766" t="str">
            <v>MERCOBANK S/A CTVM</v>
          </cell>
        </row>
        <row r="15767">
          <cell r="B15767">
            <v>1080</v>
          </cell>
          <cell r="C15767" t="str">
            <v>BANCO BTG PACTUAL S/A</v>
          </cell>
          <cell r="D15767" t="str">
            <v>BANCO BTG PACTUAL S/A</v>
          </cell>
          <cell r="E15767" t="str">
            <v>BANCO BTG PACTUAL S/A</v>
          </cell>
        </row>
        <row r="15768">
          <cell r="B15768">
            <v>11</v>
          </cell>
          <cell r="C15768" t="str">
            <v>INTERBOLSA DO BRASIL CCTVM LTDA</v>
          </cell>
          <cell r="D15768">
            <v>11</v>
          </cell>
          <cell r="E15768" t="str">
            <v>INTERBOLSA DO BRASIL CCTVM LTDA</v>
          </cell>
        </row>
        <row r="15769">
          <cell r="B15769">
            <v>80205</v>
          </cell>
          <cell r="C15769" t="str">
            <v>BANCO SANTANDER S.A (HISPANO)</v>
          </cell>
          <cell r="D15769" t="str">
            <v>BANCO SANTANDER S.A (HISPANO)</v>
          </cell>
          <cell r="E15769" t="str">
            <v>BANCO SANTANDER S/A (HISPANO)</v>
          </cell>
        </row>
        <row r="15770">
          <cell r="B15770">
            <v>11115</v>
          </cell>
          <cell r="C15770" t="str">
            <v>GAP ACOES FIA</v>
          </cell>
          <cell r="D15770" t="str">
            <v>GAP ACOES FIA</v>
          </cell>
          <cell r="E15770" t="str">
            <v>GAP ACOES FIA</v>
          </cell>
        </row>
        <row r="15771">
          <cell r="B15771">
            <v>11117</v>
          </cell>
          <cell r="C15771" t="str">
            <v>BANK OF AMERICA-BRASIL S.A.(BANCO MULTIPLO)</v>
          </cell>
          <cell r="D15771" t="str">
            <v>BANK OF AMERICA-BRASIL S.A.(BANCO MULTIPLO)</v>
          </cell>
          <cell r="E15771" t="str">
            <v>BANK OF AMERICA-BRASIL S.A.(BANCO MULTIPLO)</v>
          </cell>
        </row>
        <row r="15772">
          <cell r="B15772">
            <v>112</v>
          </cell>
          <cell r="C15772" t="str">
            <v>FLOW CM LTDA</v>
          </cell>
          <cell r="D15772" t="str">
            <v>FLOW CM LTDA</v>
          </cell>
          <cell r="E15772" t="str">
            <v>FLOW CM LTDA</v>
          </cell>
        </row>
        <row r="15773">
          <cell r="B15773">
            <v>11204</v>
          </cell>
          <cell r="C15773" t="str">
            <v>FIM DEB</v>
          </cell>
          <cell r="D15773" t="str">
            <v>FIM DEB</v>
          </cell>
          <cell r="E15773" t="str">
            <v>FIM DEB</v>
          </cell>
        </row>
        <row r="15774">
          <cell r="B15774">
            <v>80206</v>
          </cell>
          <cell r="C15774" t="str">
            <v>BANCO SANTANDER S.A (HISPANO)</v>
          </cell>
          <cell r="D15774" t="str">
            <v>BANCO SANTANDER S.A (HISPANO)</v>
          </cell>
          <cell r="E15774" t="str">
            <v>BANCO SANTANDER S/A (HISPANO)</v>
          </cell>
        </row>
        <row r="15775">
          <cell r="B15775">
            <v>11398</v>
          </cell>
          <cell r="C15775" t="str">
            <v>OPTIMIZER FUNDO DE INVESTIMENTO FINANCEIRO</v>
          </cell>
          <cell r="D15775" t="str">
            <v>OPTIMIZER FUNDO DE INVESTIMENTO FINANCEIRO</v>
          </cell>
          <cell r="E15775" t="str">
            <v>OPTIMIZER FUNDO DE INVESTIMENTO FINANCEIRO</v>
          </cell>
        </row>
        <row r="15776">
          <cell r="B15776">
            <v>114</v>
          </cell>
          <cell r="C15776" t="str">
            <v>ITAU CORRETORA DE VALORES S.A.</v>
          </cell>
          <cell r="D15776" t="str">
            <v>ITAU CORRETORA DE VALORES S.A.</v>
          </cell>
          <cell r="E15776" t="str">
            <v>ITAU CV S/A</v>
          </cell>
        </row>
        <row r="15777">
          <cell r="B15777">
            <v>11426</v>
          </cell>
          <cell r="C15777" t="str">
            <v>NOBEL STARFIELD FIF</v>
          </cell>
          <cell r="D15777" t="str">
            <v>NOBEL STARFIELD FIF</v>
          </cell>
          <cell r="E15777" t="str">
            <v>NOBEL STARFIELD FIF</v>
          </cell>
        </row>
        <row r="15778">
          <cell r="B15778">
            <v>11458</v>
          </cell>
          <cell r="C15778" t="str">
            <v>BANCO CARGILL S/A</v>
          </cell>
          <cell r="D15778" t="str">
            <v>BANCO CARGILL S/A</v>
          </cell>
          <cell r="E15778" t="str">
            <v>BANCO CARGILL S/A</v>
          </cell>
        </row>
        <row r="15779">
          <cell r="B15779">
            <v>122002</v>
          </cell>
          <cell r="C15779" t="str">
            <v>JOSE MAURICIO GOMES TEIXEIRA</v>
          </cell>
          <cell r="D15779" t="str">
            <v>JOSE MAURICIO GOMES TEIXEIRA</v>
          </cell>
          <cell r="E15779" t="str">
            <v>JOSE MAURICIO GOMES TEIXEIRA</v>
          </cell>
        </row>
        <row r="15780">
          <cell r="B15780">
            <v>122003</v>
          </cell>
          <cell r="C15780" t="str">
            <v>JOSE RANIERI NETTO</v>
          </cell>
          <cell r="D15780" t="str">
            <v>JOSE RANIERI NETTO</v>
          </cell>
          <cell r="E15780" t="str">
            <v>JOSE RANIERI NETTO</v>
          </cell>
        </row>
        <row r="15781">
          <cell r="B15781">
            <v>12205</v>
          </cell>
          <cell r="C15781" t="str">
            <v>LACAN INVESTIMENTOS E PARTICIPACOES LTDA</v>
          </cell>
          <cell r="D15781" t="str">
            <v>LACAN INVESTIMENTOS E PARTICIPACOES LTDA</v>
          </cell>
          <cell r="E15781" t="str">
            <v>LACAN INVESTIMENTOS E PARTICIPACOES LTDA</v>
          </cell>
        </row>
        <row r="15782">
          <cell r="B15782">
            <v>12208</v>
          </cell>
          <cell r="C15782" t="str">
            <v>BB GESTAO DE RECURSOS DTVM LTDA</v>
          </cell>
          <cell r="D15782" t="str">
            <v>BB GESTAO DE RECURSOS DTVM LTDA</v>
          </cell>
          <cell r="E15782" t="str">
            <v>BB GESTAO DE RECURSOS DTVM LTDA</v>
          </cell>
        </row>
        <row r="15783">
          <cell r="B15783">
            <v>122086</v>
          </cell>
          <cell r="C15783" t="str">
            <v>EVELYN CUNHA QUEIROZ MOTTA</v>
          </cell>
          <cell r="D15783" t="str">
            <v>EVELYN CUNHA QUEIROZ MOTTA</v>
          </cell>
          <cell r="E15783" t="str">
            <v>EVELYN CUNHA QUEIROZ MOTTA</v>
          </cell>
        </row>
        <row r="15784">
          <cell r="B15784">
            <v>122089</v>
          </cell>
          <cell r="C15784" t="str">
            <v>FRANCISCO JOSE DIAS CARVALHO</v>
          </cell>
          <cell r="D15784" t="str">
            <v>FRANCISCO JOSE DIAS CARVALHO</v>
          </cell>
          <cell r="E15784" t="str">
            <v>FRANCISCO JOSE DIAS CARVALHO</v>
          </cell>
        </row>
        <row r="15785">
          <cell r="B15785">
            <v>122091</v>
          </cell>
          <cell r="C15785" t="str">
            <v>PEDRO STENZEL BRASILIANO DA COSTA</v>
          </cell>
          <cell r="D15785" t="str">
            <v>PEDRO STENZEL BRASILIANO DA COSTA</v>
          </cell>
          <cell r="E15785" t="str">
            <v>PEDRO STENZEL BRASILIANO DA COSTA</v>
          </cell>
        </row>
        <row r="15786">
          <cell r="B15786">
            <v>12212</v>
          </cell>
          <cell r="C15786" t="str">
            <v>TAVOLA CAPITAL GESTAO DE RECURSOS LTDA</v>
          </cell>
          <cell r="D15786" t="str">
            <v>TAVOLA CAPITAL GESTAO DE RECURSOS LTDA</v>
          </cell>
          <cell r="E15786" t="str">
            <v>TAVOLA CAPITAL GESTAO DE RECURSOS LTDA</v>
          </cell>
        </row>
        <row r="15787">
          <cell r="B15787">
            <v>12214</v>
          </cell>
          <cell r="C15787" t="str">
            <v>CAIXA ECONOMICA FEDERAL</v>
          </cell>
          <cell r="D15787" t="str">
            <v>CAIXA ECONOMICA FEDERAL</v>
          </cell>
          <cell r="E15787" t="str">
            <v>CAIXA ECONOMICA FEDERAL</v>
          </cell>
        </row>
        <row r="15788">
          <cell r="B15788">
            <v>122140</v>
          </cell>
          <cell r="C15788" t="str">
            <v>FIA CAIXA BRASIL IBX 50</v>
          </cell>
          <cell r="D15788" t="str">
            <v>FIA CAIXA BRASIL IBX 50</v>
          </cell>
          <cell r="E15788" t="str">
            <v>CAIXA ECONOMICA FEDERAL</v>
          </cell>
        </row>
        <row r="15789">
          <cell r="B15789">
            <v>122141</v>
          </cell>
          <cell r="C15789" t="str">
            <v>FIA CAIXA CONSTRUCAO CIVIL</v>
          </cell>
          <cell r="D15789" t="str">
            <v>FIA CAIXA CONSTRUCAO CIVIL</v>
          </cell>
          <cell r="E15789" t="str">
            <v>CAIXA ECONOMICA FEDERAL</v>
          </cell>
        </row>
        <row r="15790">
          <cell r="B15790">
            <v>12215</v>
          </cell>
          <cell r="C15790" t="str">
            <v>SAFRA ASSET MANAGEMENT LTDA</v>
          </cell>
          <cell r="D15790" t="str">
            <v>SAFRA ASSET MANAGEMENT LTDA</v>
          </cell>
          <cell r="E15790" t="str">
            <v>SAFRA ASSET MANAGEMENT LTDA</v>
          </cell>
        </row>
        <row r="15791">
          <cell r="B15791">
            <v>12217</v>
          </cell>
          <cell r="C15791" t="str">
            <v>MORGAN STANLEY ADMINISTRADORA DE CARTEIRAS S/A</v>
          </cell>
          <cell r="D15791" t="str">
            <v>MORGAN STANLEY ADMINISTRADORA DE CARTEIRAS S/A</v>
          </cell>
          <cell r="E15791" t="str">
            <v>MORGAN STANLEY ADMINISTRADORA DE CARTEIRAS S/A</v>
          </cell>
        </row>
        <row r="15792">
          <cell r="B15792">
            <v>12218</v>
          </cell>
          <cell r="C15792" t="str">
            <v>CONSENSO INVESTIMENTOS LTDA</v>
          </cell>
          <cell r="D15792" t="str">
            <v>CONSENSO INVESTIMENTOS LTDA</v>
          </cell>
          <cell r="E15792" t="str">
            <v>CONSENSO INVESTIMENTOS LTDA</v>
          </cell>
        </row>
        <row r="15793">
          <cell r="B15793">
            <v>12219</v>
          </cell>
          <cell r="C15793" t="str">
            <v>GAP GESTORA DE RECURSOS LTDA</v>
          </cell>
          <cell r="D15793" t="str">
            <v>GAP GESTORA DE RECURSOS LTDA</v>
          </cell>
          <cell r="E15793" t="str">
            <v>GAP GESTORA DE RECURSOS LTDA</v>
          </cell>
        </row>
        <row r="15794">
          <cell r="B15794">
            <v>122194</v>
          </cell>
          <cell r="C15794" t="str">
            <v>ROMA 1947 FIM CP INVESTIMENTO NO EXTERIOR</v>
          </cell>
          <cell r="D15794" t="str">
            <v>ROMA 1947 FIM CP INVESTIMENTO NO EXTERIOR</v>
          </cell>
          <cell r="E15794" t="str">
            <v>ROMA 1947 FIM CP INVESTIMENTO NO EXTERIOR</v>
          </cell>
        </row>
        <row r="15795">
          <cell r="B15795">
            <v>122199</v>
          </cell>
          <cell r="C15795" t="str">
            <v>GAP MULTIPORTFOLIO FIM</v>
          </cell>
          <cell r="D15795" t="str">
            <v>GAP MULTIPORTFOLIO FIM</v>
          </cell>
          <cell r="E15795" t="str">
            <v>GAP MULTIPORTFOLIO FIM</v>
          </cell>
        </row>
        <row r="15796">
          <cell r="B15796">
            <v>122214</v>
          </cell>
          <cell r="C15796" t="str">
            <v>MARCELO MARTINS DA SILVA</v>
          </cell>
          <cell r="D15796" t="str">
            <v>MARCELO MARTINS DA SILVA</v>
          </cell>
          <cell r="E15796" t="str">
            <v>MARCELO MARTINS DA SILVA</v>
          </cell>
        </row>
        <row r="15797">
          <cell r="B15797">
            <v>122217</v>
          </cell>
          <cell r="C15797" t="str">
            <v>POLO V FIC DE FIA</v>
          </cell>
          <cell r="D15797" t="str">
            <v>POLO V FIC DE FIA</v>
          </cell>
          <cell r="E15797" t="str">
            <v>POLO CAPITAL GESTÃO DE RECURSOS LTDA</v>
          </cell>
        </row>
        <row r="15798">
          <cell r="B15798">
            <v>122222</v>
          </cell>
          <cell r="C15798" t="str">
            <v>PE DE MEIA FIM CP IE</v>
          </cell>
          <cell r="D15798" t="str">
            <v>PE DE MEIA FIM CP IE</v>
          </cell>
          <cell r="E15798" t="str">
            <v>PE DE MEIA FIM CP IE</v>
          </cell>
        </row>
        <row r="15799">
          <cell r="B15799">
            <v>122223</v>
          </cell>
          <cell r="C15799" t="str">
            <v>CARTEIRA 47 - FUNDO DE INVESTIMENTO EM AÃ‡Ã•ES</v>
          </cell>
          <cell r="D15799" t="str">
            <v>CARTEIRA 47 - FUNDO DE INVESTIMENTO EM AÃ‡Ã•ES</v>
          </cell>
          <cell r="E15799" t="str">
            <v>CARTEIRA 47 - FUNDO DE INVESTIMENTO EM AÃ‡Ã•ES</v>
          </cell>
        </row>
        <row r="15800">
          <cell r="B15800">
            <v>122234</v>
          </cell>
          <cell r="C15800" t="str">
            <v>NEO MULTIMANAGER BBDC FIM</v>
          </cell>
          <cell r="D15800">
            <v>122234</v>
          </cell>
          <cell r="E15800" t="str">
            <v>NEO GESTÃO DE RECURSOS LTDA</v>
          </cell>
        </row>
        <row r="15801">
          <cell r="B15801">
            <v>12224</v>
          </cell>
          <cell r="C15801" t="str">
            <v>POLO CAPITAL GESTÃƒO DE RECURSOS LTDA</v>
          </cell>
          <cell r="D15801" t="str">
            <v>POLO CAPITAL GESTÃƒO DE RECURSOS LTDA</v>
          </cell>
          <cell r="E15801" t="str">
            <v>POLO CAPITAL GESTÃO DE RECURSOS LTDA</v>
          </cell>
        </row>
        <row r="15802">
          <cell r="B15802">
            <v>12225</v>
          </cell>
          <cell r="C15802" t="str">
            <v>NEO GESTAO DE RECURSOS LTDA.</v>
          </cell>
          <cell r="D15802" t="str">
            <v>NEO GESTAO DE RECURSOS LTDA.</v>
          </cell>
          <cell r="E15802" t="str">
            <v>NEO GESTÃO DE RECURSOS LTDA</v>
          </cell>
        </row>
        <row r="15803">
          <cell r="B15803">
            <v>122299</v>
          </cell>
          <cell r="C15803" t="str">
            <v>PEDRO GABRIEL MOREIRA CARDOSO</v>
          </cell>
          <cell r="D15803" t="str">
            <v>PEDRO GABRIEL MOREIRA CARDOSO</v>
          </cell>
          <cell r="E15803" t="str">
            <v>PEDRO GABRIEL MOREIRA CARDOSO</v>
          </cell>
        </row>
        <row r="15804">
          <cell r="B15804">
            <v>12231</v>
          </cell>
          <cell r="C15804" t="str">
            <v>IPORANGA INVESTIMENTOS LTDA</v>
          </cell>
          <cell r="D15804" t="str">
            <v>IPORANGA INVESTIMENTOS LTDA</v>
          </cell>
          <cell r="E15804" t="str">
            <v>IPORANGA INVESTIMENTOS LTDA</v>
          </cell>
        </row>
        <row r="15805">
          <cell r="B15805">
            <v>12234</v>
          </cell>
          <cell r="C15805" t="str">
            <v>VINCI GESTORA DE RECURSOS LTDA</v>
          </cell>
          <cell r="D15805" t="str">
            <v>VINCI GESTORA DE RECURSOS LTDA</v>
          </cell>
          <cell r="E15805" t="str">
            <v>VINCI GESTORA DE RECURSOS LTDA</v>
          </cell>
        </row>
        <row r="15806">
          <cell r="B15806">
            <v>122342</v>
          </cell>
          <cell r="C15806" t="str">
            <v>SHARP LONG SHORT FIM</v>
          </cell>
          <cell r="D15806" t="str">
            <v>SHARP LONG SHORT FIM</v>
          </cell>
          <cell r="E15806" t="str">
            <v>SHARP CAPITAL GESTORA DE RECURSOS LTDA</v>
          </cell>
        </row>
        <row r="15807">
          <cell r="B15807">
            <v>122343</v>
          </cell>
          <cell r="C15807" t="str">
            <v>INFRAPREV - INSTITUTO INFRAERO DE SEGURIDADE SOCIAL</v>
          </cell>
          <cell r="D15807" t="str">
            <v>INFRAPREV - INSTITUTO INFRAERO DE SEGURIDADE SOCIAL</v>
          </cell>
          <cell r="E15807" t="str">
            <v>INFRAPREV - INSTITUTO INFRAERO DE SEGURIDADE SOCIAL</v>
          </cell>
        </row>
        <row r="15808">
          <cell r="B15808">
            <v>122344</v>
          </cell>
          <cell r="C15808" t="str">
            <v>INFRAPREV - INSTITUTO INFRAERO DE SEGURIDADE SOCIAL</v>
          </cell>
          <cell r="D15808" t="str">
            <v>INFRAPREV - INSTITUTO INFRAERO DE SEGURIDADE SOCIAL</v>
          </cell>
          <cell r="E15808" t="str">
            <v>INFRAPREV - INSTITUTO INFRAERO DE SEGURIDADE SOCIAL</v>
          </cell>
        </row>
        <row r="15809">
          <cell r="B15809">
            <v>122356</v>
          </cell>
          <cell r="C15809" t="str">
            <v>PATRIA EQUITY MASTER FIA</v>
          </cell>
          <cell r="D15809" t="str">
            <v>PATRIA EQUITY MASTER FIA</v>
          </cell>
          <cell r="E15809" t="str">
            <v>PATRIA EQUITY MASTER FIA</v>
          </cell>
        </row>
        <row r="15810">
          <cell r="B15810">
            <v>122360</v>
          </cell>
          <cell r="C15810" t="str">
            <v>ESRAEL CARLOS PESSOA</v>
          </cell>
          <cell r="D15810" t="str">
            <v>ESRAEL CARLOS PESSOA</v>
          </cell>
          <cell r="E15810" t="str">
            <v>ESRAEL CARLOS PESSOA</v>
          </cell>
        </row>
        <row r="15811">
          <cell r="B15811">
            <v>12237</v>
          </cell>
          <cell r="C15811" t="str">
            <v>EMPIRICUS GESTAO DE RECURSOS LTDA</v>
          </cell>
          <cell r="D15811" t="str">
            <v>EMPIRICUS GESTAO DE RECURSOS LTDA</v>
          </cell>
          <cell r="E15811" t="str">
            <v>EMPIRICUS GESTAO DE RECURSOS LTDA</v>
          </cell>
        </row>
        <row r="15812">
          <cell r="B15812">
            <v>12242</v>
          </cell>
          <cell r="C15812" t="str">
            <v>ITAU UNIBANCO S.A.</v>
          </cell>
          <cell r="D15812" t="str">
            <v>ITAU UNIBANCO S.A.</v>
          </cell>
          <cell r="E15812" t="str">
            <v>ITAU UNIBANCO S/A</v>
          </cell>
        </row>
        <row r="15813">
          <cell r="B15813">
            <v>122424</v>
          </cell>
          <cell r="C15813" t="str">
            <v>PARTNER FIA IE</v>
          </cell>
          <cell r="D15813" t="str">
            <v>PARTNER FIA IE</v>
          </cell>
          <cell r="E15813" t="str">
            <v>PARTNER FIA IE</v>
          </cell>
        </row>
        <row r="15814">
          <cell r="B15814">
            <v>12244</v>
          </cell>
          <cell r="C15814" t="str">
            <v>KINEA INVESTIMENTOS LTDA</v>
          </cell>
          <cell r="D15814" t="str">
            <v>KINEA INVESTIMENTOS LTDA</v>
          </cell>
          <cell r="E15814" t="str">
            <v>KINEA INVESTIMENTOS LTDA</v>
          </cell>
        </row>
        <row r="15815">
          <cell r="B15815">
            <v>122442</v>
          </cell>
          <cell r="C15815" t="str">
            <v>KONDOR MASTER FIF CL MULT RL</v>
          </cell>
          <cell r="D15815" t="str">
            <v>KONDOR MASTER FIF CL MULT RL</v>
          </cell>
          <cell r="E15815" t="str">
            <v>KONDOR MASTER FIF CL MULT RL</v>
          </cell>
        </row>
        <row r="15816">
          <cell r="B15816">
            <v>122451</v>
          </cell>
          <cell r="C15816" t="str">
            <v>PROSPERIDADE FIM IE CP</v>
          </cell>
          <cell r="D15816" t="str">
            <v>PROSPERIDADE FIM IE CP</v>
          </cell>
          <cell r="E15816" t="str">
            <v>PROSPERIDADE FIM IE CP</v>
          </cell>
        </row>
        <row r="15817">
          <cell r="B15817">
            <v>122453</v>
          </cell>
          <cell r="C15817" t="str">
            <v>BARONEZA II FIM CP</v>
          </cell>
          <cell r="D15817" t="str">
            <v>BARONEZA II FIM CP</v>
          </cell>
          <cell r="E15817" t="str">
            <v>BARONEZA II FIM CP</v>
          </cell>
        </row>
        <row r="15818">
          <cell r="B15818">
            <v>122454</v>
          </cell>
          <cell r="C15818" t="str">
            <v>ALTIS FIM CP</v>
          </cell>
          <cell r="D15818" t="str">
            <v>ALTIS FIM CP</v>
          </cell>
          <cell r="E15818" t="str">
            <v>ALTIS FIM CP</v>
          </cell>
        </row>
        <row r="15819">
          <cell r="B15819">
            <v>122455</v>
          </cell>
          <cell r="C15819" t="str">
            <v>REDFLOWER FIM CP</v>
          </cell>
          <cell r="D15819" t="str">
            <v>REDFLOWER FIM CP</v>
          </cell>
          <cell r="E15819" t="str">
            <v>REDFLOWER FIM CP</v>
          </cell>
        </row>
        <row r="15820">
          <cell r="B15820">
            <v>122456</v>
          </cell>
          <cell r="C15820" t="str">
            <v>ROMA JURO REAL FIM CP</v>
          </cell>
          <cell r="D15820" t="str">
            <v>ROMA JURO REAL FIM CP</v>
          </cell>
          <cell r="E15820" t="str">
            <v>ROMA JURO REAL FIM CP</v>
          </cell>
        </row>
        <row r="15821">
          <cell r="B15821">
            <v>82662</v>
          </cell>
          <cell r="C15821" t="str">
            <v>PLURAL INVESTIMENTOS GESTAO DE RECURSOS LTDA</v>
          </cell>
          <cell r="D15821" t="str">
            <v>PLURAL INVESTIMENTOS GESTAO DE RECURSOS LTDA</v>
          </cell>
          <cell r="E15821" t="str">
            <v>PLURAL INVESTIMENTOS GESTAO DE RECURSOS LTDA</v>
          </cell>
        </row>
        <row r="15822">
          <cell r="B15822">
            <v>122478</v>
          </cell>
          <cell r="C15822" t="str">
            <v>ALASKA RANGE FIM</v>
          </cell>
          <cell r="D15822" t="str">
            <v>ALASKA RANGE FIM</v>
          </cell>
          <cell r="E15822" t="str">
            <v>ALASKA INVESTIMENTOS LTDA</v>
          </cell>
        </row>
        <row r="15823">
          <cell r="B15823">
            <v>12249</v>
          </cell>
          <cell r="C15823" t="str">
            <v>ITAU UNIBANCO S.A.</v>
          </cell>
          <cell r="D15823" t="str">
            <v>ITAU UNIBANCO S.A.</v>
          </cell>
          <cell r="E15823" t="str">
            <v>ITAU UNIBANCO S/A</v>
          </cell>
        </row>
        <row r="15824">
          <cell r="B15824">
            <v>122534</v>
          </cell>
          <cell r="C15824" t="str">
            <v>FIM EXTREME V</v>
          </cell>
          <cell r="D15824" t="str">
            <v>FIM EXTREME V</v>
          </cell>
          <cell r="E15824" t="str">
            <v>FIM EXTREME V</v>
          </cell>
        </row>
        <row r="15825">
          <cell r="B15825">
            <v>122557</v>
          </cell>
          <cell r="C15825" t="str">
            <v>BBM EQUITY HEDGE MASTER FIM</v>
          </cell>
          <cell r="D15825" t="str">
            <v>BBM EQUITY HEDGE MASTER FIM</v>
          </cell>
          <cell r="E15825" t="str">
            <v>BAHIA AM LTDA</v>
          </cell>
        </row>
        <row r="15826">
          <cell r="B15826">
            <v>122558</v>
          </cell>
          <cell r="C15826" t="str">
            <v>BAHIA AM II FIA</v>
          </cell>
          <cell r="D15826" t="str">
            <v>BAHIA AM II FIA</v>
          </cell>
          <cell r="E15826" t="str">
            <v>BAHIA AM LTDA</v>
          </cell>
        </row>
        <row r="15827">
          <cell r="B15827">
            <v>122564</v>
          </cell>
          <cell r="C15827" t="str">
            <v>BAHIA AM SMID CAPS VALOR MASTER FIA</v>
          </cell>
          <cell r="D15827" t="str">
            <v>BAHIA AM SMID CAPS VALOR MASTER FIA</v>
          </cell>
          <cell r="E15827" t="str">
            <v>BAHIA AM LTDA</v>
          </cell>
        </row>
        <row r="15828">
          <cell r="B15828">
            <v>122566</v>
          </cell>
          <cell r="C15828" t="str">
            <v>BAHIA AM VALUATION MASTER FIA</v>
          </cell>
          <cell r="D15828" t="str">
            <v>BAHIA AM VALUATION MASTER FIA</v>
          </cell>
          <cell r="E15828" t="str">
            <v>BAHIA AM LTDA</v>
          </cell>
        </row>
        <row r="15829">
          <cell r="B15829">
            <v>122572</v>
          </cell>
          <cell r="C15829" t="str">
            <v>WESTERN GLOBAL PLUS FIM DE LP</v>
          </cell>
          <cell r="D15829" t="str">
            <v>WESTERN GLOBAL PLUS FIM DE LP</v>
          </cell>
          <cell r="E15829" t="str">
            <v>FRANKLIN TEMPLETON INVESTIMENTOS (BRASIL) LTDA</v>
          </cell>
        </row>
        <row r="15830">
          <cell r="B15830">
            <v>122573</v>
          </cell>
          <cell r="C15830" t="str">
            <v>FRANKLIN MAXI ACOES FIA</v>
          </cell>
          <cell r="D15830" t="str">
            <v>FRANKLIN MAXI ACOES FIA</v>
          </cell>
          <cell r="E15830" t="str">
            <v>FRANKLIN TEMPLETON INVESTIMENTOS (BRASIL) LTDA</v>
          </cell>
        </row>
        <row r="15831">
          <cell r="B15831">
            <v>122577</v>
          </cell>
          <cell r="C15831" t="str">
            <v>RICARDO FERREIRA DA COSTA</v>
          </cell>
          <cell r="D15831" t="str">
            <v>RICARDO FERREIRA DA COSTA</v>
          </cell>
          <cell r="E15831" t="str">
            <v>RICARDO FERREIRA DA COSTA</v>
          </cell>
        </row>
        <row r="15832">
          <cell r="B15832">
            <v>12258</v>
          </cell>
          <cell r="C15832" t="str">
            <v>MODAL ASSET MANAGEMENT LTDA</v>
          </cell>
          <cell r="D15832" t="str">
            <v>MODAL ASSET MANAGEMENT LTDA</v>
          </cell>
          <cell r="E15832" t="str">
            <v>MODAL ASSET MANAGEMENT LTDA</v>
          </cell>
        </row>
        <row r="15833">
          <cell r="B15833">
            <v>12259</v>
          </cell>
          <cell r="C15833" t="str">
            <v>MORGAN STANLEY CTVM S/A</v>
          </cell>
          <cell r="D15833" t="str">
            <v>MORGAN STANLEY CTVM S/A</v>
          </cell>
          <cell r="E15833" t="str">
            <v>MORGAN STANLEY CTVM S/A</v>
          </cell>
        </row>
        <row r="15834">
          <cell r="B15834">
            <v>12261</v>
          </cell>
          <cell r="C15834" t="str">
            <v>ICATU VANGUARDA GESTÃƒO DE RECURSOS LTDA</v>
          </cell>
          <cell r="D15834" t="str">
            <v>ICATU VANGUARDA GESTÃƒO DE RECURSOS LTDA</v>
          </cell>
          <cell r="E15834" t="str">
            <v>ICATU VANGUARDA GESTAO DE RECURSOS LTDA</v>
          </cell>
        </row>
        <row r="15835">
          <cell r="B15835">
            <v>122638</v>
          </cell>
          <cell r="C15835" t="str">
            <v>INFINITY LOTUS FI RF</v>
          </cell>
          <cell r="D15835" t="str">
            <v>INFINITY LOTUS FI RF</v>
          </cell>
          <cell r="E15835" t="str">
            <v>INFINITY ASSET MANAG ADM DE RECURSOS LTDA</v>
          </cell>
        </row>
        <row r="15836">
          <cell r="B15836">
            <v>122639</v>
          </cell>
          <cell r="C15836" t="str">
            <v>INFINITY INSTITUCIONAL FIM</v>
          </cell>
          <cell r="D15836" t="str">
            <v>INFINITY INSTITUCIONAL FIM</v>
          </cell>
          <cell r="E15836" t="str">
            <v>INFINITY ASSET MANAG ADM DE RECURSOS LTDA</v>
          </cell>
        </row>
        <row r="15837">
          <cell r="B15837">
            <v>12264</v>
          </cell>
          <cell r="C15837" t="str">
            <v>VENTOR INVESTIMENTOS LTDA</v>
          </cell>
          <cell r="D15837" t="str">
            <v>VENTOR INVESTIMENTOS LTDA</v>
          </cell>
          <cell r="E15837" t="str">
            <v>VENTOR INVESTIMENTOS LTDA</v>
          </cell>
        </row>
        <row r="15838">
          <cell r="B15838">
            <v>122641</v>
          </cell>
          <cell r="C15838" t="str">
            <v>INFINITY EAGLE FIM</v>
          </cell>
          <cell r="D15838" t="str">
            <v>INFINITY EAGLE FIM</v>
          </cell>
          <cell r="E15838" t="str">
            <v>INFINITY ASSET MANAG ADM DE RECURSOS LTDA</v>
          </cell>
        </row>
        <row r="15839">
          <cell r="B15839">
            <v>122642</v>
          </cell>
          <cell r="C15839" t="str">
            <v>BELUGA FUNDO DE INVESTIMENTO MULTIMERCADO</v>
          </cell>
          <cell r="D15839" t="str">
            <v>BELUGA FUNDO DE INVESTIMENTO MULTIMERCADO</v>
          </cell>
          <cell r="E15839" t="str">
            <v>VANQUISH ASSET MANAGEMENT LTDA</v>
          </cell>
        </row>
        <row r="15840">
          <cell r="B15840">
            <v>12266</v>
          </cell>
          <cell r="C15840" t="str">
            <v>MAUA INVESTIMENTOS LTDA</v>
          </cell>
          <cell r="D15840" t="str">
            <v>MAUA INVESTIMENTOS LTDA</v>
          </cell>
          <cell r="E15840" t="str">
            <v>MAUA INVESTIMENTOS LTDA</v>
          </cell>
        </row>
        <row r="15841">
          <cell r="B15841">
            <v>122661</v>
          </cell>
          <cell r="C15841" t="str">
            <v>FIM CP IE BRADESCO BIT ( ANTIGO FIM IE TELLUS)</v>
          </cell>
          <cell r="D15841" t="str">
            <v>FIM CP IE BRADESCO BIT ( ANTIGO FIM IE TELLUS)</v>
          </cell>
          <cell r="E15841" t="str">
            <v>FIM CP IE BRADESCO BIT ( ANTIGO FIM IE TELLUS)</v>
          </cell>
        </row>
        <row r="15842">
          <cell r="B15842">
            <v>122674</v>
          </cell>
          <cell r="C15842" t="str">
            <v>RINZEN  FIM CP IE</v>
          </cell>
          <cell r="D15842" t="str">
            <v>RINZEN  FIM CP IE</v>
          </cell>
          <cell r="E15842" t="str">
            <v>RINZEN  FIM CP IE</v>
          </cell>
        </row>
        <row r="15843">
          <cell r="B15843">
            <v>122677</v>
          </cell>
          <cell r="C15843" t="str">
            <v>LUCRO 2 FIM CP IE</v>
          </cell>
          <cell r="D15843" t="str">
            <v>LUCRO 2 FIM CP IE</v>
          </cell>
          <cell r="E15843" t="str">
            <v>LUCRO 2 FIM CP IE</v>
          </cell>
        </row>
        <row r="15844">
          <cell r="B15844">
            <v>12268</v>
          </cell>
          <cell r="C15844" t="str">
            <v>KONDOR ADMINISTRADORA E GESTORA DE RECURSOS FINANCEIROS LTDA</v>
          </cell>
          <cell r="D15844" t="str">
            <v>KONDOR ADMINISTRADORA E GESTORA DE RECURSOS FINANCEIROS LTDA</v>
          </cell>
          <cell r="E15844" t="str">
            <v>KONDOR ADMINISTRADORA E GESTORA DE RECURSOS FINANCEIROS LTDA</v>
          </cell>
        </row>
        <row r="15845">
          <cell r="B15845">
            <v>122691</v>
          </cell>
          <cell r="C15845" t="str">
            <v>VENTOR DOLAR HEDGE MASTER FIF MULT RL</v>
          </cell>
          <cell r="D15845" t="str">
            <v>VENTOR DOLAR HEDGE MASTER FIF MULT RL</v>
          </cell>
          <cell r="E15845" t="str">
            <v>VENTOR INVESTIMENTOS LTDA</v>
          </cell>
        </row>
        <row r="15846">
          <cell r="B15846">
            <v>12275</v>
          </cell>
          <cell r="C15846" t="str">
            <v>BAHIA AM RENDA VARIAVEL LTDA  (ANTIGO BBM I)</v>
          </cell>
          <cell r="D15846" t="str">
            <v>BAHIA AM RENDA VARIAVEL LTDA  (ANTIGO BBM I)</v>
          </cell>
          <cell r="E15846" t="str">
            <v>BAHIA AM LTDA</v>
          </cell>
        </row>
        <row r="15847">
          <cell r="B15847">
            <v>12276</v>
          </cell>
          <cell r="C15847" t="str">
            <v>DYNAMO ADMINISTRACAO DE RECURSOS LTDA</v>
          </cell>
          <cell r="D15847" t="str">
            <v>DYNAMO ADMINISTRACAO DE RECURSOS LTDA</v>
          </cell>
          <cell r="E15847" t="str">
            <v>DYNAMO ADMINISTRACAO DE RECURSOS LTDA</v>
          </cell>
        </row>
        <row r="15848">
          <cell r="B15848">
            <v>122795</v>
          </cell>
          <cell r="C15848" t="str">
            <v>BARONEZA FIC DE FIM</v>
          </cell>
          <cell r="D15848" t="str">
            <v>BARONEZA FIC DE FIM</v>
          </cell>
          <cell r="E15848" t="str">
            <v>BARONEZA FIC DE FIM</v>
          </cell>
        </row>
        <row r="15849">
          <cell r="B15849">
            <v>122797</v>
          </cell>
          <cell r="C15849" t="str">
            <v>VOKIN EVEREST FUNDO DE INVESTIMENTO EM COTAS DE FUNDOS DE IN</v>
          </cell>
          <cell r="D15849" t="str">
            <v>VOKIN EVEREST FUNDO DE INVESTIMENTO EM COTAS DE FUNDOS DE IN</v>
          </cell>
          <cell r="E15849" t="str">
            <v>VOKIN EVEREST FUNDO DE INVESTIMENTO EM COTAS DE FUNDOS DE IN</v>
          </cell>
        </row>
        <row r="15850">
          <cell r="B15850">
            <v>80698</v>
          </cell>
          <cell r="C15850" t="str">
            <v>IBIUNA PREVIDENCIA IT FIF MULT RESP LIMITADA</v>
          </cell>
          <cell r="D15850" t="str">
            <v>IBIUNA PREVIDENCIA IT FIF MULT RESP LIMITADA</v>
          </cell>
          <cell r="E15850" t="str">
            <v>IBIUNA GESTAO DE RECURSOS LTDA</v>
          </cell>
        </row>
        <row r="15851">
          <cell r="B15851">
            <v>12282</v>
          </cell>
          <cell r="C15851" t="str">
            <v>VINCI SOLUÃ‡Ã•ES DE INVESTIMENTOS LTDA</v>
          </cell>
          <cell r="D15851" t="str">
            <v>VINCI SOLUÃ‡Ã•ES DE INVESTIMENTOS LTDA</v>
          </cell>
          <cell r="E15851" t="str">
            <v>VINCI GESTORA DE RECURSOS LTDA</v>
          </cell>
        </row>
        <row r="15852">
          <cell r="B15852">
            <v>122829</v>
          </cell>
          <cell r="C15852" t="str">
            <v>FUNDO GARANTIDOR PARA INVESTIMENTOS - FGI</v>
          </cell>
          <cell r="D15852" t="str">
            <v>FUNDO GARANTIDOR PARA INVESTIMENTOS - FGI</v>
          </cell>
          <cell r="E15852" t="str">
            <v>FUNDO GARANTIDOR PARA INVESTIMENTOS - FGI</v>
          </cell>
        </row>
        <row r="15853">
          <cell r="B15853">
            <v>122830</v>
          </cell>
          <cell r="C15853" t="str">
            <v>BANCO NACIONAL DE DESENVOLVIMENTO ECONOMICO E SOCIAL - BNDES</v>
          </cell>
          <cell r="D15853" t="str">
            <v>BANCO NACIONAL DE DESENVOLVIMENTO ECONOMICO E SOCIAL - BNDES</v>
          </cell>
          <cell r="E15853" t="str">
            <v>BANCO NACIONAL DE DESENVOLVIMENTO ECONOMICO E SOCIAL - BNDES</v>
          </cell>
        </row>
        <row r="15854">
          <cell r="B15854">
            <v>122831</v>
          </cell>
          <cell r="C15854" t="str">
            <v>BANCO NACIONAL DE DESENVOLVIMENTO ECONOMICO E SOCIAL - BNDES</v>
          </cell>
          <cell r="D15854" t="str">
            <v>BANCO NACIONAL DE DESENVOLVIMENTO ECONOMICO E SOCIAL - BNDES</v>
          </cell>
          <cell r="E15854" t="str">
            <v>BANCO NACIONAL DE DESENVOLVIMENTO ECONOMICO E SOCIAL - BNDES</v>
          </cell>
        </row>
        <row r="15855">
          <cell r="B15855">
            <v>12301</v>
          </cell>
          <cell r="C15855" t="str">
            <v>XP GESTAO DE RECURSOS LTDA</v>
          </cell>
          <cell r="D15855" t="str">
            <v>XP GESTAO DE RECURSOS LTDA</v>
          </cell>
          <cell r="E15855" t="str">
            <v>XP GESTAO DE RECURSOS LTDA</v>
          </cell>
        </row>
        <row r="15856">
          <cell r="B15856">
            <v>82663</v>
          </cell>
          <cell r="C15856" t="str">
            <v>FUTURE FUNDO DE INVESTIMENTO FINANCEIRO</v>
          </cell>
          <cell r="D15856" t="str">
            <v>FUTURE FUNDO DE INVESTIMENTO FINANCEIRO</v>
          </cell>
          <cell r="E15856" t="str">
            <v>PLURAL INVESTIMENTOS GESTAO DE RECURSOS LTDA</v>
          </cell>
        </row>
        <row r="15857">
          <cell r="B15857">
            <v>122865</v>
          </cell>
          <cell r="C15857" t="str">
            <v>GUILHERME COIMBRA REBELO</v>
          </cell>
          <cell r="D15857" t="str">
            <v>GUILHERME COIMBRA REBELO</v>
          </cell>
          <cell r="E15857" t="str">
            <v>GUILHERME COIMBRA REBELO</v>
          </cell>
        </row>
        <row r="15858">
          <cell r="B15858">
            <v>122868</v>
          </cell>
          <cell r="C15858" t="str">
            <v>BAHIA AM MARAU MASTER RV FIM</v>
          </cell>
          <cell r="D15858" t="str">
            <v>BAHIA AM MARAU MASTER RV FIM</v>
          </cell>
          <cell r="E15858" t="str">
            <v>BAHIA AM LTDA</v>
          </cell>
        </row>
        <row r="15859">
          <cell r="B15859">
            <v>12287</v>
          </cell>
          <cell r="C15859" t="str">
            <v>INFINITY ASSET MANAG ADM DE RECURSOS LTDA</v>
          </cell>
          <cell r="D15859" t="str">
            <v>INFINITY ASSET MANAG ADM DE RECURSOS LTDA</v>
          </cell>
          <cell r="E15859" t="str">
            <v>INFINITY ASSET MANAG ADM DE RECURSOS LTDA</v>
          </cell>
        </row>
        <row r="15860">
          <cell r="B15860">
            <v>122879</v>
          </cell>
          <cell r="C15860" t="str">
            <v>SHARP VALOR PERNAMBUCO FIA</v>
          </cell>
          <cell r="D15860" t="str">
            <v>SHARP VALOR PERNAMBUCO FIA</v>
          </cell>
          <cell r="E15860" t="str">
            <v>SHARP CAPITAL GESTORA DE RECURSOS LTDA</v>
          </cell>
        </row>
        <row r="15861">
          <cell r="B15861">
            <v>122888</v>
          </cell>
          <cell r="C15861" t="str">
            <v>FUNDACAO VALE DO RIO DOCE DE SEGURIDADE SOCIAL - VALIA</v>
          </cell>
          <cell r="D15861" t="str">
            <v>FUNDACAO VALE DO RIO DOCE DE SEGURIDADE SOCIAL - VALIA</v>
          </cell>
          <cell r="E15861" t="str">
            <v>FUNDACAO VALE DO RIO DOCE DE SEGURIDADE SOCIAL - VALIA</v>
          </cell>
        </row>
        <row r="15862">
          <cell r="B15862">
            <v>122889</v>
          </cell>
          <cell r="C15862" t="str">
            <v>FUNDACAO VALE DO RIO DOCE DE SEGURIDADE SOCIAL - VALIA</v>
          </cell>
          <cell r="D15862" t="str">
            <v>FUNDACAO VALE DO RIO DOCE DE SEGURIDADE SOCIAL - VALIA</v>
          </cell>
          <cell r="E15862" t="str">
            <v>FUNDACAO VALE DO RIO DOCE DE SEGURIDADE SOCIAL - VALIA</v>
          </cell>
        </row>
        <row r="15863">
          <cell r="B15863">
            <v>122890</v>
          </cell>
          <cell r="C15863" t="str">
            <v>FIA INDEX</v>
          </cell>
          <cell r="D15863" t="str">
            <v>FIA INDEX</v>
          </cell>
          <cell r="E15863" t="str">
            <v>FUNDACAO VALE DO RIO DOCE DE SEGURIDADE SOCIAL - VALIA</v>
          </cell>
        </row>
        <row r="15864">
          <cell r="B15864">
            <v>80442</v>
          </cell>
          <cell r="C15864" t="str">
            <v>FIM CP JACARANDA IE</v>
          </cell>
          <cell r="D15864" t="str">
            <v>FIM CP JACARANDA IE</v>
          </cell>
          <cell r="E15864" t="str">
            <v>BNP PARIBAS ASSET MANAGEMENT BRASIL LTDA</v>
          </cell>
        </row>
        <row r="15865">
          <cell r="B15865">
            <v>122915</v>
          </cell>
          <cell r="C15865" t="str">
            <v>SAGA TATICO FIM</v>
          </cell>
          <cell r="D15865" t="str">
            <v>SAGA TATICO FIM</v>
          </cell>
          <cell r="E15865" t="str">
            <v>KINITRO CAPITAL GESTAO DE RECURSOS DE TERCEIROS LTDA</v>
          </cell>
        </row>
        <row r="15866">
          <cell r="B15866">
            <v>122916</v>
          </cell>
          <cell r="C15866" t="str">
            <v>SAGA HAWK MASTER FIM</v>
          </cell>
          <cell r="D15866" t="str">
            <v>SAGA HAWK MASTER FIM</v>
          </cell>
          <cell r="E15866" t="str">
            <v>SAGA HAWK MASTER FIM</v>
          </cell>
        </row>
        <row r="15867">
          <cell r="B15867">
            <v>12293</v>
          </cell>
          <cell r="C15867" t="str">
            <v>SPX EQUITIES GESTAO DE RECURSOS LTDA</v>
          </cell>
          <cell r="D15867" t="str">
            <v>SPX EQUITIES GESTAO DE RECURSOS LTDA</v>
          </cell>
          <cell r="E15867" t="str">
            <v>SPX GESTAO DE RECURSOS LTDA</v>
          </cell>
        </row>
        <row r="15868">
          <cell r="B15868">
            <v>122934</v>
          </cell>
          <cell r="C15868" t="str">
            <v>FUNDO DE PARTICIPAÃ‡ÃƒO SOCIAL DO FUNDO PIS PASEP - FPS</v>
          </cell>
          <cell r="D15868" t="str">
            <v>FUNDO DE PARTICIPAÃ‡ÃƒO SOCIAL DO FUNDO PIS PASEP - FPS</v>
          </cell>
          <cell r="E15868" t="str">
            <v>FUNDO DE PARTICIPAÃ‡ÃƒO SOCIAL DO FUNDO PIS PASEP - FPS</v>
          </cell>
        </row>
        <row r="15869">
          <cell r="B15869">
            <v>122958</v>
          </cell>
          <cell r="C15869" t="str">
            <v>ALBATROZ FIM CP</v>
          </cell>
          <cell r="D15869" t="str">
            <v>ALBATROZ FIM CP</v>
          </cell>
          <cell r="E15869" t="str">
            <v>ALBATROZ FIM CP</v>
          </cell>
        </row>
        <row r="15870">
          <cell r="B15870">
            <v>122961</v>
          </cell>
          <cell r="C15870" t="str">
            <v>CAJU FIM CP IE</v>
          </cell>
          <cell r="D15870" t="str">
            <v>CAJU FIM CP IE</v>
          </cell>
          <cell r="E15870" t="str">
            <v>CAJU FIM CP IE</v>
          </cell>
        </row>
        <row r="15871">
          <cell r="B15871">
            <v>122963</v>
          </cell>
          <cell r="C15871" t="str">
            <v>PEGASUS - FUNDO DE INVESTIMENTO MULTIMERCADO CP IE</v>
          </cell>
          <cell r="D15871" t="str">
            <v>PEGASUS - FUNDO DE INVESTIMENTO MULTIMERCADO CP IE</v>
          </cell>
          <cell r="E15871" t="str">
            <v>PEGASUS - FUNDO DE INVESTIMENTO MULTIMERCADO CP IE</v>
          </cell>
        </row>
        <row r="15872">
          <cell r="B15872">
            <v>122974</v>
          </cell>
          <cell r="C15872" t="str">
            <v>POLO NORTE MASTER FIM</v>
          </cell>
          <cell r="D15872" t="str">
            <v>POLO NORTE MASTER FIM</v>
          </cell>
          <cell r="E15872" t="str">
            <v>POLO CAPITAL GESTÃO DE RECURSOS LTDA</v>
          </cell>
        </row>
        <row r="15873">
          <cell r="B15873">
            <v>122979</v>
          </cell>
          <cell r="C15873" t="str">
            <v>NEY WILSON PEREIRA DA SILVA JUNIOR</v>
          </cell>
          <cell r="D15873" t="str">
            <v>NEY WILSON PEREIRA DA SILVA JUNIOR</v>
          </cell>
          <cell r="E15873" t="str">
            <v>NEY WILSON PEREIRA DA SILVA JUNIOR</v>
          </cell>
        </row>
        <row r="15874">
          <cell r="B15874">
            <v>12298</v>
          </cell>
          <cell r="C15874" t="str">
            <v>FUNDAMENTAL INVESTIMENTOS LTDA</v>
          </cell>
          <cell r="D15874" t="str">
            <v>FUNDAMENTAL INVESTIMENTOS LTDA</v>
          </cell>
          <cell r="E15874" t="str">
            <v>FUNDAMENTAL INVESTIMENTOS LTDA</v>
          </cell>
        </row>
        <row r="15875">
          <cell r="B15875">
            <v>122985</v>
          </cell>
          <cell r="C15875" t="str">
            <v>KINEA PIPE FIA</v>
          </cell>
          <cell r="D15875" t="str">
            <v>KINEA PIPE FIA</v>
          </cell>
          <cell r="E15875" t="str">
            <v>KINEA PIPE FIA</v>
          </cell>
        </row>
        <row r="15876">
          <cell r="B15876">
            <v>125398</v>
          </cell>
          <cell r="C15876" t="str">
            <v>OCCAM PREVIDENCIA MASTER FIM RL</v>
          </cell>
          <cell r="D15876" t="str">
            <v>OCCAM PREVIDENCIA MASTER FIM RL</v>
          </cell>
          <cell r="E15876" t="str">
            <v>OCCAM BRASIL GESTAO DE RECURSOS LTDA</v>
          </cell>
        </row>
        <row r="15877">
          <cell r="B15877">
            <v>12300</v>
          </cell>
          <cell r="C15877" t="str">
            <v>BANCO NACIONAL DE DESENVOLVIMENTO ECONOMICO E SOCIAL - BNDES</v>
          </cell>
          <cell r="D15877" t="str">
            <v>BANCO NACIONAL DE DESENVOLVIMENTO ECONOMICO E SOCIAL - BNDES</v>
          </cell>
          <cell r="E15877" t="str">
            <v>BANCO NACIONAL DE DESENVOLVIMENTO ECONOMICO E SOCIAL - BNDES</v>
          </cell>
        </row>
        <row r="15878">
          <cell r="B15878">
            <v>80319</v>
          </cell>
          <cell r="C15878" t="str">
            <v>XP GESTAO DE RECURSOS LTDA</v>
          </cell>
          <cell r="D15878" t="str">
            <v>XP GESTAO DE RECURSOS LTDA</v>
          </cell>
          <cell r="E15878" t="str">
            <v>XP GESTAO DE RECURSOS LTDA</v>
          </cell>
        </row>
        <row r="15879">
          <cell r="B15879">
            <v>12306</v>
          </cell>
          <cell r="C15879" t="str">
            <v>UNA CAPITAL LTDA</v>
          </cell>
          <cell r="D15879" t="str">
            <v>UNA CAPITAL LTDA</v>
          </cell>
          <cell r="E15879" t="str">
            <v>UNA CAPITAL LTDA</v>
          </cell>
        </row>
        <row r="15880">
          <cell r="B15880">
            <v>12307</v>
          </cell>
          <cell r="C15880" t="str">
            <v>BANCO BTG PACTUAL S/A</v>
          </cell>
          <cell r="D15880" t="str">
            <v>BANCO BTG PACTUAL S/A</v>
          </cell>
          <cell r="E15880" t="str">
            <v>BANCO BTG PACTUAL S/A</v>
          </cell>
        </row>
        <row r="15881">
          <cell r="B15881">
            <v>12308</v>
          </cell>
          <cell r="C15881" t="str">
            <v>MILENIO CAPITAL GESTAO DE INVESTIMENTOS LTDA</v>
          </cell>
          <cell r="D15881" t="str">
            <v>MILENIO CAPITAL GESTAO DE INVESTIMENTOS LTDA</v>
          </cell>
          <cell r="E15881" t="str">
            <v>MILENIO CAPITAL GESTAO DE INVESTIMENTOS LTDA</v>
          </cell>
        </row>
        <row r="15882">
          <cell r="B15882">
            <v>12314</v>
          </cell>
          <cell r="C15882" t="str">
            <v>MERRILL LYNCH S/A CTVM</v>
          </cell>
          <cell r="D15882" t="str">
            <v>MERRILL LYNCH S/A CTVM</v>
          </cell>
          <cell r="E15882" t="str">
            <v>MERRILL LYNCH S/A CTVM</v>
          </cell>
        </row>
        <row r="15883">
          <cell r="B15883">
            <v>12317</v>
          </cell>
          <cell r="C15883" t="str">
            <v>SQUADRA INVESTIMENTOS GESTÃƒO DE RECURSOS LTDA</v>
          </cell>
          <cell r="D15883" t="str">
            <v>SQUADRA INVESTIMENTOS GESTÃƒO DE RECURSOS LTDA</v>
          </cell>
          <cell r="E15883" t="str">
            <v>SQUADRA INVESTIMENTOS GESTÃƒO DE RECURSOS LTDA</v>
          </cell>
        </row>
        <row r="15884">
          <cell r="B15884">
            <v>123176</v>
          </cell>
          <cell r="C15884" t="str">
            <v>PEDRO DE ASSIS ARANTES</v>
          </cell>
          <cell r="D15884" t="str">
            <v>PEDRO DE ASSIS ARANTES</v>
          </cell>
          <cell r="E15884" t="str">
            <v>PEDRO DE ASSIS ARANTES</v>
          </cell>
        </row>
        <row r="15885">
          <cell r="B15885">
            <v>123177</v>
          </cell>
          <cell r="C15885" t="str">
            <v>ITAU UNIBANCO S.A.</v>
          </cell>
          <cell r="D15885" t="str">
            <v>ITAU UNIBANCO S.A.</v>
          </cell>
          <cell r="E15885" t="str">
            <v>ITAU UNIBANCO S/A</v>
          </cell>
        </row>
        <row r="15886">
          <cell r="B15886">
            <v>123178</v>
          </cell>
          <cell r="C15886" t="str">
            <v>ITAU UNIBANCO S.A.</v>
          </cell>
          <cell r="D15886" t="str">
            <v>ITAU UNIBANCO S.A.</v>
          </cell>
          <cell r="E15886" t="str">
            <v>ITAU UNIBANCO S/A</v>
          </cell>
        </row>
        <row r="15887">
          <cell r="B15887">
            <v>123184</v>
          </cell>
          <cell r="C15887" t="str">
            <v>KADIMA TOTAL MASTER FIM</v>
          </cell>
          <cell r="D15887" t="str">
            <v>KADIMA TOTAL MASTER FIM</v>
          </cell>
          <cell r="E15887" t="str">
            <v>KADIMA TOTAL MASTER FIM</v>
          </cell>
        </row>
        <row r="15888">
          <cell r="B15888">
            <v>12319</v>
          </cell>
          <cell r="C15888" t="str">
            <v>SANTANDER BRASIL GESTAO DE RECURSOS LTDA</v>
          </cell>
          <cell r="D15888" t="str">
            <v>SANTANDER BRASIL GESTAO DE RECURSOS LTDA</v>
          </cell>
          <cell r="E15888" t="str">
            <v>SANTANDER BRASIL GESTAO DE RECURSOS LTDA</v>
          </cell>
        </row>
        <row r="15889">
          <cell r="B15889">
            <v>12323</v>
          </cell>
          <cell r="C15889" t="str">
            <v>AMPLIO CAPITAL LTDA</v>
          </cell>
          <cell r="D15889" t="str">
            <v>AMPLIO CAPITAL LTDA</v>
          </cell>
          <cell r="E15889" t="str">
            <v>AMPLIO CAPITAL LTDA</v>
          </cell>
        </row>
        <row r="15890">
          <cell r="B15890">
            <v>123232</v>
          </cell>
          <cell r="C15890" t="str">
            <v>MARCELO DOS SANTOS</v>
          </cell>
          <cell r="D15890" t="str">
            <v>MARCELO DOS SANTOS</v>
          </cell>
          <cell r="E15890" t="str">
            <v>MARCELO DOS SANTOS</v>
          </cell>
        </row>
        <row r="15891">
          <cell r="B15891">
            <v>123251</v>
          </cell>
          <cell r="C15891" t="str">
            <v>ABSOLUTE ALPHA MASTER FIM</v>
          </cell>
          <cell r="D15891" t="str">
            <v>ABSOLUTE ALPHA MASTER FIM</v>
          </cell>
          <cell r="E15891" t="str">
            <v>ABSOLUTE GESTAO DE INVESTIMENTOS LTDA</v>
          </cell>
        </row>
        <row r="15892">
          <cell r="B15892">
            <v>123258</v>
          </cell>
          <cell r="C15892" t="str">
            <v>JADE FIM CP IE</v>
          </cell>
          <cell r="D15892" t="str">
            <v>JADE FIM CP IE</v>
          </cell>
          <cell r="E15892" t="str">
            <v>VINCI GESTORA DE RECURSOS LTDA</v>
          </cell>
        </row>
        <row r="15893">
          <cell r="B15893">
            <v>12326</v>
          </cell>
          <cell r="C15893" t="str">
            <v>ABSOLUTE GESTAO DE INVESTIMENTOS LTDA</v>
          </cell>
          <cell r="D15893" t="str">
            <v>ABSOLUTE GESTAO DE INVESTIMENTOS LTDA</v>
          </cell>
          <cell r="E15893" t="str">
            <v>ABSOLUTE GESTAO DE INVESTIMENTOS LTDA</v>
          </cell>
        </row>
        <row r="15894">
          <cell r="B15894">
            <v>123260</v>
          </cell>
          <cell r="C15894" t="str">
            <v>BEAGLE FIM CP IE</v>
          </cell>
          <cell r="D15894" t="str">
            <v>BEAGLE FIM CP IE</v>
          </cell>
          <cell r="E15894" t="str">
            <v>VINCI GESTORA DE RECURSOS LTDA</v>
          </cell>
        </row>
        <row r="15895">
          <cell r="B15895">
            <v>123261</v>
          </cell>
          <cell r="C15895" t="str">
            <v>PATRIA EQUITY MASTER FIA</v>
          </cell>
          <cell r="D15895" t="str">
            <v>PATRIA EQUITY MASTER FIA</v>
          </cell>
          <cell r="E15895" t="str">
            <v>PATRIA EQUITY MASTER FIA</v>
          </cell>
        </row>
        <row r="15896">
          <cell r="B15896">
            <v>123262</v>
          </cell>
          <cell r="C15896" t="str">
            <v>LACAN WINGS RENDA FIXA FI</v>
          </cell>
          <cell r="D15896" t="str">
            <v>LACAN WINGS RENDA FIXA FI</v>
          </cell>
          <cell r="E15896" t="str">
            <v>LACAN WINGS RENDA FIXA FI</v>
          </cell>
        </row>
        <row r="15897">
          <cell r="B15897">
            <v>123263</v>
          </cell>
          <cell r="C15897" t="str">
            <v>LACAN FIA</v>
          </cell>
          <cell r="D15897" t="str">
            <v>LACAN FIA</v>
          </cell>
          <cell r="E15897" t="str">
            <v>LACAN INVESTIMENTOS E PARTICIPACOES LTDA</v>
          </cell>
        </row>
        <row r="15898">
          <cell r="B15898">
            <v>123264</v>
          </cell>
          <cell r="C15898" t="str">
            <v>TI HEDGE FUNDO DE INVESTIMENTO EM ACOES</v>
          </cell>
          <cell r="D15898" t="str">
            <v>TI HEDGE FUNDO DE INVESTIMENTO EM ACOES</v>
          </cell>
          <cell r="E15898" t="str">
            <v>TI HEDGE FUNDO DE INVESTIMENTO EM ACOES</v>
          </cell>
        </row>
        <row r="15899">
          <cell r="B15899">
            <v>123265</v>
          </cell>
          <cell r="C15899" t="str">
            <v>SAGA SF FUNDO DE INVESTIMENTO DE ACOES</v>
          </cell>
          <cell r="D15899" t="str">
            <v>SAGA SF FUNDO DE INVESTIMENTO DE ACOES</v>
          </cell>
          <cell r="E15899" t="str">
            <v>SAGA SF FUNDO DE INVESTIMENTO DE ACOES</v>
          </cell>
        </row>
        <row r="15900">
          <cell r="B15900">
            <v>123266</v>
          </cell>
          <cell r="C15900" t="str">
            <v>NUCLEOS IV BANCO DO BRASIL FIF AÃ‡Ã•ES RL</v>
          </cell>
          <cell r="D15900" t="str">
            <v>NUCLEOS IV BANCO DO BRASIL FIF AÃ‡Ã•ES RL</v>
          </cell>
          <cell r="E15900" t="str">
            <v>BB GESTAO DE RECURSOS DTVM LTDA</v>
          </cell>
        </row>
        <row r="15901">
          <cell r="B15901">
            <v>123267</v>
          </cell>
          <cell r="C15901" t="str">
            <v>BRAZILIAN EQUITY I LLC</v>
          </cell>
          <cell r="D15901" t="str">
            <v>BRAZILIAN EQUITY I LLC</v>
          </cell>
          <cell r="E15901" t="str">
            <v>PATRIA INVESTIMENTOS LTDA</v>
          </cell>
        </row>
        <row r="15902">
          <cell r="B15902">
            <v>123268</v>
          </cell>
          <cell r="C15902" t="str">
            <v>GAP ABSOLUTO MASTER FIM</v>
          </cell>
          <cell r="D15902" t="str">
            <v>GAP ABSOLUTO MASTER FIM</v>
          </cell>
          <cell r="E15902" t="str">
            <v>GAP GESTORA DE RECURSOS LTDA</v>
          </cell>
        </row>
        <row r="15903">
          <cell r="B15903">
            <v>123269</v>
          </cell>
          <cell r="C15903" t="str">
            <v>GAP YIELD FI RF</v>
          </cell>
          <cell r="D15903" t="str">
            <v>GAP YIELD FI RF</v>
          </cell>
          <cell r="E15903" t="str">
            <v>GAP GESTORA DE RECURSOS LTDA</v>
          </cell>
        </row>
        <row r="15904">
          <cell r="B15904">
            <v>123272</v>
          </cell>
          <cell r="C15904" t="str">
            <v>SHARP EQUITY VALUE MASTER FIA</v>
          </cell>
          <cell r="D15904" t="str">
            <v>SHARP EQUITY VALUE MASTER FIA</v>
          </cell>
          <cell r="E15904" t="str">
            <v>SHARP CAPITAL GESTORA DE RECURSOS LTDA</v>
          </cell>
        </row>
        <row r="15905">
          <cell r="B15905">
            <v>123273</v>
          </cell>
          <cell r="C15905" t="str">
            <v>GAP IPCA INSTITUCIONAL FIM</v>
          </cell>
          <cell r="D15905" t="str">
            <v>GAP IPCA INSTITUCIONAL FIM</v>
          </cell>
          <cell r="E15905" t="str">
            <v>GAP IPCA INSTITUCIONAL FIM</v>
          </cell>
        </row>
        <row r="15906">
          <cell r="B15906">
            <v>123274</v>
          </cell>
          <cell r="C15906" t="str">
            <v>FI GAP MULTIMERCADO PREVIDENCIA</v>
          </cell>
          <cell r="D15906" t="str">
            <v>FI GAP MULTIMERCADO PREVIDENCIA</v>
          </cell>
          <cell r="E15906" t="str">
            <v>GAP GESTORA DE RECURSOS LTDA</v>
          </cell>
        </row>
        <row r="15907">
          <cell r="B15907">
            <v>123276</v>
          </cell>
          <cell r="C15907" t="str">
            <v>CENTRUS -FUNDAÃ‡ÃƒO BANCO CENTRAL DE PREVIDENCIA PRIVADA</v>
          </cell>
          <cell r="D15907" t="str">
            <v>CENTRUS -FUNDAÃ‡ÃƒO BANCO CENTRAL DE PREVIDENCIA PRIVADA</v>
          </cell>
          <cell r="E15907" t="str">
            <v>CENTRUS -FUNDAÇÃO BANCO CENTRAL DE PREVIDENCIA PRIVADA</v>
          </cell>
        </row>
        <row r="15908">
          <cell r="B15908">
            <v>123277</v>
          </cell>
          <cell r="C15908" t="str">
            <v>CENTRUS -FUNDAÃ‡ÃƒO BANCO CENTRAL DE PREVIDENCIA PRIVADA</v>
          </cell>
          <cell r="D15908" t="str">
            <v>CENTRUS -FUNDAÃ‡ÃƒO BANCO CENTRAL DE PREVIDENCIA PRIVADA</v>
          </cell>
          <cell r="E15908" t="str">
            <v>CENTRUS -FUNDAÇÃO BANCO CENTRAL DE PREVIDENCIA PRIVADA</v>
          </cell>
        </row>
        <row r="15909">
          <cell r="B15909">
            <v>123278</v>
          </cell>
          <cell r="C15909" t="str">
            <v>CENTRUS -FUNDAÃ‡ÃƒO BANCO CENTRAL DE PREVIDENCIA PRIVADA</v>
          </cell>
          <cell r="D15909" t="str">
            <v>CENTRUS -FUNDAÃ‡ÃƒO BANCO CENTRAL DE PREVIDENCIA PRIVADA</v>
          </cell>
          <cell r="E15909" t="str">
            <v>CENTRUS -FUNDAÇÃO BANCO CENTRAL DE PREVIDENCIA PRIVADA</v>
          </cell>
        </row>
        <row r="15910">
          <cell r="B15910">
            <v>123279</v>
          </cell>
          <cell r="C15910" t="str">
            <v>TESE MASTER FIM</v>
          </cell>
          <cell r="D15910" t="str">
            <v>TESE MASTER FIM</v>
          </cell>
          <cell r="E15910" t="str">
            <v>TESE GESTÃƒO DE INVESTIMENTOS LTDA</v>
          </cell>
        </row>
        <row r="15911">
          <cell r="B15911">
            <v>12328</v>
          </cell>
          <cell r="C15911" t="str">
            <v>BW GESTAO DE INVESTIMENTOS LTDA</v>
          </cell>
          <cell r="D15911" t="str">
            <v>BW GESTAO DE INVESTIMENTOS LTDA</v>
          </cell>
          <cell r="E15911" t="str">
            <v>BW GESTAO DE INVESTIMENTOS LTDA</v>
          </cell>
        </row>
        <row r="15912">
          <cell r="B15912">
            <v>123280</v>
          </cell>
          <cell r="C15912" t="str">
            <v>BRL LLC</v>
          </cell>
          <cell r="D15912" t="str">
            <v>BRL LLC</v>
          </cell>
          <cell r="E15912" t="str">
            <v>BRL LLC</v>
          </cell>
        </row>
        <row r="15913">
          <cell r="B15913">
            <v>123281</v>
          </cell>
          <cell r="C15913" t="str">
            <v>GAP CREDITO PRIVADO I FIC DE FIM</v>
          </cell>
          <cell r="D15913" t="str">
            <v>GAP CREDITO PRIVADO I FIC DE FIM</v>
          </cell>
          <cell r="E15913" t="str">
            <v>GAP CREDITO PRIVADO I FIC DE FIM</v>
          </cell>
        </row>
        <row r="15914">
          <cell r="B15914">
            <v>123282</v>
          </cell>
          <cell r="C15914" t="str">
            <v>GENIPABU FIA</v>
          </cell>
          <cell r="D15914" t="str">
            <v>GENIPABU FIA</v>
          </cell>
          <cell r="E15914" t="str">
            <v>GENIPABU FIA</v>
          </cell>
        </row>
        <row r="15915">
          <cell r="B15915">
            <v>123283</v>
          </cell>
          <cell r="C15915" t="str">
            <v>SHARP ARPOADOR IBRX ATIVO FIA</v>
          </cell>
          <cell r="D15915" t="str">
            <v>SHARP ARPOADOR IBRX ATIVO FIA</v>
          </cell>
          <cell r="E15915" t="str">
            <v>SHARP CAPITAL GESTORA DE RECURSOS LTDA</v>
          </cell>
        </row>
        <row r="15916">
          <cell r="B15916">
            <v>123284</v>
          </cell>
          <cell r="C15916" t="str">
            <v>GAP REALTY I FIP</v>
          </cell>
          <cell r="D15916" t="str">
            <v>GAP REALTY I FIP</v>
          </cell>
          <cell r="E15916" t="str">
            <v>GAP REALTY I FIP</v>
          </cell>
        </row>
        <row r="15917">
          <cell r="B15917">
            <v>123285</v>
          </cell>
          <cell r="C15917" t="str">
            <v>AMAROK FIM PREVIDENCIARIO</v>
          </cell>
          <cell r="D15917" t="str">
            <v>AMAROK FIM PREVIDENCIARIO</v>
          </cell>
          <cell r="E15917" t="str">
            <v>AMAROK FIM PREVIDENCIARIO</v>
          </cell>
        </row>
        <row r="15918">
          <cell r="B15918">
            <v>123286</v>
          </cell>
          <cell r="C15918" t="str">
            <v>GAP SELECTION FIM</v>
          </cell>
          <cell r="D15918" t="str">
            <v>GAP SELECTION FIM</v>
          </cell>
          <cell r="E15918" t="str">
            <v>GAP SELECTION FIM</v>
          </cell>
        </row>
        <row r="15919">
          <cell r="B15919">
            <v>123287</v>
          </cell>
          <cell r="C15919" t="str">
            <v>GAP PRUDENTIAL SAO PAULO FI RF CP</v>
          </cell>
          <cell r="D15919" t="str">
            <v>GAP PRUDENTIAL SAO PAULO FI RF CP</v>
          </cell>
          <cell r="E15919" t="str">
            <v>GAP PRUDENTIAL SAO PAULO FI RF CP</v>
          </cell>
        </row>
        <row r="15920">
          <cell r="B15920">
            <v>123288</v>
          </cell>
          <cell r="C15920" t="str">
            <v>SHARP EQUITY VALUE INSTITUCIONAL FIA</v>
          </cell>
          <cell r="D15920" t="str">
            <v>SHARP EQUITY VALUE INSTITUCIONAL FIA</v>
          </cell>
          <cell r="E15920" t="str">
            <v>SHARP CAPITAL GESTORA DE RECURSOS LTDA</v>
          </cell>
        </row>
        <row r="15921">
          <cell r="B15921">
            <v>123289</v>
          </cell>
          <cell r="C15921" t="str">
            <v>BEETLE III FIRF LP CREDITO PRIVADO</v>
          </cell>
          <cell r="D15921" t="str">
            <v>BEETLE III FIRF LP CREDITO PRIVADO</v>
          </cell>
          <cell r="E15921" t="str">
            <v>BEETLE III FIRF LP CREDITO PRIVADO</v>
          </cell>
        </row>
        <row r="15922">
          <cell r="B15922">
            <v>12329</v>
          </cell>
          <cell r="C15922" t="str">
            <v>KADIMA GESTAO DE INVESTIMENTOS LTDA</v>
          </cell>
          <cell r="D15922" t="str">
            <v>KADIMA GESTAO DE INVESTIMENTOS LTDA</v>
          </cell>
          <cell r="E15922" t="str">
            <v>KADIMA GESTAO DE INVESTIMENTOS LTDA</v>
          </cell>
        </row>
        <row r="15923">
          <cell r="B15923">
            <v>123290</v>
          </cell>
          <cell r="C15923" t="str">
            <v>FIA RVA EMB</v>
          </cell>
          <cell r="D15923" t="str">
            <v>FIA RVA EMB</v>
          </cell>
          <cell r="E15923" t="str">
            <v>FIA RVA EMB</v>
          </cell>
        </row>
        <row r="15924">
          <cell r="B15924">
            <v>123291</v>
          </cell>
          <cell r="C15924" t="str">
            <v>AMORA FIM CP IE</v>
          </cell>
          <cell r="D15924" t="str">
            <v>AMORA FIM CP IE</v>
          </cell>
          <cell r="E15924" t="str">
            <v>AMORA FIM CP IE</v>
          </cell>
        </row>
        <row r="15925">
          <cell r="B15925">
            <v>123292</v>
          </cell>
          <cell r="C15925" t="str">
            <v>VINCI INTERNACIONAL MASTER FIM</v>
          </cell>
          <cell r="D15925" t="str">
            <v>VINCI INTERNACIONAL MASTER FIM</v>
          </cell>
          <cell r="E15925" t="str">
            <v>VINCI GESTORA DE RECURSOS LTDA</v>
          </cell>
        </row>
        <row r="15926">
          <cell r="B15926">
            <v>123293</v>
          </cell>
          <cell r="C15926" t="str">
            <v>SAAD FIM CP IE</v>
          </cell>
          <cell r="D15926" t="str">
            <v>SAAD FIM CP IE</v>
          </cell>
          <cell r="E15926" t="str">
            <v>SAAD FIM CP IE</v>
          </cell>
        </row>
        <row r="15927">
          <cell r="B15927">
            <v>123294</v>
          </cell>
          <cell r="C15927" t="str">
            <v>VINCI ALDEBARAN FIM CP IE</v>
          </cell>
          <cell r="D15927" t="str">
            <v>VINCI ALDEBARAN FIM CP IE</v>
          </cell>
          <cell r="E15927" t="str">
            <v>VINCI GESTORA DE RECURSOS LTDA</v>
          </cell>
        </row>
        <row r="15928">
          <cell r="B15928">
            <v>123295</v>
          </cell>
          <cell r="C15928" t="str">
            <v>VINCI SELECTION EQUITIES FIA</v>
          </cell>
          <cell r="D15928" t="str">
            <v>VINCI SELECTION EQUITIES FIA</v>
          </cell>
          <cell r="E15928" t="str">
            <v>VINCI GESTORA DE RECURSOS LTDA</v>
          </cell>
        </row>
        <row r="15929">
          <cell r="B15929">
            <v>123296</v>
          </cell>
          <cell r="C15929" t="str">
            <v>AZTECA VS FIM</v>
          </cell>
          <cell r="D15929" t="str">
            <v>AZTECA VS FIM</v>
          </cell>
          <cell r="E15929" t="str">
            <v>VENTURESTAR GESTAO DE RECURSOS LTDA</v>
          </cell>
        </row>
        <row r="15930">
          <cell r="B15930">
            <v>123297</v>
          </cell>
          <cell r="C15930" t="str">
            <v>CSHG INCA 23 FIM CP IE</v>
          </cell>
          <cell r="D15930" t="str">
            <v>CSHG INCA 23 FIM CP IE</v>
          </cell>
          <cell r="E15930" t="str">
            <v>CSHG INCA 23 FIM CP IE</v>
          </cell>
        </row>
        <row r="15931">
          <cell r="B15931">
            <v>123298</v>
          </cell>
          <cell r="C15931" t="str">
            <v>MAIA VS FIM</v>
          </cell>
          <cell r="D15931" t="str">
            <v>MAIA VS FIM</v>
          </cell>
          <cell r="E15931" t="str">
            <v>VENTURESTAR GESTAO DE RECURSOS LTDA</v>
          </cell>
        </row>
        <row r="15932">
          <cell r="B15932">
            <v>123299</v>
          </cell>
          <cell r="C15932" t="str">
            <v>VENTURESTAR FIM</v>
          </cell>
          <cell r="D15932" t="str">
            <v>VENTURESTAR FIM</v>
          </cell>
          <cell r="E15932" t="str">
            <v>VENTURESTAR GESTAO DE RECURSOS LTDA</v>
          </cell>
        </row>
        <row r="15933">
          <cell r="B15933">
            <v>123301</v>
          </cell>
          <cell r="C15933" t="str">
            <v>DIOGO FREIRE DOS SANTOS ARAUJO</v>
          </cell>
          <cell r="D15933" t="str">
            <v>DIOGO FREIRE DOS SANTOS ARAUJO</v>
          </cell>
          <cell r="E15933" t="str">
            <v>DIOGO FREIRE DOS SANTOS ARAUJO</v>
          </cell>
        </row>
        <row r="15934">
          <cell r="B15934">
            <v>123302</v>
          </cell>
          <cell r="C15934" t="str">
            <v>BRASPREV FIM PREVIDENCIARIO</v>
          </cell>
          <cell r="D15934" t="str">
            <v>BRASPREV FIM PREVIDENCIARIO</v>
          </cell>
          <cell r="E15934" t="str">
            <v>BRASPREV FIM PREVIDENCIARIO</v>
          </cell>
        </row>
        <row r="15935">
          <cell r="B15935">
            <v>123303</v>
          </cell>
          <cell r="C15935" t="str">
            <v>LEBLON EQUITIES HEDGE MASTER FIA</v>
          </cell>
          <cell r="D15935" t="str">
            <v>LEBLON EQUITIES HEDGE MASTER FIA</v>
          </cell>
          <cell r="E15935" t="str">
            <v>LEBLON EQUITIES GESTAO DE RECURSOS LTDA</v>
          </cell>
        </row>
        <row r="15936">
          <cell r="B15936">
            <v>123304</v>
          </cell>
          <cell r="C15936" t="str">
            <v>LEBLON AÃ‡Ã•ES MASTER FIA</v>
          </cell>
          <cell r="D15936" t="str">
            <v>LEBLON AÃ‡Ã•ES MASTER FIA</v>
          </cell>
          <cell r="E15936" t="str">
            <v>LEBLON EQUITIES GESTAO DE RECURSOS LTDA</v>
          </cell>
        </row>
        <row r="15937">
          <cell r="B15937">
            <v>123305</v>
          </cell>
          <cell r="C15937" t="str">
            <v>LEBLON EQUITIES PARTNERS FIM IE</v>
          </cell>
          <cell r="D15937" t="str">
            <v>LEBLON EQUITIES PARTNERS FIM IE</v>
          </cell>
          <cell r="E15937" t="str">
            <v>LEBLON EQUITIES GESTAO DE RECURSOS LTDA</v>
          </cell>
        </row>
        <row r="15938">
          <cell r="B15938">
            <v>123306</v>
          </cell>
          <cell r="C15938" t="str">
            <v>LEBLON PREVIDENCIA FIM</v>
          </cell>
          <cell r="D15938" t="str">
            <v>LEBLON PREVIDENCIA FIM</v>
          </cell>
          <cell r="E15938" t="str">
            <v>LEBLON EQUITIES GESTAO DE RECURSOS LTDA</v>
          </cell>
        </row>
        <row r="15939">
          <cell r="B15939">
            <v>123307</v>
          </cell>
          <cell r="C15939" t="str">
            <v>LEBLON AÃ‡OES INSTITUCIONAL MASTER FIA</v>
          </cell>
          <cell r="D15939" t="str">
            <v>LEBLON AÃ‡OES INSTITUCIONAL MASTER FIA</v>
          </cell>
          <cell r="E15939" t="str">
            <v>LEBLON EQUITIES GESTAO DE RECURSOS LTDA</v>
          </cell>
        </row>
        <row r="15940">
          <cell r="B15940">
            <v>123308</v>
          </cell>
          <cell r="C15940" t="str">
            <v>ADVANCE BRAZIL LEBLON EQUITIES FUND</v>
          </cell>
          <cell r="D15940" t="str">
            <v>ADVANCE BRAZIL LEBLON EQUITIES FUND</v>
          </cell>
          <cell r="E15940" t="str">
            <v>LEBLON EQUITIES GESTAO DE RECURSOS LTDA</v>
          </cell>
        </row>
        <row r="15941">
          <cell r="B15941">
            <v>123309</v>
          </cell>
          <cell r="C15941" t="str">
            <v>POSTO 12 LLC</v>
          </cell>
          <cell r="D15941" t="str">
            <v>POSTO 12 LLC</v>
          </cell>
          <cell r="E15941" t="str">
            <v>LEBLON EQUITIES GESTAO DE RECURSOS LTDA</v>
          </cell>
        </row>
        <row r="15942">
          <cell r="B15942">
            <v>123310</v>
          </cell>
          <cell r="C15942" t="str">
            <v>ATAULFO LLC</v>
          </cell>
          <cell r="D15942" t="str">
            <v>ATAULFO LLC</v>
          </cell>
          <cell r="E15942" t="str">
            <v>LEBLON EQUITIES GESTAO DE RECURSOS LTDA</v>
          </cell>
        </row>
        <row r="15943">
          <cell r="B15943">
            <v>123311</v>
          </cell>
          <cell r="C15943" t="str">
            <v>LIGA SOLIDARIA FI MULTIMERCADO</v>
          </cell>
          <cell r="D15943" t="str">
            <v>LIGA SOLIDARIA FI MULTIMERCADO</v>
          </cell>
          <cell r="E15943" t="str">
            <v>LIGA SOLIDARIA FI MULTIMERCADO</v>
          </cell>
        </row>
        <row r="15944">
          <cell r="B15944">
            <v>123312</v>
          </cell>
          <cell r="C15944" t="str">
            <v>PATRIA DI FI REFERENCIADO</v>
          </cell>
          <cell r="D15944" t="str">
            <v>PATRIA DI FI REFERENCIADO</v>
          </cell>
          <cell r="E15944" t="str">
            <v>PATRIA INVESTIMENTOS LTDA</v>
          </cell>
        </row>
        <row r="15945">
          <cell r="B15945">
            <v>123313</v>
          </cell>
          <cell r="C15945" t="str">
            <v>VERDE AM PERFORMANCE FIA</v>
          </cell>
          <cell r="D15945" t="str">
            <v>VERDE AM PERFORMANCE FIA</v>
          </cell>
          <cell r="E15945" t="str">
            <v>VERDE AM PERFORMANCE FIA</v>
          </cell>
        </row>
        <row r="15946">
          <cell r="B15946">
            <v>123314</v>
          </cell>
          <cell r="C15946" t="str">
            <v>VERDE AM VALOR DIVIDENDOS FIA</v>
          </cell>
          <cell r="D15946" t="str">
            <v>VERDE AM VALOR DIVIDENDOS FIA</v>
          </cell>
          <cell r="E15946" t="str">
            <v>VERDE AM VALOR DIVIDENDOS FIA</v>
          </cell>
        </row>
        <row r="15947">
          <cell r="B15947">
            <v>123315</v>
          </cell>
          <cell r="C15947" t="str">
            <v>PATRIA PIPE MASTER FIA</v>
          </cell>
          <cell r="D15947" t="str">
            <v>PATRIA PIPE MASTER FIA</v>
          </cell>
          <cell r="E15947" t="str">
            <v>PATRIA INVESTIMENTOS LTDA</v>
          </cell>
        </row>
        <row r="15948">
          <cell r="B15948">
            <v>123316</v>
          </cell>
          <cell r="C15948" t="str">
            <v>DYNAMO GLOBAL MASTER FIA IE</v>
          </cell>
          <cell r="D15948" t="str">
            <v>DYNAMO GLOBAL MASTER FIA IE</v>
          </cell>
          <cell r="E15948" t="str">
            <v>DYNAMO ADMINISTRACAO DE RECURSOS LTDA</v>
          </cell>
        </row>
        <row r="15949">
          <cell r="B15949">
            <v>123317</v>
          </cell>
          <cell r="C15949" t="str">
            <v>PERFIN EQUITY HEDGE MASTER FIA</v>
          </cell>
          <cell r="D15949" t="str">
            <v>PERFIN EQUITY HEDGE MASTER FIA</v>
          </cell>
          <cell r="E15949" t="str">
            <v>PERFIN ADMINISTRAÃ‡ÃƒO DE RECURSOS LTDA</v>
          </cell>
        </row>
        <row r="15950">
          <cell r="B15950">
            <v>123318</v>
          </cell>
          <cell r="C15950" t="str">
            <v>PERFIN EQUITY HEDGE MASTER FIM</v>
          </cell>
          <cell r="D15950" t="str">
            <v>PERFIN EQUITY HEDGE MASTER FIM</v>
          </cell>
          <cell r="E15950" t="str">
            <v>PERFIN ADMINISTRAÃ‡ÃƒO DE RECURSOS LTDA</v>
          </cell>
        </row>
        <row r="15951">
          <cell r="B15951">
            <v>123319</v>
          </cell>
          <cell r="C15951" t="str">
            <v>PERFIN FORESIGHT MASTER FIF CIA RL</v>
          </cell>
          <cell r="D15951" t="str">
            <v>PERFIN FORESIGHT MASTER FIF CIA RL</v>
          </cell>
          <cell r="E15951" t="str">
            <v>PERFIN ADMINISTRAÃ‡ÃƒO DE RECURSOS LTDA</v>
          </cell>
        </row>
        <row r="15952">
          <cell r="B15952">
            <v>12332</v>
          </cell>
          <cell r="C15952" t="str">
            <v>CENTRUS -FUNDAÃ‡ÃƒO BANCO CENTRAL DE PREVIDENCIA PRIVADA</v>
          </cell>
          <cell r="D15952" t="str">
            <v>CENTRUS -FUNDAÃ‡ÃƒO BANCO CENTRAL DE PREVIDENCIA PRIVADA</v>
          </cell>
          <cell r="E15952" t="str">
            <v>CENTRUS -FUNDAÇÃO BANCO CENTRAL DE PREVIDENCIA PRIVADA</v>
          </cell>
        </row>
        <row r="15953">
          <cell r="B15953">
            <v>123320</v>
          </cell>
          <cell r="C15953" t="str">
            <v>REVENTON FIM</v>
          </cell>
          <cell r="D15953" t="str">
            <v>REVENTON FIM</v>
          </cell>
          <cell r="E15953" t="str">
            <v>PERFIN ADMINISTRAÃ‡ÃƒO DE RECURSOS LTDA</v>
          </cell>
        </row>
        <row r="15954">
          <cell r="B15954">
            <v>123321</v>
          </cell>
          <cell r="C15954" t="str">
            <v>PFN LS LLC</v>
          </cell>
          <cell r="D15954" t="str">
            <v>PFN LS LLC</v>
          </cell>
          <cell r="E15954" t="str">
            <v>PERFIN ADMINISTRAÃ‡ÃƒO DE RECURSOS LTDA</v>
          </cell>
        </row>
        <row r="15955">
          <cell r="B15955">
            <v>123324</v>
          </cell>
          <cell r="C15955" t="str">
            <v>BAHIA AM FAMILIA PREV FIA</v>
          </cell>
          <cell r="D15955" t="str">
            <v>BAHIA AM FAMILIA PREV FIA</v>
          </cell>
          <cell r="E15955" t="str">
            <v>BAHIA AM LTDA</v>
          </cell>
        </row>
        <row r="15956">
          <cell r="B15956">
            <v>123692</v>
          </cell>
          <cell r="C15956" t="str">
            <v>BRASIL PLURAL AERIS FIA</v>
          </cell>
          <cell r="D15956" t="str">
            <v>BRASIL PLURAL AERIS FIA</v>
          </cell>
          <cell r="E15956" t="str">
            <v>PLURAL GESTÃO DE RECURSOS LTDA</v>
          </cell>
        </row>
        <row r="15957">
          <cell r="B15957">
            <v>123326</v>
          </cell>
          <cell r="C15957" t="str">
            <v>VENTOR IMA-B HEDGE FIF MULT RL</v>
          </cell>
          <cell r="D15957" t="str">
            <v>VENTOR IMA-B HEDGE FIF MULT RL</v>
          </cell>
          <cell r="E15957" t="str">
            <v>VENTOR INVESTIMENTOS LTDA</v>
          </cell>
        </row>
        <row r="15958">
          <cell r="B15958">
            <v>123327</v>
          </cell>
          <cell r="C15958" t="str">
            <v>VOKIN ARARAT FIM</v>
          </cell>
          <cell r="D15958" t="str">
            <v>VOKIN ARARAT FIM</v>
          </cell>
          <cell r="E15958" t="str">
            <v>VOKIN ARARAT FIM</v>
          </cell>
        </row>
        <row r="15959">
          <cell r="B15959">
            <v>123328</v>
          </cell>
          <cell r="C15959" t="str">
            <v>NEST LONG ONLY FIA</v>
          </cell>
          <cell r="D15959" t="str">
            <v>NEST LONG ONLY FIA</v>
          </cell>
          <cell r="E15959" t="str">
            <v>NEST LONG ONLY FIA</v>
          </cell>
        </row>
        <row r="15960">
          <cell r="B15960">
            <v>123329</v>
          </cell>
          <cell r="C15960" t="str">
            <v>AZ QUEST PREV ICATU ARROJADO  FIC DE FIM</v>
          </cell>
          <cell r="D15960" t="str">
            <v>AZ QUEST PREV ICATU ARROJADO  FIC DE FIM</v>
          </cell>
          <cell r="E15960" t="str">
            <v>AZ QUEST PREV ICATU ARROJADO  FIC DE FIM</v>
          </cell>
        </row>
        <row r="15961">
          <cell r="B15961">
            <v>12333</v>
          </cell>
          <cell r="C15961" t="str">
            <v>TESE GESTÃƒO DE INVESTIMENTOS LTDA</v>
          </cell>
          <cell r="D15961" t="str">
            <v>TESE GESTÃƒO DE INVESTIMENTOS LTDA</v>
          </cell>
          <cell r="E15961" t="str">
            <v>TESE GESTÃƒO DE INVESTIMENTOS LTDA</v>
          </cell>
        </row>
        <row r="15962">
          <cell r="B15962">
            <v>123331</v>
          </cell>
          <cell r="C15962" t="str">
            <v>RPS TOTAL RETURN MASTER FIM</v>
          </cell>
          <cell r="D15962" t="str">
            <v>RPS TOTAL RETURN MASTER FIM</v>
          </cell>
          <cell r="E15962" t="str">
            <v>RPS CAPITAL ADMINISTRADORA DE RECURSOS LTDA</v>
          </cell>
        </row>
        <row r="15963">
          <cell r="B15963">
            <v>123332</v>
          </cell>
          <cell r="C15963" t="str">
            <v>PERFIN LLC</v>
          </cell>
          <cell r="D15963" t="str">
            <v>PERFIN LLC</v>
          </cell>
          <cell r="E15963" t="str">
            <v>PERFIN ADMINISTRAÃ‡ÃƒO DE RECURSOS LTDA</v>
          </cell>
        </row>
        <row r="15964">
          <cell r="B15964">
            <v>123333</v>
          </cell>
          <cell r="C15964" t="str">
            <v>RPS INVESTMENTS LLC</v>
          </cell>
          <cell r="D15964" t="str">
            <v>RPS INVESTMENTS LLC</v>
          </cell>
          <cell r="E15964" t="str">
            <v>RPS CAPITAL ADMINISTRADORA DE RECURSOS LTDA</v>
          </cell>
        </row>
        <row r="15965">
          <cell r="B15965">
            <v>123334</v>
          </cell>
          <cell r="C15965" t="str">
            <v>GAUSS MASTER FIM</v>
          </cell>
          <cell r="D15965" t="str">
            <v>GAUSS MASTER FIM</v>
          </cell>
          <cell r="E15965" t="str">
            <v>ASA ASSET GESTAO EM INVESTIMENTOS LTDA</v>
          </cell>
        </row>
        <row r="15966">
          <cell r="B15966">
            <v>123335</v>
          </cell>
          <cell r="C15966" t="str">
            <v>BB GESTAO DE RECURSOS DTVM LTDA</v>
          </cell>
          <cell r="D15966" t="str">
            <v>BB GESTAO DE RECURSOS DTVM LTDA</v>
          </cell>
          <cell r="E15966" t="str">
            <v>BB GESTAO DE RECURSOS DTVM LTDA</v>
          </cell>
        </row>
        <row r="15967">
          <cell r="B15967">
            <v>123336</v>
          </cell>
          <cell r="C15967" t="str">
            <v>MARCELO JOVER TOMASONI</v>
          </cell>
          <cell r="D15967" t="str">
            <v>MARCELO JOVER TOMASONI</v>
          </cell>
          <cell r="E15967" t="str">
            <v>MARCELO JOVER TOMASONI</v>
          </cell>
        </row>
        <row r="15968">
          <cell r="B15968">
            <v>123338</v>
          </cell>
          <cell r="C15968" t="str">
            <v>ALEXANDRE DRUMOND CHICHORRO SOARES LACERDA</v>
          </cell>
          <cell r="D15968" t="str">
            <v>ALEXANDRE DRUMOND CHICHORRO SOARES LACERDA</v>
          </cell>
          <cell r="E15968" t="str">
            <v>ALEXANDRE DRUMOND CHICHORRO SOARES LACERDA</v>
          </cell>
        </row>
        <row r="15969">
          <cell r="B15969">
            <v>123339</v>
          </cell>
          <cell r="C15969" t="str">
            <v>SANTANDER CACEIS BRASIL DTVM S.A.</v>
          </cell>
          <cell r="D15969" t="str">
            <v>SANTANDER CACEIS BRASIL DTVM S.A.</v>
          </cell>
          <cell r="E15969" t="str">
            <v>SANTANDER BRASIL GESTAO DE RECURSOS LTDA</v>
          </cell>
        </row>
        <row r="15970">
          <cell r="B15970">
            <v>12334</v>
          </cell>
          <cell r="C15970" t="str">
            <v>VENTURESTAR GESTAO DE RECURSOS LTDA</v>
          </cell>
          <cell r="D15970" t="str">
            <v>VENTURESTAR GESTAO DE RECURSOS LTDA</v>
          </cell>
          <cell r="E15970" t="str">
            <v>VENTURESTAR GESTAO DE RECURSOS LTDA</v>
          </cell>
        </row>
        <row r="15971">
          <cell r="B15971">
            <v>123340</v>
          </cell>
          <cell r="C15971" t="str">
            <v>SANTANDER CACEIS BRASIL DTVM S.A.</v>
          </cell>
          <cell r="D15971" t="str">
            <v>SANTANDER CACEIS BRASIL DTVM S.A.</v>
          </cell>
          <cell r="E15971" t="str">
            <v>SANTANDER BRASIL GESTAO DE RECURSOS LTDA</v>
          </cell>
        </row>
        <row r="15972">
          <cell r="B15972">
            <v>123341</v>
          </cell>
          <cell r="C15972" t="str">
            <v>SANTANDER CACEIS BRASIL DTVM S.A.</v>
          </cell>
          <cell r="D15972" t="str">
            <v>SANTANDER CACEIS BRASIL DTVM S.A.</v>
          </cell>
          <cell r="E15972" t="str">
            <v>SANTANDER BRASIL GESTAO DE RECURSOS LTDA</v>
          </cell>
        </row>
        <row r="15973">
          <cell r="B15973">
            <v>123342</v>
          </cell>
          <cell r="C15973" t="str">
            <v>SANTANDER CACEIS BRASIL DTVM S.A.</v>
          </cell>
          <cell r="D15973" t="str">
            <v>SANTANDER CACEIS BRASIL DTVM S.A.</v>
          </cell>
          <cell r="E15973" t="str">
            <v>SANTANDER BRASIL GESTAO DE RECURSOS LTDA</v>
          </cell>
        </row>
        <row r="15974">
          <cell r="B15974">
            <v>123343</v>
          </cell>
          <cell r="C15974" t="str">
            <v>SANTANDER CACEIS BRASIL DTVM S.A.</v>
          </cell>
          <cell r="D15974" t="str">
            <v>SANTANDER CACEIS BRASIL DTVM S.A.</v>
          </cell>
          <cell r="E15974" t="str">
            <v>SANTANDER BRASIL GESTAO DE RECURSOS LTDA</v>
          </cell>
        </row>
        <row r="15975">
          <cell r="B15975">
            <v>123344</v>
          </cell>
          <cell r="C15975" t="str">
            <v>SANTANDER CACEIS BRASIL DTVM S.A.</v>
          </cell>
          <cell r="D15975" t="str">
            <v>SANTANDER CACEIS BRASIL DTVM S.A.</v>
          </cell>
          <cell r="E15975" t="str">
            <v>SANTANDER BRASIL GESTAO DE RECURSOS LTDA</v>
          </cell>
        </row>
        <row r="15976">
          <cell r="B15976">
            <v>123345</v>
          </cell>
          <cell r="C15976" t="str">
            <v>SANTANDER CACEIS BRASIL DTVM S.A.</v>
          </cell>
          <cell r="D15976" t="str">
            <v>SANTANDER CACEIS BRASIL DTVM S.A.</v>
          </cell>
          <cell r="E15976" t="str">
            <v>SANTANDER BRASIL GESTAO DE RECURSOS LTDA</v>
          </cell>
        </row>
        <row r="15977">
          <cell r="B15977">
            <v>123346</v>
          </cell>
          <cell r="C15977" t="str">
            <v>SANTANDER CACEIS BRASIL DTVM S.A.</v>
          </cell>
          <cell r="D15977" t="str">
            <v>SANTANDER CACEIS BRASIL DTVM S.A.</v>
          </cell>
          <cell r="E15977" t="str">
            <v>SANTANDER BRASIL GESTAO DE RECURSOS LTDA</v>
          </cell>
        </row>
        <row r="15978">
          <cell r="B15978">
            <v>123347</v>
          </cell>
          <cell r="C15978" t="str">
            <v>SANTANDER CACEIS BRASIL DTVM S.A.</v>
          </cell>
          <cell r="D15978" t="str">
            <v>SANTANDER CACEIS BRASIL DTVM S.A.</v>
          </cell>
          <cell r="E15978" t="str">
            <v>SANTANDER BRASIL GESTAO DE RECURSOS LTDA</v>
          </cell>
        </row>
        <row r="15979">
          <cell r="B15979">
            <v>123348</v>
          </cell>
          <cell r="C15979" t="str">
            <v>SANTANDER CACEIS BRASIL DTVM S.A.</v>
          </cell>
          <cell r="D15979" t="str">
            <v>SANTANDER CACEIS BRASIL DTVM S.A.</v>
          </cell>
          <cell r="E15979" t="str">
            <v>SANTANDER BRASIL GESTAO DE RECURSOS LTDA</v>
          </cell>
        </row>
        <row r="15980">
          <cell r="B15980">
            <v>123349</v>
          </cell>
          <cell r="C15980" t="str">
            <v>SANTANDER CACEIS BRASIL DTVM S.A.</v>
          </cell>
          <cell r="D15980" t="str">
            <v>SANTANDER CACEIS BRASIL DTVM S.A.</v>
          </cell>
          <cell r="E15980" t="str">
            <v>SANTANDER BRASIL GESTAO DE RECURSOS LTDA</v>
          </cell>
        </row>
        <row r="15981">
          <cell r="B15981">
            <v>12335</v>
          </cell>
          <cell r="C15981" t="str">
            <v>KIRTON BANK S.A. - BANCO MULTIPLO</v>
          </cell>
          <cell r="D15981" t="str">
            <v>KIRTON BANK S.A. - BANCO MULTIPLO</v>
          </cell>
          <cell r="E15981" t="str">
            <v>KIRTON BANK S.A. - BANCO MULTIPLO</v>
          </cell>
        </row>
        <row r="15982">
          <cell r="B15982">
            <v>123350</v>
          </cell>
          <cell r="C15982" t="str">
            <v>SANTANDER CACEIS BRASIL DTVM S.A.</v>
          </cell>
          <cell r="D15982" t="str">
            <v>SANTANDER CACEIS BRASIL DTVM S.A.</v>
          </cell>
          <cell r="E15982" t="str">
            <v>SANTANDER BRASIL GESTAO DE RECURSOS LTDA</v>
          </cell>
        </row>
        <row r="15983">
          <cell r="B15983">
            <v>123351</v>
          </cell>
          <cell r="C15983" t="str">
            <v>SANTANDER CACEIS BRASIL DTVM S.A.</v>
          </cell>
          <cell r="D15983" t="str">
            <v>SANTANDER CACEIS BRASIL DTVM S.A.</v>
          </cell>
          <cell r="E15983" t="str">
            <v>SANTANDER BRASIL GESTAO DE RECURSOS LTDA</v>
          </cell>
        </row>
        <row r="15984">
          <cell r="B15984">
            <v>123352</v>
          </cell>
          <cell r="C15984" t="str">
            <v>SANTANDER CACEIS BRASIL DTVM S.A.</v>
          </cell>
          <cell r="D15984" t="str">
            <v>SANTANDER CACEIS BRASIL DTVM S.A.</v>
          </cell>
          <cell r="E15984" t="str">
            <v>SANTANDER BRASIL GESTAO DE RECURSOS LTDA</v>
          </cell>
        </row>
        <row r="15985">
          <cell r="B15985">
            <v>123353</v>
          </cell>
          <cell r="C15985" t="str">
            <v>SANTANDER CACEIS BRASIL DTVM S.A.</v>
          </cell>
          <cell r="D15985" t="str">
            <v>SANTANDER CACEIS BRASIL DTVM S.A.</v>
          </cell>
          <cell r="E15985" t="str">
            <v>SANTANDER BRASIL GESTAO DE RECURSOS LTDA</v>
          </cell>
        </row>
        <row r="15986">
          <cell r="B15986">
            <v>123354</v>
          </cell>
          <cell r="C15986" t="str">
            <v>SANTANDER CACEIS BRASIL DTVM S.A.</v>
          </cell>
          <cell r="D15986" t="str">
            <v>SANTANDER CACEIS BRASIL DTVM S.A.</v>
          </cell>
          <cell r="E15986" t="str">
            <v>SANTANDER BRASIL GESTAO DE RECURSOS LTDA</v>
          </cell>
        </row>
        <row r="15987">
          <cell r="B15987">
            <v>123355</v>
          </cell>
          <cell r="C15987" t="str">
            <v>SANTANDER CACEIS BRASIL DTVM S.A.</v>
          </cell>
          <cell r="D15987" t="str">
            <v>SANTANDER CACEIS BRASIL DTVM S.A.</v>
          </cell>
          <cell r="E15987" t="str">
            <v>SANTANDER BRASIL GESTAO DE RECURSOS LTDA</v>
          </cell>
        </row>
        <row r="15988">
          <cell r="B15988">
            <v>123356</v>
          </cell>
          <cell r="C15988" t="str">
            <v>SANTANDER CACEIS BRASIL DTVM S.A.</v>
          </cell>
          <cell r="D15988" t="str">
            <v>SANTANDER CACEIS BRASIL DTVM S.A.</v>
          </cell>
          <cell r="E15988" t="str">
            <v>SANTANDER BRASIL GESTAO DE RECURSOS LTDA</v>
          </cell>
        </row>
        <row r="15989">
          <cell r="B15989">
            <v>123357</v>
          </cell>
          <cell r="C15989" t="str">
            <v>SANTANDER CACEIS BRASIL DTVM S.A.</v>
          </cell>
          <cell r="D15989" t="str">
            <v>SANTANDER CACEIS BRASIL DTVM S.A.</v>
          </cell>
          <cell r="E15989" t="str">
            <v>SANTANDER BRASIL GESTAO DE RECURSOS LTDA</v>
          </cell>
        </row>
        <row r="15990">
          <cell r="B15990">
            <v>123358</v>
          </cell>
          <cell r="C15990" t="str">
            <v>SANTANDER CACEIS BRASIL DTVM S.A.</v>
          </cell>
          <cell r="D15990" t="str">
            <v>SANTANDER CACEIS BRASIL DTVM S.A.</v>
          </cell>
          <cell r="E15990" t="str">
            <v>SANTANDER BRASIL GESTAO DE RECURSOS LTDA</v>
          </cell>
        </row>
        <row r="15991">
          <cell r="B15991">
            <v>123359</v>
          </cell>
          <cell r="C15991" t="str">
            <v>SANTANDER CACEIS BRASIL DTVM S.A.</v>
          </cell>
          <cell r="D15991" t="str">
            <v>SANTANDER CACEIS BRASIL DTVM S.A.</v>
          </cell>
          <cell r="E15991" t="str">
            <v>SANTANDER BRASIL GESTAO DE RECURSOS LTDA</v>
          </cell>
        </row>
        <row r="15992">
          <cell r="B15992">
            <v>12336</v>
          </cell>
          <cell r="C15992" t="str">
            <v>LEBLON EQUITIES GESTAO DE RECURSOS LTDA</v>
          </cell>
          <cell r="D15992" t="str">
            <v>LEBLON EQUITIES GESTAO DE RECURSOS LTDA</v>
          </cell>
          <cell r="E15992" t="str">
            <v>LEBLON EQUITIES GESTAO DE RECURSOS LTDA</v>
          </cell>
        </row>
        <row r="15993">
          <cell r="B15993">
            <v>123360</v>
          </cell>
          <cell r="C15993" t="str">
            <v>SANTANDER CACEIS BRASIL DTVM S.A.</v>
          </cell>
          <cell r="D15993" t="str">
            <v>SANTANDER CACEIS BRASIL DTVM S.A.</v>
          </cell>
          <cell r="E15993" t="str">
            <v>SANTANDER BRASIL GESTAO DE RECURSOS LTDA</v>
          </cell>
        </row>
        <row r="15994">
          <cell r="B15994">
            <v>123361</v>
          </cell>
          <cell r="C15994" t="str">
            <v>SANTANDER CACEIS BRASIL DTVM S.A.</v>
          </cell>
          <cell r="D15994" t="str">
            <v>SANTANDER CACEIS BRASIL DTVM S.A.</v>
          </cell>
          <cell r="E15994" t="str">
            <v>SANTANDER BRASIL GESTAO DE RECURSOS LTDA</v>
          </cell>
        </row>
        <row r="15995">
          <cell r="B15995">
            <v>123362</v>
          </cell>
          <cell r="C15995" t="str">
            <v>SANTANDER CACEIS BRASIL DTVM S.A.</v>
          </cell>
          <cell r="D15995" t="str">
            <v>SANTANDER CACEIS BRASIL DTVM S.A.</v>
          </cell>
          <cell r="E15995" t="str">
            <v>SANTANDER BRASIL GESTAO DE RECURSOS LTDA</v>
          </cell>
        </row>
        <row r="15996">
          <cell r="B15996">
            <v>123363</v>
          </cell>
          <cell r="C15996" t="str">
            <v>SANTANDER CACEIS BRASIL DTVM S.A.</v>
          </cell>
          <cell r="D15996" t="str">
            <v>SANTANDER CACEIS BRASIL DTVM S.A.</v>
          </cell>
          <cell r="E15996" t="str">
            <v>SANTANDER BRASIL GESTAO DE RECURSOS LTDA</v>
          </cell>
        </row>
        <row r="15997">
          <cell r="B15997">
            <v>123364</v>
          </cell>
          <cell r="C15997" t="str">
            <v>SANTANDER CACEIS BRASIL DTVM S.A.</v>
          </cell>
          <cell r="D15997" t="str">
            <v>SANTANDER CACEIS BRASIL DTVM S.A.</v>
          </cell>
          <cell r="E15997" t="str">
            <v>SANTANDER BRASIL GESTAO DE RECURSOS LTDA</v>
          </cell>
        </row>
        <row r="15998">
          <cell r="B15998">
            <v>123365</v>
          </cell>
          <cell r="C15998" t="str">
            <v>SANTANDER CACEIS BRASIL DTVM S.A.</v>
          </cell>
          <cell r="D15998" t="str">
            <v>SANTANDER CACEIS BRASIL DTVM S.A.</v>
          </cell>
          <cell r="E15998" t="str">
            <v>SANTANDER BRASIL GESTAO DE RECURSOS LTDA</v>
          </cell>
        </row>
        <row r="15999">
          <cell r="B15999">
            <v>123366</v>
          </cell>
          <cell r="C15999" t="str">
            <v>SANTANDER CACEIS BRASIL DTVM S.A.</v>
          </cell>
          <cell r="D15999" t="str">
            <v>SANTANDER CACEIS BRASIL DTVM S.A.</v>
          </cell>
          <cell r="E15999" t="str">
            <v>SANTANDER BRASIL GESTAO DE RECURSOS LTDA</v>
          </cell>
        </row>
        <row r="16000">
          <cell r="B16000">
            <v>123367</v>
          </cell>
          <cell r="C16000" t="str">
            <v>SANTANDER CACEIS BRASIL DTVM S.A.</v>
          </cell>
          <cell r="D16000" t="str">
            <v>SANTANDER CACEIS BRASIL DTVM S.A.</v>
          </cell>
          <cell r="E16000" t="str">
            <v>SANTANDER BRASIL GESTAO DE RECURSOS LTDA</v>
          </cell>
        </row>
        <row r="16001">
          <cell r="B16001">
            <v>123368</v>
          </cell>
          <cell r="C16001" t="str">
            <v>SANTANDER CACEIS BRASIL DTVM S.A.</v>
          </cell>
          <cell r="D16001" t="str">
            <v>SANTANDER CACEIS BRASIL DTVM S.A.</v>
          </cell>
          <cell r="E16001" t="str">
            <v>SANTANDER BRASIL GESTAO DE RECURSOS LTDA</v>
          </cell>
        </row>
        <row r="16002">
          <cell r="B16002">
            <v>123369</v>
          </cell>
          <cell r="C16002" t="str">
            <v>SANTANDER CACEIS BRASIL DTVM S.A.</v>
          </cell>
          <cell r="D16002" t="str">
            <v>SANTANDER CACEIS BRASIL DTVM S.A.</v>
          </cell>
          <cell r="E16002" t="str">
            <v>SANTANDER BRASIL GESTAO DE RECURSOS LTDA</v>
          </cell>
        </row>
        <row r="16003">
          <cell r="B16003">
            <v>12337</v>
          </cell>
          <cell r="C16003" t="str">
            <v>PERFIN ADMINISTRAÃ‡ÃƒO DE RECURSOS LTDA</v>
          </cell>
          <cell r="D16003" t="str">
            <v>PERFIN ADMINISTRAÃ‡ÃƒO DE RECURSOS LTDA</v>
          </cell>
          <cell r="E16003" t="str">
            <v>PERFIN ADMINISTRAÃ‡ÃƒO DE RECURSOS LTDA</v>
          </cell>
        </row>
        <row r="16004">
          <cell r="B16004">
            <v>123370</v>
          </cell>
          <cell r="C16004" t="str">
            <v>SANTANDER CACEIS BRASIL DTVM S.A.</v>
          </cell>
          <cell r="D16004" t="str">
            <v>SANTANDER CACEIS BRASIL DTVM S.A.</v>
          </cell>
          <cell r="E16004" t="str">
            <v>SANTANDER BRASIL GESTAO DE RECURSOS LTDA</v>
          </cell>
        </row>
        <row r="16005">
          <cell r="B16005">
            <v>123371</v>
          </cell>
          <cell r="C16005" t="str">
            <v>SANTANDER CACEIS BRASIL DTVM S.A.</v>
          </cell>
          <cell r="D16005" t="str">
            <v>SANTANDER CACEIS BRASIL DTVM S.A.</v>
          </cell>
          <cell r="E16005" t="str">
            <v>SANTANDER BRASIL GESTAO DE RECURSOS LTDA</v>
          </cell>
        </row>
        <row r="16006">
          <cell r="B16006">
            <v>123372</v>
          </cell>
          <cell r="C16006" t="str">
            <v>SANTANDER CACEIS BRASIL DTVM S.A.</v>
          </cell>
          <cell r="D16006" t="str">
            <v>SANTANDER CACEIS BRASIL DTVM S.A.</v>
          </cell>
          <cell r="E16006" t="str">
            <v>SANTANDER BRASIL GESTAO DE RECURSOS LTDA</v>
          </cell>
        </row>
        <row r="16007">
          <cell r="B16007">
            <v>123373</v>
          </cell>
          <cell r="C16007" t="str">
            <v>SANTANDER CACEIS BRASIL DTVM S.A.</v>
          </cell>
          <cell r="D16007" t="str">
            <v>SANTANDER CACEIS BRASIL DTVM S.A.</v>
          </cell>
          <cell r="E16007" t="str">
            <v>SANTANDER BRASIL GESTAO DE RECURSOS LTDA</v>
          </cell>
        </row>
        <row r="16008">
          <cell r="B16008">
            <v>123374</v>
          </cell>
          <cell r="C16008" t="str">
            <v>SANTANDER CACEIS BRASIL DTVM S.A.</v>
          </cell>
          <cell r="D16008" t="str">
            <v>SANTANDER CACEIS BRASIL DTVM S.A.</v>
          </cell>
          <cell r="E16008" t="str">
            <v>SANTANDER BRASIL GESTAO DE RECURSOS LTDA</v>
          </cell>
        </row>
        <row r="16009">
          <cell r="B16009">
            <v>123375</v>
          </cell>
          <cell r="C16009" t="str">
            <v>SANTANDER CACEIS BRASIL DTVM S.A.</v>
          </cell>
          <cell r="D16009" t="str">
            <v>SANTANDER CACEIS BRASIL DTVM S.A.</v>
          </cell>
          <cell r="E16009" t="str">
            <v>SANTANDER BRASIL GESTAO DE RECURSOS LTDA</v>
          </cell>
        </row>
        <row r="16010">
          <cell r="B16010">
            <v>123376</v>
          </cell>
          <cell r="C16010" t="str">
            <v>SANTANDER CACEIS BRASIL DTVM S.A.</v>
          </cell>
          <cell r="D16010" t="str">
            <v>SANTANDER CACEIS BRASIL DTVM S.A.</v>
          </cell>
          <cell r="E16010" t="str">
            <v>SANTANDER BRASIL GESTAO DE RECURSOS LTDA</v>
          </cell>
        </row>
        <row r="16011">
          <cell r="B16011">
            <v>123377</v>
          </cell>
          <cell r="C16011" t="str">
            <v>SANTANDER CACEIS BRASIL DTVM S.A.</v>
          </cell>
          <cell r="D16011" t="str">
            <v>SANTANDER CACEIS BRASIL DTVM S.A.</v>
          </cell>
          <cell r="E16011" t="str">
            <v>SANTANDER BRASIL GESTAO DE RECURSOS LTDA</v>
          </cell>
        </row>
        <row r="16012">
          <cell r="B16012">
            <v>123378</v>
          </cell>
          <cell r="C16012" t="str">
            <v>SANTANDER CACEIS BRASIL DTVM S.A.</v>
          </cell>
          <cell r="D16012" t="str">
            <v>SANTANDER CACEIS BRASIL DTVM S.A.</v>
          </cell>
          <cell r="E16012" t="str">
            <v>SANTANDER BRASIL GESTAO DE RECURSOS LTDA</v>
          </cell>
        </row>
        <row r="16013">
          <cell r="B16013">
            <v>123379</v>
          </cell>
          <cell r="C16013" t="str">
            <v>SANTANDER CACEIS BRASIL DTVM S.A.</v>
          </cell>
          <cell r="D16013" t="str">
            <v>SANTANDER CACEIS BRASIL DTVM S.A.</v>
          </cell>
          <cell r="E16013" t="str">
            <v>SANTANDER BRASIL GESTAO DE RECURSOS LTDA</v>
          </cell>
        </row>
        <row r="16014">
          <cell r="B16014">
            <v>123380</v>
          </cell>
          <cell r="C16014" t="str">
            <v>SANTANDER CACEIS BRASIL DTVM S.A.</v>
          </cell>
          <cell r="D16014" t="str">
            <v>SANTANDER CACEIS BRASIL DTVM S.A.</v>
          </cell>
          <cell r="E16014" t="str">
            <v>SANTANDER BRASIL GESTAO DE RECURSOS LTDA</v>
          </cell>
        </row>
        <row r="16015">
          <cell r="B16015">
            <v>123381</v>
          </cell>
          <cell r="C16015" t="str">
            <v>SANTANDER CACEIS BRASIL DTVM S.A.</v>
          </cell>
          <cell r="D16015" t="str">
            <v>SANTANDER CACEIS BRASIL DTVM S.A.</v>
          </cell>
          <cell r="E16015" t="str">
            <v>SANTANDER BRASIL GESTAO DE RECURSOS LTDA</v>
          </cell>
        </row>
        <row r="16016">
          <cell r="B16016">
            <v>123382</v>
          </cell>
          <cell r="C16016" t="str">
            <v>SANTANDER CACEIS BRASIL DTVM S.A.</v>
          </cell>
          <cell r="D16016" t="str">
            <v>SANTANDER CACEIS BRASIL DTVM S.A.</v>
          </cell>
          <cell r="E16016" t="str">
            <v>SANTANDER BRASIL GESTAO DE RECURSOS LTDA</v>
          </cell>
        </row>
        <row r="16017">
          <cell r="B16017">
            <v>123383</v>
          </cell>
          <cell r="C16017" t="str">
            <v>SANTANDER CACEIS BRASIL DTVM S.A.</v>
          </cell>
          <cell r="D16017" t="str">
            <v>SANTANDER CACEIS BRASIL DTVM S.A.</v>
          </cell>
          <cell r="E16017" t="str">
            <v>SANTANDER BRASIL GESTAO DE RECURSOS LTDA</v>
          </cell>
        </row>
        <row r="16018">
          <cell r="B16018">
            <v>123384</v>
          </cell>
          <cell r="C16018" t="str">
            <v>SANTANDER CACEIS BRASIL DTVM S.A.</v>
          </cell>
          <cell r="D16018" t="str">
            <v>SANTANDER CACEIS BRASIL DTVM S.A.</v>
          </cell>
          <cell r="E16018" t="str">
            <v>SANTANDER BRASIL GESTAO DE RECURSOS LTDA</v>
          </cell>
        </row>
        <row r="16019">
          <cell r="B16019">
            <v>123385</v>
          </cell>
          <cell r="C16019" t="str">
            <v>SANTANDER CACEIS BRASIL DTVM S.A.</v>
          </cell>
          <cell r="D16019" t="str">
            <v>SANTANDER CACEIS BRASIL DTVM S.A.</v>
          </cell>
          <cell r="E16019" t="str">
            <v>SANTANDER BRASIL GESTAO DE RECURSOS LTDA</v>
          </cell>
        </row>
        <row r="16020">
          <cell r="B16020">
            <v>123386</v>
          </cell>
          <cell r="C16020" t="str">
            <v>SANTANDER CACEIS BRASIL DTVM S.A.</v>
          </cell>
          <cell r="D16020" t="str">
            <v>SANTANDER CACEIS BRASIL DTVM S.A.</v>
          </cell>
          <cell r="E16020" t="str">
            <v>SANTANDER BRASIL GESTAO DE RECURSOS LTDA</v>
          </cell>
        </row>
        <row r="16021">
          <cell r="B16021">
            <v>123387</v>
          </cell>
          <cell r="C16021" t="str">
            <v>SANTANDER CACEIS BRASIL DTVM S.A.</v>
          </cell>
          <cell r="D16021" t="str">
            <v>SANTANDER CACEIS BRASIL DTVM S.A.</v>
          </cell>
          <cell r="E16021" t="str">
            <v>SANTANDER BRASIL GESTAO DE RECURSOS LTDA</v>
          </cell>
        </row>
        <row r="16022">
          <cell r="B16022">
            <v>123388</v>
          </cell>
          <cell r="C16022" t="str">
            <v>SANTANDER CACEIS BRASIL DTVM S.A.</v>
          </cell>
          <cell r="D16022" t="str">
            <v>SANTANDER CACEIS BRASIL DTVM S.A.</v>
          </cell>
          <cell r="E16022" t="str">
            <v>SANTANDER BRASIL GESTAO DE RECURSOS LTDA</v>
          </cell>
        </row>
        <row r="16023">
          <cell r="B16023">
            <v>123389</v>
          </cell>
          <cell r="C16023" t="str">
            <v>SANTANDER CACEIS BRASIL DTVM S.A.</v>
          </cell>
          <cell r="D16023" t="str">
            <v>SANTANDER CACEIS BRASIL DTVM S.A.</v>
          </cell>
          <cell r="E16023" t="str">
            <v>SANTANDER BRASIL GESTAO DE RECURSOS LTDA</v>
          </cell>
        </row>
        <row r="16024">
          <cell r="B16024">
            <v>123390</v>
          </cell>
          <cell r="C16024" t="str">
            <v>SANTANDER CACEIS BRASIL DTVM S.A.</v>
          </cell>
          <cell r="D16024" t="str">
            <v>SANTANDER CACEIS BRASIL DTVM S.A.</v>
          </cell>
          <cell r="E16024" t="str">
            <v>SANTANDER BRASIL GESTAO DE RECURSOS LTDA</v>
          </cell>
        </row>
        <row r="16025">
          <cell r="B16025">
            <v>123391</v>
          </cell>
          <cell r="C16025" t="str">
            <v>SANTANDER CACEIS BRASIL DTVM S.A.</v>
          </cell>
          <cell r="D16025" t="str">
            <v>SANTANDER CACEIS BRASIL DTVM S.A.</v>
          </cell>
          <cell r="E16025" t="str">
            <v>SANTANDER BRASIL GESTAO DE RECURSOS LTDA</v>
          </cell>
        </row>
        <row r="16026">
          <cell r="B16026">
            <v>123392</v>
          </cell>
          <cell r="C16026" t="str">
            <v>SANTANDER CACEIS BRASIL DTVM S.A.</v>
          </cell>
          <cell r="D16026" t="str">
            <v>SANTANDER CACEIS BRASIL DTVM S.A.</v>
          </cell>
          <cell r="E16026" t="str">
            <v>SANTANDER BRASIL GESTAO DE RECURSOS LTDA</v>
          </cell>
        </row>
        <row r="16027">
          <cell r="B16027">
            <v>123393</v>
          </cell>
          <cell r="C16027" t="str">
            <v>SANTANDER CACEIS BRASIL DTVM S.A.</v>
          </cell>
          <cell r="D16027" t="str">
            <v>SANTANDER CACEIS BRASIL DTVM S.A.</v>
          </cell>
          <cell r="E16027" t="str">
            <v>SANTANDER BRASIL GESTAO DE RECURSOS LTDA</v>
          </cell>
        </row>
        <row r="16028">
          <cell r="B16028">
            <v>123394</v>
          </cell>
          <cell r="C16028" t="str">
            <v>SANTANDER CACEIS BRASIL DTVM S.A.</v>
          </cell>
          <cell r="D16028" t="str">
            <v>SANTANDER CACEIS BRASIL DTVM S.A.</v>
          </cell>
          <cell r="E16028" t="str">
            <v>SANTANDER BRASIL GESTAO DE RECURSOS LTDA</v>
          </cell>
        </row>
        <row r="16029">
          <cell r="B16029">
            <v>123395</v>
          </cell>
          <cell r="C16029" t="str">
            <v>SANTANDER CACEIS BRASIL DTVM S.A.</v>
          </cell>
          <cell r="D16029" t="str">
            <v>SANTANDER CACEIS BRASIL DTVM S.A.</v>
          </cell>
          <cell r="E16029" t="str">
            <v>SANTANDER BRASIL GESTAO DE RECURSOS LTDA</v>
          </cell>
        </row>
        <row r="16030">
          <cell r="B16030">
            <v>123396</v>
          </cell>
          <cell r="C16030" t="str">
            <v>SANTANDER CACEIS BRASIL DTVM S.A.</v>
          </cell>
          <cell r="D16030" t="str">
            <v>SANTANDER CACEIS BRASIL DTVM S.A.</v>
          </cell>
          <cell r="E16030" t="str">
            <v>SANTANDER BRASIL GESTAO DE RECURSOS LTDA</v>
          </cell>
        </row>
        <row r="16031">
          <cell r="B16031">
            <v>123397</v>
          </cell>
          <cell r="C16031" t="str">
            <v>SANTANDER CACEIS BRASIL DTVM S.A.</v>
          </cell>
          <cell r="D16031" t="str">
            <v>SANTANDER CACEIS BRASIL DTVM S.A.</v>
          </cell>
          <cell r="E16031" t="str">
            <v>SANTANDER BRASIL GESTAO DE RECURSOS LTDA</v>
          </cell>
        </row>
        <row r="16032">
          <cell r="B16032">
            <v>123398</v>
          </cell>
          <cell r="C16032" t="str">
            <v>SANTANDER CACEIS BRASIL DTVM S.A.</v>
          </cell>
          <cell r="D16032" t="str">
            <v>SANTANDER CACEIS BRASIL DTVM S.A.</v>
          </cell>
          <cell r="E16032" t="str">
            <v>SANTANDER BRASIL GESTAO DE RECURSOS LTDA</v>
          </cell>
        </row>
        <row r="16033">
          <cell r="B16033">
            <v>123399</v>
          </cell>
          <cell r="C16033" t="str">
            <v>SANTANDER CACEIS BRASIL DTVM S.A.</v>
          </cell>
          <cell r="D16033" t="str">
            <v>SANTANDER CACEIS BRASIL DTVM S.A.</v>
          </cell>
          <cell r="E16033" t="str">
            <v>SANTANDER BRASIL GESTAO DE RECURSOS LTDA</v>
          </cell>
        </row>
        <row r="16034">
          <cell r="B16034">
            <v>1234</v>
          </cell>
          <cell r="C16034" t="str">
            <v>INTERBOLSA DO BRASIL CCTVM LTDA</v>
          </cell>
          <cell r="D16034">
            <v>1234</v>
          </cell>
          <cell r="E16034" t="str">
            <v>INTERBOLSA DO BRASIL CCTVM LTDA</v>
          </cell>
        </row>
        <row r="16035">
          <cell r="B16035">
            <v>12340</v>
          </cell>
          <cell r="C16035" t="str">
            <v>CREDIT SUISSE (BRASIL) DTVM S/A</v>
          </cell>
          <cell r="D16035" t="str">
            <v>CREDIT SUISSE (BRASIL) DTVM S/A</v>
          </cell>
          <cell r="E16035" t="str">
            <v>CREDIT SUISSE (BRASIL) DTVM S/A</v>
          </cell>
        </row>
        <row r="16036">
          <cell r="B16036">
            <v>123400</v>
          </cell>
          <cell r="C16036" t="str">
            <v>SANTANDER CACEIS BRASIL DTVM S.A.</v>
          </cell>
          <cell r="D16036" t="str">
            <v>SANTANDER CACEIS BRASIL DTVM S.A.</v>
          </cell>
          <cell r="E16036" t="str">
            <v>SANTANDER BRASIL GESTAO DE RECURSOS LTDA</v>
          </cell>
        </row>
        <row r="16037">
          <cell r="B16037">
            <v>123401</v>
          </cell>
          <cell r="C16037" t="str">
            <v>SANTANDER CACEIS BRASIL DTVM S.A.</v>
          </cell>
          <cell r="D16037" t="str">
            <v>SANTANDER CACEIS BRASIL DTVM S.A.</v>
          </cell>
          <cell r="E16037" t="str">
            <v>SANTANDER BRASIL GESTAO DE RECURSOS LTDA</v>
          </cell>
        </row>
        <row r="16038">
          <cell r="B16038">
            <v>123402</v>
          </cell>
          <cell r="C16038" t="str">
            <v>SANTANDER CACEIS BRASIL DTVM S.A.</v>
          </cell>
          <cell r="D16038" t="str">
            <v>SANTANDER CACEIS BRASIL DTVM S.A.</v>
          </cell>
          <cell r="E16038" t="str">
            <v>SANTANDER BRASIL GESTAO DE RECURSOS LTDA</v>
          </cell>
        </row>
        <row r="16039">
          <cell r="B16039">
            <v>123403</v>
          </cell>
          <cell r="C16039" t="str">
            <v>SANTANDER CACEIS BRASIL DTVM S.A.</v>
          </cell>
          <cell r="D16039" t="str">
            <v>SANTANDER CACEIS BRASIL DTVM S.A.</v>
          </cell>
          <cell r="E16039" t="str">
            <v>SANTANDER BRASIL GESTAO DE RECURSOS LTDA</v>
          </cell>
        </row>
        <row r="16040">
          <cell r="B16040">
            <v>123404</v>
          </cell>
          <cell r="C16040" t="str">
            <v>SANTANDER CACEIS BRASIL DTVM S.A.</v>
          </cell>
          <cell r="D16040" t="str">
            <v>SANTANDER CACEIS BRASIL DTVM S.A.</v>
          </cell>
          <cell r="E16040" t="str">
            <v>SANTANDER BRASIL GESTAO DE RECURSOS LTDA</v>
          </cell>
        </row>
        <row r="16041">
          <cell r="B16041">
            <v>123405</v>
          </cell>
          <cell r="C16041" t="str">
            <v>SANTANDER CACEIS BRASIL DTVM S.A.</v>
          </cell>
          <cell r="D16041" t="str">
            <v>SANTANDER CACEIS BRASIL DTVM S.A.</v>
          </cell>
          <cell r="E16041" t="str">
            <v>SANTANDER BRASIL GESTAO DE RECURSOS LTDA</v>
          </cell>
        </row>
        <row r="16042">
          <cell r="B16042">
            <v>123406</v>
          </cell>
          <cell r="C16042" t="str">
            <v>SANTANDER CACEIS BRASIL DTVM S.A.</v>
          </cell>
          <cell r="D16042" t="str">
            <v>SANTANDER CACEIS BRASIL DTVM S.A.</v>
          </cell>
          <cell r="E16042" t="str">
            <v>SANTANDER BRASIL GESTAO DE RECURSOS LTDA</v>
          </cell>
        </row>
        <row r="16043">
          <cell r="B16043">
            <v>123407</v>
          </cell>
          <cell r="C16043" t="str">
            <v>SANTANDER CACEIS BRASIL DTVM S.A.</v>
          </cell>
          <cell r="D16043" t="str">
            <v>SANTANDER CACEIS BRASIL DTVM S.A.</v>
          </cell>
          <cell r="E16043" t="str">
            <v>SANTANDER BRASIL GESTAO DE RECURSOS LTDA</v>
          </cell>
        </row>
        <row r="16044">
          <cell r="B16044">
            <v>123408</v>
          </cell>
          <cell r="C16044" t="str">
            <v>SANTANDER CACEIS BRASIL DTVM S.A.</v>
          </cell>
          <cell r="D16044" t="str">
            <v>SANTANDER CACEIS BRASIL DTVM S.A.</v>
          </cell>
          <cell r="E16044" t="str">
            <v>SANTANDER BRASIL GESTAO DE RECURSOS LTDA</v>
          </cell>
        </row>
        <row r="16045">
          <cell r="B16045">
            <v>123409</v>
          </cell>
          <cell r="C16045" t="str">
            <v>SANTANDER CACEIS BRASIL DTVM S.A.</v>
          </cell>
          <cell r="D16045" t="str">
            <v>SANTANDER CACEIS BRASIL DTVM S.A.</v>
          </cell>
          <cell r="E16045" t="str">
            <v>SANTANDER BRASIL GESTAO DE RECURSOS LTDA</v>
          </cell>
        </row>
        <row r="16046">
          <cell r="B16046">
            <v>12341</v>
          </cell>
          <cell r="C16046" t="str">
            <v>RIVIERA GESTORA DE RECURSOS LTDA</v>
          </cell>
          <cell r="D16046" t="str">
            <v>RIVIERA GESTORA DE RECURSOS LTDA</v>
          </cell>
          <cell r="E16046" t="str">
            <v>RIVIERA GESTORA DE RECURSOS LTDA</v>
          </cell>
        </row>
        <row r="16047">
          <cell r="B16047">
            <v>123410</v>
          </cell>
          <cell r="C16047" t="str">
            <v>SANTANDER CACEIS BRASIL DTVM S.A.</v>
          </cell>
          <cell r="D16047" t="str">
            <v>SANTANDER CACEIS BRASIL DTVM S.A.</v>
          </cell>
          <cell r="E16047" t="str">
            <v>SANTANDER BRASIL GESTAO DE RECURSOS LTDA</v>
          </cell>
        </row>
        <row r="16048">
          <cell r="B16048">
            <v>123411</v>
          </cell>
          <cell r="C16048" t="str">
            <v>SANTANDER CACEIS BRASIL DTVM S.A.</v>
          </cell>
          <cell r="D16048" t="str">
            <v>SANTANDER CACEIS BRASIL DTVM S.A.</v>
          </cell>
          <cell r="E16048" t="str">
            <v>SANTANDER BRASIL GESTAO DE RECURSOS LTDA</v>
          </cell>
        </row>
        <row r="16049">
          <cell r="B16049">
            <v>123412</v>
          </cell>
          <cell r="C16049" t="str">
            <v>SANTANDER CACEIS BRASIL DTVM S.A.</v>
          </cell>
          <cell r="D16049" t="str">
            <v>SANTANDER CACEIS BRASIL DTVM S.A.</v>
          </cell>
          <cell r="E16049" t="str">
            <v>SANTANDER BRASIL GESTAO DE RECURSOS LTDA</v>
          </cell>
        </row>
        <row r="16050">
          <cell r="B16050">
            <v>123413</v>
          </cell>
          <cell r="C16050" t="str">
            <v>SANTANDER CACEIS BRASIL DTVM S.A.</v>
          </cell>
          <cell r="D16050" t="str">
            <v>SANTANDER CACEIS BRASIL DTVM S.A.</v>
          </cell>
          <cell r="E16050" t="str">
            <v>SANTANDER BRASIL GESTAO DE RECURSOS LTDA</v>
          </cell>
        </row>
        <row r="16051">
          <cell r="B16051">
            <v>123414</v>
          </cell>
          <cell r="C16051" t="str">
            <v>SANTANDER CACEIS BRASIL DTVM S.A.</v>
          </cell>
          <cell r="D16051" t="str">
            <v>SANTANDER CACEIS BRASIL DTVM S.A.</v>
          </cell>
          <cell r="E16051" t="str">
            <v>SANTANDER BRASIL GESTAO DE RECURSOS LTDA</v>
          </cell>
        </row>
        <row r="16052">
          <cell r="B16052">
            <v>123415</v>
          </cell>
          <cell r="C16052" t="str">
            <v>SANTANDER CACEIS BRASIL DTVM S.A.</v>
          </cell>
          <cell r="D16052" t="str">
            <v>SANTANDER CACEIS BRASIL DTVM S.A.</v>
          </cell>
          <cell r="E16052" t="str">
            <v>SANTANDER BRASIL GESTAO DE RECURSOS LTDA</v>
          </cell>
        </row>
        <row r="16053">
          <cell r="B16053">
            <v>123416</v>
          </cell>
          <cell r="C16053" t="str">
            <v>SANTANDER CACEIS BRASIL DTVM S.A.</v>
          </cell>
          <cell r="D16053" t="str">
            <v>SANTANDER CACEIS BRASIL DTVM S.A.</v>
          </cell>
          <cell r="E16053" t="str">
            <v>SANTANDER BRASIL GESTAO DE RECURSOS LTDA</v>
          </cell>
        </row>
        <row r="16054">
          <cell r="B16054">
            <v>123417</v>
          </cell>
          <cell r="C16054" t="str">
            <v>SANTANDER CACEIS BRASIL DTVM S.A.</v>
          </cell>
          <cell r="D16054" t="str">
            <v>SANTANDER CACEIS BRASIL DTVM S.A.</v>
          </cell>
          <cell r="E16054" t="str">
            <v>SANTANDER BRASIL GESTAO DE RECURSOS LTDA</v>
          </cell>
        </row>
        <row r="16055">
          <cell r="B16055">
            <v>123418</v>
          </cell>
          <cell r="C16055" t="str">
            <v>SANTANDER CACEIS BRASIL DTVM S.A.</v>
          </cell>
          <cell r="D16055" t="str">
            <v>SANTANDER CACEIS BRASIL DTVM S.A.</v>
          </cell>
          <cell r="E16055" t="str">
            <v>SANTANDER BRASIL GESTAO DE RECURSOS LTDA</v>
          </cell>
        </row>
        <row r="16056">
          <cell r="B16056">
            <v>123419</v>
          </cell>
          <cell r="C16056" t="str">
            <v>SANTANDER CACEIS BRASIL DTVM S.A.</v>
          </cell>
          <cell r="D16056" t="str">
            <v>SANTANDER CACEIS BRASIL DTVM S.A.</v>
          </cell>
          <cell r="E16056" t="str">
            <v>SANTANDER BRASIL GESTAO DE RECURSOS LTDA</v>
          </cell>
        </row>
        <row r="16057">
          <cell r="B16057">
            <v>12342</v>
          </cell>
          <cell r="C16057" t="str">
            <v>CITRINO GESTAO DE RECURSOS LTDA</v>
          </cell>
          <cell r="D16057" t="str">
            <v>CITRINO GESTAO DE RECURSOS LTDA</v>
          </cell>
          <cell r="E16057" t="str">
            <v>CITRINO GESTAO DE RECURSOS LTDA</v>
          </cell>
        </row>
        <row r="16058">
          <cell r="B16058">
            <v>123420</v>
          </cell>
          <cell r="C16058" t="str">
            <v>SANTANDER CACEIS BRASIL DTVM S.A.</v>
          </cell>
          <cell r="D16058" t="str">
            <v>SANTANDER CACEIS BRASIL DTVM S.A.</v>
          </cell>
          <cell r="E16058" t="str">
            <v>SANTANDER BRASIL GESTAO DE RECURSOS LTDA</v>
          </cell>
        </row>
        <row r="16059">
          <cell r="B16059">
            <v>123421</v>
          </cell>
          <cell r="C16059" t="str">
            <v>SANTANDER CACEIS BRASIL DTVM S.A.</v>
          </cell>
          <cell r="D16059" t="str">
            <v>SANTANDER CACEIS BRASIL DTVM S.A.</v>
          </cell>
          <cell r="E16059" t="str">
            <v>SANTANDER BRASIL GESTAO DE RECURSOS LTDA</v>
          </cell>
        </row>
        <row r="16060">
          <cell r="B16060">
            <v>123422</v>
          </cell>
          <cell r="C16060" t="str">
            <v>SANTANDER CACEIS BRASIL DTVM S.A.</v>
          </cell>
          <cell r="D16060" t="str">
            <v>SANTANDER CACEIS BRASIL DTVM S.A.</v>
          </cell>
          <cell r="E16060" t="str">
            <v>SANTANDER BRASIL GESTAO DE RECURSOS LTDA</v>
          </cell>
        </row>
        <row r="16061">
          <cell r="B16061">
            <v>123423</v>
          </cell>
          <cell r="C16061" t="str">
            <v>SANTANDER CACEIS BRASIL DTVM S.A.</v>
          </cell>
          <cell r="D16061" t="str">
            <v>SANTANDER CACEIS BRASIL DTVM S.A.</v>
          </cell>
          <cell r="E16061" t="str">
            <v>SANTANDER BRASIL GESTAO DE RECURSOS LTDA</v>
          </cell>
        </row>
        <row r="16062">
          <cell r="B16062">
            <v>123424</v>
          </cell>
          <cell r="C16062" t="str">
            <v>SANTANDER CACEIS BRASIL DTVM S.A.</v>
          </cell>
          <cell r="D16062" t="str">
            <v>SANTANDER CACEIS BRASIL DTVM S.A.</v>
          </cell>
          <cell r="E16062" t="str">
            <v>SANTANDER BRASIL GESTAO DE RECURSOS LTDA</v>
          </cell>
        </row>
        <row r="16063">
          <cell r="B16063">
            <v>123425</v>
          </cell>
          <cell r="C16063" t="str">
            <v>SANTANDER CACEIS BRASIL DTVM S.A.</v>
          </cell>
          <cell r="D16063" t="str">
            <v>SANTANDER CACEIS BRASIL DTVM S.A.</v>
          </cell>
          <cell r="E16063" t="str">
            <v>SANTANDER BRASIL GESTAO DE RECURSOS LTDA</v>
          </cell>
        </row>
        <row r="16064">
          <cell r="B16064">
            <v>123426</v>
          </cell>
          <cell r="C16064" t="str">
            <v>SANTANDER CACEIS BRASIL DTVM S.A.</v>
          </cell>
          <cell r="D16064" t="str">
            <v>SANTANDER CACEIS BRASIL DTVM S.A.</v>
          </cell>
          <cell r="E16064" t="str">
            <v>SANTANDER BRASIL GESTAO DE RECURSOS LTDA</v>
          </cell>
        </row>
        <row r="16065">
          <cell r="B16065">
            <v>123427</v>
          </cell>
          <cell r="C16065" t="str">
            <v>SANTANDER CACEIS BRASIL DTVM S.A.</v>
          </cell>
          <cell r="D16065" t="str">
            <v>SANTANDER CACEIS BRASIL DTVM S.A.</v>
          </cell>
          <cell r="E16065" t="str">
            <v>SANTANDER BRASIL GESTAO DE RECURSOS LTDA</v>
          </cell>
        </row>
        <row r="16066">
          <cell r="B16066">
            <v>123428</v>
          </cell>
          <cell r="C16066" t="str">
            <v>SANTANDER CACEIS BRASIL DTVM S.A.</v>
          </cell>
          <cell r="D16066" t="str">
            <v>SANTANDER CACEIS BRASIL DTVM S.A.</v>
          </cell>
          <cell r="E16066" t="str">
            <v>SANTANDER BRASIL GESTAO DE RECURSOS LTDA</v>
          </cell>
        </row>
        <row r="16067">
          <cell r="B16067">
            <v>123429</v>
          </cell>
          <cell r="C16067" t="str">
            <v>SANTANDER CACEIS BRASIL DTVM S.A.</v>
          </cell>
          <cell r="D16067" t="str">
            <v>SANTANDER CACEIS BRASIL DTVM S.A.</v>
          </cell>
          <cell r="E16067" t="str">
            <v>SANTANDER BRASIL GESTAO DE RECURSOS LTDA</v>
          </cell>
        </row>
        <row r="16068">
          <cell r="B16068">
            <v>12343</v>
          </cell>
          <cell r="C16068" t="str">
            <v>VERDE ASSET MANAGEMENT S/A</v>
          </cell>
          <cell r="D16068" t="str">
            <v>VERDE ASSET MANAGEMENT S/A</v>
          </cell>
          <cell r="E16068" t="str">
            <v>VERDE ASSET MANAGEMENT S/A</v>
          </cell>
        </row>
        <row r="16069">
          <cell r="B16069">
            <v>123430</v>
          </cell>
          <cell r="C16069" t="str">
            <v>SANTANDER CACEIS BRASIL DTVM S.A.</v>
          </cell>
          <cell r="D16069" t="str">
            <v>SANTANDER CACEIS BRASIL DTVM S.A.</v>
          </cell>
          <cell r="E16069" t="str">
            <v>SANTANDER BRASIL GESTAO DE RECURSOS LTDA</v>
          </cell>
        </row>
        <row r="16070">
          <cell r="B16070">
            <v>123431</v>
          </cell>
          <cell r="C16070" t="str">
            <v>SANTANDER CACEIS BRASIL DTVM S.A.</v>
          </cell>
          <cell r="D16070" t="str">
            <v>SANTANDER CACEIS BRASIL DTVM S.A.</v>
          </cell>
          <cell r="E16070" t="str">
            <v>SANTANDER BRASIL GESTAO DE RECURSOS LTDA</v>
          </cell>
        </row>
        <row r="16071">
          <cell r="B16071">
            <v>123432</v>
          </cell>
          <cell r="C16071" t="str">
            <v>SANTANDER CACEIS BRASIL DTVM S.A.</v>
          </cell>
          <cell r="D16071" t="str">
            <v>SANTANDER CACEIS BRASIL DTVM S.A.</v>
          </cell>
          <cell r="E16071" t="str">
            <v>SANTANDER BRASIL GESTAO DE RECURSOS LTDA</v>
          </cell>
        </row>
        <row r="16072">
          <cell r="B16072">
            <v>123433</v>
          </cell>
          <cell r="C16072" t="str">
            <v>SANTANDER CACEIS BRASIL DTVM S.A.</v>
          </cell>
          <cell r="D16072" t="str">
            <v>SANTANDER CACEIS BRASIL DTVM S.A.</v>
          </cell>
          <cell r="E16072" t="str">
            <v>SANTANDER BRASIL GESTAO DE RECURSOS LTDA</v>
          </cell>
        </row>
        <row r="16073">
          <cell r="B16073">
            <v>123434</v>
          </cell>
          <cell r="C16073" t="str">
            <v>SANTANDER CACEIS BRASIL DTVM S.A.</v>
          </cell>
          <cell r="D16073" t="str">
            <v>SANTANDER CACEIS BRASIL DTVM S.A.</v>
          </cell>
          <cell r="E16073" t="str">
            <v>SANTANDER BRASIL GESTAO DE RECURSOS LTDA</v>
          </cell>
        </row>
        <row r="16074">
          <cell r="B16074">
            <v>123435</v>
          </cell>
          <cell r="C16074" t="str">
            <v>SANTANDER CACEIS BRASIL DTVM S.A.</v>
          </cell>
          <cell r="D16074" t="str">
            <v>SANTANDER CACEIS BRASIL DTVM S.A.</v>
          </cell>
          <cell r="E16074" t="str">
            <v>SANTANDER BRASIL GESTAO DE RECURSOS LTDA</v>
          </cell>
        </row>
        <row r="16075">
          <cell r="B16075">
            <v>123436</v>
          </cell>
          <cell r="C16075" t="str">
            <v>SANTANDER CACEIS BRASIL DTVM S.A.</v>
          </cell>
          <cell r="D16075" t="str">
            <v>SANTANDER CACEIS BRASIL DTVM S.A.</v>
          </cell>
          <cell r="E16075" t="str">
            <v>SANTANDER BRASIL GESTAO DE RECURSOS LTDA</v>
          </cell>
        </row>
        <row r="16076">
          <cell r="B16076">
            <v>123437</v>
          </cell>
          <cell r="C16076" t="str">
            <v>SANTANDER CACEIS BRASIL DTVM S.A.</v>
          </cell>
          <cell r="D16076" t="str">
            <v>SANTANDER CACEIS BRASIL DTVM S.A.</v>
          </cell>
          <cell r="E16076" t="str">
            <v>SANTANDER BRASIL GESTAO DE RECURSOS LTDA</v>
          </cell>
        </row>
        <row r="16077">
          <cell r="B16077">
            <v>123438</v>
          </cell>
          <cell r="C16077" t="str">
            <v>SANTANDER CACEIS BRASIL DTVM S.A.</v>
          </cell>
          <cell r="D16077" t="str">
            <v>SANTANDER CACEIS BRASIL DTVM S.A.</v>
          </cell>
          <cell r="E16077" t="str">
            <v>SANTANDER BRASIL GESTAO DE RECURSOS LTDA</v>
          </cell>
        </row>
        <row r="16078">
          <cell r="B16078">
            <v>123439</v>
          </cell>
          <cell r="C16078" t="str">
            <v>SANTANDER CACEIS BRASIL DTVM S.A.</v>
          </cell>
          <cell r="D16078" t="str">
            <v>SANTANDER CACEIS BRASIL DTVM S.A.</v>
          </cell>
          <cell r="E16078" t="str">
            <v>SANTANDER BRASIL GESTAO DE RECURSOS LTDA</v>
          </cell>
        </row>
        <row r="16079">
          <cell r="B16079">
            <v>123440</v>
          </cell>
          <cell r="C16079" t="str">
            <v>SANTANDER CACEIS BRASIL DTVM S.A.</v>
          </cell>
          <cell r="D16079" t="str">
            <v>SANTANDER CACEIS BRASIL DTVM S.A.</v>
          </cell>
          <cell r="E16079" t="str">
            <v>SANTANDER BRASIL GESTAO DE RECURSOS LTDA</v>
          </cell>
        </row>
        <row r="16080">
          <cell r="B16080">
            <v>123441</v>
          </cell>
          <cell r="C16080" t="str">
            <v>SANTANDER CACEIS BRASIL DTVM S.A.</v>
          </cell>
          <cell r="D16080" t="str">
            <v>SANTANDER CACEIS BRASIL DTVM S.A.</v>
          </cell>
          <cell r="E16080" t="str">
            <v>SANTANDER BRASIL GESTAO DE RECURSOS LTDA</v>
          </cell>
        </row>
        <row r="16081">
          <cell r="B16081">
            <v>123442</v>
          </cell>
          <cell r="C16081" t="str">
            <v>SANTANDER CACEIS BRASIL DTVM S.A.</v>
          </cell>
          <cell r="D16081" t="str">
            <v>SANTANDER CACEIS BRASIL DTVM S.A.</v>
          </cell>
          <cell r="E16081" t="str">
            <v>SANTANDER BRASIL GESTAO DE RECURSOS LTDA</v>
          </cell>
        </row>
        <row r="16082">
          <cell r="B16082">
            <v>123443</v>
          </cell>
          <cell r="C16082" t="str">
            <v>SANTANDER CACEIS BRASIL DTVM S.A.</v>
          </cell>
          <cell r="D16082" t="str">
            <v>SANTANDER CACEIS BRASIL DTVM S.A.</v>
          </cell>
          <cell r="E16082" t="str">
            <v>SANTANDER BRASIL GESTAO DE RECURSOS LTDA</v>
          </cell>
        </row>
        <row r="16083">
          <cell r="B16083">
            <v>123444</v>
          </cell>
          <cell r="C16083" t="str">
            <v>SANTANDER CACEIS BRASIL DTVM S.A.</v>
          </cell>
          <cell r="D16083" t="str">
            <v>SANTANDER CACEIS BRASIL DTVM S.A.</v>
          </cell>
          <cell r="E16083" t="str">
            <v>SANTANDER BRASIL GESTAO DE RECURSOS LTDA</v>
          </cell>
        </row>
        <row r="16084">
          <cell r="B16084">
            <v>123445</v>
          </cell>
          <cell r="C16084" t="str">
            <v>SANTANDER CACEIS BRASIL DTVM S.A.</v>
          </cell>
          <cell r="D16084" t="str">
            <v>SANTANDER CACEIS BRASIL DTVM S.A.</v>
          </cell>
          <cell r="E16084" t="str">
            <v>SANTANDER BRASIL GESTAO DE RECURSOS LTDA</v>
          </cell>
        </row>
        <row r="16085">
          <cell r="B16085">
            <v>123446</v>
          </cell>
          <cell r="C16085" t="str">
            <v>SANTANDER CACEIS BRASIL DTVM S.A.</v>
          </cell>
          <cell r="D16085" t="str">
            <v>SANTANDER CACEIS BRASIL DTVM S.A.</v>
          </cell>
          <cell r="E16085" t="str">
            <v>SANTANDER BRASIL GESTAO DE RECURSOS LTDA</v>
          </cell>
        </row>
        <row r="16086">
          <cell r="B16086">
            <v>123447</v>
          </cell>
          <cell r="C16086" t="str">
            <v>RIVIERA MASTER STRATEGY II FI RF</v>
          </cell>
          <cell r="D16086" t="str">
            <v>RIVIERA MASTER STRATEGY II FI RF</v>
          </cell>
          <cell r="E16086" t="str">
            <v>RIVIERA GESTORA DE RECURSOS LTDA</v>
          </cell>
        </row>
        <row r="16087">
          <cell r="B16087">
            <v>123448</v>
          </cell>
          <cell r="C16087" t="str">
            <v>POLO V FIC DE FIA</v>
          </cell>
          <cell r="D16087" t="str">
            <v>POLO V FIC DE FIA</v>
          </cell>
          <cell r="E16087" t="str">
            <v>POLO CAPITAL GESTÃO DE RECURSOS LTDA</v>
          </cell>
        </row>
        <row r="16088">
          <cell r="B16088">
            <v>123449</v>
          </cell>
          <cell r="C16088" t="str">
            <v>SANTANDER CACEIS BRASIL DTVM S.A.</v>
          </cell>
          <cell r="D16088" t="str">
            <v>SANTANDER CACEIS BRASIL DTVM S.A.</v>
          </cell>
          <cell r="E16088" t="str">
            <v>SANTANDER CACEIS BRASIL DTVM S.A.</v>
          </cell>
        </row>
        <row r="16089">
          <cell r="B16089">
            <v>12345</v>
          </cell>
          <cell r="C16089" t="str">
            <v>OPUS GESTAO DE RECURSOS LTDA</v>
          </cell>
          <cell r="D16089" t="str">
            <v>OPUS GESTAO DE RECURSOS LTDA</v>
          </cell>
          <cell r="E16089" t="str">
            <v>OPUS GESTAO DE RECURSOS LTDA</v>
          </cell>
        </row>
        <row r="16090">
          <cell r="B16090">
            <v>123450</v>
          </cell>
          <cell r="C16090" t="str">
            <v>SANTANDER CACEIS BRASIL DTVM S.A.</v>
          </cell>
          <cell r="D16090" t="str">
            <v>SANTANDER CACEIS BRASIL DTVM S.A.</v>
          </cell>
          <cell r="E16090" t="str">
            <v>SANTANDER CACEIS BRASIL DTVM S.A.</v>
          </cell>
        </row>
        <row r="16091">
          <cell r="B16091">
            <v>123451</v>
          </cell>
          <cell r="C16091" t="str">
            <v>BB GESTAO DE RECURSOS DTVM LTDA</v>
          </cell>
          <cell r="D16091" t="str">
            <v>BB GESTAO DE RECURSOS DTVM LTDA</v>
          </cell>
          <cell r="E16091" t="str">
            <v>BB GESTAO DE RECURSOS DTVM LTDA</v>
          </cell>
        </row>
        <row r="16092">
          <cell r="B16092">
            <v>123452</v>
          </cell>
          <cell r="C16092" t="str">
            <v>MORGAN STANLEY CTVM S/A</v>
          </cell>
          <cell r="D16092" t="str">
            <v>MORGAN STANLEY CTVM S/A</v>
          </cell>
          <cell r="E16092" t="str">
            <v>MORGAN STANLEY CTVM S/A</v>
          </cell>
        </row>
        <row r="16093">
          <cell r="B16093">
            <v>123453</v>
          </cell>
          <cell r="C16093" t="str">
            <v>MORGAN STANLEY CTVM S/A</v>
          </cell>
          <cell r="D16093" t="str">
            <v>MORGAN STANLEY CTVM S/A</v>
          </cell>
          <cell r="E16093" t="str">
            <v>MORGAN STANLEY CTVM S/A</v>
          </cell>
        </row>
        <row r="16094">
          <cell r="B16094">
            <v>123454</v>
          </cell>
          <cell r="C16094" t="str">
            <v>MORGAN STANLEY CTVM S/A</v>
          </cell>
          <cell r="D16094" t="str">
            <v>MORGAN STANLEY CTVM S/A</v>
          </cell>
          <cell r="E16094" t="str">
            <v>MORGAN STANLEY CTVM S/A</v>
          </cell>
        </row>
        <row r="16095">
          <cell r="B16095">
            <v>123455</v>
          </cell>
          <cell r="C16095" t="str">
            <v>MORGAN STANLEY CTVM S/A</v>
          </cell>
          <cell r="D16095" t="str">
            <v>MORGAN STANLEY CTVM S/A</v>
          </cell>
          <cell r="E16095" t="str">
            <v>MORGAN STANLEY CTVM S/A</v>
          </cell>
        </row>
        <row r="16096">
          <cell r="B16096">
            <v>123456</v>
          </cell>
          <cell r="C16096" t="str">
            <v>MORGAN STANLEY CTVM S/A</v>
          </cell>
          <cell r="D16096" t="str">
            <v>MORGAN STANLEY CTVM S/A</v>
          </cell>
          <cell r="E16096" t="str">
            <v>MORGAN STANLEY CTVM S/A</v>
          </cell>
        </row>
        <row r="16097">
          <cell r="B16097">
            <v>123458</v>
          </cell>
          <cell r="C16097" t="str">
            <v>QUINTESSENCE FIM CP IE</v>
          </cell>
          <cell r="D16097" t="str">
            <v>QUINTESSENCE FIM CP IE</v>
          </cell>
          <cell r="E16097" t="str">
            <v>QUINTESSENCE FIM CP IE</v>
          </cell>
        </row>
        <row r="16098">
          <cell r="B16098">
            <v>12346</v>
          </cell>
          <cell r="C16098" t="str">
            <v>NOVUS CAPITAL GESTORA DE RECURSOS LTDA</v>
          </cell>
          <cell r="D16098" t="str">
            <v>NOVUS CAPITAL GESTORA DE RECURSOS LTDA</v>
          </cell>
          <cell r="E16098" t="str">
            <v>NOVUS CAPITAL GESTORA DE RECURSOS LTDA</v>
          </cell>
        </row>
        <row r="16099">
          <cell r="B16099">
            <v>123460</v>
          </cell>
          <cell r="C16099" t="str">
            <v>KENYA MAIS FIM CREDITO PRIVADO IE</v>
          </cell>
          <cell r="D16099" t="str">
            <v>KENYA MAIS FIM CREDITO PRIVADO IE</v>
          </cell>
          <cell r="E16099" t="str">
            <v>KENYA MAIS FIM CREDITO PRIVADO IE</v>
          </cell>
        </row>
        <row r="16100">
          <cell r="B16100">
            <v>123461</v>
          </cell>
          <cell r="C16100" t="str">
            <v>ANANKE FIM</v>
          </cell>
          <cell r="D16100" t="str">
            <v>ANANKE FIM</v>
          </cell>
          <cell r="E16100" t="str">
            <v>ANANKE FIM</v>
          </cell>
        </row>
        <row r="16101">
          <cell r="B16101">
            <v>123462</v>
          </cell>
          <cell r="C16101" t="str">
            <v>POLO FIA</v>
          </cell>
          <cell r="D16101" t="str">
            <v>POLO FIA</v>
          </cell>
          <cell r="E16101" t="str">
            <v>POLO CAPITAL GESTÃO DE RECURSOS LTDA</v>
          </cell>
        </row>
        <row r="16102">
          <cell r="B16102">
            <v>123470</v>
          </cell>
          <cell r="C16102" t="str">
            <v>BNDES PARTICIPAÃ‡Ã•ES S/A - BNDESPAR</v>
          </cell>
          <cell r="D16102" t="str">
            <v>BNDES PARTICIPAÃ‡Ã•ES S/A - BNDESPAR</v>
          </cell>
          <cell r="E16102" t="str">
            <v>BNDES PARTICIPAÃ‡Ã•ES S/A - BNDESPAR</v>
          </cell>
        </row>
        <row r="16103">
          <cell r="B16103">
            <v>123474</v>
          </cell>
          <cell r="C16103" t="str">
            <v>OPUS MULTIMERCADO FIC FI CP</v>
          </cell>
          <cell r="D16103" t="str">
            <v>OPUS MULTIMERCADO FIC FI CP</v>
          </cell>
          <cell r="E16103" t="str">
            <v>OPUS GESTAO DE RECURSOS LTDA</v>
          </cell>
        </row>
        <row r="16104">
          <cell r="B16104">
            <v>123476</v>
          </cell>
          <cell r="C16104" t="str">
            <v>VINSON FUND, LLC</v>
          </cell>
          <cell r="D16104" t="str">
            <v>VINSON FUND, LLC</v>
          </cell>
          <cell r="E16104" t="str">
            <v>POLO CAPITAL GESTÃO DE RECURSOS LTDA</v>
          </cell>
        </row>
        <row r="16105">
          <cell r="B16105">
            <v>123477</v>
          </cell>
          <cell r="C16105" t="str">
            <v>FLAG MASTER FIM</v>
          </cell>
          <cell r="D16105" t="str">
            <v>FLAG MASTER FIM</v>
          </cell>
          <cell r="E16105" t="str">
            <v>NOVUS CAPITAL GESTORA DE RECURSOS LTDA</v>
          </cell>
        </row>
        <row r="16106">
          <cell r="B16106">
            <v>123479</v>
          </cell>
          <cell r="C16106" t="str">
            <v>BIRO BIRO FIM CRED PRIV IE</v>
          </cell>
          <cell r="D16106" t="str">
            <v>BIRO BIRO FIM CRED PRIV IE</v>
          </cell>
          <cell r="E16106" t="str">
            <v>BIRO BIRO FIM CRED PRIV IE</v>
          </cell>
        </row>
        <row r="16107">
          <cell r="B16107">
            <v>123480</v>
          </cell>
          <cell r="C16107" t="str">
            <v>CANADIAN EAGLE FIM INVESTIDORES NÃƒO RESIDENTES</v>
          </cell>
          <cell r="D16107" t="str">
            <v>CANADIAN EAGLE FIM INVESTIDORES NÃƒO RESIDENTES</v>
          </cell>
          <cell r="E16107" t="str">
            <v>SPX GESTAO DE RECURSOS LTDA</v>
          </cell>
        </row>
        <row r="16108">
          <cell r="B16108">
            <v>123481</v>
          </cell>
          <cell r="C16108" t="str">
            <v>XMZ FIM CP IE</v>
          </cell>
          <cell r="D16108" t="str">
            <v>XMZ FIM CP IE</v>
          </cell>
          <cell r="E16108" t="str">
            <v>XMZ FIM CP IE</v>
          </cell>
        </row>
        <row r="16109">
          <cell r="B16109">
            <v>123482</v>
          </cell>
          <cell r="C16109" t="str">
            <v>BB GESTAO DE RECURSOS DTVM LTDA</v>
          </cell>
          <cell r="D16109" t="str">
            <v>BB GESTAO DE RECURSOS DTVM LTDA</v>
          </cell>
          <cell r="E16109" t="str">
            <v>BB GESTAO DE RECURSOS DTVM LTDA</v>
          </cell>
        </row>
        <row r="16110">
          <cell r="B16110">
            <v>123483</v>
          </cell>
          <cell r="C16110" t="str">
            <v>GAVEA CAPITAL HOLDINGS LLC</v>
          </cell>
          <cell r="D16110" t="str">
            <v>GAVEA CAPITAL HOLDINGS LLC</v>
          </cell>
          <cell r="E16110" t="str">
            <v>GAVEA CAPITAL HOLDINGS LLC</v>
          </cell>
        </row>
        <row r="16111">
          <cell r="B16111">
            <v>123484</v>
          </cell>
          <cell r="C16111" t="str">
            <v>GBW CAPITAL HOLDINGS, LLC</v>
          </cell>
          <cell r="D16111" t="str">
            <v>GBW CAPITAL HOLDINGS, LLC</v>
          </cell>
          <cell r="E16111" t="str">
            <v>GBW CAPITAL HOLDINGS, LLC</v>
          </cell>
        </row>
        <row r="16112">
          <cell r="B16112">
            <v>123485</v>
          </cell>
          <cell r="C16112" t="str">
            <v>GF PLUS CAPITAL HOLDINGS, LLC</v>
          </cell>
          <cell r="D16112" t="str">
            <v>GF PLUS CAPITAL HOLDINGS, LLC</v>
          </cell>
          <cell r="E16112" t="str">
            <v>GF PLUS CAPITAL HOLDINGS, LLC</v>
          </cell>
        </row>
        <row r="16113">
          <cell r="B16113">
            <v>123486</v>
          </cell>
          <cell r="C16113" t="str">
            <v>GF ONE CAPITAL HOLDINGS, LLC</v>
          </cell>
          <cell r="D16113" t="str">
            <v>GF ONE CAPITAL HOLDINGS, LLC</v>
          </cell>
          <cell r="E16113" t="str">
            <v>GF ONE CAPITAL HOLDINGS, LLC</v>
          </cell>
        </row>
        <row r="16114">
          <cell r="B16114">
            <v>123487</v>
          </cell>
          <cell r="C16114" t="str">
            <v>BB GESTAO DE RECURSOS DTVM LTDA</v>
          </cell>
          <cell r="D16114" t="str">
            <v>BB GESTAO DE RECURSOS DTVM LTDA</v>
          </cell>
          <cell r="E16114" t="str">
            <v>BB GESTAO DE RECURSOS DTVM LTDA</v>
          </cell>
        </row>
        <row r="16115">
          <cell r="B16115">
            <v>123488</v>
          </cell>
          <cell r="C16115" t="str">
            <v>ICONE ABSOLUTO FIM</v>
          </cell>
          <cell r="D16115" t="str">
            <v>ICONE ABSOLUTO FIM</v>
          </cell>
          <cell r="E16115" t="str">
            <v>ICONE ABSOLUTO FIM</v>
          </cell>
        </row>
        <row r="16116">
          <cell r="B16116">
            <v>123489</v>
          </cell>
          <cell r="C16116" t="str">
            <v>ICONE BLUE LABEL FIM</v>
          </cell>
          <cell r="D16116" t="str">
            <v>ICONE BLUE LABEL FIM</v>
          </cell>
          <cell r="E16116" t="str">
            <v>ICONE BLUE LABEL FIM</v>
          </cell>
        </row>
        <row r="16117">
          <cell r="B16117">
            <v>82632</v>
          </cell>
          <cell r="C16117" t="str">
            <v>SAFRA ASSET CORRETORA DE TITULOS E VALORES MOBILIARIOS S.A.</v>
          </cell>
          <cell r="D16117" t="str">
            <v>SAFRA ASSET CORRETORA DE TITULOS E VALORES MOBILIARIOS S.A.</v>
          </cell>
          <cell r="E16117" t="str">
            <v>EMERALD GESTAO DE INVESTIMENTOS LTDA</v>
          </cell>
        </row>
        <row r="16118">
          <cell r="B16118">
            <v>123490</v>
          </cell>
          <cell r="C16118" t="str">
            <v>MORGAN STANLEY CTVM S/A</v>
          </cell>
          <cell r="D16118" t="str">
            <v>MORGAN STANLEY CTVM S/A</v>
          </cell>
          <cell r="E16118" t="str">
            <v>MORGAN STANLEY CTVM S/A</v>
          </cell>
        </row>
        <row r="16119">
          <cell r="B16119">
            <v>81456</v>
          </cell>
          <cell r="C16119" t="str">
            <v>GOLDMAN SACHS INTERNATIONAL - CITI</v>
          </cell>
          <cell r="D16119" t="str">
            <v>GOLDMAN SACHS INTERNATIONAL - CITI</v>
          </cell>
          <cell r="E16119" t="str">
            <v>GOLDMAN SACHS DO BRASIL BANCO MULTIPLO S/A</v>
          </cell>
        </row>
        <row r="16120">
          <cell r="B16120">
            <v>123492</v>
          </cell>
          <cell r="C16120" t="str">
            <v>MAUA PARTICIPAÃ‡Ã•ES MASTER FIA</v>
          </cell>
          <cell r="D16120" t="str">
            <v>MAUA PARTICIPAÃ‡Ã•ES MASTER FIA</v>
          </cell>
          <cell r="E16120" t="str">
            <v>MAUA PARTICIPAÃ‡Ã•ES MASTER FIA</v>
          </cell>
        </row>
        <row r="16121">
          <cell r="B16121">
            <v>123493</v>
          </cell>
          <cell r="C16121" t="str">
            <v>MORGAN STANLEY CTVM S/A</v>
          </cell>
          <cell r="D16121" t="str">
            <v>MORGAN STANLEY CTVM S/A</v>
          </cell>
          <cell r="E16121" t="str">
            <v>MORGAN STANLEY CTVM S/A</v>
          </cell>
        </row>
        <row r="16122">
          <cell r="B16122">
            <v>123494</v>
          </cell>
          <cell r="C16122" t="str">
            <v>MORGAN STANLEY CTVM S/A</v>
          </cell>
          <cell r="D16122" t="str">
            <v>MORGAN STANLEY CTVM S/A</v>
          </cell>
          <cell r="E16122" t="str">
            <v>MORGAN STANLEY CTVM S/A</v>
          </cell>
        </row>
        <row r="16123">
          <cell r="B16123">
            <v>123495</v>
          </cell>
          <cell r="C16123" t="str">
            <v>MORGAN STANLEY CTVM S/A</v>
          </cell>
          <cell r="D16123" t="str">
            <v>MORGAN STANLEY CTVM S/A</v>
          </cell>
          <cell r="E16123" t="str">
            <v>MORGAN STANLEY CTVM S/A</v>
          </cell>
        </row>
        <row r="16124">
          <cell r="B16124">
            <v>123496</v>
          </cell>
          <cell r="C16124" t="str">
            <v>MORGAN STANLEY CTVM S/A</v>
          </cell>
          <cell r="D16124" t="str">
            <v>MORGAN STANLEY CTVM S/A</v>
          </cell>
          <cell r="E16124" t="str">
            <v>MORGAN STANLEY CTVM S/A</v>
          </cell>
        </row>
        <row r="16125">
          <cell r="B16125">
            <v>123497</v>
          </cell>
          <cell r="C16125" t="str">
            <v>MORGAN STANLEY CTVM S/A</v>
          </cell>
          <cell r="D16125" t="str">
            <v>MORGAN STANLEY CTVM S/A</v>
          </cell>
          <cell r="E16125" t="str">
            <v>MORGAN STANLEY CTVM S/A</v>
          </cell>
        </row>
        <row r="16126">
          <cell r="B16126">
            <v>123498</v>
          </cell>
          <cell r="C16126" t="str">
            <v>MORGAN STANLEY CTVM S/A</v>
          </cell>
          <cell r="D16126" t="str">
            <v>MORGAN STANLEY CTVM S/A</v>
          </cell>
          <cell r="E16126" t="str">
            <v>MORGAN STANLEY CTVM S/A</v>
          </cell>
        </row>
        <row r="16127">
          <cell r="B16127">
            <v>123499</v>
          </cell>
          <cell r="C16127" t="str">
            <v>MORGAN STANLEY CTVM S/A</v>
          </cell>
          <cell r="D16127" t="str">
            <v>MORGAN STANLEY CTVM S/A</v>
          </cell>
          <cell r="E16127" t="str">
            <v>MORGAN STANLEY CTVM S/A</v>
          </cell>
        </row>
        <row r="16128">
          <cell r="B16128">
            <v>123500</v>
          </cell>
          <cell r="C16128" t="str">
            <v>MORGAN STANLEY CTVM S/A</v>
          </cell>
          <cell r="D16128" t="str">
            <v>MORGAN STANLEY CTVM S/A</v>
          </cell>
          <cell r="E16128" t="str">
            <v>MORGAN STANLEY CTVM S/A</v>
          </cell>
        </row>
        <row r="16129">
          <cell r="B16129">
            <v>123501</v>
          </cell>
          <cell r="C16129" t="str">
            <v>MORGAN STANLEY CTVM S/A</v>
          </cell>
          <cell r="D16129" t="str">
            <v>MORGAN STANLEY CTVM S/A</v>
          </cell>
          <cell r="E16129" t="str">
            <v>MORGAN STANLEY CTVM S/A</v>
          </cell>
        </row>
        <row r="16130">
          <cell r="B16130">
            <v>123502</v>
          </cell>
          <cell r="C16130" t="str">
            <v>MORGAN STANLEY CTVM S/A</v>
          </cell>
          <cell r="D16130" t="str">
            <v>MORGAN STANLEY CTVM S/A</v>
          </cell>
          <cell r="E16130" t="str">
            <v>MORGAN STANLEY CTVM S/A</v>
          </cell>
        </row>
        <row r="16131">
          <cell r="B16131">
            <v>123503</v>
          </cell>
          <cell r="C16131" t="str">
            <v>MORGAN STANLEY CTVM S/A</v>
          </cell>
          <cell r="D16131" t="str">
            <v>MORGAN STANLEY CTVM S/A</v>
          </cell>
          <cell r="E16131" t="str">
            <v>MORGAN STANLEY CTVM S/A</v>
          </cell>
        </row>
        <row r="16132">
          <cell r="B16132">
            <v>123504</v>
          </cell>
          <cell r="C16132" t="str">
            <v>MORGAN STANLEY CTVM S/A</v>
          </cell>
          <cell r="D16132" t="str">
            <v>MORGAN STANLEY CTVM S/A</v>
          </cell>
          <cell r="E16132" t="str">
            <v>MORGAN STANLEY CTVM S/A</v>
          </cell>
        </row>
        <row r="16133">
          <cell r="B16133">
            <v>123505</v>
          </cell>
          <cell r="C16133" t="str">
            <v>MORGAN STANLEY CTVM S/A</v>
          </cell>
          <cell r="D16133" t="str">
            <v>MORGAN STANLEY CTVM S/A</v>
          </cell>
          <cell r="E16133" t="str">
            <v>MORGAN STANLEY CTVM S/A</v>
          </cell>
        </row>
        <row r="16134">
          <cell r="B16134">
            <v>123506</v>
          </cell>
          <cell r="C16134" t="str">
            <v>MORGAN STANLEY CTVM S/A</v>
          </cell>
          <cell r="D16134" t="str">
            <v>MORGAN STANLEY CTVM S/A</v>
          </cell>
          <cell r="E16134" t="str">
            <v>MORGAN STANLEY CTVM S/A</v>
          </cell>
        </row>
        <row r="16135">
          <cell r="B16135">
            <v>123507</v>
          </cell>
          <cell r="C16135" t="str">
            <v>MORGAN STANLEY CTVM S/A</v>
          </cell>
          <cell r="D16135" t="str">
            <v>MORGAN STANLEY CTVM S/A</v>
          </cell>
          <cell r="E16135" t="str">
            <v>MORGAN STANLEY CTVM S/A</v>
          </cell>
        </row>
        <row r="16136">
          <cell r="B16136">
            <v>123508</v>
          </cell>
          <cell r="C16136" t="str">
            <v>MORGAN STANLEY CTVM S/A</v>
          </cell>
          <cell r="D16136" t="str">
            <v>MORGAN STANLEY CTVM S/A</v>
          </cell>
          <cell r="E16136" t="str">
            <v>MORGAN STANLEY CTVM S/A</v>
          </cell>
        </row>
        <row r="16137">
          <cell r="B16137">
            <v>123509</v>
          </cell>
          <cell r="C16137" t="str">
            <v>MORGAN STANLEY CTVM S/A</v>
          </cell>
          <cell r="D16137" t="str">
            <v>MORGAN STANLEY CTVM S/A</v>
          </cell>
          <cell r="E16137" t="str">
            <v>MORGAN STANLEY CTVM S/A</v>
          </cell>
        </row>
        <row r="16138">
          <cell r="B16138">
            <v>123510</v>
          </cell>
          <cell r="C16138" t="str">
            <v>MORGAN STANLEY CTVM S/A</v>
          </cell>
          <cell r="D16138" t="str">
            <v>MORGAN STANLEY CTVM S/A</v>
          </cell>
          <cell r="E16138" t="str">
            <v>MORGAN STANLEY CTVM S/A</v>
          </cell>
        </row>
        <row r="16139">
          <cell r="B16139">
            <v>123511</v>
          </cell>
          <cell r="C16139" t="str">
            <v>MORGAN STANLEY CTVM S/A</v>
          </cell>
          <cell r="D16139" t="str">
            <v>MORGAN STANLEY CTVM S/A</v>
          </cell>
          <cell r="E16139" t="str">
            <v>MORGAN STANLEY CTVM S/A</v>
          </cell>
        </row>
        <row r="16140">
          <cell r="B16140">
            <v>123512</v>
          </cell>
          <cell r="C16140" t="str">
            <v>MORGAN STANLEY CTVM S/A</v>
          </cell>
          <cell r="D16140" t="str">
            <v>MORGAN STANLEY CTVM S/A</v>
          </cell>
          <cell r="E16140" t="str">
            <v>MORGAN STANLEY CTVM S/A</v>
          </cell>
        </row>
        <row r="16141">
          <cell r="B16141">
            <v>123513</v>
          </cell>
          <cell r="C16141" t="str">
            <v>MORGAN STANLEY CTVM S/A</v>
          </cell>
          <cell r="D16141" t="str">
            <v>MORGAN STANLEY CTVM S/A</v>
          </cell>
          <cell r="E16141" t="str">
            <v>MORGAN STANLEY CTVM S/A</v>
          </cell>
        </row>
        <row r="16142">
          <cell r="B16142">
            <v>123514</v>
          </cell>
          <cell r="C16142" t="str">
            <v>MORGAN STANLEY CTVM S/A</v>
          </cell>
          <cell r="D16142" t="str">
            <v>MORGAN STANLEY CTVM S/A</v>
          </cell>
          <cell r="E16142" t="str">
            <v>MORGAN STANLEY CTVM S/A</v>
          </cell>
        </row>
        <row r="16143">
          <cell r="B16143">
            <v>123515</v>
          </cell>
          <cell r="C16143" t="str">
            <v>MORGAN STANLEY CTVM S/A</v>
          </cell>
          <cell r="D16143" t="str">
            <v>MORGAN STANLEY CTVM S/A</v>
          </cell>
          <cell r="E16143" t="str">
            <v>MORGAN STANLEY CTVM S/A</v>
          </cell>
        </row>
        <row r="16144">
          <cell r="B16144">
            <v>123516</v>
          </cell>
          <cell r="C16144" t="str">
            <v>MORGAN STANLEY CTVM S/A</v>
          </cell>
          <cell r="D16144" t="str">
            <v>MORGAN STANLEY CTVM S/A</v>
          </cell>
          <cell r="E16144" t="str">
            <v>MORGAN STANLEY CTVM S/A</v>
          </cell>
        </row>
        <row r="16145">
          <cell r="B16145">
            <v>123517</v>
          </cell>
          <cell r="C16145" t="str">
            <v>MORGAN STANLEY CTVM S/A</v>
          </cell>
          <cell r="D16145" t="str">
            <v>MORGAN STANLEY CTVM S/A</v>
          </cell>
          <cell r="E16145" t="str">
            <v>MORGAN STANLEY CTVM S/A</v>
          </cell>
        </row>
        <row r="16146">
          <cell r="B16146">
            <v>123518</v>
          </cell>
          <cell r="C16146" t="str">
            <v>MORGAN STANLEY CTVM S/A</v>
          </cell>
          <cell r="D16146" t="str">
            <v>MORGAN STANLEY CTVM S/A</v>
          </cell>
          <cell r="E16146" t="str">
            <v>MORGAN STANLEY CTVM S/A</v>
          </cell>
        </row>
        <row r="16147">
          <cell r="B16147">
            <v>123519</v>
          </cell>
          <cell r="C16147" t="str">
            <v>MORGAN STANLEY CTVM S/A</v>
          </cell>
          <cell r="D16147" t="str">
            <v>MORGAN STANLEY CTVM S/A</v>
          </cell>
          <cell r="E16147" t="str">
            <v>MORGAN STANLEY CTVM S/A</v>
          </cell>
        </row>
        <row r="16148">
          <cell r="B16148">
            <v>12352</v>
          </cell>
          <cell r="C16148" t="str">
            <v>VISTA CAPITAL GESTORA DE RECURSOS LTDA.</v>
          </cell>
          <cell r="D16148" t="str">
            <v>VISTA CAPITAL GESTORA DE RECURSOS LTDA.</v>
          </cell>
          <cell r="E16148" t="str">
            <v>VISTA CAPITAL GESTORA DE RECURSOS LTDA</v>
          </cell>
        </row>
        <row r="16149">
          <cell r="B16149">
            <v>123520</v>
          </cell>
          <cell r="C16149" t="str">
            <v>MORGAN STANLEY CTVM S/A</v>
          </cell>
          <cell r="D16149" t="str">
            <v>MORGAN STANLEY CTVM S/A</v>
          </cell>
          <cell r="E16149" t="str">
            <v>MORGAN STANLEY CTVM S/A</v>
          </cell>
        </row>
        <row r="16150">
          <cell r="B16150">
            <v>123521</v>
          </cell>
          <cell r="C16150" t="str">
            <v>MORGAN STANLEY CTVM S/A</v>
          </cell>
          <cell r="D16150" t="str">
            <v>MORGAN STANLEY CTVM S/A</v>
          </cell>
          <cell r="E16150" t="str">
            <v>MORGAN STANLEY CTVM S/A</v>
          </cell>
        </row>
        <row r="16151">
          <cell r="B16151">
            <v>123522</v>
          </cell>
          <cell r="C16151" t="str">
            <v>MORGAN STANLEY CTVM S/A</v>
          </cell>
          <cell r="D16151" t="str">
            <v>MORGAN STANLEY CTVM S/A</v>
          </cell>
          <cell r="E16151" t="str">
            <v>MORGAN STANLEY CTVM S/A</v>
          </cell>
        </row>
        <row r="16152">
          <cell r="B16152">
            <v>123523</v>
          </cell>
          <cell r="C16152" t="str">
            <v>MORGAN STANLEY CTVM S/A</v>
          </cell>
          <cell r="D16152" t="str">
            <v>MORGAN STANLEY CTVM S/A</v>
          </cell>
          <cell r="E16152" t="str">
            <v>MORGAN STANLEY CTVM S/A</v>
          </cell>
        </row>
        <row r="16153">
          <cell r="B16153">
            <v>123524</v>
          </cell>
          <cell r="C16153" t="str">
            <v>MORGAN STANLEY CTVM S/A</v>
          </cell>
          <cell r="D16153" t="str">
            <v>MORGAN STANLEY CTVM S/A</v>
          </cell>
          <cell r="E16153" t="str">
            <v>MORGAN STANLEY CTVM S/A</v>
          </cell>
        </row>
        <row r="16154">
          <cell r="B16154">
            <v>123525</v>
          </cell>
          <cell r="C16154" t="str">
            <v>MORGAN STANLEY CTVM S/A</v>
          </cell>
          <cell r="D16154" t="str">
            <v>MORGAN STANLEY CTVM S/A</v>
          </cell>
          <cell r="E16154" t="str">
            <v>MORGAN STANLEY CTVM S/A</v>
          </cell>
        </row>
        <row r="16155">
          <cell r="B16155">
            <v>123526</v>
          </cell>
          <cell r="C16155" t="str">
            <v>MORGAN STANLEY CTVM S/A</v>
          </cell>
          <cell r="D16155" t="str">
            <v>MORGAN STANLEY CTVM S/A</v>
          </cell>
          <cell r="E16155" t="str">
            <v>MORGAN STANLEY CTVM S/A</v>
          </cell>
        </row>
        <row r="16156">
          <cell r="B16156">
            <v>123527</v>
          </cell>
          <cell r="C16156" t="str">
            <v>MORGAN STANLEY CTVM S/A</v>
          </cell>
          <cell r="D16156" t="str">
            <v>MORGAN STANLEY CTVM S/A</v>
          </cell>
          <cell r="E16156" t="str">
            <v>MORGAN STANLEY CTVM S/A</v>
          </cell>
        </row>
        <row r="16157">
          <cell r="B16157">
            <v>123528</v>
          </cell>
          <cell r="C16157" t="str">
            <v>MORGAN STANLEY CTVM S/A</v>
          </cell>
          <cell r="D16157" t="str">
            <v>MORGAN STANLEY CTVM S/A</v>
          </cell>
          <cell r="E16157" t="str">
            <v>MORGAN STANLEY CTVM S/A</v>
          </cell>
        </row>
        <row r="16158">
          <cell r="B16158">
            <v>123529</v>
          </cell>
          <cell r="C16158" t="str">
            <v>MORGAN STANLEY CTVM S/A</v>
          </cell>
          <cell r="D16158" t="str">
            <v>MORGAN STANLEY CTVM S/A</v>
          </cell>
          <cell r="E16158" t="str">
            <v>MORGAN STANLEY CTVM S/A</v>
          </cell>
        </row>
        <row r="16159">
          <cell r="B16159">
            <v>123530</v>
          </cell>
          <cell r="C16159" t="str">
            <v>MORGAN STANLEY CTVM S/A</v>
          </cell>
          <cell r="D16159" t="str">
            <v>MORGAN STANLEY CTVM S/A</v>
          </cell>
          <cell r="E16159" t="str">
            <v>MORGAN STANLEY CTVM S/A</v>
          </cell>
        </row>
        <row r="16160">
          <cell r="B16160">
            <v>123531</v>
          </cell>
          <cell r="C16160" t="str">
            <v>MORGAN STANLEY CTVM S/A</v>
          </cell>
          <cell r="D16160" t="str">
            <v>MORGAN STANLEY CTVM S/A</v>
          </cell>
          <cell r="E16160" t="str">
            <v>MORGAN STANLEY CTVM S/A</v>
          </cell>
        </row>
        <row r="16161">
          <cell r="B16161">
            <v>123532</v>
          </cell>
          <cell r="C16161" t="str">
            <v>MORGAN STANLEY CTVM S/A</v>
          </cell>
          <cell r="D16161" t="str">
            <v>MORGAN STANLEY CTVM S/A</v>
          </cell>
          <cell r="E16161" t="str">
            <v>MORGAN STANLEY CTVM S/A</v>
          </cell>
        </row>
        <row r="16162">
          <cell r="B16162">
            <v>123537</v>
          </cell>
          <cell r="C16162" t="str">
            <v>OITI FIM CP IE</v>
          </cell>
          <cell r="D16162" t="str">
            <v>OITI FIM CP IE</v>
          </cell>
          <cell r="E16162" t="str">
            <v>ITAU UNIBANCO S/A</v>
          </cell>
        </row>
        <row r="16163">
          <cell r="B16163">
            <v>12354</v>
          </cell>
          <cell r="C16163" t="str">
            <v>MVP CAPITAL GESTAO DE RECURSOS LTDA</v>
          </cell>
          <cell r="D16163" t="str">
            <v>MVP CAPITAL GESTAO DE RECURSOS LTDA</v>
          </cell>
          <cell r="E16163" t="str">
            <v>MVP CAPITAL GESTAO DE RECURSOS LTDA</v>
          </cell>
        </row>
        <row r="16164">
          <cell r="B16164">
            <v>123546</v>
          </cell>
          <cell r="C16164" t="str">
            <v>KYROS MAX MASTER FIM</v>
          </cell>
          <cell r="D16164" t="str">
            <v>KYROS MAX MASTER FIM</v>
          </cell>
          <cell r="E16164" t="str">
            <v>KYROS MAX MASTER FIM</v>
          </cell>
        </row>
        <row r="16165">
          <cell r="B16165">
            <v>123547</v>
          </cell>
          <cell r="C16165" t="str">
            <v>KYROS HEDGE MASTER FIM</v>
          </cell>
          <cell r="D16165" t="str">
            <v>KYROS HEDGE MASTER FIM</v>
          </cell>
          <cell r="E16165" t="str">
            <v>KYROS HEDGE MASTER FIM</v>
          </cell>
        </row>
        <row r="16166">
          <cell r="B16166">
            <v>123548</v>
          </cell>
          <cell r="C16166" t="str">
            <v>KGR TOTAL MASTER FIM</v>
          </cell>
          <cell r="D16166" t="str">
            <v>KGR TOTAL MASTER FIM</v>
          </cell>
          <cell r="E16166" t="str">
            <v>KGR TOTAL MASTER FIM</v>
          </cell>
        </row>
        <row r="16167">
          <cell r="B16167">
            <v>123549</v>
          </cell>
          <cell r="C16167" t="str">
            <v>ABSOLUTE VERTEX MASTER FIM</v>
          </cell>
          <cell r="D16167" t="str">
            <v>ABSOLUTE VERTEX MASTER FIM</v>
          </cell>
          <cell r="E16167" t="str">
            <v>ABSOLUTE GESTAO DE INVESTIMENTOS LTDA</v>
          </cell>
        </row>
        <row r="16168">
          <cell r="B16168">
            <v>12355</v>
          </cell>
          <cell r="C16168" t="str">
            <v>QUATA GESTAO DE RECURSOS LTDA</v>
          </cell>
          <cell r="D16168" t="str">
            <v>QUATA GESTAO DE RECURSOS LTDA</v>
          </cell>
          <cell r="E16168" t="str">
            <v>QUATA GESTAO DE RECURSOS LTDA</v>
          </cell>
        </row>
        <row r="16169">
          <cell r="B16169">
            <v>123554</v>
          </cell>
          <cell r="C16169" t="str">
            <v>VISTA LONG SHORT FIM</v>
          </cell>
          <cell r="D16169" t="str">
            <v>VISTA LONG SHORT FIM</v>
          </cell>
          <cell r="E16169" t="str">
            <v>VISTA CAPITAL GESTORA DE RECURSOS LTDA</v>
          </cell>
        </row>
        <row r="16170">
          <cell r="B16170">
            <v>123555</v>
          </cell>
          <cell r="C16170" t="str">
            <v>VISTA MULTIESTRATEGIA FIM</v>
          </cell>
          <cell r="D16170" t="str">
            <v>VISTA MULTIESTRATEGIA FIM</v>
          </cell>
          <cell r="E16170" t="str">
            <v>VISTA CAPITAL GESTORA DE RECURSOS LTDA</v>
          </cell>
        </row>
        <row r="16171">
          <cell r="B16171">
            <v>123556</v>
          </cell>
          <cell r="C16171" t="str">
            <v>VISTA FIA ( ANTIGO L3 FIA)</v>
          </cell>
          <cell r="D16171" t="str">
            <v>VISTA FIA ( ANTIGO L3 FIA)</v>
          </cell>
          <cell r="E16171" t="str">
            <v>VISTA CAPITAL GESTORA DE RECURSOS LTDA</v>
          </cell>
        </row>
        <row r="16172">
          <cell r="B16172">
            <v>123557</v>
          </cell>
          <cell r="C16172" t="str">
            <v>MORGAN STANLEY CTVM S/A</v>
          </cell>
          <cell r="D16172" t="str">
            <v>MORGAN STANLEY CTVM S/A</v>
          </cell>
          <cell r="E16172" t="str">
            <v>MORGAN STANLEY CTVM S/A</v>
          </cell>
        </row>
        <row r="16173">
          <cell r="B16173">
            <v>123558</v>
          </cell>
          <cell r="C16173" t="str">
            <v>MORGAN STANLEY CTVM S/A</v>
          </cell>
          <cell r="D16173" t="str">
            <v>MORGAN STANLEY CTVM S/A</v>
          </cell>
          <cell r="E16173" t="str">
            <v>MORGAN STANLEY CTVM S/A</v>
          </cell>
        </row>
        <row r="16174">
          <cell r="B16174">
            <v>123559</v>
          </cell>
          <cell r="C16174" t="str">
            <v>MORGAN STANLEY CTVM S/A</v>
          </cell>
          <cell r="D16174" t="str">
            <v>MORGAN STANLEY CTVM S/A</v>
          </cell>
          <cell r="E16174" t="str">
            <v>MORGAN STANLEY CTVM S/A</v>
          </cell>
        </row>
        <row r="16175">
          <cell r="B16175">
            <v>123560</v>
          </cell>
          <cell r="C16175" t="str">
            <v>MORGAN STANLEY CTVM S/A</v>
          </cell>
          <cell r="D16175" t="str">
            <v>MORGAN STANLEY CTVM S/A</v>
          </cell>
          <cell r="E16175" t="str">
            <v>MORGAN STANLEY CTVM S/A</v>
          </cell>
        </row>
        <row r="16176">
          <cell r="B16176">
            <v>123561</v>
          </cell>
          <cell r="C16176" t="str">
            <v>MORGAN STANLEY CTVM S/A</v>
          </cell>
          <cell r="D16176" t="str">
            <v>MORGAN STANLEY CTVM S/A</v>
          </cell>
          <cell r="E16176" t="str">
            <v>MORGAN STANLEY CTVM S/A</v>
          </cell>
        </row>
        <row r="16177">
          <cell r="B16177">
            <v>123562</v>
          </cell>
          <cell r="C16177" t="str">
            <v>MORGAN STANLEY CTVM S/A</v>
          </cell>
          <cell r="D16177" t="str">
            <v>MORGAN STANLEY CTVM S/A</v>
          </cell>
          <cell r="E16177" t="str">
            <v>MORGAN STANLEY CTVM S/A</v>
          </cell>
        </row>
        <row r="16178">
          <cell r="B16178">
            <v>123563</v>
          </cell>
          <cell r="C16178" t="str">
            <v>MORGAN STANLEY CTVM S/A</v>
          </cell>
          <cell r="D16178" t="str">
            <v>MORGAN STANLEY CTVM S/A</v>
          </cell>
          <cell r="E16178" t="str">
            <v>MORGAN STANLEY CTVM S/A</v>
          </cell>
        </row>
        <row r="16179">
          <cell r="B16179">
            <v>123564</v>
          </cell>
          <cell r="C16179" t="str">
            <v>MORGAN STANLEY CTVM S/A</v>
          </cell>
          <cell r="D16179" t="str">
            <v>MORGAN STANLEY CTVM S/A</v>
          </cell>
          <cell r="E16179" t="str">
            <v>MORGAN STANLEY CTVM S/A</v>
          </cell>
        </row>
        <row r="16180">
          <cell r="B16180">
            <v>123565</v>
          </cell>
          <cell r="C16180" t="str">
            <v>MORGAN STANLEY CTVM S/A</v>
          </cell>
          <cell r="D16180" t="str">
            <v>MORGAN STANLEY CTVM S/A</v>
          </cell>
          <cell r="E16180" t="str">
            <v>MORGAN STANLEY CTVM S/A</v>
          </cell>
        </row>
        <row r="16181">
          <cell r="B16181">
            <v>123566</v>
          </cell>
          <cell r="C16181" t="str">
            <v>ARX MACRO MASTER FIF MULT RESP LTDA</v>
          </cell>
          <cell r="D16181" t="str">
            <v>ARX MACRO MASTER FIF MULT RESP LTDA</v>
          </cell>
          <cell r="E16181" t="str">
            <v>ARX INVESTIMENTOS LTDA</v>
          </cell>
        </row>
        <row r="16182">
          <cell r="B16182">
            <v>123567</v>
          </cell>
          <cell r="C16182" t="str">
            <v>MORGAN STANLEY CTVM S/A</v>
          </cell>
          <cell r="D16182" t="str">
            <v>MORGAN STANLEY CTVM S/A</v>
          </cell>
          <cell r="E16182" t="str">
            <v>MORGAN STANLEY CTVM S/A</v>
          </cell>
        </row>
        <row r="16183">
          <cell r="B16183">
            <v>123568</v>
          </cell>
          <cell r="C16183" t="str">
            <v>MORGAN STANLEY CTVM S/A</v>
          </cell>
          <cell r="D16183" t="str">
            <v>MORGAN STANLEY CTVM S/A</v>
          </cell>
          <cell r="E16183" t="str">
            <v>MORGAN STANLEY CTVM S/A</v>
          </cell>
        </row>
        <row r="16184">
          <cell r="B16184">
            <v>123569</v>
          </cell>
          <cell r="C16184" t="str">
            <v>MORGAN STANLEY CTVM S/A</v>
          </cell>
          <cell r="D16184" t="str">
            <v>MORGAN STANLEY CTVM S/A</v>
          </cell>
          <cell r="E16184" t="str">
            <v>MORGAN STANLEY CTVM S/A</v>
          </cell>
        </row>
        <row r="16185">
          <cell r="B16185">
            <v>123570</v>
          </cell>
          <cell r="C16185" t="str">
            <v>MORGAN STANLEY CTVM S/A</v>
          </cell>
          <cell r="D16185" t="str">
            <v>MORGAN STANLEY CTVM S/A</v>
          </cell>
          <cell r="E16185" t="str">
            <v>MORGAN STANLEY CTVM S/A</v>
          </cell>
        </row>
        <row r="16186">
          <cell r="B16186">
            <v>123571</v>
          </cell>
          <cell r="C16186" t="str">
            <v>MORGAN STANLEY CTVM S/A</v>
          </cell>
          <cell r="D16186" t="str">
            <v>MORGAN STANLEY CTVM S/A</v>
          </cell>
          <cell r="E16186" t="str">
            <v>MORGAN STANLEY CTVM S/A</v>
          </cell>
        </row>
        <row r="16187">
          <cell r="B16187">
            <v>123572</v>
          </cell>
          <cell r="C16187" t="str">
            <v>QUELUZ MACRO I FIM</v>
          </cell>
          <cell r="D16187" t="str">
            <v>QUELUZ MACRO I FIM</v>
          </cell>
          <cell r="E16187" t="str">
            <v>QLZ GESTAO DE RECURSOS FINANCEIROS LTDA</v>
          </cell>
        </row>
        <row r="16188">
          <cell r="B16188">
            <v>123573</v>
          </cell>
          <cell r="C16188" t="str">
            <v>QUELUZ ALPHA FIM</v>
          </cell>
          <cell r="D16188" t="str">
            <v>QUELUZ ALPHA FIM</v>
          </cell>
          <cell r="E16188" t="str">
            <v>QLZ GESTAO DE RECURSOS FINANCEIROS LTDA</v>
          </cell>
        </row>
        <row r="16189">
          <cell r="B16189">
            <v>123574</v>
          </cell>
          <cell r="C16189" t="str">
            <v>QUELUZ TRADER FIM</v>
          </cell>
          <cell r="D16189" t="str">
            <v>QUELUZ TRADER FIM</v>
          </cell>
          <cell r="E16189" t="str">
            <v>QLZ GESTAO DE RECURSOS FINANCEIROS LTDA</v>
          </cell>
        </row>
        <row r="16190">
          <cell r="B16190">
            <v>123575</v>
          </cell>
          <cell r="C16190" t="str">
            <v>FIM DT</v>
          </cell>
          <cell r="D16190" t="str">
            <v>FIM DT</v>
          </cell>
          <cell r="E16190" t="str">
            <v>FIM DT</v>
          </cell>
        </row>
        <row r="16191">
          <cell r="B16191">
            <v>123579</v>
          </cell>
          <cell r="C16191" t="str">
            <v>KINEA II MACRO FIM</v>
          </cell>
          <cell r="D16191" t="str">
            <v>KINEA II MACRO FIM</v>
          </cell>
          <cell r="E16191" t="str">
            <v>KINEA II MACRO FIM</v>
          </cell>
        </row>
        <row r="16192">
          <cell r="B16192">
            <v>123581</v>
          </cell>
          <cell r="C16192" t="str">
            <v>KINEA CHRONOS FIM</v>
          </cell>
          <cell r="D16192" t="str">
            <v>KINEA CHRONOS FIM</v>
          </cell>
          <cell r="E16192" t="str">
            <v>KINEA CHRONOS FIM</v>
          </cell>
        </row>
        <row r="16193">
          <cell r="B16193">
            <v>123582</v>
          </cell>
          <cell r="C16193" t="str">
            <v>FI RF PREVISAO II</v>
          </cell>
          <cell r="D16193" t="str">
            <v>FI RF PREVISAO II</v>
          </cell>
          <cell r="E16193" t="str">
            <v>SANTANDER BRASIL GESTAO DE RECURSOS LTDA</v>
          </cell>
        </row>
        <row r="16194">
          <cell r="B16194">
            <v>123583</v>
          </cell>
          <cell r="C16194" t="str">
            <v>FIA DELOS</v>
          </cell>
          <cell r="D16194" t="str">
            <v>FIA DELOS</v>
          </cell>
          <cell r="E16194" t="str">
            <v>SANTANDER BRASIL GESTAO DE RECURSOS LTDA</v>
          </cell>
        </row>
        <row r="16195">
          <cell r="B16195">
            <v>123584</v>
          </cell>
          <cell r="C16195" t="str">
            <v>CORAL FIM CP</v>
          </cell>
          <cell r="D16195" t="str">
            <v>CORAL FIM CP</v>
          </cell>
          <cell r="E16195" t="str">
            <v>CORAL FIM CP</v>
          </cell>
        </row>
        <row r="16196">
          <cell r="B16196">
            <v>123585</v>
          </cell>
          <cell r="C16196" t="str">
            <v>CREDIT SUISSE (BRASIL) S/A CTVM</v>
          </cell>
          <cell r="D16196" t="str">
            <v>CREDIT SUISSE (BRASIL) S/A CTVM</v>
          </cell>
          <cell r="E16196" t="str">
            <v>CREDIT SUISSE (BRASIL) S/A CTVM</v>
          </cell>
        </row>
        <row r="16197">
          <cell r="B16197">
            <v>123588</v>
          </cell>
          <cell r="C16197" t="str">
            <v>MORGAN STANLEY CTVM S/A</v>
          </cell>
          <cell r="D16197" t="str">
            <v>MORGAN STANLEY CTVM S/A</v>
          </cell>
          <cell r="E16197" t="str">
            <v>MORGAN STANLEY CTVM S/A</v>
          </cell>
        </row>
        <row r="16198">
          <cell r="B16198">
            <v>123589</v>
          </cell>
          <cell r="C16198" t="str">
            <v>MORGAN STANLEY CTVM S/A</v>
          </cell>
          <cell r="D16198" t="str">
            <v>MORGAN STANLEY CTVM S/A</v>
          </cell>
          <cell r="E16198" t="str">
            <v>MORGAN STANLEY CTVM S/A</v>
          </cell>
        </row>
        <row r="16199">
          <cell r="B16199">
            <v>123590</v>
          </cell>
          <cell r="C16199" t="str">
            <v>MORGAN STANLEY CTVM S/A</v>
          </cell>
          <cell r="D16199" t="str">
            <v>MORGAN STANLEY CTVM S/A</v>
          </cell>
          <cell r="E16199" t="str">
            <v>MORGAN STANLEY CTVM S/A</v>
          </cell>
        </row>
        <row r="16200">
          <cell r="B16200">
            <v>123591</v>
          </cell>
          <cell r="C16200" t="str">
            <v>MORGAN STANLEY CTVM S/A</v>
          </cell>
          <cell r="D16200" t="str">
            <v>MORGAN STANLEY CTVM S/A</v>
          </cell>
          <cell r="E16200" t="str">
            <v>MORGAN STANLEY CTVM S/A</v>
          </cell>
        </row>
        <row r="16201">
          <cell r="B16201">
            <v>123592</v>
          </cell>
          <cell r="C16201" t="str">
            <v>MORGAN STANLEY CTVM S/A</v>
          </cell>
          <cell r="D16201" t="str">
            <v>MORGAN STANLEY CTVM S/A</v>
          </cell>
          <cell r="E16201" t="str">
            <v>MORGAN STANLEY CTVM S/A</v>
          </cell>
        </row>
        <row r="16202">
          <cell r="B16202">
            <v>123593</v>
          </cell>
          <cell r="C16202" t="str">
            <v>MORGAN STANLEY CTVM S/A</v>
          </cell>
          <cell r="D16202" t="str">
            <v>MORGAN STANLEY CTVM S/A</v>
          </cell>
          <cell r="E16202" t="str">
            <v>MORGAN STANLEY CTVM S/A</v>
          </cell>
        </row>
        <row r="16203">
          <cell r="B16203">
            <v>123594</v>
          </cell>
          <cell r="C16203" t="str">
            <v>MORGAN STANLEY CTVM S/A</v>
          </cell>
          <cell r="D16203" t="str">
            <v>MORGAN STANLEY CTVM S/A</v>
          </cell>
          <cell r="E16203" t="str">
            <v>MORGAN STANLEY CTVM S/A</v>
          </cell>
        </row>
        <row r="16204">
          <cell r="B16204">
            <v>123595</v>
          </cell>
          <cell r="C16204" t="str">
            <v>MORGAN STANLEY CTVM S/A</v>
          </cell>
          <cell r="D16204" t="str">
            <v>MORGAN STANLEY CTVM S/A</v>
          </cell>
          <cell r="E16204" t="str">
            <v>MORGAN STANLEY CTVM S/A</v>
          </cell>
        </row>
        <row r="16205">
          <cell r="B16205">
            <v>123596</v>
          </cell>
          <cell r="C16205" t="str">
            <v>MORGAN STANLEY CTVM S/A</v>
          </cell>
          <cell r="D16205" t="str">
            <v>MORGAN STANLEY CTVM S/A</v>
          </cell>
          <cell r="E16205" t="str">
            <v>MORGAN STANLEY CTVM S/A</v>
          </cell>
        </row>
        <row r="16206">
          <cell r="B16206">
            <v>123597</v>
          </cell>
          <cell r="C16206" t="str">
            <v>MORGAN STANLEY CTVM S/A</v>
          </cell>
          <cell r="D16206" t="str">
            <v>MORGAN STANLEY CTVM S/A</v>
          </cell>
          <cell r="E16206" t="str">
            <v>MORGAN STANLEY CTVM S/A</v>
          </cell>
        </row>
        <row r="16207">
          <cell r="B16207">
            <v>123598</v>
          </cell>
          <cell r="C16207" t="str">
            <v>MORGAN STANLEY CTVM S/A</v>
          </cell>
          <cell r="D16207" t="str">
            <v>MORGAN STANLEY CTVM S/A</v>
          </cell>
          <cell r="E16207" t="str">
            <v>MORGAN STANLEY CTVM S/A</v>
          </cell>
        </row>
        <row r="16208">
          <cell r="B16208">
            <v>1236</v>
          </cell>
          <cell r="C16208" t="str">
            <v>INTERBOLSA DO BRASIL CCTVM LTDA</v>
          </cell>
          <cell r="D16208">
            <v>1236</v>
          </cell>
          <cell r="E16208" t="str">
            <v>INTERBOLSA DO BRASIL CCTVM LTDA</v>
          </cell>
        </row>
        <row r="16209">
          <cell r="B16209">
            <v>12360</v>
          </cell>
          <cell r="C16209" t="str">
            <v>AT FIM CP IE</v>
          </cell>
          <cell r="D16209" t="str">
            <v>AT FIM CP IE</v>
          </cell>
          <cell r="E16209" t="str">
            <v>AT FIM CP IE</v>
          </cell>
        </row>
        <row r="16210">
          <cell r="B16210">
            <v>123602</v>
          </cell>
          <cell r="C16210" t="str">
            <v>HERTZ FIM PREVIDENCIARIO</v>
          </cell>
          <cell r="D16210" t="str">
            <v>HERTZ FIM PREVIDENCIARIO</v>
          </cell>
          <cell r="E16210" t="str">
            <v>HERTZ FIM PREVIDENCIARIO</v>
          </cell>
        </row>
        <row r="16211">
          <cell r="B16211">
            <v>123603</v>
          </cell>
          <cell r="C16211" t="str">
            <v>RAFAEL MIRANDA NOGUEIRA</v>
          </cell>
          <cell r="D16211" t="str">
            <v>RAFAEL MIRANDA NOGUEIRA</v>
          </cell>
          <cell r="E16211" t="str">
            <v>RAFAEL MIRANDA NOGUEIRA</v>
          </cell>
        </row>
        <row r="16212">
          <cell r="B16212">
            <v>123604</v>
          </cell>
          <cell r="C16212" t="str">
            <v>ANA PAULA CORREIA HOLLANDA</v>
          </cell>
          <cell r="D16212" t="str">
            <v>ANA PAULA CORREIA HOLLANDA</v>
          </cell>
          <cell r="E16212" t="str">
            <v>ANA PAULA CORREIA HOLLANDA</v>
          </cell>
        </row>
        <row r="16213">
          <cell r="B16213">
            <v>123605</v>
          </cell>
          <cell r="C16213" t="str">
            <v>NOVA JAVA FIM CP IE</v>
          </cell>
          <cell r="D16213" t="str">
            <v>NOVA JAVA FIM CP IE</v>
          </cell>
          <cell r="E16213" t="str">
            <v>QUATA GESTAO DE RECURSOS LTDA</v>
          </cell>
        </row>
        <row r="16214">
          <cell r="B16214">
            <v>123606</v>
          </cell>
          <cell r="C16214" t="str">
            <v>FIM CP BERETTA IE</v>
          </cell>
          <cell r="D16214" t="str">
            <v>FIM CP BERETTA IE</v>
          </cell>
          <cell r="E16214" t="str">
            <v>QUATA GESTAO DE RECURSOS LTDA</v>
          </cell>
        </row>
        <row r="16215">
          <cell r="B16215">
            <v>123607</v>
          </cell>
          <cell r="C16215" t="str">
            <v>SELECT FI RF CP</v>
          </cell>
          <cell r="D16215" t="str">
            <v>SELECT FI RF CP</v>
          </cell>
          <cell r="E16215" t="str">
            <v>QUATA GESTAO DE RECURSOS LTDA</v>
          </cell>
        </row>
        <row r="16216">
          <cell r="B16216">
            <v>123608</v>
          </cell>
          <cell r="C16216" t="str">
            <v>FIDES HEDGE PLUS FIM</v>
          </cell>
          <cell r="D16216" t="str">
            <v>FIDES HEDGE PLUS FIM</v>
          </cell>
          <cell r="E16216" t="str">
            <v>TAVOLA CAPITAL GESTAO DE RECURSOS LTDA</v>
          </cell>
        </row>
        <row r="16217">
          <cell r="B16217">
            <v>80254</v>
          </cell>
          <cell r="C16217" t="str">
            <v>SUL AMERICA BRASIL PLURAL MASTER PREV FI RF CP</v>
          </cell>
          <cell r="D16217" t="str">
            <v>SUL AMERICA BRASIL PLURAL MASTER PREV FI RF CP</v>
          </cell>
          <cell r="E16217" t="str">
            <v>PLURAL GESTÃO DE RECURSOS LTDA</v>
          </cell>
        </row>
        <row r="16218">
          <cell r="B16218">
            <v>12361</v>
          </cell>
          <cell r="C16218" t="str">
            <v>GBS FUNDO DE INVESTIMENTO MULTIMERCADO</v>
          </cell>
          <cell r="D16218" t="str">
            <v>GBS FUNDO DE INVESTIMENTO MULTIMERCADO</v>
          </cell>
          <cell r="E16218" t="str">
            <v>GAVEA GESTAO DE INVESTIMENTOS LTDA</v>
          </cell>
        </row>
        <row r="16219">
          <cell r="B16219">
            <v>123610</v>
          </cell>
          <cell r="C16219" t="str">
            <v>BANCO FATOR S/A</v>
          </cell>
          <cell r="D16219" t="str">
            <v>BANCO FATOR S/A</v>
          </cell>
          <cell r="E16219" t="str">
            <v>BANCO FATOR S/A</v>
          </cell>
        </row>
        <row r="16220">
          <cell r="B16220">
            <v>123615</v>
          </cell>
          <cell r="C16220" t="str">
            <v>BANESPREV MAIS VALOR AÇOES FI</v>
          </cell>
          <cell r="D16220" t="str">
            <v>BANESPREV MAIS VALOR AÇOES FI</v>
          </cell>
          <cell r="E16220" t="str">
            <v>INVESTIDOR PROFISSIONAL GESTAO DE RECURSOS LTDA</v>
          </cell>
        </row>
        <row r="16221">
          <cell r="B16221">
            <v>12362</v>
          </cell>
          <cell r="C16221" t="str">
            <v>GAVEA BRASIL FUNDO DE INVESTIMENTO MULTIMERCADO</v>
          </cell>
          <cell r="D16221" t="str">
            <v>GAVEA BRASIL FUNDO DE INVESTIMENTO MULTIMERCADO</v>
          </cell>
          <cell r="E16221" t="str">
            <v>GAVEA BRASIL FUNDO DE INVESTIMENTO MULTIMERCADO</v>
          </cell>
        </row>
        <row r="16222">
          <cell r="B16222">
            <v>82663</v>
          </cell>
          <cell r="C16222" t="str">
            <v>FUTURE FUNDO DE INVESTIMENTO FINANCEIRO</v>
          </cell>
          <cell r="D16222" t="str">
            <v>FUTURE FUNDO DE INVESTIMENTO FINANCEIRO</v>
          </cell>
          <cell r="E16222" t="str">
            <v>PLURAL INVESTIMENTOS GESTAO DE RECURSOS LTDA</v>
          </cell>
        </row>
        <row r="16223">
          <cell r="B16223">
            <v>123625</v>
          </cell>
          <cell r="C16223" t="str">
            <v>MORGAN STANLEY CTVM S/A</v>
          </cell>
          <cell r="D16223" t="str">
            <v>MORGAN STANLEY CTVM S/A</v>
          </cell>
          <cell r="E16223" t="str">
            <v>MORGAN STANLEY CTVM S/A</v>
          </cell>
        </row>
        <row r="16224">
          <cell r="B16224">
            <v>123626</v>
          </cell>
          <cell r="C16224" t="str">
            <v>MORGAN STANLEY CTVM S/A</v>
          </cell>
          <cell r="D16224" t="str">
            <v>MORGAN STANLEY CTVM S/A</v>
          </cell>
          <cell r="E16224" t="str">
            <v>MORGAN STANLEY CTVM S/A</v>
          </cell>
        </row>
        <row r="16225">
          <cell r="B16225">
            <v>123627</v>
          </cell>
          <cell r="C16225" t="str">
            <v>MORGAN STANLEY CTVM S/A</v>
          </cell>
          <cell r="D16225" t="str">
            <v>MORGAN STANLEY CTVM S/A</v>
          </cell>
          <cell r="E16225" t="str">
            <v>MORGAN STANLEY CTVM S/A</v>
          </cell>
        </row>
        <row r="16226">
          <cell r="B16226">
            <v>123628</v>
          </cell>
          <cell r="C16226" t="str">
            <v>MORGAN STANLEY CTVM S/A</v>
          </cell>
          <cell r="D16226" t="str">
            <v>MORGAN STANLEY CTVM S/A</v>
          </cell>
          <cell r="E16226" t="str">
            <v>MORGAN STANLEY CTVM S/A</v>
          </cell>
        </row>
        <row r="16227">
          <cell r="B16227">
            <v>123629</v>
          </cell>
          <cell r="C16227" t="str">
            <v>MORGAN STANLEY CTVM S/A</v>
          </cell>
          <cell r="D16227" t="str">
            <v>MORGAN STANLEY CTVM S/A</v>
          </cell>
          <cell r="E16227" t="str">
            <v>MORGAN STANLEY CTVM S/A</v>
          </cell>
        </row>
        <row r="16228">
          <cell r="B16228">
            <v>12363</v>
          </cell>
          <cell r="C16228" t="str">
            <v>GAVEA MACRO MASTER FIM</v>
          </cell>
          <cell r="D16228">
            <v>13363</v>
          </cell>
          <cell r="E16228" t="str">
            <v>GAVEA GESTAO DE INVESTIMENTOS LTDA</v>
          </cell>
        </row>
        <row r="16229">
          <cell r="B16229">
            <v>123630</v>
          </cell>
          <cell r="C16229" t="str">
            <v>MODENA INSTITUCIONAL GEAP FIA</v>
          </cell>
          <cell r="D16229" t="str">
            <v>MODENA INSTITUCIONAL GEAP FIA</v>
          </cell>
          <cell r="E16229" t="str">
            <v>ARX INVESTIMENTOS LTDA</v>
          </cell>
        </row>
        <row r="16230">
          <cell r="B16230">
            <v>12364</v>
          </cell>
          <cell r="C16230" t="str">
            <v>MACRO GAVEA FUNDO DE INVESTIMENTO MULTIMERCADO</v>
          </cell>
          <cell r="D16230" t="str">
            <v>MACRO GAVEA FUNDO DE INVESTIMENTO MULTIMERCADO</v>
          </cell>
          <cell r="E16230" t="str">
            <v>GAVEA GESTAO DE INVESTIMENTOS LTDA</v>
          </cell>
        </row>
        <row r="16231">
          <cell r="B16231">
            <v>123645</v>
          </cell>
          <cell r="C16231" t="str">
            <v>NEXT FIM CP</v>
          </cell>
          <cell r="D16231" t="str">
            <v>NEXT FIM CP</v>
          </cell>
          <cell r="E16231" t="str">
            <v>MANDATTO GESTAO DE INVESTIMENTOS LTDA</v>
          </cell>
        </row>
        <row r="16232">
          <cell r="B16232">
            <v>123646</v>
          </cell>
          <cell r="C16232" t="str">
            <v>MORGAN STANLEY CTVM S/A</v>
          </cell>
          <cell r="D16232" t="str">
            <v>MORGAN STANLEY CTVM S/A</v>
          </cell>
          <cell r="E16232" t="str">
            <v>MORGAN STANLEY CTVM S/A</v>
          </cell>
        </row>
        <row r="16233">
          <cell r="B16233">
            <v>123647</v>
          </cell>
          <cell r="C16233" t="str">
            <v>MORGAN STANLEY CTVM S/A</v>
          </cell>
          <cell r="D16233" t="str">
            <v>MORGAN STANLEY CTVM S/A</v>
          </cell>
          <cell r="E16233" t="str">
            <v>MORGAN STANLEY CTVM S/A</v>
          </cell>
        </row>
        <row r="16234">
          <cell r="B16234">
            <v>123648</v>
          </cell>
          <cell r="C16234" t="str">
            <v>RONALD DE OLIVEIRA SOUZA</v>
          </cell>
          <cell r="D16234" t="str">
            <v>RONALD DE OLIVEIRA SOUZA</v>
          </cell>
          <cell r="E16234" t="str">
            <v>RONALD DE OLIVEIRA SOUZA</v>
          </cell>
        </row>
        <row r="16235">
          <cell r="B16235">
            <v>123649</v>
          </cell>
          <cell r="C16235" t="str">
            <v>MORGAN STANLEY CTVM S/A</v>
          </cell>
          <cell r="D16235" t="str">
            <v>MORGAN STANLEY CTVM S/A</v>
          </cell>
          <cell r="E16235" t="str">
            <v>MORGAN STANLEY CTVM S/A</v>
          </cell>
        </row>
        <row r="16236">
          <cell r="B16236">
            <v>12365</v>
          </cell>
          <cell r="C16236" t="str">
            <v>P S FUNDO DE INVESTIMENTO MULTIMERCADO</v>
          </cell>
          <cell r="D16236" t="str">
            <v>P S FUNDO DE INVESTIMENTO MULTIMERCADO</v>
          </cell>
          <cell r="E16236" t="str">
            <v>P S FUNDO DE INVESTIMENTO MULTIMERCADO</v>
          </cell>
        </row>
        <row r="16237">
          <cell r="B16237">
            <v>123650</v>
          </cell>
          <cell r="C16237" t="str">
            <v>ARX FIA</v>
          </cell>
          <cell r="D16237" t="str">
            <v>ARX FIA</v>
          </cell>
          <cell r="E16237" t="str">
            <v>ARX INVESTIMENTOS LTDA</v>
          </cell>
        </row>
        <row r="16238">
          <cell r="B16238">
            <v>123651</v>
          </cell>
          <cell r="C16238" t="str">
            <v>ARX LS MASTER FIM</v>
          </cell>
          <cell r="D16238" t="str">
            <v>ARX LS MASTER FIM</v>
          </cell>
          <cell r="E16238" t="str">
            <v>ARX INVESTIMENTOS LTDA</v>
          </cell>
        </row>
        <row r="16239">
          <cell r="B16239">
            <v>123652</v>
          </cell>
          <cell r="C16239" t="str">
            <v>ARX EXTRA FIC DE FIM</v>
          </cell>
          <cell r="D16239" t="str">
            <v>ARX EXTRA FIC DE FIM</v>
          </cell>
          <cell r="E16239" t="str">
            <v>ARX INVESTIMENTOS LTDA</v>
          </cell>
        </row>
        <row r="16240">
          <cell r="B16240">
            <v>123654</v>
          </cell>
          <cell r="C16240" t="str">
            <v>ARX INCOME FIC FIA</v>
          </cell>
          <cell r="D16240" t="str">
            <v>ARX INCOME FIC FIA</v>
          </cell>
          <cell r="E16240" t="str">
            <v>ARX INVESTIMENTOS LTDA</v>
          </cell>
        </row>
        <row r="16241">
          <cell r="B16241">
            <v>123655</v>
          </cell>
          <cell r="C16241" t="str">
            <v>ARX LONG TERM FIA</v>
          </cell>
          <cell r="D16241" t="str">
            <v>ARX LONG TERM FIA</v>
          </cell>
          <cell r="E16241" t="str">
            <v>ARX INVESTIMENTOS LTDA</v>
          </cell>
        </row>
        <row r="16242">
          <cell r="B16242">
            <v>123656</v>
          </cell>
          <cell r="C16242" t="str">
            <v>ARX LONG TERM INSTITUCIONAL FIA</v>
          </cell>
          <cell r="D16242" t="str">
            <v>ARX LONG TERM INSTITUCIONAL FIA</v>
          </cell>
          <cell r="E16242" t="str">
            <v>ARX LONG TERM INSTITUCIONAL FIA</v>
          </cell>
        </row>
        <row r="16243">
          <cell r="B16243">
            <v>123657</v>
          </cell>
          <cell r="C16243" t="str">
            <v>MORGAN STANLEY CTVM S/A</v>
          </cell>
          <cell r="D16243" t="str">
            <v>MORGAN STANLEY CTVM S/A</v>
          </cell>
          <cell r="E16243" t="str">
            <v>MORGAN STANLEY CTVM S/A</v>
          </cell>
        </row>
        <row r="16244">
          <cell r="B16244">
            <v>123658</v>
          </cell>
          <cell r="C16244" t="str">
            <v>MORGAN STANLEY CTVM S/A</v>
          </cell>
          <cell r="D16244" t="str">
            <v>MORGAN STANLEY CTVM S/A</v>
          </cell>
          <cell r="E16244" t="str">
            <v>MORGAN STANLEY CTVM S/A</v>
          </cell>
        </row>
        <row r="16245">
          <cell r="B16245">
            <v>123659</v>
          </cell>
          <cell r="C16245" t="str">
            <v>FPRV ARX MELRO FIA PREVIDENCIARIO</v>
          </cell>
          <cell r="D16245" t="str">
            <v>FPRV ARX MELRO FIA PREVIDENCIARIO</v>
          </cell>
          <cell r="E16245" t="str">
            <v>ARX INVESTIMENTOS LTDA</v>
          </cell>
        </row>
        <row r="16246">
          <cell r="B16246">
            <v>12366</v>
          </cell>
          <cell r="C16246" t="str">
            <v>CITIGROUP GLOBAL MARKETS BRASIL CCTVM S/A</v>
          </cell>
          <cell r="D16246" t="str">
            <v>CITIGROUP GLOBAL MARKETS BRASIL CCTVM S/A</v>
          </cell>
          <cell r="E16246" t="str">
            <v>BANCO CITIBANK S/A</v>
          </cell>
        </row>
        <row r="16247">
          <cell r="B16247">
            <v>123660</v>
          </cell>
          <cell r="C16247" t="str">
            <v>CITIGROUP GLOBAL MARKETS BRASIL CCTVM S/A</v>
          </cell>
          <cell r="D16247" t="str">
            <v>CITIGROUP GLOBAL MARKETS BRASIL CCTVM S/A</v>
          </cell>
          <cell r="E16247" t="str">
            <v>BANCO CITIBANK S/A</v>
          </cell>
        </row>
        <row r="16248">
          <cell r="B16248">
            <v>123661</v>
          </cell>
          <cell r="C16248" t="str">
            <v>MARCELO AUGUSTO LUSTOSA DE SOUZA</v>
          </cell>
          <cell r="D16248" t="str">
            <v>MARCELO AUGUSTO LUSTOSA DE SOUZA</v>
          </cell>
          <cell r="E16248" t="str">
            <v>MARCELO AUGUSTO LUSTOSA DE SOUZA</v>
          </cell>
        </row>
        <row r="16249">
          <cell r="B16249">
            <v>123662</v>
          </cell>
          <cell r="C16249" t="str">
            <v>BB PREVIDENCIA FUNDO DE PENSAO DO BANCO DO BRASIL</v>
          </cell>
          <cell r="D16249" t="str">
            <v>BB PREVIDENCIA FUNDO DE PENSAO DO BANCO DO BRASIL</v>
          </cell>
          <cell r="E16249" t="str">
            <v>BB GESTAO DE RECURSOS DTVM LTDA</v>
          </cell>
        </row>
        <row r="16250">
          <cell r="B16250">
            <v>123664</v>
          </cell>
          <cell r="C16250" t="str">
            <v>INVESTFORT FORTALEZA FIA</v>
          </cell>
          <cell r="D16250" t="str">
            <v>INVESTFORT FORTALEZA FIA</v>
          </cell>
          <cell r="E16250" t="str">
            <v>INVESTFORT FORTALEZA FIA</v>
          </cell>
        </row>
        <row r="16251">
          <cell r="B16251">
            <v>123665</v>
          </cell>
          <cell r="C16251" t="str">
            <v>INVESTFORT PENEDO FIA IE</v>
          </cell>
          <cell r="D16251" t="str">
            <v>INVESTFORT PENEDO FIA IE</v>
          </cell>
          <cell r="E16251" t="str">
            <v>INVESTFORT GESTAO DE INVESTIMENTOS LTDA</v>
          </cell>
        </row>
        <row r="16252">
          <cell r="B16252">
            <v>123666</v>
          </cell>
          <cell r="C16252" t="str">
            <v>TF EQUITY FIA</v>
          </cell>
          <cell r="D16252" t="str">
            <v>TF EQUITY FIA</v>
          </cell>
          <cell r="E16252" t="str">
            <v>TF EQUITY FIA</v>
          </cell>
        </row>
        <row r="16253">
          <cell r="B16253">
            <v>123667</v>
          </cell>
          <cell r="C16253" t="str">
            <v>ARX II FIC DE FIM</v>
          </cell>
          <cell r="D16253" t="str">
            <v>ARX II FIC DE FIM</v>
          </cell>
          <cell r="E16253" t="str">
            <v>ARX INVESTIMENTOS LTDA</v>
          </cell>
        </row>
        <row r="16254">
          <cell r="B16254">
            <v>123668</v>
          </cell>
          <cell r="C16254" t="str">
            <v>ARX LONG SHORT MASTER II FIM</v>
          </cell>
          <cell r="D16254" t="str">
            <v>ARX LONG SHORT MASTER II FIM</v>
          </cell>
          <cell r="E16254" t="str">
            <v>ARX INVESTIMENTOS LTDA</v>
          </cell>
        </row>
        <row r="16255">
          <cell r="B16255">
            <v>123669</v>
          </cell>
          <cell r="C16255" t="str">
            <v>ARX EXTRA DISTRIBUICAO BB FIC DE FIM</v>
          </cell>
          <cell r="D16255" t="str">
            <v>ARX EXTRA DISTRIBUICAO BB FIC DE FIM</v>
          </cell>
          <cell r="E16255" t="str">
            <v>ARX EXTRA DISTRIBUICAO BB FIC DE FIM</v>
          </cell>
        </row>
        <row r="16256">
          <cell r="B16256">
            <v>123670</v>
          </cell>
          <cell r="C16256" t="str">
            <v>PWM LONG TERM FIA</v>
          </cell>
          <cell r="D16256" t="str">
            <v>PWM LONG TERM FIA</v>
          </cell>
          <cell r="E16256" t="str">
            <v>ARX INVESTIMENTOS LTDA</v>
          </cell>
        </row>
        <row r="16257">
          <cell r="B16257">
            <v>123671</v>
          </cell>
          <cell r="C16257" t="str">
            <v>ARX A3 FIC DE FIM</v>
          </cell>
          <cell r="D16257" t="str">
            <v>ARX A3 FIC DE FIM</v>
          </cell>
          <cell r="E16257" t="str">
            <v>ARX INVESTIMENTOS LTDA</v>
          </cell>
        </row>
        <row r="16258">
          <cell r="B16258">
            <v>123672</v>
          </cell>
          <cell r="C16258" t="str">
            <v>ARX INCOME ICATU PREVIDENCIA FIM</v>
          </cell>
          <cell r="D16258" t="str">
            <v>ARX INCOME ICATU PREVIDENCIA FIM</v>
          </cell>
          <cell r="E16258" t="str">
            <v>ARX INVESTIMENTOS LTDA</v>
          </cell>
        </row>
        <row r="16259">
          <cell r="B16259">
            <v>123673</v>
          </cell>
          <cell r="C16259" t="str">
            <v>BIARRITZ LLC</v>
          </cell>
          <cell r="D16259" t="str">
            <v>BIARRITZ LLC</v>
          </cell>
          <cell r="E16259" t="str">
            <v>ARX INVESTIMENTOS LTDA</v>
          </cell>
        </row>
        <row r="16260">
          <cell r="B16260">
            <v>123674</v>
          </cell>
          <cell r="C16260" t="str">
            <v>ULLISO LLC</v>
          </cell>
          <cell r="D16260" t="str">
            <v>ULLISO LLC</v>
          </cell>
          <cell r="E16260" t="str">
            <v>ARX INVESTIMENTOS LTDA</v>
          </cell>
        </row>
        <row r="16261">
          <cell r="B16261">
            <v>123675</v>
          </cell>
          <cell r="C16261" t="str">
            <v>LFR FIM</v>
          </cell>
          <cell r="D16261" t="str">
            <v>LFR FIM</v>
          </cell>
          <cell r="E16261" t="str">
            <v>LFR FIM</v>
          </cell>
        </row>
        <row r="16262">
          <cell r="B16262">
            <v>123676</v>
          </cell>
          <cell r="C16262" t="str">
            <v>HINTIL FIM CP IE</v>
          </cell>
          <cell r="D16262" t="str">
            <v>HINTIL FIM CP IE</v>
          </cell>
          <cell r="E16262" t="str">
            <v>KADIMA GESTAO DE INVESTIMENTOS LTDA</v>
          </cell>
        </row>
        <row r="16263">
          <cell r="B16263">
            <v>123677</v>
          </cell>
          <cell r="C16263" t="str">
            <v>KADIMA EQUITIES MASTER FIA</v>
          </cell>
          <cell r="D16263" t="str">
            <v>KADIMA EQUITIES MASTER FIA</v>
          </cell>
          <cell r="E16263" t="str">
            <v>KADIMA GESTAO DE INVESTIMENTOS LTDA</v>
          </cell>
        </row>
        <row r="16264">
          <cell r="B16264">
            <v>123678</v>
          </cell>
          <cell r="C16264" t="str">
            <v>ICATU SEG KADIMA FIM CP PREVIDENCIA</v>
          </cell>
          <cell r="D16264" t="str">
            <v>ICATU SEG KADIMA FIM CP PREVIDENCIA</v>
          </cell>
          <cell r="E16264" t="str">
            <v>KADIMA GESTAO DE INVESTIMENTOS LTDA</v>
          </cell>
        </row>
        <row r="16265">
          <cell r="B16265">
            <v>123679</v>
          </cell>
          <cell r="C16265" t="str">
            <v>KADIMA HIGH VOL FIM</v>
          </cell>
          <cell r="D16265" t="str">
            <v>KADIMA HIGH VOL FIM</v>
          </cell>
          <cell r="E16265" t="str">
            <v>KADIMA GESTAO DE INVESTIMENTOS LTDA</v>
          </cell>
        </row>
        <row r="16266">
          <cell r="B16266">
            <v>12368</v>
          </cell>
          <cell r="C16266" t="str">
            <v>INVESTFORT GESTAO DE INVESTIMENTOS LTDA</v>
          </cell>
          <cell r="D16266" t="str">
            <v>INVESTFORT GESTAO DE INVESTIMENTOS LTDA</v>
          </cell>
          <cell r="E16266" t="str">
            <v>INVESTFORT GESTAO DE INVESTIMENTOS LTDA</v>
          </cell>
        </row>
        <row r="16267">
          <cell r="B16267">
            <v>123680</v>
          </cell>
          <cell r="C16267" t="str">
            <v>KADIMA MASTER FIM</v>
          </cell>
          <cell r="D16267" t="str">
            <v>KADIMA MASTER FIM</v>
          </cell>
          <cell r="E16267" t="str">
            <v>KADIMA GESTAO DE INVESTIMENTOS LTDA</v>
          </cell>
        </row>
        <row r="16268">
          <cell r="B16268">
            <v>82664</v>
          </cell>
          <cell r="C16268" t="str">
            <v>NEXT GENERATION FUNDO DE INVESTIMENTO FINANCEIRO EM ACOES</v>
          </cell>
          <cell r="D16268" t="str">
            <v>NEXT GENERATION FUNDO DE INVESTIMENTO FINANCEIRO EM ACOES</v>
          </cell>
          <cell r="E16268" t="str">
            <v>PLURAL INVESTIMENTOS GESTAO DE RECURSOS LTDA</v>
          </cell>
        </row>
        <row r="16269">
          <cell r="B16269">
            <v>123682</v>
          </cell>
          <cell r="C16269" t="str">
            <v>VERTRA INSTITUCIONAL MASTER FIA</v>
          </cell>
          <cell r="D16269" t="str">
            <v>VERTRA INSTITUCIONAL MASTER FIA</v>
          </cell>
          <cell r="E16269" t="str">
            <v>FRONTIER CAPITAL GESTAO DE RECURSOS LTDA</v>
          </cell>
        </row>
        <row r="16270">
          <cell r="B16270">
            <v>123683</v>
          </cell>
          <cell r="C16270" t="str">
            <v>VERTRA MASTER FIA</v>
          </cell>
          <cell r="D16270" t="str">
            <v>VERTRA MASTER FIA</v>
          </cell>
          <cell r="E16270" t="str">
            <v>FRONTIER CAPITAL GESTAO DE RECURSOS LTDA</v>
          </cell>
        </row>
        <row r="16271">
          <cell r="B16271">
            <v>123684</v>
          </cell>
          <cell r="C16271" t="str">
            <v>SAGA INSTITUCIONAL FUNDO DE INVESTIMENTO EM ACOES</v>
          </cell>
          <cell r="D16271" t="str">
            <v>SAGA INSTITUCIONAL FUNDO DE INVESTIMENTO EM ACOES</v>
          </cell>
          <cell r="E16271" t="str">
            <v>SAGA INSTITUCIONAL FUNDO DE INVESTIMENTO EM ACOES</v>
          </cell>
        </row>
        <row r="16272">
          <cell r="B16272">
            <v>123685</v>
          </cell>
          <cell r="C16272" t="str">
            <v>VINCI KAYAPO FIA</v>
          </cell>
          <cell r="D16272" t="str">
            <v>VINCI KAYAPO FIA</v>
          </cell>
          <cell r="E16272" t="str">
            <v>VINCI KAYAPO FIA</v>
          </cell>
        </row>
        <row r="16273">
          <cell r="B16273">
            <v>123686</v>
          </cell>
          <cell r="C16273" t="str">
            <v>BICADU FIM CP IE</v>
          </cell>
          <cell r="D16273" t="str">
            <v>BICADU FIM CP IE</v>
          </cell>
          <cell r="E16273" t="str">
            <v>BICADU FIM CP IE</v>
          </cell>
        </row>
        <row r="16274">
          <cell r="B16274">
            <v>123687</v>
          </cell>
          <cell r="C16274" t="str">
            <v>ARX EXTRA MASTER FIM</v>
          </cell>
          <cell r="D16274" t="str">
            <v>ARX EXTRA MASTER FIM</v>
          </cell>
          <cell r="E16274" t="str">
            <v>ARX INVESTIMENTOS LTDA</v>
          </cell>
        </row>
        <row r="16275">
          <cell r="B16275">
            <v>123688</v>
          </cell>
          <cell r="C16275" t="str">
            <v>POLO CP MASTER FIM</v>
          </cell>
          <cell r="D16275" t="str">
            <v>POLO CP MASTER FIM</v>
          </cell>
          <cell r="E16275" t="str">
            <v>POLO CAPITAL GESTÃO DE RECURSOS LTDA</v>
          </cell>
        </row>
        <row r="16276">
          <cell r="B16276">
            <v>123689</v>
          </cell>
          <cell r="C16276" t="str">
            <v>POLO TI CP FIM</v>
          </cell>
          <cell r="D16276" t="str">
            <v>POLO TI CP FIM</v>
          </cell>
          <cell r="E16276" t="str">
            <v>POLO CAPITAL GESTÃO DE RECURSOS LTDA</v>
          </cell>
        </row>
        <row r="16277">
          <cell r="B16277">
            <v>12369</v>
          </cell>
          <cell r="C16277" t="str">
            <v>TF GESTAO DE RECURSOS LTDA</v>
          </cell>
          <cell r="D16277" t="str">
            <v>TF GESTAO DE RECURSOS LTDA</v>
          </cell>
          <cell r="E16277" t="str">
            <v>TF GESTAO DE RECURSOS LTDA</v>
          </cell>
        </row>
        <row r="16278">
          <cell r="B16278">
            <v>123690</v>
          </cell>
          <cell r="C16278" t="str">
            <v>POLO ESTRATEGIA CP FIM IE</v>
          </cell>
          <cell r="D16278" t="str">
            <v>POLO ESTRATEGIA CP FIM IE</v>
          </cell>
          <cell r="E16278" t="str">
            <v>POLO CAPITAL GESTÃO DE RECURSOS LTDA</v>
          </cell>
        </row>
        <row r="16279">
          <cell r="B16279">
            <v>123691</v>
          </cell>
          <cell r="C16279" t="str">
            <v>MORGAN STANLEY CTVM S/A</v>
          </cell>
          <cell r="D16279" t="str">
            <v>MORGAN STANLEY CTVM S/A</v>
          </cell>
          <cell r="E16279" t="str">
            <v>MORGAN STANLEY CTVM S/A</v>
          </cell>
        </row>
        <row r="16280">
          <cell r="B16280">
            <v>82664</v>
          </cell>
          <cell r="C16280" t="str">
            <v>NEXT GENERATION FUNDO DE INVESTIMENTO FINANCEIRO EM ACOES</v>
          </cell>
          <cell r="D16280" t="str">
            <v>NEXT GENERATION FUNDO DE INVESTIMENTO FINANCEIRO EM ACOES</v>
          </cell>
          <cell r="E16280" t="str">
            <v>PLURAL INVESTIMENTOS GESTAO DE RECURSOS LTDA</v>
          </cell>
        </row>
        <row r="16281">
          <cell r="B16281">
            <v>123693</v>
          </cell>
          <cell r="C16281" t="str">
            <v>COSMOS CAPITAL FIM CP</v>
          </cell>
          <cell r="D16281" t="str">
            <v>COSMOS CAPITAL FIM CP</v>
          </cell>
          <cell r="E16281" t="str">
            <v>HORUS INVESTIMENTOS GESTORA DE RECURSOS LTDA</v>
          </cell>
        </row>
        <row r="16282">
          <cell r="B16282">
            <v>123694</v>
          </cell>
          <cell r="C16282" t="str">
            <v>HORUS PROFIT FIM</v>
          </cell>
          <cell r="D16282" t="str">
            <v>HORUS PROFIT FIM</v>
          </cell>
          <cell r="E16282" t="str">
            <v>HORUS INVESTIMENTOS GESTORA DE RECURSOS LTDA</v>
          </cell>
        </row>
        <row r="16283">
          <cell r="B16283">
            <v>123695</v>
          </cell>
          <cell r="C16283" t="str">
            <v>TROPICANA FIM</v>
          </cell>
          <cell r="D16283" t="str">
            <v>TROPICANA FIM</v>
          </cell>
          <cell r="E16283" t="str">
            <v>HORUS INVESTIMENTOS GESTORA DE RECURSOS LTDA</v>
          </cell>
        </row>
        <row r="16284">
          <cell r="B16284">
            <v>123698</v>
          </cell>
          <cell r="C16284" t="str">
            <v>CLUBE DE INVESTIMENTO DOS EMPREGADOS DA VALE INVESTVALE</v>
          </cell>
          <cell r="D16284" t="str">
            <v>CLUBE DE INVESTIMENTO DOS EMPREGADOS DA VALE INVESTVALE</v>
          </cell>
          <cell r="E16284" t="str">
            <v>STUDIO INVESTIMENTOS ADMINISTRADORA DE RECURSOS LTDA</v>
          </cell>
        </row>
        <row r="16285">
          <cell r="B16285">
            <v>123731</v>
          </cell>
          <cell r="C16285" t="str">
            <v>SI MISTRAL FIA</v>
          </cell>
          <cell r="D16285" t="str">
            <v>SI MISTRAL FIA</v>
          </cell>
          <cell r="E16285" t="str">
            <v>STUDIO INVESTIMENTOS ADMINISTRADORA DE RECURSOS LTDA</v>
          </cell>
        </row>
        <row r="16286">
          <cell r="B16286">
            <v>123699</v>
          </cell>
          <cell r="C16286" t="str">
            <v>BAHIA AM CICLOTRON MASTER FIM CP IE</v>
          </cell>
          <cell r="D16286" t="str">
            <v>BAHIA AM CICLOTRON MASTER FIM CP IE</v>
          </cell>
          <cell r="E16286" t="str">
            <v>BAHIA AM LTDA</v>
          </cell>
        </row>
        <row r="16287">
          <cell r="B16287">
            <v>123700</v>
          </cell>
          <cell r="C16287" t="str">
            <v>SQUADRA VE I FIA</v>
          </cell>
          <cell r="D16287" t="str">
            <v>SQUADRA VE I FIA</v>
          </cell>
          <cell r="E16287" t="str">
            <v>SQUADRA VE I FIA</v>
          </cell>
        </row>
        <row r="16288">
          <cell r="B16288">
            <v>123701</v>
          </cell>
          <cell r="C16288" t="str">
            <v>TUNA EQUITY LLC</v>
          </cell>
          <cell r="D16288" t="str">
            <v>TUNA EQUITY LLC</v>
          </cell>
          <cell r="E16288" t="str">
            <v>TUNA EQUITY LLC</v>
          </cell>
        </row>
        <row r="16289">
          <cell r="B16289">
            <v>123702</v>
          </cell>
          <cell r="C16289" t="str">
            <v>JIVE CASH FIM</v>
          </cell>
          <cell r="D16289" t="str">
            <v>JIVE CASH FIM</v>
          </cell>
          <cell r="E16289" t="str">
            <v>JIVE ASSET GESTÃO DE RECURSOS LTDA</v>
          </cell>
        </row>
        <row r="16290">
          <cell r="B16290">
            <v>123703</v>
          </cell>
          <cell r="C16290" t="str">
            <v>JIVE ETR FIM</v>
          </cell>
          <cell r="D16290" t="str">
            <v>JIVE ETR FIM</v>
          </cell>
          <cell r="E16290" t="str">
            <v>JIVE ASSET GESTÃO DE RECURSOS LTDA</v>
          </cell>
        </row>
        <row r="16291">
          <cell r="B16291">
            <v>123704</v>
          </cell>
          <cell r="C16291" t="str">
            <v>POLLUX ACOES MASTER FIA</v>
          </cell>
          <cell r="D16291" t="str">
            <v>POLLUX ACOES MASTER FIA</v>
          </cell>
          <cell r="E16291" t="str">
            <v>EMPIRICUS GESTAO DE RECURSOS LTDA</v>
          </cell>
        </row>
        <row r="16292">
          <cell r="B16292">
            <v>123705</v>
          </cell>
          <cell r="C16292" t="str">
            <v>POLLUX ARTICO FIA</v>
          </cell>
          <cell r="D16292" t="str">
            <v>POLLUX ARTICO FIA</v>
          </cell>
          <cell r="E16292" t="str">
            <v>POLLUX ARTICO FIA</v>
          </cell>
        </row>
        <row r="16293">
          <cell r="B16293">
            <v>123706</v>
          </cell>
          <cell r="C16293" t="str">
            <v>ASN FIM CP IE</v>
          </cell>
          <cell r="D16293" t="str">
            <v>ASN FIM CP IE</v>
          </cell>
          <cell r="E16293" t="str">
            <v>ASN FIM CP IE</v>
          </cell>
        </row>
        <row r="16294">
          <cell r="B16294">
            <v>123707</v>
          </cell>
          <cell r="C16294" t="str">
            <v>LUCE FIM CP IE</v>
          </cell>
          <cell r="D16294" t="str">
            <v>LUCE FIM CP IE</v>
          </cell>
          <cell r="E16294" t="str">
            <v>LUCE FIM CP IE</v>
          </cell>
        </row>
        <row r="16295">
          <cell r="B16295">
            <v>123708</v>
          </cell>
          <cell r="C16295" t="str">
            <v>PALAS ATENA FIM CP IE</v>
          </cell>
          <cell r="D16295" t="str">
            <v>PALAS ATENA FIM CP IE</v>
          </cell>
          <cell r="E16295" t="str">
            <v>PALAS ATENA FIM CP IE</v>
          </cell>
        </row>
        <row r="16296">
          <cell r="B16296">
            <v>123709</v>
          </cell>
          <cell r="C16296" t="str">
            <v>FIM ZONA DA MATA CP</v>
          </cell>
          <cell r="D16296" t="str">
            <v>FIM ZONA DA MATA CP</v>
          </cell>
          <cell r="E16296" t="str">
            <v>FIM ZONA DA MATA CP</v>
          </cell>
        </row>
        <row r="16297">
          <cell r="B16297">
            <v>80697</v>
          </cell>
          <cell r="C16297" t="str">
            <v>IBIUNA PREVIDENCIA FIFE FIF CI MULT RESP LIMITADA</v>
          </cell>
          <cell r="D16297" t="str">
            <v>IBIUNA PREVIDENCIA FIFE FIF CI MULT RESP LIMITADA</v>
          </cell>
          <cell r="E16297" t="str">
            <v>IBIUNA GESTAO DE RECURSOS LTDA</v>
          </cell>
        </row>
        <row r="16298">
          <cell r="B16298">
            <v>123710</v>
          </cell>
          <cell r="C16298" t="str">
            <v>FIM RIBEIRA IE CP</v>
          </cell>
          <cell r="D16298" t="str">
            <v>FIM RIBEIRA IE CP</v>
          </cell>
          <cell r="E16298" t="str">
            <v>JGP GESTAO PATRIMONIAL LTDA</v>
          </cell>
        </row>
        <row r="16299">
          <cell r="B16299">
            <v>123711</v>
          </cell>
          <cell r="C16299" t="str">
            <v>FIA MIRANTE ACOES VALOR</v>
          </cell>
          <cell r="D16299" t="str">
            <v>FIA MIRANTE ACOES VALOR</v>
          </cell>
          <cell r="E16299" t="str">
            <v>FIA MIRANTE ACOES VALOR</v>
          </cell>
        </row>
        <row r="16300">
          <cell r="B16300">
            <v>123712</v>
          </cell>
          <cell r="C16300" t="str">
            <v>ARGUCIA QUARK FIF MULT RL</v>
          </cell>
          <cell r="D16300" t="str">
            <v>ARGUCIA QUARK FIF MULT RL</v>
          </cell>
          <cell r="E16300" t="str">
            <v>ARGUCIA CAPITAL GESTAO DE RECURSOS LTDA</v>
          </cell>
        </row>
        <row r="16301">
          <cell r="B16301">
            <v>80429</v>
          </cell>
          <cell r="C16301" t="str">
            <v>XP GESTAO DE RECURSOS LTDA</v>
          </cell>
          <cell r="D16301" t="str">
            <v>XP GESTAO DE RECURSOS LTDA</v>
          </cell>
          <cell r="E16301" t="str">
            <v>XP GESTAO DE RECURSOS LTDA</v>
          </cell>
        </row>
        <row r="16302">
          <cell r="B16302">
            <v>80429</v>
          </cell>
          <cell r="C16302" t="str">
            <v>XP GESTAO DE RECURSOS LTDA</v>
          </cell>
          <cell r="D16302" t="str">
            <v>XP GESTAO DE RECURSOS LTDA</v>
          </cell>
          <cell r="E16302" t="str">
            <v>XP GESTAO DE RECURSOS LTDA</v>
          </cell>
        </row>
        <row r="16303">
          <cell r="B16303">
            <v>80647</v>
          </cell>
          <cell r="C16303" t="str">
            <v>XP GESTAO DE RECURSOS LTDA</v>
          </cell>
          <cell r="D16303" t="str">
            <v>XP GESTAO DE RECURSOS LTDA</v>
          </cell>
          <cell r="E16303" t="str">
            <v>XP GESTAO DE RECURSOS LTDA</v>
          </cell>
        </row>
        <row r="16304">
          <cell r="B16304">
            <v>80648</v>
          </cell>
          <cell r="C16304" t="str">
            <v>XP GESTAO DE RECURSOS LTDA</v>
          </cell>
          <cell r="D16304" t="str">
            <v>XP GESTAO DE RECURSOS LTDA</v>
          </cell>
          <cell r="E16304" t="str">
            <v>XP GESTAO DE RECURSOS LTDA</v>
          </cell>
        </row>
        <row r="16305">
          <cell r="B16305">
            <v>80965</v>
          </cell>
          <cell r="C16305" t="str">
            <v>XP LONG SHORT MASTER FUNDO DE INVESTIMENTO MULTIMERCADO</v>
          </cell>
          <cell r="D16305" t="str">
            <v>XP LONG SHORT MASTER FUNDO DE INVESTIMENTO MULTIMERCADO</v>
          </cell>
          <cell r="E16305" t="str">
            <v>XP GESTAO DE RECURSOS LTDA</v>
          </cell>
        </row>
        <row r="16306">
          <cell r="B16306">
            <v>80965</v>
          </cell>
          <cell r="C16306" t="str">
            <v>XP LONG SHORT MASTER FUNDO DE INVESTIMENTO MULTIMERCADO</v>
          </cell>
          <cell r="D16306" t="str">
            <v>XP LONG SHORT MASTER FUNDO DE INVESTIMENTO MULTIMERCADO</v>
          </cell>
          <cell r="E16306" t="str">
            <v>XP GESTAO DE RECURSOS LTDA</v>
          </cell>
        </row>
        <row r="16307">
          <cell r="B16307">
            <v>123719</v>
          </cell>
          <cell r="C16307" t="str">
            <v>BANCO JP MORGAN S/A</v>
          </cell>
          <cell r="D16307" t="str">
            <v>BANCO JP MORGAN S/A</v>
          </cell>
          <cell r="E16307" t="str">
            <v>BANCO JP MORGAN S/A</v>
          </cell>
        </row>
        <row r="16308">
          <cell r="B16308">
            <v>12372</v>
          </cell>
          <cell r="C16308" t="str">
            <v>FRONTIER CAPITAL GESTAO DE RECURSOS LTDA</v>
          </cell>
          <cell r="D16308" t="str">
            <v>FRONTIER CAPITAL GESTAO DE RECURSOS LTDA</v>
          </cell>
          <cell r="E16308" t="str">
            <v>FRONTIER CAPITAL GESTAO DE RECURSOS LTDA</v>
          </cell>
        </row>
        <row r="16309">
          <cell r="B16309">
            <v>123720</v>
          </cell>
          <cell r="C16309" t="str">
            <v>ATACAMA MULTIMERCADO FI</v>
          </cell>
          <cell r="D16309" t="str">
            <v>ATACAMA MULTIMERCADO FI</v>
          </cell>
          <cell r="E16309" t="str">
            <v>BANCO JP MORGAN S/A</v>
          </cell>
        </row>
        <row r="16310">
          <cell r="B16310">
            <v>123721</v>
          </cell>
          <cell r="C16310" t="str">
            <v>CSHG AFB FIM CP IE</v>
          </cell>
          <cell r="D16310" t="str">
            <v>CSHG AFB FIM CP IE</v>
          </cell>
          <cell r="E16310" t="str">
            <v>CREDIT SUISSE HEDGING-GRIFFO WEALTH MANAGEMENT S/A</v>
          </cell>
        </row>
        <row r="16311">
          <cell r="B16311">
            <v>123722</v>
          </cell>
          <cell r="C16311" t="str">
            <v>MCB FIM CP IE</v>
          </cell>
          <cell r="D16311" t="str">
            <v>MCB FIM CP IE</v>
          </cell>
          <cell r="E16311" t="str">
            <v>MCB FIM CP IE</v>
          </cell>
        </row>
        <row r="16312">
          <cell r="B16312">
            <v>80057</v>
          </cell>
          <cell r="C16312" t="str">
            <v>CLARITAS UNIMEDVX FI RENDA FIXA LP CP</v>
          </cell>
          <cell r="D16312" t="str">
            <v>CLARITAS UNIMEDVX FI RENDA FIXA LP CP</v>
          </cell>
          <cell r="E16312" t="str">
            <v>CLARITAS ADMINISTRAÇÃO DE RECURSOS LTDA</v>
          </cell>
        </row>
        <row r="16313">
          <cell r="B16313">
            <v>123724</v>
          </cell>
          <cell r="C16313" t="str">
            <v>UNIMED RV 15 FIM</v>
          </cell>
          <cell r="D16313" t="str">
            <v>UNIMED RV 15 FIM</v>
          </cell>
          <cell r="E16313" t="str">
            <v>UNIMED RV 15 FIM</v>
          </cell>
        </row>
        <row r="16314">
          <cell r="B16314">
            <v>123725</v>
          </cell>
          <cell r="C16314" t="str">
            <v>UNIMED RV 20 FIM</v>
          </cell>
          <cell r="D16314" t="str">
            <v>UNIMED RV 20 FIM</v>
          </cell>
          <cell r="E16314" t="str">
            <v>UNIMED RV 20 FIM</v>
          </cell>
        </row>
        <row r="16315">
          <cell r="B16315">
            <v>123726</v>
          </cell>
          <cell r="C16315" t="str">
            <v>IRB BRASIL RESSEGUROS S.A.</v>
          </cell>
          <cell r="D16315" t="str">
            <v>IRB BRASIL RESSEGUROS S.A.</v>
          </cell>
          <cell r="E16315" t="str">
            <v>IRB BRASIL RESSEGUROS S.A.</v>
          </cell>
        </row>
        <row r="16316">
          <cell r="B16316">
            <v>123727</v>
          </cell>
          <cell r="C16316" t="str">
            <v>KRONOS ABSOLUT RETURN LP FIM</v>
          </cell>
          <cell r="D16316" t="str">
            <v>KRONOS ABSOLUT RETURN LP FIM</v>
          </cell>
          <cell r="E16316" t="str">
            <v>GRIMPER CAPITAL GESTORA DE RECURSOS LTDA</v>
          </cell>
        </row>
        <row r="16317">
          <cell r="B16317">
            <v>123728</v>
          </cell>
          <cell r="C16317" t="str">
            <v>BB GESTAO DE RECURSOS DTVM LTDA</v>
          </cell>
          <cell r="D16317" t="str">
            <v>BB GESTAO DE RECURSOS DTVM LTDA</v>
          </cell>
          <cell r="E16317" t="str">
            <v>BB GESTAO DE RECURSOS DTVM LTDA</v>
          </cell>
        </row>
        <row r="16318">
          <cell r="B16318">
            <v>123729</v>
          </cell>
          <cell r="C16318" t="str">
            <v>BB GESTAO DE RECURSOS DTVM LTDA</v>
          </cell>
          <cell r="D16318" t="str">
            <v>BB GESTAO DE RECURSOS DTVM LTDA</v>
          </cell>
          <cell r="E16318" t="str">
            <v>BB GESTAO DE RECURSOS DTVM LTDA</v>
          </cell>
        </row>
        <row r="16319">
          <cell r="B16319">
            <v>12373</v>
          </cell>
          <cell r="C16319" t="str">
            <v>HORUS INVESTIMENTOS GESTORA DE RECURSOS LTDA</v>
          </cell>
          <cell r="D16319" t="str">
            <v>HORUS INVESTIMENTOS GESTORA DE RECURSOS LTDA</v>
          </cell>
          <cell r="E16319" t="str">
            <v>HORUS INVESTIMENTOS GESTORA DE RECURSOS LTDA</v>
          </cell>
        </row>
        <row r="16320">
          <cell r="B16320">
            <v>123730</v>
          </cell>
          <cell r="C16320" t="str">
            <v>BB GESTAO DE RECURSOS DTVM LTDA</v>
          </cell>
          <cell r="D16320" t="str">
            <v>BB GESTAO DE RECURSOS DTVM LTDA</v>
          </cell>
          <cell r="E16320" t="str">
            <v>BB GESTAO DE RECURSOS DTVM LTDA</v>
          </cell>
        </row>
        <row r="16321">
          <cell r="B16321">
            <v>81336</v>
          </cell>
          <cell r="C16321" t="str">
            <v>FP STUDIO TOTAL RETURN FUNDO DE INVESTIMENTO EM AÃ‡Ã•ES</v>
          </cell>
          <cell r="D16321" t="str">
            <v>FP STUDIO TOTAL RETURN FUNDO DE INVESTIMENTO EM AÃ‡Ã•ES</v>
          </cell>
          <cell r="E16321" t="str">
            <v>STUDIO INVESTIMENTOS ADMINISTRADORA DE RECURSOS LTDA</v>
          </cell>
        </row>
        <row r="16322">
          <cell r="B16322">
            <v>123732</v>
          </cell>
          <cell r="C16322" t="str">
            <v>PATRIA HEDGE MASTER FIM</v>
          </cell>
          <cell r="D16322" t="str">
            <v>PATRIA HEDGE MASTER FIM</v>
          </cell>
          <cell r="E16322" t="str">
            <v>PATRIA INVESTIMENTOS LTDA</v>
          </cell>
        </row>
        <row r="16323">
          <cell r="B16323">
            <v>123733</v>
          </cell>
          <cell r="C16323" t="str">
            <v>KINEA SISTEMATICO ALPHA FIM</v>
          </cell>
          <cell r="D16323" t="str">
            <v>KINEA SISTEMATICO ALPHA FIM</v>
          </cell>
          <cell r="E16323" t="str">
            <v>KINEA SISTEMATICO ALPHA FIM</v>
          </cell>
        </row>
        <row r="16324">
          <cell r="B16324">
            <v>123734</v>
          </cell>
          <cell r="C16324" t="str">
            <v>CEDRO PREVIDENCIA FIM CP</v>
          </cell>
          <cell r="D16324" t="str">
            <v>CEDRO PREVIDENCIA FIM CP</v>
          </cell>
          <cell r="E16324" t="str">
            <v>CEDRO PREVIDENCIA FIM CP</v>
          </cell>
        </row>
        <row r="16325">
          <cell r="B16325">
            <v>123735</v>
          </cell>
          <cell r="C16325" t="str">
            <v>CANVAS ENDURO MASTER FIM</v>
          </cell>
          <cell r="D16325" t="str">
            <v>CANVAS ENDURO MASTER FIM</v>
          </cell>
          <cell r="E16325" t="str">
            <v>CANVAS ENDURO MASTER FIM</v>
          </cell>
        </row>
        <row r="16326">
          <cell r="B16326">
            <v>123736</v>
          </cell>
          <cell r="C16326" t="str">
            <v>IPANEMA 4 FIM CP IE</v>
          </cell>
          <cell r="D16326" t="str">
            <v>IPANEMA 4 FIM CP IE</v>
          </cell>
          <cell r="E16326" t="str">
            <v>IPANEMA 4 FIM CP IE</v>
          </cell>
        </row>
        <row r="16327">
          <cell r="B16327">
            <v>123737</v>
          </cell>
          <cell r="C16327" t="str">
            <v>NORTEAR FIM CP IE</v>
          </cell>
          <cell r="D16327" t="str">
            <v>NORTEAR FIM CP IE</v>
          </cell>
          <cell r="E16327" t="str">
            <v>NORTEAR FIM CP IE</v>
          </cell>
        </row>
        <row r="16328">
          <cell r="B16328">
            <v>123738</v>
          </cell>
          <cell r="C16328" t="str">
            <v>ITATIAIA FIM</v>
          </cell>
          <cell r="D16328" t="str">
            <v>ITATIAIA FIM</v>
          </cell>
          <cell r="E16328" t="str">
            <v>ITATIAIA FIM</v>
          </cell>
        </row>
        <row r="16329">
          <cell r="B16329">
            <v>123739</v>
          </cell>
          <cell r="C16329" t="str">
            <v>PORTO FIM CP IE</v>
          </cell>
          <cell r="D16329" t="str">
            <v>PORTO FIM CP IE</v>
          </cell>
          <cell r="E16329" t="str">
            <v>PORTO FIM CP IE</v>
          </cell>
        </row>
        <row r="16330">
          <cell r="B16330">
            <v>123740</v>
          </cell>
          <cell r="C16330" t="str">
            <v>LEIRIA FIM CP IE</v>
          </cell>
          <cell r="D16330" t="str">
            <v>LEIRIA FIM CP IE</v>
          </cell>
          <cell r="E16330" t="str">
            <v>BW GESTAO DE INVESTIMENTOS LTDA</v>
          </cell>
        </row>
        <row r="16331">
          <cell r="B16331">
            <v>123741</v>
          </cell>
          <cell r="C16331" t="str">
            <v>LISBOA FIM CP IE</v>
          </cell>
          <cell r="D16331" t="str">
            <v>LISBOA FIM CP IE</v>
          </cell>
          <cell r="E16331" t="str">
            <v>BW GESTAO DE INVESTIMENTOS LTDA</v>
          </cell>
        </row>
        <row r="16332">
          <cell r="B16332">
            <v>123742</v>
          </cell>
          <cell r="C16332" t="str">
            <v>AMARANTE FIM CP IE</v>
          </cell>
          <cell r="D16332" t="str">
            <v>AMARANTE FIM CP IE</v>
          </cell>
          <cell r="E16332" t="str">
            <v>AMARANTE FIM CP IE</v>
          </cell>
        </row>
        <row r="16333">
          <cell r="B16333">
            <v>123743</v>
          </cell>
          <cell r="C16333" t="str">
            <v>MANTIQUEIRA MASTER FIF MULT CP RL</v>
          </cell>
          <cell r="D16333" t="str">
            <v>MANTIQUEIRA MASTER FIF MULT CP RL</v>
          </cell>
          <cell r="E16333" t="str">
            <v>BW GESTAO DE INVESTIMENTOS LTDA</v>
          </cell>
        </row>
        <row r="16334">
          <cell r="B16334">
            <v>123744</v>
          </cell>
          <cell r="C16334" t="str">
            <v>KONDOR MASTER FIF CL MULT RL</v>
          </cell>
          <cell r="D16334" t="str">
            <v>KONDOR MASTER FIF CL MULT RL</v>
          </cell>
          <cell r="E16334" t="str">
            <v>KONDOR ADMINISTRADORA E GESTORA DE RECURSOS FINANCEIROS LTDA</v>
          </cell>
        </row>
        <row r="16335">
          <cell r="B16335">
            <v>123745</v>
          </cell>
          <cell r="C16335" t="str">
            <v>KONDOR ITAIM MASTER CASH FUNDO DE INVESTIMENTO MULTIMERCADO</v>
          </cell>
          <cell r="D16335" t="str">
            <v>KONDOR ITAIM MASTER CASH FUNDO DE INVESTIMENTO MULTIMERCADO</v>
          </cell>
          <cell r="E16335" t="str">
            <v>KONDOR ADMINISTRADORA E GESTORA DE RECURSOS FINANCEIROS LTDA</v>
          </cell>
        </row>
        <row r="16336">
          <cell r="B16336">
            <v>123747</v>
          </cell>
          <cell r="C16336" t="str">
            <v>FIM CP FANDANGO</v>
          </cell>
          <cell r="D16336" t="str">
            <v>FIM CP FANDANGO</v>
          </cell>
          <cell r="E16336" t="str">
            <v>SANTANDER BRASIL GESTAO DE RECURSOS LTDA</v>
          </cell>
        </row>
        <row r="16337">
          <cell r="B16337">
            <v>123748</v>
          </cell>
          <cell r="C16337" t="str">
            <v>JGP STRATEGY MASTER FIM</v>
          </cell>
          <cell r="D16337" t="str">
            <v>JGP STRATEGY MASTER FIM</v>
          </cell>
          <cell r="E16337" t="str">
            <v>JGP STRATEGY MASTER FIM</v>
          </cell>
        </row>
        <row r="16338">
          <cell r="B16338">
            <v>123749</v>
          </cell>
          <cell r="C16338" t="str">
            <v>JGP MAX MASTER FIM</v>
          </cell>
          <cell r="D16338" t="str">
            <v>JGP MAX MASTER FIM</v>
          </cell>
          <cell r="E16338" t="str">
            <v>JGP MAX MASTER FIM</v>
          </cell>
        </row>
        <row r="16339">
          <cell r="B16339">
            <v>12375</v>
          </cell>
          <cell r="C16339" t="str">
            <v>JIVE ASSET GESTAO DE RECURSOS LTDA</v>
          </cell>
          <cell r="D16339" t="str">
            <v>JIVE ASSET GESTAO DE RECURSOS LTDA</v>
          </cell>
          <cell r="E16339" t="str">
            <v>JIVE ASSET GESTÃO DE RECURSOS LTDA</v>
          </cell>
        </row>
        <row r="16340">
          <cell r="B16340">
            <v>123750</v>
          </cell>
          <cell r="C16340" t="str">
            <v>JGP HEDGE MASTER FIM</v>
          </cell>
          <cell r="D16340" t="str">
            <v>JGP HEDGE MASTER FIM</v>
          </cell>
          <cell r="E16340" t="str">
            <v>JGP HEDGE MASTER FIM</v>
          </cell>
        </row>
        <row r="16341">
          <cell r="B16341">
            <v>123751</v>
          </cell>
          <cell r="C16341" t="str">
            <v>BAHIA AM LONG BIASED MASTER FIM</v>
          </cell>
          <cell r="D16341" t="str">
            <v>BAHIA AM LONG BIASED MASTER FIM</v>
          </cell>
          <cell r="E16341" t="str">
            <v>BAHIA AM LTDA</v>
          </cell>
        </row>
        <row r="16342">
          <cell r="B16342">
            <v>80045</v>
          </cell>
          <cell r="C16342" t="str">
            <v>OPTIVER V.O.F.</v>
          </cell>
          <cell r="D16342" t="str">
            <v>OPTIVER V.O.F.</v>
          </cell>
          <cell r="E16342" t="str">
            <v>OPTIVER V.O.F.</v>
          </cell>
        </row>
        <row r="16343">
          <cell r="B16343">
            <v>81367</v>
          </cell>
          <cell r="C16343" t="str">
            <v>IBIUNA ST PREV FIFE FIM CP IE II</v>
          </cell>
          <cell r="D16343" t="str">
            <v>IBIUNA ST PREV FIFE FIM CP IE II</v>
          </cell>
          <cell r="E16343" t="str">
            <v>IBIUNA GESTAO DE RECURSOS LTDA</v>
          </cell>
        </row>
        <row r="16344">
          <cell r="B16344">
            <v>81366</v>
          </cell>
          <cell r="C16344" t="str">
            <v>IBIUNA ST PREV FIFE FIM CRÃ‰DITO PRIVADO I</v>
          </cell>
          <cell r="D16344" t="str">
            <v>IBIUNA ST PREV FIFE FIM CRÃ‰DITO PRIVADO I</v>
          </cell>
          <cell r="E16344" t="str">
            <v>IBIUNA GESTAO DE RECURSOS LTDA</v>
          </cell>
        </row>
        <row r="16345">
          <cell r="B16345">
            <v>81406</v>
          </cell>
          <cell r="C16345" t="str">
            <v>IBIUNA SYSTEMATIC MASTER FUNDO DE INVESTIMENTO MULTIMERCADO</v>
          </cell>
          <cell r="D16345" t="str">
            <v>IBIUNA SYSTEMATIC MASTER FUNDO DE INVESTIMENTO MULTIMERCADO</v>
          </cell>
          <cell r="E16345" t="str">
            <v>IBIUNA GESTAO DE RECURSOS LTDA</v>
          </cell>
        </row>
        <row r="16346">
          <cell r="B16346">
            <v>80051</v>
          </cell>
          <cell r="C16346" t="str">
            <v>CAIXA ECONOMICA FEDERAL</v>
          </cell>
          <cell r="D16346" t="str">
            <v>CAIXA ECONOMICA FEDERAL</v>
          </cell>
          <cell r="E16346" t="str">
            <v>CAIXA ECONOMICA FEDERAL</v>
          </cell>
        </row>
        <row r="16347">
          <cell r="B16347">
            <v>80054</v>
          </cell>
          <cell r="C16347" t="str">
            <v>SOLANA ABSOLUTTO FIM</v>
          </cell>
          <cell r="D16347" t="str">
            <v>SOLANA ABSOLUTTO FIM</v>
          </cell>
          <cell r="E16347" t="str">
            <v>SOLANA GESTORA DE RECURSOS LTDA</v>
          </cell>
        </row>
        <row r="16348">
          <cell r="B16348">
            <v>80055</v>
          </cell>
          <cell r="C16348" t="str">
            <v>SOLANA EQUITY HEDGE FIM</v>
          </cell>
          <cell r="D16348" t="str">
            <v>SOLANA EQUITY HEDGE FIM</v>
          </cell>
          <cell r="E16348" t="str">
            <v>SOLANA GESTORA DE RECURSOS LTDA</v>
          </cell>
        </row>
        <row r="16349">
          <cell r="B16349">
            <v>123950</v>
          </cell>
          <cell r="C16349" t="str">
            <v>CLARITAS UNIMEDVX FI RENDA FIXA LP CP</v>
          </cell>
          <cell r="D16349" t="str">
            <v>CLARITAS UNIMEDVX FI RENDA FIXA LP CP</v>
          </cell>
          <cell r="E16349" t="str">
            <v>CLARITAS ADMINISTRAÇÃO DE RECURSOS LTDA</v>
          </cell>
        </row>
        <row r="16350">
          <cell r="B16350">
            <v>80059</v>
          </cell>
          <cell r="C16350" t="str">
            <v>KONA FIM CP IE</v>
          </cell>
          <cell r="D16350" t="str">
            <v>KONA FIM CP IE</v>
          </cell>
          <cell r="E16350" t="str">
            <v>MORGAN STANLEY ADMINISTRADORA DE CARTEIRAS S/A</v>
          </cell>
        </row>
        <row r="16351">
          <cell r="B16351">
            <v>80060</v>
          </cell>
          <cell r="C16351" t="str">
            <v>BANCO MORGAN STANLEY S/A</v>
          </cell>
          <cell r="D16351" t="str">
            <v>BANCO MORGAN STANLEY S/A</v>
          </cell>
          <cell r="E16351" t="str">
            <v>BANCO MORGAN STANLEY S/A</v>
          </cell>
        </row>
        <row r="16352">
          <cell r="B16352">
            <v>80061</v>
          </cell>
          <cell r="C16352" t="str">
            <v>FORMULA XVI FIM CP IE</v>
          </cell>
          <cell r="D16352" t="str">
            <v>FORMULA XVI FIM CP IE</v>
          </cell>
          <cell r="E16352" t="str">
            <v>FORMULA XVI FIM CP IE</v>
          </cell>
        </row>
        <row r="16353">
          <cell r="B16353">
            <v>80062</v>
          </cell>
          <cell r="C16353" t="str">
            <v>BANCO MORGAN STANLEY S/A</v>
          </cell>
          <cell r="D16353" t="str">
            <v>BANCO MORGAN STANLEY S/A</v>
          </cell>
          <cell r="E16353" t="str">
            <v>BANCO MORGAN STANLEY S/A</v>
          </cell>
        </row>
        <row r="16354">
          <cell r="B16354">
            <v>80063</v>
          </cell>
          <cell r="C16354" t="str">
            <v>BANCO MORGAN STANLEY S/A</v>
          </cell>
          <cell r="D16354" t="str">
            <v>BANCO MORGAN STANLEY S/A</v>
          </cell>
          <cell r="E16354" t="str">
            <v>BANCO MORGAN STANLEY S/A</v>
          </cell>
        </row>
        <row r="16355">
          <cell r="B16355">
            <v>80068</v>
          </cell>
          <cell r="C16355" t="str">
            <v>ICONE INVESTIMENTOS LTDA</v>
          </cell>
          <cell r="D16355" t="str">
            <v>ICONE INVESTIMENTOS LTDA</v>
          </cell>
          <cell r="E16355" t="str">
            <v>ICONE INVESTIMENTOS LTDA</v>
          </cell>
        </row>
        <row r="16356">
          <cell r="B16356">
            <v>80069</v>
          </cell>
          <cell r="C16356" t="str">
            <v>JBS S/A</v>
          </cell>
          <cell r="D16356" t="str">
            <v>JBS S/A</v>
          </cell>
          <cell r="E16356" t="str">
            <v>JBS S/A</v>
          </cell>
        </row>
        <row r="16357">
          <cell r="B16357">
            <v>80070</v>
          </cell>
          <cell r="C16357" t="str">
            <v>ASIA FUNDO DE INVESTIMENTO FINANCEIRO</v>
          </cell>
          <cell r="D16357" t="str">
            <v>ASIA FUNDO DE INVESTIMENTO FINANCEIRO</v>
          </cell>
          <cell r="E16357" t="str">
            <v>ASIA FUNDO DE INVESTIMENTO FINANCEIRO</v>
          </cell>
        </row>
        <row r="16358">
          <cell r="B16358">
            <v>79637</v>
          </cell>
          <cell r="C16358" t="str">
            <v>BANCO SANTANDER, S/A (MADRID)</v>
          </cell>
          <cell r="D16358" t="str">
            <v>BANCO SANTANDER, S/A (MADRID)</v>
          </cell>
          <cell r="E16358" t="str">
            <v>BANCO SANTANDER S/A (HISPANO)</v>
          </cell>
        </row>
        <row r="16359">
          <cell r="B16359">
            <v>80082</v>
          </cell>
          <cell r="C16359" t="str">
            <v>FIA STRATOSPHERE</v>
          </cell>
          <cell r="D16359" t="str">
            <v>FIA STRATOSPHERE</v>
          </cell>
          <cell r="E16359" t="str">
            <v>AGUILA CAPITAL ADM E GESTAO DE CAPITAIS LTDA</v>
          </cell>
        </row>
        <row r="16360">
          <cell r="B16360">
            <v>80083</v>
          </cell>
          <cell r="C16360" t="str">
            <v>NOVUS ACOES INSTITUCIONAL MASTER FIA</v>
          </cell>
          <cell r="D16360" t="str">
            <v>NOVUS ACOES INSTITUCIONAL MASTER FIA</v>
          </cell>
          <cell r="E16360" t="str">
            <v>NOVUS CAPITAL GESTORA DE RECURSOS LTDA</v>
          </cell>
        </row>
        <row r="16361">
          <cell r="B16361">
            <v>80084</v>
          </cell>
          <cell r="C16361" t="str">
            <v>NEO NAVITAS MASTER FIA</v>
          </cell>
          <cell r="D16361" t="str">
            <v>NEO NAVITAS MASTER FIA</v>
          </cell>
          <cell r="E16361" t="str">
            <v>NEO GESTÃO DE RECURSOS LTDA</v>
          </cell>
        </row>
        <row r="16362">
          <cell r="B16362">
            <v>80085</v>
          </cell>
          <cell r="C16362" t="str">
            <v>AGRICOLA PONTE ALTA LTDA</v>
          </cell>
          <cell r="D16362" t="str">
            <v>AGRICOLA PONTE ALTA LTDA</v>
          </cell>
          <cell r="E16362" t="str">
            <v>AGRICOLA PONTE ALTA LTDA</v>
          </cell>
        </row>
        <row r="16363">
          <cell r="B16363">
            <v>80086</v>
          </cell>
          <cell r="C16363" t="str">
            <v>DYNAMO BRASIL IX LLC</v>
          </cell>
          <cell r="D16363" t="str">
            <v>DYNAMO BRASIL IX LLC</v>
          </cell>
          <cell r="E16363" t="str">
            <v>DYNAMO ADMINISTRACAO DE RECURSOS LTDA</v>
          </cell>
        </row>
        <row r="16364">
          <cell r="B16364">
            <v>80087</v>
          </cell>
          <cell r="C16364" t="str">
            <v>DYNAMO BRASIL I LLC</v>
          </cell>
          <cell r="D16364" t="str">
            <v>DYNAMO BRASIL I LLC</v>
          </cell>
          <cell r="E16364" t="str">
            <v>DYNAMO ADMINISTRACAO DE RECURSOS LTDA</v>
          </cell>
        </row>
        <row r="16365">
          <cell r="B16365">
            <v>80088</v>
          </cell>
          <cell r="C16365" t="str">
            <v>DYNAMO BRASIL II LLC</v>
          </cell>
          <cell r="D16365" t="str">
            <v>DYNAMO BRASIL II LLC</v>
          </cell>
          <cell r="E16365" t="str">
            <v>DYNAMO ADMINISTRACAO DE RECURSOS LTDA</v>
          </cell>
        </row>
        <row r="16366">
          <cell r="B16366">
            <v>80089</v>
          </cell>
          <cell r="C16366" t="str">
            <v>DYNAMO BRASIL III LLC</v>
          </cell>
          <cell r="D16366" t="str">
            <v>DYNAMO BRASIL III LLC</v>
          </cell>
          <cell r="E16366" t="str">
            <v>DYNAMO ADMINISTRACAO DE RECURSOS LTDA</v>
          </cell>
        </row>
        <row r="16367">
          <cell r="B16367">
            <v>80090</v>
          </cell>
          <cell r="C16367" t="str">
            <v>DYNAMO BRASIL V LLC</v>
          </cell>
          <cell r="D16367" t="str">
            <v>DYNAMO BRASIL V LLC</v>
          </cell>
          <cell r="E16367" t="str">
            <v>DYNAMO ADMINISTRACAO DE RECURSOS LTDA</v>
          </cell>
        </row>
        <row r="16368">
          <cell r="B16368">
            <v>80091</v>
          </cell>
          <cell r="C16368" t="str">
            <v>DYNAMO BRASIL VI LLC</v>
          </cell>
          <cell r="D16368" t="str">
            <v>DYNAMO BRASIL VI LLC</v>
          </cell>
          <cell r="E16368" t="str">
            <v>DYNAMO ADMINISTRACAO DE RECURSOS LTDA</v>
          </cell>
        </row>
        <row r="16369">
          <cell r="B16369">
            <v>80092</v>
          </cell>
          <cell r="C16369" t="str">
            <v>DYNAMO BRASIL VIII LLC</v>
          </cell>
          <cell r="D16369" t="str">
            <v>DYNAMO BRASIL VIII LLC</v>
          </cell>
          <cell r="E16369" t="str">
            <v>DYNAMO ADMINISTRACAO DE RECURSOS LTDA</v>
          </cell>
        </row>
        <row r="16370">
          <cell r="B16370">
            <v>80093</v>
          </cell>
          <cell r="C16370" t="str">
            <v>KEMNAY DYBRA LLC</v>
          </cell>
          <cell r="D16370" t="str">
            <v>KEMNAY DYBRA LLC</v>
          </cell>
          <cell r="E16370" t="str">
            <v>DYNAMO ADMINISTRACAO DE RECURSOS LTDA</v>
          </cell>
        </row>
        <row r="16371">
          <cell r="B16371">
            <v>80094</v>
          </cell>
          <cell r="C16371" t="str">
            <v>BGC BRAZIL HOLDING LLC</v>
          </cell>
          <cell r="D16371" t="str">
            <v>BGC BRAZIL HOLDING LLC</v>
          </cell>
          <cell r="E16371" t="str">
            <v>BGC BRAZIL HOLDING LLC</v>
          </cell>
        </row>
        <row r="16372">
          <cell r="B16372">
            <v>80095</v>
          </cell>
          <cell r="C16372" t="str">
            <v>BGC BRAZIL HOLDINGS LIMITADA</v>
          </cell>
          <cell r="D16372" t="str">
            <v>BGC BRAZIL HOLDINGS LIMITADA</v>
          </cell>
          <cell r="E16372" t="str">
            <v>BGC BRAZIL HOLDINGS LIMITADA</v>
          </cell>
        </row>
        <row r="16373">
          <cell r="B16373">
            <v>80097</v>
          </cell>
          <cell r="C16373" t="str">
            <v>AMSTERDAM FIA</v>
          </cell>
          <cell r="D16373" t="str">
            <v>AMSTERDAM FIA</v>
          </cell>
          <cell r="E16373" t="str">
            <v>ALASKA INVESTIMENTOS LTDA</v>
          </cell>
        </row>
        <row r="16374">
          <cell r="B16374">
            <v>80098</v>
          </cell>
          <cell r="C16374" t="str">
            <v>ADAK FIA IE</v>
          </cell>
          <cell r="D16374" t="str">
            <v>ADAK FIA IE</v>
          </cell>
          <cell r="E16374" t="str">
            <v>ALASKA INVESTIMENTOS LTDA</v>
          </cell>
        </row>
        <row r="16375">
          <cell r="B16375">
            <v>80099</v>
          </cell>
          <cell r="C16375" t="str">
            <v>ATKA FIA IE</v>
          </cell>
          <cell r="D16375" t="str">
            <v>ATKA FIA IE</v>
          </cell>
          <cell r="E16375" t="str">
            <v>ALASKA INVESTIMENTOS LTDA</v>
          </cell>
        </row>
        <row r="16376">
          <cell r="B16376">
            <v>80100</v>
          </cell>
          <cell r="C16376" t="str">
            <v>OCEANIA FIM IE</v>
          </cell>
          <cell r="D16376" t="str">
            <v>OCEANIA FIM IE</v>
          </cell>
          <cell r="E16376" t="str">
            <v>MORGAN STANLEY ADMINISTRADORA DE CARTEIRAS S/A</v>
          </cell>
        </row>
        <row r="16377">
          <cell r="B16377">
            <v>80102</v>
          </cell>
          <cell r="C16377" t="str">
            <v>ABSOLUTE VERTEX MASTER FIM</v>
          </cell>
          <cell r="D16377" t="str">
            <v>ABSOLUTE VERTEX MASTER FIM</v>
          </cell>
          <cell r="E16377" t="str">
            <v>ABSOLUTE GESTAO DE INVESTIMENTOS LTDA</v>
          </cell>
        </row>
        <row r="16378">
          <cell r="B16378">
            <v>80103</v>
          </cell>
          <cell r="C16378" t="str">
            <v>JIVE ASSET GESTAO DE RECURSOS LTDA</v>
          </cell>
          <cell r="D16378" t="str">
            <v>JIVE ASSET GESTAO DE RECURSOS LTDA</v>
          </cell>
          <cell r="E16378" t="str">
            <v>JIVE ASSET GESTÃO DE RECURSOS LTDA</v>
          </cell>
        </row>
        <row r="16379">
          <cell r="B16379">
            <v>80104</v>
          </cell>
          <cell r="C16379" t="str">
            <v>IRB INVESTIMENTOS E PARTICIPAÃ‡Ã•ES IMOBILIARIAS S.A</v>
          </cell>
          <cell r="D16379" t="str">
            <v>IRB INVESTIMENTOS E PARTICIPAÃ‡Ã•ES IMOBILIARIAS S.A</v>
          </cell>
          <cell r="E16379" t="str">
            <v>IRB INVESTIMENTOS E PARTICIPAÃ‡Ã•ES IMOBILIARIAS S.A</v>
          </cell>
        </row>
        <row r="16380">
          <cell r="B16380">
            <v>80108</v>
          </cell>
          <cell r="C16380" t="str">
            <v>MONGERAL AEGON INVESTIMENTOS LTDA</v>
          </cell>
          <cell r="D16380" t="str">
            <v>MONGERAL AEGON INVESTIMENTOS LTDA</v>
          </cell>
          <cell r="E16380" t="str">
            <v>MONGERAL AEGON INVESTIMENTOS LTDA</v>
          </cell>
        </row>
        <row r="16381">
          <cell r="B16381">
            <v>80109</v>
          </cell>
          <cell r="C16381" t="str">
            <v>MONGERAL AEGON SEGUROS E PREVIDENCIA S/A</v>
          </cell>
          <cell r="D16381" t="str">
            <v>MONGERAL AEGON SEGUROS E PREVIDENCIA S/A</v>
          </cell>
          <cell r="E16381" t="str">
            <v>MONGERAL AEGON INVESTIMENTOS LTDA</v>
          </cell>
        </row>
        <row r="16382">
          <cell r="B16382">
            <v>80113</v>
          </cell>
          <cell r="C16382" t="str">
            <v>FLORAL FIM CP</v>
          </cell>
          <cell r="D16382" t="str">
            <v>FLORAL FIM CP</v>
          </cell>
          <cell r="E16382" t="str">
            <v>FLORAL FIM CP</v>
          </cell>
        </row>
        <row r="16383">
          <cell r="B16383">
            <v>80114</v>
          </cell>
          <cell r="C16383" t="str">
            <v>OUTSOURCE FIM CP</v>
          </cell>
          <cell r="D16383" t="str">
            <v>OUTSOURCE FIM CP</v>
          </cell>
          <cell r="E16383" t="str">
            <v>OUTSOURCE FIM CP</v>
          </cell>
        </row>
        <row r="16384">
          <cell r="B16384">
            <v>80115</v>
          </cell>
          <cell r="C16384" t="str">
            <v>LACAN INVESTIMENTOS E PARTICIPACOES LTDA</v>
          </cell>
          <cell r="D16384" t="str">
            <v>LACAN INVESTIMENTOS E PARTICIPACOES LTDA</v>
          </cell>
          <cell r="E16384" t="str">
            <v>LACAN INVESTIMENTOS E PARTICIPACOES LTDA</v>
          </cell>
        </row>
        <row r="16385">
          <cell r="B16385">
            <v>80117</v>
          </cell>
          <cell r="C16385" t="str">
            <v>GRADUAL CCTVM S/A</v>
          </cell>
          <cell r="D16385" t="str">
            <v>GRADUAL CCTVM S/A</v>
          </cell>
          <cell r="E16385" t="str">
            <v>GRADUAL CCTVM S/A</v>
          </cell>
        </row>
        <row r="16386">
          <cell r="B16386">
            <v>80118</v>
          </cell>
          <cell r="C16386" t="str">
            <v>UJAY CAPITAL INVESTIMENTOS LTDA.</v>
          </cell>
          <cell r="D16386" t="str">
            <v>UJAY CAPITAL INVESTIMENTOS LTDA.</v>
          </cell>
          <cell r="E16386" t="str">
            <v>UJAY CAPITAL INVESTIMENTOS LTDA</v>
          </cell>
        </row>
        <row r="16387">
          <cell r="B16387">
            <v>80121</v>
          </cell>
          <cell r="C16387" t="str">
            <v>VISTA CAPITAL GESTORA DE RECURSOS LTDA.</v>
          </cell>
          <cell r="D16387" t="str">
            <v>VISTA CAPITAL GESTORA DE RECURSOS LTDA.</v>
          </cell>
          <cell r="E16387" t="str">
            <v>VISTA CAPITAL GESTORA DE RECURSOS LTDA</v>
          </cell>
        </row>
        <row r="16388">
          <cell r="B16388">
            <v>80122</v>
          </cell>
          <cell r="C16388" t="str">
            <v>VISTA MULTIESTRATEGIA FIM</v>
          </cell>
          <cell r="D16388" t="str">
            <v>VISTA MULTIESTRATEGIA FIM</v>
          </cell>
          <cell r="E16388" t="str">
            <v>VISTA CAPITAL GESTORA DE RECURSOS LTDA</v>
          </cell>
        </row>
        <row r="16389">
          <cell r="B16389">
            <v>80123</v>
          </cell>
          <cell r="C16389" t="str">
            <v>PNBY GESTORA DE RECURSOS LTDA</v>
          </cell>
          <cell r="D16389" t="str">
            <v>PNBY GESTORA DE RECURSOS LTDA</v>
          </cell>
          <cell r="E16389" t="str">
            <v>PNBY GESTORA DE RECURSOS LTDA</v>
          </cell>
        </row>
        <row r="16390">
          <cell r="B16390">
            <v>80124</v>
          </cell>
          <cell r="C16390" t="str">
            <v>TRUXT INVESTIMENTOS LTDA</v>
          </cell>
          <cell r="D16390" t="str">
            <v>TRUXT INVESTIMENTOS LTDA</v>
          </cell>
          <cell r="E16390" t="str">
            <v>TRUXT INVESTIMENTOS LTDA</v>
          </cell>
        </row>
        <row r="16391">
          <cell r="B16391">
            <v>80125</v>
          </cell>
          <cell r="C16391" t="str">
            <v>TRG EMERGING MARKET LOCAL DEBT MASTER FUND, LTD</v>
          </cell>
          <cell r="D16391" t="str">
            <v>TRG EMERGING MARKET LOCAL DEBT MASTER FUND, LTD</v>
          </cell>
          <cell r="E16391" t="str">
            <v>TRG EMERGING MARKET LOCAL DEBT MASTER FUND, LTD</v>
          </cell>
        </row>
        <row r="16392">
          <cell r="B16392">
            <v>80126</v>
          </cell>
          <cell r="C16392" t="str">
            <v>TRG GLOBAL MACRO FUND, LTD</v>
          </cell>
          <cell r="D16392" t="str">
            <v>TRG GLOBAL MACRO FUND, LTD</v>
          </cell>
          <cell r="E16392" t="str">
            <v>TRG GLOBAL MACRO FUND, LTD</v>
          </cell>
        </row>
        <row r="16393">
          <cell r="B16393">
            <v>80127</v>
          </cell>
          <cell r="C16393" t="str">
            <v>ABSOLUTE VERTEX MASTER FIM</v>
          </cell>
          <cell r="D16393" t="str">
            <v>ABSOLUTE VERTEX MASTER FIM</v>
          </cell>
          <cell r="E16393" t="str">
            <v>ABSOLUTE GESTAO DE INVESTIMENTOS LTDA</v>
          </cell>
        </row>
        <row r="16394">
          <cell r="B16394">
            <v>80128</v>
          </cell>
          <cell r="C16394" t="str">
            <v>ABSOLUTE HEDGE MASTER FIM</v>
          </cell>
          <cell r="D16394" t="str">
            <v>ABSOLUTE HEDGE MASTER FIM</v>
          </cell>
          <cell r="E16394" t="str">
            <v>ABSOLUTE GESTAO DE INVESTIMENTOS LTDA</v>
          </cell>
        </row>
        <row r="16395">
          <cell r="B16395">
            <v>80129</v>
          </cell>
          <cell r="C16395" t="str">
            <v>ORQUIDEA FIM CP IE</v>
          </cell>
          <cell r="D16395" t="str">
            <v>ORQUIDEA FIM CP IE</v>
          </cell>
          <cell r="E16395" t="str">
            <v>ORQUIDEA FIM CP IE</v>
          </cell>
        </row>
        <row r="16396">
          <cell r="B16396">
            <v>80131</v>
          </cell>
          <cell r="C16396" t="str">
            <v>R&amp;C PLUS FIM</v>
          </cell>
          <cell r="D16396" t="str">
            <v>R&amp;C PLUS FIM</v>
          </cell>
          <cell r="E16396" t="str">
            <v>MATERA RC GESTÃƒO DE RECURSOS LTDA</v>
          </cell>
        </row>
        <row r="16397">
          <cell r="B16397">
            <v>80133</v>
          </cell>
          <cell r="C16397" t="str">
            <v>ARGUCIA QUARK FIF MULT RL</v>
          </cell>
          <cell r="D16397" t="str">
            <v>ARGUCIA QUARK FIF MULT RL</v>
          </cell>
          <cell r="E16397" t="str">
            <v>ARGUCIA CAPITAL GESTAO DE RECURSOS LTDA</v>
          </cell>
        </row>
        <row r="16398">
          <cell r="B16398">
            <v>80134</v>
          </cell>
          <cell r="C16398" t="str">
            <v>MERCURY DERIVATIVES TRADING LIMITED</v>
          </cell>
          <cell r="D16398" t="str">
            <v>MERCURY DERIVATIVES TRADING LIMITED</v>
          </cell>
          <cell r="E16398" t="str">
            <v>MERCURY DERIVATIVES TRADING LIMITED</v>
          </cell>
        </row>
        <row r="16399">
          <cell r="B16399">
            <v>80135</v>
          </cell>
          <cell r="C16399" t="str">
            <v>MERCURY DERIVATIVES TRADING LIMITED</v>
          </cell>
          <cell r="D16399" t="str">
            <v>MERCURY DERIVATIVES TRADING LIMITED</v>
          </cell>
          <cell r="E16399" t="str">
            <v>MERCURY DERIVATIVES TRADING LIMITED</v>
          </cell>
        </row>
        <row r="16400">
          <cell r="B16400">
            <v>80136</v>
          </cell>
          <cell r="C16400" t="str">
            <v>MERCURY DERIVATIVES TRADING LIMITED</v>
          </cell>
          <cell r="D16400" t="str">
            <v>MERCURY DERIVATIVES TRADING LIMITED</v>
          </cell>
          <cell r="E16400" t="str">
            <v>MERCURY DERIVATIVES TRADING LIMITED</v>
          </cell>
        </row>
        <row r="16401">
          <cell r="B16401">
            <v>80137</v>
          </cell>
          <cell r="C16401" t="str">
            <v>MERCURY DERIVATIVES TRADING LIMITED</v>
          </cell>
          <cell r="D16401" t="str">
            <v>MERCURY DERIVATIVES TRADING LIMITED</v>
          </cell>
          <cell r="E16401" t="str">
            <v>MERCURY DERIVATIVES TRADING LIMITED</v>
          </cell>
        </row>
        <row r="16402">
          <cell r="B16402">
            <v>80138</v>
          </cell>
          <cell r="C16402" t="str">
            <v>MERCURY DERIVATIVES TRADING LIMITED</v>
          </cell>
          <cell r="D16402" t="str">
            <v>MERCURY DERIVATIVES TRADING LIMITED</v>
          </cell>
          <cell r="E16402" t="str">
            <v>MERCURY DERIVATIVES TRADING LIMITED</v>
          </cell>
        </row>
        <row r="16403">
          <cell r="B16403">
            <v>80139</v>
          </cell>
          <cell r="C16403" t="str">
            <v>MERCURY DERIVATIVES TRADING LIMITED</v>
          </cell>
          <cell r="D16403" t="str">
            <v>MERCURY DERIVATIVES TRADING LIMITED</v>
          </cell>
          <cell r="E16403" t="str">
            <v>MERCURY DERIVATIVES TRADING LIMITED</v>
          </cell>
        </row>
        <row r="16404">
          <cell r="B16404">
            <v>80140</v>
          </cell>
          <cell r="C16404" t="str">
            <v>MERCURY DERIVATIVES TRADING LIMITED</v>
          </cell>
          <cell r="D16404" t="str">
            <v>MERCURY DERIVATIVES TRADING LIMITED</v>
          </cell>
          <cell r="E16404" t="str">
            <v>MERCURY DERIVATIVES TRADING LIMITED</v>
          </cell>
        </row>
        <row r="16405">
          <cell r="B16405">
            <v>80141</v>
          </cell>
          <cell r="C16405" t="str">
            <v>CONTINUOS FIM CP IE</v>
          </cell>
          <cell r="D16405" t="str">
            <v>CONTINUOS FIM CP IE</v>
          </cell>
          <cell r="E16405" t="str">
            <v>MILENIO CAPITAL GESTAO DE INVESTIMENTOS LTDA</v>
          </cell>
        </row>
        <row r="16406">
          <cell r="B16406">
            <v>80142</v>
          </cell>
          <cell r="C16406" t="str">
            <v>INDIE CAPITAL INVESTIMENTOS LTDA</v>
          </cell>
          <cell r="D16406" t="str">
            <v>INDIE CAPITAL INVESTIMENTOS LTDA</v>
          </cell>
          <cell r="E16406" t="str">
            <v>INDIE CAPITAL INVESTIMENTOS LTDA</v>
          </cell>
        </row>
        <row r="16407">
          <cell r="B16407">
            <v>80143</v>
          </cell>
          <cell r="C16407" t="str">
            <v>MANTIQUEIRA MASTER FIF MULT CP RL</v>
          </cell>
          <cell r="D16407" t="str">
            <v>MANTIQUEIRA MASTER FIF MULT CP RL</v>
          </cell>
          <cell r="E16407" t="str">
            <v>BW GESTAO DE INVESTIMENTOS LTDA</v>
          </cell>
        </row>
        <row r="16408">
          <cell r="B16408">
            <v>80144</v>
          </cell>
          <cell r="C16408" t="str">
            <v>ITATIAIA MASTER FIM IE</v>
          </cell>
          <cell r="D16408" t="str">
            <v>ITATIAIA MASTER FIM IE</v>
          </cell>
          <cell r="E16408" t="str">
            <v>BW GESTAO DE INVESTIMENTOS LTDA</v>
          </cell>
        </row>
        <row r="16409">
          <cell r="B16409">
            <v>80145</v>
          </cell>
          <cell r="C16409" t="str">
            <v>ALENTEJO FIM CP</v>
          </cell>
          <cell r="D16409" t="str">
            <v>ALENTEJO FIM CP</v>
          </cell>
          <cell r="E16409" t="str">
            <v>BW GESTAO DE INVESTIMENTOS LTDA</v>
          </cell>
        </row>
        <row r="16410">
          <cell r="B16410">
            <v>80146</v>
          </cell>
          <cell r="C16410" t="str">
            <v>GERES FIM CP IE</v>
          </cell>
          <cell r="D16410" t="str">
            <v>GERES FIM CP IE</v>
          </cell>
          <cell r="E16410" t="str">
            <v>BW GESTAO DE INVESTIMENTOS LTDA</v>
          </cell>
        </row>
        <row r="16411">
          <cell r="B16411">
            <v>80147</v>
          </cell>
          <cell r="C16411" t="str">
            <v>FARO FIM CP IE</v>
          </cell>
          <cell r="D16411" t="str">
            <v>FARO FIM CP IE</v>
          </cell>
          <cell r="E16411" t="str">
            <v>BW GESTAO DE INVESTIMENTOS LTDA</v>
          </cell>
        </row>
        <row r="16412">
          <cell r="B16412">
            <v>80148</v>
          </cell>
          <cell r="C16412" t="str">
            <v>SOBRAL FIM CP IE</v>
          </cell>
          <cell r="D16412" t="str">
            <v>SOBRAL FIM CP IE</v>
          </cell>
          <cell r="E16412" t="str">
            <v>BW GESTAO DE INVESTIMENTOS LTDA</v>
          </cell>
        </row>
        <row r="16413">
          <cell r="B16413">
            <v>80149</v>
          </cell>
          <cell r="C16413" t="str">
            <v>OUTEIRO FIM CP IE</v>
          </cell>
          <cell r="D16413" t="str">
            <v>OUTEIRO FIM CP IE</v>
          </cell>
          <cell r="E16413" t="str">
            <v>BW GESTAO DE INVESTIMENTOS LTDA</v>
          </cell>
        </row>
        <row r="16414">
          <cell r="B16414">
            <v>80150</v>
          </cell>
          <cell r="C16414" t="str">
            <v>RIBEIRA FIM CP IE</v>
          </cell>
          <cell r="D16414" t="str">
            <v>RIBEIRA FIM CP IE</v>
          </cell>
          <cell r="E16414" t="str">
            <v>BW GESTAO DE INVESTIMENTOS LTDA</v>
          </cell>
        </row>
        <row r="16415">
          <cell r="B16415">
            <v>80151</v>
          </cell>
          <cell r="C16415" t="str">
            <v>LEIRIA FIM CP IE</v>
          </cell>
          <cell r="D16415" t="str">
            <v>LEIRIA FIM CP IE</v>
          </cell>
          <cell r="E16415" t="str">
            <v>BW GESTAO DE INVESTIMENTOS LTDA</v>
          </cell>
        </row>
        <row r="16416">
          <cell r="B16416">
            <v>80152</v>
          </cell>
          <cell r="C16416" t="str">
            <v>LISBOA FIM CP IE</v>
          </cell>
          <cell r="D16416" t="str">
            <v>LISBOA FIM CP IE</v>
          </cell>
          <cell r="E16416" t="str">
            <v>BW GESTAO DE INVESTIMENTOS LTDA</v>
          </cell>
        </row>
        <row r="16417">
          <cell r="B16417">
            <v>80153</v>
          </cell>
          <cell r="C16417" t="str">
            <v>PORTO FIM CP IE</v>
          </cell>
          <cell r="D16417" t="str">
            <v>PORTO FIM CP IE</v>
          </cell>
          <cell r="E16417" t="str">
            <v>BW GESTAO DE INVESTIMENTOS LTDA</v>
          </cell>
        </row>
        <row r="16418">
          <cell r="B16418">
            <v>80154</v>
          </cell>
          <cell r="C16418" t="str">
            <v>AMARANTE FIM CP IE</v>
          </cell>
          <cell r="D16418" t="str">
            <v>AMARANTE FIM CP IE</v>
          </cell>
          <cell r="E16418" t="str">
            <v>BW GESTAO DE INVESTIMENTOS LTDA</v>
          </cell>
        </row>
        <row r="16419">
          <cell r="B16419">
            <v>80155</v>
          </cell>
          <cell r="C16419" t="str">
            <v>XMZ FIM CP IE</v>
          </cell>
          <cell r="D16419" t="str">
            <v>XMZ FIM CP IE</v>
          </cell>
          <cell r="E16419" t="str">
            <v>XMZ FIM CP IE</v>
          </cell>
        </row>
        <row r="16420">
          <cell r="B16420">
            <v>80156</v>
          </cell>
          <cell r="C16420" t="str">
            <v>TMJ IMA-B FI RF</v>
          </cell>
          <cell r="D16420" t="str">
            <v>TMJ IMA-B FI RF</v>
          </cell>
          <cell r="E16420" t="str">
            <v>TMJ IMA-B FI RF</v>
          </cell>
        </row>
        <row r="16421">
          <cell r="B16421">
            <v>80157</v>
          </cell>
          <cell r="C16421" t="str">
            <v>TMJ CAPITAL JURO REAL FI RF</v>
          </cell>
          <cell r="D16421" t="str">
            <v>TMJ CAPITAL JURO REAL FI RF</v>
          </cell>
          <cell r="E16421" t="str">
            <v>TMJ CAPITAL JURO REAL FI RF</v>
          </cell>
        </row>
        <row r="16422">
          <cell r="B16422">
            <v>80158</v>
          </cell>
          <cell r="C16422" t="str">
            <v>KRONOS ABSOLUT RETURN LP FIM</v>
          </cell>
          <cell r="D16422" t="str">
            <v>KRONOS ABSOLUT RETURN LP FIM</v>
          </cell>
          <cell r="E16422" t="str">
            <v>GRIMPER CAPITAL GESTORA DE RECURSOS LTDA</v>
          </cell>
        </row>
        <row r="16423">
          <cell r="B16423">
            <v>80159</v>
          </cell>
          <cell r="C16423" t="str">
            <v>SOCIETE GENERALE (PARIS)</v>
          </cell>
          <cell r="D16423" t="str">
            <v>SOCIETE GENERALE (PARIS)</v>
          </cell>
          <cell r="E16423" t="str">
            <v>BANCO SOCIETE GENERALE BRASIL S/A</v>
          </cell>
        </row>
        <row r="16424">
          <cell r="B16424">
            <v>80160</v>
          </cell>
          <cell r="C16424" t="str">
            <v>ARCOBALENO FIM CP IE</v>
          </cell>
          <cell r="D16424" t="str">
            <v>ARCOBALENO FIM CP IE</v>
          </cell>
          <cell r="E16424" t="str">
            <v>WRIGHT CAPITAL GESTAO DE RECURSOS LTDA</v>
          </cell>
        </row>
        <row r="16425">
          <cell r="B16425">
            <v>80161</v>
          </cell>
          <cell r="C16425" t="str">
            <v>ASTAPOVO FIM CP IE</v>
          </cell>
          <cell r="D16425" t="str">
            <v>ASTAPOVO FIM CP IE</v>
          </cell>
          <cell r="E16425" t="str">
            <v>WRIGHT CAPITAL GESTAO DE RECURSOS LTDA</v>
          </cell>
        </row>
        <row r="16426">
          <cell r="B16426">
            <v>80162</v>
          </cell>
          <cell r="C16426" t="str">
            <v>ASTORGA FIM CP IE</v>
          </cell>
          <cell r="D16426" t="str">
            <v>ASTORGA FIM CP IE</v>
          </cell>
          <cell r="E16426" t="str">
            <v>WRIGHT CAPITAL GESTAO DE RECURSOS LTDA</v>
          </cell>
        </row>
        <row r="16427">
          <cell r="B16427">
            <v>80163</v>
          </cell>
          <cell r="C16427" t="str">
            <v>AUGURI FIM CP IE</v>
          </cell>
          <cell r="D16427" t="str">
            <v>AUGURI FIM CP IE</v>
          </cell>
          <cell r="E16427" t="str">
            <v>WRIGHT CAPITAL GESTAO DE RECURSOS LTDA</v>
          </cell>
        </row>
        <row r="16428">
          <cell r="B16428">
            <v>80164</v>
          </cell>
          <cell r="C16428" t="str">
            <v>ELECTRA FIM CP IE</v>
          </cell>
          <cell r="D16428" t="str">
            <v>ELECTRA FIM CP IE</v>
          </cell>
          <cell r="E16428" t="str">
            <v>WRIGHT CAPITAL GESTAO DE RECURSOS LTDA</v>
          </cell>
        </row>
        <row r="16429">
          <cell r="B16429">
            <v>80165</v>
          </cell>
          <cell r="C16429" t="str">
            <v>GENIAL FIM CP IE</v>
          </cell>
          <cell r="D16429" t="str">
            <v>GENIAL FIM CP IE</v>
          </cell>
          <cell r="E16429" t="str">
            <v>WRIGHT CAPITAL GESTAO DE RECURSOS LTDA</v>
          </cell>
        </row>
        <row r="16430">
          <cell r="B16430">
            <v>80166</v>
          </cell>
          <cell r="C16430" t="str">
            <v>HEIDELBERG FIM CP IE</v>
          </cell>
          <cell r="D16430" t="str">
            <v>HEIDELBERG FIM CP IE</v>
          </cell>
          <cell r="E16430" t="str">
            <v>WRIGHT CAPITAL GESTAO DE RECURSOS LTDA</v>
          </cell>
        </row>
        <row r="16431">
          <cell r="B16431">
            <v>80167</v>
          </cell>
          <cell r="C16431" t="str">
            <v>LUZES FIM CP IE</v>
          </cell>
          <cell r="D16431" t="str">
            <v>LUZES FIM CP IE</v>
          </cell>
          <cell r="E16431" t="str">
            <v>WRIGHT CAPITAL GESTAO DE RECURSOS LTDA</v>
          </cell>
        </row>
        <row r="16432">
          <cell r="B16432">
            <v>80168</v>
          </cell>
          <cell r="C16432" t="str">
            <v>MESTICO FIC FIM CP</v>
          </cell>
          <cell r="D16432" t="str">
            <v>MESTICO FIC FIM CP</v>
          </cell>
          <cell r="E16432" t="str">
            <v>WRIGHT CAPITAL GESTAO DE RECURSOS LTDA</v>
          </cell>
        </row>
        <row r="16433">
          <cell r="B16433">
            <v>80169</v>
          </cell>
          <cell r="C16433" t="str">
            <v>TUPINAMBA FIM CP IE</v>
          </cell>
          <cell r="D16433" t="str">
            <v>TUPINAMBA FIM CP IE</v>
          </cell>
          <cell r="E16433" t="str">
            <v>WRIGHT CAPITAL GESTAO DE RECURSOS LTDA</v>
          </cell>
        </row>
        <row r="16434">
          <cell r="B16434">
            <v>80170</v>
          </cell>
          <cell r="C16434" t="str">
            <v>TXAI FIM CP IE</v>
          </cell>
          <cell r="D16434" t="str">
            <v>TXAI FIM CP IE</v>
          </cell>
          <cell r="E16434" t="str">
            <v>WRIGHT CAPITAL GESTAO DE RECURSOS LTDA</v>
          </cell>
        </row>
        <row r="16435">
          <cell r="B16435">
            <v>80171</v>
          </cell>
          <cell r="C16435" t="str">
            <v>WRIGHT CASH FIC DE FIM CP</v>
          </cell>
          <cell r="D16435" t="str">
            <v>WRIGHT CASH FIC DE FIM CP</v>
          </cell>
          <cell r="E16435" t="str">
            <v>WRIGHT CAPITAL GESTAO DE RECURSOS LTDA</v>
          </cell>
        </row>
        <row r="16436">
          <cell r="B16436">
            <v>80172</v>
          </cell>
          <cell r="C16436" t="str">
            <v>WRIGHT CREDITO FIM CP IE</v>
          </cell>
          <cell r="D16436" t="str">
            <v>WRIGHT CREDITO FIM CP IE</v>
          </cell>
          <cell r="E16436" t="str">
            <v>WRIGHT CAPITAL GESTAO DE RECURSOS LTDA</v>
          </cell>
        </row>
        <row r="16437">
          <cell r="B16437">
            <v>80173</v>
          </cell>
          <cell r="C16437" t="str">
            <v>WRIGHT EQUITY FIM CP IE</v>
          </cell>
          <cell r="D16437" t="str">
            <v>WRIGHT EQUITY FIM CP IE</v>
          </cell>
          <cell r="E16437" t="str">
            <v>WRIGHT CAPITAL GESTAO DE RECURSOS LTDA</v>
          </cell>
        </row>
        <row r="16438">
          <cell r="B16438">
            <v>80174</v>
          </cell>
          <cell r="C16438" t="str">
            <v>WRIGHT IMPACTO SOCIAL FIC FIM CP IE</v>
          </cell>
          <cell r="D16438" t="str">
            <v>WRIGHT IMPACTO SOCIAL FIC FIM CP IE</v>
          </cell>
          <cell r="E16438" t="str">
            <v>WRIGHT CAPITAL GESTAO DE RECURSOS LTDA</v>
          </cell>
        </row>
        <row r="16439">
          <cell r="B16439">
            <v>80175</v>
          </cell>
          <cell r="C16439" t="str">
            <v>WRIGHT MULTI FIM CRED PRIV IE</v>
          </cell>
          <cell r="D16439" t="str">
            <v>WRIGHT MULTI FIM CRED PRIV IE</v>
          </cell>
          <cell r="E16439" t="str">
            <v>WRIGHT CAPITAL GESTAO DE RECURSOS LTDA</v>
          </cell>
        </row>
        <row r="16440">
          <cell r="B16440">
            <v>80176</v>
          </cell>
          <cell r="C16440" t="str">
            <v>K4P FIM</v>
          </cell>
          <cell r="D16440" t="str">
            <v>K4P FIM</v>
          </cell>
          <cell r="E16440" t="str">
            <v>WRIGHT CAPITAL GESTAO DE RECURSOS LTDA</v>
          </cell>
        </row>
        <row r="16441">
          <cell r="B16441">
            <v>80177</v>
          </cell>
          <cell r="C16441" t="str">
            <v>K4F FIM CP IE</v>
          </cell>
          <cell r="D16441" t="str">
            <v>K4F FIM CP IE</v>
          </cell>
          <cell r="E16441" t="str">
            <v>WRIGHT CAPITAL GESTAO DE RECURSOS LTDA</v>
          </cell>
        </row>
        <row r="16442">
          <cell r="B16442">
            <v>80178</v>
          </cell>
          <cell r="C16442" t="str">
            <v>TRAVEL FIM CRED PRIV IE</v>
          </cell>
          <cell r="D16442" t="str">
            <v>TRAVEL FIM CRED PRIV IE</v>
          </cell>
          <cell r="E16442" t="str">
            <v>WRIGHT CAPITAL GESTAO DE RECURSOS LTDA</v>
          </cell>
        </row>
        <row r="16443">
          <cell r="B16443">
            <v>80179</v>
          </cell>
          <cell r="C16443" t="str">
            <v>CSHG LBB FC MULT CP IE</v>
          </cell>
          <cell r="D16443" t="str">
            <v>CSHG LBB FC MULT CP IE</v>
          </cell>
          <cell r="E16443" t="str">
            <v>WRIGHT CAPITAL GESTAO DE RECURSOS LTDA</v>
          </cell>
        </row>
        <row r="16444">
          <cell r="B16444">
            <v>80180</v>
          </cell>
          <cell r="C16444" t="str">
            <v>CSHG 1160 FIM CP IE</v>
          </cell>
          <cell r="D16444" t="str">
            <v>CSHG 1160 FIM CP IE</v>
          </cell>
          <cell r="E16444" t="str">
            <v>WRIGHT CAPITAL GESTAO DE RECURSOS LTDA</v>
          </cell>
        </row>
        <row r="16445">
          <cell r="B16445">
            <v>80181</v>
          </cell>
          <cell r="C16445" t="str">
            <v>WRIGHT JUROS FIM CP IE</v>
          </cell>
          <cell r="D16445" t="str">
            <v>WRIGHT JUROS FIM CP IE</v>
          </cell>
          <cell r="E16445" t="str">
            <v>WRIGHT CAPITAL GESTAO DE RECURSOS LTDA</v>
          </cell>
        </row>
        <row r="16446">
          <cell r="B16446">
            <v>80182</v>
          </cell>
          <cell r="C16446" t="str">
            <v>FINTEX FUNDO DE INVESTIMENTO MULTIMERCADO</v>
          </cell>
          <cell r="D16446" t="str">
            <v>FINTEX FUNDO DE INVESTIMENTO MULTIMERCADO</v>
          </cell>
          <cell r="E16446" t="str">
            <v>FINTEX FUNDO DE INVESTIMENTO MULTIMERCADO</v>
          </cell>
        </row>
        <row r="16447">
          <cell r="B16447">
            <v>80183</v>
          </cell>
          <cell r="C16447" t="str">
            <v>OAK FIM CP IE</v>
          </cell>
          <cell r="D16447" t="str">
            <v>OAK FIM CP IE</v>
          </cell>
          <cell r="E16447" t="str">
            <v>OAK FIM CP IE</v>
          </cell>
        </row>
        <row r="16448">
          <cell r="B16448">
            <v>80184</v>
          </cell>
          <cell r="C16448" t="str">
            <v>MERCURY DERIVATIVES TRADING LIMITED</v>
          </cell>
          <cell r="D16448" t="str">
            <v>MERCURY DERIVATIVES TRADING LIMITED</v>
          </cell>
          <cell r="E16448" t="str">
            <v>MERCURY DERIVATIVES TRADING LIMITED</v>
          </cell>
        </row>
        <row r="16449">
          <cell r="B16449">
            <v>80185</v>
          </cell>
          <cell r="C16449" t="str">
            <v>MERCURY DERIVATIVES TRADING LIMITED</v>
          </cell>
          <cell r="D16449" t="str">
            <v>MERCURY DERIVATIVES TRADING LIMITED</v>
          </cell>
          <cell r="E16449" t="str">
            <v>MERCURY DERIVATIVES TRADING LIMITED</v>
          </cell>
        </row>
        <row r="16450">
          <cell r="B16450">
            <v>80186</v>
          </cell>
          <cell r="C16450" t="str">
            <v>FF FIM CP IE</v>
          </cell>
          <cell r="D16450" t="str">
            <v>FF FIM CP IE</v>
          </cell>
          <cell r="E16450" t="str">
            <v>WRIGHT CAPITAL GESTAO DE RECURSOS LTDA</v>
          </cell>
        </row>
        <row r="16451">
          <cell r="B16451">
            <v>80187</v>
          </cell>
          <cell r="C16451" t="str">
            <v>FN FIM CP IE</v>
          </cell>
          <cell r="D16451" t="str">
            <v>FN FIM CP IE</v>
          </cell>
          <cell r="E16451" t="str">
            <v>WRIGHT CAPITAL GESTAO DE RECURSOS LTDA</v>
          </cell>
        </row>
        <row r="16452">
          <cell r="B16452">
            <v>80188</v>
          </cell>
          <cell r="C16452" t="str">
            <v>FORUS FIC FIM CP</v>
          </cell>
          <cell r="D16452" t="str">
            <v>FORUS FIC FIM CP</v>
          </cell>
          <cell r="E16452" t="str">
            <v>WRIGHT CAPITAL GESTAO DE RECURSOS LTDA</v>
          </cell>
        </row>
        <row r="16453">
          <cell r="B16453">
            <v>80189</v>
          </cell>
          <cell r="C16453" t="str">
            <v>LAJOTA FIM CP IE</v>
          </cell>
          <cell r="D16453" t="str">
            <v>LAJOTA FIM CP IE</v>
          </cell>
          <cell r="E16453" t="str">
            <v>WRIGHT CAPITAL GESTAO DE RECURSOS LTDA</v>
          </cell>
        </row>
        <row r="16454">
          <cell r="B16454">
            <v>80190</v>
          </cell>
          <cell r="C16454" t="str">
            <v>LUMASIQ FIM CP IE</v>
          </cell>
          <cell r="D16454" t="str">
            <v>LUMASIQ FIM CP IE</v>
          </cell>
          <cell r="E16454" t="str">
            <v>WRIGHT CAPITAL GESTAO DE RECURSOS LTDA</v>
          </cell>
        </row>
        <row r="16455">
          <cell r="B16455">
            <v>80191</v>
          </cell>
          <cell r="C16455" t="str">
            <v>SOLO FIM CP IE</v>
          </cell>
          <cell r="D16455" t="str">
            <v>SOLO FIM CP IE</v>
          </cell>
          <cell r="E16455" t="str">
            <v>WRIGHT CAPITAL GESTAO DE RECURSOS LTDA</v>
          </cell>
        </row>
        <row r="16456">
          <cell r="B16456">
            <v>80192</v>
          </cell>
          <cell r="C16456" t="str">
            <v>SUMATRA FIM CP IE</v>
          </cell>
          <cell r="D16456" t="str">
            <v>SUMATRA FIM CP IE</v>
          </cell>
          <cell r="E16456" t="str">
            <v>WRIGHT CAPITAL GESTAO DE RECURSOS LTDA</v>
          </cell>
        </row>
        <row r="16457">
          <cell r="B16457">
            <v>80193</v>
          </cell>
          <cell r="C16457" t="str">
            <v>PACIFICO GESTAO DE RECURSOS LTDA</v>
          </cell>
          <cell r="D16457" t="str">
            <v>PACIFICO GESTAO DE RECURSOS LTDA</v>
          </cell>
          <cell r="E16457" t="str">
            <v>PACIFICO GESTAO DE RECURSOS LTDA</v>
          </cell>
        </row>
        <row r="16458">
          <cell r="B16458">
            <v>80194</v>
          </cell>
          <cell r="C16458" t="str">
            <v>BANCO ABN AMRO CLEARING S.A.</v>
          </cell>
          <cell r="D16458" t="str">
            <v>BANCO ABN AMRO CLEARING S.A.</v>
          </cell>
          <cell r="E16458" t="str">
            <v>BANCO ABN AMRO S/A</v>
          </cell>
        </row>
        <row r="16459">
          <cell r="B16459">
            <v>79638</v>
          </cell>
          <cell r="C16459" t="str">
            <v>BANCO SANTANDER, S/A (MADRID)</v>
          </cell>
          <cell r="D16459" t="str">
            <v>BANCO SANTANDER, S/A (MADRID)</v>
          </cell>
          <cell r="E16459" t="str">
            <v>BANCO SANTANDER S/A (HISPANO)</v>
          </cell>
        </row>
        <row r="16460">
          <cell r="B16460">
            <v>79639</v>
          </cell>
          <cell r="C16460" t="str">
            <v>BANCO SANTANDER, S/A (MADRID)</v>
          </cell>
          <cell r="D16460" t="str">
            <v>BANCO SANTANDER, S/A (MADRID)</v>
          </cell>
          <cell r="E16460" t="str">
            <v>BANCO SANTANDER S/A (HISPANO)</v>
          </cell>
        </row>
        <row r="16461">
          <cell r="B16461">
            <v>80207</v>
          </cell>
          <cell r="C16461" t="str">
            <v>MERCURY DERIVATIVES TRADING LIMITED</v>
          </cell>
          <cell r="D16461" t="str">
            <v>MERCURY DERIVATIVES TRADING LIMITED</v>
          </cell>
          <cell r="E16461" t="str">
            <v>MERCURY DERIVATIVES TRADING LIMITED</v>
          </cell>
        </row>
        <row r="16462">
          <cell r="B16462">
            <v>124316</v>
          </cell>
          <cell r="C16462" t="str">
            <v>3M FIM LP</v>
          </cell>
          <cell r="D16462" t="str">
            <v>3M FIM LP</v>
          </cell>
          <cell r="E16462" t="str">
            <v>MORE INVEST GESTORA DE RECURSOS LTDA</v>
          </cell>
        </row>
        <row r="16463">
          <cell r="B16463">
            <v>80209</v>
          </cell>
          <cell r="C16463" t="str">
            <v>BTG PACTUAL ARF INVESTMENTS LP</v>
          </cell>
          <cell r="D16463" t="str">
            <v>BTG PACTUAL ARF INVESTMENTS LP</v>
          </cell>
          <cell r="E16463" t="str">
            <v>BTG PACTUAL ASSET MANAGEMENT SA DTVM</v>
          </cell>
        </row>
        <row r="16464">
          <cell r="B16464">
            <v>80210</v>
          </cell>
          <cell r="C16464" t="str">
            <v>BANK OF CHINA (BRASIL) BANCO MULTIPLO S/A</v>
          </cell>
          <cell r="D16464" t="str">
            <v>BANK OF CHINA (BRASIL) BANCO MULTIPLO S/A</v>
          </cell>
          <cell r="E16464" t="str">
            <v>BANCO DA CHINA BRASIL S/A</v>
          </cell>
        </row>
        <row r="16465">
          <cell r="B16465">
            <v>80211</v>
          </cell>
          <cell r="C16465" t="str">
            <v>BANK OF CHINA (BRASIL) BANCO MULTIPLO S/A</v>
          </cell>
          <cell r="D16465" t="str">
            <v>BANK OF CHINA (BRASIL) BANCO MULTIPLO S/A</v>
          </cell>
          <cell r="E16465" t="str">
            <v>BANCO DA CHINA BRASIL S/A</v>
          </cell>
        </row>
        <row r="16466">
          <cell r="B16466">
            <v>80213</v>
          </cell>
          <cell r="C16466" t="str">
            <v>BRAZA BANK S/A BANCO DE CAMBIO</v>
          </cell>
          <cell r="D16466" t="str">
            <v>BRAZA BANK S/A BANCO DE CAMBIO</v>
          </cell>
          <cell r="E16466" t="str">
            <v>BRAZA BANK S/A BANCO DE CAMBIO</v>
          </cell>
        </row>
        <row r="16467">
          <cell r="B16467">
            <v>80214</v>
          </cell>
          <cell r="C16467" t="str">
            <v>BRAZA BANK S/A BANCO DE CAMBIO</v>
          </cell>
          <cell r="D16467" t="str">
            <v>BRAZA BANK S/A BANCO DE CAMBIO</v>
          </cell>
          <cell r="E16467" t="str">
            <v>BRAZA BANK S/A BANCO DE CAMBIO</v>
          </cell>
        </row>
        <row r="16468">
          <cell r="B16468">
            <v>80216</v>
          </cell>
          <cell r="C16468" t="str">
            <v>FUNDAMENTAL INVESTIMENTOS LTDA</v>
          </cell>
          <cell r="D16468" t="str">
            <v>FUNDAMENTAL INVESTIMENTOS LTDA</v>
          </cell>
          <cell r="E16468" t="str">
            <v>FUNDAMENTAL INVESTIMENTOS LTDA</v>
          </cell>
        </row>
        <row r="16469">
          <cell r="B16469">
            <v>80228</v>
          </cell>
          <cell r="C16469" t="str">
            <v>ARX MACRO FUNDO DE INVESTIMENTO MULTIMERCADO</v>
          </cell>
          <cell r="D16469" t="str">
            <v>ARX MACRO FUNDO DE INVESTIMENTO MULTIMERCADO</v>
          </cell>
          <cell r="E16469" t="str">
            <v>ARX MACRO FUNDO DE INVESTIMENTO MULTIMERCADO</v>
          </cell>
        </row>
        <row r="16470">
          <cell r="B16470">
            <v>80229</v>
          </cell>
          <cell r="C16470" t="str">
            <v>FL DOURADO INSTITUCIONAL FIM</v>
          </cell>
          <cell r="D16470" t="str">
            <v>FL DOURADO INSTITUCIONAL FIM</v>
          </cell>
          <cell r="E16470" t="str">
            <v>FINGER LAKER GESTORA DE RECURSOS LTDA</v>
          </cell>
        </row>
        <row r="16471">
          <cell r="B16471">
            <v>80230</v>
          </cell>
          <cell r="C16471" t="str">
            <v>FL PREMIUM INSTITUCIONAL FI RF LP</v>
          </cell>
          <cell r="D16471" t="str">
            <v>FL PREMIUM INSTITUCIONAL FI RF LP</v>
          </cell>
          <cell r="E16471" t="str">
            <v>FINGER LAKER GESTORA DE RECURSOS LTDA</v>
          </cell>
        </row>
        <row r="16472">
          <cell r="B16472">
            <v>80231</v>
          </cell>
          <cell r="C16472" t="str">
            <v>VISTA CAPITAL GESTORA DE RECURSOS LTDA.</v>
          </cell>
          <cell r="D16472" t="str">
            <v>VISTA CAPITAL GESTORA DE RECURSOS LTDA.</v>
          </cell>
          <cell r="E16472" t="str">
            <v>VISTA CAPITAL GESTORA DE RECURSOS LTDA</v>
          </cell>
        </row>
        <row r="16473">
          <cell r="B16473">
            <v>80232</v>
          </cell>
          <cell r="C16473" t="str">
            <v>3R GESTORA DE RECURSOS LTDA</v>
          </cell>
          <cell r="D16473" t="str">
            <v>3R GESTORA DE RECURSOS LTDA</v>
          </cell>
          <cell r="E16473" t="str">
            <v>3R GESTORA DE RECURSOS LTDA</v>
          </cell>
        </row>
        <row r="16474">
          <cell r="B16474">
            <v>80234</v>
          </cell>
          <cell r="C16474" t="str">
            <v>NATIXIS</v>
          </cell>
          <cell r="D16474">
            <v>128</v>
          </cell>
          <cell r="E16474" t="str">
            <v>NATIXIS, AS</v>
          </cell>
        </row>
        <row r="16475">
          <cell r="B16475">
            <v>80235</v>
          </cell>
          <cell r="C16475" t="str">
            <v>J PAULATTI  EMPREENDIMENTOS LTDA</v>
          </cell>
          <cell r="D16475" t="str">
            <v>J PAULATTI  EMPREENDIMENTOS LTDA</v>
          </cell>
          <cell r="E16475" t="str">
            <v>J PAULATTI  EMPREENDIMENTOS LTDA</v>
          </cell>
        </row>
        <row r="16476">
          <cell r="B16476">
            <v>80236</v>
          </cell>
          <cell r="C16476" t="str">
            <v>ARTESANAL INVESTIMENTOS LTDA</v>
          </cell>
          <cell r="D16476" t="str">
            <v>ARTESANAL INVESTIMENTOS LTDA</v>
          </cell>
          <cell r="E16476" t="str">
            <v>ARTESANAL INVESTIMENTOS LTDA</v>
          </cell>
        </row>
        <row r="16477">
          <cell r="B16477">
            <v>80237</v>
          </cell>
          <cell r="C16477" t="str">
            <v>KEPLER FIM CP IE</v>
          </cell>
          <cell r="D16477" t="str">
            <v>KEPLER FIM CP IE</v>
          </cell>
          <cell r="E16477" t="str">
            <v>KEPLER FIM CP IE</v>
          </cell>
        </row>
        <row r="16478">
          <cell r="B16478">
            <v>80239</v>
          </cell>
          <cell r="C16478" t="str">
            <v>KINEA INVESTIMENTOS LTDA</v>
          </cell>
          <cell r="D16478" t="str">
            <v>KINEA INVESTIMENTOS LTDA</v>
          </cell>
          <cell r="E16478" t="str">
            <v>KINEA INVESTIMENTOS LTDA</v>
          </cell>
        </row>
        <row r="16479">
          <cell r="B16479">
            <v>80241</v>
          </cell>
          <cell r="C16479" t="str">
            <v>PHILADELPHIA FIM CP</v>
          </cell>
          <cell r="D16479" t="str">
            <v>PHILADELPHIA FIM CP</v>
          </cell>
          <cell r="E16479" t="str">
            <v>MILENIO CAPITAL GESTAO DE INVESTIMENTOS LTDA</v>
          </cell>
        </row>
        <row r="16480">
          <cell r="B16480">
            <v>80246</v>
          </cell>
          <cell r="C16480" t="str">
            <v>ESH CAPITAL INVESTIMENTOS LTDA.</v>
          </cell>
          <cell r="D16480" t="str">
            <v>ESH CAPITAL INVESTIMENTOS LTDA.</v>
          </cell>
          <cell r="E16480" t="str">
            <v>ESH CAPITAL INVESTIMENTOS LTDA.</v>
          </cell>
        </row>
        <row r="16481">
          <cell r="B16481">
            <v>80247</v>
          </cell>
          <cell r="C16481" t="str">
            <v>FLAG MASTER FIM</v>
          </cell>
          <cell r="D16481" t="str">
            <v>FLAG MASTER FIM</v>
          </cell>
          <cell r="E16481" t="str">
            <v>FLAG MASTER FIM</v>
          </cell>
        </row>
        <row r="16482">
          <cell r="B16482">
            <v>80248</v>
          </cell>
          <cell r="C16482" t="str">
            <v>NOVUS ACOES INSTITUCIONAL MASTER FIA</v>
          </cell>
          <cell r="D16482" t="str">
            <v>NOVUS ACOES INSTITUCIONAL MASTER FIA</v>
          </cell>
          <cell r="E16482" t="str">
            <v>NOVUS CAPITAL GESTORA DE RECURSOS LTDA</v>
          </cell>
        </row>
        <row r="16483">
          <cell r="B16483">
            <v>80249</v>
          </cell>
          <cell r="C16483" t="str">
            <v>ESH CAPITAL INVESTIMENTOS LTDA.</v>
          </cell>
          <cell r="D16483" t="str">
            <v>ESH CAPITAL INVESTIMENTOS LTDA.</v>
          </cell>
          <cell r="E16483" t="str">
            <v>ESH CAPITAL INVESTIMENTOS LTDA.</v>
          </cell>
        </row>
        <row r="16484">
          <cell r="B16484">
            <v>80251</v>
          </cell>
          <cell r="C16484" t="str">
            <v>ARGUCIA QUARK FIF MULT RL</v>
          </cell>
          <cell r="D16484" t="str">
            <v>ARGUCIA QUARK FIF MULT RL</v>
          </cell>
          <cell r="E16484" t="str">
            <v>ARGUCIA CAPITAL GESTAO DE RECURSOS LTDA</v>
          </cell>
        </row>
        <row r="16485">
          <cell r="B16485">
            <v>80252</v>
          </cell>
          <cell r="C16485" t="str">
            <v>TERA CAPITAL GESTAO DE RECURSOS LTDA</v>
          </cell>
          <cell r="D16485" t="str">
            <v>TERA CAPITAL GESTAO DE RECURSOS LTDA</v>
          </cell>
          <cell r="E16485" t="str">
            <v>TERA CAPITAL GESTAO DE RECURSOS LTDA</v>
          </cell>
        </row>
        <row r="16486">
          <cell r="B16486">
            <v>80253</v>
          </cell>
          <cell r="C16486" t="str">
            <v>VENTURESTAR FIM</v>
          </cell>
          <cell r="D16486" t="str">
            <v>VENTURESTAR FIM</v>
          </cell>
          <cell r="E16486" t="str">
            <v>VENTURESTAR GESTAO DE RECURSOS LTDA</v>
          </cell>
        </row>
        <row r="16487">
          <cell r="B16487">
            <v>82665</v>
          </cell>
          <cell r="C16487" t="str">
            <v>UPGRADE FUNDO DE INVESTIMENTO FINANCEIRO EM ACOES</v>
          </cell>
          <cell r="D16487" t="str">
            <v>UPGRADE FUNDO DE INVESTIMENTO FINANCEIRO EM ACOES</v>
          </cell>
          <cell r="E16487" t="str">
            <v>PLURAL INVESTIMENTOS GESTAO DE RECURSOS LTDA</v>
          </cell>
        </row>
        <row r="16488">
          <cell r="B16488">
            <v>80255</v>
          </cell>
          <cell r="C16488" t="str">
            <v>CANVAS CAPITAL S/A</v>
          </cell>
          <cell r="D16488" t="str">
            <v>CANVAS CAPITAL S/A</v>
          </cell>
          <cell r="E16488" t="str">
            <v>CANVAS CAPITAL S/A</v>
          </cell>
        </row>
        <row r="16489">
          <cell r="B16489">
            <v>80256</v>
          </cell>
          <cell r="C16489" t="str">
            <v>SOLANA GESTORA DE RECURSOS LTDA</v>
          </cell>
          <cell r="D16489" t="str">
            <v>SOLANA GESTORA DE RECURSOS LTDA</v>
          </cell>
          <cell r="E16489" t="str">
            <v>SOLANA GESTORA DE RECURSOS LTDA</v>
          </cell>
        </row>
        <row r="16490">
          <cell r="B16490">
            <v>80315</v>
          </cell>
          <cell r="C16490" t="str">
            <v>GARIN INVESTIMENTOS LTDA</v>
          </cell>
          <cell r="D16490" t="str">
            <v>GARIN INVESTIMENTOS LTDA</v>
          </cell>
          <cell r="E16490" t="str">
            <v>GARIN INVESTIMENTOS LTDA</v>
          </cell>
        </row>
        <row r="16491">
          <cell r="B16491">
            <v>80316</v>
          </cell>
          <cell r="C16491" t="str">
            <v>FIM CANARY IE</v>
          </cell>
          <cell r="D16491" t="str">
            <v>FIM CANARY IE</v>
          </cell>
          <cell r="E16491" t="str">
            <v>BANCO CITIBANK S/A</v>
          </cell>
        </row>
        <row r="16492">
          <cell r="B16492">
            <v>80317</v>
          </cell>
          <cell r="C16492" t="str">
            <v>BGC LIQUIDEZ DTVM LTDA</v>
          </cell>
          <cell r="D16492" t="str">
            <v>BGC LIQUIDEZ DTVM LTDA</v>
          </cell>
          <cell r="E16492" t="str">
            <v>BGC LIQUIDEZ DTVM LTDA</v>
          </cell>
        </row>
        <row r="16493">
          <cell r="B16493">
            <v>80318</v>
          </cell>
          <cell r="C16493" t="str">
            <v>ENGELHART CTP (BRASIL) S.A</v>
          </cell>
          <cell r="D16493" t="str">
            <v>ENGELHART CTP (BRASIL) S.A</v>
          </cell>
          <cell r="E16493" t="str">
            <v>ENGELHART CTP (BRASIL) S.A</v>
          </cell>
        </row>
        <row r="16494">
          <cell r="B16494">
            <v>80966</v>
          </cell>
          <cell r="C16494" t="str">
            <v>XP MACRO PLUS FUNDO DE INVESTIMENTO MULTIMERCADO</v>
          </cell>
          <cell r="D16494" t="str">
            <v>XP MACRO PLUS FUNDO DE INVESTIMENTO MULTIMERCADO</v>
          </cell>
          <cell r="E16494" t="str">
            <v>XP GESTAO DE RECURSOS LTDA</v>
          </cell>
        </row>
        <row r="16495">
          <cell r="B16495">
            <v>80321</v>
          </cell>
          <cell r="C16495" t="str">
            <v>BANK OF CHINA (BRASIL) BANCO MULTIPLO S/A</v>
          </cell>
          <cell r="D16495" t="str">
            <v>2.2</v>
          </cell>
          <cell r="E16495" t="str">
            <v>BANCO DA CHINA BRASIL S/A</v>
          </cell>
        </row>
        <row r="16496">
          <cell r="B16496">
            <v>80327</v>
          </cell>
          <cell r="C16496" t="str">
            <v>ITAU UNIBANCO S.A.</v>
          </cell>
          <cell r="D16496" t="str">
            <v>ITAU UNIBANCO S.A.</v>
          </cell>
          <cell r="E16496" t="str">
            <v>ITAU UNIBANCO S/A</v>
          </cell>
        </row>
        <row r="16497">
          <cell r="B16497">
            <v>80328</v>
          </cell>
          <cell r="C16497" t="str">
            <v>ITAU UNIBANCO S.A.</v>
          </cell>
          <cell r="D16497" t="str">
            <v>ITAU UNIBANCO S.A.</v>
          </cell>
          <cell r="E16497" t="str">
            <v>ITAU UNIBANCO S/A</v>
          </cell>
        </row>
        <row r="16498">
          <cell r="B16498">
            <v>80329</v>
          </cell>
          <cell r="C16498" t="str">
            <v>ITAU UNIBANCO S.A.</v>
          </cell>
          <cell r="D16498" t="str">
            <v>ITAU UNIBANCO S.A.</v>
          </cell>
          <cell r="E16498" t="str">
            <v>ITAU UNIBANCO S/A</v>
          </cell>
        </row>
        <row r="16499">
          <cell r="B16499">
            <v>80332</v>
          </cell>
          <cell r="C16499" t="str">
            <v>BANCO ITAUCARD S/A</v>
          </cell>
          <cell r="D16499" t="str">
            <v>BANCO ITAUCARD S/A</v>
          </cell>
          <cell r="E16499" t="str">
            <v>BANCO   ITAUCARD S/A</v>
          </cell>
        </row>
        <row r="16500">
          <cell r="B16500">
            <v>80333</v>
          </cell>
          <cell r="C16500" t="str">
            <v>BANCO ITAUCARD S/A</v>
          </cell>
          <cell r="D16500" t="str">
            <v>BANCO ITAUCARD S/A</v>
          </cell>
          <cell r="E16500" t="str">
            <v>BANCO   ITAUCARD S/A</v>
          </cell>
        </row>
        <row r="16501">
          <cell r="B16501">
            <v>80334</v>
          </cell>
          <cell r="C16501" t="str">
            <v>BANCO ITAUCARD S/A</v>
          </cell>
          <cell r="D16501" t="str">
            <v>BANCO ITAUCARD S/A</v>
          </cell>
          <cell r="E16501" t="str">
            <v>BANCO   ITAUCARD S/A</v>
          </cell>
        </row>
        <row r="16502">
          <cell r="B16502">
            <v>80335</v>
          </cell>
          <cell r="C16502" t="str">
            <v>BANCO ITAUCARD S/A</v>
          </cell>
          <cell r="D16502" t="str">
            <v>BANCO ITAUCARD S/A</v>
          </cell>
          <cell r="E16502" t="str">
            <v>BANCO   ITAUCARD S/A</v>
          </cell>
        </row>
        <row r="16503">
          <cell r="B16503">
            <v>80336</v>
          </cell>
          <cell r="C16503" t="str">
            <v>BANCO ITAUCARD S/A</v>
          </cell>
          <cell r="D16503" t="str">
            <v>BANCO ITAUCARD S/A</v>
          </cell>
          <cell r="E16503" t="str">
            <v>BANCO   ITAUCARD S/A</v>
          </cell>
        </row>
        <row r="16504">
          <cell r="B16504">
            <v>80337</v>
          </cell>
          <cell r="C16504" t="str">
            <v>OITI FIM CP IE</v>
          </cell>
          <cell r="D16504" t="str">
            <v>OITI FIM CP IE</v>
          </cell>
          <cell r="E16504" t="str">
            <v>ITAU UNIBANCO S/A</v>
          </cell>
        </row>
        <row r="16505">
          <cell r="B16505">
            <v>80344</v>
          </cell>
          <cell r="C16505" t="str">
            <v>BUNGE ALIMENTOS S/A</v>
          </cell>
          <cell r="D16505" t="str">
            <v>BUNGE ALIMENTOS S/A</v>
          </cell>
          <cell r="E16505" t="str">
            <v>BUNGE ALIMENTOS S/A</v>
          </cell>
        </row>
        <row r="16506">
          <cell r="B16506">
            <v>80345</v>
          </cell>
          <cell r="C16506" t="str">
            <v>MINERVA S/A</v>
          </cell>
          <cell r="D16506" t="str">
            <v>MINERVA S/A</v>
          </cell>
          <cell r="E16506" t="str">
            <v>MINERVA S/A</v>
          </cell>
        </row>
        <row r="16507">
          <cell r="B16507">
            <v>80346</v>
          </cell>
          <cell r="C16507" t="str">
            <v>MINERVA S/A</v>
          </cell>
          <cell r="D16507" t="str">
            <v>MINERVA S/A</v>
          </cell>
          <cell r="E16507" t="str">
            <v>MINERVA S/A</v>
          </cell>
        </row>
        <row r="16508">
          <cell r="B16508">
            <v>80349</v>
          </cell>
          <cell r="C16508" t="str">
            <v>SKOPOS INVESTIMENTOS LTDA</v>
          </cell>
          <cell r="D16508" t="str">
            <v>SKOPOS INVESTIMENTOS LTDA</v>
          </cell>
          <cell r="E16508" t="str">
            <v>SKOPOS INVESTIMENTOS LTDA</v>
          </cell>
        </row>
        <row r="16509">
          <cell r="B16509">
            <v>80208</v>
          </cell>
          <cell r="C16509" t="str">
            <v>3M FIM LP</v>
          </cell>
          <cell r="D16509" t="str">
            <v>3M FIM LP</v>
          </cell>
          <cell r="E16509" t="str">
            <v>MORE INVEST GESTORA DE RECURSOS LTDA</v>
          </cell>
        </row>
        <row r="16510">
          <cell r="B16510">
            <v>80351</v>
          </cell>
          <cell r="C16510" t="str">
            <v>FUNDACAO PETROBRAS DE SEGURIDADE SOCIAL PETROS</v>
          </cell>
          <cell r="D16510" t="str">
            <v>FUNDACAO PETROBRAS DE SEGURIDADE SOCIAL PETROS</v>
          </cell>
          <cell r="E16510" t="str">
            <v>FUNDACAO PETROBRAS DE SEGURIDADE SOCIAL PETROS</v>
          </cell>
        </row>
        <row r="16511">
          <cell r="B16511">
            <v>80352</v>
          </cell>
          <cell r="C16511" t="str">
            <v>FUNDACAO PETROBRAS DE SEGURIDADE SOCIAL PETROS</v>
          </cell>
          <cell r="D16511" t="str">
            <v>FUNDACAO PETROBRAS DE SEGURIDADE SOCIAL PETROS</v>
          </cell>
          <cell r="E16511" t="str">
            <v>FUNDACAO PETROBRAS DE SEGURIDADE SOCIAL PETROS</v>
          </cell>
        </row>
        <row r="16512">
          <cell r="B16512">
            <v>80353</v>
          </cell>
          <cell r="C16512" t="str">
            <v>BANCO ABN AMRO CLEARING S.A.</v>
          </cell>
          <cell r="D16512" t="str">
            <v>BANCO ABN AMRO CLEARING S.A.</v>
          </cell>
          <cell r="E16512" t="str">
            <v>BANCO ABN AMRO S/A</v>
          </cell>
        </row>
        <row r="16513">
          <cell r="B16513">
            <v>80354</v>
          </cell>
          <cell r="C16513" t="str">
            <v>FACT INVESTMENTS GESTAO DE RECURSOS LTDA</v>
          </cell>
          <cell r="D16513" t="str">
            <v>FACT INVESTMENTS GESTAO DE RECURSOS LTDA</v>
          </cell>
          <cell r="E16513" t="str">
            <v>FACT INVESTMENTS GESTAO DE RECURSOS LTDA</v>
          </cell>
        </row>
        <row r="16514">
          <cell r="B16514">
            <v>80356</v>
          </cell>
          <cell r="C16514" t="str">
            <v>HSBC BANK USA , NATIONAL ASSOCIATION - BEM (RATES)</v>
          </cell>
          <cell r="D16514" t="str">
            <v>HSBC BANK USA , NATIONAL ASSOCIATION - BEM (RATES)</v>
          </cell>
          <cell r="E16514" t="str">
            <v>BANCO HSBC S/A</v>
          </cell>
        </row>
        <row r="16515">
          <cell r="B16515">
            <v>80357</v>
          </cell>
          <cell r="C16515" t="str">
            <v>HSBC BANK USA, NATIONAL ASSOCIATION - BEM (HBUS)</v>
          </cell>
          <cell r="D16515" t="str">
            <v>HSBC BANK USA, NATIONAL ASSOCIATION - BEM (HBUS)</v>
          </cell>
          <cell r="E16515" t="str">
            <v>BANCO HSBC S/A</v>
          </cell>
        </row>
        <row r="16516">
          <cell r="B16516">
            <v>80361</v>
          </cell>
          <cell r="C16516" t="str">
            <v>TERRA NOVA GESTAO E ADMINISTRAÃ‡ÃƒO DE NEGOCIOS LTDA</v>
          </cell>
          <cell r="D16516" t="str">
            <v>TERRA NOVA GESTAO E ADMINISTRAÃ‡ÃƒO DE NEGOCIOS LTDA</v>
          </cell>
          <cell r="E16516" t="str">
            <v>TERRA NOVA GESTAO E ADMINISTRAÃ‡ÃƒO DE NEGOCIOS LTDA</v>
          </cell>
        </row>
        <row r="16517">
          <cell r="B16517">
            <v>80372</v>
          </cell>
          <cell r="C16517" t="str">
            <v>BANCO BRADESCO S/A</v>
          </cell>
          <cell r="D16517" t="str">
            <v>BANCO BRADESCO S/A</v>
          </cell>
          <cell r="E16517" t="str">
            <v>BANCO BRADESCO S/A</v>
          </cell>
        </row>
        <row r="16518">
          <cell r="B16518">
            <v>80373</v>
          </cell>
          <cell r="C16518" t="str">
            <v>SQUADRA INVESTIMENTOS GESTÃƒO DE RECURSOS LTDA</v>
          </cell>
          <cell r="D16518" t="str">
            <v>SQUADRA INVESTIMENTOS GESTÃƒO DE RECURSOS LTDA</v>
          </cell>
          <cell r="E16518" t="str">
            <v>SQUADRA INVESTIMENTOS GESTÃƒO DE RECURSOS LTDA</v>
          </cell>
        </row>
        <row r="16519">
          <cell r="B16519">
            <v>80380</v>
          </cell>
          <cell r="C16519" t="str">
            <v>VINCI SOLUÃ‡Ã•ES DE INVESTIMENTOS LTDA</v>
          </cell>
          <cell r="D16519" t="str">
            <v>VINCI SOLUÃ‡Ã•ES DE INVESTIMENTOS LTDA</v>
          </cell>
          <cell r="E16519" t="str">
            <v>VINCI GESTORA DE RECURSOS LTDA</v>
          </cell>
        </row>
        <row r="16520">
          <cell r="B16520">
            <v>80381</v>
          </cell>
          <cell r="C16520" t="str">
            <v>NEO GESTAO DE RECURSOS LTDA.</v>
          </cell>
          <cell r="D16520" t="str">
            <v>NEO GESTAO DE RECURSOS LTDA.</v>
          </cell>
          <cell r="E16520" t="str">
            <v>NEO GESTÃO DE RECURSOS LTDA</v>
          </cell>
        </row>
        <row r="16521">
          <cell r="B16521">
            <v>80382</v>
          </cell>
          <cell r="C16521" t="str">
            <v>NEO NAVITAS MASTER FIA</v>
          </cell>
          <cell r="D16521" t="str">
            <v>NEO NAVITAS MASTER FIA</v>
          </cell>
          <cell r="E16521" t="str">
            <v>NEO GESTÃO DE RECURSOS LTDA</v>
          </cell>
        </row>
        <row r="16522">
          <cell r="B16522">
            <v>80384</v>
          </cell>
          <cell r="C16522" t="str">
            <v>SOMMA INVESTIMENTOS S.A</v>
          </cell>
          <cell r="D16522" t="str">
            <v>SOMMA INVESTIMENTOS S.A</v>
          </cell>
          <cell r="E16522" t="str">
            <v>SOMMA INVESTIMENTOS S.A</v>
          </cell>
        </row>
        <row r="16523">
          <cell r="B16523">
            <v>80385</v>
          </cell>
          <cell r="C16523" t="str">
            <v>FACT INVESTMENTS GESTAO DE RECURSOS LTDA</v>
          </cell>
          <cell r="D16523" t="str">
            <v>FACT INVESTMENTS GESTAO DE RECURSOS LTDA</v>
          </cell>
          <cell r="E16523" t="str">
            <v>FACT INVESTMENTS GESTAO DE RECURSOS LTDA</v>
          </cell>
        </row>
        <row r="16524">
          <cell r="B16524">
            <v>80387</v>
          </cell>
          <cell r="C16524" t="str">
            <v>FUNDACAO PETROBRAS DE SEGURIDADE SOCIAL PETROS</v>
          </cell>
          <cell r="D16524" t="str">
            <v>FUNDACAO PETROBRAS DE SEGURIDADE SOCIAL PETROS</v>
          </cell>
          <cell r="E16524" t="str">
            <v>FUNDACAO PETROBRAS DE SEGURIDADE SOCIAL PETROS</v>
          </cell>
        </row>
        <row r="16525">
          <cell r="B16525">
            <v>80425</v>
          </cell>
          <cell r="C16525" t="str">
            <v>FAMA SNIPER FUNDO DE INVESTIMENTO FINANCEIRO</v>
          </cell>
          <cell r="D16525" t="str">
            <v>FAMA SNIPER FUNDO DE INVESTIMENTO FINANCEIRO</v>
          </cell>
          <cell r="E16525" t="str">
            <v>FAMA SNIPER FUNDO DE INVESTIMENTO FINANCEIRO</v>
          </cell>
        </row>
        <row r="16526">
          <cell r="B16526">
            <v>80542</v>
          </cell>
          <cell r="C16526" t="str">
            <v>FLAVIO MARIO MACHADO DOS SANTOS</v>
          </cell>
          <cell r="D16526">
            <v>218</v>
          </cell>
          <cell r="E16526" t="str">
            <v>FLAVIO MARIO MACHADO DOS SANTOS</v>
          </cell>
        </row>
        <row r="16527">
          <cell r="B16527">
            <v>80543</v>
          </cell>
          <cell r="C16527" t="str">
            <v>ALEXANDRE GORBERG</v>
          </cell>
          <cell r="D16527" t="str">
            <v>ALEXANDRE GORBERG</v>
          </cell>
          <cell r="E16527" t="str">
            <v>ALEXANDRE GORBERG</v>
          </cell>
        </row>
        <row r="16528">
          <cell r="B16528">
            <v>80544</v>
          </cell>
          <cell r="C16528" t="str">
            <v>TATIANA GORBERG</v>
          </cell>
          <cell r="D16528" t="str">
            <v>TATIANA GORBERG</v>
          </cell>
          <cell r="E16528" t="str">
            <v>TATIANA GORBERG</v>
          </cell>
        </row>
        <row r="16529">
          <cell r="B16529">
            <v>80555</v>
          </cell>
          <cell r="C16529" t="str">
            <v>IVANY GORBERG</v>
          </cell>
          <cell r="D16529" t="str">
            <v>IVANY GORBERG</v>
          </cell>
          <cell r="E16529" t="str">
            <v>IVANY GORBERG</v>
          </cell>
        </row>
        <row r="16530">
          <cell r="B16530">
            <v>80556</v>
          </cell>
          <cell r="C16530" t="str">
            <v>BERNARDO GORBERG</v>
          </cell>
          <cell r="D16530" t="str">
            <v>BERNARDO GORBERG</v>
          </cell>
          <cell r="E16530" t="str">
            <v>BERNARDO GORBERG</v>
          </cell>
        </row>
        <row r="16531">
          <cell r="B16531">
            <v>80557</v>
          </cell>
          <cell r="C16531" t="str">
            <v>THEREZA SANTOS FERRAZ SILVEIRA</v>
          </cell>
          <cell r="D16531" t="str">
            <v>THEREZA SANTOS FERRAZ SILVEIRA</v>
          </cell>
          <cell r="E16531" t="str">
            <v>THEREZA SANTOS FERRAZ SILVEIRA</v>
          </cell>
        </row>
        <row r="16532">
          <cell r="B16532">
            <v>80558</v>
          </cell>
          <cell r="C16532" t="str">
            <v>THAISSA GORBERG</v>
          </cell>
          <cell r="D16532" t="str">
            <v>THAISSA GORBERG</v>
          </cell>
          <cell r="E16532" t="str">
            <v>THAISSA GORBERG</v>
          </cell>
        </row>
        <row r="16533">
          <cell r="B16533">
            <v>80559</v>
          </cell>
          <cell r="C16533" t="str">
            <v>MANDATTO TREASURY FUNDO DE INVESTIMENTO MULTIMERCADO CREDITO</v>
          </cell>
          <cell r="D16533" t="str">
            <v>MANDATTO TREASURY FUNDO DE INVESTIMENTO MULTIMERCADO CREDITO</v>
          </cell>
          <cell r="E16533" t="str">
            <v>MANDATTO TREASURY FUNDO DE INVESTIMENTO MULTIMERCADO CREDITO</v>
          </cell>
        </row>
        <row r="16534">
          <cell r="B16534">
            <v>80560</v>
          </cell>
          <cell r="C16534" t="str">
            <v>MARCO ANTONIO SOUZA ALHO</v>
          </cell>
          <cell r="D16534" t="str">
            <v>MARCO ANTONIO SOUZA ALHO</v>
          </cell>
          <cell r="E16534" t="str">
            <v>MARCO ANTONIO SOUZA ALHO</v>
          </cell>
        </row>
        <row r="16535">
          <cell r="B16535">
            <v>80561</v>
          </cell>
          <cell r="C16535" t="str">
            <v>FABIOLA PEREIRA PINHEIRO MACIEIRA</v>
          </cell>
          <cell r="D16535" t="str">
            <v>FABIOLA PEREIRA PINHEIRO MACIEIRA</v>
          </cell>
          <cell r="E16535" t="str">
            <v>FABIOLA PEREIRA PINHEIRO MACIEIRA</v>
          </cell>
        </row>
        <row r="16536">
          <cell r="B16536">
            <v>80562</v>
          </cell>
          <cell r="C16536" t="str">
            <v>MAXIMA ADVANCED FIM</v>
          </cell>
          <cell r="D16536" t="str">
            <v>MAXIMA ADVANCED FIM</v>
          </cell>
          <cell r="E16536" t="str">
            <v>MAXIMA ADVANCED FIM</v>
          </cell>
        </row>
        <row r="16537">
          <cell r="B16537">
            <v>80568</v>
          </cell>
          <cell r="C16537" t="str">
            <v>GLOBALCAPITAL CREDITO FUNDO DE INVEST. RENDA FIXA</v>
          </cell>
          <cell r="D16537" t="str">
            <v>GLOBALCAPITAL CREDITO FUNDO DE INVEST. RENDA FIXA</v>
          </cell>
          <cell r="E16537" t="str">
            <v>GLOBALCAPITAL CREDITO FUNDO DE INVEST. RENDA FIXA</v>
          </cell>
        </row>
        <row r="16538">
          <cell r="B16538">
            <v>80569</v>
          </cell>
          <cell r="C16538" t="str">
            <v>FIM PETROS CREDITO BOREAL</v>
          </cell>
          <cell r="D16538" t="str">
            <v>FIM PETROS CREDITO BOREAL</v>
          </cell>
          <cell r="E16538" t="str">
            <v>GLOBAL CAPITAL2000 ADMINISTRADORA DE RECURSOS FINANCEIROS S/</v>
          </cell>
        </row>
        <row r="16539">
          <cell r="B16539">
            <v>80779</v>
          </cell>
          <cell r="C16539" t="str">
            <v>FUNDACAO DE SEGURIDADE SOCIAL BRASLIGHT</v>
          </cell>
          <cell r="D16539" t="str">
            <v>FUNDACAO DE SEGURIDADE SOCIAL BRASLIGHT</v>
          </cell>
          <cell r="E16539" t="str">
            <v>FUNDACAO DE SEGURIDADE SOCIAL BRASLIGHT</v>
          </cell>
        </row>
        <row r="16540">
          <cell r="B16540">
            <v>81222</v>
          </cell>
          <cell r="C16540" t="str">
            <v>AAA FUNDO DE INVESTIMENTO FINANCEIRO 60</v>
          </cell>
          <cell r="D16540" t="str">
            <v>AAA FUNDO DE INVESTIMENTO FINANCEIRO 60</v>
          </cell>
          <cell r="E16540" t="str">
            <v>AAA FUNDO DE INVESTIMENTO FINANCEIRO 60</v>
          </cell>
        </row>
        <row r="16541">
          <cell r="B16541">
            <v>81223</v>
          </cell>
          <cell r="C16541" t="str">
            <v>AAA ACOES FDO DE INVESTIMENTO EM ACOES</v>
          </cell>
          <cell r="D16541" t="str">
            <v>AAA ACOES FDO DE INVESTIMENTO EM ACOES</v>
          </cell>
          <cell r="E16541" t="str">
            <v>AAA ACOES FDO DE INVESTIMENTO EM ACOES</v>
          </cell>
        </row>
        <row r="16542">
          <cell r="B16542">
            <v>81224</v>
          </cell>
          <cell r="C16542" t="str">
            <v>AAA CAMBIAL FIF</v>
          </cell>
          <cell r="D16542" t="str">
            <v>AAA CAMBIAL FIF</v>
          </cell>
          <cell r="E16542" t="str">
            <v>AAA CAMBIAL FIF</v>
          </cell>
        </row>
        <row r="16543">
          <cell r="B16543">
            <v>814401</v>
          </cell>
          <cell r="C16543" t="str">
            <v>LEONARDO BIGI DE AQUINO</v>
          </cell>
          <cell r="D16543" t="str">
            <v>LEONARDO BIGI DE AQUINO</v>
          </cell>
          <cell r="E16543" t="str">
            <v>LEONARDO BIGI DE AQUINO</v>
          </cell>
        </row>
        <row r="16544">
          <cell r="B16544">
            <v>814402</v>
          </cell>
          <cell r="C16544" t="str">
            <v>RENATO ANDERSON NEVES PINTO DA SILVA</v>
          </cell>
          <cell r="D16544" t="str">
            <v>RENATO ANDERSON NEVES PINTO DA SILVA</v>
          </cell>
          <cell r="E16544" t="str">
            <v>RENATO ANDERSON NEVES PINTO DA SILVA</v>
          </cell>
        </row>
        <row r="16545">
          <cell r="B16545">
            <v>814403</v>
          </cell>
          <cell r="C16545" t="str">
            <v>ROBERTO ANDRADE DINIZ</v>
          </cell>
          <cell r="D16545" t="str">
            <v>ROBERTO ANDRADE DINIZ</v>
          </cell>
          <cell r="E16545" t="str">
            <v>ROBERTO ANDRADE DINIZ</v>
          </cell>
        </row>
        <row r="16546">
          <cell r="B16546">
            <v>814404</v>
          </cell>
          <cell r="C16546" t="str">
            <v>HELBSON DE AVILA</v>
          </cell>
          <cell r="D16546" t="str">
            <v>HELBSON DE AVILA</v>
          </cell>
          <cell r="E16546" t="str">
            <v>HELBSON DE AVILA</v>
          </cell>
        </row>
        <row r="16547">
          <cell r="B16547">
            <v>814405</v>
          </cell>
          <cell r="C16547" t="str">
            <v>SERGIO MARTINS VIEIRA</v>
          </cell>
          <cell r="D16547" t="str">
            <v>SERGIO MARTINS VIEIRA</v>
          </cell>
          <cell r="E16547" t="str">
            <v>SERGIO MARTINS VIEIRA</v>
          </cell>
        </row>
        <row r="16548">
          <cell r="B16548">
            <v>814406</v>
          </cell>
          <cell r="C16548" t="str">
            <v>FARNEY COUTINHO MOREIRA</v>
          </cell>
          <cell r="D16548" t="str">
            <v>FARNEY COUTINHO MOREIRA</v>
          </cell>
          <cell r="E16548" t="str">
            <v>FARNEY COUTINHO MOREIRA</v>
          </cell>
        </row>
        <row r="16549">
          <cell r="B16549">
            <v>814407</v>
          </cell>
          <cell r="C16549" t="str">
            <v>MAURO DOS REIS SIQUEIRA</v>
          </cell>
          <cell r="D16549" t="str">
            <v>MAURO DOS REIS SIQUEIRA</v>
          </cell>
          <cell r="E16549" t="str">
            <v>MAURO DOS REIS SIQUEIRA</v>
          </cell>
        </row>
        <row r="16550">
          <cell r="B16550">
            <v>814408</v>
          </cell>
          <cell r="C16550" t="str">
            <v>VANDERBILTE DE SOUSA ALMEIDA</v>
          </cell>
          <cell r="D16550" t="str">
            <v>VANDERBILTE DE SOUSA ALMEIDA</v>
          </cell>
          <cell r="E16550" t="str">
            <v>VANDERBILTE DE SOUSA ALMEIDA</v>
          </cell>
        </row>
        <row r="16551">
          <cell r="B16551">
            <v>814409</v>
          </cell>
          <cell r="C16551" t="str">
            <v>JOSE MESSIAS DE PAULA</v>
          </cell>
          <cell r="D16551" t="str">
            <v>JOSE MESSIAS DE PAULA</v>
          </cell>
          <cell r="E16551" t="str">
            <v>JOSE MESSIAS DE PAULA</v>
          </cell>
        </row>
        <row r="16552">
          <cell r="B16552">
            <v>814410</v>
          </cell>
          <cell r="C16552" t="str">
            <v>ALUISIO PEYNEAU</v>
          </cell>
          <cell r="D16552" t="str">
            <v>ALUISIO PEYNEAU</v>
          </cell>
          <cell r="E16552" t="str">
            <v>ALUISIO PEYNEAU</v>
          </cell>
        </row>
        <row r="16553">
          <cell r="B16553">
            <v>814411</v>
          </cell>
          <cell r="C16553" t="str">
            <v>RICARDO SOARES BENTHER</v>
          </cell>
          <cell r="D16553" t="str">
            <v>RICARDO SOARES BENTHER</v>
          </cell>
          <cell r="E16553" t="str">
            <v>RICARDO SOARES BENTHER</v>
          </cell>
        </row>
        <row r="16554">
          <cell r="B16554">
            <v>814412</v>
          </cell>
          <cell r="C16554" t="str">
            <v>WILLIAM DA SILVA FERREIRA</v>
          </cell>
          <cell r="D16554" t="str">
            <v>WILLIAM DA SILVA FERREIRA</v>
          </cell>
          <cell r="E16554" t="str">
            <v>WILLIAM DA SILVA FERREIRA</v>
          </cell>
        </row>
        <row r="16555">
          <cell r="B16555">
            <v>814413</v>
          </cell>
          <cell r="C16555" t="str">
            <v>ANDRE RUZ NEVES</v>
          </cell>
          <cell r="D16555" t="str">
            <v>ANDRE RUZ NEVES</v>
          </cell>
          <cell r="E16555" t="str">
            <v>ANDRE RUZ NEVES</v>
          </cell>
        </row>
        <row r="16556">
          <cell r="B16556">
            <v>814415</v>
          </cell>
          <cell r="C16556" t="str">
            <v>FERNANDO DO NASCIMENTO VERISSIMO</v>
          </cell>
          <cell r="D16556" t="str">
            <v>FERNANDO DO NASCIMENTO VERISSIMO</v>
          </cell>
          <cell r="E16556" t="str">
            <v>FERNANDO DO NASCIMENTO VERISSIMO</v>
          </cell>
        </row>
        <row r="16557">
          <cell r="B16557">
            <v>814416</v>
          </cell>
          <cell r="C16557" t="str">
            <v>CELIO DE OLIVEIRA CARVALHO</v>
          </cell>
          <cell r="D16557" t="str">
            <v>CELIO DE OLIVEIRA CARVALHO</v>
          </cell>
          <cell r="E16557" t="str">
            <v>CELIO DE OLIVEIRA CARVALHO</v>
          </cell>
        </row>
        <row r="16558">
          <cell r="B16558">
            <v>814417</v>
          </cell>
          <cell r="C16558" t="str">
            <v>LAERCIO DE ANDRADE OLIVEIRA</v>
          </cell>
          <cell r="D16558" t="str">
            <v>LAERCIO DE ANDRADE OLIVEIRA</v>
          </cell>
          <cell r="E16558" t="str">
            <v>LAERCIO DE ANDRADE OLIVEIRA</v>
          </cell>
        </row>
        <row r="16559">
          <cell r="B16559">
            <v>814418</v>
          </cell>
          <cell r="C16559" t="str">
            <v>MARCIO DOS ANJOS CARDOZO</v>
          </cell>
          <cell r="D16559" t="str">
            <v>MARCIO DOS ANJOS CARDOZO</v>
          </cell>
          <cell r="E16559" t="str">
            <v>MARCIO DOS ANJOS CARDOZO</v>
          </cell>
        </row>
        <row r="16560">
          <cell r="B16560">
            <v>814419</v>
          </cell>
          <cell r="C16560" t="str">
            <v>RAFAEL CHANG</v>
          </cell>
          <cell r="D16560" t="str">
            <v>RAFAEL CHANG</v>
          </cell>
          <cell r="E16560" t="str">
            <v>RAFAEL CHANG</v>
          </cell>
        </row>
        <row r="16561">
          <cell r="B16561">
            <v>814420</v>
          </cell>
          <cell r="C16561" t="str">
            <v>THOMAS ALVES DE SOUZA ABRANTES</v>
          </cell>
          <cell r="D16561" t="str">
            <v>THOMAS ALVES DE SOUZA ABRANTES</v>
          </cell>
          <cell r="E16561" t="str">
            <v>THOMAS ALVES DE SOUZA ABRANTES</v>
          </cell>
        </row>
        <row r="16562">
          <cell r="B16562">
            <v>814421</v>
          </cell>
          <cell r="C16562" t="str">
            <v>ESRAEL CARLOS PESSOA</v>
          </cell>
          <cell r="D16562" t="str">
            <v>ESRAEL CARLOS PESSOA</v>
          </cell>
          <cell r="E16562" t="str">
            <v>ESRAEL CARLOS PESSOA</v>
          </cell>
        </row>
        <row r="16563">
          <cell r="B16563">
            <v>814422</v>
          </cell>
          <cell r="C16563" t="str">
            <v>GERALDO DE PAULA ZIMBRA</v>
          </cell>
          <cell r="D16563" t="str">
            <v>GERALDO DE PAULA ZIMBRA</v>
          </cell>
          <cell r="E16563" t="str">
            <v>GERALDO DE PAULA ZIMBRA</v>
          </cell>
        </row>
        <row r="16564">
          <cell r="B16564">
            <v>814423</v>
          </cell>
          <cell r="C16564" t="str">
            <v>DANILO MAZZA SAMY</v>
          </cell>
          <cell r="D16564" t="str">
            <v>DANILO MAZZA SAMY</v>
          </cell>
          <cell r="E16564" t="str">
            <v>DANILO MAZZA SAMY</v>
          </cell>
        </row>
        <row r="16565">
          <cell r="B16565">
            <v>814424</v>
          </cell>
          <cell r="C16565" t="str">
            <v>FERNANDO LUIZ MOURAO</v>
          </cell>
          <cell r="D16565" t="str">
            <v>FERNANDO LUIZ MOURAO</v>
          </cell>
          <cell r="E16565" t="str">
            <v>FERNANDO LUIZ MOURAO</v>
          </cell>
        </row>
        <row r="16566">
          <cell r="B16566">
            <v>814425</v>
          </cell>
          <cell r="C16566" t="str">
            <v>JOSE CARLOS DOS SANTOS</v>
          </cell>
          <cell r="D16566" t="str">
            <v>JOSE CARLOS DOS SANTOS</v>
          </cell>
          <cell r="E16566" t="str">
            <v>JOSE CARLOS DOS SANTOS</v>
          </cell>
        </row>
        <row r="16567">
          <cell r="B16567">
            <v>814426</v>
          </cell>
          <cell r="C16567" t="str">
            <v>ANDERSON CERQUEIRA COSSICH</v>
          </cell>
          <cell r="D16567" t="str">
            <v>ANDERSON CERQUEIRA COSSICH</v>
          </cell>
          <cell r="E16567" t="str">
            <v>ANDERSON CERQUEIRA COSSICH</v>
          </cell>
        </row>
        <row r="16568">
          <cell r="B16568">
            <v>814430</v>
          </cell>
          <cell r="C16568" t="str">
            <v>CRISTIANE DE OLIVEIRA MONTEIRO</v>
          </cell>
          <cell r="D16568" t="str">
            <v>CRISTIANE DE OLIVEIRA MONTEIRO</v>
          </cell>
          <cell r="E16568" t="str">
            <v>CRISTIANE DE OLIVEIRA MONTEIRO</v>
          </cell>
        </row>
        <row r="16569">
          <cell r="B16569">
            <v>814431</v>
          </cell>
          <cell r="C16569" t="str">
            <v>HUGO TORNO AREAS</v>
          </cell>
          <cell r="D16569" t="str">
            <v>HUGO TORNO AREAS</v>
          </cell>
          <cell r="E16569" t="str">
            <v>HUGO TORNO AREAS</v>
          </cell>
        </row>
        <row r="16570">
          <cell r="B16570">
            <v>814432</v>
          </cell>
          <cell r="C16570" t="str">
            <v>DENNER ANTONIO DA SILVA</v>
          </cell>
          <cell r="D16570" t="str">
            <v>DENNER ANTONIO DA SILVA</v>
          </cell>
          <cell r="E16570" t="str">
            <v>DENNER ANTONIO DA SILVA</v>
          </cell>
        </row>
        <row r="16571">
          <cell r="B16571">
            <v>814436</v>
          </cell>
          <cell r="C16571" t="str">
            <v>IVAN DE MEDEIROS AGUIAR</v>
          </cell>
          <cell r="D16571" t="str">
            <v>IVAN DE MEDEIROS AGUIAR</v>
          </cell>
          <cell r="E16571" t="str">
            <v>IVAN DE MEDEIROS AGUIAR</v>
          </cell>
        </row>
        <row r="16572">
          <cell r="B16572">
            <v>814438</v>
          </cell>
          <cell r="C16572" t="str">
            <v>PEDRO PAES LOUZADA</v>
          </cell>
          <cell r="D16572" t="str">
            <v>PEDRO PAES LOUZADA</v>
          </cell>
          <cell r="E16572" t="str">
            <v>PEDRO PAES LOUZADA</v>
          </cell>
        </row>
        <row r="16573">
          <cell r="B16573">
            <v>814439</v>
          </cell>
          <cell r="C16573" t="str">
            <v>DAVID ELI SALTOUN</v>
          </cell>
          <cell r="D16573" t="str">
            <v>DAVID ELI SALTOUN</v>
          </cell>
          <cell r="E16573" t="str">
            <v>DAVID ELI SALTOUN</v>
          </cell>
        </row>
        <row r="16574">
          <cell r="B16574">
            <v>814440</v>
          </cell>
          <cell r="C16574" t="str">
            <v>JOSE ANTONIO MARINHO NETO</v>
          </cell>
          <cell r="D16574" t="str">
            <v>JOSE ANTONIO MARINHO NETO</v>
          </cell>
          <cell r="E16574" t="str">
            <v>JOSE ANTONIO MARINHO NETO</v>
          </cell>
        </row>
        <row r="16575">
          <cell r="B16575">
            <v>814442</v>
          </cell>
          <cell r="C16575" t="str">
            <v>THOMAZ AUGUSTO BRENHA RIBEIRO</v>
          </cell>
          <cell r="D16575" t="str">
            <v>THOMAZ AUGUSTO BRENHA RIBEIRO</v>
          </cell>
          <cell r="E16575" t="str">
            <v>THOMAZ AUGUSTO BRENHA RIBEIRO</v>
          </cell>
        </row>
        <row r="16576">
          <cell r="B16576">
            <v>814445</v>
          </cell>
          <cell r="C16576" t="str">
            <v>JOAO MARCOS LAMEIRA DE SOUSA</v>
          </cell>
          <cell r="D16576" t="str">
            <v>JOAO MARCOS LAMEIRA DE SOUSA</v>
          </cell>
          <cell r="E16576" t="str">
            <v>JOAO MARCOS LAMEIRA DE SOUSA</v>
          </cell>
        </row>
        <row r="16577">
          <cell r="B16577">
            <v>814450</v>
          </cell>
          <cell r="C16577" t="str">
            <v>MARCO MENSI</v>
          </cell>
          <cell r="D16577" t="str">
            <v>MARCO MENSI</v>
          </cell>
          <cell r="E16577" t="str">
            <v>MARCO MENSI</v>
          </cell>
        </row>
        <row r="16578">
          <cell r="B16578">
            <v>814451</v>
          </cell>
          <cell r="C16578" t="str">
            <v>IGOR CONSTANTINO HIDALMASY KAZAKOS</v>
          </cell>
          <cell r="D16578" t="str">
            <v>IGOR CONSTANTINO HIDALMASY KAZAKOS</v>
          </cell>
          <cell r="E16578" t="str">
            <v>IGOR CONSTANTINO HIDALMASY KAZAKOS</v>
          </cell>
        </row>
        <row r="16579">
          <cell r="B16579">
            <v>814455</v>
          </cell>
          <cell r="C16579" t="str">
            <v>ANTONIO SERGIO BAPTISTA</v>
          </cell>
          <cell r="D16579" t="str">
            <v>ANTONIO SERGIO BAPTISTA</v>
          </cell>
          <cell r="E16579" t="str">
            <v>ANTONIO SERGIO BAPTISTA</v>
          </cell>
        </row>
        <row r="16580">
          <cell r="B16580">
            <v>814456</v>
          </cell>
          <cell r="C16580" t="str">
            <v>ROSALIA MARIA PEREIRA DOS SANTOS</v>
          </cell>
          <cell r="D16580" t="str">
            <v>ROSALIA MARIA PEREIRA DOS SANTOS</v>
          </cell>
          <cell r="E16580" t="str">
            <v>ROSALIA MARIA PEREIRA DOS SANTOS</v>
          </cell>
        </row>
        <row r="16581">
          <cell r="B16581">
            <v>814459</v>
          </cell>
          <cell r="C16581" t="str">
            <v>FERNANDO OLIVEIRA PANNO</v>
          </cell>
          <cell r="D16581" t="str">
            <v>FERNANDO OLIVEIRA PANNO</v>
          </cell>
          <cell r="E16581" t="str">
            <v>FERNANDO OLIVEIRA PANNO</v>
          </cell>
        </row>
        <row r="16582">
          <cell r="B16582">
            <v>814461</v>
          </cell>
          <cell r="C16582" t="str">
            <v>DANIEL FRANCO PONTES BORGES</v>
          </cell>
          <cell r="D16582" t="str">
            <v>DANIEL FRANCO PONTES BORGES</v>
          </cell>
          <cell r="E16582" t="str">
            <v>DANIEL FRANCO PONTES BORGES</v>
          </cell>
        </row>
        <row r="16583">
          <cell r="B16583">
            <v>814463</v>
          </cell>
          <cell r="C16583" t="str">
            <v>JAIME MACHADO MESQUITA</v>
          </cell>
          <cell r="D16583" t="str">
            <v>JAIME MACHADO MESQUITA</v>
          </cell>
          <cell r="E16583" t="str">
            <v>JAIME MACHADO MESQUITA</v>
          </cell>
        </row>
        <row r="16584">
          <cell r="B16584">
            <v>814465</v>
          </cell>
          <cell r="C16584" t="str">
            <v>JOAQUIM TAVARES</v>
          </cell>
          <cell r="D16584" t="str">
            <v>JOAQUIM TAVARES</v>
          </cell>
          <cell r="E16584" t="str">
            <v>JOAQUIM TAVARES</v>
          </cell>
        </row>
        <row r="16585">
          <cell r="B16585">
            <v>814480</v>
          </cell>
          <cell r="C16585" t="str">
            <v>SERGIO ARNALDO ROCHA CARDOSO FILHO</v>
          </cell>
          <cell r="D16585" t="str">
            <v>SERGIO ARNALDO ROCHA CARDOSO FILHO</v>
          </cell>
          <cell r="E16585" t="str">
            <v>SERGIO ARNALDO ROCHA CARDOSO FILHO</v>
          </cell>
        </row>
        <row r="16586">
          <cell r="B16586">
            <v>814485</v>
          </cell>
          <cell r="C16586" t="str">
            <v>DENNY LAMOUR MARCAL</v>
          </cell>
          <cell r="D16586" t="str">
            <v>DENNY LAMOUR MARCAL</v>
          </cell>
          <cell r="E16586" t="str">
            <v>DENNY LAMOUR MARCAL</v>
          </cell>
        </row>
        <row r="16587">
          <cell r="B16587">
            <v>814500</v>
          </cell>
          <cell r="C16587" t="str">
            <v>CRISTIANO CARVALHO DE MENDONÃ‡A</v>
          </cell>
          <cell r="D16587" t="str">
            <v>CRISTIANO CARVALHO DE MENDONÃ‡A</v>
          </cell>
          <cell r="E16587" t="str">
            <v>CRISTIANO CARVALHO DE MENDONÃ‡A</v>
          </cell>
        </row>
        <row r="16588">
          <cell r="B16588">
            <v>814501</v>
          </cell>
          <cell r="C16588" t="str">
            <v>HENRIQUE ANDRADE TRINCKQUEL FILHO</v>
          </cell>
          <cell r="D16588" t="str">
            <v>HENRIQUE ANDRADE TRINCKQUEL FILHO</v>
          </cell>
          <cell r="E16588" t="str">
            <v>HENRIQUE ANDRADE TRINCKQUEL FILHO</v>
          </cell>
        </row>
        <row r="16589">
          <cell r="B16589">
            <v>814502</v>
          </cell>
          <cell r="C16589" t="str">
            <v>FABIO NISENBAUM</v>
          </cell>
          <cell r="D16589" t="str">
            <v>FABIO NISENBAUM</v>
          </cell>
          <cell r="E16589" t="str">
            <v>FABIO NISENBAUM</v>
          </cell>
        </row>
        <row r="16590">
          <cell r="B16590">
            <v>815526</v>
          </cell>
          <cell r="C16590" t="str">
            <v>JESSICA MOREIRA CAMPELLO</v>
          </cell>
          <cell r="D16590" t="str">
            <v>JESSICA MOREIRA CAMPELLO</v>
          </cell>
          <cell r="E16590" t="str">
            <v>JESSICA MOREIRA CAMPELLO</v>
          </cell>
        </row>
        <row r="16591">
          <cell r="B16591">
            <v>815527</v>
          </cell>
          <cell r="C16591" t="str">
            <v>WAGNER BARBOSA MAGALHAES</v>
          </cell>
          <cell r="D16591" t="str">
            <v>WAGNER BARBOSA MAGALHAES</v>
          </cell>
          <cell r="E16591" t="str">
            <v>WAGNER BARBOSA MAGALHAES</v>
          </cell>
        </row>
        <row r="16592">
          <cell r="B16592">
            <v>82</v>
          </cell>
          <cell r="C16592" t="str">
            <v>DISTRIBUIDORA INTERCAP TVM LTDA</v>
          </cell>
          <cell r="D16592">
            <v>822</v>
          </cell>
          <cell r="E16592" t="str">
            <v>DISTRIBUIDORA INTERCAP TVM LTDA</v>
          </cell>
        </row>
        <row r="16593">
          <cell r="B16593">
            <v>82030</v>
          </cell>
          <cell r="C16593" t="str">
            <v>G.P.G. ASSESSORIA EMP. E PARTICIPACOES LTDA</v>
          </cell>
          <cell r="D16593" t="str">
            <v>G.P.G. ASSESSORIA EMP. E PARTICIPACOES LTDA</v>
          </cell>
          <cell r="E16593" t="str">
            <v>G.P.G. ASSESSORIA EMP. E PARTICIPACOES LTDA</v>
          </cell>
        </row>
        <row r="16594">
          <cell r="B16594">
            <v>82031</v>
          </cell>
          <cell r="C16594" t="str">
            <v>SERGIO TAKASHI TANAKA</v>
          </cell>
          <cell r="D16594" t="str">
            <v>SERGIO TAKASHI TANAKA</v>
          </cell>
          <cell r="E16594" t="str">
            <v>SERGIO TAKASHI TANAKA</v>
          </cell>
        </row>
        <row r="16595">
          <cell r="B16595">
            <v>82041</v>
          </cell>
          <cell r="C16595" t="str">
            <v>JGP HEDGE FDO DE INVESTIMENTO MULTIMERCADO</v>
          </cell>
          <cell r="D16595" t="str">
            <v>JGP HEDGE FDO DE INVESTIMENTO MULTIMERCADO</v>
          </cell>
          <cell r="E16595" t="str">
            <v>JGP HEDGE FDO DE INVESTIMENTO MULTIMERCADO</v>
          </cell>
        </row>
        <row r="16596">
          <cell r="B16596">
            <v>82340</v>
          </cell>
          <cell r="C16596" t="str">
            <v>LCS FUNDO DE INVESTIMENTO DE AÃ‡Ã•ES</v>
          </cell>
          <cell r="D16596" t="str">
            <v>LCS FUNDO DE INVESTIMENTO DE AÃ‡Ã•ES</v>
          </cell>
          <cell r="E16596" t="str">
            <v>LCS FUNDO DE INVESTIMENTO DE AÃ‡Ã•ES</v>
          </cell>
        </row>
        <row r="16597">
          <cell r="B16597">
            <v>82341</v>
          </cell>
          <cell r="C16597" t="str">
            <v>MANDARIM ADVANCED 14 FIM</v>
          </cell>
          <cell r="D16597" t="str">
            <v>MANDARIM ADVANCED 14 FIM</v>
          </cell>
          <cell r="E16597" t="str">
            <v>MANDARIM ADVANCED 14 FIM</v>
          </cell>
        </row>
        <row r="16598">
          <cell r="B16598">
            <v>82342</v>
          </cell>
          <cell r="C16598" t="str">
            <v>MAXIMA KING FUNDO DE INVESTIMENTO MULTIMERCADO</v>
          </cell>
          <cell r="D16598" t="str">
            <v>MAXIMA KING FUNDO DE INVESTIMENTO MULTIMERCADO</v>
          </cell>
          <cell r="E16598" t="str">
            <v>MAXIMA KING FUNDO DE INVESTIMENTO MULTIMERCADO</v>
          </cell>
        </row>
        <row r="16599">
          <cell r="B16599">
            <v>82343</v>
          </cell>
          <cell r="C16599" t="str">
            <v>MANDARIM TOTAL HEDGE 30 FUNDO DE INVESTIMENTO MULTIMERCADO</v>
          </cell>
          <cell r="D16599" t="str">
            <v>MANDARIM TOTAL HEDGE 30 FUNDO DE INVESTIMENTO MULTIMERCADO</v>
          </cell>
          <cell r="E16599" t="str">
            <v>MANDARIM TOTAL HEDGE 30 FUNDO DE INVESTIMENTO MULTIMERCADO</v>
          </cell>
        </row>
        <row r="16600">
          <cell r="B16600">
            <v>82344</v>
          </cell>
          <cell r="C16600" t="str">
            <v>MANDARIM LONG SHORT 5 FIM</v>
          </cell>
          <cell r="D16600" t="str">
            <v>MANDARIM LONG SHORT 5 FIM</v>
          </cell>
          <cell r="E16600" t="str">
            <v>MANDARIM LONG SHORT 5 FIM</v>
          </cell>
        </row>
        <row r="16601">
          <cell r="B16601">
            <v>82345</v>
          </cell>
          <cell r="C16601" t="str">
            <v>AQUILLA HEDGE FIM</v>
          </cell>
          <cell r="D16601" t="str">
            <v>AQUILLA HEDGE FIM</v>
          </cell>
          <cell r="E16601" t="str">
            <v>GS ALLOCATION INVESTIMENTOS</v>
          </cell>
        </row>
        <row r="16602">
          <cell r="B16602">
            <v>82346</v>
          </cell>
          <cell r="C16602" t="str">
            <v>BANCO PAN S/A</v>
          </cell>
          <cell r="D16602">
            <v>383</v>
          </cell>
          <cell r="E16602" t="str">
            <v>BANCO PAN S/A</v>
          </cell>
        </row>
        <row r="16603">
          <cell r="B16603">
            <v>82347</v>
          </cell>
          <cell r="C16603" t="str">
            <v>FIDES HEDGE FUNDO DE INV MULTIMERCADO</v>
          </cell>
          <cell r="D16603" t="str">
            <v>FIDES HEDGE FUNDO DE INV MULTIMERCADO</v>
          </cell>
          <cell r="E16603" t="str">
            <v>FIDES HEDGE FUNDO DE INV MULTIMERCADO</v>
          </cell>
        </row>
        <row r="16604">
          <cell r="B16604">
            <v>82579</v>
          </cell>
          <cell r="C16604" t="str">
            <v>M SQUARE AÃ‡Ã•ES HG MASTER FI AÃ‡Ã•ES</v>
          </cell>
          <cell r="D16604" t="str">
            <v>M SQUARE AÃ‡Ã•ES HG MASTER FI AÃ‡Ã•ES</v>
          </cell>
          <cell r="E16604" t="str">
            <v>M SQUARE AÃ‡Ã•ES HG MASTER FI AÃ‡Ã•ES</v>
          </cell>
        </row>
        <row r="16605">
          <cell r="B16605">
            <v>83570</v>
          </cell>
          <cell r="C16605" t="str">
            <v>BES ABSOLUTE RETURN FIM LP</v>
          </cell>
          <cell r="D16605" t="str">
            <v>BES ABSOLUTE RETURN FIM LP</v>
          </cell>
          <cell r="E16605" t="str">
            <v>BESAF BES ATIVOS FINANCEIROS LTDA</v>
          </cell>
        </row>
        <row r="16606">
          <cell r="B16606">
            <v>83572</v>
          </cell>
          <cell r="C16606" t="str">
            <v>WESTLB PERFORMANCE FIM LONGO PRAZO</v>
          </cell>
          <cell r="D16606" t="str">
            <v>WESTLB PERFORMANCE FIM LONGO PRAZO</v>
          </cell>
          <cell r="E16606" t="str">
            <v>BESAF BES ATIVOS FINANCEIROS LTDA</v>
          </cell>
        </row>
        <row r="16607">
          <cell r="B16607">
            <v>83573</v>
          </cell>
          <cell r="C16607" t="str">
            <v>BES FIX TRADITIONAL FI RF LONGO PRAZO</v>
          </cell>
          <cell r="D16607" t="str">
            <v>BES FIX TRADITIONAL FI RF LONGO PRAZO</v>
          </cell>
          <cell r="E16607" t="str">
            <v>BESAF BES ATIVOS FINANCEIROS LTDA</v>
          </cell>
        </row>
        <row r="16608">
          <cell r="B16608">
            <v>83574</v>
          </cell>
          <cell r="C16608" t="str">
            <v>BES INSTITUCIONAL FI MULTIMERCADO LONGO PRAZO</v>
          </cell>
          <cell r="D16608" t="str">
            <v>BES INSTITUCIONAL FI MULTIMERCADO LONGO PRAZO</v>
          </cell>
          <cell r="E16608" t="str">
            <v>BESAF BES ATIVOS FINANCEIROS LTDA</v>
          </cell>
        </row>
        <row r="16609">
          <cell r="B16609">
            <v>83579</v>
          </cell>
          <cell r="C16609" t="str">
            <v>ARBOR HEDGE FIF</v>
          </cell>
          <cell r="D16609" t="str">
            <v>ARBOR HEDGE FIF</v>
          </cell>
          <cell r="E16609" t="str">
            <v>ARBOR HEDGE FIF</v>
          </cell>
        </row>
        <row r="16610">
          <cell r="B16610">
            <v>83580</v>
          </cell>
          <cell r="C16610" t="str">
            <v>BANCO MIZUHO DO BRASIL S/A (ANTIGO WESTLB)</v>
          </cell>
          <cell r="D16610" t="str">
            <v>BANCO MIZUHO DO BRASIL S/A (ANTIGO WESTLB)</v>
          </cell>
          <cell r="E16610" t="str">
            <v>BANCO MIZUHO DO BRASIL S/A</v>
          </cell>
        </row>
        <row r="16611">
          <cell r="B16611">
            <v>83610</v>
          </cell>
          <cell r="C16611" t="str">
            <v>EMERAUDE FUNDO DE INVESTIMENTO MULTIMERCADO</v>
          </cell>
          <cell r="D16611" t="str">
            <v>EMERAUDE FUNDO DE INVESTIMENTO MULTIMERCADO</v>
          </cell>
          <cell r="E16611" t="str">
            <v>EMERAUDE FUNDO DE INVESTIMENTO MULTIMERCADO</v>
          </cell>
        </row>
        <row r="16612">
          <cell r="B16612">
            <v>83622</v>
          </cell>
          <cell r="C16612" t="str">
            <v>LZ FUNDO DE INV. MULTIMERCADO</v>
          </cell>
          <cell r="D16612" t="str">
            <v>LZ FUNDO DE INV. MULTIMERCADO</v>
          </cell>
          <cell r="E16612" t="str">
            <v>ARSENAL INVESTIMENTOS LTDA</v>
          </cell>
        </row>
        <row r="16613">
          <cell r="B16613">
            <v>83627</v>
          </cell>
          <cell r="C16613" t="str">
            <v>OREN DINAMICO FI MULTIMERCADO</v>
          </cell>
          <cell r="D16613" t="str">
            <v>OREN DINAMICO FI MULTIMERCADO</v>
          </cell>
          <cell r="E16613" t="str">
            <v>SPRINGS CAPITAL LTDA</v>
          </cell>
        </row>
        <row r="16614">
          <cell r="B16614">
            <v>83628</v>
          </cell>
          <cell r="C16614" t="str">
            <v>R&amp;C FIM</v>
          </cell>
          <cell r="D16614" t="str">
            <v>R&amp;C FIM</v>
          </cell>
          <cell r="E16614" t="str">
            <v>R&amp;C FIM</v>
          </cell>
        </row>
        <row r="16615">
          <cell r="B16615">
            <v>83629</v>
          </cell>
          <cell r="C16615" t="str">
            <v>R&amp;C HEDGE FIM</v>
          </cell>
          <cell r="D16615" t="str">
            <v>R&amp;C HEDGE FIM</v>
          </cell>
          <cell r="E16615" t="str">
            <v>MATERA RC GESTÃƒO DE RECURSOS LTDA</v>
          </cell>
        </row>
        <row r="16616">
          <cell r="B16616">
            <v>83777</v>
          </cell>
          <cell r="C16616" t="str">
            <v>WESTLB FIM LONGO PRAZO</v>
          </cell>
          <cell r="D16616" t="str">
            <v>WESTLB FIM LONGO PRAZO</v>
          </cell>
          <cell r="E16616" t="str">
            <v>WESTLB FIM LONGO PRAZO</v>
          </cell>
        </row>
        <row r="16617">
          <cell r="B16617">
            <v>84451</v>
          </cell>
          <cell r="C16617" t="str">
            <v>FORMULA XVI FIM CP IE</v>
          </cell>
          <cell r="D16617">
            <v>44</v>
          </cell>
          <cell r="E16617" t="str">
            <v>FORMULA XVI FIM CP IE</v>
          </cell>
        </row>
        <row r="16618">
          <cell r="B16618">
            <v>84563</v>
          </cell>
          <cell r="C16618" t="str">
            <v>FI RF RIO DE JANEIRO LONGO PRAZO</v>
          </cell>
          <cell r="D16618" t="str">
            <v>FI RF RIO DE JANEIRO LONGO PRAZO</v>
          </cell>
          <cell r="E16618" t="str">
            <v>FI RF RIO DE JANEIRO LONGO PRAZO</v>
          </cell>
        </row>
        <row r="16619">
          <cell r="B16619">
            <v>84567</v>
          </cell>
          <cell r="C16619" t="str">
            <v>BANCO CREDIBEL S/A</v>
          </cell>
          <cell r="D16619" t="str">
            <v>BANCO CREDIBEL S/A</v>
          </cell>
          <cell r="E16619" t="str">
            <v>BANCO CREDIBEL S/A</v>
          </cell>
        </row>
        <row r="16620">
          <cell r="B16620">
            <v>84581</v>
          </cell>
          <cell r="C16620" t="str">
            <v>DIFERENCIAL CTVM S/A P/C 1-1</v>
          </cell>
          <cell r="D16620" t="str">
            <v>DIFERENCIAL CTVM S/A P/C 1-1</v>
          </cell>
          <cell r="E16620" t="str">
            <v>DIFERENCIAL CTVM S/A P/C 1-1</v>
          </cell>
        </row>
        <row r="16621">
          <cell r="B16621">
            <v>84657</v>
          </cell>
          <cell r="C16621" t="str">
            <v>FUNDO DE INVESTIMENTO FINANCEIRO HERCULES</v>
          </cell>
          <cell r="D16621" t="str">
            <v>FUNDO DE INVESTIMENTO FINANCEIRO HERCULES</v>
          </cell>
          <cell r="E16621" t="str">
            <v>FUNDO DE INVESTIMENTO FINANCEIRO HERCULES</v>
          </cell>
        </row>
        <row r="16622">
          <cell r="B16622">
            <v>84765</v>
          </cell>
          <cell r="C16622" t="str">
            <v>GAP MULTIPORTFOLIO FIM</v>
          </cell>
          <cell r="D16622" t="str">
            <v>GAP MULTIPORTFOLIO FIM</v>
          </cell>
          <cell r="E16622" t="str">
            <v>GAP MULTIPORTFOLIO FIM</v>
          </cell>
        </row>
        <row r="16623">
          <cell r="B16623">
            <v>84771</v>
          </cell>
          <cell r="C16623" t="str">
            <v>ALLIANCE FUNDO DE INVESTIMENTO FINANCEIRO</v>
          </cell>
          <cell r="D16623" t="str">
            <v>ALLIANCE FUNDO DE INVESTIMENTO FINANCEIRO</v>
          </cell>
          <cell r="E16623" t="str">
            <v>ALLIANCE FUNDO DE INVESTIMENTO FINANCEIRO</v>
          </cell>
        </row>
        <row r="16624">
          <cell r="B16624">
            <v>85305</v>
          </cell>
          <cell r="C16624" t="str">
            <v>BOCAINA FUNDO DE INVESTIMENTO MULTIMERCADO</v>
          </cell>
          <cell r="D16624" t="str">
            <v>BOCAINA FUNDO DE INVESTIMENTO MULTIMERCADO</v>
          </cell>
          <cell r="E16624" t="str">
            <v>BOCAINA FUNDO DE INVESTIMENTO MULTIMERCADO</v>
          </cell>
        </row>
        <row r="16625">
          <cell r="B16625">
            <v>85306</v>
          </cell>
          <cell r="C16625" t="str">
            <v>LACAN EQUILIBRIO INSTITUCIONAL FIM</v>
          </cell>
          <cell r="D16625" t="str">
            <v>LACAN EQUILIBRIO INSTITUCIONAL FIM</v>
          </cell>
          <cell r="E16625" t="str">
            <v>LACAN INVESTIMENTOS E PARTICIPACOES LTDA</v>
          </cell>
        </row>
        <row r="16626">
          <cell r="B16626">
            <v>85326</v>
          </cell>
          <cell r="C16626" t="str">
            <v>LILY MONIQUE DE CARVALHO MARINHO</v>
          </cell>
          <cell r="D16626" t="str">
            <v>LILY MONIQUE DE CARVALHO MARINHO</v>
          </cell>
          <cell r="E16626" t="str">
            <v>LILY MONIQUE DE CARVALHO MARINHO</v>
          </cell>
        </row>
        <row r="16627">
          <cell r="B16627">
            <v>85327</v>
          </cell>
          <cell r="C16627" t="str">
            <v>MARIA CECILIA LONDRES FONSECA</v>
          </cell>
          <cell r="D16627" t="str">
            <v>MARIA CECILIA LONDRES FONSECA</v>
          </cell>
          <cell r="E16627" t="str">
            <v>MARIA CECILIA LONDRES FONSECA</v>
          </cell>
        </row>
        <row r="16628">
          <cell r="B16628">
            <v>85552</v>
          </cell>
          <cell r="C16628" t="str">
            <v>DIFERENCIAL CTVM S/A P/C 1-1</v>
          </cell>
          <cell r="D16628" t="str">
            <v>DIFERENCIAL CTVM S/A P/C 1-1</v>
          </cell>
          <cell r="E16628" t="str">
            <v>DIFERENCIAL CTVM S/A P/C 1-1</v>
          </cell>
        </row>
        <row r="16629">
          <cell r="B16629">
            <v>85642</v>
          </cell>
          <cell r="C16629" t="str">
            <v>FIF EM DESENVOLVIMENTO E CONSOLIDACAO</v>
          </cell>
          <cell r="D16629" t="str">
            <v>FIF EM DESENVOLVIMENTO E CONSOLIDACAO</v>
          </cell>
          <cell r="E16629" t="str">
            <v>FIF EM DESENVOLVIMENTO E CONSOLIDACAO</v>
          </cell>
        </row>
        <row r="16630">
          <cell r="B16630">
            <v>85646</v>
          </cell>
          <cell r="C16630" t="str">
            <v>HAROLDO BIRSZTEIN</v>
          </cell>
          <cell r="D16630" t="str">
            <v>HAROLDO BIRSZTEIN</v>
          </cell>
          <cell r="E16630" t="str">
            <v>HAROLDO BIRSZTEIN</v>
          </cell>
        </row>
        <row r="16631">
          <cell r="B16631">
            <v>86001</v>
          </cell>
          <cell r="C16631" t="str">
            <v>BB GESTAO DE RECURSOS DTVM LTDA</v>
          </cell>
          <cell r="D16631" t="str">
            <v>BB GESTAO DE RECURSOS DTVM LTDA</v>
          </cell>
          <cell r="E16631" t="str">
            <v>BANCO DO BRASIL S/A</v>
          </cell>
        </row>
        <row r="16632">
          <cell r="B16632">
            <v>86002</v>
          </cell>
          <cell r="C16632" t="str">
            <v>BB GESTAO DE RECURSOS DTVM LTDA</v>
          </cell>
          <cell r="D16632" t="str">
            <v>BB GESTAO DE RECURSOS DTVM LTDA</v>
          </cell>
          <cell r="E16632" t="str">
            <v>BANCO DO BRASIL S/A</v>
          </cell>
        </row>
        <row r="16633">
          <cell r="B16633">
            <v>86008</v>
          </cell>
          <cell r="C16633" t="str">
            <v>BB GESTAO DE RECURSOS DTVM LTDA</v>
          </cell>
          <cell r="D16633" t="str">
            <v>BB GESTAO DE RECURSOS DTVM LTDA</v>
          </cell>
          <cell r="E16633" t="str">
            <v>BANCO DO BRASIL S/A</v>
          </cell>
        </row>
        <row r="16634">
          <cell r="B16634">
            <v>86009</v>
          </cell>
          <cell r="C16634" t="str">
            <v>BB GESTAO DE RECURSOS DTVM LTDA</v>
          </cell>
          <cell r="D16634" t="str">
            <v>BB GESTAO DE RECURSOS DTVM LTDA</v>
          </cell>
          <cell r="E16634" t="str">
            <v>BANCO DO BRASIL S/A</v>
          </cell>
        </row>
        <row r="16635">
          <cell r="B16635">
            <v>86010</v>
          </cell>
          <cell r="C16635" t="str">
            <v>BB GESTAO DE RECURSOS DTVM LTDA</v>
          </cell>
          <cell r="D16635" t="str">
            <v>BB GESTAO DE RECURSOS DTVM LTDA</v>
          </cell>
          <cell r="E16635" t="str">
            <v>BANCO DO BRASIL S/A</v>
          </cell>
        </row>
        <row r="16636">
          <cell r="B16636">
            <v>86412</v>
          </cell>
          <cell r="C16636" t="str">
            <v>FIF GLOBALSIGHT THUNDER</v>
          </cell>
          <cell r="D16636" t="str">
            <v>FIF GLOBALSIGHT THUNDER</v>
          </cell>
          <cell r="E16636" t="str">
            <v>FIF GLOBALSIGHT THUNDER</v>
          </cell>
        </row>
        <row r="16637">
          <cell r="B16637">
            <v>86415</v>
          </cell>
          <cell r="C16637" t="str">
            <v>GS ALLOCATION PLUS MULTIMERCADO FDO DE INV.</v>
          </cell>
          <cell r="D16637" t="str">
            <v>GS ALLOCATION PLUS MULTIMERCADO FDO DE INV.</v>
          </cell>
          <cell r="E16637" t="str">
            <v>GS ALLOCATION PLUS MULTIMERCADO FDO DE INV.</v>
          </cell>
        </row>
        <row r="16638">
          <cell r="B16638">
            <v>86741</v>
          </cell>
          <cell r="C16638" t="str">
            <v>NEWTON AUGUSTO CARDOSO DE OLIVEIRA</v>
          </cell>
          <cell r="D16638" t="str">
            <v>NEWTON AUGUSTO CARDOSO DE OLIVEIRA</v>
          </cell>
          <cell r="E16638" t="str">
            <v>NEWTON AUGUSTO CARDOSO DE OLIVEIRA</v>
          </cell>
        </row>
        <row r="16639">
          <cell r="B16639">
            <v>87001</v>
          </cell>
          <cell r="C16639" t="str">
            <v>PREV TOKIO MARINE SOCIEDADE DE PREVIDENCIA COMPLEMENTAR</v>
          </cell>
          <cell r="D16639" t="str">
            <v>PREV TOKIO MARINE SOCIEDADE DE PREVIDENCIA COMPLEMENTAR</v>
          </cell>
          <cell r="E16639" t="str">
            <v>PREV TOKIO MARINE SOCIEDADE DE PREVIDENCIA COMPLEMENTAR</v>
          </cell>
        </row>
        <row r="16640">
          <cell r="B16640">
            <v>87421</v>
          </cell>
          <cell r="C16640" t="str">
            <v>HOOKIPA INVESTMENTS LLC</v>
          </cell>
          <cell r="D16640" t="str">
            <v>HOOKIPA INVESTMENTS LLC</v>
          </cell>
          <cell r="E16640" t="str">
            <v>HOOKIPA INVESTMENTS LLC</v>
          </cell>
        </row>
        <row r="16641">
          <cell r="B16641">
            <v>8802</v>
          </cell>
          <cell r="C16641" t="str">
            <v>BOLSA  BRASILEIRA DE MERCADORIAS - BBM</v>
          </cell>
          <cell r="D16641" t="str">
            <v>BOLSA  BRASILEIRA DE MERCADORIAS - BBM</v>
          </cell>
          <cell r="E16641" t="str">
            <v>BOLSA  BRASILEIRA DE MERCADORIAS - BBM</v>
          </cell>
        </row>
        <row r="16642">
          <cell r="B16642">
            <v>88857</v>
          </cell>
          <cell r="C16642" t="str">
            <v>FERNANDO GOBBO DEGANI</v>
          </cell>
          <cell r="D16642" t="str">
            <v>FERNANDO GOBBO DEGANI</v>
          </cell>
          <cell r="E16642" t="str">
            <v>FERNANDO GOBBO DEGANI</v>
          </cell>
        </row>
        <row r="16643">
          <cell r="B16643">
            <v>89013</v>
          </cell>
          <cell r="C16643" t="str">
            <v>RIO ASSET HEDGE FIM LONGO PRAZO</v>
          </cell>
          <cell r="D16643" t="str">
            <v>RIO ASSET HEDGE FIM LONGO PRAZO</v>
          </cell>
          <cell r="E16643" t="str">
            <v>RIO ASSET HEDGE FIM LONGO PRAZO</v>
          </cell>
        </row>
        <row r="16644">
          <cell r="B16644">
            <v>89556</v>
          </cell>
          <cell r="C16644" t="str">
            <v>PROVENTUS MULTI FUNDO DE INVEST.MULTIMERCADO</v>
          </cell>
          <cell r="D16644" t="str">
            <v>PROVENTUS MULTI FUNDO DE INVEST.MULTIMERCADO</v>
          </cell>
          <cell r="E16644" t="str">
            <v>PROVENTUS MULTI FUNDO DE INVEST.MULTIMERCADO</v>
          </cell>
        </row>
        <row r="16645">
          <cell r="B16645">
            <v>9</v>
          </cell>
          <cell r="C16645" t="str">
            <v>HERMANN MIRANDA SANTOS</v>
          </cell>
          <cell r="D16645" t="str">
            <v>HERMANN MIRANDA SANTOS</v>
          </cell>
          <cell r="E16645" t="str">
            <v>HERMANN MIRANDA SANTOS</v>
          </cell>
        </row>
        <row r="16646">
          <cell r="B16646">
            <v>900002</v>
          </cell>
          <cell r="C16646" t="str">
            <v>CORRETORA SOUZA BARROS CAMBIO E TITULOS S.A</v>
          </cell>
          <cell r="D16646" t="str">
            <v>CORRETORA SOUZA BARROS CAMBIO E TITULOS S.A</v>
          </cell>
          <cell r="E16646" t="str">
            <v>CORRETORA SOUZA BARROS CAMBIO E TITULOS S.A</v>
          </cell>
        </row>
        <row r="16647">
          <cell r="B16647">
            <v>900003</v>
          </cell>
          <cell r="C16647" t="str">
            <v>PROSPER APLICAÃ‡AO CM &amp; FUTUROS LTDA</v>
          </cell>
          <cell r="D16647">
            <v>3</v>
          </cell>
          <cell r="E16647" t="str">
            <v>PROSPER APLICAÃ‡AO CM &amp; FUTUROS LTDA</v>
          </cell>
        </row>
        <row r="16648">
          <cell r="B16648">
            <v>900004</v>
          </cell>
          <cell r="C16648" t="str">
            <v>ALFA CCVM S/A</v>
          </cell>
          <cell r="D16648" t="str">
            <v>ALFA CCVM S/A</v>
          </cell>
          <cell r="E16648" t="str">
            <v>ALFA CCVM S/A</v>
          </cell>
        </row>
        <row r="16649">
          <cell r="B16649">
            <v>932496</v>
          </cell>
          <cell r="C16649" t="str">
            <v>UBS BRASIL CCTVM S/A (ANTIGA LINK S/A CCTVM)</v>
          </cell>
          <cell r="D16649" t="str">
            <v>A932496</v>
          </cell>
          <cell r="E16649" t="str">
            <v>UBS AG, LONDON BRANCH NOVO</v>
          </cell>
        </row>
        <row r="16650">
          <cell r="B16650">
            <v>9000086</v>
          </cell>
          <cell r="C16650" t="str">
            <v>LOPEZ LEON DERIVATIVOS CM S/A</v>
          </cell>
          <cell r="D16650" t="str">
            <v>LOPEZ LEON DERIVATIVOS CM S/A</v>
          </cell>
          <cell r="E16650" t="str">
            <v>LOPEZ LEON DERIVATIVOS CM S/A</v>
          </cell>
        </row>
        <row r="16651">
          <cell r="B16651">
            <v>900009</v>
          </cell>
          <cell r="C16651" t="str">
            <v>DEUTSCHE BANK CV SA</v>
          </cell>
          <cell r="D16651" t="str">
            <v>DEUTSCHE BANK CV SA</v>
          </cell>
          <cell r="E16651" t="str">
            <v>DEUTSCHE BANK S/A</v>
          </cell>
        </row>
        <row r="16652">
          <cell r="B16652">
            <v>900010</v>
          </cell>
          <cell r="C16652" t="str">
            <v>SPINELLI S/A CVMC</v>
          </cell>
          <cell r="D16652" t="str">
            <v>SPINELLI S/A CVMC</v>
          </cell>
          <cell r="E16652" t="str">
            <v>SPINELLI S/A CVMC</v>
          </cell>
        </row>
        <row r="16653">
          <cell r="B16653">
            <v>900011</v>
          </cell>
          <cell r="C16653" t="str">
            <v>INTERBOLSA DO BRASIL CCTVM LTDA</v>
          </cell>
          <cell r="D16653" t="str">
            <v>INTERBOLSA DO BRASIL CCTVM LTDA</v>
          </cell>
          <cell r="E16653" t="str">
            <v>INTERBOLSA DO BRASIL CCTVM LTDA</v>
          </cell>
        </row>
        <row r="16654">
          <cell r="B16654">
            <v>900012</v>
          </cell>
          <cell r="C16654" t="str">
            <v>RENASCENÃ‡A DTVM LTDA</v>
          </cell>
          <cell r="D16654" t="str">
            <v>RENASCENÃ‡A DTVM LTDA</v>
          </cell>
          <cell r="E16654" t="str">
            <v>WARREN BRASIL GESTÃO E ADMINISTRAÇÃO DE RECURSOS LTDA</v>
          </cell>
        </row>
        <row r="16655">
          <cell r="B16655">
            <v>14443</v>
          </cell>
          <cell r="C16655" t="str">
            <v>CAPITANIA S/A</v>
          </cell>
          <cell r="D16655">
            <v>98084</v>
          </cell>
          <cell r="E16655" t="str">
            <v>CAPITÂNIA INVEST S/A</v>
          </cell>
        </row>
        <row r="16656">
          <cell r="B16656">
            <v>900014</v>
          </cell>
          <cell r="C16656" t="str">
            <v>CRUZEIRO DO SUL CM LTDA</v>
          </cell>
          <cell r="D16656" t="str">
            <v>CRUZEIRO DO SUL CM LTDA</v>
          </cell>
          <cell r="E16656" t="str">
            <v>CRUZEIRO DO SUL CM LTDA</v>
          </cell>
        </row>
        <row r="16657">
          <cell r="B16657">
            <v>900015</v>
          </cell>
          <cell r="C16657" t="str">
            <v>SAFRA ASSET CORRETORA DE TITULOS E VALORES MOBILIARIOS S.A.</v>
          </cell>
          <cell r="D16657" t="str">
            <v>SAFRA ASSET CORRETORA DE TITULOS E VALORES MOBILIARIOS S.A.</v>
          </cell>
          <cell r="E16657" t="str">
            <v>SAFRA ASSET MANAGEMENT LTDA</v>
          </cell>
        </row>
        <row r="16658">
          <cell r="B16658">
            <v>900016</v>
          </cell>
          <cell r="C16658" t="str">
            <v>JP MORGAN CCVM S/A</v>
          </cell>
          <cell r="D16658">
            <v>16</v>
          </cell>
          <cell r="E16658" t="str">
            <v>JP MORGAN ADMINISTRADORA DE CARTEIRAS BRASIL LTDA</v>
          </cell>
        </row>
        <row r="16659">
          <cell r="B16659">
            <v>90002</v>
          </cell>
          <cell r="C16659" t="str">
            <v>BB GESTAO DE RECURSOS DTVM LTDA</v>
          </cell>
          <cell r="D16659" t="str">
            <v>BB GESTAO DE RECURSOS DTVM LTDA</v>
          </cell>
          <cell r="E16659" t="str">
            <v>BANCO DO BRASIL S/A</v>
          </cell>
        </row>
        <row r="16660">
          <cell r="B16660">
            <v>900020</v>
          </cell>
          <cell r="C16660" t="str">
            <v>AGORA CTVM S/A</v>
          </cell>
          <cell r="D16660">
            <v>20</v>
          </cell>
          <cell r="E16660" t="str">
            <v>AGORA GESTAO DE RECURSOS LTDA</v>
          </cell>
        </row>
        <row r="16661">
          <cell r="B16661">
            <v>900021</v>
          </cell>
          <cell r="C16661" t="str">
            <v>BANCO BTG PACTUAL S/A</v>
          </cell>
          <cell r="D16661">
            <v>25</v>
          </cell>
          <cell r="E16661" t="str">
            <v>BANCO BTG PACTUAL S/A</v>
          </cell>
        </row>
        <row r="16662">
          <cell r="B16662">
            <v>900022</v>
          </cell>
          <cell r="C16662" t="str">
            <v>CREDIT SUISSE HEDGING GRIFFO CV S/A</v>
          </cell>
          <cell r="D16662" t="str">
            <v>CREDIT SUISSE HEDGING GRIFFO CV S/A</v>
          </cell>
          <cell r="E16662" t="str">
            <v>CREDIT SUISSE HEDGING-GRIFFO WEALTH MANAGEMENT S/A</v>
          </cell>
        </row>
        <row r="16663">
          <cell r="B16663">
            <v>900023</v>
          </cell>
          <cell r="C16663" t="str">
            <v>CONCORDIA S/A CVMCC</v>
          </cell>
          <cell r="D16663" t="str">
            <v>CONCORDIA S/A CVMCC</v>
          </cell>
          <cell r="E16663" t="str">
            <v>CONCORDIA S/A CVMCC</v>
          </cell>
        </row>
        <row r="16664">
          <cell r="B16664">
            <v>900024</v>
          </cell>
          <cell r="C16664" t="str">
            <v>CREDIT SUISSE HEDGING GRIFFO CV S/A</v>
          </cell>
          <cell r="D16664" t="str">
            <v>CREDIT SUISSE HEDGING GRIFFO CV S/A</v>
          </cell>
          <cell r="E16664" t="str">
            <v>CREDIT SUISSE HEDGING-GRIFFO WEALTH MANAGEMENT S/A</v>
          </cell>
        </row>
        <row r="16665">
          <cell r="B16665">
            <v>900027</v>
          </cell>
          <cell r="C16665" t="str">
            <v>SANTANDER S/A CCT</v>
          </cell>
          <cell r="D16665" t="str">
            <v>SANTANDER S/A CCT</v>
          </cell>
          <cell r="E16665" t="str">
            <v>SANTANDER S/A CCT</v>
          </cell>
        </row>
        <row r="16666">
          <cell r="B16666">
            <v>900028</v>
          </cell>
          <cell r="C16666" t="str">
            <v>CM CAPITAL MARKETS CCTVM LTDA</v>
          </cell>
          <cell r="D16666">
            <v>451</v>
          </cell>
          <cell r="E16666" t="str">
            <v>CM CAPITAL MARKETS CCTVM LTDA</v>
          </cell>
        </row>
        <row r="16667">
          <cell r="B16667">
            <v>900030</v>
          </cell>
          <cell r="C16667" t="str">
            <v>SANTANDER S/A CCT</v>
          </cell>
          <cell r="D16667">
            <v>30</v>
          </cell>
          <cell r="E16667" t="str">
            <v>SANTANDER S/A CCT</v>
          </cell>
        </row>
        <row r="16668">
          <cell r="B16668">
            <v>900032</v>
          </cell>
          <cell r="C16668" t="str">
            <v>FATOR S/A CV</v>
          </cell>
          <cell r="D16668" t="str">
            <v>FATOR S/A CV</v>
          </cell>
          <cell r="E16668" t="str">
            <v>FATOR S/A CV</v>
          </cell>
        </row>
        <row r="16669">
          <cell r="B16669">
            <v>900034</v>
          </cell>
          <cell r="C16669" t="str">
            <v>SCHAHIN CCVM S/A</v>
          </cell>
          <cell r="D16669" t="str">
            <v>SCHAHIN CCVM S/A</v>
          </cell>
          <cell r="E16669" t="str">
            <v>SCHAHIN CCVM S/A</v>
          </cell>
        </row>
        <row r="16670">
          <cell r="B16670">
            <v>81357</v>
          </cell>
          <cell r="C16670" t="str">
            <v>XP LONG BIASED MASTER I FUNDO DE INVESTIMENTO MULTIMERCADO</v>
          </cell>
          <cell r="D16670" t="str">
            <v>XP LONG BIASED MASTER I FUNDO DE INVESTIMENTO MULTIMERCADO</v>
          </cell>
          <cell r="E16670" t="str">
            <v>XP GESTAO DE RECURSOS LTDA</v>
          </cell>
        </row>
        <row r="16671">
          <cell r="B16671">
            <v>900036</v>
          </cell>
          <cell r="C16671" t="str">
            <v>BANCO RURAL S/A</v>
          </cell>
          <cell r="D16671" t="str">
            <v>BANCO RURAL S/A</v>
          </cell>
          <cell r="E16671" t="str">
            <v>BANCO RURAL S/A</v>
          </cell>
        </row>
        <row r="16672">
          <cell r="B16672">
            <v>900038</v>
          </cell>
          <cell r="C16672" t="str">
            <v>NOVA FUTURA CTVM LTDA</v>
          </cell>
          <cell r="D16672">
            <v>38</v>
          </cell>
          <cell r="E16672" t="str">
            <v>NOVA FUTURA CTVM LTDA</v>
          </cell>
        </row>
        <row r="16673">
          <cell r="B16673">
            <v>90004</v>
          </cell>
          <cell r="C16673" t="str">
            <v>MORGAN STANLEY CTVM S/A</v>
          </cell>
          <cell r="D16673" t="str">
            <v>MORGAN STANLEY CTVM S/A</v>
          </cell>
          <cell r="E16673" t="str">
            <v>MORGAN STANLEY CTVM S/A</v>
          </cell>
        </row>
        <row r="16674">
          <cell r="B16674">
            <v>900041</v>
          </cell>
          <cell r="C16674" t="str">
            <v>ING CCT S/A</v>
          </cell>
          <cell r="D16674" t="str">
            <v>79.2</v>
          </cell>
          <cell r="E16674" t="str">
            <v>ING CCT S/A</v>
          </cell>
        </row>
        <row r="16675">
          <cell r="B16675">
            <v>900043</v>
          </cell>
          <cell r="C16675" t="str">
            <v>ATIVA S/A CTCV</v>
          </cell>
          <cell r="D16675" t="str">
            <v>ATIVA S/A CTCV</v>
          </cell>
          <cell r="E16675" t="str">
            <v>ATIVA S/A CTCV</v>
          </cell>
        </row>
        <row r="16676">
          <cell r="B16676">
            <v>900044</v>
          </cell>
          <cell r="C16676" t="str">
            <v>J SAFRA CVC LTDA</v>
          </cell>
          <cell r="D16676">
            <v>44</v>
          </cell>
          <cell r="E16676" t="str">
            <v>J SAFRA CVC LTDA</v>
          </cell>
        </row>
        <row r="16677">
          <cell r="B16677">
            <v>933188</v>
          </cell>
          <cell r="C16677" t="str">
            <v>UBS BRASIL CCTVM S/A (ANTIGA LINK S/A CCTVM)</v>
          </cell>
          <cell r="D16677" t="str">
            <v>A933188</v>
          </cell>
          <cell r="E16677" t="str">
            <v>UBS AG, LONDON BRANCH NOVO</v>
          </cell>
        </row>
        <row r="16678">
          <cell r="B16678">
            <v>90005</v>
          </cell>
          <cell r="C16678" t="str">
            <v>BB GESTAO DE RECURSOS DTVM LTDA</v>
          </cell>
          <cell r="D16678" t="str">
            <v>BB GESTAO DE RECURSOS DTVM LTDA</v>
          </cell>
          <cell r="E16678" t="str">
            <v>BANCO DO BRASIL S/A</v>
          </cell>
        </row>
        <row r="16679">
          <cell r="B16679">
            <v>900051</v>
          </cell>
          <cell r="C16679" t="str">
            <v>CITIBANK DTVM S/A</v>
          </cell>
          <cell r="D16679" t="str">
            <v>CITIBANK DTVM S/A</v>
          </cell>
          <cell r="E16679" t="str">
            <v>CITIBANK DTVM S/A</v>
          </cell>
        </row>
        <row r="16680">
          <cell r="B16680">
            <v>900052</v>
          </cell>
          <cell r="C16680" t="str">
            <v>CITIBANK DTVM S/A</v>
          </cell>
          <cell r="D16680">
            <v>5200</v>
          </cell>
          <cell r="E16680" t="str">
            <v>CITIBANK DTVM S/A</v>
          </cell>
        </row>
        <row r="16681">
          <cell r="B16681">
            <v>900054</v>
          </cell>
          <cell r="C16681" t="str">
            <v>HAITONG SECURITIES  DO BRASIL CCVM (BES SECURITIES DO BRASIL</v>
          </cell>
          <cell r="D16681" t="str">
            <v>HAITONG SECURITIES  DO BRASIL CCVM (BES SECURITIES DO BRASIL</v>
          </cell>
          <cell r="E16681" t="str">
            <v>HAITONG BANCO DE INVESTIMENTO DO BRASIL S/A</v>
          </cell>
        </row>
        <row r="16682">
          <cell r="B16682">
            <v>900056</v>
          </cell>
          <cell r="C16682" t="str">
            <v>ATIVA S/A CTCV</v>
          </cell>
          <cell r="D16682">
            <v>56</v>
          </cell>
          <cell r="E16682" t="str">
            <v>ATIVA S/A CTCV</v>
          </cell>
        </row>
        <row r="16683">
          <cell r="B16683">
            <v>900057</v>
          </cell>
          <cell r="C16683" t="str">
            <v>BRASCAN S/A CTV</v>
          </cell>
          <cell r="D16683" t="str">
            <v>BRASCAN S/A CTV</v>
          </cell>
          <cell r="E16683" t="str">
            <v>BRASCAN S/A CTV</v>
          </cell>
        </row>
        <row r="16684">
          <cell r="B16684">
            <v>900058</v>
          </cell>
          <cell r="C16684" t="str">
            <v>SINGULARE CORRETORA DE TIRULOS E VALORES MOBILIARIOS SA</v>
          </cell>
          <cell r="D16684">
            <v>58</v>
          </cell>
          <cell r="E16684" t="str">
            <v>SINGULARE CORRETORA DE TIRULOS E VALORES MOBILIARIOS SA</v>
          </cell>
        </row>
        <row r="16685">
          <cell r="B16685">
            <v>900059</v>
          </cell>
          <cell r="C16685" t="str">
            <v>J SAFRA CVC LTDA</v>
          </cell>
          <cell r="D16685">
            <v>591</v>
          </cell>
          <cell r="E16685" t="str">
            <v>J SAFRA CVC LTDA</v>
          </cell>
        </row>
        <row r="16686">
          <cell r="B16686">
            <v>90006</v>
          </cell>
          <cell r="C16686" t="str">
            <v>BB GESTAO DE RECURSOS DTVM LTDA</v>
          </cell>
          <cell r="D16686" t="str">
            <v>BB GESTAO DE RECURSOS DTVM LTDA</v>
          </cell>
          <cell r="E16686" t="str">
            <v>BB BANCO DE INVESTIMENTO S/A</v>
          </cell>
        </row>
        <row r="16687">
          <cell r="B16687">
            <v>900060</v>
          </cell>
          <cell r="C16687" t="str">
            <v>CITIBANK DTVM S/A</v>
          </cell>
          <cell r="D16687">
            <v>60</v>
          </cell>
          <cell r="E16687" t="str">
            <v>CITIBANK DTVM S/A</v>
          </cell>
        </row>
        <row r="16688">
          <cell r="B16688">
            <v>900061</v>
          </cell>
          <cell r="C16688" t="str">
            <v>SANTANDER S/A CCT</v>
          </cell>
          <cell r="D16688">
            <v>63</v>
          </cell>
          <cell r="E16688" t="str">
            <v>SANTANDER S/A CCT</v>
          </cell>
        </row>
        <row r="16689">
          <cell r="B16689">
            <v>900063</v>
          </cell>
          <cell r="C16689" t="str">
            <v>NOVINVEST CVM LTDA</v>
          </cell>
          <cell r="D16689" t="str">
            <v>NOVINVEST CVM LTDA</v>
          </cell>
          <cell r="E16689" t="str">
            <v>NOVINVEST CVM LTDA</v>
          </cell>
        </row>
        <row r="16690">
          <cell r="B16690">
            <v>900066</v>
          </cell>
          <cell r="C16690" t="str">
            <v>UNIBANCO CVM S/A</v>
          </cell>
          <cell r="D16690">
            <v>66</v>
          </cell>
          <cell r="E16690" t="str">
            <v>UNIBANCO CVM S/A</v>
          </cell>
        </row>
        <row r="16691">
          <cell r="B16691">
            <v>90007</v>
          </cell>
          <cell r="C16691" t="str">
            <v>MORGAN STANLEY CTVM S/A</v>
          </cell>
          <cell r="D16691" t="str">
            <v>MORGAN STANLEY CTVM S/A</v>
          </cell>
          <cell r="E16691" t="str">
            <v>MORGAN STANLEY CTVM S/A</v>
          </cell>
        </row>
        <row r="16692">
          <cell r="B16692">
            <v>900070</v>
          </cell>
          <cell r="C16692" t="str">
            <v>VOTORANTIM CTVM LTDA</v>
          </cell>
          <cell r="D16692" t="str">
            <v>VOTORANTIM CTVM LTDA</v>
          </cell>
          <cell r="E16692" t="str">
            <v>VOTORANTIM CTVM LTDA</v>
          </cell>
        </row>
        <row r="16693">
          <cell r="B16693">
            <v>900071</v>
          </cell>
          <cell r="C16693" t="str">
            <v>VOTORANTIM CTVM LTDA</v>
          </cell>
          <cell r="D16693" t="str">
            <v>VOTORANTIM CTVM LTDA</v>
          </cell>
          <cell r="E16693" t="str">
            <v>VOTORANTIM CTVM LTDA</v>
          </cell>
        </row>
        <row r="16694">
          <cell r="B16694">
            <v>900072</v>
          </cell>
          <cell r="C16694" t="str">
            <v>BRADESCO S/A CTVM</v>
          </cell>
          <cell r="D16694" t="str">
            <v>BRADESCO S/A CTVM</v>
          </cell>
          <cell r="E16694" t="str">
            <v>BRADESCO SA CORRETORA DE TITULOS E VALORES MOBILIARIOS</v>
          </cell>
        </row>
        <row r="16695">
          <cell r="B16695">
            <v>900073</v>
          </cell>
          <cell r="C16695" t="str">
            <v>VOTORANTIM CTVM LTDA</v>
          </cell>
          <cell r="D16695" t="str">
            <v>VOTORANTIM CTVM LTDA</v>
          </cell>
          <cell r="E16695" t="str">
            <v>VOTORANTIM CTVM LTDA</v>
          </cell>
        </row>
        <row r="16696">
          <cell r="B16696">
            <v>900074</v>
          </cell>
          <cell r="C16696" t="str">
            <v>ALFA CCVM S/A</v>
          </cell>
          <cell r="D16696" t="str">
            <v>ALFA CCVM S/A</v>
          </cell>
          <cell r="E16696" t="str">
            <v>ALFA CCVM S/A</v>
          </cell>
        </row>
        <row r="16697">
          <cell r="B16697">
            <v>900078</v>
          </cell>
          <cell r="C16697" t="str">
            <v>MAXIMA S/A CTVM</v>
          </cell>
          <cell r="D16697" t="str">
            <v>MAXIMA S/A CTVM</v>
          </cell>
          <cell r="E16697" t="str">
            <v>MAXIMA S/A CTVM</v>
          </cell>
        </row>
        <row r="16698">
          <cell r="B16698">
            <v>90008</v>
          </cell>
          <cell r="C16698" t="str">
            <v>MORGAN STANLEY CTVM S/A</v>
          </cell>
          <cell r="D16698" t="str">
            <v>MORGAN STANLEY CTVM S/A</v>
          </cell>
          <cell r="E16698" t="str">
            <v>MORGAN STANLEY CTVM S/A</v>
          </cell>
        </row>
        <row r="16699">
          <cell r="B16699">
            <v>900088</v>
          </cell>
          <cell r="C16699" t="str">
            <v>CM CAPITAL MARKETS CCTVM LTDA</v>
          </cell>
          <cell r="D16699" t="str">
            <v>CM CAPITAL MARKETS CCTVM LTDA</v>
          </cell>
          <cell r="E16699" t="str">
            <v>CM CAPITAL MARKETS CCTVM LTDA</v>
          </cell>
        </row>
        <row r="16700">
          <cell r="B16700">
            <v>900089</v>
          </cell>
          <cell r="C16700" t="str">
            <v>JP MORGAN CCVM S/A</v>
          </cell>
          <cell r="D16700" t="str">
            <v>A900089</v>
          </cell>
          <cell r="E16700" t="str">
            <v>JP MORGAN ADMINISTRADORA DE CARTEIRAS BRASIL LTDA</v>
          </cell>
        </row>
        <row r="16701">
          <cell r="B16701">
            <v>90009</v>
          </cell>
          <cell r="C16701" t="str">
            <v>MORGAN STANLEY CTVM S/A</v>
          </cell>
          <cell r="D16701" t="str">
            <v>A90009</v>
          </cell>
          <cell r="E16701" t="str">
            <v>MORGAN STANLEY CTVM S/A</v>
          </cell>
        </row>
        <row r="16702">
          <cell r="B16702">
            <v>900097</v>
          </cell>
          <cell r="C16702" t="str">
            <v>HSBC CTVM S/A ATUAL BRADESCO-KIRTON</v>
          </cell>
          <cell r="D16702">
            <v>97</v>
          </cell>
          <cell r="E16702" t="str">
            <v>HSBC CTVM S/A ATUAL BRADESCO-KIRTON</v>
          </cell>
        </row>
        <row r="16703">
          <cell r="B16703">
            <v>900098</v>
          </cell>
          <cell r="C16703" t="str">
            <v>ALPES CCTVM LTDA</v>
          </cell>
          <cell r="D16703">
            <v>98</v>
          </cell>
          <cell r="E16703" t="str">
            <v>ALPES CCTVM LTDA</v>
          </cell>
        </row>
        <row r="16704">
          <cell r="B16704">
            <v>900102</v>
          </cell>
          <cell r="C16704" t="str">
            <v>CGD INVESTIMENTOS CORRETORA DE VALORES E CAMBIO S/A</v>
          </cell>
          <cell r="D16704" t="str">
            <v>CGD INVESTIMENTOS CORRETORA DE VALORES E CAMBIO S/A</v>
          </cell>
          <cell r="E16704" t="str">
            <v>CGD INVESTIMENTOS CORRETORA DE VALORES E CAMBIO S/A</v>
          </cell>
        </row>
        <row r="16705">
          <cell r="B16705">
            <v>900105</v>
          </cell>
          <cell r="C16705" t="str">
            <v>HEDGING GRIFFO CV S/A</v>
          </cell>
          <cell r="D16705" t="str">
            <v>HEDGING GRIFFO CV S/A</v>
          </cell>
          <cell r="E16705" t="str">
            <v>HEDGING GRIFFO CV S/A</v>
          </cell>
        </row>
        <row r="16706">
          <cell r="B16706">
            <v>900106</v>
          </cell>
          <cell r="C16706" t="str">
            <v>BRADESCO S/A CTVM</v>
          </cell>
          <cell r="D16706" t="str">
            <v>BRADESCO S/A CTVM</v>
          </cell>
          <cell r="E16706" t="str">
            <v>BRADESCO SA CORRETORA DE TITULOS E VALORES MOBILIARIOS</v>
          </cell>
        </row>
        <row r="16707">
          <cell r="B16707">
            <v>900107</v>
          </cell>
          <cell r="C16707" t="str">
            <v>AGORA CTVM S/A</v>
          </cell>
          <cell r="D16707" t="str">
            <v>AGORA CTVM S/A</v>
          </cell>
          <cell r="E16707" t="str">
            <v>AGORA GESTAO DE RECURSOS LTDA</v>
          </cell>
        </row>
        <row r="16708">
          <cell r="B16708">
            <v>900110</v>
          </cell>
          <cell r="C16708" t="str">
            <v>SLW CVC LTDA</v>
          </cell>
          <cell r="D16708" t="str">
            <v>SLW CVC LTDA</v>
          </cell>
          <cell r="E16708" t="str">
            <v>SLW CVC LTDA</v>
          </cell>
        </row>
        <row r="16709">
          <cell r="B16709">
            <v>900114</v>
          </cell>
          <cell r="C16709" t="str">
            <v>ITAU CORRETORA DE VALORES S.A.</v>
          </cell>
          <cell r="D16709" t="str">
            <v>ITAU CORRETORA DE VALORES S.A.</v>
          </cell>
          <cell r="E16709" t="str">
            <v>ITAU CV S/A</v>
          </cell>
        </row>
        <row r="16710">
          <cell r="B16710">
            <v>900115</v>
          </cell>
          <cell r="C16710" t="str">
            <v>MERRILL LYNCH S/A CTVM</v>
          </cell>
          <cell r="D16710" t="str">
            <v>MERRILL LYNCH S/A CTVM</v>
          </cell>
          <cell r="E16710" t="str">
            <v>MERRILL LYNCH S/A CTVM</v>
          </cell>
        </row>
        <row r="16711">
          <cell r="B16711">
            <v>900116</v>
          </cell>
          <cell r="C16711" t="str">
            <v>BANCO JP MORGAN S/A</v>
          </cell>
          <cell r="D16711" t="str">
            <v>BANCO JP MORGAN S/A</v>
          </cell>
          <cell r="E16711" t="str">
            <v>BANCO JP MORGAN S/A</v>
          </cell>
        </row>
        <row r="16712">
          <cell r="B16712">
            <v>900124</v>
          </cell>
          <cell r="C16712" t="str">
            <v>THECA CCTVM LTDA</v>
          </cell>
          <cell r="D16712" t="str">
            <v>THECA CCTVM LTDA</v>
          </cell>
          <cell r="E16712" t="str">
            <v>THECA CCTVM LTDA</v>
          </cell>
        </row>
        <row r="16713">
          <cell r="B16713">
            <v>900127</v>
          </cell>
          <cell r="C16713" t="str">
            <v>TULLETT PREBON BRASIL CVC (ANTIGA CONVENÃ‡AO)</v>
          </cell>
          <cell r="D16713" t="str">
            <v>TULLETT PREBON BRASIL CVC (ANTIGA CONVENÃ‡AO)</v>
          </cell>
          <cell r="E16713" t="str">
            <v>TULLETT PREBON BRASIL CVC LTDA</v>
          </cell>
        </row>
        <row r="16714">
          <cell r="B16714">
            <v>900128</v>
          </cell>
          <cell r="C16714" t="str">
            <v>NOVINVEST CVM LTDA</v>
          </cell>
          <cell r="D16714" t="str">
            <v>NOVINVEST CVM LTDA</v>
          </cell>
          <cell r="E16714" t="str">
            <v>NOVINVEST CVM LTDA</v>
          </cell>
        </row>
        <row r="16715">
          <cell r="B16715">
            <v>900129</v>
          </cell>
          <cell r="C16715" t="str">
            <v>PLANNER CV S/A</v>
          </cell>
          <cell r="D16715" t="str">
            <v>PLANNER CV S/A</v>
          </cell>
          <cell r="E16715" t="str">
            <v>PLANNER CV S/A</v>
          </cell>
        </row>
        <row r="16716">
          <cell r="B16716">
            <v>90013</v>
          </cell>
          <cell r="C16716" t="str">
            <v>BRADESCO S/A CTVM</v>
          </cell>
          <cell r="D16716" t="str">
            <v>A90013</v>
          </cell>
          <cell r="E16716" t="str">
            <v>BRADESCO SA CORRETORA DE TITULOS E VALORES MOBILIARIOS</v>
          </cell>
        </row>
        <row r="16717">
          <cell r="B16717">
            <v>900133</v>
          </cell>
          <cell r="C16717" t="str">
            <v>ICAP DO BRASIL CTVM LTDA ( ATUAL TULLET)</v>
          </cell>
          <cell r="D16717" t="str">
            <v>ICAP DO BRASIL CTVM LTDA ( ATUAL TULLET)</v>
          </cell>
          <cell r="E16717" t="str">
            <v>ICAP DO BRASIL CTVM LTDA ( ATUAL TULLET)</v>
          </cell>
        </row>
        <row r="16718">
          <cell r="B16718">
            <v>900135</v>
          </cell>
          <cell r="C16718" t="str">
            <v>CGD INVESTIMENTOS CORRETORA DE VALORES E CAMBIO S/A</v>
          </cell>
          <cell r="D16718" t="str">
            <v>CGD INVESTIMENTOS CORRETORA DE VALORES E CAMBIO S/A</v>
          </cell>
        </row>
        <row r="16719">
          <cell r="B16719">
            <v>900139</v>
          </cell>
          <cell r="C16719" t="str">
            <v>FLOW CM LTDA</v>
          </cell>
          <cell r="D16719" t="str">
            <v>FLOW CM LTDA</v>
          </cell>
          <cell r="E16719" t="str">
            <v>FLOW CM LTDA</v>
          </cell>
        </row>
        <row r="16720">
          <cell r="B16720">
            <v>900141</v>
          </cell>
          <cell r="C16720" t="str">
            <v>CGD INVESTIMENTOS CORRETORA DE VALORES E CAMBIO S/A</v>
          </cell>
          <cell r="D16720" t="str">
            <v>CGD INVESTIMENTOS CORRETORA DE VALORES E CAMBIO S/A</v>
          </cell>
          <cell r="E16720" t="str">
            <v>CGD INVESTIMENTOS CORRETORA DE VALORES E CAMBIO S/A</v>
          </cell>
        </row>
        <row r="16721">
          <cell r="B16721">
            <v>900142</v>
          </cell>
          <cell r="C16721" t="str">
            <v>CGD INVESTIMENTOS CORRETORA DE VALORES E CAMBIO S/A</v>
          </cell>
          <cell r="D16721" t="str">
            <v>142*</v>
          </cell>
          <cell r="E16721" t="str">
            <v>CGD INVESTIMENTOS CORRETORA DE VALORES E CAMBIO S/A</v>
          </cell>
        </row>
        <row r="16722">
          <cell r="B16722">
            <v>900143</v>
          </cell>
          <cell r="C16722" t="str">
            <v>CGD INVESTIMENTOS CORRETORA DE VALORES E CAMBIO S/A</v>
          </cell>
          <cell r="D16722" t="str">
            <v>CGD INVESTIMENTOS CORRETORA DE VALORES E CAMBIO S/A</v>
          </cell>
          <cell r="E16722" t="str">
            <v>CGD INVESTIMENTOS CORRETORA DE VALORES E CAMBIO S/A</v>
          </cell>
        </row>
        <row r="16723">
          <cell r="B16723">
            <v>935208</v>
          </cell>
          <cell r="C16723" t="str">
            <v>UBS BRASIL CCTVM S/A (ANTIGA LINK S/A CCTVM)</v>
          </cell>
          <cell r="D16723" t="str">
            <v>A935208</v>
          </cell>
          <cell r="E16723" t="str">
            <v>UBS AG, LONDON BRANCH NOVO</v>
          </cell>
        </row>
        <row r="16724">
          <cell r="B16724">
            <v>900147</v>
          </cell>
          <cell r="C16724" t="str">
            <v>INTERFLOAT HZ CCTVM LTDA</v>
          </cell>
          <cell r="D16724" t="str">
            <v>INTERFLOAT HZ CCTVM LTDA</v>
          </cell>
          <cell r="E16724" t="str">
            <v>INTERFLOAT HZ CCTVM LTDA</v>
          </cell>
        </row>
        <row r="16725">
          <cell r="B16725">
            <v>900148</v>
          </cell>
          <cell r="C16725" t="str">
            <v>LOPEZ LEON DERIVATIVOS CM S/A</v>
          </cell>
          <cell r="D16725" t="str">
            <v>LOPEZ LEON DERIVATIVOS CM S/A</v>
          </cell>
          <cell r="E16725" t="str">
            <v>LOPEZ LEON DERIVATIVOS CM S/A</v>
          </cell>
        </row>
        <row r="16726">
          <cell r="B16726">
            <v>900150</v>
          </cell>
          <cell r="C16726" t="str">
            <v>PROSPER S/A CVC</v>
          </cell>
          <cell r="D16726" t="str">
            <v>PROSPER S/A CVC</v>
          </cell>
          <cell r="E16726" t="str">
            <v>PROSPER S/A CVC</v>
          </cell>
        </row>
        <row r="16727">
          <cell r="B16727">
            <v>900151</v>
          </cell>
          <cell r="C16727" t="str">
            <v>CITIBANK DTVM S/A</v>
          </cell>
          <cell r="D16727" t="str">
            <v>CITIBANK DTVM S/A</v>
          </cell>
          <cell r="E16727" t="str">
            <v>CITIBANK DTVM S/A</v>
          </cell>
        </row>
        <row r="16728">
          <cell r="B16728">
            <v>900153</v>
          </cell>
          <cell r="C16728" t="str">
            <v>MAXIMA S/A CTVM</v>
          </cell>
          <cell r="D16728" t="str">
            <v>MAXIMA S/A CTVM</v>
          </cell>
          <cell r="E16728" t="str">
            <v>MAXIMA S/A CTVM</v>
          </cell>
        </row>
        <row r="16729">
          <cell r="B16729">
            <v>900159</v>
          </cell>
          <cell r="C16729" t="str">
            <v>CGD INVESTIMENTOS CORRETORA DE VALORES E CAMBIO S/A</v>
          </cell>
          <cell r="D16729" t="str">
            <v>CGD INVESTIMENTOS CORRETORA DE VALORES E CAMBIO S/A</v>
          </cell>
          <cell r="E16729" t="str">
            <v>CGD INVESTIMENTOS CORRETORA DE VALORES E CAMBIO S/A</v>
          </cell>
        </row>
        <row r="16730">
          <cell r="B16730">
            <v>900163</v>
          </cell>
          <cell r="C16730" t="str">
            <v>BRASCAN S/A CTV</v>
          </cell>
          <cell r="D16730" t="str">
            <v>BRASCAN S/A CTV</v>
          </cell>
          <cell r="E16730" t="str">
            <v>BRASCAN S/A CTV</v>
          </cell>
        </row>
        <row r="16731">
          <cell r="B16731">
            <v>900164</v>
          </cell>
          <cell r="C16731" t="str">
            <v>BRASCAN S/A CTV</v>
          </cell>
          <cell r="D16731" t="str">
            <v>BRASCAN S/A CTV</v>
          </cell>
          <cell r="E16731" t="str">
            <v>BRASCAN S/A CTV</v>
          </cell>
        </row>
        <row r="16732">
          <cell r="B16732">
            <v>900165</v>
          </cell>
          <cell r="C16732" t="str">
            <v>BRASCAN S/A CTV</v>
          </cell>
          <cell r="D16732" t="str">
            <v>BRASCAN S/A CTV</v>
          </cell>
          <cell r="E16732" t="str">
            <v>BRASCAN S/A CTV</v>
          </cell>
        </row>
        <row r="16733">
          <cell r="B16733">
            <v>900166</v>
          </cell>
          <cell r="C16733" t="str">
            <v>ATIVA S/A CTCV</v>
          </cell>
          <cell r="D16733" t="str">
            <v>ATIVA S/A CTCV</v>
          </cell>
          <cell r="E16733" t="str">
            <v>ATIVA S/A CTCV</v>
          </cell>
        </row>
        <row r="16734">
          <cell r="B16734">
            <v>900168</v>
          </cell>
          <cell r="C16734" t="str">
            <v>BRASCAN S/A CTV</v>
          </cell>
          <cell r="D16734" t="str">
            <v>BRASCAN S/A CTV</v>
          </cell>
          <cell r="E16734" t="str">
            <v>BRASCAN S/A CTV</v>
          </cell>
        </row>
        <row r="16735">
          <cell r="B16735">
            <v>900170</v>
          </cell>
          <cell r="C16735" t="str">
            <v>BTG PACTUAL CORRETORA DE TITULOS E VALORES MOBILIARIOS S/A</v>
          </cell>
          <cell r="D16735" t="str">
            <v>26*</v>
          </cell>
          <cell r="E16735" t="str">
            <v>BTG PACTUAL CORRETORA DE TITULOS E VALORES MOBILIARIOS S/A</v>
          </cell>
        </row>
        <row r="16736">
          <cell r="B16736">
            <v>900172</v>
          </cell>
          <cell r="C16736" t="str">
            <v>VOTORANTIM CTVM LTDA</v>
          </cell>
          <cell r="D16736" t="str">
            <v>VOTORANTIM CTVM LTDA</v>
          </cell>
          <cell r="E16736" t="str">
            <v>VOTORANTIM CTVM LTDA</v>
          </cell>
        </row>
        <row r="16737">
          <cell r="B16737">
            <v>900173</v>
          </cell>
          <cell r="C16737" t="str">
            <v>HSBC CTVM S/A ATUAL BRADESCO-KIRTON</v>
          </cell>
          <cell r="D16737" t="str">
            <v>HSBC CTVM S/A ATUAL BRADESCO-KIRTON</v>
          </cell>
          <cell r="E16737" t="str">
            <v>HSBC CTVM S/A ATUAL BRADESCO-KIRTON</v>
          </cell>
        </row>
        <row r="16738">
          <cell r="B16738">
            <v>900175</v>
          </cell>
          <cell r="C16738" t="str">
            <v>SAFRA ASSET CORRETORA DE TITULOS E VALORES MOBILIARIOS S.A.</v>
          </cell>
          <cell r="D16738" t="str">
            <v>SAFRA ASSET CORRETORA DE TITULOS E VALORES MOBILIARIOS S.A.</v>
          </cell>
          <cell r="E16738" t="str">
            <v>SAFRA ASSET MANAGEMENT LTDA</v>
          </cell>
        </row>
        <row r="16739">
          <cell r="B16739">
            <v>900178</v>
          </cell>
          <cell r="C16739" t="str">
            <v>SAFRA ASSET CORRETORA DE TITULOS E VALORES MOBILIARIOS S.A.</v>
          </cell>
          <cell r="D16739" t="str">
            <v>SAFRA ASSET CORRETORA DE TITULOS E VALORES MOBILIARIOS S.A.</v>
          </cell>
          <cell r="E16739" t="str">
            <v>SAFRA ASSET MANAGEMENT LTDA</v>
          </cell>
        </row>
        <row r="16740">
          <cell r="B16740">
            <v>900179</v>
          </cell>
          <cell r="C16740" t="str">
            <v>SAFRA ASSET CORRETORA DE TITULOS E VALORES MOBILIARIOS S.A.</v>
          </cell>
          <cell r="D16740" t="str">
            <v>A900179</v>
          </cell>
          <cell r="E16740" t="str">
            <v>SAFRA ASSET MANAGEMENT LTDA</v>
          </cell>
        </row>
        <row r="16741">
          <cell r="B16741">
            <v>90018</v>
          </cell>
          <cell r="C16741" t="str">
            <v>CITIBANK DTVM S/A</v>
          </cell>
          <cell r="D16741" t="str">
            <v>CITIBANK DTVM S/A</v>
          </cell>
          <cell r="E16741" t="str">
            <v>CITIBANK DTVM S/A</v>
          </cell>
        </row>
        <row r="16742">
          <cell r="B16742">
            <v>900194</v>
          </cell>
          <cell r="C16742" t="str">
            <v>DEUTSCHE BANK CV SA</v>
          </cell>
          <cell r="D16742" t="str">
            <v>DEUTSCHE BANK CV SA</v>
          </cell>
          <cell r="E16742" t="str">
            <v>DEUTSCHE BANK S/A</v>
          </cell>
        </row>
        <row r="16743">
          <cell r="B16743">
            <v>90020</v>
          </cell>
          <cell r="C16743" t="str">
            <v>CITIGROUP GLOBAL MARKETS BRASIL CCTVM S/A</v>
          </cell>
          <cell r="D16743" t="str">
            <v>A90020</v>
          </cell>
          <cell r="E16743" t="str">
            <v>BANCO CITIBANK S/A</v>
          </cell>
        </row>
        <row r="16744">
          <cell r="B16744">
            <v>900200</v>
          </cell>
          <cell r="C16744" t="str">
            <v>PLANNER CV S/A</v>
          </cell>
          <cell r="D16744" t="str">
            <v>PLANNER CV S/A</v>
          </cell>
          <cell r="E16744" t="str">
            <v>PLANNER CV S/A</v>
          </cell>
        </row>
        <row r="16745">
          <cell r="B16745">
            <v>900202</v>
          </cell>
          <cell r="C16745" t="str">
            <v>BTG PACTUAL CM LTDA</v>
          </cell>
          <cell r="D16745" t="str">
            <v>BTG PACTUAL CM LTDA</v>
          </cell>
          <cell r="E16745" t="str">
            <v>BANCO BTG PACTUAL S/A</v>
          </cell>
        </row>
        <row r="16746">
          <cell r="B16746">
            <v>900205</v>
          </cell>
          <cell r="C16746" t="str">
            <v>INTRA S/A CORRETORA DE CAMBIO E VALORES</v>
          </cell>
          <cell r="D16746" t="str">
            <v>205*</v>
          </cell>
          <cell r="E16746" t="str">
            <v>INTRA S/A CORRETORA DE CAMBIO E VALORES</v>
          </cell>
        </row>
        <row r="16747">
          <cell r="B16747">
            <v>90021</v>
          </cell>
          <cell r="C16747" t="str">
            <v>CITIGROUP GLOBAL MARKETS BRASIL CCTVM S/A</v>
          </cell>
          <cell r="D16747" t="str">
            <v>A90021</v>
          </cell>
          <cell r="E16747" t="str">
            <v>BANCO CITIBANK S/A</v>
          </cell>
        </row>
        <row r="16748">
          <cell r="B16748">
            <v>900213</v>
          </cell>
          <cell r="C16748" t="str">
            <v>ICAP DO BRASIL CTVM LTDA ( ATUAL TULLET)</v>
          </cell>
          <cell r="D16748" t="str">
            <v>ICAP DO BRASIL CTVM LTDA ( ATUAL TULLET)</v>
          </cell>
          <cell r="E16748" t="str">
            <v>ICAP DO BRASIL CTVM LTDA ( ATUAL TULLET)</v>
          </cell>
        </row>
        <row r="16749">
          <cell r="B16749">
            <v>900214</v>
          </cell>
          <cell r="C16749" t="str">
            <v>CRUZEIRO DO SUL S/A CVM</v>
          </cell>
          <cell r="D16749" t="str">
            <v>CRUZEIRO DO SUL S/A CVM</v>
          </cell>
          <cell r="E16749" t="str">
            <v>CRUZEIRO DO SUL S/A CVM</v>
          </cell>
        </row>
        <row r="16750">
          <cell r="B16750">
            <v>900215</v>
          </cell>
          <cell r="C16750" t="str">
            <v>PROSPER APLICAÃ‡AO CM &amp; FUTUROS LTDA</v>
          </cell>
          <cell r="D16750" t="str">
            <v>PROSPER APLICAÃ‡AO CM &amp; FUTUROS LTDA</v>
          </cell>
          <cell r="E16750" t="str">
            <v>PROSPER APLICAÃ‡AO CM &amp; FUTUROS LTDA</v>
          </cell>
        </row>
        <row r="16751">
          <cell r="B16751">
            <v>900217</v>
          </cell>
          <cell r="C16751" t="str">
            <v>HENCORP COMMCOR CM LTDA</v>
          </cell>
          <cell r="D16751" t="str">
            <v>HENCORP COMMCOR CM LTDA</v>
          </cell>
          <cell r="E16751" t="str">
            <v>HENCORP COMMCOR CM LTDA</v>
          </cell>
        </row>
        <row r="16752">
          <cell r="B16752">
            <v>900220</v>
          </cell>
          <cell r="C16752" t="str">
            <v>FATOR S/A CV</v>
          </cell>
          <cell r="D16752" t="str">
            <v>FATOR S/A CV</v>
          </cell>
          <cell r="E16752" t="str">
            <v>FATOR S/A CV</v>
          </cell>
        </row>
        <row r="16753">
          <cell r="B16753">
            <v>900225</v>
          </cell>
          <cell r="C16753" t="str">
            <v>BRASCAN S/A CTV</v>
          </cell>
          <cell r="D16753" t="str">
            <v>76*</v>
          </cell>
          <cell r="E16753" t="str">
            <v>BRASCAN S/A CTV</v>
          </cell>
        </row>
        <row r="16754">
          <cell r="B16754">
            <v>900227</v>
          </cell>
          <cell r="C16754" t="str">
            <v>GRADUAL CCTVM S/A</v>
          </cell>
          <cell r="D16754" t="str">
            <v>GRADUAL CCTVM S/A</v>
          </cell>
          <cell r="E16754" t="str">
            <v>GRADUAL CCTVM S/A</v>
          </cell>
        </row>
        <row r="16755">
          <cell r="B16755">
            <v>900230</v>
          </cell>
          <cell r="C16755" t="str">
            <v>FATOR S/A CV</v>
          </cell>
          <cell r="D16755" t="str">
            <v>FATOR S/A CV</v>
          </cell>
          <cell r="E16755" t="str">
            <v>SDA GESTAO DE RECURSOS LTDA</v>
          </cell>
        </row>
        <row r="16756">
          <cell r="B16756">
            <v>900236</v>
          </cell>
          <cell r="C16756" t="str">
            <v>DIMARCO DTVM S/A</v>
          </cell>
          <cell r="D16756" t="str">
            <v>DIMARCO DTVM S/A</v>
          </cell>
          <cell r="E16756" t="str">
            <v>DIMARCO DTVM S/A</v>
          </cell>
        </row>
        <row r="16757">
          <cell r="B16757">
            <v>900239</v>
          </cell>
          <cell r="C16757" t="str">
            <v>COINVALORES CCVM LTDA</v>
          </cell>
          <cell r="D16757" t="str">
            <v>COINVALORES CCVM LTDA</v>
          </cell>
          <cell r="E16757" t="str">
            <v>COINVALORES CCVM LTDA</v>
          </cell>
        </row>
        <row r="16758">
          <cell r="B16758">
            <v>900254</v>
          </cell>
          <cell r="C16758" t="str">
            <v>BANCO BTG PACTUAL S/A</v>
          </cell>
          <cell r="D16758">
            <v>15503</v>
          </cell>
          <cell r="E16758" t="str">
            <v>BANCO BTG PACTUAL S/A</v>
          </cell>
        </row>
        <row r="16759">
          <cell r="B16759">
            <v>900257</v>
          </cell>
          <cell r="C16759" t="str">
            <v>HSBC CTVM S/A ATUAL BRADESCO-KIRTON</v>
          </cell>
          <cell r="D16759" t="str">
            <v>HSBC CTVM S/A ATUAL BRADESCO-KIRTON</v>
          </cell>
          <cell r="E16759" t="str">
            <v>HSBC CTVM S/A ATUAL BRADESCO-KIRTON</v>
          </cell>
        </row>
        <row r="16760">
          <cell r="B16760">
            <v>900265</v>
          </cell>
          <cell r="C16760" t="str">
            <v>BTG PACTUAL CM LTDA</v>
          </cell>
          <cell r="D16760" t="str">
            <v>BTG PACTUAL CM LTDA</v>
          </cell>
          <cell r="E16760" t="str">
            <v>BTG PACTUAL CM LTDA</v>
          </cell>
        </row>
        <row r="16761">
          <cell r="B16761">
            <v>900275</v>
          </cell>
          <cell r="C16761" t="str">
            <v>J SAFRA CVC LTDA</v>
          </cell>
          <cell r="D16761" t="str">
            <v>J SAFRA CVC LTDA</v>
          </cell>
          <cell r="E16761" t="str">
            <v>J SAFRA CVC LTDA</v>
          </cell>
        </row>
        <row r="16762">
          <cell r="B16762" t="str">
            <v>M36445381000160</v>
          </cell>
          <cell r="C16762" t="str">
            <v>XP PE GESTÃƒO DE RECURSOS LTDA.</v>
          </cell>
          <cell r="D16762" t="str">
            <v>XP PE GESTÃƒO DE RECURSOS LTDA.</v>
          </cell>
          <cell r="E16762" t="str">
            <v>XP GESTAO DE RECURSOS LTDA</v>
          </cell>
        </row>
        <row r="16763">
          <cell r="B16763">
            <v>900300</v>
          </cell>
          <cell r="C16763" t="str">
            <v>PLANNER CV S/A</v>
          </cell>
          <cell r="D16763" t="str">
            <v>PLANNER CV S/A</v>
          </cell>
          <cell r="E16763" t="str">
            <v>PLANNER CV S/A</v>
          </cell>
        </row>
        <row r="16764">
          <cell r="B16764">
            <v>90037</v>
          </cell>
          <cell r="C16764" t="str">
            <v>UM INVESTIMENTOS S/A CTVM</v>
          </cell>
          <cell r="D16764" t="str">
            <v>UM INVESTIMENTOS S/A CTVM</v>
          </cell>
          <cell r="E16764" t="str">
            <v>UM INVESTIMENTOS S/A CTVM</v>
          </cell>
        </row>
        <row r="16765">
          <cell r="B16765">
            <v>90040</v>
          </cell>
          <cell r="C16765" t="str">
            <v>MORGAN STANLEY CTVM S/A</v>
          </cell>
          <cell r="D16765" t="str">
            <v>MORGAN STANLEY CTVM S/A</v>
          </cell>
          <cell r="E16765" t="str">
            <v>MORGAN STANLEY CTVM S/A</v>
          </cell>
        </row>
        <row r="16766">
          <cell r="B16766">
            <v>900400</v>
          </cell>
          <cell r="C16766" t="str">
            <v>PLANNER CV S/A</v>
          </cell>
          <cell r="D16766" t="str">
            <v>PLANNER CV S/A</v>
          </cell>
          <cell r="E16766" t="str">
            <v>PLANNER CV S/A</v>
          </cell>
        </row>
        <row r="16767">
          <cell r="B16767">
            <v>900418</v>
          </cell>
          <cell r="C16767" t="str">
            <v>ATIVA S/A CTCV</v>
          </cell>
          <cell r="D16767">
            <v>311</v>
          </cell>
          <cell r="E16767" t="str">
            <v>ATIVA S/A CTCV</v>
          </cell>
        </row>
        <row r="16768">
          <cell r="B16768">
            <v>90051</v>
          </cell>
          <cell r="C16768" t="str">
            <v>CITIGROUP GLOBAL MARKETS BRASIL CCTVM S/A</v>
          </cell>
          <cell r="D16768" t="str">
            <v>CITIGROUP GLOBAL MARKETS BRASIL CCTVM S/A</v>
          </cell>
          <cell r="E16768" t="str">
            <v>BANCO CITIBANK S/A</v>
          </cell>
        </row>
        <row r="16769">
          <cell r="B16769">
            <v>900552</v>
          </cell>
          <cell r="C16769" t="str">
            <v>CITIBANK DTVM S/A</v>
          </cell>
          <cell r="D16769" t="str">
            <v>CITIBANK DTVM S/A</v>
          </cell>
          <cell r="E16769" t="str">
            <v>CITIBANK DTVM S/A</v>
          </cell>
        </row>
        <row r="16770">
          <cell r="B16770">
            <v>900558</v>
          </cell>
          <cell r="C16770" t="str">
            <v>CITIBANK DTVM S/A</v>
          </cell>
          <cell r="D16770" t="str">
            <v>CITIBANK DTVM S/A</v>
          </cell>
          <cell r="E16770" t="str">
            <v>CITIBANK DTVM S/A</v>
          </cell>
        </row>
        <row r="16771">
          <cell r="B16771">
            <v>900559</v>
          </cell>
          <cell r="C16771" t="str">
            <v>CITIBANK DTVM S/A</v>
          </cell>
          <cell r="D16771" t="str">
            <v>CITIBANK DTVM S/A</v>
          </cell>
          <cell r="E16771" t="str">
            <v>CITIBANK DTVM S/A</v>
          </cell>
        </row>
        <row r="16772">
          <cell r="B16772">
            <v>9006</v>
          </cell>
          <cell r="C16772" t="str">
            <v>MORGAN STANLEY CTVM S/A</v>
          </cell>
          <cell r="D16772" t="str">
            <v>A9006</v>
          </cell>
          <cell r="E16772" t="str">
            <v>MORGAN STANLEY CTVM S/A</v>
          </cell>
        </row>
        <row r="16773">
          <cell r="B16773">
            <v>90060</v>
          </cell>
          <cell r="C16773" t="str">
            <v>SANTANDER S/A CCT</v>
          </cell>
          <cell r="D16773" t="str">
            <v>SANTANDER S/A CCT</v>
          </cell>
          <cell r="E16773" t="str">
            <v>SANTANDER S/A CCT</v>
          </cell>
        </row>
        <row r="16774">
          <cell r="B16774">
            <v>90062</v>
          </cell>
          <cell r="C16774" t="str">
            <v>BB GESTAO DE RECURSOS DTVM LTDA</v>
          </cell>
          <cell r="D16774" t="str">
            <v>BB GESTAO DE RECURSOS DTVM LTDA</v>
          </cell>
          <cell r="E16774" t="str">
            <v>BANCO DO BRASIL S/A</v>
          </cell>
        </row>
        <row r="16775">
          <cell r="B16775">
            <v>900623</v>
          </cell>
          <cell r="C16775" t="str">
            <v>SANTANDER S/A CCT</v>
          </cell>
          <cell r="D16775" t="str">
            <v>66.2</v>
          </cell>
          <cell r="E16775" t="str">
            <v>SANTANDER S/A CCT</v>
          </cell>
        </row>
        <row r="16776">
          <cell r="B16776">
            <v>900624</v>
          </cell>
          <cell r="C16776" t="str">
            <v>SANTANDER S/A CCT</v>
          </cell>
          <cell r="D16776" t="str">
            <v>SANTANDER S/A CCT</v>
          </cell>
        </row>
        <row r="16777">
          <cell r="B16777">
            <v>900649</v>
          </cell>
          <cell r="C16777" t="str">
            <v>BTG PACTUAL CM LTDA</v>
          </cell>
          <cell r="D16777" t="str">
            <v>A900649</v>
          </cell>
          <cell r="E16777" t="str">
            <v>BTG PACTUAL CM LTDA</v>
          </cell>
        </row>
        <row r="16778">
          <cell r="B16778">
            <v>900663</v>
          </cell>
          <cell r="C16778" t="str">
            <v>LINK CM LTDA</v>
          </cell>
          <cell r="D16778">
            <v>900633</v>
          </cell>
          <cell r="E16778" t="str">
            <v>LINK CM LTDA</v>
          </cell>
        </row>
        <row r="16779">
          <cell r="B16779">
            <v>900734</v>
          </cell>
          <cell r="C16779" t="str">
            <v>ITAU CORRETORA DE VALORES S.A.</v>
          </cell>
          <cell r="D16779" t="str">
            <v>ITAU CORRETORA DE VALORES S.A.</v>
          </cell>
          <cell r="E16779" t="str">
            <v>ITAU CV S/A</v>
          </cell>
        </row>
        <row r="16780">
          <cell r="B16780">
            <v>900901</v>
          </cell>
          <cell r="C16780" t="str">
            <v>CGD INVESTIMENTOS CORRETORA DE VALORES E CAMBIO S/A</v>
          </cell>
          <cell r="D16780" t="str">
            <v>CGD INVESTIMENTOS CORRETORA DE VALORES E CAMBIO S/A</v>
          </cell>
          <cell r="E16780" t="str">
            <v>CGD INVESTIMENTOS CORRETORA DE VALORES E CAMBIO S/A</v>
          </cell>
        </row>
        <row r="16781">
          <cell r="B16781">
            <v>900909</v>
          </cell>
          <cell r="C16781" t="str">
            <v>PROSPER S/A CVC</v>
          </cell>
          <cell r="D16781" t="str">
            <v>PROSPER S/A CVC</v>
          </cell>
          <cell r="E16781" t="str">
            <v>PROSPER S/A CVC</v>
          </cell>
        </row>
        <row r="16782">
          <cell r="B16782">
            <v>900911</v>
          </cell>
          <cell r="C16782" t="str">
            <v>PROSPER APLICAÃ‡AO CM &amp; FUTUROS LTDA</v>
          </cell>
          <cell r="D16782" t="str">
            <v>PROSPER APLICAÃ‡AO CM &amp; FUTUROS LTDA</v>
          </cell>
          <cell r="E16782" t="str">
            <v>PROSPER APLICAÃ‡AO CM &amp; FUTUROS LTDA</v>
          </cell>
        </row>
        <row r="16783">
          <cell r="B16783">
            <v>900912</v>
          </cell>
          <cell r="C16783" t="str">
            <v>PROSPER S/A CVC</v>
          </cell>
          <cell r="D16783" t="str">
            <v>PROSPER S/A CVC</v>
          </cell>
          <cell r="E16783" t="str">
            <v>PROSPER S/A CVC</v>
          </cell>
        </row>
        <row r="16784">
          <cell r="B16784">
            <v>900913</v>
          </cell>
          <cell r="C16784" t="str">
            <v>PROSPER APLICAÃ‡AO CM &amp; FUTUROS LTDA</v>
          </cell>
          <cell r="D16784" t="str">
            <v>PROSPER APLICAÃ‡AO CM &amp; FUTUROS LTDA</v>
          </cell>
          <cell r="E16784" t="str">
            <v>PROSPER APLICAÃ‡AO CM &amp; FUTUROS LTDA</v>
          </cell>
        </row>
        <row r="16785">
          <cell r="B16785">
            <v>900914</v>
          </cell>
          <cell r="C16785" t="str">
            <v>PROSPER APLICAÃ‡AO CM &amp; FUTUROS LTDA</v>
          </cell>
          <cell r="D16785" t="str">
            <v>PROSPER APLICAÃ‡AO CM &amp; FUTUROS LTDA</v>
          </cell>
          <cell r="E16785" t="str">
            <v>PROSPER APLICAÃ‡AO CM &amp; FUTUROS LTDA</v>
          </cell>
        </row>
        <row r="16786">
          <cell r="B16786">
            <v>900951</v>
          </cell>
          <cell r="C16786" t="str">
            <v>CREDIT SUISSE HEDGING GRIFFO CV S/A</v>
          </cell>
          <cell r="D16786">
            <v>330</v>
          </cell>
          <cell r="E16786" t="str">
            <v>CREDIT SUISSE HEDGING-GRIFFO WEALTH MANAGEMENT S/A</v>
          </cell>
        </row>
        <row r="16787">
          <cell r="B16787">
            <v>90100</v>
          </cell>
          <cell r="C16787" t="str">
            <v>BB GESTAO DE RECURSOS DTVM LTDA</v>
          </cell>
          <cell r="D16787" t="str">
            <v>BB GESTAO DE RECURSOS DTVM LTDA</v>
          </cell>
          <cell r="E16787" t="str">
            <v>BANCO DO BRASIL S/A</v>
          </cell>
        </row>
        <row r="16788">
          <cell r="B16788">
            <v>937924</v>
          </cell>
          <cell r="C16788" t="str">
            <v>UBS BRASIL CCTVM S/A (ANTIGA LINK S/A CCTVM)</v>
          </cell>
          <cell r="D16788" t="str">
            <v>A937924</v>
          </cell>
          <cell r="E16788" t="str">
            <v>UBS AG, LONDON BRANCH NOVO</v>
          </cell>
        </row>
        <row r="16789">
          <cell r="B16789">
            <v>937925</v>
          </cell>
          <cell r="C16789" t="str">
            <v>UBS BRASIL CCTVM S/A (ANTIGA LINK S/A CCTVM)</v>
          </cell>
          <cell r="D16789" t="str">
            <v>UBS BRASIL CCTVM S/A (ANTIGA LINK S/A CCTVM)</v>
          </cell>
          <cell r="E16789" t="str">
            <v>UBS AG, LONDON BRANCH NOVO</v>
          </cell>
        </row>
        <row r="16790">
          <cell r="B16790">
            <v>90107</v>
          </cell>
          <cell r="C16790" t="str">
            <v>BRADESCO S/A CTVM</v>
          </cell>
          <cell r="D16790" t="str">
            <v>A90107</v>
          </cell>
          <cell r="E16790" t="str">
            <v>BRADESCO SA CORRETORA DE TITULOS E VALORES MOBILIARIOS</v>
          </cell>
        </row>
        <row r="16791">
          <cell r="B16791">
            <v>90108</v>
          </cell>
          <cell r="C16791" t="str">
            <v>BRADESCO S/A CTVM</v>
          </cell>
          <cell r="D16791" t="str">
            <v>BRADESCO S/A CTVM</v>
          </cell>
          <cell r="E16791" t="str">
            <v>BRADESCO SA CORRETORA DE TITULOS E VALORES MOBILIARIOS</v>
          </cell>
        </row>
        <row r="16792">
          <cell r="B16792">
            <v>90110</v>
          </cell>
          <cell r="C16792" t="str">
            <v>SLW CVC LTDA</v>
          </cell>
          <cell r="D16792" t="str">
            <v>SLW CVC LTDA</v>
          </cell>
          <cell r="E16792" t="str">
            <v>SLW CVC LTDA</v>
          </cell>
        </row>
        <row r="16793">
          <cell r="B16793">
            <v>9011202</v>
          </cell>
          <cell r="C16793" t="str">
            <v>BTG PACTUAL CM LTDA</v>
          </cell>
          <cell r="D16793" t="str">
            <v>BTG PACTUAL CM LTDA</v>
          </cell>
          <cell r="E16793" t="str">
            <v>BANCO BTG PACTUAL S/A</v>
          </cell>
        </row>
        <row r="16794">
          <cell r="B16794">
            <v>9011205</v>
          </cell>
          <cell r="C16794" t="str">
            <v>BTG PACTUAL CM LTDA</v>
          </cell>
          <cell r="D16794" t="str">
            <v>BTG PACTUAL CM LTDA</v>
          </cell>
          <cell r="E16794" t="str">
            <v>BTG PACTUAL CM LTDA</v>
          </cell>
        </row>
        <row r="16795">
          <cell r="B16795">
            <v>90113</v>
          </cell>
          <cell r="C16795" t="str">
            <v>CONCORDIA S/A CVMCC</v>
          </cell>
          <cell r="D16795" t="str">
            <v>CONCORDIA S/A CVMCC</v>
          </cell>
          <cell r="E16795" t="str">
            <v>CONCORDIA S/A CVMCC</v>
          </cell>
        </row>
        <row r="16796">
          <cell r="B16796">
            <v>90114</v>
          </cell>
          <cell r="C16796" t="str">
            <v>CONCORDIA S/A CVMCC</v>
          </cell>
          <cell r="D16796" t="str">
            <v>CONCORDIA S/A CVMCC</v>
          </cell>
          <cell r="E16796" t="str">
            <v>CONCORDIA S/A CVMCC</v>
          </cell>
        </row>
        <row r="16797">
          <cell r="B16797">
            <v>901147</v>
          </cell>
          <cell r="C16797" t="str">
            <v>BANCO BTG PACTUAL S/A</v>
          </cell>
          <cell r="D16797" t="str">
            <v>BANCO BTG PACTUAL S/A</v>
          </cell>
          <cell r="E16797" t="str">
            <v>BANCO BTG PACTUAL S/A</v>
          </cell>
        </row>
        <row r="16798">
          <cell r="B16798">
            <v>90115</v>
          </cell>
          <cell r="C16798" t="str">
            <v>GLOBALVEST BLUE FIF</v>
          </cell>
          <cell r="D16798" t="str">
            <v>GLOBALVEST BLUE FIF</v>
          </cell>
          <cell r="E16798" t="str">
            <v>GLOBALVEST BLUE FIF</v>
          </cell>
        </row>
        <row r="16799">
          <cell r="B16799">
            <v>90116</v>
          </cell>
          <cell r="C16799" t="str">
            <v>CONCORDIA S/A CVMCC</v>
          </cell>
          <cell r="D16799" t="str">
            <v>CONCORDIA S/A CVMCC</v>
          </cell>
          <cell r="E16799" t="str">
            <v>CONCORDIA S/A CVMCC</v>
          </cell>
        </row>
        <row r="16800">
          <cell r="B16800">
            <v>901166</v>
          </cell>
          <cell r="C16800" t="str">
            <v>BRASCAN S/A CTV</v>
          </cell>
          <cell r="D16800" t="str">
            <v>BRASCAN S/A CTV</v>
          </cell>
          <cell r="E16800" t="str">
            <v>BRASCAN S/A CTV</v>
          </cell>
        </row>
        <row r="16801">
          <cell r="B16801">
            <v>901172</v>
          </cell>
          <cell r="C16801" t="str">
            <v>BRADESCO S/A CTVM</v>
          </cell>
          <cell r="D16801" t="str">
            <v>BRADESCO S/A CTVM</v>
          </cell>
          <cell r="E16801" t="str">
            <v>BRADESCO SA CORRETORA DE TITULOS E VALORES MOBILIARIOS</v>
          </cell>
        </row>
        <row r="16802">
          <cell r="B16802">
            <v>901183</v>
          </cell>
          <cell r="C16802" t="str">
            <v>TULLETT PREBON BRASIL CVC (ANTIGA CONVENÃ‡AO)</v>
          </cell>
          <cell r="D16802" t="str">
            <v>A901183</v>
          </cell>
          <cell r="E16802" t="str">
            <v>TULLETT PREBON BRASIL CVC LTDA</v>
          </cell>
        </row>
        <row r="16803">
          <cell r="B16803">
            <v>90119</v>
          </cell>
          <cell r="C16803" t="str">
            <v>BTG PACTUAL CM LTDA</v>
          </cell>
          <cell r="D16803" t="str">
            <v>BTG PACTUAL CM LTDA</v>
          </cell>
          <cell r="E16803" t="str">
            <v>BTG PACTUAL CM LTDA</v>
          </cell>
        </row>
        <row r="16804">
          <cell r="B16804">
            <v>82665</v>
          </cell>
          <cell r="C16804" t="str">
            <v>UPGRADE FUNDO DE INVESTIMENTO FINANCEIRO EM ACOES</v>
          </cell>
          <cell r="D16804" t="str">
            <v>UPGRADE FUNDO DE INVESTIMENTO FINANCEIRO EM ACOES</v>
          </cell>
          <cell r="E16804" t="str">
            <v>PLURAL INVESTIMENTOS GESTAO DE RECURSOS LTDA</v>
          </cell>
        </row>
        <row r="16805">
          <cell r="B16805">
            <v>901200</v>
          </cell>
          <cell r="C16805" t="str">
            <v>BTG PACTUAL CM LTDA</v>
          </cell>
          <cell r="D16805" t="str">
            <v>BTG PACTUAL CM LTDA</v>
          </cell>
          <cell r="E16805" t="str">
            <v>BTG PACTUAL CM LTDA</v>
          </cell>
        </row>
        <row r="16806">
          <cell r="B16806">
            <v>901201</v>
          </cell>
          <cell r="C16806" t="str">
            <v>J SAFRA CVC LTDA</v>
          </cell>
          <cell r="D16806">
            <v>1201</v>
          </cell>
          <cell r="E16806" t="str">
            <v>J SAFRA CVC LTDA</v>
          </cell>
        </row>
        <row r="16807">
          <cell r="B16807">
            <v>901202</v>
          </cell>
          <cell r="C16807" t="str">
            <v>J SAFRA CVC LTDA</v>
          </cell>
          <cell r="D16807" t="str">
            <v>80*</v>
          </cell>
          <cell r="E16807" t="str">
            <v>J SAFRA CVC LTDA</v>
          </cell>
        </row>
        <row r="16808">
          <cell r="B16808">
            <v>901203</v>
          </cell>
          <cell r="C16808" t="str">
            <v>J SAFRA CVC LTDA</v>
          </cell>
          <cell r="D16808">
            <v>1203</v>
          </cell>
          <cell r="E16808" t="str">
            <v>J SAFRA CVC LTDA</v>
          </cell>
        </row>
        <row r="16809">
          <cell r="B16809">
            <v>901204</v>
          </cell>
          <cell r="C16809" t="str">
            <v>J SAFRA CVC LTDA</v>
          </cell>
          <cell r="D16809">
            <v>1204</v>
          </cell>
          <cell r="E16809" t="str">
            <v>J SAFRA CVC LTDA</v>
          </cell>
        </row>
        <row r="16810">
          <cell r="B16810">
            <v>901205</v>
          </cell>
          <cell r="C16810" t="str">
            <v>J SAFRA CVC LTDA</v>
          </cell>
          <cell r="D16810" t="str">
            <v>J SAFRA CVC LTDA</v>
          </cell>
          <cell r="E16810" t="str">
            <v>J SAFRA CVC LTDA</v>
          </cell>
        </row>
        <row r="16811">
          <cell r="B16811">
            <v>901206</v>
          </cell>
          <cell r="C16811" t="str">
            <v>J SAFRA CVC LTDA</v>
          </cell>
          <cell r="D16811" t="str">
            <v>59*</v>
          </cell>
          <cell r="E16811" t="str">
            <v>J SAFRA CVC LTDA</v>
          </cell>
        </row>
        <row r="16812">
          <cell r="B16812">
            <v>901207</v>
          </cell>
          <cell r="C16812" t="str">
            <v>J SAFRA CVC LTDA</v>
          </cell>
          <cell r="D16812">
            <v>1207</v>
          </cell>
          <cell r="E16812" t="str">
            <v>J SAFRA CVC LTDA</v>
          </cell>
        </row>
        <row r="16813">
          <cell r="B16813">
            <v>901208</v>
          </cell>
          <cell r="C16813" t="str">
            <v>J SAFRA CVC LTDA</v>
          </cell>
          <cell r="D16813">
            <v>1208</v>
          </cell>
          <cell r="E16813" t="str">
            <v>J SAFRA CVC LTDA</v>
          </cell>
        </row>
        <row r="16814">
          <cell r="B16814">
            <v>901209</v>
          </cell>
          <cell r="C16814" t="str">
            <v>J SAFRA CVC LTDA</v>
          </cell>
          <cell r="D16814">
            <v>1209</v>
          </cell>
          <cell r="E16814" t="str">
            <v>J SAFRA CVC LTDA</v>
          </cell>
        </row>
        <row r="16815">
          <cell r="B16815">
            <v>901210</v>
          </cell>
          <cell r="C16815" t="str">
            <v>J SAFRA CVC LTDA</v>
          </cell>
          <cell r="D16815">
            <v>1210</v>
          </cell>
          <cell r="E16815" t="str">
            <v>J SAFRA CVC LTDA</v>
          </cell>
        </row>
        <row r="16816">
          <cell r="B16816">
            <v>901212</v>
          </cell>
          <cell r="C16816" t="str">
            <v>J SAFRA CVC LTDA</v>
          </cell>
          <cell r="D16816" t="str">
            <v>59.2</v>
          </cell>
          <cell r="E16816" t="str">
            <v>J SAFRA CVC LTDA</v>
          </cell>
        </row>
        <row r="16817">
          <cell r="B16817">
            <v>901214</v>
          </cell>
          <cell r="C16817" t="str">
            <v>J SAFRA CVC LTDA</v>
          </cell>
          <cell r="D16817">
            <v>1214</v>
          </cell>
          <cell r="E16817" t="str">
            <v>J SAFRA CVC LTDA</v>
          </cell>
        </row>
        <row r="16818">
          <cell r="B16818">
            <v>901215</v>
          </cell>
          <cell r="C16818" t="str">
            <v>J SAFRA CVC LTDA</v>
          </cell>
          <cell r="D16818">
            <v>594</v>
          </cell>
          <cell r="E16818" t="str">
            <v>J SAFRA CVC LTDA</v>
          </cell>
        </row>
        <row r="16819">
          <cell r="B16819">
            <v>901217</v>
          </cell>
          <cell r="C16819" t="str">
            <v>J SAFRA CVC LTDA</v>
          </cell>
          <cell r="D16819">
            <v>1217</v>
          </cell>
          <cell r="E16819" t="str">
            <v>J SAFRA CVC LTDA</v>
          </cell>
        </row>
        <row r="16820">
          <cell r="B16820">
            <v>901218</v>
          </cell>
          <cell r="C16820" t="str">
            <v>J SAFRA CVC LTDA</v>
          </cell>
          <cell r="D16820">
            <v>1218</v>
          </cell>
          <cell r="E16820" t="str">
            <v>J SAFRA CVC LTDA</v>
          </cell>
        </row>
        <row r="16821">
          <cell r="B16821">
            <v>901219</v>
          </cell>
          <cell r="C16821" t="str">
            <v>J SAFRA CVC LTDA</v>
          </cell>
          <cell r="D16821">
            <v>1219</v>
          </cell>
          <cell r="E16821" t="str">
            <v>J SAFRA CVC LTDA</v>
          </cell>
        </row>
        <row r="16822">
          <cell r="B16822">
            <v>901220</v>
          </cell>
          <cell r="C16822" t="str">
            <v>J SAFRA CVC LTDA</v>
          </cell>
          <cell r="D16822">
            <v>1220</v>
          </cell>
          <cell r="E16822" t="str">
            <v>J SAFRA CVC LTDA</v>
          </cell>
        </row>
        <row r="16823">
          <cell r="B16823">
            <v>901225</v>
          </cell>
          <cell r="C16823" t="str">
            <v>BRADESCO S/A CTVM</v>
          </cell>
          <cell r="D16823" t="str">
            <v>BRADESCO S/A CTVM</v>
          </cell>
          <cell r="E16823" t="str">
            <v>BRADESCO SA CORRETORA DE TITULOS E VALORES MOBILIARIOS</v>
          </cell>
        </row>
        <row r="16824">
          <cell r="B16824">
            <v>937926</v>
          </cell>
          <cell r="C16824" t="str">
            <v>UBS BRASIL CCTVM S/A (ANTIGA LINK S/A CCTVM)</v>
          </cell>
          <cell r="D16824" t="str">
            <v>A937926</v>
          </cell>
          <cell r="E16824" t="str">
            <v>UBS AG, LONDON BRANCH NOVO</v>
          </cell>
        </row>
        <row r="16825">
          <cell r="B16825">
            <v>901240</v>
          </cell>
          <cell r="C16825" t="str">
            <v>J SAFRA CVC LTDA</v>
          </cell>
          <cell r="D16825" t="str">
            <v>J SAFRA CVC LTDA</v>
          </cell>
          <cell r="E16825" t="str">
            <v>J SAFRA CVC LTDA</v>
          </cell>
        </row>
        <row r="16826">
          <cell r="B16826">
            <v>90125</v>
          </cell>
          <cell r="C16826" t="str">
            <v>MERRILL LYNCH S/A CTVM</v>
          </cell>
          <cell r="D16826" t="str">
            <v>A90125</v>
          </cell>
          <cell r="E16826" t="str">
            <v>MERRILL LYNCH S/A CTVM</v>
          </cell>
        </row>
        <row r="16827">
          <cell r="B16827">
            <v>901255</v>
          </cell>
          <cell r="C16827" t="str">
            <v>FLOW CM LTDA</v>
          </cell>
          <cell r="D16827">
            <v>1255</v>
          </cell>
          <cell r="E16827" t="str">
            <v>FLOW CM LTDA</v>
          </cell>
        </row>
        <row r="16828">
          <cell r="B16828">
            <v>937927</v>
          </cell>
          <cell r="C16828" t="str">
            <v>UBS BRASIL CCTVM S/A (ANTIGA LINK S/A CCTVM)</v>
          </cell>
          <cell r="D16828" t="str">
            <v>A937927</v>
          </cell>
          <cell r="E16828" t="str">
            <v>UBS AG, LONDON BRANCH NOVO</v>
          </cell>
        </row>
        <row r="16829">
          <cell r="B16829">
            <v>90127</v>
          </cell>
          <cell r="C16829" t="str">
            <v>SLW CVC LTDA</v>
          </cell>
          <cell r="D16829" t="str">
            <v>SLW CVC LTDA</v>
          </cell>
          <cell r="E16829" t="str">
            <v>SLW CVC LTDA</v>
          </cell>
        </row>
        <row r="16830">
          <cell r="B16830">
            <v>901312</v>
          </cell>
          <cell r="C16830" t="str">
            <v>BANCO BTG PACTUAL S/A</v>
          </cell>
          <cell r="D16830" t="str">
            <v>BANCO BTG PACTUAL S/A</v>
          </cell>
          <cell r="E16830" t="str">
            <v>BANCO BTG PACTUAL S/A</v>
          </cell>
        </row>
        <row r="16831">
          <cell r="B16831">
            <v>901313</v>
          </cell>
          <cell r="C16831" t="str">
            <v>ICAP DO BRASIL CTVM LTDA ( ATUAL TULLET)</v>
          </cell>
          <cell r="D16831" t="str">
            <v>ICAP DO BRASIL CTVM LTDA ( ATUAL TULLET)</v>
          </cell>
          <cell r="E16831" t="str">
            <v>ICAP DO BRASIL CTVM LTDA ( ATUAL TULLET)</v>
          </cell>
        </row>
        <row r="16832">
          <cell r="B16832">
            <v>901314</v>
          </cell>
          <cell r="C16832" t="str">
            <v>ICAP DO BRASIL CTVM LTDA ( ATUAL TULLET)</v>
          </cell>
          <cell r="D16832">
            <v>1314</v>
          </cell>
          <cell r="E16832" t="str">
            <v>ICAP DO BRASIL CTVM LTDA ( ATUAL TULLET)</v>
          </cell>
        </row>
        <row r="16833">
          <cell r="B16833">
            <v>901315</v>
          </cell>
          <cell r="C16833" t="str">
            <v>ICAP DO BRASIL CTVM LTDA ( ATUAL TULLET)</v>
          </cell>
          <cell r="D16833">
            <v>1315</v>
          </cell>
          <cell r="E16833" t="str">
            <v>ICAP DO BRASIL CTVM LTDA ( ATUAL TULLET)</v>
          </cell>
        </row>
        <row r="16834">
          <cell r="B16834">
            <v>901317</v>
          </cell>
          <cell r="C16834" t="str">
            <v>ICAP DO BRASIL CTVM LTDA ( ATUAL TULLET)</v>
          </cell>
          <cell r="D16834" t="str">
            <v>ICAP DO BRASIL CTVM LTDA ( ATUAL TULLET)</v>
          </cell>
          <cell r="E16834" t="str">
            <v>ICAP DO BRASIL CTVM LTDA ( ATUAL TULLET)</v>
          </cell>
        </row>
        <row r="16835">
          <cell r="B16835">
            <v>901318</v>
          </cell>
          <cell r="C16835" t="str">
            <v>ICAP DO BRASIL CTVM LTDA ( ATUAL TULLET)</v>
          </cell>
          <cell r="D16835" t="str">
            <v>ICAP DO BRASIL CTVM LTDA ( ATUAL TULLET)</v>
          </cell>
          <cell r="E16835" t="str">
            <v>ICAP DO BRASIL CTVM LTDA ( ATUAL TULLET)</v>
          </cell>
        </row>
        <row r="16836">
          <cell r="B16836">
            <v>90132</v>
          </cell>
          <cell r="C16836" t="str">
            <v>BB GESTAO DE RECURSOS DTVM LTDA</v>
          </cell>
          <cell r="D16836" t="str">
            <v>BB GESTAO DE RECURSOS DTVM LTDA</v>
          </cell>
          <cell r="E16836" t="str">
            <v>BANCO DO BRASIL S/A</v>
          </cell>
        </row>
        <row r="16837">
          <cell r="B16837">
            <v>901324</v>
          </cell>
          <cell r="C16837" t="str">
            <v>ICAP DO BRASIL CTVM LTDA ( ATUAL TULLET)</v>
          </cell>
          <cell r="D16837">
            <v>1324</v>
          </cell>
          <cell r="E16837" t="str">
            <v>ICAP DO BRASIL CTVM LTDA ( ATUAL TULLET)</v>
          </cell>
        </row>
        <row r="16838">
          <cell r="B16838">
            <v>79640</v>
          </cell>
          <cell r="C16838" t="str">
            <v>BANCO SANTANDER, S/A (MADRID)</v>
          </cell>
          <cell r="D16838" t="str">
            <v>BANCO SANTANDER, S/A (MADRID)</v>
          </cell>
          <cell r="E16838" t="str">
            <v>BANCO SANTANDER S/A (HISPANO)</v>
          </cell>
        </row>
        <row r="16839">
          <cell r="B16839">
            <v>90134</v>
          </cell>
          <cell r="C16839" t="str">
            <v>CGD INVESTIMENTOS CORRETORA DE VALORES E CAMBIO S/A</v>
          </cell>
          <cell r="D16839" t="str">
            <v>CGD INVESTIMENTOS CORRETORA DE VALORES E CAMBIO S/A</v>
          </cell>
          <cell r="E16839" t="str">
            <v>CGD INVESTIMENTOS CORRETORA DE VALORES E CAMBIO S/A</v>
          </cell>
        </row>
        <row r="16840">
          <cell r="B16840">
            <v>901410</v>
          </cell>
          <cell r="C16840" t="str">
            <v>BRADESCO S/A CTVM</v>
          </cell>
          <cell r="D16840" t="str">
            <v>BRADESCO S/A CTVM</v>
          </cell>
          <cell r="E16840" t="str">
            <v>BRADESCO SA CORRETORA DE TITULOS E VALORES MOBILIARIOS</v>
          </cell>
        </row>
        <row r="16841">
          <cell r="B16841">
            <v>901411</v>
          </cell>
          <cell r="C16841" t="str">
            <v>BRADESCO S/A CTVM</v>
          </cell>
          <cell r="D16841" t="str">
            <v>BRADESCO S/A CTVM</v>
          </cell>
          <cell r="E16841" t="str">
            <v>BRADESCO SA CORRETORA DE TITULOS E VALORES MOBILIARIOS</v>
          </cell>
        </row>
        <row r="16842">
          <cell r="B16842">
            <v>901440</v>
          </cell>
          <cell r="C16842" t="str">
            <v>BGC LIQUIDEZ DTVM LTDA</v>
          </cell>
          <cell r="D16842" t="str">
            <v>BGC LIQUIDEZ DTVM LTDA</v>
          </cell>
          <cell r="E16842" t="str">
            <v>BGC LIQUIDEZ DTVM LTDA</v>
          </cell>
        </row>
        <row r="16843">
          <cell r="B16843">
            <v>901441</v>
          </cell>
          <cell r="C16843" t="str">
            <v>BGC LIQUIDEZ DTVM LTDA</v>
          </cell>
          <cell r="D16843" t="str">
            <v>BGC LIQUIDEZ DTVM LTDA</v>
          </cell>
          <cell r="E16843" t="str">
            <v>BGC LIQUIDEZ DTVM LTDA</v>
          </cell>
        </row>
        <row r="16844">
          <cell r="B16844">
            <v>901444</v>
          </cell>
          <cell r="C16844" t="str">
            <v>BGC LIQUIDEZ DTVM LTDA</v>
          </cell>
          <cell r="D16844" t="str">
            <v>BGC LIQUIDEZ DTVM LTDA</v>
          </cell>
          <cell r="E16844" t="str">
            <v>BGC LIQUIDEZ DTVM LTDA</v>
          </cell>
        </row>
        <row r="16845">
          <cell r="B16845">
            <v>901445</v>
          </cell>
          <cell r="C16845" t="str">
            <v>BGC LIQUIDEZ DTVM LTDA</v>
          </cell>
          <cell r="D16845" t="str">
            <v>BGC LIQUIDEZ DTVM LTDA</v>
          </cell>
          <cell r="E16845" t="str">
            <v>BGC LIQUIDEZ DTVM LTDA</v>
          </cell>
        </row>
        <row r="16846">
          <cell r="B16846">
            <v>901446</v>
          </cell>
          <cell r="C16846" t="str">
            <v>BGC LIQUIDEZ DTVM LTDA</v>
          </cell>
          <cell r="D16846" t="str">
            <v>BGC LIQUIDEZ DTVM LTDA</v>
          </cell>
          <cell r="E16846" t="str">
            <v>BGC LIQUIDEZ DTVM LTDA</v>
          </cell>
        </row>
        <row r="16847">
          <cell r="B16847">
            <v>901447</v>
          </cell>
          <cell r="C16847" t="str">
            <v>BGC LIQUIDEZ DTVM LTDA</v>
          </cell>
          <cell r="D16847" t="str">
            <v>BGC LIQUIDEZ DTVM LTDA</v>
          </cell>
          <cell r="E16847" t="str">
            <v>BGC LIQUIDEZ DTVM LTDA</v>
          </cell>
        </row>
        <row r="16848">
          <cell r="B16848">
            <v>901449</v>
          </cell>
          <cell r="C16848" t="str">
            <v>BGC LIQUIDEZ DTVM LTDA</v>
          </cell>
          <cell r="D16848" t="str">
            <v>BGC LIQUIDEZ DTVM LTDA</v>
          </cell>
          <cell r="E16848" t="str">
            <v>BGC LIQUIDEZ DTVM LTDA</v>
          </cell>
        </row>
        <row r="16849">
          <cell r="B16849">
            <v>901450</v>
          </cell>
          <cell r="C16849" t="str">
            <v>BGC LIQUIDEZ DTVM LTDA</v>
          </cell>
          <cell r="D16849" t="str">
            <v>BGC LIQUIDEZ DTVM LTDA</v>
          </cell>
          <cell r="E16849" t="str">
            <v>BGC LIQUIDEZ DTVM LTDA</v>
          </cell>
        </row>
        <row r="16850">
          <cell r="B16850">
            <v>901451</v>
          </cell>
          <cell r="C16850" t="str">
            <v>BGC LIQUIDEZ DTVM LTDA</v>
          </cell>
          <cell r="D16850" t="str">
            <v>BGC LIQUIDEZ DTVM LTDA</v>
          </cell>
          <cell r="E16850" t="str">
            <v>BGC LIQUIDEZ DTVM LTDA</v>
          </cell>
        </row>
        <row r="16851">
          <cell r="B16851">
            <v>901454</v>
          </cell>
          <cell r="C16851" t="str">
            <v>BGC LIQUIDEZ DTVM LTDA</v>
          </cell>
          <cell r="D16851" t="str">
            <v>BGC LIQUIDEZ DTVM LTDA</v>
          </cell>
          <cell r="E16851" t="str">
            <v>BGC LIQUIDEZ DTVM LTDA</v>
          </cell>
        </row>
        <row r="16852">
          <cell r="B16852">
            <v>901455</v>
          </cell>
          <cell r="C16852" t="str">
            <v>BGC LIQUIDEZ DTVM LTDA</v>
          </cell>
          <cell r="D16852" t="str">
            <v>BGC LIQUIDEZ DTVM LTDA</v>
          </cell>
          <cell r="E16852" t="str">
            <v>BGC LIQUIDEZ DTVM LTDA</v>
          </cell>
        </row>
        <row r="16853">
          <cell r="B16853">
            <v>901456</v>
          </cell>
          <cell r="C16853" t="str">
            <v>BGC LIQUIDEZ DTVM LTDA</v>
          </cell>
          <cell r="D16853" t="str">
            <v>BGC LIQUIDEZ DTVM LTDA</v>
          </cell>
          <cell r="E16853" t="str">
            <v>BGC LIQUIDEZ DTVM LTDA</v>
          </cell>
        </row>
        <row r="16854">
          <cell r="B16854">
            <v>901457</v>
          </cell>
          <cell r="C16854" t="str">
            <v>BGC LIQUIDEZ DTVM LTDA</v>
          </cell>
          <cell r="D16854" t="str">
            <v>BGC LIQUIDEZ DTVM LTDA</v>
          </cell>
          <cell r="E16854" t="str">
            <v>BGC LIQUIDEZ DTVM LTDA</v>
          </cell>
        </row>
        <row r="16855">
          <cell r="B16855">
            <v>901458</v>
          </cell>
          <cell r="C16855" t="str">
            <v>BGC LIQUIDEZ DTVM LTDA</v>
          </cell>
          <cell r="D16855" t="str">
            <v>BGC LIQUIDEZ DTVM LTDA</v>
          </cell>
          <cell r="E16855" t="str">
            <v>BGC LIQUIDEZ DTVM LTDA</v>
          </cell>
        </row>
        <row r="16856">
          <cell r="B16856">
            <v>901459</v>
          </cell>
          <cell r="C16856" t="str">
            <v>BGC LIQUIDEZ DTVM LTDA</v>
          </cell>
          <cell r="D16856" t="str">
            <v>BGC LIQUIDEZ DTVM LTDA</v>
          </cell>
          <cell r="E16856" t="str">
            <v>BGC LIQUIDEZ DTVM LTDA</v>
          </cell>
        </row>
        <row r="16857">
          <cell r="B16857">
            <v>90146</v>
          </cell>
          <cell r="C16857" t="str">
            <v>CGD INVESTIMENTOS CORRETORA DE VALORES E CAMBIO S/A</v>
          </cell>
          <cell r="D16857" t="str">
            <v>CGD INVESTIMENTOS CORRETORA DE VALORES E CAMBIO S/A</v>
          </cell>
          <cell r="E16857" t="str">
            <v>CGD INVESTIMENTOS CORRETORA DE VALORES E CAMBIO S/A</v>
          </cell>
        </row>
        <row r="16858">
          <cell r="B16858">
            <v>901460</v>
          </cell>
          <cell r="C16858" t="str">
            <v>BGC LIQUIDEZ DTVM LTDA</v>
          </cell>
          <cell r="D16858" t="str">
            <v>BGC LIQUIDEZ DTVM LTDA</v>
          </cell>
          <cell r="E16858" t="str">
            <v>BGC LIQUIDEZ DTVM LTDA</v>
          </cell>
        </row>
        <row r="16859">
          <cell r="B16859">
            <v>901461</v>
          </cell>
          <cell r="C16859" t="str">
            <v>BGC LIQUIDEZ DTVM LTDA</v>
          </cell>
          <cell r="D16859" t="str">
            <v>BGC LIQUIDEZ DTVM LTDA</v>
          </cell>
          <cell r="E16859" t="str">
            <v>BGC LIQUIDEZ DTVM LTDA</v>
          </cell>
        </row>
        <row r="16860">
          <cell r="B16860">
            <v>901462</v>
          </cell>
          <cell r="C16860" t="str">
            <v>BGC LIQUIDEZ DTVM LTDA</v>
          </cell>
          <cell r="D16860" t="str">
            <v>BGC LIQUIDEZ DTVM LTDA</v>
          </cell>
          <cell r="E16860" t="str">
            <v>BGC LIQUIDEZ DTVM LTDA</v>
          </cell>
        </row>
        <row r="16861">
          <cell r="B16861">
            <v>901463</v>
          </cell>
          <cell r="C16861" t="str">
            <v>BGC LIQUIDEZ DTVM LTDA</v>
          </cell>
          <cell r="D16861" t="str">
            <v>BGC LIQUIDEZ DTVM LTDA</v>
          </cell>
          <cell r="E16861" t="str">
            <v>BGC LIQUIDEZ DTVM LTDA</v>
          </cell>
        </row>
        <row r="16862">
          <cell r="B16862">
            <v>901464</v>
          </cell>
          <cell r="C16862" t="str">
            <v>BGC LIQUIDEZ DTVM LTDA</v>
          </cell>
          <cell r="D16862" t="str">
            <v>BGC LIQUIDEZ DTVM LTDA</v>
          </cell>
          <cell r="E16862" t="str">
            <v>BGC LIQUIDEZ DTVM LTDA</v>
          </cell>
        </row>
        <row r="16863">
          <cell r="B16863">
            <v>901465</v>
          </cell>
          <cell r="C16863" t="str">
            <v>BGC LIQUIDEZ DTVM LTDA</v>
          </cell>
          <cell r="D16863" t="str">
            <v>BGC LIQUIDEZ DTVM LTDA</v>
          </cell>
          <cell r="E16863" t="str">
            <v>BGC LIQUIDEZ DTVM LTDA</v>
          </cell>
        </row>
        <row r="16864">
          <cell r="B16864">
            <v>901466</v>
          </cell>
          <cell r="C16864" t="str">
            <v>BGC LIQUIDEZ DTVM LTDA</v>
          </cell>
          <cell r="D16864" t="str">
            <v>BGC LIQUIDEZ DTVM LTDA</v>
          </cell>
          <cell r="E16864" t="str">
            <v>BGC LIQUIDEZ DTVM LTDA</v>
          </cell>
        </row>
        <row r="16865">
          <cell r="B16865">
            <v>901467</v>
          </cell>
          <cell r="C16865" t="str">
            <v>BGC LIQUIDEZ DTVM LTDA</v>
          </cell>
          <cell r="D16865" t="str">
            <v>BGC LIQUIDEZ DTVM LTDA</v>
          </cell>
          <cell r="E16865" t="str">
            <v>BGC LIQUIDEZ DTVM LTDA</v>
          </cell>
        </row>
        <row r="16866">
          <cell r="B16866">
            <v>901468</v>
          </cell>
          <cell r="C16866" t="str">
            <v>BGC LIQUIDEZ DTVM LTDA</v>
          </cell>
          <cell r="D16866" t="str">
            <v>BGC LIQUIDEZ DTVM LTDA</v>
          </cell>
          <cell r="E16866" t="str">
            <v>BGC LIQUIDEZ DTVM LTDA</v>
          </cell>
        </row>
        <row r="16867">
          <cell r="B16867">
            <v>901469</v>
          </cell>
          <cell r="C16867" t="str">
            <v>SANTANDER S/A CCT</v>
          </cell>
          <cell r="D16867" t="str">
            <v>SANTANDER S/A CCT</v>
          </cell>
          <cell r="E16867" t="str">
            <v>SANTANDER S/A CCT</v>
          </cell>
        </row>
        <row r="16868">
          <cell r="B16868">
            <v>901470</v>
          </cell>
          <cell r="C16868" t="str">
            <v>BGC LIQUIDEZ DTVM LTDA</v>
          </cell>
          <cell r="D16868" t="str">
            <v>BGC LIQUIDEZ DTVM LTDA</v>
          </cell>
          <cell r="E16868" t="str">
            <v>BGC LIQUIDEZ DTVM LTDA</v>
          </cell>
        </row>
        <row r="16869">
          <cell r="B16869">
            <v>901471</v>
          </cell>
          <cell r="C16869" t="str">
            <v>BGC LIQUIDEZ DTVM LTDA</v>
          </cell>
          <cell r="D16869" t="str">
            <v>BGC LIQUIDEZ DTVM LTDA</v>
          </cell>
          <cell r="E16869" t="str">
            <v>BGC LIQUIDEZ DTVM LTDA</v>
          </cell>
        </row>
        <row r="16870">
          <cell r="B16870">
            <v>901472</v>
          </cell>
          <cell r="C16870" t="str">
            <v>BGC LIQUIDEZ DTVM LTDA</v>
          </cell>
          <cell r="D16870" t="str">
            <v>BGC LIQUIDEZ DTVM LTDA</v>
          </cell>
          <cell r="E16870" t="str">
            <v>BGC LIQUIDEZ DTVM LTDA</v>
          </cell>
        </row>
        <row r="16871">
          <cell r="B16871">
            <v>901473</v>
          </cell>
          <cell r="C16871" t="str">
            <v>BGC LIQUIDEZ DTVM LTDA</v>
          </cell>
          <cell r="D16871" t="str">
            <v>BGC LIQUIDEZ DTVM LTDA</v>
          </cell>
          <cell r="E16871" t="str">
            <v>BGC LIQUIDEZ DTVM LTDA</v>
          </cell>
        </row>
        <row r="16872">
          <cell r="B16872">
            <v>901474</v>
          </cell>
          <cell r="C16872" t="str">
            <v>BGC LIQUIDEZ DTVM LTDA</v>
          </cell>
          <cell r="D16872" t="str">
            <v>BGC LIQUIDEZ DTVM LTDA</v>
          </cell>
          <cell r="E16872" t="str">
            <v>BGC LIQUIDEZ DTVM LTDA</v>
          </cell>
        </row>
        <row r="16873">
          <cell r="B16873">
            <v>901490</v>
          </cell>
          <cell r="C16873" t="str">
            <v>ICAP DO BRASIL CTVM LTDA ( ATUAL TULLET)</v>
          </cell>
          <cell r="D16873" t="str">
            <v>ICAP DO BRASIL CTVM LTDA ( ATUAL TULLET)</v>
          </cell>
          <cell r="E16873" t="str">
            <v>ICAP DO BRASIL CTVM LTDA ( ATUAL TULLET)</v>
          </cell>
        </row>
        <row r="16874">
          <cell r="B16874">
            <v>901491</v>
          </cell>
          <cell r="C16874" t="str">
            <v>ICAP DO BRASIL CTVM LTDA ( ATUAL TULLET)</v>
          </cell>
          <cell r="D16874" t="str">
            <v>ICAP DO BRASIL CTVM LTDA ( ATUAL TULLET)</v>
          </cell>
          <cell r="E16874" t="str">
            <v>ICAP DO BRASIL CTVM LTDA ( ATUAL TULLET)</v>
          </cell>
        </row>
        <row r="16875">
          <cell r="B16875">
            <v>901492</v>
          </cell>
          <cell r="C16875" t="str">
            <v>ICAP DO BRASIL CTVM LTDA ( ATUAL TULLET)</v>
          </cell>
          <cell r="D16875" t="str">
            <v>ICAP DO BRASIL CTVM LTDA ( ATUAL TULLET)</v>
          </cell>
          <cell r="E16875" t="str">
            <v>ICAP DO BRASIL CTVM LTDA ( ATUAL TULLET)</v>
          </cell>
        </row>
        <row r="16876">
          <cell r="B16876">
            <v>901493</v>
          </cell>
          <cell r="C16876" t="str">
            <v>ICAP DO BRASIL CTVM LTDA ( ATUAL TULLET)</v>
          </cell>
          <cell r="D16876">
            <v>192</v>
          </cell>
          <cell r="E16876" t="str">
            <v>ICAP DO BRASIL CTVM LTDA ( ATUAL TULLET)</v>
          </cell>
        </row>
        <row r="16877">
          <cell r="B16877">
            <v>901495</v>
          </cell>
          <cell r="C16877" t="str">
            <v>ICAP DO BRASIL CTVM LTDA ( ATUAL TULLET)</v>
          </cell>
          <cell r="D16877">
            <v>277</v>
          </cell>
          <cell r="E16877" t="str">
            <v>ICAP DO BRASIL CTVM LTDA ( ATUAL TULLET)</v>
          </cell>
        </row>
        <row r="16878">
          <cell r="B16878">
            <v>901496</v>
          </cell>
          <cell r="C16878" t="str">
            <v>ICAP DO BRASIL CTVM LTDA ( ATUAL TULLET)</v>
          </cell>
          <cell r="D16878" t="str">
            <v>ICAP DO BRASIL CTVM LTDA ( ATUAL TULLET)</v>
          </cell>
          <cell r="E16878" t="str">
            <v>ICAP DO BRASIL CTVM LTDA ( ATUAL TULLET)</v>
          </cell>
        </row>
        <row r="16879">
          <cell r="B16879">
            <v>901497</v>
          </cell>
          <cell r="C16879" t="str">
            <v>ICAP DO BRASIL CTVM LTDA ( ATUAL TULLET)</v>
          </cell>
          <cell r="D16879" t="str">
            <v>ICAP DO BRASIL CTVM LTDA ( ATUAL TULLET)</v>
          </cell>
          <cell r="E16879" t="str">
            <v>ICAP DO BRASIL CTVM LTDA ( ATUAL TULLET)</v>
          </cell>
        </row>
        <row r="16880">
          <cell r="B16880">
            <v>901502</v>
          </cell>
          <cell r="C16880" t="str">
            <v>ICAP DO BRASIL CTVM LTDA ( ATUAL TULLET)</v>
          </cell>
          <cell r="D16880" t="str">
            <v>ICAP DO BRASIL CTVM LTDA ( ATUAL TULLET)</v>
          </cell>
          <cell r="E16880" t="str">
            <v>ICAP DO BRASIL CTVM LTDA ( ATUAL TULLET)</v>
          </cell>
        </row>
        <row r="16881">
          <cell r="B16881">
            <v>901503</v>
          </cell>
          <cell r="C16881" t="str">
            <v>ICAP DO BRASIL CTVM LTDA ( ATUAL TULLET)</v>
          </cell>
          <cell r="D16881" t="str">
            <v>ICAP DO BRASIL CTVM LTDA ( ATUAL TULLET)</v>
          </cell>
          <cell r="E16881" t="str">
            <v>ICAP DO BRASIL CTVM LTDA ( ATUAL TULLET)</v>
          </cell>
        </row>
        <row r="16882">
          <cell r="B16882">
            <v>901504</v>
          </cell>
          <cell r="C16882" t="str">
            <v>ICAP DO BRASIL CTVM LTDA ( ATUAL TULLET)</v>
          </cell>
          <cell r="D16882">
            <v>382</v>
          </cell>
          <cell r="E16882" t="str">
            <v>ICAP DO BRASIL CTVM LTDA ( ATUAL TULLET)</v>
          </cell>
        </row>
        <row r="16883">
          <cell r="B16883">
            <v>80388</v>
          </cell>
          <cell r="C16883" t="str">
            <v>BGC FINANCIAL , LP</v>
          </cell>
          <cell r="D16883" t="str">
            <v>BGC FINANCIAL , LP</v>
          </cell>
          <cell r="E16883" t="str">
            <v>BGC FINANCIAL , LP</v>
          </cell>
        </row>
        <row r="16884">
          <cell r="B16884">
            <v>80388</v>
          </cell>
          <cell r="C16884" t="str">
            <v>BGC FINANCIAL , LP</v>
          </cell>
          <cell r="D16884" t="str">
            <v>BGC FINANCIAL , LP</v>
          </cell>
          <cell r="E16884" t="str">
            <v>BGC FINANCIAL , LP</v>
          </cell>
        </row>
        <row r="16885">
          <cell r="B16885">
            <v>124623</v>
          </cell>
          <cell r="C16885" t="str">
            <v>FP NEO TOTAL RETURN FIA</v>
          </cell>
          <cell r="D16885" t="str">
            <v>FP NEO TOTAL RETURN FIA</v>
          </cell>
          <cell r="E16885" t="str">
            <v>NEO GESTÃO DE RECURSOS LTDA</v>
          </cell>
        </row>
        <row r="16886">
          <cell r="B16886">
            <v>124624</v>
          </cell>
          <cell r="C16886" t="str">
            <v>TRUXT VALOR PREVIDÃŠNCIA MASTER I FIA</v>
          </cell>
          <cell r="D16886" t="str">
            <v>TRUXT VALOR PREVIDÃŠNCIA MASTER I FIA</v>
          </cell>
          <cell r="E16886" t="str">
            <v>TRUXT INVESTIMENTOS LTDA</v>
          </cell>
        </row>
        <row r="16887">
          <cell r="B16887">
            <v>124625</v>
          </cell>
          <cell r="C16887" t="str">
            <v>TRUXT PREVIDENCIA FIA</v>
          </cell>
          <cell r="D16887" t="str">
            <v>TRUXT PREVIDENCIA FIA</v>
          </cell>
          <cell r="E16887" t="str">
            <v>TRUXT INVESTIMENTOS LTDA</v>
          </cell>
        </row>
        <row r="16888">
          <cell r="B16888">
            <v>80390</v>
          </cell>
          <cell r="C16888" t="str">
            <v>BANCO SUMITOMO MITSUI BRASILEIRO S.A</v>
          </cell>
          <cell r="D16888" t="str">
            <v>BANCO SUMITOMO MITSUI BRASILEIRO S.A</v>
          </cell>
          <cell r="E16888" t="str">
            <v>BANCO SUMITOMO MITSUI BRASILEIRO S/A</v>
          </cell>
        </row>
        <row r="16889">
          <cell r="B16889">
            <v>80390</v>
          </cell>
          <cell r="C16889" t="str">
            <v>BANCO SUMITOMO MITSUI BRASILEIRO S.A</v>
          </cell>
          <cell r="D16889" t="str">
            <v>BANCO SUMITOMO MITSUI BRASILEIRO S.A</v>
          </cell>
          <cell r="E16889" t="str">
            <v>BANCO SUMITOMO MITSUI BRASILEIRO S/A</v>
          </cell>
        </row>
        <row r="16890">
          <cell r="B16890">
            <v>80391</v>
          </cell>
          <cell r="C16890" t="str">
            <v>WESTERN ASSET MANAGEMENT COMPANY DTVM LTDA</v>
          </cell>
          <cell r="D16890" t="str">
            <v>WESTERN ASSET MANAGEMENT COMPANY DTVM LTDA</v>
          </cell>
          <cell r="E16890" t="str">
            <v>WESTERN ASSET MANAGEMENT COMPANY DTVM LTDA</v>
          </cell>
        </row>
        <row r="16891">
          <cell r="B16891">
            <v>80391</v>
          </cell>
          <cell r="C16891" t="str">
            <v>WESTERN ASSET MANAGEMENT COMPANY DTVM LTDA</v>
          </cell>
          <cell r="D16891" t="str">
            <v>WESTERN ASSET MANAGEMENT COMPANY DTVM LTDA</v>
          </cell>
          <cell r="E16891" t="str">
            <v>WESTERN ASSET MANAGEMENT COMPANY DTVM LTDA</v>
          </cell>
        </row>
        <row r="16892">
          <cell r="B16892">
            <v>124626</v>
          </cell>
          <cell r="C16892" t="str">
            <v>SANTANDER CACEIS BRASIL DTVM S.A.</v>
          </cell>
          <cell r="D16892" t="str">
            <v>SANTANDER CACEIS BRASIL DTVM S.A.</v>
          </cell>
          <cell r="E16892" t="str">
            <v>SANTANDER BRASIL GESTAO DE RECURSOS LTDA</v>
          </cell>
        </row>
        <row r="16893">
          <cell r="B16893">
            <v>124626</v>
          </cell>
          <cell r="C16893" t="str">
            <v>SANTANDER CACEIS BRASIL DTVM S.A.</v>
          </cell>
          <cell r="D16893" t="str">
            <v>SANTANDER CACEIS BRASIL DTVM S.A.</v>
          </cell>
          <cell r="E16893" t="str">
            <v>SANTANDER CACEIS BRASIL DTVM S.A.</v>
          </cell>
        </row>
        <row r="16894">
          <cell r="B16894">
            <v>124627</v>
          </cell>
          <cell r="C16894" t="str">
            <v>SANTANDER CACEIS BRASIL DTVM S.A.</v>
          </cell>
          <cell r="D16894" t="str">
            <v>SANTANDER CACEIS BRASIL DTVM S.A.</v>
          </cell>
          <cell r="E16894" t="str">
            <v>SANTANDER BRASIL GESTAO DE RECURSOS LTDA</v>
          </cell>
        </row>
        <row r="16895">
          <cell r="B16895">
            <v>124627</v>
          </cell>
          <cell r="C16895" t="str">
            <v>SANTANDER CACEIS BRASIL DTVM S.A.</v>
          </cell>
          <cell r="D16895" t="str">
            <v>SANTANDER CACEIS BRASIL DTVM S.A.</v>
          </cell>
          <cell r="E16895" t="str">
            <v>SANTANDER CACEIS BRASIL DTVM S.A.</v>
          </cell>
        </row>
        <row r="16896">
          <cell r="B16896">
            <v>123552</v>
          </cell>
          <cell r="C16896" t="str">
            <v>REAG ABSOLUTO FUNDO DE INVESTIMENTO MULTIMERCADO</v>
          </cell>
          <cell r="D16896" t="str">
            <v>REAG ABSOLUTO FUNDO DE INVESTIMENTO MULTIMERCADO</v>
          </cell>
          <cell r="E16896" t="str">
            <v>REAG ASSET MANAGEMENT LTDA</v>
          </cell>
        </row>
        <row r="16897">
          <cell r="B16897">
            <v>12430</v>
          </cell>
          <cell r="C16897" t="str">
            <v>PORTO SEGURO INVESTIMENTOS LTDA</v>
          </cell>
          <cell r="D16897" t="str">
            <v>PORTO SEGURO INVESTIMENTOS LTDA</v>
          </cell>
          <cell r="E16897" t="str">
            <v>PORTO SEGURO INVESTIMENTOS LTDA</v>
          </cell>
        </row>
        <row r="16898">
          <cell r="B16898">
            <v>12430</v>
          </cell>
          <cell r="C16898" t="str">
            <v>PORTO SEGURO INVESTIMENTOS LTDA</v>
          </cell>
          <cell r="D16898" t="str">
            <v>PORTO SEGURO INVESTIMENTOS LTDA</v>
          </cell>
          <cell r="E16898" t="str">
            <v>PORTO SEGURO INVESTIMENTOS LTDA</v>
          </cell>
        </row>
        <row r="16899">
          <cell r="B16899">
            <v>124628</v>
          </cell>
          <cell r="C16899" t="str">
            <v>PORTO SEGURO SELECTA MASTER FIA</v>
          </cell>
          <cell r="D16899" t="str">
            <v>PORTO SEGURO SELECTA MASTER FIA</v>
          </cell>
          <cell r="E16899" t="str">
            <v>PORTO SEGURO INVESTIMENTOS LTDA</v>
          </cell>
        </row>
        <row r="16900">
          <cell r="B16900">
            <v>124628</v>
          </cell>
          <cell r="C16900" t="str">
            <v>PORTO SEGURO SELECTA MASTER FIA</v>
          </cell>
          <cell r="D16900" t="str">
            <v>PORTO SEGURO SELECTA MASTER FIA</v>
          </cell>
          <cell r="E16900" t="str">
            <v>PORTO SEGURO INVESTIMENTOS LTDA</v>
          </cell>
        </row>
        <row r="16901">
          <cell r="B16901">
            <v>124629</v>
          </cell>
          <cell r="C16901" t="str">
            <v>ITAU FLEXPREV OPTIMUS LONG BIAS MULTIMERCADO FI</v>
          </cell>
          <cell r="D16901" t="str">
            <v>ITAU FLEXPREV OPTIMUS LONG BIAS MULTIMERCADO FI</v>
          </cell>
          <cell r="E16901" t="str">
            <v>ITAU UNIBANCO ASSET - TACO</v>
          </cell>
        </row>
        <row r="16902">
          <cell r="B16902">
            <v>124630</v>
          </cell>
          <cell r="C16902" t="str">
            <v>SANTANDER CACEIS BRASIL DTVM S.A.</v>
          </cell>
          <cell r="D16902" t="str">
            <v>SANTANDER CACEIS BRASIL DTVM S.A.</v>
          </cell>
          <cell r="E16902" t="str">
            <v>SANTANDER BRASIL GESTAO DE RECURSOS LTDA</v>
          </cell>
        </row>
        <row r="16903">
          <cell r="B16903">
            <v>124631</v>
          </cell>
          <cell r="C16903" t="str">
            <v>SANTANDER CACEIS BRASIL DTVM S.A.</v>
          </cell>
          <cell r="D16903" t="str">
            <v>SANTANDER CACEIS BRASIL DTVM S.A.</v>
          </cell>
          <cell r="E16903" t="str">
            <v>SANTANDER BRASIL GESTAO DE RECURSOS LTDA</v>
          </cell>
        </row>
        <row r="16904">
          <cell r="B16904">
            <v>124630</v>
          </cell>
          <cell r="C16904" t="str">
            <v>SANTANDER CACEIS BRASIL DTVM S.A.</v>
          </cell>
          <cell r="D16904" t="str">
            <v>SANTANDER CACEIS BRASIL DTVM S.A.</v>
          </cell>
          <cell r="E16904" t="str">
            <v>SANTANDER CACEIS BRASIL DTVM S.A.</v>
          </cell>
        </row>
        <row r="16905">
          <cell r="B16905">
            <v>124631</v>
          </cell>
          <cell r="C16905" t="str">
            <v>SANTANDER CACEIS BRASIL DTVM S.A.</v>
          </cell>
          <cell r="D16905" t="str">
            <v>SANTANDER CACEIS BRASIL DTVM S.A.</v>
          </cell>
          <cell r="E16905" t="str">
            <v>SANTANDER CACEIS BRASIL DTVM S.A.</v>
          </cell>
        </row>
        <row r="16906">
          <cell r="B16906">
            <v>80393</v>
          </cell>
          <cell r="C16906" t="str">
            <v>ITAU UNIBANCO S.A.</v>
          </cell>
          <cell r="D16906" t="str">
            <v>ITAU UNIBANCO S.A.</v>
          </cell>
          <cell r="E16906" t="str">
            <v>ITAU UNIBANCO S/A</v>
          </cell>
        </row>
        <row r="16907">
          <cell r="B16907">
            <v>80394</v>
          </cell>
          <cell r="C16907" t="str">
            <v>BNP PARIBAS FINANCIAL MARKETS</v>
          </cell>
          <cell r="D16907" t="str">
            <v>BNP PARIBAS FINANCIAL MARKETS</v>
          </cell>
          <cell r="E16907" t="str">
            <v>BANCO BNP PARIBAS BRASIL S/A</v>
          </cell>
        </row>
        <row r="16908">
          <cell r="B16908">
            <v>80394</v>
          </cell>
          <cell r="C16908" t="str">
            <v>BNP PARIBAS FINANCIAL MARKETS</v>
          </cell>
          <cell r="D16908" t="str">
            <v>BNP PARIBAS FINANCIAL MARKETS</v>
          </cell>
          <cell r="E16908" t="str">
            <v>BANCO BNP PARIBAS BRASIL S/A</v>
          </cell>
        </row>
        <row r="16909">
          <cell r="B16909">
            <v>124632</v>
          </cell>
          <cell r="C16909" t="str">
            <v>BNP PARIBAS FINANCIAL MARKETS</v>
          </cell>
          <cell r="D16909" t="str">
            <v>BNP PARIBAS FINANCIAL MARKETS</v>
          </cell>
          <cell r="E16909" t="str">
            <v>BANCO BNP PARIBAS BRASIL S/A</v>
          </cell>
        </row>
        <row r="16910">
          <cell r="B16910">
            <v>122435</v>
          </cell>
          <cell r="C16910" t="str">
            <v>MAUA MACRO FIM</v>
          </cell>
          <cell r="D16910" t="str">
            <v>MAUA MACRO FIM</v>
          </cell>
          <cell r="E16910" t="str">
            <v>MAUA MACRO FIM</v>
          </cell>
        </row>
        <row r="16911">
          <cell r="B16911">
            <v>80399</v>
          </cell>
          <cell r="C16911" t="str">
            <v>ICONE INVESTIMENTOS LTDA</v>
          </cell>
          <cell r="D16911" t="str">
            <v>ICONE INVESTIMENTOS LTDA</v>
          </cell>
          <cell r="E16911" t="str">
            <v>ICONE INVESTIMENTOS LTDA</v>
          </cell>
        </row>
        <row r="16912">
          <cell r="B16912">
            <v>80399</v>
          </cell>
          <cell r="C16912" t="str">
            <v>ICONE INVESTIMENTOS LTDA</v>
          </cell>
          <cell r="D16912" t="str">
            <v>ICONE INVESTIMENTOS LTDA</v>
          </cell>
          <cell r="E16912" t="str">
            <v>ICONE INVESTIMENTOS LTDA</v>
          </cell>
        </row>
        <row r="16913">
          <cell r="B16913">
            <v>124634</v>
          </cell>
          <cell r="C16913" t="str">
            <v>BB GESTAO DE RECURSOS DTVM LTDA</v>
          </cell>
          <cell r="D16913" t="str">
            <v>BB GESTAO DE RECURSOS DTVM LTDA</v>
          </cell>
          <cell r="E16913" t="str">
            <v>BB GESTAO DE RECURSOS DTVM LTDA</v>
          </cell>
        </row>
        <row r="16914">
          <cell r="B16914">
            <v>124634</v>
          </cell>
          <cell r="C16914" t="str">
            <v>BB GESTAO DE RECURSOS DTVM LTDA</v>
          </cell>
          <cell r="D16914" t="str">
            <v>BB GESTAO DE RECURSOS DTVM LTDA</v>
          </cell>
          <cell r="E16914" t="str">
            <v>BB GESTAO DE RECURSOS DTVM LTDA</v>
          </cell>
        </row>
        <row r="16915">
          <cell r="B16915">
            <v>124635</v>
          </cell>
          <cell r="C16915" t="str">
            <v>NEO FUTURE MASTER FIA RL</v>
          </cell>
          <cell r="D16915" t="str">
            <v>NEO FUTURE MASTER FIA RL</v>
          </cell>
          <cell r="E16915" t="str">
            <v>NEO GESTÃO DE RECURSOS LTDA</v>
          </cell>
        </row>
        <row r="16916">
          <cell r="B16916">
            <v>80396</v>
          </cell>
          <cell r="C16916" t="str">
            <v>FUNDACAO VALE DO RIO DOCE DE SEGURIDADE SOCIAL - VALIA</v>
          </cell>
          <cell r="D16916" t="str">
            <v>FUNDACAO VALE DO RIO DOCE DE SEGURIDADE SOCIAL - VALIA</v>
          </cell>
          <cell r="E16916" t="str">
            <v>FUNDACAO VALE DO RIO DOCE DE SEGURIDADE SOCIAL - VALIA</v>
          </cell>
        </row>
        <row r="16917">
          <cell r="B16917">
            <v>80396</v>
          </cell>
          <cell r="C16917" t="str">
            <v>FUNDACAO VALE DO RIO DOCE DE SEGURIDADE SOCIAL - VALIA</v>
          </cell>
          <cell r="D16917" t="str">
            <v>FUNDACAO VALE DO RIO DOCE DE SEGURIDADE SOCIAL - VALIA</v>
          </cell>
          <cell r="E16917" t="str">
            <v>FUNDACAO VALE DO RIO DOCE DE SEGURIDADE SOCIAL - VALIA</v>
          </cell>
        </row>
        <row r="16918">
          <cell r="B16918">
            <v>12431</v>
          </cell>
          <cell r="C16918" t="str">
            <v>FRAM CAPITAL GESTAO DE ATIVOS LTDA</v>
          </cell>
          <cell r="D16918" t="str">
            <v>FRAM CAPITAL GESTAO DE ATIVOS LTDA</v>
          </cell>
          <cell r="E16918" t="str">
            <v>FRAM CAPITAL GESTAO DE ATIVOS LTDA</v>
          </cell>
        </row>
        <row r="16919">
          <cell r="B16919">
            <v>12431</v>
          </cell>
          <cell r="C16919" t="str">
            <v>FRAM CAPITAL GESTAO DE ATIVOS LTDA</v>
          </cell>
          <cell r="D16919" t="str">
            <v>FRAM CAPITAL GESTAO DE ATIVOS LTDA</v>
          </cell>
          <cell r="E16919" t="str">
            <v>FRAM CAPITAL GESTAO DE ATIVOS LTDA</v>
          </cell>
        </row>
        <row r="16920">
          <cell r="B16920">
            <v>144547</v>
          </cell>
          <cell r="C16920" t="str">
            <v>FRAM CAPITAL GESTAO DE ATIVOS LTDA</v>
          </cell>
          <cell r="D16920" t="str">
            <v>FRAM CAPITAL GESTAO DE ATIVOS LTDA</v>
          </cell>
          <cell r="E16920" t="str">
            <v>FRAM CAPITAL GESTAO DE ATIVOS LTDA</v>
          </cell>
        </row>
        <row r="16921">
          <cell r="B16921">
            <v>144547</v>
          </cell>
          <cell r="C16921" t="str">
            <v>FRAM CAPITAL GESTAO DE ATIVOS LTDA</v>
          </cell>
          <cell r="D16921" t="str">
            <v>FRAM CAPITAL GESTAO DE ATIVOS LTDA</v>
          </cell>
          <cell r="E16921" t="str">
            <v>FRAM CAPITAL GESTAO DE ATIVOS LTDA</v>
          </cell>
        </row>
        <row r="16922">
          <cell r="B16922">
            <v>124639</v>
          </cell>
          <cell r="C16922" t="str">
            <v>FRAM CAPITAL OPORTUNIDADE I FIM</v>
          </cell>
          <cell r="D16922" t="str">
            <v>FRAM CAPITAL OPORTUNIDADE I FIM</v>
          </cell>
          <cell r="E16922" t="str">
            <v>FRAM CAPITAL GESTAO DE ATIVOS LTDA</v>
          </cell>
        </row>
        <row r="16923">
          <cell r="B16923">
            <v>124639</v>
          </cell>
          <cell r="C16923" t="str">
            <v>FRAM CAPITAL OPORTUNIDADE I FIM</v>
          </cell>
          <cell r="D16923" t="str">
            <v>FRAM CAPITAL OPORTUNIDADE I FIM</v>
          </cell>
          <cell r="E16923" t="str">
            <v>FRAM CAPITAL OPORTUNIDADE I FIM</v>
          </cell>
        </row>
        <row r="16924">
          <cell r="B16924">
            <v>124637</v>
          </cell>
          <cell r="C16924" t="str">
            <v>FRAM CAPITAL AMUNDSEN FIM</v>
          </cell>
          <cell r="D16924" t="str">
            <v>FRAM CAPITAL AMUNDSEN FIM</v>
          </cell>
          <cell r="E16924" t="str">
            <v>FRAM CAPITAL GESTAO DE ATIVOS LTDA</v>
          </cell>
        </row>
        <row r="16925">
          <cell r="B16925">
            <v>124637</v>
          </cell>
          <cell r="C16925" t="str">
            <v>FRAM CAPITAL AMUNDSEN FIM</v>
          </cell>
          <cell r="D16925" t="str">
            <v>FRAM CAPITAL AMUNDSEN FIM</v>
          </cell>
          <cell r="E16925" t="str">
            <v>FRAM CAPITAL GESTAO DE ATIVOS LTDA</v>
          </cell>
        </row>
        <row r="16926">
          <cell r="B16926">
            <v>124636</v>
          </cell>
          <cell r="C16926" t="str">
            <v>MANDIN MULTIESTRATEGIA FIM CP IE</v>
          </cell>
          <cell r="D16926" t="str">
            <v>MANDIN MULTIESTRATEGIA FIM CP IE</v>
          </cell>
          <cell r="E16926" t="str">
            <v>FRAM CAPITAL GESTAO DE ATIVOS LTDA</v>
          </cell>
        </row>
        <row r="16927">
          <cell r="B16927">
            <v>124638</v>
          </cell>
          <cell r="C16927" t="str">
            <v>FRAM CAPITAL PREVIDENCIA RV 20 FIM</v>
          </cell>
          <cell r="D16927" t="str">
            <v>FRAM CAPITAL PREVIDENCIA RV 20 FIM</v>
          </cell>
          <cell r="E16927" t="str">
            <v>FRAM CAPITAL GESTAO DE ATIVOS LTDA</v>
          </cell>
        </row>
        <row r="16928">
          <cell r="B16928">
            <v>124636</v>
          </cell>
          <cell r="C16928" t="str">
            <v>MANDIN MULTIESTRATEGIA FIM CP IE</v>
          </cell>
          <cell r="D16928" t="str">
            <v>MANDIN MULTIESTRATEGIA FIM CP IE</v>
          </cell>
          <cell r="E16928" t="str">
            <v>MANDIN MULTIESTRATEGIA FIM CP IE</v>
          </cell>
        </row>
        <row r="16929">
          <cell r="B16929">
            <v>124638</v>
          </cell>
          <cell r="C16929" t="str">
            <v>FRAM CAPITAL PREVIDENCIA RV 20 FIM</v>
          </cell>
          <cell r="D16929" t="str">
            <v>FRAM CAPITAL PREVIDENCIA RV 20 FIM</v>
          </cell>
          <cell r="E16929" t="str">
            <v>FRAM CAPITAL GESTAO DE ATIVOS LTDA</v>
          </cell>
        </row>
        <row r="16930">
          <cell r="B16930">
            <v>124640</v>
          </cell>
          <cell r="C16930" t="str">
            <v>SANTANDER CACEIS BRASIL DTVM S.A.</v>
          </cell>
          <cell r="D16930" t="str">
            <v>SANTANDER CACEIS BRASIL DTVM S.A.</v>
          </cell>
          <cell r="E16930" t="str">
            <v>SANTANDER CACEIS BRASIL DTVM S.A.</v>
          </cell>
        </row>
        <row r="16931">
          <cell r="B16931">
            <v>124640</v>
          </cell>
          <cell r="C16931" t="str">
            <v>SANTANDER CACEIS BRASIL DTVM S.A.</v>
          </cell>
          <cell r="D16931" t="str">
            <v>SANTANDER CACEIS BRASIL DTVM S.A.</v>
          </cell>
          <cell r="E16931" t="str">
            <v>SANTANDER BRASIL GESTAO DE RECURSOS LTDA</v>
          </cell>
        </row>
        <row r="16932">
          <cell r="B16932">
            <v>124641</v>
          </cell>
          <cell r="C16932" t="str">
            <v>GAVEA MACRO MASTER FIM</v>
          </cell>
          <cell r="D16932" t="str">
            <v>GAVEA MACRO MASTER FIM</v>
          </cell>
          <cell r="E16932" t="str">
            <v>GAVEA MACRO MASTER FIM</v>
          </cell>
        </row>
        <row r="16933">
          <cell r="B16933">
            <v>124641</v>
          </cell>
          <cell r="C16933" t="str">
            <v>GAVEA MACRO MASTER FIM</v>
          </cell>
          <cell r="D16933" t="str">
            <v>GAVEA MACRO MASTER FIM</v>
          </cell>
          <cell r="E16933" t="str">
            <v>GAVEA MACRO MASTER FIM</v>
          </cell>
        </row>
        <row r="16934">
          <cell r="B16934">
            <v>124642</v>
          </cell>
          <cell r="C16934" t="str">
            <v>GAVEA MACRO MASTER FIM - IE</v>
          </cell>
          <cell r="D16934" t="str">
            <v>GAVEA MACRO MASTER FIM - IE</v>
          </cell>
          <cell r="E16934" t="str">
            <v>GAVEA MACRO MASTER FIM - IE</v>
          </cell>
        </row>
        <row r="16935">
          <cell r="B16935">
            <v>124642</v>
          </cell>
          <cell r="C16935" t="str">
            <v>GAVEA MACRO MASTER FIM - IE</v>
          </cell>
          <cell r="D16935" t="str">
            <v>GAVEA MACRO MASTER FIM - IE</v>
          </cell>
          <cell r="E16935" t="str">
            <v>GAVEA MACRO MASTER FIM - IE</v>
          </cell>
        </row>
        <row r="16936">
          <cell r="B16936">
            <v>124643</v>
          </cell>
          <cell r="C16936" t="str">
            <v>GAVEA MACRO DOLAR MASTER FIM</v>
          </cell>
          <cell r="D16936" t="str">
            <v>GAVEA MACRO DOLAR MASTER FIM</v>
          </cell>
          <cell r="E16936" t="str">
            <v>GAVEA MACRO DOLAR MASTER FIM</v>
          </cell>
        </row>
        <row r="16937">
          <cell r="B16937">
            <v>124644</v>
          </cell>
          <cell r="C16937" t="str">
            <v>GAVEA MACRO PLUS MASTER FIM</v>
          </cell>
          <cell r="D16937" t="str">
            <v>GAVEA MACRO PLUS MASTER FIM</v>
          </cell>
          <cell r="E16937" t="str">
            <v>GAVEA MACRO PLUS MASTER FIM</v>
          </cell>
        </row>
        <row r="16938">
          <cell r="B16938">
            <v>124645</v>
          </cell>
          <cell r="C16938" t="str">
            <v>GAVEA CAPITAL HOLDINGS LLC</v>
          </cell>
          <cell r="D16938" t="str">
            <v>GAVEA CAPITAL HOLDINGS LLC</v>
          </cell>
          <cell r="E16938" t="str">
            <v>GAVEA CAPITAL HOLDINGS LLC</v>
          </cell>
        </row>
        <row r="16939">
          <cell r="B16939">
            <v>124643</v>
          </cell>
          <cell r="C16939" t="str">
            <v>GAVEA MACRO DOLAR MASTER FIM</v>
          </cell>
          <cell r="D16939" t="str">
            <v>GAVEA MACRO DOLAR MASTER FIM</v>
          </cell>
          <cell r="E16939" t="str">
            <v>GAVEA MACRO DOLAR MASTER FIM</v>
          </cell>
        </row>
        <row r="16940">
          <cell r="B16940">
            <v>124644</v>
          </cell>
          <cell r="C16940" t="str">
            <v>GAVEA MACRO PLUS MASTER FIM</v>
          </cell>
          <cell r="D16940" t="str">
            <v>GAVEA MACRO PLUS MASTER FIM</v>
          </cell>
          <cell r="E16940" t="str">
            <v>GAVEA MACRO PLUS MASTER FIM</v>
          </cell>
        </row>
        <row r="16941">
          <cell r="B16941">
            <v>124645</v>
          </cell>
          <cell r="C16941" t="str">
            <v>GAVEA CAPITAL HOLDINGS LLC</v>
          </cell>
          <cell r="D16941" t="str">
            <v>GAVEA CAPITAL HOLDINGS LLC</v>
          </cell>
          <cell r="E16941" t="str">
            <v>GAVEA CAPITAL HOLDINGS LLC</v>
          </cell>
        </row>
        <row r="16942">
          <cell r="B16942">
            <v>124646</v>
          </cell>
          <cell r="C16942" t="str">
            <v>GBW CAPITAL HOLDINGS LLC</v>
          </cell>
          <cell r="D16942" t="str">
            <v>GBW CAPITAL HOLDINGS LLC</v>
          </cell>
          <cell r="E16942" t="str">
            <v>GBW CAPITAL HOLDINGS LLC</v>
          </cell>
        </row>
        <row r="16943">
          <cell r="B16943">
            <v>124646</v>
          </cell>
          <cell r="C16943" t="str">
            <v>GBW CAPITAL HOLDINGS LLC</v>
          </cell>
          <cell r="D16943" t="str">
            <v>GBW CAPITAL HOLDINGS LLC</v>
          </cell>
          <cell r="E16943" t="str">
            <v>GBW CAPITAL HOLDINGS LLC</v>
          </cell>
        </row>
        <row r="16944">
          <cell r="B16944">
            <v>124647</v>
          </cell>
          <cell r="C16944" t="str">
            <v>GF PLUS CAPITAL HOLDINGS LLC</v>
          </cell>
          <cell r="D16944" t="str">
            <v>GF PLUS CAPITAL HOLDINGS LLC</v>
          </cell>
          <cell r="E16944" t="str">
            <v>GF PLUS CAPITAL HOLDINGS LLC</v>
          </cell>
        </row>
        <row r="16945">
          <cell r="B16945">
            <v>124647</v>
          </cell>
          <cell r="C16945" t="str">
            <v>GF PLUS CAPITAL HOLDINGS LLC</v>
          </cell>
          <cell r="D16945" t="str">
            <v>GF PLUS CAPITAL HOLDINGS LLC</v>
          </cell>
          <cell r="E16945" t="str">
            <v>GF PLUS CAPITAL HOLDINGS LLC</v>
          </cell>
        </row>
        <row r="16946">
          <cell r="B16946">
            <v>80400</v>
          </cell>
          <cell r="C16946" t="str">
            <v>TELOS FUNDACAO EMBRATEL DE SEGURIDADE SOCIAL</v>
          </cell>
          <cell r="D16946" t="str">
            <v>TELOS FUNDACAO EMBRATEL DE SEGURIDADE SOCIAL</v>
          </cell>
          <cell r="E16946" t="str">
            <v>TELOS FUNDACAO EMBRATEL DE SEGURIDADE SOCIAL</v>
          </cell>
        </row>
        <row r="16947">
          <cell r="B16947">
            <v>80400</v>
          </cell>
          <cell r="C16947" t="str">
            <v>TELOS FUNDACAO EMBRATEL DE SEGURIDADE SOCIAL</v>
          </cell>
          <cell r="D16947" t="str">
            <v>TELOS FUNDACAO EMBRATEL DE SEGURIDADE SOCIAL</v>
          </cell>
          <cell r="E16947" t="str">
            <v>TELOS FUNDACAO EMBRATEL DE SEGURIDADE SOCIAL</v>
          </cell>
        </row>
        <row r="16948">
          <cell r="B16948">
            <v>80401</v>
          </cell>
          <cell r="C16948" t="str">
            <v>TELOS FUNDACAO EMBRATEL DE SEGURIDADE SOCIAL</v>
          </cell>
          <cell r="D16948" t="str">
            <v>TELOS FUNDACAO EMBRATEL DE SEGURIDADE SOCIAL</v>
          </cell>
          <cell r="E16948" t="str">
            <v>TELOS FUNDACAO EMBRATEL DE SEGURIDADE SOCIAL</v>
          </cell>
        </row>
        <row r="16949">
          <cell r="B16949">
            <v>80401</v>
          </cell>
          <cell r="C16949" t="str">
            <v>TELOS FUNDACAO EMBRATEL DE SEGURIDADE SOCIAL</v>
          </cell>
          <cell r="D16949" t="str">
            <v>TELOS FUNDACAO EMBRATEL DE SEGURIDADE SOCIAL</v>
          </cell>
          <cell r="E16949" t="str">
            <v>TELOS FUNDACAO EMBRATEL DE SEGURIDADE SOCIAL</v>
          </cell>
        </row>
        <row r="16950">
          <cell r="B16950">
            <v>124025</v>
          </cell>
          <cell r="C16950" t="str">
            <v>KONDOR EQUITY LONG BIASED FIM CP</v>
          </cell>
          <cell r="D16950" t="str">
            <v>KONDOR EQUITY LONG BIASED FIM CP</v>
          </cell>
          <cell r="E16950" t="str">
            <v>KONDOR EQUITY LONG BIASED FIM CP</v>
          </cell>
        </row>
        <row r="16951">
          <cell r="B16951">
            <v>82632</v>
          </cell>
          <cell r="C16951" t="str">
            <v>SAFRA ASSET CORRETORA DE TITULOS E VALORES MOBILIARIOS S.A.</v>
          </cell>
          <cell r="D16951">
            <v>366</v>
          </cell>
          <cell r="E16951" t="str">
            <v>EMERALD GESTAO DE INVESTIMENTOS LTDA</v>
          </cell>
        </row>
        <row r="16952">
          <cell r="B16952">
            <v>144511</v>
          </cell>
          <cell r="C16952" t="str">
            <v>BRAM - BRADESCO ASSET MANAGEMENT SA DTVM</v>
          </cell>
          <cell r="D16952" t="str">
            <v>BRAM - BRADESCO ASSET MANAGEMENT SA DTVM</v>
          </cell>
          <cell r="E16952" t="str">
            <v>BRAM - BRADESCO ASSET MANAGEMENT S/A DTVM</v>
          </cell>
        </row>
        <row r="16953">
          <cell r="B16953">
            <v>124648</v>
          </cell>
          <cell r="C16953" t="str">
            <v>BAHIA AM BRAZIL EQUITY FUND LLC</v>
          </cell>
          <cell r="D16953" t="str">
            <v>BAHIA AM BRAZIL EQUITY FUND LLC</v>
          </cell>
          <cell r="E16953" t="str">
            <v>BAHIA AM BRAZIL EQUITY FUND LLC</v>
          </cell>
        </row>
        <row r="16954">
          <cell r="B16954">
            <v>124648</v>
          </cell>
          <cell r="C16954" t="str">
            <v>BAHIA AM BRAZIL EQUITY FUND LLC</v>
          </cell>
          <cell r="D16954" t="str">
            <v>BAHIA AM BRAZIL EQUITY FUND LLC</v>
          </cell>
          <cell r="E16954" t="str">
            <v>BAHIA AM LTDA</v>
          </cell>
        </row>
        <row r="16955">
          <cell r="B16955">
            <v>12433</v>
          </cell>
          <cell r="C16955" t="str">
            <v>APEX CAPITAL LTDA</v>
          </cell>
          <cell r="D16955" t="str">
            <v>APEX CAPITAL LTDA</v>
          </cell>
          <cell r="E16955" t="str">
            <v>APEX CAPITAL LTDA</v>
          </cell>
        </row>
        <row r="16956">
          <cell r="B16956">
            <v>12433</v>
          </cell>
          <cell r="C16956" t="str">
            <v>APEX CAPITAL LTDA</v>
          </cell>
          <cell r="D16956" t="str">
            <v>APEX CAPITAL LTDA</v>
          </cell>
          <cell r="E16956" t="str">
            <v>APEX CAPITAL LTDA</v>
          </cell>
        </row>
        <row r="16957">
          <cell r="B16957">
            <v>124651</v>
          </cell>
          <cell r="C16957" t="str">
            <v>APEX MASTER LONG BIASED FIM</v>
          </cell>
          <cell r="D16957" t="str">
            <v>APEX MASTER LONG BIASED FIM</v>
          </cell>
          <cell r="E16957" t="str">
            <v>APEX MASTER LONG BIASED FIM</v>
          </cell>
        </row>
        <row r="16958">
          <cell r="B16958">
            <v>124651</v>
          </cell>
          <cell r="C16958" t="str">
            <v>APEX MASTER LONG BIASED FIM</v>
          </cell>
          <cell r="D16958" t="str">
            <v>APEX MASTER LONG BIASED FIM</v>
          </cell>
          <cell r="E16958" t="str">
            <v>APEX MASTER LONG BIASED FIM</v>
          </cell>
        </row>
        <row r="16959">
          <cell r="B16959">
            <v>124652</v>
          </cell>
          <cell r="C16959" t="str">
            <v>APEX EQUITY HEDGE STR FIM</v>
          </cell>
          <cell r="D16959" t="str">
            <v>APEX EQUITY HEDGE STR FIM</v>
          </cell>
          <cell r="E16959" t="str">
            <v>APEX EQUITY HEDGE STR FIM</v>
          </cell>
        </row>
        <row r="16960">
          <cell r="B16960">
            <v>124652</v>
          </cell>
          <cell r="C16960" t="str">
            <v>APEX EQUITY HEDGE STR FIM</v>
          </cell>
          <cell r="D16960" t="str">
            <v>APEX EQUITY HEDGE STR FIM</v>
          </cell>
          <cell r="E16960" t="str">
            <v>APEX EQUITY HEDGE STR FIM</v>
          </cell>
        </row>
        <row r="16961">
          <cell r="B16961">
            <v>124653</v>
          </cell>
          <cell r="C16961" t="str">
            <v>APEX EQUITY HEDGE FIF MULTIMERCADO RL</v>
          </cell>
          <cell r="D16961" t="str">
            <v>APEX EQUITY HEDGE FIF MULTIMERCADO RL</v>
          </cell>
          <cell r="E16961" t="str">
            <v>APEX EQUITY HEDGE FIF MULTIMERCADO RL</v>
          </cell>
        </row>
        <row r="16962">
          <cell r="B16962">
            <v>124653</v>
          </cell>
          <cell r="C16962" t="str">
            <v>APEX EQUITY HEDGE FIF MULTIMERCADO RL</v>
          </cell>
          <cell r="D16962" t="str">
            <v>APEX EQUITY HEDGE FIF MULTIMERCADO RL</v>
          </cell>
          <cell r="E16962" t="str">
            <v>APEX EQUITY HEDGE FIF MULTIMERCADO RL</v>
          </cell>
        </row>
        <row r="16963">
          <cell r="B16963">
            <v>124654</v>
          </cell>
          <cell r="C16963" t="str">
            <v>FIA SAO CONRADO</v>
          </cell>
          <cell r="D16963" t="str">
            <v>FIA SAO CONRADO</v>
          </cell>
          <cell r="E16963" t="str">
            <v>FIA SAO CONRADO</v>
          </cell>
        </row>
        <row r="16964">
          <cell r="B16964">
            <v>124654</v>
          </cell>
          <cell r="C16964" t="str">
            <v>FIA SAO CONRADO</v>
          </cell>
          <cell r="D16964" t="str">
            <v>FIA SAO CONRADO</v>
          </cell>
          <cell r="E16964" t="str">
            <v>FIA SAO CONRADO</v>
          </cell>
        </row>
        <row r="16965">
          <cell r="B16965">
            <v>124655</v>
          </cell>
          <cell r="C16965" t="str">
            <v>APEX INFINITY MASTER LONG BIASED FIA</v>
          </cell>
          <cell r="D16965" t="str">
            <v>APEX INFINITY MASTER LONG BIASED FIA</v>
          </cell>
          <cell r="E16965" t="str">
            <v>APEX INFINITY MASTER LONG BIASED FIA</v>
          </cell>
        </row>
        <row r="16966">
          <cell r="B16966">
            <v>124655</v>
          </cell>
          <cell r="C16966" t="str">
            <v>APEX INFINITY MASTER LONG BIASED FIA</v>
          </cell>
          <cell r="D16966" t="str">
            <v>APEX INFINITY MASTER LONG BIASED FIA</v>
          </cell>
          <cell r="E16966" t="str">
            <v>APEX INFINITY MASTER LONG BIASED FIA</v>
          </cell>
        </row>
        <row r="16967">
          <cell r="B16967">
            <v>124656</v>
          </cell>
          <cell r="C16967" t="str">
            <v>APEX MASTER FIA</v>
          </cell>
          <cell r="D16967" t="str">
            <v>APEX MASTER FIA</v>
          </cell>
          <cell r="E16967" t="str">
            <v>APEX MASTER FIA</v>
          </cell>
        </row>
        <row r="16968">
          <cell r="B16968">
            <v>124656</v>
          </cell>
          <cell r="C16968" t="str">
            <v>APEX MASTER FIA</v>
          </cell>
          <cell r="D16968" t="str">
            <v>APEX MASTER FIA</v>
          </cell>
          <cell r="E16968" t="str">
            <v>APEX MASTER FIA</v>
          </cell>
        </row>
        <row r="16969">
          <cell r="B16969">
            <v>124657</v>
          </cell>
          <cell r="C16969" t="str">
            <v>APEX LONG BIASED ICATU FIA PREVIDENCIARIO FIFE</v>
          </cell>
          <cell r="D16969" t="str">
            <v>APEX LONG BIASED ICATU FIA PREVIDENCIARIO FIFE</v>
          </cell>
          <cell r="E16969" t="str">
            <v>APEX LONG BIASED ICATU FIA PREVIDENCIARIO FIFE</v>
          </cell>
        </row>
        <row r="16970">
          <cell r="B16970">
            <v>124657</v>
          </cell>
          <cell r="C16970" t="str">
            <v>APEX LONG BIASED ICATU FIA PREVIDENCIARIO FIFE</v>
          </cell>
          <cell r="D16970" t="str">
            <v>APEX LONG BIASED ICATU FIA PREVIDENCIARIO FIFE</v>
          </cell>
          <cell r="E16970" t="str">
            <v>APEX LONG BIASED ICATU FIA PREVIDENCIARIO FIFE</v>
          </cell>
        </row>
        <row r="16971">
          <cell r="B16971">
            <v>124659</v>
          </cell>
          <cell r="C16971" t="str">
            <v>SANTANDER CACEIS BRASIL DTVM S.A.</v>
          </cell>
          <cell r="D16971" t="str">
            <v>SANTANDER CACEIS BRASIL DTVM S.A.</v>
          </cell>
          <cell r="E16971" t="str">
            <v>SANTANDER BRASIL GESTAO DE RECURSOS LTDA</v>
          </cell>
        </row>
        <row r="16972">
          <cell r="B16972">
            <v>124659</v>
          </cell>
          <cell r="C16972" t="str">
            <v>SANTANDER CACEIS BRASIL DTVM S.A.</v>
          </cell>
          <cell r="D16972" t="str">
            <v>SANTANDER CACEIS BRASIL DTVM S.A.</v>
          </cell>
          <cell r="E16972" t="str">
            <v>SANTANDER CACEIS BRASIL DTVM S.A.</v>
          </cell>
        </row>
        <row r="16973">
          <cell r="B16973">
            <v>12432</v>
          </cell>
          <cell r="C16973" t="str">
            <v>M ASSET MANAGEMENT LTDA</v>
          </cell>
          <cell r="D16973" t="str">
            <v>M ASSET MANAGEMENT LTDA</v>
          </cell>
          <cell r="E16973" t="str">
            <v>M ASSET MANAGEMENT LTDA</v>
          </cell>
        </row>
        <row r="16974">
          <cell r="B16974">
            <v>12432</v>
          </cell>
          <cell r="C16974" t="str">
            <v>M ASSET MANAGEMENT LTDA</v>
          </cell>
          <cell r="D16974" t="str">
            <v>M ASSET MANAGEMENT LTDA</v>
          </cell>
          <cell r="E16974" t="str">
            <v>M ASSET MANAGEMENT LTDA</v>
          </cell>
        </row>
        <row r="16975">
          <cell r="B16975">
            <v>124649</v>
          </cell>
          <cell r="C16975" t="str">
            <v>JMP INVEST FIM CP IE</v>
          </cell>
          <cell r="D16975" t="str">
            <v>JMP INVEST FIM CP IE</v>
          </cell>
          <cell r="E16975" t="str">
            <v>M ASSET MANAGEMENT LTDA</v>
          </cell>
        </row>
        <row r="16976">
          <cell r="B16976">
            <v>124649</v>
          </cell>
          <cell r="C16976" t="str">
            <v>JMP INVEST FIM CP IE</v>
          </cell>
          <cell r="D16976" t="str">
            <v>JMP INVEST FIM CP IE</v>
          </cell>
          <cell r="E16976" t="str">
            <v>M ASSET MANAGEMENT LTDA</v>
          </cell>
        </row>
        <row r="16977">
          <cell r="B16977">
            <v>124650</v>
          </cell>
          <cell r="C16977" t="str">
            <v>CM CAPITAL EQUITY HEDGE FIA</v>
          </cell>
          <cell r="D16977" t="str">
            <v>CM CAPITAL EQUITY HEDGE FIA</v>
          </cell>
          <cell r="E16977" t="str">
            <v>CM CAPITAL MARKETS CCTVM LTDA</v>
          </cell>
        </row>
        <row r="16978">
          <cell r="B16978">
            <v>124650</v>
          </cell>
          <cell r="C16978" t="str">
            <v>CM CAPITAL EQUITY HEDGE FIA</v>
          </cell>
          <cell r="D16978" t="str">
            <v>CM CAPITAL EQUITY HEDGE FIA</v>
          </cell>
          <cell r="E16978" t="str">
            <v>CM CAPITAL MARKETS CCTVM LTDA</v>
          </cell>
        </row>
        <row r="16979">
          <cell r="B16979">
            <v>80403</v>
          </cell>
          <cell r="C16979" t="str">
            <v>CENTURIA INVESTIMENTOS LTDA</v>
          </cell>
          <cell r="D16979" t="str">
            <v>CENTURIA INVESTIMENTOS LTDA</v>
          </cell>
          <cell r="E16979" t="str">
            <v>CENTURIA INVESTIMENTOS LTDA</v>
          </cell>
        </row>
        <row r="16980">
          <cell r="B16980">
            <v>80403</v>
          </cell>
          <cell r="C16980" t="str">
            <v>CENTURIA INVESTIMENTOS LTDA</v>
          </cell>
          <cell r="D16980" t="str">
            <v>CENTURIA INVESTIMENTOS LTDA</v>
          </cell>
          <cell r="E16980" t="str">
            <v>CENTURIA INVESTIMENTOS LTDA</v>
          </cell>
        </row>
        <row r="16981">
          <cell r="B16981">
            <v>124660</v>
          </cell>
          <cell r="C16981" t="str">
            <v>BB GESTAO DE RECURSOS DTVM LTDA</v>
          </cell>
          <cell r="D16981" t="str">
            <v>BB GESTAO DE RECURSOS DTVM LTDA</v>
          </cell>
          <cell r="E16981" t="str">
            <v>BB GESTAO DE RECURSOS DTVM LTDA</v>
          </cell>
        </row>
        <row r="16982">
          <cell r="B16982">
            <v>124661</v>
          </cell>
          <cell r="C16982" t="str">
            <v>DAHLIA TOTAL RETURN MASTER FIF MULTIMERCADO RL</v>
          </cell>
          <cell r="D16982" t="str">
            <v>DAHLIA TOTAL RETURN MASTER FIF MULTIMERCADO RL</v>
          </cell>
          <cell r="E16982" t="str">
            <v>DAHLIA CAPITAL GESTAO DE RECURSOS LTDA</v>
          </cell>
        </row>
        <row r="16983">
          <cell r="B16983">
            <v>124658</v>
          </cell>
          <cell r="C16983" t="str">
            <v>LA HOLDINGS (LUXEMBOURG) S/A</v>
          </cell>
          <cell r="D16983" t="str">
            <v>LA HOLDINGS (LUXEMBOURG) S/A</v>
          </cell>
          <cell r="E16983" t="str">
            <v>APEX CAPITAL LTDA</v>
          </cell>
        </row>
        <row r="16984">
          <cell r="B16984">
            <v>124658</v>
          </cell>
          <cell r="C16984" t="str">
            <v>LA HOLDINGS (LUXEMBOURG) S/A</v>
          </cell>
          <cell r="D16984" t="str">
            <v>LA HOLDINGS (LUXEMBOURG) S/A</v>
          </cell>
          <cell r="E16984" t="str">
            <v>APEX CAPITAL LTDA</v>
          </cell>
        </row>
        <row r="16985">
          <cell r="B16985">
            <v>124662</v>
          </cell>
          <cell r="C16985" t="str">
            <v>FPRV QUEST GAIVOTA FIA</v>
          </cell>
          <cell r="D16985" t="str">
            <v>FPRV QUEST GAIVOTA FIA</v>
          </cell>
          <cell r="E16985" t="str">
            <v>AZ QUEST INVESTIMENTOS LTDA</v>
          </cell>
        </row>
        <row r="16986">
          <cell r="B16986">
            <v>124662</v>
          </cell>
          <cell r="C16986" t="str">
            <v>FPRV QUEST GAIVOTA FIA</v>
          </cell>
          <cell r="D16986" t="str">
            <v>FPRV QUEST GAIVOTA FIA</v>
          </cell>
          <cell r="E16986" t="str">
            <v>AZ QUEST INVESTIMENTOS LTDA</v>
          </cell>
        </row>
        <row r="16987">
          <cell r="B16987">
            <v>124663</v>
          </cell>
          <cell r="C16987" t="str">
            <v>SANTANDER CACEIS BRASIL DTVM S.A.</v>
          </cell>
          <cell r="D16987" t="str">
            <v>SANTANDER CACEIS BRASIL DTVM S.A.</v>
          </cell>
          <cell r="E16987" t="str">
            <v>SANTANDER BRASIL GESTAO DE RECURSOS LTDA</v>
          </cell>
        </row>
        <row r="16988">
          <cell r="B16988">
            <v>124663</v>
          </cell>
          <cell r="C16988" t="str">
            <v>SANTANDER CACEIS BRASIL DTVM S.A.</v>
          </cell>
          <cell r="D16988" t="str">
            <v>SANTANDER CACEIS BRASIL DTVM S.A.</v>
          </cell>
          <cell r="E16988" t="str">
            <v>SANTANDER CACEIS BRASIL DTVM S.A.</v>
          </cell>
        </row>
        <row r="16989">
          <cell r="B16989">
            <v>80404</v>
          </cell>
          <cell r="C16989" t="str">
            <v>BANCO ABN AMRO CLEARING S.A.</v>
          </cell>
          <cell r="D16989" t="str">
            <v>BANCO ABN AMRO CLEARING S.A.</v>
          </cell>
          <cell r="E16989" t="str">
            <v>BANCO ABN AMRO S/A</v>
          </cell>
        </row>
        <row r="16990">
          <cell r="B16990">
            <v>80405</v>
          </cell>
          <cell r="C16990" t="str">
            <v>BB GESTAO DE RECURSOS DTVM LTDA</v>
          </cell>
          <cell r="D16990" t="str">
            <v>BB GESTAO DE RECURSOS DTVM LTDA</v>
          </cell>
          <cell r="E16990" t="str">
            <v>BB GESTAO DE RECURSOS DTVM LTDA</v>
          </cell>
        </row>
        <row r="16991">
          <cell r="B16991">
            <v>80405</v>
          </cell>
          <cell r="C16991" t="str">
            <v>BB GESTAO DE RECURSOS DTVM LTDA</v>
          </cell>
          <cell r="D16991" t="str">
            <v>BB GESTAO DE RECURSOS DTVM LTDA</v>
          </cell>
          <cell r="E16991" t="str">
            <v>BB GESTAO DE RECURSOS DTVM LTDA</v>
          </cell>
        </row>
        <row r="16992">
          <cell r="B16992">
            <v>80407</v>
          </cell>
          <cell r="C16992" t="str">
            <v>VINCI EQUITIES GESTORA DE RECURSOS LTDA</v>
          </cell>
          <cell r="D16992" t="str">
            <v>VINCI EQUITIES GESTORA DE RECURSOS LTDA</v>
          </cell>
          <cell r="E16992" t="str">
            <v>VINCI GESTORA DE RECURSOS LTDA</v>
          </cell>
        </row>
        <row r="16993">
          <cell r="B16993">
            <v>80407</v>
          </cell>
          <cell r="C16993" t="str">
            <v>VINCI EQUITIES GESTORA DE RECURSOS LTDA</v>
          </cell>
          <cell r="D16993" t="str">
            <v>VINCI EQUITIES GESTORA DE RECURSOS LTDA</v>
          </cell>
          <cell r="E16993" t="str">
            <v>VINCI GESTORA DE RECURSOS LTDA</v>
          </cell>
        </row>
        <row r="16994">
          <cell r="B16994">
            <v>124664</v>
          </cell>
          <cell r="C16994" t="str">
            <v>TRUXT MACRO PREVIDENCIARIO FIFE FIM</v>
          </cell>
          <cell r="D16994" t="str">
            <v>TRUXT MACRO PREVIDENCIARIO FIFE FIM</v>
          </cell>
          <cell r="E16994" t="str">
            <v>TRUXT INVESTIMENTOS LTDA</v>
          </cell>
        </row>
        <row r="16995">
          <cell r="B16995">
            <v>124665</v>
          </cell>
          <cell r="C16995" t="str">
            <v>FCOPEL  FIA II</v>
          </cell>
          <cell r="D16995" t="str">
            <v>FCOPEL  FIA II</v>
          </cell>
          <cell r="E16995" t="str">
            <v>AZ QUEST INVESTIMENTOS LTDA</v>
          </cell>
        </row>
        <row r="16996">
          <cell r="B16996">
            <v>124665</v>
          </cell>
          <cell r="C16996" t="str">
            <v>FCOPEL  FIA II</v>
          </cell>
          <cell r="D16996" t="str">
            <v>FCOPEL  FIA II</v>
          </cell>
          <cell r="E16996" t="str">
            <v>AZ QUEST INVESTIMENTOS LTDA</v>
          </cell>
        </row>
        <row r="16997">
          <cell r="B16997">
            <v>124666</v>
          </cell>
          <cell r="C16997" t="str">
            <v>SANTANDER CACEIS BRASIL DTVM S.A.</v>
          </cell>
          <cell r="D16997" t="str">
            <v>SANTANDER CACEIS BRASIL DTVM S.A.</v>
          </cell>
          <cell r="E16997" t="str">
            <v>SANTANDER BRASIL GESTAO DE RECURSOS LTDA</v>
          </cell>
        </row>
        <row r="16998">
          <cell r="B16998">
            <v>124666</v>
          </cell>
          <cell r="C16998" t="str">
            <v>SANTANDER CACEIS BRASIL DTVM S.A.</v>
          </cell>
          <cell r="D16998" t="str">
            <v>SANTANDER CACEIS BRASIL DTVM S.A.</v>
          </cell>
          <cell r="E16998" t="str">
            <v>SANTANDER CACEIS BRASIL DTVM S.A.</v>
          </cell>
        </row>
        <row r="16999">
          <cell r="B16999">
            <v>124667</v>
          </cell>
          <cell r="C16999" t="str">
            <v>BRADESCO FIM OMEGA</v>
          </cell>
          <cell r="D16999" t="str">
            <v>BRADESCO FIM OMEGA</v>
          </cell>
          <cell r="E16999" t="str">
            <v>BRAM - BRADESCO ASSET MANAGEMENT S/A DTVM</v>
          </cell>
        </row>
        <row r="17000">
          <cell r="B17000">
            <v>124667</v>
          </cell>
          <cell r="C17000" t="str">
            <v>BRADESCO FIM OMEGA</v>
          </cell>
          <cell r="D17000" t="str">
            <v>BRADESCO FIM OMEGA</v>
          </cell>
          <cell r="E17000" t="str">
            <v>BRAM - BRADESCO ASSET MANAGEMENT S/A DTVM</v>
          </cell>
        </row>
        <row r="17001">
          <cell r="B17001">
            <v>124679</v>
          </cell>
          <cell r="C17001" t="str">
            <v>SANTANDER CACEIS BRASIL DTVM S.A.</v>
          </cell>
          <cell r="D17001" t="str">
            <v>SANTANDER CACEIS BRASIL DTVM S.A.</v>
          </cell>
          <cell r="E17001" t="str">
            <v>SANTANDER BRASIL GESTAO DE RECURSOS LTDA</v>
          </cell>
        </row>
        <row r="17002">
          <cell r="B17002">
            <v>124679</v>
          </cell>
          <cell r="C17002" t="str">
            <v>SANTANDER CACEIS BRASIL DTVM S.A.</v>
          </cell>
          <cell r="D17002" t="str">
            <v>SANTANDER CACEIS BRASIL DTVM S.A.</v>
          </cell>
          <cell r="E17002" t="str">
            <v>SANTANDER CACEIS BRASIL DTVM S.A.</v>
          </cell>
        </row>
        <row r="17003">
          <cell r="B17003">
            <v>124680</v>
          </cell>
          <cell r="C17003" t="str">
            <v>SANTANDER CACEIS BRASIL DTVM S.A.</v>
          </cell>
          <cell r="D17003" t="str">
            <v>SANTANDER CACEIS BRASIL DTVM S.A.</v>
          </cell>
          <cell r="E17003" t="str">
            <v>SANTANDER BRASIL GESTAO DE RECURSOS LTDA</v>
          </cell>
        </row>
        <row r="17004">
          <cell r="B17004">
            <v>124680</v>
          </cell>
          <cell r="C17004" t="str">
            <v>SANTANDER CACEIS BRASIL DTVM S.A.</v>
          </cell>
          <cell r="D17004" t="str">
            <v>SANTANDER CACEIS BRASIL DTVM S.A.</v>
          </cell>
          <cell r="E17004" t="str">
            <v>SANTANDER CACEIS BRASIL DTVM S.A.</v>
          </cell>
        </row>
        <row r="17005">
          <cell r="B17005">
            <v>124668</v>
          </cell>
          <cell r="C17005" t="str">
            <v>CARLOS JOSE SEPPE MILANI</v>
          </cell>
          <cell r="D17005" t="str">
            <v>CARLOS JOSE SEPPE MILANI</v>
          </cell>
          <cell r="E17005" t="str">
            <v>CARLOS JOSE SEPPE MILANI</v>
          </cell>
        </row>
        <row r="17006">
          <cell r="B17006">
            <v>124668</v>
          </cell>
          <cell r="C17006" t="str">
            <v>CARLOS JOSE SEPPE MILANI</v>
          </cell>
          <cell r="D17006" t="str">
            <v>CARLOS JOSE SEPPE MILANI</v>
          </cell>
          <cell r="E17006" t="str">
            <v>CARLOS JOSE SEPPE MILANI</v>
          </cell>
        </row>
        <row r="17007">
          <cell r="B17007">
            <v>124669</v>
          </cell>
          <cell r="C17007" t="str">
            <v>SOMMA QP1 FIM</v>
          </cell>
          <cell r="D17007" t="str">
            <v>SOMMA QP1 FIM</v>
          </cell>
          <cell r="E17007" t="str">
            <v>SOMMA INVESTIMENTOS S.A</v>
          </cell>
        </row>
        <row r="17008">
          <cell r="B17008">
            <v>124669</v>
          </cell>
          <cell r="C17008" t="str">
            <v>SOMMA QP1 FIM</v>
          </cell>
          <cell r="D17008" t="str">
            <v>SOMMA QP1 FIM</v>
          </cell>
          <cell r="E17008" t="str">
            <v>SOMMA QP1 FIM</v>
          </cell>
        </row>
        <row r="17009">
          <cell r="B17009">
            <v>124670</v>
          </cell>
          <cell r="C17009" t="str">
            <v>SOMMA OABPREV SC FIM CP</v>
          </cell>
          <cell r="D17009" t="str">
            <v>SOMMA OABPREV SC FIM CP</v>
          </cell>
          <cell r="E17009" t="str">
            <v>SOMMA INVESTIMENTOS S.A</v>
          </cell>
        </row>
        <row r="17010">
          <cell r="B17010">
            <v>124670</v>
          </cell>
          <cell r="C17010" t="str">
            <v>SOMMA OABPREV SC FIM CP</v>
          </cell>
          <cell r="D17010" t="str">
            <v>SOMMA OABPREV SC FIM CP</v>
          </cell>
          <cell r="E17010" t="str">
            <v>SOMMA OABPREV SC FIM CP</v>
          </cell>
        </row>
        <row r="17011">
          <cell r="B17011">
            <v>124671</v>
          </cell>
          <cell r="C17011" t="str">
            <v>FIM CP SOMMA CECRED</v>
          </cell>
          <cell r="D17011" t="str">
            <v>FIM CP SOMMA CECRED</v>
          </cell>
          <cell r="E17011" t="str">
            <v>FIM CP SOMMA CECRED</v>
          </cell>
        </row>
        <row r="17012">
          <cell r="B17012">
            <v>124671</v>
          </cell>
          <cell r="C17012" t="str">
            <v>FIM CP SOMMA CECRED</v>
          </cell>
          <cell r="D17012" t="str">
            <v>FIM CP SOMMA CECRED</v>
          </cell>
          <cell r="E17012" t="str">
            <v>SOMMA INVESTIMENTOS S.A</v>
          </cell>
        </row>
        <row r="17013">
          <cell r="B17013">
            <v>124672</v>
          </cell>
          <cell r="C17013" t="str">
            <v>FIM FMASA CP LP</v>
          </cell>
          <cell r="D17013" t="str">
            <v>FIM FMASA CP LP</v>
          </cell>
          <cell r="E17013" t="str">
            <v>SOMMA INVESTIMENTOS S.A</v>
          </cell>
        </row>
        <row r="17014">
          <cell r="B17014">
            <v>124672</v>
          </cell>
          <cell r="C17014" t="str">
            <v>FIM FMASA CP LP</v>
          </cell>
          <cell r="D17014" t="str">
            <v>FIM FMASA CP LP</v>
          </cell>
          <cell r="E17014" t="str">
            <v>FIM FMASA CP LP</v>
          </cell>
        </row>
        <row r="17015">
          <cell r="B17015">
            <v>124673</v>
          </cell>
          <cell r="C17015" t="str">
            <v>FIM CP LP SOMMA MULTI ESTRATEGIAS II</v>
          </cell>
          <cell r="D17015" t="str">
            <v>FIM CP LP SOMMA MULTI ESTRATEGIAS II</v>
          </cell>
          <cell r="E17015" t="str">
            <v>SOMMA INVESTIMENTOS S.A</v>
          </cell>
        </row>
        <row r="17016">
          <cell r="B17016">
            <v>124673</v>
          </cell>
          <cell r="C17016" t="str">
            <v>FIM CP LP SOMMA MULTI ESTRATEGIAS II</v>
          </cell>
          <cell r="D17016" t="str">
            <v>FIM CP LP SOMMA MULTI ESTRATEGIAS II</v>
          </cell>
          <cell r="E17016" t="str">
            <v>FIM CP LP SOMMA MULTI ESTRATEGIAS II</v>
          </cell>
        </row>
        <row r="17017">
          <cell r="B17017">
            <v>124674</v>
          </cell>
          <cell r="C17017" t="str">
            <v>FIA SOMMA PREMIUM</v>
          </cell>
          <cell r="D17017" t="str">
            <v>FIA SOMMA PREMIUM</v>
          </cell>
          <cell r="E17017" t="str">
            <v>SOMMA INVESTIMENTOS S.A</v>
          </cell>
        </row>
        <row r="17018">
          <cell r="B17018">
            <v>124674</v>
          </cell>
          <cell r="C17018" t="str">
            <v>FIA SOMMA PREMIUM</v>
          </cell>
          <cell r="D17018" t="str">
            <v>FIA SOMMA PREMIUM</v>
          </cell>
          <cell r="E17018" t="str">
            <v>FIA SOMMA PREMIUM</v>
          </cell>
        </row>
        <row r="17019">
          <cell r="B17019">
            <v>124675</v>
          </cell>
          <cell r="C17019" t="str">
            <v>UNICRED FIM CP</v>
          </cell>
          <cell r="D17019" t="str">
            <v>UNICRED FIM CP</v>
          </cell>
          <cell r="E17019" t="str">
            <v>SOMMA INVESTIMENTOS S.A</v>
          </cell>
        </row>
        <row r="17020">
          <cell r="B17020">
            <v>124675</v>
          </cell>
          <cell r="C17020" t="str">
            <v>UNICRED FIM CP</v>
          </cell>
          <cell r="D17020" t="str">
            <v>UNICRED FIM CP</v>
          </cell>
          <cell r="E17020" t="str">
            <v>UNICRED FIM CP</v>
          </cell>
        </row>
        <row r="17021">
          <cell r="B17021">
            <v>124676</v>
          </cell>
          <cell r="C17021" t="str">
            <v>SOMMA MAXIMUS FIM CP</v>
          </cell>
          <cell r="D17021" t="str">
            <v>SOMMA MAXIMUS FIM CP</v>
          </cell>
          <cell r="E17021" t="str">
            <v>SOMMA INVESTIMENTOS S.A</v>
          </cell>
        </row>
        <row r="17022">
          <cell r="B17022">
            <v>124676</v>
          </cell>
          <cell r="C17022" t="str">
            <v>SOMMA MAXIMUS FIM CP</v>
          </cell>
          <cell r="D17022" t="str">
            <v>SOMMA MAXIMUS FIM CP</v>
          </cell>
          <cell r="E17022" t="str">
            <v>SOMMA INVESTIMENTOS S.A</v>
          </cell>
        </row>
        <row r="17023">
          <cell r="B17023">
            <v>124677</v>
          </cell>
          <cell r="C17023" t="str">
            <v>SOMMA FIM CP NACIONAL UNICRED IE</v>
          </cell>
          <cell r="D17023" t="str">
            <v>SOMMA FIM CP NACIONAL UNICRED IE</v>
          </cell>
          <cell r="E17023" t="str">
            <v>SOMMA FIM CP NACIONAL UNICRED IE</v>
          </cell>
        </row>
        <row r="17024">
          <cell r="B17024">
            <v>124677</v>
          </cell>
          <cell r="C17024" t="str">
            <v>SOMMA FIM CP NACIONAL UNICRED IE</v>
          </cell>
          <cell r="D17024" t="str">
            <v>SOMMA FIM CP NACIONAL UNICRED IE</v>
          </cell>
          <cell r="E17024" t="str">
            <v>SOMMA INVESTIMENTOS S.A</v>
          </cell>
        </row>
        <row r="17025">
          <cell r="B17025">
            <v>124678</v>
          </cell>
          <cell r="C17025" t="str">
            <v>SOMMA MAC FIM CP</v>
          </cell>
          <cell r="D17025" t="str">
            <v>SOMMA MAC FIM CP</v>
          </cell>
          <cell r="E17025" t="str">
            <v>SOMMA INVESTIMENTOS S.A</v>
          </cell>
        </row>
        <row r="17026">
          <cell r="B17026">
            <v>124678</v>
          </cell>
          <cell r="C17026" t="str">
            <v>SOMMA MAC FIM CP</v>
          </cell>
          <cell r="D17026" t="str">
            <v>SOMMA MAC FIM CP</v>
          </cell>
          <cell r="E17026" t="str">
            <v>SOMMA MAC FIM CP</v>
          </cell>
        </row>
        <row r="17027">
          <cell r="B17027">
            <v>124681</v>
          </cell>
          <cell r="C17027" t="str">
            <v>DHF FUNDO DE INVESTIMENTO FINANCEIRO</v>
          </cell>
          <cell r="D17027" t="str">
            <v>DHF FUNDO DE INVESTIMENTO FINANCEIRO</v>
          </cell>
          <cell r="E17027" t="str">
            <v>DYNAMO ADMINISTRACAO DE RECURSOS LTDA</v>
          </cell>
        </row>
        <row r="17028">
          <cell r="B17028">
            <v>124682</v>
          </cell>
          <cell r="C17028" t="str">
            <v>ALFA 1117 FIA IE IP</v>
          </cell>
          <cell r="D17028" t="str">
            <v>ALFA 1117 FIA IE IP</v>
          </cell>
          <cell r="E17028" t="str">
            <v>ALFA 1117 FIA IE IP</v>
          </cell>
        </row>
        <row r="17029">
          <cell r="B17029">
            <v>124682</v>
          </cell>
          <cell r="C17029" t="str">
            <v>ALFA 1117 FIA IE IP</v>
          </cell>
          <cell r="D17029" t="str">
            <v>ALFA 1117 FIA IE IP</v>
          </cell>
          <cell r="E17029" t="str">
            <v>ALFA 1117 FIA IE IP</v>
          </cell>
        </row>
        <row r="17030">
          <cell r="B17030">
            <v>124683</v>
          </cell>
          <cell r="C17030" t="str">
            <v>ENERPREV FIA</v>
          </cell>
          <cell r="D17030" t="str">
            <v>ENERPREV FIA</v>
          </cell>
          <cell r="E17030" t="str">
            <v>ENERPREV FIA</v>
          </cell>
        </row>
        <row r="17031">
          <cell r="B17031">
            <v>124683</v>
          </cell>
          <cell r="C17031" t="str">
            <v>ENERPREV FIA</v>
          </cell>
          <cell r="D17031" t="str">
            <v>ENERPREV FIA</v>
          </cell>
          <cell r="E17031" t="str">
            <v>ENERPREV FIA</v>
          </cell>
        </row>
        <row r="17032">
          <cell r="B17032">
            <v>80408</v>
          </cell>
          <cell r="C17032" t="str">
            <v>VINCI SOLUÃ‡Ã•ES DE INVESTIMENTOS LTDA</v>
          </cell>
          <cell r="D17032" t="str">
            <v>VINCI SOLUÃ‡Ã•ES DE INVESTIMENTOS LTDA</v>
          </cell>
          <cell r="E17032" t="str">
            <v>VINCI GESTORA DE RECURSOS LTDA</v>
          </cell>
        </row>
        <row r="17033">
          <cell r="B17033">
            <v>80408</v>
          </cell>
          <cell r="C17033" t="str">
            <v>VINCI SOLUÃ‡Ã•ES DE INVESTIMENTOS LTDA</v>
          </cell>
          <cell r="D17033" t="str">
            <v>VINCI SOLUÃ‡Ã•ES DE INVESTIMENTOS LTDA</v>
          </cell>
          <cell r="E17033" t="str">
            <v>VINCI GESTORA DE RECURSOS LTDA</v>
          </cell>
        </row>
        <row r="17034">
          <cell r="B17034">
            <v>124684</v>
          </cell>
          <cell r="C17034" t="str">
            <v>CITIPREVI TITANIUM FIA</v>
          </cell>
          <cell r="D17034" t="str">
            <v>CITIPREVI TITANIUM FIA</v>
          </cell>
          <cell r="E17034" t="str">
            <v>WESTERN ASSET MANAGEMENT COMPANY DTVM LTDA</v>
          </cell>
        </row>
        <row r="17035">
          <cell r="B17035">
            <v>124684</v>
          </cell>
          <cell r="C17035" t="str">
            <v>CITIPREVI TITANIUM FIA</v>
          </cell>
          <cell r="D17035" t="str">
            <v>CITIPREVI TITANIUM FIA</v>
          </cell>
          <cell r="E17035" t="str">
            <v>WESTERN ASSET MANAGEMENT COMPANY DTVM LTDA</v>
          </cell>
        </row>
        <row r="17036">
          <cell r="B17036">
            <v>124685</v>
          </cell>
          <cell r="C17036" t="str">
            <v>FP SANTANDER TOTAL RETURN FIA</v>
          </cell>
          <cell r="D17036" t="str">
            <v>FP SANTANDER TOTAL RETURN FIA</v>
          </cell>
          <cell r="E17036" t="str">
            <v>SANTANDER BRASIL GESTAO DE RECURSOS LTDA</v>
          </cell>
        </row>
        <row r="17037">
          <cell r="B17037">
            <v>124685</v>
          </cell>
          <cell r="C17037" t="str">
            <v>FP SANTANDER TOTAL RETURN FIA</v>
          </cell>
          <cell r="D17037" t="str">
            <v>FP SANTANDER TOTAL RETURN FIA</v>
          </cell>
          <cell r="E17037" t="str">
            <v>SANTANDER BRASIL GESTAO DE RECURSOS LTDA</v>
          </cell>
        </row>
        <row r="17038">
          <cell r="B17038">
            <v>124692</v>
          </cell>
          <cell r="C17038" t="str">
            <v>GIANDA FIM CP IE</v>
          </cell>
          <cell r="D17038" t="str">
            <v>GIANDA FIM CP IE</v>
          </cell>
          <cell r="E17038" t="str">
            <v>MANDATTO GESTAO DE INVESTIMENTOS LTDA</v>
          </cell>
        </row>
        <row r="17039">
          <cell r="B17039">
            <v>124692</v>
          </cell>
          <cell r="C17039" t="str">
            <v>GIANDA FIM CP IE</v>
          </cell>
          <cell r="D17039" t="str">
            <v>GIANDA FIM CP IE</v>
          </cell>
          <cell r="E17039" t="str">
            <v>MANDATTO GESTAO DE INVESTIMENTOS LTDA</v>
          </cell>
        </row>
        <row r="17040">
          <cell r="B17040">
            <v>12434</v>
          </cell>
          <cell r="C17040" t="str">
            <v>META ASSET MANAGEMENT LTDA</v>
          </cell>
          <cell r="D17040" t="str">
            <v>META ASSET MANAGEMENT LTDA</v>
          </cell>
          <cell r="E17040" t="str">
            <v>META ASSET MANAGEMENT LTDA</v>
          </cell>
        </row>
        <row r="17041">
          <cell r="B17041">
            <v>12434</v>
          </cell>
          <cell r="C17041" t="str">
            <v>META ASSET MANAGEMENT LTDA</v>
          </cell>
          <cell r="D17041" t="str">
            <v>META ASSET MANAGEMENT LTDA</v>
          </cell>
          <cell r="E17041" t="str">
            <v>META ASSET MANAGEMENT LTDA</v>
          </cell>
        </row>
        <row r="17042">
          <cell r="B17042">
            <v>124694</v>
          </cell>
          <cell r="C17042" t="str">
            <v>RAPIER T FUNDO DE INVESTIMENTO MULTIMERCADO</v>
          </cell>
          <cell r="D17042" t="str">
            <v>RAPIER T FUNDO DE INVESTIMENTO MULTIMERCADO</v>
          </cell>
          <cell r="E17042" t="str">
            <v>REAG ASSET MANAGEMENT LTDA</v>
          </cell>
        </row>
        <row r="17043">
          <cell r="B17043">
            <v>124694</v>
          </cell>
          <cell r="C17043" t="str">
            <v>RAPIER T FUNDO DE INVESTIMENTO MULTIMERCADO</v>
          </cell>
          <cell r="D17043" t="str">
            <v>RAPIER T FUNDO DE INVESTIMENTO MULTIMERCADO</v>
          </cell>
          <cell r="E17043" t="str">
            <v>RAPIER T FUNDO DE INVESTIMENTO MULTIMERCADO</v>
          </cell>
        </row>
        <row r="17044">
          <cell r="B17044">
            <v>124695</v>
          </cell>
          <cell r="C17044" t="str">
            <v>META SMALL CAP FIA</v>
          </cell>
          <cell r="D17044" t="str">
            <v>META SMALL CAP FIA</v>
          </cell>
          <cell r="E17044" t="str">
            <v>META ASSET MANAGEMENT LTDA</v>
          </cell>
        </row>
        <row r="17045">
          <cell r="B17045">
            <v>124695</v>
          </cell>
          <cell r="C17045" t="str">
            <v>META SMALL CAP FIA</v>
          </cell>
          <cell r="D17045" t="str">
            <v>META SMALL CAP FIA</v>
          </cell>
          <cell r="E17045" t="str">
            <v>META ASSET MANAGEMENT LTDA</v>
          </cell>
        </row>
        <row r="17046">
          <cell r="B17046">
            <v>124697</v>
          </cell>
          <cell r="C17046" t="str">
            <v>META VALOR FIA</v>
          </cell>
          <cell r="D17046" t="str">
            <v>META VALOR FIA</v>
          </cell>
          <cell r="E17046" t="str">
            <v>META ASSET MANAGEMENT LTDA</v>
          </cell>
        </row>
        <row r="17047">
          <cell r="B17047">
            <v>124697</v>
          </cell>
          <cell r="C17047" t="str">
            <v>META VALOR FIA</v>
          </cell>
          <cell r="D17047" t="str">
            <v>META VALOR FIA</v>
          </cell>
          <cell r="E17047" t="str">
            <v>META ASSET MANAGEMENT LTDA</v>
          </cell>
        </row>
        <row r="17048">
          <cell r="B17048">
            <v>124696</v>
          </cell>
          <cell r="C17048" t="str">
            <v>META PLUS FIM</v>
          </cell>
          <cell r="D17048" t="str">
            <v>META PLUS FIM</v>
          </cell>
          <cell r="E17048" t="str">
            <v>META ASSET MANAGEMENT LTDA</v>
          </cell>
        </row>
        <row r="17049">
          <cell r="B17049">
            <v>124696</v>
          </cell>
          <cell r="C17049" t="str">
            <v>META PLUS FIM</v>
          </cell>
          <cell r="D17049" t="str">
            <v>META PLUS FIM</v>
          </cell>
          <cell r="E17049" t="str">
            <v>META ASSET MANAGEMENT LTDA</v>
          </cell>
        </row>
        <row r="17050">
          <cell r="B17050">
            <v>124698</v>
          </cell>
          <cell r="C17050" t="str">
            <v>BB GESTAO DE RECURSOS DTVM LTDA</v>
          </cell>
          <cell r="D17050" t="str">
            <v>BB GESTAO DE RECURSOS DTVM LTDA</v>
          </cell>
          <cell r="E17050" t="str">
            <v>BB GESTAO DE RECURSOS DTVM LTDA</v>
          </cell>
        </row>
        <row r="17051">
          <cell r="B17051">
            <v>124699</v>
          </cell>
          <cell r="C17051" t="str">
            <v>SANTANDER CACEIS BRASIL DTVM S.A.</v>
          </cell>
          <cell r="D17051" t="str">
            <v>SANTANDER CACEIS BRASIL DTVM S.A.</v>
          </cell>
          <cell r="E17051" t="str">
            <v>SANTANDER BRASIL GESTAO DE RECURSOS LTDA</v>
          </cell>
        </row>
        <row r="17052">
          <cell r="B17052">
            <v>124700</v>
          </cell>
          <cell r="C17052" t="str">
            <v>SANTANDER CACEIS BRASIL DTVM S.A.</v>
          </cell>
          <cell r="D17052" t="str">
            <v>SANTANDER CACEIS BRASIL DTVM S.A.</v>
          </cell>
          <cell r="E17052" t="str">
            <v>SANTANDER BRASIL GESTAO DE RECURSOS LTDA</v>
          </cell>
        </row>
        <row r="17053">
          <cell r="B17053">
            <v>124699</v>
          </cell>
          <cell r="C17053" t="str">
            <v>SANTANDER CACEIS BRASIL DTVM S.A.</v>
          </cell>
          <cell r="D17053" t="str">
            <v>SANTANDER CACEIS BRASIL DTVM S.A.</v>
          </cell>
          <cell r="E17053" t="str">
            <v>SANTANDER CACEIS BRASIL DTVM S.A.</v>
          </cell>
        </row>
        <row r="17054">
          <cell r="B17054">
            <v>124700</v>
          </cell>
          <cell r="C17054" t="str">
            <v>SANTANDER CACEIS BRASIL DTVM S.A.</v>
          </cell>
          <cell r="D17054" t="str">
            <v>SANTANDER CACEIS BRASIL DTVM S.A.</v>
          </cell>
          <cell r="E17054" t="str">
            <v>SANTANDER BRASIL GESTAO DE RECURSOS LTDA</v>
          </cell>
        </row>
        <row r="17055">
          <cell r="B17055">
            <v>124701</v>
          </cell>
          <cell r="C17055" t="str">
            <v>SANTANDER CACEIS BRASIL DTVM S.A.</v>
          </cell>
          <cell r="D17055" t="str">
            <v>SANTANDER CACEIS BRASIL DTVM S.A.</v>
          </cell>
          <cell r="E17055" t="str">
            <v>SANTANDER BRASIL GESTAO DE RECURSOS LTDA</v>
          </cell>
        </row>
        <row r="17056">
          <cell r="B17056">
            <v>124701</v>
          </cell>
          <cell r="C17056" t="str">
            <v>SANTANDER CACEIS BRASIL DTVM S.A.</v>
          </cell>
          <cell r="D17056" t="str">
            <v>SANTANDER CACEIS BRASIL DTVM S.A.</v>
          </cell>
          <cell r="E17056" t="str">
            <v>SANTANDER CACEIS BRASIL DTVM S.A.</v>
          </cell>
        </row>
        <row r="17057">
          <cell r="B17057">
            <v>80409</v>
          </cell>
          <cell r="C17057" t="str">
            <v>AZ QUEST MZK INVESTIMENTOS MACRO E CRÃ‰DITO LTDA.</v>
          </cell>
          <cell r="D17057" t="str">
            <v>AZ QUEST MZK INVESTIMENTOS MACRO E CRÃ‰DITO LTDA.</v>
          </cell>
          <cell r="E17057" t="str">
            <v>AZ QUEST INVESTIMENTOS LTDA</v>
          </cell>
        </row>
        <row r="17058">
          <cell r="B17058">
            <v>80409</v>
          </cell>
          <cell r="C17058" t="str">
            <v>AZ QUEST MZK INVESTIMENTOS MACRO E CRÃ‰DITO LTDA.</v>
          </cell>
          <cell r="D17058" t="str">
            <v>AZ QUEST MZK INVESTIMENTOS MACRO E CRÃ‰DITO LTDA.</v>
          </cell>
          <cell r="E17058" t="str">
            <v>AZ QUEST INVESTIMENTOS LTDA</v>
          </cell>
        </row>
        <row r="17059">
          <cell r="B17059">
            <v>124693</v>
          </cell>
          <cell r="C17059" t="str">
            <v>APICE FIM CP</v>
          </cell>
          <cell r="D17059" t="str">
            <v>APICE FIM CP</v>
          </cell>
          <cell r="E17059" t="str">
            <v>MANDATTO GESTAO DE INVESTIMENTOS LTDA</v>
          </cell>
        </row>
        <row r="17060">
          <cell r="B17060">
            <v>124693</v>
          </cell>
          <cell r="C17060" t="str">
            <v>APICE FIM CP</v>
          </cell>
          <cell r="D17060" t="str">
            <v>APICE FIM CP</v>
          </cell>
          <cell r="E17060" t="str">
            <v>MANDATTO GESTAO DE INVESTIMENTOS LTDA</v>
          </cell>
        </row>
        <row r="17061">
          <cell r="B17061">
            <v>124691</v>
          </cell>
          <cell r="C17061" t="str">
            <v>EVEREST FIM CP IE</v>
          </cell>
          <cell r="D17061" t="str">
            <v>EVEREST FIM CP IE</v>
          </cell>
          <cell r="E17061" t="str">
            <v>MANDATTO GESTAO DE INVESTIMENTOS LTDA</v>
          </cell>
        </row>
        <row r="17062">
          <cell r="B17062">
            <v>124691</v>
          </cell>
          <cell r="C17062" t="str">
            <v>EVEREST FIM CP IE</v>
          </cell>
          <cell r="D17062" t="str">
            <v>EVEREST FIM CP IE</v>
          </cell>
          <cell r="E17062" t="str">
            <v>MANDATTO GESTAO DE INVESTIMENTOS LTDA</v>
          </cell>
        </row>
        <row r="17063">
          <cell r="B17063">
            <v>124702</v>
          </cell>
          <cell r="C17063" t="str">
            <v>GF PLUS CAPITAL HOLDINGS LLC</v>
          </cell>
          <cell r="D17063" t="str">
            <v>GF PLUS CAPITAL HOLDINGS LLC</v>
          </cell>
          <cell r="E17063" t="str">
            <v>GF PLUS CAPITAL HOLDINGS LLC</v>
          </cell>
        </row>
        <row r="17064">
          <cell r="B17064">
            <v>124702</v>
          </cell>
          <cell r="C17064" t="str">
            <v>GF PLUS CAPITAL HOLDINGS LLC</v>
          </cell>
          <cell r="D17064" t="str">
            <v>GF PLUS CAPITAL HOLDINGS LLC</v>
          </cell>
          <cell r="E17064" t="str">
            <v>GF PLUS CAPITAL HOLDINGS LLC</v>
          </cell>
        </row>
        <row r="17065">
          <cell r="B17065">
            <v>124703</v>
          </cell>
          <cell r="C17065" t="str">
            <v>GBW CAPITAL HOLDINGS LLC</v>
          </cell>
          <cell r="D17065" t="str">
            <v>GBW CAPITAL HOLDINGS LLC</v>
          </cell>
          <cell r="E17065" t="str">
            <v>GBW CAPITAL HOLDINGS LLC</v>
          </cell>
        </row>
        <row r="17066">
          <cell r="B17066">
            <v>124704</v>
          </cell>
          <cell r="C17066" t="str">
            <v>GAVEA CAPITAL HOLDINGS LLC</v>
          </cell>
          <cell r="D17066" t="str">
            <v>GAVEA CAPITAL HOLDINGS LLC</v>
          </cell>
          <cell r="E17066" t="str">
            <v>GAVEA CAPITAL HOLDINGS LLC</v>
          </cell>
        </row>
        <row r="17067">
          <cell r="B17067">
            <v>124703</v>
          </cell>
          <cell r="C17067" t="str">
            <v>GBW CAPITAL HOLDINGS LLC</v>
          </cell>
          <cell r="D17067" t="str">
            <v>GBW CAPITAL HOLDINGS LLC</v>
          </cell>
          <cell r="E17067" t="str">
            <v>GBW CAPITAL HOLDINGS LLC</v>
          </cell>
        </row>
        <row r="17068">
          <cell r="B17068">
            <v>124704</v>
          </cell>
          <cell r="C17068" t="str">
            <v>GAVEA CAPITAL HOLDINGS LLC</v>
          </cell>
          <cell r="D17068" t="str">
            <v>GAVEA CAPITAL HOLDINGS LLC</v>
          </cell>
          <cell r="E17068" t="str">
            <v>GAVEA CAPITAL HOLDINGS LLC</v>
          </cell>
        </row>
        <row r="17069">
          <cell r="B17069">
            <v>123259</v>
          </cell>
          <cell r="C17069" t="str">
            <v>TUCUNA FIM CP IE</v>
          </cell>
          <cell r="D17069" t="str">
            <v>TUCUNA FIM CP IE</v>
          </cell>
          <cell r="E17069" t="str">
            <v>TUCUNA FIM CP IE</v>
          </cell>
        </row>
        <row r="17070">
          <cell r="B17070">
            <v>12436</v>
          </cell>
          <cell r="C17070" t="str">
            <v>TRAFALGAR GESTAO DE RECURSOS LTDA</v>
          </cell>
          <cell r="D17070" t="str">
            <v>TRAFALGAR GESTAO DE RECURSOS LTDA</v>
          </cell>
          <cell r="E17070" t="str">
            <v>TRAFALGAR GESTAO DE RECURSOS LTDA</v>
          </cell>
        </row>
        <row r="17071">
          <cell r="B17071">
            <v>124705</v>
          </cell>
          <cell r="C17071" t="str">
            <v>FIM MONTESE IE CP</v>
          </cell>
          <cell r="D17071" t="str">
            <v>FIM MONTESE IE CP</v>
          </cell>
          <cell r="E17071" t="str">
            <v>BRADESCO FIM LONG SHORT</v>
          </cell>
        </row>
        <row r="17072">
          <cell r="B17072">
            <v>124705</v>
          </cell>
          <cell r="C17072" t="str">
            <v>FIM MONTESE IE CP</v>
          </cell>
          <cell r="D17072" t="str">
            <v>FIM MONTESE IE CP</v>
          </cell>
          <cell r="E17072" t="str">
            <v>BRADESCO FIM LONG SHORT</v>
          </cell>
        </row>
        <row r="17073">
          <cell r="B17073">
            <v>124709</v>
          </cell>
          <cell r="C17073" t="str">
            <v>BB GESTAO DE RECURSOS DTVM LTDA</v>
          </cell>
          <cell r="D17073" t="str">
            <v>BB GESTAO DE RECURSOS DTVM LTDA</v>
          </cell>
          <cell r="E17073" t="str">
            <v>BB GESTAO DE RECURSOS DTVM LTDA</v>
          </cell>
        </row>
        <row r="17074">
          <cell r="B17074">
            <v>124706</v>
          </cell>
          <cell r="C17074" t="str">
            <v>BB GESTAO DE RECURSOS DTVM LTDA</v>
          </cell>
          <cell r="D17074" t="str">
            <v>BB GESTAO DE RECURSOS DTVM LTDA</v>
          </cell>
          <cell r="E17074" t="str">
            <v>BB GESTAO DE RECURSOS DTVM LTDA</v>
          </cell>
        </row>
        <row r="17075">
          <cell r="B17075">
            <v>124707</v>
          </cell>
          <cell r="C17075" t="str">
            <v>BB GESTAO DE RECURSOS DTVM LTDA</v>
          </cell>
          <cell r="D17075" t="str">
            <v>BB GESTAO DE RECURSOS DTVM LTDA</v>
          </cell>
          <cell r="E17075" t="str">
            <v>BB GESTAO DE RECURSOS DTVM LTDA</v>
          </cell>
        </row>
        <row r="17076">
          <cell r="B17076">
            <v>124708</v>
          </cell>
          <cell r="C17076" t="str">
            <v>BB GESTAO DE RECURSOS DTVM LTDA</v>
          </cell>
          <cell r="D17076" t="str">
            <v>BB GESTAO DE RECURSOS DTVM LTDA</v>
          </cell>
          <cell r="E17076" t="str">
            <v>BB GESTAO DE RECURSOS DTVM LTDA</v>
          </cell>
        </row>
        <row r="17077">
          <cell r="B17077">
            <v>124709</v>
          </cell>
          <cell r="C17077" t="str">
            <v>BB GESTAO DE RECURSOS DTVM LTDA</v>
          </cell>
          <cell r="D17077" t="str">
            <v>BB GESTAO DE RECURSOS DTVM LTDA</v>
          </cell>
          <cell r="E17077" t="str">
            <v>BB GESTAO DE RECURSOS DTVM LTDA</v>
          </cell>
        </row>
        <row r="17078">
          <cell r="B17078">
            <v>124710</v>
          </cell>
          <cell r="C17078" t="str">
            <v>BB GESTAO DE RECURSOS DTVM LTDA</v>
          </cell>
          <cell r="D17078" t="str">
            <v>BB GESTAO DE RECURSOS DTVM LTDA</v>
          </cell>
          <cell r="E17078" t="str">
            <v>BB GESTAO DE RECURSOS DTVM LTDA</v>
          </cell>
        </row>
        <row r="17079">
          <cell r="B17079">
            <v>124710</v>
          </cell>
          <cell r="C17079" t="str">
            <v>BB GESTAO DE RECURSOS DTVM LTDA</v>
          </cell>
          <cell r="D17079" t="str">
            <v>BB GESTAO DE RECURSOS DTVM LTDA</v>
          </cell>
          <cell r="E17079" t="str">
            <v>BB GESTAO DE RECURSOS DTVM LTDA</v>
          </cell>
        </row>
        <row r="17080">
          <cell r="B17080">
            <v>124711</v>
          </cell>
          <cell r="C17080" t="str">
            <v>BB GESTAO DE RECURSOS DTVM LTDA</v>
          </cell>
          <cell r="D17080" t="str">
            <v>BB GESTAO DE RECURSOS DTVM LTDA</v>
          </cell>
          <cell r="E17080" t="str">
            <v>BB GESTAO DE RECURSOS DTVM LTDA</v>
          </cell>
        </row>
        <row r="17081">
          <cell r="B17081">
            <v>124711</v>
          </cell>
          <cell r="C17081" t="str">
            <v>BB GESTAO DE RECURSOS DTVM LTDA</v>
          </cell>
          <cell r="D17081" t="str">
            <v>BB GESTAO DE RECURSOS DTVM LTDA</v>
          </cell>
          <cell r="E17081" t="str">
            <v>BB GESTAO DE RECURSOS DTVM LTDA</v>
          </cell>
        </row>
        <row r="17082">
          <cell r="B17082">
            <v>124712</v>
          </cell>
          <cell r="C17082" t="str">
            <v>SANTANDER CACEIS BRASIL DTVM S.A.</v>
          </cell>
          <cell r="D17082" t="str">
            <v>SANTANDER CACEIS BRASIL DTVM S.A.</v>
          </cell>
          <cell r="E17082" t="str">
            <v>SANTANDER BRASIL GESTAO DE RECURSOS LTDA</v>
          </cell>
        </row>
        <row r="17083">
          <cell r="B17083">
            <v>124713</v>
          </cell>
          <cell r="C17083" t="str">
            <v>SANTANDER CACEIS BRASIL DTVM S.A.</v>
          </cell>
          <cell r="D17083" t="str">
            <v>SANTANDER CACEIS BRASIL DTVM S.A.</v>
          </cell>
          <cell r="E17083" t="str">
            <v>SANTANDER BRASIL GESTAO DE RECURSOS LTDA</v>
          </cell>
        </row>
        <row r="17084">
          <cell r="B17084">
            <v>124712</v>
          </cell>
          <cell r="C17084" t="str">
            <v>SANTANDER CACEIS BRASIL DTVM S.A.</v>
          </cell>
          <cell r="D17084" t="str">
            <v>SANTANDER CACEIS BRASIL DTVM S.A.</v>
          </cell>
          <cell r="E17084" t="str">
            <v>SANTANDER CACEIS BRASIL DTVM S.A.</v>
          </cell>
        </row>
        <row r="17085">
          <cell r="B17085">
            <v>124713</v>
          </cell>
          <cell r="C17085" t="str">
            <v>SANTANDER CACEIS BRASIL DTVM S.A.</v>
          </cell>
          <cell r="D17085" t="str">
            <v>SANTANDER CACEIS BRASIL DTVM S.A.</v>
          </cell>
          <cell r="E17085" t="str">
            <v>SANTANDER CACEIS BRASIL DTVM S.A.</v>
          </cell>
        </row>
        <row r="17086">
          <cell r="B17086">
            <v>81104</v>
          </cell>
          <cell r="C17086" t="str">
            <v>OCCAM BRASIL GESTAO DE RECURSOS LTDA</v>
          </cell>
          <cell r="D17086" t="str">
            <v>OCCAM BRASIL GESTAO DE RECURSOS LTDA</v>
          </cell>
          <cell r="E17086" t="str">
            <v>OCCAM BRASIL GESTAO DE RECURSOS LTDA</v>
          </cell>
        </row>
        <row r="17087">
          <cell r="B17087">
            <v>81104</v>
          </cell>
          <cell r="C17087" t="str">
            <v>OCCAM BRASIL GESTAO DE RECURSOS LTDA</v>
          </cell>
          <cell r="D17087" t="str">
            <v>OCCAM BRASIL GESTAO DE RECURSOS LTDA</v>
          </cell>
          <cell r="E17087" t="str">
            <v>OCCAM BRASIL GESTAO DE RECURSOS LTDA</v>
          </cell>
        </row>
        <row r="17088">
          <cell r="B17088">
            <v>122373</v>
          </cell>
          <cell r="C17088" t="str">
            <v>OCCAM EQUITY HEDGE FIF MM RL</v>
          </cell>
          <cell r="D17088" t="str">
            <v>OCCAM EQUITY HEDGE FIF MM RL</v>
          </cell>
          <cell r="E17088" t="str">
            <v>OCCAM BRASIL GESTAO DE RECURSOS LTDA</v>
          </cell>
        </row>
        <row r="17089">
          <cell r="B17089">
            <v>79181</v>
          </cell>
          <cell r="C17089" t="str">
            <v>OCCAM EQUITY HEDGE FIF MM RL</v>
          </cell>
          <cell r="D17089" t="str">
            <v>OCCAM EQUITY HEDGE FIF MM RL</v>
          </cell>
          <cell r="E17089" t="str">
            <v>OCCAM BRASIL GESTAO DE RECURSOS LTDA</v>
          </cell>
        </row>
        <row r="17090">
          <cell r="B17090">
            <v>124714</v>
          </cell>
          <cell r="C17090" t="str">
            <v>SANTANDER CACEIS BRASIL DTVM S.A.</v>
          </cell>
          <cell r="D17090" t="str">
            <v>SANTANDER CACEIS BRASIL DTVM S.A.</v>
          </cell>
          <cell r="E17090" t="str">
            <v>SANTANDER BRASIL GESTAO DE RECURSOS LTDA</v>
          </cell>
        </row>
        <row r="17091">
          <cell r="B17091">
            <v>124714</v>
          </cell>
          <cell r="C17091" t="str">
            <v>SANTANDER CACEIS BRASIL DTVM S.A.</v>
          </cell>
          <cell r="D17091" t="str">
            <v>SANTANDER CACEIS BRASIL DTVM S.A.</v>
          </cell>
          <cell r="E17091" t="str">
            <v>SANTANDER CACEIS BRASIL DTVM S.A.</v>
          </cell>
        </row>
        <row r="17092">
          <cell r="B17092">
            <v>79181</v>
          </cell>
          <cell r="C17092" t="str">
            <v>OCCAM EQUITY HEDGE FIF MM RL</v>
          </cell>
          <cell r="D17092" t="str">
            <v>OCCAM EQUITY HEDGE FIF MM RL</v>
          </cell>
          <cell r="E17092" t="str">
            <v>OCCAM BRASIL GESTAO DE RECURSOS LTDA</v>
          </cell>
        </row>
        <row r="17093">
          <cell r="B17093">
            <v>122371</v>
          </cell>
          <cell r="C17093" t="str">
            <v>OCCAM FUNDO DE INVESTIMENTO DE ACOES</v>
          </cell>
          <cell r="D17093" t="str">
            <v>OCCAM FUNDO DE INVESTIMENTO DE ACOES</v>
          </cell>
          <cell r="E17093" t="str">
            <v>OCCAM BRASIL GESTAO DE RECURSOS LTDA</v>
          </cell>
        </row>
        <row r="17094">
          <cell r="B17094">
            <v>79180</v>
          </cell>
          <cell r="C17094" t="str">
            <v>OCCAM FUNDO DE INVESTIMENTO DE ACOES</v>
          </cell>
          <cell r="D17094" t="str">
            <v>OCCAM FUNDO DE INVESTIMENTO DE ACOES</v>
          </cell>
          <cell r="E17094" t="str">
            <v>OCCAM BRASIL GESTAO DE RECURSOS LTDA</v>
          </cell>
        </row>
        <row r="17095">
          <cell r="B17095">
            <v>79180</v>
          </cell>
          <cell r="C17095" t="str">
            <v>OCCAM FUNDO DE INVESTIMENTO DE ACOES</v>
          </cell>
          <cell r="D17095" t="str">
            <v>OCCAM FUNDO DE INVESTIMENTO DE ACOES</v>
          </cell>
          <cell r="E17095" t="str">
            <v>OCCAM BRASIL GESTAO DE RECURSOS LTDA</v>
          </cell>
        </row>
        <row r="17096">
          <cell r="B17096">
            <v>124715</v>
          </cell>
          <cell r="C17096" t="str">
            <v>BB GESTAO DE RECURSOS DTVM LTDA</v>
          </cell>
          <cell r="D17096" t="str">
            <v>BB GESTAO DE RECURSOS DTVM LTDA</v>
          </cell>
          <cell r="E17096" t="str">
            <v>BB GESTAO DE RECURSOS DTVM LTDA</v>
          </cell>
        </row>
        <row r="17097">
          <cell r="B17097">
            <v>124716</v>
          </cell>
          <cell r="C17097" t="str">
            <v>MZK MASTER FIM</v>
          </cell>
          <cell r="D17097" t="str">
            <v>MZK MASTER FIM</v>
          </cell>
          <cell r="E17097" t="str">
            <v>MZK MASTER FIM</v>
          </cell>
        </row>
        <row r="17098">
          <cell r="B17098">
            <v>124716</v>
          </cell>
          <cell r="C17098" t="str">
            <v>MZK MASTER FIM</v>
          </cell>
          <cell r="D17098" t="str">
            <v>MZK MASTER FIM</v>
          </cell>
          <cell r="E17098" t="str">
            <v>MZK MASTER FIM</v>
          </cell>
        </row>
        <row r="17099">
          <cell r="B17099">
            <v>124717</v>
          </cell>
          <cell r="C17099" t="str">
            <v>ICATU KADIMA FIFE PREVIDENCIA FIM CP</v>
          </cell>
          <cell r="D17099" t="str">
            <v>ICATU KADIMA FIFE PREVIDENCIA FIM CP</v>
          </cell>
          <cell r="E17099" t="str">
            <v>KADIMA GESTAO DE INVESTIMENTOS LTDA</v>
          </cell>
        </row>
        <row r="17100">
          <cell r="B17100">
            <v>124717</v>
          </cell>
          <cell r="C17100" t="str">
            <v>ICATU KADIMA FIFE PREVIDENCIA FIM CP</v>
          </cell>
          <cell r="D17100" t="str">
            <v>ICATU KADIMA FIFE PREVIDENCIA FIM CP</v>
          </cell>
          <cell r="E17100" t="str">
            <v>KADIMA GESTAO DE INVESTIMENTOS LTDA</v>
          </cell>
        </row>
        <row r="17101">
          <cell r="B17101">
            <v>124718</v>
          </cell>
          <cell r="C17101" t="str">
            <v>SANTANDER CACEIS BRASIL DTVM S.A.</v>
          </cell>
          <cell r="D17101" t="str">
            <v>SANTANDER CACEIS BRASIL DTVM S.A.</v>
          </cell>
          <cell r="E17101" t="str">
            <v>SANTANDER BRASIL GESTAO DE RECURSOS LTDA</v>
          </cell>
        </row>
        <row r="17102">
          <cell r="B17102">
            <v>124718</v>
          </cell>
          <cell r="C17102" t="str">
            <v>SANTANDER CACEIS BRASIL DTVM S.A.</v>
          </cell>
          <cell r="D17102" t="str">
            <v>SANTANDER CACEIS BRASIL DTVM S.A.</v>
          </cell>
          <cell r="E17102" t="str">
            <v>SANTANDER CACEIS BRASIL DTVM S.A.</v>
          </cell>
        </row>
        <row r="17103">
          <cell r="B17103">
            <v>124719</v>
          </cell>
          <cell r="C17103" t="str">
            <v>SANTANDER CACEIS BRASIL DTVM S.A.</v>
          </cell>
          <cell r="D17103" t="str">
            <v>SANTANDER CACEIS BRASIL DTVM S.A.</v>
          </cell>
          <cell r="E17103" t="str">
            <v>SANTANDER BRASIL GESTAO DE RECURSOS LTDA</v>
          </cell>
        </row>
        <row r="17104">
          <cell r="B17104">
            <v>124720</v>
          </cell>
          <cell r="C17104" t="str">
            <v>SANTANDER CACEIS BRASIL DTVM S.A.</v>
          </cell>
          <cell r="D17104" t="str">
            <v>SANTANDER CACEIS BRASIL DTVM S.A.</v>
          </cell>
          <cell r="E17104" t="str">
            <v>SANTANDER BRASIL GESTAO DE RECURSOS LTDA</v>
          </cell>
        </row>
        <row r="17105">
          <cell r="B17105">
            <v>124721</v>
          </cell>
          <cell r="C17105" t="str">
            <v>SANTANDER CACEIS BRASIL DTVM S.A.</v>
          </cell>
          <cell r="D17105" t="str">
            <v>SANTANDER CACEIS BRASIL DTVM S.A.</v>
          </cell>
          <cell r="E17105" t="str">
            <v>SANTANDER BRASIL GESTAO DE RECURSOS LTDA</v>
          </cell>
        </row>
        <row r="17106">
          <cell r="B17106">
            <v>124719</v>
          </cell>
          <cell r="C17106" t="str">
            <v>SANTANDER CACEIS BRASIL DTVM S.A.</v>
          </cell>
          <cell r="D17106" t="str">
            <v>SANTANDER CACEIS BRASIL DTVM S.A.</v>
          </cell>
          <cell r="E17106" t="str">
            <v>SANTANDER CACEIS BRASIL DTVM S.A.</v>
          </cell>
        </row>
        <row r="17107">
          <cell r="B17107">
            <v>124720</v>
          </cell>
          <cell r="C17107" t="str">
            <v>SANTANDER CACEIS BRASIL DTVM S.A.</v>
          </cell>
          <cell r="D17107" t="str">
            <v>SANTANDER CACEIS BRASIL DTVM S.A.</v>
          </cell>
          <cell r="E17107" t="str">
            <v>SANTANDER CACEIS BRASIL DTVM S.A.</v>
          </cell>
        </row>
        <row r="17108">
          <cell r="B17108">
            <v>124721</v>
          </cell>
          <cell r="C17108" t="str">
            <v>SANTANDER CACEIS BRASIL DTVM S.A.</v>
          </cell>
          <cell r="D17108" t="str">
            <v>SANTANDER CACEIS BRASIL DTVM S.A.</v>
          </cell>
          <cell r="E17108" t="str">
            <v>SANTANDER CACEIS BRASIL DTVM S.A.</v>
          </cell>
        </row>
        <row r="17109">
          <cell r="B17109">
            <v>124722</v>
          </cell>
          <cell r="C17109" t="str">
            <v>BB GESTAO DE RECURSOS DTVM LTDA</v>
          </cell>
          <cell r="D17109" t="str">
            <v>BB GESTAO DE RECURSOS DTVM LTDA</v>
          </cell>
          <cell r="E17109" t="str">
            <v>BB GESTAO DE RECURSOS DTVM LTDA</v>
          </cell>
        </row>
        <row r="17110">
          <cell r="B17110">
            <v>124723</v>
          </cell>
          <cell r="C17110" t="str">
            <v>BB GESTAO DE RECURSOS DTVM LTDA</v>
          </cell>
          <cell r="D17110" t="str">
            <v>BB GESTAO DE RECURSOS DTVM LTDA</v>
          </cell>
          <cell r="E17110" t="str">
            <v>BB GESTAO DE RECURSOS DTVM LTDA</v>
          </cell>
        </row>
        <row r="17111">
          <cell r="B17111">
            <v>124722</v>
          </cell>
          <cell r="C17111" t="str">
            <v>BB GESTAO DE RECURSOS DTVM LTDA</v>
          </cell>
          <cell r="D17111" t="str">
            <v>BB GESTAO DE RECURSOS DTVM LTDA</v>
          </cell>
          <cell r="E17111" t="str">
            <v>BB GESTAO DE RECURSOS DTVM LTDA</v>
          </cell>
        </row>
        <row r="17112">
          <cell r="B17112">
            <v>124723</v>
          </cell>
          <cell r="C17112" t="str">
            <v>BB GESTAO DE RECURSOS DTVM LTDA</v>
          </cell>
          <cell r="D17112" t="str">
            <v>BB GESTAO DE RECURSOS DTVM LTDA</v>
          </cell>
          <cell r="E17112" t="str">
            <v>BB GESTAO DE RECURSOS DTVM LTDA</v>
          </cell>
        </row>
        <row r="17113">
          <cell r="B17113">
            <v>124724</v>
          </cell>
          <cell r="C17113" t="str">
            <v>BB GESTAO DE RECURSOS DTVM LTDA</v>
          </cell>
          <cell r="D17113" t="str">
            <v>BB GESTAO DE RECURSOS DTVM LTDA</v>
          </cell>
          <cell r="E17113" t="str">
            <v>BB GESTAO DE RECURSOS DTVM LTDA</v>
          </cell>
        </row>
        <row r="17114">
          <cell r="B17114">
            <v>124726</v>
          </cell>
          <cell r="C17114" t="str">
            <v>BB GESTAO DE RECURSOS DTVM LTDA</v>
          </cell>
          <cell r="D17114" t="str">
            <v>BB GESTAO DE RECURSOS DTVM LTDA</v>
          </cell>
          <cell r="E17114" t="str">
            <v>BB GESTAO DE RECURSOS DTVM LTDA</v>
          </cell>
        </row>
        <row r="17115">
          <cell r="B17115">
            <v>124725</v>
          </cell>
          <cell r="C17115" t="str">
            <v>BB GESTAO DE RECURSOS DTVM LTDA</v>
          </cell>
          <cell r="D17115" t="str">
            <v>BB GESTAO DE RECURSOS DTVM LTDA</v>
          </cell>
          <cell r="E17115" t="str">
            <v>BB GESTAO DE RECURSOS DTVM LTDA</v>
          </cell>
        </row>
        <row r="17116">
          <cell r="B17116">
            <v>124726</v>
          </cell>
          <cell r="C17116" t="str">
            <v>BB GESTAO DE RECURSOS DTVM LTDA</v>
          </cell>
          <cell r="D17116" t="str">
            <v>BB GESTAO DE RECURSOS DTVM LTDA</v>
          </cell>
          <cell r="E17116" t="str">
            <v>BB GESTAO DE RECURSOS DTVM LTDA</v>
          </cell>
        </row>
        <row r="17117">
          <cell r="B17117">
            <v>80415</v>
          </cell>
          <cell r="C17117" t="str">
            <v>ICATU KADIMA FIFE PREVIDENCIA FIM CP</v>
          </cell>
          <cell r="D17117" t="str">
            <v>ICATU KADIMA FIFE PREVIDENCIA FIM CP</v>
          </cell>
          <cell r="E17117" t="str">
            <v>ICATU KADIMA FIFE PREVIDENCIA FIM CP</v>
          </cell>
        </row>
        <row r="17118">
          <cell r="B17118">
            <v>80415</v>
          </cell>
          <cell r="C17118" t="str">
            <v>ICATU KADIMA FIFE PREVIDENCIA FIM CP</v>
          </cell>
          <cell r="D17118" t="str">
            <v>ICATU KADIMA FIFE PREVIDENCIA FIM CP</v>
          </cell>
          <cell r="E17118" t="str">
            <v>ICATU KADIMA FIFE PREVIDENCIA FIM CP</v>
          </cell>
        </row>
        <row r="17119">
          <cell r="B17119">
            <v>124727</v>
          </cell>
          <cell r="C17119" t="str">
            <v>SANTANDER CACEIS BRASIL DTVM S.A.</v>
          </cell>
          <cell r="D17119" t="str">
            <v>SANTANDER CACEIS BRASIL DTVM S.A.</v>
          </cell>
          <cell r="E17119" t="str">
            <v>SANTANDER BRASIL GESTAO DE RECURSOS LTDA</v>
          </cell>
        </row>
        <row r="17120">
          <cell r="B17120">
            <v>124727</v>
          </cell>
          <cell r="C17120" t="str">
            <v>SANTANDER CACEIS BRASIL DTVM S.A.</v>
          </cell>
          <cell r="D17120" t="str">
            <v>SANTANDER CACEIS BRASIL DTVM S.A.</v>
          </cell>
          <cell r="E17120" t="str">
            <v>SANTANDER CACEIS BRASIL DTVM S.A.</v>
          </cell>
        </row>
        <row r="17121">
          <cell r="B17121">
            <v>124728</v>
          </cell>
          <cell r="C17121" t="str">
            <v>GARDE ARAMIS FIFE PREVIDENCIARIO FIM</v>
          </cell>
          <cell r="D17121" t="str">
            <v>GARDE ARAMIS FIFE PREVIDENCIARIO FIM</v>
          </cell>
          <cell r="E17121" t="str">
            <v>GARDE ASSET MANAGEMENT GESTAO DE RECURSOS LTDA</v>
          </cell>
        </row>
        <row r="17122">
          <cell r="B17122">
            <v>124728</v>
          </cell>
          <cell r="C17122" t="str">
            <v>GARDE ARAMIS FIFE PREVIDENCIARIO FIM</v>
          </cell>
          <cell r="D17122" t="str">
            <v>GARDE ARAMIS FIFE PREVIDENCIARIO FIM</v>
          </cell>
          <cell r="E17122" t="str">
            <v>GARDE ASSET MANAGEMENT GESTAO DE RECURSOS LTDA</v>
          </cell>
        </row>
        <row r="17123">
          <cell r="B17123">
            <v>12437</v>
          </cell>
          <cell r="C17123" t="str">
            <v>GARDE PREVIDENCIA ADMINSTRACAO DE RECURSOS LTDA</v>
          </cell>
          <cell r="D17123" t="str">
            <v>GARDE PREVIDENCIA ADMINSTRACAO DE RECURSOS LTDA</v>
          </cell>
          <cell r="E17123" t="str">
            <v>GARDE PREVIDENCIA ADMINSTRACAO DE RECURSOS LTDA</v>
          </cell>
        </row>
        <row r="17124">
          <cell r="B17124">
            <v>12437</v>
          </cell>
          <cell r="C17124" t="str">
            <v>GARDE PREVIDENCIA ADMINSTRACAO DE RECURSOS LTDA</v>
          </cell>
          <cell r="D17124" t="str">
            <v>GARDE PREVIDENCIA ADMINSTRACAO DE RECURSOS LTDA</v>
          </cell>
          <cell r="E17124" t="str">
            <v>GARDE PREVIDENCIA ADMINSTRACAO DE RECURSOS LTDA</v>
          </cell>
        </row>
        <row r="17125">
          <cell r="B17125">
            <v>80418</v>
          </cell>
          <cell r="C17125" t="str">
            <v>ITAU UNIBANCO S.A.</v>
          </cell>
          <cell r="D17125" t="str">
            <v>ITAU UNIBANCO S.A.</v>
          </cell>
          <cell r="E17125" t="str">
            <v>ITAU UNIBANCO S/A</v>
          </cell>
        </row>
        <row r="17126">
          <cell r="B17126">
            <v>124729</v>
          </cell>
          <cell r="C17126" t="str">
            <v>UNIMED ANS FIM CP</v>
          </cell>
          <cell r="D17126" t="str">
            <v>UNIMED ANS FIM CP</v>
          </cell>
          <cell r="E17126" t="str">
            <v>UNIMED ANS FIM CP</v>
          </cell>
        </row>
        <row r="17127">
          <cell r="B17127">
            <v>124729</v>
          </cell>
          <cell r="C17127" t="str">
            <v>UNIMED ANS FIM CP</v>
          </cell>
          <cell r="D17127" t="str">
            <v>UNIMED ANS FIM CP</v>
          </cell>
          <cell r="E17127" t="str">
            <v>UNIMED ANS FIM CP</v>
          </cell>
        </row>
        <row r="17128">
          <cell r="B17128">
            <v>80419</v>
          </cell>
          <cell r="C17128" t="str">
            <v>DA VINCI DERIVATIVES BV</v>
          </cell>
          <cell r="D17128" t="str">
            <v>DA VINCI DERIVATIVES BV</v>
          </cell>
          <cell r="E17128" t="str">
            <v>DA VINCI DERIVATIVES BV</v>
          </cell>
        </row>
        <row r="17129">
          <cell r="B17129">
            <v>80419</v>
          </cell>
          <cell r="C17129" t="str">
            <v>DA VINCI DERIVATIVES BV</v>
          </cell>
          <cell r="D17129" t="str">
            <v>DA VINCI DERIVATIVES BV</v>
          </cell>
          <cell r="E17129" t="str">
            <v>DA VINCI DERIVATIVES BV</v>
          </cell>
        </row>
        <row r="17130">
          <cell r="B17130">
            <v>124730</v>
          </cell>
          <cell r="C17130" t="str">
            <v>SANTANDER CACEIS BRASIL DTVM S.A.</v>
          </cell>
          <cell r="D17130" t="str">
            <v>SANTANDER CACEIS BRASIL DTVM S.A.</v>
          </cell>
          <cell r="E17130" t="str">
            <v>SANTANDER BRASIL GESTAO DE RECURSOS LTDA</v>
          </cell>
        </row>
        <row r="17131">
          <cell r="B17131">
            <v>124730</v>
          </cell>
          <cell r="C17131" t="str">
            <v>SANTANDER CACEIS BRASIL DTVM S.A.</v>
          </cell>
          <cell r="D17131" t="str">
            <v>SANTANDER CACEIS BRASIL DTVM S.A.</v>
          </cell>
          <cell r="E17131" t="str">
            <v>SANTANDER CACEIS BRASIL DTVM S.A.</v>
          </cell>
        </row>
        <row r="17132">
          <cell r="B17132">
            <v>124731</v>
          </cell>
          <cell r="C17132" t="str">
            <v>SANTANDER CACEIS BRASIL DTVM S.A.</v>
          </cell>
          <cell r="D17132" t="str">
            <v>SANTANDER CACEIS BRASIL DTVM S.A.</v>
          </cell>
          <cell r="E17132" t="str">
            <v>SANTANDER BRASIL GESTAO DE RECURSOS LTDA</v>
          </cell>
        </row>
        <row r="17133">
          <cell r="B17133">
            <v>124731</v>
          </cell>
          <cell r="C17133" t="str">
            <v>SANTANDER CACEIS BRASIL DTVM S.A.</v>
          </cell>
          <cell r="D17133" t="str">
            <v>SANTANDER CACEIS BRASIL DTVM S.A.</v>
          </cell>
          <cell r="E17133" t="str">
            <v>SANTANDER CACEIS BRASIL DTVM S.A.</v>
          </cell>
        </row>
        <row r="17134">
          <cell r="B17134">
            <v>124732</v>
          </cell>
          <cell r="C17134" t="str">
            <v>SANTANDER CACEIS BRASIL DTVM S.A.</v>
          </cell>
          <cell r="D17134" t="str">
            <v>SANTANDER CACEIS BRASIL DTVM S.A.</v>
          </cell>
          <cell r="E17134" t="str">
            <v>SANTANDER BRASIL GESTAO DE RECURSOS LTDA</v>
          </cell>
        </row>
        <row r="17135">
          <cell r="B17135">
            <v>124732</v>
          </cell>
          <cell r="C17135" t="str">
            <v>SANTANDER CACEIS BRASIL DTVM S.A.</v>
          </cell>
          <cell r="D17135" t="str">
            <v>SANTANDER CACEIS BRASIL DTVM S.A.</v>
          </cell>
          <cell r="E17135" t="str">
            <v>SANTANDER CACEIS BRASIL DTVM S.A.</v>
          </cell>
        </row>
        <row r="17136">
          <cell r="B17136">
            <v>124733</v>
          </cell>
          <cell r="C17136" t="str">
            <v>BB GESTAO DE RECURSOS DTVM LTDA</v>
          </cell>
          <cell r="D17136" t="str">
            <v>BB GESTAO DE RECURSOS DTVM LTDA</v>
          </cell>
          <cell r="E17136" t="str">
            <v>BB GESTAO DE RECURSOS DTVM LTDA</v>
          </cell>
        </row>
        <row r="17137">
          <cell r="B17137">
            <v>80421</v>
          </cell>
          <cell r="C17137" t="str">
            <v>DYNAMO BRASIL II LLC</v>
          </cell>
          <cell r="D17137" t="str">
            <v>DYNAMO BRASIL II LLC</v>
          </cell>
          <cell r="E17137" t="str">
            <v>DYNAMO ADMINISTRACAO DE RECURSOS LTDA</v>
          </cell>
        </row>
        <row r="17138">
          <cell r="B17138">
            <v>80421</v>
          </cell>
          <cell r="C17138" t="str">
            <v>DYNAMO BRASIL II LLC</v>
          </cell>
          <cell r="D17138" t="str">
            <v>DYNAMO BRASIL II LLC</v>
          </cell>
          <cell r="E17138" t="str">
            <v>DYNAMO ADMINISTRACAO DE RECURSOS LTDA</v>
          </cell>
        </row>
        <row r="17139">
          <cell r="B17139">
            <v>124734</v>
          </cell>
          <cell r="C17139" t="str">
            <v>SANTANDER CACEIS BRASIL DTVM S.A.</v>
          </cell>
          <cell r="D17139" t="str">
            <v>SANTANDER CACEIS BRASIL DTVM S.A.</v>
          </cell>
          <cell r="E17139" t="str">
            <v>SANTANDER BRASIL GESTAO DE RECURSOS LTDA</v>
          </cell>
        </row>
        <row r="17140">
          <cell r="B17140">
            <v>124735</v>
          </cell>
          <cell r="C17140" t="str">
            <v>SANTANDER CACEIS BRASIL DTVM S.A.</v>
          </cell>
          <cell r="D17140" t="str">
            <v>SANTANDER CACEIS BRASIL DTVM S.A.</v>
          </cell>
          <cell r="E17140" t="str">
            <v>SANTANDER BRASIL GESTAO DE RECURSOS LTDA</v>
          </cell>
        </row>
        <row r="17141">
          <cell r="B17141">
            <v>124734</v>
          </cell>
          <cell r="C17141" t="str">
            <v>SANTANDER CACEIS BRASIL DTVM S.A.</v>
          </cell>
          <cell r="D17141" t="str">
            <v>SANTANDER CACEIS BRASIL DTVM S.A.</v>
          </cell>
          <cell r="E17141" t="str">
            <v>SANTANDER CACEIS BRASIL DTVM S.A.</v>
          </cell>
        </row>
        <row r="17142">
          <cell r="B17142">
            <v>124735</v>
          </cell>
          <cell r="C17142" t="str">
            <v>SANTANDER CACEIS BRASIL DTVM S.A.</v>
          </cell>
          <cell r="D17142" t="str">
            <v>SANTANDER CACEIS BRASIL DTVM S.A.</v>
          </cell>
          <cell r="E17142" t="str">
            <v>SANTANDER CACEIS BRASIL DTVM S.A.</v>
          </cell>
        </row>
        <row r="17143">
          <cell r="B17143">
            <v>124736</v>
          </cell>
          <cell r="C17143" t="str">
            <v>SANTANDER CACEIS BRASIL DTVM S.A.</v>
          </cell>
          <cell r="D17143" t="str">
            <v>SANTANDER CACEIS BRASIL DTVM S.A.</v>
          </cell>
          <cell r="E17143" t="str">
            <v>SANTANDER CACEIS BRASIL DTVM S.A.</v>
          </cell>
        </row>
        <row r="17144">
          <cell r="B17144">
            <v>124736</v>
          </cell>
          <cell r="C17144" t="str">
            <v>SANTANDER CACEIS BRASIL DTVM S.A.</v>
          </cell>
          <cell r="D17144" t="str">
            <v>SANTANDER CACEIS BRASIL DTVM S.A.</v>
          </cell>
          <cell r="E17144" t="str">
            <v>SANTANDER BRASIL GESTAO DE RECURSOS LTDA</v>
          </cell>
        </row>
        <row r="17145">
          <cell r="B17145">
            <v>124737</v>
          </cell>
          <cell r="C17145" t="str">
            <v>SANTANDER CACEIS BRASIL DTVM S.A.</v>
          </cell>
          <cell r="D17145" t="str">
            <v>SANTANDER CACEIS BRASIL DTVM S.A.</v>
          </cell>
          <cell r="E17145" t="str">
            <v>SANTANDER BRASIL GESTAO DE RECURSOS LTDA</v>
          </cell>
        </row>
        <row r="17146">
          <cell r="B17146">
            <v>124737</v>
          </cell>
          <cell r="C17146" t="str">
            <v>SANTANDER CACEIS BRASIL DTVM S.A.</v>
          </cell>
          <cell r="D17146" t="str">
            <v>SANTANDER CACEIS BRASIL DTVM S.A.</v>
          </cell>
          <cell r="E17146" t="str">
            <v>SANTANDER CACEIS BRASIL DTVM S.A.</v>
          </cell>
        </row>
        <row r="17147">
          <cell r="B17147">
            <v>124738</v>
          </cell>
          <cell r="C17147" t="str">
            <v>SANTANDER CACEIS BRASIL DTVM S.A.</v>
          </cell>
          <cell r="D17147" t="str">
            <v>SANTANDER CACEIS BRASIL DTVM S.A.</v>
          </cell>
          <cell r="E17147" t="str">
            <v>SANTANDER BRASIL GESTAO DE RECURSOS LTDA</v>
          </cell>
        </row>
        <row r="17148">
          <cell r="B17148">
            <v>124739</v>
          </cell>
          <cell r="C17148" t="str">
            <v>SANTANDER CACEIS BRASIL DTVM S.A.</v>
          </cell>
          <cell r="D17148" t="str">
            <v>SANTANDER CACEIS BRASIL DTVM S.A.</v>
          </cell>
          <cell r="E17148" t="str">
            <v>SANTANDER BRASIL GESTAO DE RECURSOS LTDA</v>
          </cell>
        </row>
        <row r="17149">
          <cell r="B17149">
            <v>124740</v>
          </cell>
          <cell r="C17149" t="str">
            <v>SANTANDER CACEIS BRASIL DTVM S.A.</v>
          </cell>
          <cell r="D17149" t="str">
            <v>SANTANDER CACEIS BRASIL DTVM S.A.</v>
          </cell>
          <cell r="E17149" t="str">
            <v>SANTANDER BRASIL GESTAO DE RECURSOS LTDA</v>
          </cell>
        </row>
        <row r="17150">
          <cell r="B17150">
            <v>124738</v>
          </cell>
          <cell r="C17150" t="str">
            <v>SANTANDER CACEIS BRASIL DTVM S.A.</v>
          </cell>
          <cell r="D17150" t="str">
            <v>SANTANDER CACEIS BRASIL DTVM S.A.</v>
          </cell>
          <cell r="E17150" t="str">
            <v>SANTANDER CACEIS BRASIL DTVM S.A.</v>
          </cell>
        </row>
        <row r="17151">
          <cell r="B17151">
            <v>124739</v>
          </cell>
          <cell r="C17151" t="str">
            <v>SANTANDER CACEIS BRASIL DTVM S.A.</v>
          </cell>
          <cell r="D17151" t="str">
            <v>SANTANDER CACEIS BRASIL DTVM S.A.</v>
          </cell>
          <cell r="E17151" t="str">
            <v>SANTANDER CACEIS BRASIL DTVM S.A.</v>
          </cell>
        </row>
        <row r="17152">
          <cell r="B17152">
            <v>124740</v>
          </cell>
          <cell r="C17152" t="str">
            <v>SANTANDER CACEIS BRASIL DTVM S.A.</v>
          </cell>
          <cell r="D17152" t="str">
            <v>SANTANDER CACEIS BRASIL DTVM S.A.</v>
          </cell>
          <cell r="E17152" t="str">
            <v>SANTANDER CACEIS BRASIL DTVM S.A.</v>
          </cell>
        </row>
        <row r="17153">
          <cell r="B17153">
            <v>124741</v>
          </cell>
          <cell r="C17153" t="str">
            <v>SANTANDER CACEIS BRASIL DTVM S.A.</v>
          </cell>
          <cell r="D17153" t="str">
            <v>SANTANDER CACEIS BRASIL DTVM S.A.</v>
          </cell>
          <cell r="E17153" t="str">
            <v>SANTANDER BRASIL GESTAO DE RECURSOS LTDA</v>
          </cell>
        </row>
        <row r="17154">
          <cell r="B17154">
            <v>124741</v>
          </cell>
          <cell r="C17154" t="str">
            <v>SANTANDER CACEIS BRASIL DTVM S.A.</v>
          </cell>
          <cell r="D17154" t="str">
            <v>SANTANDER CACEIS BRASIL DTVM S.A.</v>
          </cell>
          <cell r="E17154" t="str">
            <v>SANTANDER CACEIS BRASIL DTVM S.A.</v>
          </cell>
        </row>
        <row r="17155">
          <cell r="B17155">
            <v>124742</v>
          </cell>
          <cell r="C17155" t="str">
            <v>SANTANDER CACEIS BRASIL DTVM S.A.</v>
          </cell>
          <cell r="D17155" t="str">
            <v>SANTANDER CACEIS BRASIL DTVM S.A.</v>
          </cell>
          <cell r="E17155" t="str">
            <v>SANTANDER BRASIL GESTAO DE RECURSOS LTDA</v>
          </cell>
        </row>
        <row r="17156">
          <cell r="B17156">
            <v>124742</v>
          </cell>
          <cell r="C17156" t="str">
            <v>SANTANDER CACEIS BRASIL DTVM S.A.</v>
          </cell>
          <cell r="D17156" t="str">
            <v>SANTANDER CACEIS BRASIL DTVM S.A.</v>
          </cell>
          <cell r="E17156" t="str">
            <v>SANTANDER CACEIS BRASIL DTVM S.A.</v>
          </cell>
        </row>
        <row r="17157">
          <cell r="B17157">
            <v>124743</v>
          </cell>
          <cell r="C17157" t="str">
            <v>SANTANDER CACEIS BRASIL DTVM S.A.</v>
          </cell>
          <cell r="D17157" t="str">
            <v>SANTANDER CACEIS BRASIL DTVM S.A.</v>
          </cell>
          <cell r="E17157" t="str">
            <v>SANTANDER BRASIL GESTAO DE RECURSOS LTDA</v>
          </cell>
        </row>
        <row r="17158">
          <cell r="B17158">
            <v>124743</v>
          </cell>
          <cell r="C17158" t="str">
            <v>SANTANDER CACEIS BRASIL DTVM S.A.</v>
          </cell>
          <cell r="D17158" t="str">
            <v>SANTANDER CACEIS BRASIL DTVM S.A.</v>
          </cell>
          <cell r="E17158" t="str">
            <v>SANTANDER CACEIS BRASIL DTVM S.A.</v>
          </cell>
        </row>
        <row r="17159">
          <cell r="B17159">
            <v>124744</v>
          </cell>
          <cell r="C17159" t="str">
            <v>SANTANDER CACEIS BRASIL DTVM S.A.</v>
          </cell>
          <cell r="D17159" t="str">
            <v>SANTANDER CACEIS BRASIL DTVM S.A.</v>
          </cell>
          <cell r="E17159" t="str">
            <v>SANTANDER BRASIL GESTAO DE RECURSOS LTDA</v>
          </cell>
        </row>
        <row r="17160">
          <cell r="B17160">
            <v>124744</v>
          </cell>
          <cell r="C17160" t="str">
            <v>SANTANDER CACEIS BRASIL DTVM S.A.</v>
          </cell>
          <cell r="D17160" t="str">
            <v>SANTANDER CACEIS BRASIL DTVM S.A.</v>
          </cell>
          <cell r="E17160" t="str">
            <v>SANTANDER CACEIS BRASIL DTVM S.A.</v>
          </cell>
        </row>
        <row r="17161">
          <cell r="B17161">
            <v>124745</v>
          </cell>
          <cell r="C17161" t="str">
            <v>SANTANDER CACEIS BRASIL DTVM S.A.</v>
          </cell>
          <cell r="D17161" t="str">
            <v>SANTANDER CACEIS BRASIL DTVM S.A.</v>
          </cell>
          <cell r="E17161" t="str">
            <v>SANTANDER BRASIL GESTAO DE RECURSOS LTDA</v>
          </cell>
        </row>
        <row r="17162">
          <cell r="B17162">
            <v>124745</v>
          </cell>
          <cell r="C17162" t="str">
            <v>SANTANDER CACEIS BRASIL DTVM S.A.</v>
          </cell>
          <cell r="D17162" t="str">
            <v>SANTANDER CACEIS BRASIL DTVM S.A.</v>
          </cell>
          <cell r="E17162" t="str">
            <v>SANTANDER CACEIS BRASIL DTVM S.A.</v>
          </cell>
        </row>
        <row r="17163">
          <cell r="B17163">
            <v>124746</v>
          </cell>
          <cell r="C17163" t="str">
            <v>SANTANDER CACEIS BRASIL DTVM S.A.</v>
          </cell>
          <cell r="D17163" t="str">
            <v>SANTANDER CACEIS BRASIL DTVM S.A.</v>
          </cell>
          <cell r="E17163" t="str">
            <v>SANTANDER CACEIS BRASIL DTVM S.A.</v>
          </cell>
        </row>
        <row r="17164">
          <cell r="B17164">
            <v>124746</v>
          </cell>
          <cell r="C17164" t="str">
            <v>SANTANDER CACEIS BRASIL DTVM S.A.</v>
          </cell>
          <cell r="D17164" t="str">
            <v>SANTANDER CACEIS BRASIL DTVM S.A.</v>
          </cell>
          <cell r="E17164" t="str">
            <v>SANTANDER CACEIS BRASIL DTVM S.A.</v>
          </cell>
        </row>
        <row r="17165">
          <cell r="B17165">
            <v>124747</v>
          </cell>
          <cell r="C17165" t="str">
            <v>SANTANDER CACEIS BRASIL DTVM S.A.</v>
          </cell>
          <cell r="D17165" t="str">
            <v>SANTANDER CACEIS BRASIL DTVM S.A.</v>
          </cell>
          <cell r="E17165" t="str">
            <v>SANTANDER BRASIL GESTAO DE RECURSOS LTDA</v>
          </cell>
        </row>
        <row r="17166">
          <cell r="B17166">
            <v>124747</v>
          </cell>
          <cell r="C17166" t="str">
            <v>SANTANDER CACEIS BRASIL DTVM S.A.</v>
          </cell>
          <cell r="D17166" t="str">
            <v>SANTANDER CACEIS BRASIL DTVM S.A.</v>
          </cell>
          <cell r="E17166" t="str">
            <v>SANTANDER CACEIS BRASIL DTVM S.A.</v>
          </cell>
        </row>
        <row r="17167">
          <cell r="B17167">
            <v>124748</v>
          </cell>
          <cell r="C17167" t="str">
            <v>SANTANDER CACEIS BRASIL DTVM S.A.</v>
          </cell>
          <cell r="D17167" t="str">
            <v>SANTANDER CACEIS BRASIL DTVM S.A.</v>
          </cell>
          <cell r="E17167" t="str">
            <v>SANTANDER BRASIL GESTAO DE RECURSOS LTDA</v>
          </cell>
        </row>
        <row r="17168">
          <cell r="B17168">
            <v>124749</v>
          </cell>
          <cell r="C17168" t="str">
            <v>SANTANDER CACEIS BRASIL DTVM S.A.</v>
          </cell>
          <cell r="D17168" t="str">
            <v>SANTANDER CACEIS BRASIL DTVM S.A.</v>
          </cell>
          <cell r="E17168" t="str">
            <v>SANTANDER BRASIL GESTAO DE RECURSOS LTDA</v>
          </cell>
        </row>
        <row r="17169">
          <cell r="B17169">
            <v>124750</v>
          </cell>
          <cell r="C17169" t="str">
            <v>SANTANDER CACEIS BRASIL DTVM S.A.</v>
          </cell>
          <cell r="D17169" t="str">
            <v>SANTANDER CACEIS BRASIL DTVM S.A.</v>
          </cell>
          <cell r="E17169" t="str">
            <v>SANTANDER BRASIL GESTAO DE RECURSOS LTDA</v>
          </cell>
        </row>
        <row r="17170">
          <cell r="B17170">
            <v>124751</v>
          </cell>
          <cell r="C17170" t="str">
            <v>SANTANDER CACEIS BRASIL DTVM S.A.</v>
          </cell>
          <cell r="D17170" t="str">
            <v>SANTANDER CACEIS BRASIL DTVM S.A.</v>
          </cell>
          <cell r="E17170" t="str">
            <v>SANTANDER BRASIL GESTAO DE RECURSOS LTDA</v>
          </cell>
        </row>
        <row r="17171">
          <cell r="B17171">
            <v>124752</v>
          </cell>
          <cell r="C17171" t="str">
            <v>SANTANDER CACEIS BRASIL DTVM S.A.</v>
          </cell>
          <cell r="D17171" t="str">
            <v>SANTANDER CACEIS BRASIL DTVM S.A.</v>
          </cell>
          <cell r="E17171" t="str">
            <v>SANTANDER BRASIL GESTAO DE RECURSOS LTDA</v>
          </cell>
        </row>
        <row r="17172">
          <cell r="B17172">
            <v>124753</v>
          </cell>
          <cell r="C17172" t="str">
            <v>SANTANDER CACEIS BRASIL DTVM S.A.</v>
          </cell>
          <cell r="D17172" t="str">
            <v>SANTANDER CACEIS BRASIL DTVM S.A.</v>
          </cell>
          <cell r="E17172" t="str">
            <v>SANTANDER BRASIL GESTAO DE RECURSOS LTDA</v>
          </cell>
        </row>
        <row r="17173">
          <cell r="B17173">
            <v>124754</v>
          </cell>
          <cell r="C17173" t="str">
            <v>SANTANDER CACEIS BRASIL DTVM S.A.</v>
          </cell>
          <cell r="D17173" t="str">
            <v>SANTANDER CACEIS BRASIL DTVM S.A.</v>
          </cell>
          <cell r="E17173" t="str">
            <v>SANTANDER BRASIL GESTAO DE RECURSOS LTDA</v>
          </cell>
        </row>
        <row r="17174">
          <cell r="B17174">
            <v>124755</v>
          </cell>
          <cell r="C17174" t="str">
            <v>SANTANDER CACEIS BRASIL DTVM S.A.</v>
          </cell>
          <cell r="D17174" t="str">
            <v>SANTANDER CACEIS BRASIL DTVM S.A.</v>
          </cell>
          <cell r="E17174" t="str">
            <v>SANTANDER BRASIL GESTAO DE RECURSOS LTDA</v>
          </cell>
        </row>
        <row r="17175">
          <cell r="B17175">
            <v>124756</v>
          </cell>
          <cell r="C17175" t="str">
            <v>SANTANDER CACEIS BRASIL DTVM S.A.</v>
          </cell>
          <cell r="D17175" t="str">
            <v>SANTANDER CACEIS BRASIL DTVM S.A.</v>
          </cell>
          <cell r="E17175" t="str">
            <v>SANTANDER BRASIL GESTAO DE RECURSOS LTDA</v>
          </cell>
        </row>
        <row r="17176">
          <cell r="B17176">
            <v>124748</v>
          </cell>
          <cell r="C17176" t="str">
            <v>SANTANDER CACEIS BRASIL DTVM S.A.</v>
          </cell>
          <cell r="D17176" t="str">
            <v>SANTANDER CACEIS BRASIL DTVM S.A.</v>
          </cell>
          <cell r="E17176" t="str">
            <v>SANTANDER CACEIS BRASIL DTVM S.A.</v>
          </cell>
        </row>
        <row r="17177">
          <cell r="B17177">
            <v>124749</v>
          </cell>
          <cell r="C17177" t="str">
            <v>SANTANDER CACEIS BRASIL DTVM S.A.</v>
          </cell>
          <cell r="D17177" t="str">
            <v>SANTANDER CACEIS BRASIL DTVM S.A.</v>
          </cell>
          <cell r="E17177" t="str">
            <v>SANTANDER CACEIS BRASIL DTVM S.A.</v>
          </cell>
        </row>
        <row r="17178">
          <cell r="B17178">
            <v>124750</v>
          </cell>
          <cell r="C17178" t="str">
            <v>SANTANDER CACEIS BRASIL DTVM S.A.</v>
          </cell>
          <cell r="D17178" t="str">
            <v>SANTANDER CACEIS BRASIL DTVM S.A.</v>
          </cell>
          <cell r="E17178" t="str">
            <v>SANTANDER CACEIS BRASIL DTVM S.A.</v>
          </cell>
        </row>
        <row r="17179">
          <cell r="B17179">
            <v>124751</v>
          </cell>
          <cell r="C17179" t="str">
            <v>SANTANDER CACEIS BRASIL DTVM S.A.</v>
          </cell>
          <cell r="D17179" t="str">
            <v>SANTANDER CACEIS BRASIL DTVM S.A.</v>
          </cell>
          <cell r="E17179" t="str">
            <v>SANTANDER CACEIS BRASIL DTVM S.A.</v>
          </cell>
        </row>
        <row r="17180">
          <cell r="B17180">
            <v>124752</v>
          </cell>
          <cell r="C17180" t="str">
            <v>SANTANDER CACEIS BRASIL DTVM S.A.</v>
          </cell>
          <cell r="D17180" t="str">
            <v>SANTANDER CACEIS BRASIL DTVM S.A.</v>
          </cell>
          <cell r="E17180" t="str">
            <v>SANTANDER CACEIS BRASIL DTVM S.A.</v>
          </cell>
        </row>
        <row r="17181">
          <cell r="B17181">
            <v>124753</v>
          </cell>
          <cell r="C17181" t="str">
            <v>SANTANDER CACEIS BRASIL DTVM S.A.</v>
          </cell>
          <cell r="D17181" t="str">
            <v>SANTANDER CACEIS BRASIL DTVM S.A.</v>
          </cell>
          <cell r="E17181" t="str">
            <v>SANTANDER CACEIS BRASIL DTVM S.A.</v>
          </cell>
        </row>
        <row r="17182">
          <cell r="B17182">
            <v>124754</v>
          </cell>
          <cell r="C17182" t="str">
            <v>SANTANDER CACEIS BRASIL DTVM S.A.</v>
          </cell>
          <cell r="D17182" t="str">
            <v>SANTANDER CACEIS BRASIL DTVM S.A.</v>
          </cell>
          <cell r="E17182" t="str">
            <v>SANTANDER CACEIS BRASIL DTVM S.A.</v>
          </cell>
        </row>
        <row r="17183">
          <cell r="B17183">
            <v>124755</v>
          </cell>
          <cell r="C17183" t="str">
            <v>SANTANDER CACEIS BRASIL DTVM S.A.</v>
          </cell>
          <cell r="D17183" t="str">
            <v>SANTANDER CACEIS BRASIL DTVM S.A.</v>
          </cell>
          <cell r="E17183" t="str">
            <v>SANTANDER CACEIS BRASIL DTVM S.A.</v>
          </cell>
        </row>
        <row r="17184">
          <cell r="B17184">
            <v>124756</v>
          </cell>
          <cell r="C17184" t="str">
            <v>SANTANDER CACEIS BRASIL DTVM S.A.</v>
          </cell>
          <cell r="D17184" t="str">
            <v>SANTANDER CACEIS BRASIL DTVM S.A.</v>
          </cell>
          <cell r="E17184" t="str">
            <v>SANTANDER CACEIS BRASIL DTVM S.A.</v>
          </cell>
        </row>
        <row r="17185">
          <cell r="B17185">
            <v>124757</v>
          </cell>
          <cell r="C17185" t="str">
            <v>SANTANDER CACEIS BRASIL DTVM S.A.</v>
          </cell>
          <cell r="D17185" t="str">
            <v>SANTANDER CACEIS BRASIL DTVM S.A.</v>
          </cell>
          <cell r="E17185" t="str">
            <v>SANTANDER CACEIS BRASIL DTVM S.A.</v>
          </cell>
        </row>
        <row r="17186">
          <cell r="B17186">
            <v>124757</v>
          </cell>
          <cell r="C17186" t="str">
            <v>SANTANDER CACEIS BRASIL DTVM S.A.</v>
          </cell>
          <cell r="D17186" t="str">
            <v>SANTANDER CACEIS BRASIL DTVM S.A.</v>
          </cell>
          <cell r="E17186" t="str">
            <v>SANTANDER BRASIL GESTAO DE RECURSOS LTDA</v>
          </cell>
        </row>
        <row r="17187">
          <cell r="B17187">
            <v>124759</v>
          </cell>
          <cell r="C17187" t="str">
            <v>SANTANDER CACEIS BRASIL DTVM S.A.</v>
          </cell>
          <cell r="D17187" t="str">
            <v>SANTANDER CACEIS BRASIL DTVM S.A.</v>
          </cell>
          <cell r="E17187" t="str">
            <v>SANTANDER BRASIL GESTAO DE RECURSOS LTDA</v>
          </cell>
        </row>
        <row r="17188">
          <cell r="B17188">
            <v>124760</v>
          </cell>
          <cell r="C17188" t="str">
            <v>SANTANDER CACEIS BRASIL DTVM S.A.</v>
          </cell>
          <cell r="D17188" t="str">
            <v>SANTANDER CACEIS BRASIL DTVM S.A.</v>
          </cell>
          <cell r="E17188" t="str">
            <v>SANTANDER BRASIL GESTAO DE RECURSOS LTDA</v>
          </cell>
        </row>
        <row r="17189">
          <cell r="B17189">
            <v>124759</v>
          </cell>
          <cell r="C17189" t="str">
            <v>SANTANDER CACEIS BRASIL DTVM S.A.</v>
          </cell>
          <cell r="D17189" t="str">
            <v>SANTANDER CACEIS BRASIL DTVM S.A.</v>
          </cell>
          <cell r="E17189" t="str">
            <v>SANTANDER CACEIS BRASIL DTVM S.A.</v>
          </cell>
        </row>
        <row r="17190">
          <cell r="B17190">
            <v>124760</v>
          </cell>
          <cell r="C17190" t="str">
            <v>SANTANDER CACEIS BRASIL DTVM S.A.</v>
          </cell>
          <cell r="D17190" t="str">
            <v>SANTANDER CACEIS BRASIL DTVM S.A.</v>
          </cell>
          <cell r="E17190" t="str">
            <v>SANTANDER CACEIS BRASIL DTVM S.A.</v>
          </cell>
        </row>
        <row r="17191">
          <cell r="B17191">
            <v>124758</v>
          </cell>
          <cell r="C17191" t="str">
            <v>SANTANDER CACEIS BRASIL DTVM S.A.</v>
          </cell>
          <cell r="D17191" t="str">
            <v>SANTANDER CACEIS BRASIL DTVM S.A.</v>
          </cell>
          <cell r="E17191" t="str">
            <v>SANTANDER BRASIL GESTAO DE RECURSOS LTDA</v>
          </cell>
        </row>
        <row r="17192">
          <cell r="B17192">
            <v>124758</v>
          </cell>
          <cell r="C17192" t="str">
            <v>SANTANDER CACEIS BRASIL DTVM S.A.</v>
          </cell>
          <cell r="D17192" t="str">
            <v>SANTANDER CACEIS BRASIL DTVM S.A.</v>
          </cell>
          <cell r="E17192" t="str">
            <v>SANTANDER CACEIS BRASIL DTVM S.A.</v>
          </cell>
        </row>
        <row r="17193">
          <cell r="B17193">
            <v>80428</v>
          </cell>
          <cell r="C17193" t="str">
            <v>KEMNAY DYBRA LLC</v>
          </cell>
          <cell r="D17193" t="str">
            <v>KEMNAY DYBRA LLC</v>
          </cell>
          <cell r="E17193" t="str">
            <v>DYNAMO ADMINISTRACAO DE RECURSOS LTDA</v>
          </cell>
        </row>
        <row r="17194">
          <cell r="B17194">
            <v>80428</v>
          </cell>
          <cell r="C17194" t="str">
            <v>KEMNAY DYBRA LLC</v>
          </cell>
          <cell r="D17194" t="str">
            <v>KEMNAY DYBRA LLC</v>
          </cell>
          <cell r="E17194" t="str">
            <v>DYNAMO ADMINISTRACAO DE RECURSOS LTDA</v>
          </cell>
        </row>
        <row r="17195">
          <cell r="B17195">
            <v>124761</v>
          </cell>
          <cell r="C17195" t="str">
            <v>SAFRA PREV COPERNICO FIF PREV CI EM MULT PREV RESP LIMITADA</v>
          </cell>
          <cell r="D17195" t="str">
            <v>SAFRA PREV COPERNICO FIF PREV CI EM MULT PREV RESP LIMITADA</v>
          </cell>
          <cell r="E17195" t="str">
            <v>TURMALINA GESTAO E ADMINISTRAÃ‡ÃƒO DE RECURSOS SA</v>
          </cell>
        </row>
        <row r="17196">
          <cell r="B17196" t="str">
            <v>M19395898000172</v>
          </cell>
          <cell r="C17196" t="str">
            <v>XP SPORTS ASSET MANAGEMENT LTDA</v>
          </cell>
          <cell r="D17196" t="str">
            <v>XP SPORTS ASSET MANAGEMENT LTDA</v>
          </cell>
          <cell r="E17196" t="str">
            <v>XP GESTAO DE RECURSOS LTDA</v>
          </cell>
        </row>
        <row r="17197">
          <cell r="B17197">
            <v>122851</v>
          </cell>
          <cell r="C17197" t="str">
            <v>XP GLOBAL  FIM</v>
          </cell>
          <cell r="D17197" t="str">
            <v>XP GLOBAL  FIM</v>
          </cell>
          <cell r="E17197" t="str">
            <v>XP GLOBAL  FIM</v>
          </cell>
        </row>
        <row r="17198">
          <cell r="B17198">
            <v>80430</v>
          </cell>
          <cell r="C17198" t="str">
            <v>NEO GESTAO DE RECURSOS LTDA.</v>
          </cell>
          <cell r="D17198" t="str">
            <v>NEO GESTAO DE RECURSOS LTDA.</v>
          </cell>
          <cell r="E17198" t="str">
            <v>NEO GESTÃO DE RECURSOS LTDA</v>
          </cell>
        </row>
        <row r="17199">
          <cell r="B17199">
            <v>80430</v>
          </cell>
          <cell r="C17199" t="str">
            <v>NEO GESTAO DE RECURSOS LTDA.</v>
          </cell>
          <cell r="D17199" t="str">
            <v>NEO GESTAO DE RECURSOS LTDA.</v>
          </cell>
          <cell r="E17199" t="str">
            <v>NEO GESTÃO DE RECURSOS LTDA</v>
          </cell>
        </row>
        <row r="17200">
          <cell r="B17200">
            <v>124762</v>
          </cell>
          <cell r="C17200" t="str">
            <v>VINCI MULTIMANAGER BBDC FIM</v>
          </cell>
          <cell r="D17200" t="str">
            <v>VINCI MULTIMANAGER BBDC FIM</v>
          </cell>
          <cell r="E17200" t="str">
            <v>VINCI GESTORA DE RECURSOS LTDA</v>
          </cell>
        </row>
        <row r="17201">
          <cell r="B17201">
            <v>124762</v>
          </cell>
          <cell r="C17201" t="str">
            <v>VINCI MULTIMANAGER BBDC FIM</v>
          </cell>
          <cell r="D17201" t="str">
            <v>VINCI MULTIMANAGER BBDC FIM</v>
          </cell>
          <cell r="E17201" t="str">
            <v>VINCI GESTORA DE RECURSOS LTDA</v>
          </cell>
        </row>
        <row r="17202">
          <cell r="B17202">
            <v>124763</v>
          </cell>
          <cell r="C17202" t="str">
            <v>VINCI PORTIFOLIO 15 FIM CP IE</v>
          </cell>
          <cell r="D17202" t="str">
            <v>VINCI PORTIFOLIO 15 FIM CP IE</v>
          </cell>
          <cell r="E17202" t="str">
            <v>VINCI GESTORA DE RECURSOS LTDA</v>
          </cell>
        </row>
        <row r="17203">
          <cell r="B17203">
            <v>124763</v>
          </cell>
          <cell r="C17203" t="str">
            <v>VINCI PORTIFOLIO 15 FIM CP IE</v>
          </cell>
          <cell r="D17203" t="str">
            <v>VINCI PORTIFOLIO 15 FIM CP IE</v>
          </cell>
          <cell r="E17203" t="str">
            <v>VINCI PORTIFOLIO 15 FIM CP IE</v>
          </cell>
        </row>
        <row r="17204">
          <cell r="B17204">
            <v>12438</v>
          </cell>
          <cell r="C17204" t="str">
            <v>DYNAMO ADMINISTRACAO DE RECURSOS LTDA</v>
          </cell>
          <cell r="D17204" t="str">
            <v>DYNAMO ADMINISTRACAO DE RECURSOS LTDA</v>
          </cell>
          <cell r="E17204" t="str">
            <v>DYNAMO ADMINISTRACAO DE RECURSOS LTDA</v>
          </cell>
        </row>
        <row r="17205">
          <cell r="B17205">
            <v>12438</v>
          </cell>
          <cell r="C17205" t="str">
            <v>DYNAMO ADMINISTRACAO DE RECURSOS LTDA</v>
          </cell>
          <cell r="D17205" t="str">
            <v>DYNAMO ADMINISTRACAO DE RECURSOS LTDA</v>
          </cell>
          <cell r="E17205" t="str">
            <v>DYNAMO ADMINISTRACAO DE RECURSOS LTDA</v>
          </cell>
        </row>
        <row r="17206">
          <cell r="B17206">
            <v>124765</v>
          </cell>
          <cell r="C17206" t="str">
            <v>VINSON FUND, LLC</v>
          </cell>
          <cell r="D17206" t="str">
            <v>VINSON FUND, LLC</v>
          </cell>
          <cell r="E17206" t="str">
            <v>POLO CAPITAL GESTÃO DE RECURSOS LTDA</v>
          </cell>
        </row>
        <row r="17207">
          <cell r="B17207">
            <v>124765</v>
          </cell>
          <cell r="C17207" t="str">
            <v>VINSON FUND, LLC</v>
          </cell>
          <cell r="D17207" t="str">
            <v>VINSON FUND, LLC</v>
          </cell>
          <cell r="E17207" t="str">
            <v>POLO CAPITAL GESTÃO DE RECURSOS LTDA</v>
          </cell>
        </row>
        <row r="17208">
          <cell r="B17208">
            <v>124766</v>
          </cell>
          <cell r="C17208" t="str">
            <v>POLO ESTRATEGIA CP FIM IE</v>
          </cell>
          <cell r="D17208" t="str">
            <v>POLO ESTRATEGIA CP FIM IE</v>
          </cell>
          <cell r="E17208" t="str">
            <v>POLO CAPITAL GESTÃO DE RECURSOS LTDA</v>
          </cell>
        </row>
        <row r="17209">
          <cell r="B17209">
            <v>124766</v>
          </cell>
          <cell r="C17209" t="str">
            <v>POLO ESTRATEGIA CP FIM IE</v>
          </cell>
          <cell r="D17209" t="str">
            <v>POLO ESTRATEGIA CP FIM IE</v>
          </cell>
          <cell r="E17209" t="str">
            <v>POLO CAPITAL GESTÃO DE RECURSOS LTDA</v>
          </cell>
        </row>
        <row r="17210">
          <cell r="B17210">
            <v>124767</v>
          </cell>
          <cell r="C17210" t="str">
            <v>KADIMA LONG SHORT PLUS FIA</v>
          </cell>
          <cell r="D17210" t="str">
            <v>KADIMA LONG SHORT PLUS FIA</v>
          </cell>
          <cell r="E17210" t="str">
            <v>KADIMA GESTAO DE INVESTIMENTOS LTDA</v>
          </cell>
        </row>
        <row r="17211">
          <cell r="B17211">
            <v>124767</v>
          </cell>
          <cell r="C17211" t="str">
            <v>KADIMA LONG SHORT PLUS FIA</v>
          </cell>
          <cell r="D17211" t="str">
            <v>KADIMA LONG SHORT PLUS FIA</v>
          </cell>
          <cell r="E17211" t="str">
            <v>KADIMA GESTAO DE INVESTIMENTOS LTDA</v>
          </cell>
        </row>
        <row r="17212">
          <cell r="B17212">
            <v>80057</v>
          </cell>
          <cell r="C17212" t="str">
            <v>CLARITAS UNIMEDVX FI RENDA FIXA LP CP</v>
          </cell>
          <cell r="D17212" t="str">
            <v>CLARITAS UNIMEDVX FI RENDA FIXA LP CP</v>
          </cell>
          <cell r="E17212" t="str">
            <v>CLARITAS ADMINISTRAÇÃO DE RECURSOS LTDA</v>
          </cell>
        </row>
        <row r="17213">
          <cell r="B17213">
            <v>124768</v>
          </cell>
          <cell r="C17213" t="str">
            <v>SANTANDER CACEIS BRASIL DTVM S.A.</v>
          </cell>
          <cell r="D17213" t="str">
            <v>SANTANDER CACEIS BRASIL DTVM S.A.</v>
          </cell>
          <cell r="E17213" t="str">
            <v>SANTANDER BRASIL GESTAO DE RECURSOS LTDA</v>
          </cell>
        </row>
        <row r="17214">
          <cell r="B17214">
            <v>124768</v>
          </cell>
          <cell r="C17214" t="str">
            <v>SANTANDER CACEIS BRASIL DTVM S.A.</v>
          </cell>
          <cell r="D17214" t="str">
            <v>SANTANDER CACEIS BRASIL DTVM S.A.</v>
          </cell>
          <cell r="E17214" t="str">
            <v>SANTANDER CACEIS BRASIL DTVM S.A.</v>
          </cell>
        </row>
        <row r="17215">
          <cell r="B17215">
            <v>80431</v>
          </cell>
          <cell r="C17215" t="str">
            <v>KADIMA LONG SHORT PLUS FIA</v>
          </cell>
          <cell r="D17215" t="str">
            <v>KADIMA LONG SHORT PLUS FIA</v>
          </cell>
          <cell r="E17215" t="str">
            <v>KADIMA GESTAO DE INVESTIMENTOS LTDA</v>
          </cell>
        </row>
        <row r="17216">
          <cell r="B17216">
            <v>80431</v>
          </cell>
          <cell r="C17216" t="str">
            <v>KADIMA LONG SHORT PLUS FIA</v>
          </cell>
          <cell r="D17216" t="str">
            <v>KADIMA LONG SHORT PLUS FIA</v>
          </cell>
          <cell r="E17216" t="str">
            <v>KADIMA GESTAO DE INVESTIMENTOS LTDA</v>
          </cell>
        </row>
        <row r="17217">
          <cell r="B17217">
            <v>12439</v>
          </cell>
          <cell r="C17217" t="str">
            <v>CAPITAL GESTAO E INVESTIMENTOS LTDA</v>
          </cell>
          <cell r="D17217" t="str">
            <v>CAPITAL GESTAO E INVESTIMENTOS LTDA</v>
          </cell>
          <cell r="E17217" t="str">
            <v>CAPITAL GESTAO E INVESTIMENTOS LTDA</v>
          </cell>
        </row>
        <row r="17218">
          <cell r="B17218">
            <v>12439</v>
          </cell>
          <cell r="C17218" t="str">
            <v>CAPITAL GESTAO E INVESTIMENTOS LTDA</v>
          </cell>
          <cell r="D17218" t="str">
            <v>CAPITAL GESTAO E INVESTIMENTOS LTDA</v>
          </cell>
          <cell r="E17218" t="str">
            <v>CAPITAL GESTAO E INVESTIMENTOS LTDA</v>
          </cell>
        </row>
        <row r="17219">
          <cell r="B17219">
            <v>124769</v>
          </cell>
          <cell r="C17219" t="str">
            <v>CAPITAL VALUE FIA</v>
          </cell>
          <cell r="D17219" t="str">
            <v>CAPITAL VALUE FIA</v>
          </cell>
          <cell r="E17219" t="str">
            <v>CAPITAL GESTAO E INVESTIMENTOS LTDA</v>
          </cell>
        </row>
        <row r="17220">
          <cell r="B17220">
            <v>124769</v>
          </cell>
          <cell r="C17220" t="str">
            <v>CAPITAL VALUE FIA</v>
          </cell>
          <cell r="D17220" t="str">
            <v>CAPITAL VALUE FIA</v>
          </cell>
          <cell r="E17220" t="str">
            <v>CAPITAL GESTAO E INVESTIMENTOS LTDA</v>
          </cell>
        </row>
        <row r="17221">
          <cell r="B17221">
            <v>124770</v>
          </cell>
          <cell r="C17221" t="str">
            <v>ICATU CAPITAL PREV FIM</v>
          </cell>
          <cell r="D17221" t="str">
            <v>ICATU CAPITAL PREV FIM</v>
          </cell>
          <cell r="E17221" t="str">
            <v>CAPITAL GESTAO E INVESTIMENTOS LTDA</v>
          </cell>
        </row>
        <row r="17222">
          <cell r="B17222">
            <v>124770</v>
          </cell>
          <cell r="C17222" t="str">
            <v>ICATU CAPITAL PREV FIM</v>
          </cell>
          <cell r="D17222" t="str">
            <v>ICATU CAPITAL PREV FIM</v>
          </cell>
          <cell r="E17222" t="str">
            <v>CAPITAL GESTAO E INVESTIMENTOS LTDA</v>
          </cell>
        </row>
        <row r="17223">
          <cell r="B17223">
            <v>124771</v>
          </cell>
          <cell r="C17223" t="str">
            <v>RB FIA</v>
          </cell>
          <cell r="D17223" t="str">
            <v>RB FIA</v>
          </cell>
          <cell r="E17223" t="str">
            <v>CAPITAL GESTAO E INVESTIMENTOS LTDA</v>
          </cell>
        </row>
        <row r="17224">
          <cell r="B17224">
            <v>124771</v>
          </cell>
          <cell r="C17224" t="str">
            <v>RB FIA</v>
          </cell>
          <cell r="D17224" t="str">
            <v>RB FIA</v>
          </cell>
          <cell r="E17224" t="str">
            <v>CAPITAL GESTAO E INVESTIMENTOS LTDA</v>
          </cell>
        </row>
        <row r="17225">
          <cell r="B17225">
            <v>80442</v>
          </cell>
          <cell r="C17225" t="str">
            <v>FIM CP JACARANDA IE</v>
          </cell>
          <cell r="D17225" t="str">
            <v>FIM CP JACARANDA IE</v>
          </cell>
          <cell r="E17225" t="str">
            <v>BNP PARIBAS ASSET MANAGEMENT BRASIL LTDA</v>
          </cell>
        </row>
        <row r="17226">
          <cell r="B17226">
            <v>80480</v>
          </cell>
          <cell r="C17226" t="str">
            <v>BNP PARIBAS ASSET MANAGEMENT BRASIL LTDA</v>
          </cell>
          <cell r="D17226" t="str">
            <v>BNP PARIBAS ASSET MANAGEMENT BRASIL LTDA</v>
          </cell>
          <cell r="E17226" t="str">
            <v>BNP PARIBAS ASSET MANAGEMENT BRASIL LTDA</v>
          </cell>
        </row>
        <row r="17227">
          <cell r="B17227">
            <v>80481</v>
          </cell>
          <cell r="C17227" t="str">
            <v>BNP PARIBAS ASSET MANAGEMENT BRASIL LTDA</v>
          </cell>
          <cell r="D17227" t="str">
            <v>BNP PARIBAS ASSET MANAGEMENT BRASIL LTDA</v>
          </cell>
          <cell r="E17227" t="str">
            <v>BNP PARIBAS ASSET MANAGEMENT BRASIL LTDA</v>
          </cell>
        </row>
        <row r="17228">
          <cell r="B17228">
            <v>124772</v>
          </cell>
          <cell r="C17228" t="str">
            <v>PLATINA TRADING FIM</v>
          </cell>
          <cell r="D17228" t="str">
            <v>PLATINA TRADING FIM</v>
          </cell>
          <cell r="E17228" t="str">
            <v>VINCI GESTORA DE RECURSOS LTDA</v>
          </cell>
        </row>
        <row r="17229">
          <cell r="B17229">
            <v>124772</v>
          </cell>
          <cell r="C17229" t="str">
            <v>PLATINA TRADING FIM</v>
          </cell>
          <cell r="D17229" t="str">
            <v>PLATINA TRADING FIM</v>
          </cell>
          <cell r="E17229" t="str">
            <v>VINCI GESTORA DE RECURSOS LTDA</v>
          </cell>
        </row>
        <row r="17230">
          <cell r="B17230">
            <v>124773</v>
          </cell>
          <cell r="C17230" t="str">
            <v>KADIMA LONG SHORT PLUS FIA</v>
          </cell>
          <cell r="D17230" t="str">
            <v>KADIMA LONG SHORT PLUS FIA</v>
          </cell>
          <cell r="E17230" t="str">
            <v>KADIMA GESTAO DE INVESTIMENTOS LTDA</v>
          </cell>
        </row>
        <row r="17231">
          <cell r="B17231">
            <v>124773</v>
          </cell>
          <cell r="C17231" t="str">
            <v>KADIMA LONG SHORT PLUS FIA</v>
          </cell>
          <cell r="D17231" t="str">
            <v>KADIMA LONG SHORT PLUS FIA</v>
          </cell>
          <cell r="E17231" t="str">
            <v>KADIMA GESTAO DE INVESTIMENTOS LTDA</v>
          </cell>
        </row>
        <row r="17232">
          <cell r="B17232">
            <v>124774</v>
          </cell>
          <cell r="C17232" t="str">
            <v>SANTANDER CACEIS BRASIL DTVM S.A.</v>
          </cell>
          <cell r="D17232" t="str">
            <v>SANTANDER CACEIS BRASIL DTVM S.A.</v>
          </cell>
          <cell r="E17232" t="str">
            <v>SANTANDER BRASIL GESTAO DE RECURSOS LTDA</v>
          </cell>
        </row>
        <row r="17233">
          <cell r="B17233">
            <v>124775</v>
          </cell>
          <cell r="C17233" t="str">
            <v>SANTANDER CACEIS BRASIL DTVM S.A.</v>
          </cell>
          <cell r="D17233" t="str">
            <v>SANTANDER CACEIS BRASIL DTVM S.A.</v>
          </cell>
          <cell r="E17233" t="str">
            <v>SANTANDER BRASIL GESTAO DE RECURSOS LTDA</v>
          </cell>
        </row>
        <row r="17234">
          <cell r="B17234">
            <v>124776</v>
          </cell>
          <cell r="C17234" t="str">
            <v>SANTANDER CACEIS BRASIL DTVM S.A.</v>
          </cell>
          <cell r="D17234" t="str">
            <v>SANTANDER CACEIS BRASIL DTVM S.A.</v>
          </cell>
          <cell r="E17234" t="str">
            <v>SANTANDER BRASIL GESTAO DE RECURSOS LTDA</v>
          </cell>
        </row>
        <row r="17235">
          <cell r="B17235">
            <v>124774</v>
          </cell>
          <cell r="C17235" t="str">
            <v>SANTANDER CACEIS BRASIL DTVM S.A.</v>
          </cell>
          <cell r="D17235" t="str">
            <v>SANTANDER CACEIS BRASIL DTVM S.A.</v>
          </cell>
          <cell r="E17235" t="str">
            <v>SANTANDER CACEIS BRASIL DTVM S.A.</v>
          </cell>
        </row>
        <row r="17236">
          <cell r="B17236">
            <v>124775</v>
          </cell>
          <cell r="C17236" t="str">
            <v>SANTANDER CACEIS BRASIL DTVM S.A.</v>
          </cell>
          <cell r="D17236" t="str">
            <v>SANTANDER CACEIS BRASIL DTVM S.A.</v>
          </cell>
          <cell r="E17236" t="str">
            <v>SANTANDER CACEIS BRASIL DTVM S.A.</v>
          </cell>
        </row>
        <row r="17237">
          <cell r="B17237">
            <v>124776</v>
          </cell>
          <cell r="C17237" t="str">
            <v>SANTANDER CACEIS BRASIL DTVM S.A.</v>
          </cell>
          <cell r="D17237" t="str">
            <v>SANTANDER CACEIS BRASIL DTVM S.A.</v>
          </cell>
          <cell r="E17237" t="str">
            <v>SANTANDER CACEIS BRASIL DTVM S.A.</v>
          </cell>
        </row>
        <row r="17238">
          <cell r="B17238">
            <v>122301</v>
          </cell>
          <cell r="C17238" t="str">
            <v>CLARITAS VALOR FIA</v>
          </cell>
          <cell r="D17238" t="str">
            <v>CLARITAS VALOR FIA</v>
          </cell>
          <cell r="E17238" t="str">
            <v>CLARITAS ADMINISTRAÇÃO DE RECURSOS LTDA</v>
          </cell>
        </row>
        <row r="17239">
          <cell r="B17239">
            <v>80432</v>
          </cell>
          <cell r="C17239" t="str">
            <v>GPS PLANEJAMENTO FINANCEIRO LTDA</v>
          </cell>
          <cell r="D17239" t="str">
            <v>GPS PLANEJAMENTO FINANCEIRO LTDA</v>
          </cell>
          <cell r="E17239" t="str">
            <v>GPS PLANEJAMENTO FINANCEIRO LTDA</v>
          </cell>
        </row>
        <row r="17240">
          <cell r="B17240">
            <v>80432</v>
          </cell>
          <cell r="C17240" t="str">
            <v>GPS PLANEJAMENTO FINANCEIRO LTDA</v>
          </cell>
          <cell r="D17240" t="str">
            <v>GPS PLANEJAMENTO FINANCEIRO LTDA</v>
          </cell>
          <cell r="E17240" t="str">
            <v>GPS PLANEJAMENTO FINANCEIRO LTDA</v>
          </cell>
        </row>
        <row r="17241">
          <cell r="B17241">
            <v>12440</v>
          </cell>
          <cell r="C17241" t="str">
            <v>CFO ADMINISTRACAO DE RECURSOS LTDA</v>
          </cell>
          <cell r="D17241" t="str">
            <v>CFO ADMINISTRACAO DE RECURSOS LTDA</v>
          </cell>
          <cell r="E17241" t="str">
            <v>CFO ADMINISTRACAO DE RECURSOS LTDA</v>
          </cell>
        </row>
        <row r="17242">
          <cell r="B17242">
            <v>80433</v>
          </cell>
          <cell r="C17242" t="str">
            <v>CFO ADMINISTRACAO DE RECURSOS LTDA</v>
          </cell>
          <cell r="D17242" t="str">
            <v>CFO ADMINISTRACAO DE RECURSOS LTDA</v>
          </cell>
          <cell r="E17242" t="str">
            <v>CFO ADMINISTRACAO DE RECURSOS LTDA</v>
          </cell>
        </row>
        <row r="17243">
          <cell r="B17243">
            <v>12440</v>
          </cell>
          <cell r="C17243" t="str">
            <v>CFO ADMINISTRACAO DE RECURSOS LTDA</v>
          </cell>
          <cell r="D17243" t="str">
            <v>CFO ADMINISTRACAO DE RECURSOS LTDA</v>
          </cell>
          <cell r="E17243" t="str">
            <v>CFO ADMINISTRACAO DE RECURSOS LTDA</v>
          </cell>
        </row>
        <row r="17244">
          <cell r="B17244">
            <v>80433</v>
          </cell>
          <cell r="C17244" t="str">
            <v>CFO ADMINISTRACAO DE RECURSOS LTDA</v>
          </cell>
          <cell r="D17244" t="str">
            <v>CFO ADMINISTRACAO DE RECURSOS LTDA</v>
          </cell>
          <cell r="E17244" t="str">
            <v>CFO ADMINISTRACAO DE RECURSOS LTDA</v>
          </cell>
        </row>
        <row r="17245">
          <cell r="B17245">
            <v>124777</v>
          </cell>
          <cell r="C17245" t="str">
            <v>3CA FIM CP IE</v>
          </cell>
          <cell r="D17245" t="str">
            <v>3CA FIM CP IE</v>
          </cell>
          <cell r="E17245" t="str">
            <v>JULIUS BAER FAMILY OFFICE BRASIL GESTAO DE PATRIMONIO LTDA</v>
          </cell>
        </row>
        <row r="17246">
          <cell r="B17246">
            <v>124777</v>
          </cell>
          <cell r="C17246" t="str">
            <v>3CA FIM CP IE</v>
          </cell>
          <cell r="D17246" t="str">
            <v>3CA FIM CP IE</v>
          </cell>
          <cell r="E17246" t="str">
            <v>JULIUS BAER FAMILY OFFICE BRASIL GESTAO DE PATRIMONIO LTDA</v>
          </cell>
        </row>
        <row r="17247">
          <cell r="B17247">
            <v>124778</v>
          </cell>
          <cell r="C17247" t="str">
            <v>ABACO FIM CRED PRIV IE</v>
          </cell>
          <cell r="D17247" t="str">
            <v>ABACO FIM CRED PRIV IE</v>
          </cell>
          <cell r="E17247" t="str">
            <v>JULIUS BAER FAMILY OFFICE BRASIL GESTAO DE PATRIMONIO LTDA</v>
          </cell>
        </row>
        <row r="17248">
          <cell r="B17248">
            <v>124778</v>
          </cell>
          <cell r="C17248" t="str">
            <v>ABACO FIM CRED PRIV IE</v>
          </cell>
          <cell r="D17248" t="str">
            <v>ABACO FIM CRED PRIV IE</v>
          </cell>
          <cell r="E17248" t="str">
            <v>JULIUS BAER FAMILY OFFICE BRASIL GESTAO DE PATRIMONIO LTDA</v>
          </cell>
        </row>
        <row r="17249">
          <cell r="B17249">
            <v>122301</v>
          </cell>
          <cell r="C17249" t="str">
            <v>CLARITAS VALOR FIA</v>
          </cell>
          <cell r="D17249" t="str">
            <v>CLARITAS VALOR FIA</v>
          </cell>
          <cell r="E17249" t="str">
            <v>CLARITAS ADMINISTRAÇÃO DE RECURSOS LTDA</v>
          </cell>
        </row>
        <row r="17250">
          <cell r="B17250">
            <v>124779</v>
          </cell>
          <cell r="C17250" t="str">
            <v>AETERNUS FIM - CREDITO PRIVADO - IE</v>
          </cell>
          <cell r="D17250" t="str">
            <v>AETERNUS FIM - CREDITO PRIVADO - IE</v>
          </cell>
          <cell r="E17250" t="str">
            <v>JULIUS BAER FAMILY OFFICE BRASIL GESTAO DE PATRIMONIO LTDA</v>
          </cell>
        </row>
        <row r="17251">
          <cell r="B17251">
            <v>124779</v>
          </cell>
          <cell r="C17251" t="str">
            <v>AETERNUS FIM - CREDITO PRIVADO - IE</v>
          </cell>
          <cell r="D17251" t="str">
            <v>AETERNUS FIM - CREDITO PRIVADO - IE</v>
          </cell>
          <cell r="E17251" t="str">
            <v>JULIUS BAER FAMILY OFFICE BRASIL GESTAO DE PATRIMONIO LTDA</v>
          </cell>
        </row>
        <row r="17252">
          <cell r="B17252">
            <v>124797</v>
          </cell>
          <cell r="C17252" t="str">
            <v>BONSAI FIM CP IE</v>
          </cell>
          <cell r="D17252" t="str">
            <v>BONSAI FIM CP IE</v>
          </cell>
          <cell r="E17252" t="str">
            <v>JULIUS BAER FAMILY OFFICE BRASIL GESTAO DE PATRIMONIO LTDA</v>
          </cell>
        </row>
        <row r="17253">
          <cell r="B17253">
            <v>124797</v>
          </cell>
          <cell r="C17253" t="str">
            <v>BONSAI FIM CP IE</v>
          </cell>
          <cell r="D17253" t="str">
            <v>BONSAI FIM CP IE</v>
          </cell>
          <cell r="E17253" t="str">
            <v>JULIUS BAER FAMILY OFFICE BRASIL GESTAO DE PATRIMONIO LTDA</v>
          </cell>
        </row>
        <row r="17254">
          <cell r="B17254">
            <v>124780</v>
          </cell>
          <cell r="C17254" t="str">
            <v>AGAPE FIM CREDITO PRIVADO IE</v>
          </cell>
          <cell r="D17254" t="str">
            <v>AGAPE FIM CREDITO PRIVADO IE</v>
          </cell>
          <cell r="E17254" t="str">
            <v>JULIUS BAER FAMILY OFFICE BRASIL GESTAO DE PATRIMONIO LTDA</v>
          </cell>
        </row>
        <row r="17255">
          <cell r="B17255">
            <v>124780</v>
          </cell>
          <cell r="C17255" t="str">
            <v>AGAPE FIM CREDITO PRIVADO IE</v>
          </cell>
          <cell r="D17255" t="str">
            <v>AGAPE FIM CREDITO PRIVADO IE</v>
          </cell>
          <cell r="E17255" t="str">
            <v>JULIUS BAER FAMILY OFFICE BRASIL GESTAO DE PATRIMONIO LTDA</v>
          </cell>
        </row>
        <row r="17256">
          <cell r="B17256">
            <v>124798</v>
          </cell>
          <cell r="C17256" t="str">
            <v>BOTIJA FIM CP IE</v>
          </cell>
          <cell r="D17256" t="str">
            <v>BOTIJA FIM CP IE</v>
          </cell>
          <cell r="E17256" t="str">
            <v>JULIUS BAER FAMILY OFFICE BRASIL GESTAO DE PATRIMONIO LTDA</v>
          </cell>
        </row>
        <row r="17257">
          <cell r="B17257">
            <v>124798</v>
          </cell>
          <cell r="C17257" t="str">
            <v>BOTIJA FIM CP IE</v>
          </cell>
          <cell r="D17257" t="str">
            <v>BOTIJA FIM CP IE</v>
          </cell>
          <cell r="E17257" t="str">
            <v>JULIUS BAER FAMILY OFFICE BRASIL GESTAO DE PATRIMONIO LTDA</v>
          </cell>
        </row>
        <row r="17258">
          <cell r="B17258">
            <v>124781</v>
          </cell>
          <cell r="C17258" t="str">
            <v>AJRC II FIM CREDITO PRIVADO IE</v>
          </cell>
          <cell r="D17258" t="str">
            <v>AJRC II FIM CREDITO PRIVADO IE</v>
          </cell>
          <cell r="E17258" t="str">
            <v>JULIUS BAER FAMILY OFFICE BRASIL GESTAO DE PATRIMONIO LTDA</v>
          </cell>
        </row>
        <row r="17259">
          <cell r="B17259">
            <v>124781</v>
          </cell>
          <cell r="C17259" t="str">
            <v>AJRC II FIM CREDITO PRIVADO IE</v>
          </cell>
          <cell r="D17259" t="str">
            <v>AJRC II FIM CREDITO PRIVADO IE</v>
          </cell>
          <cell r="E17259" t="str">
            <v>JULIUS BAER FAMILY OFFICE BRASIL GESTAO DE PATRIMONIO LTDA</v>
          </cell>
        </row>
        <row r="17260">
          <cell r="B17260">
            <v>124782</v>
          </cell>
          <cell r="C17260" t="str">
            <v>ALLURE FUNDO DE INVESTIMENTO EM ACOES - BDR NIVEL I</v>
          </cell>
          <cell r="D17260" t="str">
            <v>ALLURE FUNDO DE INVESTIMENTO EM ACOES - BDR NIVEL I</v>
          </cell>
          <cell r="E17260" t="str">
            <v>JULIUS BAER FAMILY OFFICE BRASIL GESTAO DE PATRIMONIO LTDA</v>
          </cell>
        </row>
        <row r="17261">
          <cell r="B17261">
            <v>124782</v>
          </cell>
          <cell r="C17261" t="str">
            <v>ALLURE FUNDO DE INVESTIMENTO EM ACOES - BDR NIVEL I</v>
          </cell>
          <cell r="D17261" t="str">
            <v>ALLURE FUNDO DE INVESTIMENTO EM ACOES - BDR NIVEL I</v>
          </cell>
          <cell r="E17261" t="str">
            <v>JULIUS BAER FAMILY OFFICE BRASIL GESTAO DE PATRIMONIO LTDA</v>
          </cell>
        </row>
        <row r="17262">
          <cell r="B17262">
            <v>124783</v>
          </cell>
          <cell r="C17262" t="str">
            <v>ALMAVIVA FIM CREDITO PRIVADO IE</v>
          </cell>
          <cell r="D17262" t="str">
            <v>ALMAVIVA FIM CREDITO PRIVADO IE</v>
          </cell>
          <cell r="E17262" t="str">
            <v>JULIUS BAER FAMILY OFFICE BRASIL GESTAO DE PATRIMONIO LTDA</v>
          </cell>
        </row>
        <row r="17263">
          <cell r="B17263">
            <v>124783</v>
          </cell>
          <cell r="C17263" t="str">
            <v>ALMAVIVA FIM CREDITO PRIVADO IE</v>
          </cell>
          <cell r="D17263" t="str">
            <v>ALMAVIVA FIM CREDITO PRIVADO IE</v>
          </cell>
          <cell r="E17263" t="str">
            <v>JULIUS BAER FAMILY OFFICE BRASIL GESTAO DE PATRIMONIO LTDA</v>
          </cell>
        </row>
        <row r="17264">
          <cell r="B17264">
            <v>124799</v>
          </cell>
          <cell r="C17264" t="str">
            <v>BOTIJA FX FIM CP IE</v>
          </cell>
          <cell r="D17264" t="str">
            <v>BOTIJA FX FIM CP IE</v>
          </cell>
          <cell r="E17264" t="str">
            <v>JULIUS BAER FAMILY OFFICE BRASIL GESTAO DE PATRIMONIO LTDA</v>
          </cell>
        </row>
        <row r="17265">
          <cell r="B17265">
            <v>124799</v>
          </cell>
          <cell r="C17265" t="str">
            <v>BOTIJA FX FIM CP IE</v>
          </cell>
          <cell r="D17265" t="str">
            <v>BOTIJA FX FIM CP IE</v>
          </cell>
          <cell r="E17265" t="str">
            <v>JULIUS BAER FAMILY OFFICE BRASIL GESTAO DE PATRIMONIO LTDA</v>
          </cell>
        </row>
        <row r="17266">
          <cell r="B17266">
            <v>124784</v>
          </cell>
          <cell r="C17266" t="str">
            <v>ALTANA FIM CREDITO PRIVADO IE</v>
          </cell>
          <cell r="D17266" t="str">
            <v>ALTANA FIM CREDITO PRIVADO IE</v>
          </cell>
          <cell r="E17266" t="str">
            <v>JULIUS BAER FAMILY OFFICE BRASIL GESTAO DE PATRIMONIO LTDA</v>
          </cell>
        </row>
        <row r="17267">
          <cell r="B17267">
            <v>124784</v>
          </cell>
          <cell r="C17267" t="str">
            <v>ALTANA FIM CREDITO PRIVADO IE</v>
          </cell>
          <cell r="D17267" t="str">
            <v>ALTANA FIM CREDITO PRIVADO IE</v>
          </cell>
          <cell r="E17267" t="str">
            <v>JULIUS BAER FAMILY OFFICE BRASIL GESTAO DE PATRIMONIO LTDA</v>
          </cell>
        </row>
        <row r="17268">
          <cell r="B17268">
            <v>124800</v>
          </cell>
          <cell r="C17268" t="str">
            <v>BRAUNA FIM CP IE</v>
          </cell>
          <cell r="D17268" t="str">
            <v>BRAUNA FIM CP IE</v>
          </cell>
          <cell r="E17268" t="str">
            <v>JULIUS BAER FAMILY OFFICE BRASIL GESTAO DE PATRIMONIO LTDA</v>
          </cell>
        </row>
        <row r="17269">
          <cell r="B17269">
            <v>124800</v>
          </cell>
          <cell r="C17269" t="str">
            <v>BRAUNA FIM CP IE</v>
          </cell>
          <cell r="D17269" t="str">
            <v>BRAUNA FIM CP IE</v>
          </cell>
          <cell r="E17269" t="str">
            <v>JULIUS BAER FAMILY OFFICE BRASIL GESTAO DE PATRIMONIO LTDA</v>
          </cell>
        </row>
        <row r="17270">
          <cell r="B17270">
            <v>124785</v>
          </cell>
          <cell r="C17270" t="str">
            <v>AMARO FIC DE FIM CREDITO PRIVADO IE</v>
          </cell>
          <cell r="D17270" t="str">
            <v>AMARO FIC DE FIM CREDITO PRIVADO IE</v>
          </cell>
          <cell r="E17270" t="str">
            <v>JULIUS BAER FAMILY OFFICE BRASIL GESTAO DE PATRIMONIO LTDA</v>
          </cell>
        </row>
        <row r="17271">
          <cell r="B17271">
            <v>124785</v>
          </cell>
          <cell r="C17271" t="str">
            <v>AMARO FIC DE FIM CREDITO PRIVADO IE</v>
          </cell>
          <cell r="D17271" t="str">
            <v>AMARO FIC DE FIM CREDITO PRIVADO IE</v>
          </cell>
          <cell r="E17271" t="str">
            <v>JULIUS BAER FAMILY OFFICE BRASIL GESTAO DE PATRIMONIO LTDA</v>
          </cell>
        </row>
        <row r="17272">
          <cell r="B17272">
            <v>124811</v>
          </cell>
          <cell r="C17272" t="str">
            <v>SANTANDER CACEIS BRASIL DTVM S.A.</v>
          </cell>
          <cell r="D17272" t="str">
            <v>SANTANDER CACEIS BRASIL DTVM S.A.</v>
          </cell>
          <cell r="E17272" t="str">
            <v>SANTANDER CACEIS BRASIL DTVM S.A.</v>
          </cell>
        </row>
        <row r="17273">
          <cell r="B17273">
            <v>124812</v>
          </cell>
          <cell r="C17273" t="str">
            <v>SANTANDER CACEIS BRASIL DTVM S.A.</v>
          </cell>
          <cell r="D17273" t="str">
            <v>SANTANDER CACEIS BRASIL DTVM S.A.</v>
          </cell>
          <cell r="E17273" t="str">
            <v>SANTANDER BRASIL GESTAO DE RECURSOS LTDA</v>
          </cell>
        </row>
        <row r="17274">
          <cell r="B17274">
            <v>124811</v>
          </cell>
          <cell r="C17274" t="str">
            <v>SANTANDER CACEIS BRASIL DTVM S.A.</v>
          </cell>
          <cell r="D17274" t="str">
            <v>SANTANDER CACEIS BRASIL DTVM S.A.</v>
          </cell>
          <cell r="E17274" t="str">
            <v>SANTANDER CACEIS BRASIL DTVM S.A.</v>
          </cell>
        </row>
        <row r="17275">
          <cell r="B17275">
            <v>124812</v>
          </cell>
          <cell r="C17275" t="str">
            <v>SANTANDER CACEIS BRASIL DTVM S.A.</v>
          </cell>
          <cell r="D17275" t="str">
            <v>SANTANDER CACEIS BRASIL DTVM S.A.</v>
          </cell>
          <cell r="E17275" t="str">
            <v>SANTANDER CACEIS BRASIL DTVM S.A.</v>
          </cell>
        </row>
        <row r="17276">
          <cell r="B17276">
            <v>124801</v>
          </cell>
          <cell r="C17276" t="str">
            <v>BRAVE FIM CP IE</v>
          </cell>
          <cell r="D17276" t="str">
            <v>BRAVE FIM CP IE</v>
          </cell>
          <cell r="E17276" t="str">
            <v>JULIUS BAER FAMILY OFFICE BRASIL GESTAO DE PATRIMONIO LTDA</v>
          </cell>
        </row>
        <row r="17277">
          <cell r="B17277">
            <v>124801</v>
          </cell>
          <cell r="C17277" t="str">
            <v>BRAVE FIM CP IE</v>
          </cell>
          <cell r="D17277" t="str">
            <v>BRAVE FIM CP IE</v>
          </cell>
          <cell r="E17277" t="str">
            <v>JULIUS BAER FAMILY OFFICE BRASIL GESTAO DE PATRIMONIO LTDA</v>
          </cell>
        </row>
        <row r="17278">
          <cell r="B17278">
            <v>124802</v>
          </cell>
          <cell r="C17278" t="str">
            <v>BUSCA VIDA FIM CP IE</v>
          </cell>
          <cell r="D17278" t="str">
            <v>BUSCA VIDA FIM CP IE</v>
          </cell>
          <cell r="E17278" t="str">
            <v>JULIUS BAER FAMILY OFFICE BRASIL GESTAO DE PATRIMONIO LTDA</v>
          </cell>
        </row>
        <row r="17279">
          <cell r="B17279">
            <v>124802</v>
          </cell>
          <cell r="C17279" t="str">
            <v>BUSCA VIDA FIM CP IE</v>
          </cell>
          <cell r="D17279" t="str">
            <v>BUSCA VIDA FIM CP IE</v>
          </cell>
          <cell r="E17279" t="str">
            <v>JULIUS BAER FAMILY OFFICE BRASIL GESTAO DE PATRIMONIO LTDA</v>
          </cell>
        </row>
        <row r="17280">
          <cell r="B17280">
            <v>124803</v>
          </cell>
          <cell r="C17280" t="str">
            <v>CALIX FIM CP IE</v>
          </cell>
          <cell r="D17280" t="str">
            <v>CALIX FIM CP IE</v>
          </cell>
          <cell r="E17280" t="str">
            <v>JULIUS BAER FAMILY OFFICE BRASIL GESTAO DE PATRIMONIO LTDA</v>
          </cell>
        </row>
        <row r="17281">
          <cell r="B17281">
            <v>124803</v>
          </cell>
          <cell r="C17281" t="str">
            <v>CALIX FIM CP IE</v>
          </cell>
          <cell r="D17281" t="str">
            <v>CALIX FIM CP IE</v>
          </cell>
          <cell r="E17281" t="str">
            <v>JULIUS BAER FAMILY OFFICE BRASIL GESTAO DE PATRIMONIO LTDA</v>
          </cell>
        </row>
        <row r="17282">
          <cell r="B17282">
            <v>124804</v>
          </cell>
          <cell r="C17282" t="str">
            <v>CANECA FIM CP IE</v>
          </cell>
          <cell r="D17282" t="str">
            <v>CANECA FIM CP IE</v>
          </cell>
          <cell r="E17282" t="str">
            <v>JULIUS BAER FAMILY OFFICE BRASIL GESTAO DE PATRIMONIO LTDA</v>
          </cell>
        </row>
        <row r="17283">
          <cell r="B17283">
            <v>124804</v>
          </cell>
          <cell r="C17283" t="str">
            <v>CANECA FIM CP IE</v>
          </cell>
          <cell r="D17283" t="str">
            <v>CANECA FIM CP IE</v>
          </cell>
          <cell r="E17283" t="str">
            <v>JULIUS BAER FAMILY OFFICE BRASIL GESTAO DE PATRIMONIO LTDA</v>
          </cell>
        </row>
        <row r="17284">
          <cell r="B17284">
            <v>124805</v>
          </cell>
          <cell r="C17284" t="str">
            <v>CAPELA II FIM CP</v>
          </cell>
          <cell r="D17284" t="str">
            <v>CAPELA II FIM CP</v>
          </cell>
          <cell r="E17284" t="str">
            <v>JULIUS BAER FAMILY OFFICE BRASIL GESTAO DE PATRIMONIO LTDA</v>
          </cell>
        </row>
        <row r="17285">
          <cell r="B17285">
            <v>124805</v>
          </cell>
          <cell r="C17285" t="str">
            <v>CAPELA II FIM CP</v>
          </cell>
          <cell r="D17285" t="str">
            <v>CAPELA II FIM CP</v>
          </cell>
          <cell r="E17285" t="str">
            <v>JULIUS BAER FAMILY OFFICE BRASIL GESTAO DE PATRIMONIO LTDA</v>
          </cell>
        </row>
        <row r="17286">
          <cell r="B17286">
            <v>124806</v>
          </cell>
          <cell r="C17286" t="str">
            <v>CAPRI FIM CP IE</v>
          </cell>
          <cell r="D17286" t="str">
            <v>CAPRI FIM CP IE</v>
          </cell>
          <cell r="E17286" t="str">
            <v>JULIUS BAER FAMILY OFFICE BRASIL GESTAO DE PATRIMONIO LTDA</v>
          </cell>
        </row>
        <row r="17287">
          <cell r="B17287">
            <v>124806</v>
          </cell>
          <cell r="C17287" t="str">
            <v>CAPRI FIM CP IE</v>
          </cell>
          <cell r="D17287" t="str">
            <v>CAPRI FIM CP IE</v>
          </cell>
          <cell r="E17287" t="str">
            <v>JULIUS BAER FAMILY OFFICE BRASIL GESTAO DE PATRIMONIO LTDA</v>
          </cell>
        </row>
        <row r="17288">
          <cell r="B17288">
            <v>124807</v>
          </cell>
          <cell r="C17288" t="str">
            <v>CARAJAS FIC FIM CP IE</v>
          </cell>
          <cell r="D17288" t="str">
            <v>CARAJAS FIC FIM CP IE</v>
          </cell>
          <cell r="E17288" t="str">
            <v>JULIUS BAER FAMILY OFFICE BRASIL GESTAO DE PATRIMONIO LTDA</v>
          </cell>
        </row>
        <row r="17289">
          <cell r="B17289">
            <v>124807</v>
          </cell>
          <cell r="C17289" t="str">
            <v>CARAJAS FIC FIM CP IE</v>
          </cell>
          <cell r="D17289" t="str">
            <v>CARAJAS FIC FIM CP IE</v>
          </cell>
          <cell r="E17289" t="str">
            <v>JULIUS BAER FAMILY OFFICE BRASIL GESTAO DE PATRIMONIO LTDA</v>
          </cell>
        </row>
        <row r="17290">
          <cell r="B17290">
            <v>124808</v>
          </cell>
          <cell r="C17290" t="str">
            <v>CARMO FIM CP IE</v>
          </cell>
          <cell r="D17290" t="str">
            <v>CARMO FIM CP IE</v>
          </cell>
          <cell r="E17290" t="str">
            <v>JULIUS BAER FAMILY OFFICE BRASIL GESTAO DE PATRIMONIO LTDA</v>
          </cell>
        </row>
        <row r="17291">
          <cell r="B17291">
            <v>124808</v>
          </cell>
          <cell r="C17291" t="str">
            <v>CARMO FIM CP IE</v>
          </cell>
          <cell r="D17291" t="str">
            <v>CARMO FIM CP IE</v>
          </cell>
          <cell r="E17291" t="str">
            <v>JULIUS BAER FAMILY OFFICE BRASIL GESTAO DE PATRIMONIO LTDA</v>
          </cell>
        </row>
        <row r="17292">
          <cell r="B17292">
            <v>124809</v>
          </cell>
          <cell r="C17292" t="str">
            <v>CARVOEIRO FIM CP IE</v>
          </cell>
          <cell r="D17292" t="str">
            <v>CARVOEIRO FIM CP IE</v>
          </cell>
          <cell r="E17292" t="str">
            <v>JULIUS BAER FAMILY OFFICE BRASIL GESTAO DE PATRIMONIO LTDA</v>
          </cell>
        </row>
        <row r="17293">
          <cell r="B17293">
            <v>124809</v>
          </cell>
          <cell r="C17293" t="str">
            <v>CARVOEIRO FIM CP IE</v>
          </cell>
          <cell r="D17293" t="str">
            <v>CARVOEIRO FIM CP IE</v>
          </cell>
          <cell r="E17293" t="str">
            <v>JULIUS BAER FAMILY OFFICE BRASIL GESTAO DE PATRIMONIO LTDA</v>
          </cell>
        </row>
        <row r="17294">
          <cell r="B17294">
            <v>124810</v>
          </cell>
          <cell r="C17294" t="str">
            <v>CASCAIS FIM CP</v>
          </cell>
          <cell r="D17294" t="str">
            <v>CASCAIS FIM CP</v>
          </cell>
          <cell r="E17294" t="str">
            <v>JULIUS BAER FAMILY OFFICE BRASIL GESTAO DE PATRIMONIO LTDA</v>
          </cell>
        </row>
        <row r="17295">
          <cell r="B17295">
            <v>124810</v>
          </cell>
          <cell r="C17295" t="str">
            <v>CASCAIS FIM CP</v>
          </cell>
          <cell r="D17295" t="str">
            <v>CASCAIS FIM CP</v>
          </cell>
          <cell r="E17295" t="str">
            <v>JULIUS BAER FAMILY OFFICE BRASIL GESTAO DE PATRIMONIO LTDA</v>
          </cell>
        </row>
        <row r="17296">
          <cell r="B17296">
            <v>124813</v>
          </cell>
          <cell r="C17296" t="str">
            <v>CAUAXI FIM CP IE</v>
          </cell>
          <cell r="D17296" t="str">
            <v>CAUAXI FIM CP IE</v>
          </cell>
          <cell r="E17296" t="str">
            <v>JULIUS BAER FAMILY OFFICE BRASIL GESTAO DE PATRIMONIO LTDA</v>
          </cell>
        </row>
        <row r="17297">
          <cell r="B17297">
            <v>124813</v>
          </cell>
          <cell r="C17297" t="str">
            <v>CAUAXI FIM CP IE</v>
          </cell>
          <cell r="D17297" t="str">
            <v>CAUAXI FIM CP IE</v>
          </cell>
          <cell r="E17297" t="str">
            <v>JULIUS BAER FAMILY OFFICE BRASIL GESTAO DE PATRIMONIO LTDA</v>
          </cell>
        </row>
        <row r="17298">
          <cell r="B17298">
            <v>124843</v>
          </cell>
          <cell r="C17298" t="str">
            <v>FIGARO FIM CRED PRIV IE</v>
          </cell>
          <cell r="D17298" t="str">
            <v>FIGARO FIM CRED PRIV IE</v>
          </cell>
          <cell r="E17298" t="str">
            <v>JULIUS BAER FAMILY OFFICE BRASIL GESTAO DE PATRIMONIO LTDA</v>
          </cell>
        </row>
        <row r="17299">
          <cell r="B17299">
            <v>124843</v>
          </cell>
          <cell r="C17299" t="str">
            <v>FIGARO FIM CRED PRIV IE</v>
          </cell>
          <cell r="D17299" t="str">
            <v>FIGARO FIM CRED PRIV IE</v>
          </cell>
          <cell r="E17299" t="str">
            <v>JULIUS BAER FAMILY OFFICE BRASIL GESTAO DE PATRIMONIO LTDA</v>
          </cell>
        </row>
        <row r="17300">
          <cell r="B17300">
            <v>124844</v>
          </cell>
          <cell r="C17300" t="str">
            <v>FIM CP SASHA IE</v>
          </cell>
          <cell r="D17300" t="str">
            <v>FIM CP SASHA IE</v>
          </cell>
          <cell r="E17300" t="str">
            <v>JULIUS BAER FAMILY OFFICE BRASIL GESTAO DE PATRIMONIO LTDA</v>
          </cell>
        </row>
        <row r="17301">
          <cell r="B17301">
            <v>124844</v>
          </cell>
          <cell r="C17301" t="str">
            <v>FIM CP SASHA IE</v>
          </cell>
          <cell r="D17301" t="str">
            <v>FIM CP SASHA IE</v>
          </cell>
          <cell r="E17301" t="str">
            <v>JULIUS BAER FAMILY OFFICE BRASIL GESTAO DE PATRIMONIO LTDA</v>
          </cell>
        </row>
        <row r="17302">
          <cell r="B17302">
            <v>124845</v>
          </cell>
          <cell r="C17302" t="str">
            <v>FIM IRMB CRED PRIV IE</v>
          </cell>
          <cell r="D17302" t="str">
            <v>FIM IRMB CRED PRIV IE</v>
          </cell>
          <cell r="E17302" t="str">
            <v>JULIUS BAER FAMILY OFFICE BRASIL GESTAO DE PATRIMONIO LTDA</v>
          </cell>
        </row>
        <row r="17303">
          <cell r="B17303">
            <v>124845</v>
          </cell>
          <cell r="C17303" t="str">
            <v>FIM IRMB CRED PRIV IE</v>
          </cell>
          <cell r="D17303" t="str">
            <v>FIM IRMB CRED PRIV IE</v>
          </cell>
          <cell r="E17303" t="str">
            <v>JULIUS BAER FAMILY OFFICE BRASIL GESTAO DE PATRIMONIO LTDA</v>
          </cell>
        </row>
        <row r="17304">
          <cell r="B17304">
            <v>124846</v>
          </cell>
          <cell r="C17304" t="str">
            <v>FISHERTON FIM CP IE</v>
          </cell>
          <cell r="D17304" t="str">
            <v>FISHERTON FIM CP IE</v>
          </cell>
          <cell r="E17304" t="str">
            <v>JULIUS BAER FAMILY OFFICE BRASIL GESTAO DE PATRIMONIO LTDA</v>
          </cell>
        </row>
        <row r="17305">
          <cell r="B17305">
            <v>124846</v>
          </cell>
          <cell r="C17305" t="str">
            <v>FISHERTON FIM CP IE</v>
          </cell>
          <cell r="D17305" t="str">
            <v>FISHERTON FIM CP IE</v>
          </cell>
          <cell r="E17305" t="str">
            <v>JULIUS BAER FAMILY OFFICE BRASIL GESTAO DE PATRIMONIO LTDA</v>
          </cell>
        </row>
        <row r="17306">
          <cell r="B17306">
            <v>124847</v>
          </cell>
          <cell r="C17306" t="str">
            <v>FML FIM CRED PRIV IE</v>
          </cell>
          <cell r="D17306" t="str">
            <v>FML FIM CRED PRIV IE</v>
          </cell>
          <cell r="E17306" t="str">
            <v>JULIUS BAER FAMILY OFFICE BRASIL GESTAO DE PATRIMONIO LTDA</v>
          </cell>
        </row>
        <row r="17307">
          <cell r="B17307">
            <v>124847</v>
          </cell>
          <cell r="C17307" t="str">
            <v>FML FIM CRED PRIV IE</v>
          </cell>
          <cell r="D17307" t="str">
            <v>FML FIM CRED PRIV IE</v>
          </cell>
          <cell r="E17307" t="str">
            <v>JULIUS BAER FAMILY OFFICE BRASIL GESTAO DE PATRIMONIO LTDA</v>
          </cell>
        </row>
        <row r="17308">
          <cell r="B17308">
            <v>124786</v>
          </cell>
          <cell r="C17308" t="str">
            <v>AMAZONIA VERDE FIM CREDITO PRIVADO IE</v>
          </cell>
          <cell r="D17308" t="str">
            <v>AMAZONIA VERDE FIM CREDITO PRIVADO IE</v>
          </cell>
          <cell r="E17308" t="str">
            <v>JULIUS BAER FAMILY OFFICE BRASIL GESTAO DE PATRIMONIO LTDA</v>
          </cell>
        </row>
        <row r="17309">
          <cell r="B17309">
            <v>124786</v>
          </cell>
          <cell r="C17309" t="str">
            <v>AMAZONIA VERDE FIM CREDITO PRIVADO IE</v>
          </cell>
          <cell r="D17309" t="str">
            <v>AMAZONIA VERDE FIM CREDITO PRIVADO IE</v>
          </cell>
          <cell r="E17309" t="str">
            <v>JULIUS BAER FAMILY OFFICE BRASIL GESTAO DE PATRIMONIO LTDA</v>
          </cell>
        </row>
        <row r="17310">
          <cell r="B17310">
            <v>124814</v>
          </cell>
          <cell r="C17310" t="str">
            <v>CAUE FIM CP IE</v>
          </cell>
          <cell r="D17310" t="str">
            <v>CAUE FIM CP IE</v>
          </cell>
          <cell r="E17310" t="str">
            <v>JULIUS BAER FAMILY OFFICE BRASIL GESTAO DE PATRIMONIO LTDA</v>
          </cell>
        </row>
        <row r="17311">
          <cell r="B17311">
            <v>124814</v>
          </cell>
          <cell r="C17311" t="str">
            <v>CAUE FIM CP IE</v>
          </cell>
          <cell r="D17311" t="str">
            <v>CAUE FIM CP IE</v>
          </cell>
          <cell r="E17311" t="str">
            <v>JULIUS BAER FAMILY OFFICE BRASIL GESTAO DE PATRIMONIO LTDA</v>
          </cell>
        </row>
        <row r="17312">
          <cell r="B17312">
            <v>124787</v>
          </cell>
          <cell r="C17312" t="str">
            <v>AMBAR FIM CREDITO PRIVADO INVESTIMENTO NO EXTERIOR</v>
          </cell>
          <cell r="D17312" t="str">
            <v>AMBAR FIM CREDITO PRIVADO INVESTIMENTO NO EXTERIOR</v>
          </cell>
          <cell r="E17312" t="str">
            <v>JULIUS BAER FAMILY OFFICE BRASIL GESTAO DE PATRIMONIO LTDA</v>
          </cell>
        </row>
        <row r="17313">
          <cell r="B17313">
            <v>80434</v>
          </cell>
          <cell r="C17313" t="str">
            <v>BANCO DE DESENVOLVIMENTO DE MINAS GERAIS S/A- BDMG</v>
          </cell>
          <cell r="D17313" t="str">
            <v>BANCO DE DESENVOLVIMENTO DE MINAS GERAIS S/A- BDMG</v>
          </cell>
          <cell r="E17313" t="str">
            <v>BANCO DE DESENVOLVIMENTO DE MINAS GERAIS S/A- BDMG</v>
          </cell>
        </row>
        <row r="17314">
          <cell r="B17314">
            <v>80434</v>
          </cell>
          <cell r="C17314" t="str">
            <v>BANCO DE DESENVOLVIMENTO DE MINAS GERAIS S/A- BDMG</v>
          </cell>
          <cell r="D17314" t="str">
            <v>BANCO DE DESENVOLVIMENTO DE MINAS GERAIS S/A- BDMG</v>
          </cell>
          <cell r="E17314" t="str">
            <v>BANCO DE DESENVOLVIMENTO DE MINAS GERAIS S/A- BDMG</v>
          </cell>
        </row>
        <row r="17315">
          <cell r="B17315">
            <v>80435</v>
          </cell>
          <cell r="C17315" t="str">
            <v>DYNAMO BRASIL XV LP</v>
          </cell>
          <cell r="D17315" t="str">
            <v>DYNAMO BRASIL XV LP</v>
          </cell>
          <cell r="E17315" t="str">
            <v>DYNAMO ADMINISTRACAO DE RECURSOS LTDA</v>
          </cell>
        </row>
        <row r="17316">
          <cell r="B17316">
            <v>124788</v>
          </cell>
          <cell r="C17316" t="str">
            <v>AMIGONI FIM CREDITO PRIVADO INVESTIMENTO NO EXTERIOR</v>
          </cell>
          <cell r="D17316" t="str">
            <v>AMIGONI FIM CREDITO PRIVADO INVESTIMENTO NO EXTERIOR</v>
          </cell>
          <cell r="E17316" t="str">
            <v>JULIUS BAER FAMILY OFFICE BRASIL GESTAO DE PATRIMONIO LTDA</v>
          </cell>
        </row>
        <row r="17317">
          <cell r="B17317">
            <v>124788</v>
          </cell>
          <cell r="C17317" t="str">
            <v>AMIGONI FIM CREDITO PRIVADO INVESTIMENTO NO EXTERIOR</v>
          </cell>
          <cell r="D17317" t="str">
            <v>AMIGONI FIM CREDITO PRIVADO INVESTIMENTO NO EXTERIOR</v>
          </cell>
          <cell r="E17317" t="str">
            <v>JULIUS BAER FAMILY OFFICE BRASIL GESTAO DE PATRIMONIO LTDA</v>
          </cell>
        </row>
        <row r="17318">
          <cell r="B17318">
            <v>124815</v>
          </cell>
          <cell r="C17318" t="str">
            <v>CAUE II FIA BDR NIVEL I</v>
          </cell>
          <cell r="D17318" t="str">
            <v>CAUE II FIA BDR NIVEL I</v>
          </cell>
          <cell r="E17318" t="str">
            <v>JULIUS BAER FAMILY OFFICE BRASIL GESTAO DE PATRIMONIO LTDA</v>
          </cell>
        </row>
        <row r="17319">
          <cell r="B17319">
            <v>124815</v>
          </cell>
          <cell r="C17319" t="str">
            <v>CAUE II FIA BDR NIVEL I</v>
          </cell>
          <cell r="D17319" t="str">
            <v>CAUE II FIA BDR NIVEL I</v>
          </cell>
          <cell r="E17319" t="str">
            <v>JULIUS BAER FAMILY OFFICE BRASIL GESTAO DE PATRIMONIO LTDA</v>
          </cell>
        </row>
        <row r="17320">
          <cell r="B17320">
            <v>124816</v>
          </cell>
          <cell r="C17320" t="str">
            <v>CEZANNE FIM CP IE</v>
          </cell>
          <cell r="D17320" t="str">
            <v>CEZANNE FIM CP IE</v>
          </cell>
          <cell r="E17320" t="str">
            <v>JULIUS BAER FAMILY OFFICE BRASIL GESTAO DE PATRIMONIO LTDA</v>
          </cell>
        </row>
        <row r="17321">
          <cell r="B17321">
            <v>124816</v>
          </cell>
          <cell r="C17321" t="str">
            <v>CEZANNE FIM CP IE</v>
          </cell>
          <cell r="D17321" t="str">
            <v>CEZANNE FIM CP IE</v>
          </cell>
          <cell r="E17321" t="str">
            <v>JULIUS BAER FAMILY OFFICE BRASIL GESTAO DE PATRIMONIO LTDA</v>
          </cell>
        </row>
        <row r="17322">
          <cell r="B17322">
            <v>124848</v>
          </cell>
          <cell r="C17322" t="str">
            <v>FRACTALIS FIM CP</v>
          </cell>
          <cell r="D17322" t="str">
            <v>FRACTALIS FIM CP</v>
          </cell>
          <cell r="E17322" t="str">
            <v>JULIUS BAER FAMILY OFFICE BRASIL GESTAO DE PATRIMONIO LTDA</v>
          </cell>
        </row>
        <row r="17323">
          <cell r="B17323">
            <v>124848</v>
          </cell>
          <cell r="C17323" t="str">
            <v>FRACTALIS FIM CP</v>
          </cell>
          <cell r="D17323" t="str">
            <v>FRACTALIS FIM CP</v>
          </cell>
          <cell r="E17323" t="str">
            <v>JULIUS BAER FAMILY OFFICE BRASIL GESTAO DE PATRIMONIO LTDA</v>
          </cell>
        </row>
        <row r="17324">
          <cell r="B17324">
            <v>124817</v>
          </cell>
          <cell r="C17324" t="str">
            <v>CHARLOTTE FIM CP</v>
          </cell>
          <cell r="D17324" t="str">
            <v>CHARLOTTE FIM CP</v>
          </cell>
          <cell r="E17324" t="str">
            <v>JULIUS BAER FAMILY OFFICE BRASIL GESTAO DE PATRIMONIO LTDA</v>
          </cell>
        </row>
        <row r="17325">
          <cell r="B17325">
            <v>124817</v>
          </cell>
          <cell r="C17325" t="str">
            <v>CHARLOTTE FIM CP</v>
          </cell>
          <cell r="D17325" t="str">
            <v>CHARLOTTE FIM CP</v>
          </cell>
          <cell r="E17325" t="str">
            <v>JULIUS BAER FAMILY OFFICE BRASIL GESTAO DE PATRIMONIO LTDA</v>
          </cell>
        </row>
        <row r="17326">
          <cell r="B17326">
            <v>124849</v>
          </cell>
          <cell r="C17326" t="str">
            <v>FRANCO FIM CP IE</v>
          </cell>
          <cell r="D17326" t="str">
            <v>FRANCO FIM CP IE</v>
          </cell>
          <cell r="E17326" t="str">
            <v>JULIUS BAER FAMILY OFFICE BRASIL GESTAO DE PATRIMONIO LTDA</v>
          </cell>
        </row>
        <row r="17327">
          <cell r="B17327">
            <v>124849</v>
          </cell>
          <cell r="C17327" t="str">
            <v>FRANCO FIM CP IE</v>
          </cell>
          <cell r="D17327" t="str">
            <v>FRANCO FIM CP IE</v>
          </cell>
          <cell r="E17327" t="str">
            <v>JULIUS BAER FAMILY OFFICE BRASIL GESTAO DE PATRIMONIO LTDA</v>
          </cell>
        </row>
        <row r="17328">
          <cell r="B17328">
            <v>124818</v>
          </cell>
          <cell r="C17328" t="str">
            <v>CLAVA FIM CP IE</v>
          </cell>
          <cell r="D17328" t="str">
            <v>CLAVA FIM CP IE</v>
          </cell>
          <cell r="E17328" t="str">
            <v>JULIUS BAER FAMILY OFFICE BRASIL GESTAO DE PATRIMONIO LTDA</v>
          </cell>
        </row>
        <row r="17329">
          <cell r="B17329">
            <v>124818</v>
          </cell>
          <cell r="C17329" t="str">
            <v>CLAVA FIM CP IE</v>
          </cell>
          <cell r="D17329" t="str">
            <v>CLAVA FIM CP IE</v>
          </cell>
          <cell r="E17329" t="str">
            <v>JULIUS BAER FAMILY OFFICE BRASIL GESTAO DE PATRIMONIO LTDA</v>
          </cell>
        </row>
        <row r="17330">
          <cell r="B17330">
            <v>124819</v>
          </cell>
          <cell r="C17330" t="str">
            <v>COMPOSTELLLA FIM CP IE</v>
          </cell>
          <cell r="D17330" t="str">
            <v>COMPOSTELLLA FIM CP IE</v>
          </cell>
          <cell r="E17330" t="str">
            <v>JULIUS BAER FAMILY OFFICE BRASIL GESTAO DE PATRIMONIO LTDA</v>
          </cell>
        </row>
        <row r="17331">
          <cell r="B17331">
            <v>124819</v>
          </cell>
          <cell r="C17331" t="str">
            <v>COMPOSTELLLA FIM CP IE</v>
          </cell>
          <cell r="D17331" t="str">
            <v>COMPOSTELLLA FIM CP IE</v>
          </cell>
          <cell r="E17331" t="str">
            <v>JULIUS BAER FAMILY OFFICE BRASIL GESTAO DE PATRIMONIO LTDA</v>
          </cell>
        </row>
        <row r="17332">
          <cell r="B17332">
            <v>124850</v>
          </cell>
          <cell r="C17332" t="str">
            <v>FREEDOM FIM CP IE</v>
          </cell>
          <cell r="D17332" t="str">
            <v>FREEDOM FIM CP IE</v>
          </cell>
          <cell r="E17332" t="str">
            <v>JULIUS BAER FAMILY OFFICE BRASIL GESTAO DE PATRIMONIO LTDA</v>
          </cell>
        </row>
        <row r="17333">
          <cell r="B17333">
            <v>124850</v>
          </cell>
          <cell r="C17333" t="str">
            <v>FREEDOM FIM CP IE</v>
          </cell>
          <cell r="D17333" t="str">
            <v>FREEDOM FIM CP IE</v>
          </cell>
          <cell r="E17333" t="str">
            <v>JULIUS BAER FAMILY OFFICE BRASIL GESTAO DE PATRIMONIO LTDA</v>
          </cell>
        </row>
        <row r="17334">
          <cell r="B17334">
            <v>124820</v>
          </cell>
          <cell r="C17334" t="str">
            <v>CORSEGA FIM CP IE</v>
          </cell>
          <cell r="D17334" t="str">
            <v>CORSEGA FIM CP IE</v>
          </cell>
          <cell r="E17334" t="str">
            <v>JULIUS BAER FAMILY OFFICE BRASIL GESTAO DE PATRIMONIO LTDA</v>
          </cell>
        </row>
        <row r="17335">
          <cell r="B17335">
            <v>124820</v>
          </cell>
          <cell r="C17335" t="str">
            <v>CORSEGA FIM CP IE</v>
          </cell>
          <cell r="D17335" t="str">
            <v>CORSEGA FIM CP IE</v>
          </cell>
          <cell r="E17335" t="str">
            <v>JULIUS BAER FAMILY OFFICE BRASIL GESTAO DE PATRIMONIO LTDA</v>
          </cell>
        </row>
        <row r="17336">
          <cell r="B17336">
            <v>124851</v>
          </cell>
          <cell r="C17336" t="str">
            <v>FROLIC 2 FIM CP IE</v>
          </cell>
          <cell r="D17336" t="str">
            <v>FROLIC 2 FIM CP IE</v>
          </cell>
          <cell r="E17336" t="str">
            <v>JULIUS BAER FAMILY OFFICE BRASIL GESTAO DE PATRIMONIO LTDA</v>
          </cell>
        </row>
        <row r="17337">
          <cell r="B17337">
            <v>124851</v>
          </cell>
          <cell r="C17337" t="str">
            <v>FROLIC 2 FIM CP IE</v>
          </cell>
          <cell r="D17337" t="str">
            <v>FROLIC 2 FIM CP IE</v>
          </cell>
          <cell r="E17337" t="str">
            <v>JULIUS BAER FAMILY OFFICE BRASIL GESTAO DE PATRIMONIO LTDA</v>
          </cell>
        </row>
        <row r="17338">
          <cell r="B17338">
            <v>124852</v>
          </cell>
          <cell r="C17338" t="str">
            <v>FROLIC FIM CP IE</v>
          </cell>
          <cell r="D17338" t="str">
            <v>FROLIC FIM CP IE</v>
          </cell>
          <cell r="E17338" t="str">
            <v>JULIUS BAER FAMILY OFFICE BRASIL GESTAO DE PATRIMONIO LTDA</v>
          </cell>
        </row>
        <row r="17339">
          <cell r="B17339">
            <v>124852</v>
          </cell>
          <cell r="C17339" t="str">
            <v>FROLIC FIM CP IE</v>
          </cell>
          <cell r="D17339" t="str">
            <v>FROLIC FIM CP IE</v>
          </cell>
          <cell r="E17339" t="str">
            <v>JULIUS BAER FAMILY OFFICE BRASIL GESTAO DE PATRIMONIO LTDA</v>
          </cell>
        </row>
        <row r="17340">
          <cell r="B17340">
            <v>124821</v>
          </cell>
          <cell r="C17340" t="str">
            <v>DASWOLF FIM CP IE</v>
          </cell>
          <cell r="D17340" t="str">
            <v>DASWOLF FIM CP IE</v>
          </cell>
          <cell r="E17340" t="str">
            <v>JULIUS BAER FAMILY OFFICE BRASIL GESTAO DE PATRIMONIO LTDA</v>
          </cell>
        </row>
        <row r="17341">
          <cell r="B17341">
            <v>124821</v>
          </cell>
          <cell r="C17341" t="str">
            <v>DASWOLF FIM CP IE</v>
          </cell>
          <cell r="D17341" t="str">
            <v>DASWOLF FIM CP IE</v>
          </cell>
          <cell r="E17341" t="str">
            <v>JULIUS BAER FAMILY OFFICE BRASIL GESTAO DE PATRIMONIO LTDA</v>
          </cell>
        </row>
        <row r="17342">
          <cell r="B17342">
            <v>124822</v>
          </cell>
          <cell r="C17342" t="str">
            <v>DBM FIM CP</v>
          </cell>
          <cell r="D17342" t="str">
            <v>DBM FIM CP</v>
          </cell>
          <cell r="E17342" t="str">
            <v>JULIUS BAER FAMILY OFFICE BRASIL GESTAO DE PATRIMONIO LTDA</v>
          </cell>
        </row>
        <row r="17343">
          <cell r="B17343">
            <v>124822</v>
          </cell>
          <cell r="C17343" t="str">
            <v>DBM FIM CP</v>
          </cell>
          <cell r="D17343" t="str">
            <v>DBM FIM CP</v>
          </cell>
          <cell r="E17343" t="str">
            <v>JULIUS BAER FAMILY OFFICE BRASIL GESTAO DE PATRIMONIO LTDA</v>
          </cell>
        </row>
        <row r="17344">
          <cell r="B17344">
            <v>124823</v>
          </cell>
          <cell r="C17344" t="str">
            <v>DBMA FIA BDR NIVEL I</v>
          </cell>
          <cell r="D17344" t="str">
            <v>DBMA FIA BDR NIVEL I</v>
          </cell>
          <cell r="E17344" t="str">
            <v>JULIUS BAER FAMILY OFFICE BRASIL GESTAO DE PATRIMONIO LTDA</v>
          </cell>
        </row>
        <row r="17345">
          <cell r="B17345">
            <v>124823</v>
          </cell>
          <cell r="C17345" t="str">
            <v>DBMA FIA BDR NIVEL I</v>
          </cell>
          <cell r="D17345" t="str">
            <v>DBMA FIA BDR NIVEL I</v>
          </cell>
          <cell r="E17345" t="str">
            <v>JULIUS BAER FAMILY OFFICE BRASIL GESTAO DE PATRIMONIO LTDA</v>
          </cell>
        </row>
        <row r="17346">
          <cell r="B17346">
            <v>124824</v>
          </cell>
          <cell r="C17346" t="str">
            <v>DELTA FIA</v>
          </cell>
          <cell r="D17346" t="str">
            <v>DELTA FIA</v>
          </cell>
          <cell r="E17346" t="str">
            <v>JULIUS BAER FAMILY OFFICE BRASIL GESTAO DE PATRIMONIO LTDA</v>
          </cell>
        </row>
        <row r="17347">
          <cell r="B17347">
            <v>124824</v>
          </cell>
          <cell r="C17347" t="str">
            <v>DELTA FIA</v>
          </cell>
          <cell r="D17347" t="str">
            <v>DELTA FIA</v>
          </cell>
          <cell r="E17347" t="str">
            <v>JULIUS BAER FAMILY OFFICE BRASIL GESTAO DE PATRIMONIO LTDA</v>
          </cell>
        </row>
        <row r="17348">
          <cell r="B17348">
            <v>124825</v>
          </cell>
          <cell r="C17348" t="str">
            <v>DIJON FIM CP IE</v>
          </cell>
          <cell r="D17348" t="str">
            <v>DIJON FIM CP IE</v>
          </cell>
          <cell r="E17348" t="str">
            <v>JULIUS BAER FAMILY OFFICE BRASIL GESTAO DE PATRIMONIO LTDA</v>
          </cell>
        </row>
        <row r="17349">
          <cell r="B17349">
            <v>124825</v>
          </cell>
          <cell r="C17349" t="str">
            <v>DIJON FIM CP IE</v>
          </cell>
          <cell r="D17349" t="str">
            <v>DIJON FIM CP IE</v>
          </cell>
          <cell r="E17349" t="str">
            <v>JULIUS BAER FAMILY OFFICE BRASIL GESTAO DE PATRIMONIO LTDA</v>
          </cell>
        </row>
        <row r="17350">
          <cell r="B17350">
            <v>124826</v>
          </cell>
          <cell r="C17350" t="str">
            <v>DIUTINUS FIM CP IE</v>
          </cell>
          <cell r="D17350" t="str">
            <v>DIUTINUS FIM CP IE</v>
          </cell>
          <cell r="E17350" t="str">
            <v>JULIUS BAER FAMILY OFFICE BRASIL GESTAO DE PATRIMONIO LTDA</v>
          </cell>
        </row>
        <row r="17351">
          <cell r="B17351">
            <v>124826</v>
          </cell>
          <cell r="C17351" t="str">
            <v>DIUTINUS FIM CP IE</v>
          </cell>
          <cell r="D17351" t="str">
            <v>DIUTINUS FIM CP IE</v>
          </cell>
          <cell r="E17351" t="str">
            <v>JULIUS BAER FAMILY OFFICE BRASIL GESTAO DE PATRIMONIO LTDA</v>
          </cell>
        </row>
        <row r="17352">
          <cell r="B17352">
            <v>124827</v>
          </cell>
          <cell r="C17352" t="str">
            <v>DMT FIM CP IE</v>
          </cell>
          <cell r="D17352" t="str">
            <v>DMT FIM CP IE</v>
          </cell>
          <cell r="E17352" t="str">
            <v>JULIUS BAER FAMILY OFFICE BRASIL GESTAO DE PATRIMONIO LTDA</v>
          </cell>
        </row>
        <row r="17353">
          <cell r="B17353">
            <v>124827</v>
          </cell>
          <cell r="C17353" t="str">
            <v>DMT FIM CP IE</v>
          </cell>
          <cell r="D17353" t="str">
            <v>DMT FIM CP IE</v>
          </cell>
          <cell r="E17353" t="str">
            <v>JULIUS BAER FAMILY OFFICE BRASIL GESTAO DE PATRIMONIO LTDA</v>
          </cell>
        </row>
        <row r="17354">
          <cell r="B17354">
            <v>124828</v>
          </cell>
          <cell r="C17354" t="str">
            <v>DN INVEST FIM CP IE</v>
          </cell>
          <cell r="D17354" t="str">
            <v>DN INVEST FIM CP IE</v>
          </cell>
          <cell r="E17354" t="str">
            <v>DN INVEST FIM CP IE</v>
          </cell>
        </row>
        <row r="17355">
          <cell r="B17355">
            <v>124828</v>
          </cell>
          <cell r="C17355" t="str">
            <v>DN INVEST FIM CP IE</v>
          </cell>
          <cell r="D17355" t="str">
            <v>DN INVEST FIM CP IE</v>
          </cell>
          <cell r="E17355" t="str">
            <v>DN INVEST FIM CP IE</v>
          </cell>
        </row>
        <row r="17356">
          <cell r="B17356">
            <v>124829</v>
          </cell>
          <cell r="C17356" t="str">
            <v>DOM FIM CP</v>
          </cell>
          <cell r="D17356" t="str">
            <v>DOM FIM CP</v>
          </cell>
          <cell r="E17356" t="str">
            <v>DOM FIM CP</v>
          </cell>
        </row>
        <row r="17357">
          <cell r="B17357">
            <v>124829</v>
          </cell>
          <cell r="C17357" t="str">
            <v>DOM FIM CP</v>
          </cell>
          <cell r="D17357" t="str">
            <v>DOM FIM CP</v>
          </cell>
          <cell r="E17357" t="str">
            <v>DOM FIM CP</v>
          </cell>
        </row>
        <row r="17358">
          <cell r="B17358">
            <v>124830</v>
          </cell>
          <cell r="C17358" t="str">
            <v>DUCATI FIM CP IE</v>
          </cell>
          <cell r="D17358" t="str">
            <v>DUCATI FIM CP IE</v>
          </cell>
          <cell r="E17358" t="str">
            <v>DUCATI FIM CP IE</v>
          </cell>
        </row>
        <row r="17359">
          <cell r="B17359">
            <v>124830</v>
          </cell>
          <cell r="C17359" t="str">
            <v>DUCATI FIM CP IE</v>
          </cell>
          <cell r="D17359" t="str">
            <v>DUCATI FIM CP IE</v>
          </cell>
          <cell r="E17359" t="str">
            <v>DUCATI FIM CP IE</v>
          </cell>
        </row>
        <row r="17360">
          <cell r="B17360">
            <v>124831</v>
          </cell>
          <cell r="C17360" t="str">
            <v>DUOMO PREV FIM CP</v>
          </cell>
          <cell r="D17360" t="str">
            <v>DUOMO PREV FIM CP</v>
          </cell>
          <cell r="E17360" t="str">
            <v>JULIUS BAER FAMILY OFFICE BRASIL GESTAO DE PATRIMONIO LTDA</v>
          </cell>
        </row>
        <row r="17361">
          <cell r="B17361">
            <v>124831</v>
          </cell>
          <cell r="C17361" t="str">
            <v>DUOMO PREV FIM CP</v>
          </cell>
          <cell r="D17361" t="str">
            <v>DUOMO PREV FIM CP</v>
          </cell>
          <cell r="E17361" t="str">
            <v>JULIUS BAER FAMILY OFFICE BRASIL GESTAO DE PATRIMONIO LTDA</v>
          </cell>
        </row>
        <row r="17362">
          <cell r="B17362">
            <v>124832</v>
          </cell>
          <cell r="C17362" t="str">
            <v>EDELWEISS FIM CP IE</v>
          </cell>
          <cell r="D17362" t="str">
            <v>EDELWEISS FIM CP IE</v>
          </cell>
          <cell r="E17362" t="str">
            <v>JULIUS BAER FAMILY OFFICE BRASIL GESTAO DE PATRIMONIO LTDA</v>
          </cell>
        </row>
        <row r="17363">
          <cell r="B17363">
            <v>124832</v>
          </cell>
          <cell r="C17363" t="str">
            <v>EDELWEISS FIM CP IE</v>
          </cell>
          <cell r="D17363" t="str">
            <v>EDELWEISS FIM CP IE</v>
          </cell>
          <cell r="E17363" t="str">
            <v>JULIUS BAER FAMILY OFFICE BRASIL GESTAO DE PATRIMONIO LTDA</v>
          </cell>
        </row>
        <row r="17364">
          <cell r="B17364">
            <v>124833</v>
          </cell>
          <cell r="C17364" t="str">
            <v>ELUPE FIM CP IE</v>
          </cell>
          <cell r="D17364" t="str">
            <v>ELUPE FIM CP IE</v>
          </cell>
          <cell r="E17364" t="str">
            <v>JULIUS BAER FAMILY OFFICE BRASIL GESTAO DE PATRIMONIO LTDA</v>
          </cell>
        </row>
        <row r="17365">
          <cell r="B17365">
            <v>124833</v>
          </cell>
          <cell r="C17365" t="str">
            <v>ELUPE FIM CP IE</v>
          </cell>
          <cell r="D17365" t="str">
            <v>ELUPE FIM CP IE</v>
          </cell>
          <cell r="E17365" t="str">
            <v>JULIUS BAER FAMILY OFFICE BRASIL GESTAO DE PATRIMONIO LTDA</v>
          </cell>
        </row>
        <row r="17366">
          <cell r="B17366">
            <v>124834</v>
          </cell>
          <cell r="C17366" t="str">
            <v>ELUPE II FIM CP IE</v>
          </cell>
          <cell r="D17366" t="str">
            <v>ELUPE II FIM CP IE</v>
          </cell>
          <cell r="E17366" t="str">
            <v>JULIUS BAER FAMILY OFFICE BRASIL GESTAO DE PATRIMONIO LTDA</v>
          </cell>
        </row>
        <row r="17367">
          <cell r="B17367">
            <v>124834</v>
          </cell>
          <cell r="C17367" t="str">
            <v>ELUPE II FIM CP IE</v>
          </cell>
          <cell r="D17367" t="str">
            <v>ELUPE II FIM CP IE</v>
          </cell>
          <cell r="E17367" t="str">
            <v>JULIUS BAER FAMILY OFFICE BRASIL GESTAO DE PATRIMONIO LTDA</v>
          </cell>
        </row>
        <row r="17368">
          <cell r="B17368">
            <v>124853</v>
          </cell>
          <cell r="C17368" t="str">
            <v>FUBA FIM CP IE</v>
          </cell>
          <cell r="D17368" t="str">
            <v>FUBA FIM CP IE</v>
          </cell>
          <cell r="E17368" t="str">
            <v>JULIUS BAER FAMILY OFFICE BRASIL GESTAO DE PATRIMONIO LTDA</v>
          </cell>
        </row>
        <row r="17369">
          <cell r="B17369">
            <v>124853</v>
          </cell>
          <cell r="C17369" t="str">
            <v>FUBA FIM CP IE</v>
          </cell>
          <cell r="D17369" t="str">
            <v>FUBA FIM CP IE</v>
          </cell>
          <cell r="E17369" t="str">
            <v>JULIUS BAER FAMILY OFFICE BRASIL GESTAO DE PATRIMONIO LTDA</v>
          </cell>
        </row>
        <row r="17370">
          <cell r="B17370">
            <v>124854</v>
          </cell>
          <cell r="C17370" t="str">
            <v>G1 FIM CP IE</v>
          </cell>
          <cell r="D17370" t="str">
            <v>G1 FIM CP IE</v>
          </cell>
          <cell r="E17370" t="str">
            <v>JULIUS BAER FAMILY OFFICE BRASIL GESTAO DE PATRIMONIO LTDA</v>
          </cell>
        </row>
        <row r="17371">
          <cell r="B17371">
            <v>124854</v>
          </cell>
          <cell r="C17371" t="str">
            <v>G1 FIM CP IE</v>
          </cell>
          <cell r="D17371" t="str">
            <v>G1 FIM CP IE</v>
          </cell>
          <cell r="E17371" t="str">
            <v>JULIUS BAER FAMILY OFFICE BRASIL GESTAO DE PATRIMONIO LTDA</v>
          </cell>
        </row>
        <row r="17372">
          <cell r="B17372">
            <v>124855</v>
          </cell>
          <cell r="C17372" t="str">
            <v>GAMA UNFIM CP IE</v>
          </cell>
          <cell r="D17372" t="str">
            <v>GAMA UNFIM CP IE</v>
          </cell>
          <cell r="E17372" t="str">
            <v>JULIUS BAER FAMILY OFFICE BRASIL GESTAO DE PATRIMONIO LTDA</v>
          </cell>
        </row>
        <row r="17373">
          <cell r="B17373">
            <v>124855</v>
          </cell>
          <cell r="C17373" t="str">
            <v>GAMA UNFIM CP IE</v>
          </cell>
          <cell r="D17373" t="str">
            <v>GAMA UNFIM CP IE</v>
          </cell>
          <cell r="E17373" t="str">
            <v>JULIUS BAER FAMILY OFFICE BRASIL GESTAO DE PATRIMONIO LTDA</v>
          </cell>
        </row>
        <row r="17374">
          <cell r="B17374">
            <v>124856</v>
          </cell>
          <cell r="C17374" t="str">
            <v>GANDHI FIC FIM CRED PRIV</v>
          </cell>
          <cell r="D17374" t="str">
            <v>GANDHI FIC FIM CRED PRIV</v>
          </cell>
          <cell r="E17374" t="str">
            <v>JULIUS BAER FAMILY OFFICE BRASIL GESTAO DE PATRIMONIO LTDA</v>
          </cell>
        </row>
        <row r="17375">
          <cell r="B17375">
            <v>124856</v>
          </cell>
          <cell r="C17375" t="str">
            <v>GANDHI FIC FIM CRED PRIV</v>
          </cell>
          <cell r="D17375" t="str">
            <v>GANDHI FIC FIM CRED PRIV</v>
          </cell>
          <cell r="E17375" t="str">
            <v>JULIUS BAER FAMILY OFFICE BRASIL GESTAO DE PATRIMONIO LTDA</v>
          </cell>
        </row>
        <row r="17376">
          <cell r="B17376">
            <v>124857</v>
          </cell>
          <cell r="C17376" t="str">
            <v>GPZ FIM CRED PRIV IE</v>
          </cell>
          <cell r="D17376" t="str">
            <v>GPZ FIM CRED PRIV IE</v>
          </cell>
          <cell r="E17376" t="str">
            <v>JULIUS BAER FAMILY OFFICE BRASIL GESTAO DE PATRIMONIO LTDA</v>
          </cell>
        </row>
        <row r="17377">
          <cell r="B17377">
            <v>124857</v>
          </cell>
          <cell r="C17377" t="str">
            <v>GPZ FIM CRED PRIV IE</v>
          </cell>
          <cell r="D17377" t="str">
            <v>GPZ FIM CRED PRIV IE</v>
          </cell>
          <cell r="E17377" t="str">
            <v>JULIUS BAER FAMILY OFFICE BRASIL GESTAO DE PATRIMONIO LTDA</v>
          </cell>
        </row>
        <row r="17378">
          <cell r="B17378">
            <v>124835</v>
          </cell>
          <cell r="C17378" t="str">
            <v>ELVIS FIM CP IE</v>
          </cell>
          <cell r="D17378" t="str">
            <v>ELVIS FIM CP IE</v>
          </cell>
          <cell r="E17378" t="str">
            <v>JULIUS BAER FAMILY OFFICE BRASIL GESTAO DE PATRIMONIO LTDA</v>
          </cell>
        </row>
        <row r="17379">
          <cell r="B17379">
            <v>124835</v>
          </cell>
          <cell r="C17379" t="str">
            <v>ELVIS FIM CP IE</v>
          </cell>
          <cell r="D17379" t="str">
            <v>ELVIS FIM CP IE</v>
          </cell>
          <cell r="E17379" t="str">
            <v>JULIUS BAER FAMILY OFFICE BRASIL GESTAO DE PATRIMONIO LTDA</v>
          </cell>
        </row>
        <row r="17380">
          <cell r="B17380">
            <v>124858</v>
          </cell>
          <cell r="C17380" t="str">
            <v>GSDJ PRV FIM CRED PRIV</v>
          </cell>
          <cell r="D17380" t="str">
            <v>GSDJ PRV FIM CRED PRIV</v>
          </cell>
          <cell r="E17380" t="str">
            <v>JULIUS BAER FAMILY OFFICE BRASIL GESTAO DE PATRIMONIO LTDA</v>
          </cell>
        </row>
        <row r="17381">
          <cell r="B17381">
            <v>124858</v>
          </cell>
          <cell r="C17381" t="str">
            <v>GSDJ PRV FIM CRED PRIV</v>
          </cell>
          <cell r="D17381" t="str">
            <v>GSDJ PRV FIM CRED PRIV</v>
          </cell>
          <cell r="E17381" t="str">
            <v>JULIUS BAER FAMILY OFFICE BRASIL GESTAO DE PATRIMONIO LTDA</v>
          </cell>
        </row>
        <row r="17382">
          <cell r="B17382">
            <v>124836</v>
          </cell>
          <cell r="C17382" t="str">
            <v>ESCORPIAO FIM CP IE</v>
          </cell>
          <cell r="D17382" t="str">
            <v>ESCORPIAO FIM CP IE</v>
          </cell>
          <cell r="E17382" t="str">
            <v>JULIUS BAER FAMILY OFFICE BRASIL GESTAO DE PATRIMONIO LTDA</v>
          </cell>
        </row>
        <row r="17383">
          <cell r="B17383">
            <v>124836</v>
          </cell>
          <cell r="C17383" t="str">
            <v>ESCORPIAO FIM CP IE</v>
          </cell>
          <cell r="D17383" t="str">
            <v>ESCORPIAO FIM CP IE</v>
          </cell>
          <cell r="E17383" t="str">
            <v>JULIUS BAER FAMILY OFFICE BRASIL GESTAO DE PATRIMONIO LTDA</v>
          </cell>
        </row>
        <row r="17384">
          <cell r="B17384">
            <v>124837</v>
          </cell>
          <cell r="C17384" t="str">
            <v>ESMERALDA FIM CP IE</v>
          </cell>
          <cell r="D17384" t="str">
            <v>ESMERALDA FIM CP IE</v>
          </cell>
          <cell r="E17384" t="str">
            <v>JULIUS BAER FAMILY OFFICE BRASIL GESTAO DE PATRIMONIO LTDA</v>
          </cell>
        </row>
        <row r="17385">
          <cell r="B17385">
            <v>124837</v>
          </cell>
          <cell r="C17385" t="str">
            <v>ESMERALDA FIM CP IE</v>
          </cell>
          <cell r="D17385" t="str">
            <v>ESMERALDA FIM CP IE</v>
          </cell>
          <cell r="E17385" t="str">
            <v>JULIUS BAER FAMILY OFFICE BRASIL GESTAO DE PATRIMONIO LTDA</v>
          </cell>
        </row>
        <row r="17386">
          <cell r="B17386">
            <v>124838</v>
          </cell>
          <cell r="C17386" t="str">
            <v>ESTEIO FIM CP IE</v>
          </cell>
          <cell r="D17386" t="str">
            <v>ESTEIO FIM CP IE</v>
          </cell>
          <cell r="E17386" t="str">
            <v>JULIUS BAER FAMILY OFFICE BRASIL GESTAO DE PATRIMONIO LTDA</v>
          </cell>
        </row>
        <row r="17387">
          <cell r="B17387">
            <v>124838</v>
          </cell>
          <cell r="C17387" t="str">
            <v>ESTEIO FIM CP IE</v>
          </cell>
          <cell r="D17387" t="str">
            <v>ESTEIO FIM CP IE</v>
          </cell>
          <cell r="E17387" t="str">
            <v>JULIUS BAER FAMILY OFFICE BRASIL GESTAO DE PATRIMONIO LTDA</v>
          </cell>
        </row>
        <row r="17388">
          <cell r="B17388">
            <v>124839</v>
          </cell>
          <cell r="C17388" t="str">
            <v>EUROPA FIM CP IE</v>
          </cell>
          <cell r="D17388" t="str">
            <v>EUROPA FIM CP IE</v>
          </cell>
          <cell r="E17388" t="str">
            <v>JULIUS BAER FAMILY OFFICE BRASIL GESTAO DE PATRIMONIO LTDA</v>
          </cell>
        </row>
        <row r="17389">
          <cell r="B17389">
            <v>124839</v>
          </cell>
          <cell r="C17389" t="str">
            <v>EUROPA FIM CP IE</v>
          </cell>
          <cell r="D17389" t="str">
            <v>EUROPA FIM CP IE</v>
          </cell>
          <cell r="E17389" t="str">
            <v>JULIUS BAER FAMILY OFFICE BRASIL GESTAO DE PATRIMONIO LTDA</v>
          </cell>
        </row>
        <row r="17390">
          <cell r="B17390">
            <v>124840</v>
          </cell>
          <cell r="C17390" t="str">
            <v>F6 FIM CP IE</v>
          </cell>
          <cell r="D17390" t="str">
            <v>F6 FIM CP IE</v>
          </cell>
          <cell r="E17390" t="str">
            <v>JULIUS BAER FAMILY OFFICE BRASIL GESTAO DE PATRIMONIO LTDA</v>
          </cell>
        </row>
        <row r="17391">
          <cell r="B17391">
            <v>124840</v>
          </cell>
          <cell r="C17391" t="str">
            <v>F6 FIM CP IE</v>
          </cell>
          <cell r="D17391" t="str">
            <v>F6 FIM CP IE</v>
          </cell>
          <cell r="E17391" t="str">
            <v>JULIUS BAER FAMILY OFFICE BRASIL GESTAO DE PATRIMONIO LTDA</v>
          </cell>
        </row>
        <row r="17392">
          <cell r="B17392">
            <v>124841</v>
          </cell>
          <cell r="C17392" t="str">
            <v>FAMAG FIM CP IE</v>
          </cell>
          <cell r="D17392" t="str">
            <v>FAMAG FIM CP IE</v>
          </cell>
          <cell r="E17392" t="str">
            <v>JULIUS BAER FAMILY OFFICE BRASIL GESTAO DE PATRIMONIO LTDA</v>
          </cell>
        </row>
        <row r="17393">
          <cell r="B17393">
            <v>124841</v>
          </cell>
          <cell r="C17393" t="str">
            <v>FAMAG FIM CP IE</v>
          </cell>
          <cell r="D17393" t="str">
            <v>FAMAG FIM CP IE</v>
          </cell>
          <cell r="E17393" t="str">
            <v>JULIUS BAER FAMILY OFFICE BRASIL GESTAO DE PATRIMONIO LTDA</v>
          </cell>
        </row>
        <row r="17394">
          <cell r="B17394">
            <v>124859</v>
          </cell>
          <cell r="C17394" t="str">
            <v>GVGR2 FIM CP IE</v>
          </cell>
          <cell r="D17394" t="str">
            <v>GVGR2 FIM CP IE</v>
          </cell>
          <cell r="E17394" t="str">
            <v>JULIUS BAER FAMILY OFFICE BRASIL GESTAO DE PATRIMONIO LTDA</v>
          </cell>
        </row>
        <row r="17395">
          <cell r="B17395">
            <v>124859</v>
          </cell>
          <cell r="C17395" t="str">
            <v>GVGR2 FIM CP IE</v>
          </cell>
          <cell r="D17395" t="str">
            <v>GVGR2 FIM CP IE</v>
          </cell>
          <cell r="E17395" t="str">
            <v>JULIUS BAER FAMILY OFFICE BRASIL GESTAO DE PATRIMONIO LTDA</v>
          </cell>
        </row>
        <row r="17396">
          <cell r="B17396">
            <v>124860</v>
          </cell>
          <cell r="C17396" t="str">
            <v>SANTANDER CACEIS BRASIL DTVM S.A.</v>
          </cell>
          <cell r="D17396" t="str">
            <v>SANTANDER CACEIS BRASIL DTVM S.A.</v>
          </cell>
          <cell r="E17396" t="str">
            <v>SANTANDER CACEIS BRASIL DTVM S.A.</v>
          </cell>
        </row>
        <row r="17397">
          <cell r="B17397">
            <v>124860</v>
          </cell>
          <cell r="D17397">
            <v>124860</v>
          </cell>
          <cell r="E17397" t="str">
            <v>CFO ADMINISTRACAO DE RECURSOS LTDA</v>
          </cell>
        </row>
        <row r="17398">
          <cell r="B17398">
            <v>124861</v>
          </cell>
          <cell r="C17398" t="str">
            <v>INTEGRARE FIM CP IE</v>
          </cell>
          <cell r="D17398" t="str">
            <v>INTEGRARE FIM CP IE</v>
          </cell>
          <cell r="E17398" t="str">
            <v>JULIUS BAER FAMILY OFFICE BRASIL GESTAO DE PATRIMONIO LTDA</v>
          </cell>
        </row>
        <row r="17399">
          <cell r="B17399">
            <v>124861</v>
          </cell>
          <cell r="C17399" t="str">
            <v>INTEGRARE FIM CP IE</v>
          </cell>
          <cell r="D17399" t="str">
            <v>INTEGRARE FIM CP IE</v>
          </cell>
          <cell r="E17399" t="str">
            <v>JULIUS BAER FAMILY OFFICE BRASIL GESTAO DE PATRIMONIO LTDA</v>
          </cell>
        </row>
        <row r="17400">
          <cell r="B17400">
            <v>124863</v>
          </cell>
          <cell r="C17400" t="str">
            <v>IPE CFO FIM CP IE</v>
          </cell>
          <cell r="D17400" t="str">
            <v>IPE CFO FIM CP IE</v>
          </cell>
          <cell r="E17400" t="str">
            <v>CFO ADMINISTRACAO DE RECURSOS LTDA</v>
          </cell>
        </row>
        <row r="17401">
          <cell r="B17401">
            <v>124863</v>
          </cell>
          <cell r="C17401" t="str">
            <v>IPE CFO FIM CP IE</v>
          </cell>
          <cell r="D17401" t="str">
            <v>IPE CFO FIM CP IE</v>
          </cell>
          <cell r="E17401" t="str">
            <v>IPE CFO FIM CP IE</v>
          </cell>
        </row>
        <row r="17402">
          <cell r="B17402">
            <v>124789</v>
          </cell>
          <cell r="C17402" t="str">
            <v>ARAPAIMA FIM CREDITO PRIVADO INVESTIMENTO NO EXTERIOR</v>
          </cell>
          <cell r="D17402" t="str">
            <v>ARAPAIMA FIM CREDITO PRIVADO INVESTIMENTO NO EXTERIOR</v>
          </cell>
          <cell r="E17402" t="str">
            <v>JULIUS BAER FAMILY OFFICE BRASIL GESTAO DE PATRIMONIO LTDA</v>
          </cell>
        </row>
        <row r="17403">
          <cell r="B17403">
            <v>124789</v>
          </cell>
          <cell r="C17403" t="str">
            <v>ARAPAIMA FIM CREDITO PRIVADO INVESTIMENTO NO EXTERIOR</v>
          </cell>
          <cell r="D17403" t="str">
            <v>ARAPAIMA FIM CREDITO PRIVADO INVESTIMENTO NO EXTERIOR</v>
          </cell>
          <cell r="E17403" t="str">
            <v>JULIUS BAER FAMILY OFFICE BRASIL GESTAO DE PATRIMONIO LTDA</v>
          </cell>
        </row>
        <row r="17404">
          <cell r="B17404">
            <v>124790</v>
          </cell>
          <cell r="C17404" t="str">
            <v>ARENA FIM CREDITO PRIVADO INVESTIMENTO NO EXTERIOR</v>
          </cell>
          <cell r="D17404" t="str">
            <v>ARENA FIM CREDITO PRIVADO INVESTIMENTO NO EXTERIOR</v>
          </cell>
          <cell r="E17404" t="str">
            <v>JULIUS BAER FAMILY OFFICE BRASIL GESTAO DE PATRIMONIO LTDA</v>
          </cell>
        </row>
        <row r="17405">
          <cell r="B17405">
            <v>124790</v>
          </cell>
          <cell r="C17405" t="str">
            <v>ARENA FIM CREDITO PRIVADO INVESTIMENTO NO EXTERIOR</v>
          </cell>
          <cell r="D17405" t="str">
            <v>ARENA FIM CREDITO PRIVADO INVESTIMENTO NO EXTERIOR</v>
          </cell>
          <cell r="E17405" t="str">
            <v>JULIUS BAER FAMILY OFFICE BRASIL GESTAO DE PATRIMONIO LTDA</v>
          </cell>
        </row>
        <row r="17406">
          <cell r="B17406">
            <v>124791</v>
          </cell>
          <cell r="C17406" t="str">
            <v>ASHIRWAD FIM CREDITO PRIVADO IE</v>
          </cell>
          <cell r="D17406" t="str">
            <v>ASHIRWAD FIM CREDITO PRIVADO IE</v>
          </cell>
          <cell r="E17406" t="str">
            <v>JULIUS BAER FAMILY OFFICE BRASIL GESTAO DE PATRIMONIO LTDA</v>
          </cell>
        </row>
        <row r="17407">
          <cell r="B17407">
            <v>124791</v>
          </cell>
          <cell r="C17407" t="str">
            <v>ASHIRWAD FIM CREDITO PRIVADO IE</v>
          </cell>
          <cell r="D17407" t="str">
            <v>ASHIRWAD FIM CREDITO PRIVADO IE</v>
          </cell>
          <cell r="E17407" t="str">
            <v>JULIUS BAER FAMILY OFFICE BRASIL GESTAO DE PATRIMONIO LTDA</v>
          </cell>
        </row>
        <row r="17408">
          <cell r="B17408">
            <v>124913</v>
          </cell>
          <cell r="C17408" t="str">
            <v>SANTANDER CACEIS BRASIL DTVM S.A.</v>
          </cell>
          <cell r="D17408" t="str">
            <v>SANTANDER CACEIS BRASIL DTVM S.A.</v>
          </cell>
          <cell r="E17408" t="str">
            <v>SANTANDER BRASIL GESTAO DE RECURSOS LTDA</v>
          </cell>
        </row>
        <row r="17409">
          <cell r="B17409">
            <v>124913</v>
          </cell>
          <cell r="C17409" t="str">
            <v>SANTANDER CACEIS BRASIL DTVM S.A.</v>
          </cell>
          <cell r="D17409" t="str">
            <v>SANTANDER CACEIS BRASIL DTVM S.A.</v>
          </cell>
          <cell r="E17409" t="str">
            <v>SANTANDER CACEIS BRASIL DTVM S.A.</v>
          </cell>
        </row>
        <row r="17410">
          <cell r="B17410">
            <v>124914</v>
          </cell>
          <cell r="C17410" t="str">
            <v>SANTANDER CACEIS BRASIL DTVM S.A.</v>
          </cell>
          <cell r="D17410" t="str">
            <v>SANTANDER CACEIS BRASIL DTVM S.A.</v>
          </cell>
          <cell r="E17410" t="str">
            <v>SANTANDER BRASIL GESTAO DE RECURSOS LTDA</v>
          </cell>
        </row>
        <row r="17411">
          <cell r="B17411">
            <v>124915</v>
          </cell>
          <cell r="C17411" t="str">
            <v>SANTANDER CACEIS BRASIL DTVM S.A.</v>
          </cell>
          <cell r="D17411" t="str">
            <v>SANTANDER CACEIS BRASIL DTVM S.A.</v>
          </cell>
          <cell r="E17411" t="str">
            <v>SANTANDER BRASIL GESTAO DE RECURSOS LTDA</v>
          </cell>
        </row>
        <row r="17412">
          <cell r="B17412">
            <v>124914</v>
          </cell>
          <cell r="C17412" t="str">
            <v>SANTANDER CACEIS BRASIL DTVM S.A.</v>
          </cell>
          <cell r="D17412" t="str">
            <v>SANTANDER CACEIS BRASIL DTVM S.A.</v>
          </cell>
          <cell r="E17412" t="str">
            <v>SANTANDER CACEIS BRASIL DTVM S.A.</v>
          </cell>
        </row>
        <row r="17413">
          <cell r="B17413">
            <v>124915</v>
          </cell>
          <cell r="C17413" t="str">
            <v>SANTANDER CACEIS BRASIL DTVM S.A.</v>
          </cell>
          <cell r="D17413" t="str">
            <v>SANTANDER CACEIS BRASIL DTVM S.A.</v>
          </cell>
          <cell r="E17413" t="str">
            <v>SANTANDER CACEIS BRASIL DTVM S.A.</v>
          </cell>
        </row>
        <row r="17414">
          <cell r="B17414">
            <v>124916</v>
          </cell>
          <cell r="C17414" t="str">
            <v>FIM CP PROPRIETARIO 2 IE</v>
          </cell>
          <cell r="D17414" t="str">
            <v>FIM CP PROPRIETARIO 2 IE</v>
          </cell>
          <cell r="E17414" t="str">
            <v>VINCI GESTORA DE RECURSOS LTDA</v>
          </cell>
        </row>
        <row r="17415">
          <cell r="B17415">
            <v>124916</v>
          </cell>
          <cell r="C17415" t="str">
            <v>FIM CP PROPRIETARIO 2 IE</v>
          </cell>
          <cell r="D17415" t="str">
            <v>FIM CP PROPRIETARIO 2 IE</v>
          </cell>
          <cell r="E17415" t="str">
            <v>FIM CP PROPRIETARIO 2 IE</v>
          </cell>
        </row>
        <row r="17416">
          <cell r="B17416">
            <v>80436</v>
          </cell>
          <cell r="C17416" t="str">
            <v>COOPERATIVE RABOBANK U A - BANCO BNP PARIBAS BRASIL S/A</v>
          </cell>
          <cell r="D17416" t="str">
            <v>COOPERATIVE RABOBANK U A - BANCO BNP PARIBAS BRASIL S/A</v>
          </cell>
          <cell r="E17416" t="str">
            <v>COOPERATIVE RABOBANK U A - BANCO BNP PARIBAS BRASIL S/A</v>
          </cell>
        </row>
        <row r="17417">
          <cell r="B17417">
            <v>80436</v>
          </cell>
          <cell r="C17417" t="str">
            <v>COOPERATIVE RABOBANK U A - BANCO BNP PARIBAS BRASIL S/A</v>
          </cell>
          <cell r="D17417" t="str">
            <v>COOPERATIVE RABOBANK U A - BANCO BNP PARIBAS BRASIL S/A</v>
          </cell>
          <cell r="E17417" t="str">
            <v>COOPERATIVE RABOBANK U A - BANCO BNP PARIBAS BRASIL S/A</v>
          </cell>
        </row>
        <row r="17418">
          <cell r="B17418">
            <v>80437</v>
          </cell>
          <cell r="C17418" t="str">
            <v>EQUIS HIGH FIM CREDITO PRIVADO</v>
          </cell>
          <cell r="D17418" t="str">
            <v>EQUIS HIGH FIM CREDITO PRIVADO</v>
          </cell>
          <cell r="E17418" t="str">
            <v>MARCELO TAIAR ARBEX (GESTÃƒO)</v>
          </cell>
        </row>
        <row r="17419">
          <cell r="B17419">
            <v>80437</v>
          </cell>
          <cell r="C17419" t="str">
            <v>EQUIS HIGH FIM CREDITO PRIVADO</v>
          </cell>
          <cell r="D17419" t="str">
            <v>EQUIS HIGH FIM CREDITO PRIVADO</v>
          </cell>
          <cell r="E17419" t="str">
            <v>MARCELO TAIAR ARBEX (GESTÃƒO)</v>
          </cell>
        </row>
        <row r="17420">
          <cell r="B17420">
            <v>124903</v>
          </cell>
          <cell r="C17420" t="str">
            <v>MONTAIGNE FIM CP IE</v>
          </cell>
          <cell r="D17420" t="str">
            <v>MONTAIGNE FIM CP IE</v>
          </cell>
          <cell r="E17420" t="str">
            <v>JULIUS BAER FAMILY OFFICE BRASIL GESTAO DE PATRIMONIO LTDA</v>
          </cell>
        </row>
        <row r="17421">
          <cell r="B17421">
            <v>124903</v>
          </cell>
          <cell r="C17421" t="str">
            <v>MONTAIGNE FIM CP IE</v>
          </cell>
          <cell r="D17421" t="str">
            <v>MONTAIGNE FIM CP IE</v>
          </cell>
          <cell r="E17421" t="str">
            <v>JULIUS BAER FAMILY OFFICE BRASIL GESTAO DE PATRIMONIO LTDA</v>
          </cell>
        </row>
        <row r="17422">
          <cell r="B17422">
            <v>124905</v>
          </cell>
          <cell r="C17422" t="str">
            <v>MONTREAL FIM CP IE</v>
          </cell>
          <cell r="D17422" t="str">
            <v>MONTREAL FIM CP IE</v>
          </cell>
          <cell r="E17422" t="str">
            <v>JULIUS BAER FAMILY OFFICE BRASIL GESTAO DE PATRIMONIO LTDA</v>
          </cell>
        </row>
        <row r="17423">
          <cell r="B17423">
            <v>124905</v>
          </cell>
          <cell r="C17423" t="str">
            <v>MONTREAL FIM CP IE</v>
          </cell>
          <cell r="D17423" t="str">
            <v>MONTREAL FIM CP IE</v>
          </cell>
          <cell r="E17423" t="str">
            <v>JULIUS BAER FAMILY OFFICE BRASIL GESTAO DE PATRIMONIO LTDA</v>
          </cell>
        </row>
        <row r="17424">
          <cell r="B17424">
            <v>124906</v>
          </cell>
          <cell r="C17424" t="str">
            <v>MONZA FIM CP IE</v>
          </cell>
          <cell r="D17424" t="str">
            <v>MONZA FIM CP IE</v>
          </cell>
          <cell r="E17424" t="str">
            <v>JULIUS BAER FAMILY OFFICE BRASIL GESTAO DE PATRIMONIO LTDA</v>
          </cell>
        </row>
        <row r="17425">
          <cell r="B17425">
            <v>124906</v>
          </cell>
          <cell r="C17425" t="str">
            <v>MONZA FIM CP IE</v>
          </cell>
          <cell r="D17425" t="str">
            <v>MONZA FIM CP IE</v>
          </cell>
          <cell r="E17425" t="str">
            <v>JULIUS BAER FAMILY OFFICE BRASIL GESTAO DE PATRIMONIO LTDA</v>
          </cell>
        </row>
        <row r="17426">
          <cell r="B17426">
            <v>124907</v>
          </cell>
          <cell r="C17426" t="str">
            <v>MSF FIM CP IE</v>
          </cell>
          <cell r="D17426" t="str">
            <v>MSF FIM CP IE</v>
          </cell>
          <cell r="E17426" t="str">
            <v>JULIUS BAER FAMILY OFFICE BRASIL GESTAO DE PATRIMONIO LTDA</v>
          </cell>
        </row>
        <row r="17427">
          <cell r="B17427">
            <v>124907</v>
          </cell>
          <cell r="C17427" t="str">
            <v>MSF FIM CP IE</v>
          </cell>
          <cell r="D17427" t="str">
            <v>MSF FIM CP IE</v>
          </cell>
          <cell r="E17427" t="str">
            <v>JULIUS BAER FAMILY OFFICE BRASIL GESTAO DE PATRIMONIO LTDA</v>
          </cell>
        </row>
        <row r="17428">
          <cell r="B17428">
            <v>124908</v>
          </cell>
          <cell r="C17428" t="str">
            <v>MUJI FIM CP IE</v>
          </cell>
          <cell r="D17428" t="str">
            <v>MUJI FIM CP IE</v>
          </cell>
          <cell r="E17428" t="str">
            <v>CFO ADMINISTRACAO DE RECURSOS LTDA</v>
          </cell>
        </row>
        <row r="17429">
          <cell r="B17429">
            <v>124908</v>
          </cell>
          <cell r="C17429" t="str">
            <v>MUJI FIM CP IE</v>
          </cell>
          <cell r="D17429" t="str">
            <v>MUJI FIM CP IE</v>
          </cell>
          <cell r="E17429" t="str">
            <v>MUJI FIM CP IE</v>
          </cell>
        </row>
        <row r="17430">
          <cell r="B17430">
            <v>124909</v>
          </cell>
          <cell r="C17430" t="str">
            <v>MULTIPLO FIA BDR NIVEL I</v>
          </cell>
          <cell r="D17430" t="str">
            <v>MULTIPLO FIA BDR NIVEL I</v>
          </cell>
          <cell r="E17430" t="str">
            <v>CFO ADMINISTRACAO DE RECURSOS LTDA</v>
          </cell>
        </row>
        <row r="17431">
          <cell r="B17431">
            <v>124909</v>
          </cell>
          <cell r="C17431" t="str">
            <v>MULTIPLO FIA BDR NIVEL I</v>
          </cell>
          <cell r="D17431" t="str">
            <v>MULTIPLO FIA BDR NIVEL I</v>
          </cell>
          <cell r="E17431" t="str">
            <v>MULTIPLO FIA BDR NIVEL I</v>
          </cell>
        </row>
        <row r="17432">
          <cell r="B17432">
            <v>124910</v>
          </cell>
          <cell r="C17432" t="str">
            <v>NAVITIMER FIM CP IE</v>
          </cell>
          <cell r="D17432" t="str">
            <v>NAVITIMER FIM CP IE</v>
          </cell>
          <cell r="E17432" t="str">
            <v>CFO ADMINISTRACAO DE RECURSOS LTDA</v>
          </cell>
        </row>
        <row r="17433">
          <cell r="B17433">
            <v>124910</v>
          </cell>
          <cell r="C17433" t="str">
            <v>NAVITIMER FIM CP IE</v>
          </cell>
          <cell r="D17433" t="str">
            <v>NAVITIMER FIM CP IE</v>
          </cell>
          <cell r="E17433" t="str">
            <v>NAVITIMER FIM CP IE</v>
          </cell>
        </row>
        <row r="17434">
          <cell r="B17434">
            <v>124911</v>
          </cell>
          <cell r="C17434" t="str">
            <v>NDS FIM CP</v>
          </cell>
          <cell r="D17434" t="str">
            <v>NDS FIM CP</v>
          </cell>
          <cell r="E17434" t="str">
            <v>CFO ADMINISTRACAO DE RECURSOS LTDA</v>
          </cell>
        </row>
        <row r="17435">
          <cell r="B17435">
            <v>124911</v>
          </cell>
          <cell r="C17435" t="str">
            <v>NDS FIM CP</v>
          </cell>
          <cell r="D17435" t="str">
            <v>NDS FIM CP</v>
          </cell>
          <cell r="E17435" t="str">
            <v>NDS FIM CP</v>
          </cell>
        </row>
        <row r="17436">
          <cell r="B17436">
            <v>124912</v>
          </cell>
          <cell r="C17436" t="str">
            <v>NEW ORDER FIC FIM CP IE</v>
          </cell>
          <cell r="D17436" t="str">
            <v>NEW ORDER FIC FIM CP IE</v>
          </cell>
          <cell r="E17436" t="str">
            <v>CFO ADMINISTRACAO DE RECURSOS LTDA</v>
          </cell>
        </row>
        <row r="17437">
          <cell r="B17437">
            <v>124912</v>
          </cell>
          <cell r="C17437" t="str">
            <v>NEW ORDER FIC FIM CP IE</v>
          </cell>
          <cell r="D17437" t="str">
            <v>NEW ORDER FIC FIM CP IE</v>
          </cell>
          <cell r="E17437" t="str">
            <v>NEW ORDER FIC FIM CP IE</v>
          </cell>
        </row>
        <row r="17438">
          <cell r="B17438">
            <v>80438</v>
          </cell>
          <cell r="C17438" t="str">
            <v>RICARDO ANDRE VASCONCELOS RAMOS</v>
          </cell>
          <cell r="D17438" t="str">
            <v>RICARDO ANDRE VASCONCELOS RAMOS</v>
          </cell>
          <cell r="E17438" t="str">
            <v>RICARDO ANDRE VASCONCELOS RAMOS</v>
          </cell>
        </row>
        <row r="17439">
          <cell r="B17439">
            <v>80438</v>
          </cell>
          <cell r="C17439" t="str">
            <v>RICARDO ANDRE VASCONCELOS RAMOS</v>
          </cell>
          <cell r="D17439" t="str">
            <v>RICARDO ANDRE VASCONCELOS RAMOS</v>
          </cell>
          <cell r="E17439" t="str">
            <v>RICARDO ANDRE VASCONCELOS RAMOS</v>
          </cell>
        </row>
        <row r="17440">
          <cell r="B17440">
            <v>80440</v>
          </cell>
          <cell r="C17440" t="str">
            <v>INFINOX CAPITAL LIMITED</v>
          </cell>
          <cell r="D17440" t="str">
            <v>INFINOX CAPITAL LIMITED</v>
          </cell>
          <cell r="E17440" t="str">
            <v>INFINOX CAPITAL LIMITED</v>
          </cell>
        </row>
        <row r="17441">
          <cell r="B17441">
            <v>80440</v>
          </cell>
          <cell r="C17441" t="str">
            <v>INFINOX CAPITAL LIMITED</v>
          </cell>
          <cell r="D17441" t="str">
            <v>INFINOX CAPITAL LIMITED</v>
          </cell>
          <cell r="E17441" t="str">
            <v>INFINOX CAPITAL LIMITED</v>
          </cell>
        </row>
        <row r="17442">
          <cell r="B17442">
            <v>124917</v>
          </cell>
          <cell r="C17442" t="str">
            <v>BB GESTAO DE RECURSOS DTVM LTDA</v>
          </cell>
          <cell r="D17442" t="str">
            <v>BB GESTAO DE RECURSOS DTVM LTDA</v>
          </cell>
          <cell r="E17442" t="str">
            <v>BB GESTAO DE RECURSOS DTVM LTDA</v>
          </cell>
        </row>
        <row r="17443">
          <cell r="B17443">
            <v>124917</v>
          </cell>
          <cell r="C17443" t="str">
            <v>BB GESTAO DE RECURSOS DTVM LTDA</v>
          </cell>
          <cell r="D17443" t="str">
            <v>BB GESTAO DE RECURSOS DTVM LTDA</v>
          </cell>
          <cell r="E17443" t="str">
            <v>BB GESTAO DE RECURSOS DTVM LTDA</v>
          </cell>
        </row>
        <row r="17444">
          <cell r="B17444">
            <v>124918</v>
          </cell>
          <cell r="C17444" t="str">
            <v>SANTANDER CACEIS BRASIL DTVM S.A.</v>
          </cell>
          <cell r="D17444" t="str">
            <v>SANTANDER CACEIS BRASIL DTVM S.A.</v>
          </cell>
          <cell r="E17444" t="str">
            <v>SANTANDER BRASIL GESTAO DE RECURSOS LTDA</v>
          </cell>
        </row>
        <row r="17445">
          <cell r="B17445">
            <v>124919</v>
          </cell>
          <cell r="C17445" t="str">
            <v>SANTANDER CACEIS BRASIL DTVM S.A.</v>
          </cell>
          <cell r="D17445" t="str">
            <v>SANTANDER CACEIS BRASIL DTVM S.A.</v>
          </cell>
          <cell r="E17445" t="str">
            <v>SANTANDER BRASIL GESTAO DE RECURSOS LTDA</v>
          </cell>
        </row>
        <row r="17446">
          <cell r="B17446">
            <v>124919</v>
          </cell>
          <cell r="C17446" t="str">
            <v>SANTANDER CACEIS BRASIL DTVM S.A.</v>
          </cell>
          <cell r="D17446" t="str">
            <v>SANTANDER CACEIS BRASIL DTVM S.A.</v>
          </cell>
          <cell r="E17446" t="str">
            <v>SANTANDER BRASIL GESTAO DE RECURSOS LTDA</v>
          </cell>
        </row>
        <row r="17447">
          <cell r="B17447">
            <v>124920</v>
          </cell>
          <cell r="C17447" t="str">
            <v>SANTANDER CACEIS BRASIL DTVM S.A.</v>
          </cell>
          <cell r="D17447" t="str">
            <v>SANTANDER CACEIS BRASIL DTVM S.A.</v>
          </cell>
          <cell r="E17447" t="str">
            <v>SANTANDER BRASIL GESTAO DE RECURSOS LTDA</v>
          </cell>
        </row>
        <row r="17448">
          <cell r="B17448">
            <v>124920</v>
          </cell>
          <cell r="C17448" t="str">
            <v>SANTANDER CACEIS BRASIL DTVM S.A.</v>
          </cell>
          <cell r="D17448" t="str">
            <v>SANTANDER CACEIS BRASIL DTVM S.A.</v>
          </cell>
          <cell r="E17448" t="str">
            <v>SANTANDER BRASIL GESTAO DE RECURSOS LTDA</v>
          </cell>
        </row>
        <row r="17449">
          <cell r="B17449">
            <v>124921</v>
          </cell>
          <cell r="C17449" t="str">
            <v>SANTANDER CACEIS BRASIL DTVM S.A.</v>
          </cell>
          <cell r="D17449" t="str">
            <v>SANTANDER CACEIS BRASIL DTVM S.A.</v>
          </cell>
          <cell r="E17449" t="str">
            <v>SANTANDER BRASIL GESTAO DE RECURSOS LTDA</v>
          </cell>
        </row>
        <row r="17450">
          <cell r="B17450">
            <v>124921</v>
          </cell>
          <cell r="C17450" t="str">
            <v>SANTANDER CACEIS BRASIL DTVM S.A.</v>
          </cell>
          <cell r="D17450" t="str">
            <v>SANTANDER CACEIS BRASIL DTVM S.A.</v>
          </cell>
          <cell r="E17450" t="str">
            <v>SANTANDER CACEIS BRASIL DTVM S.A.</v>
          </cell>
        </row>
        <row r="17451">
          <cell r="B17451">
            <v>80439</v>
          </cell>
          <cell r="C17451" t="str">
            <v>ERIS FIM CP INVESTIMENTO NO EXTERIOR</v>
          </cell>
          <cell r="D17451" t="str">
            <v>ERIS FIM CP INVESTIMENTO NO EXTERIOR</v>
          </cell>
          <cell r="E17451" t="str">
            <v>BANCO J SAFRA S/A</v>
          </cell>
        </row>
        <row r="17452">
          <cell r="B17452">
            <v>80441</v>
          </cell>
          <cell r="C17452" t="str">
            <v>ERIS FIM CP INVESTIMENTO NO EXTERIOR</v>
          </cell>
          <cell r="D17452" t="str">
            <v>ERIS FIM CP INVESTIMENTO NO EXTERIOR</v>
          </cell>
          <cell r="E17452" t="str">
            <v>BANCO J SAFRA S/A</v>
          </cell>
        </row>
        <row r="17453">
          <cell r="B17453">
            <v>80482</v>
          </cell>
          <cell r="C17453" t="str">
            <v>BNP PARIBAS ASSET MANAGEMENT BRASIL LTDA</v>
          </cell>
          <cell r="D17453" t="str">
            <v>BNP PARIBAS ASSET MANAGEMENT BRASIL LTDA</v>
          </cell>
          <cell r="E17453" t="str">
            <v>BNP PARIBAS ASSET MANAGEMENT BRASIL LTDA</v>
          </cell>
        </row>
        <row r="17454">
          <cell r="B17454">
            <v>80483</v>
          </cell>
          <cell r="C17454" t="str">
            <v>BNP PARIBAS ASSET MANAGEMENT BRASIL LTDA</v>
          </cell>
          <cell r="D17454" t="str">
            <v>BNP PARIBAS ASSET MANAGEMENT BRASIL LTDA</v>
          </cell>
          <cell r="E17454" t="str">
            <v>BNP PARIBAS ASSET MANAGEMENT BRASIL LTDA</v>
          </cell>
        </row>
        <row r="17455">
          <cell r="B17455">
            <v>80443</v>
          </cell>
          <cell r="C17455" t="str">
            <v>ITAU FIA BDR NIVEL I</v>
          </cell>
          <cell r="D17455" t="str">
            <v>ITAU FIA BDR NIVEL I</v>
          </cell>
          <cell r="E17455" t="str">
            <v>ITAU UNIBANCO ASSET - TACO</v>
          </cell>
        </row>
        <row r="17456">
          <cell r="B17456">
            <v>124922</v>
          </cell>
          <cell r="C17456" t="str">
            <v>SANTANDER CACEIS BRASIL DTVM S.A.</v>
          </cell>
          <cell r="D17456" t="str">
            <v>SANTANDER CACEIS BRASIL DTVM S.A.</v>
          </cell>
          <cell r="E17456" t="str">
            <v>SANTANDER BRASIL GESTAO DE RECURSOS LTDA</v>
          </cell>
        </row>
        <row r="17457">
          <cell r="B17457">
            <v>124923</v>
          </cell>
          <cell r="C17457" t="str">
            <v>SANTANDER CACEIS BRASIL DTVM S.A.</v>
          </cell>
          <cell r="D17457" t="str">
            <v>SANTANDER CACEIS BRASIL DTVM S.A.</v>
          </cell>
          <cell r="E17457" t="str">
            <v>SANTANDER BRASIL GESTAO DE RECURSOS LTDA</v>
          </cell>
        </row>
        <row r="17458">
          <cell r="B17458">
            <v>124922</v>
          </cell>
          <cell r="C17458" t="str">
            <v>SANTANDER CACEIS BRASIL DTVM S.A.</v>
          </cell>
          <cell r="D17458" t="str">
            <v>SANTANDER CACEIS BRASIL DTVM S.A.</v>
          </cell>
          <cell r="E17458" t="str">
            <v>SANTANDER BRASIL GESTAO DE RECURSOS LTDA</v>
          </cell>
        </row>
        <row r="17459">
          <cell r="B17459">
            <v>124923</v>
          </cell>
          <cell r="C17459" t="str">
            <v>SANTANDER CACEIS BRASIL DTVM S.A.</v>
          </cell>
          <cell r="D17459" t="str">
            <v>SANTANDER CACEIS BRASIL DTVM S.A.</v>
          </cell>
          <cell r="E17459" t="str">
            <v>SANTANDER BRASIL GESTAO DE RECURSOS LTDA</v>
          </cell>
        </row>
        <row r="17460">
          <cell r="B17460">
            <v>124864</v>
          </cell>
          <cell r="C17460" t="str">
            <v>ITACARE FIM CP IE</v>
          </cell>
          <cell r="D17460" t="str">
            <v>ITACARE FIM CP IE</v>
          </cell>
          <cell r="E17460" t="str">
            <v>JULIUS BAER FAMILY OFFICE BRASIL GESTAO DE PATRIMONIO LTDA</v>
          </cell>
        </row>
        <row r="17461">
          <cell r="B17461">
            <v>124864</v>
          </cell>
          <cell r="C17461" t="str">
            <v>ITACARE FIM CP IE</v>
          </cell>
          <cell r="D17461" t="str">
            <v>ITACARE FIM CP IE</v>
          </cell>
          <cell r="E17461" t="str">
            <v>JULIUS BAER FAMILY OFFICE BRASIL GESTAO DE PATRIMONIO LTDA</v>
          </cell>
        </row>
        <row r="17462">
          <cell r="B17462">
            <v>124924</v>
          </cell>
          <cell r="C17462" t="str">
            <v>VINCI GAS SELECAO DIVIDENDOS FIA</v>
          </cell>
          <cell r="D17462" t="str">
            <v>VINCI GAS SELECAO DIVIDENDOS FIA</v>
          </cell>
          <cell r="E17462" t="str">
            <v>VINCI GESTORA DE RECURSOS LTDA</v>
          </cell>
        </row>
        <row r="17463">
          <cell r="B17463">
            <v>124924</v>
          </cell>
          <cell r="C17463" t="str">
            <v>VINCI GAS SELECAO DIVIDENDOS FIA</v>
          </cell>
          <cell r="D17463" t="str">
            <v>VINCI GAS SELECAO DIVIDENDOS FIA</v>
          </cell>
          <cell r="E17463" t="str">
            <v>VINCI GAS SELECAO DIVIDENDOS FIA</v>
          </cell>
        </row>
        <row r="17464">
          <cell r="B17464">
            <v>80444</v>
          </cell>
          <cell r="C17464" t="str">
            <v>OURIBANK S.A. BANCO MULTIPLO</v>
          </cell>
          <cell r="D17464" t="str">
            <v>OURIBANK S.A. BANCO MULTIPLO</v>
          </cell>
          <cell r="E17464" t="str">
            <v>OURIBANK S.A. BANCO MULTIPLO</v>
          </cell>
        </row>
        <row r="17465">
          <cell r="B17465">
            <v>80444</v>
          </cell>
          <cell r="C17465" t="str">
            <v>OURIBANK S.A. BANCO MULTIPLO</v>
          </cell>
          <cell r="D17465" t="str">
            <v>OURIBANK S.A. BANCO MULTIPLO</v>
          </cell>
          <cell r="E17465" t="str">
            <v>OURIBANK S.A. BANCO MULTIPLO</v>
          </cell>
        </row>
        <row r="17466">
          <cell r="B17466">
            <v>80445</v>
          </cell>
          <cell r="C17466" t="str">
            <v>FAR FATOR ADMINISTRAÃ‡ÃƒO DE RECURSOS LTDA</v>
          </cell>
          <cell r="D17466" t="str">
            <v>FAR FATOR ADMINISTRAÃ‡ÃƒO DE RECURSOS LTDA</v>
          </cell>
          <cell r="E17466" t="str">
            <v>FAR FATOR ADMINISTRAÃ‡ÃƒO DE RECURSOS LTDA</v>
          </cell>
        </row>
        <row r="17467">
          <cell r="B17467">
            <v>80445</v>
          </cell>
          <cell r="C17467" t="str">
            <v>FAR FATOR ADMINISTRAÃ‡ÃƒO DE RECURSOS LTDA</v>
          </cell>
          <cell r="D17467" t="str">
            <v>FAR FATOR ADMINISTRAÃ‡ÃƒO DE RECURSOS LTDA</v>
          </cell>
          <cell r="E17467" t="str">
            <v>FAR FATOR ADMINISTRAÃ‡ÃƒO DE RECURSOS LTDA</v>
          </cell>
        </row>
        <row r="17468">
          <cell r="B17468">
            <v>80446</v>
          </cell>
          <cell r="C17468" t="str">
            <v>BRASIL - ITAU FIA</v>
          </cell>
          <cell r="D17468" t="str">
            <v>BRASIL - ITAU FIA</v>
          </cell>
          <cell r="E17468" t="str">
            <v>ITAU UNIBANCO ASSET - TACO</v>
          </cell>
        </row>
        <row r="17469">
          <cell r="B17469">
            <v>89438</v>
          </cell>
          <cell r="C17469" t="str">
            <v>RICARDO ANDRE VASCONCELOS RAMOS</v>
          </cell>
          <cell r="D17469" t="str">
            <v>RICARDO ANDRE VASCONCELOS RAMOS</v>
          </cell>
          <cell r="E17469" t="str">
            <v>RICARDO ANDRE VASCONCELOS RAMOS</v>
          </cell>
        </row>
        <row r="17470">
          <cell r="B17470">
            <v>89438</v>
          </cell>
          <cell r="C17470" t="str">
            <v>RICARDO ANDRE VASCONCELOS RAMOS</v>
          </cell>
          <cell r="D17470" t="str">
            <v>RICARDO ANDRE VASCONCELOS RAMOS</v>
          </cell>
          <cell r="E17470" t="str">
            <v>RICARDO ANDRE VASCONCELOS RAMOS</v>
          </cell>
        </row>
        <row r="17471">
          <cell r="B17471">
            <v>80447</v>
          </cell>
          <cell r="C17471" t="str">
            <v>VINCI PRIORITARIO FIA</v>
          </cell>
          <cell r="D17471" t="str">
            <v>VINCI PRIORITARIO FIA</v>
          </cell>
          <cell r="E17471" t="str">
            <v>VINCI GESTORA DE RECURSOS LTDA</v>
          </cell>
        </row>
        <row r="17472">
          <cell r="B17472">
            <v>80447</v>
          </cell>
          <cell r="C17472" t="str">
            <v>VINCI PRIORITARIO FIA</v>
          </cell>
          <cell r="D17472" t="str">
            <v>VINCI PRIORITARIO FIA</v>
          </cell>
          <cell r="E17472" t="str">
            <v>VINCI PRIORITARIO FIA</v>
          </cell>
        </row>
        <row r="17473">
          <cell r="B17473">
            <v>80448</v>
          </cell>
          <cell r="C17473" t="str">
            <v>VINCI GAS DISCOVERY MASTER FIA</v>
          </cell>
          <cell r="D17473" t="str">
            <v>VINCI GAS DISCOVERY MASTER FIA</v>
          </cell>
          <cell r="E17473" t="str">
            <v>VINCI GESTORA DE RECURSOS LTDA</v>
          </cell>
        </row>
        <row r="17474">
          <cell r="B17474">
            <v>80448</v>
          </cell>
          <cell r="C17474" t="str">
            <v>VINCI GAS DISCOVERY MASTER FIA</v>
          </cell>
          <cell r="D17474" t="str">
            <v>VINCI GAS DISCOVERY MASTER FIA</v>
          </cell>
          <cell r="E17474" t="str">
            <v>VINCI GAS DISCOVERY MASTER FIA</v>
          </cell>
        </row>
        <row r="17475">
          <cell r="B17475">
            <v>80449</v>
          </cell>
          <cell r="C17475" t="str">
            <v>VINCI GAS LONG ONLY MASTER FIA</v>
          </cell>
          <cell r="D17475" t="str">
            <v>VINCI GAS LONG ONLY MASTER FIA</v>
          </cell>
          <cell r="E17475" t="str">
            <v>VINCI GESTORA DE RECURSOS LTDA</v>
          </cell>
        </row>
        <row r="17476">
          <cell r="B17476">
            <v>80449</v>
          </cell>
          <cell r="C17476" t="str">
            <v>VINCI GAS LONG ONLY MASTER FIA</v>
          </cell>
          <cell r="D17476" t="str">
            <v>VINCI GAS LONG ONLY MASTER FIA</v>
          </cell>
          <cell r="E17476" t="str">
            <v>VINCI GAS LONG ONLY MASTER FIA</v>
          </cell>
        </row>
        <row r="17477">
          <cell r="B17477">
            <v>80450</v>
          </cell>
          <cell r="C17477" t="str">
            <v>VINCI GAS DIVIDENDOS FIA</v>
          </cell>
          <cell r="D17477" t="str">
            <v>VINCI GAS DIVIDENDOS FIA</v>
          </cell>
          <cell r="E17477" t="str">
            <v>VINCI GESTORA DE RECURSOS LTDA</v>
          </cell>
        </row>
        <row r="17478">
          <cell r="B17478">
            <v>80451</v>
          </cell>
          <cell r="C17478" t="str">
            <v>VINCI GAS BLUE MARLIN FIA</v>
          </cell>
          <cell r="D17478" t="str">
            <v>VINCI GAS BLUE MARLIN FIA</v>
          </cell>
          <cell r="E17478" t="str">
            <v>VINCI GESTORA DE RECURSOS LTDA</v>
          </cell>
        </row>
        <row r="17479">
          <cell r="B17479">
            <v>80451</v>
          </cell>
          <cell r="C17479" t="str">
            <v>VINCI GAS BLUE MARLIN FIA</v>
          </cell>
          <cell r="D17479" t="str">
            <v>VINCI GAS BLUE MARLIN FIA</v>
          </cell>
          <cell r="E17479" t="str">
            <v>VINCI GAS BLUE MARLIN FIA</v>
          </cell>
        </row>
        <row r="17480">
          <cell r="B17480">
            <v>80452</v>
          </cell>
          <cell r="C17480" t="str">
            <v>VINCI GAS FIA</v>
          </cell>
          <cell r="D17480" t="str">
            <v>VINCI GAS FIA</v>
          </cell>
          <cell r="E17480" t="str">
            <v>VINCI GESTORA DE RECURSOS LTDA</v>
          </cell>
        </row>
        <row r="17481">
          <cell r="B17481">
            <v>80452</v>
          </cell>
          <cell r="C17481" t="str">
            <v>VINCI GAS FIA</v>
          </cell>
          <cell r="D17481" t="str">
            <v>VINCI GAS FIA</v>
          </cell>
          <cell r="E17481" t="str">
            <v>VINCI GAS FIA</v>
          </cell>
        </row>
        <row r="17482">
          <cell r="B17482">
            <v>80453</v>
          </cell>
          <cell r="C17482" t="str">
            <v>FNAF FIA</v>
          </cell>
          <cell r="D17482" t="str">
            <v>FNAF FIA</v>
          </cell>
          <cell r="E17482" t="str">
            <v>VINCI GESTORA DE RECURSOS LTDA</v>
          </cell>
        </row>
        <row r="17483">
          <cell r="B17483">
            <v>80453</v>
          </cell>
          <cell r="C17483" t="str">
            <v>FNAF FIA</v>
          </cell>
          <cell r="D17483" t="str">
            <v>FNAF FIA</v>
          </cell>
          <cell r="E17483" t="str">
            <v>FNAF FIA</v>
          </cell>
        </row>
        <row r="17484">
          <cell r="B17484">
            <v>80454</v>
          </cell>
          <cell r="C17484" t="str">
            <v>VINCI MOSAICO INSTITUCIONAL FIA</v>
          </cell>
          <cell r="D17484" t="str">
            <v>VINCI MOSAICO INSTITUCIONAL FIA</v>
          </cell>
          <cell r="E17484" t="str">
            <v>VINCI GESTORA DE RECURSOS LTDA</v>
          </cell>
        </row>
        <row r="17485">
          <cell r="B17485">
            <v>80455</v>
          </cell>
          <cell r="C17485" t="str">
            <v>MISTYQUE TEENS FIA</v>
          </cell>
          <cell r="D17485" t="str">
            <v>MISTYQUE TEENS FIA</v>
          </cell>
          <cell r="E17485" t="str">
            <v>MISTYQUE TEENS FIA</v>
          </cell>
        </row>
        <row r="17486">
          <cell r="B17486">
            <v>80455</v>
          </cell>
          <cell r="C17486" t="str">
            <v>MISTYQUE TEENS FIA</v>
          </cell>
          <cell r="D17486" t="str">
            <v>MISTYQUE TEENS FIA</v>
          </cell>
          <cell r="E17486" t="str">
            <v>VINCI GESTORA DE RECURSOS LTDA</v>
          </cell>
        </row>
        <row r="17487">
          <cell r="B17487">
            <v>80456</v>
          </cell>
          <cell r="C17487" t="str">
            <v>FIA MISTYQUE</v>
          </cell>
          <cell r="D17487" t="str">
            <v>FIA MISTYQUE</v>
          </cell>
          <cell r="E17487" t="str">
            <v>VINCI GESTORA DE RECURSOS LTDA</v>
          </cell>
        </row>
        <row r="17488">
          <cell r="B17488">
            <v>80456</v>
          </cell>
          <cell r="C17488" t="str">
            <v>FIA MISTYQUE</v>
          </cell>
          <cell r="D17488" t="str">
            <v>FIA MISTYQUE</v>
          </cell>
          <cell r="E17488" t="str">
            <v>FIA MISTYQUE</v>
          </cell>
        </row>
        <row r="17489">
          <cell r="B17489">
            <v>80457</v>
          </cell>
          <cell r="C17489" t="str">
            <v>NAF ENIGMA FIA</v>
          </cell>
          <cell r="D17489" t="str">
            <v>NAF ENIGMA FIA</v>
          </cell>
          <cell r="E17489" t="str">
            <v>VINCI GESTORA DE RECURSOS LTDA</v>
          </cell>
        </row>
        <row r="17490">
          <cell r="B17490">
            <v>80457</v>
          </cell>
          <cell r="C17490" t="str">
            <v>NAF ENIGMA FIA</v>
          </cell>
          <cell r="D17490" t="str">
            <v>NAF ENIGMA FIA</v>
          </cell>
          <cell r="E17490" t="str">
            <v>NAF ENIGMA FIA</v>
          </cell>
        </row>
        <row r="17491">
          <cell r="B17491">
            <v>80458</v>
          </cell>
          <cell r="C17491" t="str">
            <v>VINCI GAS FIA FHS</v>
          </cell>
          <cell r="D17491" t="str">
            <v>VINCI GAS FIA FHS</v>
          </cell>
          <cell r="E17491" t="str">
            <v>VINCI GESTORA DE RECURSOS LTDA</v>
          </cell>
        </row>
        <row r="17492">
          <cell r="B17492">
            <v>80458</v>
          </cell>
          <cell r="C17492" t="str">
            <v>VINCI GAS FIA FHS</v>
          </cell>
          <cell r="D17492" t="str">
            <v>VINCI GAS FIA FHS</v>
          </cell>
          <cell r="E17492" t="str">
            <v>VINCI GAS FIA FHS</v>
          </cell>
        </row>
        <row r="17493">
          <cell r="B17493">
            <v>80459</v>
          </cell>
          <cell r="C17493" t="str">
            <v>FIA SABESPREV VINCI GAS DIVIDENDOS - BDR NIVEL I</v>
          </cell>
          <cell r="D17493" t="str">
            <v>FIA SABESPREV VINCI GAS DIVIDENDOS - BDR NIVEL I</v>
          </cell>
          <cell r="E17493" t="str">
            <v>VINCI GESTORA DE RECURSOS LTDA</v>
          </cell>
        </row>
        <row r="17494">
          <cell r="B17494">
            <v>80459</v>
          </cell>
          <cell r="C17494" t="str">
            <v>FIA SABESPREV VINCI GAS DIVIDENDOS - BDR NIVEL I</v>
          </cell>
          <cell r="D17494" t="str">
            <v>FIA SABESPREV VINCI GAS DIVIDENDOS - BDR NIVEL I</v>
          </cell>
          <cell r="E17494" t="str">
            <v>VINCI GESTORA DE RECURSOS LTDA</v>
          </cell>
        </row>
        <row r="17495">
          <cell r="B17495">
            <v>80460</v>
          </cell>
          <cell r="C17495" t="str">
            <v>CAIXA VINCI VALOR FIA</v>
          </cell>
          <cell r="D17495" t="str">
            <v>CAIXA VINCI VALOR FIA</v>
          </cell>
          <cell r="E17495" t="str">
            <v>VINCI GESTORA DE RECURSOS LTDA</v>
          </cell>
        </row>
        <row r="17496">
          <cell r="B17496">
            <v>80461</v>
          </cell>
          <cell r="C17496" t="str">
            <v>FIA VINHEDO</v>
          </cell>
          <cell r="D17496" t="str">
            <v>FIA VINHEDO</v>
          </cell>
          <cell r="E17496" t="str">
            <v>FIA VINHEDO</v>
          </cell>
        </row>
        <row r="17497">
          <cell r="B17497">
            <v>80461</v>
          </cell>
          <cell r="C17497" t="str">
            <v>FIA VINHEDO</v>
          </cell>
          <cell r="D17497" t="str">
            <v>FIA VINHEDO</v>
          </cell>
          <cell r="E17497" t="str">
            <v>FIA VINHEDO</v>
          </cell>
        </row>
        <row r="17498">
          <cell r="B17498">
            <v>80462</v>
          </cell>
          <cell r="C17498" t="str">
            <v>VINCI PRIORITARIO FIA</v>
          </cell>
          <cell r="D17498" t="str">
            <v>VINCI PRIORITARIO FIA</v>
          </cell>
          <cell r="E17498" t="str">
            <v>VINCI GESTORA DE RECURSOS LTDA</v>
          </cell>
        </row>
        <row r="17499">
          <cell r="B17499">
            <v>80462</v>
          </cell>
          <cell r="C17499" t="str">
            <v>VINCI PRIORITARIO FIA</v>
          </cell>
          <cell r="D17499" t="str">
            <v>VINCI PRIORITARIO FIA</v>
          </cell>
          <cell r="E17499" t="str">
            <v>VINCI PRIORITARIO FIA</v>
          </cell>
        </row>
        <row r="17500">
          <cell r="B17500">
            <v>80463</v>
          </cell>
          <cell r="C17500" t="str">
            <v>CAIXA VINCI VALOR DIV FIA</v>
          </cell>
          <cell r="D17500" t="str">
            <v>CAIXA VINCI VALOR DIV FIA</v>
          </cell>
          <cell r="E17500" t="str">
            <v>VINCI GESTORA DE RECURSOS LTDA</v>
          </cell>
        </row>
        <row r="17501">
          <cell r="B17501">
            <v>80464</v>
          </cell>
          <cell r="C17501" t="str">
            <v>SAFRA PREV COPERNICO PLUS MASTER FIM PREVIDENCIARIO</v>
          </cell>
          <cell r="D17501" t="str">
            <v>SAFRA PREV COPERNICO PLUS MASTER FIM PREVIDENCIARIO</v>
          </cell>
          <cell r="E17501" t="str">
            <v>SAFRA PREV COPERNICO PLUS MASTER FIM PREVIDENCIARIO</v>
          </cell>
        </row>
        <row r="17502">
          <cell r="B17502">
            <v>80464</v>
          </cell>
          <cell r="C17502" t="str">
            <v>SAFRA PREV COPERNICO PLUS MASTER FIM PREVIDENCIARIO</v>
          </cell>
          <cell r="D17502" t="str">
            <v>SAFRA PREV COPERNICO PLUS MASTER FIM PREVIDENCIARIO</v>
          </cell>
          <cell r="E17502" t="str">
            <v>SAFRA PREV COPERNICO PLUS MASTER FIM PREVIDENCIARIO</v>
          </cell>
        </row>
        <row r="17503">
          <cell r="B17503">
            <v>80465</v>
          </cell>
          <cell r="C17503" t="str">
            <v>SK8 FIC FIM CP IE</v>
          </cell>
          <cell r="D17503" t="str">
            <v>SK8 FIC FIM CP IE</v>
          </cell>
          <cell r="E17503" t="str">
            <v>JULIUS BAER FAMILY OFFICE BRASIL GESTAO DE PATRIMONIO LTDA</v>
          </cell>
        </row>
        <row r="17504">
          <cell r="B17504">
            <v>80465</v>
          </cell>
          <cell r="C17504" t="str">
            <v>SK8 FIC FIM CP IE</v>
          </cell>
          <cell r="D17504" t="str">
            <v>SK8 FIC FIM CP IE</v>
          </cell>
          <cell r="E17504" t="str">
            <v>JULIUS BAER FAMILY OFFICE BRASIL GESTAO DE PATRIMONIO LTDA</v>
          </cell>
        </row>
        <row r="17505">
          <cell r="B17505">
            <v>80466</v>
          </cell>
          <cell r="C17505" t="str">
            <v>SOMMA FIA</v>
          </cell>
          <cell r="D17505" t="str">
            <v>SOMMA FIA</v>
          </cell>
          <cell r="E17505" t="str">
            <v>SOMMA INVESTIMENTOS S.A</v>
          </cell>
        </row>
        <row r="17506">
          <cell r="B17506">
            <v>124925</v>
          </cell>
          <cell r="C17506" t="str">
            <v>SANTANDER CACEIS BRASIL DTVM S.A.</v>
          </cell>
          <cell r="D17506" t="str">
            <v>SANTANDER CACEIS BRASIL DTVM S.A.</v>
          </cell>
          <cell r="E17506" t="str">
            <v>SANTANDER BRASIL GESTAO DE RECURSOS LTDA</v>
          </cell>
        </row>
        <row r="17507">
          <cell r="B17507">
            <v>124925</v>
          </cell>
          <cell r="C17507" t="str">
            <v>SANTANDER CACEIS BRASIL DTVM S.A.</v>
          </cell>
          <cell r="D17507" t="str">
            <v>SANTANDER CACEIS BRASIL DTVM S.A.</v>
          </cell>
          <cell r="E17507" t="str">
            <v>SANTANDER BRASIL GESTAO DE RECURSOS LTDA</v>
          </cell>
        </row>
        <row r="17508">
          <cell r="B17508">
            <v>124926</v>
          </cell>
          <cell r="C17508" t="str">
            <v>SANTANDER CACEIS BRASIL DTVM S.A.</v>
          </cell>
          <cell r="D17508" t="str">
            <v>SANTANDER CACEIS BRASIL DTVM S.A.</v>
          </cell>
          <cell r="E17508" t="str">
            <v>SANTANDER BRASIL GESTAO DE RECURSOS LTDA</v>
          </cell>
        </row>
        <row r="17509">
          <cell r="B17509">
            <v>124926</v>
          </cell>
          <cell r="C17509" t="str">
            <v>SANTANDER CACEIS BRASIL DTVM S.A.</v>
          </cell>
          <cell r="D17509" t="str">
            <v>SANTANDER CACEIS BRASIL DTVM S.A.</v>
          </cell>
          <cell r="E17509" t="str">
            <v>SANTANDER BRASIL GESTAO DE RECURSOS LTDA</v>
          </cell>
        </row>
        <row r="17510">
          <cell r="B17510">
            <v>124927</v>
          </cell>
          <cell r="C17510" t="str">
            <v>ITAU SMALL CAP MASTER FIA</v>
          </cell>
          <cell r="D17510" t="str">
            <v>ITAU SMALL CAP MASTER FIA</v>
          </cell>
          <cell r="E17510" t="str">
            <v>ITAU UNIBANCO ASSET - TACO</v>
          </cell>
        </row>
        <row r="17511">
          <cell r="B17511">
            <v>124928</v>
          </cell>
          <cell r="C17511" t="str">
            <v>SANTANDER CACEIS BRASIL DTVM S.A.</v>
          </cell>
          <cell r="D17511" t="str">
            <v>SANTANDER CACEIS BRASIL DTVM S.A.</v>
          </cell>
          <cell r="E17511" t="str">
            <v>SANTANDER BRASIL GESTAO DE RECURSOS LTDA</v>
          </cell>
        </row>
        <row r="17512">
          <cell r="B17512">
            <v>124928</v>
          </cell>
          <cell r="C17512" t="str">
            <v>SANTANDER CACEIS BRASIL DTVM S.A.</v>
          </cell>
          <cell r="D17512" t="str">
            <v>SANTANDER CACEIS BRASIL DTVM S.A.</v>
          </cell>
          <cell r="E17512" t="str">
            <v>SANTANDER BRASIL GESTAO DE RECURSOS LTDA</v>
          </cell>
        </row>
        <row r="17513">
          <cell r="B17513">
            <v>124929</v>
          </cell>
          <cell r="C17513" t="str">
            <v>LIBERTAS FIA</v>
          </cell>
          <cell r="D17513" t="str">
            <v>LIBERTAS FIA</v>
          </cell>
          <cell r="E17513" t="str">
            <v>VINCI GESTORA DE RECURSOS LTDA</v>
          </cell>
        </row>
        <row r="17514">
          <cell r="B17514">
            <v>124929</v>
          </cell>
          <cell r="C17514" t="str">
            <v>LIBERTAS FIA</v>
          </cell>
          <cell r="D17514" t="str">
            <v>LIBERTAS FIA</v>
          </cell>
          <cell r="E17514" t="str">
            <v>VINCI GESTORA DE RECURSOS LTDA</v>
          </cell>
        </row>
        <row r="17515">
          <cell r="B17515">
            <v>124931</v>
          </cell>
          <cell r="C17515" t="str">
            <v>VINCI SELECTION EQUITIES FIA</v>
          </cell>
          <cell r="D17515" t="str">
            <v>VINCI SELECTION EQUITIES FIA</v>
          </cell>
          <cell r="E17515" t="str">
            <v>VINCI SELECTION EQUITIES FIA</v>
          </cell>
        </row>
        <row r="17516">
          <cell r="B17516">
            <v>124930</v>
          </cell>
          <cell r="C17516" t="str">
            <v>VINCI 1047 FIA NO EXTERIOR</v>
          </cell>
          <cell r="D17516" t="str">
            <v>VINCI 1047 FIA NO EXTERIOR</v>
          </cell>
          <cell r="E17516" t="str">
            <v>VINCI 1047 FIA NO EXTERIOR</v>
          </cell>
        </row>
        <row r="17517">
          <cell r="B17517">
            <v>124931</v>
          </cell>
          <cell r="C17517" t="str">
            <v>VINCI SELECTION EQUITIES FIA</v>
          </cell>
          <cell r="D17517" t="str">
            <v>VINCI SELECTION EQUITIES FIA</v>
          </cell>
          <cell r="E17517" t="str">
            <v>VINCI SELECTION EQUITIES FIA</v>
          </cell>
        </row>
        <row r="17518">
          <cell r="B17518">
            <v>124930</v>
          </cell>
          <cell r="C17518" t="str">
            <v>VINCI 1047 FIA NO EXTERIOR</v>
          </cell>
          <cell r="D17518" t="str">
            <v>VINCI 1047 FIA NO EXTERIOR</v>
          </cell>
          <cell r="E17518" t="str">
            <v>VINCI 1047 FIA NO EXTERIOR</v>
          </cell>
        </row>
        <row r="17519">
          <cell r="B17519">
            <v>124932</v>
          </cell>
          <cell r="C17519" t="str">
            <v>GEBSA FIA PREVIDENCIARIO</v>
          </cell>
          <cell r="D17519" t="str">
            <v>GEBSA FIA PREVIDENCIARIO</v>
          </cell>
          <cell r="E17519" t="str">
            <v>GEBSA FIA PREVIDENCIARIO</v>
          </cell>
        </row>
        <row r="17520">
          <cell r="B17520">
            <v>124932</v>
          </cell>
          <cell r="C17520" t="str">
            <v>GEBSA FIA PREVIDENCIARIO</v>
          </cell>
          <cell r="D17520" t="str">
            <v>GEBSA FIA PREVIDENCIARIO</v>
          </cell>
          <cell r="E17520" t="str">
            <v>GEBSA FIA PREVIDENCIARIO</v>
          </cell>
        </row>
        <row r="17521">
          <cell r="B17521">
            <v>124933</v>
          </cell>
          <cell r="C17521" t="str">
            <v>FIA PAU BRASIL</v>
          </cell>
          <cell r="D17521" t="str">
            <v>FIA PAU BRASIL</v>
          </cell>
          <cell r="E17521" t="str">
            <v>FIA PAU BRASIL</v>
          </cell>
        </row>
        <row r="17522">
          <cell r="B17522">
            <v>124933</v>
          </cell>
          <cell r="C17522" t="str">
            <v>FIA PAU BRASIL</v>
          </cell>
          <cell r="D17522" t="str">
            <v>FIA PAU BRASIL</v>
          </cell>
          <cell r="E17522" t="str">
            <v>FIA PAU BRASIL</v>
          </cell>
        </row>
        <row r="17523">
          <cell r="B17523">
            <v>124934</v>
          </cell>
          <cell r="C17523" t="str">
            <v>VINCI EQUILÃBRIO ICATU PREVIDÃŠNCIA FUNDO DE INVESTIMENTO EM</v>
          </cell>
          <cell r="D17523" t="str">
            <v>VINCI EQUILÃBRIO ICATU PREVIDÃŠNCIA FUNDO DE INVESTIMENTO EM</v>
          </cell>
          <cell r="E17523" t="str">
            <v>VINCI GESTORA DE RECURSOS LTDA</v>
          </cell>
        </row>
        <row r="17524">
          <cell r="B17524">
            <v>124934</v>
          </cell>
          <cell r="C17524" t="str">
            <v>VINCI EQUILÃBRIO ICATU PREVIDÃŠNCIA FUNDO DE INVESTIMENTO EM</v>
          </cell>
          <cell r="D17524" t="str">
            <v>VINCI EQUILÃBRIO ICATU PREVIDÃŠNCIA FUNDO DE INVESTIMENTO EM</v>
          </cell>
          <cell r="E17524" t="str">
            <v>VINCI GESTORA DE RECURSOS LTDA</v>
          </cell>
        </row>
        <row r="17525">
          <cell r="B17525">
            <v>124935</v>
          </cell>
          <cell r="C17525" t="str">
            <v>VINCI PREVIDENCIA FIFE MASTER FIM</v>
          </cell>
          <cell r="D17525" t="str">
            <v>VINCI PREVIDENCIA FIFE MASTER FIM</v>
          </cell>
          <cell r="E17525" t="str">
            <v>VINCI PREVIDENCIA FIFE MASTER FIM</v>
          </cell>
        </row>
        <row r="17526">
          <cell r="B17526">
            <v>124935</v>
          </cell>
          <cell r="C17526" t="str">
            <v>VINCI PREVIDENCIA FIFE MASTER FIM</v>
          </cell>
          <cell r="D17526" t="str">
            <v>VINCI PREVIDENCIA FIFE MASTER FIM</v>
          </cell>
          <cell r="E17526" t="str">
            <v>VINCI PREVIDENCIA FIFE MASTER FIM</v>
          </cell>
        </row>
        <row r="17527">
          <cell r="B17527">
            <v>124936</v>
          </cell>
          <cell r="C17527" t="str">
            <v>VINCI PORTIFOLIO 18C FIM CP IE</v>
          </cell>
          <cell r="D17527" t="str">
            <v>VINCI PORTIFOLIO 18C FIM CP IE</v>
          </cell>
          <cell r="E17527" t="str">
            <v>VINCI PORTIFOLIO 18C FIM CP IE</v>
          </cell>
        </row>
        <row r="17528">
          <cell r="B17528">
            <v>124936</v>
          </cell>
          <cell r="C17528" t="str">
            <v>VINCI PORTIFOLIO 18C FIM CP IE</v>
          </cell>
          <cell r="D17528" t="str">
            <v>VINCI PORTIFOLIO 18C FIM CP IE</v>
          </cell>
          <cell r="E17528" t="str">
            <v>VINCI PORTIFOLIO 18C FIM CP IE</v>
          </cell>
        </row>
        <row r="17529">
          <cell r="B17529">
            <v>124937</v>
          </cell>
          <cell r="C17529" t="str">
            <v>TOTA FIM CP IE</v>
          </cell>
          <cell r="D17529" t="str">
            <v>TOTA FIM CP IE</v>
          </cell>
          <cell r="E17529" t="str">
            <v>VINCI GESTORA DE RECURSOS LTDA</v>
          </cell>
        </row>
        <row r="17530">
          <cell r="B17530">
            <v>124937</v>
          </cell>
          <cell r="C17530" t="str">
            <v>TOTA FIM CP IE</v>
          </cell>
          <cell r="D17530" t="str">
            <v>TOTA FIM CP IE</v>
          </cell>
          <cell r="E17530" t="str">
            <v>VINCI GESTORA DE RECURSOS LTDA</v>
          </cell>
        </row>
        <row r="17531">
          <cell r="B17531">
            <v>124938</v>
          </cell>
          <cell r="C17531" t="str">
            <v>TOTA II FIM CP IE</v>
          </cell>
          <cell r="D17531" t="str">
            <v>TOTA II FIM CP IE</v>
          </cell>
          <cell r="E17531" t="str">
            <v>VINCI GESTORA DE RECURSOS LTDA</v>
          </cell>
        </row>
        <row r="17532">
          <cell r="B17532">
            <v>124938</v>
          </cell>
          <cell r="C17532" t="str">
            <v>TOTA II FIM CP IE</v>
          </cell>
          <cell r="D17532" t="str">
            <v>TOTA II FIM CP IE</v>
          </cell>
          <cell r="E17532" t="str">
            <v>VINCI GESTORA DE RECURSOS LTDA</v>
          </cell>
        </row>
        <row r="17533">
          <cell r="B17533">
            <v>124939</v>
          </cell>
          <cell r="C17533" t="str">
            <v>TOTA III FIM CP IE</v>
          </cell>
          <cell r="D17533" t="str">
            <v>TOTA III FIM CP IE</v>
          </cell>
          <cell r="E17533" t="str">
            <v>VINCI GESTORA DE RECURSOS LTDA</v>
          </cell>
        </row>
        <row r="17534">
          <cell r="B17534">
            <v>124939</v>
          </cell>
          <cell r="C17534" t="str">
            <v>TOTA III FIM CP IE</v>
          </cell>
          <cell r="D17534" t="str">
            <v>TOTA III FIM CP IE</v>
          </cell>
          <cell r="E17534" t="str">
            <v>VINCI GESTORA DE RECURSOS LTDA</v>
          </cell>
        </row>
        <row r="17535">
          <cell r="B17535">
            <v>124940</v>
          </cell>
          <cell r="C17535" t="str">
            <v>VINCI EQUILIBRIO ICATU PREVIDENCIA MASTER FIM</v>
          </cell>
          <cell r="D17535" t="str">
            <v>VINCI EQUILIBRIO ICATU PREVIDENCIA MASTER FIM</v>
          </cell>
          <cell r="E17535" t="str">
            <v>VINCI EQUILIBRIO ICATU PREVIDENCIA MASTER FIM</v>
          </cell>
        </row>
        <row r="17536">
          <cell r="B17536">
            <v>124940</v>
          </cell>
          <cell r="C17536" t="str">
            <v>VINCI EQUILIBRIO ICATU PREVIDENCIA MASTER FIM</v>
          </cell>
          <cell r="D17536" t="str">
            <v>VINCI EQUILIBRIO ICATU PREVIDENCIA MASTER FIM</v>
          </cell>
          <cell r="E17536" t="str">
            <v>VINCI EQUILIBRIO ICATU PREVIDENCIA MASTER FIM</v>
          </cell>
        </row>
        <row r="17537">
          <cell r="B17537">
            <v>124941</v>
          </cell>
          <cell r="C17537" t="str">
            <v>FIM TERTIUS MODERADO</v>
          </cell>
          <cell r="D17537" t="str">
            <v>FIM TERTIUS MODERADO</v>
          </cell>
          <cell r="E17537" t="str">
            <v>VINCI GESTORA DE RECURSOS LTDA</v>
          </cell>
        </row>
        <row r="17538">
          <cell r="B17538">
            <v>124941</v>
          </cell>
          <cell r="C17538" t="str">
            <v>FIM TERTIUS MODERADO</v>
          </cell>
          <cell r="D17538" t="str">
            <v>FIM TERTIUS MODERADO</v>
          </cell>
          <cell r="E17538" t="str">
            <v>VINCI GESTORA DE RECURSOS LTDA</v>
          </cell>
        </row>
        <row r="17539">
          <cell r="B17539">
            <v>80468</v>
          </cell>
          <cell r="C17539" t="str">
            <v>JIANG FUNDO DE INVESTIMENTO MULTIMERCADO CP IE</v>
          </cell>
          <cell r="D17539" t="str">
            <v>JIANG FUNDO DE INVESTIMENTO MULTIMERCADO CP IE</v>
          </cell>
          <cell r="E17539" t="str">
            <v>JIANG FUNDO DE INVESTIMENTO MULTIMERCADO CP IE</v>
          </cell>
        </row>
        <row r="17540">
          <cell r="B17540">
            <v>80468</v>
          </cell>
          <cell r="C17540" t="str">
            <v>JIANG FUNDO DE INVESTIMENTO MULTIMERCADO CP IE</v>
          </cell>
          <cell r="D17540" t="str">
            <v>JIANG FUNDO DE INVESTIMENTO MULTIMERCADO CP IE</v>
          </cell>
          <cell r="E17540" t="str">
            <v>JIANG FUNDO DE INVESTIMENTO MULTIMERCADO CP IE</v>
          </cell>
        </row>
        <row r="17541">
          <cell r="B17541">
            <v>124942</v>
          </cell>
          <cell r="C17541" t="str">
            <v>LENNOX FIA IE BDR NIVEL I</v>
          </cell>
          <cell r="D17541" t="str">
            <v>LENNOX FIA IE BDR NIVEL I</v>
          </cell>
          <cell r="E17541" t="str">
            <v>VINCI GESTORA DE RECURSOS LTDA</v>
          </cell>
        </row>
        <row r="17542">
          <cell r="B17542">
            <v>124942</v>
          </cell>
          <cell r="C17542" t="str">
            <v>LENNOX FIA IE BDR NIVEL I</v>
          </cell>
          <cell r="D17542" t="str">
            <v>LENNOX FIA IE BDR NIVEL I</v>
          </cell>
          <cell r="E17542" t="str">
            <v>VINCI GESTORA DE RECURSOS LTDA</v>
          </cell>
        </row>
        <row r="17543">
          <cell r="B17543">
            <v>124943</v>
          </cell>
          <cell r="C17543" t="str">
            <v>GERA INVEST ACOES FIA BDR NIVEL I IE</v>
          </cell>
          <cell r="D17543" t="str">
            <v>GERA INVEST ACOES FIA BDR NIVEL I IE</v>
          </cell>
          <cell r="E17543" t="str">
            <v>GERA INVEST ACOES FIA BDR NIVEL I IE</v>
          </cell>
        </row>
        <row r="17544">
          <cell r="B17544">
            <v>124943</v>
          </cell>
          <cell r="C17544" t="str">
            <v>GERA INVEST ACOES FIA BDR NIVEL I IE</v>
          </cell>
          <cell r="D17544" t="str">
            <v>GERA INVEST ACOES FIA BDR NIVEL I IE</v>
          </cell>
          <cell r="E17544" t="str">
            <v>GERA INVEST ACOES FIA BDR NIVEL I IE</v>
          </cell>
        </row>
        <row r="17545">
          <cell r="B17545">
            <v>124944</v>
          </cell>
          <cell r="C17545" t="str">
            <v>SOMMA MASTER POLARIS FIM</v>
          </cell>
          <cell r="D17545" t="str">
            <v>SOMMA MASTER POLARIS FIM</v>
          </cell>
          <cell r="E17545" t="str">
            <v>SOMMA INVESTIMENTOS S.A</v>
          </cell>
        </row>
        <row r="17546">
          <cell r="B17546">
            <v>124944</v>
          </cell>
          <cell r="C17546" t="str">
            <v>SOMMA MASTER POLARIS FIM</v>
          </cell>
          <cell r="D17546" t="str">
            <v>SOMMA MASTER POLARIS FIM</v>
          </cell>
          <cell r="E17546" t="str">
            <v>SOMMA INVESTIMENTOS S.A</v>
          </cell>
        </row>
        <row r="17547">
          <cell r="B17547">
            <v>124945</v>
          </cell>
          <cell r="C17547" t="str">
            <v>LAWTON MULTIMERCADO EXCLUSIVO FUNDO DE INVESTIMENTO CP IE</v>
          </cell>
          <cell r="D17547" t="str">
            <v>LAWTON MULTIMERCADO EXCLUSIVO FUNDO DE INVESTIMENTO CP IE</v>
          </cell>
          <cell r="E17547" t="str">
            <v>LAWTON MULTIMERCADO EXCLUSIVO FUNDO DE INVESTIMENTO CP IE</v>
          </cell>
        </row>
        <row r="17548">
          <cell r="B17548">
            <v>124946</v>
          </cell>
          <cell r="C17548" t="str">
            <v>J.P. MORGAN OVERSEAS CAPITAL LLC - J.P. MORGAN S.A. DTVM</v>
          </cell>
          <cell r="D17548" t="str">
            <v>J.P. MORGAN OVERSEAS CAPITAL LLC - J.P. MORGAN S.A. DTVM</v>
          </cell>
          <cell r="E17548" t="str">
            <v>BANCO JP MORGAN S/A</v>
          </cell>
        </row>
        <row r="17549">
          <cell r="B17549">
            <v>124947</v>
          </cell>
          <cell r="C17549" t="str">
            <v>SANTANDER CACEIS BRASIL DTVM S.A.</v>
          </cell>
          <cell r="D17549" t="str">
            <v>SANTANDER CACEIS BRASIL DTVM S.A.</v>
          </cell>
          <cell r="E17549" t="str">
            <v>SANTANDER BRASIL GESTAO DE RECURSOS LTDA</v>
          </cell>
        </row>
        <row r="17550">
          <cell r="B17550">
            <v>124947</v>
          </cell>
          <cell r="C17550" t="str">
            <v>SANTANDER CACEIS BRASIL DTVM S.A.</v>
          </cell>
          <cell r="D17550" t="str">
            <v>SANTANDER CACEIS BRASIL DTVM S.A.</v>
          </cell>
          <cell r="E17550" t="str">
            <v>SANTANDER BRASIL GESTAO DE RECURSOS LTDA</v>
          </cell>
        </row>
        <row r="17551">
          <cell r="B17551">
            <v>80469</v>
          </cell>
          <cell r="C17551" t="str">
            <v>ABSOLUTE HEDGE MASTER FIM</v>
          </cell>
          <cell r="D17551" t="str">
            <v>ABSOLUTE HEDGE MASTER FIM</v>
          </cell>
          <cell r="E17551" t="str">
            <v>ABSOLUTE GESTAO DE INVESTIMENTOS LTDA</v>
          </cell>
        </row>
        <row r="17552">
          <cell r="B17552">
            <v>80469</v>
          </cell>
          <cell r="C17552" t="str">
            <v>ABSOLUTE HEDGE MASTER FIM</v>
          </cell>
          <cell r="D17552" t="str">
            <v>ABSOLUTE HEDGE MASTER FIM</v>
          </cell>
          <cell r="E17552" t="str">
            <v>ABSOLUTE GESTAO DE INVESTIMENTOS LTDA</v>
          </cell>
        </row>
        <row r="17553">
          <cell r="B17553">
            <v>80470</v>
          </cell>
          <cell r="C17553" t="str">
            <v>ABSOLUTE ALPHA MASTER FIM</v>
          </cell>
          <cell r="D17553" t="str">
            <v>ABSOLUTE ALPHA MASTER FIM</v>
          </cell>
          <cell r="E17553" t="str">
            <v>ABSOLUTE GESTAO DE INVESTIMENTOS LTDA</v>
          </cell>
        </row>
        <row r="17554">
          <cell r="B17554">
            <v>80470</v>
          </cell>
          <cell r="C17554" t="str">
            <v>ABSOLUTE ALPHA MASTER FIM</v>
          </cell>
          <cell r="D17554" t="str">
            <v>ABSOLUTE ALPHA MASTER FIM</v>
          </cell>
          <cell r="E17554" t="str">
            <v>ABSOLUTE GESTAO DE INVESTIMENTOS LTDA</v>
          </cell>
        </row>
        <row r="17555">
          <cell r="B17555">
            <v>124686</v>
          </cell>
          <cell r="C17555" t="str">
            <v>ABSOLUTE VERTEX MASTER FIM</v>
          </cell>
          <cell r="D17555" t="str">
            <v>ABSOLUTE VERTEX MASTER FIM</v>
          </cell>
          <cell r="E17555" t="str">
            <v>ABSOLUTE GESTAO DE INVESTIMENTOS LTDA</v>
          </cell>
        </row>
        <row r="17556">
          <cell r="B17556">
            <v>80471</v>
          </cell>
          <cell r="C17556" t="str">
            <v>ABSOLUTE VERTEX MASTER FIM</v>
          </cell>
          <cell r="D17556" t="str">
            <v>ABSOLUTE VERTEX MASTER FIM</v>
          </cell>
          <cell r="E17556" t="str">
            <v>ABSOLUTE GESTAO DE INVESTIMENTOS LTDA</v>
          </cell>
        </row>
        <row r="17557">
          <cell r="B17557">
            <v>80471</v>
          </cell>
          <cell r="C17557" t="str">
            <v>ABSOLUTE VERTEX MASTER FIM</v>
          </cell>
          <cell r="D17557" t="str">
            <v>ABSOLUTE VERTEX MASTER FIM</v>
          </cell>
          <cell r="E17557" t="str">
            <v>ABSOLUTE GESTAO DE INVESTIMENTOS LTDA</v>
          </cell>
        </row>
        <row r="17558">
          <cell r="B17558">
            <v>80472</v>
          </cell>
          <cell r="C17558" t="str">
            <v>ABSOLUTE ALPHA GLOBAL MASTER FIM</v>
          </cell>
          <cell r="D17558" t="str">
            <v>ABSOLUTE ALPHA GLOBAL MASTER FIM</v>
          </cell>
          <cell r="E17558" t="str">
            <v>ABSOLUTE GESTAO DE INVESTIMENTOS LTDA</v>
          </cell>
        </row>
        <row r="17559">
          <cell r="B17559">
            <v>80472</v>
          </cell>
          <cell r="C17559" t="str">
            <v>ABSOLUTE ALPHA GLOBAL MASTER FIM</v>
          </cell>
          <cell r="D17559" t="str">
            <v>ABSOLUTE ALPHA GLOBAL MASTER FIM</v>
          </cell>
          <cell r="E17559" t="str">
            <v>ABSOLUTE GESTAO DE INVESTIMENTOS LTDA</v>
          </cell>
        </row>
        <row r="17560">
          <cell r="B17560">
            <v>80473</v>
          </cell>
          <cell r="C17560" t="str">
            <v>ABSOLUTE ICATU PREV MASTER FIM</v>
          </cell>
          <cell r="D17560" t="str">
            <v>ABSOLUTE ICATU PREV MASTER FIM</v>
          </cell>
          <cell r="E17560" t="str">
            <v>ABSOLUTE GESTAO DE INVESTIMENTOS LTDA</v>
          </cell>
        </row>
        <row r="17561">
          <cell r="B17561">
            <v>80473</v>
          </cell>
          <cell r="C17561" t="str">
            <v>ABSOLUTE ICATU PREV MASTER FIM</v>
          </cell>
          <cell r="D17561" t="str">
            <v>ABSOLUTE ICATU PREV MASTER FIM</v>
          </cell>
          <cell r="E17561" t="str">
            <v>ABSOLUTE GESTAO DE INVESTIMENTOS LTDA</v>
          </cell>
        </row>
        <row r="17562">
          <cell r="B17562">
            <v>80474</v>
          </cell>
          <cell r="C17562" t="str">
            <v>KADIMA LT FIM</v>
          </cell>
          <cell r="D17562" t="str">
            <v>KADIMA LT FIM</v>
          </cell>
          <cell r="E17562" t="str">
            <v>KADIMA LT FIM</v>
          </cell>
        </row>
        <row r="17563">
          <cell r="B17563">
            <v>80475</v>
          </cell>
          <cell r="C17563" t="str">
            <v>KADIMA LT FIM</v>
          </cell>
          <cell r="D17563" t="str">
            <v>KADIMA LT FIM</v>
          </cell>
          <cell r="E17563" t="str">
            <v>KADIMA GESTAO DE INVESTIMENTOS LTDA</v>
          </cell>
        </row>
        <row r="17564">
          <cell r="B17564">
            <v>80474</v>
          </cell>
          <cell r="C17564" t="str">
            <v>KADIMA LT FIM</v>
          </cell>
          <cell r="D17564" t="str">
            <v>KADIMA LT FIM</v>
          </cell>
          <cell r="E17564" t="str">
            <v>KADIMA LT FIM</v>
          </cell>
        </row>
        <row r="17565">
          <cell r="B17565">
            <v>80479</v>
          </cell>
          <cell r="C17565" t="str">
            <v>ICATU SEG FRANKLIN TEMPLETON PREVIDENCIA FIM</v>
          </cell>
          <cell r="D17565" t="str">
            <v>ICATU SEG FRANKLIN TEMPLETON PREVIDENCIA FIM</v>
          </cell>
          <cell r="E17565" t="str">
            <v>FRANKLIN TEMPLETON INVESTIMENTOS (BRASIL) LTDA</v>
          </cell>
        </row>
        <row r="17566">
          <cell r="B17566">
            <v>80479</v>
          </cell>
          <cell r="C17566" t="str">
            <v>ICATU SEG FRANKLIN TEMPLETON PREVIDENCIA FIM</v>
          </cell>
          <cell r="D17566" t="str">
            <v>ICATU SEG FRANKLIN TEMPLETON PREVIDENCIA FIM</v>
          </cell>
          <cell r="E17566" t="str">
            <v>FRANKLIN TEMPLETON INVESTIMENTOS (BRASIL) LTDA</v>
          </cell>
        </row>
        <row r="17567">
          <cell r="B17567">
            <v>124948</v>
          </cell>
          <cell r="C17567" t="str">
            <v>BB GESTAO DE RECURSOS DTVM LTDA</v>
          </cell>
          <cell r="D17567" t="str">
            <v>BB GESTAO DE RECURSOS DTVM LTDA</v>
          </cell>
          <cell r="E17567" t="str">
            <v>BB GESTAO DE RECURSOS DTVM LTDA</v>
          </cell>
        </row>
        <row r="17568">
          <cell r="B17568">
            <v>80484</v>
          </cell>
          <cell r="C17568" t="str">
            <v>BNP PARIBAS SKY FIM</v>
          </cell>
          <cell r="D17568" t="str">
            <v>BNP PARIBAS SKY FIM</v>
          </cell>
          <cell r="E17568" t="str">
            <v>BNP PARIBAS ASSET MANAGEMENT BRASIL LTDA</v>
          </cell>
        </row>
        <row r="17569">
          <cell r="B17569">
            <v>80484</v>
          </cell>
          <cell r="C17569" t="str">
            <v>BNP PARIBAS SKY FIM</v>
          </cell>
          <cell r="D17569" t="str">
            <v>BNP PARIBAS SKY FIM</v>
          </cell>
          <cell r="E17569" t="str">
            <v>BNP PARIBAS ASSET MANAGEMENT BRASIL LTDA</v>
          </cell>
        </row>
        <row r="17570">
          <cell r="B17570">
            <v>80485</v>
          </cell>
          <cell r="C17570" t="str">
            <v>BNP PARIBAS YIELD CLASSIQUE FI MULTIMERCADO LONGO PRAZO</v>
          </cell>
          <cell r="D17570" t="str">
            <v>BNP PARIBAS YIELD CLASSIQUE FI MULTIMERCADO LONGO PRAZO</v>
          </cell>
          <cell r="E17570" t="str">
            <v>BNP PARIBAS ASSET MANAGEMENT BRASIL LTDA</v>
          </cell>
        </row>
        <row r="17571">
          <cell r="B17571">
            <v>80485</v>
          </cell>
          <cell r="C17571" t="str">
            <v>BNP PARIBAS YIELD CLASSIQUE FI MULTIMERCADO LONGO PRAZO</v>
          </cell>
          <cell r="D17571" t="str">
            <v>BNP PARIBAS YIELD CLASSIQUE FI MULTIMERCADO LONGO PRAZO</v>
          </cell>
          <cell r="E17571" t="str">
            <v>BNP PARIBAS ASSET MANAGEMENT BRASIL LTDA</v>
          </cell>
        </row>
        <row r="17572">
          <cell r="B17572">
            <v>80486</v>
          </cell>
          <cell r="C17572" t="str">
            <v>BNP PARIBAS LONG AND SHORT FIM</v>
          </cell>
          <cell r="D17572" t="str">
            <v>BNP PARIBAS LONG AND SHORT FIM</v>
          </cell>
          <cell r="E17572" t="str">
            <v>BNP PARIBAS ASSET MANAGEMENT BRASIL LTDA</v>
          </cell>
        </row>
        <row r="17573">
          <cell r="B17573">
            <v>80486</v>
          </cell>
          <cell r="C17573" t="str">
            <v>BNP PARIBAS LONG AND SHORT FIM</v>
          </cell>
          <cell r="D17573" t="str">
            <v>BNP PARIBAS LONG AND SHORT FIM</v>
          </cell>
          <cell r="E17573" t="str">
            <v>BNP PARIBAS ASSET MANAGEMENT BRASIL LTDA</v>
          </cell>
        </row>
        <row r="17574">
          <cell r="B17574">
            <v>95013</v>
          </cell>
          <cell r="C17574" t="str">
            <v>BNP PARIBAS COMPLEX FIM</v>
          </cell>
          <cell r="D17574" t="str">
            <v>BNP PARIBAS COMPLEX FIM</v>
          </cell>
          <cell r="E17574" t="str">
            <v>BNP PARIBAS ASSET MANAGEMENT BRASIL LTDA</v>
          </cell>
        </row>
        <row r="17575">
          <cell r="B17575">
            <v>95013</v>
          </cell>
          <cell r="C17575" t="str">
            <v>BNP PARIBAS COMPLEX FIM</v>
          </cell>
          <cell r="D17575">
            <v>96</v>
          </cell>
          <cell r="E17575" t="str">
            <v>BNP PARIBAS ASSET MANAGEMENT BRASIL LTDA</v>
          </cell>
        </row>
        <row r="17576">
          <cell r="B17576">
            <v>82922</v>
          </cell>
          <cell r="C17576" t="str">
            <v>BNP PARIBAS FINANCIAL MARKETS</v>
          </cell>
          <cell r="D17576" t="str">
            <v>BNP PARIBAS FINANCIAL MARKETS</v>
          </cell>
          <cell r="E17576" t="str">
            <v>BNP PARIBAS ASSET MANAGEMENT BRASIL LTDA</v>
          </cell>
        </row>
        <row r="17577">
          <cell r="B17577">
            <v>82923</v>
          </cell>
          <cell r="C17577" t="str">
            <v>BNP PARIBAS FINANCIAL MARKETS</v>
          </cell>
          <cell r="D17577" t="str">
            <v>BNP PARIBAS FINANCIAL MARKETS</v>
          </cell>
          <cell r="E17577" t="str">
            <v>BNP PARIBAS ASSET MANAGEMENT BRASIL LTDA</v>
          </cell>
        </row>
        <row r="17578">
          <cell r="B17578">
            <v>80487</v>
          </cell>
          <cell r="C17578" t="str">
            <v>ITAÃš FLEXPREV VISION PLUS BRAVO MULTIMERCADO FUNDO DE INVEST</v>
          </cell>
          <cell r="D17578" t="str">
            <v>ITAÃš FLEXPREV VISION PLUS BRAVO MULTIMERCADO FUNDO DE INVEST</v>
          </cell>
          <cell r="E17578" t="str">
            <v>ITAÃš FLEXPREV VISION PLUS BRAVO MULTIMERCADO FUNDO DE INVEST</v>
          </cell>
        </row>
        <row r="17579">
          <cell r="B17579">
            <v>80487</v>
          </cell>
          <cell r="C17579" t="str">
            <v>ITAÃš FLEXPREV VISION PLUS BRAVO MULTIMERCADO FUNDO DE INVEST</v>
          </cell>
          <cell r="D17579" t="str">
            <v>ITAÃš FLEXPREV VISION PLUS BRAVO MULTIMERCADO FUNDO DE INVEST</v>
          </cell>
          <cell r="E17579" t="str">
            <v>ITAÃš FLEXPREV VISION PLUS BRAVO MULTIMERCADO FUNDO DE INVEST</v>
          </cell>
        </row>
        <row r="17580">
          <cell r="B17580">
            <v>12318</v>
          </cell>
          <cell r="C17580" t="str">
            <v>SAO PAULO GESTORA DE RECURSOS LTDA</v>
          </cell>
          <cell r="D17580" t="str">
            <v>SAO PAULO GESTORA DE RECURSOS LTDA</v>
          </cell>
          <cell r="E17580" t="str">
            <v>SAO PAULO GESTORA DE RECURSOS LTDA</v>
          </cell>
        </row>
        <row r="17581">
          <cell r="B17581">
            <v>124949</v>
          </cell>
          <cell r="C17581" t="str">
            <v>SANTANDER CACEIS BRASIL DTVM S.A.</v>
          </cell>
          <cell r="D17581" t="str">
            <v>SANTANDER CACEIS BRASIL DTVM S.A.</v>
          </cell>
          <cell r="E17581" t="str">
            <v>SANTANDER BRASIL GESTAO DE RECURSOS LTDA</v>
          </cell>
        </row>
        <row r="17582">
          <cell r="B17582">
            <v>124950</v>
          </cell>
          <cell r="C17582" t="str">
            <v>SANTANDER CACEIS BRASIL DTVM S.A.</v>
          </cell>
          <cell r="D17582" t="str">
            <v>SANTANDER CACEIS BRASIL DTVM S.A.</v>
          </cell>
          <cell r="E17582" t="str">
            <v>SANTANDER BRASIL GESTAO DE RECURSOS LTDA</v>
          </cell>
        </row>
        <row r="17583">
          <cell r="B17583">
            <v>80488</v>
          </cell>
          <cell r="C17583" t="str">
            <v>ASTRO SMART FIA</v>
          </cell>
          <cell r="D17583" t="str">
            <v>ASTRO SMART FIA</v>
          </cell>
          <cell r="E17583" t="str">
            <v>ASTRO SMART FIA</v>
          </cell>
        </row>
        <row r="17584">
          <cell r="B17584">
            <v>80488</v>
          </cell>
          <cell r="D17584">
            <v>80488</v>
          </cell>
        </row>
        <row r="17585">
          <cell r="B17585">
            <v>80489</v>
          </cell>
          <cell r="C17585" t="str">
            <v>BM LIQUIDEZ FUNDO DE INVESTIMENTO MULTIMERCADO</v>
          </cell>
          <cell r="D17585" t="str">
            <v>BM LIQUIDEZ FUNDO DE INVESTIMENTO MULTIMERCADO</v>
          </cell>
          <cell r="E17585" t="str">
            <v>BM LIQUIDEZ FUNDO DE INVESTIMENTO MULTIMERCADO</v>
          </cell>
        </row>
        <row r="17586">
          <cell r="B17586">
            <v>80489</v>
          </cell>
          <cell r="C17586" t="str">
            <v>BM LIQUIDEZ FUNDO DE INVESTIMENTO MULTIMERCADO</v>
          </cell>
          <cell r="D17586" t="str">
            <v>BM LIQUIDEZ FUNDO DE INVESTIMENTO MULTIMERCADO</v>
          </cell>
          <cell r="E17586" t="str">
            <v>BM LIQUIDEZ FUNDO DE INVESTIMENTO MULTIMERCADO</v>
          </cell>
        </row>
        <row r="17587">
          <cell r="B17587">
            <v>80490</v>
          </cell>
          <cell r="C17587" t="str">
            <v>MAUA INVESTIMENTOS LTDA</v>
          </cell>
          <cell r="D17587" t="str">
            <v>MAUA INVESTIMENTOS LTDA</v>
          </cell>
          <cell r="E17587" t="str">
            <v>MAUA INVESTIMENTOS LTDA</v>
          </cell>
        </row>
        <row r="17588">
          <cell r="B17588">
            <v>80490</v>
          </cell>
          <cell r="C17588" t="str">
            <v>MAUA INVESTIMENTOS LTDA</v>
          </cell>
          <cell r="D17588" t="str">
            <v>MAUA INVESTIMENTOS LTDA</v>
          </cell>
          <cell r="E17588" t="str">
            <v>MAUA INVESTIMENTOS LTDA</v>
          </cell>
        </row>
        <row r="17589">
          <cell r="B17589">
            <v>124951</v>
          </cell>
          <cell r="C17589" t="str">
            <v>SANTANDER CACEIS BRASIL DTVM S.A.</v>
          </cell>
          <cell r="D17589" t="str">
            <v>SANTANDER CACEIS BRASIL DTVM S.A.</v>
          </cell>
          <cell r="E17589" t="str">
            <v>SANTANDER BRASIL GESTAO DE RECURSOS LTDA</v>
          </cell>
        </row>
        <row r="17590">
          <cell r="B17590">
            <v>124951</v>
          </cell>
          <cell r="C17590" t="str">
            <v>SANTANDER CACEIS BRASIL DTVM S.A.</v>
          </cell>
          <cell r="D17590" t="str">
            <v>SANTANDER CACEIS BRASIL DTVM S.A.</v>
          </cell>
          <cell r="E17590" t="str">
            <v>SANTANDER BRASIL GESTAO DE RECURSOS LTDA</v>
          </cell>
        </row>
        <row r="17591">
          <cell r="B17591">
            <v>80491</v>
          </cell>
          <cell r="C17591" t="str">
            <v>GARDE ATHOS MASTER FIM</v>
          </cell>
          <cell r="D17591" t="str">
            <v>GARDE ATHOS MASTER FIM</v>
          </cell>
          <cell r="E17591" t="str">
            <v>GARDE ASSET MANAGEMENT GESTAO DE RECURSOS LTDA</v>
          </cell>
        </row>
        <row r="17592">
          <cell r="B17592">
            <v>80491</v>
          </cell>
          <cell r="C17592" t="str">
            <v>GARDE ATHOS MASTER FIM</v>
          </cell>
          <cell r="D17592" t="str">
            <v>GARDE ATHOS MASTER FIM</v>
          </cell>
          <cell r="E17592" t="str">
            <v>GARDE ASSET MANAGEMENT GESTAO DE RECURSOS LTDA</v>
          </cell>
        </row>
        <row r="17593">
          <cell r="B17593">
            <v>124952</v>
          </cell>
          <cell r="C17593" t="str">
            <v>BB GESTAO DE RECURSOS DTVM LTDA</v>
          </cell>
          <cell r="D17593" t="str">
            <v>BB GESTAO DE RECURSOS DTVM LTDA</v>
          </cell>
          <cell r="E17593" t="str">
            <v>BB GESTAO DE RECURSOS DTVM LTDA</v>
          </cell>
        </row>
        <row r="17594">
          <cell r="B17594">
            <v>124952</v>
          </cell>
          <cell r="C17594" t="str">
            <v>BB GESTAO DE RECURSOS DTVM LTDA</v>
          </cell>
          <cell r="D17594" t="str">
            <v>BB GESTAO DE RECURSOS DTVM LTDA</v>
          </cell>
          <cell r="E17594" t="str">
            <v>BB GESTAO DE RECURSOS DTVM LTDA</v>
          </cell>
        </row>
        <row r="17595">
          <cell r="B17595">
            <v>80493</v>
          </cell>
          <cell r="C17595" t="str">
            <v>BANCO COOPERATIVO SICOOB S.A - BANCO SICOOB</v>
          </cell>
          <cell r="D17595" t="str">
            <v>BANCO COOPERATIVO SICOOB S.A - BANCO SICOOB</v>
          </cell>
          <cell r="E17595" t="str">
            <v>BANCO COOPERATIVO SICOOB S/A</v>
          </cell>
        </row>
        <row r="17596">
          <cell r="B17596">
            <v>124953</v>
          </cell>
          <cell r="C17596" t="str">
            <v>BB GESTAO DE RECURSOS DTVM LTDA</v>
          </cell>
          <cell r="D17596" t="str">
            <v>BB GESTAO DE RECURSOS DTVM LTDA</v>
          </cell>
          <cell r="E17596" t="str">
            <v>BB GESTAO DE RECURSOS DTVM LTDA</v>
          </cell>
        </row>
        <row r="17597">
          <cell r="B17597">
            <v>124953</v>
          </cell>
          <cell r="C17597" t="str">
            <v>BB GESTAO DE RECURSOS DTVM LTDA</v>
          </cell>
          <cell r="D17597" t="str">
            <v>BB GESTAO DE RECURSOS DTVM LTDA</v>
          </cell>
          <cell r="E17597" t="str">
            <v>BB GESTAO DE RECURSOS DTVM LTDA</v>
          </cell>
        </row>
        <row r="17598">
          <cell r="B17598">
            <v>124792</v>
          </cell>
          <cell r="C17598" t="str">
            <v>ATLANTICO SUL FIM CP IE</v>
          </cell>
          <cell r="D17598" t="str">
            <v>ATLANTICO SUL FIM CP IE</v>
          </cell>
          <cell r="E17598" t="str">
            <v>JULIUS BAER FAMILY OFFICE BRASIL GESTAO DE PATRIMONIO LTDA</v>
          </cell>
        </row>
        <row r="17599">
          <cell r="B17599">
            <v>124792</v>
          </cell>
          <cell r="C17599" t="str">
            <v>ATLANTICO SUL FIM CP IE</v>
          </cell>
          <cell r="D17599" t="str">
            <v>ATLANTICO SUL FIM CP IE</v>
          </cell>
          <cell r="E17599" t="str">
            <v>JULIUS BAER FAMILY OFFICE BRASIL GESTAO DE PATRIMONIO LTDA</v>
          </cell>
        </row>
        <row r="17600">
          <cell r="B17600">
            <v>124793</v>
          </cell>
          <cell r="C17600" t="str">
            <v>AVLFM FIM CP IE</v>
          </cell>
          <cell r="D17600" t="str">
            <v>AVLFM FIM CP IE</v>
          </cell>
          <cell r="E17600" t="str">
            <v>JULIUS BAER FAMILY OFFICE BRASIL GESTAO DE PATRIMONIO LTDA</v>
          </cell>
        </row>
        <row r="17601">
          <cell r="B17601">
            <v>124793</v>
          </cell>
          <cell r="C17601" t="str">
            <v>AVLFM FIM CP IE</v>
          </cell>
          <cell r="D17601" t="str">
            <v>AVLFM FIM CP IE</v>
          </cell>
          <cell r="E17601" t="str">
            <v>JULIUS BAER FAMILY OFFICE BRASIL GESTAO DE PATRIMONIO LTDA</v>
          </cell>
        </row>
        <row r="17602">
          <cell r="B17602">
            <v>124794</v>
          </cell>
          <cell r="C17602" t="str">
            <v>BENVENTURA FIM CRED PRIV</v>
          </cell>
          <cell r="D17602" t="str">
            <v>BENVENTURA FIM CRED PRIV</v>
          </cell>
          <cell r="E17602" t="str">
            <v>BENVENTURA FIM CRED PRIV</v>
          </cell>
        </row>
        <row r="17603">
          <cell r="B17603">
            <v>124794</v>
          </cell>
          <cell r="C17603" t="str">
            <v>BENVENTURA FIM CRED PRIV</v>
          </cell>
          <cell r="D17603" t="str">
            <v>BENVENTURA FIM CRED PRIV</v>
          </cell>
          <cell r="E17603" t="str">
            <v>BENVENTURA FIM CRED PRIV</v>
          </cell>
        </row>
        <row r="17604">
          <cell r="B17604">
            <v>124795</v>
          </cell>
          <cell r="C17604" t="str">
            <v>BETA STAR FIM CP IE</v>
          </cell>
          <cell r="D17604" t="str">
            <v>BETA STAR FIM CP IE</v>
          </cell>
          <cell r="E17604" t="str">
            <v>BETA STAR FIM CP IE</v>
          </cell>
        </row>
        <row r="17605">
          <cell r="B17605">
            <v>124795</v>
          </cell>
          <cell r="C17605" t="str">
            <v>BETA STAR FIM CP IE</v>
          </cell>
          <cell r="D17605" t="str">
            <v>BETA STAR FIM CP IE</v>
          </cell>
          <cell r="E17605" t="str">
            <v>BETA STAR FIM CP IE</v>
          </cell>
        </row>
        <row r="17606">
          <cell r="B17606">
            <v>124796</v>
          </cell>
          <cell r="C17606" t="str">
            <v>BODRUM FIM CP IE</v>
          </cell>
          <cell r="D17606" t="str">
            <v>BODRUM FIM CP IE</v>
          </cell>
          <cell r="E17606" t="str">
            <v>BODRUM FIM CP IE</v>
          </cell>
        </row>
        <row r="17607">
          <cell r="B17607">
            <v>124796</v>
          </cell>
          <cell r="C17607" t="str">
            <v>BODRUM FIM CP IE</v>
          </cell>
          <cell r="D17607" t="str">
            <v>BODRUM FIM CP IE</v>
          </cell>
          <cell r="E17607" t="str">
            <v>BODRUM FIM CP IE</v>
          </cell>
        </row>
        <row r="17608">
          <cell r="B17608">
            <v>124958</v>
          </cell>
          <cell r="C17608" t="str">
            <v>YORK BEL FUNDO DE INVESTIMENTO MULTIMERCADO CP</v>
          </cell>
          <cell r="D17608" t="str">
            <v>YORK BEL FUNDO DE INVESTIMENTO MULTIMERCADO CP</v>
          </cell>
          <cell r="E17608" t="str">
            <v>JULIUS BAER FAMILY OFFICE BRASIL GESTAO DE PATRIMONIO LTDA</v>
          </cell>
        </row>
        <row r="17609">
          <cell r="B17609">
            <v>124958</v>
          </cell>
          <cell r="C17609" t="str">
            <v>YORK BEL FUNDO DE INVESTIMENTO MULTIMERCADO CP</v>
          </cell>
          <cell r="D17609" t="str">
            <v>YORK BEL FUNDO DE INVESTIMENTO MULTIMERCADO CP</v>
          </cell>
          <cell r="E17609" t="str">
            <v>JULIUS BAER FAMILY OFFICE BRASIL GESTAO DE PATRIMONIO LTDA</v>
          </cell>
        </row>
        <row r="17610">
          <cell r="B17610">
            <v>124842</v>
          </cell>
          <cell r="C17610" t="str">
            <v>FEX FIM CRED PRIV IE</v>
          </cell>
          <cell r="D17610" t="str">
            <v>FEX FIM CRED PRIV IE</v>
          </cell>
          <cell r="E17610" t="str">
            <v>JULIUS BAER FAMILY OFFICE BRASIL GESTAO DE PATRIMONIO LTDA</v>
          </cell>
        </row>
        <row r="17611">
          <cell r="B17611">
            <v>124842</v>
          </cell>
          <cell r="C17611" t="str">
            <v>FEX FIM CRED PRIV IE</v>
          </cell>
          <cell r="D17611" t="str">
            <v>FEX FIM CRED PRIV IE</v>
          </cell>
          <cell r="E17611" t="str">
            <v>JULIUS BAER FAMILY OFFICE BRASIL GESTAO DE PATRIMONIO LTDA</v>
          </cell>
        </row>
        <row r="17612">
          <cell r="B17612">
            <v>124956</v>
          </cell>
          <cell r="C17612" t="str">
            <v>WINGI FIM CRED PRIV IE</v>
          </cell>
          <cell r="D17612" t="str">
            <v>WINGI FIM CRED PRIV IE</v>
          </cell>
          <cell r="E17612" t="str">
            <v>CFO ADMINISTRACAO DE RECURSOS LTDA</v>
          </cell>
        </row>
        <row r="17613">
          <cell r="B17613">
            <v>124956</v>
          </cell>
          <cell r="C17613" t="str">
            <v>WINGI FIM CRED PRIV IE</v>
          </cell>
          <cell r="D17613" t="str">
            <v>WINGI FIM CRED PRIV IE</v>
          </cell>
          <cell r="E17613" t="str">
            <v>CFO ADMINISTRACAO DE RECURSOS LTDA</v>
          </cell>
        </row>
        <row r="17614">
          <cell r="B17614">
            <v>124904</v>
          </cell>
          <cell r="C17614" t="str">
            <v>MONTE EVEREST FIM CP IE</v>
          </cell>
          <cell r="D17614" t="str">
            <v>MONTE EVEREST FIM CP IE</v>
          </cell>
          <cell r="E17614" t="str">
            <v>CFO ADMINISTRACAO DE RECURSOS LTDA</v>
          </cell>
        </row>
        <row r="17615">
          <cell r="B17615">
            <v>124904</v>
          </cell>
          <cell r="C17615" t="str">
            <v>MONTE EVEREST FIM CP IE</v>
          </cell>
          <cell r="D17615" t="str">
            <v>MONTE EVEREST FIM CP IE</v>
          </cell>
          <cell r="E17615" t="str">
            <v>CFO ADMINISTRACAO DE RECURSOS LTDA</v>
          </cell>
        </row>
        <row r="17616">
          <cell r="B17616">
            <v>124959</v>
          </cell>
          <cell r="C17616" t="str">
            <v>NK FIM CP IE</v>
          </cell>
          <cell r="D17616" t="str">
            <v>NK FIM CP IE</v>
          </cell>
          <cell r="E17616" t="str">
            <v>CFO ADMINISTRACAO DE RECURSOS LTDA</v>
          </cell>
        </row>
        <row r="17617">
          <cell r="B17617">
            <v>124959</v>
          </cell>
          <cell r="C17617" t="str">
            <v>NK FIM CP IE</v>
          </cell>
          <cell r="D17617" t="str">
            <v>NK FIM CP IE</v>
          </cell>
          <cell r="E17617" t="str">
            <v>CFO ADMINISTRACAO DE RECURSOS LTDA</v>
          </cell>
        </row>
        <row r="17618">
          <cell r="B17618">
            <v>124955</v>
          </cell>
          <cell r="C17618" t="str">
            <v>VIVERE FIM CRED PRIV</v>
          </cell>
          <cell r="D17618" t="str">
            <v>VIVERE FIM CRED PRIV</v>
          </cell>
          <cell r="E17618" t="str">
            <v>CFO ADMINISTRACAO DE RECURSOS LTDA</v>
          </cell>
        </row>
        <row r="17619">
          <cell r="B17619">
            <v>124955</v>
          </cell>
          <cell r="C17619" t="str">
            <v>VIVERE FIM CRED PRIV</v>
          </cell>
          <cell r="D17619" t="str">
            <v>VIVERE FIM CRED PRIV</v>
          </cell>
          <cell r="E17619" t="str">
            <v>CFO ADMINISTRACAO DE RECURSOS LTDA</v>
          </cell>
        </row>
        <row r="17620">
          <cell r="B17620">
            <v>124960</v>
          </cell>
          <cell r="C17620" t="str">
            <v>OBELISCO FIM CP</v>
          </cell>
          <cell r="D17620" t="str">
            <v>OBELISCO FIM CP</v>
          </cell>
          <cell r="E17620" t="str">
            <v>CFO ADMINISTRACAO DE RECURSOS LTDA</v>
          </cell>
        </row>
        <row r="17621">
          <cell r="B17621">
            <v>124960</v>
          </cell>
          <cell r="C17621" t="str">
            <v>OBELISCO FIM CP</v>
          </cell>
          <cell r="D17621" t="str">
            <v>OBELISCO FIM CP</v>
          </cell>
          <cell r="E17621" t="str">
            <v>CFO ADMINISTRACAO DE RECURSOS LTDA</v>
          </cell>
        </row>
        <row r="17622">
          <cell r="B17622">
            <v>124961</v>
          </cell>
          <cell r="C17622" t="str">
            <v>OLHETE FIM CP IE</v>
          </cell>
          <cell r="D17622" t="str">
            <v>OLHETE FIM CP IE</v>
          </cell>
          <cell r="E17622" t="str">
            <v>JULIUS BAER FAMILY OFFICE BRASIL GESTAO DE PATRIMONIO LTDA</v>
          </cell>
        </row>
        <row r="17623">
          <cell r="B17623">
            <v>124961</v>
          </cell>
          <cell r="C17623" t="str">
            <v>OLHETE FIM CP IE</v>
          </cell>
          <cell r="D17623" t="str">
            <v>OLHETE FIM CP IE</v>
          </cell>
          <cell r="E17623" t="str">
            <v>JULIUS BAER FAMILY OFFICE BRASIL GESTAO DE PATRIMONIO LTDA</v>
          </cell>
        </row>
        <row r="17624">
          <cell r="B17624">
            <v>124962</v>
          </cell>
          <cell r="C17624" t="str">
            <v>OLIMPICO FIM CP IE</v>
          </cell>
          <cell r="D17624" t="str">
            <v>OLIMPICO FIM CP IE</v>
          </cell>
          <cell r="E17624" t="str">
            <v>CFO ADMINISTRACAO DE RECURSOS LTDA</v>
          </cell>
        </row>
        <row r="17625">
          <cell r="B17625">
            <v>124962</v>
          </cell>
          <cell r="C17625" t="str">
            <v>OLIMPICO FIM CP IE</v>
          </cell>
          <cell r="D17625" t="str">
            <v>OLIMPICO FIM CP IE</v>
          </cell>
          <cell r="E17625" t="str">
            <v>CFO ADMINISTRACAO DE RECURSOS LTDA</v>
          </cell>
        </row>
        <row r="17626">
          <cell r="B17626">
            <v>124954</v>
          </cell>
          <cell r="C17626" t="str">
            <v>VISTA ALEGRE FIM CRED PRIV IE</v>
          </cell>
          <cell r="D17626" t="str">
            <v>VISTA ALEGRE FIM CRED PRIV IE</v>
          </cell>
          <cell r="E17626" t="str">
            <v>CFO ADMINISTRACAO DE RECURSOS LTDA</v>
          </cell>
        </row>
        <row r="17627">
          <cell r="B17627">
            <v>124954</v>
          </cell>
          <cell r="C17627" t="str">
            <v>VISTA ALEGRE FIM CRED PRIV IE</v>
          </cell>
          <cell r="D17627" t="str">
            <v>VISTA ALEGRE FIM CRED PRIV IE</v>
          </cell>
          <cell r="E17627" t="str">
            <v>CFO ADMINISTRACAO DE RECURSOS LTDA</v>
          </cell>
        </row>
        <row r="17628">
          <cell r="B17628">
            <v>124963</v>
          </cell>
          <cell r="C17628" t="str">
            <v>OLYMPIC DAM FIM CP IE</v>
          </cell>
          <cell r="D17628" t="str">
            <v>OLYMPIC DAM FIM CP IE</v>
          </cell>
          <cell r="E17628" t="str">
            <v>JULIUS BAER FAMILY OFFICE BRASIL GESTAO DE PATRIMONIO LTDA</v>
          </cell>
        </row>
        <row r="17629">
          <cell r="B17629">
            <v>124963</v>
          </cell>
          <cell r="C17629" t="str">
            <v>OLYMPIC DAM FIM CP IE</v>
          </cell>
          <cell r="D17629" t="str">
            <v>OLYMPIC DAM FIM CP IE</v>
          </cell>
          <cell r="E17629" t="str">
            <v>JULIUS BAER FAMILY OFFICE BRASIL GESTAO DE PATRIMONIO LTDA</v>
          </cell>
        </row>
        <row r="17630">
          <cell r="B17630">
            <v>124972</v>
          </cell>
          <cell r="C17630" t="str">
            <v>ORION FIM CP IE</v>
          </cell>
          <cell r="D17630" t="str">
            <v>ORION FIM CP IE</v>
          </cell>
          <cell r="E17630" t="str">
            <v>CFO ADMINISTRACAO DE RECURSOS LTDA</v>
          </cell>
        </row>
        <row r="17631">
          <cell r="B17631">
            <v>124972</v>
          </cell>
          <cell r="C17631" t="str">
            <v>ORION FIM CP IE</v>
          </cell>
          <cell r="D17631" t="str">
            <v>ORION FIM CP IE</v>
          </cell>
          <cell r="E17631" t="str">
            <v>CFO ADMINISTRACAO DE RECURSOS LTDA</v>
          </cell>
        </row>
        <row r="17632">
          <cell r="B17632">
            <v>124973</v>
          </cell>
          <cell r="C17632" t="str">
            <v>OURO VERDE FIM CP IE</v>
          </cell>
          <cell r="D17632" t="str">
            <v>OURO VERDE FIM CP IE</v>
          </cell>
          <cell r="E17632" t="str">
            <v>JULIUS BAER FAMILY OFFICE BRASIL GESTAO DE PATRIMONIO LTDA</v>
          </cell>
        </row>
        <row r="17633">
          <cell r="B17633">
            <v>124973</v>
          </cell>
          <cell r="C17633" t="str">
            <v>OURO VERDE FIM CP IE</v>
          </cell>
          <cell r="D17633" t="str">
            <v>OURO VERDE FIM CP IE</v>
          </cell>
          <cell r="E17633" t="str">
            <v>JULIUS BAER FAMILY OFFICE BRASIL GESTAO DE PATRIMONIO LTDA</v>
          </cell>
        </row>
        <row r="17634">
          <cell r="B17634">
            <v>124970</v>
          </cell>
          <cell r="C17634" t="str">
            <v>VIRTUS FIM CRED PRIV IE</v>
          </cell>
          <cell r="D17634" t="str">
            <v>VIRTUS FIM CRED PRIV IE</v>
          </cell>
          <cell r="E17634" t="str">
            <v>JULIUS BAER FAMILY OFFICE BRASIL GESTAO DE PATRIMONIO LTDA</v>
          </cell>
        </row>
        <row r="17635">
          <cell r="B17635">
            <v>124970</v>
          </cell>
          <cell r="C17635" t="str">
            <v>VIRTUS FIM CRED PRIV IE</v>
          </cell>
          <cell r="D17635" t="str">
            <v>VIRTUS FIM CRED PRIV IE</v>
          </cell>
          <cell r="E17635" t="str">
            <v>JULIUS BAER FAMILY OFFICE BRASIL GESTAO DE PATRIMONIO LTDA</v>
          </cell>
        </row>
        <row r="17636">
          <cell r="B17636">
            <v>124974</v>
          </cell>
          <cell r="C17636" t="str">
            <v>PAD501 FIM CP IE</v>
          </cell>
          <cell r="D17636" t="str">
            <v>PAD501 FIM CP IE</v>
          </cell>
          <cell r="E17636" t="str">
            <v>CFO ADMINISTRACAO DE RECURSOS LTDA</v>
          </cell>
        </row>
        <row r="17637">
          <cell r="B17637">
            <v>124974</v>
          </cell>
          <cell r="C17637" t="str">
            <v>PAD501 FIM CP IE</v>
          </cell>
          <cell r="D17637" t="str">
            <v>PAD501 FIM CP IE</v>
          </cell>
          <cell r="E17637" t="str">
            <v>CFO ADMINISTRACAO DE RECURSOS LTDA</v>
          </cell>
        </row>
        <row r="17638">
          <cell r="B17638">
            <v>124975</v>
          </cell>
          <cell r="C17638" t="str">
            <v>PAD530 FIM CP IE</v>
          </cell>
          <cell r="D17638" t="str">
            <v>PAD530 FIM CP IE</v>
          </cell>
          <cell r="E17638" t="str">
            <v>CFO ADMINISTRACAO DE RECURSOS LTDA</v>
          </cell>
        </row>
        <row r="17639">
          <cell r="B17639">
            <v>124975</v>
          </cell>
          <cell r="C17639" t="str">
            <v>PAD530 FIM CP IE</v>
          </cell>
          <cell r="D17639" t="str">
            <v>PAD530 FIM CP IE</v>
          </cell>
          <cell r="E17639" t="str">
            <v>CFO ADMINISTRACAO DE RECURSOS LTDA</v>
          </cell>
        </row>
        <row r="17640">
          <cell r="B17640">
            <v>124976</v>
          </cell>
          <cell r="C17640" t="str">
            <v>PAD588 FIM CP IE</v>
          </cell>
          <cell r="D17640" t="str">
            <v>PAD588 FIM CP IE</v>
          </cell>
          <cell r="E17640" t="str">
            <v>CFO ADMINISTRACAO DE RECURSOS LTDA</v>
          </cell>
        </row>
        <row r="17641">
          <cell r="B17641">
            <v>124976</v>
          </cell>
          <cell r="C17641" t="str">
            <v>PAD588 FIM CP IE</v>
          </cell>
          <cell r="D17641" t="str">
            <v>PAD588 FIM CP IE</v>
          </cell>
          <cell r="E17641" t="str">
            <v>CFO ADMINISTRACAO DE RECURSOS LTDA</v>
          </cell>
        </row>
        <row r="17642">
          <cell r="B17642">
            <v>124977</v>
          </cell>
          <cell r="C17642" t="str">
            <v>PASCOA II FIM CP IE</v>
          </cell>
          <cell r="D17642" t="str">
            <v>PASCOA II FIM CP IE</v>
          </cell>
          <cell r="E17642" t="str">
            <v>CFO ADMINISTRACAO DE RECURSOS LTDA</v>
          </cell>
        </row>
        <row r="17643">
          <cell r="B17643">
            <v>124977</v>
          </cell>
          <cell r="C17643" t="str">
            <v>PASCOA II FIM CP IE</v>
          </cell>
          <cell r="D17643" t="str">
            <v>PASCOA II FIM CP IE</v>
          </cell>
          <cell r="E17643" t="str">
            <v>CFO ADMINISTRACAO DE RECURSOS LTDA</v>
          </cell>
        </row>
        <row r="17644">
          <cell r="B17644">
            <v>124978</v>
          </cell>
          <cell r="C17644" t="str">
            <v>PASCOA FIM CP IE</v>
          </cell>
          <cell r="D17644" t="str">
            <v>PASCOA FIM CP IE</v>
          </cell>
          <cell r="E17644" t="str">
            <v>CFO ADMINISTRACAO DE RECURSOS LTDA</v>
          </cell>
        </row>
        <row r="17645">
          <cell r="B17645">
            <v>124978</v>
          </cell>
          <cell r="C17645" t="str">
            <v>PASCOA FIM CP IE</v>
          </cell>
          <cell r="D17645" t="str">
            <v>PASCOA FIM CP IE</v>
          </cell>
          <cell r="E17645" t="str">
            <v>CFO ADMINISTRACAO DE RECURSOS LTDA</v>
          </cell>
        </row>
        <row r="17646">
          <cell r="B17646">
            <v>124979</v>
          </cell>
          <cell r="C17646" t="str">
            <v>PBR DIM CP IE</v>
          </cell>
          <cell r="D17646" t="str">
            <v>PBR DIM CP IE</v>
          </cell>
          <cell r="E17646" t="str">
            <v>JULIUS BAER FAMILY OFFICE BRASIL GESTAO DE PATRIMONIO LTDA</v>
          </cell>
        </row>
        <row r="17647">
          <cell r="B17647">
            <v>124979</v>
          </cell>
          <cell r="C17647" t="str">
            <v>PBR DIM CP IE</v>
          </cell>
          <cell r="D17647" t="str">
            <v>PBR DIM CP IE</v>
          </cell>
          <cell r="E17647" t="str">
            <v>JULIUS BAER FAMILY OFFICE BRASIL GESTAO DE PATRIMONIO LTDA</v>
          </cell>
        </row>
        <row r="17648">
          <cell r="B17648">
            <v>124969</v>
          </cell>
          <cell r="C17648" t="str">
            <v>VIE FIM CRED PRIV IE</v>
          </cell>
          <cell r="D17648" t="str">
            <v>VIE FIM CRED PRIV IE</v>
          </cell>
          <cell r="E17648" t="str">
            <v>CFO ADMINISTRACAO DE RECURSOS LTDA</v>
          </cell>
        </row>
        <row r="17649">
          <cell r="B17649">
            <v>124969</v>
          </cell>
          <cell r="C17649" t="str">
            <v>VIE FIM CRED PRIV IE</v>
          </cell>
          <cell r="D17649" t="str">
            <v>VIE FIM CRED PRIV IE</v>
          </cell>
          <cell r="E17649" t="str">
            <v>CFO ADMINISTRACAO DE RECURSOS LTDA</v>
          </cell>
        </row>
        <row r="17650">
          <cell r="B17650">
            <v>124968</v>
          </cell>
          <cell r="C17650" t="str">
            <v>VICTORIA FALLS FIM CRED PRIV</v>
          </cell>
          <cell r="D17650" t="str">
            <v>VICTORIA FALLS FIM CRED PRIV</v>
          </cell>
          <cell r="E17650" t="str">
            <v>CFO ADMINISTRACAO DE RECURSOS LTDA</v>
          </cell>
        </row>
        <row r="17651">
          <cell r="B17651">
            <v>124968</v>
          </cell>
          <cell r="C17651" t="str">
            <v>VICTORIA FALLS FIM CRED PRIV</v>
          </cell>
          <cell r="D17651" t="str">
            <v>VICTORIA FALLS FIM CRED PRIV</v>
          </cell>
          <cell r="E17651" t="str">
            <v>CFO ADMINISTRACAO DE RECURSOS LTDA</v>
          </cell>
        </row>
        <row r="17652">
          <cell r="B17652">
            <v>124980</v>
          </cell>
          <cell r="C17652" t="str">
            <v>PEDRAS REDONDAS FIM CRÃ‰DITO PRIVADO IE</v>
          </cell>
          <cell r="D17652" t="str">
            <v>PEDRAS REDONDAS FIM CRÃ‰DITO PRIVADO IE</v>
          </cell>
          <cell r="E17652" t="str">
            <v>CFO ADMINISTRACAO DE RECURSOS LTDA</v>
          </cell>
        </row>
        <row r="17653">
          <cell r="B17653">
            <v>124980</v>
          </cell>
          <cell r="C17653" t="str">
            <v>PEDRAS REDONDAS FIM CRÃ‰DITO PRIVADO IE</v>
          </cell>
          <cell r="D17653" t="str">
            <v>PEDRAS REDONDAS FIM CRÃ‰DITO PRIVADO IE</v>
          </cell>
          <cell r="E17653" t="str">
            <v>CFO ADMINISTRACAO DE RECURSOS LTDA</v>
          </cell>
        </row>
        <row r="17654">
          <cell r="B17654">
            <v>124981</v>
          </cell>
          <cell r="C17654" t="str">
            <v>PEMALE FIM CP IE</v>
          </cell>
          <cell r="D17654" t="str">
            <v>PEMALE FIM CP IE</v>
          </cell>
          <cell r="E17654" t="str">
            <v>JULIUS BAER FAMILY OFFICE BRASIL GESTAO DE PATRIMONIO LTDA</v>
          </cell>
        </row>
        <row r="17655">
          <cell r="B17655">
            <v>124981</v>
          </cell>
          <cell r="C17655" t="str">
            <v>PEMALE FIM CP IE</v>
          </cell>
          <cell r="D17655" t="str">
            <v>PEMALE FIM CP IE</v>
          </cell>
          <cell r="E17655" t="str">
            <v>JULIUS BAER FAMILY OFFICE BRASIL GESTAO DE PATRIMONIO LTDA</v>
          </cell>
        </row>
        <row r="17656">
          <cell r="B17656">
            <v>124982</v>
          </cell>
          <cell r="C17656" t="str">
            <v>PENTAGNON FIM CP IE</v>
          </cell>
          <cell r="D17656" t="str">
            <v>PENTAGNON FIM CP IE</v>
          </cell>
          <cell r="E17656" t="str">
            <v>JULIUS BAER FAMILY OFFICE BRASIL GESTAO DE PATRIMONIO LTDA</v>
          </cell>
        </row>
        <row r="17657">
          <cell r="B17657">
            <v>124982</v>
          </cell>
          <cell r="C17657" t="str">
            <v>PENTAGNON FIM CP IE</v>
          </cell>
          <cell r="D17657" t="str">
            <v>PENTAGNON FIM CP IE</v>
          </cell>
          <cell r="E17657" t="str">
            <v>JULIUS BAER FAMILY OFFICE BRASIL GESTAO DE PATRIMONIO LTDA</v>
          </cell>
        </row>
        <row r="17658">
          <cell r="B17658">
            <v>124983</v>
          </cell>
          <cell r="C17658" t="str">
            <v>PLATON FI MULTIMERCADO CP INVESTIMENTO NO EXTERIOR</v>
          </cell>
          <cell r="D17658" t="str">
            <v>PLATON FI MULTIMERCADO CP INVESTIMENTO NO EXTERIOR</v>
          </cell>
          <cell r="E17658" t="str">
            <v>JULIUS BAER FAMILY OFFICE BRASIL GESTAO DE PATRIMONIO LTDA</v>
          </cell>
        </row>
        <row r="17659">
          <cell r="B17659">
            <v>124983</v>
          </cell>
          <cell r="C17659" t="str">
            <v>PLATON FI MULTIMERCADO CP INVESTIMENTO NO EXTERIOR</v>
          </cell>
          <cell r="D17659" t="str">
            <v>PLATON FI MULTIMERCADO CP INVESTIMENTO NO EXTERIOR</v>
          </cell>
          <cell r="E17659" t="str">
            <v>JULIUS BAER FAMILY OFFICE BRASIL GESTAO DE PATRIMONIO LTDA</v>
          </cell>
        </row>
        <row r="17660">
          <cell r="B17660">
            <v>124984</v>
          </cell>
          <cell r="C17660" t="str">
            <v>PMK FIM CP IE</v>
          </cell>
          <cell r="D17660" t="str">
            <v>PMK FIM CP IE</v>
          </cell>
          <cell r="E17660" t="str">
            <v>JULIUS BAER FAMILY OFFICE BRASIL GESTAO DE PATRIMONIO LTDA</v>
          </cell>
        </row>
        <row r="17661">
          <cell r="B17661">
            <v>124984</v>
          </cell>
          <cell r="C17661" t="str">
            <v>PMK FIM CP IE</v>
          </cell>
          <cell r="D17661" t="str">
            <v>PMK FIM CP IE</v>
          </cell>
          <cell r="E17661" t="str">
            <v>JULIUS BAER FAMILY OFFICE BRASIL GESTAO DE PATRIMONIO LTDA</v>
          </cell>
        </row>
        <row r="17662">
          <cell r="B17662">
            <v>124985</v>
          </cell>
          <cell r="C17662" t="str">
            <v>POEME FUNDO DE INVESTIMENTO MULTIMERCADO - CREDITO PRIVADO</v>
          </cell>
          <cell r="D17662" t="str">
            <v>POEME FUNDO DE INVESTIMENTO MULTIMERCADO - CREDITO PRIVADO</v>
          </cell>
          <cell r="E17662" t="str">
            <v>JULIUS BAER FAMILY OFFICE BRASIL GESTAO DE PATRIMONIO LTDA</v>
          </cell>
        </row>
        <row r="17663">
          <cell r="B17663">
            <v>124985</v>
          </cell>
          <cell r="C17663" t="str">
            <v>POEME FUNDO DE INVESTIMENTO MULTIMERCADO - CREDITO PRIVADO</v>
          </cell>
          <cell r="D17663" t="str">
            <v>POEME FUNDO DE INVESTIMENTO MULTIMERCADO - CREDITO PRIVADO</v>
          </cell>
          <cell r="E17663" t="str">
            <v>JULIUS BAER FAMILY OFFICE BRASIL GESTAO DE PATRIMONIO LTDA</v>
          </cell>
        </row>
        <row r="17664">
          <cell r="B17664">
            <v>124986</v>
          </cell>
          <cell r="C17664" t="str">
            <v>POMONA FUNDO DE INVESTIMENTO MULTIMERCADO - CREDITO PRIVADO</v>
          </cell>
          <cell r="D17664" t="str">
            <v>POMONA FUNDO DE INVESTIMENTO MULTIMERCADO - CREDITO PRIVADO</v>
          </cell>
          <cell r="E17664" t="str">
            <v>JULIUS BAER FAMILY OFFICE BRASIL GESTAO DE PATRIMONIO LTDA</v>
          </cell>
        </row>
        <row r="17665">
          <cell r="B17665">
            <v>124986</v>
          </cell>
          <cell r="C17665" t="str">
            <v>POMONA FUNDO DE INVESTIMENTO MULTIMERCADO - CREDITO PRIVADO</v>
          </cell>
          <cell r="D17665" t="str">
            <v>POMONA FUNDO DE INVESTIMENTO MULTIMERCADO - CREDITO PRIVADO</v>
          </cell>
          <cell r="E17665" t="str">
            <v>JULIUS BAER FAMILY OFFICE BRASIL GESTAO DE PATRIMONIO LTDA</v>
          </cell>
        </row>
        <row r="17666">
          <cell r="B17666">
            <v>124987</v>
          </cell>
          <cell r="C17666" t="str">
            <v>POPS FIM CP IE</v>
          </cell>
          <cell r="D17666" t="str">
            <v>POPS FIM CP IE</v>
          </cell>
          <cell r="E17666" t="str">
            <v>JULIUS BAER FAMILY OFFICE BRASIL GESTAO DE PATRIMONIO LTDA</v>
          </cell>
        </row>
        <row r="17667">
          <cell r="B17667">
            <v>124987</v>
          </cell>
          <cell r="C17667" t="str">
            <v>POPS FIM CP IE</v>
          </cell>
          <cell r="D17667" t="str">
            <v>POPS FIM CP IE</v>
          </cell>
          <cell r="E17667" t="str">
            <v>JULIUS BAER FAMILY OFFICE BRASIL GESTAO DE PATRIMONIO LTDA</v>
          </cell>
        </row>
        <row r="17668">
          <cell r="B17668">
            <v>124988</v>
          </cell>
          <cell r="C17668" t="str">
            <v>PORTIFOLIO 173 FIM CP IE</v>
          </cell>
          <cell r="D17668" t="str">
            <v>PORTIFOLIO 173 FIM CP IE</v>
          </cell>
          <cell r="E17668" t="str">
            <v>CFO ADMINISTRACAO DE RECURSOS LTDA</v>
          </cell>
        </row>
        <row r="17669">
          <cell r="B17669">
            <v>124988</v>
          </cell>
          <cell r="C17669" t="str">
            <v>PORTIFOLIO 173 FIM CP IE</v>
          </cell>
          <cell r="D17669" t="str">
            <v>PORTIFOLIO 173 FIM CP IE</v>
          </cell>
          <cell r="E17669" t="str">
            <v>CFO ADMINISTRACAO DE RECURSOS LTDA</v>
          </cell>
        </row>
        <row r="17670">
          <cell r="B17670">
            <v>124989</v>
          </cell>
          <cell r="C17670" t="str">
            <v>PREM FIM CP IE</v>
          </cell>
          <cell r="D17670" t="str">
            <v>PREM FIM CP IE</v>
          </cell>
          <cell r="E17670" t="str">
            <v>JULIUS BAER FAMILY OFFICE BRASIL GESTAO DE PATRIMONIO LTDA</v>
          </cell>
        </row>
        <row r="17671">
          <cell r="B17671">
            <v>124989</v>
          </cell>
          <cell r="C17671" t="str">
            <v>PREM FIM CP IE</v>
          </cell>
          <cell r="D17671" t="str">
            <v>PREM FIM CP IE</v>
          </cell>
          <cell r="E17671" t="str">
            <v>JULIUS BAER FAMILY OFFICE BRASIL GESTAO DE PATRIMONIO LTDA</v>
          </cell>
        </row>
        <row r="17672">
          <cell r="B17672">
            <v>124967</v>
          </cell>
          <cell r="C17672" t="str">
            <v>VIC PRO FIM CRED PRIV</v>
          </cell>
          <cell r="D17672" t="str">
            <v>VIC PRO FIM CRED PRIV</v>
          </cell>
          <cell r="E17672" t="str">
            <v>CFO ADMINISTRACAO DE RECURSOS LTDA</v>
          </cell>
        </row>
        <row r="17673">
          <cell r="B17673">
            <v>124967</v>
          </cell>
          <cell r="C17673" t="str">
            <v>VIC PRO FIM CRED PRIV</v>
          </cell>
          <cell r="D17673" t="str">
            <v>VIC PRO FIM CRED PRIV</v>
          </cell>
          <cell r="E17673" t="str">
            <v>CFO ADMINISTRACAO DE RECURSOS LTDA</v>
          </cell>
        </row>
        <row r="17674">
          <cell r="B17674">
            <v>124966</v>
          </cell>
          <cell r="C17674" t="str">
            <v>VIC JUROS PRE FUNDO DE INVESTIMENTO RENDA FIXA</v>
          </cell>
          <cell r="D17674" t="str">
            <v>VIC JUROS PRE FUNDO DE INVESTIMENTO RENDA FIXA</v>
          </cell>
          <cell r="E17674" t="str">
            <v>VIC JUROS PRE FUNDO DE INVESTIMENTO RENDA FIXA</v>
          </cell>
        </row>
        <row r="17675">
          <cell r="B17675">
            <v>124966</v>
          </cell>
          <cell r="C17675" t="str">
            <v>VIC JUROS PRE FUNDO DE INVESTIMENTO RENDA FIXA</v>
          </cell>
          <cell r="D17675" t="str">
            <v>VIC JUROS PRE FUNDO DE INVESTIMENTO RENDA FIXA</v>
          </cell>
          <cell r="E17675" t="str">
            <v>VIC JUROS PRE FUNDO DE INVESTIMENTO RENDA FIXA</v>
          </cell>
        </row>
        <row r="17676">
          <cell r="B17676">
            <v>124965</v>
          </cell>
          <cell r="C17676" t="str">
            <v>VERMONT FIM CRED PRIV IE</v>
          </cell>
          <cell r="D17676" t="str">
            <v>VERMONT FIM CRED PRIV IE</v>
          </cell>
          <cell r="E17676" t="str">
            <v>VERMONT FIM CRED PRIV IE</v>
          </cell>
        </row>
        <row r="17677">
          <cell r="B17677">
            <v>124990</v>
          </cell>
          <cell r="C17677" t="str">
            <v>PROPILEUS FIM CP IE</v>
          </cell>
          <cell r="D17677" t="str">
            <v>PROPILEUS FIM CP IE</v>
          </cell>
          <cell r="E17677" t="str">
            <v>PROPILEUS FIM CP IE</v>
          </cell>
        </row>
        <row r="17678">
          <cell r="B17678">
            <v>124965</v>
          </cell>
          <cell r="C17678" t="str">
            <v>VERMONT FIM CRED PRIV IE</v>
          </cell>
          <cell r="D17678" t="str">
            <v>VERMONT FIM CRED PRIV IE</v>
          </cell>
          <cell r="E17678" t="str">
            <v>VERMONT FIM CRED PRIV IE</v>
          </cell>
        </row>
        <row r="17679">
          <cell r="B17679">
            <v>124990</v>
          </cell>
          <cell r="C17679" t="str">
            <v>PROPILEUS FIM CP IE</v>
          </cell>
          <cell r="D17679" t="str">
            <v>PROPILEUS FIM CP IE</v>
          </cell>
          <cell r="E17679" t="str">
            <v>PROPILEUS FIM CP IE</v>
          </cell>
        </row>
        <row r="17680">
          <cell r="B17680">
            <v>124991</v>
          </cell>
          <cell r="C17680" t="str">
            <v>PROSPERIDADE FIM CP IE</v>
          </cell>
          <cell r="D17680" t="str">
            <v>PROSPERIDADE FIM CP IE</v>
          </cell>
          <cell r="E17680" t="str">
            <v>CFO ADMINISTRACAO DE RECURSOS LTDA</v>
          </cell>
        </row>
        <row r="17681">
          <cell r="B17681">
            <v>124991</v>
          </cell>
          <cell r="C17681" t="str">
            <v>PROSPERIDADE FIM CP IE</v>
          </cell>
          <cell r="D17681" t="str">
            <v>PROSPERIDADE FIM CP IE</v>
          </cell>
          <cell r="E17681" t="str">
            <v>CFO ADMINISTRACAO DE RECURSOS LTDA</v>
          </cell>
        </row>
        <row r="17682">
          <cell r="B17682">
            <v>124964</v>
          </cell>
          <cell r="C17682" t="str">
            <v>VERDEAR FIC FIM CRED PRIV</v>
          </cell>
          <cell r="D17682" t="str">
            <v>VERDEAR FIC FIM CRED PRIV</v>
          </cell>
          <cell r="E17682" t="str">
            <v>CFO ADMINISTRACAO DE RECURSOS LTDA</v>
          </cell>
        </row>
        <row r="17683">
          <cell r="B17683">
            <v>124964</v>
          </cell>
          <cell r="C17683" t="str">
            <v>VERDEAR FIC FIM CRED PRIV</v>
          </cell>
          <cell r="D17683" t="str">
            <v>VERDEAR FIC FIM CRED PRIV</v>
          </cell>
          <cell r="E17683" t="str">
            <v>CFO ADMINISTRACAO DE RECURSOS LTDA</v>
          </cell>
        </row>
        <row r="17684">
          <cell r="B17684">
            <v>124992</v>
          </cell>
          <cell r="C17684" t="str">
            <v>QOPPA FIM CP IE</v>
          </cell>
          <cell r="D17684" t="str">
            <v>QOPPA FIM CP IE</v>
          </cell>
          <cell r="E17684" t="str">
            <v>JULIUS BAER FAMILY OFFICE BRASIL GESTAO DE PATRIMONIO LTDA</v>
          </cell>
        </row>
        <row r="17685">
          <cell r="B17685">
            <v>124992</v>
          </cell>
          <cell r="C17685" t="str">
            <v>QOPPA FIM CP IE</v>
          </cell>
          <cell r="D17685" t="str">
            <v>QOPPA FIM CP IE</v>
          </cell>
          <cell r="E17685" t="str">
            <v>JULIUS BAER FAMILY OFFICE BRASIL GESTAO DE PATRIMONIO LTDA</v>
          </cell>
        </row>
        <row r="17686">
          <cell r="B17686">
            <v>124993</v>
          </cell>
          <cell r="C17686" t="str">
            <v>RASMUSSEN DA SILVA FIM CP IE</v>
          </cell>
          <cell r="D17686" t="str">
            <v>RASMUSSEN DA SILVA FIM CP IE</v>
          </cell>
          <cell r="E17686" t="str">
            <v>CFO ADMINISTRACAO DE RECURSOS LTDA</v>
          </cell>
        </row>
        <row r="17687">
          <cell r="B17687">
            <v>124993</v>
          </cell>
          <cell r="C17687" t="str">
            <v>RASMUSSEN DA SILVA FIM CP IE</v>
          </cell>
          <cell r="D17687" t="str">
            <v>RASMUSSEN DA SILVA FIM CP IE</v>
          </cell>
          <cell r="E17687" t="str">
            <v>CFO ADMINISTRACAO DE RECURSOS LTDA</v>
          </cell>
        </row>
        <row r="17688">
          <cell r="B17688">
            <v>124971</v>
          </cell>
          <cell r="C17688" t="str">
            <v>VALUTA FIM CRED PRIV</v>
          </cell>
          <cell r="D17688" t="str">
            <v>VALUTA FIM CRED PRIV</v>
          </cell>
          <cell r="E17688" t="str">
            <v>CFO ADMINISTRACAO DE RECURSOS LTDA</v>
          </cell>
        </row>
        <row r="17689">
          <cell r="B17689">
            <v>124971</v>
          </cell>
          <cell r="C17689" t="str">
            <v>VALUTA FIM CRED PRIV</v>
          </cell>
          <cell r="D17689" t="str">
            <v>VALUTA FIM CRED PRIV</v>
          </cell>
          <cell r="E17689" t="str">
            <v>CFO ADMINISTRACAO DE RECURSOS LTDA</v>
          </cell>
        </row>
        <row r="17690">
          <cell r="B17690">
            <v>122881</v>
          </cell>
          <cell r="C17690" t="str">
            <v>BANCO BTG PACTUAL S/A</v>
          </cell>
          <cell r="D17690" t="str">
            <v>BANCO BTG PACTUAL S/A</v>
          </cell>
          <cell r="E17690" t="str">
            <v>BANCO BTG PACTUAL S/A</v>
          </cell>
        </row>
        <row r="17691">
          <cell r="B17691">
            <v>125004</v>
          </cell>
          <cell r="C17691" t="str">
            <v>MODIGLIANI FIM CP IE</v>
          </cell>
          <cell r="D17691" t="str">
            <v>MODIGLIANI FIM CP IE</v>
          </cell>
          <cell r="E17691" t="str">
            <v>CFO ADMINISTRACAO DE RECURSOS LTDA</v>
          </cell>
        </row>
        <row r="17692">
          <cell r="B17692">
            <v>125004</v>
          </cell>
          <cell r="C17692" t="str">
            <v>MODIGLIANI FIM CP IE</v>
          </cell>
          <cell r="D17692" t="str">
            <v>MODIGLIANI FIM CP IE</v>
          </cell>
          <cell r="E17692" t="str">
            <v>CFO ADMINISTRACAO DE RECURSOS LTDA</v>
          </cell>
        </row>
        <row r="17693">
          <cell r="B17693">
            <v>125005</v>
          </cell>
          <cell r="C17693" t="str">
            <v>MK PLS FIM CP IE</v>
          </cell>
          <cell r="D17693" t="str">
            <v>MK PLS FIM CP IE</v>
          </cell>
          <cell r="E17693" t="str">
            <v>CFO ADMINISTRACAO DE RECURSOS LTDA</v>
          </cell>
        </row>
        <row r="17694">
          <cell r="B17694">
            <v>125005</v>
          </cell>
          <cell r="C17694" t="str">
            <v>MK PLS FIM CP IE</v>
          </cell>
          <cell r="D17694" t="str">
            <v>MK PLS FIM CP IE</v>
          </cell>
          <cell r="E17694" t="str">
            <v>CFO ADMINISTRACAO DE RECURSOS LTDA</v>
          </cell>
        </row>
        <row r="17695">
          <cell r="B17695">
            <v>124900</v>
          </cell>
          <cell r="C17695" t="str">
            <v>MGAC FIM CP IE</v>
          </cell>
          <cell r="D17695" t="str">
            <v>MGAC FIM CP IE</v>
          </cell>
          <cell r="E17695" t="str">
            <v>CFO ADMINISTRACAO DE RECURSOS LTDA</v>
          </cell>
        </row>
        <row r="17696">
          <cell r="B17696">
            <v>124900</v>
          </cell>
          <cell r="C17696" t="str">
            <v>MGAC FIM CP IE</v>
          </cell>
          <cell r="D17696" t="str">
            <v>MGAC FIM CP IE</v>
          </cell>
          <cell r="E17696" t="str">
            <v>CFO ADMINISTRACAO DE RECURSOS LTDA</v>
          </cell>
        </row>
        <row r="17697">
          <cell r="B17697">
            <v>124899</v>
          </cell>
          <cell r="C17697" t="str">
            <v>METRICA FIM CP IE</v>
          </cell>
          <cell r="D17697" t="str">
            <v>METRICA FIM CP IE</v>
          </cell>
          <cell r="E17697" t="str">
            <v>CFO ADMINISTRACAO DE RECURSOS LTDA</v>
          </cell>
        </row>
        <row r="17698">
          <cell r="B17698">
            <v>124899</v>
          </cell>
          <cell r="C17698" t="str">
            <v>METRICA FIM CP IE</v>
          </cell>
          <cell r="D17698" t="str">
            <v>METRICA FIM CP IE</v>
          </cell>
          <cell r="E17698" t="str">
            <v>CFO ADMINISTRACAO DE RECURSOS LTDA</v>
          </cell>
        </row>
        <row r="17699">
          <cell r="B17699">
            <v>125003</v>
          </cell>
          <cell r="C17699" t="str">
            <v>TUCUM FIM CRED PRIV IE</v>
          </cell>
          <cell r="D17699" t="str">
            <v>TUCUM FIM CRED PRIV IE</v>
          </cell>
          <cell r="E17699" t="str">
            <v>CFO ADMINISTRACAO DE RECURSOS LTDA</v>
          </cell>
        </row>
        <row r="17700">
          <cell r="B17700">
            <v>125003</v>
          </cell>
          <cell r="C17700" t="str">
            <v>TUCUM FIM CRED PRIV IE</v>
          </cell>
          <cell r="D17700" t="str">
            <v>TUCUM FIM CRED PRIV IE</v>
          </cell>
          <cell r="E17700" t="str">
            <v>CFO ADMINISTRACAO DE RECURSOS LTDA</v>
          </cell>
        </row>
        <row r="17701">
          <cell r="B17701">
            <v>125002</v>
          </cell>
          <cell r="C17701" t="str">
            <v>TRIGEMEOS FIM CRED PRIV IE</v>
          </cell>
          <cell r="D17701" t="str">
            <v>TRIGEMEOS FIM CRED PRIV IE</v>
          </cell>
          <cell r="E17701" t="str">
            <v>TRIGEMEOS FIM CRED PRIV IE</v>
          </cell>
        </row>
        <row r="17702">
          <cell r="B17702">
            <v>125002</v>
          </cell>
          <cell r="C17702" t="str">
            <v>TRIGEMEOS FIM CRED PRIV IE</v>
          </cell>
          <cell r="D17702" t="str">
            <v>TRIGEMEOS FIM CRED PRIV IE</v>
          </cell>
          <cell r="E17702" t="str">
            <v>TRIGEMEOS FIM CRED PRIV IE</v>
          </cell>
        </row>
        <row r="17703">
          <cell r="B17703">
            <v>125001</v>
          </cell>
          <cell r="C17703" t="str">
            <v>TRANCA 7 FIC FIM CRED PRIV IE</v>
          </cell>
          <cell r="D17703" t="str">
            <v>TRANCA 7 FIC FIM CRED PRIV IE</v>
          </cell>
          <cell r="E17703" t="str">
            <v>TRANCA 7 FIC FIM CRED PRIV IE</v>
          </cell>
        </row>
        <row r="17704">
          <cell r="B17704">
            <v>125001</v>
          </cell>
          <cell r="C17704" t="str">
            <v>TRANCA 7 FIC FIM CRED PRIV IE</v>
          </cell>
          <cell r="D17704" t="str">
            <v>TRANCA 7 FIC FIM CRED PRIV IE</v>
          </cell>
          <cell r="E17704" t="str">
            <v>TRANCA 7 FIC FIM CRED PRIV IE</v>
          </cell>
        </row>
        <row r="17705">
          <cell r="B17705">
            <v>124999</v>
          </cell>
          <cell r="C17705" t="str">
            <v>TIJUCO FIM CRED PRIV IE</v>
          </cell>
          <cell r="D17705" t="str">
            <v>TIJUCO FIM CRED PRIV IE</v>
          </cell>
          <cell r="E17705" t="str">
            <v>JULIUS BAER FAMILY OFFICE BRASIL GESTAO DE PATRIMONIO LTDA</v>
          </cell>
        </row>
        <row r="17706">
          <cell r="B17706">
            <v>124999</v>
          </cell>
          <cell r="C17706" t="str">
            <v>TIJUCO FIM CRED PRIV IE</v>
          </cell>
          <cell r="D17706" t="str">
            <v>TIJUCO FIM CRED PRIV IE</v>
          </cell>
          <cell r="E17706" t="str">
            <v>JULIUS BAER FAMILY OFFICE BRASIL GESTAO DE PATRIMONIO LTDA</v>
          </cell>
        </row>
        <row r="17707">
          <cell r="B17707">
            <v>124998</v>
          </cell>
          <cell r="C17707" t="str">
            <v>TESSA FIM CRED PRIV IE</v>
          </cell>
          <cell r="D17707" t="str">
            <v>TESSA FIM CRED PRIV IE</v>
          </cell>
          <cell r="E17707" t="str">
            <v>JULIUS BAER FAMILY OFFICE BRASIL GESTAO DE PATRIMONIO LTDA</v>
          </cell>
        </row>
        <row r="17708">
          <cell r="B17708">
            <v>124998</v>
          </cell>
          <cell r="C17708" t="str">
            <v>TESSA FIM CRED PRIV IE</v>
          </cell>
          <cell r="D17708" t="str">
            <v>TESSA FIM CRED PRIV IE</v>
          </cell>
          <cell r="E17708" t="str">
            <v>JULIUS BAER FAMILY OFFICE BRASIL GESTAO DE PATRIMONIO LTDA</v>
          </cell>
        </row>
        <row r="17709">
          <cell r="B17709">
            <v>124997</v>
          </cell>
          <cell r="C17709" t="str">
            <v>TERRAVISTA FIM CRED PRIV</v>
          </cell>
          <cell r="D17709" t="str">
            <v>TERRAVISTA FIM CRED PRIV</v>
          </cell>
          <cell r="E17709" t="str">
            <v>JULIUS BAER FAMILY OFFICE BRASIL GESTAO DE PATRIMONIO LTDA</v>
          </cell>
        </row>
        <row r="17710">
          <cell r="B17710">
            <v>124997</v>
          </cell>
          <cell r="C17710" t="str">
            <v>TERRAVISTA FIM CRED PRIV</v>
          </cell>
          <cell r="D17710" t="str">
            <v>TERRAVISTA FIM CRED PRIV</v>
          </cell>
          <cell r="E17710" t="str">
            <v>JULIUS BAER FAMILY OFFICE BRASIL GESTAO DE PATRIMONIO LTDA</v>
          </cell>
        </row>
        <row r="17711">
          <cell r="B17711">
            <v>124996</v>
          </cell>
          <cell r="C17711" t="str">
            <v>TAO FIM CRED PRIV IE</v>
          </cell>
          <cell r="D17711" t="str">
            <v>TAO FIM CRED PRIV IE</v>
          </cell>
          <cell r="E17711" t="str">
            <v>JULIUS BAER FAMILY OFFICE BRASIL GESTAO DE PATRIMONIO LTDA</v>
          </cell>
        </row>
        <row r="17712">
          <cell r="B17712">
            <v>124996</v>
          </cell>
          <cell r="C17712" t="str">
            <v>TAO FIM CRED PRIV IE</v>
          </cell>
          <cell r="D17712" t="str">
            <v>TAO FIM CRED PRIV IE</v>
          </cell>
          <cell r="E17712" t="str">
            <v>JULIUS BAER FAMILY OFFICE BRASIL GESTAO DE PATRIMONIO LTDA</v>
          </cell>
        </row>
        <row r="17713">
          <cell r="B17713">
            <v>124995</v>
          </cell>
          <cell r="C17713" t="str">
            <v>TANDREDI FIM CRED PRIV IE</v>
          </cell>
          <cell r="D17713" t="str">
            <v>TANDREDI FIM CRED PRIV IE</v>
          </cell>
          <cell r="E17713" t="str">
            <v>JULIUS BAER FAMILY OFFICE BRASIL GESTAO DE PATRIMONIO LTDA</v>
          </cell>
        </row>
        <row r="17714">
          <cell r="B17714">
            <v>124995</v>
          </cell>
          <cell r="C17714" t="str">
            <v>TANDREDI FIM CRED PRIV IE</v>
          </cell>
          <cell r="D17714" t="str">
            <v>TANDREDI FIM CRED PRIV IE</v>
          </cell>
          <cell r="E17714" t="str">
            <v>JULIUS BAER FAMILY OFFICE BRASIL GESTAO DE PATRIMONIO LTDA</v>
          </cell>
        </row>
        <row r="17715">
          <cell r="B17715">
            <v>124994</v>
          </cell>
          <cell r="C17715" t="str">
            <v>TAMISA FIC DE FIM CRED PRIV</v>
          </cell>
          <cell r="D17715" t="str">
            <v>TAMISA FIC DE FIM CRED PRIV</v>
          </cell>
          <cell r="E17715" t="str">
            <v>JULIUS BAER FAMILY OFFICE BRASIL GESTAO DE PATRIMONIO LTDA</v>
          </cell>
        </row>
        <row r="17716">
          <cell r="B17716">
            <v>124994</v>
          </cell>
          <cell r="C17716" t="str">
            <v>TAMISA FIC DE FIM CRED PRIV</v>
          </cell>
          <cell r="D17716" t="str">
            <v>TAMISA FIC DE FIM CRED PRIV</v>
          </cell>
          <cell r="E17716" t="str">
            <v>JULIUS BAER FAMILY OFFICE BRASIL GESTAO DE PATRIMONIO LTDA</v>
          </cell>
        </row>
        <row r="17717">
          <cell r="B17717">
            <v>125006</v>
          </cell>
          <cell r="C17717" t="str">
            <v>T BLOCK FIM CRED PRIV IE</v>
          </cell>
          <cell r="D17717" t="str">
            <v>T BLOCK FIM CRED PRIV IE</v>
          </cell>
          <cell r="E17717" t="str">
            <v>JULIUS BAER FAMILY OFFICE BRASIL GESTAO DE PATRIMONIO LTDA</v>
          </cell>
        </row>
        <row r="17718">
          <cell r="B17718">
            <v>125006</v>
          </cell>
          <cell r="C17718" t="str">
            <v>T BLOCK FIM CRED PRIV IE</v>
          </cell>
          <cell r="D17718" t="str">
            <v>T BLOCK FIM CRED PRIV IE</v>
          </cell>
          <cell r="E17718" t="str">
            <v>JULIUS BAER FAMILY OFFICE BRASIL GESTAO DE PATRIMONIO LTDA</v>
          </cell>
        </row>
        <row r="17719">
          <cell r="B17719">
            <v>125018</v>
          </cell>
          <cell r="C17719" t="str">
            <v>SUNNY FIM CRED PRIV IE</v>
          </cell>
          <cell r="D17719" t="str">
            <v>SUNNY FIM CRED PRIV IE</v>
          </cell>
          <cell r="E17719" t="str">
            <v>CFO ADMINISTRACAO DE RECURSOS LTDA</v>
          </cell>
        </row>
        <row r="17720">
          <cell r="B17720">
            <v>125018</v>
          </cell>
          <cell r="C17720" t="str">
            <v>SUNNY FIM CRED PRIV IE</v>
          </cell>
          <cell r="D17720" t="str">
            <v>SUNNY FIM CRED PRIV IE</v>
          </cell>
          <cell r="E17720" t="str">
            <v>CFO ADMINISTRACAO DE RECURSOS LTDA</v>
          </cell>
        </row>
        <row r="17721">
          <cell r="B17721">
            <v>125017</v>
          </cell>
          <cell r="C17721" t="str">
            <v>SONG II FIM CRED PRIV IE</v>
          </cell>
          <cell r="D17721" t="str">
            <v>SONG II FIM CRED PRIV IE</v>
          </cell>
          <cell r="E17721" t="str">
            <v>JULIUS BAER FAMILY OFFICE BRASIL GESTAO DE PATRIMONIO LTDA</v>
          </cell>
        </row>
        <row r="17722">
          <cell r="B17722">
            <v>125017</v>
          </cell>
          <cell r="C17722" t="str">
            <v>SONG II FIM CRED PRIV IE</v>
          </cell>
          <cell r="D17722" t="str">
            <v>SONG II FIM CRED PRIV IE</v>
          </cell>
          <cell r="E17722" t="str">
            <v>JULIUS BAER FAMILY OFFICE BRASIL GESTAO DE PATRIMONIO LTDA</v>
          </cell>
        </row>
        <row r="17723">
          <cell r="B17723">
            <v>125016</v>
          </cell>
          <cell r="C17723" t="str">
            <v>SONG FIM CRED PRIV IE</v>
          </cell>
          <cell r="D17723" t="str">
            <v>SONG FIM CRED PRIV IE</v>
          </cell>
          <cell r="E17723" t="str">
            <v>CFO ADMINISTRACAO DE RECURSOS LTDA</v>
          </cell>
        </row>
        <row r="17724">
          <cell r="B17724">
            <v>125016</v>
          </cell>
          <cell r="C17724" t="str">
            <v>SONG FIM CRED PRIV IE</v>
          </cell>
          <cell r="D17724" t="str">
            <v>SONG FIM CRED PRIV IE</v>
          </cell>
          <cell r="E17724" t="str">
            <v>CFO ADMINISTRACAO DE RECURSOS LTDA</v>
          </cell>
        </row>
        <row r="17725">
          <cell r="B17725">
            <v>125013</v>
          </cell>
          <cell r="C17725" t="str">
            <v>SERENA FIM CRED PRIV IE</v>
          </cell>
          <cell r="D17725" t="str">
            <v>SERENA FIM CRED PRIV IE</v>
          </cell>
          <cell r="E17725" t="str">
            <v>CFO ADMINISTRACAO DE RECURSOS LTDA</v>
          </cell>
        </row>
        <row r="17726">
          <cell r="B17726">
            <v>125013</v>
          </cell>
          <cell r="C17726" t="str">
            <v>SERENA FIM CRED PRIV IE</v>
          </cell>
          <cell r="D17726" t="str">
            <v>SERENA FIM CRED PRIV IE</v>
          </cell>
          <cell r="E17726" t="str">
            <v>CFO ADMINISTRACAO DE RECURSOS LTDA</v>
          </cell>
        </row>
        <row r="17727">
          <cell r="B17727">
            <v>125012</v>
          </cell>
          <cell r="C17727" t="str">
            <v>SEDONA FIM CRED PRIV IE</v>
          </cell>
          <cell r="D17727" t="str">
            <v>SEDONA FIM CRED PRIV IE</v>
          </cell>
          <cell r="E17727" t="str">
            <v>CFO ADMINISTRACAO DE RECURSOS LTDA</v>
          </cell>
        </row>
        <row r="17728">
          <cell r="B17728">
            <v>125012</v>
          </cell>
          <cell r="C17728" t="str">
            <v>SEDONA FIM CRED PRIV IE</v>
          </cell>
          <cell r="D17728" t="str">
            <v>SEDONA FIM CRED PRIV IE</v>
          </cell>
          <cell r="E17728" t="str">
            <v>CFO ADMINISTRACAO DE RECURSOS LTDA</v>
          </cell>
        </row>
        <row r="17729">
          <cell r="B17729">
            <v>125011</v>
          </cell>
          <cell r="C17729" t="str">
            <v>SARDENHA FIM CRED PRIV IE</v>
          </cell>
          <cell r="D17729" t="str">
            <v>SARDENHA FIM CRED PRIV IE</v>
          </cell>
          <cell r="E17729" t="str">
            <v>CFO ADMINISTRACAO DE RECURSOS LTDA</v>
          </cell>
        </row>
        <row r="17730">
          <cell r="B17730">
            <v>125011</v>
          </cell>
          <cell r="C17730" t="str">
            <v>SARDENHA FIM CRED PRIV IE</v>
          </cell>
          <cell r="D17730" t="str">
            <v>SARDENHA FIM CRED PRIV IE</v>
          </cell>
          <cell r="E17730" t="str">
            <v>CFO ADMINISTRACAO DE RECURSOS LTDA</v>
          </cell>
        </row>
        <row r="17731">
          <cell r="B17731">
            <v>125010</v>
          </cell>
          <cell r="C17731" t="str">
            <v>SARASOTA FIM CRED PRIV IE</v>
          </cell>
          <cell r="D17731" t="str">
            <v>SARASOTA FIM CRED PRIV IE</v>
          </cell>
          <cell r="E17731" t="str">
            <v>CFO ADMINISTRACAO DE RECURSOS LTDA</v>
          </cell>
        </row>
        <row r="17732">
          <cell r="B17732">
            <v>125010</v>
          </cell>
          <cell r="C17732" t="str">
            <v>SARASOTA FIM CRED PRIV IE</v>
          </cell>
          <cell r="D17732" t="str">
            <v>SARASOTA FIM CRED PRIV IE</v>
          </cell>
          <cell r="E17732" t="str">
            <v>CFO ADMINISTRACAO DE RECURSOS LTDA</v>
          </cell>
        </row>
        <row r="17733">
          <cell r="B17733">
            <v>125009</v>
          </cell>
          <cell r="C17733" t="str">
            <v>SANTOS FIM CRED PRIV IE</v>
          </cell>
          <cell r="D17733" t="str">
            <v>SANTOS FIM CRED PRIV IE</v>
          </cell>
          <cell r="E17733" t="str">
            <v>CFO ADMINISTRACAO DE RECURSOS LTDA</v>
          </cell>
        </row>
        <row r="17734">
          <cell r="B17734">
            <v>125009</v>
          </cell>
          <cell r="C17734" t="str">
            <v>SANTOS FIM CRED PRIV IE</v>
          </cell>
          <cell r="D17734" t="str">
            <v>SANTOS FIM CRED PRIV IE</v>
          </cell>
          <cell r="E17734" t="str">
            <v>CFO ADMINISTRACAO DE RECURSOS LTDA</v>
          </cell>
        </row>
        <row r="17735">
          <cell r="B17735">
            <v>125008</v>
          </cell>
          <cell r="C17735" t="str">
            <v>SAMOTRACIA FIM CRED PRIV IE</v>
          </cell>
          <cell r="D17735" t="str">
            <v>SAMOTRACIA FIM CRED PRIV IE</v>
          </cell>
          <cell r="E17735" t="str">
            <v>CFO ADMINISTRACAO DE RECURSOS LTDA</v>
          </cell>
        </row>
        <row r="17736">
          <cell r="B17736">
            <v>125008</v>
          </cell>
          <cell r="C17736" t="str">
            <v>SAMOTRACIA FIM CRED PRIV IE</v>
          </cell>
          <cell r="D17736" t="str">
            <v>SAMOTRACIA FIM CRED PRIV IE</v>
          </cell>
          <cell r="E17736" t="str">
            <v>CFO ADMINISTRACAO DE RECURSOS LTDA</v>
          </cell>
        </row>
        <row r="17737">
          <cell r="B17737">
            <v>125007</v>
          </cell>
          <cell r="C17737" t="str">
            <v>SALTO FIM CRED PRIV</v>
          </cell>
          <cell r="D17737" t="str">
            <v>SALTO FIM CRED PRIV</v>
          </cell>
          <cell r="E17737" t="str">
            <v>CFO ADMINISTRACAO DE RECURSOS LTDA</v>
          </cell>
        </row>
        <row r="17738">
          <cell r="B17738">
            <v>125007</v>
          </cell>
          <cell r="C17738" t="str">
            <v>SALTO FIM CRED PRIV</v>
          </cell>
          <cell r="D17738" t="str">
            <v>SALTO FIM CRED PRIV</v>
          </cell>
          <cell r="E17738" t="str">
            <v>CFO ADMINISTRACAO DE RECURSOS LTDA</v>
          </cell>
        </row>
        <row r="17739">
          <cell r="B17739">
            <v>125030</v>
          </cell>
          <cell r="C17739" t="str">
            <v>RUMO 9 CLOSED II FIM CRED PRIV IE</v>
          </cell>
          <cell r="D17739" t="str">
            <v>RUMO 9 CLOSED II FIM CRED PRIV IE</v>
          </cell>
          <cell r="E17739" t="str">
            <v>JULIUS BAER FAMILY OFFICE BRASIL GESTAO DE PATRIMONIO LTDA</v>
          </cell>
        </row>
        <row r="17740">
          <cell r="B17740">
            <v>125030</v>
          </cell>
          <cell r="C17740" t="str">
            <v>RUMO 9 CLOSED II FIM CRED PRIV IE</v>
          </cell>
          <cell r="D17740" t="str">
            <v>RUMO 9 CLOSED II FIM CRED PRIV IE</v>
          </cell>
          <cell r="E17740" t="str">
            <v>JULIUS BAER FAMILY OFFICE BRASIL GESTAO DE PATRIMONIO LTDA</v>
          </cell>
        </row>
        <row r="17741">
          <cell r="B17741">
            <v>125031</v>
          </cell>
          <cell r="C17741" t="str">
            <v>LIVE FIM CP IE</v>
          </cell>
          <cell r="D17741" t="str">
            <v>LIVE FIM CP IE</v>
          </cell>
          <cell r="E17741" t="str">
            <v>JULIUS BAER FAMILY OFFICE BRASIL GESTAO DE PATRIMONIO LTDA</v>
          </cell>
        </row>
        <row r="17742">
          <cell r="B17742">
            <v>125031</v>
          </cell>
          <cell r="C17742" t="str">
            <v>LIVE FIM CP IE</v>
          </cell>
          <cell r="D17742" t="str">
            <v>LIVE FIM CP IE</v>
          </cell>
          <cell r="E17742" t="str">
            <v>JULIUS BAER FAMILY OFFICE BRASIL GESTAO DE PATRIMONIO LTDA</v>
          </cell>
        </row>
        <row r="17743">
          <cell r="B17743">
            <v>125032</v>
          </cell>
          <cell r="C17743" t="str">
            <v>LLPG FIM CP IE</v>
          </cell>
          <cell r="D17743" t="str">
            <v>LLPG FIM CP IE</v>
          </cell>
          <cell r="E17743" t="str">
            <v>JULIUS BAER FAMILY OFFICE BRASIL GESTAO DE PATRIMONIO LTDA</v>
          </cell>
        </row>
        <row r="17744">
          <cell r="B17744">
            <v>125032</v>
          </cell>
          <cell r="C17744" t="str">
            <v>LLPG FIM CP IE</v>
          </cell>
          <cell r="D17744" t="str">
            <v>LLPG FIM CP IE</v>
          </cell>
          <cell r="E17744" t="str">
            <v>JULIUS BAER FAMILY OFFICE BRASIL GESTAO DE PATRIMONIO LTDA</v>
          </cell>
        </row>
        <row r="17745">
          <cell r="B17745">
            <v>125029</v>
          </cell>
          <cell r="C17745" t="str">
            <v>RUMO 9 CLOSED FIM CRED PRIV IE</v>
          </cell>
          <cell r="D17745" t="str">
            <v>RUMO 9 CLOSED FIM CRED PRIV IE</v>
          </cell>
          <cell r="E17745" t="str">
            <v>JULIUS BAER FAMILY OFFICE BRASIL GESTAO DE PATRIMONIO LTDA</v>
          </cell>
        </row>
        <row r="17746">
          <cell r="B17746">
            <v>125033</v>
          </cell>
          <cell r="C17746" t="str">
            <v>LLPG 2 FIM CP IE</v>
          </cell>
          <cell r="D17746" t="str">
            <v>LLPG 2 FIM CP IE</v>
          </cell>
          <cell r="E17746" t="str">
            <v>JULIUS BAER FAMILY OFFICE BRASIL GESTAO DE PATRIMONIO LTDA</v>
          </cell>
        </row>
        <row r="17747">
          <cell r="B17747">
            <v>125029</v>
          </cell>
          <cell r="C17747" t="str">
            <v>RUMO 9 CLOSED FIM CRED PRIV IE</v>
          </cell>
          <cell r="D17747" t="str">
            <v>RUMO 9 CLOSED FIM CRED PRIV IE</v>
          </cell>
          <cell r="E17747" t="str">
            <v>JULIUS BAER FAMILY OFFICE BRASIL GESTAO DE PATRIMONIO LTDA</v>
          </cell>
        </row>
        <row r="17748">
          <cell r="B17748">
            <v>125033</v>
          </cell>
          <cell r="C17748" t="str">
            <v>LLPG 2 FIM CP IE</v>
          </cell>
          <cell r="D17748" t="str">
            <v>LLPG 2 FIM CP IE</v>
          </cell>
          <cell r="E17748" t="str">
            <v>JULIUS BAER FAMILY OFFICE BRASIL GESTAO DE PATRIMONIO LTDA</v>
          </cell>
        </row>
        <row r="17749">
          <cell r="B17749">
            <v>125027</v>
          </cell>
          <cell r="C17749" t="str">
            <v>ROCHA PETERSEN FIM CRED PRIV IE</v>
          </cell>
          <cell r="D17749" t="str">
            <v>ROCHA PETERSEN FIM CRED PRIV IE</v>
          </cell>
          <cell r="E17749" t="str">
            <v>JULIUS BAER FAMILY OFFICE BRASIL GESTAO DE PATRIMONIO LTDA</v>
          </cell>
        </row>
        <row r="17750">
          <cell r="B17750">
            <v>125027</v>
          </cell>
          <cell r="C17750" t="str">
            <v>ROCHA PETERSEN FIM CRED PRIV IE</v>
          </cell>
          <cell r="D17750" t="str">
            <v>ROCHA PETERSEN FIM CRED PRIV IE</v>
          </cell>
          <cell r="E17750" t="str">
            <v>JULIUS BAER FAMILY OFFICE BRASIL GESTAO DE PATRIMONIO LTDA</v>
          </cell>
        </row>
        <row r="17751">
          <cell r="B17751">
            <v>125034</v>
          </cell>
          <cell r="C17751" t="str">
            <v>LONG LIFE FIM CP IE</v>
          </cell>
          <cell r="D17751" t="str">
            <v>LONG LIFE FIM CP IE</v>
          </cell>
          <cell r="E17751" t="str">
            <v>JULIUS BAER FAMILY OFFICE BRASIL GESTAO DE PATRIMONIO LTDA</v>
          </cell>
        </row>
        <row r="17752">
          <cell r="B17752">
            <v>125034</v>
          </cell>
          <cell r="C17752" t="str">
            <v>LONG LIFE FIM CP IE</v>
          </cell>
          <cell r="D17752" t="str">
            <v>LONG LIFE FIM CP IE</v>
          </cell>
          <cell r="E17752" t="str">
            <v>JULIUS BAER FAMILY OFFICE BRASIL GESTAO DE PATRIMONIO LTDA</v>
          </cell>
        </row>
        <row r="17753">
          <cell r="B17753">
            <v>125035</v>
          </cell>
          <cell r="C17753" t="str">
            <v>LONGCHAMP FIM CP IE</v>
          </cell>
          <cell r="D17753" t="str">
            <v>LONGCHAMP FIM CP IE</v>
          </cell>
          <cell r="E17753" t="str">
            <v>JULIUS BAER FAMILY OFFICE BRASIL GESTAO DE PATRIMONIO LTDA</v>
          </cell>
        </row>
        <row r="17754">
          <cell r="B17754">
            <v>125035</v>
          </cell>
          <cell r="C17754" t="str">
            <v>LONGCHAMP FIM CP IE</v>
          </cell>
          <cell r="D17754" t="str">
            <v>LONGCHAMP FIM CP IE</v>
          </cell>
          <cell r="E17754" t="str">
            <v>JULIUS BAER FAMILY OFFICE BRASIL GESTAO DE PATRIMONIO LTDA</v>
          </cell>
        </row>
        <row r="17755">
          <cell r="B17755">
            <v>125026</v>
          </cell>
          <cell r="C17755" t="str">
            <v>RIO FIM CRED PRIV IE</v>
          </cell>
          <cell r="D17755" t="str">
            <v>RIO FIM CRED PRIV IE</v>
          </cell>
          <cell r="E17755" t="str">
            <v>JULIUS BAER FAMILY OFFICE BRASIL GESTAO DE PATRIMONIO LTDA</v>
          </cell>
        </row>
        <row r="17756">
          <cell r="B17756">
            <v>125026</v>
          </cell>
          <cell r="C17756" t="str">
            <v>RIO FIM CRED PRIV IE</v>
          </cell>
          <cell r="D17756" t="str">
            <v>RIO FIM CRED PRIV IE</v>
          </cell>
          <cell r="E17756" t="str">
            <v>JULIUS BAER FAMILY OFFICE BRASIL GESTAO DE PATRIMONIO LTDA</v>
          </cell>
        </row>
        <row r="17757">
          <cell r="B17757">
            <v>125025</v>
          </cell>
          <cell r="C17757" t="str">
            <v>RENTAL FIM CRED PRIV IE</v>
          </cell>
          <cell r="D17757" t="str">
            <v>RENTAL FIM CRED PRIV IE</v>
          </cell>
          <cell r="E17757" t="str">
            <v>JULIUS BAER FAMILY OFFICE BRASIL GESTAO DE PATRIMONIO LTDA</v>
          </cell>
        </row>
        <row r="17758">
          <cell r="B17758">
            <v>125025</v>
          </cell>
          <cell r="C17758" t="str">
            <v>RENTAL FIM CRED PRIV IE</v>
          </cell>
          <cell r="D17758" t="str">
            <v>RENTAL FIM CRED PRIV IE</v>
          </cell>
          <cell r="E17758" t="str">
            <v>JULIUS BAER FAMILY OFFICE BRASIL GESTAO DE PATRIMONIO LTDA</v>
          </cell>
        </row>
        <row r="17759">
          <cell r="B17759">
            <v>125024</v>
          </cell>
          <cell r="C17759" t="str">
            <v>RENANIA FIM CRED PRIV IE</v>
          </cell>
          <cell r="D17759" t="str">
            <v>RENANIA FIM CRED PRIV IE</v>
          </cell>
          <cell r="E17759" t="str">
            <v>JULIUS BAER FAMILY OFFICE BRASIL GESTAO DE PATRIMONIO LTDA</v>
          </cell>
        </row>
        <row r="17760">
          <cell r="B17760">
            <v>125024</v>
          </cell>
          <cell r="C17760" t="str">
            <v>RENANIA FIM CRED PRIV IE</v>
          </cell>
          <cell r="D17760" t="str">
            <v>RENANIA FIM CRED PRIV IE</v>
          </cell>
          <cell r="E17760" t="str">
            <v>JULIUS BAER FAMILY OFFICE BRASIL GESTAO DE PATRIMONIO LTDA</v>
          </cell>
        </row>
        <row r="17761">
          <cell r="B17761">
            <v>125023</v>
          </cell>
          <cell r="C17761" t="str">
            <v>RELUX FIM CRED PRIV</v>
          </cell>
          <cell r="D17761" t="str">
            <v>RELUX FIM CRED PRIV</v>
          </cell>
          <cell r="E17761" t="str">
            <v>JULIUS BAER FAMILY OFFICE BRASIL GESTAO DE PATRIMONIO LTDA</v>
          </cell>
        </row>
        <row r="17762">
          <cell r="B17762">
            <v>125023</v>
          </cell>
          <cell r="C17762" t="str">
            <v>RELUX FIM CRED PRIV</v>
          </cell>
          <cell r="D17762" t="str">
            <v>RELUX FIM CRED PRIV</v>
          </cell>
          <cell r="E17762" t="str">
            <v>JULIUS BAER FAMILY OFFICE BRASIL GESTAO DE PATRIMONIO LTDA</v>
          </cell>
        </row>
        <row r="17763">
          <cell r="B17763">
            <v>125036</v>
          </cell>
          <cell r="C17763" t="str">
            <v>LORENA FIM CP IE</v>
          </cell>
          <cell r="D17763" t="str">
            <v>LORENA FIM CP IE</v>
          </cell>
          <cell r="E17763" t="str">
            <v>JULIUS BAER FAMILY OFFICE BRASIL GESTAO DE PATRIMONIO LTDA</v>
          </cell>
        </row>
        <row r="17764">
          <cell r="B17764">
            <v>125036</v>
          </cell>
          <cell r="C17764" t="str">
            <v>LORENA FIM CP IE</v>
          </cell>
          <cell r="D17764" t="str">
            <v>LORENA FIM CP IE</v>
          </cell>
          <cell r="E17764" t="str">
            <v>JULIUS BAER FAMILY OFFICE BRASIL GESTAO DE PATRIMONIO LTDA</v>
          </cell>
        </row>
        <row r="17765">
          <cell r="B17765">
            <v>125022</v>
          </cell>
          <cell r="C17765" t="str">
            <v>REIS FIM CRED PRIV IE</v>
          </cell>
          <cell r="D17765" t="str">
            <v>REIS FIM CRED PRIV IE</v>
          </cell>
          <cell r="E17765" t="str">
            <v>JULIUS BAER FAMILY OFFICE BRASIL GESTAO DE PATRIMONIO LTDA</v>
          </cell>
        </row>
        <row r="17766">
          <cell r="B17766">
            <v>125022</v>
          </cell>
          <cell r="C17766" t="str">
            <v>REIS FIM CRED PRIV IE</v>
          </cell>
          <cell r="D17766" t="str">
            <v>REIS FIM CRED PRIV IE</v>
          </cell>
          <cell r="E17766" t="str">
            <v>JULIUS BAER FAMILY OFFICE BRASIL GESTAO DE PATRIMONIO LTDA</v>
          </cell>
        </row>
        <row r="17767">
          <cell r="B17767">
            <v>125021</v>
          </cell>
          <cell r="C17767" t="str">
            <v>RAVI MAE FIC FIM CRED PRIV IE</v>
          </cell>
          <cell r="D17767" t="str">
            <v>RAVI MAE FIC FIM CRED PRIV IE</v>
          </cell>
          <cell r="E17767" t="str">
            <v>JULIUS BAER FAMILY OFFICE BRASIL GESTAO DE PATRIMONIO LTDA</v>
          </cell>
        </row>
        <row r="17768">
          <cell r="B17768">
            <v>125021</v>
          </cell>
          <cell r="C17768" t="str">
            <v>RAVI MAE FIC FIM CRED PRIV IE</v>
          </cell>
          <cell r="D17768" t="str">
            <v>RAVI MAE FIC FIM CRED PRIV IE</v>
          </cell>
          <cell r="E17768" t="str">
            <v>JULIUS BAER FAMILY OFFICE BRASIL GESTAO DE PATRIMONIO LTDA</v>
          </cell>
        </row>
        <row r="17769">
          <cell r="B17769">
            <v>125037</v>
          </cell>
          <cell r="C17769" t="str">
            <v>LUCKY FIM CP IE</v>
          </cell>
          <cell r="D17769" t="str">
            <v>LUCKY FIM CP IE</v>
          </cell>
          <cell r="E17769" t="str">
            <v>JULIUS BAER FAMILY OFFICE BRASIL GESTAO DE PATRIMONIO LTDA</v>
          </cell>
        </row>
        <row r="17770">
          <cell r="B17770">
            <v>125037</v>
          </cell>
          <cell r="C17770" t="str">
            <v>LUCKY FIM CP IE</v>
          </cell>
          <cell r="D17770" t="str">
            <v>LUCKY FIM CP IE</v>
          </cell>
          <cell r="E17770" t="str">
            <v>JULIUS BAER FAMILY OFFICE BRASIL GESTAO DE PATRIMONIO LTDA</v>
          </cell>
        </row>
        <row r="17771">
          <cell r="B17771">
            <v>125038</v>
          </cell>
          <cell r="C17771" t="str">
            <v>LUDO FIM CP IE</v>
          </cell>
          <cell r="D17771" t="str">
            <v>LUDO FIM CP IE</v>
          </cell>
          <cell r="E17771" t="str">
            <v>JULIUS BAER FAMILY OFFICE BRASIL GESTAO DE PATRIMONIO LTDA</v>
          </cell>
        </row>
        <row r="17772">
          <cell r="B17772">
            <v>125038</v>
          </cell>
          <cell r="C17772" t="str">
            <v>LUDO FIM CP IE</v>
          </cell>
          <cell r="D17772" t="str">
            <v>LUDO FIM CP IE</v>
          </cell>
          <cell r="E17772" t="str">
            <v>JULIUS BAER FAMILY OFFICE BRASIL GESTAO DE PATRIMONIO LTDA</v>
          </cell>
        </row>
        <row r="17773">
          <cell r="B17773">
            <v>125020</v>
          </cell>
          <cell r="C17773" t="str">
            <v>RAVI FORTALEZA FIM CP IE</v>
          </cell>
          <cell r="D17773" t="str">
            <v>RAVI FORTALEZA FIM CP IE</v>
          </cell>
          <cell r="E17773" t="str">
            <v>JULIUS BAER FAMILY OFFICE BRASIL GESTAO DE PATRIMONIO LTDA</v>
          </cell>
        </row>
        <row r="17774">
          <cell r="B17774">
            <v>125020</v>
          </cell>
          <cell r="C17774" t="str">
            <v>RAVI FORTALEZA FIM CP IE</v>
          </cell>
          <cell r="D17774" t="str">
            <v>RAVI FORTALEZA FIM CP IE</v>
          </cell>
          <cell r="E17774" t="str">
            <v>JULIUS BAER FAMILY OFFICE BRASIL GESTAO DE PATRIMONIO LTDA</v>
          </cell>
        </row>
        <row r="17775">
          <cell r="B17775">
            <v>125039</v>
          </cell>
          <cell r="C17775" t="str">
            <v>LUDO II FIM CP IE</v>
          </cell>
          <cell r="D17775" t="str">
            <v>LUDO II FIM CP IE</v>
          </cell>
          <cell r="E17775" t="str">
            <v>JULIUS BAER FAMILY OFFICE BRASIL GESTAO DE PATRIMONIO LTDA</v>
          </cell>
        </row>
        <row r="17776">
          <cell r="B17776">
            <v>125039</v>
          </cell>
          <cell r="C17776" t="str">
            <v>LUDO II FIM CP IE</v>
          </cell>
          <cell r="D17776" t="str">
            <v>LUDO II FIM CP IE</v>
          </cell>
          <cell r="E17776" t="str">
            <v>JULIUS BAER FAMILY OFFICE BRASIL GESTAO DE PATRIMONIO LTDA</v>
          </cell>
        </row>
        <row r="17777">
          <cell r="B17777">
            <v>125040</v>
          </cell>
          <cell r="C17777" t="str">
            <v>LETEUS FIC FIM CP IE</v>
          </cell>
          <cell r="D17777" t="str">
            <v>LETEUS FIC FIM CP IE</v>
          </cell>
          <cell r="E17777" t="str">
            <v>JULIUS BAER FAMILY OFFICE BRASIL GESTAO DE PATRIMONIO LTDA</v>
          </cell>
        </row>
        <row r="17778">
          <cell r="B17778">
            <v>125040</v>
          </cell>
          <cell r="C17778" t="str">
            <v>LETEUS FIC FIM CP IE</v>
          </cell>
          <cell r="D17778" t="str">
            <v>LETEUS FIC FIM CP IE</v>
          </cell>
          <cell r="E17778" t="str">
            <v>JULIUS BAER FAMILY OFFICE BRASIL GESTAO DE PATRIMONIO LTDA</v>
          </cell>
        </row>
        <row r="17779">
          <cell r="B17779">
            <v>79641</v>
          </cell>
          <cell r="C17779" t="str">
            <v>BANCO SANTANDER, S/A (MADRID)</v>
          </cell>
          <cell r="D17779" t="str">
            <v>BANCO SANTANDER, S/A (MADRID)</v>
          </cell>
          <cell r="E17779" t="str">
            <v>BANCO SANTANDER S/A (HISPANO)</v>
          </cell>
        </row>
        <row r="17780">
          <cell r="B17780">
            <v>125043</v>
          </cell>
          <cell r="C17780" t="str">
            <v>MACRI BROS FIM CP IE</v>
          </cell>
          <cell r="D17780" t="str">
            <v>MACRI BROS FIM CP IE</v>
          </cell>
          <cell r="E17780" t="str">
            <v>JULIUS BAER FAMILY OFFICE BRASIL GESTAO DE PATRIMONIO LTDA</v>
          </cell>
        </row>
        <row r="17781">
          <cell r="B17781">
            <v>125043</v>
          </cell>
          <cell r="C17781" t="str">
            <v>MACRI BROS FIM CP IE</v>
          </cell>
          <cell r="D17781" t="str">
            <v>MACRI BROS FIM CP IE</v>
          </cell>
          <cell r="E17781" t="str">
            <v>JULIUS BAER FAMILY OFFICE BRASIL GESTAO DE PATRIMONIO LTDA</v>
          </cell>
        </row>
        <row r="17782">
          <cell r="B17782">
            <v>125044</v>
          </cell>
          <cell r="C17782" t="str">
            <v>MAGNIT FIM CP IE</v>
          </cell>
          <cell r="D17782" t="str">
            <v>MAGNIT FIM CP IE</v>
          </cell>
          <cell r="E17782" t="str">
            <v>JULIUS BAER FAMILY OFFICE BRASIL GESTAO DE PATRIMONIO LTDA</v>
          </cell>
        </row>
        <row r="17783">
          <cell r="B17783">
            <v>125044</v>
          </cell>
          <cell r="C17783" t="str">
            <v>MAGNIT FIM CP IE</v>
          </cell>
          <cell r="D17783" t="str">
            <v>MAGNIT FIM CP IE</v>
          </cell>
          <cell r="E17783" t="str">
            <v>JULIUS BAER FAMILY OFFICE BRASIL GESTAO DE PATRIMONIO LTDA</v>
          </cell>
        </row>
        <row r="17784">
          <cell r="B17784">
            <v>125042</v>
          </cell>
          <cell r="C17784" t="str">
            <v>MEROS FIM CRED PRIV IE</v>
          </cell>
          <cell r="D17784" t="str">
            <v>MEROS FIM CRED PRIV IE</v>
          </cell>
          <cell r="E17784" t="str">
            <v>JULIUS BAER FAMILY OFFICE BRASIL GESTAO DE PATRIMONIO LTDA</v>
          </cell>
        </row>
        <row r="17785">
          <cell r="B17785">
            <v>125042</v>
          </cell>
          <cell r="C17785" t="str">
            <v>MEROS FIM CRED PRIV IE</v>
          </cell>
          <cell r="D17785" t="str">
            <v>MEROS FIM CRED PRIV IE</v>
          </cell>
          <cell r="E17785" t="str">
            <v>JULIUS BAER FAMILY OFFICE BRASIL GESTAO DE PATRIMONIO LTDA</v>
          </cell>
        </row>
        <row r="17786">
          <cell r="B17786">
            <v>125046</v>
          </cell>
          <cell r="C17786" t="str">
            <v>MALTA FIM CP IE</v>
          </cell>
          <cell r="D17786" t="str">
            <v>MALTA FIM CP IE</v>
          </cell>
          <cell r="E17786" t="str">
            <v>JULIUS BAER FAMILY OFFICE BRASIL GESTAO DE PATRIMONIO LTDA</v>
          </cell>
        </row>
        <row r="17787">
          <cell r="B17787">
            <v>125046</v>
          </cell>
          <cell r="C17787" t="str">
            <v>MALTA FIM CP IE</v>
          </cell>
          <cell r="D17787" t="str">
            <v>MALTA FIM CP IE</v>
          </cell>
          <cell r="E17787" t="str">
            <v>JULIUS BAER FAMILY OFFICE BRASIL GESTAO DE PATRIMONIO LTDA</v>
          </cell>
        </row>
        <row r="17788">
          <cell r="B17788">
            <v>125045</v>
          </cell>
          <cell r="C17788" t="str">
            <v>MEL FIM CRED PRIV IE</v>
          </cell>
          <cell r="D17788" t="str">
            <v>MEL FIM CRED PRIV IE</v>
          </cell>
          <cell r="E17788" t="str">
            <v>JULIUS BAER FAMILY OFFICE BRASIL GESTAO DE PATRIMONIO LTDA</v>
          </cell>
        </row>
        <row r="17789">
          <cell r="B17789">
            <v>125045</v>
          </cell>
          <cell r="C17789" t="str">
            <v>MEL FIM CRED PRIV IE</v>
          </cell>
          <cell r="D17789" t="str">
            <v>MEL FIM CRED PRIV IE</v>
          </cell>
          <cell r="E17789" t="str">
            <v>JULIUS BAER FAMILY OFFICE BRASIL GESTAO DE PATRIMONIO LTDA</v>
          </cell>
        </row>
        <row r="17790">
          <cell r="B17790">
            <v>125048</v>
          </cell>
          <cell r="C17790" t="str">
            <v>MALTES FIM CP</v>
          </cell>
          <cell r="D17790" t="str">
            <v>MALTES FIM CP</v>
          </cell>
          <cell r="E17790" t="str">
            <v>JULIUS BAER FAMILY OFFICE BRASIL GESTAO DE PATRIMONIO LTDA</v>
          </cell>
        </row>
        <row r="17791">
          <cell r="B17791">
            <v>125048</v>
          </cell>
          <cell r="C17791" t="str">
            <v>MALTES FIM CP</v>
          </cell>
          <cell r="D17791" t="str">
            <v>MALTES FIM CP</v>
          </cell>
          <cell r="E17791" t="str">
            <v>JULIUS BAER FAMILY OFFICE BRASIL GESTAO DE PATRIMONIO LTDA</v>
          </cell>
        </row>
        <row r="17792">
          <cell r="B17792">
            <v>125049</v>
          </cell>
          <cell r="C17792" t="str">
            <v>MANHATTAN FIM CP IE</v>
          </cell>
          <cell r="D17792" t="str">
            <v>MANHATTAN FIM CP IE</v>
          </cell>
          <cell r="E17792" t="str">
            <v>JULIUS BAER FAMILY OFFICE BRASIL GESTAO DE PATRIMONIO LTDA</v>
          </cell>
        </row>
        <row r="17793">
          <cell r="B17793">
            <v>125049</v>
          </cell>
          <cell r="C17793" t="str">
            <v>MANHATTAN FIM CP IE</v>
          </cell>
          <cell r="D17793" t="str">
            <v>MANHATTAN FIM CP IE</v>
          </cell>
          <cell r="E17793" t="str">
            <v>JULIUS BAER FAMILY OFFICE BRASIL GESTAO DE PATRIMONIO LTDA</v>
          </cell>
        </row>
        <row r="17794">
          <cell r="B17794">
            <v>125047</v>
          </cell>
          <cell r="C17794" t="str">
            <v>MEDOC FIC CRED PRIV IE</v>
          </cell>
          <cell r="D17794" t="str">
            <v>MEDOC FIC CRED PRIV IE</v>
          </cell>
          <cell r="E17794" t="str">
            <v>JULIUS BAER FAMILY OFFICE BRASIL GESTAO DE PATRIMONIO LTDA</v>
          </cell>
        </row>
        <row r="17795">
          <cell r="B17795">
            <v>125047</v>
          </cell>
          <cell r="C17795" t="str">
            <v>MEDOC FIC CRED PRIV IE</v>
          </cell>
          <cell r="D17795" t="str">
            <v>MEDOC FIC CRED PRIV IE</v>
          </cell>
          <cell r="E17795" t="str">
            <v>JULIUS BAER FAMILY OFFICE BRASIL GESTAO DE PATRIMONIO LTDA</v>
          </cell>
        </row>
        <row r="17796">
          <cell r="B17796">
            <v>125050</v>
          </cell>
          <cell r="C17796" t="str">
            <v>MANTO FIC FIM CP IE</v>
          </cell>
          <cell r="D17796" t="str">
            <v>MANTO FIC FIM CP IE</v>
          </cell>
          <cell r="E17796" t="str">
            <v>MANTO FIC FIM CP IE</v>
          </cell>
        </row>
        <row r="17797">
          <cell r="B17797">
            <v>125050</v>
          </cell>
          <cell r="C17797" t="str">
            <v>MANTO FIC FIM CP IE</v>
          </cell>
          <cell r="D17797" t="str">
            <v>MANTO FIC FIM CP IE</v>
          </cell>
          <cell r="E17797" t="str">
            <v>MANTO FIC FIM CP IE</v>
          </cell>
        </row>
        <row r="17798">
          <cell r="B17798">
            <v>125051</v>
          </cell>
          <cell r="C17798" t="str">
            <v>MARINO FIM CRED PRIV IE</v>
          </cell>
          <cell r="D17798" t="str">
            <v>MARINO FIM CRED PRIV IE</v>
          </cell>
          <cell r="E17798" t="str">
            <v>JULIUS BAER FAMILY OFFICE BRASIL GESTAO DE PATRIMONIO LTDA</v>
          </cell>
        </row>
        <row r="17799">
          <cell r="B17799">
            <v>125051</v>
          </cell>
          <cell r="C17799" t="str">
            <v>MARINO FIM CRED PRIV IE</v>
          </cell>
          <cell r="D17799" t="str">
            <v>MARINO FIM CRED PRIV IE</v>
          </cell>
          <cell r="E17799" t="str">
            <v>JULIUS BAER FAMILY OFFICE BRASIL GESTAO DE PATRIMONIO LTDA</v>
          </cell>
        </row>
        <row r="17800">
          <cell r="B17800">
            <v>125041</v>
          </cell>
          <cell r="C17800" t="str">
            <v>MARANHAO FIM CP</v>
          </cell>
          <cell r="D17800" t="str">
            <v>MARANHAO FIM CP</v>
          </cell>
          <cell r="E17800" t="str">
            <v>JULIUS BAER FAMILY OFFICE BRASIL GESTAO DE PATRIMONIO LTDA</v>
          </cell>
        </row>
        <row r="17801">
          <cell r="B17801">
            <v>125041</v>
          </cell>
          <cell r="C17801" t="str">
            <v>MARANHAO FIM CP</v>
          </cell>
          <cell r="D17801" t="str">
            <v>MARANHAO FIM CP</v>
          </cell>
          <cell r="E17801" t="str">
            <v>JULIUS BAER FAMILY OFFICE BRASIL GESTAO DE PATRIMONIO LTDA</v>
          </cell>
        </row>
        <row r="17802">
          <cell r="B17802">
            <v>125052</v>
          </cell>
          <cell r="C17802" t="str">
            <v>MATISSE III CRED PRIV IE</v>
          </cell>
          <cell r="D17802" t="str">
            <v>MATISSE III CRED PRIV IE</v>
          </cell>
          <cell r="E17802" t="str">
            <v>JULIUS BAER FAMILY OFFICE BRASIL GESTAO DE PATRIMONIO LTDA</v>
          </cell>
        </row>
        <row r="17803">
          <cell r="B17803">
            <v>125052</v>
          </cell>
          <cell r="C17803" t="str">
            <v>MATISSE III CRED PRIV IE</v>
          </cell>
          <cell r="D17803" t="str">
            <v>MATISSE III CRED PRIV IE</v>
          </cell>
          <cell r="E17803" t="str">
            <v>JULIUS BAER FAMILY OFFICE BRASIL GESTAO DE PATRIMONIO LTDA</v>
          </cell>
        </row>
        <row r="17804">
          <cell r="B17804">
            <v>125053</v>
          </cell>
          <cell r="C17804" t="str">
            <v>SANTANDER CACEIS BRASIL DTVM S.A.</v>
          </cell>
          <cell r="D17804" t="str">
            <v>SANTANDER CACEIS BRASIL DTVM S.A.</v>
          </cell>
          <cell r="E17804" t="str">
            <v>SANTANDER BRASIL GESTAO DE RECURSOS LTDA</v>
          </cell>
        </row>
        <row r="17805">
          <cell r="B17805">
            <v>125053</v>
          </cell>
          <cell r="C17805" t="str">
            <v>SANTANDER CACEIS BRASIL DTVM S.A.</v>
          </cell>
          <cell r="D17805" t="str">
            <v>SANTANDER CACEIS BRASIL DTVM S.A.</v>
          </cell>
          <cell r="E17805" t="str">
            <v>SANTANDER BRASIL GESTAO DE RECURSOS LTDA</v>
          </cell>
        </row>
        <row r="17806">
          <cell r="B17806">
            <v>125054</v>
          </cell>
          <cell r="C17806" t="str">
            <v>SANTANDER CACEIS BRASIL DTVM S.A.</v>
          </cell>
          <cell r="D17806" t="str">
            <v>SANTANDER CACEIS BRASIL DTVM S.A.</v>
          </cell>
          <cell r="E17806" t="str">
            <v>SANTANDER BRASIL GESTAO DE RECURSOS LTDA</v>
          </cell>
        </row>
        <row r="17807">
          <cell r="B17807">
            <v>125054</v>
          </cell>
          <cell r="C17807" t="str">
            <v>SANTANDER CACEIS BRASIL DTVM S.A.</v>
          </cell>
          <cell r="D17807" t="str">
            <v>SANTANDER CACEIS BRASIL DTVM S.A.</v>
          </cell>
          <cell r="E17807" t="str">
            <v>SANTANDER BRASIL GESTAO DE RECURSOS LTDA</v>
          </cell>
        </row>
        <row r="17808">
          <cell r="B17808">
            <v>122843</v>
          </cell>
          <cell r="C17808" t="str">
            <v>XP HEDGE SEM RENDA VARIAVEL FIM</v>
          </cell>
          <cell r="D17808" t="str">
            <v>XP HEDGE SEM RENDA VARIAVEL FIM</v>
          </cell>
          <cell r="E17808" t="str">
            <v>XP HEDGE SEM RENDA VARIAVEL FIM</v>
          </cell>
        </row>
        <row r="17809">
          <cell r="B17809">
            <v>125056</v>
          </cell>
          <cell r="C17809" t="str">
            <v>SANTANDER CACEIS BRASIL DTVM S.A.</v>
          </cell>
          <cell r="D17809" t="str">
            <v>SANTANDER CACEIS BRASIL DTVM S.A.</v>
          </cell>
          <cell r="E17809" t="str">
            <v>SANTANDER BRASIL GESTAO DE RECURSOS LTDA</v>
          </cell>
        </row>
        <row r="17810">
          <cell r="B17810">
            <v>125056</v>
          </cell>
          <cell r="C17810" t="str">
            <v>SANTANDER CACEIS BRASIL DTVM S.A.</v>
          </cell>
          <cell r="D17810" t="str">
            <v>SANTANDER CACEIS BRASIL DTVM S.A.</v>
          </cell>
          <cell r="E17810" t="str">
            <v>SANTANDER BRASIL GESTAO DE RECURSOS LTDA</v>
          </cell>
        </row>
        <row r="17811">
          <cell r="B17811">
            <v>125057</v>
          </cell>
          <cell r="C17811" t="str">
            <v>SANTANDER CACEIS BRASIL DTVM S.A.</v>
          </cell>
          <cell r="D17811" t="str">
            <v>SANTANDER CACEIS BRASIL DTVM S.A.</v>
          </cell>
          <cell r="E17811" t="str">
            <v>SANTANDER BRASIL GESTAO DE RECURSOS LTDA</v>
          </cell>
        </row>
        <row r="17812">
          <cell r="B17812">
            <v>125057</v>
          </cell>
          <cell r="C17812" t="str">
            <v>SANTANDER CACEIS BRASIL DTVM S.A.</v>
          </cell>
          <cell r="D17812" t="str">
            <v>SANTANDER CACEIS BRASIL DTVM S.A.</v>
          </cell>
          <cell r="E17812" t="str">
            <v>SANTANDER BRASIL GESTAO DE RECURSOS LTDA</v>
          </cell>
        </row>
        <row r="17813">
          <cell r="B17813">
            <v>125058</v>
          </cell>
          <cell r="C17813" t="str">
            <v>SANTANDER CACEIS BRASIL DTVM S.A.</v>
          </cell>
          <cell r="D17813" t="str">
            <v>SANTANDER CACEIS BRASIL DTVM S.A.</v>
          </cell>
          <cell r="E17813" t="str">
            <v>SANTANDER BRASIL GESTAO DE RECURSOS LTDA</v>
          </cell>
        </row>
        <row r="17814">
          <cell r="B17814">
            <v>125058</v>
          </cell>
          <cell r="C17814" t="str">
            <v>SANTANDER CACEIS BRASIL DTVM S.A.</v>
          </cell>
          <cell r="D17814" t="str">
            <v>SANTANDER CACEIS BRASIL DTVM S.A.</v>
          </cell>
          <cell r="E17814" t="str">
            <v>SANTANDER BRASIL GESTAO DE RECURSOS LTDA</v>
          </cell>
        </row>
        <row r="17815">
          <cell r="B17815">
            <v>125059</v>
          </cell>
          <cell r="C17815" t="str">
            <v>SANTANDER CACEIS BRASIL DTVM S.A.</v>
          </cell>
          <cell r="D17815" t="str">
            <v>SANTANDER CACEIS BRASIL DTVM S.A.</v>
          </cell>
          <cell r="E17815" t="str">
            <v>SANTANDER BRASIL GESTAO DE RECURSOS LTDA</v>
          </cell>
        </row>
        <row r="17816">
          <cell r="B17816">
            <v>125059</v>
          </cell>
          <cell r="C17816" t="str">
            <v>SANTANDER CACEIS BRASIL DTVM S.A.</v>
          </cell>
          <cell r="D17816" t="str">
            <v>SANTANDER CACEIS BRASIL DTVM S.A.</v>
          </cell>
          <cell r="E17816" t="str">
            <v>SANTANDER BRASIL GESTAO DE RECURSOS LTDA</v>
          </cell>
        </row>
        <row r="17817">
          <cell r="B17817">
            <v>80495</v>
          </cell>
          <cell r="C17817" t="str">
            <v>VINLAND LONG ONLY MASTER FIA</v>
          </cell>
          <cell r="D17817" t="str">
            <v>VINLAND LONG ONLY MASTER FIA</v>
          </cell>
          <cell r="E17817" t="str">
            <v>VINLAND CAPITAL MANAGEMENT GESTORA DE RECURSOS LTDA</v>
          </cell>
        </row>
        <row r="17818">
          <cell r="B17818">
            <v>125060</v>
          </cell>
          <cell r="C17818" t="str">
            <v>BRUNO FERREIRA GOMES</v>
          </cell>
          <cell r="D17818" t="str">
            <v>BRUNO FERREIRA GOMES</v>
          </cell>
          <cell r="E17818" t="str">
            <v>BRUNO FERREIRA GOMES</v>
          </cell>
        </row>
        <row r="17819">
          <cell r="B17819">
            <v>125060</v>
          </cell>
          <cell r="C17819" t="str">
            <v>BRUNO FERREIRA GOMES</v>
          </cell>
          <cell r="D17819" t="str">
            <v>BRUNO FERREIRA GOMES</v>
          </cell>
          <cell r="E17819" t="str">
            <v>BRUNO FERREIRA GOMES</v>
          </cell>
        </row>
        <row r="17820">
          <cell r="B17820">
            <v>80496</v>
          </cell>
          <cell r="C17820" t="str">
            <v>NEO GESTAO DE RECURSOS LTDA.</v>
          </cell>
          <cell r="D17820" t="str">
            <v>NEO GESTAO DE RECURSOS LTDA.</v>
          </cell>
          <cell r="E17820" t="str">
            <v>NEO GESTÃO DE RECURSOS LTDA</v>
          </cell>
        </row>
        <row r="17821">
          <cell r="B17821">
            <v>80496</v>
          </cell>
          <cell r="C17821" t="str">
            <v>NEO GESTAO DE RECURSOS LTDA.</v>
          </cell>
          <cell r="D17821" t="str">
            <v>NEO GESTAO DE RECURSOS LTDA.</v>
          </cell>
          <cell r="E17821" t="str">
            <v>NEO GESTÃO DE RECURSOS LTDA</v>
          </cell>
        </row>
        <row r="17822">
          <cell r="B17822">
            <v>125061</v>
          </cell>
          <cell r="C17822" t="str">
            <v>SANTANDER CACEIS BRASIL DTVM S.A.</v>
          </cell>
          <cell r="D17822" t="str">
            <v>SANTANDER CACEIS BRASIL DTVM S.A.</v>
          </cell>
          <cell r="E17822" t="str">
            <v>SANTANDER BRASIL GESTAO DE RECURSOS LTDA</v>
          </cell>
        </row>
        <row r="17823">
          <cell r="B17823">
            <v>125061</v>
          </cell>
          <cell r="C17823" t="str">
            <v>SANTANDER CACEIS BRASIL DTVM S.A.</v>
          </cell>
          <cell r="D17823" t="str">
            <v>SANTANDER CACEIS BRASIL DTVM S.A.</v>
          </cell>
          <cell r="E17823" t="str">
            <v>SANTANDER BRASIL GESTAO DE RECURSOS LTDA</v>
          </cell>
        </row>
        <row r="17824">
          <cell r="B17824">
            <v>125062</v>
          </cell>
          <cell r="C17824" t="str">
            <v>JAR VALUE FIA BDR NIVEL I</v>
          </cell>
          <cell r="D17824" t="str">
            <v>JAR VALUE FIA BDR NIVEL I</v>
          </cell>
          <cell r="E17824" t="str">
            <v>JULIUS BAER FAMILY OFFICE BRASIL GESTAO DE PATRIMONIO LTDA</v>
          </cell>
        </row>
        <row r="17825">
          <cell r="B17825">
            <v>125062</v>
          </cell>
          <cell r="C17825" t="str">
            <v>JAR VALUE FIA BDR NIVEL I</v>
          </cell>
          <cell r="D17825" t="str">
            <v>JAR VALUE FIA BDR NIVEL I</v>
          </cell>
          <cell r="E17825" t="str">
            <v>JULIUS BAER FAMILY OFFICE BRASIL GESTAO DE PATRIMONIO LTDA</v>
          </cell>
        </row>
        <row r="17826">
          <cell r="B17826">
            <v>80497</v>
          </cell>
          <cell r="C17826" t="str">
            <v>SHARP CAPITAL GESTORA DE RECURSOS LTDA</v>
          </cell>
          <cell r="D17826" t="str">
            <v>SHARP CAPITAL GESTORA DE RECURSOS LTDA</v>
          </cell>
          <cell r="E17826" t="str">
            <v>SHARP CAPITAL GESTORA DE RECURSOS LTDA</v>
          </cell>
        </row>
        <row r="17827">
          <cell r="B17827">
            <v>80497</v>
          </cell>
          <cell r="C17827" t="str">
            <v>SHARP CAPITAL GESTORA DE RECURSOS LTDA</v>
          </cell>
          <cell r="D17827" t="str">
            <v>SHARP CAPITAL GESTORA DE RECURSOS LTDA</v>
          </cell>
          <cell r="E17827" t="str">
            <v>SHARP CAPITAL GESTORA DE RECURSOS LTDA</v>
          </cell>
        </row>
        <row r="17828">
          <cell r="B17828">
            <v>125063</v>
          </cell>
          <cell r="C17828" t="str">
            <v>SHARP ESTRATEGIA STB FUNDO DE INVESTIMENTO MULTIMERCADO</v>
          </cell>
          <cell r="D17828" t="str">
            <v>SHARP ESTRATEGIA STB FUNDO DE INVESTIMENTO MULTIMERCADO</v>
          </cell>
          <cell r="E17828" t="str">
            <v>SHARP CAPITAL GESTORA DE RECURSOS LTDA</v>
          </cell>
        </row>
        <row r="17829">
          <cell r="B17829">
            <v>125064</v>
          </cell>
          <cell r="C17829" t="str">
            <v>SERPROS FUNDO DE INVESTIMENTO EM ACOES KENOBI</v>
          </cell>
          <cell r="D17829" t="str">
            <v>SERPROS FUNDO DE INVESTIMENTO EM ACOES KENOBI</v>
          </cell>
          <cell r="E17829" t="str">
            <v>SHARP CAPITAL GESTORA DE RECURSOS LTDA</v>
          </cell>
        </row>
        <row r="17830">
          <cell r="B17830">
            <v>125064</v>
          </cell>
          <cell r="C17830" t="str">
            <v>SERPROS FUNDO DE INVESTIMENTO EM ACOES KENOBI</v>
          </cell>
          <cell r="D17830" t="str">
            <v>SERPROS FUNDO DE INVESTIMENTO EM ACOES KENOBI</v>
          </cell>
          <cell r="E17830" t="str">
            <v>SHARP CAPITAL GESTORA DE RECURSOS LTDA</v>
          </cell>
        </row>
        <row r="17831">
          <cell r="B17831">
            <v>125065</v>
          </cell>
          <cell r="C17831" t="str">
            <v>SHARP LONG BIASED MASTER FUNDO DE INVESTIMENTO DE ACOES</v>
          </cell>
          <cell r="D17831" t="str">
            <v>SHARP LONG BIASED MASTER FUNDO DE INVESTIMENTO DE ACOES</v>
          </cell>
          <cell r="E17831" t="str">
            <v>SHARP CAPITAL GESTORA DE RECURSOS LTDA</v>
          </cell>
        </row>
        <row r="17832">
          <cell r="B17832">
            <v>125066</v>
          </cell>
          <cell r="C17832" t="str">
            <v>SHARP CONTINENTE FUNDO DE INVESTIMENTO EM ACOES</v>
          </cell>
          <cell r="D17832" t="str">
            <v>SHARP CONTINENTE FUNDO DE INVESTIMENTO EM ACOES</v>
          </cell>
          <cell r="E17832" t="str">
            <v>SHARP CAPITAL GESTORA DE RECURSOS LTDA</v>
          </cell>
        </row>
        <row r="17833">
          <cell r="B17833">
            <v>80498</v>
          </cell>
          <cell r="C17833" t="str">
            <v>ALASKA RANGE FIM</v>
          </cell>
          <cell r="D17833" t="str">
            <v>ALASKA RANGE FIM</v>
          </cell>
          <cell r="E17833" t="str">
            <v>ALASKA RANGE FIM</v>
          </cell>
        </row>
        <row r="17834">
          <cell r="B17834">
            <v>80498</v>
          </cell>
          <cell r="C17834" t="str">
            <v>ALASKA RANGE FIM</v>
          </cell>
          <cell r="D17834" t="str">
            <v>ALASKA RANGE FIM</v>
          </cell>
          <cell r="E17834" t="str">
            <v>ALASKA RANGE FIM</v>
          </cell>
        </row>
        <row r="17835">
          <cell r="B17835">
            <v>80500</v>
          </cell>
          <cell r="C17835" t="str">
            <v>ALASKA POLAND FIA BDR NIVEL I IE</v>
          </cell>
          <cell r="D17835" t="str">
            <v>ALASKA POLAND FIA BDR NIVEL I IE</v>
          </cell>
          <cell r="E17835" t="str">
            <v>ALASKA POLAND FIA BDR NIVEL I IE</v>
          </cell>
        </row>
        <row r="17836">
          <cell r="B17836">
            <v>80500</v>
          </cell>
          <cell r="C17836" t="str">
            <v>ALASKA POLAND FIA BDR NIVEL I IE</v>
          </cell>
          <cell r="D17836" t="str">
            <v>ALASKA POLAND FIA BDR NIVEL I IE</v>
          </cell>
          <cell r="E17836" t="str">
            <v>ALASKA POLAND FIA BDR NIVEL I IE</v>
          </cell>
        </row>
        <row r="17837">
          <cell r="B17837">
            <v>80501</v>
          </cell>
          <cell r="C17837" t="str">
            <v>INFINITY ASSET MANAG ADM DE RECURSOS LTDA</v>
          </cell>
          <cell r="D17837" t="str">
            <v>INFINITY ASSET MANAG ADM DE RECURSOS LTDA</v>
          </cell>
          <cell r="E17837" t="str">
            <v>INFINITY ASSET MANAG ADM DE RECURSOS LTDA</v>
          </cell>
        </row>
        <row r="17838">
          <cell r="B17838">
            <v>80501</v>
          </cell>
          <cell r="C17838" t="str">
            <v>INFINITY ASSET MANAG ADM DE RECURSOS LTDA</v>
          </cell>
          <cell r="D17838" t="str">
            <v>INFINITY ASSET MANAG ADM DE RECURSOS LTDA</v>
          </cell>
          <cell r="E17838" t="str">
            <v>INFINITY ASSET MANAG ADM DE RECURSOS LTDA</v>
          </cell>
        </row>
        <row r="17839">
          <cell r="B17839">
            <v>122372</v>
          </cell>
          <cell r="C17839" t="str">
            <v>OCCAM INSTITUCIONAL FIF MULTIMERCADO  RL</v>
          </cell>
          <cell r="D17839" t="str">
            <v>OCCAM INSTITUCIONAL FIF MULTIMERCADO  RL</v>
          </cell>
          <cell r="E17839" t="str">
            <v>OCCAM BRASIL GESTAO DE RECURSOS LTDA</v>
          </cell>
        </row>
        <row r="17840">
          <cell r="B17840">
            <v>79188</v>
          </cell>
          <cell r="C17840" t="str">
            <v>OCCAM INSTITUCIONAL FIF MULTIMERCADO  RL</v>
          </cell>
          <cell r="D17840" t="str">
            <v>OCCAM INSTITUCIONAL FIF MULTIMERCADO  RL</v>
          </cell>
          <cell r="E17840" t="str">
            <v>OCCAM BRASIL GESTAO DE RECURSOS LTDA</v>
          </cell>
        </row>
        <row r="17841">
          <cell r="B17841">
            <v>80503</v>
          </cell>
          <cell r="C17841" t="str">
            <v>KINEA INVESTIMENTOS LTDA</v>
          </cell>
          <cell r="D17841" t="str">
            <v>KINEA INVESTIMENTOS LTDA</v>
          </cell>
          <cell r="E17841" t="str">
            <v>KINEA INVESTIMENTOS LTDA</v>
          </cell>
        </row>
        <row r="17842">
          <cell r="B17842">
            <v>125067</v>
          </cell>
          <cell r="C17842" t="str">
            <v>JOMS FIM CP IE</v>
          </cell>
          <cell r="D17842" t="str">
            <v>JOMS FIM CP IE</v>
          </cell>
          <cell r="E17842" t="str">
            <v>JULIUS BAER FAMILY OFFICE BRASIL GESTAO DE PATRIMONIO LTDA</v>
          </cell>
        </row>
        <row r="17843">
          <cell r="B17843">
            <v>125067</v>
          </cell>
          <cell r="C17843" t="str">
            <v>JOMS FIM CP IE</v>
          </cell>
          <cell r="D17843" t="str">
            <v>JOMS FIM CP IE</v>
          </cell>
          <cell r="E17843" t="str">
            <v>JULIUS BAER FAMILY OFFICE BRASIL GESTAO DE PATRIMONIO LTDA</v>
          </cell>
        </row>
        <row r="17844">
          <cell r="B17844">
            <v>125068</v>
          </cell>
          <cell r="C17844" t="str">
            <v>JV4 FIM CP IE</v>
          </cell>
          <cell r="D17844" t="str">
            <v>JV4 FIM CP IE</v>
          </cell>
          <cell r="E17844" t="str">
            <v>JULIUS BAER FAMILY OFFICE BRASIL GESTAO DE PATRIMONIO LTDA</v>
          </cell>
        </row>
        <row r="17845">
          <cell r="B17845">
            <v>125068</v>
          </cell>
          <cell r="C17845" t="str">
            <v>JV4 FIM CP IE</v>
          </cell>
          <cell r="D17845" t="str">
            <v>JV4 FIM CP IE</v>
          </cell>
          <cell r="E17845" t="str">
            <v>JULIUS BAER FAMILY OFFICE BRASIL GESTAO DE PATRIMONIO LTDA</v>
          </cell>
        </row>
        <row r="17846">
          <cell r="B17846">
            <v>125069</v>
          </cell>
          <cell r="C17846" t="str">
            <v>KAPPA CFO FIM CP IE</v>
          </cell>
          <cell r="D17846" t="str">
            <v>KAPPA CFO FIM CP IE</v>
          </cell>
          <cell r="E17846" t="str">
            <v>JULIUS BAER FAMILY OFFICE BRASIL GESTAO DE PATRIMONIO LTDA</v>
          </cell>
        </row>
        <row r="17847">
          <cell r="B17847">
            <v>125069</v>
          </cell>
          <cell r="C17847" t="str">
            <v>KAPPA CFO FIM CP IE</v>
          </cell>
          <cell r="D17847" t="str">
            <v>KAPPA CFO FIM CP IE</v>
          </cell>
          <cell r="E17847" t="str">
            <v>JULIUS BAER FAMILY OFFICE BRASIL GESTAO DE PATRIMONIO LTDA</v>
          </cell>
        </row>
        <row r="17848">
          <cell r="B17848">
            <v>125070</v>
          </cell>
          <cell r="C17848" t="str">
            <v>KEY BISCAYNE FIM CP IE</v>
          </cell>
          <cell r="D17848" t="str">
            <v>KEY BISCAYNE FIM CP IE</v>
          </cell>
          <cell r="E17848" t="str">
            <v>JULIUS BAER FAMILY OFFICE BRASIL GESTAO DE PATRIMONIO LTDA</v>
          </cell>
        </row>
        <row r="17849">
          <cell r="B17849">
            <v>125070</v>
          </cell>
          <cell r="C17849" t="str">
            <v>KEY BISCAYNE FIM CP IE</v>
          </cell>
          <cell r="D17849" t="str">
            <v>KEY BISCAYNE FIM CP IE</v>
          </cell>
          <cell r="E17849" t="str">
            <v>JULIUS BAER FAMILY OFFICE BRASIL GESTAO DE PATRIMONIO LTDA</v>
          </cell>
        </row>
        <row r="17850">
          <cell r="B17850">
            <v>125071</v>
          </cell>
          <cell r="C17850" t="str">
            <v>BB GESTAO DE RECURSOS DTVM LTDA</v>
          </cell>
          <cell r="D17850" t="str">
            <v>BB GESTAO DE RECURSOS DTVM LTDA</v>
          </cell>
          <cell r="E17850" t="str">
            <v>BB GESTAO DE RECURSOS DTVM LTDA</v>
          </cell>
        </row>
        <row r="17851">
          <cell r="B17851">
            <v>125072</v>
          </cell>
          <cell r="C17851" t="str">
            <v>SPX FALCON MASTER FIF EM AÃ‡Ã•ES RL</v>
          </cell>
          <cell r="D17851" t="str">
            <v>SPX FALCON MASTER FIF EM AÃ‡Ã•ES RL</v>
          </cell>
          <cell r="E17851" t="str">
            <v>SPX GESTAO DE RECURSOS LTDA</v>
          </cell>
        </row>
        <row r="17852">
          <cell r="B17852">
            <v>125073</v>
          </cell>
          <cell r="C17852" t="str">
            <v>SPX RAPTOR MASTER FI EXT MM CP</v>
          </cell>
          <cell r="D17852" t="str">
            <v>SPX RAPTOR MASTER FI EXT MM CP</v>
          </cell>
          <cell r="E17852" t="str">
            <v>SPX GESTAO DE RECURSOS LTDA</v>
          </cell>
        </row>
        <row r="17853">
          <cell r="B17853">
            <v>125074</v>
          </cell>
          <cell r="C17853" t="str">
            <v>SPX NIMITZ MASTER FI FIM RESPONSABILIDADE LIMITADA</v>
          </cell>
          <cell r="D17853" t="str">
            <v>SPX NIMITZ MASTER FI FIM RESPONSABILIDADE LIMITADA</v>
          </cell>
          <cell r="E17853" t="str">
            <v>SPX GESTAO DE RECURSOS LTDA</v>
          </cell>
        </row>
        <row r="17854">
          <cell r="B17854">
            <v>125073</v>
          </cell>
          <cell r="C17854" t="str">
            <v>SPX RAPTOR MASTER FI EXT MM CP</v>
          </cell>
          <cell r="D17854" t="str">
            <v>SPX RAPTOR MASTER FI EXT MM CP</v>
          </cell>
          <cell r="E17854" t="str">
            <v>SPX GESTAO DE RECURSOS LTDA</v>
          </cell>
        </row>
        <row r="17855">
          <cell r="B17855">
            <v>125074</v>
          </cell>
          <cell r="C17855" t="str">
            <v>SPX NIMITZ MASTER FI FIM RESPONSABILIDADE LIMITADA</v>
          </cell>
          <cell r="D17855" t="str">
            <v>SPX NIMITZ MASTER FI FIM RESPONSABILIDADE LIMITADA</v>
          </cell>
          <cell r="E17855" t="str">
            <v>SPX GESTAO DE RECURSOS LTDA</v>
          </cell>
        </row>
        <row r="17856">
          <cell r="B17856">
            <v>125075</v>
          </cell>
          <cell r="C17856" t="str">
            <v>SPX PATRIOT MASTER FI FIA RESPONSABILIDADE LIMITADA</v>
          </cell>
          <cell r="D17856" t="str">
            <v>SPX PATRIOT MASTER FI FIA RESPONSABILIDADE LIMITADA</v>
          </cell>
          <cell r="E17856" t="str">
            <v>SPX GESTAO DE RECURSOS LTDA</v>
          </cell>
        </row>
        <row r="17857">
          <cell r="B17857">
            <v>125076</v>
          </cell>
          <cell r="C17857" t="str">
            <v>CANADIAN EAGLE PORTFOLIO LLC</v>
          </cell>
          <cell r="D17857" t="str">
            <v>CANADIAN EAGLE PORTFOLIO LLC</v>
          </cell>
          <cell r="E17857" t="str">
            <v>SPX GESTAO DE RECURSOS LTDA</v>
          </cell>
        </row>
        <row r="17858">
          <cell r="B17858">
            <v>125076</v>
          </cell>
          <cell r="C17858" t="str">
            <v>CANADIAN EAGLE PORTFOLIO LLC</v>
          </cell>
          <cell r="D17858" t="str">
            <v>CANADIAN EAGLE PORTFOLIO LLC</v>
          </cell>
          <cell r="E17858" t="str">
            <v>SPX GESTAO DE RECURSOS LTDA</v>
          </cell>
        </row>
        <row r="17859">
          <cell r="B17859">
            <v>125077</v>
          </cell>
          <cell r="C17859" t="str">
            <v>KRIFTEL FIM CPP IE</v>
          </cell>
          <cell r="D17859" t="str">
            <v>KRIFTEL FIM CPP IE</v>
          </cell>
          <cell r="E17859" t="str">
            <v>JULIUS BAER FAMILY OFFICE BRASIL GESTAO DE PATRIMONIO LTDA</v>
          </cell>
        </row>
        <row r="17860">
          <cell r="B17860">
            <v>125077</v>
          </cell>
          <cell r="C17860" t="str">
            <v>KRIFTEL FIM CPP IE</v>
          </cell>
          <cell r="D17860" t="str">
            <v>KRIFTEL FIM CPP IE</v>
          </cell>
          <cell r="E17860" t="str">
            <v>JULIUS BAER FAMILY OFFICE BRASIL GESTAO DE PATRIMONIO LTDA</v>
          </cell>
        </row>
        <row r="17861">
          <cell r="B17861">
            <v>125078</v>
          </cell>
          <cell r="C17861" t="str">
            <v>LAJE FIC DE FIM CP</v>
          </cell>
          <cell r="D17861" t="str">
            <v>LAJE FIC DE FIM CP</v>
          </cell>
          <cell r="E17861" t="str">
            <v>CFO ADMINISTRACAO DE RECURSOS LTDA</v>
          </cell>
        </row>
        <row r="17862">
          <cell r="B17862">
            <v>125078</v>
          </cell>
          <cell r="C17862" t="str">
            <v>LAJE FIC DE FIM CP</v>
          </cell>
          <cell r="D17862" t="str">
            <v>LAJE FIC DE FIM CP</v>
          </cell>
          <cell r="E17862" t="str">
            <v>CFO ADMINISTRACAO DE RECURSOS LTDA</v>
          </cell>
        </row>
        <row r="17863">
          <cell r="B17863">
            <v>125079</v>
          </cell>
          <cell r="C17863" t="str">
            <v>VINCI CARNAUBA FIM</v>
          </cell>
          <cell r="D17863" t="str">
            <v>VINCI CARNAUBA FIM</v>
          </cell>
          <cell r="E17863" t="str">
            <v>VINCI CARNAUBA FIM</v>
          </cell>
        </row>
        <row r="17864">
          <cell r="B17864">
            <v>125079</v>
          </cell>
          <cell r="C17864" t="str">
            <v>VINCI CARNAUBA FIM</v>
          </cell>
          <cell r="D17864" t="str">
            <v>VINCI CARNAUBA FIM</v>
          </cell>
          <cell r="E17864" t="str">
            <v>VINCI CARNAUBA FIM</v>
          </cell>
        </row>
        <row r="17865">
          <cell r="B17865">
            <v>125080</v>
          </cell>
          <cell r="C17865" t="str">
            <v>WINGS FIM CP IE</v>
          </cell>
          <cell r="D17865" t="str">
            <v>WINGS FIM CP IE</v>
          </cell>
          <cell r="E17865" t="str">
            <v>JULIUS BAER FAMILY OFFICE BRASIL GESTAO DE PATRIMONIO LTDA</v>
          </cell>
        </row>
        <row r="17866">
          <cell r="B17866">
            <v>125080</v>
          </cell>
          <cell r="C17866" t="str">
            <v>WINGS FIM CP IE</v>
          </cell>
          <cell r="D17866" t="str">
            <v>WINGS FIM CP IE</v>
          </cell>
          <cell r="E17866" t="str">
            <v>JULIUS BAER FAMILY OFFICE BRASIL GESTAO DE PATRIMONIO LTDA</v>
          </cell>
        </row>
        <row r="17867">
          <cell r="B17867">
            <v>125081</v>
          </cell>
          <cell r="C17867" t="str">
            <v>ROWAN FIM CP IE</v>
          </cell>
          <cell r="D17867" t="str">
            <v>ROWAN FIM CP IE</v>
          </cell>
          <cell r="E17867" t="str">
            <v>JULIUS BAER FAMILY OFFICE BRASIL GESTAO DE PATRIMONIO LTDA</v>
          </cell>
        </row>
        <row r="17868">
          <cell r="B17868">
            <v>125081</v>
          </cell>
          <cell r="C17868" t="str">
            <v>ROWAN FIM CP IE</v>
          </cell>
          <cell r="D17868" t="str">
            <v>ROWAN FIM CP IE</v>
          </cell>
          <cell r="E17868" t="str">
            <v>JULIUS BAER FAMILY OFFICE BRASIL GESTAO DE PATRIMONIO LTDA</v>
          </cell>
        </row>
        <row r="17869">
          <cell r="B17869">
            <v>124687</v>
          </cell>
          <cell r="C17869" t="str">
            <v>MELISSA FIC FIM CRED PRIV IE</v>
          </cell>
          <cell r="D17869" t="str">
            <v>MELISSA FIC FIM CRED PRIV IE</v>
          </cell>
          <cell r="E17869" t="str">
            <v>MELISSA FIC FIM CRED PRIV IE</v>
          </cell>
        </row>
        <row r="17870">
          <cell r="B17870">
            <v>125082</v>
          </cell>
          <cell r="C17870" t="str">
            <v>MELISSA FIC FIM CRED PRIV IE</v>
          </cell>
          <cell r="D17870" t="str">
            <v>MELISSA FIC FIM CRED PRIV IE</v>
          </cell>
          <cell r="E17870" t="str">
            <v>JULIUS BAER FAMILY OFFICE BRASIL GESTAO DE PATRIMONIO LTDA</v>
          </cell>
        </row>
        <row r="17871">
          <cell r="B17871">
            <v>125082</v>
          </cell>
          <cell r="C17871" t="str">
            <v>MELISSA FIC FIM CRED PRIV IE</v>
          </cell>
          <cell r="D17871" t="str">
            <v>MELISSA FIC FIM CRED PRIV IE</v>
          </cell>
          <cell r="E17871" t="str">
            <v>JULIUS BAER FAMILY OFFICE BRASIL GESTAO DE PATRIMONIO LTDA</v>
          </cell>
        </row>
        <row r="17872">
          <cell r="B17872">
            <v>124872</v>
          </cell>
          <cell r="C17872" t="str">
            <v>LCK FIM CP IE</v>
          </cell>
          <cell r="D17872" t="str">
            <v>LCK FIM CP IE</v>
          </cell>
          <cell r="E17872" t="str">
            <v>JULIUS BAER FAMILY OFFICE BRASIL GESTAO DE PATRIMONIO LTDA</v>
          </cell>
        </row>
        <row r="17873">
          <cell r="B17873">
            <v>124872</v>
          </cell>
          <cell r="C17873" t="str">
            <v>LCK FIM CP IE</v>
          </cell>
          <cell r="D17873" t="str">
            <v>LCK FIM CP IE</v>
          </cell>
          <cell r="E17873" t="str">
            <v>JULIUS BAER FAMILY OFFICE BRASIL GESTAO DE PATRIMONIO LTDA</v>
          </cell>
        </row>
        <row r="17874">
          <cell r="B17874">
            <v>125019</v>
          </cell>
          <cell r="C17874" t="str">
            <v>RAVI EXERCICITO FIM CP IE</v>
          </cell>
          <cell r="D17874" t="str">
            <v>RAVI EXERCICITO FIM CP IE</v>
          </cell>
          <cell r="E17874" t="str">
            <v>CFO ADMINISTRACAO DE RECURSOS LTDA</v>
          </cell>
        </row>
        <row r="17875">
          <cell r="B17875">
            <v>125019</v>
          </cell>
          <cell r="C17875" t="str">
            <v>RAVI EXERCICITO FIM CP IE</v>
          </cell>
          <cell r="D17875" t="str">
            <v>RAVI EXERCICITO FIM CP IE</v>
          </cell>
          <cell r="E17875" t="str">
            <v>CFO ADMINISTRACAO DE RECURSOS LTDA</v>
          </cell>
        </row>
        <row r="17876">
          <cell r="B17876">
            <v>125014</v>
          </cell>
          <cell r="C17876" t="str">
            <v>SETEPORTAS FIM CRED PRIV IE</v>
          </cell>
          <cell r="D17876" t="str">
            <v>SETEPORTAS FIM CRED PRIV IE</v>
          </cell>
          <cell r="E17876" t="str">
            <v>CFO ADMINISTRACAO DE RECURSOS LTDA</v>
          </cell>
        </row>
        <row r="17877">
          <cell r="B17877">
            <v>125014</v>
          </cell>
          <cell r="C17877" t="str">
            <v>SETEPORTAS FIM CRED PRIV IE</v>
          </cell>
          <cell r="D17877" t="str">
            <v>SETEPORTAS FIM CRED PRIV IE</v>
          </cell>
          <cell r="E17877" t="str">
            <v>CFO ADMINISTRACAO DE RECURSOS LTDA</v>
          </cell>
        </row>
        <row r="17878">
          <cell r="B17878">
            <v>80504</v>
          </cell>
          <cell r="C17878" t="str">
            <v>LORINVEST GESTAO DE RECURSOS LTDA</v>
          </cell>
          <cell r="D17878" t="str">
            <v>LORINVEST GESTAO DE RECURSOS LTDA</v>
          </cell>
          <cell r="E17878" t="str">
            <v>LORINVEST GESTAO DE RECURSOS LTDA</v>
          </cell>
        </row>
        <row r="17879">
          <cell r="B17879">
            <v>80504</v>
          </cell>
          <cell r="C17879" t="str">
            <v>LORINVEST GESTAO DE RECURSOS LTDA</v>
          </cell>
          <cell r="D17879" t="str">
            <v>LORINVEST GESTAO DE RECURSOS LTDA</v>
          </cell>
          <cell r="E17879" t="str">
            <v>LORINVEST GESTAO DE RECURSOS LTDA</v>
          </cell>
        </row>
        <row r="17880">
          <cell r="B17880">
            <v>80505</v>
          </cell>
          <cell r="C17880" t="str">
            <v>MAAAT FUNDO DE INVESTIMENTO MULTIMERCADO CP IE</v>
          </cell>
          <cell r="D17880" t="str">
            <v>MAAAT FUNDO DE INVESTIMENTO MULTIMERCADO CP IE</v>
          </cell>
          <cell r="E17880" t="str">
            <v>LORINVEST GESTAO DE RECURSOS LTDA</v>
          </cell>
        </row>
        <row r="17881">
          <cell r="B17881">
            <v>80505</v>
          </cell>
          <cell r="C17881" t="str">
            <v>MAAAT FUNDO DE INVESTIMENTO MULTIMERCADO CP IE</v>
          </cell>
          <cell r="D17881" t="str">
            <v>MAAAT FUNDO DE INVESTIMENTO MULTIMERCADO CP IE</v>
          </cell>
          <cell r="E17881" t="str">
            <v>LORINVEST GESTAO DE RECURSOS LTDA</v>
          </cell>
        </row>
        <row r="17882">
          <cell r="B17882">
            <v>80506</v>
          </cell>
          <cell r="C17882" t="str">
            <v>RENO FIM CP IE</v>
          </cell>
          <cell r="D17882" t="str">
            <v>RENO FIM CP IE</v>
          </cell>
          <cell r="E17882" t="str">
            <v>LORINVEST GESTAO DE RECURSOS LTDA</v>
          </cell>
        </row>
        <row r="17883">
          <cell r="B17883">
            <v>80506</v>
          </cell>
          <cell r="C17883" t="str">
            <v>RENO FIM CP IE</v>
          </cell>
          <cell r="D17883" t="str">
            <v>RENO FIM CP IE</v>
          </cell>
          <cell r="E17883" t="str">
            <v>LORINVEST GESTAO DE RECURSOS LTDA</v>
          </cell>
        </row>
        <row r="17884">
          <cell r="B17884">
            <v>80507</v>
          </cell>
          <cell r="C17884" t="str">
            <v>INVESTIDOR PROFISSIONAL GESTAO DE RECURSOS LTDA</v>
          </cell>
          <cell r="D17884" t="str">
            <v>INVESTIDOR PROFISSIONAL GESTAO DE RECURSOS LTDA</v>
          </cell>
          <cell r="E17884" t="str">
            <v>INVESTIDOR PROFISSIONAL GESTAO DE RECURSOS LTDA</v>
          </cell>
        </row>
        <row r="17885">
          <cell r="B17885">
            <v>80507</v>
          </cell>
          <cell r="C17885" t="str">
            <v>INVESTIDOR PROFISSIONAL GESTAO DE RECURSOS LTDA</v>
          </cell>
          <cell r="D17885" t="str">
            <v>INVESTIDOR PROFISSIONAL GESTAO DE RECURSOS LTDA</v>
          </cell>
          <cell r="E17885" t="str">
            <v>INVESTIDOR PROFISSIONAL GESTAO DE RECURSOS LTDA</v>
          </cell>
        </row>
        <row r="17886">
          <cell r="B17886">
            <v>999931</v>
          </cell>
          <cell r="C17886" t="str">
            <v>BGC LIQUIDEZ DTVM LTDA</v>
          </cell>
          <cell r="D17886" t="str">
            <v>BGC LIQUIDEZ DTVM LTDA</v>
          </cell>
          <cell r="E17886" t="str">
            <v>BGC LIQUIDEZ DTVM LTDA</v>
          </cell>
        </row>
        <row r="17887">
          <cell r="B17887">
            <v>999931</v>
          </cell>
          <cell r="C17887" t="str">
            <v>BGC LIQUIDEZ DTVM LTDA</v>
          </cell>
          <cell r="D17887" t="str">
            <v>BGC LIQUIDEZ DTVM LTDA</v>
          </cell>
          <cell r="E17887" t="str">
            <v>BGC LIQUIDEZ DTVM LTDA</v>
          </cell>
        </row>
        <row r="17888">
          <cell r="B17888">
            <v>12321</v>
          </cell>
          <cell r="C17888" t="str">
            <v>BANCO SAFRA S/A</v>
          </cell>
          <cell r="D17888" t="str">
            <v>BANCO SAFRA S/A</v>
          </cell>
          <cell r="E17888" t="str">
            <v>BANCO SAFRA S/A</v>
          </cell>
        </row>
        <row r="17889">
          <cell r="B17889">
            <v>80508</v>
          </cell>
          <cell r="C17889" t="str">
            <v>KADIMA XP SEGUROS PREV FIFE FIM CP</v>
          </cell>
          <cell r="D17889" t="str">
            <v>KADIMA XP SEGUROS PREV FIFE FIM CP</v>
          </cell>
          <cell r="E17889" t="str">
            <v>KADIMA GESTAO DE INVESTIMENTOS LTDA</v>
          </cell>
        </row>
        <row r="17890">
          <cell r="B17890">
            <v>80508</v>
          </cell>
          <cell r="C17890" t="str">
            <v>KADIMA XP SEGUROS PREV FIFE FIM CP</v>
          </cell>
          <cell r="D17890" t="str">
            <v>KADIMA XP SEGUROS PREV FIFE FIM CP</v>
          </cell>
          <cell r="E17890" t="str">
            <v>KADIMA GESTAO DE INVESTIMENTOS LTDA</v>
          </cell>
        </row>
        <row r="17891">
          <cell r="B17891">
            <v>125083</v>
          </cell>
          <cell r="C17891" t="str">
            <v>KADIMA XP SEGUROS PREV FIFE FIM CP</v>
          </cell>
          <cell r="D17891" t="str">
            <v>KADIMA XP SEGUROS PREV FIFE FIM CP</v>
          </cell>
          <cell r="E17891" t="str">
            <v>KADIMA GESTAO DE INVESTIMENTOS LTDA</v>
          </cell>
        </row>
        <row r="17892">
          <cell r="B17892">
            <v>125084</v>
          </cell>
          <cell r="C17892" t="str">
            <v>FAROL FIA</v>
          </cell>
          <cell r="D17892" t="str">
            <v>FAROL FIA</v>
          </cell>
          <cell r="E17892" t="str">
            <v>FRANKLIN TEMPLETON INVESTIMENTOS (BRASIL) LTDA</v>
          </cell>
        </row>
        <row r="17893">
          <cell r="B17893">
            <v>125084</v>
          </cell>
          <cell r="C17893" t="str">
            <v>FAROL FIA</v>
          </cell>
          <cell r="D17893" t="str">
            <v>FAROL FIA</v>
          </cell>
          <cell r="E17893" t="str">
            <v>FRANKLIN TEMPLETON INVESTIMENTOS (BRASIL) LTDA</v>
          </cell>
        </row>
        <row r="17894">
          <cell r="B17894">
            <v>125085</v>
          </cell>
          <cell r="C17894" t="str">
            <v>JETTA FIA</v>
          </cell>
          <cell r="D17894" t="str">
            <v>JETTA FIA</v>
          </cell>
          <cell r="E17894" t="str">
            <v>FRANKLIN TEMPLETON INVESTIMENTOS (BRASIL) LTDA</v>
          </cell>
        </row>
        <row r="17895">
          <cell r="B17895">
            <v>125085</v>
          </cell>
          <cell r="C17895" t="str">
            <v>JETTA FIA</v>
          </cell>
          <cell r="D17895" t="str">
            <v>JETTA FIA</v>
          </cell>
          <cell r="E17895" t="str">
            <v>FRANKLIN TEMPLETON INVESTIMENTOS (BRASIL) LTDA</v>
          </cell>
        </row>
        <row r="17896">
          <cell r="B17896">
            <v>125086</v>
          </cell>
          <cell r="C17896" t="str">
            <v>FIA HBRP IBRX II ATIVO</v>
          </cell>
          <cell r="D17896" t="str">
            <v>FIA HBRP IBRX II ATIVO</v>
          </cell>
          <cell r="E17896" t="str">
            <v>FRANKLIN TEMPLETON INVESTIMENTOS (BRASIL) LTDA</v>
          </cell>
        </row>
        <row r="17897">
          <cell r="B17897">
            <v>125086</v>
          </cell>
          <cell r="C17897" t="str">
            <v>FIA HBRP IBRX II ATIVO</v>
          </cell>
          <cell r="D17897" t="str">
            <v>FIA HBRP IBRX II ATIVO</v>
          </cell>
          <cell r="E17897" t="str">
            <v>FRANKLIN TEMPLETON INVESTIMENTOS (BRASIL) LTDA</v>
          </cell>
        </row>
        <row r="17898">
          <cell r="B17898">
            <v>125087</v>
          </cell>
          <cell r="C17898" t="str">
            <v>FRG FIA VALOR</v>
          </cell>
          <cell r="D17898" t="str">
            <v>FRG FIA VALOR</v>
          </cell>
          <cell r="E17898" t="str">
            <v>FRANKLIN TEMPLETON INVESTIMENTOS (BRASIL) LTDA</v>
          </cell>
        </row>
        <row r="17899">
          <cell r="B17899">
            <v>125087</v>
          </cell>
          <cell r="C17899" t="str">
            <v>FRG FIA VALOR</v>
          </cell>
          <cell r="D17899" t="str">
            <v>FRG FIA VALOR</v>
          </cell>
          <cell r="E17899" t="str">
            <v>FRANKLIN TEMPLETON INVESTIMENTOS (BRASIL) LTDA</v>
          </cell>
        </row>
        <row r="17900">
          <cell r="B17900">
            <v>125088</v>
          </cell>
          <cell r="C17900" t="str">
            <v>FP FRANKLIN TEMPLENTON TOTAL RETURN FIA</v>
          </cell>
          <cell r="D17900" t="str">
            <v>FP FRANKLIN TEMPLENTON TOTAL RETURN FIA</v>
          </cell>
          <cell r="E17900" t="str">
            <v>FRANKLIN TEMPLETON INVESTIMENTOS (BRASIL) LTDA</v>
          </cell>
        </row>
        <row r="17901">
          <cell r="B17901">
            <v>125088</v>
          </cell>
          <cell r="C17901" t="str">
            <v>FP FRANKLIN TEMPLENTON TOTAL RETURN FIA</v>
          </cell>
          <cell r="D17901" t="str">
            <v>FP FRANKLIN TEMPLENTON TOTAL RETURN FIA</v>
          </cell>
          <cell r="E17901" t="str">
            <v>FRANKLIN TEMPLETON INVESTIMENTOS (BRASIL) LTDA</v>
          </cell>
        </row>
        <row r="17902">
          <cell r="B17902">
            <v>125089</v>
          </cell>
          <cell r="C17902" t="str">
            <v>FRANKLIN IBX FIA</v>
          </cell>
          <cell r="D17902" t="str">
            <v>FRANKLIN IBX FIA</v>
          </cell>
          <cell r="E17902" t="str">
            <v>FRANKLIN TEMPLETON INVESTIMENTOS (BRASIL) LTDA</v>
          </cell>
        </row>
        <row r="17903">
          <cell r="B17903">
            <v>125089</v>
          </cell>
          <cell r="C17903" t="str">
            <v>FRANKLIN IBX FIA</v>
          </cell>
          <cell r="D17903" t="str">
            <v>FRANKLIN IBX FIA</v>
          </cell>
          <cell r="E17903" t="str">
            <v>FRANKLIN TEMPLETON INVESTIMENTOS (BRASIL) LTDA</v>
          </cell>
        </row>
        <row r="17904">
          <cell r="B17904">
            <v>125091</v>
          </cell>
          <cell r="C17904" t="str">
            <v>FT - FEF CD FIA</v>
          </cell>
          <cell r="D17904" t="str">
            <v>FT - FEF CD FIA</v>
          </cell>
          <cell r="E17904" t="str">
            <v>FRANKLIN TEMPLETON INVESTIMENTOS (BRASIL) LTDA</v>
          </cell>
        </row>
        <row r="17905">
          <cell r="B17905">
            <v>125091</v>
          </cell>
          <cell r="C17905" t="str">
            <v>FT - FEF CD FIA</v>
          </cell>
          <cell r="D17905" t="str">
            <v>FT - FEF CD FIA</v>
          </cell>
          <cell r="E17905" t="str">
            <v>FRANKLIN TEMPLETON INVESTIMENTOS (BRASIL) LTDA</v>
          </cell>
        </row>
        <row r="17906">
          <cell r="B17906">
            <v>125092</v>
          </cell>
          <cell r="C17906" t="str">
            <v>FIA FRANKLIN TEMPLENTON VALOR BAHIA</v>
          </cell>
          <cell r="D17906" t="str">
            <v>FIA FRANKLIN TEMPLENTON VALOR BAHIA</v>
          </cell>
          <cell r="E17906" t="str">
            <v>FRANKLIN TEMPLETON INVESTIMENTOS (BRASIL) LTDA</v>
          </cell>
        </row>
        <row r="17907">
          <cell r="B17907">
            <v>125092</v>
          </cell>
          <cell r="C17907" t="str">
            <v>FIA FRANKLIN TEMPLENTON VALOR BAHIA</v>
          </cell>
          <cell r="D17907" t="str">
            <v>FIA FRANKLIN TEMPLENTON VALOR BAHIA</v>
          </cell>
          <cell r="E17907" t="str">
            <v>FRANKLIN TEMPLETON INVESTIMENTOS (BRASIL) LTDA</v>
          </cell>
        </row>
        <row r="17908">
          <cell r="B17908">
            <v>125093</v>
          </cell>
          <cell r="C17908" t="str">
            <v>FRANKLIN VALOR E LIQUIDEZ FVL MASTER FIA</v>
          </cell>
          <cell r="D17908" t="str">
            <v>FRANKLIN VALOR E LIQUIDEZ FVL MASTER FIA</v>
          </cell>
          <cell r="E17908" t="str">
            <v>FRANKLIN TEMPLETON INVESTIMENTOS (BRASIL) LTDA</v>
          </cell>
        </row>
        <row r="17909">
          <cell r="B17909">
            <v>125093</v>
          </cell>
          <cell r="C17909" t="str">
            <v>FRANKLIN VALOR E LIQUIDEZ FVL MASTER FIA</v>
          </cell>
          <cell r="D17909" t="str">
            <v>FRANKLIN VALOR E LIQUIDEZ FVL MASTER FIA</v>
          </cell>
          <cell r="E17909" t="str">
            <v>FRANKLIN TEMPLETON INVESTIMENTOS (BRASIL) LTDA</v>
          </cell>
        </row>
        <row r="17910">
          <cell r="B17910">
            <v>125094</v>
          </cell>
          <cell r="C17910" t="str">
            <v>FIA SABESPREV FT VALOR LIQUIDEZ</v>
          </cell>
          <cell r="D17910" t="str">
            <v>FIA SABESPREV FT VALOR LIQUIDEZ</v>
          </cell>
          <cell r="E17910" t="str">
            <v>FRANKLIN TEMPLETON INVESTIMENTOS (BRASIL) LTDA</v>
          </cell>
        </row>
        <row r="17911">
          <cell r="B17911">
            <v>125094</v>
          </cell>
          <cell r="C17911" t="str">
            <v>FIA SABESPREV FT VALOR LIQUIDEZ</v>
          </cell>
          <cell r="D17911" t="str">
            <v>FIA SABESPREV FT VALOR LIQUIDEZ</v>
          </cell>
          <cell r="E17911" t="str">
            <v>FRANKLIN TEMPLETON INVESTIMENTOS (BRASIL) LTDA</v>
          </cell>
        </row>
        <row r="17912">
          <cell r="B17912">
            <v>125095</v>
          </cell>
          <cell r="C17912" t="str">
            <v>FIA CONSTELACAO</v>
          </cell>
          <cell r="D17912" t="str">
            <v>FIA CONSTELACAO</v>
          </cell>
          <cell r="E17912" t="str">
            <v>FRANKLIN TEMPLETON INVESTIMENTOS (BRASIL) LTDA</v>
          </cell>
        </row>
        <row r="17913">
          <cell r="B17913">
            <v>125095</v>
          </cell>
          <cell r="C17913" t="str">
            <v>FIA CONSTELACAO</v>
          </cell>
          <cell r="D17913" t="str">
            <v>FIA CONSTELACAO</v>
          </cell>
          <cell r="E17913" t="str">
            <v>FRANKLIN TEMPLETON INVESTIMENTOS (BRASIL) LTDA</v>
          </cell>
        </row>
        <row r="17914">
          <cell r="B17914">
            <v>125096</v>
          </cell>
          <cell r="C17914" t="str">
            <v>OPERA FIA</v>
          </cell>
          <cell r="D17914" t="str">
            <v>OPERA FIA</v>
          </cell>
          <cell r="E17914" t="str">
            <v>FRANKLIN TEMPLETON INVESTIMENTOS (BRASIL) LTDA</v>
          </cell>
        </row>
        <row r="17915">
          <cell r="B17915">
            <v>125096</v>
          </cell>
          <cell r="C17915" t="str">
            <v>OPERA FIA</v>
          </cell>
          <cell r="D17915" t="str">
            <v>OPERA FIA</v>
          </cell>
          <cell r="E17915" t="str">
            <v>FRANKLIN TEMPLETON INVESTIMENTOS (BRASIL) LTDA</v>
          </cell>
        </row>
        <row r="17916">
          <cell r="B17916">
            <v>125090</v>
          </cell>
          <cell r="C17916" t="str">
            <v>TUCANO FIA PREVIDENCIARIO</v>
          </cell>
          <cell r="D17916" t="str">
            <v>TUCANO FIA PREVIDENCIARIO</v>
          </cell>
          <cell r="E17916" t="str">
            <v>FRANKLIN TEMPLETON INVESTIMENTOS (BRASIL) LTDA</v>
          </cell>
        </row>
        <row r="17917">
          <cell r="B17917">
            <v>125090</v>
          </cell>
          <cell r="C17917" t="str">
            <v>TUCANO FIA PREVIDENCIARIO</v>
          </cell>
          <cell r="D17917" t="str">
            <v>TUCANO FIA PREVIDENCIARIO</v>
          </cell>
          <cell r="E17917" t="str">
            <v>FRANKLIN TEMPLETON INVESTIMENTOS (BRASIL) LTDA</v>
          </cell>
        </row>
        <row r="17918">
          <cell r="B17918">
            <v>125097</v>
          </cell>
          <cell r="C17918" t="str">
            <v>INSTITUTO UNIBANCO</v>
          </cell>
          <cell r="D17918" t="str">
            <v>INSTITUTO UNIBANCO</v>
          </cell>
          <cell r="E17918" t="str">
            <v>ITAU UNIBANCO ASSET - TACO</v>
          </cell>
        </row>
        <row r="17919">
          <cell r="B17919">
            <v>80511</v>
          </cell>
          <cell r="C17919" t="str">
            <v>COFCO INTERNACIONAL BRASIL S.A</v>
          </cell>
          <cell r="D17919" t="str">
            <v>COFCO INTERNACIONAL BRASIL S.A</v>
          </cell>
          <cell r="E17919" t="str">
            <v>COFCO INTERNACIONAL BRASIL S.A</v>
          </cell>
        </row>
        <row r="17920">
          <cell r="B17920">
            <v>80511</v>
          </cell>
          <cell r="C17920" t="str">
            <v>COFCO INTERNACIONAL BRASIL S.A</v>
          </cell>
          <cell r="D17920" t="str">
            <v>COFCO INTERNACIONAL BRASIL S.A</v>
          </cell>
          <cell r="E17920" t="str">
            <v>COFCO INTERNACIONAL BRASIL S.A</v>
          </cell>
        </row>
        <row r="17921">
          <cell r="B17921">
            <v>125098</v>
          </cell>
          <cell r="C17921" t="str">
            <v>MERCURY DERIVATIVES TRADING LIMITED</v>
          </cell>
          <cell r="D17921" t="str">
            <v>MERCURY DERIVATIVES TRADING LIMITED</v>
          </cell>
          <cell r="E17921" t="str">
            <v>MERCURY DERIVATIVES TRADING LIMITED</v>
          </cell>
        </row>
        <row r="17922">
          <cell r="B17922">
            <v>125098</v>
          </cell>
          <cell r="C17922" t="str">
            <v>MERCURY DERIVATIVES TRADING LIMITED</v>
          </cell>
          <cell r="D17922" t="str">
            <v>MERCURY DERIVATIVES TRADING LIMITED</v>
          </cell>
          <cell r="E17922" t="str">
            <v>MERCURY DERIVATIVES TRADING LIMITED</v>
          </cell>
        </row>
        <row r="17923">
          <cell r="B17923">
            <v>125099</v>
          </cell>
          <cell r="C17923" t="str">
            <v>VIC GLOBAL FIA IE</v>
          </cell>
          <cell r="D17923" t="str">
            <v>VIC GLOBAL FIA IE</v>
          </cell>
          <cell r="E17923" t="str">
            <v>JULIUS BAER FAMILY OFFICE BRASIL GESTAO DE PATRIMONIO LTDA</v>
          </cell>
        </row>
        <row r="17924">
          <cell r="B17924">
            <v>125099</v>
          </cell>
          <cell r="C17924" t="str">
            <v>VIC GLOBAL FIA IE</v>
          </cell>
          <cell r="D17924" t="str">
            <v>VIC GLOBAL FIA IE</v>
          </cell>
          <cell r="E17924" t="str">
            <v>JULIUS BAER FAMILY OFFICE BRASIL GESTAO DE PATRIMONIO LTDA</v>
          </cell>
        </row>
        <row r="17925">
          <cell r="B17925">
            <v>125100</v>
          </cell>
          <cell r="C17925" t="str">
            <v>QUARTEIRA FIM CP IE</v>
          </cell>
          <cell r="D17925" t="str">
            <v>QUARTEIRA FIM CP IE</v>
          </cell>
          <cell r="E17925" t="str">
            <v>JULIUS BAER FAMILY OFFICE BRASIL GESTAO DE PATRIMONIO LTDA</v>
          </cell>
        </row>
        <row r="17926">
          <cell r="B17926">
            <v>125100</v>
          </cell>
          <cell r="C17926" t="str">
            <v>QUARTEIRA FIM CP IE</v>
          </cell>
          <cell r="D17926" t="str">
            <v>QUARTEIRA FIM CP IE</v>
          </cell>
          <cell r="E17926" t="str">
            <v>JULIUS BAER FAMILY OFFICE BRASIL GESTAO DE PATRIMONIO LTDA</v>
          </cell>
        </row>
        <row r="17927">
          <cell r="B17927">
            <v>125101</v>
          </cell>
          <cell r="C17927" t="str">
            <v>CFO GLOBAL PORTIFOLIO FIM IE</v>
          </cell>
          <cell r="D17927" t="str">
            <v>CFO GLOBAL PORTIFOLIO FIM IE</v>
          </cell>
          <cell r="E17927" t="str">
            <v>JULIUS BAER FAMILY OFFICE BRASIL GESTAO DE PATRIMONIO LTDA</v>
          </cell>
        </row>
        <row r="17928">
          <cell r="B17928">
            <v>125101</v>
          </cell>
          <cell r="C17928" t="str">
            <v>CFO GLOBAL PORTIFOLIO FIM IE</v>
          </cell>
          <cell r="D17928" t="str">
            <v>CFO GLOBAL PORTIFOLIO FIM IE</v>
          </cell>
          <cell r="E17928" t="str">
            <v>JULIUS BAER FAMILY OFFICE BRASIL GESTAO DE PATRIMONIO LTDA</v>
          </cell>
        </row>
        <row r="17929">
          <cell r="B17929">
            <v>125102</v>
          </cell>
          <cell r="C17929" t="str">
            <v>SANTANDER CACEIS BRASIL DTVM S.A.</v>
          </cell>
          <cell r="D17929" t="str">
            <v>SANTANDER CACEIS BRASIL DTVM S.A.</v>
          </cell>
          <cell r="E17929" t="str">
            <v>SANTANDER BRASIL GESTAO DE RECURSOS LTDA</v>
          </cell>
        </row>
        <row r="17930">
          <cell r="B17930">
            <v>125105</v>
          </cell>
          <cell r="C17930" t="str">
            <v>SANTANDER CACEIS BRASIL DTVM S.A.</v>
          </cell>
          <cell r="D17930" t="str">
            <v>SANTANDER CACEIS BRASIL DTVM S.A.</v>
          </cell>
          <cell r="E17930" t="str">
            <v>SANTANDER BRASIL GESTAO DE RECURSOS LTDA</v>
          </cell>
        </row>
        <row r="17931">
          <cell r="B17931">
            <v>80513</v>
          </cell>
          <cell r="C17931" t="str">
            <v>ALASKA 70 ICATU PREV FIM</v>
          </cell>
          <cell r="D17931" t="str">
            <v>ALASKA 70 ICATU PREV FIM</v>
          </cell>
          <cell r="E17931" t="str">
            <v>ALASKA 70 ICATU PREV FIM</v>
          </cell>
        </row>
        <row r="17932">
          <cell r="B17932">
            <v>80513</v>
          </cell>
          <cell r="C17932" t="str">
            <v>ALASKA 70 ICATU PREV FIM</v>
          </cell>
          <cell r="D17932" t="str">
            <v>ALASKA 70 ICATU PREV FIM</v>
          </cell>
          <cell r="E17932" t="str">
            <v>ALASKA INVESTIMENTOS LTDA</v>
          </cell>
        </row>
        <row r="17933">
          <cell r="B17933">
            <v>80514</v>
          </cell>
          <cell r="C17933" t="str">
            <v>ALASKA 100 ICATU PREV FIFE FIM</v>
          </cell>
          <cell r="D17933" t="str">
            <v>ALASKA 100 ICATU PREV FIFE FIM</v>
          </cell>
          <cell r="E17933" t="str">
            <v>ALASKA 100 ICATU PREV FIFE FIM</v>
          </cell>
        </row>
        <row r="17934">
          <cell r="B17934">
            <v>80514</v>
          </cell>
          <cell r="C17934" t="str">
            <v>ALASKA 100 ICATU PREV FIFE FIM</v>
          </cell>
          <cell r="D17934" t="str">
            <v>ALASKA 100 ICATU PREV FIFE FIM</v>
          </cell>
          <cell r="E17934" t="str">
            <v>ALASKA INVESTIMENTOS LTDA</v>
          </cell>
        </row>
        <row r="17935">
          <cell r="B17935">
            <v>125106</v>
          </cell>
          <cell r="C17935" t="str">
            <v>SANTANDER CACEIS BRASIL DTVM S.A.</v>
          </cell>
          <cell r="D17935" t="str">
            <v>SANTANDER CACEIS BRASIL DTVM S.A.</v>
          </cell>
          <cell r="E17935" t="str">
            <v>SANTANDER BRASIL GESTAO DE RECURSOS LTDA</v>
          </cell>
        </row>
        <row r="17936">
          <cell r="B17936">
            <v>125106</v>
          </cell>
          <cell r="C17936" t="str">
            <v>SANTANDER CACEIS BRASIL DTVM S.A.</v>
          </cell>
          <cell r="D17936" t="str">
            <v>SANTANDER CACEIS BRASIL DTVM S.A.</v>
          </cell>
          <cell r="E17936" t="str">
            <v>SANTANDER BRASIL GESTAO DE RECURSOS LTDA</v>
          </cell>
        </row>
        <row r="17937">
          <cell r="B17937">
            <v>125107</v>
          </cell>
          <cell r="C17937" t="str">
            <v>SANTANDER CACEIS BRASIL DTVM S.A.</v>
          </cell>
          <cell r="D17937" t="str">
            <v>SANTANDER CACEIS BRASIL DTVM S.A.</v>
          </cell>
          <cell r="E17937" t="str">
            <v>SANTANDER BRASIL GESTAO DE RECURSOS LTDA</v>
          </cell>
        </row>
        <row r="17938">
          <cell r="B17938">
            <v>125108</v>
          </cell>
          <cell r="C17938" t="str">
            <v>ICATU SEG FRANKLIN MULTIMERCADO FIM PREVIDENCIARIO</v>
          </cell>
          <cell r="D17938" t="str">
            <v>ICATU SEG FRANKLIN MULTIMERCADO FIM PREVIDENCIARIO</v>
          </cell>
          <cell r="E17938" t="str">
            <v>FRANKLIN TEMPLETON INVESTIMENTOS (BRASIL) LTDA</v>
          </cell>
        </row>
        <row r="17939">
          <cell r="B17939">
            <v>125108</v>
          </cell>
          <cell r="C17939" t="str">
            <v>ICATU SEG FRANKLIN MULTIMERCADO FIM PREVIDENCIARIO</v>
          </cell>
          <cell r="D17939" t="str">
            <v>ICATU SEG FRANKLIN MULTIMERCADO FIM PREVIDENCIARIO</v>
          </cell>
          <cell r="E17939" t="str">
            <v>FRANKLIN TEMPLETON INVESTIMENTOS (BRASIL) LTDA</v>
          </cell>
        </row>
        <row r="17940">
          <cell r="B17940">
            <v>125109</v>
          </cell>
          <cell r="C17940" t="str">
            <v>SCC FUNDO DE INVESTIMENTO MULTIMERCADO</v>
          </cell>
          <cell r="D17940" t="str">
            <v>SCC FUNDO DE INVESTIMENTO MULTIMERCADO</v>
          </cell>
          <cell r="E17940" t="str">
            <v>SHARP CAPITAL GESTORA DE RECURSOS LTDA</v>
          </cell>
        </row>
        <row r="17941">
          <cell r="B17941">
            <v>80517</v>
          </cell>
          <cell r="C17941" t="str">
            <v>MARCELO TAIAR ARBEX (GESTÃƒO)</v>
          </cell>
          <cell r="D17941" t="str">
            <v>MARCELO TAIAR ARBEX (GESTÃƒO)</v>
          </cell>
          <cell r="E17941" t="str">
            <v>MARCELO TAIAR ARBEX (GESTÃƒO)</v>
          </cell>
        </row>
        <row r="17942">
          <cell r="B17942">
            <v>80517</v>
          </cell>
          <cell r="C17942" t="str">
            <v>MARCELO TAIAR ARBEX (GESTÃƒO)</v>
          </cell>
          <cell r="D17942" t="str">
            <v>MARCELO TAIAR ARBEX (GESTÃƒO)</v>
          </cell>
          <cell r="E17942" t="str">
            <v>MARCELO TAIAR ARBEX (GESTÃƒO)</v>
          </cell>
        </row>
        <row r="17943">
          <cell r="B17943">
            <v>125113</v>
          </cell>
          <cell r="C17943" t="str">
            <v>SANTANDER CACEIS BRASIL DTVM S.A.</v>
          </cell>
          <cell r="D17943" t="str">
            <v>SANTANDER CACEIS BRASIL DTVM S.A.</v>
          </cell>
          <cell r="E17943" t="str">
            <v>SANTANDER BRASIL GESTAO DE RECURSOS LTDA</v>
          </cell>
        </row>
        <row r="17944">
          <cell r="B17944">
            <v>125114</v>
          </cell>
          <cell r="C17944" t="str">
            <v>SANTANDER CACEIS BRASIL DTVM S.A.</v>
          </cell>
          <cell r="D17944" t="str">
            <v>SANTANDER CACEIS BRASIL DTVM S.A.</v>
          </cell>
          <cell r="E17944" t="str">
            <v>SANTANDER BRASIL GESTAO DE RECURSOS LTDA</v>
          </cell>
        </row>
        <row r="17945">
          <cell r="B17945">
            <v>125113</v>
          </cell>
          <cell r="C17945" t="str">
            <v>SANTANDER CACEIS BRASIL DTVM S.A.</v>
          </cell>
          <cell r="D17945" t="str">
            <v>SANTANDER CACEIS BRASIL DTVM S.A.</v>
          </cell>
          <cell r="E17945" t="str">
            <v>SANTANDER BRASIL GESTAO DE RECURSOS LTDA</v>
          </cell>
        </row>
        <row r="17946">
          <cell r="B17946">
            <v>125114</v>
          </cell>
          <cell r="C17946" t="str">
            <v>SANTANDER CACEIS BRASIL DTVM S.A.</v>
          </cell>
          <cell r="D17946" t="str">
            <v>SANTANDER CACEIS BRASIL DTVM S.A.</v>
          </cell>
          <cell r="E17946" t="str">
            <v>SANTANDER BRASIL GESTAO DE RECURSOS LTDA</v>
          </cell>
        </row>
        <row r="17947">
          <cell r="B17947">
            <v>125115</v>
          </cell>
          <cell r="C17947" t="str">
            <v>SOMMA QP7 FIA</v>
          </cell>
          <cell r="D17947" t="str">
            <v>SOMMA QP7 FIA</v>
          </cell>
          <cell r="E17947" t="str">
            <v>SOMMA QP7 FIA</v>
          </cell>
        </row>
        <row r="17948">
          <cell r="B17948">
            <v>125115</v>
          </cell>
          <cell r="C17948" t="str">
            <v>SOMMA QP7 FIA</v>
          </cell>
          <cell r="D17948" t="str">
            <v>SOMMA QP7 FIA</v>
          </cell>
          <cell r="E17948" t="str">
            <v>SOMMA QP7 FIA</v>
          </cell>
        </row>
        <row r="17949">
          <cell r="B17949">
            <v>80518</v>
          </cell>
          <cell r="C17949" t="str">
            <v>INFINITY ASSET MANAG ADM DE RECURSOS LTDA</v>
          </cell>
          <cell r="D17949" t="str">
            <v>INFINITY ASSET MANAG ADM DE RECURSOS LTDA</v>
          </cell>
          <cell r="E17949" t="str">
            <v>INFINITY ASSET MANAG ADM DE RECURSOS LTDA</v>
          </cell>
        </row>
        <row r="17950">
          <cell r="B17950">
            <v>80518</v>
          </cell>
          <cell r="C17950" t="str">
            <v>INFINITY ASSET MANAG ADM DE RECURSOS LTDA</v>
          </cell>
          <cell r="D17950">
            <v>99</v>
          </cell>
          <cell r="E17950" t="str">
            <v>INFINITY ASSET MANAG ADM DE RECURSOS LTDA</v>
          </cell>
        </row>
        <row r="17951">
          <cell r="B17951">
            <v>125116</v>
          </cell>
          <cell r="C17951" t="str">
            <v>ILHA SANTORINI FIM CP IE</v>
          </cell>
          <cell r="D17951" t="str">
            <v>ILHA SANTORINI FIM CP IE</v>
          </cell>
          <cell r="E17951" t="str">
            <v>JULIUS BAER FAMILY OFFICE BRASIL GESTAO DE PATRIMONIO LTDA</v>
          </cell>
        </row>
        <row r="17952">
          <cell r="B17952">
            <v>125116</v>
          </cell>
          <cell r="C17952" t="str">
            <v>ILHA SANTORINI FIM CP IE</v>
          </cell>
          <cell r="D17952" t="str">
            <v>ILHA SANTORINI FIM CP IE</v>
          </cell>
          <cell r="E17952" t="str">
            <v>JULIUS BAER FAMILY OFFICE BRASIL GESTAO DE PATRIMONIO LTDA</v>
          </cell>
        </row>
        <row r="17953">
          <cell r="B17953">
            <v>125117</v>
          </cell>
          <cell r="C17953" t="str">
            <v>SANTANDER CACEIS BRASIL DTVM S.A.</v>
          </cell>
          <cell r="D17953" t="str">
            <v>SANTANDER CACEIS BRASIL DTVM S.A.</v>
          </cell>
          <cell r="E17953" t="str">
            <v>SANTANDER BRASIL GESTAO DE RECURSOS LTDA</v>
          </cell>
        </row>
        <row r="17954">
          <cell r="B17954">
            <v>125117</v>
          </cell>
          <cell r="C17954" t="str">
            <v>SANTANDER CACEIS BRASIL DTVM S.A.</v>
          </cell>
          <cell r="D17954" t="str">
            <v>SANTANDER CACEIS BRASIL DTVM S.A.</v>
          </cell>
          <cell r="E17954" t="str">
            <v>SANTANDER BRASIL GESTAO DE RECURSOS LTDA</v>
          </cell>
        </row>
        <row r="17955">
          <cell r="B17955">
            <v>125118</v>
          </cell>
          <cell r="C17955" t="str">
            <v>SANTANDER CACEIS BRASIL DTVM S.A.</v>
          </cell>
          <cell r="D17955" t="str">
            <v>SANTANDER CACEIS BRASIL DTVM S.A.</v>
          </cell>
          <cell r="E17955" t="str">
            <v>SANTANDER BRASIL GESTAO DE RECURSOS LTDA</v>
          </cell>
        </row>
        <row r="17956">
          <cell r="B17956">
            <v>125118</v>
          </cell>
          <cell r="C17956" t="str">
            <v>SANTANDER CACEIS BRASIL DTVM S.A.</v>
          </cell>
          <cell r="D17956" t="str">
            <v>SANTANDER CACEIS BRASIL DTVM S.A.</v>
          </cell>
          <cell r="E17956" t="str">
            <v>SANTANDER BRASIL GESTAO DE RECURSOS LTDA</v>
          </cell>
        </row>
        <row r="17957">
          <cell r="B17957">
            <v>125120</v>
          </cell>
          <cell r="C17957" t="str">
            <v>BLUELINE ASSET MANAGEMENT LTDA</v>
          </cell>
          <cell r="D17957" t="str">
            <v>BLUELINE ASSET MANAGEMENT LTDA</v>
          </cell>
          <cell r="E17957" t="str">
            <v>BLUELINE ASSET MANAGEMENT LTDA</v>
          </cell>
        </row>
        <row r="17958">
          <cell r="B17958">
            <v>125120</v>
          </cell>
          <cell r="C17958" t="str">
            <v>BLUELINE ASSET MANAGEMENT LTDA</v>
          </cell>
          <cell r="D17958" t="str">
            <v>BLUELINE ASSET MANAGEMENT LTDA</v>
          </cell>
          <cell r="E17958" t="str">
            <v>BLUELINE ASSET MANAGEMENT LTDA</v>
          </cell>
        </row>
        <row r="17959">
          <cell r="B17959">
            <v>80522</v>
          </cell>
          <cell r="C17959" t="str">
            <v>BLUELINE ASSET MANAGEMENT LTDA</v>
          </cell>
          <cell r="D17959" t="str">
            <v>BLUELINE ASSET MANAGEMENT LTDA</v>
          </cell>
          <cell r="E17959" t="str">
            <v>BLUELINE ASSET MANAGEMENT LTDA</v>
          </cell>
        </row>
        <row r="17960">
          <cell r="B17960">
            <v>80522</v>
          </cell>
          <cell r="C17960" t="str">
            <v>BLUELINE ASSET MANAGEMENT LTDA</v>
          </cell>
          <cell r="D17960" t="str">
            <v>BLUELINE ASSET MANAGEMENT LTDA</v>
          </cell>
          <cell r="E17960" t="str">
            <v>BLUELINE ASSET MANAGEMENT LTDA</v>
          </cell>
        </row>
        <row r="17961">
          <cell r="B17961">
            <v>125121</v>
          </cell>
          <cell r="C17961" t="str">
            <v>SANTANDER CACEIS BRASIL DTVM S.A.</v>
          </cell>
          <cell r="D17961" t="str">
            <v>SANTANDER CACEIS BRASIL DTVM S.A.</v>
          </cell>
          <cell r="E17961" t="str">
            <v>SANTANDER BRASIL GESTAO DE RECURSOS LTDA</v>
          </cell>
        </row>
        <row r="17962">
          <cell r="B17962">
            <v>125122</v>
          </cell>
          <cell r="C17962" t="str">
            <v>SANTANDER CACEIS BRASIL DTVM S.A.</v>
          </cell>
          <cell r="D17962" t="str">
            <v>SANTANDER CACEIS BRASIL DTVM S.A.</v>
          </cell>
          <cell r="E17962" t="str">
            <v>SANTANDER CACEIS BRASIL DTVM S.A.</v>
          </cell>
        </row>
        <row r="17963">
          <cell r="B17963">
            <v>125123</v>
          </cell>
          <cell r="C17963" t="str">
            <v>SANTANDER CACEIS BRASIL DTVM S.A.</v>
          </cell>
          <cell r="D17963" t="str">
            <v>SANTANDER CACEIS BRASIL DTVM S.A.</v>
          </cell>
          <cell r="E17963" t="str">
            <v>SANTANDER BRASIL GESTAO DE RECURSOS LTDA</v>
          </cell>
        </row>
        <row r="17964">
          <cell r="B17964">
            <v>125123</v>
          </cell>
          <cell r="C17964" t="str">
            <v>SANTANDER CACEIS BRASIL DTVM S.A.</v>
          </cell>
          <cell r="D17964" t="str">
            <v>SANTANDER CACEIS BRASIL DTVM S.A.</v>
          </cell>
          <cell r="E17964" t="str">
            <v>SANTANDER BRASIL GESTAO DE RECURSOS LTDA</v>
          </cell>
        </row>
        <row r="17965">
          <cell r="B17965">
            <v>80524</v>
          </cell>
          <cell r="C17965" t="str">
            <v>KAPITALO INVESTIMENTOS LTDA</v>
          </cell>
          <cell r="D17965" t="str">
            <v>KAPITALO INVESTIMENTOS LTDA</v>
          </cell>
          <cell r="E17965" t="str">
            <v>KAPITALO INVESTIMENTOS LTDA</v>
          </cell>
        </row>
        <row r="17966">
          <cell r="B17966">
            <v>125125</v>
          </cell>
          <cell r="C17966" t="str">
            <v>FIM GAROPABA</v>
          </cell>
          <cell r="D17966" t="str">
            <v>FIM GAROPABA</v>
          </cell>
          <cell r="E17966" t="str">
            <v>SANTANDER BRASIL GESTAO DE RECURSOS LTDA</v>
          </cell>
        </row>
        <row r="17967">
          <cell r="B17967">
            <v>125125</v>
          </cell>
          <cell r="C17967" t="str">
            <v>FIM GAROPABA</v>
          </cell>
          <cell r="D17967" t="str">
            <v>FIM GAROPABA</v>
          </cell>
          <cell r="E17967" t="str">
            <v>SANTANDER BRASIL GESTAO DE RECURSOS LTDA</v>
          </cell>
        </row>
        <row r="17968">
          <cell r="B17968">
            <v>80525</v>
          </cell>
          <cell r="C17968" t="str">
            <v>KAIROS CAPITAL GESTAO DE RECURSOS LTDA</v>
          </cell>
          <cell r="D17968" t="str">
            <v>KAIROS CAPITAL GESTAO DE RECURSOS LTDA</v>
          </cell>
          <cell r="E17968" t="str">
            <v>KAIROS CAPITAL GESTAO DE RECURSOS LTDA</v>
          </cell>
        </row>
        <row r="17969">
          <cell r="B17969">
            <v>80525</v>
          </cell>
          <cell r="C17969" t="str">
            <v>KAIROS CAPITAL GESTAO DE RECURSOS LTDA</v>
          </cell>
          <cell r="D17969" t="str">
            <v>KAIROS CAPITAL GESTAO DE RECURSOS LTDA</v>
          </cell>
          <cell r="E17969" t="str">
            <v>KAIROS CAPITAL GESTAO DE RECURSOS LTDA</v>
          </cell>
        </row>
        <row r="17970">
          <cell r="B17970">
            <v>125112</v>
          </cell>
          <cell r="C17970" t="str">
            <v>JAPAN TRUSTEE SERVICES BANK - BRAZIL MOTHER FUND</v>
          </cell>
          <cell r="D17970" t="str">
            <v>JAPAN TRUSTEE SERVICES BANK - BRAZIL MOTHER FUND</v>
          </cell>
          <cell r="E17970" t="str">
            <v>FRANKLIN TEMPLETON INVESTIMENTOS (BRASIL) LTDA</v>
          </cell>
        </row>
        <row r="17971">
          <cell r="B17971">
            <v>125112</v>
          </cell>
          <cell r="C17971" t="str">
            <v>JAPAN TRUSTEE SERVICES BANK - BRAZIL MOTHER FUND</v>
          </cell>
          <cell r="D17971" t="str">
            <v>JAPAN TRUSTEE SERVICES BANK - BRAZIL MOTHER FUND</v>
          </cell>
          <cell r="E17971" t="str">
            <v>FRANKLIN TEMPLETON INVESTIMENTOS (BRASIL) LTDA</v>
          </cell>
        </row>
        <row r="17972">
          <cell r="B17972">
            <v>125110</v>
          </cell>
          <cell r="C17972" t="str">
            <v>FRANKLIN TEMPLENTON INVESTMENT FUNDS</v>
          </cell>
          <cell r="D17972" t="str">
            <v>FRANKLIN TEMPLENTON INVESTMENT FUNDS</v>
          </cell>
          <cell r="E17972" t="str">
            <v>FRANKLIN TEMPLETON INVESTIMENTOS (BRASIL) LTDA</v>
          </cell>
        </row>
        <row r="17973">
          <cell r="B17973">
            <v>125110</v>
          </cell>
          <cell r="C17973" t="str">
            <v>FRANKLIN TEMPLENTON INVESTMENT FUNDS</v>
          </cell>
          <cell r="D17973" t="str">
            <v>FRANKLIN TEMPLENTON INVESTMENT FUNDS</v>
          </cell>
          <cell r="E17973" t="str">
            <v>FRANKLIN TEMPLETON INVESTIMENTOS (BRASIL) LTDA</v>
          </cell>
        </row>
        <row r="17974">
          <cell r="B17974">
            <v>125126</v>
          </cell>
          <cell r="C17974" t="str">
            <v>FRANKLIN TEMPLENTON INVESTMENT FUNDS</v>
          </cell>
          <cell r="D17974" t="str">
            <v>FRANKLIN TEMPLENTON INVESTMENT FUNDS</v>
          </cell>
          <cell r="E17974" t="str">
            <v>FRANKLIN TEMPLETON INVESTIMENTOS (BRASIL) LTDA</v>
          </cell>
        </row>
        <row r="17975">
          <cell r="B17975">
            <v>125126</v>
          </cell>
          <cell r="C17975" t="str">
            <v>FRANKLIN TEMPLENTON INVESTMENT FUNDS</v>
          </cell>
          <cell r="D17975" t="str">
            <v>FRANKLIN TEMPLENTON INVESTMENT FUNDS</v>
          </cell>
          <cell r="E17975" t="str">
            <v>FRANKLIN TEMPLETON INVESTIMENTOS (BRASIL) LTDA</v>
          </cell>
        </row>
        <row r="17976">
          <cell r="B17976">
            <v>125127</v>
          </cell>
          <cell r="C17976" t="str">
            <v>SANTANDER CACEIS BRASIL DTVM S.A.</v>
          </cell>
          <cell r="D17976" t="str">
            <v>SANTANDER CACEIS BRASIL DTVM S.A.</v>
          </cell>
          <cell r="E17976" t="str">
            <v>SANTANDER BRASIL GESTAO DE RECURSOS LTDA</v>
          </cell>
        </row>
        <row r="17977">
          <cell r="B17977">
            <v>125128</v>
          </cell>
          <cell r="C17977" t="str">
            <v>SANTANDER CACEIS BRASIL DTVM S.A.</v>
          </cell>
          <cell r="D17977" t="str">
            <v>SANTANDER CACEIS BRASIL DTVM S.A.</v>
          </cell>
          <cell r="E17977" t="str">
            <v>SANTANDER BRASIL GESTAO DE RECURSOS LTDA</v>
          </cell>
        </row>
        <row r="17978">
          <cell r="B17978">
            <v>125127</v>
          </cell>
          <cell r="C17978" t="str">
            <v>SANTANDER CACEIS BRASIL DTVM S.A.</v>
          </cell>
          <cell r="D17978" t="str">
            <v>SANTANDER CACEIS BRASIL DTVM S.A.</v>
          </cell>
          <cell r="E17978" t="str">
            <v>SANTANDER BRASIL GESTAO DE RECURSOS LTDA</v>
          </cell>
        </row>
        <row r="17979">
          <cell r="B17979">
            <v>125129</v>
          </cell>
          <cell r="C17979" t="str">
            <v>ARGUCIA INCOME FIF DE AÃ‡Ã•ES RESP LIMITADA</v>
          </cell>
          <cell r="D17979" t="str">
            <v>ARGUCIA INCOME FIF DE AÃ‡Ã•ES RESP LIMITADA</v>
          </cell>
          <cell r="E17979" t="str">
            <v>ARGUCIA CAPITAL GESTAO DE RECURSOS LTDA</v>
          </cell>
        </row>
        <row r="17980">
          <cell r="B17980">
            <v>125130</v>
          </cell>
          <cell r="C17980" t="str">
            <v>ARGUCIA ENDOWMENT FIF MULT RESP LIMITADA</v>
          </cell>
          <cell r="D17980" t="str">
            <v>ARGUCIA ENDOWMENT FIF MULT RESP LIMITADA</v>
          </cell>
          <cell r="E17980" t="str">
            <v>ARGUCIA CAPITAL GESTAO DE RECURSOS LTDA</v>
          </cell>
        </row>
        <row r="17981">
          <cell r="B17981">
            <v>125131</v>
          </cell>
          <cell r="C17981" t="str">
            <v>SPARTA FIF EM ACOES RESP LIMITADA</v>
          </cell>
          <cell r="D17981" t="str">
            <v>SPARTA FIF EM ACOES RESP LIMITADA</v>
          </cell>
          <cell r="E17981" t="str">
            <v>ARGUCIA CAPITAL GESTAO DE RECURSOS LTDA</v>
          </cell>
        </row>
        <row r="17982">
          <cell r="B17982">
            <v>125132</v>
          </cell>
          <cell r="C17982" t="str">
            <v>SANTANDER CACEIS BRASIL DTVM S.A.</v>
          </cell>
          <cell r="D17982" t="str">
            <v>SANTANDER CACEIS BRASIL DTVM S.A.</v>
          </cell>
          <cell r="E17982" t="str">
            <v>SANTANDER BRASIL GESTAO DE RECURSOS LTDA</v>
          </cell>
        </row>
        <row r="17983">
          <cell r="B17983">
            <v>125132</v>
          </cell>
          <cell r="C17983" t="str">
            <v>SANTANDER CACEIS BRASIL DTVM S.A.</v>
          </cell>
          <cell r="D17983" t="str">
            <v>SANTANDER CACEIS BRASIL DTVM S.A.</v>
          </cell>
          <cell r="E17983" t="str">
            <v>SANTANDER BRASIL GESTAO DE RECURSOS LTDA</v>
          </cell>
        </row>
        <row r="17984">
          <cell r="B17984">
            <v>80526</v>
          </cell>
          <cell r="C17984" t="str">
            <v>PRINCIPAL ASSET MANAGEMENT LTDA</v>
          </cell>
          <cell r="D17984" t="str">
            <v>PRINCIPAL ASSET MANAGEMENT LTDA</v>
          </cell>
          <cell r="E17984" t="str">
            <v>PRINCIPAL ASSET MANAGEMENT LTDA</v>
          </cell>
        </row>
        <row r="17985">
          <cell r="B17985">
            <v>80527</v>
          </cell>
          <cell r="C17985" t="str">
            <v>PRINCIPAL ASSET MANAGEMENT LTDA</v>
          </cell>
          <cell r="D17985" t="str">
            <v>PRINCIPAL ASSET MANAGEMENT LTDA</v>
          </cell>
          <cell r="E17985" t="str">
            <v>PRINCIPAL ASSET MANAGEMENT LTDA</v>
          </cell>
        </row>
        <row r="17986">
          <cell r="B17986">
            <v>80528</v>
          </cell>
          <cell r="C17986" t="str">
            <v>PRINCIPAL ASSET MANAGEMENT LTDA</v>
          </cell>
          <cell r="D17986" t="str">
            <v>PRINCIPAL ASSET MANAGEMENT LTDA</v>
          </cell>
          <cell r="E17986" t="str">
            <v>PRINCIPAL ASSET MANAGEMENT LTDA</v>
          </cell>
        </row>
        <row r="17987">
          <cell r="B17987">
            <v>80529</v>
          </cell>
          <cell r="C17987" t="str">
            <v>PRINCIPAL ASSET MANAGEMENT LTDA</v>
          </cell>
          <cell r="D17987" t="str">
            <v>PRINCIPAL ASSET MANAGEMENT LTDA</v>
          </cell>
          <cell r="E17987" t="str">
            <v>PRINCIPAL ASSET MANAGEMENT LTDA</v>
          </cell>
        </row>
        <row r="17988">
          <cell r="B17988">
            <v>80530</v>
          </cell>
          <cell r="C17988" t="str">
            <v>SAFRA CONSUMO AMERICANO FIA BDR-NIVEL I PB</v>
          </cell>
          <cell r="D17988" t="str">
            <v>SAFRA CONSUMO AMERICANO FIA BDR-NIVEL I PB</v>
          </cell>
          <cell r="E17988" t="str">
            <v>SAFRA ASSET MANAGEMENT LTDA</v>
          </cell>
        </row>
        <row r="17989">
          <cell r="B17989">
            <v>80531</v>
          </cell>
          <cell r="C17989" t="str">
            <v>MERRILL LYNCH INTERNATIONAL</v>
          </cell>
          <cell r="D17989" t="str">
            <v>MERRILL LYNCH INTERNATIONAL</v>
          </cell>
          <cell r="E17989" t="str">
            <v>BANK OF AMERICA MERRILL LYNCH BANCO MULTIPLO S/A</v>
          </cell>
        </row>
        <row r="17990">
          <cell r="B17990">
            <v>125135</v>
          </cell>
          <cell r="C17990" t="str">
            <v>SANTANDER CACEIS BRASIL DTVM S.A.</v>
          </cell>
          <cell r="D17990" t="str">
            <v>SANTANDER CACEIS BRASIL DTVM S.A.</v>
          </cell>
          <cell r="E17990" t="str">
            <v>SANTANDER CACEIS BRASIL DTVM S.A.</v>
          </cell>
        </row>
        <row r="17991">
          <cell r="B17991">
            <v>125136</v>
          </cell>
          <cell r="C17991" t="str">
            <v>SANTANDER CACEIS BRASIL DTVM S.A.</v>
          </cell>
          <cell r="D17991" t="str">
            <v>SANTANDER CACEIS BRASIL DTVM S.A.</v>
          </cell>
          <cell r="E17991" t="str">
            <v>SANTANDER BRASIL GESTAO DE RECURSOS LTDA</v>
          </cell>
        </row>
        <row r="17992">
          <cell r="B17992">
            <v>125135</v>
          </cell>
          <cell r="C17992" t="str">
            <v>SANTANDER CACEIS BRASIL DTVM S.A.</v>
          </cell>
          <cell r="D17992" t="str">
            <v>SANTANDER CACEIS BRASIL DTVM S.A.</v>
          </cell>
          <cell r="E17992" t="str">
            <v>SANTANDER BRASIL GESTAO DE RECURSOS LTDA</v>
          </cell>
        </row>
        <row r="17993">
          <cell r="B17993">
            <v>125137</v>
          </cell>
          <cell r="C17993" t="str">
            <v>ARX TARGET ICATU PREVIDÃŠNCIA FUNDO DE INVESTIMENTO MULTIMERC</v>
          </cell>
          <cell r="D17993" t="str">
            <v>ARX TARGET ICATU PREVIDÃŠNCIA FUNDO DE INVESTIMENTO MULTIMERC</v>
          </cell>
          <cell r="E17993" t="str">
            <v>ARX INVESTIMENTOS LTDA</v>
          </cell>
        </row>
        <row r="17994">
          <cell r="B17994">
            <v>125138</v>
          </cell>
          <cell r="C17994" t="str">
            <v>HIX CAPITAL EQUITIES LLC - SANTANDER SECURITIES SERVICES BRA</v>
          </cell>
          <cell r="D17994" t="str">
            <v>HIX CAPITAL EQUITIES LLC - SANTANDER SECURITIES SERVICES BRA</v>
          </cell>
          <cell r="E17994" t="str">
            <v>HIX INVESTIMENTOS LTDA</v>
          </cell>
        </row>
        <row r="17995">
          <cell r="B17995">
            <v>125138</v>
          </cell>
          <cell r="C17995" t="str">
            <v>HIX CAPITAL EQUITIES LLC - SANTANDER SECURITIES SERVICES BRA</v>
          </cell>
          <cell r="D17995" t="str">
            <v>HIX CAPITAL EQUITIES LLC - SANTANDER SECURITIES SERVICES BRA</v>
          </cell>
          <cell r="E17995" t="str">
            <v>HIX INVESTIMENTOS LTDA</v>
          </cell>
        </row>
        <row r="17996">
          <cell r="B17996">
            <v>125139</v>
          </cell>
          <cell r="C17996" t="str">
            <v>SANTANDER CACEIS BRASIL DTVM S.A.</v>
          </cell>
          <cell r="D17996" t="str">
            <v>SANTANDER CACEIS BRASIL DTVM S.A.</v>
          </cell>
          <cell r="E17996" t="str">
            <v>SANTANDER BRASIL GESTAO DE RECURSOS LTDA</v>
          </cell>
        </row>
        <row r="17997">
          <cell r="B17997">
            <v>125139</v>
          </cell>
          <cell r="C17997" t="str">
            <v>SANTANDER CACEIS BRASIL DTVM S.A.</v>
          </cell>
          <cell r="D17997" t="str">
            <v>SANTANDER CACEIS BRASIL DTVM S.A.</v>
          </cell>
          <cell r="E17997" t="str">
            <v>SANTANDER BRASIL GESTAO DE RECURSOS LTDA</v>
          </cell>
        </row>
        <row r="17998">
          <cell r="B17998">
            <v>125140</v>
          </cell>
          <cell r="C17998" t="str">
            <v>SANTANDER CACEIS BRASIL DTVM S.A.</v>
          </cell>
          <cell r="D17998" t="str">
            <v>SANTANDER CACEIS BRASIL DTVM S.A.</v>
          </cell>
          <cell r="E17998" t="str">
            <v>SANTANDER BRASIL GESTAO DE RECURSOS LTDA</v>
          </cell>
        </row>
        <row r="17999">
          <cell r="B17999">
            <v>125140</v>
          </cell>
          <cell r="C17999" t="str">
            <v>SANTANDER CACEIS BRASIL DTVM S.A.</v>
          </cell>
          <cell r="D17999" t="str">
            <v>SANTANDER CACEIS BRASIL DTVM S.A.</v>
          </cell>
          <cell r="E17999" t="str">
            <v>SANTANDER BRASIL GESTAO DE RECURSOS LTDA</v>
          </cell>
        </row>
        <row r="18000">
          <cell r="B18000">
            <v>80553</v>
          </cell>
          <cell r="C18000" t="str">
            <v>KAIROS CAPITAL GESTAO DE RECURSOS LTDA</v>
          </cell>
          <cell r="D18000" t="str">
            <v>KAIROS CAPITAL GESTAO DE RECURSOS LTDA</v>
          </cell>
          <cell r="E18000" t="str">
            <v>KAIROS CAPITAL GESTAO DE RECURSOS LTDA</v>
          </cell>
        </row>
        <row r="18001">
          <cell r="B18001">
            <v>80553</v>
          </cell>
          <cell r="C18001" t="str">
            <v>KAIROS CAPITAL GESTAO DE RECURSOS LTDA</v>
          </cell>
          <cell r="D18001" t="str">
            <v>KAIROS CAPITAL GESTAO DE RECURSOS LTDA</v>
          </cell>
          <cell r="E18001" t="str">
            <v>KAIROS CAPITAL GESTAO DE RECURSOS LTDA</v>
          </cell>
        </row>
        <row r="18002">
          <cell r="B18002">
            <v>80554</v>
          </cell>
          <cell r="C18002" t="str">
            <v>KAIROS MACRO MASTER FUNDO DE INVESTIMENTO MULTIMERCADO</v>
          </cell>
          <cell r="D18002" t="str">
            <v>KAIROS MACRO MASTER FUNDO DE INVESTIMENTO MULTIMERCADO</v>
          </cell>
          <cell r="E18002" t="str">
            <v>KAIROS CAPITAL GESTAO DE RECURSOS LTDA</v>
          </cell>
        </row>
        <row r="18003">
          <cell r="B18003">
            <v>80554</v>
          </cell>
          <cell r="C18003" t="str">
            <v>KAIROS MACRO MASTER FUNDO DE INVESTIMENTO MULTIMERCADO</v>
          </cell>
          <cell r="D18003" t="str">
            <v>KAIROS MACRO MASTER FUNDO DE INVESTIMENTO MULTIMERCADO</v>
          </cell>
          <cell r="E18003" t="str">
            <v>KAIROS CAPITAL GESTAO DE RECURSOS LTDA</v>
          </cell>
        </row>
        <row r="18004">
          <cell r="B18004">
            <v>80545</v>
          </cell>
          <cell r="D18004">
            <v>80545</v>
          </cell>
        </row>
        <row r="18005">
          <cell r="B18005">
            <v>80545</v>
          </cell>
          <cell r="C18005" t="str">
            <v>FUNDACAO DOS ECONOMIARIOS FEDERAIS - FUNCEF</v>
          </cell>
          <cell r="D18005" t="str">
            <v>FUNDACAO DOS ECONOMIARIOS FEDERAIS - FUNCEF</v>
          </cell>
          <cell r="E18005" t="str">
            <v>FUNDACAO DOS ECONOMIARIOS FEDERAIS - FUNCEF</v>
          </cell>
        </row>
        <row r="18006">
          <cell r="B18006">
            <v>124688</v>
          </cell>
          <cell r="D18006">
            <v>124688</v>
          </cell>
        </row>
        <row r="18007">
          <cell r="B18007">
            <v>80534</v>
          </cell>
          <cell r="C18007" t="str">
            <v>FUNDACAO DOS ECONOMIARIOS FEDERAIS - FUNCEF</v>
          </cell>
          <cell r="D18007" t="str">
            <v>FUNDACAO DOS ECONOMIARIOS FEDERAIS - FUNCEF</v>
          </cell>
          <cell r="E18007" t="str">
            <v>FUNDACAO DOS ECONOMIARIOS FEDERAIS - FUNCEF</v>
          </cell>
        </row>
        <row r="18008">
          <cell r="B18008">
            <v>80533</v>
          </cell>
          <cell r="C18008" t="str">
            <v>FUNDACAO DOS ECONOMIARIOS FEDERAIS - FUNCEF</v>
          </cell>
          <cell r="D18008" t="str">
            <v>FUNDACAO DOS ECONOMIARIOS FEDERAIS - FUNCEF</v>
          </cell>
          <cell r="E18008" t="str">
            <v>FUNDACAO DOS ECONOMIARIOS FEDERAIS - FUNCEF</v>
          </cell>
        </row>
        <row r="18009">
          <cell r="B18009">
            <v>80534</v>
          </cell>
          <cell r="C18009" t="str">
            <v>FUNDACAO DOS ECONOMIARIOS FEDERAIS - FUNCEF</v>
          </cell>
          <cell r="D18009" t="str">
            <v>FUNDACAO DOS ECONOMIARIOS FEDERAIS - FUNCEF</v>
          </cell>
          <cell r="E18009" t="str">
            <v>FUNDACAO DOS ECONOMIARIOS FEDERAIS - FUNCEF</v>
          </cell>
        </row>
        <row r="18010">
          <cell r="B18010">
            <v>80536</v>
          </cell>
          <cell r="C18010" t="str">
            <v>FUNDACAO DOS ECONOMIARIOS FEDERAIS - FUNCEF</v>
          </cell>
          <cell r="D18010" t="str">
            <v>FUNDACAO DOS ECONOMIARIOS FEDERAIS - FUNCEF</v>
          </cell>
          <cell r="E18010" t="str">
            <v>FUNDACAO DOS ECONOMIARIOS FEDERAIS - FUNCEF</v>
          </cell>
        </row>
        <row r="18011">
          <cell r="B18011">
            <v>80536</v>
          </cell>
          <cell r="C18011" t="str">
            <v>FUNDACAO DOS ECONOMIARIOS FEDERAIS - FUNCEF</v>
          </cell>
          <cell r="D18011" t="str">
            <v>FUNDACAO DOS ECONOMIARIOS FEDERAIS - FUNCEF</v>
          </cell>
          <cell r="E18011" t="str">
            <v>FUNDACAO DOS ECONOMIARIOS FEDERAIS - FUNCEF</v>
          </cell>
        </row>
        <row r="18012">
          <cell r="B18012">
            <v>80535</v>
          </cell>
          <cell r="C18012" t="str">
            <v>FUNDACAO DOS ECONOMIARIOS FEDERAIS - FUNCEF</v>
          </cell>
          <cell r="D18012" t="str">
            <v>FUNDACAO DOS ECONOMIARIOS FEDERAIS - FUNCEF</v>
          </cell>
          <cell r="E18012" t="str">
            <v>FUNDACAO DOS ECONOMIARIOS FEDERAIS - FUNCEF</v>
          </cell>
        </row>
        <row r="18013">
          <cell r="B18013">
            <v>80535</v>
          </cell>
          <cell r="C18013" t="str">
            <v>FUNDACAO DOS ECONOMIARIOS FEDERAIS - FUNCEF</v>
          </cell>
          <cell r="D18013" t="str">
            <v>FUNDACAO DOS ECONOMIARIOS FEDERAIS - FUNCEF</v>
          </cell>
          <cell r="E18013" t="str">
            <v>FUNDACAO DOS ECONOMIARIOS FEDERAIS - FUNCEF</v>
          </cell>
        </row>
        <row r="18014">
          <cell r="B18014">
            <v>80537</v>
          </cell>
          <cell r="C18014" t="str">
            <v>FUNDACAO DOS ECONOMIARIOS FEDERAIS - FUNCEF</v>
          </cell>
          <cell r="D18014" t="str">
            <v>FUNDACAO DOS ECONOMIARIOS FEDERAIS - FUNCEF</v>
          </cell>
          <cell r="E18014" t="str">
            <v>FUNDACAO DOS ECONOMIARIOS FEDERAIS - FUNCEF</v>
          </cell>
        </row>
        <row r="18015">
          <cell r="B18015">
            <v>80538</v>
          </cell>
          <cell r="C18015" t="str">
            <v>FUNDACAO DOS ECONOMIARIOS FEDERAIS - FUNCEF</v>
          </cell>
          <cell r="D18015" t="str">
            <v>FUNDACAO DOS ECONOMIARIOS FEDERAIS - FUNCEF</v>
          </cell>
          <cell r="E18015" t="str">
            <v>FUNDACAO DOS ECONOMIARIOS FEDERAIS - FUNCEF</v>
          </cell>
        </row>
        <row r="18016">
          <cell r="B18016">
            <v>80539</v>
          </cell>
          <cell r="C18016" t="str">
            <v>FUNDACAO DOS ECONOMIARIOS FEDERAIS - FUNCEF</v>
          </cell>
          <cell r="D18016" t="str">
            <v>FUNDACAO DOS ECONOMIARIOS FEDERAIS - FUNCEF</v>
          </cell>
          <cell r="E18016" t="str">
            <v>FUNDACAO DOS ECONOMIARIOS FEDERAIS - FUNCEF</v>
          </cell>
        </row>
        <row r="18017">
          <cell r="B18017">
            <v>80540</v>
          </cell>
          <cell r="C18017" t="str">
            <v>FUNDACAO DOS ECONOMIARIOS FEDERAIS - FUNCEF</v>
          </cell>
          <cell r="D18017" t="str">
            <v>FUNDACAO DOS ECONOMIARIOS FEDERAIS - FUNCEF</v>
          </cell>
          <cell r="E18017" t="str">
            <v>FUNDACAO DOS ECONOMIARIOS FEDERAIS - FUNCEF</v>
          </cell>
        </row>
        <row r="18018">
          <cell r="B18018">
            <v>80537</v>
          </cell>
          <cell r="C18018" t="str">
            <v>FUNDACAO DOS ECONOMIARIOS FEDERAIS - FUNCEF</v>
          </cell>
          <cell r="D18018" t="str">
            <v>FUNDACAO DOS ECONOMIARIOS FEDERAIS - FUNCEF</v>
          </cell>
          <cell r="E18018" t="str">
            <v>FUNDACAO DOS ECONOMIARIOS FEDERAIS - FUNCEF</v>
          </cell>
        </row>
        <row r="18019">
          <cell r="B18019">
            <v>80538</v>
          </cell>
          <cell r="C18019" t="str">
            <v>FUNDACAO DOS ECONOMIARIOS FEDERAIS - FUNCEF</v>
          </cell>
          <cell r="D18019" t="str">
            <v>FUNDACAO DOS ECONOMIARIOS FEDERAIS - FUNCEF</v>
          </cell>
          <cell r="E18019" t="str">
            <v>FUNDACAO DOS ECONOMIARIOS FEDERAIS - FUNCEF</v>
          </cell>
        </row>
        <row r="18020">
          <cell r="B18020">
            <v>80539</v>
          </cell>
          <cell r="C18020" t="str">
            <v>FUNDACAO DOS ECONOMIARIOS FEDERAIS - FUNCEF</v>
          </cell>
          <cell r="D18020" t="str">
            <v>FUNDACAO DOS ECONOMIARIOS FEDERAIS - FUNCEF</v>
          </cell>
          <cell r="E18020" t="str">
            <v>FUNDACAO DOS ECONOMIARIOS FEDERAIS - FUNCEF</v>
          </cell>
        </row>
        <row r="18021">
          <cell r="B18021">
            <v>80540</v>
          </cell>
          <cell r="C18021" t="str">
            <v>FUNDACAO DOS ECONOMIARIOS FEDERAIS - FUNCEF</v>
          </cell>
          <cell r="D18021" t="str">
            <v>FUNDACAO DOS ECONOMIARIOS FEDERAIS - FUNCEF</v>
          </cell>
          <cell r="E18021" t="str">
            <v>FUNDACAO DOS ECONOMIARIOS FEDERAIS - FUNCEF</v>
          </cell>
        </row>
        <row r="18022">
          <cell r="B18022">
            <v>80541</v>
          </cell>
          <cell r="C18022" t="str">
            <v>FUNDACAO DOS ECONOMIARIOS FEDERAIS - FUNCEF</v>
          </cell>
          <cell r="D18022" t="str">
            <v>FUNDACAO DOS ECONOMIARIOS FEDERAIS - FUNCEF</v>
          </cell>
          <cell r="E18022" t="str">
            <v>FUNDACAO DOS ECONOMIARIOS FEDERAIS - FUNCEF</v>
          </cell>
        </row>
        <row r="18023">
          <cell r="B18023">
            <v>80541</v>
          </cell>
          <cell r="C18023" t="str">
            <v>FUNDACAO DOS ECONOMIARIOS FEDERAIS - FUNCEF</v>
          </cell>
          <cell r="D18023" t="str">
            <v>FUNDACAO DOS ECONOMIARIOS FEDERAIS - FUNCEF</v>
          </cell>
          <cell r="E18023" t="str">
            <v>FUNDACAO DOS ECONOMIARIOS FEDERAIS - FUNCEF</v>
          </cell>
        </row>
        <row r="18024">
          <cell r="B18024">
            <v>80546</v>
          </cell>
          <cell r="C18024" t="str">
            <v>FUNDACAO DOS ECONOMIARIOS FEDERAIS - FUNCEF</v>
          </cell>
          <cell r="D18024" t="str">
            <v>FUNDACAO DOS ECONOMIARIOS FEDERAIS - FUNCEF</v>
          </cell>
          <cell r="E18024" t="str">
            <v>FUNDACAO DOS ECONOMIARIOS FEDERAIS - FUNCEF</v>
          </cell>
        </row>
        <row r="18025">
          <cell r="B18025">
            <v>80546</v>
          </cell>
          <cell r="C18025" t="str">
            <v>FUNDACAO DOS ECONOMIARIOS FEDERAIS - FUNCEF</v>
          </cell>
          <cell r="D18025" t="str">
            <v>FUNDACAO DOS ECONOMIARIOS FEDERAIS - FUNCEF</v>
          </cell>
          <cell r="E18025" t="str">
            <v>FUNDACAO DOS ECONOMIARIOS FEDERAIS - FUNCEF</v>
          </cell>
        </row>
        <row r="18026">
          <cell r="B18026">
            <v>80547</v>
          </cell>
          <cell r="C18026" t="str">
            <v>FUNDACAO DOS ECONOMIARIOS FEDERAIS - FUNCEF</v>
          </cell>
          <cell r="D18026" t="str">
            <v>FUNDACAO DOS ECONOMIARIOS FEDERAIS - FUNCEF</v>
          </cell>
          <cell r="E18026" t="str">
            <v>FUNDACAO DOS ECONOMIARIOS FEDERAIS - FUNCEF</v>
          </cell>
        </row>
        <row r="18027">
          <cell r="B18027">
            <v>80548</v>
          </cell>
          <cell r="C18027" t="str">
            <v>FUNDACAO DOS ECONOMIARIOS FEDERAIS - FUNCEF</v>
          </cell>
          <cell r="D18027" t="str">
            <v>FUNDACAO DOS ECONOMIARIOS FEDERAIS - FUNCEF</v>
          </cell>
          <cell r="E18027" t="str">
            <v>FUNDACAO DOS ECONOMIARIOS FEDERAIS - FUNCEF</v>
          </cell>
        </row>
        <row r="18028">
          <cell r="B18028">
            <v>80547</v>
          </cell>
          <cell r="C18028" t="str">
            <v>FUNDACAO DOS ECONOMIARIOS FEDERAIS - FUNCEF</v>
          </cell>
          <cell r="D18028" t="str">
            <v>FUNDACAO DOS ECONOMIARIOS FEDERAIS - FUNCEF</v>
          </cell>
          <cell r="E18028" t="str">
            <v>FUNDACAO DOS ECONOMIARIOS FEDERAIS - FUNCEF</v>
          </cell>
        </row>
        <row r="18029">
          <cell r="B18029">
            <v>80548</v>
          </cell>
          <cell r="C18029" t="str">
            <v>FUNDACAO DOS ECONOMIARIOS FEDERAIS - FUNCEF</v>
          </cell>
          <cell r="D18029" t="str">
            <v>FUNDACAO DOS ECONOMIARIOS FEDERAIS - FUNCEF</v>
          </cell>
          <cell r="E18029" t="str">
            <v>FUNDACAO DOS ECONOMIARIOS FEDERAIS - FUNCEF</v>
          </cell>
        </row>
        <row r="18030">
          <cell r="B18030">
            <v>80563</v>
          </cell>
          <cell r="C18030" t="str">
            <v>FUNDACAO DOS ECONOMIARIOS FEDERAIS - FUNCEF</v>
          </cell>
          <cell r="D18030" t="str">
            <v>FUNDACAO DOS ECONOMIARIOS FEDERAIS - FUNCEF</v>
          </cell>
          <cell r="E18030" t="str">
            <v>FUNDACAO DOS ECONOMIARIOS FEDERAIS - FUNCEF</v>
          </cell>
        </row>
        <row r="18031">
          <cell r="B18031">
            <v>80563</v>
          </cell>
          <cell r="C18031" t="str">
            <v>FUNDACAO DOS ECONOMIARIOS FEDERAIS - FUNCEF</v>
          </cell>
          <cell r="D18031" t="str">
            <v>FUNDACAO DOS ECONOMIARIOS FEDERAIS - FUNCEF</v>
          </cell>
          <cell r="E18031" t="str">
            <v>FUNDACAO DOS ECONOMIARIOS FEDERAIS - FUNCEF</v>
          </cell>
        </row>
        <row r="18032">
          <cell r="B18032">
            <v>125141</v>
          </cell>
          <cell r="C18032" t="str">
            <v>PACIFICO ACOES MASTER FIA</v>
          </cell>
          <cell r="D18032" t="str">
            <v>PACIFICO ACOES MASTER FIA</v>
          </cell>
          <cell r="E18032" t="str">
            <v>PACIFICO GESTAO DE RECURSOS LTDA</v>
          </cell>
        </row>
        <row r="18033">
          <cell r="B18033">
            <v>125143</v>
          </cell>
          <cell r="C18033" t="str">
            <v>PACIFICO MACRO MASTER FIM</v>
          </cell>
          <cell r="D18033" t="str">
            <v>PACIFICO MACRO MASTER FIM</v>
          </cell>
          <cell r="E18033" t="str">
            <v>PACIFICO GESTAO DE RECURSOS LTDA</v>
          </cell>
        </row>
        <row r="18034">
          <cell r="B18034">
            <v>125144</v>
          </cell>
          <cell r="C18034" t="str">
            <v>PACIFICO RV MASTER FIA</v>
          </cell>
          <cell r="D18034" t="str">
            <v>PACIFICO RV MASTER FIA</v>
          </cell>
          <cell r="E18034" t="str">
            <v>PACIFICO GESTAO DE RECURSOS LTDA</v>
          </cell>
        </row>
        <row r="18035">
          <cell r="B18035">
            <v>144533</v>
          </cell>
          <cell r="C18035" t="str">
            <v>SUL AMERICA INVESTIMENTOS GESTORA DE RECURSOS S/A</v>
          </cell>
          <cell r="D18035" t="str">
            <v>SUL AMERICA INVESTIMENTOS GESTORA DE RECURSOS S/A</v>
          </cell>
          <cell r="E18035" t="str">
            <v>SUL AMERICA INVESTIMENTOS GESTORA DE RECURSOS S/A</v>
          </cell>
        </row>
        <row r="18036">
          <cell r="B18036">
            <v>12386</v>
          </cell>
          <cell r="C18036" t="str">
            <v>SUL AMERICA INVESTIMENTOS GESTORA DE RECURSOS S/A</v>
          </cell>
          <cell r="D18036" t="str">
            <v>SUL AMERICA INVESTIMENTOS GESTORA DE RECURSOS S/A</v>
          </cell>
          <cell r="E18036" t="str">
            <v>SUL AMERICA INVESTIMENTOS GESTORA DE RECURSOS S/A</v>
          </cell>
        </row>
        <row r="18037">
          <cell r="B18037">
            <v>80570</v>
          </cell>
          <cell r="C18037" t="str">
            <v>SUL AMERICA EVOLUTION FIM</v>
          </cell>
          <cell r="D18037" t="str">
            <v>SUL AMERICA EVOLUTION FIM</v>
          </cell>
          <cell r="E18037" t="str">
            <v>SUL AMERICA INVESTIMENTOS GESTORA DE RECURSOS S/A</v>
          </cell>
        </row>
        <row r="18038">
          <cell r="B18038">
            <v>80570</v>
          </cell>
          <cell r="C18038" t="str">
            <v>SUL AMERICA EVOLUTION FIM</v>
          </cell>
          <cell r="D18038" t="str">
            <v>SUL AMERICA EVOLUTION FIM</v>
          </cell>
          <cell r="E18038" t="str">
            <v>SUL AMERICA INVESTIMENTOS GESTORA DE RECURSOS S/A</v>
          </cell>
        </row>
        <row r="18039">
          <cell r="B18039">
            <v>80571</v>
          </cell>
          <cell r="C18039" t="str">
            <v>SUL AMERICA TATICO FUNDO DE INVESTIMENTO MULTIMERCADO</v>
          </cell>
          <cell r="D18039" t="str">
            <v>SUL AMERICA TATICO FUNDO DE INVESTIMENTO MULTIMERCADO</v>
          </cell>
          <cell r="E18039" t="str">
            <v>SUL AMERICA INVESTIMENTOS GESTORA DE RECURSOS S/A</v>
          </cell>
        </row>
        <row r="18040">
          <cell r="B18040">
            <v>80571</v>
          </cell>
          <cell r="C18040" t="str">
            <v>SUL AMERICA TATICO FUNDO DE INVESTIMENTO MULTIMERCADO</v>
          </cell>
          <cell r="D18040" t="str">
            <v>SUL AMERICA TATICO FUNDO DE INVESTIMENTO MULTIMERCADO</v>
          </cell>
          <cell r="E18040" t="str">
            <v>SUL AMERICA INVESTIMENTOS GESTORA DE RECURSOS S/A</v>
          </cell>
        </row>
        <row r="18041">
          <cell r="B18041">
            <v>80551</v>
          </cell>
          <cell r="C18041" t="str">
            <v>FUNDO DE INVESTIMENTO EM ACOES PONTE JK</v>
          </cell>
          <cell r="D18041" t="str">
            <v>FUNDO DE INVESTIMENTO EM ACOES PONTE JK</v>
          </cell>
          <cell r="E18041" t="str">
            <v>FUNDO DE INVESTIMENTO EM ACOES PONTE JK</v>
          </cell>
        </row>
        <row r="18042">
          <cell r="B18042">
            <v>80551</v>
          </cell>
          <cell r="C18042" t="str">
            <v>FUNDO DE INVESTIMENTO EM ACOES PONTE JK</v>
          </cell>
          <cell r="D18042" t="str">
            <v>FUNDO DE INVESTIMENTO EM ACOES PONTE JK</v>
          </cell>
          <cell r="E18042" t="str">
            <v>FUNDO DE INVESTIMENTO EM ACOES PONTE JK</v>
          </cell>
        </row>
        <row r="18043">
          <cell r="B18043">
            <v>80550</v>
          </cell>
          <cell r="C18043" t="str">
            <v>ALVORADA FIF AÃ‡Ã•ES RL</v>
          </cell>
          <cell r="D18043" t="str">
            <v>ALVORADA FIF AÃ‡Ã•ES RL</v>
          </cell>
          <cell r="E18043" t="str">
            <v>FUNDACAO DOS ECONOMIARIOS FEDERAIS - FUNCEF</v>
          </cell>
        </row>
        <row r="18044">
          <cell r="B18044">
            <v>80549</v>
          </cell>
          <cell r="C18044" t="str">
            <v>DOM BOSCO FIF AÃ‡Ã•ES RL</v>
          </cell>
          <cell r="D18044" t="str">
            <v>DOM BOSCO FIF AÃ‡Ã•ES RL</v>
          </cell>
          <cell r="E18044" t="str">
            <v>FUNDACAO DOS ECONOMIARIOS FEDERAIS - FUNCEF</v>
          </cell>
        </row>
        <row r="18045">
          <cell r="B18045">
            <v>80552</v>
          </cell>
          <cell r="C18045" t="str">
            <v>FUNDO DE INVESTIMENTO EM ACOES PARANOA</v>
          </cell>
          <cell r="D18045" t="str">
            <v>FUNDO DE INVESTIMENTO EM ACOES PARANOA</v>
          </cell>
          <cell r="E18045" t="str">
            <v>FUNDO DE INVESTIMENTO EM ACOES PARANOA</v>
          </cell>
        </row>
        <row r="18046">
          <cell r="B18046">
            <v>80552</v>
          </cell>
          <cell r="C18046" t="str">
            <v>FUNDO DE INVESTIMENTO EM ACOES PARANOA</v>
          </cell>
          <cell r="D18046" t="str">
            <v>FUNDO DE INVESTIMENTO EM ACOES PARANOA</v>
          </cell>
          <cell r="E18046" t="str">
            <v>FUNDO DE INVESTIMENTO EM ACOES PARANOA</v>
          </cell>
        </row>
        <row r="18047">
          <cell r="B18047">
            <v>80564</v>
          </cell>
          <cell r="C18047" t="str">
            <v>FUNDO DE INVESTIMENTO FOX SOBERANO I RENDA FIXA</v>
          </cell>
          <cell r="D18047" t="str">
            <v>FUNDO DE INVESTIMENTO FOX SOBERANO I RENDA FIXA</v>
          </cell>
          <cell r="E18047" t="str">
            <v>FUNDACAO DOS ECONOMIARIOS FEDERAIS - FUNCEF</v>
          </cell>
        </row>
        <row r="18048">
          <cell r="B18048">
            <v>125145</v>
          </cell>
          <cell r="C18048" t="str">
            <v>SANTANDER CACEIS BRASIL DTVM S.A.</v>
          </cell>
          <cell r="D18048" t="str">
            <v>SANTANDER CACEIS BRASIL DTVM S.A.</v>
          </cell>
          <cell r="E18048" t="str">
            <v>SANTANDER BRASIL GESTAO DE RECURSOS LTDA</v>
          </cell>
        </row>
        <row r="18049">
          <cell r="B18049">
            <v>125145</v>
          </cell>
          <cell r="C18049" t="str">
            <v>SANTANDER CACEIS BRASIL DTVM S.A.</v>
          </cell>
          <cell r="D18049" t="str">
            <v>SANTANDER CACEIS BRASIL DTVM S.A.</v>
          </cell>
          <cell r="E18049" t="str">
            <v>SANTANDER BRASIL GESTAO DE RECURSOS LTDA</v>
          </cell>
        </row>
        <row r="18050">
          <cell r="B18050">
            <v>80580</v>
          </cell>
          <cell r="C18050" t="str">
            <v>FUNDACAO DOS ECONOMIARIOS FEDERAIS - FUNCEF</v>
          </cell>
          <cell r="D18050" t="str">
            <v>FUNDACAO DOS ECONOMIARIOS FEDERAIS - FUNCEF</v>
          </cell>
          <cell r="E18050" t="str">
            <v>FUNDACAO DOS ECONOMIARIOS FEDERAIS - FUNCEF</v>
          </cell>
        </row>
        <row r="18051">
          <cell r="B18051">
            <v>80580</v>
          </cell>
          <cell r="C18051" t="str">
            <v>FUNDACAO DOS ECONOMIARIOS FEDERAIS - FUNCEF</v>
          </cell>
          <cell r="D18051" t="str">
            <v>FUNDACAO DOS ECONOMIARIOS FEDERAIS - FUNCEF</v>
          </cell>
          <cell r="E18051" t="str">
            <v>FUNDACAO DOS ECONOMIARIOS FEDERAIS - FUNCEF</v>
          </cell>
        </row>
        <row r="18052">
          <cell r="B18052">
            <v>80582</v>
          </cell>
          <cell r="C18052" t="str">
            <v>FUNDACAO DOS ECONOMIARIOS FEDERAIS - FUNCEF</v>
          </cell>
          <cell r="D18052" t="str">
            <v>FUNDACAO DOS ECONOMIARIOS FEDERAIS - FUNCEF</v>
          </cell>
          <cell r="E18052" t="str">
            <v>FUNDACAO DOS ECONOMIARIOS FEDERAIS - FUNCEF</v>
          </cell>
        </row>
        <row r="18053">
          <cell r="B18053">
            <v>80583</v>
          </cell>
          <cell r="C18053" t="str">
            <v>FUNDACAO DOS ECONOMIARIOS FEDERAIS - FUNCEF</v>
          </cell>
          <cell r="D18053" t="str">
            <v>FUNDACAO DOS ECONOMIARIOS FEDERAIS - FUNCEF</v>
          </cell>
          <cell r="E18053" t="str">
            <v>FUNDACAO DOS ECONOMIARIOS FEDERAIS - FUNCEF</v>
          </cell>
        </row>
        <row r="18054">
          <cell r="B18054">
            <v>80584</v>
          </cell>
          <cell r="C18054" t="str">
            <v>FUNDACAO DOS ECONOMIARIOS FEDERAIS - FUNCEF</v>
          </cell>
          <cell r="D18054" t="str">
            <v>FUNDACAO DOS ECONOMIARIOS FEDERAIS - FUNCEF</v>
          </cell>
          <cell r="E18054" t="str">
            <v>FUNDACAO DOS ECONOMIARIOS FEDERAIS - FUNCEF</v>
          </cell>
        </row>
        <row r="18055">
          <cell r="B18055">
            <v>80585</v>
          </cell>
          <cell r="C18055" t="str">
            <v>FUNDACAO DOS ECONOMIARIOS FEDERAIS - FUNCEF</v>
          </cell>
          <cell r="D18055" t="str">
            <v>FUNDACAO DOS ECONOMIARIOS FEDERAIS - FUNCEF</v>
          </cell>
          <cell r="E18055" t="str">
            <v>FUNDACAO DOS ECONOMIARIOS FEDERAIS - FUNCEF</v>
          </cell>
        </row>
        <row r="18056">
          <cell r="B18056">
            <v>80586</v>
          </cell>
          <cell r="C18056" t="str">
            <v>FUNDACAO DOS ECONOMIARIOS FEDERAIS - FUNCEF</v>
          </cell>
          <cell r="D18056" t="str">
            <v>FUNDACAO DOS ECONOMIARIOS FEDERAIS - FUNCEF</v>
          </cell>
          <cell r="E18056" t="str">
            <v>FUNDACAO DOS ECONOMIARIOS FEDERAIS - FUNCEF</v>
          </cell>
        </row>
        <row r="18057">
          <cell r="B18057">
            <v>80587</v>
          </cell>
          <cell r="C18057" t="str">
            <v>FUNDACAO DOS ECONOMIARIOS FEDERAIS - FUNCEF</v>
          </cell>
          <cell r="D18057" t="str">
            <v>FUNDACAO DOS ECONOMIARIOS FEDERAIS - FUNCEF</v>
          </cell>
          <cell r="E18057" t="str">
            <v>FUNDACAO DOS ECONOMIARIOS FEDERAIS - FUNCEF</v>
          </cell>
        </row>
        <row r="18058">
          <cell r="B18058">
            <v>80588</v>
          </cell>
          <cell r="C18058" t="str">
            <v>FUNDACAO DOS ECONOMIARIOS FEDERAIS - FUNCEF</v>
          </cell>
          <cell r="D18058" t="str">
            <v>FUNDACAO DOS ECONOMIARIOS FEDERAIS - FUNCEF</v>
          </cell>
          <cell r="E18058" t="str">
            <v>FUNDACAO DOS ECONOMIARIOS FEDERAIS - FUNCEF</v>
          </cell>
        </row>
        <row r="18059">
          <cell r="B18059">
            <v>80589</v>
          </cell>
          <cell r="C18059" t="str">
            <v>FUNDACAO DOS ECONOMIARIOS FEDERAIS - FUNCEF</v>
          </cell>
          <cell r="D18059" t="str">
            <v>FUNDACAO DOS ECONOMIARIOS FEDERAIS - FUNCEF</v>
          </cell>
          <cell r="E18059" t="str">
            <v>FUNDACAO DOS ECONOMIARIOS FEDERAIS - FUNCEF</v>
          </cell>
        </row>
        <row r="18060">
          <cell r="B18060">
            <v>80590</v>
          </cell>
          <cell r="C18060" t="str">
            <v>FUNDACAO DOS ECONOMIARIOS FEDERAIS - FUNCEF</v>
          </cell>
          <cell r="D18060" t="str">
            <v>FUNDACAO DOS ECONOMIARIOS FEDERAIS - FUNCEF</v>
          </cell>
          <cell r="E18060" t="str">
            <v>FUNDACAO DOS ECONOMIARIOS FEDERAIS - FUNCEF</v>
          </cell>
        </row>
        <row r="18061">
          <cell r="B18061">
            <v>80591</v>
          </cell>
          <cell r="C18061" t="str">
            <v>FUNDACAO DOS ECONOMIARIOS FEDERAIS - FUNCEF</v>
          </cell>
          <cell r="D18061" t="str">
            <v>FUNDACAO DOS ECONOMIARIOS FEDERAIS - FUNCEF</v>
          </cell>
          <cell r="E18061" t="str">
            <v>FUNDACAO DOS ECONOMIARIOS FEDERAIS - FUNCEF</v>
          </cell>
        </row>
        <row r="18062">
          <cell r="B18062">
            <v>80567</v>
          </cell>
          <cell r="C18062" t="str">
            <v>NEO RFDLI FUNDO DE INVESTIMENTO RENDA FIXA LONGO PRAZO</v>
          </cell>
          <cell r="D18062" t="str">
            <v>NEO RFDLI FUNDO DE INVESTIMENTO RENDA FIXA LONGO PRAZO</v>
          </cell>
          <cell r="E18062" t="str">
            <v>NEO GESTÃO DE RECURSOS LTDA</v>
          </cell>
        </row>
        <row r="18063">
          <cell r="B18063">
            <v>80567</v>
          </cell>
          <cell r="C18063" t="str">
            <v>NEO RFDLI FUNDO DE INVESTIMENTO RENDA FIXA LONGO PRAZO</v>
          </cell>
          <cell r="D18063" t="str">
            <v>NEO RFDLI FUNDO DE INVESTIMENTO RENDA FIXA LONGO PRAZO</v>
          </cell>
          <cell r="E18063" t="str">
            <v>NEO GESTÃO DE RECURSOS LTDA</v>
          </cell>
        </row>
        <row r="18064">
          <cell r="B18064">
            <v>80566</v>
          </cell>
          <cell r="C18064" t="str">
            <v>HIKER RENDA FIXA FI LONGO PRAZO</v>
          </cell>
          <cell r="D18064" t="str">
            <v>HIKER RENDA FIXA FI LONGO PRAZO</v>
          </cell>
          <cell r="E18064" t="str">
            <v>ABSOLUTE GESTAO DE INVESTIMENTOS LTDA</v>
          </cell>
        </row>
        <row r="18065">
          <cell r="B18065">
            <v>80566</v>
          </cell>
          <cell r="C18065" t="str">
            <v>HIKER RENDA FIXA FI LONGO PRAZO</v>
          </cell>
          <cell r="D18065" t="str">
            <v>HIKER RENDA FIXA FI LONGO PRAZO</v>
          </cell>
          <cell r="E18065" t="str">
            <v>ABSOLUTE GESTAO DE INVESTIMENTOS LTDA</v>
          </cell>
        </row>
        <row r="18066">
          <cell r="B18066">
            <v>125146</v>
          </cell>
          <cell r="C18066" t="str">
            <v>SANTANDER CACEIS BRASIL DTVM S.A.</v>
          </cell>
          <cell r="D18066" t="str">
            <v>SANTANDER CACEIS BRASIL DTVM S.A.</v>
          </cell>
          <cell r="E18066" t="str">
            <v>SANTANDER BRASIL GESTAO DE RECURSOS LTDA</v>
          </cell>
        </row>
        <row r="18067">
          <cell r="B18067">
            <v>125147</v>
          </cell>
          <cell r="C18067" t="str">
            <v>SANTANDER CACEIS BRASIL DTVM S.A.</v>
          </cell>
          <cell r="D18067" t="str">
            <v>SANTANDER CACEIS BRASIL DTVM S.A.</v>
          </cell>
          <cell r="E18067" t="str">
            <v>SANTANDER CACEIS BRASIL DTVM S.A.</v>
          </cell>
        </row>
        <row r="18068">
          <cell r="B18068">
            <v>125146</v>
          </cell>
          <cell r="C18068" t="str">
            <v>SANTANDER CACEIS BRASIL DTVM S.A.</v>
          </cell>
          <cell r="D18068" t="str">
            <v>SANTANDER CACEIS BRASIL DTVM S.A.</v>
          </cell>
          <cell r="E18068" t="str">
            <v>SANTANDER BRASIL GESTAO DE RECURSOS LTDA</v>
          </cell>
        </row>
        <row r="18069">
          <cell r="B18069">
            <v>125147</v>
          </cell>
          <cell r="C18069" t="str">
            <v>SANTANDER CACEIS BRASIL DTVM S.A.</v>
          </cell>
          <cell r="D18069" t="str">
            <v>SANTANDER CACEIS BRASIL DTVM S.A.</v>
          </cell>
          <cell r="E18069" t="str">
            <v>SANTANDER BRASIL GESTAO DE RECURSOS LTDA</v>
          </cell>
        </row>
        <row r="18070">
          <cell r="B18070">
            <v>125148</v>
          </cell>
          <cell r="C18070" t="str">
            <v>AZ QUEST B PREVIDÃŠNCIA FIFE MASTER FIM</v>
          </cell>
          <cell r="D18070" t="str">
            <v>AZ QUEST B PREVIDÃŠNCIA FIFE MASTER FIM</v>
          </cell>
          <cell r="E18070" t="str">
            <v>AZ QUEST INVESTIMENTOS LTDA</v>
          </cell>
        </row>
        <row r="18071">
          <cell r="B18071">
            <v>125149</v>
          </cell>
          <cell r="C18071" t="str">
            <v>SKOPOS VIX FIM</v>
          </cell>
          <cell r="D18071" t="str">
            <v>SKOPOS VIX FIM</v>
          </cell>
          <cell r="E18071" t="str">
            <v>SKOPOS INVESTIMENTOS LTDA</v>
          </cell>
        </row>
        <row r="18072">
          <cell r="B18072">
            <v>125149</v>
          </cell>
          <cell r="C18072" t="str">
            <v>SKOPOS VIX FIM</v>
          </cell>
          <cell r="D18072" t="str">
            <v>SKOPOS VIX FIM</v>
          </cell>
          <cell r="E18072" t="str">
            <v>SKOPOS INVESTIMENTOS LTDA</v>
          </cell>
        </row>
        <row r="18073">
          <cell r="B18073">
            <v>80575</v>
          </cell>
          <cell r="C18073" t="str">
            <v>SKOPOS INVESTIMENTOS LTDA</v>
          </cell>
          <cell r="D18073" t="str">
            <v>SKOPOS INVESTIMENTOS LTDA</v>
          </cell>
          <cell r="E18073" t="str">
            <v>SKOPOS INVESTIMENTOS LTDA</v>
          </cell>
        </row>
        <row r="18074">
          <cell r="B18074">
            <v>125150</v>
          </cell>
          <cell r="C18074" t="str">
            <v>SANTANDER CACEIS BRASIL DTVM S.A.</v>
          </cell>
          <cell r="D18074" t="str">
            <v>SANTANDER CACEIS BRASIL DTVM S.A.</v>
          </cell>
          <cell r="E18074" t="str">
            <v>SANTANDER BRASIL GESTAO DE RECURSOS LTDA</v>
          </cell>
        </row>
        <row r="18075">
          <cell r="B18075">
            <v>80575</v>
          </cell>
          <cell r="C18075" t="str">
            <v>SKOPOS INVESTIMENTOS LTDA</v>
          </cell>
          <cell r="D18075" t="str">
            <v>SKOPOS INVESTIMENTOS LTDA</v>
          </cell>
          <cell r="E18075" t="str">
            <v>SKOPOS INVESTIMENTOS LTDA</v>
          </cell>
        </row>
        <row r="18076">
          <cell r="B18076">
            <v>80593</v>
          </cell>
          <cell r="C18076" t="str">
            <v>APEX CAPITAL LTDA</v>
          </cell>
          <cell r="D18076" t="str">
            <v>APEX CAPITAL LTDA</v>
          </cell>
          <cell r="E18076" t="str">
            <v>APEX CAPITAL LTDA</v>
          </cell>
        </row>
        <row r="18077">
          <cell r="B18077">
            <v>80594</v>
          </cell>
          <cell r="C18077" t="str">
            <v>APEX CAPITAL LTDA</v>
          </cell>
          <cell r="D18077" t="str">
            <v>APEX CAPITAL LTDA</v>
          </cell>
          <cell r="E18077" t="str">
            <v>APEX CAPITAL LTDA</v>
          </cell>
        </row>
        <row r="18078">
          <cell r="B18078">
            <v>80593</v>
          </cell>
          <cell r="C18078" t="str">
            <v>APEX CAPITAL LTDA</v>
          </cell>
          <cell r="D18078" t="str">
            <v>APEX CAPITAL LTDA</v>
          </cell>
          <cell r="E18078" t="str">
            <v>APEX CAPITAL LTDA</v>
          </cell>
        </row>
        <row r="18079">
          <cell r="B18079">
            <v>80594</v>
          </cell>
          <cell r="C18079" t="str">
            <v>APEX CAPITAL LTDA</v>
          </cell>
          <cell r="D18079" t="str">
            <v>APEX CAPITAL LTDA</v>
          </cell>
          <cell r="E18079" t="str">
            <v>APEX CAPITAL LTDA</v>
          </cell>
        </row>
        <row r="18080">
          <cell r="B18080">
            <v>80595</v>
          </cell>
          <cell r="C18080" t="str">
            <v>APEX MASTER LONG BIASED FIM</v>
          </cell>
          <cell r="D18080" t="str">
            <v>APEX MASTER LONG BIASED FIM</v>
          </cell>
          <cell r="E18080" t="str">
            <v>APEX CAPITAL LTDA</v>
          </cell>
        </row>
        <row r="18081">
          <cell r="B18081">
            <v>80596</v>
          </cell>
          <cell r="C18081" t="str">
            <v>APEX MASTER LONG BIASED FIM</v>
          </cell>
          <cell r="D18081" t="str">
            <v>APEX MASTER LONG BIASED FIM</v>
          </cell>
          <cell r="E18081" t="str">
            <v>APEX CAPITAL LTDA</v>
          </cell>
        </row>
        <row r="18082">
          <cell r="B18082">
            <v>80597</v>
          </cell>
          <cell r="C18082" t="str">
            <v>APEX MASTER LONG BIASED FIM</v>
          </cell>
          <cell r="D18082" t="str">
            <v>APEX MASTER LONG BIASED FIM</v>
          </cell>
          <cell r="E18082" t="str">
            <v>APEX CAPITAL LTDA</v>
          </cell>
        </row>
        <row r="18083">
          <cell r="B18083">
            <v>80596</v>
          </cell>
          <cell r="C18083" t="str">
            <v>APEX MASTER LONG BIASED FIM</v>
          </cell>
          <cell r="D18083" t="str">
            <v>APEX MASTER LONG BIASED FIM</v>
          </cell>
          <cell r="E18083" t="str">
            <v>APEX CAPITAL LTDA</v>
          </cell>
        </row>
        <row r="18084">
          <cell r="B18084">
            <v>80597</v>
          </cell>
          <cell r="C18084" t="str">
            <v>APEX MASTER LONG BIASED FIM</v>
          </cell>
          <cell r="D18084" t="str">
            <v>APEX MASTER LONG BIASED FIM</v>
          </cell>
          <cell r="E18084" t="str">
            <v>APEX CAPITAL LTDA</v>
          </cell>
        </row>
        <row r="18085">
          <cell r="B18085">
            <v>80598</v>
          </cell>
          <cell r="C18085" t="str">
            <v>APEX EQUITY HEDGE STR FIM</v>
          </cell>
          <cell r="D18085" t="str">
            <v>APEX EQUITY HEDGE STR FIM</v>
          </cell>
          <cell r="E18085" t="str">
            <v>APEX CAPITAL LTDA</v>
          </cell>
        </row>
        <row r="18086">
          <cell r="B18086">
            <v>80599</v>
          </cell>
          <cell r="C18086" t="str">
            <v>APEX EQUITY HEDGE STR FIM</v>
          </cell>
          <cell r="D18086" t="str">
            <v>APEX EQUITY HEDGE STR FIM</v>
          </cell>
          <cell r="E18086" t="str">
            <v>APEX CAPITAL LTDA</v>
          </cell>
        </row>
        <row r="18087">
          <cell r="B18087">
            <v>80600</v>
          </cell>
          <cell r="C18087" t="str">
            <v>APEX EQUITY HEDGE STR FIM</v>
          </cell>
          <cell r="D18087" t="str">
            <v>APEX EQUITY HEDGE STR FIM</v>
          </cell>
          <cell r="E18087" t="str">
            <v>APEX CAPITAL LTDA</v>
          </cell>
        </row>
        <row r="18088">
          <cell r="B18088">
            <v>80598</v>
          </cell>
          <cell r="C18088" t="str">
            <v>APEX EQUITY HEDGE STR FIM</v>
          </cell>
          <cell r="D18088" t="str">
            <v>APEX EQUITY HEDGE STR FIM</v>
          </cell>
          <cell r="E18088" t="str">
            <v>APEX CAPITAL LTDA</v>
          </cell>
        </row>
        <row r="18089">
          <cell r="B18089">
            <v>80599</v>
          </cell>
          <cell r="C18089" t="str">
            <v>APEX EQUITY HEDGE STR FIM</v>
          </cell>
          <cell r="D18089" t="str">
            <v>APEX EQUITY HEDGE STR FIM</v>
          </cell>
          <cell r="E18089" t="str">
            <v>APEX CAPITAL LTDA</v>
          </cell>
        </row>
        <row r="18090">
          <cell r="B18090">
            <v>80600</v>
          </cell>
          <cell r="C18090" t="str">
            <v>APEX EQUITY HEDGE STR FIM</v>
          </cell>
          <cell r="D18090" t="str">
            <v>APEX EQUITY HEDGE STR FIM</v>
          </cell>
          <cell r="E18090" t="str">
            <v>APEX CAPITAL LTDA</v>
          </cell>
        </row>
        <row r="18091">
          <cell r="B18091">
            <v>80602</v>
          </cell>
          <cell r="C18091" t="str">
            <v>APEX EQUITY HEDGE FIF MULTIMERCADO RL</v>
          </cell>
          <cell r="D18091" t="str">
            <v>APEX EQUITY HEDGE FIF MULTIMERCADO RL</v>
          </cell>
          <cell r="E18091" t="str">
            <v>APEX CAPITAL LTDA</v>
          </cell>
        </row>
        <row r="18092">
          <cell r="B18092">
            <v>80603</v>
          </cell>
          <cell r="C18092" t="str">
            <v>APEX EQUITY HEDGE FIF MULTIMERCADO RL</v>
          </cell>
          <cell r="D18092" t="str">
            <v>APEX EQUITY HEDGE FIF MULTIMERCADO RL</v>
          </cell>
          <cell r="E18092" t="str">
            <v>APEX CAPITAL LTDA</v>
          </cell>
        </row>
        <row r="18093">
          <cell r="B18093">
            <v>80601</v>
          </cell>
          <cell r="C18093" t="str">
            <v>APEX EQUITY HEDGE FIF MULTIMERCADO RL</v>
          </cell>
          <cell r="D18093" t="str">
            <v>APEX EQUITY HEDGE FIF MULTIMERCADO RL</v>
          </cell>
          <cell r="E18093" t="str">
            <v>APEX CAPITAL LTDA</v>
          </cell>
        </row>
        <row r="18094">
          <cell r="B18094">
            <v>80602</v>
          </cell>
          <cell r="C18094" t="str">
            <v>APEX EQUITY HEDGE FIF MULTIMERCADO RL</v>
          </cell>
          <cell r="D18094" t="str">
            <v>APEX EQUITY HEDGE FIF MULTIMERCADO RL</v>
          </cell>
          <cell r="E18094" t="str">
            <v>APEX CAPITAL LTDA</v>
          </cell>
        </row>
        <row r="18095">
          <cell r="B18095">
            <v>80603</v>
          </cell>
          <cell r="C18095" t="str">
            <v>APEX EQUITY HEDGE FIF MULTIMERCADO RL</v>
          </cell>
          <cell r="D18095" t="str">
            <v>APEX EQUITY HEDGE FIF MULTIMERCADO RL</v>
          </cell>
          <cell r="E18095" t="str">
            <v>APEX CAPITAL LTDA</v>
          </cell>
        </row>
        <row r="18096">
          <cell r="B18096">
            <v>80604</v>
          </cell>
          <cell r="C18096" t="str">
            <v>FIA SAO CONRADO</v>
          </cell>
          <cell r="D18096" t="str">
            <v>FIA SAO CONRADO</v>
          </cell>
          <cell r="E18096" t="str">
            <v>APEX CAPITAL LTDA</v>
          </cell>
        </row>
        <row r="18097">
          <cell r="B18097">
            <v>80605</v>
          </cell>
          <cell r="C18097" t="str">
            <v>FIA SAO CONRADO</v>
          </cell>
          <cell r="D18097" t="str">
            <v>FIA SAO CONRADO</v>
          </cell>
          <cell r="E18097" t="str">
            <v>FIA SAO CONRADO</v>
          </cell>
        </row>
        <row r="18098">
          <cell r="B18098">
            <v>80606</v>
          </cell>
          <cell r="C18098" t="str">
            <v>FIA SAO CONRADO</v>
          </cell>
          <cell r="D18098" t="str">
            <v>FIA SAO CONRADO</v>
          </cell>
          <cell r="E18098" t="str">
            <v>APEX CAPITAL LTDA</v>
          </cell>
        </row>
        <row r="18099">
          <cell r="B18099">
            <v>80604</v>
          </cell>
          <cell r="C18099" t="str">
            <v>FIA SAO CONRADO</v>
          </cell>
          <cell r="D18099" t="str">
            <v>FIA SAO CONRADO</v>
          </cell>
          <cell r="E18099" t="str">
            <v>APEX CAPITAL LTDA</v>
          </cell>
        </row>
        <row r="18100">
          <cell r="B18100">
            <v>80605</v>
          </cell>
          <cell r="C18100" t="str">
            <v>FIA SAO CONRADO</v>
          </cell>
          <cell r="D18100" t="str">
            <v>FIA SAO CONRADO</v>
          </cell>
          <cell r="E18100" t="str">
            <v>FIA SAO CONRADO</v>
          </cell>
        </row>
        <row r="18101">
          <cell r="B18101">
            <v>80606</v>
          </cell>
          <cell r="C18101" t="str">
            <v>FIA SAO CONRADO</v>
          </cell>
          <cell r="D18101" t="str">
            <v>FIA SAO CONRADO</v>
          </cell>
          <cell r="E18101" t="str">
            <v>APEX CAPITAL LTDA</v>
          </cell>
        </row>
        <row r="18102">
          <cell r="B18102">
            <v>80607</v>
          </cell>
          <cell r="C18102" t="str">
            <v>APEX INFINITY MASTER LONG BIASED FIA</v>
          </cell>
          <cell r="D18102" t="str">
            <v>APEX INFINITY MASTER LONG BIASED FIA</v>
          </cell>
          <cell r="E18102" t="str">
            <v>APEX CAPITAL LTDA</v>
          </cell>
        </row>
        <row r="18103">
          <cell r="B18103">
            <v>80608</v>
          </cell>
          <cell r="C18103" t="str">
            <v>APEX INFINITY MASTER LONG BIASED FIA</v>
          </cell>
          <cell r="D18103" t="str">
            <v>APEX INFINITY MASTER LONG BIASED FIA</v>
          </cell>
          <cell r="E18103" t="str">
            <v>APEX CAPITAL LTDA</v>
          </cell>
        </row>
        <row r="18104">
          <cell r="B18104">
            <v>80608</v>
          </cell>
          <cell r="C18104" t="str">
            <v>APEX INFINITY MASTER LONG BIASED FIA</v>
          </cell>
          <cell r="D18104" t="str">
            <v>APEX INFINITY MASTER LONG BIASED FIA</v>
          </cell>
          <cell r="E18104" t="str">
            <v>APEX CAPITAL LTDA</v>
          </cell>
        </row>
        <row r="18105">
          <cell r="B18105">
            <v>80609</v>
          </cell>
          <cell r="C18105" t="str">
            <v>APEX INFINITY MASTER LONG BIASED FIA</v>
          </cell>
          <cell r="D18105" t="str">
            <v>APEX INFINITY MASTER LONG BIASED FIA</v>
          </cell>
          <cell r="E18105" t="str">
            <v>APEX CAPITAL LTDA</v>
          </cell>
        </row>
        <row r="18106">
          <cell r="B18106">
            <v>80609</v>
          </cell>
          <cell r="C18106" t="str">
            <v>APEX INFINITY MASTER LONG BIASED FIA</v>
          </cell>
          <cell r="D18106" t="str">
            <v>APEX INFINITY MASTER LONG BIASED FIA</v>
          </cell>
          <cell r="E18106" t="str">
            <v>APEX CAPITAL LTDA</v>
          </cell>
        </row>
        <row r="18107">
          <cell r="B18107">
            <v>80611</v>
          </cell>
          <cell r="C18107" t="str">
            <v>APEX MASTER FIA</v>
          </cell>
          <cell r="D18107" t="str">
            <v>APEX MASTER FIA</v>
          </cell>
          <cell r="E18107" t="str">
            <v>APEX CAPITAL LTDA</v>
          </cell>
        </row>
        <row r="18108">
          <cell r="B18108">
            <v>80612</v>
          </cell>
          <cell r="C18108" t="str">
            <v>APEX MASTER FIA</v>
          </cell>
          <cell r="D18108" t="str">
            <v>APEX MASTER FIA</v>
          </cell>
          <cell r="E18108" t="str">
            <v>APEX CAPITAL LTDA</v>
          </cell>
        </row>
        <row r="18109">
          <cell r="B18109">
            <v>80610</v>
          </cell>
          <cell r="C18109" t="str">
            <v>APEX MASTER FIA</v>
          </cell>
          <cell r="D18109" t="str">
            <v>APEX MASTER FIA</v>
          </cell>
          <cell r="E18109" t="str">
            <v>APEX CAPITAL LTDA</v>
          </cell>
        </row>
        <row r="18110">
          <cell r="B18110">
            <v>80611</v>
          </cell>
          <cell r="C18110" t="str">
            <v>APEX MASTER FIA</v>
          </cell>
          <cell r="D18110" t="str">
            <v>APEX MASTER FIA</v>
          </cell>
          <cell r="E18110" t="str">
            <v>APEX CAPITAL LTDA</v>
          </cell>
        </row>
        <row r="18111">
          <cell r="B18111">
            <v>80612</v>
          </cell>
          <cell r="C18111" t="str">
            <v>APEX MASTER FIA</v>
          </cell>
          <cell r="D18111" t="str">
            <v>APEX MASTER FIA</v>
          </cell>
          <cell r="E18111" t="str">
            <v>APEX CAPITAL LTDA</v>
          </cell>
        </row>
        <row r="18112">
          <cell r="B18112">
            <v>80613</v>
          </cell>
          <cell r="C18112" t="str">
            <v>APEX LONG BIASED ICATU FIA PREVIDENCIARIO FIFE</v>
          </cell>
          <cell r="D18112" t="str">
            <v>APEX LONG BIASED ICATU FIA PREVIDENCIARIO FIFE</v>
          </cell>
          <cell r="E18112" t="str">
            <v>APEX CAPITAL LTDA</v>
          </cell>
        </row>
        <row r="18113">
          <cell r="B18113">
            <v>80614</v>
          </cell>
          <cell r="C18113" t="str">
            <v>APEX LONG BIASED ICATU FIA PREVIDENCIARIO FIFE</v>
          </cell>
          <cell r="D18113" t="str">
            <v>APEX LONG BIASED ICATU FIA PREVIDENCIARIO FIFE</v>
          </cell>
          <cell r="E18113" t="str">
            <v>APEX CAPITAL LTDA</v>
          </cell>
        </row>
        <row r="18114">
          <cell r="B18114">
            <v>80615</v>
          </cell>
          <cell r="C18114" t="str">
            <v>APEX LONG BIASED ICATU FIA PREVIDENCIARIO FIFE</v>
          </cell>
          <cell r="D18114" t="str">
            <v>APEX LONG BIASED ICATU FIA PREVIDENCIARIO FIFE</v>
          </cell>
          <cell r="E18114" t="str">
            <v>APEX CAPITAL LTDA</v>
          </cell>
        </row>
        <row r="18115">
          <cell r="B18115">
            <v>80613</v>
          </cell>
          <cell r="C18115" t="str">
            <v>APEX LONG BIASED ICATU FIA PREVIDENCIARIO FIFE</v>
          </cell>
          <cell r="D18115" t="str">
            <v>APEX LONG BIASED ICATU FIA PREVIDENCIARIO FIFE</v>
          </cell>
          <cell r="E18115" t="str">
            <v>APEX CAPITAL LTDA</v>
          </cell>
        </row>
        <row r="18116">
          <cell r="B18116">
            <v>80614</v>
          </cell>
          <cell r="C18116" t="str">
            <v>APEX LONG BIASED ICATU FIA PREVIDENCIARIO FIFE</v>
          </cell>
          <cell r="D18116" t="str">
            <v>APEX LONG BIASED ICATU FIA PREVIDENCIARIO FIFE</v>
          </cell>
          <cell r="E18116" t="str">
            <v>APEX CAPITAL LTDA</v>
          </cell>
        </row>
        <row r="18117">
          <cell r="B18117">
            <v>80615</v>
          </cell>
          <cell r="C18117" t="str">
            <v>APEX LONG BIASED ICATU FIA PREVIDENCIARIO FIFE</v>
          </cell>
          <cell r="D18117" t="str">
            <v>APEX LONG BIASED ICATU FIA PREVIDENCIARIO FIFE</v>
          </cell>
          <cell r="E18117" t="str">
            <v>APEX CAPITAL LTDA</v>
          </cell>
        </row>
        <row r="18118">
          <cell r="B18118">
            <v>80616</v>
          </cell>
          <cell r="C18118" t="str">
            <v>LA HOLDINGS (LUXEMBOURG) S/A</v>
          </cell>
          <cell r="D18118" t="str">
            <v>LA HOLDINGS (LUXEMBOURG) S/A</v>
          </cell>
          <cell r="E18118" t="str">
            <v>APEX CAPITAL LTDA</v>
          </cell>
        </row>
        <row r="18119">
          <cell r="B18119">
            <v>80616</v>
          </cell>
          <cell r="C18119" t="str">
            <v>LA HOLDINGS (LUXEMBOURG) S/A</v>
          </cell>
          <cell r="D18119" t="str">
            <v>LA HOLDINGS (LUXEMBOURG) S/A</v>
          </cell>
          <cell r="E18119" t="str">
            <v>APEX CAPITAL LTDA</v>
          </cell>
        </row>
        <row r="18120">
          <cell r="B18120">
            <v>80617</v>
          </cell>
          <cell r="C18120" t="str">
            <v>LA HOLDINGS (LUXEMBOURG) S/A</v>
          </cell>
          <cell r="D18120" t="str">
            <v>LA HOLDINGS (LUXEMBOURG) S/A</v>
          </cell>
          <cell r="E18120" t="str">
            <v>APEX CAPITAL LTDA</v>
          </cell>
        </row>
        <row r="18121">
          <cell r="B18121">
            <v>80618</v>
          </cell>
          <cell r="C18121" t="str">
            <v>LA HOLDINGS (LUXEMBOURG) S/A</v>
          </cell>
          <cell r="D18121" t="str">
            <v>LA HOLDINGS (LUXEMBOURG) S/A</v>
          </cell>
          <cell r="E18121" t="str">
            <v>APEX CAPITAL LTDA</v>
          </cell>
        </row>
        <row r="18122">
          <cell r="B18122">
            <v>80617</v>
          </cell>
          <cell r="C18122" t="str">
            <v>LA HOLDINGS (LUXEMBOURG) S/A</v>
          </cell>
          <cell r="D18122" t="str">
            <v>LA HOLDINGS (LUXEMBOURG) S/A</v>
          </cell>
          <cell r="E18122" t="str">
            <v>APEX CAPITAL LTDA</v>
          </cell>
        </row>
        <row r="18123">
          <cell r="B18123">
            <v>80618</v>
          </cell>
          <cell r="C18123" t="str">
            <v>LA HOLDINGS (LUXEMBOURG) S/A</v>
          </cell>
          <cell r="D18123" t="str">
            <v>LA HOLDINGS (LUXEMBOURG) S/A</v>
          </cell>
          <cell r="E18123" t="str">
            <v>APEX CAPITAL LTDA</v>
          </cell>
        </row>
        <row r="18124">
          <cell r="B18124">
            <v>80619</v>
          </cell>
          <cell r="C18124" t="str">
            <v>SOMMA QP7 FIA</v>
          </cell>
          <cell r="D18124" t="str">
            <v>SOMMA QP7 FIA</v>
          </cell>
          <cell r="E18124" t="str">
            <v>SOMMA INVESTIMENTOS S.A</v>
          </cell>
        </row>
        <row r="18125">
          <cell r="B18125">
            <v>80620</v>
          </cell>
          <cell r="C18125" t="str">
            <v>SOMMA QP7 FIA</v>
          </cell>
          <cell r="D18125" t="str">
            <v>SOMMA QP7 FIA</v>
          </cell>
          <cell r="E18125" t="str">
            <v>SOMMA INVESTIMENTOS S.A</v>
          </cell>
        </row>
        <row r="18126">
          <cell r="B18126">
            <v>80621</v>
          </cell>
          <cell r="C18126" t="str">
            <v>SOMMA QP7 FIA</v>
          </cell>
          <cell r="D18126" t="str">
            <v>SOMMA QP7 FIA</v>
          </cell>
          <cell r="E18126" t="str">
            <v>SOMMA INVESTIMENTOS S.A</v>
          </cell>
        </row>
        <row r="18127">
          <cell r="B18127">
            <v>80619</v>
          </cell>
          <cell r="C18127" t="str">
            <v>SOMMA QP7 FIA</v>
          </cell>
          <cell r="D18127" t="str">
            <v>SOMMA QP7 FIA</v>
          </cell>
          <cell r="E18127" t="str">
            <v>SOMMA INVESTIMENTOS S.A</v>
          </cell>
        </row>
        <row r="18128">
          <cell r="B18128">
            <v>80620</v>
          </cell>
          <cell r="C18128" t="str">
            <v>SOMMA QP7 FIA</v>
          </cell>
          <cell r="D18128" t="str">
            <v>SOMMA QP7 FIA</v>
          </cell>
          <cell r="E18128" t="str">
            <v>SOMMA INVESTIMENTOS S.A</v>
          </cell>
        </row>
        <row r="18129">
          <cell r="B18129">
            <v>80621</v>
          </cell>
          <cell r="C18129" t="str">
            <v>SOMMA QP7 FIA</v>
          </cell>
          <cell r="D18129" t="str">
            <v>SOMMA QP7 FIA</v>
          </cell>
          <cell r="E18129" t="str">
            <v>SOMMA INVESTIMENTOS S.A</v>
          </cell>
        </row>
        <row r="18130">
          <cell r="B18130">
            <v>125151</v>
          </cell>
          <cell r="C18130" t="str">
            <v>FUNDACAO PETROBRAS DE SEGURIDADE SOCIAL PETROS</v>
          </cell>
          <cell r="D18130" t="str">
            <v>FUNDACAO PETROBRAS DE SEGURIDADE SOCIAL PETROS</v>
          </cell>
          <cell r="E18130" t="str">
            <v>FUNDACAO PETROBRAS DE SEGURIDADE SOCIAL PETROS</v>
          </cell>
        </row>
        <row r="18131">
          <cell r="B18131">
            <v>125152</v>
          </cell>
          <cell r="C18131" t="str">
            <v>FUNDACAO PETROBRAS DE SEGURIDADE SOCIAL PETROS</v>
          </cell>
          <cell r="D18131" t="str">
            <v>FUNDACAO PETROBRAS DE SEGURIDADE SOCIAL PETROS</v>
          </cell>
          <cell r="E18131" t="str">
            <v>FUNDACAO PETROBRAS DE SEGURIDADE SOCIAL PETROS</v>
          </cell>
        </row>
        <row r="18132">
          <cell r="B18132">
            <v>125153</v>
          </cell>
          <cell r="C18132" t="str">
            <v>FUNDACAO PETROBRAS DE SEGURIDADE SOCIAL PETROS</v>
          </cell>
          <cell r="D18132" t="str">
            <v>FUNDACAO PETROBRAS DE SEGURIDADE SOCIAL PETROS</v>
          </cell>
          <cell r="E18132" t="str">
            <v>FUNDACAO PETROBRAS DE SEGURIDADE SOCIAL PETROS</v>
          </cell>
        </row>
        <row r="18133">
          <cell r="B18133">
            <v>125154</v>
          </cell>
          <cell r="C18133" t="str">
            <v>JOHNNY COUTO KHALIL</v>
          </cell>
          <cell r="D18133" t="str">
            <v>JOHNNY COUTO KHALIL</v>
          </cell>
          <cell r="E18133" t="str">
            <v>JOHNNY COUTO KHALIL</v>
          </cell>
        </row>
        <row r="18134">
          <cell r="B18134">
            <v>125154</v>
          </cell>
          <cell r="C18134" t="str">
            <v>JOHNNY COUTO KHALIL</v>
          </cell>
          <cell r="D18134" t="str">
            <v>JOHNNY COUTO KHALIL</v>
          </cell>
          <cell r="E18134" t="str">
            <v>JOHNNY COUTO KHALIL</v>
          </cell>
        </row>
        <row r="18135">
          <cell r="B18135">
            <v>125155</v>
          </cell>
          <cell r="C18135" t="str">
            <v>SANTANDER CACEIS BRASIL DTVM S.A.</v>
          </cell>
          <cell r="D18135" t="str">
            <v>SANTANDER CACEIS BRASIL DTVM S.A.</v>
          </cell>
          <cell r="E18135" t="str">
            <v>SANTANDER BRASIL GESTAO DE RECURSOS LTDA</v>
          </cell>
        </row>
        <row r="18136">
          <cell r="B18136">
            <v>80622</v>
          </cell>
          <cell r="C18136" t="str">
            <v>CAIXA ECONOMICA FEDERAL</v>
          </cell>
          <cell r="D18136" t="str">
            <v>CAIXA ECONOMICA FEDERAL</v>
          </cell>
          <cell r="E18136" t="str">
            <v>CAIXA ECONOMICA FEDERAL</v>
          </cell>
        </row>
        <row r="18137">
          <cell r="B18137">
            <v>125158</v>
          </cell>
          <cell r="C18137" t="str">
            <v>SANTANDER CACEIS BRASIL DTVM S.A.</v>
          </cell>
          <cell r="D18137" t="str">
            <v>SANTANDER CACEIS BRASIL DTVM S.A.</v>
          </cell>
          <cell r="E18137" t="str">
            <v>SANTANDER BRASIL GESTAO DE RECURSOS LTDA</v>
          </cell>
        </row>
        <row r="18138">
          <cell r="B18138">
            <v>125159</v>
          </cell>
          <cell r="C18138" t="str">
            <v>SANTANDER CACEIS BRASIL DTVM S.A.</v>
          </cell>
          <cell r="D18138" t="str">
            <v>SANTANDER CACEIS BRASIL DTVM S.A.</v>
          </cell>
          <cell r="E18138" t="str">
            <v>SANTANDER BRASIL GESTAO DE RECURSOS LTDA</v>
          </cell>
        </row>
        <row r="18139">
          <cell r="B18139">
            <v>125160</v>
          </cell>
          <cell r="C18139" t="str">
            <v>SERGIO AUGUSTO FERREIRA</v>
          </cell>
          <cell r="D18139" t="str">
            <v>SERGIO AUGUSTO FERREIRA</v>
          </cell>
          <cell r="E18139" t="str">
            <v>SERGIO AUGUSTO FERREIRA</v>
          </cell>
        </row>
        <row r="18140">
          <cell r="B18140">
            <v>125160</v>
          </cell>
          <cell r="C18140" t="str">
            <v>SERGIO AUGUSTO FERREIRA</v>
          </cell>
          <cell r="D18140" t="str">
            <v>SERGIO AUGUSTO FERREIRA</v>
          </cell>
          <cell r="E18140" t="str">
            <v>SERGIO AUGUSTO FERREIRA</v>
          </cell>
        </row>
        <row r="18141">
          <cell r="B18141">
            <v>125162</v>
          </cell>
          <cell r="C18141" t="str">
            <v>TOLDA FIA IE</v>
          </cell>
          <cell r="D18141" t="str">
            <v>TOLDA FIA IE</v>
          </cell>
          <cell r="E18141" t="str">
            <v>POLO CAPITAL GESTÃO DE RECURSOS LTDA</v>
          </cell>
        </row>
        <row r="18142">
          <cell r="B18142">
            <v>125163</v>
          </cell>
          <cell r="C18142" t="str">
            <v>POLO LONG BIAS I FIC DE FIF MULT RL</v>
          </cell>
          <cell r="D18142" t="str">
            <v>POLO LONG BIAS I FIC DE FIF MULT RL</v>
          </cell>
          <cell r="E18142" t="str">
            <v>POLO CAPITAL GESTÃO DE RECURSOS LTDA</v>
          </cell>
        </row>
        <row r="18143">
          <cell r="B18143">
            <v>125164</v>
          </cell>
          <cell r="C18143" t="str">
            <v>SANTANDER CACEIS BRASIL DTVM S.A.</v>
          </cell>
          <cell r="D18143" t="str">
            <v>SANTANDER CACEIS BRASIL DTVM S.A.</v>
          </cell>
          <cell r="E18143" t="str">
            <v>SANTANDER BRASIL GESTAO DE RECURSOS LTDA</v>
          </cell>
        </row>
        <row r="18144">
          <cell r="B18144">
            <v>125165</v>
          </cell>
          <cell r="C18144" t="str">
            <v>ITAU UNIBANCO ACOES MASTER FIF RL</v>
          </cell>
          <cell r="D18144" t="str">
            <v>ITAU UNIBANCO ACOES MASTER FIF RL</v>
          </cell>
          <cell r="E18144" t="str">
            <v>ITAU UNIBANCO ASSET - TACO</v>
          </cell>
        </row>
        <row r="18145">
          <cell r="B18145">
            <v>125166</v>
          </cell>
          <cell r="C18145" t="str">
            <v>SV2 EQUITY LLC</v>
          </cell>
          <cell r="D18145" t="str">
            <v>SV2 EQUITY LLC</v>
          </cell>
          <cell r="E18145" t="str">
            <v>SQUADRA INVESTIMENTOS GESTÃƒO DE RECURSOS LTDA</v>
          </cell>
        </row>
        <row r="18146">
          <cell r="B18146">
            <v>125166</v>
          </cell>
          <cell r="C18146" t="str">
            <v>SV2 EQUITY LLC</v>
          </cell>
          <cell r="D18146" t="str">
            <v>SV2 EQUITY LLC</v>
          </cell>
          <cell r="E18146" t="str">
            <v>SQUADRA INVESTIMENTOS GESTÃƒO DE RECURSOS LTDA</v>
          </cell>
        </row>
        <row r="18147">
          <cell r="B18147">
            <v>80623</v>
          </cell>
          <cell r="C18147" t="str">
            <v>DEUTSCHE BANK AKTIENGESELLSCHAFT</v>
          </cell>
          <cell r="D18147" t="str">
            <v>DEUTSCHE BANK AKTIENGESELLSCHAFT</v>
          </cell>
          <cell r="E18147" t="str">
            <v>DEUTSCHE BANK S/A</v>
          </cell>
        </row>
        <row r="18148">
          <cell r="B18148">
            <v>125167</v>
          </cell>
          <cell r="C18148" t="str">
            <v>SANTANDER CACEIS BRASIL DTVM S.A.</v>
          </cell>
          <cell r="D18148" t="str">
            <v>SANTANDER CACEIS BRASIL DTVM S.A.</v>
          </cell>
          <cell r="E18148" t="str">
            <v>SANTANDER BRASIL GESTAO DE RECURSOS LTDA</v>
          </cell>
        </row>
        <row r="18149">
          <cell r="B18149">
            <v>125167</v>
          </cell>
          <cell r="C18149" t="str">
            <v>SANTANDER CACEIS BRASIL DTVM S.A.</v>
          </cell>
          <cell r="D18149" t="str">
            <v>SANTANDER CACEIS BRASIL DTVM S.A.</v>
          </cell>
          <cell r="E18149" t="str">
            <v>SANTANDER BRASIL GESTAO DE RECURSOS LTDA</v>
          </cell>
        </row>
        <row r="18150">
          <cell r="B18150">
            <v>80624</v>
          </cell>
          <cell r="C18150" t="str">
            <v>MACQUARIE BANK LIMITED - BANCO CS</v>
          </cell>
          <cell r="D18150" t="str">
            <v>MACQUARIE BANK LIMITED - BANCO CS</v>
          </cell>
          <cell r="E18150" t="str">
            <v>MACQUARIE BANK LIMITED</v>
          </cell>
        </row>
        <row r="18151">
          <cell r="B18151">
            <v>125169</v>
          </cell>
          <cell r="C18151" t="str">
            <v>SANTANDER CACEIS BRASIL DTVM S.A.</v>
          </cell>
          <cell r="D18151" t="str">
            <v>SANTANDER CACEIS BRASIL DTVM S.A.</v>
          </cell>
          <cell r="E18151" t="str">
            <v>SANTANDER BRASIL GESTAO DE RECURSOS LTDA</v>
          </cell>
        </row>
        <row r="18152">
          <cell r="B18152">
            <v>125170</v>
          </cell>
          <cell r="C18152" t="str">
            <v>SANTANDER CACEIS BRASIL DTVM S.A.</v>
          </cell>
          <cell r="D18152" t="str">
            <v>SANTANDER CACEIS BRASIL DTVM S.A.</v>
          </cell>
          <cell r="E18152" t="str">
            <v>SANTANDER BRASIL GESTAO DE RECURSOS LTDA</v>
          </cell>
        </row>
        <row r="18153">
          <cell r="B18153">
            <v>80627</v>
          </cell>
          <cell r="C18153" t="str">
            <v>SAFRA ASSET CORRETORA DE TITULOS E VALORES MOBILIARIOS S.A.</v>
          </cell>
          <cell r="D18153" t="str">
            <v>SAFRA ASSET CORRETORA DE TITULOS E VALORES MOBILIARIOS S.A.</v>
          </cell>
          <cell r="E18153" t="str">
            <v>SAFRA ASSET MANAGEMENT LTDA</v>
          </cell>
        </row>
        <row r="18154">
          <cell r="B18154">
            <v>80627</v>
          </cell>
          <cell r="C18154" t="str">
            <v>SAFRA ASSET CORRETORA DE TITULOS E VALORES MOBILIARIOS S.A.</v>
          </cell>
          <cell r="D18154" t="str">
            <v>SAFRA ASSET CORRETORA DE TITULOS E VALORES MOBILIARIOS S.A.</v>
          </cell>
          <cell r="E18154" t="str">
            <v>SAFRA ASSET MANAGEMENT LTDA</v>
          </cell>
        </row>
        <row r="18155">
          <cell r="B18155">
            <v>125171</v>
          </cell>
          <cell r="C18155" t="str">
            <v>SANTANDER CACEIS BRASIL DTVM S.A.</v>
          </cell>
          <cell r="D18155" t="str">
            <v>SANTANDER CACEIS BRASIL DTVM S.A.</v>
          </cell>
          <cell r="E18155" t="str">
            <v>SANTANDER BRASIL GESTAO DE RECURSOS LTDA</v>
          </cell>
        </row>
        <row r="18156">
          <cell r="B18156">
            <v>125172</v>
          </cell>
          <cell r="C18156" t="str">
            <v>VESTA FUNDO DE INVESTIMENTO MULTIMERCADO CREDITO PRIVADO</v>
          </cell>
          <cell r="D18156" t="str">
            <v>VESTA FUNDO DE INVESTIMENTO MULTIMERCADO CREDITO PRIVADO</v>
          </cell>
          <cell r="E18156" t="str">
            <v>EMERALD GESTAO DE INVESTIMENTOS LTDA</v>
          </cell>
        </row>
        <row r="18157">
          <cell r="B18157">
            <v>125172</v>
          </cell>
          <cell r="C18157" t="str">
            <v>VESTA FUNDO DE INVESTIMENTO MULTIMERCADO CREDITO PRIVADO</v>
          </cell>
          <cell r="D18157" t="str">
            <v>VESTA FUNDO DE INVESTIMENTO MULTIMERCADO CREDITO PRIVADO</v>
          </cell>
          <cell r="E18157" t="str">
            <v>EMERALD GESTAO DE INVESTIMENTOS LTDA</v>
          </cell>
        </row>
        <row r="18158">
          <cell r="B18158">
            <v>125173</v>
          </cell>
          <cell r="C18158" t="str">
            <v>GRUMARI FIA</v>
          </cell>
          <cell r="D18158" t="str">
            <v>GRUMARI FIA</v>
          </cell>
          <cell r="E18158" t="str">
            <v>AZ QUEST INVESTIMENTOS LTDA</v>
          </cell>
        </row>
        <row r="18159">
          <cell r="B18159">
            <v>125173</v>
          </cell>
          <cell r="C18159" t="str">
            <v>GRUMARI FIA</v>
          </cell>
          <cell r="D18159" t="str">
            <v>GRUMARI FIA</v>
          </cell>
          <cell r="E18159" t="str">
            <v>AZ QUEST INVESTIMENTOS LTDA</v>
          </cell>
        </row>
        <row r="18160">
          <cell r="B18160">
            <v>80628</v>
          </cell>
          <cell r="C18160" t="str">
            <v>FIM CONEJO FUND</v>
          </cell>
          <cell r="D18160" t="str">
            <v>FIM CONEJO FUND</v>
          </cell>
          <cell r="E18160" t="str">
            <v>BANCO CITIBANK S/A</v>
          </cell>
        </row>
        <row r="18161">
          <cell r="B18161">
            <v>80629</v>
          </cell>
          <cell r="C18161" t="str">
            <v>FIM CANARY IE</v>
          </cell>
          <cell r="D18161" t="str">
            <v>FIM CANARY IE</v>
          </cell>
          <cell r="E18161" t="str">
            <v>BANCO CITIBANK S/A</v>
          </cell>
        </row>
        <row r="18162">
          <cell r="B18162">
            <v>80630</v>
          </cell>
          <cell r="C18162" t="str">
            <v>FIM FOREIGN FUND TWO</v>
          </cell>
          <cell r="D18162" t="str">
            <v>FIM FOREIGN FUND TWO</v>
          </cell>
          <cell r="E18162" t="str">
            <v>BANCO CITIBANK S/A</v>
          </cell>
        </row>
        <row r="18163">
          <cell r="B18163">
            <v>80630</v>
          </cell>
          <cell r="C18163" t="str">
            <v>FIM FOREIGN FUND TWO</v>
          </cell>
          <cell r="D18163" t="str">
            <v>FIM FOREIGN FUND TWO</v>
          </cell>
          <cell r="E18163" t="str">
            <v>BANCO CITIBANK S/A</v>
          </cell>
        </row>
        <row r="18164">
          <cell r="B18164">
            <v>80631</v>
          </cell>
          <cell r="C18164" t="str">
            <v>MILES CAPITAL LTDA</v>
          </cell>
          <cell r="D18164" t="str">
            <v>MILES CAPITAL LTDA</v>
          </cell>
          <cell r="E18164" t="str">
            <v>MILES CAPITAL LTDA</v>
          </cell>
        </row>
        <row r="18165">
          <cell r="B18165">
            <v>80631</v>
          </cell>
          <cell r="C18165" t="str">
            <v>MILES CAPITAL LTDA</v>
          </cell>
          <cell r="D18165" t="str">
            <v>MILES CAPITAL LTDA</v>
          </cell>
          <cell r="E18165" t="str">
            <v>MILES CAPITAL LTDA</v>
          </cell>
        </row>
        <row r="18166">
          <cell r="B18166">
            <v>125175</v>
          </cell>
          <cell r="C18166" t="str">
            <v>DAHLIA AÃ‡Ã•ES MASTER FUNDO DE INVESTIMENTO EM AÃ‡Ã•ES</v>
          </cell>
          <cell r="D18166" t="str">
            <v>DAHLIA AÃ‡Ã•ES MASTER FUNDO DE INVESTIMENTO EM AÃ‡Ã•ES</v>
          </cell>
          <cell r="E18166" t="str">
            <v>DAHLIA CAPITAL GESTAO DE RECURSOS LTDA</v>
          </cell>
        </row>
        <row r="18167">
          <cell r="B18167">
            <v>125176</v>
          </cell>
          <cell r="C18167" t="str">
            <v>RETANGULO FIM CP IE</v>
          </cell>
          <cell r="D18167" t="str">
            <v>RETANGULO FIM CP IE</v>
          </cell>
          <cell r="E18167" t="str">
            <v>JULIUS BAER FAMILY OFFICE BRASIL GESTAO DE PATRIMONIO LTDA</v>
          </cell>
        </row>
        <row r="18168">
          <cell r="B18168">
            <v>125176</v>
          </cell>
          <cell r="C18168" t="str">
            <v>RETANGULO FIM CP IE</v>
          </cell>
          <cell r="D18168" t="str">
            <v>RETANGULO FIM CP IE</v>
          </cell>
          <cell r="E18168" t="str">
            <v>JULIUS BAER FAMILY OFFICE BRASIL GESTAO DE PATRIMONIO LTDA</v>
          </cell>
        </row>
        <row r="18169">
          <cell r="B18169">
            <v>125177</v>
          </cell>
          <cell r="C18169" t="str">
            <v>BELA ARCOVERDE FIM CP IE</v>
          </cell>
          <cell r="D18169" t="str">
            <v>BELA ARCOVERDE FIM CP IE</v>
          </cell>
          <cell r="E18169" t="str">
            <v>JULIUS BAER FAMILY OFFICE BRASIL GESTAO DE PATRIMONIO LTDA</v>
          </cell>
        </row>
        <row r="18170">
          <cell r="B18170">
            <v>125177</v>
          </cell>
          <cell r="C18170" t="str">
            <v>BELA ARCOVERDE FIM CP IE</v>
          </cell>
          <cell r="D18170" t="str">
            <v>BELA ARCOVERDE FIM CP IE</v>
          </cell>
          <cell r="E18170" t="str">
            <v>JULIUS BAER FAMILY OFFICE BRASIL GESTAO DE PATRIMONIO LTDA</v>
          </cell>
        </row>
        <row r="18171">
          <cell r="B18171">
            <v>80632</v>
          </cell>
          <cell r="C18171" t="str">
            <v>MORGAN STANLEY URUGUAY LTDA</v>
          </cell>
          <cell r="D18171" t="str">
            <v>MORGAN STANLEY URUGUAY LTDA</v>
          </cell>
          <cell r="E18171" t="str">
            <v>BANCO MORGAN STANLEY S/A</v>
          </cell>
        </row>
        <row r="18172">
          <cell r="B18172">
            <v>80632</v>
          </cell>
          <cell r="C18172" t="str">
            <v>MORGAN STANLEY URUGUAY LTDA</v>
          </cell>
          <cell r="D18172" t="str">
            <v>MORGAN STANLEY URUGUAY LTDA</v>
          </cell>
          <cell r="E18172" t="str">
            <v>BANCO MORGAN STANLEY S/A</v>
          </cell>
        </row>
        <row r="18173">
          <cell r="B18173">
            <v>125178</v>
          </cell>
          <cell r="C18173" t="str">
            <v>SANTANDER CACEIS BRASIL DTVM S.A.</v>
          </cell>
          <cell r="D18173" t="str">
            <v>SANTANDER CACEIS BRASIL DTVM S.A.</v>
          </cell>
          <cell r="E18173" t="str">
            <v>SANTANDER BRASIL GESTAO DE RECURSOS LTDA</v>
          </cell>
        </row>
        <row r="18174">
          <cell r="B18174">
            <v>125178</v>
          </cell>
          <cell r="C18174" t="str">
            <v>SANTANDER CACEIS BRASIL DTVM S.A.</v>
          </cell>
          <cell r="D18174" t="str">
            <v>SANTANDER CACEIS BRASIL DTVM S.A.</v>
          </cell>
          <cell r="E18174" t="str">
            <v>SANTANDER BRASIL GESTAO DE RECURSOS LTDA</v>
          </cell>
        </row>
        <row r="18175">
          <cell r="B18175">
            <v>125179</v>
          </cell>
          <cell r="C18175" t="str">
            <v>PLANETA FI MULTIMERCADO</v>
          </cell>
          <cell r="D18175" t="str">
            <v>PLANETA FI MULTIMERCADO</v>
          </cell>
          <cell r="E18175" t="str">
            <v>EMERALD GESTAO DE INVESTIMENTOS LTDA</v>
          </cell>
        </row>
        <row r="18176">
          <cell r="B18176">
            <v>125179</v>
          </cell>
          <cell r="C18176" t="str">
            <v>PLANETA FI MULTIMERCADO</v>
          </cell>
          <cell r="D18176" t="str">
            <v>PLANETA FI MULTIMERCADO</v>
          </cell>
          <cell r="E18176" t="str">
            <v>EMERALD GESTAO DE INVESTIMENTOS LTDA</v>
          </cell>
        </row>
        <row r="18177">
          <cell r="B18177">
            <v>125180</v>
          </cell>
          <cell r="C18177" t="str">
            <v>ITAU FLEXPREV DUNAMIS AÃ‡Ã•ES FI</v>
          </cell>
          <cell r="D18177" t="str">
            <v>ITAU FLEXPREV DUNAMIS AÃ‡Ã•ES FI</v>
          </cell>
          <cell r="E18177" t="str">
            <v>ITAU UNIBANCO ASSET - TACO</v>
          </cell>
        </row>
        <row r="18178">
          <cell r="B18178">
            <v>125181</v>
          </cell>
          <cell r="C18178" t="str">
            <v>SANTANDER CACEIS BRASIL DTVM S.A.</v>
          </cell>
          <cell r="D18178" t="str">
            <v>SANTANDER CACEIS BRASIL DTVM S.A.</v>
          </cell>
          <cell r="E18178" t="str">
            <v>SANTANDER BRASIL GESTAO DE RECURSOS LTDA</v>
          </cell>
        </row>
        <row r="18179">
          <cell r="B18179">
            <v>125181</v>
          </cell>
          <cell r="C18179" t="str">
            <v>SANTANDER CACEIS BRASIL DTVM S.A.</v>
          </cell>
          <cell r="D18179" t="str">
            <v>SANTANDER CACEIS BRASIL DTVM S.A.</v>
          </cell>
          <cell r="E18179" t="str">
            <v>SANTANDER BRASIL GESTAO DE RECURSOS LTDA</v>
          </cell>
        </row>
        <row r="18180">
          <cell r="B18180">
            <v>80635</v>
          </cell>
          <cell r="C18180" t="str">
            <v>JBR FIM CP IE</v>
          </cell>
          <cell r="D18180" t="str">
            <v>JBR FIM CP IE</v>
          </cell>
          <cell r="E18180" t="str">
            <v>JBR FIM CP IE</v>
          </cell>
        </row>
        <row r="18181">
          <cell r="B18181">
            <v>80635</v>
          </cell>
          <cell r="C18181" t="str">
            <v>JBR FIM CP IE</v>
          </cell>
          <cell r="D18181" t="str">
            <v>JBR FIM CP IE</v>
          </cell>
          <cell r="E18181" t="str">
            <v>JBR FIM CP IE</v>
          </cell>
        </row>
        <row r="18182">
          <cell r="B18182">
            <v>125182</v>
          </cell>
          <cell r="C18182" t="str">
            <v>SANTANDER CACEIS BRASIL DTVM S.A.</v>
          </cell>
          <cell r="D18182" t="str">
            <v>SANTANDER CACEIS BRASIL DTVM S.A.</v>
          </cell>
          <cell r="E18182" t="str">
            <v>SANTANDER BRASIL GESTAO DE RECURSOS LTDA</v>
          </cell>
        </row>
        <row r="18183">
          <cell r="B18183">
            <v>125182</v>
          </cell>
          <cell r="C18183" t="str">
            <v>SANTANDER CACEIS BRASIL DTVM S.A.</v>
          </cell>
          <cell r="D18183" t="str">
            <v>SANTANDER CACEIS BRASIL DTVM S.A.</v>
          </cell>
          <cell r="E18183" t="str">
            <v>SANTANDER BRASIL GESTAO DE RECURSOS LTDA</v>
          </cell>
        </row>
        <row r="18184">
          <cell r="B18184">
            <v>125184</v>
          </cell>
          <cell r="C18184" t="str">
            <v>VITREO CARTEIRA UNIVERSA FIM</v>
          </cell>
          <cell r="D18184" t="str">
            <v>VITREO CARTEIRA UNIVERSA FIM</v>
          </cell>
          <cell r="E18184" t="str">
            <v>VITREO CARTEIRA UNIVERSA FIM</v>
          </cell>
        </row>
        <row r="18185">
          <cell r="B18185">
            <v>125184</v>
          </cell>
          <cell r="C18185" t="str">
            <v>VITREO CARTEIRA UNIVERSA FIM</v>
          </cell>
          <cell r="D18185" t="str">
            <v>VITREO CARTEIRA UNIVERSA FIM</v>
          </cell>
          <cell r="E18185" t="str">
            <v>EMPIRICUS GESTAO DE RECURSOS LTDA</v>
          </cell>
        </row>
        <row r="18186">
          <cell r="B18186">
            <v>125185</v>
          </cell>
          <cell r="C18186" t="str">
            <v>FUNDACAO PETROBRAS DE SEGURIDADE SOCIAL PETROS</v>
          </cell>
          <cell r="D18186" t="str">
            <v>FUNDACAO PETROBRAS DE SEGURIDADE SOCIAL PETROS</v>
          </cell>
          <cell r="E18186" t="str">
            <v>FUNDACAO PETROBRAS DE SEGURIDADE SOCIAL PETROS</v>
          </cell>
        </row>
        <row r="18187">
          <cell r="B18187">
            <v>80636</v>
          </cell>
          <cell r="C18187" t="str">
            <v>INFINOX CAPITAL LIMITED</v>
          </cell>
          <cell r="D18187" t="str">
            <v>INFINOX CAPITAL LIMITED</v>
          </cell>
          <cell r="E18187" t="str">
            <v>INFINOX CAPITAL LIMITED</v>
          </cell>
        </row>
        <row r="18188">
          <cell r="B18188">
            <v>80636</v>
          </cell>
          <cell r="C18188" t="str">
            <v>INFINOX CAPITAL LIMITED</v>
          </cell>
          <cell r="D18188" t="str">
            <v>INFINOX CAPITAL LIMITED</v>
          </cell>
          <cell r="E18188" t="str">
            <v>INFINOX CAPITAL LIMITED</v>
          </cell>
        </row>
        <row r="18189">
          <cell r="B18189">
            <v>125186</v>
          </cell>
          <cell r="C18189" t="str">
            <v>TERA INVESTIMENTOS LTDA</v>
          </cell>
          <cell r="D18189" t="str">
            <v>TERA INVESTIMENTOS LTDA</v>
          </cell>
          <cell r="E18189" t="str">
            <v>TERA INVESTIMENTOS LTDA</v>
          </cell>
        </row>
        <row r="18190">
          <cell r="B18190">
            <v>125186</v>
          </cell>
          <cell r="C18190" t="str">
            <v>TERA INVESTIMENTOS LTDA</v>
          </cell>
          <cell r="D18190" t="str">
            <v>TERA INVESTIMENTOS LTDA</v>
          </cell>
          <cell r="E18190" t="str">
            <v>TERA INVESTIMENTOS LTDA</v>
          </cell>
        </row>
        <row r="18191">
          <cell r="B18191">
            <v>125187</v>
          </cell>
          <cell r="C18191" t="str">
            <v>BB ASTREA FUNDO DE INVESTIMENTO MULTIMERCADO</v>
          </cell>
          <cell r="D18191" t="str">
            <v>BB ASTREA FUNDO DE INVESTIMENTO MULTIMERCADO</v>
          </cell>
          <cell r="E18191" t="str">
            <v>BB GESTAO DE RECURSOS DTVM LTDA</v>
          </cell>
        </row>
        <row r="18192">
          <cell r="B18192">
            <v>125187</v>
          </cell>
          <cell r="C18192" t="str">
            <v>BB ASTREA FUNDO DE INVESTIMENTO MULTIMERCADO</v>
          </cell>
          <cell r="D18192" t="str">
            <v>BB ASTREA FUNDO DE INVESTIMENTO MULTIMERCADO</v>
          </cell>
          <cell r="E18192" t="str">
            <v>BB GESTAO DE RECURSOS DTVM LTDA</v>
          </cell>
        </row>
        <row r="18193">
          <cell r="B18193">
            <v>125188</v>
          </cell>
          <cell r="C18193" t="str">
            <v>SKOPOS BRK FIC DE FIA</v>
          </cell>
          <cell r="D18193" t="str">
            <v>SKOPOS BRK FIC DE FIA</v>
          </cell>
          <cell r="E18193" t="str">
            <v>SKOPOS INVESTIMENTOS LTDA</v>
          </cell>
        </row>
        <row r="18194">
          <cell r="B18194">
            <v>125188</v>
          </cell>
          <cell r="C18194" t="str">
            <v>SKOPOS BRK FIC DE FIA</v>
          </cell>
          <cell r="D18194" t="str">
            <v>SKOPOS BRK FIC DE FIA</v>
          </cell>
          <cell r="E18194" t="str">
            <v>SKOPOS INVESTIMENTOS LTDA</v>
          </cell>
        </row>
        <row r="18195">
          <cell r="B18195">
            <v>125189</v>
          </cell>
          <cell r="C18195" t="str">
            <v>SKOPOS BRK FIC DE FIA</v>
          </cell>
          <cell r="D18195" t="str">
            <v>SKOPOS BRK FIC DE FIA</v>
          </cell>
          <cell r="E18195" t="str">
            <v>SKOPOS INVESTIMENTOS LTDA</v>
          </cell>
        </row>
        <row r="18196">
          <cell r="B18196">
            <v>125189</v>
          </cell>
          <cell r="C18196" t="str">
            <v>SKOPOS BRK FIC DE FIA</v>
          </cell>
          <cell r="D18196" t="str">
            <v>SKOPOS BRK FIC DE FIA</v>
          </cell>
          <cell r="E18196" t="str">
            <v>SKOPOS INVESTIMENTOS LTDA</v>
          </cell>
        </row>
        <row r="18197">
          <cell r="B18197">
            <v>144550</v>
          </cell>
          <cell r="C18197" t="str">
            <v>NCH BRASIL GESTORA DE RECURSOS LTDA</v>
          </cell>
          <cell r="D18197" t="str">
            <v>NCH BRASIL GESTORA DE RECURSOS LTDA</v>
          </cell>
          <cell r="E18197" t="str">
            <v>NCH BRASIL GESTORA DE RECURSOS LTDA</v>
          </cell>
        </row>
        <row r="18198">
          <cell r="B18198">
            <v>144550</v>
          </cell>
          <cell r="C18198" t="str">
            <v>NCH BRASIL GESTORA DE RECURSOS LTDA</v>
          </cell>
          <cell r="D18198" t="str">
            <v>NCH BRASIL GESTORA DE RECURSOS LTDA</v>
          </cell>
          <cell r="E18198" t="str">
            <v>NCH BRASIL GESTORA DE RECURSOS LTDA</v>
          </cell>
        </row>
        <row r="18199">
          <cell r="B18199">
            <v>125190</v>
          </cell>
          <cell r="C18199" t="str">
            <v>NCH MARACANA LONG BIASED FIM</v>
          </cell>
          <cell r="D18199" t="str">
            <v>NCH MARACANA LONG BIASED FIM</v>
          </cell>
          <cell r="E18199" t="str">
            <v>NCH BRASIL GESTORA DE RECURSOS LTDA</v>
          </cell>
        </row>
        <row r="18200">
          <cell r="B18200">
            <v>125190</v>
          </cell>
          <cell r="C18200" t="str">
            <v>NCH MARACANA LONG BIASED FIM</v>
          </cell>
          <cell r="D18200" t="str">
            <v>NCH MARACANA LONG BIASED FIM</v>
          </cell>
          <cell r="E18200" t="str">
            <v>NCH BRASIL GESTORA DE RECURSOS LTDA</v>
          </cell>
        </row>
        <row r="18201">
          <cell r="B18201">
            <v>125191</v>
          </cell>
          <cell r="C18201" t="str">
            <v>NCH MARACANA FIA</v>
          </cell>
          <cell r="D18201" t="str">
            <v>NCH MARACANA FIA</v>
          </cell>
          <cell r="E18201" t="str">
            <v>NCH BRASIL GESTORA DE RECURSOS LTDA</v>
          </cell>
        </row>
        <row r="18202">
          <cell r="B18202">
            <v>125191</v>
          </cell>
          <cell r="C18202" t="str">
            <v>NCH MARACANA FIA</v>
          </cell>
          <cell r="D18202" t="str">
            <v>NCH MARACANA FIA</v>
          </cell>
          <cell r="E18202" t="str">
            <v>NCH BRASIL GESTORA DE RECURSOS LTDA</v>
          </cell>
        </row>
        <row r="18203">
          <cell r="B18203">
            <v>12547</v>
          </cell>
          <cell r="C18203" t="str">
            <v>OITI FIM CP IE</v>
          </cell>
          <cell r="D18203" t="str">
            <v>OITI FIM CP IE</v>
          </cell>
          <cell r="E18203" t="str">
            <v>ITAU UNIBANCO S/A</v>
          </cell>
        </row>
        <row r="18204">
          <cell r="B18204">
            <v>1453</v>
          </cell>
          <cell r="C18204" t="str">
            <v>BGC LIQUIDEZ DTVM LTDA</v>
          </cell>
          <cell r="D18204" t="str">
            <v>BGC LIQUIDEZ DTVM LTDA</v>
          </cell>
          <cell r="E18204" t="str">
            <v>BGC LIQUIDEZ DTVM LTDA</v>
          </cell>
        </row>
        <row r="18205">
          <cell r="B18205">
            <v>125192</v>
          </cell>
          <cell r="C18205" t="str">
            <v>FIA  BEAU SOLEIL- IE</v>
          </cell>
          <cell r="D18205" t="str">
            <v>FIA  BEAU SOLEIL- IE</v>
          </cell>
          <cell r="E18205" t="str">
            <v>MANDATTO GESTAO DE INVESTIMENTOS LTDA</v>
          </cell>
        </row>
        <row r="18206">
          <cell r="B18206">
            <v>125192</v>
          </cell>
          <cell r="C18206" t="str">
            <v>FIA  BEAU SOLEIL- IE</v>
          </cell>
          <cell r="D18206" t="str">
            <v>FIA  BEAU SOLEIL- IE</v>
          </cell>
          <cell r="E18206" t="str">
            <v>MANDATTO GESTAO DE INVESTIMENTOS LTDA</v>
          </cell>
        </row>
        <row r="18207">
          <cell r="B18207">
            <v>125193</v>
          </cell>
          <cell r="C18207" t="str">
            <v>MANDATTO CONSOLIDADOR BETA FIC DE FIM</v>
          </cell>
          <cell r="D18207" t="str">
            <v>MANDATTO CONSOLIDADOR BETA FIC DE FIM</v>
          </cell>
          <cell r="E18207" t="str">
            <v>MANDATTO GESTAO DE INVESTIMENTOS LTDA</v>
          </cell>
        </row>
        <row r="18208">
          <cell r="B18208">
            <v>125193</v>
          </cell>
          <cell r="C18208" t="str">
            <v>MANDATTO CONSOLIDADOR BETA FIC DE FIM</v>
          </cell>
          <cell r="D18208" t="str">
            <v>MANDATTO CONSOLIDADOR BETA FIC DE FIM</v>
          </cell>
          <cell r="E18208" t="str">
            <v>MANDATTO GESTAO DE INVESTIMENTOS LTDA</v>
          </cell>
        </row>
        <row r="18209">
          <cell r="B18209">
            <v>125194</v>
          </cell>
          <cell r="C18209" t="str">
            <v>MANDATTO CONSOLIDADOR FIC DE FIM CP</v>
          </cell>
          <cell r="D18209" t="str">
            <v>MANDATTO CONSOLIDADOR FIC DE FIM CP</v>
          </cell>
          <cell r="E18209" t="str">
            <v>MANDATTO GESTAO DE INVESTIMENTOS LTDA</v>
          </cell>
        </row>
        <row r="18210">
          <cell r="B18210">
            <v>125194</v>
          </cell>
          <cell r="C18210" t="str">
            <v>MANDATTO CONSOLIDADOR FIC DE FIM CP</v>
          </cell>
          <cell r="D18210" t="str">
            <v>MANDATTO CONSOLIDADOR FIC DE FIM CP</v>
          </cell>
          <cell r="E18210" t="str">
            <v>MANDATTO GESTAO DE INVESTIMENTOS LTDA</v>
          </cell>
        </row>
        <row r="18211">
          <cell r="B18211">
            <v>125195</v>
          </cell>
          <cell r="C18211" t="str">
            <v>MANDATTO CORPORATE FIC DE FIM CP</v>
          </cell>
          <cell r="D18211" t="str">
            <v>MANDATTO CORPORATE FIC DE FIM CP</v>
          </cell>
          <cell r="E18211" t="str">
            <v>MANDATTO GESTAO DE INVESTIMENTOS LTDA</v>
          </cell>
        </row>
        <row r="18212">
          <cell r="B18212">
            <v>125195</v>
          </cell>
          <cell r="C18212" t="str">
            <v>MANDATTO CORPORATE FIC DE FIM CP</v>
          </cell>
          <cell r="D18212" t="str">
            <v>MANDATTO CORPORATE FIC DE FIM CP</v>
          </cell>
          <cell r="E18212" t="str">
            <v>MANDATTO GESTAO DE INVESTIMENTOS LTDA</v>
          </cell>
        </row>
        <row r="18213">
          <cell r="B18213">
            <v>144551</v>
          </cell>
          <cell r="C18213" t="str">
            <v>MANDATTO GESTAO DE INVESTIMENTOS LTDA</v>
          </cell>
          <cell r="D18213" t="str">
            <v>MANDATTO GESTAO DE INVESTIMENTOS LTDA</v>
          </cell>
          <cell r="E18213" t="str">
            <v>MANDATTO GESTAO DE INVESTIMENTOS LTDA</v>
          </cell>
        </row>
        <row r="18214">
          <cell r="B18214">
            <v>144551</v>
          </cell>
          <cell r="C18214" t="str">
            <v>MANDATTO GESTAO DE INVESTIMENTOS LTDA</v>
          </cell>
          <cell r="D18214" t="str">
            <v>MANDATTO GESTAO DE INVESTIMENTOS LTDA</v>
          </cell>
          <cell r="E18214" t="str">
            <v>MANDATTO GESTAO DE INVESTIMENTOS LTDA</v>
          </cell>
        </row>
        <row r="18215">
          <cell r="B18215">
            <v>125196</v>
          </cell>
          <cell r="C18215" t="str">
            <v>BB GESTAO DE RECURSOS DTVM LTDA</v>
          </cell>
          <cell r="D18215" t="str">
            <v>BB GESTAO DE RECURSOS DTVM LTDA</v>
          </cell>
          <cell r="E18215" t="str">
            <v>BB GESTAO DE RECURSOS DTVM LTDA</v>
          </cell>
        </row>
        <row r="18216">
          <cell r="B18216">
            <v>125197</v>
          </cell>
          <cell r="C18216" t="str">
            <v>CAIO DE OLIVEIRA COSTA</v>
          </cell>
          <cell r="D18216" t="str">
            <v>CAIO DE OLIVEIRA COSTA</v>
          </cell>
          <cell r="E18216" t="str">
            <v>CAIO DE OLIVEIRA COSTA</v>
          </cell>
        </row>
        <row r="18217">
          <cell r="B18217">
            <v>125198</v>
          </cell>
          <cell r="C18217" t="str">
            <v>TAVOLA ABSOLUTO MASTER FIF EM ACOES</v>
          </cell>
          <cell r="D18217" t="str">
            <v>TAVOLA ABSOLUTO MASTER FIF EM ACOES</v>
          </cell>
          <cell r="E18217" t="str">
            <v>TAVOLA CAPITAL GESTAO DE RECURSOS LTDA</v>
          </cell>
        </row>
        <row r="18218">
          <cell r="B18218">
            <v>80638</v>
          </cell>
          <cell r="C18218" t="str">
            <v>FUNDACAO ELETROBRAS DE SEGURIDADE SOCIAL ELETROS</v>
          </cell>
          <cell r="D18218" t="str">
            <v>FUNDACAO ELETROBRAS DE SEGURIDADE SOCIAL ELETROS</v>
          </cell>
          <cell r="E18218" t="str">
            <v>FUNDACAO ELETROBRAS DE SEGURIDADE SOCIAL ELETROS</v>
          </cell>
        </row>
        <row r="18219">
          <cell r="B18219">
            <v>80638</v>
          </cell>
          <cell r="C18219" t="str">
            <v>FUNDACAO ELETROBRAS DE SEGURIDADE SOCIAL ELETROS</v>
          </cell>
          <cell r="D18219" t="str">
            <v>FUNDACAO ELETROBRAS DE SEGURIDADE SOCIAL ELETROS</v>
          </cell>
          <cell r="E18219" t="str">
            <v>FUNDACAO ELETROBRAS DE SEGURIDADE SOCIAL ELETROS</v>
          </cell>
        </row>
        <row r="18220">
          <cell r="B18220">
            <v>80641</v>
          </cell>
          <cell r="C18220" t="str">
            <v>GAP GESTORA DE RECURSOS LTDA</v>
          </cell>
          <cell r="D18220" t="str">
            <v>GAP GESTORA DE RECURSOS LTDA</v>
          </cell>
          <cell r="E18220" t="str">
            <v>GAP GESTORA DE RECURSOS LTDA</v>
          </cell>
        </row>
        <row r="18221">
          <cell r="B18221">
            <v>80641</v>
          </cell>
          <cell r="C18221" t="str">
            <v>GAP GESTORA DE RECURSOS LTDA</v>
          </cell>
          <cell r="D18221" t="str">
            <v>GAP GESTORA DE RECURSOS LTDA</v>
          </cell>
          <cell r="E18221" t="str">
            <v>GAP GESTORA DE RECURSOS LTDA</v>
          </cell>
        </row>
        <row r="18222">
          <cell r="B18222">
            <v>125199</v>
          </cell>
          <cell r="C18222" t="str">
            <v>SANTANDER CACEIS BRASIL DTVM S.A.</v>
          </cell>
          <cell r="D18222" t="str">
            <v>SANTANDER CACEIS BRASIL DTVM S.A.</v>
          </cell>
          <cell r="E18222" t="str">
            <v>SANTANDER BRASIL GESTAO DE RECURSOS LTDA</v>
          </cell>
        </row>
        <row r="18223">
          <cell r="B18223">
            <v>125199</v>
          </cell>
          <cell r="C18223" t="str">
            <v>SANTANDER CACEIS BRASIL DTVM S.A.</v>
          </cell>
          <cell r="D18223" t="str">
            <v>SANTANDER CACEIS BRASIL DTVM S.A.</v>
          </cell>
          <cell r="E18223" t="str">
            <v>SANTANDER BRASIL GESTAO DE RECURSOS LTDA</v>
          </cell>
        </row>
        <row r="18224">
          <cell r="B18224">
            <v>125200</v>
          </cell>
          <cell r="C18224" t="str">
            <v>SANTANDER CACEIS BRASIL DTVM S.A.</v>
          </cell>
          <cell r="D18224" t="str">
            <v>SANTANDER CACEIS BRASIL DTVM S.A.</v>
          </cell>
          <cell r="E18224" t="str">
            <v>SANTANDER BRASIL GESTAO DE RECURSOS LTDA</v>
          </cell>
        </row>
        <row r="18225">
          <cell r="B18225">
            <v>125200</v>
          </cell>
          <cell r="C18225" t="str">
            <v>SANTANDER CACEIS BRASIL DTVM S.A.</v>
          </cell>
          <cell r="D18225" t="str">
            <v>SANTANDER CACEIS BRASIL DTVM S.A.</v>
          </cell>
          <cell r="E18225" t="str">
            <v>SANTANDER BRASIL GESTAO DE RECURSOS LTDA</v>
          </cell>
        </row>
        <row r="18226">
          <cell r="B18226">
            <v>125201</v>
          </cell>
          <cell r="C18226" t="str">
            <v>SANTANDER CACEIS BRASIL DTVM S.A.</v>
          </cell>
          <cell r="D18226" t="str">
            <v>SANTANDER CACEIS BRASIL DTVM S.A.</v>
          </cell>
          <cell r="E18226" t="str">
            <v>SANTANDER BRASIL GESTAO DE RECURSOS LTDA</v>
          </cell>
        </row>
        <row r="18227">
          <cell r="B18227">
            <v>125201</v>
          </cell>
          <cell r="C18227" t="str">
            <v>SANTANDER CACEIS BRASIL DTVM S.A.</v>
          </cell>
          <cell r="D18227" t="str">
            <v>SANTANDER CACEIS BRASIL DTVM S.A.</v>
          </cell>
          <cell r="E18227" t="str">
            <v>SANTANDER BRASIL GESTAO DE RECURSOS LTDA</v>
          </cell>
        </row>
        <row r="18228">
          <cell r="B18228">
            <v>125202</v>
          </cell>
          <cell r="C18228" t="str">
            <v>SANTANDER CACEIS BRASIL DTVM S.A.</v>
          </cell>
          <cell r="D18228" t="str">
            <v>SANTANDER CACEIS BRASIL DTVM S.A.</v>
          </cell>
          <cell r="E18228" t="str">
            <v>SANTANDER BRASIL GESTAO DE RECURSOS LTDA</v>
          </cell>
        </row>
        <row r="18229">
          <cell r="B18229">
            <v>125202</v>
          </cell>
          <cell r="C18229" t="str">
            <v>SANTANDER CACEIS BRASIL DTVM S.A.</v>
          </cell>
          <cell r="D18229" t="str">
            <v>SANTANDER CACEIS BRASIL DTVM S.A.</v>
          </cell>
          <cell r="E18229" t="str">
            <v>SANTANDER BRASIL GESTAO DE RECURSOS LTDA</v>
          </cell>
        </row>
        <row r="18230">
          <cell r="B18230">
            <v>125203</v>
          </cell>
          <cell r="C18230" t="str">
            <v>SANTANDER CACEIS BRASIL DTVM S.A.</v>
          </cell>
          <cell r="D18230" t="str">
            <v>SANTANDER CACEIS BRASIL DTVM S.A.</v>
          </cell>
          <cell r="E18230" t="str">
            <v>SANTANDER BRASIL GESTAO DE RECURSOS LTDA</v>
          </cell>
        </row>
        <row r="18231">
          <cell r="B18231">
            <v>125204</v>
          </cell>
          <cell r="C18231" t="str">
            <v>SANTANDER CACEIS BRASIL DTVM S.A.</v>
          </cell>
          <cell r="D18231" t="str">
            <v>SANTANDER CACEIS BRASIL DTVM S.A.</v>
          </cell>
          <cell r="E18231" t="str">
            <v>SANTANDER BRASIL GESTAO DE RECURSOS LTDA</v>
          </cell>
        </row>
        <row r="18232">
          <cell r="B18232">
            <v>125203</v>
          </cell>
          <cell r="C18232" t="str">
            <v>SANTANDER CACEIS BRASIL DTVM S.A.</v>
          </cell>
          <cell r="D18232" t="str">
            <v>SANTANDER CACEIS BRASIL DTVM S.A.</v>
          </cell>
          <cell r="E18232" t="str">
            <v>SANTANDER BRASIL GESTAO DE RECURSOS LTDA</v>
          </cell>
        </row>
        <row r="18233">
          <cell r="B18233">
            <v>125204</v>
          </cell>
          <cell r="C18233" t="str">
            <v>SANTANDER CACEIS BRASIL DTVM S.A.</v>
          </cell>
          <cell r="D18233" t="str">
            <v>SANTANDER CACEIS BRASIL DTVM S.A.</v>
          </cell>
          <cell r="E18233" t="str">
            <v>SANTANDER BRASIL GESTAO DE RECURSOS LTDA</v>
          </cell>
        </row>
        <row r="18234">
          <cell r="B18234">
            <v>80642</v>
          </cell>
          <cell r="C18234" t="str">
            <v>INFINOX CAPITAL LIMITED</v>
          </cell>
          <cell r="D18234" t="str">
            <v>INFINOX CAPITAL LIMITED</v>
          </cell>
          <cell r="E18234" t="str">
            <v>INFINOX CAPITAL LIMITED</v>
          </cell>
        </row>
        <row r="18235">
          <cell r="B18235">
            <v>80642</v>
          </cell>
          <cell r="C18235" t="str">
            <v>INFINOX CAPITAL LIMITED</v>
          </cell>
          <cell r="D18235" t="str">
            <v>INFINOX CAPITAL LIMITED</v>
          </cell>
          <cell r="E18235" t="str">
            <v>INFINOX CAPITAL LIMITED</v>
          </cell>
        </row>
        <row r="18236">
          <cell r="B18236">
            <v>12464</v>
          </cell>
          <cell r="D18236">
            <v>12464</v>
          </cell>
        </row>
        <row r="18237">
          <cell r="B18237">
            <v>12464</v>
          </cell>
          <cell r="D18237">
            <v>12464</v>
          </cell>
        </row>
        <row r="18238">
          <cell r="B18238">
            <v>80639</v>
          </cell>
          <cell r="C18238" t="str">
            <v>MAR CAPITAL GESTAO DE RECURSOS LTDA</v>
          </cell>
          <cell r="D18238" t="str">
            <v>MAR CAPITAL GESTAO DE RECURSOS LTDA</v>
          </cell>
          <cell r="E18238" t="str">
            <v>MAR CAPITAL GESTAO DE RECURSOS LTDA</v>
          </cell>
        </row>
        <row r="18239">
          <cell r="B18239">
            <v>80639</v>
          </cell>
          <cell r="C18239" t="str">
            <v>MAR CAPITAL GESTAO DE RECURSOS LTDA</v>
          </cell>
          <cell r="D18239" t="str">
            <v>MAR CAPITAL GESTAO DE RECURSOS LTDA</v>
          </cell>
          <cell r="E18239" t="str">
            <v>MAR CAPITAL GESTAO DE RECURSOS LTDA</v>
          </cell>
        </row>
        <row r="18240">
          <cell r="B18240">
            <v>144552</v>
          </cell>
          <cell r="C18240" t="str">
            <v>SAGMO CAPITAL GESTORA DE RECURSOS LTDA</v>
          </cell>
          <cell r="D18240" t="str">
            <v>SAGMO CAPITAL GESTORA DE RECURSOS LTDA</v>
          </cell>
          <cell r="E18240" t="str">
            <v>SAGMO CAPITAL GESTORA DE RECURSOS LTDA</v>
          </cell>
        </row>
        <row r="18241">
          <cell r="B18241">
            <v>144552</v>
          </cell>
          <cell r="C18241" t="str">
            <v>SAGMO CAPITAL GESTORA DE RECURSOS LTDA</v>
          </cell>
          <cell r="D18241" t="str">
            <v>SAGMO CAPITAL GESTORA DE RECURSOS LTDA</v>
          </cell>
          <cell r="E18241" t="str">
            <v>SAGMO CAPITAL GESTORA DE RECURSOS LTDA</v>
          </cell>
        </row>
        <row r="18242">
          <cell r="B18242">
            <v>80643</v>
          </cell>
          <cell r="C18242" t="str">
            <v>SAGMO GLOBAL MACRO MASTER FUNDO DE INVESTIMENTO MULTIMERCADO</v>
          </cell>
          <cell r="D18242" t="str">
            <v>SAGMO GLOBAL MACRO MASTER FUNDO DE INVESTIMENTO MULTIMERCADO</v>
          </cell>
          <cell r="E18242" t="str">
            <v>SAGMO GLOBAL MACRO MASTER FUNDO DE INVESTIMENTO MULTIMERCADO</v>
          </cell>
        </row>
        <row r="18243">
          <cell r="B18243">
            <v>80643</v>
          </cell>
          <cell r="C18243" t="str">
            <v>SAGMO GLOBAL MACRO MASTER FUNDO DE INVESTIMENTO MULTIMERCADO</v>
          </cell>
          <cell r="D18243" t="str">
            <v>SAGMO GLOBAL MACRO MASTER FUNDO DE INVESTIMENTO MULTIMERCADO</v>
          </cell>
          <cell r="E18243" t="str">
            <v>SAGMO GLOBAL MACRO MASTER FUNDO DE INVESTIMENTO MULTIMERCADO</v>
          </cell>
        </row>
        <row r="18244">
          <cell r="B18244">
            <v>125205</v>
          </cell>
          <cell r="C18244" t="str">
            <v>TRUXT LB MASTER FIA</v>
          </cell>
          <cell r="D18244" t="str">
            <v>TRUXT LB MASTER FIA</v>
          </cell>
          <cell r="E18244" t="str">
            <v>TRUXT INVESTIMENTOS LTDA</v>
          </cell>
        </row>
        <row r="18245">
          <cell r="B18245">
            <v>125206</v>
          </cell>
          <cell r="C18245" t="str">
            <v>SANTANDER CACEIS BRASIL DTVM S.A.</v>
          </cell>
          <cell r="D18245" t="str">
            <v>SANTANDER CACEIS BRASIL DTVM S.A.</v>
          </cell>
          <cell r="E18245" t="str">
            <v>SANTANDER BRASIL GESTAO DE RECURSOS LTDA</v>
          </cell>
        </row>
        <row r="18246">
          <cell r="B18246">
            <v>125207</v>
          </cell>
          <cell r="C18246" t="str">
            <v>SANTANDER CACEIS BRASIL DTVM S.A.</v>
          </cell>
          <cell r="D18246" t="str">
            <v>SANTANDER CACEIS BRASIL DTVM S.A.</v>
          </cell>
          <cell r="E18246" t="str">
            <v>SANTANDER BRASIL GESTAO DE RECURSOS LTDA</v>
          </cell>
        </row>
        <row r="18247">
          <cell r="B18247">
            <v>125206</v>
          </cell>
          <cell r="C18247" t="str">
            <v>SANTANDER CACEIS BRASIL DTVM S.A.</v>
          </cell>
          <cell r="D18247" t="str">
            <v>SANTANDER CACEIS BRASIL DTVM S.A.</v>
          </cell>
          <cell r="E18247" t="str">
            <v>SANTANDER BRASIL GESTAO DE RECURSOS LTDA</v>
          </cell>
        </row>
        <row r="18248">
          <cell r="B18248">
            <v>125207</v>
          </cell>
          <cell r="C18248" t="str">
            <v>SANTANDER CACEIS BRASIL DTVM S.A.</v>
          </cell>
          <cell r="D18248" t="str">
            <v>SANTANDER CACEIS BRASIL DTVM S.A.</v>
          </cell>
          <cell r="E18248" t="str">
            <v>SANTANDER BRASIL GESTAO DE RECURSOS LTDA</v>
          </cell>
        </row>
        <row r="18249">
          <cell r="B18249">
            <v>125208</v>
          </cell>
          <cell r="C18249" t="str">
            <v>SANTANDER CACEIS BRASIL DTVM S.A.</v>
          </cell>
          <cell r="D18249" t="str">
            <v>SANTANDER CACEIS BRASIL DTVM S.A.</v>
          </cell>
          <cell r="E18249" t="str">
            <v>SANTANDER BRASIL GESTAO DE RECURSOS LTDA</v>
          </cell>
        </row>
        <row r="18250">
          <cell r="B18250">
            <v>125208</v>
          </cell>
          <cell r="C18250" t="str">
            <v>SANTANDER CACEIS BRASIL DTVM S.A.</v>
          </cell>
          <cell r="D18250" t="str">
            <v>SANTANDER CACEIS BRASIL DTVM S.A.</v>
          </cell>
          <cell r="E18250" t="str">
            <v>SANTANDER BRASIL GESTAO DE RECURSOS LTDA</v>
          </cell>
        </row>
        <row r="18251">
          <cell r="B18251">
            <v>79642</v>
          </cell>
          <cell r="C18251" t="str">
            <v>BANCO SANTANDER, S/A (MADRID)</v>
          </cell>
          <cell r="D18251" t="str">
            <v>BANCO SANTANDER, S/A (MADRID)</v>
          </cell>
          <cell r="E18251" t="str">
            <v>BANCO SANTANDER S/A (HISPANO)</v>
          </cell>
        </row>
        <row r="18252">
          <cell r="B18252">
            <v>79643</v>
          </cell>
          <cell r="C18252" t="str">
            <v>BANCO SANTANDER, S/A (MADRID)</v>
          </cell>
          <cell r="D18252" t="str">
            <v>BANCO SANTANDER, S/A (MADRID)</v>
          </cell>
          <cell r="E18252" t="str">
            <v>BANCO SANTANDER S/A (HISPANO)</v>
          </cell>
        </row>
        <row r="18253">
          <cell r="B18253">
            <v>79644</v>
          </cell>
          <cell r="C18253" t="str">
            <v>BANCO SANTANDER, S/A (MADRID)</v>
          </cell>
          <cell r="D18253" t="str">
            <v>BANCO SANTANDER, S/A (MADRID)</v>
          </cell>
          <cell r="E18253" t="str">
            <v>BANCO SANTANDER S/A (HISPANO)</v>
          </cell>
        </row>
        <row r="18254">
          <cell r="B18254">
            <v>80022</v>
          </cell>
          <cell r="C18254" t="str">
            <v>BANCO SANTANDER, S/A (MADRID)</v>
          </cell>
          <cell r="D18254" t="str">
            <v>BANCO SANTANDER, S/A (MADRID)</v>
          </cell>
          <cell r="E18254" t="str">
            <v>BANCO SANTANDER S/A (HISPANO)</v>
          </cell>
        </row>
        <row r="18255">
          <cell r="B18255">
            <v>80023</v>
          </cell>
          <cell r="C18255" t="str">
            <v>BANCO SANTANDER, S/A (MADRID)</v>
          </cell>
          <cell r="D18255" t="str">
            <v>BANCO SANTANDER, S/A (MADRID)</v>
          </cell>
          <cell r="E18255" t="str">
            <v>BANCO SANTANDER S/A (HISPANO)</v>
          </cell>
        </row>
        <row r="18256">
          <cell r="B18256">
            <v>80024</v>
          </cell>
          <cell r="C18256" t="str">
            <v>BANCO SANTANDER, S/A (MADRID)</v>
          </cell>
          <cell r="D18256" t="str">
            <v>BANCO SANTANDER, S/A (MADRID)</v>
          </cell>
          <cell r="E18256" t="str">
            <v>BANCO SANTANDER S/A (HISPANO)</v>
          </cell>
        </row>
        <row r="18257">
          <cell r="B18257">
            <v>80645</v>
          </cell>
          <cell r="C18257" t="str">
            <v>CITADEL GLOBAL FIXED INCOME S.A.R.L.</v>
          </cell>
          <cell r="D18257" t="str">
            <v>CITADEL GLOBAL FIXED INCOME S.A.R.L.</v>
          </cell>
          <cell r="E18257" t="str">
            <v>CITADEL GLOBAL FIXED INCOME S.A.R.L.</v>
          </cell>
        </row>
        <row r="18258">
          <cell r="B18258">
            <v>80645</v>
          </cell>
          <cell r="C18258" t="str">
            <v>CITADEL GLOBAL FIXED INCOME S.A.R.L.</v>
          </cell>
          <cell r="D18258" t="str">
            <v>CITADEL GLOBAL FIXED INCOME S.A.R.L.</v>
          </cell>
          <cell r="E18258" t="str">
            <v>CITADEL GLOBAL FIXED INCOME S.A.R.L.</v>
          </cell>
        </row>
        <row r="18259">
          <cell r="B18259">
            <v>80646</v>
          </cell>
          <cell r="C18259" t="str">
            <v>LESTE ADMINISTRAÃ‡ÃƒO DE RECURSOS LTDA</v>
          </cell>
          <cell r="D18259" t="str">
            <v>LESTE ADMINISTRAÃ‡ÃƒO DE RECURSOS LTDA</v>
          </cell>
          <cell r="E18259" t="str">
            <v>LESTE ADMINISTRAÃ‡ÃƒO DE RECURSOS LTDA</v>
          </cell>
        </row>
        <row r="18260">
          <cell r="B18260">
            <v>80646</v>
          </cell>
          <cell r="C18260" t="str">
            <v>LESTE ADMINISTRAÃ‡ÃƒO DE RECURSOS LTDA</v>
          </cell>
          <cell r="D18260" t="str">
            <v>LESTE ADMINISTRAÃ‡ÃƒO DE RECURSOS LTDA</v>
          </cell>
          <cell r="E18260" t="str">
            <v>LESTE ADMINISTRAÃ‡ÃƒO DE RECURSOS LTDA</v>
          </cell>
        </row>
        <row r="18261">
          <cell r="B18261">
            <v>79886</v>
          </cell>
          <cell r="C18261" t="str">
            <v>XP HORIZONTE PREV MASTER FI RF</v>
          </cell>
          <cell r="D18261" t="str">
            <v>XP HORIZONTE PREV MASTER FI RF</v>
          </cell>
          <cell r="E18261" t="str">
            <v>XP HORIZONTE PREV MASTER FI RF</v>
          </cell>
        </row>
        <row r="18262">
          <cell r="B18262">
            <v>79886</v>
          </cell>
          <cell r="C18262" t="str">
            <v>XP HORIZONTE PREV MASTER FI RF</v>
          </cell>
          <cell r="D18262" t="str">
            <v>XP HORIZONTE PREV MASTER FI RF</v>
          </cell>
          <cell r="E18262" t="str">
            <v>XP HORIZONTE PREV MASTER FI RF</v>
          </cell>
        </row>
        <row r="18263">
          <cell r="B18263">
            <v>80649</v>
          </cell>
          <cell r="C18263" t="str">
            <v>TAVOLA ABSOLUTO MASTER FIF MULT</v>
          </cell>
          <cell r="D18263" t="str">
            <v>TAVOLA ABSOLUTO MASTER FIF MULT</v>
          </cell>
          <cell r="E18263" t="str">
            <v>TAVOLA CAPITAL GESTAO DE RECURSOS LTDA</v>
          </cell>
        </row>
        <row r="18264">
          <cell r="B18264">
            <v>80650</v>
          </cell>
          <cell r="C18264" t="str">
            <v>BANCO SOFISA S/A</v>
          </cell>
          <cell r="D18264" t="str">
            <v>BANCO SOFISA S/A</v>
          </cell>
          <cell r="E18264" t="str">
            <v>BANCO SOFISA S/A</v>
          </cell>
        </row>
        <row r="18265">
          <cell r="B18265">
            <v>125215</v>
          </cell>
          <cell r="C18265" t="str">
            <v>JUNO FUNDO DE INVESTIMENTO MULTIMERCADO CREDITO PRIVADO</v>
          </cell>
          <cell r="D18265" t="str">
            <v>JUNO FUNDO DE INVESTIMENTO MULTIMERCADO CREDITO PRIVADO</v>
          </cell>
          <cell r="E18265" t="str">
            <v>EMERALD GESTAO DE INVESTIMENTOS LTDA</v>
          </cell>
        </row>
        <row r="18266">
          <cell r="B18266">
            <v>125216</v>
          </cell>
          <cell r="C18266" t="str">
            <v>SANTANDER CACEIS BRASIL DTVM S.A.</v>
          </cell>
          <cell r="D18266" t="str">
            <v>SANTANDER CACEIS BRASIL DTVM S.A.</v>
          </cell>
          <cell r="E18266" t="str">
            <v>SANTANDER BRASIL GESTAO DE RECURSOS LTDA</v>
          </cell>
        </row>
        <row r="18267">
          <cell r="B18267">
            <v>125216</v>
          </cell>
          <cell r="C18267" t="str">
            <v>SANTANDER CACEIS BRASIL DTVM S.A.</v>
          </cell>
          <cell r="D18267" t="str">
            <v>SANTANDER CACEIS BRASIL DTVM S.A.</v>
          </cell>
          <cell r="E18267" t="str">
            <v>SANTANDER BRASIL GESTAO DE RECURSOS LTDA</v>
          </cell>
        </row>
        <row r="18268">
          <cell r="B18268">
            <v>125217</v>
          </cell>
          <cell r="C18268" t="str">
            <v>SANTANDER CACEIS BRASIL DTVM S.A.</v>
          </cell>
          <cell r="D18268" t="str">
            <v>SANTANDER CACEIS BRASIL DTVM S.A.</v>
          </cell>
          <cell r="E18268" t="str">
            <v>SANTANDER BRASIL GESTAO DE RECURSOS LTDA</v>
          </cell>
        </row>
        <row r="18269">
          <cell r="B18269">
            <v>125218</v>
          </cell>
          <cell r="C18269" t="str">
            <v>SANTANDER CACEIS BRASIL DTVM S.A.</v>
          </cell>
          <cell r="D18269" t="str">
            <v>SANTANDER CACEIS BRASIL DTVM S.A.</v>
          </cell>
          <cell r="E18269" t="str">
            <v>SANTANDER BRASIL GESTAO DE RECURSOS LTDA</v>
          </cell>
        </row>
        <row r="18270">
          <cell r="B18270">
            <v>125218</v>
          </cell>
          <cell r="C18270" t="str">
            <v>SANTANDER CACEIS BRASIL DTVM S.A.</v>
          </cell>
          <cell r="D18270" t="str">
            <v>SANTANDER CACEIS BRASIL DTVM S.A.</v>
          </cell>
          <cell r="E18270" t="str">
            <v>SANTANDER BRASIL GESTAO DE RECURSOS LTDA</v>
          </cell>
        </row>
        <row r="18271">
          <cell r="B18271">
            <v>80652</v>
          </cell>
          <cell r="C18271" t="str">
            <v>OPTIVER V.O.F.</v>
          </cell>
          <cell r="D18271" t="str">
            <v>OPTIVER V.O.F.</v>
          </cell>
          <cell r="E18271" t="str">
            <v>OPTIVER V.O.F.</v>
          </cell>
        </row>
        <row r="18272">
          <cell r="B18272">
            <v>80652</v>
          </cell>
          <cell r="C18272" t="str">
            <v>OPTIVER V.O.F.</v>
          </cell>
          <cell r="D18272" t="str">
            <v>OPTIVER V.O.F.</v>
          </cell>
          <cell r="E18272" t="str">
            <v>OPTIVER V.O.F.</v>
          </cell>
        </row>
        <row r="18273">
          <cell r="B18273">
            <v>80653</v>
          </cell>
          <cell r="C18273" t="str">
            <v>ARMOR SHIELD FIC DE FIM CP</v>
          </cell>
          <cell r="D18273" t="str">
            <v>ARMOR SHIELD FIC DE FIM CP</v>
          </cell>
          <cell r="E18273" t="str">
            <v>ARMOR GESTORA DE RECURSOS LTDA</v>
          </cell>
        </row>
        <row r="18274">
          <cell r="B18274">
            <v>80653</v>
          </cell>
          <cell r="C18274" t="str">
            <v>ARMOR SHIELD FIC DE FIM CP</v>
          </cell>
          <cell r="D18274" t="str">
            <v>ARMOR SHIELD FIC DE FIM CP</v>
          </cell>
          <cell r="E18274" t="str">
            <v>ARMOR GESTORA DE RECURSOS LTDA</v>
          </cell>
        </row>
        <row r="18275">
          <cell r="B18275">
            <v>80654</v>
          </cell>
          <cell r="C18275" t="str">
            <v>STATE STREET BANK AND TRUST COMPANY</v>
          </cell>
          <cell r="D18275" t="str">
            <v>STATE STREET BANK AND TRUST COMPANY</v>
          </cell>
          <cell r="E18275" t="str">
            <v>STATE STREET BANK AND TRUST COMPANY</v>
          </cell>
        </row>
        <row r="18276">
          <cell r="B18276">
            <v>125219</v>
          </cell>
          <cell r="C18276" t="str">
            <v>SANTANDER CACEIS BRASIL DTVM S.A.</v>
          </cell>
          <cell r="D18276" t="str">
            <v>SANTANDER CACEIS BRASIL DTVM S.A.</v>
          </cell>
          <cell r="E18276" t="str">
            <v>SANTANDER BRASIL GESTAO DE RECURSOS LTDA</v>
          </cell>
        </row>
        <row r="18277">
          <cell r="B18277">
            <v>125220</v>
          </cell>
          <cell r="C18277" t="str">
            <v>SANTANDER CACEIS BRASIL DTVM S.A.</v>
          </cell>
          <cell r="D18277" t="str">
            <v>SANTANDER CACEIS BRASIL DTVM S.A.</v>
          </cell>
          <cell r="E18277" t="str">
            <v>SANTANDER BRASIL GESTAO DE RECURSOS LTDA</v>
          </cell>
        </row>
        <row r="18278">
          <cell r="B18278">
            <v>125221</v>
          </cell>
          <cell r="C18278" t="str">
            <v>SANTANDER CACEIS BRASIL DTVM S.A.</v>
          </cell>
          <cell r="D18278" t="str">
            <v>SANTANDER CACEIS BRASIL DTVM S.A.</v>
          </cell>
          <cell r="E18278" t="str">
            <v>SANTANDER BRASIL GESTAO DE RECURSOS LTDA</v>
          </cell>
        </row>
        <row r="18279">
          <cell r="B18279">
            <v>125222</v>
          </cell>
          <cell r="C18279" t="str">
            <v>SANTANDER CACEIS BRASIL DTVM S.A.</v>
          </cell>
          <cell r="D18279" t="str">
            <v>SANTANDER CACEIS BRASIL DTVM S.A.</v>
          </cell>
          <cell r="E18279" t="str">
            <v>SANTANDER BRASIL GESTAO DE RECURSOS LTDA</v>
          </cell>
        </row>
        <row r="18280">
          <cell r="B18280">
            <v>80655</v>
          </cell>
          <cell r="C18280" t="str">
            <v>APT CAPITAL LIMITED</v>
          </cell>
          <cell r="D18280" t="str">
            <v>APT CAPITAL LIMITED</v>
          </cell>
          <cell r="E18280" t="str">
            <v>APT CAPITAL LIMITED</v>
          </cell>
        </row>
        <row r="18281">
          <cell r="B18281">
            <v>80655</v>
          </cell>
          <cell r="C18281" t="str">
            <v>APT CAPITAL LIMITED</v>
          </cell>
          <cell r="D18281" t="str">
            <v>APT CAPITAL LIMITED</v>
          </cell>
          <cell r="E18281" t="str">
            <v>APT CAPITAL LIMITED</v>
          </cell>
        </row>
        <row r="18282">
          <cell r="B18282">
            <v>125223</v>
          </cell>
          <cell r="C18282" t="str">
            <v>SANTANDER CACEIS BRASIL DTVM S.A.</v>
          </cell>
          <cell r="D18282" t="str">
            <v>SANTANDER CACEIS BRASIL DTVM S.A.</v>
          </cell>
          <cell r="E18282" t="str">
            <v>SANTANDER BRASIL GESTAO DE RECURSOS LTDA</v>
          </cell>
        </row>
        <row r="18283">
          <cell r="B18283">
            <v>125223</v>
          </cell>
          <cell r="C18283" t="str">
            <v>SANTANDER CACEIS BRASIL DTVM S.A.</v>
          </cell>
          <cell r="D18283" t="str">
            <v>SANTANDER CACEIS BRASIL DTVM S.A.</v>
          </cell>
          <cell r="E18283" t="str">
            <v>SANTANDER BRASIL GESTAO DE RECURSOS LTDA</v>
          </cell>
        </row>
        <row r="18284">
          <cell r="B18284">
            <v>125224</v>
          </cell>
          <cell r="C18284" t="str">
            <v>RAINBOW FIA BDR NIVEL I</v>
          </cell>
          <cell r="D18284" t="str">
            <v>RAINBOW FIA BDR NIVEL I</v>
          </cell>
          <cell r="E18284" t="str">
            <v>JULIUS BAER FAMILY OFFICE BRASIL GESTAO DE PATRIMONIO LTDA</v>
          </cell>
        </row>
        <row r="18285">
          <cell r="B18285">
            <v>125224</v>
          </cell>
          <cell r="C18285" t="str">
            <v>RAINBOW FIA BDR NIVEL I</v>
          </cell>
          <cell r="D18285" t="str">
            <v>RAINBOW FIA BDR NIVEL I</v>
          </cell>
          <cell r="E18285" t="str">
            <v>JULIUS BAER FAMILY OFFICE BRASIL GESTAO DE PATRIMONIO LTDA</v>
          </cell>
        </row>
        <row r="18286">
          <cell r="B18286">
            <v>125225</v>
          </cell>
          <cell r="C18286" t="str">
            <v>GALEA FIM CP IE</v>
          </cell>
          <cell r="D18286" t="str">
            <v>GALEA FIM CP IE</v>
          </cell>
          <cell r="E18286" t="str">
            <v>GALEA FIM CP IE</v>
          </cell>
        </row>
        <row r="18287">
          <cell r="B18287">
            <v>125225</v>
          </cell>
          <cell r="C18287" t="str">
            <v>GALEA FIM CP IE</v>
          </cell>
          <cell r="D18287" t="str">
            <v>GALEA FIM CP IE</v>
          </cell>
          <cell r="E18287" t="str">
            <v>GALEA FIM CP IE</v>
          </cell>
        </row>
        <row r="18288">
          <cell r="B18288">
            <v>125226</v>
          </cell>
          <cell r="C18288" t="str">
            <v>MARKUS RAFAEL MILZ CASAL</v>
          </cell>
          <cell r="D18288" t="str">
            <v>MARKUS RAFAEL MILZ CASAL</v>
          </cell>
          <cell r="E18288" t="str">
            <v>MARKUS RAFAEL MILZ CASAL</v>
          </cell>
        </row>
        <row r="18289">
          <cell r="B18289">
            <v>125226</v>
          </cell>
          <cell r="C18289" t="str">
            <v>MARKUS RAFAEL MILZ CASAL</v>
          </cell>
          <cell r="D18289" t="str">
            <v>MARKUS RAFAEL MILZ CASAL</v>
          </cell>
          <cell r="E18289" t="str">
            <v>MARKUS RAFAEL MILZ CASAL</v>
          </cell>
        </row>
        <row r="18290">
          <cell r="B18290">
            <v>125227</v>
          </cell>
          <cell r="C18290" t="str">
            <v>SANTANDER CACEIS BRASIL DTVM S.A.</v>
          </cell>
          <cell r="D18290" t="str">
            <v>SANTANDER CACEIS BRASIL DTVM S.A.</v>
          </cell>
          <cell r="E18290" t="str">
            <v>SANTANDER BRASIL GESTAO DE RECURSOS LTDA</v>
          </cell>
        </row>
        <row r="18291">
          <cell r="B18291">
            <v>125228</v>
          </cell>
          <cell r="C18291" t="str">
            <v>SANTANDER CACEIS BRASIL DTVM S.A.</v>
          </cell>
          <cell r="D18291" t="str">
            <v>SANTANDER CACEIS BRASIL DTVM S.A.</v>
          </cell>
          <cell r="E18291" t="str">
            <v>SANTANDER BRASIL GESTAO DE RECURSOS LTDA</v>
          </cell>
        </row>
        <row r="18292">
          <cell r="B18292">
            <v>125227</v>
          </cell>
          <cell r="C18292" t="str">
            <v>SANTANDER CACEIS BRASIL DTVM S.A.</v>
          </cell>
          <cell r="D18292" t="str">
            <v>SANTANDER CACEIS BRASIL DTVM S.A.</v>
          </cell>
          <cell r="E18292" t="str">
            <v>SANTANDER BRASIL GESTAO DE RECURSOS LTDA</v>
          </cell>
        </row>
        <row r="18293">
          <cell r="B18293">
            <v>125228</v>
          </cell>
          <cell r="C18293" t="str">
            <v>SANTANDER CACEIS BRASIL DTVM S.A.</v>
          </cell>
          <cell r="D18293" t="str">
            <v>SANTANDER CACEIS BRASIL DTVM S.A.</v>
          </cell>
          <cell r="E18293" t="str">
            <v>SANTANDER BRASIL GESTAO DE RECURSOS LTDA</v>
          </cell>
        </row>
        <row r="18294">
          <cell r="B18294">
            <v>125229</v>
          </cell>
          <cell r="C18294" t="str">
            <v>VITREO MAB PLUS FUNDO DE INVESTIMENTO EM ACOES</v>
          </cell>
          <cell r="D18294" t="str">
            <v>VITREO MAB PLUS FUNDO DE INVESTIMENTO EM ACOES</v>
          </cell>
          <cell r="E18294" t="str">
            <v>EMPIRICUS GESTAO DE RECURSOS LTDA</v>
          </cell>
        </row>
        <row r="18295">
          <cell r="B18295">
            <v>125229</v>
          </cell>
          <cell r="C18295" t="str">
            <v>VITREO MAB PLUS FUNDO DE INVESTIMENTO EM ACOES</v>
          </cell>
          <cell r="D18295" t="str">
            <v>VITREO MAB PLUS FUNDO DE INVESTIMENTO EM ACOES</v>
          </cell>
          <cell r="E18295" t="str">
            <v>EMPIRICUS GESTAO DE RECURSOS LTDA</v>
          </cell>
        </row>
        <row r="18296">
          <cell r="B18296">
            <v>125230</v>
          </cell>
          <cell r="C18296" t="str">
            <v>PRECIOSO FUNDO INCENTIVADO DE INV RF EM INFRAESTRUTA</v>
          </cell>
          <cell r="D18296" t="str">
            <v>PRECIOSO FUNDO INCENTIVADO DE INV RF EM INFRAESTRUTA</v>
          </cell>
          <cell r="E18296" t="str">
            <v>JULIUS BAER FAMILY OFFICE BRASIL GESTAO DE PATRIMONIO LTDA</v>
          </cell>
        </row>
        <row r="18297">
          <cell r="B18297">
            <v>125230</v>
          </cell>
          <cell r="C18297" t="str">
            <v>PRECIOSO FUNDO INCENTIVADO DE INV RF EM INFRAESTRUTA</v>
          </cell>
          <cell r="D18297" t="str">
            <v>PRECIOSO FUNDO INCENTIVADO DE INV RF EM INFRAESTRUTA</v>
          </cell>
          <cell r="E18297" t="str">
            <v>JULIUS BAER FAMILY OFFICE BRASIL GESTAO DE PATRIMONIO LTDA</v>
          </cell>
        </row>
        <row r="18298">
          <cell r="B18298">
            <v>125232</v>
          </cell>
          <cell r="C18298" t="str">
            <v>FLICKA FIM CP IE</v>
          </cell>
          <cell r="D18298" t="str">
            <v>FLICKA FIM CP IE</v>
          </cell>
          <cell r="E18298" t="str">
            <v>JULIUS BAER FAMILY OFFICE BRASIL GESTAO DE PATRIMONIO LTDA</v>
          </cell>
        </row>
        <row r="18299">
          <cell r="B18299">
            <v>125232</v>
          </cell>
          <cell r="C18299" t="str">
            <v>FLICKA FIM CP IE</v>
          </cell>
          <cell r="D18299" t="str">
            <v>FLICKA FIM CP IE</v>
          </cell>
          <cell r="E18299" t="str">
            <v>JULIUS BAER FAMILY OFFICE BRASIL GESTAO DE PATRIMONIO LTDA</v>
          </cell>
        </row>
        <row r="18300">
          <cell r="B18300">
            <v>125231</v>
          </cell>
          <cell r="C18300" t="str">
            <v>FRANKLIN VALOR E LIQUIDEZ 70 ADVISORY XP SEGUROS PREV FIM</v>
          </cell>
          <cell r="D18300" t="str">
            <v>FRANKLIN VALOR E LIQUIDEZ 70 ADVISORY XP SEGUROS PREV FIM</v>
          </cell>
          <cell r="E18300" t="str">
            <v>FRANKLIN TEMPLETON INVESTIMENTOS (BRASIL) LTDA</v>
          </cell>
        </row>
        <row r="18301">
          <cell r="B18301">
            <v>125231</v>
          </cell>
          <cell r="C18301" t="str">
            <v>FRANKLIN VALOR E LIQUIDEZ 70 ADVISORY XP SEGUROS PREV FIM</v>
          </cell>
          <cell r="D18301" t="str">
            <v>FRANKLIN VALOR E LIQUIDEZ 70 ADVISORY XP SEGUROS PREV FIM</v>
          </cell>
          <cell r="E18301" t="str">
            <v>FRANKLIN TEMPLETON INVESTIMENTOS (BRASIL) LTDA</v>
          </cell>
        </row>
        <row r="18302">
          <cell r="B18302">
            <v>125233</v>
          </cell>
          <cell r="C18302" t="str">
            <v>SANTANDER CACEIS BRASIL DTVM S.A.</v>
          </cell>
          <cell r="D18302" t="str">
            <v>SANTANDER CACEIS BRASIL DTVM S.A.</v>
          </cell>
          <cell r="E18302" t="str">
            <v>SANTANDER BRASIL GESTAO DE RECURSOS LTDA</v>
          </cell>
        </row>
        <row r="18303">
          <cell r="B18303">
            <v>125234</v>
          </cell>
          <cell r="C18303" t="str">
            <v>SANTANDER CACEIS BRASIL DTVM S.A.</v>
          </cell>
          <cell r="D18303" t="str">
            <v>SANTANDER CACEIS BRASIL DTVM S.A.</v>
          </cell>
          <cell r="E18303" t="str">
            <v>SANTANDER BRASIL GESTAO DE RECURSOS LTDA</v>
          </cell>
        </row>
        <row r="18304">
          <cell r="B18304">
            <v>125235</v>
          </cell>
          <cell r="C18304" t="str">
            <v>CANADIAN EAGLE FIM INVESTIDORES NÃƒO RESIDENTES</v>
          </cell>
          <cell r="D18304" t="str">
            <v>CANADIAN EAGLE FIM INVESTIDORES NÃƒO RESIDENTES</v>
          </cell>
          <cell r="E18304" t="str">
            <v>CANADIAN EAGLE FIM INVESTIDORES NÃƒO RESIDENTES</v>
          </cell>
        </row>
        <row r="18305">
          <cell r="B18305">
            <v>125235</v>
          </cell>
          <cell r="C18305" t="str">
            <v>CANADIAN EAGLE FIM INVESTIDORES NÃƒO RESIDENTES</v>
          </cell>
          <cell r="D18305" t="str">
            <v>CANADIAN EAGLE FIM INVESTIDORES NÃƒO RESIDENTES</v>
          </cell>
          <cell r="E18305" t="str">
            <v>CANADIAN EAGLE FIM INVESTIDORES NÃƒO RESIDENTES</v>
          </cell>
        </row>
        <row r="18306">
          <cell r="B18306">
            <v>125236</v>
          </cell>
          <cell r="C18306" t="str">
            <v>SPX RAPTOR MASTER FI EXT MM CP</v>
          </cell>
          <cell r="D18306" t="str">
            <v>SPX RAPTOR MASTER FI EXT MM CP</v>
          </cell>
          <cell r="E18306" t="str">
            <v>SPX GESTAO DE RECURSOS LTDA</v>
          </cell>
        </row>
        <row r="18307">
          <cell r="B18307">
            <v>125238</v>
          </cell>
          <cell r="C18307" t="str">
            <v>SPX FALCON MASTER FIF EM AÃ‡Ã•ES RL</v>
          </cell>
          <cell r="D18307" t="str">
            <v>SPX FALCON MASTER FIF EM AÃ‡Ã•ES RL</v>
          </cell>
          <cell r="E18307" t="str">
            <v>SPX FALCON MASTER FIF EM AÃ‡Ã•ES RL</v>
          </cell>
        </row>
        <row r="18308">
          <cell r="B18308">
            <v>125237</v>
          </cell>
          <cell r="C18308" t="str">
            <v>SPX NIMITZ MASTER FI FIM RESPONSABILIDADE LIMITADA</v>
          </cell>
          <cell r="D18308" t="str">
            <v>SPX NIMITZ MASTER FI FIM RESPONSABILIDADE LIMITADA</v>
          </cell>
          <cell r="E18308" t="str">
            <v>SPX GESTAO DE RECURSOS LTDA</v>
          </cell>
        </row>
        <row r="18309">
          <cell r="B18309">
            <v>125238</v>
          </cell>
          <cell r="C18309" t="str">
            <v>SPX FALCON MASTER FIF EM AÃ‡Ã•ES RL</v>
          </cell>
          <cell r="D18309" t="str">
            <v>SPX FALCON MASTER FIF EM AÃ‡Ã•ES RL</v>
          </cell>
          <cell r="E18309" t="str">
            <v>SPX FALCON MASTER FIF EM AÃ‡Ã•ES RL</v>
          </cell>
        </row>
        <row r="18310">
          <cell r="B18310">
            <v>122842</v>
          </cell>
          <cell r="C18310" t="str">
            <v>XP INSTITUCIONAL FIM</v>
          </cell>
          <cell r="D18310" t="str">
            <v>XP INSTITUCIONAL FIM</v>
          </cell>
          <cell r="E18310" t="str">
            <v>XP INSTITUCIONAL FIM</v>
          </cell>
        </row>
        <row r="18311">
          <cell r="B18311">
            <v>125240</v>
          </cell>
          <cell r="C18311" t="str">
            <v>SANTANDER CACEIS BRASIL DTVM S.A.</v>
          </cell>
          <cell r="D18311" t="str">
            <v>SANTANDER CACEIS BRASIL DTVM S.A.</v>
          </cell>
          <cell r="E18311" t="str">
            <v>SANTANDER BRASIL GESTAO DE RECURSOS LTDA</v>
          </cell>
        </row>
        <row r="18312">
          <cell r="B18312">
            <v>125240</v>
          </cell>
          <cell r="C18312" t="str">
            <v>SANTANDER CACEIS BRASIL DTVM S.A.</v>
          </cell>
          <cell r="D18312" t="str">
            <v>SANTANDER CACEIS BRASIL DTVM S.A.</v>
          </cell>
          <cell r="E18312" t="str">
            <v>SANTANDER BRASIL GESTAO DE RECURSOS LTDA</v>
          </cell>
        </row>
        <row r="18313">
          <cell r="B18313">
            <v>125241</v>
          </cell>
          <cell r="C18313" t="str">
            <v>SANTANDER CACEIS BRASIL DTVM S.A.</v>
          </cell>
          <cell r="D18313" t="str">
            <v>SANTANDER CACEIS BRASIL DTVM S.A.</v>
          </cell>
          <cell r="E18313" t="str">
            <v>SANTANDER BRASIL GESTAO DE RECURSOS LTDA</v>
          </cell>
        </row>
        <row r="18314">
          <cell r="B18314">
            <v>125242</v>
          </cell>
          <cell r="C18314" t="str">
            <v>SANTANDER CACEIS BRASIL DTVM S.A.</v>
          </cell>
          <cell r="D18314" t="str">
            <v>SANTANDER CACEIS BRASIL DTVM S.A.</v>
          </cell>
          <cell r="E18314" t="str">
            <v>SANTANDER BRASIL GESTAO DE RECURSOS LTDA</v>
          </cell>
        </row>
        <row r="18315">
          <cell r="B18315">
            <v>125243</v>
          </cell>
          <cell r="C18315" t="str">
            <v>JUBARTE FIM CP IE</v>
          </cell>
          <cell r="D18315" t="str">
            <v>JUBARTE FIM CP IE</v>
          </cell>
          <cell r="E18315" t="str">
            <v>JULIUS BAER FAMILY OFFICE BRASIL GESTAO DE PATRIMONIO LTDA</v>
          </cell>
        </row>
        <row r="18316">
          <cell r="B18316">
            <v>125243</v>
          </cell>
          <cell r="C18316" t="str">
            <v>JUBARTE FIM CP IE</v>
          </cell>
          <cell r="D18316" t="str">
            <v>JUBARTE FIM CP IE</v>
          </cell>
          <cell r="E18316" t="str">
            <v>JULIUS BAER FAMILY OFFICE BRASIL GESTAO DE PATRIMONIO LTDA</v>
          </cell>
        </row>
        <row r="18317">
          <cell r="B18317">
            <v>125244</v>
          </cell>
          <cell r="C18317" t="str">
            <v>VITREO PRP FUNDO DE INVESTIMENTO MULTIMERCADO</v>
          </cell>
          <cell r="D18317" t="str">
            <v>VITREO PRP FUNDO DE INVESTIMENTO MULTIMERCADO</v>
          </cell>
          <cell r="E18317" t="str">
            <v>EMPIRICUS GESTAO DE RECURSOS LTDA</v>
          </cell>
        </row>
        <row r="18318">
          <cell r="B18318">
            <v>125244</v>
          </cell>
          <cell r="C18318" t="str">
            <v>VITREO PRP FUNDO DE INVESTIMENTO MULTIMERCADO</v>
          </cell>
          <cell r="D18318" t="str">
            <v>VITREO PRP FUNDO DE INVESTIMENTO MULTIMERCADO</v>
          </cell>
          <cell r="E18318" t="str">
            <v>EMPIRICUS GESTAO DE RECURSOS LTDA</v>
          </cell>
        </row>
        <row r="18319">
          <cell r="B18319">
            <v>125245</v>
          </cell>
          <cell r="C18319" t="str">
            <v>SANTANDER CACEIS BRASIL DTVM S.A.</v>
          </cell>
          <cell r="D18319" t="str">
            <v>SANTANDER CACEIS BRASIL DTVM S.A.</v>
          </cell>
          <cell r="E18319" t="str">
            <v>SANTANDER BRASIL GESTAO DE RECURSOS LTDA</v>
          </cell>
        </row>
        <row r="18320">
          <cell r="B18320">
            <v>125245</v>
          </cell>
          <cell r="C18320" t="str">
            <v>SANTANDER CACEIS BRASIL DTVM S.A.</v>
          </cell>
          <cell r="D18320" t="str">
            <v>SANTANDER CACEIS BRASIL DTVM S.A.</v>
          </cell>
          <cell r="E18320" t="str">
            <v>SANTANDER BRASIL GESTAO DE RECURSOS LTDA</v>
          </cell>
        </row>
        <row r="18321">
          <cell r="B18321">
            <v>125247</v>
          </cell>
          <cell r="C18321" t="str">
            <v>NEO ARGO LONG AND SHORT C MASTER FIA</v>
          </cell>
          <cell r="D18321" t="str">
            <v>NEO ARGO LONG AND SHORT C MASTER FIA</v>
          </cell>
          <cell r="E18321" t="str">
            <v>NEO GESTÃO DE RECURSOS LTDA</v>
          </cell>
        </row>
        <row r="18322">
          <cell r="B18322">
            <v>125246</v>
          </cell>
          <cell r="C18322" t="str">
            <v>FP ARX TOTAL RETURN FIA</v>
          </cell>
          <cell r="D18322" t="str">
            <v>FP ARX TOTAL RETURN FIA</v>
          </cell>
          <cell r="E18322" t="str">
            <v>ARX INVESTIMENTOS LTDA</v>
          </cell>
        </row>
        <row r="18323">
          <cell r="B18323">
            <v>125247</v>
          </cell>
          <cell r="C18323" t="str">
            <v>NEO ARGO LONG AND SHORT C MASTER FIA</v>
          </cell>
          <cell r="D18323" t="str">
            <v>NEO ARGO LONG AND SHORT C MASTER FIA</v>
          </cell>
          <cell r="E18323" t="str">
            <v>NEO GESTÃO DE RECURSOS LTDA</v>
          </cell>
        </row>
        <row r="18324">
          <cell r="B18324">
            <v>125248</v>
          </cell>
          <cell r="C18324" t="str">
            <v>ARX LONG TERM MASTER FIA</v>
          </cell>
          <cell r="D18324" t="str">
            <v>ARX LONG TERM MASTER FIA</v>
          </cell>
          <cell r="E18324" t="str">
            <v>ARX INVESTIMENTOS LTDA</v>
          </cell>
        </row>
        <row r="18325">
          <cell r="B18325">
            <v>125249</v>
          </cell>
          <cell r="C18325" t="str">
            <v>FLEX SUPER FIM CP IE</v>
          </cell>
          <cell r="D18325" t="str">
            <v>FLEX SUPER FIM CP IE</v>
          </cell>
          <cell r="E18325" t="str">
            <v>JULIUS BAER FAMILY OFFICE BRASIL GESTAO DE PATRIMONIO LTDA</v>
          </cell>
        </row>
        <row r="18326">
          <cell r="B18326">
            <v>125249</v>
          </cell>
          <cell r="C18326" t="str">
            <v>FLEX SUPER FIM CP IE</v>
          </cell>
          <cell r="D18326" t="str">
            <v>FLEX SUPER FIM CP IE</v>
          </cell>
          <cell r="E18326" t="str">
            <v>JULIUS BAER FAMILY OFFICE BRASIL GESTAO DE PATRIMONIO LTDA</v>
          </cell>
        </row>
        <row r="18327">
          <cell r="B18327">
            <v>80656</v>
          </cell>
          <cell r="C18327" t="str">
            <v>CARLOS BASILE</v>
          </cell>
          <cell r="D18327" t="str">
            <v>CARLOS BASILE</v>
          </cell>
          <cell r="E18327" t="str">
            <v>CARLOS BASILE</v>
          </cell>
        </row>
        <row r="18328">
          <cell r="B18328">
            <v>80656</v>
          </cell>
          <cell r="C18328" t="str">
            <v>CARLOS BASILE</v>
          </cell>
          <cell r="D18328" t="str">
            <v>CARLOS BASILE</v>
          </cell>
          <cell r="E18328" t="str">
            <v>CARLOS BASILE</v>
          </cell>
        </row>
        <row r="18329">
          <cell r="B18329">
            <v>125250</v>
          </cell>
          <cell r="C18329" t="str">
            <v>SANTANDER CACEIS BRASIL DTVM S.A.</v>
          </cell>
          <cell r="D18329" t="str">
            <v>SANTANDER CACEIS BRASIL DTVM S.A.</v>
          </cell>
          <cell r="E18329" t="str">
            <v>SANTANDER BRASIL GESTAO DE RECURSOS LTDA</v>
          </cell>
        </row>
        <row r="18330">
          <cell r="B18330">
            <v>125250</v>
          </cell>
          <cell r="C18330" t="str">
            <v>SANTANDER CACEIS BRASIL DTVM S.A.</v>
          </cell>
          <cell r="D18330" t="str">
            <v>SANTANDER CACEIS BRASIL DTVM S.A.</v>
          </cell>
          <cell r="E18330" t="str">
            <v>SANTANDER BRASIL GESTAO DE RECURSOS LTDA</v>
          </cell>
        </row>
        <row r="18331">
          <cell r="B18331">
            <v>125251</v>
          </cell>
          <cell r="C18331" t="str">
            <v>SANTANDER CACEIS BRASIL DTVM S.A.</v>
          </cell>
          <cell r="D18331" t="str">
            <v>SANTANDER CACEIS BRASIL DTVM S.A.</v>
          </cell>
          <cell r="E18331" t="str">
            <v>SANTANDER BRASIL GESTAO DE RECURSOS LTDA</v>
          </cell>
        </row>
        <row r="18332">
          <cell r="B18332">
            <v>125252</v>
          </cell>
          <cell r="C18332" t="str">
            <v>SANTANDER CACEIS BRASIL DTVM S.A.</v>
          </cell>
          <cell r="D18332" t="str">
            <v>SANTANDER CACEIS BRASIL DTVM S.A.</v>
          </cell>
          <cell r="E18332" t="str">
            <v>SANTANDER BRASIL GESTAO DE RECURSOS LTDA</v>
          </cell>
        </row>
        <row r="18333">
          <cell r="B18333">
            <v>125251</v>
          </cell>
          <cell r="C18333" t="str">
            <v>SANTANDER CACEIS BRASIL DTVM S.A.</v>
          </cell>
          <cell r="D18333" t="str">
            <v>SANTANDER CACEIS BRASIL DTVM S.A.</v>
          </cell>
          <cell r="E18333" t="str">
            <v>SANTANDER BRASIL GESTAO DE RECURSOS LTDA</v>
          </cell>
        </row>
        <row r="18334">
          <cell r="B18334">
            <v>125252</v>
          </cell>
          <cell r="C18334" t="str">
            <v>SANTANDER CACEIS BRASIL DTVM S.A.</v>
          </cell>
          <cell r="D18334" t="str">
            <v>SANTANDER CACEIS BRASIL DTVM S.A.</v>
          </cell>
          <cell r="E18334" t="str">
            <v>SANTANDER BRASIL GESTAO DE RECURSOS LTDA</v>
          </cell>
        </row>
        <row r="18335">
          <cell r="B18335">
            <v>125253</v>
          </cell>
          <cell r="C18335" t="str">
            <v>SANTANDER CACEIS BRASIL DTVM S.A.</v>
          </cell>
          <cell r="D18335" t="str">
            <v>SANTANDER CACEIS BRASIL DTVM S.A.</v>
          </cell>
          <cell r="E18335" t="str">
            <v>SANTANDER BRASIL GESTAO DE RECURSOS LTDA</v>
          </cell>
        </row>
        <row r="18336">
          <cell r="B18336">
            <v>125254</v>
          </cell>
          <cell r="C18336" t="str">
            <v>SANTANDER CACEIS BRASIL DTVM S.A.</v>
          </cell>
          <cell r="D18336" t="str">
            <v>SANTANDER CACEIS BRASIL DTVM S.A.</v>
          </cell>
          <cell r="E18336" t="str">
            <v>SANTANDER BRASIL GESTAO DE RECURSOS LTDA</v>
          </cell>
        </row>
        <row r="18337">
          <cell r="B18337">
            <v>125255</v>
          </cell>
          <cell r="C18337" t="str">
            <v>SANTANDER CACEIS BRASIL DTVM S.A.</v>
          </cell>
          <cell r="D18337" t="str">
            <v>SANTANDER CACEIS BRASIL DTVM S.A.</v>
          </cell>
          <cell r="E18337" t="str">
            <v>SANTANDER BRASIL GESTAO DE RECURSOS LTDA</v>
          </cell>
        </row>
        <row r="18338">
          <cell r="B18338">
            <v>125256</v>
          </cell>
          <cell r="C18338" t="str">
            <v>SANTANDER CACEIS BRASIL DTVM S.A.</v>
          </cell>
          <cell r="D18338" t="str">
            <v>SANTANDER CACEIS BRASIL DTVM S.A.</v>
          </cell>
          <cell r="E18338" t="str">
            <v>SANTANDER BRASIL GESTAO DE RECURSOS LTDA</v>
          </cell>
        </row>
        <row r="18339">
          <cell r="B18339">
            <v>125257</v>
          </cell>
          <cell r="C18339" t="str">
            <v>SANTANDER CACEIS BRASIL DTVM S.A.</v>
          </cell>
          <cell r="D18339" t="str">
            <v>SANTANDER CACEIS BRASIL DTVM S.A.</v>
          </cell>
          <cell r="E18339" t="str">
            <v>SANTANDER BRASIL GESTAO DE RECURSOS LTDA</v>
          </cell>
        </row>
        <row r="18340">
          <cell r="B18340">
            <v>125258</v>
          </cell>
          <cell r="C18340" t="str">
            <v>SANTANDER CACEIS BRASIL DTVM S.A.</v>
          </cell>
          <cell r="D18340" t="str">
            <v>SANTANDER CACEIS BRASIL DTVM S.A.</v>
          </cell>
          <cell r="E18340" t="str">
            <v>SANTANDER BRASIL GESTAO DE RECURSOS LTDA</v>
          </cell>
        </row>
        <row r="18341">
          <cell r="B18341">
            <v>125260</v>
          </cell>
          <cell r="C18341" t="str">
            <v>FIGI FIA</v>
          </cell>
          <cell r="D18341" t="str">
            <v>FIGI FIA</v>
          </cell>
          <cell r="E18341" t="str">
            <v>TAGUS INVESTIMENTOS LTDA</v>
          </cell>
        </row>
        <row r="18342">
          <cell r="B18342">
            <v>125260</v>
          </cell>
          <cell r="C18342" t="str">
            <v>FIGI FIA</v>
          </cell>
          <cell r="D18342" t="str">
            <v>FIGI FIA</v>
          </cell>
          <cell r="E18342" t="str">
            <v>TAGUS INVESTIMENTOS LTDA</v>
          </cell>
        </row>
        <row r="18343">
          <cell r="B18343">
            <v>125261</v>
          </cell>
          <cell r="C18343" t="str">
            <v>METEORITE FIM CRED PRIV IE</v>
          </cell>
          <cell r="D18343" t="str">
            <v>METEORITE FIM CRED PRIV IE</v>
          </cell>
          <cell r="E18343" t="str">
            <v>JULIUS BAER FAMILY OFFICE BRASIL GESTAO DE PATRIMONIO LTDA</v>
          </cell>
        </row>
        <row r="18344">
          <cell r="B18344">
            <v>125263</v>
          </cell>
          <cell r="C18344" t="str">
            <v>BROTHERS FIM CP IE</v>
          </cell>
          <cell r="D18344" t="str">
            <v>BROTHERS FIM CP IE</v>
          </cell>
          <cell r="E18344" t="str">
            <v>JULIUS BAER FAMILY OFFICE BRASIL GESTAO DE PATRIMONIO LTDA</v>
          </cell>
        </row>
        <row r="18345">
          <cell r="B18345">
            <v>125263</v>
          </cell>
          <cell r="C18345" t="str">
            <v>BROTHERS FIM CP IE</v>
          </cell>
          <cell r="D18345" t="str">
            <v>BROTHERS FIM CP IE</v>
          </cell>
          <cell r="E18345" t="str">
            <v>JULIUS BAER FAMILY OFFICE BRASIL GESTAO DE PATRIMONIO LTDA</v>
          </cell>
        </row>
        <row r="18346">
          <cell r="B18346">
            <v>125264</v>
          </cell>
          <cell r="C18346" t="str">
            <v>SANTANDER CACEIS BRASIL DTVM S.A.</v>
          </cell>
          <cell r="D18346" t="str">
            <v>SANTANDER CACEIS BRASIL DTVM S.A.</v>
          </cell>
          <cell r="E18346" t="str">
            <v>SANTANDER BRASIL GESTAO DE RECURSOS LTDA</v>
          </cell>
        </row>
        <row r="18347">
          <cell r="B18347">
            <v>125265</v>
          </cell>
          <cell r="C18347" t="str">
            <v>CARBONO FIM CP IE</v>
          </cell>
          <cell r="D18347" t="str">
            <v>CARBONO FIM CP IE</v>
          </cell>
          <cell r="E18347" t="str">
            <v>CARBONO FIM CP IE</v>
          </cell>
        </row>
        <row r="18348">
          <cell r="B18348">
            <v>125265</v>
          </cell>
          <cell r="C18348" t="str">
            <v>CARBONO FIM CP IE</v>
          </cell>
          <cell r="D18348" t="str">
            <v>CARBONO FIM CP IE</v>
          </cell>
          <cell r="E18348" t="str">
            <v>CARBONO FIM CP IE</v>
          </cell>
        </row>
        <row r="18349">
          <cell r="B18349">
            <v>125266</v>
          </cell>
          <cell r="C18349" t="str">
            <v>SANTANDER CACEIS BRASIL DTVM S.A.</v>
          </cell>
          <cell r="D18349" t="str">
            <v>SANTANDER CACEIS BRASIL DTVM S.A.</v>
          </cell>
          <cell r="E18349" t="str">
            <v>SANTANDER BRASIL GESTAO DE RECURSOS LTDA</v>
          </cell>
        </row>
        <row r="18350">
          <cell r="B18350">
            <v>125266</v>
          </cell>
          <cell r="C18350" t="str">
            <v>SANTANDER CACEIS BRASIL DTVM S.A.</v>
          </cell>
          <cell r="D18350" t="str">
            <v>SANTANDER CACEIS BRASIL DTVM S.A.</v>
          </cell>
          <cell r="E18350" t="str">
            <v>SANTANDER BRASIL GESTAO DE RECURSOS LTDA</v>
          </cell>
        </row>
        <row r="18351">
          <cell r="B18351">
            <v>125267</v>
          </cell>
          <cell r="C18351" t="str">
            <v>SANTANDER CACEIS BRASIL DTVM S.A.</v>
          </cell>
          <cell r="D18351" t="str">
            <v>SANTANDER CACEIS BRASIL DTVM S.A.</v>
          </cell>
          <cell r="E18351" t="str">
            <v>SANTANDER BRASIL GESTAO DE RECURSOS LTDA</v>
          </cell>
        </row>
        <row r="18352">
          <cell r="B18352">
            <v>125268</v>
          </cell>
          <cell r="C18352" t="str">
            <v>SANTANDER CACEIS BRASIL DTVM S.A.</v>
          </cell>
          <cell r="D18352" t="str">
            <v>SANTANDER CACEIS BRASIL DTVM S.A.</v>
          </cell>
          <cell r="E18352" t="str">
            <v>SANTANDER BRASIL GESTAO DE RECURSOS LTDA</v>
          </cell>
        </row>
        <row r="18353">
          <cell r="B18353">
            <v>80657</v>
          </cell>
          <cell r="C18353" t="str">
            <v>FUNDACAO DOS ECONOMIARIOS FEDERAIS - FUNCEF</v>
          </cell>
          <cell r="D18353" t="str">
            <v>FUNDACAO DOS ECONOMIARIOS FEDERAIS - FUNCEF</v>
          </cell>
          <cell r="E18353" t="str">
            <v>FUNDACAO DOS ECONOMIARIOS FEDERAIS - FUNCEF</v>
          </cell>
        </row>
        <row r="18354">
          <cell r="B18354">
            <v>125269</v>
          </cell>
          <cell r="C18354" t="str">
            <v>TESLA R2 FUNDO DE INVESTIMENTO MULTIMERCADO CREDITO PRIVADO</v>
          </cell>
          <cell r="D18354" t="str">
            <v>TESLA R2 FUNDO DE INVESTIMENTO MULTIMERCADO CREDITO PRIVADO</v>
          </cell>
          <cell r="E18354" t="str">
            <v>JULIUS BAER FAMILY OFFICE BRASIL GESTAO DE PATRIMONIO LTDA</v>
          </cell>
        </row>
        <row r="18355">
          <cell r="B18355">
            <v>125270</v>
          </cell>
          <cell r="C18355" t="str">
            <v>SAFRA FERMAT MASTER FIM</v>
          </cell>
          <cell r="D18355" t="str">
            <v>SAFRA FERMAT MASTER FIM</v>
          </cell>
          <cell r="E18355" t="str">
            <v>EMERALD GESTAO DE INVESTIMENTOS LTDA</v>
          </cell>
        </row>
        <row r="18356">
          <cell r="B18356">
            <v>125270</v>
          </cell>
          <cell r="C18356" t="str">
            <v>SAFRA FERMAT MASTER FIM</v>
          </cell>
          <cell r="D18356" t="str">
            <v>SAFRA FERMAT MASTER FIM</v>
          </cell>
          <cell r="E18356" t="str">
            <v>EMERALD GESTAO DE INVESTIMENTOS LTDA</v>
          </cell>
        </row>
        <row r="18357">
          <cell r="B18357">
            <v>144553</v>
          </cell>
          <cell r="C18357" t="str">
            <v>SAFRA ASSET MANAGEMENT LTDA</v>
          </cell>
          <cell r="D18357" t="str">
            <v>SAFRA ASSET MANAGEMENT LTDA</v>
          </cell>
          <cell r="E18357" t="str">
            <v>SAFRA ASSET MANAGEMENT LTDA</v>
          </cell>
        </row>
        <row r="18358">
          <cell r="B18358">
            <v>124862</v>
          </cell>
          <cell r="C18358" t="str">
            <v>IMC TRADING B.V</v>
          </cell>
          <cell r="D18358">
            <v>124862</v>
          </cell>
          <cell r="E18358" t="str">
            <v>IMC TRADING B.V</v>
          </cell>
        </row>
        <row r="18359">
          <cell r="B18359">
            <v>125273</v>
          </cell>
          <cell r="C18359" t="str">
            <v>VITREO OURO FIM</v>
          </cell>
          <cell r="D18359" t="str">
            <v>VITREO OURO FIM</v>
          </cell>
          <cell r="E18359" t="str">
            <v>EMPIRICUS GESTAO DE RECURSOS LTDA</v>
          </cell>
        </row>
        <row r="18360">
          <cell r="B18360">
            <v>125273</v>
          </cell>
          <cell r="C18360" t="str">
            <v>VITREO OURO FIM</v>
          </cell>
          <cell r="D18360" t="str">
            <v>VITREO OURO FIM</v>
          </cell>
          <cell r="E18360" t="str">
            <v>EMPIRICUS GESTAO DE RECURSOS LTDA</v>
          </cell>
        </row>
        <row r="18361">
          <cell r="B18361">
            <v>125274</v>
          </cell>
          <cell r="C18361" t="str">
            <v>KAPITALO SIGMA LLC</v>
          </cell>
          <cell r="D18361" t="str">
            <v>KAPITALO SIGMA LLC</v>
          </cell>
          <cell r="E18361" t="str">
            <v>KAPITALO INVESTIMENTOS LTDA</v>
          </cell>
        </row>
        <row r="18362">
          <cell r="B18362">
            <v>125274</v>
          </cell>
          <cell r="C18362" t="str">
            <v>KAPITALO SIGMA LLC</v>
          </cell>
          <cell r="D18362" t="str">
            <v>KAPITALO SIGMA LLC</v>
          </cell>
          <cell r="E18362" t="str">
            <v>KAPITALO INVESTIMENTOS LTDA</v>
          </cell>
        </row>
        <row r="18363">
          <cell r="B18363">
            <v>125276</v>
          </cell>
          <cell r="C18363" t="str">
            <v>AZ QUEST MASTER FIM</v>
          </cell>
          <cell r="D18363" t="str">
            <v>AZ QUEST MASTER FIM</v>
          </cell>
          <cell r="E18363" t="str">
            <v>AZ QUEST INVESTIMENTOS LTDA</v>
          </cell>
        </row>
        <row r="18364">
          <cell r="B18364">
            <v>125292</v>
          </cell>
          <cell r="C18364" t="str">
            <v>SANTANDER CACEIS BRASIL DTVM S.A.</v>
          </cell>
          <cell r="D18364" t="str">
            <v>SANTANDER CACEIS BRASIL DTVM S.A.</v>
          </cell>
          <cell r="E18364" t="str">
            <v>SANTANDER BRASIL GESTAO DE RECURSOS LTDA</v>
          </cell>
        </row>
        <row r="18365">
          <cell r="B18365">
            <v>125292</v>
          </cell>
          <cell r="C18365" t="str">
            <v>SANTANDER CACEIS BRASIL DTVM S.A.</v>
          </cell>
          <cell r="D18365" t="str">
            <v>SANTANDER CACEIS BRASIL DTVM S.A.</v>
          </cell>
          <cell r="E18365" t="str">
            <v>SANTANDER BRASIL GESTAO DE RECURSOS LTDA</v>
          </cell>
        </row>
        <row r="18366">
          <cell r="B18366">
            <v>125282</v>
          </cell>
          <cell r="C18366" t="str">
            <v>BTG PACTUAL DISCOVERY FIF MULTIMERCADO</v>
          </cell>
          <cell r="D18366" t="str">
            <v>BTG PACTUAL DISCOVERY FIF MULTIMERCADO</v>
          </cell>
          <cell r="E18366" t="str">
            <v>BTG PACTUAL ASSET MANAGEMENT SA DTVM</v>
          </cell>
        </row>
        <row r="18367">
          <cell r="B18367">
            <v>125283</v>
          </cell>
          <cell r="C18367" t="str">
            <v>BTG PACTUAL HEDGE FIF RENDA FIXA</v>
          </cell>
          <cell r="D18367" t="str">
            <v>BTG PACTUAL HEDGE FIF RENDA FIXA</v>
          </cell>
          <cell r="E18367" t="str">
            <v>BTG PACTUAL ASSET MANAGEMENT SA DTVM</v>
          </cell>
        </row>
        <row r="18368">
          <cell r="B18368">
            <v>125284</v>
          </cell>
          <cell r="C18368" t="str">
            <v>BTG PACTUAL REFERENCE IBOVESPA INDEXADO FIF DE AÃ‡Ã•ES</v>
          </cell>
          <cell r="D18368" t="str">
            <v>BTG PACTUAL REFERENCE IBOVESPA INDEXADO FIF DE AÃ‡Ã•ES</v>
          </cell>
          <cell r="E18368" t="str">
            <v>BTG PACTUAL ASSET MANAGEMENT SA DTVM</v>
          </cell>
        </row>
        <row r="18369">
          <cell r="B18369">
            <v>125288</v>
          </cell>
          <cell r="C18369" t="str">
            <v>FIA SML 2</v>
          </cell>
          <cell r="D18369" t="str">
            <v>FIA SML 2</v>
          </cell>
          <cell r="E18369" t="str">
            <v>BTG PACTUAL ASSET MANAGEMENT SA DTVM</v>
          </cell>
        </row>
        <row r="18370">
          <cell r="B18370">
            <v>125288</v>
          </cell>
          <cell r="C18370" t="str">
            <v>FIA SML 2</v>
          </cell>
          <cell r="D18370" t="str">
            <v>FIA SML 2</v>
          </cell>
          <cell r="E18370" t="str">
            <v>BTG PACTUAL ASSET MANAGEMENT SA DTVM</v>
          </cell>
        </row>
        <row r="18371">
          <cell r="B18371">
            <v>125289</v>
          </cell>
          <cell r="C18371" t="str">
            <v>FIA AMIS</v>
          </cell>
          <cell r="D18371" t="str">
            <v>FIA AMIS</v>
          </cell>
          <cell r="E18371" t="str">
            <v>BTG PACTUAL ASSET MANAGEMENT SA DTVM</v>
          </cell>
        </row>
        <row r="18372">
          <cell r="B18372">
            <v>125290</v>
          </cell>
          <cell r="C18372" t="str">
            <v>AUDACE FIA</v>
          </cell>
          <cell r="D18372" t="str">
            <v>AUDACE FIA</v>
          </cell>
          <cell r="E18372" t="str">
            <v>BTG PACTUAL ASSET MANAGEMENT SA DTVM</v>
          </cell>
        </row>
        <row r="18373">
          <cell r="B18373">
            <v>125291</v>
          </cell>
          <cell r="C18373" t="str">
            <v>BTG PACTUAL ABSOLUTO INSTITUCIONAL MASTER FIF EM ACOES</v>
          </cell>
          <cell r="D18373" t="str">
            <v>BTG PACTUAL ABSOLUTO INSTITUCIONAL MASTER FIF EM ACOES</v>
          </cell>
          <cell r="E18373" t="str">
            <v>BTG PACTUAL ASSET MANAGEMENT SA DTVM</v>
          </cell>
        </row>
        <row r="18374">
          <cell r="B18374">
            <v>125278</v>
          </cell>
          <cell r="C18374" t="str">
            <v>BTG PACTUAL ABSOLUTO MASTER FIA</v>
          </cell>
          <cell r="D18374" t="str">
            <v>BTG PACTUAL ABSOLUTO MASTER FIA</v>
          </cell>
          <cell r="E18374" t="str">
            <v>BTG PACTUAL ASSET MANAGEMENT SA DTVM</v>
          </cell>
        </row>
        <row r="18375">
          <cell r="B18375">
            <v>125278</v>
          </cell>
          <cell r="C18375" t="str">
            <v>BTG PACTUAL ABSOLUTO MASTER FIA</v>
          </cell>
          <cell r="D18375" t="str">
            <v>BTG PACTUAL ABSOLUTO MASTER FIA</v>
          </cell>
          <cell r="E18375" t="str">
            <v>BTG PACTUAL ASSET MANAGEMENT SA DTVM</v>
          </cell>
        </row>
        <row r="18376">
          <cell r="B18376">
            <v>125293</v>
          </cell>
          <cell r="C18376" t="str">
            <v>SANTANDER CACEIS BRASIL DTVM S.A.</v>
          </cell>
          <cell r="D18376" t="str">
            <v>SANTANDER CACEIS BRASIL DTVM S.A.</v>
          </cell>
          <cell r="E18376" t="str">
            <v>SANTANDER BRASIL GESTAO DE RECURSOS LTDA</v>
          </cell>
        </row>
        <row r="18377">
          <cell r="B18377">
            <v>125294</v>
          </cell>
          <cell r="C18377" t="str">
            <v>SANTANDER CACEIS BRASIL DTVM S.A.</v>
          </cell>
          <cell r="D18377" t="str">
            <v>SANTANDER CACEIS BRASIL DTVM S.A.</v>
          </cell>
          <cell r="E18377" t="str">
            <v>SANTANDER BRASIL GESTAO DE RECURSOS LTDA</v>
          </cell>
        </row>
        <row r="18378">
          <cell r="B18378">
            <v>125296</v>
          </cell>
          <cell r="C18378" t="str">
            <v>SANTANDER CACEIS BRASIL DTVM S.A.</v>
          </cell>
          <cell r="D18378" t="str">
            <v>SANTANDER CACEIS BRASIL DTVM S.A.</v>
          </cell>
          <cell r="E18378" t="str">
            <v>SANTANDER BRASIL GESTAO DE RECURSOS LTDA</v>
          </cell>
        </row>
        <row r="18379">
          <cell r="B18379">
            <v>125295</v>
          </cell>
          <cell r="C18379" t="str">
            <v>SANTANDER CACEIS BRASIL DTVM S.A.</v>
          </cell>
          <cell r="D18379" t="str">
            <v>SANTANDER CACEIS BRASIL DTVM S.A.</v>
          </cell>
          <cell r="E18379" t="str">
            <v>SANTANDER BRASIL GESTAO DE RECURSOS LTDA</v>
          </cell>
        </row>
        <row r="18380">
          <cell r="B18380">
            <v>125297</v>
          </cell>
          <cell r="C18380" t="str">
            <v>RUMO 9 III FIM CP IE</v>
          </cell>
          <cell r="D18380" t="str">
            <v>RUMO 9 III FIM CP IE</v>
          </cell>
          <cell r="E18380" t="str">
            <v>JULIUS BAER FAMILY OFFICE BRASIL GESTAO DE PATRIMONIO LTDA</v>
          </cell>
        </row>
        <row r="18381">
          <cell r="B18381">
            <v>125297</v>
          </cell>
          <cell r="C18381" t="str">
            <v>RUMO 9 III FIM CP IE</v>
          </cell>
          <cell r="D18381" t="str">
            <v>RUMO 9 III FIM CP IE</v>
          </cell>
          <cell r="E18381" t="str">
            <v>JULIUS BAER FAMILY OFFICE BRASIL GESTAO DE PATRIMONIO LTDA</v>
          </cell>
        </row>
        <row r="18382">
          <cell r="B18382">
            <v>125298</v>
          </cell>
          <cell r="C18382" t="str">
            <v>RT DEFIANT FIF MULT RL</v>
          </cell>
          <cell r="D18382" t="str">
            <v>RT DEFIANT FIF MULT RL</v>
          </cell>
          <cell r="E18382" t="str">
            <v>ITAU UNIBANCO ASSET - TACO</v>
          </cell>
        </row>
        <row r="18383">
          <cell r="B18383">
            <v>125299</v>
          </cell>
          <cell r="C18383" t="str">
            <v>FUNDACAO PETROBRAS DE SEGURIDADE SOCIAL PETROS</v>
          </cell>
          <cell r="D18383" t="str">
            <v>FUNDACAO PETROBRAS DE SEGURIDADE SOCIAL PETROS</v>
          </cell>
          <cell r="E18383" t="str">
            <v>FUNDACAO PETROBRAS DE SEGURIDADE SOCIAL PETROS</v>
          </cell>
        </row>
        <row r="18384">
          <cell r="B18384">
            <v>125299</v>
          </cell>
          <cell r="C18384" t="str">
            <v>FUNDACAO PETROBRAS DE SEGURIDADE SOCIAL PETROS</v>
          </cell>
          <cell r="D18384" t="str">
            <v>FUNDACAO PETROBRAS DE SEGURIDADE SOCIAL PETROS</v>
          </cell>
          <cell r="E18384" t="str">
            <v>FUNDACAO PETROBRAS DE SEGURIDADE SOCIAL PETROS</v>
          </cell>
        </row>
        <row r="18385">
          <cell r="B18385">
            <v>80661</v>
          </cell>
          <cell r="C18385" t="str">
            <v>INFINOX CAPITAL LIMITED</v>
          </cell>
          <cell r="D18385" t="str">
            <v>INFINOX CAPITAL LIMITED</v>
          </cell>
          <cell r="E18385" t="str">
            <v>INFINOX CAPITAL LIMITED</v>
          </cell>
        </row>
        <row r="18386">
          <cell r="B18386">
            <v>80661</v>
          </cell>
          <cell r="C18386" t="str">
            <v>INFINOX CAPITAL LIMITED</v>
          </cell>
          <cell r="D18386" t="str">
            <v>INFINOX CAPITAL LIMITED</v>
          </cell>
          <cell r="E18386" t="str">
            <v>INFINOX CAPITAL LIMITED</v>
          </cell>
        </row>
        <row r="18387">
          <cell r="B18387">
            <v>80662</v>
          </cell>
          <cell r="C18387" t="str">
            <v>INFINOX CAPITAL LIMITED</v>
          </cell>
          <cell r="D18387" t="str">
            <v>INFINOX CAPITAL LIMITED</v>
          </cell>
          <cell r="E18387" t="str">
            <v>INFINOX CAPITAL LIMITED</v>
          </cell>
        </row>
        <row r="18388">
          <cell r="B18388">
            <v>80662</v>
          </cell>
          <cell r="C18388" t="str">
            <v>INFINOX CAPITAL LIMITED</v>
          </cell>
          <cell r="D18388" t="str">
            <v>INFINOX CAPITAL LIMITED</v>
          </cell>
          <cell r="E18388" t="str">
            <v>INFINOX CAPITAL LIMITED</v>
          </cell>
        </row>
        <row r="18389">
          <cell r="B18389">
            <v>80660</v>
          </cell>
          <cell r="C18389" t="str">
            <v>RODRIGO BALDINI BARUD</v>
          </cell>
          <cell r="D18389" t="str">
            <v>RODRIGO BALDINI BARUD</v>
          </cell>
          <cell r="E18389" t="str">
            <v>RODRIGO BALDINI BARUD</v>
          </cell>
        </row>
        <row r="18390">
          <cell r="B18390">
            <v>80660</v>
          </cell>
          <cell r="C18390" t="str">
            <v>RODRIGO BALDINI BARUD</v>
          </cell>
          <cell r="D18390" t="str">
            <v>RODRIGO BALDINI BARUD</v>
          </cell>
          <cell r="E18390" t="str">
            <v>RODRIGO BALDINI BARUD</v>
          </cell>
        </row>
        <row r="18391">
          <cell r="B18391">
            <v>80664</v>
          </cell>
          <cell r="C18391" t="str">
            <v>INFINOX CAPITAL LIMITED</v>
          </cell>
          <cell r="D18391" t="str">
            <v>INFINOX CAPITAL LIMITED</v>
          </cell>
          <cell r="E18391" t="str">
            <v>INFINOX CAPITAL LIMITED</v>
          </cell>
        </row>
        <row r="18392">
          <cell r="B18392">
            <v>80665</v>
          </cell>
          <cell r="C18392" t="str">
            <v>INFINOX CAPITAL LIMITED</v>
          </cell>
          <cell r="D18392" t="str">
            <v>INFINOX CAPITAL LIMITED</v>
          </cell>
          <cell r="E18392" t="str">
            <v>INFINOX CAPITAL LIMITED</v>
          </cell>
        </row>
        <row r="18393">
          <cell r="B18393">
            <v>80666</v>
          </cell>
          <cell r="C18393" t="str">
            <v>INFINOX CAPITAL LIMITED</v>
          </cell>
          <cell r="D18393" t="str">
            <v>INFINOX CAPITAL LIMITED</v>
          </cell>
          <cell r="E18393" t="str">
            <v>INFINOX CAPITAL LIMITED</v>
          </cell>
        </row>
        <row r="18394">
          <cell r="B18394">
            <v>80663</v>
          </cell>
          <cell r="C18394" t="str">
            <v>INFINOX CAPITAL LIMITED</v>
          </cell>
          <cell r="D18394" t="str">
            <v>INFINOX CAPITAL LIMITED</v>
          </cell>
          <cell r="E18394" t="str">
            <v>INFINOX CAPITAL LIMITED</v>
          </cell>
        </row>
        <row r="18395">
          <cell r="B18395">
            <v>80663</v>
          </cell>
          <cell r="C18395" t="str">
            <v>INFINOX CAPITAL LIMITED</v>
          </cell>
          <cell r="D18395" t="str">
            <v>INFINOX CAPITAL LIMITED</v>
          </cell>
          <cell r="E18395" t="str">
            <v>INFINOX CAPITAL LIMITED</v>
          </cell>
        </row>
        <row r="18396">
          <cell r="B18396">
            <v>80664</v>
          </cell>
          <cell r="C18396" t="str">
            <v>INFINOX CAPITAL LIMITED</v>
          </cell>
          <cell r="D18396" t="str">
            <v>INFINOX CAPITAL LIMITED</v>
          </cell>
          <cell r="E18396" t="str">
            <v>INFINOX CAPITAL LIMITED</v>
          </cell>
        </row>
        <row r="18397">
          <cell r="B18397">
            <v>80665</v>
          </cell>
          <cell r="C18397" t="str">
            <v>INFINOX CAPITAL LIMITED</v>
          </cell>
          <cell r="D18397" t="str">
            <v>INFINOX CAPITAL LIMITED</v>
          </cell>
          <cell r="E18397" t="str">
            <v>INFINOX CAPITAL LIMITED</v>
          </cell>
        </row>
        <row r="18398">
          <cell r="B18398">
            <v>80666</v>
          </cell>
          <cell r="C18398" t="str">
            <v>INFINOX CAPITAL LIMITED</v>
          </cell>
          <cell r="D18398" t="str">
            <v>INFINOX CAPITAL LIMITED</v>
          </cell>
          <cell r="E18398" t="str">
            <v>INFINOX CAPITAL LIMITED</v>
          </cell>
        </row>
        <row r="18399">
          <cell r="B18399">
            <v>125301</v>
          </cell>
          <cell r="C18399" t="str">
            <v>CENTRUS -FUNDAÃ‡ÃƒO BANCO CENTRAL DE PREVIDENCIA PRIVADA</v>
          </cell>
          <cell r="D18399" t="str">
            <v>CENTRUS -FUNDAÃ‡ÃƒO BANCO CENTRAL DE PREVIDENCIA PRIVADA</v>
          </cell>
          <cell r="E18399" t="str">
            <v>CENTRUS -FUNDAÇÃO BANCO CENTRAL DE PREVIDENCIA PRIVADA</v>
          </cell>
        </row>
        <row r="18400">
          <cell r="B18400">
            <v>125302</v>
          </cell>
          <cell r="C18400" t="str">
            <v>SANTANDER CACEIS BRASIL DTVM S.A.</v>
          </cell>
          <cell r="D18400" t="str">
            <v>SANTANDER CACEIS BRASIL DTVM S.A.</v>
          </cell>
          <cell r="E18400" t="str">
            <v>SANTANDER BRASIL GESTAO DE RECURSOS LTDA</v>
          </cell>
        </row>
        <row r="18401">
          <cell r="B18401">
            <v>125302</v>
          </cell>
          <cell r="C18401" t="str">
            <v>SANTANDER CACEIS BRASIL DTVM S.A.</v>
          </cell>
          <cell r="D18401" t="str">
            <v>SANTANDER CACEIS BRASIL DTVM S.A.</v>
          </cell>
          <cell r="E18401" t="str">
            <v>SANTANDER BRASIL GESTAO DE RECURSOS LTDA</v>
          </cell>
        </row>
        <row r="18402">
          <cell r="B18402">
            <v>125304</v>
          </cell>
          <cell r="C18402" t="str">
            <v>SAFRA KEPLER FIF CI MULT RL</v>
          </cell>
          <cell r="D18402" t="str">
            <v>SAFRA KEPLER FIF CI MULT RL</v>
          </cell>
          <cell r="E18402" t="str">
            <v>EMERALD GESTAO DE INVESTIMENTOS LTDA</v>
          </cell>
        </row>
        <row r="18403">
          <cell r="B18403">
            <v>125303</v>
          </cell>
          <cell r="C18403" t="str">
            <v>SAFRA KEPLER EQUITY HEDGE FIF CL DE INVESTIMENTO MULT RL</v>
          </cell>
          <cell r="D18403" t="str">
            <v>SAFRA KEPLER EQUITY HEDGE FIF CL DE INVESTIMENTO MULT RL</v>
          </cell>
          <cell r="E18403" t="str">
            <v>EMERALD GESTAO DE INVESTIMENTOS LTDA</v>
          </cell>
        </row>
        <row r="18404">
          <cell r="B18404">
            <v>125305</v>
          </cell>
          <cell r="C18404" t="str">
            <v>ITAU CAIXA ACOES FUNDO DE INVESTIMENTO</v>
          </cell>
          <cell r="D18404" t="str">
            <v>ITAU CAIXA ACOES FUNDO DE INVESTIMENTO</v>
          </cell>
          <cell r="E18404" t="str">
            <v>ITAU UNIBANCO ASSET - TACO</v>
          </cell>
        </row>
        <row r="18405">
          <cell r="B18405">
            <v>80668</v>
          </cell>
          <cell r="C18405" t="str">
            <v>ACE CAPITAL MASTER FIM</v>
          </cell>
          <cell r="D18405" t="str">
            <v>ACE CAPITAL MASTER FIM</v>
          </cell>
          <cell r="E18405" t="str">
            <v>ACE CAPITAL GESTORA DE RECURSOS LTDA</v>
          </cell>
        </row>
        <row r="18406">
          <cell r="B18406">
            <v>80668</v>
          </cell>
          <cell r="C18406" t="str">
            <v>ACE CAPITAL MASTER FIM</v>
          </cell>
          <cell r="D18406" t="str">
            <v>ACE CAPITAL MASTER FIM</v>
          </cell>
          <cell r="E18406" t="str">
            <v>ACE CAPITAL GESTORA DE RECURSOS LTDA</v>
          </cell>
        </row>
        <row r="18407">
          <cell r="B18407">
            <v>125306</v>
          </cell>
          <cell r="C18407" t="str">
            <v>SANTANDER CACEIS BRASIL DTVM S.A.</v>
          </cell>
          <cell r="D18407" t="str">
            <v>SANTANDER CACEIS BRASIL DTVM S.A.</v>
          </cell>
          <cell r="E18407" t="str">
            <v>SANTANDER CACEIS BRASIL DTVM S.A.</v>
          </cell>
        </row>
        <row r="18408">
          <cell r="B18408">
            <v>125306</v>
          </cell>
          <cell r="C18408" t="str">
            <v>SANTANDER CACEIS BRASIL DTVM S.A.</v>
          </cell>
          <cell r="D18408" t="str">
            <v>SANTANDER CACEIS BRASIL DTVM S.A.</v>
          </cell>
          <cell r="E18408" t="str">
            <v>SANTANDER CACEIS BRASIL DTVM S.A.</v>
          </cell>
        </row>
        <row r="18409">
          <cell r="B18409">
            <v>125307</v>
          </cell>
          <cell r="C18409" t="str">
            <v>SANTANDER CACEIS BRASIL DTVM S.A.</v>
          </cell>
          <cell r="D18409" t="str">
            <v>SANTANDER CACEIS BRASIL DTVM S.A.</v>
          </cell>
          <cell r="E18409" t="str">
            <v>SANTANDER BRASIL GESTAO DE RECURSOS LTDA</v>
          </cell>
        </row>
        <row r="18410">
          <cell r="B18410">
            <v>125307</v>
          </cell>
          <cell r="C18410" t="str">
            <v>SANTANDER CACEIS BRASIL DTVM S.A.</v>
          </cell>
          <cell r="D18410" t="str">
            <v>SANTANDER CACEIS BRASIL DTVM S.A.</v>
          </cell>
          <cell r="E18410" t="str">
            <v>SANTANDER BRASIL GESTAO DE RECURSOS LTDA</v>
          </cell>
        </row>
        <row r="18411">
          <cell r="B18411">
            <v>125308</v>
          </cell>
          <cell r="C18411" t="str">
            <v>SANTANDER CACEIS BRASIL DTVM S.A.</v>
          </cell>
          <cell r="D18411" t="str">
            <v>SANTANDER CACEIS BRASIL DTVM S.A.</v>
          </cell>
          <cell r="E18411" t="str">
            <v>SANTANDER BRASIL GESTAO DE RECURSOS LTDA</v>
          </cell>
        </row>
        <row r="18412">
          <cell r="B18412">
            <v>125308</v>
          </cell>
          <cell r="C18412" t="str">
            <v>SANTANDER CACEIS BRASIL DTVM S.A.</v>
          </cell>
          <cell r="D18412" t="str">
            <v>SANTANDER CACEIS BRASIL DTVM S.A.</v>
          </cell>
          <cell r="E18412" t="str">
            <v>SANTANDER BRASIL GESTAO DE RECURSOS LTDA</v>
          </cell>
        </row>
        <row r="18413">
          <cell r="B18413">
            <v>125309</v>
          </cell>
          <cell r="C18413" t="str">
            <v>SANTANDER CACEIS BRASIL DTVM S.A.</v>
          </cell>
          <cell r="D18413" t="str">
            <v>SANTANDER CACEIS BRASIL DTVM S.A.</v>
          </cell>
          <cell r="E18413" t="str">
            <v>SANTANDER BRASIL GESTAO DE RECURSOS LTDA</v>
          </cell>
        </row>
        <row r="18414">
          <cell r="B18414">
            <v>125309</v>
          </cell>
          <cell r="C18414" t="str">
            <v>SANTANDER CACEIS BRASIL DTVM S.A.</v>
          </cell>
          <cell r="D18414" t="str">
            <v>SANTANDER CACEIS BRASIL DTVM S.A.</v>
          </cell>
          <cell r="E18414" t="str">
            <v>SANTANDER BRASIL GESTAO DE RECURSOS LTDA</v>
          </cell>
        </row>
        <row r="18415">
          <cell r="B18415">
            <v>125310</v>
          </cell>
          <cell r="C18415" t="str">
            <v>SANTANDER CACEIS BRASIL DTVM S.A.</v>
          </cell>
          <cell r="D18415" t="str">
            <v>SANTANDER CACEIS BRASIL DTVM S.A.</v>
          </cell>
          <cell r="E18415" t="str">
            <v>SANTANDER BRASIL GESTAO DE RECURSOS LTDA</v>
          </cell>
        </row>
        <row r="18416">
          <cell r="B18416">
            <v>125310</v>
          </cell>
          <cell r="C18416" t="str">
            <v>SANTANDER CACEIS BRASIL DTVM S.A.</v>
          </cell>
          <cell r="D18416" t="str">
            <v>SANTANDER CACEIS BRASIL DTVM S.A.</v>
          </cell>
          <cell r="E18416" t="str">
            <v>SANTANDER BRASIL GESTAO DE RECURSOS LTDA</v>
          </cell>
        </row>
        <row r="18417">
          <cell r="B18417">
            <v>125311</v>
          </cell>
          <cell r="C18417" t="str">
            <v>SANTANDER CACEIS BRASIL DTVM S.A.</v>
          </cell>
          <cell r="D18417" t="str">
            <v>SANTANDER CACEIS BRASIL DTVM S.A.</v>
          </cell>
          <cell r="E18417" t="str">
            <v>SANTANDER BRASIL GESTAO DE RECURSOS LTDA</v>
          </cell>
        </row>
        <row r="18418">
          <cell r="B18418">
            <v>125311</v>
          </cell>
          <cell r="C18418" t="str">
            <v>SANTANDER CACEIS BRASIL DTVM S.A.</v>
          </cell>
          <cell r="D18418" t="str">
            <v>SANTANDER CACEIS BRASIL DTVM S.A.</v>
          </cell>
          <cell r="E18418" t="str">
            <v>SANTANDER BRASIL GESTAO DE RECURSOS LTDA</v>
          </cell>
        </row>
        <row r="18419">
          <cell r="B18419">
            <v>125312</v>
          </cell>
          <cell r="C18419" t="str">
            <v>BARAK FUNDO DE INVESTIMENTO MULTIMERCADO CP IE</v>
          </cell>
          <cell r="D18419" t="str">
            <v>BARAK FUNDO DE INVESTIMENTO MULTIMERCADO CP IE</v>
          </cell>
          <cell r="E18419" t="str">
            <v>BARAK FUNDO DE INVESTIMENTO MULTIMERCADO CP IE</v>
          </cell>
        </row>
        <row r="18420">
          <cell r="B18420">
            <v>125312</v>
          </cell>
          <cell r="C18420" t="str">
            <v>BARAK FUNDO DE INVESTIMENTO MULTIMERCADO CP IE</v>
          </cell>
          <cell r="D18420" t="str">
            <v>BARAK FUNDO DE INVESTIMENTO MULTIMERCADO CP IE</v>
          </cell>
          <cell r="E18420" t="str">
            <v>BARAK FUNDO DE INVESTIMENTO MULTIMERCADO CP IE</v>
          </cell>
        </row>
        <row r="18421">
          <cell r="B18421">
            <v>125313</v>
          </cell>
          <cell r="C18421" t="str">
            <v>SANTANDER CACEIS BRASIL DTVM S.A.</v>
          </cell>
          <cell r="D18421" t="str">
            <v>SANTANDER CACEIS BRASIL DTVM S.A.</v>
          </cell>
          <cell r="E18421" t="str">
            <v>SANTANDER CACEIS BRASIL DTVM S.A.</v>
          </cell>
        </row>
        <row r="18422">
          <cell r="B18422">
            <v>125313</v>
          </cell>
          <cell r="C18422" t="str">
            <v>SANTANDER CACEIS BRASIL DTVM S.A.</v>
          </cell>
          <cell r="D18422" t="str">
            <v>SANTANDER CACEIS BRASIL DTVM S.A.</v>
          </cell>
          <cell r="E18422" t="str">
            <v>SANTANDER CACEIS BRASIL DTVM S.A.</v>
          </cell>
        </row>
        <row r="18423">
          <cell r="B18423">
            <v>125314</v>
          </cell>
          <cell r="C18423" t="str">
            <v>SANTANDER CACEIS BRASIL DTVM S.A.</v>
          </cell>
          <cell r="D18423" t="str">
            <v>SANTANDER CACEIS BRASIL DTVM S.A.</v>
          </cell>
          <cell r="E18423" t="str">
            <v>SANTANDER BRASIL GESTAO DE RECURSOS LTDA</v>
          </cell>
        </row>
        <row r="18424">
          <cell r="B18424">
            <v>125314</v>
          </cell>
          <cell r="C18424" t="str">
            <v>SANTANDER CACEIS BRASIL DTVM S.A.</v>
          </cell>
          <cell r="D18424" t="str">
            <v>SANTANDER CACEIS BRASIL DTVM S.A.</v>
          </cell>
          <cell r="E18424" t="str">
            <v>SANTANDER BRASIL GESTAO DE RECURSOS LTDA</v>
          </cell>
        </row>
        <row r="18425">
          <cell r="B18425">
            <v>125315</v>
          </cell>
          <cell r="C18425" t="str">
            <v>SANTANDER CACEIS BRASIL DTVM S.A.</v>
          </cell>
          <cell r="D18425" t="str">
            <v>SANTANDER CACEIS BRASIL DTVM S.A.</v>
          </cell>
          <cell r="E18425" t="str">
            <v>SANTANDER BRASIL GESTAO DE RECURSOS LTDA</v>
          </cell>
        </row>
        <row r="18426">
          <cell r="B18426">
            <v>125315</v>
          </cell>
          <cell r="C18426" t="str">
            <v>SANTANDER CACEIS BRASIL DTVM S.A.</v>
          </cell>
          <cell r="D18426" t="str">
            <v>SANTANDER CACEIS BRASIL DTVM S.A.</v>
          </cell>
          <cell r="E18426" t="str">
            <v>SANTANDER BRASIL GESTAO DE RECURSOS LTDA</v>
          </cell>
        </row>
        <row r="18427">
          <cell r="B18427">
            <v>124865</v>
          </cell>
          <cell r="C18427" t="str">
            <v>SANTANDER CACEIS BRASIL DTVM S.A.</v>
          </cell>
          <cell r="D18427" t="str">
            <v>SANTANDER CACEIS BRASIL DTVM S.A.</v>
          </cell>
          <cell r="E18427" t="str">
            <v>SANTANDER CACEIS BRASIL DTVM S.A.</v>
          </cell>
        </row>
        <row r="18428">
          <cell r="B18428">
            <v>124865</v>
          </cell>
          <cell r="C18428" t="str">
            <v>SANTANDER CACEIS BRASIL DTVM S.A.</v>
          </cell>
          <cell r="D18428" t="str">
            <v>SANTANDER CACEIS BRASIL DTVM S.A.</v>
          </cell>
          <cell r="E18428" t="str">
            <v>SANTANDER CACEIS BRASIL DTVM S.A.</v>
          </cell>
        </row>
        <row r="18429">
          <cell r="B18429">
            <v>125316</v>
          </cell>
          <cell r="C18429" t="str">
            <v>SANTANDER CACEIS BRASIL DTVM S.A.</v>
          </cell>
          <cell r="D18429" t="str">
            <v>SANTANDER CACEIS BRASIL DTVM S.A.</v>
          </cell>
          <cell r="E18429" t="str">
            <v>SANTANDER BRASIL GESTAO DE RECURSOS LTDA</v>
          </cell>
        </row>
        <row r="18430">
          <cell r="B18430">
            <v>125316</v>
          </cell>
          <cell r="C18430" t="str">
            <v>SANTANDER CACEIS BRASIL DTVM S.A.</v>
          </cell>
          <cell r="D18430" t="str">
            <v>SANTANDER CACEIS BRASIL DTVM S.A.</v>
          </cell>
          <cell r="E18430" t="str">
            <v>SANTANDER BRASIL GESTAO DE RECURSOS LTDA</v>
          </cell>
        </row>
        <row r="18431">
          <cell r="B18431">
            <v>80669</v>
          </cell>
          <cell r="C18431" t="str">
            <v>OCEANA EQUITY HEDGE MASTER FIF MULT RESPONSABILIDADE LIMITAD</v>
          </cell>
          <cell r="D18431" t="str">
            <v>OCEANA EQUITY HEDGE MASTER FIF MULT RESPONSABILIDADE LIMITAD</v>
          </cell>
          <cell r="E18431" t="str">
            <v>OCEANA INVESTIMENTOS ADM DE CARTEIRAS DE VALORES MOB LTDA</v>
          </cell>
        </row>
        <row r="18432">
          <cell r="B18432">
            <v>125317</v>
          </cell>
          <cell r="C18432" t="str">
            <v>CINGUCAP 26 FUNDO DE INVESTIMENTO MULTIMERCADO CP</v>
          </cell>
          <cell r="D18432" t="str">
            <v>CINGUCAP 26 FUNDO DE INVESTIMENTO MULTIMERCADO CP</v>
          </cell>
          <cell r="E18432" t="str">
            <v>CINGUCAP 26 FUNDO DE INVESTIMENTO MULTIMERCADO CP</v>
          </cell>
        </row>
        <row r="18433">
          <cell r="B18433">
            <v>125317</v>
          </cell>
          <cell r="C18433" t="str">
            <v>CINGUCAP 26 FUNDO DE INVESTIMENTO MULTIMERCADO CP</v>
          </cell>
          <cell r="D18433" t="str">
            <v>CINGUCAP 26 FUNDO DE INVESTIMENTO MULTIMERCADO CP</v>
          </cell>
          <cell r="E18433" t="str">
            <v>CINGUCAP 26 FUNDO DE INVESTIMENTO MULTIMERCADO CP</v>
          </cell>
        </row>
        <row r="18434">
          <cell r="B18434">
            <v>80676</v>
          </cell>
          <cell r="C18434" t="str">
            <v>MILES VIRTUS PREVIDENCIARIO MASTER FIA</v>
          </cell>
          <cell r="D18434" t="str">
            <v>MILES VIRTUS PREVIDENCIARIO MASTER FIA</v>
          </cell>
          <cell r="E18434" t="str">
            <v>MILES CAPITAL LTDA</v>
          </cell>
        </row>
        <row r="18435">
          <cell r="B18435">
            <v>80676</v>
          </cell>
          <cell r="C18435" t="str">
            <v>MILES VIRTUS PREVIDENCIARIO MASTER FIA</v>
          </cell>
          <cell r="D18435" t="str">
            <v>MILES VIRTUS PREVIDENCIARIO MASTER FIA</v>
          </cell>
          <cell r="E18435" t="str">
            <v>MILES CAPITAL LTDA</v>
          </cell>
        </row>
        <row r="18436">
          <cell r="B18436">
            <v>80677</v>
          </cell>
          <cell r="C18436" t="str">
            <v>MILES VIRTUS MASTER FUNDO DE INVESTIMENTO EM ACOES</v>
          </cell>
          <cell r="D18436" t="str">
            <v>MILES VIRTUS MASTER FUNDO DE INVESTIMENTO EM ACOES</v>
          </cell>
          <cell r="E18436" t="str">
            <v>MILES CAPITAL LTDA</v>
          </cell>
        </row>
        <row r="18437">
          <cell r="B18437">
            <v>80677</v>
          </cell>
          <cell r="C18437" t="str">
            <v>MILES VIRTUS MASTER FUNDO DE INVESTIMENTO EM ACOES</v>
          </cell>
          <cell r="D18437" t="str">
            <v>MILES VIRTUS MASTER FUNDO DE INVESTIMENTO EM ACOES</v>
          </cell>
          <cell r="E18437" t="str">
            <v>MILES CAPITAL LTDA</v>
          </cell>
        </row>
        <row r="18438">
          <cell r="B18438">
            <v>80678</v>
          </cell>
          <cell r="C18438" t="str">
            <v>MILES ACER LONG BIAS MASTER FIM</v>
          </cell>
          <cell r="D18438" t="str">
            <v>MILES ACER LONG BIAS MASTER FIM</v>
          </cell>
          <cell r="E18438" t="str">
            <v>MILES CAPITAL LTDA</v>
          </cell>
        </row>
        <row r="18439">
          <cell r="B18439">
            <v>80678</v>
          </cell>
          <cell r="C18439" t="str">
            <v>MILES ACER LONG BIAS MASTER FIM</v>
          </cell>
          <cell r="D18439" t="str">
            <v>MILES ACER LONG BIAS MASTER FIM</v>
          </cell>
          <cell r="E18439" t="str">
            <v>MILES CAPITAL LTDA</v>
          </cell>
        </row>
        <row r="18440">
          <cell r="B18440">
            <v>125300</v>
          </cell>
          <cell r="C18440" t="str">
            <v>PRIMAVERA FIM CP IE</v>
          </cell>
          <cell r="D18440" t="str">
            <v>PRIMAVERA FIM CP IE</v>
          </cell>
          <cell r="E18440" t="str">
            <v>JULIUS BAER FAMILY OFFICE BRASIL GESTAO DE PATRIMONIO LTDA</v>
          </cell>
        </row>
        <row r="18441">
          <cell r="B18441">
            <v>125300</v>
          </cell>
          <cell r="C18441" t="str">
            <v>PRIMAVERA FIM CP IE</v>
          </cell>
          <cell r="D18441" t="str">
            <v>PRIMAVERA FIM CP IE</v>
          </cell>
          <cell r="E18441" t="str">
            <v>JULIUS BAER FAMILY OFFICE BRASIL GESTAO DE PATRIMONIO LTDA</v>
          </cell>
        </row>
        <row r="18442">
          <cell r="B18442">
            <v>125318</v>
          </cell>
          <cell r="C18442" t="str">
            <v>SANTANDER CACEIS BRASIL DTVM S.A.</v>
          </cell>
          <cell r="D18442" t="str">
            <v>SANTANDER CACEIS BRASIL DTVM S.A.</v>
          </cell>
          <cell r="E18442" t="str">
            <v>SANTANDER BRASIL GESTAO DE RECURSOS LTDA</v>
          </cell>
        </row>
        <row r="18443">
          <cell r="B18443">
            <v>125318</v>
          </cell>
          <cell r="C18443" t="str">
            <v>SANTANDER CACEIS BRASIL DTVM S.A.</v>
          </cell>
          <cell r="D18443" t="str">
            <v>SANTANDER CACEIS BRASIL DTVM S.A.</v>
          </cell>
          <cell r="E18443" t="str">
            <v>SANTANDER BRASIL GESTAO DE RECURSOS LTDA</v>
          </cell>
        </row>
        <row r="18444">
          <cell r="B18444">
            <v>80670</v>
          </cell>
          <cell r="C18444" t="str">
            <v>OCEANA LB MASTER FIFA RESPONSABILIDADE LIMITADA</v>
          </cell>
          <cell r="D18444" t="str">
            <v>OCEANA LB MASTER FIFA RESPONSABILIDADE LIMITADA</v>
          </cell>
          <cell r="E18444" t="str">
            <v>OCEANA INVESTIMENTOS ADM DE CARTEIRAS DE VALORES MOB LTDA</v>
          </cell>
        </row>
        <row r="18445">
          <cell r="B18445">
            <v>80671</v>
          </cell>
          <cell r="C18445" t="str">
            <v>OCEANA LONG BIASED MASTER FIF MULT RESPONSABILIDADE LIMITADA</v>
          </cell>
          <cell r="D18445" t="str">
            <v>OCEANA LONG BIASED MASTER FIF MULT RESPONSABILIDADE LIMITADA</v>
          </cell>
          <cell r="E18445" t="str">
            <v>OCEANA INVESTIMENTOS ADM DE CARTEIRAS DE VALORES MOB LTDA</v>
          </cell>
        </row>
        <row r="18446">
          <cell r="B18446">
            <v>80672</v>
          </cell>
          <cell r="C18446" t="str">
            <v>OCEANA LITORAL FUNDO DE INVESTIMENTO EM ACOES</v>
          </cell>
          <cell r="D18446" t="str">
            <v>OCEANA LITORAL FUNDO DE INVESTIMENTO EM ACOES</v>
          </cell>
          <cell r="E18446" t="str">
            <v>OCEANA INVESTIMENTOS ADM DE CARTEIRAS DE VALORES MOB LTDA</v>
          </cell>
        </row>
        <row r="18447">
          <cell r="B18447">
            <v>80672</v>
          </cell>
          <cell r="C18447" t="str">
            <v>OCEANA LITORAL FUNDO DE INVESTIMENTO EM ACOES</v>
          </cell>
          <cell r="D18447" t="str">
            <v>OCEANA LITORAL FUNDO DE INVESTIMENTO EM ACOES</v>
          </cell>
          <cell r="E18447" t="str">
            <v>OCEANA INVESTIMENTOS ADM DE CARTEIRAS DE VALORES MOB LTDA</v>
          </cell>
        </row>
        <row r="18448">
          <cell r="B18448">
            <v>80673</v>
          </cell>
          <cell r="C18448" t="str">
            <v>OCEANA QP8 FUNDO DE INVESTIMENTO EM ACOES</v>
          </cell>
          <cell r="D18448" t="str">
            <v>OCEANA QP8 FUNDO DE INVESTIMENTO EM ACOES</v>
          </cell>
          <cell r="E18448" t="str">
            <v>OCEANA INVESTIMENTOS ADM DE CARTEIRAS DE VALORES MOB LTDA</v>
          </cell>
        </row>
        <row r="18449">
          <cell r="B18449">
            <v>80673</v>
          </cell>
          <cell r="C18449" t="str">
            <v>OCEANA QP8 FUNDO DE INVESTIMENTO EM ACOES</v>
          </cell>
          <cell r="D18449" t="str">
            <v>OCEANA QP8 FUNDO DE INVESTIMENTO EM ACOES</v>
          </cell>
          <cell r="E18449" t="str">
            <v>OCEANA INVESTIMENTOS ADM DE CARTEIRAS DE VALORES MOB LTDA</v>
          </cell>
        </row>
        <row r="18450">
          <cell r="B18450">
            <v>800674</v>
          </cell>
          <cell r="C18450" t="str">
            <v>OCEANA SELECTION MASTER FUNDO DE INVESTIMENTO DE ACOES</v>
          </cell>
          <cell r="D18450">
            <v>800674</v>
          </cell>
          <cell r="E18450" t="str">
            <v>OCEANA SELECTION MASTER FUNDO DE INVESTIMENTO DE ACOES</v>
          </cell>
        </row>
        <row r="18451">
          <cell r="B18451">
            <v>800674</v>
          </cell>
          <cell r="C18451" t="str">
            <v>OCEANA SELECTION MASTER FUNDO DE INVESTIMENTO DE ACOES</v>
          </cell>
          <cell r="D18451">
            <v>800674</v>
          </cell>
          <cell r="E18451" t="str">
            <v>OCEANA SELECTION MASTER FUNDO DE INVESTIMENTO DE ACOES</v>
          </cell>
        </row>
        <row r="18452">
          <cell r="B18452">
            <v>80675</v>
          </cell>
          <cell r="C18452" t="str">
            <v>OCEANA VALOR MASTER FUNDO DE INVESTIMENTO DE ACOES</v>
          </cell>
          <cell r="D18452" t="str">
            <v>OCEANA VALOR MASTER FUNDO DE INVESTIMENTO DE ACOES</v>
          </cell>
          <cell r="E18452" t="str">
            <v>OCEANA INVESTIMENTOS ADM DE CARTEIRAS DE VALORES MOB LTDA</v>
          </cell>
        </row>
        <row r="18453">
          <cell r="B18453">
            <v>80675</v>
          </cell>
          <cell r="C18453" t="str">
            <v>OCEANA VALOR MASTER FUNDO DE INVESTIMENTO DE ACOES</v>
          </cell>
          <cell r="D18453" t="str">
            <v>OCEANA VALOR MASTER FUNDO DE INVESTIMENTO DE ACOES</v>
          </cell>
          <cell r="E18453" t="str">
            <v>OCEANA INVESTIMENTOS ADM DE CARTEIRAS DE VALORES MOB LTDA</v>
          </cell>
        </row>
        <row r="18454">
          <cell r="B18454">
            <v>80674</v>
          </cell>
          <cell r="C18454" t="str">
            <v>OCEANA SELECTION MASTER FUNDO DE INVESTIMENTO DE ACOES</v>
          </cell>
          <cell r="D18454" t="str">
            <v>OCEANA SELECTION MASTER FUNDO DE INVESTIMENTO DE ACOES</v>
          </cell>
          <cell r="E18454" t="str">
            <v>OCEANA INVESTIMENTOS ADM DE CARTEIRAS DE VALORES MOB LTDA</v>
          </cell>
        </row>
        <row r="18455">
          <cell r="B18455">
            <v>80674</v>
          </cell>
          <cell r="C18455" t="str">
            <v>OCEANA SELECTION MASTER FUNDO DE INVESTIMENTO DE ACOES</v>
          </cell>
          <cell r="D18455" t="str">
            <v>OCEANA SELECTION MASTER FUNDO DE INVESTIMENTO DE ACOES</v>
          </cell>
          <cell r="E18455" t="str">
            <v>OCEANA INVESTIMENTOS ADM DE CARTEIRAS DE VALORES MOB LTDA</v>
          </cell>
        </row>
        <row r="18456">
          <cell r="B18456">
            <v>80679</v>
          </cell>
          <cell r="C18456" t="str">
            <v>PERSEVERA GESTAO DE RECURSOS LTDA</v>
          </cell>
          <cell r="D18456" t="str">
            <v>PERSEVERA GESTAO DE RECURSOS LTDA</v>
          </cell>
          <cell r="E18456" t="str">
            <v>PERSEVERA GESTAO DE RECURSOS LTDA</v>
          </cell>
        </row>
        <row r="18457">
          <cell r="B18457">
            <v>80679</v>
          </cell>
          <cell r="C18457" t="str">
            <v>PERSEVERA GESTAO DE RECURSOS LTDA</v>
          </cell>
          <cell r="D18457" t="str">
            <v>PERSEVERA GESTAO DE RECURSOS LTDA</v>
          </cell>
          <cell r="E18457" t="str">
            <v>PERSEVERA GESTAO DE RECURSOS LTDA</v>
          </cell>
        </row>
        <row r="18458">
          <cell r="B18458">
            <v>123031</v>
          </cell>
          <cell r="C18458" t="str">
            <v>CREDIT SUISSE (BRASIL) S/A CTVM</v>
          </cell>
          <cell r="D18458" t="str">
            <v>CREDIT SUISSE (BRASIL) S/A CTVM</v>
          </cell>
          <cell r="E18458" t="str">
            <v>CREDIT SUISSE (BRASIL) S/A CTVM</v>
          </cell>
        </row>
        <row r="18459">
          <cell r="B18459">
            <v>80680</v>
          </cell>
          <cell r="C18459" t="str">
            <v>CREDIT SUISSE (BRASIL) S/A CTVM</v>
          </cell>
          <cell r="D18459" t="str">
            <v>CREDIT SUISSE (BRASIL) S/A CTVM</v>
          </cell>
          <cell r="E18459" t="str">
            <v>CREDIT SUISSE (BRASIL) S/A CTVM</v>
          </cell>
        </row>
        <row r="18460">
          <cell r="B18460">
            <v>80680</v>
          </cell>
          <cell r="C18460" t="str">
            <v>CREDIT SUISSE (BRASIL) S/A CTVM</v>
          </cell>
          <cell r="D18460" t="str">
            <v>CREDIT SUISSE (BRASIL) S/A CTVM</v>
          </cell>
          <cell r="E18460" t="str">
            <v>CREDIT SUISSE (BRASIL) S/A CTVM</v>
          </cell>
        </row>
        <row r="18461">
          <cell r="B18461">
            <v>125319</v>
          </cell>
          <cell r="C18461" t="str">
            <v>SANTANDER CACEIS BRASIL DTVM S.A.</v>
          </cell>
          <cell r="D18461" t="str">
            <v>SANTANDER CACEIS BRASIL DTVM S.A.</v>
          </cell>
          <cell r="E18461" t="str">
            <v>SANTANDER BRASIL GESTAO DE RECURSOS LTDA</v>
          </cell>
        </row>
        <row r="18462">
          <cell r="B18462">
            <v>125319</v>
          </cell>
          <cell r="C18462" t="str">
            <v>SANTANDER CACEIS BRASIL DTVM S.A.</v>
          </cell>
          <cell r="D18462" t="str">
            <v>SANTANDER CACEIS BRASIL DTVM S.A.</v>
          </cell>
          <cell r="E18462" t="str">
            <v>SANTANDER BRASIL GESTAO DE RECURSOS LTDA</v>
          </cell>
        </row>
        <row r="18463">
          <cell r="B18463">
            <v>125320</v>
          </cell>
          <cell r="C18463" t="str">
            <v>FUNDO DE INVESTIMENTO CAIXA BTG PACTUAL X 10 MULTIMERCADO LP</v>
          </cell>
          <cell r="D18463" t="str">
            <v>FUNDO DE INVESTIMENTO CAIXA BTG PACTUAL X 10 MULTIMERCADO LP</v>
          </cell>
          <cell r="E18463" t="str">
            <v>BTG PACTUAL ASSET MANAGEMENT SA DTVM</v>
          </cell>
        </row>
        <row r="18464">
          <cell r="B18464">
            <v>125320</v>
          </cell>
          <cell r="C18464" t="str">
            <v>FUNDO DE INVESTIMENTO CAIXA BTG PACTUAL X 10 MULTIMERCADO LP</v>
          </cell>
          <cell r="D18464" t="str">
            <v>FUNDO DE INVESTIMENTO CAIXA BTG PACTUAL X 10 MULTIMERCADO LP</v>
          </cell>
          <cell r="E18464" t="str">
            <v>BTG PACTUAL ASSET MANAGEMENT SA DTVM</v>
          </cell>
        </row>
        <row r="18465">
          <cell r="B18465">
            <v>125321</v>
          </cell>
          <cell r="C18465" t="str">
            <v>BB GESTAO DE RECURSOS DTVM LTDA</v>
          </cell>
          <cell r="D18465" t="str">
            <v>BB GESTAO DE RECURSOS DTVM LTDA</v>
          </cell>
          <cell r="E18465" t="str">
            <v>BB GESTAO DE RECURSOS DTVM LTDA</v>
          </cell>
        </row>
        <row r="18466">
          <cell r="B18466">
            <v>125321</v>
          </cell>
          <cell r="C18466" t="str">
            <v>BB GESTAO DE RECURSOS DTVM LTDA</v>
          </cell>
          <cell r="D18466" t="str">
            <v>BB GESTAO DE RECURSOS DTVM LTDA</v>
          </cell>
          <cell r="E18466" t="str">
            <v>BB GESTAO DE RECURSOS DTVM LTDA</v>
          </cell>
        </row>
        <row r="18467">
          <cell r="B18467">
            <v>125322</v>
          </cell>
          <cell r="C18467" t="str">
            <v>BB GESTAO DE RECURSOS DTVM LTDA</v>
          </cell>
          <cell r="D18467" t="str">
            <v>BB GESTAO DE RECURSOS DTVM LTDA</v>
          </cell>
          <cell r="E18467" t="str">
            <v>BB GESTAO DE RECURSOS DTVM LTDA</v>
          </cell>
        </row>
        <row r="18468">
          <cell r="B18468">
            <v>125323</v>
          </cell>
          <cell r="C18468" t="str">
            <v>SANTANDER CACEIS BRASIL DTVM S.A.</v>
          </cell>
          <cell r="D18468" t="str">
            <v>SANTANDER CACEIS BRASIL DTVM S.A.</v>
          </cell>
          <cell r="E18468" t="str">
            <v>SANTANDER BRASIL GESTAO DE RECURSOS LTDA</v>
          </cell>
        </row>
        <row r="18469">
          <cell r="B18469">
            <v>125323</v>
          </cell>
          <cell r="C18469" t="str">
            <v>SANTANDER CACEIS BRASIL DTVM S.A.</v>
          </cell>
          <cell r="D18469" t="str">
            <v>SANTANDER CACEIS BRASIL DTVM S.A.</v>
          </cell>
          <cell r="E18469" t="str">
            <v>SANTANDER BRASIL GESTAO DE RECURSOS LTDA</v>
          </cell>
        </row>
        <row r="18470">
          <cell r="B18470">
            <v>125324</v>
          </cell>
          <cell r="C18470" t="str">
            <v>SANTANDER CACEIS BRASIL DTVM S.A.</v>
          </cell>
          <cell r="D18470" t="str">
            <v>SANTANDER CACEIS BRASIL DTVM S.A.</v>
          </cell>
          <cell r="E18470" t="str">
            <v>SANTANDER BRASIL GESTAO DE RECURSOS LTDA</v>
          </cell>
        </row>
        <row r="18471">
          <cell r="B18471">
            <v>125324</v>
          </cell>
          <cell r="C18471" t="str">
            <v>SANTANDER CACEIS BRASIL DTVM S.A.</v>
          </cell>
          <cell r="D18471" t="str">
            <v>SANTANDER CACEIS BRASIL DTVM S.A.</v>
          </cell>
          <cell r="E18471" t="str">
            <v>SANTANDER BRASIL GESTAO DE RECURSOS LTDA</v>
          </cell>
        </row>
        <row r="18472">
          <cell r="B18472">
            <v>80682</v>
          </cell>
          <cell r="C18472" t="str">
            <v>SAGA TOP MASTER FUNDO DE INVESTIMENTO MULTIMERCADO</v>
          </cell>
          <cell r="D18472" t="str">
            <v>SAGA TOP MASTER FUNDO DE INVESTIMENTO MULTIMERCADO</v>
          </cell>
          <cell r="E18472" t="str">
            <v>KINITRO CAPITAL GESTAO DE RECURSOS DE TERCEIROS LTDA</v>
          </cell>
        </row>
        <row r="18473">
          <cell r="B18473">
            <v>80682</v>
          </cell>
          <cell r="C18473" t="str">
            <v>SAGA TOP MASTER FUNDO DE INVESTIMENTO MULTIMERCADO</v>
          </cell>
          <cell r="D18473" t="str">
            <v>SAGA TOP MASTER FUNDO DE INVESTIMENTO MULTIMERCADO</v>
          </cell>
          <cell r="E18473" t="str">
            <v>KINITRO CAPITAL GESTAO DE RECURSOS DE TERCEIROS LTDA</v>
          </cell>
        </row>
        <row r="18474">
          <cell r="B18474">
            <v>80683</v>
          </cell>
          <cell r="C18474" t="str">
            <v>INFINOX CAPITAL LIMITED</v>
          </cell>
          <cell r="D18474" t="str">
            <v>INFINOX CAPITAL LIMITED</v>
          </cell>
          <cell r="E18474" t="str">
            <v>INFINOX CAPITAL LIMITED</v>
          </cell>
        </row>
        <row r="18475">
          <cell r="B18475">
            <v>80684</v>
          </cell>
          <cell r="C18475" t="str">
            <v>INFINOX CAPITAL LIMITED</v>
          </cell>
          <cell r="D18475" t="str">
            <v>INFINOX CAPITAL LIMITED</v>
          </cell>
          <cell r="E18475" t="str">
            <v>INFINOX CAPITAL LIMITED</v>
          </cell>
        </row>
        <row r="18476">
          <cell r="B18476">
            <v>80685</v>
          </cell>
          <cell r="C18476" t="str">
            <v>INFINOX CAPITAL LIMITED</v>
          </cell>
          <cell r="D18476" t="str">
            <v>INFINOX CAPITAL LIMITED</v>
          </cell>
          <cell r="E18476" t="str">
            <v>INFINOX CAPITAL LIMITED</v>
          </cell>
        </row>
        <row r="18477">
          <cell r="B18477">
            <v>80686</v>
          </cell>
          <cell r="C18477" t="str">
            <v>INFINOX CAPITAL LIMITED</v>
          </cell>
          <cell r="D18477" t="str">
            <v>INFINOX CAPITAL LIMITED</v>
          </cell>
          <cell r="E18477" t="str">
            <v>INFINOX CAPITAL LIMITED</v>
          </cell>
        </row>
        <row r="18478">
          <cell r="B18478">
            <v>80687</v>
          </cell>
          <cell r="C18478" t="str">
            <v>INFINOX CAPITAL LIMITED</v>
          </cell>
          <cell r="D18478" t="str">
            <v>INFINOX CAPITAL LIMITED</v>
          </cell>
          <cell r="E18478" t="str">
            <v>INFINOX CAPITAL LIMITED</v>
          </cell>
        </row>
        <row r="18479">
          <cell r="B18479">
            <v>80683</v>
          </cell>
          <cell r="C18479" t="str">
            <v>INFINOX CAPITAL LIMITED</v>
          </cell>
          <cell r="D18479" t="str">
            <v>INFINOX CAPITAL LIMITED</v>
          </cell>
          <cell r="E18479" t="str">
            <v>INFINOX CAPITAL LIMITED</v>
          </cell>
        </row>
        <row r="18480">
          <cell r="B18480">
            <v>80684</v>
          </cell>
          <cell r="C18480" t="str">
            <v>INFINOX CAPITAL LIMITED</v>
          </cell>
          <cell r="D18480" t="str">
            <v>INFINOX CAPITAL LIMITED</v>
          </cell>
          <cell r="E18480" t="str">
            <v>INFINOX CAPITAL LIMITED</v>
          </cell>
        </row>
        <row r="18481">
          <cell r="B18481">
            <v>80685</v>
          </cell>
          <cell r="C18481" t="str">
            <v>INFINOX CAPITAL LIMITED</v>
          </cell>
          <cell r="D18481" t="str">
            <v>INFINOX CAPITAL LIMITED</v>
          </cell>
          <cell r="E18481" t="str">
            <v>INFINOX CAPITAL LIMITED</v>
          </cell>
        </row>
        <row r="18482">
          <cell r="B18482">
            <v>80686</v>
          </cell>
          <cell r="C18482" t="str">
            <v>INFINOX CAPITAL LIMITED</v>
          </cell>
          <cell r="D18482" t="str">
            <v>INFINOX CAPITAL LIMITED</v>
          </cell>
          <cell r="E18482" t="str">
            <v>INFINOX CAPITAL LIMITED</v>
          </cell>
        </row>
        <row r="18483">
          <cell r="B18483">
            <v>80687</v>
          </cell>
          <cell r="C18483" t="str">
            <v>INFINOX CAPITAL LIMITED</v>
          </cell>
          <cell r="D18483" t="str">
            <v>INFINOX CAPITAL LIMITED</v>
          </cell>
          <cell r="E18483" t="str">
            <v>INFINOX CAPITAL LIMITED</v>
          </cell>
        </row>
        <row r="18484">
          <cell r="B18484">
            <v>125325</v>
          </cell>
          <cell r="C18484" t="str">
            <v>SANTANDER CACEIS BRASIL DTVM S.A.</v>
          </cell>
          <cell r="D18484" t="str">
            <v>SANTANDER CACEIS BRASIL DTVM S.A.</v>
          </cell>
          <cell r="E18484" t="str">
            <v>SANTANDER BRASIL GESTAO DE RECURSOS LTDA</v>
          </cell>
        </row>
        <row r="18485">
          <cell r="B18485">
            <v>125326</v>
          </cell>
          <cell r="C18485" t="str">
            <v>SANTANDER CACEIS BRASIL DTVM S.A.</v>
          </cell>
          <cell r="D18485" t="str">
            <v>SANTANDER CACEIS BRASIL DTVM S.A.</v>
          </cell>
          <cell r="E18485" t="str">
            <v>SANTANDER BRASIL GESTAO DE RECURSOS LTDA</v>
          </cell>
        </row>
        <row r="18486">
          <cell r="B18486">
            <v>125325</v>
          </cell>
          <cell r="C18486" t="str">
            <v>SANTANDER CACEIS BRASIL DTVM S.A.</v>
          </cell>
          <cell r="D18486" t="str">
            <v>SANTANDER CACEIS BRASIL DTVM S.A.</v>
          </cell>
          <cell r="E18486" t="str">
            <v>SANTANDER BRASIL GESTAO DE RECURSOS LTDA</v>
          </cell>
        </row>
        <row r="18487">
          <cell r="B18487">
            <v>125326</v>
          </cell>
          <cell r="C18487" t="str">
            <v>SANTANDER CACEIS BRASIL DTVM S.A.</v>
          </cell>
          <cell r="D18487" t="str">
            <v>SANTANDER CACEIS BRASIL DTVM S.A.</v>
          </cell>
          <cell r="E18487" t="str">
            <v>SANTANDER BRASIL GESTAO DE RECURSOS LTDA</v>
          </cell>
        </row>
        <row r="18488">
          <cell r="B18488">
            <v>80688</v>
          </cell>
          <cell r="C18488" t="str">
            <v>MANUELA GRUBE BASILE</v>
          </cell>
          <cell r="D18488" t="str">
            <v>MANUELA GRUBE BASILE</v>
          </cell>
          <cell r="E18488" t="str">
            <v>MANUELA GRUBE BASILE</v>
          </cell>
        </row>
        <row r="18489">
          <cell r="B18489">
            <v>80688</v>
          </cell>
          <cell r="C18489" t="str">
            <v>MANUELA GRUBE BASILE</v>
          </cell>
          <cell r="D18489" t="str">
            <v>MANUELA GRUBE BASILE</v>
          </cell>
          <cell r="E18489" t="str">
            <v>MANUELA GRUBE BASILE</v>
          </cell>
        </row>
        <row r="18490">
          <cell r="B18490">
            <v>125328</v>
          </cell>
          <cell r="C18490" t="str">
            <v>BB GESTAO DE RECURSOS DTVM LTDA</v>
          </cell>
          <cell r="D18490" t="str">
            <v>BB GESTAO DE RECURSOS DTVM LTDA</v>
          </cell>
          <cell r="E18490" t="str">
            <v>BB GESTAO DE RECURSOS DTVM LTDA</v>
          </cell>
        </row>
        <row r="18491">
          <cell r="B18491">
            <v>80689</v>
          </cell>
          <cell r="C18491" t="str">
            <v>LAIC - HFM GESTAO DE RECURSOS LTDA</v>
          </cell>
          <cell r="D18491" t="str">
            <v>LAIC - HFM GESTAO DE RECURSOS LTDA</v>
          </cell>
          <cell r="E18491" t="str">
            <v>LAIC - HFM GESTAO DE RECURSOS LTDA</v>
          </cell>
        </row>
        <row r="18492">
          <cell r="B18492">
            <v>80690</v>
          </cell>
          <cell r="C18492" t="str">
            <v>LAIC - HFM GESTAO DE RECURSOS LTDA</v>
          </cell>
          <cell r="D18492" t="str">
            <v>LAIC - HFM GESTAO DE RECURSOS LTDA</v>
          </cell>
          <cell r="E18492" t="str">
            <v>LAIC - HFM GESTAO DE RECURSOS LTDA</v>
          </cell>
        </row>
        <row r="18493">
          <cell r="B18493">
            <v>80689</v>
          </cell>
          <cell r="C18493" t="str">
            <v>LAIC - HFM GESTAO DE RECURSOS LTDA</v>
          </cell>
          <cell r="D18493" t="str">
            <v>LAIC - HFM GESTAO DE RECURSOS LTDA</v>
          </cell>
          <cell r="E18493" t="str">
            <v>LAIC - HFM GESTAO DE RECURSOS LTDA</v>
          </cell>
        </row>
        <row r="18494">
          <cell r="B18494">
            <v>80690</v>
          </cell>
          <cell r="C18494" t="str">
            <v>LAIC - HFM GESTAO DE RECURSOS LTDA</v>
          </cell>
          <cell r="D18494" t="str">
            <v>LAIC - HFM GESTAO DE RECURSOS LTDA</v>
          </cell>
          <cell r="E18494" t="str">
            <v>LAIC - HFM GESTAO DE RECURSOS LTDA</v>
          </cell>
        </row>
        <row r="18495">
          <cell r="B18495">
            <v>125331</v>
          </cell>
          <cell r="C18495" t="str">
            <v>SANTANDER CACEIS BRASIL DTVM S.A.</v>
          </cell>
          <cell r="D18495" t="str">
            <v>SANTANDER CACEIS BRASIL DTVM S.A.</v>
          </cell>
          <cell r="E18495" t="str">
            <v>SANTANDER BRASIL GESTAO DE RECURSOS LTDA</v>
          </cell>
        </row>
        <row r="18496">
          <cell r="B18496">
            <v>125331</v>
          </cell>
          <cell r="C18496" t="str">
            <v>SANTANDER CACEIS BRASIL DTVM S.A.</v>
          </cell>
          <cell r="D18496" t="str">
            <v>SANTANDER CACEIS BRASIL DTVM S.A.</v>
          </cell>
          <cell r="E18496" t="str">
            <v>SANTANDER BRASIL GESTAO DE RECURSOS LTDA</v>
          </cell>
        </row>
        <row r="18497">
          <cell r="B18497">
            <v>125329</v>
          </cell>
          <cell r="C18497" t="str">
            <v>VITREO CANABIDIOL FIA IE</v>
          </cell>
          <cell r="D18497" t="str">
            <v>VITREO CANABIDIOL FIA IE</v>
          </cell>
          <cell r="E18497" t="str">
            <v>EMPIRICUS GESTAO DE RECURSOS LTDA</v>
          </cell>
        </row>
        <row r="18498">
          <cell r="B18498">
            <v>125329</v>
          </cell>
          <cell r="C18498" t="str">
            <v>VITREO CANABIDIOL FIA IE</v>
          </cell>
          <cell r="D18498" t="str">
            <v>VITREO CANABIDIOL FIA IE</v>
          </cell>
          <cell r="E18498" t="str">
            <v>EMPIRICUS GESTAO DE RECURSOS LTDA</v>
          </cell>
        </row>
        <row r="18499">
          <cell r="B18499">
            <v>125332</v>
          </cell>
          <cell r="C18499" t="str">
            <v>TIE BREAK FIM CREDITO PRIVADO IE</v>
          </cell>
          <cell r="D18499" t="str">
            <v>TIE BREAK FIM CREDITO PRIVADO IE</v>
          </cell>
          <cell r="E18499" t="str">
            <v>JULIUS BAER FAMILY OFFICE BRASIL GESTAO DE PATRIMONIO LTDA</v>
          </cell>
        </row>
        <row r="18500">
          <cell r="B18500">
            <v>125332</v>
          </cell>
          <cell r="C18500" t="str">
            <v>TIE BREAK FIM CREDITO PRIVADO IE</v>
          </cell>
          <cell r="D18500" t="str">
            <v>TIE BREAK FIM CREDITO PRIVADO IE</v>
          </cell>
          <cell r="E18500" t="str">
            <v>JULIUS BAER FAMILY OFFICE BRASIL GESTAO DE PATRIMONIO LTDA</v>
          </cell>
        </row>
        <row r="18501">
          <cell r="B18501">
            <v>125333</v>
          </cell>
          <cell r="C18501" t="str">
            <v>MMLC FIM CREDITO PRIVADO IE</v>
          </cell>
          <cell r="D18501" t="str">
            <v>MMLC FIM CREDITO PRIVADO IE</v>
          </cell>
          <cell r="E18501" t="str">
            <v>JULIUS BAER FAMILY OFFICE BRASIL GESTAO DE PATRIMONIO LTDA</v>
          </cell>
        </row>
        <row r="18502">
          <cell r="B18502">
            <v>125333</v>
          </cell>
          <cell r="C18502" t="str">
            <v>MMLC FIM CREDITO PRIVADO IE</v>
          </cell>
          <cell r="D18502" t="str">
            <v>MMLC FIM CREDITO PRIVADO IE</v>
          </cell>
          <cell r="E18502" t="str">
            <v>JULIUS BAER FAMILY OFFICE BRASIL GESTAO DE PATRIMONIO LTDA</v>
          </cell>
        </row>
        <row r="18503">
          <cell r="B18503">
            <v>80692</v>
          </cell>
          <cell r="C18503" t="str">
            <v>FUNDACAO PETROBRAS DE SEGURIDADE SOCIAL PETROS</v>
          </cell>
          <cell r="D18503" t="str">
            <v>FUNDACAO PETROBRAS DE SEGURIDADE SOCIAL PETROS</v>
          </cell>
          <cell r="E18503" t="str">
            <v>FUNDACAO PETROBRAS DE SEGURIDADE SOCIAL PETROS</v>
          </cell>
        </row>
        <row r="18504">
          <cell r="B18504">
            <v>80693</v>
          </cell>
          <cell r="C18504" t="str">
            <v>FUNDACAO PETROBRAS DE SEGURIDADE SOCIAL PETROS</v>
          </cell>
          <cell r="D18504" t="str">
            <v>FUNDACAO PETROBRAS DE SEGURIDADE SOCIAL PETROS</v>
          </cell>
          <cell r="E18504" t="str">
            <v>FUNDACAO PETROBRAS DE SEGURIDADE SOCIAL PETROS</v>
          </cell>
        </row>
        <row r="18505">
          <cell r="B18505">
            <v>80693</v>
          </cell>
          <cell r="C18505" t="str">
            <v>FUNDACAO PETROBRAS DE SEGURIDADE SOCIAL PETROS</v>
          </cell>
          <cell r="D18505" t="str">
            <v>FUNDACAO PETROBRAS DE SEGURIDADE SOCIAL PETROS</v>
          </cell>
          <cell r="E18505" t="str">
            <v>FUNDACAO PETROBRAS DE SEGURIDADE SOCIAL PETROS</v>
          </cell>
        </row>
        <row r="18506">
          <cell r="B18506">
            <v>125334</v>
          </cell>
          <cell r="C18506" t="str">
            <v>VIC RF INTERNACIONAL FIC FIM CRED PRIV IE</v>
          </cell>
          <cell r="D18506" t="str">
            <v>VIC RF INTERNACIONAL FIC FIM CRED PRIV IE</v>
          </cell>
          <cell r="E18506" t="str">
            <v>JULIUS BAER FAMILY OFFICE BRASIL GESTAO DE PATRIMONIO LTDA</v>
          </cell>
        </row>
        <row r="18507">
          <cell r="B18507">
            <v>125334</v>
          </cell>
          <cell r="C18507" t="str">
            <v>VIC RF INTERNACIONAL FIC FIM CRED PRIV IE</v>
          </cell>
          <cell r="D18507" t="str">
            <v>VIC RF INTERNACIONAL FIC FIM CRED PRIV IE</v>
          </cell>
          <cell r="E18507" t="str">
            <v>JULIUS BAER FAMILY OFFICE BRASIL GESTAO DE PATRIMONIO LTDA</v>
          </cell>
        </row>
        <row r="18508">
          <cell r="B18508">
            <v>80695</v>
          </cell>
          <cell r="C18508" t="str">
            <v>FUNDACAO PETROBRAS DE SEGURIDADE SOCIAL PETROS</v>
          </cell>
          <cell r="D18508" t="str">
            <v>FUNDACAO PETROBRAS DE SEGURIDADE SOCIAL PETROS</v>
          </cell>
          <cell r="E18508" t="str">
            <v>FUNDACAO PETROBRAS DE SEGURIDADE SOCIAL PETROS</v>
          </cell>
        </row>
        <row r="18509">
          <cell r="B18509">
            <v>80695</v>
          </cell>
          <cell r="C18509" t="str">
            <v>FUNDACAO PETROBRAS DE SEGURIDADE SOCIAL PETROS</v>
          </cell>
          <cell r="D18509" t="str">
            <v>FUNDACAO PETROBRAS DE SEGURIDADE SOCIAL PETROS</v>
          </cell>
          <cell r="E18509" t="str">
            <v>FUNDACAO PETROBRAS DE SEGURIDADE SOCIAL PETROS</v>
          </cell>
        </row>
        <row r="18510">
          <cell r="B18510">
            <v>14480</v>
          </cell>
          <cell r="C18510" t="str">
            <v>BANCO SANTANDER, S/A (MADRID)</v>
          </cell>
          <cell r="D18510" t="str">
            <v>BANCO SANTANDER, S/A (MADRID)</v>
          </cell>
          <cell r="E18510" t="str">
            <v>BANCO SANTANDER S/A (HISPANO)</v>
          </cell>
        </row>
        <row r="18511">
          <cell r="B18511">
            <v>125335</v>
          </cell>
          <cell r="C18511" t="str">
            <v>SANTANDER CACEIS BRASIL DTVM S.A.</v>
          </cell>
          <cell r="D18511" t="str">
            <v>SANTANDER CACEIS BRASIL DTVM S.A.</v>
          </cell>
          <cell r="E18511" t="str">
            <v>SANTANDER BRASIL GESTAO DE RECURSOS LTDA</v>
          </cell>
        </row>
        <row r="18512">
          <cell r="B18512">
            <v>125335</v>
          </cell>
          <cell r="C18512" t="str">
            <v>SANTANDER CACEIS BRASIL DTVM S.A.</v>
          </cell>
          <cell r="D18512" t="str">
            <v>SANTANDER CACEIS BRASIL DTVM S.A.</v>
          </cell>
          <cell r="E18512" t="str">
            <v>SANTANDER BRASIL GESTAO DE RECURSOS LTDA</v>
          </cell>
        </row>
        <row r="18513">
          <cell r="B18513">
            <v>80572</v>
          </cell>
          <cell r="C18513" t="str">
            <v>SICREDI FIM PERFIL CLASSICO LP</v>
          </cell>
          <cell r="D18513" t="str">
            <v>SICREDI FIM PERFIL CLASSICO LP</v>
          </cell>
          <cell r="E18513" t="str">
            <v>SUL AMERICA INVESTIMENTOS GESTORA DE RECURSOS S/A</v>
          </cell>
        </row>
        <row r="18514">
          <cell r="B18514">
            <v>80572</v>
          </cell>
          <cell r="C18514" t="str">
            <v>SICREDI FIM PERFIL CLASSICO LP</v>
          </cell>
          <cell r="D18514" t="str">
            <v>SICREDI FIM PERFIL CLASSICO LP</v>
          </cell>
          <cell r="E18514" t="str">
            <v>SUL AMERICA INVESTIMENTOS GESTORA DE RECURSOS S/A</v>
          </cell>
        </row>
        <row r="18515">
          <cell r="B18515">
            <v>125336</v>
          </cell>
          <cell r="C18515" t="str">
            <v>SUL AMERICA EQUITIES FI AÃ‡Ã•ES</v>
          </cell>
          <cell r="D18515" t="str">
            <v>SUL AMERICA EQUITIES FI AÃ‡Ã•ES</v>
          </cell>
          <cell r="E18515" t="str">
            <v>SUL AMERICA INVESTIMENTOS GESTORA DE RECURSOS S/A</v>
          </cell>
        </row>
        <row r="18516">
          <cell r="B18516">
            <v>125336</v>
          </cell>
          <cell r="C18516" t="str">
            <v>SUL AMERICA EQUITIES FI AÃ‡Ã•ES</v>
          </cell>
          <cell r="D18516" t="str">
            <v>SUL AMERICA EQUITIES FI AÃ‡Ã•ES</v>
          </cell>
          <cell r="E18516" t="str">
            <v>SUL AMERICA INVESTIMENTOS GESTORA DE RECURSOS S/A</v>
          </cell>
        </row>
        <row r="18517">
          <cell r="B18517">
            <v>81554</v>
          </cell>
          <cell r="C18517" t="str">
            <v>IBIUNA LONG BIASED MASTER FUNDO DE INVESTIMENTO EM ACOES</v>
          </cell>
          <cell r="D18517" t="str">
            <v>IBIUNA LONG BIASED MASTER FUNDO DE INVESTIMENTO EM ACOES</v>
          </cell>
          <cell r="E18517" t="str">
            <v>IBIUNA GESTAO DE RECURSOS LTDA</v>
          </cell>
        </row>
        <row r="18518">
          <cell r="B18518">
            <v>81686</v>
          </cell>
          <cell r="C18518" t="str">
            <v>IBIUNA ST PREV ITAÃš FIFE FIF MULT CP RL</v>
          </cell>
          <cell r="D18518" t="str">
            <v>IBIUNA ST PREV ITAÃš FIFE FIF MULT CP RL</v>
          </cell>
          <cell r="E18518" t="str">
            <v>IBIUNA GESTAO DE RECURSOS LTDA</v>
          </cell>
        </row>
        <row r="18519">
          <cell r="B18519">
            <v>82273</v>
          </cell>
          <cell r="C18519" t="str">
            <v>IBIUNA LS IB FUNDO DE INVESTIMENTO FINANCEIRO EM ACOES</v>
          </cell>
          <cell r="D18519" t="str">
            <v>IBIUNA LS IB FUNDO DE INVESTIMENTO FINANCEIRO EM ACOES</v>
          </cell>
          <cell r="E18519" t="str">
            <v>IBIUNA GESTAO DE RECURSOS LTDA</v>
          </cell>
        </row>
        <row r="18520">
          <cell r="B18520">
            <v>82299</v>
          </cell>
          <cell r="C18520" t="str">
            <v>IBIUNA ST IB PREV FIFE FIF MULTIMERCADO CP RL</v>
          </cell>
          <cell r="D18520" t="str">
            <v>IBIUNA ST IB PREV FIFE FIF MULTIMERCADO CP RL</v>
          </cell>
          <cell r="E18520" t="str">
            <v>IBIUNA GESTAO DE RECURSOS LTDA</v>
          </cell>
        </row>
        <row r="18521">
          <cell r="B18521">
            <v>125338</v>
          </cell>
          <cell r="C18521" t="str">
            <v>FI EM DIREITOS CREDITORIOS FARM SYNGENTA AGRONEGOCIO I</v>
          </cell>
          <cell r="D18521" t="str">
            <v>FI EM DIREITOS CREDITORIOS FARM SYNGENTA AGRONEGOCIO I</v>
          </cell>
          <cell r="E18521" t="str">
            <v>FI EM DIREITOS CREDITORIOS FARM SYNGENTA AGRONEGOCIO I</v>
          </cell>
        </row>
        <row r="18522">
          <cell r="B18522">
            <v>125338</v>
          </cell>
          <cell r="C18522" t="str">
            <v>FI EM DIREITOS CREDITORIOS FARM SYNGENTA AGRONEGOCIO I</v>
          </cell>
          <cell r="D18522" t="str">
            <v>FI EM DIREITOS CREDITORIOS FARM SYNGENTA AGRONEGOCIO I</v>
          </cell>
          <cell r="E18522" t="str">
            <v>FI EM DIREITOS CREDITORIOS FARM SYNGENTA AGRONEGOCIO I</v>
          </cell>
        </row>
        <row r="18523">
          <cell r="B18523">
            <v>80701</v>
          </cell>
          <cell r="C18523" t="str">
            <v>JOURNEY CAPITAL ADMINISTRACAO DE RECURSOS LTDA.</v>
          </cell>
          <cell r="D18523" t="str">
            <v>JOURNEY CAPITAL ADMINISTRACAO DE RECURSOS LTDA.</v>
          </cell>
          <cell r="E18523" t="str">
            <v>JOURNEY CAPITAL ADMINISTRACAO DE RECURSOS LTDA.</v>
          </cell>
        </row>
        <row r="18524">
          <cell r="B18524">
            <v>125339</v>
          </cell>
          <cell r="C18524" t="str">
            <v>SANTANDER CACEIS BRASIL DTVM S.A.</v>
          </cell>
          <cell r="D18524" t="str">
            <v>SANTANDER CACEIS BRASIL DTVM S.A.</v>
          </cell>
          <cell r="E18524" t="str">
            <v>SANTANDER BRASIL GESTAO DE RECURSOS LTDA</v>
          </cell>
        </row>
        <row r="18525">
          <cell r="B18525">
            <v>125339</v>
          </cell>
          <cell r="C18525" t="str">
            <v>SANTANDER CACEIS BRASIL DTVM S.A.</v>
          </cell>
          <cell r="D18525" t="str">
            <v>SANTANDER CACEIS BRASIL DTVM S.A.</v>
          </cell>
          <cell r="E18525" t="str">
            <v>SANTANDER BRASIL GESTAO DE RECURSOS LTDA</v>
          </cell>
        </row>
        <row r="18526">
          <cell r="B18526">
            <v>125340</v>
          </cell>
          <cell r="C18526" t="str">
            <v>SANTANDER CACEIS BRASIL DTVM S.A.</v>
          </cell>
          <cell r="D18526" t="str">
            <v>SANTANDER CACEIS BRASIL DTVM S.A.</v>
          </cell>
          <cell r="E18526" t="str">
            <v>SANTANDER BRASIL GESTAO DE RECURSOS LTDA</v>
          </cell>
        </row>
        <row r="18527">
          <cell r="B18527">
            <v>125341</v>
          </cell>
          <cell r="C18527" t="str">
            <v>SANTANDER CACEIS BRASIL DTVM S.A.</v>
          </cell>
          <cell r="D18527" t="str">
            <v>SANTANDER CACEIS BRASIL DTVM S.A.</v>
          </cell>
          <cell r="E18527" t="str">
            <v>SANTANDER BRASIL GESTAO DE RECURSOS LTDA</v>
          </cell>
        </row>
        <row r="18528">
          <cell r="B18528">
            <v>125341</v>
          </cell>
          <cell r="C18528" t="str">
            <v>SANTANDER CACEIS BRASIL DTVM S.A.</v>
          </cell>
          <cell r="D18528" t="str">
            <v>SANTANDER CACEIS BRASIL DTVM S.A.</v>
          </cell>
          <cell r="E18528" t="str">
            <v>SANTANDER BRASIL GESTAO DE RECURSOS LTDA</v>
          </cell>
        </row>
        <row r="18529">
          <cell r="B18529">
            <v>125342</v>
          </cell>
          <cell r="C18529" t="str">
            <v>ANJO FIM CP IE</v>
          </cell>
          <cell r="D18529" t="str">
            <v>ANJO FIM CP IE</v>
          </cell>
          <cell r="E18529" t="str">
            <v>JULIUS BAER FAMILY OFFICE BRASIL GESTAO DE PATRIMONIO LTDA</v>
          </cell>
        </row>
        <row r="18530">
          <cell r="B18530">
            <v>125342</v>
          </cell>
          <cell r="C18530" t="str">
            <v>ANJO FIM CP IE</v>
          </cell>
          <cell r="D18530" t="str">
            <v>ANJO FIM CP IE</v>
          </cell>
          <cell r="E18530" t="str">
            <v>JULIUS BAER FAMILY OFFICE BRASIL GESTAO DE PATRIMONIO LTDA</v>
          </cell>
        </row>
        <row r="18531">
          <cell r="B18531">
            <v>125343</v>
          </cell>
          <cell r="C18531" t="str">
            <v>CHALLANGER FIM CP</v>
          </cell>
          <cell r="D18531" t="str">
            <v>CHALLANGER FIM CP</v>
          </cell>
          <cell r="E18531" t="str">
            <v>JULIUS BAER FAMILY OFFICE BRASIL GESTAO DE PATRIMONIO LTDA</v>
          </cell>
        </row>
        <row r="18532">
          <cell r="B18532">
            <v>125343</v>
          </cell>
          <cell r="C18532" t="str">
            <v>CHALLANGER FIM CP</v>
          </cell>
          <cell r="D18532" t="str">
            <v>CHALLANGER FIM CP</v>
          </cell>
          <cell r="E18532" t="str">
            <v>JULIUS BAER FAMILY OFFICE BRASIL GESTAO DE PATRIMONIO LTDA</v>
          </cell>
        </row>
        <row r="18533">
          <cell r="B18533">
            <v>125344</v>
          </cell>
          <cell r="C18533" t="str">
            <v>ATIVA PART FIM CRED PRIV IE</v>
          </cell>
          <cell r="D18533" t="str">
            <v>ATIVA PART FIM CRED PRIV IE</v>
          </cell>
          <cell r="E18533" t="str">
            <v>JULIUS BAER FAMILY OFFICE BRASIL GESTAO DE PATRIMONIO LTDA</v>
          </cell>
        </row>
        <row r="18534">
          <cell r="B18534">
            <v>125344</v>
          </cell>
          <cell r="C18534" t="str">
            <v>ATIVA PART FIM CRED PRIV IE</v>
          </cell>
          <cell r="D18534" t="str">
            <v>ATIVA PART FIM CRED PRIV IE</v>
          </cell>
          <cell r="E18534" t="str">
            <v>JULIUS BAER FAMILY OFFICE BRASIL GESTAO DE PATRIMONIO LTDA</v>
          </cell>
        </row>
        <row r="18535">
          <cell r="B18535">
            <v>125345</v>
          </cell>
          <cell r="C18535" t="str">
            <v>ATIVA FUNDO INCENTIVADO DE INV EM INFRA RF</v>
          </cell>
          <cell r="D18535" t="str">
            <v>ATIVA FUNDO INCENTIVADO DE INV EM INFRA RF</v>
          </cell>
          <cell r="E18535" t="str">
            <v>JULIUS BAER FAMILY OFFICE BRASIL GESTAO DE PATRIMONIO LTDA</v>
          </cell>
        </row>
        <row r="18536">
          <cell r="B18536">
            <v>125345</v>
          </cell>
          <cell r="C18536" t="str">
            <v>ATIVA FUNDO INCENTIVADO DE INV EM INFRA RF</v>
          </cell>
          <cell r="D18536" t="str">
            <v>ATIVA FUNDO INCENTIVADO DE INV EM INFRA RF</v>
          </cell>
          <cell r="E18536" t="str">
            <v>JULIUS BAER FAMILY OFFICE BRASIL GESTAO DE PATRIMONIO LTDA</v>
          </cell>
        </row>
        <row r="18537">
          <cell r="B18537">
            <v>125346</v>
          </cell>
          <cell r="C18537" t="str">
            <v>MINAS FIM CP</v>
          </cell>
          <cell r="D18537" t="str">
            <v>MINAS FIM CP</v>
          </cell>
          <cell r="E18537" t="str">
            <v>JULIUS BAER FAMILY OFFICE BRASIL GESTAO DE PATRIMONIO LTDA</v>
          </cell>
        </row>
        <row r="18538">
          <cell r="B18538">
            <v>125346</v>
          </cell>
          <cell r="C18538" t="str">
            <v>MINAS FIM CP</v>
          </cell>
          <cell r="D18538" t="str">
            <v>MINAS FIM CP</v>
          </cell>
          <cell r="E18538" t="str">
            <v>JULIUS BAER FAMILY OFFICE BRASIL GESTAO DE PATRIMONIO LTDA</v>
          </cell>
        </row>
        <row r="18539">
          <cell r="B18539">
            <v>125347</v>
          </cell>
          <cell r="C18539" t="str">
            <v>VENUS FII EM  RF I</v>
          </cell>
          <cell r="D18539" t="str">
            <v>VENUS FII EM  RF I</v>
          </cell>
          <cell r="E18539" t="str">
            <v>JULIUS BAER FAMILY OFFICE BRASIL GESTAO DE PATRIMONIO LTDA</v>
          </cell>
        </row>
        <row r="18540">
          <cell r="B18540">
            <v>125347</v>
          </cell>
          <cell r="C18540" t="str">
            <v>VENUS FII EM  RF I</v>
          </cell>
          <cell r="D18540" t="str">
            <v>VENUS FII EM  RF I</v>
          </cell>
          <cell r="E18540" t="str">
            <v>JULIUS BAER FAMILY OFFICE BRASIL GESTAO DE PATRIMONIO LTDA</v>
          </cell>
        </row>
        <row r="18541">
          <cell r="B18541">
            <v>80702</v>
          </cell>
          <cell r="C18541" t="str">
            <v>BRAIN PRÃ‰ FIXADO FI FINANCEIRO CI RF CRED PRIV RL</v>
          </cell>
          <cell r="D18541" t="str">
            <v>BRAIN PRÃ‰ FIXADO FI FINANCEIRO CI RF CRED PRIV RL</v>
          </cell>
          <cell r="E18541" t="str">
            <v>BRAINVEST ASSESSORIA FINANCEIRA E GESTÃO DE RECURSOS LTDA</v>
          </cell>
        </row>
        <row r="18542">
          <cell r="B18542">
            <v>80703</v>
          </cell>
          <cell r="C18542" t="str">
            <v>BRAINVEST ASSESSORIA FINANCEIRA E GESTAO DE RECURSOS LTDA.</v>
          </cell>
          <cell r="D18542" t="str">
            <v>BRAINVEST ASSESSORIA FINANCEIRA E GESTAO DE RECURSOS LTDA.</v>
          </cell>
          <cell r="E18542" t="str">
            <v>BRAINVEST ASSESSORIA FINANCEIRA E GESTÃO DE RECURSOS LTDA</v>
          </cell>
        </row>
        <row r="18543">
          <cell r="B18543">
            <v>80704</v>
          </cell>
          <cell r="C18543" t="str">
            <v>EMERALD GESTAO DE INVESTIMENTOS SOCIEDADE UNIPESSOAL LTDA</v>
          </cell>
          <cell r="D18543" t="str">
            <v>EMERALD GESTAO DE INVESTIMENTOS SOCIEDADE UNIPESSOAL LTDA</v>
          </cell>
          <cell r="E18543" t="str">
            <v>EMERALD GESTAO DE INVESTIMENTOS LTDA</v>
          </cell>
        </row>
        <row r="18544">
          <cell r="B18544">
            <v>80705</v>
          </cell>
          <cell r="C18544" t="str">
            <v>BANCO SOCIETE GENERALE BRASIL S/A</v>
          </cell>
          <cell r="D18544" t="str">
            <v>BANCO SOCIETE GENERALE BRASIL S/A</v>
          </cell>
          <cell r="E18544" t="str">
            <v>BANCO SOCIETE GENERALE BRASIL S/A</v>
          </cell>
        </row>
        <row r="18545">
          <cell r="B18545">
            <v>80707</v>
          </cell>
          <cell r="C18545" t="str">
            <v>SAFRA EUCLIDES MASTER FUNDO DE INVESTIMENTO MULTIMERCADO</v>
          </cell>
          <cell r="D18545" t="str">
            <v>SAFRA EUCLIDES MASTER FUNDO DE INVESTIMENTO MULTIMERCADO</v>
          </cell>
          <cell r="E18545" t="str">
            <v>EMERALD GESTAO DE INVESTIMENTOS LTDA</v>
          </cell>
        </row>
        <row r="18546">
          <cell r="B18546">
            <v>80707</v>
          </cell>
          <cell r="C18546" t="str">
            <v>SAFRA EUCLIDES MASTER FUNDO DE INVESTIMENTO MULTIMERCADO</v>
          </cell>
          <cell r="D18546" t="str">
            <v>SAFRA EUCLIDES MASTER FUNDO DE INVESTIMENTO MULTIMERCADO</v>
          </cell>
          <cell r="E18546" t="str">
            <v>EMERALD GESTAO DE INVESTIMENTOS LTDA</v>
          </cell>
        </row>
        <row r="18547">
          <cell r="B18547">
            <v>125349</v>
          </cell>
          <cell r="C18547" t="str">
            <v>SANTANDER CACEIS BRASIL DTVM S.A.</v>
          </cell>
          <cell r="D18547" t="str">
            <v>SANTANDER CACEIS BRASIL DTVM S.A.</v>
          </cell>
          <cell r="E18547" t="str">
            <v>SANTANDER BRASIL GESTAO DE RECURSOS LTDA</v>
          </cell>
        </row>
        <row r="18548">
          <cell r="B18548">
            <v>125348</v>
          </cell>
          <cell r="C18548" t="str">
            <v>SANTANDER CACEIS BRASIL DTVM S.A.</v>
          </cell>
          <cell r="D18548" t="str">
            <v>SANTANDER CACEIS BRASIL DTVM S.A.</v>
          </cell>
          <cell r="E18548" t="str">
            <v>SANTANDER BRASIL GESTAO DE RECURSOS LTDA</v>
          </cell>
        </row>
        <row r="18549">
          <cell r="B18549">
            <v>125349</v>
          </cell>
          <cell r="C18549" t="str">
            <v>SANTANDER CACEIS BRASIL DTVM S.A.</v>
          </cell>
          <cell r="D18549" t="str">
            <v>SANTANDER CACEIS BRASIL DTVM S.A.</v>
          </cell>
          <cell r="E18549" t="str">
            <v>SANTANDER BRASIL GESTAO DE RECURSOS LTDA</v>
          </cell>
        </row>
        <row r="18550">
          <cell r="B18550">
            <v>125350</v>
          </cell>
          <cell r="C18550" t="str">
            <v>SANTANDER CACEIS BRASIL DTVM S.A.</v>
          </cell>
          <cell r="D18550" t="str">
            <v>SANTANDER CACEIS BRASIL DTVM S.A.</v>
          </cell>
          <cell r="E18550" t="str">
            <v>SANTANDER BRASIL GESTAO DE RECURSOS LTDA</v>
          </cell>
        </row>
        <row r="18551">
          <cell r="B18551">
            <v>125350</v>
          </cell>
          <cell r="C18551" t="str">
            <v>SANTANDER CACEIS BRASIL DTVM S.A.</v>
          </cell>
          <cell r="D18551" t="str">
            <v>SANTANDER CACEIS BRASIL DTVM S.A.</v>
          </cell>
          <cell r="E18551" t="str">
            <v>SANTANDER BRASIL GESTAO DE RECURSOS LTDA</v>
          </cell>
        </row>
        <row r="18552">
          <cell r="B18552">
            <v>125351</v>
          </cell>
          <cell r="C18552" t="str">
            <v>SV3 EQUITY LLC</v>
          </cell>
          <cell r="D18552" t="str">
            <v>SV3 EQUITY LLC</v>
          </cell>
          <cell r="E18552" t="str">
            <v>SQUADRA INVESTIMENTOS GESTÃƒO DE RECURSOS LTDA</v>
          </cell>
        </row>
        <row r="18553">
          <cell r="B18553">
            <v>125351</v>
          </cell>
          <cell r="C18553" t="str">
            <v>SV3 EQUITY LLC</v>
          </cell>
          <cell r="D18553" t="str">
            <v>SV3 EQUITY LLC</v>
          </cell>
          <cell r="E18553" t="str">
            <v>SQUADRA INVESTIMENTOS GESTÃƒO DE RECURSOS LTDA</v>
          </cell>
        </row>
        <row r="18554">
          <cell r="B18554">
            <v>80712</v>
          </cell>
          <cell r="C18554" t="str">
            <v>MARYLIA CARVALHO PONCE</v>
          </cell>
          <cell r="D18554" t="str">
            <v>MARYLIA CARVALHO PONCE</v>
          </cell>
          <cell r="E18554" t="str">
            <v>MARYLIA CARVALHO PONCE</v>
          </cell>
        </row>
        <row r="18555">
          <cell r="B18555">
            <v>80712</v>
          </cell>
          <cell r="C18555" t="str">
            <v>MARYLIA CARVALHO PONCE</v>
          </cell>
          <cell r="D18555" t="str">
            <v>MARYLIA CARVALHO PONCE</v>
          </cell>
          <cell r="E18555" t="str">
            <v>MARYLIA CARVALHO PONCE</v>
          </cell>
        </row>
        <row r="18556">
          <cell r="B18556">
            <v>125352</v>
          </cell>
          <cell r="C18556" t="str">
            <v>SANTANDER CACEIS BRASIL DTVM S.A.</v>
          </cell>
          <cell r="D18556" t="str">
            <v>SANTANDER CACEIS BRASIL DTVM S.A.</v>
          </cell>
          <cell r="E18556" t="str">
            <v>SANTANDER BRASIL GESTAO DE RECURSOS LTDA</v>
          </cell>
        </row>
        <row r="18557">
          <cell r="B18557">
            <v>125352</v>
          </cell>
          <cell r="C18557" t="str">
            <v>SANTANDER CACEIS BRASIL DTVM S.A.</v>
          </cell>
          <cell r="D18557" t="str">
            <v>SANTANDER CACEIS BRASIL DTVM S.A.</v>
          </cell>
          <cell r="E18557" t="str">
            <v>SANTANDER BRASIL GESTAO DE RECURSOS LTDA</v>
          </cell>
        </row>
        <row r="18558">
          <cell r="B18558">
            <v>80713</v>
          </cell>
          <cell r="C18558" t="str">
            <v>FUNDO DE INVESTIMENTO IMOBILIARIO ATRIO REIT RECEBIVEIS IMOB</v>
          </cell>
          <cell r="D18558" t="str">
            <v>FUNDO DE INVESTIMENTO IMOBILIARIO ATRIO REIT RECEBIVEIS IMOB</v>
          </cell>
          <cell r="E18558" t="str">
            <v>FUNDO DE INVESTIMENTO IMOBILIARIO ATRIO REIT RECEBIVEIS IMOB</v>
          </cell>
        </row>
        <row r="18559">
          <cell r="B18559">
            <v>80713</v>
          </cell>
          <cell r="C18559" t="str">
            <v>FUNDO DE INVESTIMENTO IMOBILIARIO ATRIO REIT RECEBIVEIS IMOB</v>
          </cell>
          <cell r="D18559" t="str">
            <v>FUNDO DE INVESTIMENTO IMOBILIARIO ATRIO REIT RECEBIVEIS IMOB</v>
          </cell>
          <cell r="E18559" t="str">
            <v>FUNDO DE INVESTIMENTO IMOBILIARIO ATRIO REIT RECEBIVEIS IMOB</v>
          </cell>
        </row>
        <row r="18560">
          <cell r="B18560">
            <v>125353</v>
          </cell>
          <cell r="C18560" t="str">
            <v>RUBICON  FIM CP IE</v>
          </cell>
          <cell r="D18560" t="str">
            <v>RUBICON  FIM CP IE</v>
          </cell>
          <cell r="E18560" t="str">
            <v>JULIUS BAER FAMILY OFFICE BRASIL GESTAO DE PATRIMONIO LTDA</v>
          </cell>
        </row>
        <row r="18561">
          <cell r="B18561">
            <v>125353</v>
          </cell>
          <cell r="C18561" t="str">
            <v>RUBICON  FIM CP IE</v>
          </cell>
          <cell r="D18561" t="str">
            <v>RUBICON  FIM CP IE</v>
          </cell>
          <cell r="E18561" t="str">
            <v>JULIUS BAER FAMILY OFFICE BRASIL GESTAO DE PATRIMONIO LTDA</v>
          </cell>
        </row>
        <row r="18562">
          <cell r="B18562">
            <v>125354</v>
          </cell>
          <cell r="C18562" t="str">
            <v>IRB MACRO FIM</v>
          </cell>
          <cell r="D18562" t="str">
            <v>IRB MACRO FIM</v>
          </cell>
          <cell r="E18562" t="str">
            <v>IRB MACRO FIM</v>
          </cell>
        </row>
        <row r="18563">
          <cell r="B18563">
            <v>125354</v>
          </cell>
          <cell r="C18563" t="str">
            <v>IRB MACRO FIM</v>
          </cell>
          <cell r="D18563" t="str">
            <v>IRB MACRO FIM</v>
          </cell>
          <cell r="E18563" t="str">
            <v>IRB MACRO FIM</v>
          </cell>
        </row>
        <row r="18564">
          <cell r="B18564">
            <v>80714</v>
          </cell>
          <cell r="C18564" t="str">
            <v>VITREO EXPONENCIAL FUNDO DE INVESTIMENTO EM AÃ‡Ã•ES INVESTIMEN</v>
          </cell>
          <cell r="D18564" t="str">
            <v>VITREO EXPONENCIAL FUNDO DE INVESTIMENTO EM AÃ‡Ã•ES INVESTIMEN</v>
          </cell>
          <cell r="E18564" t="str">
            <v>EMPIRICUS GESTAO DE RECURSOS LTDA</v>
          </cell>
        </row>
        <row r="18565">
          <cell r="B18565">
            <v>80714</v>
          </cell>
          <cell r="C18565" t="str">
            <v>VITREO EXPONENCIAL FUNDO DE INVESTIMENTO EM AÃ‡Ã•ES INVESTIMEN</v>
          </cell>
          <cell r="D18565" t="str">
            <v>VITREO EXPONENCIAL FUNDO DE INVESTIMENTO EM AÃ‡Ã•ES INVESTIMEN</v>
          </cell>
          <cell r="E18565" t="str">
            <v>EMPIRICUS GESTAO DE RECURSOS LTDA</v>
          </cell>
        </row>
        <row r="18566">
          <cell r="B18566">
            <v>80715</v>
          </cell>
          <cell r="C18566" t="str">
            <v>ARMOR AXE FIC DE FIM CREDITO PRIVADO</v>
          </cell>
          <cell r="D18566" t="str">
            <v>ARMOR AXE FIC DE FIM CREDITO PRIVADO</v>
          </cell>
          <cell r="E18566" t="str">
            <v>ARMOR GESTORA DE RECURSOS LTDA</v>
          </cell>
        </row>
        <row r="18567">
          <cell r="B18567">
            <v>80715</v>
          </cell>
          <cell r="C18567" t="str">
            <v>ARMOR AXE FIC DE FIM CREDITO PRIVADO</v>
          </cell>
          <cell r="D18567" t="str">
            <v>ARMOR AXE FIC DE FIM CREDITO PRIVADO</v>
          </cell>
          <cell r="E18567" t="str">
            <v>ARMOR GESTORA DE RECURSOS LTDA</v>
          </cell>
        </row>
        <row r="18568">
          <cell r="B18568">
            <v>125355</v>
          </cell>
          <cell r="C18568" t="str">
            <v>OCEANA LONG BIASED PREV FIF MULT RL</v>
          </cell>
          <cell r="D18568" t="str">
            <v>OCEANA LONG BIASED PREV FIF MULT RL</v>
          </cell>
          <cell r="E18568" t="str">
            <v>OCEANA INVESTIMENTOS ADM DE CARTEIRAS DE VALORES MOB LTDA</v>
          </cell>
        </row>
        <row r="18569">
          <cell r="B18569">
            <v>80716</v>
          </cell>
          <cell r="C18569" t="str">
            <v>PICTOR FIM CREDITO PRIVADO INVESTIMENTO NO EXTERIOR</v>
          </cell>
          <cell r="D18569" t="str">
            <v>PICTOR FIM CREDITO PRIVADO INVESTIMENTO NO EXTERIOR</v>
          </cell>
          <cell r="E18569" t="str">
            <v>EMERALD GESTAO DE INVESTIMENTOS LTDA</v>
          </cell>
        </row>
        <row r="18570">
          <cell r="B18570">
            <v>80716</v>
          </cell>
          <cell r="C18570" t="str">
            <v>PICTOR FIM CREDITO PRIVADO INVESTIMENTO NO EXTERIOR</v>
          </cell>
          <cell r="D18570" t="str">
            <v>PICTOR FIM CREDITO PRIVADO INVESTIMENTO NO EXTERIOR</v>
          </cell>
          <cell r="E18570" t="str">
            <v>EMERALD GESTAO DE INVESTIMENTOS LTDA</v>
          </cell>
        </row>
        <row r="18571">
          <cell r="B18571">
            <v>125356</v>
          </cell>
          <cell r="C18571" t="str">
            <v>SANTANDER CACEIS BRASIL DTVM S.A.</v>
          </cell>
          <cell r="D18571" t="str">
            <v>SANTANDER CACEIS BRASIL DTVM S.A.</v>
          </cell>
          <cell r="E18571" t="str">
            <v>SANTANDER BRASIL GESTAO DE RECURSOS LTDA</v>
          </cell>
        </row>
        <row r="18572">
          <cell r="B18572">
            <v>125357</v>
          </cell>
          <cell r="C18572" t="str">
            <v>SANTANDER CACEIS BRASIL DTVM S.A.</v>
          </cell>
          <cell r="D18572" t="str">
            <v>SANTANDER CACEIS BRASIL DTVM S.A.</v>
          </cell>
          <cell r="E18572" t="str">
            <v>SANTANDER BRASIL GESTAO DE RECURSOS LTDA</v>
          </cell>
        </row>
        <row r="18573">
          <cell r="B18573">
            <v>80717</v>
          </cell>
          <cell r="C18573" t="str">
            <v>CYGNI FUNDO DE INVESTIMENTO FINANCEIRO CI MULT CP RL</v>
          </cell>
          <cell r="D18573" t="str">
            <v>CYGNI FUNDO DE INVESTIMENTO FINANCEIRO CI MULT CP RL</v>
          </cell>
          <cell r="E18573" t="str">
            <v>EMERALD GESTAO DE INVESTIMENTOS LTDA</v>
          </cell>
        </row>
        <row r="18574">
          <cell r="B18574">
            <v>125358</v>
          </cell>
          <cell r="C18574" t="str">
            <v>SANTANDER CACEIS BRASIL DTVM S.A.</v>
          </cell>
          <cell r="D18574" t="str">
            <v>SANTANDER CACEIS BRASIL DTVM S.A.</v>
          </cell>
          <cell r="E18574" t="str">
            <v>SANTANDER BRASIL GESTAO DE RECURSOS LTDA</v>
          </cell>
        </row>
        <row r="18575">
          <cell r="B18575">
            <v>125359</v>
          </cell>
          <cell r="C18575" t="str">
            <v>SANTANDER CACEIS BRASIL DTVM S.A.</v>
          </cell>
          <cell r="D18575" t="str">
            <v>SANTANDER CACEIS BRASIL DTVM S.A.</v>
          </cell>
          <cell r="E18575" t="str">
            <v>SANTANDER BRASIL GESTAO DE RECURSOS LTDA</v>
          </cell>
        </row>
        <row r="18576">
          <cell r="B18576">
            <v>124867</v>
          </cell>
          <cell r="C18576" t="str">
            <v>CORONA FUNDO DE INVESTIMENTO FINANCEIRO CI MULT RL</v>
          </cell>
          <cell r="D18576">
            <v>124867</v>
          </cell>
          <cell r="E18576" t="str">
            <v>CORONA FUNDO DE INVESTIMENTO FINANCEIRO CI MULT RL</v>
          </cell>
        </row>
        <row r="18577">
          <cell r="B18577">
            <v>124867</v>
          </cell>
          <cell r="C18577" t="str">
            <v>CORONA FUNDO DE INVESTIMENTO FINANCEIRO CI MULT RL</v>
          </cell>
          <cell r="D18577">
            <v>124867</v>
          </cell>
          <cell r="E18577" t="str">
            <v>CORONA FUNDO DE INVESTIMENTO FINANCEIRO CI MULT RL</v>
          </cell>
        </row>
        <row r="18578">
          <cell r="B18578">
            <v>80718</v>
          </cell>
          <cell r="C18578" t="str">
            <v>CORONA FUNDO DE INVESTIMENTO FINANCEIRO CI MULT RL</v>
          </cell>
          <cell r="D18578" t="str">
            <v>CORONA FUNDO DE INVESTIMENTO FINANCEIRO CI MULT RL</v>
          </cell>
          <cell r="E18578" t="str">
            <v>EMERALD GESTAO DE INVESTIMENTOS LTDA</v>
          </cell>
        </row>
        <row r="18579">
          <cell r="B18579">
            <v>125337</v>
          </cell>
          <cell r="C18579" t="str">
            <v>SUL AMERICA PRESTIGE TOTAL PREV FIM</v>
          </cell>
          <cell r="D18579" t="str">
            <v>SUL AMERICA PRESTIGE TOTAL PREV FIM</v>
          </cell>
          <cell r="E18579" t="str">
            <v>SUL AMERICA INVESTIMENTOS GESTORA DE RECURSOS S/A</v>
          </cell>
        </row>
        <row r="18580">
          <cell r="B18580">
            <v>125337</v>
          </cell>
          <cell r="C18580" t="str">
            <v>SUL AMERICA PRESTIGE TOTAL PREV FIM</v>
          </cell>
          <cell r="D18580" t="str">
            <v>SUL AMERICA PRESTIGE TOTAL PREV FIM</v>
          </cell>
          <cell r="E18580" t="str">
            <v>SUL AMERICA INVESTIMENTOS GESTORA DE RECURSOS S/A</v>
          </cell>
        </row>
        <row r="18581">
          <cell r="B18581">
            <v>125360</v>
          </cell>
          <cell r="C18581" t="str">
            <v>SULAMERICA FIA MASTER PREV</v>
          </cell>
          <cell r="D18581" t="str">
            <v>SULAMERICA FIA MASTER PREV</v>
          </cell>
          <cell r="E18581" t="str">
            <v>SUL AMERICA INVESTIMENTOS GESTORA DE RECURSOS S/A</v>
          </cell>
        </row>
        <row r="18582">
          <cell r="B18582">
            <v>125360</v>
          </cell>
          <cell r="C18582" t="str">
            <v>SULAMERICA FIA MASTER PREV</v>
          </cell>
          <cell r="D18582" t="str">
            <v>SULAMERICA FIA MASTER PREV</v>
          </cell>
          <cell r="E18582" t="str">
            <v>SUL AMERICA INVESTIMENTOS GESTORA DE RECURSOS S/A</v>
          </cell>
        </row>
        <row r="18583">
          <cell r="B18583">
            <v>125361</v>
          </cell>
          <cell r="C18583" t="str">
            <v>SUL AMERICA FV FIA</v>
          </cell>
          <cell r="D18583" t="str">
            <v>SUL AMERICA FV FIA</v>
          </cell>
          <cell r="E18583" t="str">
            <v>SUL AMERICA INVESTIMENTOS GESTORA DE RECURSOS S/A</v>
          </cell>
        </row>
        <row r="18584">
          <cell r="B18584">
            <v>125361</v>
          </cell>
          <cell r="C18584" t="str">
            <v>SUL AMERICA FV FIA</v>
          </cell>
          <cell r="D18584" t="str">
            <v>SUL AMERICA FV FIA</v>
          </cell>
          <cell r="E18584" t="str">
            <v>SUL AMERICA INVESTIMENTOS GESTORA DE RECURSOS S/A</v>
          </cell>
        </row>
        <row r="18585">
          <cell r="B18585">
            <v>125362</v>
          </cell>
          <cell r="C18585" t="str">
            <v>SUL AMERICA FUNDO MUTUO DE PRIVATI FGTS VALE DO RIO DOCE</v>
          </cell>
          <cell r="D18585" t="str">
            <v>SUL AMERICA FUNDO MUTUO DE PRIVATI FGTS VALE DO RIO DOCE</v>
          </cell>
          <cell r="E18585" t="str">
            <v>SUL AMERICA INVESTIMENTOS GESTORA DE RECURSOS S/A</v>
          </cell>
        </row>
        <row r="18586">
          <cell r="B18586">
            <v>125362</v>
          </cell>
          <cell r="C18586" t="str">
            <v>SUL AMERICA FUNDO MUTUO DE PRIVATI FGTS VALE DO RIO DOCE</v>
          </cell>
          <cell r="D18586" t="str">
            <v>SUL AMERICA FUNDO MUTUO DE PRIVATI FGTS VALE DO RIO DOCE</v>
          </cell>
          <cell r="E18586" t="str">
            <v>SUL AMERICA INVESTIMENTOS GESTORA DE RECURSOS S/A</v>
          </cell>
        </row>
        <row r="18587">
          <cell r="B18587">
            <v>125363</v>
          </cell>
          <cell r="C18587" t="str">
            <v>SULAMERICA FUTURE FIM</v>
          </cell>
          <cell r="D18587" t="str">
            <v>SULAMERICA FUTURE FIM</v>
          </cell>
          <cell r="E18587" t="str">
            <v>SUL AMERICA INVESTIMENTOS GESTORA DE RECURSOS S/A</v>
          </cell>
        </row>
        <row r="18588">
          <cell r="B18588">
            <v>125363</v>
          </cell>
          <cell r="C18588" t="str">
            <v>SULAMERICA FUTURE FIM</v>
          </cell>
          <cell r="D18588" t="str">
            <v>SULAMERICA FUTURE FIM</v>
          </cell>
          <cell r="E18588" t="str">
            <v>SUL AMERICA INVESTIMENTOS GESTORA DE RECURSOS S/A</v>
          </cell>
        </row>
        <row r="18589">
          <cell r="B18589">
            <v>80719</v>
          </cell>
          <cell r="C18589" t="str">
            <v>LAZIO FUNDO DE INVESTIMENTO EM AÃ‡Ã•ES</v>
          </cell>
          <cell r="D18589" t="str">
            <v>LAZIO FUNDO DE INVESTIMENTO EM AÃ‡Ã•ES</v>
          </cell>
          <cell r="E18589" t="str">
            <v>LAZIO FUNDO DE INVESTIMENTO EM AÃ‡Ã•ES</v>
          </cell>
        </row>
        <row r="18590">
          <cell r="B18590">
            <v>80719</v>
          </cell>
          <cell r="C18590" t="str">
            <v>LAZIO FUNDO DE INVESTIMENTO EM AÃ‡Ã•ES</v>
          </cell>
          <cell r="D18590" t="str">
            <v>LAZIO FUNDO DE INVESTIMENTO EM AÃ‡Ã•ES</v>
          </cell>
          <cell r="E18590" t="str">
            <v>LAZIO FUNDO DE INVESTIMENTO EM AÃ‡Ã•ES</v>
          </cell>
        </row>
        <row r="18591">
          <cell r="B18591">
            <v>125365</v>
          </cell>
          <cell r="C18591" t="str">
            <v>SULAMERICA LONG BIASED FIM</v>
          </cell>
          <cell r="D18591" t="str">
            <v>SULAMERICA LONG BIASED FIM</v>
          </cell>
          <cell r="E18591" t="str">
            <v>SULAMERICA LONG BIASED FIM</v>
          </cell>
        </row>
        <row r="18592">
          <cell r="B18592">
            <v>125364</v>
          </cell>
          <cell r="C18592" t="str">
            <v>SUL AMERICA FUNDO MUTUO DE PRIVATIZAÃ‡ÃƒO FGTS PETROBRAS</v>
          </cell>
          <cell r="D18592" t="str">
            <v>SUL AMERICA FUNDO MUTUO DE PRIVATIZAÃ‡ÃƒO FGTS PETROBRAS</v>
          </cell>
          <cell r="E18592" t="str">
            <v>SUL AMERICA INVESTIMENTOS GESTORA DE RECURSOS S/A</v>
          </cell>
        </row>
        <row r="18593">
          <cell r="B18593">
            <v>125364</v>
          </cell>
          <cell r="C18593" t="str">
            <v>SUL AMERICA FUNDO MUTUO DE PRIVATIZAÃ‡ÃƒO FGTS PETROBRAS</v>
          </cell>
          <cell r="D18593" t="str">
            <v>SUL AMERICA FUNDO MUTUO DE PRIVATIZAÃ‡ÃƒO FGTS PETROBRAS</v>
          </cell>
          <cell r="E18593" t="str">
            <v>SUL AMERICA INVESTIMENTOS GESTORA DE RECURSOS S/A</v>
          </cell>
        </row>
        <row r="18594">
          <cell r="B18594">
            <v>125366</v>
          </cell>
          <cell r="C18594" t="str">
            <v>SULAMERICA MIX 30 IV FIM</v>
          </cell>
          <cell r="D18594" t="str">
            <v>SULAMERICA MIX 30 IV FIM</v>
          </cell>
          <cell r="E18594" t="str">
            <v>SUL AMERICA INVESTIMENTOS GESTORA DE RECURSOS S/A</v>
          </cell>
        </row>
        <row r="18595">
          <cell r="B18595">
            <v>80720</v>
          </cell>
          <cell r="C18595" t="str">
            <v>VINCI JOATINGA FUNDO DE INVESTIMENTO EM AÃ‡Ã•ES</v>
          </cell>
          <cell r="D18595" t="str">
            <v>VINCI JOATINGA FUNDO DE INVESTIMENTO EM AÃ‡Ã•ES</v>
          </cell>
          <cell r="E18595" t="str">
            <v>VINCI JOATINGA FUNDO DE INVESTIMENTO EM AÃ‡Ã•ES</v>
          </cell>
        </row>
        <row r="18596">
          <cell r="B18596">
            <v>125366</v>
          </cell>
          <cell r="C18596" t="str">
            <v>SULAMERICA MIX 30 IV FIM</v>
          </cell>
          <cell r="D18596" t="str">
            <v>SULAMERICA MIX 30 IV FIM</v>
          </cell>
          <cell r="E18596" t="str">
            <v>SUL AMERICA INVESTIMENTOS GESTORA DE RECURSOS S/A</v>
          </cell>
        </row>
        <row r="18597">
          <cell r="B18597">
            <v>80720</v>
          </cell>
          <cell r="C18597" t="str">
            <v>VINCI JOATINGA FUNDO DE INVESTIMENTO EM AÃ‡Ã•ES</v>
          </cell>
          <cell r="D18597" t="str">
            <v>VINCI JOATINGA FUNDO DE INVESTIMENTO EM AÃ‡Ã•ES</v>
          </cell>
          <cell r="E18597" t="str">
            <v>VINCI JOATINGA FUNDO DE INVESTIMENTO EM AÃ‡Ã•ES</v>
          </cell>
        </row>
        <row r="18598">
          <cell r="B18598">
            <v>125367</v>
          </cell>
          <cell r="C18598" t="str">
            <v>SULAMERICA MIX 40 FIM</v>
          </cell>
          <cell r="D18598" t="str">
            <v>SULAMERICA MIX 40 FIM</v>
          </cell>
          <cell r="E18598" t="str">
            <v>SUL AMERICA INVESTIMENTOS GESTORA DE RECURSOS S/A</v>
          </cell>
        </row>
        <row r="18599">
          <cell r="B18599">
            <v>125367</v>
          </cell>
          <cell r="C18599" t="str">
            <v>SULAMERICA MIX 40 FIM</v>
          </cell>
          <cell r="D18599" t="str">
            <v>SULAMERICA MIX 40 FIM</v>
          </cell>
          <cell r="E18599" t="str">
            <v>SUL AMERICA INVESTIMENTOS GESTORA DE RECURSOS S/A</v>
          </cell>
        </row>
        <row r="18600">
          <cell r="B18600">
            <v>125368</v>
          </cell>
          <cell r="C18600" t="str">
            <v>SULAMERICA MIX 20 FIM</v>
          </cell>
          <cell r="D18600" t="str">
            <v>SULAMERICA MIX 20 FIM</v>
          </cell>
          <cell r="E18600" t="str">
            <v>SUL AMERICA INVESTIMENTOS GESTORA DE RECURSOS S/A</v>
          </cell>
        </row>
        <row r="18601">
          <cell r="B18601">
            <v>125368</v>
          </cell>
          <cell r="C18601" t="str">
            <v>SULAMERICA MIX 20 FIM</v>
          </cell>
          <cell r="D18601" t="str">
            <v>SULAMERICA MIX 20 FIM</v>
          </cell>
          <cell r="E18601" t="str">
            <v>SUL AMERICA INVESTIMENTOS GESTORA DE RECURSOS S/A</v>
          </cell>
        </row>
        <row r="18602">
          <cell r="B18602">
            <v>125369</v>
          </cell>
          <cell r="C18602" t="str">
            <v>SULAMERICA MIX 15 IV FIM</v>
          </cell>
          <cell r="D18602" t="str">
            <v>SULAMERICA MIX 15 IV FIM</v>
          </cell>
          <cell r="E18602" t="str">
            <v>SUL AMERICA INVESTIMENTOS GESTORA DE RECURSOS S/A</v>
          </cell>
        </row>
        <row r="18603">
          <cell r="B18603">
            <v>125369</v>
          </cell>
          <cell r="C18603" t="str">
            <v>SULAMERICA MIX 15 IV FIM</v>
          </cell>
          <cell r="D18603" t="str">
            <v>SULAMERICA MIX 15 IV FIM</v>
          </cell>
          <cell r="E18603" t="str">
            <v>SUL AMERICA INVESTIMENTOS GESTORA DE RECURSOS S/A</v>
          </cell>
        </row>
        <row r="18604">
          <cell r="B18604">
            <v>125370</v>
          </cell>
          <cell r="C18604" t="str">
            <v>SULAMERICA MULTICARTEIRA MASTER PREV FIM</v>
          </cell>
          <cell r="D18604" t="str">
            <v>SULAMERICA MULTICARTEIRA MASTER PREV FIM</v>
          </cell>
          <cell r="E18604" t="str">
            <v>SUL AMERICA INVESTIMENTOS GESTORA DE RECURSOS S/A</v>
          </cell>
        </row>
        <row r="18605">
          <cell r="B18605">
            <v>125372</v>
          </cell>
          <cell r="C18605" t="str">
            <v>SULAMERICA QUALITY FIA</v>
          </cell>
          <cell r="D18605" t="str">
            <v>SULAMERICA QUALITY FIA</v>
          </cell>
          <cell r="E18605" t="str">
            <v>SUL AMERICA INVESTIMENTOS GESTORA DE RECURSOS S/A</v>
          </cell>
        </row>
        <row r="18606">
          <cell r="B18606">
            <v>125372</v>
          </cell>
          <cell r="C18606" t="str">
            <v>SULAMERICA QUALITY FIA</v>
          </cell>
          <cell r="D18606" t="str">
            <v>SULAMERICA QUALITY FIA</v>
          </cell>
          <cell r="E18606" t="str">
            <v>SUL AMERICA INVESTIMENTOS GESTORA DE RECURSOS S/A</v>
          </cell>
        </row>
        <row r="18607">
          <cell r="B18607">
            <v>125373</v>
          </cell>
          <cell r="C18607" t="str">
            <v>SULAMERICA SHELL PREV 49 FIM</v>
          </cell>
          <cell r="D18607" t="str">
            <v>SULAMERICA SHELL PREV 49 FIM</v>
          </cell>
          <cell r="E18607" t="str">
            <v>SUL AMERICA INVESTIMENTOS GESTORA DE RECURSOS S/A</v>
          </cell>
        </row>
        <row r="18608">
          <cell r="B18608">
            <v>125373</v>
          </cell>
          <cell r="C18608" t="str">
            <v>SULAMERICA SHELL PREV 49 FIM</v>
          </cell>
          <cell r="D18608" t="str">
            <v>SULAMERICA SHELL PREV 49 FIM</v>
          </cell>
          <cell r="E18608" t="str">
            <v>SUL AMERICA INVESTIMENTOS GESTORA DE RECURSOS S/A</v>
          </cell>
        </row>
        <row r="18609">
          <cell r="B18609">
            <v>125375</v>
          </cell>
          <cell r="C18609" t="str">
            <v>SULAMERICA SELECTION FIA</v>
          </cell>
          <cell r="D18609" t="str">
            <v>SULAMERICA SELECTION FIA</v>
          </cell>
          <cell r="E18609" t="str">
            <v>SUL AMERICA INVESTIMENTOS GESTORA DE RECURSOS S/A</v>
          </cell>
        </row>
        <row r="18610">
          <cell r="B18610">
            <v>125375</v>
          </cell>
          <cell r="C18610" t="str">
            <v>SULAMERICA SELECTION FIA</v>
          </cell>
          <cell r="D18610" t="str">
            <v>SULAMERICA SELECTION FIA</v>
          </cell>
          <cell r="E18610" t="str">
            <v>SUL AMERICA INVESTIMENTOS GESTORA DE RECURSOS S/A</v>
          </cell>
        </row>
        <row r="18611">
          <cell r="B18611">
            <v>125374</v>
          </cell>
          <cell r="C18611" t="str">
            <v>SULAMERICA MIX 49 I FIM</v>
          </cell>
          <cell r="D18611" t="str">
            <v>SULAMERICA MIX 49 I FIM</v>
          </cell>
          <cell r="E18611" t="str">
            <v>SUL AMERICA INVESTIMENTOS GESTORA DE RECURSOS S/A</v>
          </cell>
        </row>
        <row r="18612">
          <cell r="B18612">
            <v>125376</v>
          </cell>
          <cell r="C18612" t="str">
            <v>SUL AMERICA FAMILIA PREVIDENCIA FIA</v>
          </cell>
          <cell r="D18612" t="str">
            <v>SUL AMERICA FAMILIA PREVIDENCIA FIA</v>
          </cell>
          <cell r="E18612" t="str">
            <v>SUL AMERICA INVESTIMENTOS GESTORA DE RECURSOS S/A</v>
          </cell>
        </row>
        <row r="18613">
          <cell r="B18613">
            <v>125376</v>
          </cell>
          <cell r="C18613" t="str">
            <v>SUL AMERICA FAMILIA PREVIDENCIA FIA</v>
          </cell>
          <cell r="D18613" t="str">
            <v>SUL AMERICA FAMILIA PREVIDENCIA FIA</v>
          </cell>
          <cell r="E18613" t="str">
            <v>SUL AMERICA INVESTIMENTOS GESTORA DE RECURSOS S/A</v>
          </cell>
        </row>
        <row r="18614">
          <cell r="B18614">
            <v>80721</v>
          </cell>
          <cell r="C18614" t="str">
            <v>ITAU S&amp;P/B3 LOW VOLATILITYT FIF EM AÃ‡Ã•ES RL</v>
          </cell>
          <cell r="D18614" t="str">
            <v>ITAU S&amp;P/B3 LOW VOLATILITYT FIF EM AÃ‡Ã•ES RL</v>
          </cell>
          <cell r="E18614" t="str">
            <v>ITAU UNIBANCO ASSET - TACO</v>
          </cell>
        </row>
        <row r="18615">
          <cell r="B18615">
            <v>80634</v>
          </cell>
          <cell r="C18615" t="str">
            <v>SAFRA ACOES LIVRE FIC DE FIA</v>
          </cell>
          <cell r="D18615" t="str">
            <v>SAFRA ACOES LIVRE FIC DE FIA</v>
          </cell>
          <cell r="E18615" t="str">
            <v>SAFRA ASSET MANAGEMENT LTDA</v>
          </cell>
        </row>
        <row r="18616">
          <cell r="B18616">
            <v>125379</v>
          </cell>
          <cell r="C18616" t="str">
            <v>SANTANDER CACEIS BRASIL DTVM S.A.</v>
          </cell>
          <cell r="D18616" t="str">
            <v>SANTANDER CACEIS BRASIL DTVM S.A.</v>
          </cell>
          <cell r="E18616" t="str">
            <v>SANTANDER BRASIL GESTAO DE RECURSOS LTDA</v>
          </cell>
        </row>
        <row r="18617">
          <cell r="B18617">
            <v>125378</v>
          </cell>
          <cell r="C18617" t="str">
            <v>SANTANDER CACEIS BRASIL DTVM S.A.</v>
          </cell>
          <cell r="D18617" t="str">
            <v>SANTANDER CACEIS BRASIL DTVM S.A.</v>
          </cell>
          <cell r="E18617" t="str">
            <v>SANTANDER BRASIL GESTAO DE RECURSOS LTDA</v>
          </cell>
        </row>
        <row r="18618">
          <cell r="B18618">
            <v>125377</v>
          </cell>
          <cell r="C18618" t="str">
            <v>SANTANDER CACEIS BRASIL DTVM S.A.</v>
          </cell>
          <cell r="D18618" t="str">
            <v>SANTANDER CACEIS BRASIL DTVM S.A.</v>
          </cell>
          <cell r="E18618" t="str">
            <v>SANTANDER BRASIL GESTAO DE RECURSOS LTDA</v>
          </cell>
        </row>
        <row r="18619">
          <cell r="B18619">
            <v>125380</v>
          </cell>
          <cell r="C18619" t="str">
            <v>SANTANDER CACEIS BRASIL DTVM S.A.</v>
          </cell>
          <cell r="D18619" t="str">
            <v>SANTANDER CACEIS BRASIL DTVM S.A.</v>
          </cell>
          <cell r="E18619" t="str">
            <v>SANTANDER BRASIL GESTAO DE RECURSOS LTDA</v>
          </cell>
        </row>
        <row r="18620">
          <cell r="B18620">
            <v>7703</v>
          </cell>
          <cell r="C18620" t="str">
            <v>XP INVESTIMENTOS CCTVM S/A</v>
          </cell>
          <cell r="D18620" t="str">
            <v>XP INVESTIMENTOS CCTVM S/A</v>
          </cell>
          <cell r="E18620" t="str">
            <v>XP INVESTIMENTOS CCTVM S/A</v>
          </cell>
        </row>
        <row r="18621">
          <cell r="B18621">
            <v>125382</v>
          </cell>
          <cell r="C18621" t="str">
            <v>SANTANDER CACEIS BRASIL DTVM S.A.</v>
          </cell>
          <cell r="D18621" t="str">
            <v>SANTANDER CACEIS BRASIL DTVM S.A.</v>
          </cell>
          <cell r="E18621" t="str">
            <v>SANTANDER BRASIL GESTAO DE RECURSOS LTDA</v>
          </cell>
        </row>
        <row r="18622">
          <cell r="B18622">
            <v>125382</v>
          </cell>
          <cell r="C18622" t="str">
            <v>SANTANDER CACEIS BRASIL DTVM S.A.</v>
          </cell>
          <cell r="D18622" t="str">
            <v>SANTANDER CACEIS BRASIL DTVM S.A.</v>
          </cell>
          <cell r="E18622" t="str">
            <v>SANTANDER BRASIL GESTAO DE RECURSOS LTDA</v>
          </cell>
        </row>
        <row r="18623">
          <cell r="B18623">
            <v>125383</v>
          </cell>
          <cell r="C18623" t="str">
            <v>SANTANDER CACEIS BRASIL DTVM S.A.</v>
          </cell>
          <cell r="D18623" t="str">
            <v>SANTANDER CACEIS BRASIL DTVM S.A.</v>
          </cell>
          <cell r="E18623" t="str">
            <v>SANTANDER BRASIL GESTAO DE RECURSOS LTDA</v>
          </cell>
        </row>
        <row r="18624">
          <cell r="B18624">
            <v>125383</v>
          </cell>
          <cell r="C18624" t="str">
            <v>SANTANDER CACEIS BRASIL DTVM S.A.</v>
          </cell>
          <cell r="D18624" t="str">
            <v>SANTANDER CACEIS BRASIL DTVM S.A.</v>
          </cell>
          <cell r="E18624" t="str">
            <v>SANTANDER BRASIL GESTAO DE RECURSOS LTDA</v>
          </cell>
        </row>
        <row r="18625">
          <cell r="B18625">
            <v>125384</v>
          </cell>
          <cell r="C18625" t="str">
            <v>SANTANDER CACEIS BRASIL DTVM S.A.</v>
          </cell>
          <cell r="D18625" t="str">
            <v>SANTANDER CACEIS BRASIL DTVM S.A.</v>
          </cell>
          <cell r="E18625" t="str">
            <v>SANTANDER BRASIL GESTAO DE RECURSOS LTDA</v>
          </cell>
        </row>
        <row r="18626">
          <cell r="B18626">
            <v>125384</v>
          </cell>
          <cell r="C18626" t="str">
            <v>SANTANDER CACEIS BRASIL DTVM S.A.</v>
          </cell>
          <cell r="D18626" t="str">
            <v>SANTANDER CACEIS BRASIL DTVM S.A.</v>
          </cell>
          <cell r="E18626" t="str">
            <v>SANTANDER BRASIL GESTAO DE RECURSOS LTDA</v>
          </cell>
        </row>
        <row r="18627">
          <cell r="B18627">
            <v>125385</v>
          </cell>
          <cell r="C18627" t="str">
            <v>SAFRA CARTEIRA PREMIUM FIF CLASSE DE INVESTIMENTO MULTI RL</v>
          </cell>
          <cell r="D18627" t="str">
            <v>SAFRA CARTEIRA PREMIUM FIF CLASSE DE INVESTIMENTO MULTI RL</v>
          </cell>
          <cell r="E18627" t="str">
            <v>SAFRA ASSET MANAGEMENT LTDA</v>
          </cell>
        </row>
        <row r="18628">
          <cell r="B18628">
            <v>125386</v>
          </cell>
          <cell r="C18628" t="str">
            <v>SAFRA GLOBAL EQUITIES FIM</v>
          </cell>
          <cell r="D18628" t="str">
            <v>SAFRA GLOBAL EQUITIES FIM</v>
          </cell>
          <cell r="E18628" t="str">
            <v>EMERALD GESTAO DE INVESTIMENTOS LTDA</v>
          </cell>
        </row>
        <row r="18629">
          <cell r="B18629">
            <v>125387</v>
          </cell>
          <cell r="C18629" t="str">
            <v>PIRATINI FIM</v>
          </cell>
          <cell r="D18629" t="str">
            <v>PIRATINI FIM</v>
          </cell>
          <cell r="E18629" t="str">
            <v>SAFRA ASSET MANAGEMENT LTDA</v>
          </cell>
        </row>
        <row r="18630">
          <cell r="B18630">
            <v>125387</v>
          </cell>
          <cell r="C18630" t="str">
            <v>PIRATINI FIM</v>
          </cell>
          <cell r="D18630" t="str">
            <v>PIRATINI FIM</v>
          </cell>
          <cell r="E18630" t="str">
            <v>SAFRA ASSET MANAGEMENT LTDA</v>
          </cell>
        </row>
        <row r="18631">
          <cell r="B18631">
            <v>80726</v>
          </cell>
          <cell r="C18631" t="str">
            <v>CAPEMISA SEGURADORA DE VIDA E PREVIDENCIA S/A</v>
          </cell>
          <cell r="D18631" t="str">
            <v>CAPEMISA SEGURADORA DE VIDA E PREVIDENCIA S/A</v>
          </cell>
          <cell r="E18631" t="str">
            <v>CAPEMISA SEGURADORA DE VIDA E PREVIDENCIA S/A</v>
          </cell>
        </row>
        <row r="18632">
          <cell r="B18632">
            <v>80726</v>
          </cell>
          <cell r="C18632" t="str">
            <v>CAPEMISA SEGURADORA DE VIDA E PREVIDENCIA S/A</v>
          </cell>
          <cell r="D18632" t="str">
            <v>CAPEMISA SEGURADORA DE VIDA E PREVIDENCIA S/A</v>
          </cell>
          <cell r="E18632" t="str">
            <v>CAPEMISA SEGURADORA DE VIDA E PREVIDENCIA S/A</v>
          </cell>
        </row>
        <row r="18633">
          <cell r="B18633">
            <v>80727</v>
          </cell>
          <cell r="C18633" t="str">
            <v>SFAPES FUNDO DE INVESTIMENTO MULTIMERCADO</v>
          </cell>
          <cell r="D18633" t="str">
            <v>SFAPES FUNDO DE INVESTIMENTO MULTIMERCADO</v>
          </cell>
          <cell r="E18633" t="str">
            <v>SAFRA ASSET MANAGEMENT LTDA</v>
          </cell>
        </row>
        <row r="18634">
          <cell r="B18634">
            <v>80727</v>
          </cell>
          <cell r="C18634" t="str">
            <v>SFAPES FUNDO DE INVESTIMENTO MULTIMERCADO</v>
          </cell>
          <cell r="D18634" t="str">
            <v>SFAPES FUNDO DE INVESTIMENTO MULTIMERCADO</v>
          </cell>
          <cell r="E18634" t="str">
            <v>SAFRA ASSET MANAGEMENT LTDA</v>
          </cell>
        </row>
        <row r="18635">
          <cell r="B18635">
            <v>125388</v>
          </cell>
          <cell r="C18635" t="str">
            <v>BTG PACTUAL HIGHLANDS FIM</v>
          </cell>
          <cell r="D18635" t="str">
            <v>BTG PACTUAL HIGHLANDS FIM</v>
          </cell>
          <cell r="E18635" t="str">
            <v>BTG PACTUAL ASSET MANAGEMENT SA DTVM</v>
          </cell>
        </row>
        <row r="18636">
          <cell r="B18636">
            <v>125388</v>
          </cell>
          <cell r="C18636" t="str">
            <v>BTG PACTUAL HIGHLANDS FIM</v>
          </cell>
          <cell r="D18636" t="str">
            <v>BTG PACTUAL HIGHLANDS FIM</v>
          </cell>
          <cell r="E18636" t="str">
            <v>BTG PACTUAL ASSET MANAGEMENT SA DTVM</v>
          </cell>
        </row>
        <row r="18637">
          <cell r="B18637">
            <v>80728</v>
          </cell>
          <cell r="C18637" t="str">
            <v>APEX LONG BIASED II ICATU FIF MULT PREVIDENCIÃRIO FIFE RL</v>
          </cell>
          <cell r="D18637" t="str">
            <v>APEX LONG BIASED II ICATU FIF MULT PREVIDENCIÃRIO FIFE RL</v>
          </cell>
          <cell r="E18637" t="str">
            <v>APEX CAPITAL LTDA</v>
          </cell>
        </row>
        <row r="18638">
          <cell r="B18638">
            <v>80729</v>
          </cell>
          <cell r="C18638" t="str">
            <v>APEX LONG BIASED II ICATU FIF MULT PREVIDENCIÃRIO FIFE RL</v>
          </cell>
          <cell r="D18638" t="str">
            <v>APEX LONG BIASED II ICATU FIF MULT PREVIDENCIÃRIO FIFE RL</v>
          </cell>
          <cell r="E18638" t="str">
            <v>APEX CAPITAL LTDA</v>
          </cell>
        </row>
        <row r="18639">
          <cell r="B18639">
            <v>80729</v>
          </cell>
          <cell r="C18639" t="str">
            <v>APEX LONG BIASED II ICATU FIF MULT PREVIDENCIÃRIO FIFE RL</v>
          </cell>
          <cell r="D18639" t="str">
            <v>APEX LONG BIASED II ICATU FIF MULT PREVIDENCIÃRIO FIFE RL</v>
          </cell>
          <cell r="E18639" t="str">
            <v>APEX CAPITAL LTDA</v>
          </cell>
        </row>
        <row r="18640">
          <cell r="B18640">
            <v>8730</v>
          </cell>
          <cell r="C18640" t="str">
            <v>APEX LONG BIASED II ICATU FIF MULT PREVIDENCIÃRIO FIFE RL</v>
          </cell>
          <cell r="D18640">
            <v>8730</v>
          </cell>
          <cell r="E18640" t="str">
            <v>APEX LONG BIASED II ICATU FIF MULT PREVIDENCIÃRIO FIFE RL</v>
          </cell>
        </row>
        <row r="18641">
          <cell r="B18641">
            <v>8730</v>
          </cell>
          <cell r="C18641" t="str">
            <v>APEX LONG BIASED II ICATU FIF MULT PREVIDENCIÃRIO FIFE RL</v>
          </cell>
          <cell r="D18641">
            <v>8730</v>
          </cell>
          <cell r="E18641" t="str">
            <v>APEX LONG BIASED II ICATU FIF MULT PREVIDENCIÃRIO FIFE RL</v>
          </cell>
        </row>
        <row r="18642">
          <cell r="B18642">
            <v>125389</v>
          </cell>
          <cell r="C18642" t="str">
            <v>SANTANDER CACEIS BRASIL DTVM S.A.</v>
          </cell>
          <cell r="D18642" t="str">
            <v>SANTANDER CACEIS BRASIL DTVM S.A.</v>
          </cell>
          <cell r="E18642" t="str">
            <v>SANTANDER BRASIL GESTAO DE RECURSOS LTDA</v>
          </cell>
        </row>
        <row r="18643">
          <cell r="B18643">
            <v>125389</v>
          </cell>
          <cell r="C18643" t="str">
            <v>SANTANDER CACEIS BRASIL DTVM S.A.</v>
          </cell>
          <cell r="D18643" t="str">
            <v>SANTANDER CACEIS BRASIL DTVM S.A.</v>
          </cell>
          <cell r="E18643" t="str">
            <v>SANTANDER BRASIL GESTAO DE RECURSOS LTDA</v>
          </cell>
        </row>
        <row r="18644">
          <cell r="B18644">
            <v>80730</v>
          </cell>
          <cell r="C18644" t="str">
            <v>APEX LONG BIASED II ICATU FIF MULT PREVIDENCIÃRIO FIFE RL</v>
          </cell>
          <cell r="D18644" t="str">
            <v>APEX LONG BIASED II ICATU FIF MULT PREVIDENCIÃRIO FIFE RL</v>
          </cell>
          <cell r="E18644" t="str">
            <v>APEX CAPITAL LTDA</v>
          </cell>
        </row>
        <row r="18645">
          <cell r="B18645">
            <v>80730</v>
          </cell>
          <cell r="C18645" t="str">
            <v>APEX LONG BIASED II ICATU FIF MULT PREVIDENCIÃRIO FIFE RL</v>
          </cell>
          <cell r="D18645" t="str">
            <v>APEX LONG BIASED II ICATU FIF MULT PREVIDENCIÃRIO FIFE RL</v>
          </cell>
          <cell r="E18645" t="str">
            <v>APEX CAPITAL LTDA</v>
          </cell>
        </row>
        <row r="18646">
          <cell r="B18646">
            <v>80731</v>
          </cell>
          <cell r="C18646" t="str">
            <v>EMPIRICUS FOF MELHORES FUNDOS FIC DE FIM CP</v>
          </cell>
          <cell r="D18646" t="str">
            <v>EMPIRICUS FOF MELHORES FUNDOS FIC DE FIM CP</v>
          </cell>
          <cell r="E18646" t="str">
            <v>EMPIRICUS GESTAO DE RECURSOS LTDA</v>
          </cell>
        </row>
        <row r="18647">
          <cell r="B18647">
            <v>80731</v>
          </cell>
          <cell r="C18647" t="str">
            <v>EMPIRICUS FOF MELHORES FUNDOS FIC DE FIM CP</v>
          </cell>
          <cell r="D18647" t="str">
            <v>EMPIRICUS FOF MELHORES FUNDOS FIC DE FIM CP</v>
          </cell>
          <cell r="E18647" t="str">
            <v>EMPIRICUS GESTAO DE RECURSOS LTDA</v>
          </cell>
        </row>
        <row r="18648">
          <cell r="B18648">
            <v>80732</v>
          </cell>
          <cell r="C18648" t="str">
            <v>VITREO FOF MELHORES AÃ‡Ã•ES  FIC DE FIM</v>
          </cell>
          <cell r="D18648" t="str">
            <v>VITREO FOF MELHORES AÃ‡Ã•ES  FIC DE FIM</v>
          </cell>
          <cell r="E18648" t="str">
            <v>EMPIRICUS GESTAO DE RECURSOS LTDA</v>
          </cell>
        </row>
        <row r="18649">
          <cell r="B18649">
            <v>80732</v>
          </cell>
          <cell r="C18649" t="str">
            <v>VITREO FOF MELHORES AÃ‡Ã•ES  FIC DE FIM</v>
          </cell>
          <cell r="D18649" t="str">
            <v>VITREO FOF MELHORES AÃ‡Ã•ES  FIC DE FIM</v>
          </cell>
          <cell r="E18649" t="str">
            <v>EMPIRICUS GESTAO DE RECURSOS LTDA</v>
          </cell>
        </row>
        <row r="18650">
          <cell r="B18650">
            <v>80733</v>
          </cell>
          <cell r="C18650" t="str">
            <v>VITREO MONEY RIDER HEDGE FIM IE</v>
          </cell>
          <cell r="D18650" t="str">
            <v>VITREO MONEY RIDER HEDGE FIM IE</v>
          </cell>
          <cell r="E18650" t="str">
            <v>EMPIRICUS GESTAO DE RECURSOS LTDA</v>
          </cell>
        </row>
        <row r="18651">
          <cell r="B18651">
            <v>80733</v>
          </cell>
          <cell r="C18651" t="str">
            <v>VITREO MONEY RIDER HEDGE FIM IE</v>
          </cell>
          <cell r="D18651" t="str">
            <v>VITREO MONEY RIDER HEDGE FIM IE</v>
          </cell>
          <cell r="E18651" t="str">
            <v>EMPIRICUS GESTAO DE RECURSOS LTDA</v>
          </cell>
        </row>
        <row r="18652">
          <cell r="B18652">
            <v>125390</v>
          </cell>
          <cell r="C18652" t="str">
            <v>SANTANDER CACEIS BRASIL DTVM S.A.</v>
          </cell>
          <cell r="D18652" t="str">
            <v>SANTANDER CACEIS BRASIL DTVM S.A.</v>
          </cell>
          <cell r="E18652" t="str">
            <v>SANTANDER BRASIL GESTAO DE RECURSOS LTDA</v>
          </cell>
        </row>
        <row r="18653">
          <cell r="B18653">
            <v>125390</v>
          </cell>
          <cell r="C18653" t="str">
            <v>SANTANDER CACEIS BRASIL DTVM S.A.</v>
          </cell>
          <cell r="D18653" t="str">
            <v>SANTANDER CACEIS BRASIL DTVM S.A.</v>
          </cell>
          <cell r="E18653" t="str">
            <v>SANTANDER BRASIL GESTAO DE RECURSOS LTDA</v>
          </cell>
        </row>
        <row r="18654">
          <cell r="B18654">
            <v>125391</v>
          </cell>
          <cell r="C18654" t="str">
            <v>SANTANDER CACEIS BRASIL DTVM S.A.</v>
          </cell>
          <cell r="D18654" t="str">
            <v>SANTANDER CACEIS BRASIL DTVM S.A.</v>
          </cell>
          <cell r="E18654" t="str">
            <v>SANTANDER BRASIL GESTAO DE RECURSOS LTDA</v>
          </cell>
        </row>
        <row r="18655">
          <cell r="B18655">
            <v>125391</v>
          </cell>
          <cell r="C18655" t="str">
            <v>SANTANDER CACEIS BRASIL DTVM S.A.</v>
          </cell>
          <cell r="D18655" t="str">
            <v>SANTANDER CACEIS BRASIL DTVM S.A.</v>
          </cell>
          <cell r="E18655" t="str">
            <v>SANTANDER BRASIL GESTAO DE RECURSOS LTDA</v>
          </cell>
        </row>
        <row r="18656">
          <cell r="B18656">
            <v>125392</v>
          </cell>
          <cell r="C18656" t="str">
            <v>SANTANDER CACEIS BRASIL DTVM S.A.</v>
          </cell>
          <cell r="D18656" t="str">
            <v>SANTANDER CACEIS BRASIL DTVM S.A.</v>
          </cell>
          <cell r="E18656" t="str">
            <v>SANTANDER BRASIL GESTAO DE RECURSOS LTDA</v>
          </cell>
        </row>
        <row r="18657">
          <cell r="B18657">
            <v>125392</v>
          </cell>
          <cell r="C18657" t="str">
            <v>SANTANDER CACEIS BRASIL DTVM S.A.</v>
          </cell>
          <cell r="D18657" t="str">
            <v>SANTANDER CACEIS BRASIL DTVM S.A.</v>
          </cell>
          <cell r="E18657" t="str">
            <v>SANTANDER BRASIL GESTAO DE RECURSOS LTDA</v>
          </cell>
        </row>
        <row r="18658">
          <cell r="B18658">
            <v>80734</v>
          </cell>
          <cell r="C18658" t="str">
            <v>BANCO FATOR S/A</v>
          </cell>
          <cell r="D18658" t="str">
            <v>BANCO FATOR S/A</v>
          </cell>
          <cell r="E18658" t="str">
            <v>BANCO FATOR S/A</v>
          </cell>
        </row>
        <row r="18659">
          <cell r="B18659">
            <v>80734</v>
          </cell>
          <cell r="C18659" t="str">
            <v>BANCO FATOR S/A</v>
          </cell>
          <cell r="D18659" t="str">
            <v>BANCO FATOR S/A</v>
          </cell>
          <cell r="E18659" t="str">
            <v>BANCO FATOR S/A</v>
          </cell>
        </row>
        <row r="18660">
          <cell r="B18660">
            <v>80735</v>
          </cell>
          <cell r="C18660" t="str">
            <v>ATLAS ONE MASTER FIA</v>
          </cell>
          <cell r="D18660" t="str">
            <v>ATLAS ONE MASTER FIA</v>
          </cell>
          <cell r="E18660" t="str">
            <v>ATLAS ONE INVESTIMENTOS GESTÃƒO DE RECURSOS LTDA</v>
          </cell>
        </row>
        <row r="18661">
          <cell r="B18661">
            <v>80735</v>
          </cell>
          <cell r="C18661" t="str">
            <v>ATLAS ONE MASTER FIA</v>
          </cell>
          <cell r="D18661" t="str">
            <v>ATLAS ONE MASTER FIA</v>
          </cell>
          <cell r="E18661" t="str">
            <v>ATLAS ONE INVESTIMENTOS GESTÃƒO DE RECURSOS LTDA</v>
          </cell>
        </row>
        <row r="18662">
          <cell r="B18662">
            <v>79188</v>
          </cell>
          <cell r="C18662" t="str">
            <v>OCCAM INSTITUCIONAL FIF MULTIMERCADO  RL</v>
          </cell>
          <cell r="D18662" t="str">
            <v>OCCAM INSTITUCIONAL FIF MULTIMERCADO  RL</v>
          </cell>
          <cell r="E18662" t="str">
            <v>OCCAM BRASIL GESTAO DE RECURSOS LTDA</v>
          </cell>
        </row>
        <row r="18663">
          <cell r="B18663">
            <v>122836</v>
          </cell>
          <cell r="C18663" t="str">
            <v>OCCAM LONG &amp; SHORT PLUS FIF MULTIMERCADO RESP LTDA</v>
          </cell>
          <cell r="D18663" t="str">
            <v>OCCAM LONG &amp; SHORT PLUS FIF MULTIMERCADO RESP LTDA</v>
          </cell>
          <cell r="E18663" t="str">
            <v>OCCAM BRASIL GESTAO DE RECURSOS LTDA</v>
          </cell>
        </row>
        <row r="18664">
          <cell r="B18664">
            <v>122998</v>
          </cell>
          <cell r="C18664" t="str">
            <v>OCCAM LONG BIASED FIF MULTIMERCADO RL</v>
          </cell>
          <cell r="D18664" t="str">
            <v>OCCAM LONG BIASED FIF MULTIMERCADO RL</v>
          </cell>
          <cell r="E18664" t="str">
            <v>OCCAM BRASIL GESTAO DE RECURSOS LTDA</v>
          </cell>
        </row>
        <row r="18665">
          <cell r="B18665">
            <v>123181</v>
          </cell>
          <cell r="C18665" t="str">
            <v>OCCAM MACRO FUNDO DE INVESTIMENTO MULTIMERCADO</v>
          </cell>
          <cell r="D18665" t="str">
            <v>OCCAM MACRO FUNDO DE INVESTIMENTO MULTIMERCADO</v>
          </cell>
          <cell r="E18665" t="str">
            <v>OCCAM BRASIL GESTAO DE RECURSOS LTDA</v>
          </cell>
        </row>
        <row r="18666">
          <cell r="B18666">
            <v>79653</v>
          </cell>
          <cell r="C18666" t="str">
            <v>OCCAM MACRO FUNDO DE INVESTIMENTO MULTIMERCADO</v>
          </cell>
          <cell r="D18666" t="str">
            <v>OCCAM MACRO FUNDO DE INVESTIMENTO MULTIMERCADO</v>
          </cell>
          <cell r="E18666" t="str">
            <v>OCCAM BRASIL GESTAO DE RECURSOS LTDA</v>
          </cell>
        </row>
        <row r="18667">
          <cell r="B18667">
            <v>79653</v>
          </cell>
          <cell r="C18667" t="str">
            <v>OCCAM MACRO FUNDO DE INVESTIMENTO MULTIMERCADO</v>
          </cell>
          <cell r="D18667" t="str">
            <v>OCCAM MACRO FUNDO DE INVESTIMENTO MULTIMERCADO</v>
          </cell>
          <cell r="E18667" t="str">
            <v>OCCAM BRASIL GESTAO DE RECURSOS LTDA</v>
          </cell>
        </row>
        <row r="18668">
          <cell r="B18668">
            <v>123039</v>
          </cell>
          <cell r="C18668" t="str">
            <v>OCCAM PREVIDENCIA MASTER FIM RL</v>
          </cell>
          <cell r="D18668" t="str">
            <v>OCCAM PREVIDENCIA MASTER FIM RL</v>
          </cell>
          <cell r="E18668" t="str">
            <v>OCCAM BRASIL GESTAO DE RECURSOS LTDA</v>
          </cell>
        </row>
        <row r="18669">
          <cell r="B18669">
            <v>79590</v>
          </cell>
          <cell r="C18669" t="str">
            <v>OCCAM PREVIDENCIA MASTER FIM RL</v>
          </cell>
          <cell r="D18669" t="str">
            <v>OCCAM PREVIDENCIA MASTER FIM RL</v>
          </cell>
          <cell r="E18669" t="str">
            <v>OCCAM BRASIL GESTAO DE RECURSOS LTDA</v>
          </cell>
        </row>
        <row r="18670">
          <cell r="B18670">
            <v>79590</v>
          </cell>
          <cell r="C18670" t="str">
            <v>OCCAM PREVIDENCIA MASTER FIM RL</v>
          </cell>
          <cell r="D18670" t="str">
            <v>OCCAM PREVIDENCIA MASTER FIM RL</v>
          </cell>
          <cell r="E18670" t="str">
            <v>OCCAM BRASIL GESTAO DE RECURSOS LTDA</v>
          </cell>
        </row>
        <row r="18671">
          <cell r="B18671">
            <v>122992</v>
          </cell>
          <cell r="C18671" t="str">
            <v>OCCAM RETORNO ABSOLUTO FIF MULTIMERCADO RESP LTDA</v>
          </cell>
          <cell r="D18671" t="str">
            <v>OCCAM RETORNO ABSOLUTO FIF MULTIMERCADO RESP LTDA</v>
          </cell>
          <cell r="E18671" t="str">
            <v>OCCAM BRASIL GESTAO DE RECURSOS LTDA</v>
          </cell>
        </row>
        <row r="18672">
          <cell r="B18672">
            <v>79285</v>
          </cell>
          <cell r="C18672" t="str">
            <v>OCCAM RETORNO ABSOLUTO FIF MULTIMERCADO RESP LTDA</v>
          </cell>
          <cell r="D18672" t="str">
            <v>OCCAM RETORNO ABSOLUTO FIF MULTIMERCADO RESP LTDA</v>
          </cell>
          <cell r="E18672" t="str">
            <v>OCCAM BRASIL GESTAO DE RECURSOS LTDA</v>
          </cell>
        </row>
        <row r="18673">
          <cell r="B18673">
            <v>80738</v>
          </cell>
          <cell r="C18673" t="str">
            <v>ATLAS ONE ICATU FIA PREVIDENCIA FIFE</v>
          </cell>
          <cell r="D18673" t="str">
            <v>ATLAS ONE ICATU FIA PREVIDENCIA FIFE</v>
          </cell>
          <cell r="E18673" t="str">
            <v>ATLAS ONE INVESTIMENTOS GESTÃƒO DE RECURSOS LTDA</v>
          </cell>
        </row>
        <row r="18674">
          <cell r="B18674">
            <v>80738</v>
          </cell>
          <cell r="C18674" t="str">
            <v>ATLAS ONE ICATU FIA PREVIDENCIA FIFE</v>
          </cell>
          <cell r="D18674" t="str">
            <v>ATLAS ONE ICATU FIA PREVIDENCIA FIFE</v>
          </cell>
          <cell r="E18674" t="str">
            <v>ATLAS ONE INVESTIMENTOS GESTÃƒO DE RECURSOS LTDA</v>
          </cell>
        </row>
        <row r="18675">
          <cell r="B18675">
            <v>80739</v>
          </cell>
          <cell r="C18675" t="str">
            <v>HATEU FIM CREDITO PRIVADO INVESTIMENTO NO EXTERIOR</v>
          </cell>
          <cell r="D18675" t="str">
            <v>HATEU FIM CREDITO PRIVADO INVESTIMENTO NO EXTERIOR</v>
          </cell>
          <cell r="E18675" t="str">
            <v>INVESTMENT ONE PARTNERS GESTAO DE RECURSOS LTDA</v>
          </cell>
        </row>
        <row r="18676">
          <cell r="B18676">
            <v>80739</v>
          </cell>
          <cell r="C18676" t="str">
            <v>HATEU FIM CREDITO PRIVADO INVESTIMENTO NO EXTERIOR</v>
          </cell>
          <cell r="D18676" t="str">
            <v>HATEU FIM CREDITO PRIVADO INVESTIMENTO NO EXTERIOR</v>
          </cell>
          <cell r="E18676" t="str">
            <v>INVESTMENT ONE PARTNERS GESTAO DE RECURSOS LTDA</v>
          </cell>
        </row>
        <row r="18677">
          <cell r="B18677">
            <v>80740</v>
          </cell>
          <cell r="C18677" t="str">
            <v>INVESTMENT ONE PARTNERS GESTAO DE RECURSOS LTDA</v>
          </cell>
          <cell r="D18677">
            <v>80740</v>
          </cell>
          <cell r="E18677" t="str">
            <v>INVESTMENT ONE PARTNERS GESTAO DE RECURSOS LTDA</v>
          </cell>
        </row>
        <row r="18678">
          <cell r="B18678">
            <v>80740</v>
          </cell>
          <cell r="C18678" t="str">
            <v>INVESTMENT ONE PARTNERS GESTAO DE RECURSOS LTDA</v>
          </cell>
          <cell r="D18678">
            <v>80740</v>
          </cell>
          <cell r="E18678" t="str">
            <v>INVESTMENT ONE PARTNERS GESTAO DE RECURSOS LTDA</v>
          </cell>
        </row>
        <row r="18679">
          <cell r="B18679">
            <v>80741</v>
          </cell>
          <cell r="C18679" t="str">
            <v>INVESTMENT ONE PARTNERS GESTAO DE RECURSOS LTDA</v>
          </cell>
          <cell r="D18679" t="str">
            <v>INVESTMENT ONE PARTNERS GESTAO DE RECURSOS LTDA</v>
          </cell>
          <cell r="E18679" t="str">
            <v>INVESTMENT ONE PARTNERS GESTAO DE RECURSOS LTDA</v>
          </cell>
        </row>
        <row r="18680">
          <cell r="B18680">
            <v>80741</v>
          </cell>
          <cell r="C18680" t="str">
            <v>INVESTMENT ONE PARTNERS GESTAO DE RECURSOS LTDA</v>
          </cell>
          <cell r="D18680" t="str">
            <v>INVESTMENT ONE PARTNERS GESTAO DE RECURSOS LTDA</v>
          </cell>
          <cell r="E18680" t="str">
            <v>INVESTMENT ONE PARTNERS GESTAO DE RECURSOS LTDA</v>
          </cell>
        </row>
        <row r="18681">
          <cell r="B18681">
            <v>80744</v>
          </cell>
          <cell r="C18681" t="str">
            <v>APEX LONG ONLY PREV FIFE VI FIF EM ACOES RL</v>
          </cell>
          <cell r="D18681" t="str">
            <v>APEX LONG ONLY PREV FIFE VI FIF EM ACOES RL</v>
          </cell>
          <cell r="E18681" t="str">
            <v>APEX CAPITAL LTDA</v>
          </cell>
        </row>
        <row r="18682">
          <cell r="B18682">
            <v>80745</v>
          </cell>
          <cell r="C18682" t="str">
            <v>APEX LONG ONLY PREV FIFE VI FIF EM ACOES RL</v>
          </cell>
          <cell r="D18682" t="str">
            <v>APEX LONG ONLY PREV FIFE VI FIF EM ACOES RL</v>
          </cell>
          <cell r="E18682" t="str">
            <v>APEX CAPITAL LTDA</v>
          </cell>
        </row>
        <row r="18683">
          <cell r="B18683">
            <v>80744</v>
          </cell>
          <cell r="C18683" t="str">
            <v>APEX LONG ONLY PREV FIFE VI FIF EM ACOES RL</v>
          </cell>
          <cell r="D18683" t="str">
            <v>APEX LONG ONLY PREV FIFE VI FIF EM ACOES RL</v>
          </cell>
          <cell r="E18683" t="str">
            <v>APEX CAPITAL LTDA</v>
          </cell>
        </row>
        <row r="18684">
          <cell r="B18684">
            <v>80745</v>
          </cell>
          <cell r="C18684" t="str">
            <v>APEX LONG ONLY PREV FIFE VI FIF EM ACOES RL</v>
          </cell>
          <cell r="D18684" t="str">
            <v>APEX LONG ONLY PREV FIFE VI FIF EM ACOES RL</v>
          </cell>
          <cell r="E18684" t="str">
            <v>APEX CAPITAL LTDA</v>
          </cell>
        </row>
        <row r="18685">
          <cell r="B18685">
            <v>80743</v>
          </cell>
          <cell r="C18685" t="str">
            <v>APEX LONG ONLY PREV FIFE VI FIF EM ACOES RL</v>
          </cell>
          <cell r="D18685" t="str">
            <v>APEX LONG ONLY PREV FIFE VI FIF EM ACOES RL</v>
          </cell>
          <cell r="E18685" t="str">
            <v>APEX CAPITAL LTDA</v>
          </cell>
        </row>
        <row r="18686">
          <cell r="B18686">
            <v>125400</v>
          </cell>
          <cell r="C18686" t="str">
            <v>NEWCORP FIM CRED PRIV IE</v>
          </cell>
          <cell r="D18686" t="str">
            <v>NEWCORP FIM CRED PRIV IE</v>
          </cell>
          <cell r="E18686" t="str">
            <v>JULIUS BAER FAMILY OFFICE BRASIL GESTAO DE PATRIMONIO LTDA</v>
          </cell>
        </row>
        <row r="18687">
          <cell r="B18687">
            <v>125400</v>
          </cell>
          <cell r="C18687" t="str">
            <v>NEWCORP FIM CRED PRIV IE</v>
          </cell>
          <cell r="D18687" t="str">
            <v>NEWCORP FIM CRED PRIV IE</v>
          </cell>
          <cell r="E18687" t="str">
            <v>JULIUS BAER FAMILY OFFICE BRASIL GESTAO DE PATRIMONIO LTDA</v>
          </cell>
        </row>
        <row r="18688">
          <cell r="B18688">
            <v>80746</v>
          </cell>
          <cell r="C18688" t="str">
            <v>EMPIRICUS OPORTUNIDADES DE UMA VIDA FUNDO DE INVESTIMENTO EM</v>
          </cell>
          <cell r="D18688" t="str">
            <v>EMPIRICUS OPORTUNIDADES DE UMA VIDA FUNDO DE INVESTIMENTO EM</v>
          </cell>
          <cell r="E18688" t="str">
            <v>EMPIRICUS GESTAO DE RECURSOS LTDA</v>
          </cell>
        </row>
        <row r="18689">
          <cell r="B18689">
            <v>80746</v>
          </cell>
          <cell r="C18689" t="str">
            <v>EMPIRICUS OPORTUNIDADES DE UMA VIDA FUNDO DE INVESTIMENTO EM</v>
          </cell>
          <cell r="D18689" t="str">
            <v>EMPIRICUS OPORTUNIDADES DE UMA VIDA FUNDO DE INVESTIMENTO EM</v>
          </cell>
          <cell r="E18689" t="str">
            <v>EMPIRICUS GESTAO DE RECURSOS LTDA</v>
          </cell>
        </row>
        <row r="18690">
          <cell r="B18690">
            <v>80747</v>
          </cell>
          <cell r="C18690" t="str">
            <v>NGN FIM CREDITO PRIVADO IE</v>
          </cell>
          <cell r="D18690" t="str">
            <v>NGN FIM CREDITO PRIVADO IE</v>
          </cell>
          <cell r="E18690" t="str">
            <v>JULIUS BAER FAMILY OFFICE BRASIL GESTAO DE PATRIMONIO LTDA</v>
          </cell>
        </row>
        <row r="18691">
          <cell r="B18691">
            <v>80747</v>
          </cell>
          <cell r="C18691" t="str">
            <v>NGN FIM CREDITO PRIVADO IE</v>
          </cell>
          <cell r="D18691" t="str">
            <v>NGN FIM CREDITO PRIVADO IE</v>
          </cell>
          <cell r="E18691" t="str">
            <v>JULIUS BAER FAMILY OFFICE BRASIL GESTAO DE PATRIMONIO LTDA</v>
          </cell>
        </row>
        <row r="18692">
          <cell r="B18692">
            <v>80748</v>
          </cell>
          <cell r="C18692" t="str">
            <v>FORTE FIM CRED PRIV IE</v>
          </cell>
          <cell r="D18692" t="str">
            <v>FORTE FIM CRED PRIV IE</v>
          </cell>
          <cell r="E18692" t="str">
            <v>JULIUS BAER FAMILY OFFICE BRASIL GESTAO DE PATRIMONIO LTDA</v>
          </cell>
        </row>
        <row r="18693">
          <cell r="B18693">
            <v>80748</v>
          </cell>
          <cell r="C18693" t="str">
            <v>FORTE FIM CRED PRIV IE</v>
          </cell>
          <cell r="D18693" t="str">
            <v>FORTE FIM CRED PRIV IE</v>
          </cell>
          <cell r="E18693" t="str">
            <v>JULIUS BAER FAMILY OFFICE BRASIL GESTAO DE PATRIMONIO LTDA</v>
          </cell>
        </row>
        <row r="18694">
          <cell r="B18694">
            <v>80750</v>
          </cell>
          <cell r="C18694" t="str">
            <v>OCEANA - FIFTH AVENUE FUND LLC</v>
          </cell>
          <cell r="D18694" t="str">
            <v>OCEANA - FIFTH AVENUE FUND LLC</v>
          </cell>
          <cell r="E18694" t="str">
            <v>OCEANA - FIFTH AVENUE FUND LLC</v>
          </cell>
        </row>
        <row r="18695">
          <cell r="B18695">
            <v>80750</v>
          </cell>
          <cell r="C18695" t="str">
            <v>OCEANA - FIFTH AVENUE FUND LLC</v>
          </cell>
          <cell r="D18695" t="str">
            <v>OCEANA - FIFTH AVENUE FUND LLC</v>
          </cell>
          <cell r="E18695" t="str">
            <v>OCEANA - FIFTH AVENUE FUND LLC</v>
          </cell>
        </row>
        <row r="18696">
          <cell r="B18696">
            <v>125401</v>
          </cell>
          <cell r="C18696" t="str">
            <v>SANTANDER CACEIS BRASIL DTVM S.A.</v>
          </cell>
          <cell r="D18696" t="str">
            <v>SANTANDER CACEIS BRASIL DTVM S.A.</v>
          </cell>
          <cell r="E18696" t="str">
            <v>SANTANDER BRASIL GESTAO DE RECURSOS LTDA</v>
          </cell>
        </row>
        <row r="18697">
          <cell r="B18697">
            <v>125401</v>
          </cell>
          <cell r="C18697" t="str">
            <v>SANTANDER CACEIS BRASIL DTVM S.A.</v>
          </cell>
          <cell r="D18697" t="str">
            <v>SANTANDER CACEIS BRASIL DTVM S.A.</v>
          </cell>
          <cell r="E18697" t="str">
            <v>SANTANDER BRASIL GESTAO DE RECURSOS LTDA</v>
          </cell>
        </row>
        <row r="18698">
          <cell r="B18698">
            <v>125402</v>
          </cell>
          <cell r="C18698" t="str">
            <v>SANTANDER CACEIS BRASIL DTVM S.A.</v>
          </cell>
          <cell r="D18698" t="str">
            <v>SANTANDER CACEIS BRASIL DTVM S.A.</v>
          </cell>
          <cell r="E18698" t="str">
            <v>SANTANDER BRASIL GESTAO DE RECURSOS LTDA</v>
          </cell>
        </row>
        <row r="18699">
          <cell r="B18699">
            <v>125402</v>
          </cell>
          <cell r="C18699" t="str">
            <v>SANTANDER CACEIS BRASIL DTVM S.A.</v>
          </cell>
          <cell r="D18699" t="str">
            <v>SANTANDER CACEIS BRASIL DTVM S.A.</v>
          </cell>
          <cell r="E18699" t="str">
            <v>SANTANDER BRASIL GESTAO DE RECURSOS LTDA</v>
          </cell>
        </row>
        <row r="18700">
          <cell r="B18700">
            <v>80751</v>
          </cell>
          <cell r="C18700" t="str">
            <v>MORGAN STANLEY URUGUAY LTDA</v>
          </cell>
          <cell r="D18700">
            <v>80751</v>
          </cell>
          <cell r="E18700" t="str">
            <v>BANCO MORGAN STANLEY S/A</v>
          </cell>
        </row>
        <row r="18701">
          <cell r="B18701">
            <v>80752</v>
          </cell>
          <cell r="C18701" t="str">
            <v>MORGAN STANLEY URUGUAY LTDA</v>
          </cell>
          <cell r="D18701">
            <v>80752</v>
          </cell>
          <cell r="E18701" t="str">
            <v>BANCO MORGAN STANLEY S/A</v>
          </cell>
        </row>
        <row r="18702">
          <cell r="B18702">
            <v>80751</v>
          </cell>
          <cell r="C18702" t="str">
            <v>MORGAN STANLEY URUGUAY LTDA</v>
          </cell>
          <cell r="D18702">
            <v>80751</v>
          </cell>
          <cell r="E18702" t="str">
            <v>BANCO MORGAN STANLEY S/A</v>
          </cell>
        </row>
        <row r="18703">
          <cell r="B18703">
            <v>80752</v>
          </cell>
          <cell r="C18703" t="str">
            <v>MORGAN STANLEY URUGUAY LTDA</v>
          </cell>
          <cell r="D18703">
            <v>80752</v>
          </cell>
          <cell r="E18703" t="str">
            <v>BANCO MORGAN STANLEY S/A</v>
          </cell>
        </row>
        <row r="18704">
          <cell r="B18704">
            <v>80755</v>
          </cell>
          <cell r="C18704" t="str">
            <v>CAP II FIA</v>
          </cell>
          <cell r="D18704" t="str">
            <v>CAP II FIA</v>
          </cell>
          <cell r="E18704" t="str">
            <v>CAP II FIA</v>
          </cell>
        </row>
        <row r="18705">
          <cell r="B18705">
            <v>80755</v>
          </cell>
          <cell r="C18705" t="str">
            <v>CAP II FIA</v>
          </cell>
          <cell r="D18705" t="str">
            <v>CAP II FIA</v>
          </cell>
          <cell r="E18705" t="str">
            <v>CAP II FIA</v>
          </cell>
        </row>
        <row r="18706">
          <cell r="B18706">
            <v>80756</v>
          </cell>
          <cell r="C18706" t="str">
            <v>MARCELO SANTANA DO NASCIMENTO</v>
          </cell>
          <cell r="D18706" t="str">
            <v>MARCELO SANTANA DO NASCIMENTO</v>
          </cell>
          <cell r="E18706" t="str">
            <v>MARCELO SANTANA DO NASCIMENTO</v>
          </cell>
        </row>
        <row r="18707">
          <cell r="B18707">
            <v>80757</v>
          </cell>
          <cell r="C18707" t="str">
            <v>ROGERIO DE PAIVA BEZERRA</v>
          </cell>
          <cell r="D18707" t="str">
            <v>ROGERIO DE PAIVA BEZERRA</v>
          </cell>
          <cell r="E18707" t="str">
            <v>ROGERIO DE PAIVA BEZERRA</v>
          </cell>
        </row>
        <row r="18708">
          <cell r="B18708">
            <v>125403</v>
          </cell>
          <cell r="C18708" t="str">
            <v>SANTANDER CACEIS BRASIL DTVM S.A.</v>
          </cell>
          <cell r="D18708" t="str">
            <v>SANTANDER CACEIS BRASIL DTVM S.A.</v>
          </cell>
          <cell r="E18708" t="str">
            <v>SANTANDER BRASIL GESTAO DE RECURSOS LTDA</v>
          </cell>
        </row>
        <row r="18709">
          <cell r="B18709">
            <v>125403</v>
          </cell>
          <cell r="C18709" t="str">
            <v>SANTANDER CACEIS BRASIL DTVM S.A.</v>
          </cell>
          <cell r="D18709" t="str">
            <v>SANTANDER CACEIS BRASIL DTVM S.A.</v>
          </cell>
          <cell r="E18709" t="str">
            <v>SANTANDER BRASIL GESTAO DE RECURSOS LTDA</v>
          </cell>
        </row>
        <row r="18710">
          <cell r="B18710">
            <v>125404</v>
          </cell>
          <cell r="C18710" t="str">
            <v>SANTANDER CACEIS BRASIL DTVM S.A.</v>
          </cell>
          <cell r="D18710" t="str">
            <v>SANTANDER CACEIS BRASIL DTVM S.A.</v>
          </cell>
          <cell r="E18710" t="str">
            <v>SANTANDER BRASIL GESTAO DE RECURSOS LTDA</v>
          </cell>
        </row>
        <row r="18711">
          <cell r="B18711">
            <v>125404</v>
          </cell>
          <cell r="C18711" t="str">
            <v>SANTANDER CACEIS BRASIL DTVM S.A.</v>
          </cell>
          <cell r="D18711" t="str">
            <v>SANTANDER CACEIS BRASIL DTVM S.A.</v>
          </cell>
          <cell r="E18711" t="str">
            <v>SANTANDER BRASIL GESTAO DE RECURSOS LTDA</v>
          </cell>
        </row>
        <row r="18712">
          <cell r="B18712">
            <v>80742</v>
          </cell>
          <cell r="C18712" t="str">
            <v>SAGA ULTRA FUNDO DE INVESTIMENTO MULTIMERCADO</v>
          </cell>
          <cell r="D18712" t="str">
            <v>SAGA ULTRA FUNDO DE INVESTIMENTO MULTIMERCADO</v>
          </cell>
          <cell r="E18712" t="str">
            <v>KINITRO CAPITAL GESTAO DE RECURSOS DE TERCEIROS LTDA</v>
          </cell>
        </row>
        <row r="18713">
          <cell r="B18713">
            <v>80742</v>
          </cell>
          <cell r="C18713" t="str">
            <v>SAGA ULTRA FUNDO DE INVESTIMENTO MULTIMERCADO</v>
          </cell>
          <cell r="D18713" t="str">
            <v>SAGA ULTRA FUNDO DE INVESTIMENTO MULTIMERCADO</v>
          </cell>
          <cell r="E18713" t="str">
            <v>KINITRO CAPITAL GESTAO DE RECURSOS DE TERCEIROS LTDA</v>
          </cell>
        </row>
        <row r="18714">
          <cell r="B18714">
            <v>125405</v>
          </cell>
          <cell r="C18714" t="str">
            <v>SANTANDER CACEIS BRASIL DTVM S.A.</v>
          </cell>
          <cell r="D18714" t="str">
            <v>SANTANDER CACEIS BRASIL DTVM S.A.</v>
          </cell>
          <cell r="E18714" t="str">
            <v>SANTANDER BRASIL GESTAO DE RECURSOS LTDA</v>
          </cell>
        </row>
        <row r="18715">
          <cell r="B18715">
            <v>125405</v>
          </cell>
          <cell r="C18715" t="str">
            <v>SANTANDER CACEIS BRASIL DTVM S.A.</v>
          </cell>
          <cell r="D18715" t="str">
            <v>SANTANDER CACEIS BRASIL DTVM S.A.</v>
          </cell>
          <cell r="E18715" t="str">
            <v>SANTANDER BRASIL GESTAO DE RECURSOS LTDA</v>
          </cell>
        </row>
        <row r="18716">
          <cell r="B18716">
            <v>80758</v>
          </cell>
          <cell r="C18716" t="str">
            <v>ITAÃš FLEXPREV MOMENTO FIF EM ACOES RL</v>
          </cell>
          <cell r="D18716" t="str">
            <v>ITAÃš FLEXPREV MOMENTO FIF EM ACOES RL</v>
          </cell>
          <cell r="E18716" t="str">
            <v>ITAU UNIBANCO ASSET - TACO</v>
          </cell>
        </row>
        <row r="18717">
          <cell r="B18717">
            <v>80759</v>
          </cell>
          <cell r="C18717" t="str">
            <v>VINCI SOLUÃ‡Ã•ES DE INVESTIMENTOS LTDA</v>
          </cell>
          <cell r="D18717" t="str">
            <v>VINCI SOLUÃ‡Ã•ES DE INVESTIMENTOS LTDA</v>
          </cell>
          <cell r="E18717" t="str">
            <v>VINCI GESTORA DE RECURSOS LTDA</v>
          </cell>
        </row>
        <row r="18718">
          <cell r="B18718">
            <v>80760</v>
          </cell>
          <cell r="C18718" t="str">
            <v>VINCI SOLUÃ‡Ã•ES DE INVESTIMENTOS LTDA</v>
          </cell>
          <cell r="D18718" t="str">
            <v>VINCI SOLUÃ‡Ã•ES DE INVESTIMENTOS LTDA</v>
          </cell>
          <cell r="E18718" t="str">
            <v>VINCI GESTORA DE RECURSOS LTDA</v>
          </cell>
        </row>
        <row r="18719">
          <cell r="B18719">
            <v>80759</v>
          </cell>
          <cell r="C18719" t="str">
            <v>VINCI SOLUÃ‡Ã•ES DE INVESTIMENTOS LTDA</v>
          </cell>
          <cell r="D18719" t="str">
            <v>VINCI SOLUÃ‡Ã•ES DE INVESTIMENTOS LTDA</v>
          </cell>
          <cell r="E18719" t="str">
            <v>VINCI GESTORA DE RECURSOS LTDA</v>
          </cell>
        </row>
        <row r="18720">
          <cell r="B18720">
            <v>80760</v>
          </cell>
          <cell r="C18720" t="str">
            <v>VINCI SOLUÃ‡Ã•ES DE INVESTIMENTOS LTDA</v>
          </cell>
          <cell r="D18720" t="str">
            <v>VINCI SOLUÃ‡Ã•ES DE INVESTIMENTOS LTDA</v>
          </cell>
          <cell r="E18720" t="str">
            <v>VINCI GESTORA DE RECURSOS LTDA</v>
          </cell>
        </row>
        <row r="18721">
          <cell r="B18721">
            <v>80761</v>
          </cell>
          <cell r="C18721" t="str">
            <v>VINLAND MACRO PREV MASTER FIM</v>
          </cell>
          <cell r="D18721" t="str">
            <v>VINLAND MACRO PREV MASTER FIM</v>
          </cell>
          <cell r="E18721" t="str">
            <v>VINLAND CAPITAL MANAGEMENT GESTORA DE RECURSOS LTDA</v>
          </cell>
        </row>
        <row r="18722">
          <cell r="B18722">
            <v>80762</v>
          </cell>
          <cell r="C18722" t="str">
            <v>VINLAND LONG BIAS PREV MASTER FIM</v>
          </cell>
          <cell r="D18722" t="str">
            <v>VINLAND LONG BIAS PREV MASTER FIM</v>
          </cell>
          <cell r="E18722" t="str">
            <v>VINLAND CAPITAL MANAGEMENT GESTORA DE RECURSOS LTDA</v>
          </cell>
        </row>
        <row r="18723">
          <cell r="B18723">
            <v>80763</v>
          </cell>
          <cell r="C18723" t="str">
            <v>MEROS II MASTER FIM CREDITO PRIVADO IE</v>
          </cell>
          <cell r="D18723" t="str">
            <v>MEROS II MASTER FIM CREDITO PRIVADO IE</v>
          </cell>
          <cell r="E18723" t="str">
            <v>JULIUS BAER FAMILY OFFICE BRASIL GESTAO DE PATRIMONIO LTDA</v>
          </cell>
        </row>
        <row r="18724">
          <cell r="B18724">
            <v>80763</v>
          </cell>
          <cell r="C18724" t="str">
            <v>MEROS II MASTER FIM CREDITO PRIVADO IE</v>
          </cell>
          <cell r="D18724" t="str">
            <v>MEROS II MASTER FIM CREDITO PRIVADO IE</v>
          </cell>
          <cell r="E18724" t="str">
            <v>JULIUS BAER FAMILY OFFICE BRASIL GESTAO DE PATRIMONIO LTDA</v>
          </cell>
        </row>
        <row r="18725">
          <cell r="B18725">
            <v>125406</v>
          </cell>
          <cell r="C18725" t="str">
            <v>SANTANDER CACEIS BRASIL DTVM S.A.</v>
          </cell>
          <cell r="D18725" t="str">
            <v>SANTANDER CACEIS BRASIL DTVM S.A.</v>
          </cell>
          <cell r="E18725" t="str">
            <v>SANTANDER BRASIL GESTAO DE RECURSOS LTDA</v>
          </cell>
        </row>
        <row r="18726">
          <cell r="B18726">
            <v>125406</v>
          </cell>
          <cell r="C18726" t="str">
            <v>SANTANDER CACEIS BRASIL DTVM S.A.</v>
          </cell>
          <cell r="D18726" t="str">
            <v>SANTANDER CACEIS BRASIL DTVM S.A.</v>
          </cell>
          <cell r="E18726" t="str">
            <v>SANTANDER BRASIL GESTAO DE RECURSOS LTDA</v>
          </cell>
        </row>
        <row r="18727">
          <cell r="B18727">
            <v>125407</v>
          </cell>
          <cell r="C18727" t="str">
            <v>SANTANDER CACEIS BRASIL DTVM S.A.</v>
          </cell>
          <cell r="D18727" t="str">
            <v>SANTANDER CACEIS BRASIL DTVM S.A.</v>
          </cell>
          <cell r="E18727" t="str">
            <v>SANTANDER BRASIL GESTAO DE RECURSOS LTDA</v>
          </cell>
        </row>
        <row r="18728">
          <cell r="B18728">
            <v>125407</v>
          </cell>
          <cell r="C18728" t="str">
            <v>SANTANDER CACEIS BRASIL DTVM S.A.</v>
          </cell>
          <cell r="D18728" t="str">
            <v>SANTANDER CACEIS BRASIL DTVM S.A.</v>
          </cell>
          <cell r="E18728" t="str">
            <v>SANTANDER BRASIL GESTAO DE RECURSOS LTDA</v>
          </cell>
        </row>
        <row r="18729">
          <cell r="B18729">
            <v>125408</v>
          </cell>
          <cell r="C18729" t="str">
            <v>SANTANDER CACEIS BRASIL DTVM S.A.</v>
          </cell>
          <cell r="D18729" t="str">
            <v>SANTANDER CACEIS BRASIL DTVM S.A.</v>
          </cell>
          <cell r="E18729" t="str">
            <v>SANTANDER BRASIL GESTAO DE RECURSOS LTDA</v>
          </cell>
        </row>
        <row r="18730">
          <cell r="B18730">
            <v>125409</v>
          </cell>
          <cell r="C18730" t="str">
            <v>SANTANDER CACEIS BRASIL DTVM S.A.</v>
          </cell>
          <cell r="D18730" t="str">
            <v>SANTANDER CACEIS BRASIL DTVM S.A.</v>
          </cell>
          <cell r="E18730" t="str">
            <v>SANTANDER BRASIL GESTAO DE RECURSOS LTDA</v>
          </cell>
        </row>
        <row r="18731">
          <cell r="B18731">
            <v>125408</v>
          </cell>
          <cell r="C18731" t="str">
            <v>SANTANDER CACEIS BRASIL DTVM S.A.</v>
          </cell>
          <cell r="D18731" t="str">
            <v>SANTANDER CACEIS BRASIL DTVM S.A.</v>
          </cell>
          <cell r="E18731" t="str">
            <v>SANTANDER BRASIL GESTAO DE RECURSOS LTDA</v>
          </cell>
        </row>
        <row r="18732">
          <cell r="B18732">
            <v>125409</v>
          </cell>
          <cell r="C18732" t="str">
            <v>SANTANDER CACEIS BRASIL DTVM S.A.</v>
          </cell>
          <cell r="D18732" t="str">
            <v>SANTANDER CACEIS BRASIL DTVM S.A.</v>
          </cell>
          <cell r="E18732" t="str">
            <v>SANTANDER BRASIL GESTAO DE RECURSOS LTDA</v>
          </cell>
        </row>
        <row r="18733">
          <cell r="B18733">
            <v>80764</v>
          </cell>
          <cell r="C18733" t="str">
            <v>BANK OF CHINA (BRASIL) BANCO MULTIPLO S/A</v>
          </cell>
          <cell r="D18733" t="str">
            <v>2.8</v>
          </cell>
          <cell r="E18733" t="str">
            <v>BANCO DA CHINA BRASIL S/A</v>
          </cell>
        </row>
        <row r="18734">
          <cell r="B18734">
            <v>80764</v>
          </cell>
          <cell r="C18734" t="str">
            <v>BANK OF CHINA (BRASIL) BANCO MULTIPLO S/A</v>
          </cell>
          <cell r="D18734" t="str">
            <v>BANK OF CHINA (BRASIL) BANCO MULTIPLO S/A</v>
          </cell>
          <cell r="E18734" t="str">
            <v>BANCO DA CHINA BRASIL S/A</v>
          </cell>
        </row>
        <row r="18735">
          <cell r="B18735">
            <v>125410</v>
          </cell>
          <cell r="C18735" t="str">
            <v>SANTANDER CACEIS BRASIL DTVM S.A.</v>
          </cell>
          <cell r="D18735" t="str">
            <v>SANTANDER CACEIS BRASIL DTVM S.A.</v>
          </cell>
          <cell r="E18735" t="str">
            <v>SANTANDER BRASIL GESTAO DE RECURSOS LTDA</v>
          </cell>
        </row>
        <row r="18736">
          <cell r="B18736">
            <v>125410</v>
          </cell>
          <cell r="C18736" t="str">
            <v>SANTANDER CACEIS BRASIL DTVM S.A.</v>
          </cell>
          <cell r="D18736" t="str">
            <v>SANTANDER CACEIS BRASIL DTVM S.A.</v>
          </cell>
          <cell r="E18736" t="str">
            <v>SANTANDER BRASIL GESTAO DE RECURSOS LTDA</v>
          </cell>
        </row>
        <row r="18737">
          <cell r="B18737">
            <v>80765</v>
          </cell>
          <cell r="C18737" t="str">
            <v>ENTERCAPITAL GESTAO DE RECURSOS LTDA</v>
          </cell>
          <cell r="D18737" t="str">
            <v>ENTERCAPITAL GESTAO DE RECURSOS LTDA</v>
          </cell>
          <cell r="E18737" t="str">
            <v>ENTERCAPITAL GESTAO DE RECURSOS LTDA</v>
          </cell>
        </row>
        <row r="18738">
          <cell r="B18738">
            <v>80765</v>
          </cell>
          <cell r="C18738" t="str">
            <v>ENTERCAPITAL GESTAO DE RECURSOS LTDA</v>
          </cell>
          <cell r="D18738" t="str">
            <v>ENTERCAPITAL GESTAO DE RECURSOS LTDA</v>
          </cell>
          <cell r="E18738" t="str">
            <v>ENTERCAPITAL GESTAO DE RECURSOS LTDA</v>
          </cell>
        </row>
        <row r="18739">
          <cell r="B18739">
            <v>80766</v>
          </cell>
          <cell r="C18739" t="str">
            <v>ENTERCAPITAL TURING FIC DE FIM</v>
          </cell>
          <cell r="D18739" t="str">
            <v>ENTERCAPITAL TURING FIC DE FIM</v>
          </cell>
          <cell r="E18739" t="str">
            <v>ENTERCAPITAL GESTAO DE RECURSOS LTDA</v>
          </cell>
        </row>
        <row r="18740">
          <cell r="B18740">
            <v>80766</v>
          </cell>
          <cell r="C18740" t="str">
            <v>ENTERCAPITAL TURING FIC DE FIM</v>
          </cell>
          <cell r="D18740" t="str">
            <v>ENTERCAPITAL TURING FIC DE FIM</v>
          </cell>
          <cell r="E18740" t="str">
            <v>ENTERCAPITAL GESTAO DE RECURSOS LTDA</v>
          </cell>
        </row>
        <row r="18741">
          <cell r="B18741">
            <v>80768</v>
          </cell>
          <cell r="C18741" t="str">
            <v>PRADA ADMINISTRADORA DE RECURSOS LTDA.</v>
          </cell>
          <cell r="D18741" t="str">
            <v>PRADA ADMINISTRADORA DE RECURSOS LTDA.</v>
          </cell>
          <cell r="E18741" t="str">
            <v>PRADA ADMINISTRADORA DE RECURSOS LTDA.</v>
          </cell>
        </row>
        <row r="18742">
          <cell r="B18742">
            <v>80768</v>
          </cell>
          <cell r="C18742" t="str">
            <v>PRADA ADMINISTRADORA DE RECURSOS LTDA.</v>
          </cell>
          <cell r="D18742" t="str">
            <v>PRADA ADMINISTRADORA DE RECURSOS LTDA.</v>
          </cell>
          <cell r="E18742" t="str">
            <v>PRADA ADMINISTRADORA DE RECURSOS LTDA.</v>
          </cell>
        </row>
        <row r="18743">
          <cell r="B18743">
            <v>123817</v>
          </cell>
          <cell r="C18743" t="str">
            <v>BANCO SANTANDER, S/A (MADRID)</v>
          </cell>
          <cell r="D18743" t="str">
            <v>BANCO SANTANDER, S/A (MADRID)</v>
          </cell>
          <cell r="E18743" t="str">
            <v>BANCO SANTANDER S/A (HISPANO)</v>
          </cell>
        </row>
        <row r="18744">
          <cell r="B18744">
            <v>122852</v>
          </cell>
          <cell r="C18744" t="str">
            <v>XP INVESTOR 30 FIA</v>
          </cell>
          <cell r="D18744" t="str">
            <v>XP INVESTOR 30 FIA</v>
          </cell>
          <cell r="E18744" t="str">
            <v>XP INVESTOR 30 FIA</v>
          </cell>
        </row>
        <row r="18745">
          <cell r="B18745">
            <v>125411</v>
          </cell>
          <cell r="C18745" t="str">
            <v>SANTANDER CACEIS BRASIL DTVM S.A.</v>
          </cell>
          <cell r="D18745" t="str">
            <v>SANTANDER CACEIS BRASIL DTVM S.A.</v>
          </cell>
          <cell r="E18745" t="str">
            <v>SANTANDER BRASIL GESTAO DE RECURSOS LTDA</v>
          </cell>
        </row>
        <row r="18746">
          <cell r="B18746">
            <v>125411</v>
          </cell>
          <cell r="C18746" t="str">
            <v>SANTANDER CACEIS BRASIL DTVM S.A.</v>
          </cell>
          <cell r="D18746" t="str">
            <v>SANTANDER CACEIS BRASIL DTVM S.A.</v>
          </cell>
          <cell r="E18746" t="str">
            <v>SANTANDER BRASIL GESTAO DE RECURSOS LTDA</v>
          </cell>
        </row>
        <row r="18747">
          <cell r="B18747">
            <v>125412</v>
          </cell>
          <cell r="C18747" t="str">
            <v>SANTANDER CACEIS BRASIL DTVM S.A.</v>
          </cell>
          <cell r="D18747" t="str">
            <v>SANTANDER CACEIS BRASIL DTVM S.A.</v>
          </cell>
          <cell r="E18747" t="str">
            <v>SANTANDER BRASIL GESTAO DE RECURSOS LTDA</v>
          </cell>
        </row>
        <row r="18748">
          <cell r="B18748">
            <v>125412</v>
          </cell>
          <cell r="C18748" t="str">
            <v>SANTANDER CACEIS BRASIL DTVM S.A.</v>
          </cell>
          <cell r="D18748" t="str">
            <v>SANTANDER CACEIS BRASIL DTVM S.A.</v>
          </cell>
          <cell r="E18748" t="str">
            <v>SANTANDER BRASIL GESTAO DE RECURSOS LTDA</v>
          </cell>
        </row>
        <row r="18749">
          <cell r="B18749">
            <v>80771</v>
          </cell>
          <cell r="C18749" t="str">
            <v>BANCO DA CHINA BRASIL S.A</v>
          </cell>
          <cell r="D18749" t="str">
            <v>BANCO DA CHINA BRASIL S.A</v>
          </cell>
          <cell r="E18749" t="str">
            <v>BANCO DA CHINA BRASIL S/A</v>
          </cell>
        </row>
        <row r="18750">
          <cell r="B18750">
            <v>125413</v>
          </cell>
          <cell r="C18750" t="str">
            <v>BB GESTAO DE RECURSOS DTVM LTDA</v>
          </cell>
          <cell r="D18750" t="str">
            <v>BB GESTAO DE RECURSOS DTVM LTDA</v>
          </cell>
          <cell r="E18750" t="str">
            <v>BB GESTAO DE RECURSOS DTVM LTDA</v>
          </cell>
        </row>
        <row r="18751">
          <cell r="B18751">
            <v>125413</v>
          </cell>
          <cell r="C18751" t="str">
            <v>BB GESTAO DE RECURSOS DTVM LTDA</v>
          </cell>
          <cell r="D18751" t="str">
            <v>BB GESTAO DE RECURSOS DTVM LTDA</v>
          </cell>
          <cell r="E18751" t="str">
            <v>BB GESTAO DE RECURSOS DTVM LTDA</v>
          </cell>
        </row>
        <row r="18752">
          <cell r="B18752">
            <v>125414</v>
          </cell>
          <cell r="C18752" t="str">
            <v>ARX INCOME PREVIDENCIA MASTER FIF EM ACOES RL</v>
          </cell>
          <cell r="D18752" t="str">
            <v>ARX INCOME PREVIDENCIA MASTER FIF EM ACOES RL</v>
          </cell>
          <cell r="E18752" t="str">
            <v>ARX INVESTIMENTOS LTDA</v>
          </cell>
        </row>
        <row r="18753">
          <cell r="B18753">
            <v>80777</v>
          </cell>
          <cell r="C18753" t="str">
            <v>ALASKA LONG ONLY ADVISORY XP SEGUROS FIFE FIF DE AÃ‡Ã•ES - RL</v>
          </cell>
          <cell r="D18753" t="str">
            <v>ALASKA LONG ONLY ADVISORY XP SEGUROS FIFE FIF DE AÃ‡Ã•ES - RL</v>
          </cell>
          <cell r="E18753" t="str">
            <v>ALASKA INVESTIMENTOS LTDA</v>
          </cell>
        </row>
        <row r="18754">
          <cell r="B18754">
            <v>80773</v>
          </cell>
          <cell r="C18754" t="str">
            <v>SAFARI CAPITAL GESTAO DE RECURSOS LTDA.</v>
          </cell>
          <cell r="D18754" t="str">
            <v>SAFARI CAPITAL GESTAO DE RECURSOS LTDA.</v>
          </cell>
          <cell r="E18754" t="str">
            <v>SAFARI CAPITAL GESTAO DE RECURSOS LTDA.</v>
          </cell>
        </row>
        <row r="18755">
          <cell r="B18755">
            <v>80773</v>
          </cell>
          <cell r="C18755" t="str">
            <v>SAFARI CAPITAL GESTAO DE RECURSOS LTDA.</v>
          </cell>
          <cell r="D18755" t="str">
            <v>SAFARI CAPITAL GESTAO DE RECURSOS LTDA.</v>
          </cell>
          <cell r="E18755" t="str">
            <v>SAFARI CAPITAL GESTAO DE RECURSOS LTDA.</v>
          </cell>
        </row>
        <row r="18756">
          <cell r="B18756">
            <v>80776</v>
          </cell>
          <cell r="C18756" t="str">
            <v>SAFARI MASTER FUNDO DE INVESTIMENTO MULTIMERCADO</v>
          </cell>
          <cell r="D18756" t="str">
            <v>SAFARI MASTER FUNDO DE INVESTIMENTO MULTIMERCADO</v>
          </cell>
          <cell r="E18756" t="str">
            <v>SAFARI CAPITAL GESTAO DE RECURSOS LTDA.</v>
          </cell>
        </row>
        <row r="18757">
          <cell r="B18757">
            <v>80776</v>
          </cell>
          <cell r="C18757" t="str">
            <v>SAFARI MASTER FUNDO DE INVESTIMENTO MULTIMERCADO</v>
          </cell>
          <cell r="D18757" t="str">
            <v>SAFARI MASTER FUNDO DE INVESTIMENTO MULTIMERCADO</v>
          </cell>
          <cell r="E18757" t="str">
            <v>SAFARI CAPITAL GESTAO DE RECURSOS LTDA.</v>
          </cell>
        </row>
        <row r="18758">
          <cell r="B18758">
            <v>125415</v>
          </cell>
          <cell r="C18758" t="str">
            <v>SANTANDER CACEIS BRASIL DTVM S.A.</v>
          </cell>
          <cell r="D18758" t="str">
            <v>SANTANDER CACEIS BRASIL DTVM S.A.</v>
          </cell>
          <cell r="E18758" t="str">
            <v>SANTANDER BRASIL GESTAO DE RECURSOS LTDA</v>
          </cell>
        </row>
        <row r="18759">
          <cell r="B18759">
            <v>125415</v>
          </cell>
          <cell r="C18759" t="str">
            <v>SANTANDER CACEIS BRASIL DTVM S.A.</v>
          </cell>
          <cell r="D18759" t="str">
            <v>SANTANDER CACEIS BRASIL DTVM S.A.</v>
          </cell>
          <cell r="E18759" t="str">
            <v>SANTANDER BRASIL GESTAO DE RECURSOS LTDA</v>
          </cell>
        </row>
        <row r="18760">
          <cell r="B18760">
            <v>80778</v>
          </cell>
          <cell r="C18760" t="str">
            <v>KAIROS MACRO B PREVID MASTER FIM</v>
          </cell>
          <cell r="D18760" t="str">
            <v>KAIROS MACRO B PREVID MASTER FIM</v>
          </cell>
          <cell r="E18760" t="str">
            <v>KAIROS CAPITAL GESTAO DE RECURSOS LTDA</v>
          </cell>
        </row>
        <row r="18761">
          <cell r="B18761">
            <v>80778</v>
          </cell>
          <cell r="C18761" t="str">
            <v>KAIROS MACRO B PREVID MASTER FIM</v>
          </cell>
          <cell r="D18761" t="str">
            <v>KAIROS MACRO B PREVID MASTER FIM</v>
          </cell>
          <cell r="E18761" t="str">
            <v>KAIROS CAPITAL GESTAO DE RECURSOS LTDA</v>
          </cell>
        </row>
        <row r="18762">
          <cell r="B18762">
            <v>80780</v>
          </cell>
          <cell r="C18762" t="str">
            <v>AZ QUEST MASTER ABSOLUTO FIM</v>
          </cell>
          <cell r="D18762" t="str">
            <v>AZ QUEST MASTER ABSOLUTO FIM</v>
          </cell>
          <cell r="E18762" t="str">
            <v>AZ QUEST INVESTIMENTOS LTDA</v>
          </cell>
        </row>
        <row r="18763">
          <cell r="B18763">
            <v>80780</v>
          </cell>
          <cell r="C18763" t="str">
            <v>AZ QUEST MASTER ABSOLUTO FIM</v>
          </cell>
          <cell r="D18763" t="str">
            <v>AZ QUEST MASTER ABSOLUTO FIM</v>
          </cell>
          <cell r="E18763" t="str">
            <v>AZ QUEST INVESTIMENTOS LTDA</v>
          </cell>
        </row>
        <row r="18764">
          <cell r="B18764">
            <v>80781</v>
          </cell>
          <cell r="C18764" t="str">
            <v>AZ QUEST TOP LONG BIASED PREV MASTER FIFE FIM</v>
          </cell>
          <cell r="D18764" t="str">
            <v>AZ QUEST TOP LONG BIASED PREV MASTER FIFE FIM</v>
          </cell>
          <cell r="E18764" t="str">
            <v>AZ QUEST INVESTIMENTOS LTDA</v>
          </cell>
        </row>
        <row r="18765">
          <cell r="B18765">
            <v>80782</v>
          </cell>
          <cell r="C18765" t="str">
            <v>AZ QUEST MULTI BRASILPREV FIFE FIM</v>
          </cell>
          <cell r="D18765" t="str">
            <v>AZ QUEST MULTI BRASILPREV FIFE FIM</v>
          </cell>
          <cell r="E18765" t="str">
            <v>AZ QUEST INVESTIMENTOS LTDA</v>
          </cell>
        </row>
        <row r="18766">
          <cell r="B18766">
            <v>125416</v>
          </cell>
          <cell r="C18766" t="str">
            <v>NUTREN FIA</v>
          </cell>
          <cell r="D18766" t="str">
            <v>NUTREN FIA</v>
          </cell>
          <cell r="E18766" t="str">
            <v>SUL AMERICA INVESTIMENTOS GESTORA DE RECURSOS S/A</v>
          </cell>
        </row>
        <row r="18767">
          <cell r="B18767">
            <v>125416</v>
          </cell>
          <cell r="C18767" t="str">
            <v>NUTREN FIA</v>
          </cell>
          <cell r="D18767" t="str">
            <v>NUTREN FIA</v>
          </cell>
          <cell r="E18767" t="str">
            <v>SUL AMERICA INVESTIMENTOS GESTORA DE RECURSOS S/A</v>
          </cell>
        </row>
        <row r="18768">
          <cell r="B18768">
            <v>125417</v>
          </cell>
          <cell r="C18768" t="str">
            <v>SANTANDER CACEIS BRASIL DTVM S.A.</v>
          </cell>
          <cell r="D18768" t="str">
            <v>SANTANDER CACEIS BRASIL DTVM S.A.</v>
          </cell>
          <cell r="E18768" t="str">
            <v>SANTANDER BRASIL GESTAO DE RECURSOS LTDA</v>
          </cell>
        </row>
        <row r="18769">
          <cell r="B18769">
            <v>125417</v>
          </cell>
          <cell r="C18769" t="str">
            <v>SANTANDER CACEIS BRASIL DTVM S.A.</v>
          </cell>
          <cell r="D18769" t="str">
            <v>SANTANDER CACEIS BRASIL DTVM S.A.</v>
          </cell>
          <cell r="E18769" t="str">
            <v>SANTANDER BRASIL GESTAO DE RECURSOS LTDA</v>
          </cell>
        </row>
        <row r="18770">
          <cell r="B18770">
            <v>125418</v>
          </cell>
          <cell r="C18770" t="str">
            <v>SANTANDER CACEIS BRASIL DTVM S.A.</v>
          </cell>
          <cell r="D18770" t="str">
            <v>SANTANDER CACEIS BRASIL DTVM S.A.</v>
          </cell>
          <cell r="E18770" t="str">
            <v>SANTANDER BRASIL GESTAO DE RECURSOS LTDA</v>
          </cell>
        </row>
        <row r="18771">
          <cell r="B18771">
            <v>125418</v>
          </cell>
          <cell r="C18771" t="str">
            <v>SANTANDER CACEIS BRASIL DTVM S.A.</v>
          </cell>
          <cell r="D18771" t="str">
            <v>SANTANDER CACEIS BRASIL DTVM S.A.</v>
          </cell>
          <cell r="E18771" t="str">
            <v>SANTANDER BRASIL GESTAO DE RECURSOS LTDA</v>
          </cell>
        </row>
        <row r="18772">
          <cell r="B18772">
            <v>125419</v>
          </cell>
          <cell r="C18772" t="str">
            <v>SANTANDER CACEIS BRASIL DTVM S.A.</v>
          </cell>
          <cell r="D18772" t="str">
            <v>SANTANDER CACEIS BRASIL DTVM S.A.</v>
          </cell>
          <cell r="E18772" t="str">
            <v>SANTANDER BRASIL GESTAO DE RECURSOS LTDA</v>
          </cell>
        </row>
        <row r="18773">
          <cell r="B18773">
            <v>125419</v>
          </cell>
          <cell r="C18773" t="str">
            <v>SANTANDER CACEIS BRASIL DTVM S.A.</v>
          </cell>
          <cell r="D18773" t="str">
            <v>SANTANDER CACEIS BRASIL DTVM S.A.</v>
          </cell>
          <cell r="E18773" t="str">
            <v>SANTANDER BRASIL GESTAO DE RECURSOS LTDA</v>
          </cell>
        </row>
        <row r="18774">
          <cell r="B18774">
            <v>125420</v>
          </cell>
          <cell r="C18774" t="str">
            <v>SANTANDER CACEIS BRASIL DTVM S.A.</v>
          </cell>
          <cell r="D18774" t="str">
            <v>SANTANDER CACEIS BRASIL DTVM S.A.</v>
          </cell>
          <cell r="E18774" t="str">
            <v>SANTANDER BRASIL GESTAO DE RECURSOS LTDA</v>
          </cell>
        </row>
        <row r="18775">
          <cell r="B18775">
            <v>125420</v>
          </cell>
          <cell r="C18775" t="str">
            <v>SANTANDER CACEIS BRASIL DTVM S.A.</v>
          </cell>
          <cell r="D18775" t="str">
            <v>SANTANDER CACEIS BRASIL DTVM S.A.</v>
          </cell>
          <cell r="E18775" t="str">
            <v>SANTANDER BRASIL GESTAO DE RECURSOS LTDA</v>
          </cell>
        </row>
        <row r="18776">
          <cell r="B18776">
            <v>80784</v>
          </cell>
          <cell r="C18776" t="str">
            <v>REAL INVESTOR 70 PREVIDENCIA FIF MULT</v>
          </cell>
          <cell r="D18776" t="str">
            <v>REAL INVESTOR 70 PREVIDENCIA FIF MULT</v>
          </cell>
          <cell r="E18776" t="str">
            <v>REAL INVESTOR ASSET MANAGEMENT LTDA</v>
          </cell>
        </row>
        <row r="18777">
          <cell r="B18777">
            <v>80784</v>
          </cell>
          <cell r="C18777" t="str">
            <v>REAL INVESTOR 70 PREVIDENCIA FIF MULT</v>
          </cell>
          <cell r="D18777" t="str">
            <v>REAL INVESTOR 70 PREVIDENCIA FIF MULT</v>
          </cell>
          <cell r="E18777" t="str">
            <v>REAL INVESTOR ASSET MANAGEMENT LTDA</v>
          </cell>
        </row>
        <row r="18778">
          <cell r="B18778">
            <v>80785</v>
          </cell>
          <cell r="C18778" t="str">
            <v>REAL INVESTOR FUNDO DE INVESTIMENTO EM ACOES</v>
          </cell>
          <cell r="D18778" t="str">
            <v>REAL INVESTOR FUNDO DE INVESTIMENTO EM ACOES</v>
          </cell>
          <cell r="E18778" t="str">
            <v>REAL INVESTOR ASSET MANAGEMENT LTDA</v>
          </cell>
        </row>
        <row r="18779">
          <cell r="B18779">
            <v>80785</v>
          </cell>
          <cell r="C18779" t="str">
            <v>REAL INVESTOR FUNDO DE INVESTIMENTO EM ACOES</v>
          </cell>
          <cell r="D18779" t="str">
            <v>REAL INVESTOR FUNDO DE INVESTIMENTO EM ACOES</v>
          </cell>
          <cell r="E18779" t="str">
            <v>REAL INVESTOR ASSET MANAGEMENT LTDA</v>
          </cell>
        </row>
        <row r="18780">
          <cell r="B18780">
            <v>80786</v>
          </cell>
          <cell r="C18780" t="str">
            <v>REAL INVESTOR FUNDO DE INVESTIMENTO MULTIMERCADO</v>
          </cell>
          <cell r="D18780" t="str">
            <v>REAL INVESTOR FUNDO DE INVESTIMENTO MULTIMERCADO</v>
          </cell>
          <cell r="E18780" t="str">
            <v>REAL INVESTOR ASSET MANAGEMENT LTDA</v>
          </cell>
        </row>
        <row r="18781">
          <cell r="B18781">
            <v>80786</v>
          </cell>
          <cell r="C18781" t="str">
            <v>REAL INVESTOR FUNDO DE INVESTIMENTO MULTIMERCADO</v>
          </cell>
          <cell r="D18781" t="str">
            <v>REAL INVESTOR FUNDO DE INVESTIMENTO MULTIMERCADO</v>
          </cell>
          <cell r="E18781" t="str">
            <v>REAL INVESTOR ASSET MANAGEMENT LTDA</v>
          </cell>
        </row>
        <row r="18782">
          <cell r="B18782">
            <v>80788</v>
          </cell>
          <cell r="C18782" t="str">
            <v>GAUSS FIFE FUNDO DE INVESTIMENTO EM ACOES</v>
          </cell>
          <cell r="D18782" t="str">
            <v>GAUSS FIFE FUNDO DE INVESTIMENTO EM ACOES</v>
          </cell>
          <cell r="E18782" t="str">
            <v>ASA ASSET GESTAO EM INVESTIMENTOS LTDA</v>
          </cell>
        </row>
        <row r="18783">
          <cell r="B18783">
            <v>80789</v>
          </cell>
          <cell r="C18783" t="str">
            <v>GARDE PORTHOS MASTER FUNDO DE INVESTIMENTO MULTIMERCADO</v>
          </cell>
          <cell r="D18783" t="str">
            <v>GARDE PORTHOS MASTER FUNDO DE INVESTIMENTO MULTIMERCADO</v>
          </cell>
          <cell r="E18783" t="str">
            <v>GARDE ASSET MANAGEMENT GESTAO DE RECURSOS LTDA</v>
          </cell>
        </row>
        <row r="18784">
          <cell r="B18784">
            <v>80789</v>
          </cell>
          <cell r="C18784" t="str">
            <v>GARDE PORTHOS MASTER FUNDO DE INVESTIMENTO MULTIMERCADO</v>
          </cell>
          <cell r="D18784" t="str">
            <v>GARDE PORTHOS MASTER FUNDO DE INVESTIMENTO MULTIMERCADO</v>
          </cell>
          <cell r="E18784" t="str">
            <v>GARDE ASSET MANAGEMENT GESTAO DE RECURSOS LTDA</v>
          </cell>
        </row>
        <row r="18785">
          <cell r="B18785">
            <v>80787</v>
          </cell>
          <cell r="C18785" t="str">
            <v>PANORAMA MASTER FUNDO DE INVESTIMENTO MULTIMERCADO CP</v>
          </cell>
          <cell r="D18785" t="str">
            <v>PANORAMA MASTER FUNDO DE INVESTIMENTO MULTIMERCADO CP</v>
          </cell>
          <cell r="E18785" t="str">
            <v>ASA ASSET GESTAO EM INVESTIMENTOS LTDA</v>
          </cell>
        </row>
        <row r="18786">
          <cell r="B18786">
            <v>125421</v>
          </cell>
          <cell r="C18786" t="str">
            <v>VINCI PRIVATE PI FUNDO DE INVESTIMENTO MULTIMERCADO</v>
          </cell>
          <cell r="D18786" t="str">
            <v>VINCI PRIVATE PI FUNDO DE INVESTIMENTO MULTIMERCADO</v>
          </cell>
          <cell r="E18786" t="str">
            <v>VINCI GESTORA DE RECURSOS LTDA</v>
          </cell>
        </row>
        <row r="18787">
          <cell r="B18787">
            <v>125421</v>
          </cell>
          <cell r="C18787" t="str">
            <v>VINCI PRIVATE PI FUNDO DE INVESTIMENTO MULTIMERCADO</v>
          </cell>
          <cell r="D18787" t="str">
            <v>VINCI PRIVATE PI FUNDO DE INVESTIMENTO MULTIMERCADO</v>
          </cell>
          <cell r="E18787" t="str">
            <v>VINCI GESTORA DE RECURSOS LTDA</v>
          </cell>
        </row>
        <row r="18788">
          <cell r="B18788">
            <v>80790</v>
          </cell>
          <cell r="C18788" t="str">
            <v>SAFRA ACOES LIVRE MASTER FIA</v>
          </cell>
          <cell r="D18788" t="str">
            <v>SAFRA ACOES LIVRE MASTER FIA</v>
          </cell>
          <cell r="E18788" t="str">
            <v>EMERALD GESTAO DE INVESTIMENTOS LTDA</v>
          </cell>
        </row>
        <row r="18789">
          <cell r="B18789">
            <v>80791</v>
          </cell>
          <cell r="C18789" t="str">
            <v>SAFRA KAFKA MASTER FIM CP IE</v>
          </cell>
          <cell r="D18789" t="str">
            <v>SAFRA KAFKA MASTER FIM CP IE</v>
          </cell>
          <cell r="E18789" t="str">
            <v>EMERALD GESTAO DE INVESTIMENTOS LTDA</v>
          </cell>
        </row>
        <row r="18790">
          <cell r="B18790">
            <v>80791</v>
          </cell>
          <cell r="C18790" t="str">
            <v>SAFRA KAFKA MASTER FIM CP IE</v>
          </cell>
          <cell r="D18790" t="str">
            <v>SAFRA KAFKA MASTER FIM CP IE</v>
          </cell>
          <cell r="E18790" t="str">
            <v>EMERALD GESTAO DE INVESTIMENTOS LTDA</v>
          </cell>
        </row>
        <row r="18791">
          <cell r="B18791">
            <v>80792</v>
          </cell>
          <cell r="C18791" t="str">
            <v>SAFRA INDEX MASTER FIF CLASSE DE INVESTIMENTO EM AÃ‡Ã•ES RL</v>
          </cell>
          <cell r="D18791" t="str">
            <v>SAFRA INDEX MASTER FIF CLASSE DE INVESTIMENTO EM AÃ‡Ã•ES RL</v>
          </cell>
          <cell r="E18791" t="str">
            <v>EMERALD GESTAO DE INVESTIMENTOS LTDA</v>
          </cell>
        </row>
        <row r="18792">
          <cell r="B18792">
            <v>125422</v>
          </cell>
          <cell r="C18792" t="str">
            <v>SANTANDER CACEIS BRASIL DTVM S.A.</v>
          </cell>
          <cell r="D18792" t="str">
            <v>SANTANDER CACEIS BRASIL DTVM S.A.</v>
          </cell>
          <cell r="E18792" t="str">
            <v>SANTANDER BRASIL GESTAO DE RECURSOS LTDA</v>
          </cell>
        </row>
        <row r="18793">
          <cell r="B18793">
            <v>125422</v>
          </cell>
          <cell r="C18793" t="str">
            <v>SANTANDER CACEIS BRASIL DTVM S.A.</v>
          </cell>
          <cell r="D18793" t="str">
            <v>SANTANDER CACEIS BRASIL DTVM S.A.</v>
          </cell>
          <cell r="E18793" t="str">
            <v>SANTANDER BRASIL GESTAO DE RECURSOS LTDA</v>
          </cell>
        </row>
        <row r="18794">
          <cell r="B18794">
            <v>125423</v>
          </cell>
          <cell r="C18794" t="str">
            <v>SANTANDER CACEIS BRASIL DTVM S.A.</v>
          </cell>
          <cell r="D18794" t="str">
            <v>SANTANDER CACEIS BRASIL DTVM S.A.</v>
          </cell>
          <cell r="E18794" t="str">
            <v>SANTANDER BRASIL GESTAO DE RECURSOS LTDA</v>
          </cell>
        </row>
        <row r="18795">
          <cell r="B18795">
            <v>125423</v>
          </cell>
          <cell r="C18795" t="str">
            <v>SANTANDER CACEIS BRASIL DTVM S.A.</v>
          </cell>
          <cell r="D18795" t="str">
            <v>SANTANDER CACEIS BRASIL DTVM S.A.</v>
          </cell>
          <cell r="E18795" t="str">
            <v>SANTANDER BRASIL GESTAO DE RECURSOS LTDA</v>
          </cell>
        </row>
        <row r="18796">
          <cell r="B18796">
            <v>125424</v>
          </cell>
          <cell r="C18796" t="str">
            <v>SANTANDER CACEIS BRASIL DTVM S.A.</v>
          </cell>
          <cell r="D18796" t="str">
            <v>SANTANDER CACEIS BRASIL DTVM S.A.</v>
          </cell>
          <cell r="E18796" t="str">
            <v>SANTANDER BRASIL GESTAO DE RECURSOS LTDA</v>
          </cell>
        </row>
        <row r="18797">
          <cell r="B18797">
            <v>125424</v>
          </cell>
          <cell r="C18797" t="str">
            <v>SANTANDER CACEIS BRASIL DTVM S.A.</v>
          </cell>
          <cell r="D18797" t="str">
            <v>SANTANDER CACEIS BRASIL DTVM S.A.</v>
          </cell>
          <cell r="E18797" t="str">
            <v>SANTANDER BRASIL GESTAO DE RECURSOS LTDA</v>
          </cell>
        </row>
        <row r="18798">
          <cell r="B18798">
            <v>80798</v>
          </cell>
          <cell r="C18798" t="str">
            <v>POLO LONG BIAS MASTER FIF MULTIMERCADO RL</v>
          </cell>
          <cell r="D18798" t="str">
            <v>POLO LONG BIAS MASTER FIF MULTIMERCADO RL</v>
          </cell>
          <cell r="E18798" t="str">
            <v>POLO CAPITAL GESTÃO DE RECURSOS LTDA</v>
          </cell>
        </row>
        <row r="18799">
          <cell r="B18799">
            <v>80793</v>
          </cell>
          <cell r="C18799" t="str">
            <v>ATLAS ONE LONG BIAS MASTER FIM</v>
          </cell>
          <cell r="D18799" t="str">
            <v>ATLAS ONE LONG BIAS MASTER FIM</v>
          </cell>
          <cell r="E18799" t="str">
            <v>ATLAS ONE INVESTIMENTOS GESTÃƒO DE RECURSOS LTDA</v>
          </cell>
        </row>
        <row r="18800">
          <cell r="B18800">
            <v>80793</v>
          </cell>
          <cell r="C18800" t="str">
            <v>ATLAS ONE LONG BIAS MASTER FIM</v>
          </cell>
          <cell r="D18800" t="str">
            <v>ATLAS ONE LONG BIAS MASTER FIM</v>
          </cell>
          <cell r="E18800" t="str">
            <v>ATLAS ONE INVESTIMENTOS GESTÃƒO DE RECURSOS LTDA</v>
          </cell>
        </row>
        <row r="18801">
          <cell r="B18801">
            <v>125425</v>
          </cell>
          <cell r="C18801" t="str">
            <v>SANTANDER CACEIS BRASIL DTVM S.A.</v>
          </cell>
          <cell r="D18801" t="str">
            <v>SANTANDER CACEIS BRASIL DTVM S.A.</v>
          </cell>
          <cell r="E18801" t="str">
            <v>SANTANDER BRASIL GESTAO DE RECURSOS LTDA</v>
          </cell>
        </row>
        <row r="18802">
          <cell r="B18802">
            <v>125425</v>
          </cell>
          <cell r="C18802" t="str">
            <v>SANTANDER CACEIS BRASIL DTVM S.A.</v>
          </cell>
          <cell r="D18802" t="str">
            <v>SANTANDER CACEIS BRASIL DTVM S.A.</v>
          </cell>
          <cell r="E18802" t="str">
            <v>SANTANDER BRASIL GESTAO DE RECURSOS LTDA</v>
          </cell>
        </row>
        <row r="18803">
          <cell r="B18803">
            <v>125426</v>
          </cell>
          <cell r="C18803" t="str">
            <v>SANTANDER CACEIS BRASIL DTVM S.A.</v>
          </cell>
          <cell r="D18803" t="str">
            <v>SANTANDER CACEIS BRASIL DTVM S.A.</v>
          </cell>
          <cell r="E18803" t="str">
            <v>SANTANDER BRASIL GESTAO DE RECURSOS LTDA</v>
          </cell>
        </row>
        <row r="18804">
          <cell r="B18804">
            <v>125426</v>
          </cell>
          <cell r="C18804" t="str">
            <v>SANTANDER CACEIS BRASIL DTVM S.A.</v>
          </cell>
          <cell r="D18804" t="str">
            <v>SANTANDER CACEIS BRASIL DTVM S.A.</v>
          </cell>
          <cell r="E18804" t="str">
            <v>SANTANDER BRASIL GESTAO DE RECURSOS LTDA</v>
          </cell>
        </row>
        <row r="18805">
          <cell r="B18805">
            <v>125427</v>
          </cell>
          <cell r="C18805" t="str">
            <v>SANTANDER CACEIS BRASIL DTVM S.A.</v>
          </cell>
          <cell r="D18805" t="str">
            <v>SANTANDER CACEIS BRASIL DTVM S.A.</v>
          </cell>
          <cell r="E18805" t="str">
            <v>SANTANDER BRASIL GESTAO DE RECURSOS LTDA</v>
          </cell>
        </row>
        <row r="18806">
          <cell r="B18806">
            <v>125427</v>
          </cell>
          <cell r="C18806" t="str">
            <v>SANTANDER CACEIS BRASIL DTVM S.A.</v>
          </cell>
          <cell r="D18806" t="str">
            <v>SANTANDER CACEIS BRASIL DTVM S.A.</v>
          </cell>
          <cell r="E18806" t="str">
            <v>SANTANDER BRASIL GESTAO DE RECURSOS LTDA</v>
          </cell>
        </row>
        <row r="18807">
          <cell r="B18807">
            <v>125428</v>
          </cell>
          <cell r="C18807" t="str">
            <v>SANTANDER CACEIS BRASIL DTVM S.A.</v>
          </cell>
          <cell r="D18807" t="str">
            <v>SANTANDER CACEIS BRASIL DTVM S.A.</v>
          </cell>
          <cell r="E18807" t="str">
            <v>SANTANDER BRASIL GESTAO DE RECURSOS LTDA</v>
          </cell>
        </row>
        <row r="18808">
          <cell r="B18808">
            <v>125428</v>
          </cell>
          <cell r="C18808" t="str">
            <v>SANTANDER CACEIS BRASIL DTVM S.A.</v>
          </cell>
          <cell r="D18808" t="str">
            <v>SANTANDER CACEIS BRASIL DTVM S.A.</v>
          </cell>
          <cell r="E18808" t="str">
            <v>SANTANDER BRASIL GESTAO DE RECURSOS LTDA</v>
          </cell>
        </row>
        <row r="18809">
          <cell r="B18809">
            <v>125429</v>
          </cell>
          <cell r="C18809" t="str">
            <v>SANTANDER CACEIS BRASIL DTVM S.A.</v>
          </cell>
          <cell r="D18809" t="str">
            <v>SANTANDER CACEIS BRASIL DTVM S.A.</v>
          </cell>
          <cell r="E18809" t="str">
            <v>SANTANDER BRASIL GESTAO DE RECURSOS LTDA</v>
          </cell>
        </row>
        <row r="18810">
          <cell r="B18810">
            <v>125429</v>
          </cell>
          <cell r="C18810" t="str">
            <v>SANTANDER CACEIS BRASIL DTVM S.A.</v>
          </cell>
          <cell r="D18810" t="str">
            <v>SANTANDER CACEIS BRASIL DTVM S.A.</v>
          </cell>
          <cell r="E18810" t="str">
            <v>SANTANDER BRASIL GESTAO DE RECURSOS LTDA</v>
          </cell>
        </row>
        <row r="18811">
          <cell r="B18811">
            <v>125430</v>
          </cell>
          <cell r="C18811" t="str">
            <v>SANTANDER CACEIS BRASIL DTVM S.A.</v>
          </cell>
          <cell r="D18811" t="str">
            <v>SANTANDER CACEIS BRASIL DTVM S.A.</v>
          </cell>
          <cell r="E18811" t="str">
            <v>SANTANDER BRASIL GESTAO DE RECURSOS LTDA</v>
          </cell>
        </row>
        <row r="18812">
          <cell r="B18812">
            <v>125430</v>
          </cell>
          <cell r="C18812" t="str">
            <v>SANTANDER CACEIS BRASIL DTVM S.A.</v>
          </cell>
          <cell r="D18812" t="str">
            <v>SANTANDER CACEIS BRASIL DTVM S.A.</v>
          </cell>
          <cell r="E18812" t="str">
            <v>SANTANDER BRASIL GESTAO DE RECURSOS LTDA</v>
          </cell>
        </row>
        <row r="18813">
          <cell r="B18813">
            <v>80799</v>
          </cell>
          <cell r="C18813" t="str">
            <v>CATIMBA FIM CREDITO PRIVADO IE</v>
          </cell>
          <cell r="D18813" t="str">
            <v>CATIMBA FIM CREDITO PRIVADO IE</v>
          </cell>
          <cell r="E18813" t="str">
            <v>JULIUS BAER FAMILY OFFICE BRASIL GESTAO DE PATRIMONIO LTDA</v>
          </cell>
        </row>
        <row r="18814">
          <cell r="B18814">
            <v>80799</v>
          </cell>
          <cell r="C18814" t="str">
            <v>CATIMBA FIM CREDITO PRIVADO IE</v>
          </cell>
          <cell r="D18814" t="str">
            <v>CATIMBA FIM CREDITO PRIVADO IE</v>
          </cell>
          <cell r="E18814" t="str">
            <v>JULIUS BAER FAMILY OFFICE BRASIL GESTAO DE PATRIMONIO LTDA</v>
          </cell>
        </row>
        <row r="18815">
          <cell r="B18815">
            <v>80794</v>
          </cell>
          <cell r="C18815" t="str">
            <v>VITREO MICROCAPS ALERT FUNDO DE INVESTIMENTO EM ACOES</v>
          </cell>
          <cell r="D18815" t="str">
            <v>VITREO MICROCAPS ALERT FUNDO DE INVESTIMENTO EM ACOES</v>
          </cell>
          <cell r="E18815" t="str">
            <v>EMPIRICUS GESTAO DE RECURSOS LTDA</v>
          </cell>
        </row>
        <row r="18816">
          <cell r="B18816">
            <v>80794</v>
          </cell>
          <cell r="C18816" t="str">
            <v>VITREO MICROCAPS ALERT FUNDO DE INVESTIMENTO EM ACOES</v>
          </cell>
          <cell r="D18816" t="str">
            <v>VITREO MICROCAPS ALERT FUNDO DE INVESTIMENTO EM ACOES</v>
          </cell>
          <cell r="E18816" t="str">
            <v>EMPIRICUS GESTAO DE RECURSOS LTDA</v>
          </cell>
        </row>
        <row r="18817">
          <cell r="B18817">
            <v>125431</v>
          </cell>
          <cell r="C18817" t="str">
            <v>BB GESTAO DE RECURSOS DTVM LTDA</v>
          </cell>
          <cell r="D18817" t="str">
            <v>BB GESTAO DE RECURSOS DTVM LTDA</v>
          </cell>
          <cell r="E18817" t="str">
            <v>BB GESTAO DE RECURSOS DTVM LTDA</v>
          </cell>
        </row>
        <row r="18818">
          <cell r="B18818">
            <v>124868</v>
          </cell>
          <cell r="C18818" t="str">
            <v>BB GESTAO DE RECURSOS DTVM LTDA</v>
          </cell>
          <cell r="D18818" t="str">
            <v>BB GESTAO DE RECURSOS DTVM LTDA</v>
          </cell>
          <cell r="E18818" t="str">
            <v>BB GESTAO DE RECURSOS DTVM LTDA</v>
          </cell>
        </row>
        <row r="18819">
          <cell r="B18819">
            <v>80795</v>
          </cell>
          <cell r="C18819" t="str">
            <v>ANTONIO MARTINS NETO</v>
          </cell>
          <cell r="D18819" t="str">
            <v>ANTONIO MARTINS NETO</v>
          </cell>
          <cell r="E18819" t="str">
            <v>ANTONIO MARTINS NETO</v>
          </cell>
        </row>
        <row r="18820">
          <cell r="B18820">
            <v>80795</v>
          </cell>
          <cell r="C18820" t="str">
            <v>ANTONIO MARTINS NETO</v>
          </cell>
          <cell r="D18820" t="str">
            <v>ANTONIO MARTINS NETO</v>
          </cell>
          <cell r="E18820" t="str">
            <v>ANTONIO MARTINS NETO</v>
          </cell>
        </row>
        <row r="18821">
          <cell r="B18821">
            <v>80800</v>
          </cell>
          <cell r="C18821" t="str">
            <v>CAIXA DE PREVIDENCIA DOS FUNCS DO BANCO DO BRASIL- PREVI</v>
          </cell>
          <cell r="D18821" t="str">
            <v>CAIXA DE PREVIDENCIA DOS FUNCS DO BANCO DO BRASIL- PREVI</v>
          </cell>
          <cell r="E18821" t="str">
            <v>CAIXA DE PREVIDENCIA DOS FUNCS DO BANCO DO BRASIL- PREVI</v>
          </cell>
        </row>
        <row r="18822">
          <cell r="B18822">
            <v>80801</v>
          </cell>
          <cell r="C18822" t="str">
            <v>CAIXA DE PREVIDENCIA DOS FUNCS DO BANCO DO BRASIL- PREVI</v>
          </cell>
          <cell r="D18822" t="str">
            <v>CAIXA DE PREVIDENCIA DOS FUNCS DO BANCO DO BRASIL- PREVI</v>
          </cell>
          <cell r="E18822" t="str">
            <v>CAIXA DE PREVIDENCIA DOS FUNCS DO BANCO DO BRASIL- PREVI</v>
          </cell>
        </row>
        <row r="18823">
          <cell r="B18823">
            <v>80802</v>
          </cell>
          <cell r="C18823" t="str">
            <v>CAIXA DE PREVIDENCIA DOS FUNCS DO BANCO DO BRASIL- PREVI</v>
          </cell>
          <cell r="D18823" t="str">
            <v>CAIXA DE PREVIDENCIA DOS FUNCS DO BANCO DO BRASIL- PREVI</v>
          </cell>
          <cell r="E18823" t="str">
            <v>CAIXA DE PREVIDENCIA DOS FUNCS DO BANCO DO BRASIL- PREVI</v>
          </cell>
        </row>
        <row r="18824">
          <cell r="B18824">
            <v>80801</v>
          </cell>
          <cell r="C18824" t="str">
            <v>CAIXA DE PREVIDENCIA DOS FUNCS DO BANCO DO BRASIL- PREVI</v>
          </cell>
          <cell r="D18824" t="str">
            <v>CAIXA DE PREVIDENCIA DOS FUNCS DO BANCO DO BRASIL- PREVI</v>
          </cell>
          <cell r="E18824" t="str">
            <v>CAIXA DE PREVIDENCIA DOS FUNCS DO BANCO DO BRASIL- PREVI</v>
          </cell>
        </row>
        <row r="18825">
          <cell r="B18825">
            <v>80802</v>
          </cell>
          <cell r="C18825" t="str">
            <v>CAIXA DE PREVIDENCIA DOS FUNCS DO BANCO DO BRASIL- PREVI</v>
          </cell>
          <cell r="D18825" t="str">
            <v>CAIXA DE PREVIDENCIA DOS FUNCS DO BANCO DO BRASIL- PREVI</v>
          </cell>
          <cell r="E18825" t="str">
            <v>CAIXA DE PREVIDENCIA DOS FUNCS DO BANCO DO BRASIL- PREVI</v>
          </cell>
        </row>
        <row r="18826">
          <cell r="B18826">
            <v>80800</v>
          </cell>
          <cell r="C18826" t="str">
            <v>CAIXA DE PREVIDENCIA DOS FUNCS DO BANCO DO BRASIL- PREVI</v>
          </cell>
          <cell r="D18826" t="str">
            <v>CAIXA DE PREVIDENCIA DOS FUNCS DO BANCO DO BRASIL- PREVI</v>
          </cell>
          <cell r="E18826" t="str">
            <v>CAIXA DE PREVIDENCIA DOS FUNCS DO BANCO DO BRASIL- PREVI</v>
          </cell>
        </row>
        <row r="18827">
          <cell r="B18827">
            <v>80803</v>
          </cell>
          <cell r="C18827" t="str">
            <v>VINCI SOLUÃ‡Ã•ES DE INVESTIMENTOS LTDA</v>
          </cell>
          <cell r="D18827" t="str">
            <v>VINCI SOLUÃ‡Ã•ES DE INVESTIMENTOS LTDA</v>
          </cell>
          <cell r="E18827" t="str">
            <v>VINCI GESTORA DE RECURSOS LTDA</v>
          </cell>
        </row>
        <row r="18828">
          <cell r="B18828">
            <v>80803</v>
          </cell>
          <cell r="C18828" t="str">
            <v>VINCI SOLUÃ‡Ã•ES DE INVESTIMENTOS LTDA</v>
          </cell>
          <cell r="D18828" t="str">
            <v>VINCI SOLUÃ‡Ã•ES DE INVESTIMENTOS LTDA</v>
          </cell>
          <cell r="E18828" t="str">
            <v>VINCI GESTORA DE RECURSOS LTDA</v>
          </cell>
        </row>
        <row r="18829">
          <cell r="B18829">
            <v>80804</v>
          </cell>
          <cell r="C18829" t="str">
            <v>VINCI SOLUÃ‡Ã•ES DE INVESTIMENTOS LTDA</v>
          </cell>
          <cell r="D18829" t="str">
            <v>VINCI SOLUÃ‡Ã•ES DE INVESTIMENTOS LTDA</v>
          </cell>
          <cell r="E18829" t="str">
            <v>VINCI GESTORA DE RECURSOS LTDA</v>
          </cell>
        </row>
        <row r="18830">
          <cell r="B18830">
            <v>80805</v>
          </cell>
          <cell r="C18830" t="str">
            <v>VINCI SOLUÃ‡Ã•ES DE INVESTIMENTOS LTDA</v>
          </cell>
          <cell r="D18830" t="str">
            <v>VINCI SOLUÃ‡Ã•ES DE INVESTIMENTOS LTDA</v>
          </cell>
          <cell r="E18830" t="str">
            <v>VINCI GESTORA DE RECURSOS LTDA</v>
          </cell>
        </row>
        <row r="18831">
          <cell r="B18831">
            <v>80807</v>
          </cell>
          <cell r="C18831" t="str">
            <v>VINCI SOLUÃ‡Ã•ES DE INVESTIMENTOS LTDA</v>
          </cell>
          <cell r="D18831" t="str">
            <v>VINCI SOLUÃ‡Ã•ES DE INVESTIMENTOS LTDA</v>
          </cell>
          <cell r="E18831" t="str">
            <v>VINCI GESTORA DE RECURSOS LTDA</v>
          </cell>
        </row>
        <row r="18832">
          <cell r="B18832">
            <v>80808</v>
          </cell>
          <cell r="C18832" t="str">
            <v>VINCI SOLUÃ‡Ã•ES DE INVESTIMENTOS LTDA</v>
          </cell>
          <cell r="D18832" t="str">
            <v>VINCI SOLUÃ‡Ã•ES DE INVESTIMENTOS LTDA</v>
          </cell>
          <cell r="E18832" t="str">
            <v>VINCI GESTORA DE RECURSOS LTDA</v>
          </cell>
        </row>
        <row r="18833">
          <cell r="B18833">
            <v>80806</v>
          </cell>
          <cell r="C18833" t="str">
            <v>VINCI SOLUÃ‡Ã•ES DE INVESTIMENTOS LTDA</v>
          </cell>
          <cell r="D18833" t="str">
            <v>VINCI SOLUÃ‡Ã•ES DE INVESTIMENTOS LTDA</v>
          </cell>
          <cell r="E18833" t="str">
            <v>VINCI GESTORA DE RECURSOS LTDA</v>
          </cell>
        </row>
        <row r="18834">
          <cell r="B18834">
            <v>80804</v>
          </cell>
          <cell r="C18834" t="str">
            <v>VINCI SOLUÃ‡Ã•ES DE INVESTIMENTOS LTDA</v>
          </cell>
          <cell r="D18834" t="str">
            <v>VINCI SOLUÃ‡Ã•ES DE INVESTIMENTOS LTDA</v>
          </cell>
          <cell r="E18834" t="str">
            <v>VINCI GESTORA DE RECURSOS LTDA</v>
          </cell>
        </row>
        <row r="18835">
          <cell r="B18835">
            <v>80805</v>
          </cell>
          <cell r="C18835" t="str">
            <v>VINCI SOLUÃ‡Ã•ES DE INVESTIMENTOS LTDA</v>
          </cell>
          <cell r="D18835" t="str">
            <v>VINCI SOLUÃ‡Ã•ES DE INVESTIMENTOS LTDA</v>
          </cell>
          <cell r="E18835" t="str">
            <v>VINCI GESTORA DE RECURSOS LTDA</v>
          </cell>
        </row>
        <row r="18836">
          <cell r="B18836">
            <v>80807</v>
          </cell>
          <cell r="C18836" t="str">
            <v>VINCI SOLUÃ‡Ã•ES DE INVESTIMENTOS LTDA</v>
          </cell>
          <cell r="D18836" t="str">
            <v>VINCI SOLUÃ‡Ã•ES DE INVESTIMENTOS LTDA</v>
          </cell>
          <cell r="E18836" t="str">
            <v>VINCI GESTORA DE RECURSOS LTDA</v>
          </cell>
        </row>
        <row r="18837">
          <cell r="B18837">
            <v>80808</v>
          </cell>
          <cell r="C18837" t="str">
            <v>VINCI SOLUÃ‡Ã•ES DE INVESTIMENTOS LTDA</v>
          </cell>
          <cell r="D18837" t="str">
            <v>VINCI SOLUÃ‡Ã•ES DE INVESTIMENTOS LTDA</v>
          </cell>
          <cell r="E18837" t="str">
            <v>VINCI GESTORA DE RECURSOS LTDA</v>
          </cell>
        </row>
        <row r="18838">
          <cell r="B18838">
            <v>80806</v>
          </cell>
          <cell r="C18838" t="str">
            <v>VINCI SOLUÃ‡Ã•ES DE INVESTIMENTOS LTDA</v>
          </cell>
          <cell r="D18838" t="str">
            <v>VINCI SOLUÃ‡Ã•ES DE INVESTIMENTOS LTDA</v>
          </cell>
          <cell r="E18838" t="str">
            <v>VINCI GESTORA DE RECURSOS LTDA</v>
          </cell>
        </row>
        <row r="18839">
          <cell r="B18839">
            <v>80809</v>
          </cell>
          <cell r="C18839" t="str">
            <v>VINCI PORTIFÃ“LIO 10 FUNDO DE INVESTIMENTO MULTIMERCADO CP</v>
          </cell>
          <cell r="D18839" t="str">
            <v>VINCI PORTIFÃ“LIO 10 FUNDO DE INVESTIMENTO MULTIMERCADO CP</v>
          </cell>
          <cell r="E18839" t="str">
            <v>VINCI GESTORA DE RECURSOS LTDA</v>
          </cell>
        </row>
        <row r="18840">
          <cell r="B18840">
            <v>80809</v>
          </cell>
          <cell r="C18840" t="str">
            <v>VINCI PORTIFÃ“LIO 10 FUNDO DE INVESTIMENTO MULTIMERCADO CP</v>
          </cell>
          <cell r="D18840" t="str">
            <v>VINCI PORTIFÃ“LIO 10 FUNDO DE INVESTIMENTO MULTIMERCADO CP</v>
          </cell>
          <cell r="E18840" t="str">
            <v>VINCI GESTORA DE RECURSOS LTDA</v>
          </cell>
        </row>
        <row r="18841">
          <cell r="B18841">
            <v>80810</v>
          </cell>
          <cell r="C18841" t="str">
            <v>FIM CREDITO PRIVADO DIAMONDI - IE</v>
          </cell>
          <cell r="D18841" t="str">
            <v>FIM CREDITO PRIVADO DIAMONDI - IE</v>
          </cell>
          <cell r="E18841" t="str">
            <v>VINCI GESTORA DE RECURSOS LTDA</v>
          </cell>
        </row>
        <row r="18842">
          <cell r="B18842">
            <v>80811</v>
          </cell>
          <cell r="C18842" t="str">
            <v>VINCI PORTIFÃ“LIO 12 BETA FIM CP - IE</v>
          </cell>
          <cell r="D18842" t="str">
            <v>VINCI PORTIFÃ“LIO 12 BETA FIM CP - IE</v>
          </cell>
          <cell r="E18842" t="str">
            <v>VINCI GESTORA DE RECURSOS LTDA</v>
          </cell>
        </row>
        <row r="18843">
          <cell r="B18843">
            <v>80811</v>
          </cell>
          <cell r="C18843" t="str">
            <v>VINCI PORTIFÃ“LIO 12 BETA FIM CP - IE</v>
          </cell>
          <cell r="D18843" t="str">
            <v>VINCI PORTIFÃ“LIO 12 BETA FIM CP - IE</v>
          </cell>
          <cell r="E18843" t="str">
            <v>VINCI GESTORA DE RECURSOS LTDA</v>
          </cell>
        </row>
        <row r="18844">
          <cell r="B18844">
            <v>125432</v>
          </cell>
          <cell r="C18844" t="str">
            <v>SANTANDER CACEIS BRASIL DTVM S.A.</v>
          </cell>
          <cell r="D18844" t="str">
            <v>SANTANDER CACEIS BRASIL DTVM S.A.</v>
          </cell>
          <cell r="E18844" t="str">
            <v>SANTANDER BRASIL GESTAO DE RECURSOS LTDA</v>
          </cell>
        </row>
        <row r="18845">
          <cell r="B18845">
            <v>125432</v>
          </cell>
          <cell r="C18845" t="str">
            <v>SANTANDER CACEIS BRASIL DTVM S.A.</v>
          </cell>
          <cell r="D18845" t="str">
            <v>SANTANDER CACEIS BRASIL DTVM S.A.</v>
          </cell>
          <cell r="E18845" t="str">
            <v>SANTANDER BRASIL GESTAO DE RECURSOS LTDA</v>
          </cell>
        </row>
        <row r="18846">
          <cell r="B18846">
            <v>125434</v>
          </cell>
          <cell r="C18846" t="str">
            <v>SANTANDER CACEIS BRASIL DTVM S.A.</v>
          </cell>
          <cell r="D18846" t="str">
            <v>SANTANDER CACEIS BRASIL DTVM S.A.</v>
          </cell>
          <cell r="E18846" t="str">
            <v>SANTANDER BRASIL GESTAO DE RECURSOS LTDA</v>
          </cell>
        </row>
        <row r="18847">
          <cell r="B18847">
            <v>125433</v>
          </cell>
          <cell r="C18847" t="str">
            <v>SANTANDER CACEIS BRASIL DTVM S.A.</v>
          </cell>
          <cell r="D18847" t="str">
            <v>SANTANDER CACEIS BRASIL DTVM S.A.</v>
          </cell>
          <cell r="E18847" t="str">
            <v>SANTANDER BRASIL GESTAO DE RECURSOS LTDA</v>
          </cell>
        </row>
        <row r="18848">
          <cell r="B18848">
            <v>125433</v>
          </cell>
          <cell r="C18848" t="str">
            <v>SANTANDER CACEIS BRASIL DTVM S.A.</v>
          </cell>
          <cell r="D18848" t="str">
            <v>SANTANDER CACEIS BRASIL DTVM S.A.</v>
          </cell>
          <cell r="E18848" t="str">
            <v>SANTANDER BRASIL GESTAO DE RECURSOS LTDA</v>
          </cell>
        </row>
        <row r="18849">
          <cell r="B18849">
            <v>125434</v>
          </cell>
          <cell r="C18849" t="str">
            <v>SANTANDER CACEIS BRASIL DTVM S.A.</v>
          </cell>
          <cell r="D18849" t="str">
            <v>SANTANDER CACEIS BRASIL DTVM S.A.</v>
          </cell>
          <cell r="E18849" t="str">
            <v>SANTANDER BRASIL GESTAO DE RECURSOS LTDA</v>
          </cell>
        </row>
        <row r="18850">
          <cell r="B18850">
            <v>80796</v>
          </cell>
          <cell r="C18850" t="str">
            <v>GUILHERME MIGLIORE PAOLILLO</v>
          </cell>
          <cell r="D18850" t="str">
            <v>GUILHERME MIGLIORE PAOLILLO</v>
          </cell>
          <cell r="E18850" t="str">
            <v>GUILHERME MIGLIORE PAOLILLO</v>
          </cell>
        </row>
        <row r="18851">
          <cell r="B18851">
            <v>80796</v>
          </cell>
          <cell r="C18851" t="str">
            <v>GUILHERME MIGLIORE PAOLILLO</v>
          </cell>
          <cell r="D18851" t="str">
            <v>GUILHERME MIGLIORE PAOLILLO</v>
          </cell>
          <cell r="E18851" t="str">
            <v>GUILHERME MIGLIORE PAOLILLO</v>
          </cell>
        </row>
        <row r="18852">
          <cell r="B18852">
            <v>80812</v>
          </cell>
          <cell r="C18852" t="str">
            <v>FERNANDO SIZZI TEIXEIRA DE CARVALHO</v>
          </cell>
          <cell r="D18852" t="str">
            <v>FERNANDO SIZZI TEIXEIRA DE CARVALHO</v>
          </cell>
          <cell r="E18852" t="str">
            <v>FERNANDO SIZZI TEIXEIRA DE CARVALHO</v>
          </cell>
        </row>
        <row r="18853">
          <cell r="B18853">
            <v>80813</v>
          </cell>
          <cell r="C18853" t="str">
            <v>CAUE ROCHA SOARES</v>
          </cell>
          <cell r="D18853" t="str">
            <v>CAUE ROCHA SOARES</v>
          </cell>
          <cell r="E18853" t="str">
            <v>CAUE ROCHA SOARES</v>
          </cell>
        </row>
        <row r="18854">
          <cell r="B18854">
            <v>80814</v>
          </cell>
          <cell r="C18854" t="str">
            <v>SKOPOS INV AÃ‡Ã•ES ALPHA FIA</v>
          </cell>
          <cell r="D18854" t="str">
            <v>SKOPOS INV AÃ‡Ã•ES ALPHA FIA</v>
          </cell>
          <cell r="E18854" t="str">
            <v>SKOPOS INVESTIMENTOS LTDA</v>
          </cell>
        </row>
        <row r="18855">
          <cell r="B18855">
            <v>80814</v>
          </cell>
          <cell r="C18855" t="str">
            <v>SKOPOS INV AÃ‡Ã•ES ALPHA FIA</v>
          </cell>
          <cell r="D18855" t="str">
            <v>SKOPOS INV AÃ‡Ã•ES ALPHA FIA</v>
          </cell>
          <cell r="E18855" t="str">
            <v>SKOPOS INVESTIMENTOS LTDA</v>
          </cell>
        </row>
        <row r="18856">
          <cell r="B18856">
            <v>80815</v>
          </cell>
          <cell r="C18856" t="str">
            <v>ANA LUISA ALMEIDA CREPALDI</v>
          </cell>
          <cell r="D18856" t="str">
            <v>ANA LUISA ALMEIDA CREPALDI</v>
          </cell>
          <cell r="E18856" t="str">
            <v>ANA LUISA ALMEIDA CREPALDI</v>
          </cell>
        </row>
        <row r="18857">
          <cell r="B18857">
            <v>80816</v>
          </cell>
          <cell r="C18857" t="str">
            <v>CESAR MARIANO SCARAMBONE MENEZES</v>
          </cell>
          <cell r="D18857" t="str">
            <v>CESAR MARIANO SCARAMBONE MENEZES</v>
          </cell>
          <cell r="E18857" t="str">
            <v>CESAR MARIANO SCARAMBONE MENEZES</v>
          </cell>
        </row>
        <row r="18858">
          <cell r="B18858">
            <v>80797</v>
          </cell>
          <cell r="C18858" t="str">
            <v>NEO PROVECTUS I FUNDO DE INVESTIMENTO MULTIMERCADO</v>
          </cell>
          <cell r="D18858" t="str">
            <v>NEO PROVECTUS I FUNDO DE INVESTIMENTO MULTIMERCADO</v>
          </cell>
          <cell r="E18858" t="str">
            <v>NEO GESTÃO DE RECURSOS LTDA</v>
          </cell>
        </row>
        <row r="18859">
          <cell r="B18859">
            <v>80817</v>
          </cell>
          <cell r="C18859" t="str">
            <v>RELIANCE ASSET MANAGEMENT - ADMINISTRACAO DE RECURSOS LTDA</v>
          </cell>
          <cell r="D18859" t="str">
            <v>RELIANCE ASSET MANAGEMENT - ADMINISTRACAO DE RECURSOS LTDA</v>
          </cell>
          <cell r="E18859" t="str">
            <v>RELIANCE ASSET MANAGEMENT - ADMINISTRACAO DE RECURSOS LTDA</v>
          </cell>
        </row>
        <row r="18860">
          <cell r="B18860">
            <v>80817</v>
          </cell>
          <cell r="C18860" t="str">
            <v>RELIANCE ASSET MANAGEMENT - ADMINISTRACAO DE RECURSOS LTDA</v>
          </cell>
          <cell r="D18860" t="str">
            <v>RELIANCE ASSET MANAGEMENT - ADMINISTRACAO DE RECURSOS LTDA</v>
          </cell>
          <cell r="E18860" t="str">
            <v>RELIANCE ASSET MANAGEMENT - ADMINISTRACAO DE RECURSOS LTDA</v>
          </cell>
        </row>
        <row r="18861">
          <cell r="B18861">
            <v>80818</v>
          </cell>
          <cell r="C18861" t="str">
            <v>BANCO ALFA DE INVESTIMENTO S/A</v>
          </cell>
          <cell r="D18861" t="str">
            <v>BANCO ALFA DE INVESTIMENTO S/A</v>
          </cell>
          <cell r="E18861" t="str">
            <v>BANCO ALFA DE INVESTIMENTO S/A</v>
          </cell>
        </row>
        <row r="18862">
          <cell r="B18862">
            <v>80819</v>
          </cell>
          <cell r="C18862" t="str">
            <v>BANCO ALFA DE INVESTIMENTO S/A</v>
          </cell>
          <cell r="D18862" t="str">
            <v>BANCO ALFA DE INVESTIMENTO S/A</v>
          </cell>
          <cell r="E18862" t="str">
            <v>BANCO ALFA DE INVESTIMENTO S/A</v>
          </cell>
        </row>
        <row r="18863">
          <cell r="B18863">
            <v>80819</v>
          </cell>
          <cell r="C18863" t="str">
            <v>BANCO ALFA DE INVESTIMENTO S/A</v>
          </cell>
          <cell r="D18863" t="str">
            <v>BANCO ALFA DE INVESTIMENTO S/A</v>
          </cell>
          <cell r="E18863" t="str">
            <v>BANCO ALFA DE INVESTIMENTO S/A</v>
          </cell>
        </row>
        <row r="18864">
          <cell r="B18864">
            <v>80818</v>
          </cell>
          <cell r="C18864" t="str">
            <v>BANCO ALFA DE INVESTIMENTO S/A</v>
          </cell>
          <cell r="D18864" t="str">
            <v>BANCO ALFA DE INVESTIMENTO S/A</v>
          </cell>
          <cell r="E18864" t="str">
            <v>BANCO ALFA DE INVESTIMENTO S/A</v>
          </cell>
        </row>
        <row r="18865">
          <cell r="B18865">
            <v>80820</v>
          </cell>
          <cell r="C18865" t="str">
            <v>ITAU MASTER GLOBAL DINAMICO MULTIMERCADO FI</v>
          </cell>
          <cell r="D18865" t="str">
            <v>ITAU MASTER GLOBAL DINAMICO MULTIMERCADO FI</v>
          </cell>
          <cell r="E18865" t="str">
            <v>ITAU UNIBANCO ASSET - TACO</v>
          </cell>
        </row>
        <row r="18866">
          <cell r="B18866">
            <v>80821</v>
          </cell>
          <cell r="C18866" t="str">
            <v>ITAU MASTER GLOBAL DINAMICO MULTIMERCADO FI</v>
          </cell>
          <cell r="D18866" t="str">
            <v>ITAU MASTER GLOBAL DINAMICO MULTIMERCADO FI</v>
          </cell>
          <cell r="E18866" t="str">
            <v>ITAU UNIBANCO ASSET - TACO</v>
          </cell>
        </row>
        <row r="18867">
          <cell r="B18867">
            <v>80822</v>
          </cell>
          <cell r="C18867" t="str">
            <v>ITAU MASTER GLOBAL DINAMICO MULTIMERCADO FI</v>
          </cell>
          <cell r="D18867" t="str">
            <v>ITAU MASTER GLOBAL DINAMICO MULTIMERCADO FI</v>
          </cell>
          <cell r="E18867" t="str">
            <v>ITAU UNIBANCO ASSET - TACO</v>
          </cell>
        </row>
        <row r="18868">
          <cell r="B18868">
            <v>80823</v>
          </cell>
          <cell r="C18868" t="str">
            <v>ITAU MASTER GLOBAL DINAMICO MULTIMERCADO FI</v>
          </cell>
          <cell r="D18868" t="str">
            <v>ITAU MASTER GLOBAL DINAMICO MULTIMERCADO FI</v>
          </cell>
          <cell r="E18868" t="str">
            <v>ITAU UNIBANCO ASSET - TACO</v>
          </cell>
        </row>
        <row r="18869">
          <cell r="B18869">
            <v>80824</v>
          </cell>
          <cell r="C18869" t="str">
            <v>ITAU MASTER GLOBAL DINAMICO MULTIMERCADO FI</v>
          </cell>
          <cell r="D18869" t="str">
            <v>ITAU MASTER GLOBAL DINAMICO MULTIMERCADO FI</v>
          </cell>
          <cell r="E18869" t="str">
            <v>ITAU UNIBANCO ASSET - TACO</v>
          </cell>
        </row>
        <row r="18870">
          <cell r="B18870">
            <v>80821</v>
          </cell>
          <cell r="C18870" t="str">
            <v>ITAU MASTER GLOBAL DINAMICO MULTIMERCADO FI</v>
          </cell>
          <cell r="D18870" t="str">
            <v>ITAU MASTER GLOBAL DINAMICO MULTIMERCADO FI</v>
          </cell>
          <cell r="E18870" t="str">
            <v>ITAU UNIBANCO ASSET - TACO</v>
          </cell>
        </row>
        <row r="18871">
          <cell r="B18871">
            <v>80822</v>
          </cell>
          <cell r="C18871" t="str">
            <v>ITAU MASTER GLOBAL DINAMICO MULTIMERCADO FI</v>
          </cell>
          <cell r="D18871" t="str">
            <v>ITAU MASTER GLOBAL DINAMICO MULTIMERCADO FI</v>
          </cell>
          <cell r="E18871" t="str">
            <v>ITAU UNIBANCO ASSET - TACO</v>
          </cell>
        </row>
        <row r="18872">
          <cell r="B18872">
            <v>80823</v>
          </cell>
          <cell r="C18872" t="str">
            <v>ITAU MASTER GLOBAL DINAMICO MULTIMERCADO FI</v>
          </cell>
          <cell r="D18872" t="str">
            <v>ITAU MASTER GLOBAL DINAMICO MULTIMERCADO FI</v>
          </cell>
          <cell r="E18872" t="str">
            <v>ITAU UNIBANCO ASSET - TACO</v>
          </cell>
        </row>
        <row r="18873">
          <cell r="B18873">
            <v>80824</v>
          </cell>
          <cell r="C18873" t="str">
            <v>ITAU MASTER GLOBAL DINAMICO MULTIMERCADO FI</v>
          </cell>
          <cell r="D18873" t="str">
            <v>ITAU MASTER GLOBAL DINAMICO MULTIMERCADO FI</v>
          </cell>
          <cell r="E18873" t="str">
            <v>ITAU UNIBANCO ASSET - TACO</v>
          </cell>
        </row>
        <row r="18874">
          <cell r="B18874">
            <v>80825</v>
          </cell>
          <cell r="C18874" t="str">
            <v>ITAU MASTER GLOBAL DINAMICO MULTIMERCADO FI</v>
          </cell>
          <cell r="D18874" t="str">
            <v>ITAU MASTER GLOBAL DINAMICO MULTIMERCADO FI</v>
          </cell>
          <cell r="E18874" t="str">
            <v>ITAU UNIBANCO ASSET - TACO</v>
          </cell>
        </row>
        <row r="18875">
          <cell r="B18875">
            <v>80826</v>
          </cell>
          <cell r="C18875" t="str">
            <v>VITREO DOLAR FUNDO DE INVESTIMENTO CAMBIAL</v>
          </cell>
          <cell r="D18875" t="str">
            <v>VITREO DOLAR FUNDO DE INVESTIMENTO CAMBIAL</v>
          </cell>
          <cell r="E18875" t="str">
            <v>EMPIRICUS GESTAO DE RECURSOS LTDA</v>
          </cell>
        </row>
        <row r="18876">
          <cell r="B18876">
            <v>80826</v>
          </cell>
          <cell r="C18876" t="str">
            <v>VITREO DOLAR FUNDO DE INVESTIMENTO CAMBIAL</v>
          </cell>
          <cell r="D18876" t="str">
            <v>VITREO DOLAR FUNDO DE INVESTIMENTO CAMBIAL</v>
          </cell>
          <cell r="E18876" t="str">
            <v>EMPIRICUS GESTAO DE RECURSOS LTDA</v>
          </cell>
        </row>
        <row r="18877">
          <cell r="B18877">
            <v>125435</v>
          </cell>
          <cell r="C18877" t="str">
            <v>BB GESTAO DE RECURSOS DTVM LTDA</v>
          </cell>
          <cell r="D18877" t="str">
            <v>BB GESTAO DE RECURSOS DTVM LTDA</v>
          </cell>
          <cell r="E18877" t="str">
            <v>BB GESTAO DE RECURSOS DTVM LTDA</v>
          </cell>
        </row>
        <row r="18878">
          <cell r="B18878">
            <v>80827</v>
          </cell>
          <cell r="C18878" t="str">
            <v>OURIBANK S.A. BANCO MULTIPLO</v>
          </cell>
          <cell r="D18878" t="str">
            <v>OURIBANK S.A. BANCO MULTIPLO</v>
          </cell>
          <cell r="E18878" t="str">
            <v>OURIBANK S.A. BANCO MULTIPLO</v>
          </cell>
        </row>
        <row r="18879">
          <cell r="B18879">
            <v>80831</v>
          </cell>
          <cell r="C18879" t="str">
            <v>BGC LIQUIDEZ DTVM LTDA</v>
          </cell>
          <cell r="D18879" t="str">
            <v>BGC LIQUIDEZ DTVM LTDA</v>
          </cell>
          <cell r="E18879" t="str">
            <v>BGC LIQUIDEZ DTVM LTDA</v>
          </cell>
        </row>
        <row r="18880">
          <cell r="B18880">
            <v>80831</v>
          </cell>
          <cell r="C18880" t="str">
            <v>BGC LIQUIDEZ DTVM LTDA</v>
          </cell>
          <cell r="D18880" t="str">
            <v>BGC LIQUIDEZ DTVM LTDA</v>
          </cell>
          <cell r="E18880" t="str">
            <v>BGC LIQUIDEZ DTVM LTDA</v>
          </cell>
        </row>
        <row r="18881">
          <cell r="B18881">
            <v>80832</v>
          </cell>
          <cell r="C18881" t="str">
            <v>CLYBAS PINTO FERRAZ NETO</v>
          </cell>
          <cell r="D18881" t="str">
            <v>CLYBAS PINTO FERRAZ NETO</v>
          </cell>
          <cell r="E18881" t="str">
            <v>CLYBAS PINTO FERRAZ NETO</v>
          </cell>
        </row>
        <row r="18882">
          <cell r="B18882">
            <v>125436</v>
          </cell>
          <cell r="C18882" t="str">
            <v>SANTANDER CACEIS BRASIL DTVM S.A.</v>
          </cell>
          <cell r="D18882" t="str">
            <v>SANTANDER CACEIS BRASIL DTVM S.A.</v>
          </cell>
          <cell r="E18882" t="str">
            <v>SANTANDER BRASIL GESTAO DE RECURSOS LTDA</v>
          </cell>
        </row>
        <row r="18883">
          <cell r="B18883">
            <v>125436</v>
          </cell>
          <cell r="C18883" t="str">
            <v>SANTANDER CACEIS BRASIL DTVM S.A.</v>
          </cell>
          <cell r="D18883" t="str">
            <v>SANTANDER CACEIS BRASIL DTVM S.A.</v>
          </cell>
          <cell r="E18883" t="str">
            <v>SANTANDER BRASIL GESTAO DE RECURSOS LTDA</v>
          </cell>
        </row>
        <row r="18884">
          <cell r="B18884">
            <v>125437</v>
          </cell>
          <cell r="C18884" t="str">
            <v>SANTANDER CACEIS BRASIL DTVM S.A.</v>
          </cell>
          <cell r="D18884" t="str">
            <v>SANTANDER CACEIS BRASIL DTVM S.A.</v>
          </cell>
          <cell r="E18884" t="str">
            <v>SANTANDER BRASIL GESTAO DE RECURSOS LTDA</v>
          </cell>
        </row>
        <row r="18885">
          <cell r="B18885">
            <v>125437</v>
          </cell>
          <cell r="C18885" t="str">
            <v>SANTANDER CACEIS BRASIL DTVM S.A.</v>
          </cell>
          <cell r="D18885" t="str">
            <v>SANTANDER CACEIS BRASIL DTVM S.A.</v>
          </cell>
          <cell r="E18885" t="str">
            <v>SANTANDER BRASIL GESTAO DE RECURSOS LTDA</v>
          </cell>
        </row>
        <row r="18886">
          <cell r="B18886">
            <v>125438</v>
          </cell>
          <cell r="C18886" t="str">
            <v>SANTANDER CACEIS BRASIL DTVM S.A.</v>
          </cell>
          <cell r="D18886" t="str">
            <v>SANTANDER CACEIS BRASIL DTVM S.A.</v>
          </cell>
          <cell r="E18886" t="str">
            <v>SANTANDER BRASIL GESTAO DE RECURSOS LTDA</v>
          </cell>
        </row>
        <row r="18887">
          <cell r="B18887">
            <v>125439</v>
          </cell>
          <cell r="C18887" t="str">
            <v>SANTANDER CACEIS BRASIL DTVM S.A.</v>
          </cell>
          <cell r="D18887" t="str">
            <v>SANTANDER CACEIS BRASIL DTVM S.A.</v>
          </cell>
          <cell r="E18887" t="str">
            <v>SANTANDER BRASIL GESTAO DE RECURSOS LTDA</v>
          </cell>
        </row>
        <row r="18888">
          <cell r="B18888">
            <v>125438</v>
          </cell>
          <cell r="C18888" t="str">
            <v>SANTANDER CACEIS BRASIL DTVM S.A.</v>
          </cell>
          <cell r="D18888" t="str">
            <v>SANTANDER CACEIS BRASIL DTVM S.A.</v>
          </cell>
          <cell r="E18888" t="str">
            <v>SANTANDER BRASIL GESTAO DE RECURSOS LTDA</v>
          </cell>
        </row>
        <row r="18889">
          <cell r="B18889">
            <v>125439</v>
          </cell>
          <cell r="C18889" t="str">
            <v>SANTANDER CACEIS BRASIL DTVM S.A.</v>
          </cell>
          <cell r="D18889" t="str">
            <v>SANTANDER CACEIS BRASIL DTVM S.A.</v>
          </cell>
          <cell r="E18889" t="str">
            <v>SANTANDER BRASIL GESTAO DE RECURSOS LTDA</v>
          </cell>
        </row>
        <row r="18890">
          <cell r="B18890">
            <v>80833</v>
          </cell>
          <cell r="C18890" t="str">
            <v>FELIPE DE ANDRADE BASILE</v>
          </cell>
          <cell r="D18890" t="str">
            <v>FELIPE DE ANDRADE BASILE</v>
          </cell>
          <cell r="E18890" t="str">
            <v>FELIPE DE ANDRADE BASILE</v>
          </cell>
        </row>
        <row r="18891">
          <cell r="B18891">
            <v>125440</v>
          </cell>
          <cell r="C18891" t="str">
            <v>SANTANDER CACEIS BRASIL DTVM S.A.</v>
          </cell>
          <cell r="D18891" t="str">
            <v>SANTANDER CACEIS BRASIL DTVM S.A.</v>
          </cell>
          <cell r="E18891" t="str">
            <v>SANTANDER BRASIL GESTAO DE RECURSOS LTDA</v>
          </cell>
        </row>
        <row r="18892">
          <cell r="B18892">
            <v>125440</v>
          </cell>
          <cell r="C18892" t="str">
            <v>SANTANDER CACEIS BRASIL DTVM S.A.</v>
          </cell>
          <cell r="D18892" t="str">
            <v>SANTANDER CACEIS BRASIL DTVM S.A.</v>
          </cell>
          <cell r="E18892" t="str">
            <v>SANTANDER BRASIL GESTAO DE RECURSOS LTDA</v>
          </cell>
        </row>
        <row r="18893">
          <cell r="B18893">
            <v>80836</v>
          </cell>
          <cell r="C18893" t="str">
            <v>RIO BRAVO FUNDO DE FUNDOS DE INVESTIMENTO IMOBILIARIO</v>
          </cell>
          <cell r="D18893" t="str">
            <v>RIO BRAVO FUNDO DE FUNDOS DE INVESTIMENTO IMOBILIARIO</v>
          </cell>
          <cell r="E18893" t="str">
            <v>RIO BRAVO FUNDO DE FUNDOS DE INVESTIMENTO IMOBILIARIO</v>
          </cell>
        </row>
        <row r="18894">
          <cell r="B18894">
            <v>80838</v>
          </cell>
          <cell r="C18894" t="str">
            <v>INTER TRAFALGAR FUNDO DE INVESTIMENTO MULTIMERCADO CRÃ‰DITO P</v>
          </cell>
          <cell r="D18894" t="str">
            <v>INTER TRAFALGAR FUNDO DE INVESTIMENTO MULTIMERCADO CRÃ‰DITO P</v>
          </cell>
          <cell r="E18894" t="str">
            <v>INTER TRAFALGAR FUNDO DE INVESTIMENTO MULTIMERCADO CRÃ‰DITO P</v>
          </cell>
        </row>
        <row r="18895">
          <cell r="B18895">
            <v>80838</v>
          </cell>
          <cell r="C18895" t="str">
            <v>INTER TRAFALGAR FUNDO DE INVESTIMENTO MULTIMERCADO CRÃ‰DITO P</v>
          </cell>
          <cell r="D18895" t="str">
            <v>INTER TRAFALGAR FUNDO DE INVESTIMENTO MULTIMERCADO CRÃ‰DITO P</v>
          </cell>
          <cell r="E18895" t="str">
            <v>INTER TRAFALGAR FUNDO DE INVESTIMENTO MULTIMERCADO CRÃ‰DITO P</v>
          </cell>
        </row>
        <row r="18896">
          <cell r="B18896">
            <v>80839</v>
          </cell>
          <cell r="C18896" t="str">
            <v>ENTERCAPITAL TURING FIM</v>
          </cell>
          <cell r="D18896" t="str">
            <v>ENTERCAPITAL TURING FIM</v>
          </cell>
          <cell r="E18896" t="str">
            <v>ENTERCAPITAL GESTAO DE RECURSOS LTDA</v>
          </cell>
        </row>
        <row r="18897">
          <cell r="B18897">
            <v>80839</v>
          </cell>
          <cell r="C18897" t="str">
            <v>ENTERCAPITAL TURING FIM</v>
          </cell>
          <cell r="D18897" t="str">
            <v>ENTERCAPITAL TURING FIM</v>
          </cell>
          <cell r="E18897" t="str">
            <v>ENTERCAPITAL GESTAO DE RECURSOS LTDA</v>
          </cell>
        </row>
        <row r="18898">
          <cell r="B18898">
            <v>80842</v>
          </cell>
          <cell r="C18898" t="str">
            <v>MOAT CAPITAL EQUITY HEDGE MASTER FIM</v>
          </cell>
          <cell r="D18898" t="str">
            <v>MOAT CAPITAL EQUITY HEDGE MASTER FIM</v>
          </cell>
          <cell r="E18898" t="str">
            <v>MOAT CAPITAL GESTAO DE RECURSOS LTDA</v>
          </cell>
        </row>
        <row r="18899">
          <cell r="B18899">
            <v>80843</v>
          </cell>
          <cell r="C18899" t="str">
            <v>MOAT CAPITAL FUNDO DE INVESTIMENTO EM ACOES MASTER</v>
          </cell>
          <cell r="D18899" t="str">
            <v>MOAT CAPITAL FUNDO DE INVESTIMENTO EM ACOES MASTER</v>
          </cell>
          <cell r="E18899" t="str">
            <v>MOAT CAPITAL GESTAO DE RECURSOS LTDA</v>
          </cell>
        </row>
        <row r="18900">
          <cell r="B18900">
            <v>80844</v>
          </cell>
          <cell r="C18900" t="str">
            <v>MOAT CAPITAL LONG BIAS FIM MASTER</v>
          </cell>
          <cell r="D18900" t="str">
            <v>MOAT CAPITAL LONG BIAS FIM MASTER</v>
          </cell>
          <cell r="E18900" t="str">
            <v>MOAT CAPITAL GESTAO DE RECURSOS LTDA</v>
          </cell>
        </row>
        <row r="18901">
          <cell r="B18901">
            <v>80840</v>
          </cell>
          <cell r="C18901" t="str">
            <v>ISALENA FIM CP IE</v>
          </cell>
          <cell r="D18901" t="str">
            <v>ISALENA FIM CP IE</v>
          </cell>
          <cell r="E18901" t="str">
            <v>JULIUS BAER FAMILY OFFICE BRASIL GESTAO DE PATRIMONIO LTDA</v>
          </cell>
        </row>
        <row r="18902">
          <cell r="B18902">
            <v>80840</v>
          </cell>
          <cell r="C18902" t="str">
            <v>ISALENA FIM CP IE</v>
          </cell>
          <cell r="D18902" t="str">
            <v>ISALENA FIM CP IE</v>
          </cell>
          <cell r="E18902" t="str">
            <v>JULIUS BAER FAMILY OFFICE BRASIL GESTAO DE PATRIMONIO LTDA</v>
          </cell>
        </row>
        <row r="18903">
          <cell r="B18903">
            <v>80845</v>
          </cell>
          <cell r="C18903" t="str">
            <v>PARAMITA FIM CP IE</v>
          </cell>
          <cell r="D18903" t="str">
            <v>PARAMITA FIM CP IE</v>
          </cell>
          <cell r="E18903" t="str">
            <v>PARAMITA FIM CP IE</v>
          </cell>
        </row>
        <row r="18904">
          <cell r="B18904">
            <v>80845</v>
          </cell>
          <cell r="C18904" t="str">
            <v>PARAMITA FIM CP IE</v>
          </cell>
          <cell r="D18904" t="str">
            <v>PARAMITA FIM CP IE</v>
          </cell>
          <cell r="E18904" t="str">
            <v>PARAMITA FIM CP IE</v>
          </cell>
        </row>
        <row r="18905">
          <cell r="B18905">
            <v>122651</v>
          </cell>
          <cell r="C18905" t="str">
            <v>GALILEO TM LLC</v>
          </cell>
          <cell r="D18905" t="str">
            <v>GALILEO TM LLC</v>
          </cell>
          <cell r="E18905" t="str">
            <v>TEMPO CAPITAL GESTAO DE RECURSOS LTDA</v>
          </cell>
        </row>
        <row r="18906">
          <cell r="B18906">
            <v>80856</v>
          </cell>
          <cell r="C18906" t="str">
            <v>SCHRODER INVESTMENT MANAGEMENT BRASIL LTDA</v>
          </cell>
          <cell r="D18906" t="str">
            <v>SCHRODER INVESTMENT MANAGEMENT BRASIL LTDA</v>
          </cell>
          <cell r="E18906" t="str">
            <v>SCHRODER INVESTMENT MANAGEMENT BRASIL LTDA</v>
          </cell>
        </row>
        <row r="18907">
          <cell r="B18907">
            <v>80856</v>
          </cell>
          <cell r="C18907" t="str">
            <v>SCHRODER INVESTMENT MANAGEMENT BRASIL LTDA</v>
          </cell>
          <cell r="D18907" t="str">
            <v>SCHRODER INVESTMENT MANAGEMENT BRASIL LTDA</v>
          </cell>
          <cell r="E18907" t="str">
            <v>SCHRODER INVESTMENT MANAGEMENT BRASIL LTDA</v>
          </cell>
        </row>
        <row r="18908">
          <cell r="B18908">
            <v>80857</v>
          </cell>
          <cell r="C18908" t="str">
            <v>ANDRE HALL ACCIOLY</v>
          </cell>
          <cell r="D18908" t="str">
            <v>ANDRE HALL ACCIOLY</v>
          </cell>
          <cell r="E18908" t="str">
            <v>ANDRE HALL ACCIOLY</v>
          </cell>
        </row>
        <row r="18909">
          <cell r="B18909">
            <v>80858</v>
          </cell>
          <cell r="C18909" t="str">
            <v>MINKE FUNDO DE INVESTIMENTO EM AÃ‡Ã•ES</v>
          </cell>
          <cell r="D18909" t="str">
            <v>MINKE FUNDO DE INVESTIMENTO EM AÃ‡Ã•ES</v>
          </cell>
          <cell r="E18909" t="str">
            <v>JULIUS BAER FAMILY OFFICE BRASIL GESTAO DE PATRIMONIO LTDA</v>
          </cell>
        </row>
        <row r="18910">
          <cell r="B18910">
            <v>80858</v>
          </cell>
          <cell r="C18910" t="str">
            <v>MINKE FUNDO DE INVESTIMENTO EM AÃ‡Ã•ES</v>
          </cell>
          <cell r="D18910" t="str">
            <v>MINKE FUNDO DE INVESTIMENTO EM AÃ‡Ã•ES</v>
          </cell>
          <cell r="E18910" t="str">
            <v>JULIUS BAER FAMILY OFFICE BRASIL GESTAO DE PATRIMONIO LTDA</v>
          </cell>
        </row>
        <row r="18911">
          <cell r="B18911">
            <v>80846</v>
          </cell>
          <cell r="C18911" t="str">
            <v>SCHRODER HIGH GRADE ADVISORY FI RF CP</v>
          </cell>
          <cell r="D18911" t="str">
            <v>SCHRODER HIGH GRADE ADVISORY FI RF CP</v>
          </cell>
          <cell r="E18911" t="str">
            <v>SCHRODER INVESTMENT MANAGEMENT BRASIL LTDA</v>
          </cell>
        </row>
        <row r="18912">
          <cell r="B18912">
            <v>80846</v>
          </cell>
          <cell r="C18912" t="str">
            <v>SCHRODER HIGH GRADE ADVISORY FI RF CP</v>
          </cell>
          <cell r="D18912" t="str">
            <v>SCHRODER HIGH GRADE ADVISORY FI RF CP</v>
          </cell>
          <cell r="E18912" t="str">
            <v>SCHRODER INVESTMENT MANAGEMENT BRASIL LTDA</v>
          </cell>
        </row>
        <row r="18913">
          <cell r="B18913">
            <v>80847</v>
          </cell>
          <cell r="C18913" t="str">
            <v>SCHRODER ZURICH PREVIDENCIÃRIO FI RF</v>
          </cell>
          <cell r="D18913" t="str">
            <v>SCHRODER ZURICH PREVIDENCIÃRIO FI RF</v>
          </cell>
          <cell r="E18913" t="str">
            <v>SCHRODER INVESTMENT MANAGEMENT BRASIL LTDA</v>
          </cell>
        </row>
        <row r="18914">
          <cell r="B18914">
            <v>80847</v>
          </cell>
          <cell r="C18914" t="str">
            <v>SCHRODER ZURICH PREVIDENCIÃRIO FI RF</v>
          </cell>
          <cell r="D18914" t="str">
            <v>SCHRODER ZURICH PREVIDENCIÃRIO FI RF</v>
          </cell>
          <cell r="E18914" t="str">
            <v>SCHRODER INVESTMENT MANAGEMENT BRASIL LTDA</v>
          </cell>
        </row>
        <row r="18915">
          <cell r="B18915">
            <v>80848</v>
          </cell>
          <cell r="C18915" t="str">
            <v>SCHRODER ADVISORY XP SEGUROS PREV FI RF CP</v>
          </cell>
          <cell r="D18915" t="str">
            <v>SCHRODER ADVISORY XP SEGUROS PREV FI RF CP</v>
          </cell>
          <cell r="E18915" t="str">
            <v>SCHRODER INVESTMENT MANAGEMENT BRASIL LTDA</v>
          </cell>
        </row>
        <row r="18916">
          <cell r="B18916">
            <v>80848</v>
          </cell>
          <cell r="C18916" t="str">
            <v>SCHRODER ADVISORY XP SEGUROS PREV FI RF CP</v>
          </cell>
          <cell r="D18916" t="str">
            <v>SCHRODER ADVISORY XP SEGUROS PREV FI RF CP</v>
          </cell>
          <cell r="E18916" t="str">
            <v>SCHRODER INVESTMENT MANAGEMENT BRASIL LTDA</v>
          </cell>
        </row>
        <row r="18917">
          <cell r="B18917">
            <v>80849</v>
          </cell>
          <cell r="C18917" t="str">
            <v>ZURICH SCHRODER FUNDO DE INVESTIMENTO MULTIMERCADO</v>
          </cell>
          <cell r="D18917" t="str">
            <v>ZURICH SCHRODER FUNDO DE INVESTIMENTO MULTIMERCADO</v>
          </cell>
          <cell r="E18917" t="str">
            <v>SCHRODER INVESTMENT MANAGEMENT BRASIL LTDA</v>
          </cell>
        </row>
        <row r="18918">
          <cell r="B18918">
            <v>80849</v>
          </cell>
          <cell r="C18918" t="str">
            <v>ZURICH SCHRODER FUNDO DE INVESTIMENTO MULTIMERCADO</v>
          </cell>
          <cell r="D18918" t="str">
            <v>ZURICH SCHRODER FUNDO DE INVESTIMENTO MULTIMERCADO</v>
          </cell>
          <cell r="E18918" t="str">
            <v>SCHRODER INVESTMENT MANAGEMENT BRASIL LTDA</v>
          </cell>
        </row>
        <row r="18919">
          <cell r="B18919">
            <v>80850</v>
          </cell>
          <cell r="C18919" t="str">
            <v>SCHRODER TOTAL MASTER FIM</v>
          </cell>
          <cell r="D18919" t="str">
            <v>SCHRODER TOTAL MASTER FIM</v>
          </cell>
          <cell r="E18919" t="str">
            <v>SCHRODER INVESTMENT MANAGEMENT BRASIL LTDA</v>
          </cell>
        </row>
        <row r="18920">
          <cell r="B18920">
            <v>80850</v>
          </cell>
          <cell r="C18920" t="str">
            <v>SCHRODER TOTAL MASTER FIM</v>
          </cell>
          <cell r="D18920" t="str">
            <v>SCHRODER TOTAL MASTER FIM</v>
          </cell>
          <cell r="E18920" t="str">
            <v>SCHRODER INVESTMENT MANAGEMENT BRASIL LTDA</v>
          </cell>
        </row>
        <row r="18921">
          <cell r="B18921">
            <v>80851</v>
          </cell>
          <cell r="C18921" t="str">
            <v>METLIFE PREVIDENCIARIO CORPORATE FI RF</v>
          </cell>
          <cell r="D18921" t="str">
            <v>METLIFE PREVIDENCIARIO CORPORATE FI RF</v>
          </cell>
          <cell r="E18921" t="str">
            <v>SCHRODER INVESTMENT MANAGEMENT BRASIL LTDA</v>
          </cell>
        </row>
        <row r="18922">
          <cell r="B18922">
            <v>80851</v>
          </cell>
          <cell r="C18922" t="str">
            <v>METLIFE PREVIDENCIARIO CORPORATE FI RF</v>
          </cell>
          <cell r="D18922" t="str">
            <v>METLIFE PREVIDENCIARIO CORPORATE FI RF</v>
          </cell>
          <cell r="E18922" t="str">
            <v>SCHRODER INVESTMENT MANAGEMENT BRASIL LTDA</v>
          </cell>
        </row>
        <row r="18923">
          <cell r="B18923">
            <v>80852</v>
          </cell>
          <cell r="C18923" t="str">
            <v>METLIFE FUNDO DE INVESTIMENTO MULTIMERCADO MASTER TOTAL</v>
          </cell>
          <cell r="D18923" t="str">
            <v>METLIFE FUNDO DE INVESTIMENTO MULTIMERCADO MASTER TOTAL</v>
          </cell>
          <cell r="E18923" t="str">
            <v>SCHRODER INVESTMENT MANAGEMENT BRASIL LTDA</v>
          </cell>
        </row>
        <row r="18924">
          <cell r="B18924">
            <v>80852</v>
          </cell>
          <cell r="C18924" t="str">
            <v>METLIFE FUNDO DE INVESTIMENTO MULTIMERCADO MASTER TOTAL</v>
          </cell>
          <cell r="D18924" t="str">
            <v>METLIFE FUNDO DE INVESTIMENTO MULTIMERCADO MASTER TOTAL</v>
          </cell>
          <cell r="E18924" t="str">
            <v>SCHRODER INVESTMENT MANAGEMENT BRASIL LTDA</v>
          </cell>
        </row>
        <row r="18925">
          <cell r="B18925">
            <v>80853</v>
          </cell>
          <cell r="C18925" t="str">
            <v>SICREDI - FUNDO DE INVESTIMENTO MULTIMERCADO ELITE CP LP</v>
          </cell>
          <cell r="D18925" t="str">
            <v>SICREDI - FUNDO DE INVESTIMENTO MULTIMERCADO ELITE CP LP</v>
          </cell>
          <cell r="E18925" t="str">
            <v>SCHRODER INVESTMENT MANAGEMENT BRASIL LTDA</v>
          </cell>
        </row>
        <row r="18926">
          <cell r="B18926">
            <v>80853</v>
          </cell>
          <cell r="C18926" t="str">
            <v>SICREDI - FUNDO DE INVESTIMENTO MULTIMERCADO ELITE CP LP</v>
          </cell>
          <cell r="D18926" t="str">
            <v>SICREDI - FUNDO DE INVESTIMENTO MULTIMERCADO ELITE CP LP</v>
          </cell>
          <cell r="E18926" t="str">
            <v>SCHRODER INVESTMENT MANAGEMENT BRASIL LTDA</v>
          </cell>
        </row>
        <row r="18927">
          <cell r="B18927">
            <v>80854</v>
          </cell>
          <cell r="C18927" t="str">
            <v>SICREDI - FUNDO DE INVESTIMENTO RENDA FIXA CP LP ANS</v>
          </cell>
          <cell r="D18927" t="str">
            <v>SICREDI - FUNDO DE INVESTIMENTO RENDA FIXA CP LP ANS</v>
          </cell>
          <cell r="E18927" t="str">
            <v>SCHRODER INVESTMENT MANAGEMENT BRASIL LTDA</v>
          </cell>
        </row>
        <row r="18928">
          <cell r="B18928">
            <v>80854</v>
          </cell>
          <cell r="C18928" t="str">
            <v>SICREDI - FUNDO DE INVESTIMENTO RENDA FIXA CP LP ANS</v>
          </cell>
          <cell r="D18928" t="str">
            <v>SICREDI - FUNDO DE INVESTIMENTO RENDA FIXA CP LP ANS</v>
          </cell>
          <cell r="E18928" t="str">
            <v>SCHRODER INVESTMENT MANAGEMENT BRASIL LTDA</v>
          </cell>
        </row>
        <row r="18929">
          <cell r="B18929">
            <v>80855</v>
          </cell>
          <cell r="C18929" t="str">
            <v>SCHRODER PREMIUM ADVISORY FI RF CP LP</v>
          </cell>
          <cell r="D18929" t="str">
            <v>SCHRODER PREMIUM ADVISORY FI RF CP LP</v>
          </cell>
          <cell r="E18929" t="str">
            <v>SCHRODER INVESTMENT MANAGEMENT BRASIL LTDA</v>
          </cell>
        </row>
        <row r="18930">
          <cell r="B18930">
            <v>80855</v>
          </cell>
          <cell r="C18930" t="str">
            <v>SCHRODER PREMIUM ADVISORY FI RF CP LP</v>
          </cell>
          <cell r="D18930" t="str">
            <v>SCHRODER PREMIUM ADVISORY FI RF CP LP</v>
          </cell>
          <cell r="E18930" t="str">
            <v>SCHRODER INVESTMENT MANAGEMENT BRASIL LTDA</v>
          </cell>
        </row>
        <row r="18931">
          <cell r="B18931">
            <v>125443</v>
          </cell>
          <cell r="C18931" t="str">
            <v>BB GESTAO DE RECURSOS DTVM LTDA</v>
          </cell>
          <cell r="D18931" t="str">
            <v>BB GESTAO DE RECURSOS DTVM LTDA</v>
          </cell>
          <cell r="E18931" t="str">
            <v>BB GESTAO DE RECURSOS DTVM LTDA</v>
          </cell>
        </row>
        <row r="18932">
          <cell r="B18932">
            <v>125441</v>
          </cell>
          <cell r="C18932" t="str">
            <v>SANTANDER CACEIS BRASIL DTVM S.A.</v>
          </cell>
          <cell r="D18932" t="str">
            <v>SANTANDER CACEIS BRASIL DTVM S.A.</v>
          </cell>
          <cell r="E18932" t="str">
            <v>SANTANDER BRASIL GESTAO DE RECURSOS LTDA</v>
          </cell>
        </row>
        <row r="18933">
          <cell r="B18933">
            <v>125441</v>
          </cell>
          <cell r="C18933" t="str">
            <v>SANTANDER CACEIS BRASIL DTVM S.A.</v>
          </cell>
          <cell r="D18933" t="str">
            <v>SANTANDER CACEIS BRASIL DTVM S.A.</v>
          </cell>
          <cell r="E18933" t="str">
            <v>SANTANDER BRASIL GESTAO DE RECURSOS LTDA</v>
          </cell>
        </row>
        <row r="18934">
          <cell r="B18934">
            <v>125442</v>
          </cell>
          <cell r="C18934" t="str">
            <v>SANTANDER CACEIS BRASIL DTVM S.A.</v>
          </cell>
          <cell r="D18934" t="str">
            <v>SANTANDER CACEIS BRASIL DTVM S.A.</v>
          </cell>
          <cell r="E18934" t="str">
            <v>SANTANDER BRASIL GESTAO DE RECURSOS LTDA</v>
          </cell>
        </row>
        <row r="18935">
          <cell r="B18935">
            <v>125442</v>
          </cell>
          <cell r="C18935" t="str">
            <v>SANTANDER CACEIS BRASIL DTVM S.A.</v>
          </cell>
          <cell r="D18935" t="str">
            <v>SANTANDER CACEIS BRASIL DTVM S.A.</v>
          </cell>
          <cell r="E18935" t="str">
            <v>SANTANDER BRASIL GESTAO DE RECURSOS LTDA</v>
          </cell>
        </row>
        <row r="18936">
          <cell r="B18936">
            <v>80860</v>
          </cell>
          <cell r="C18936" t="str">
            <v>CKY FIM CP IE</v>
          </cell>
          <cell r="D18936" t="str">
            <v>CKY FIM CP IE</v>
          </cell>
          <cell r="E18936" t="str">
            <v>JULIUS BAER FAMILY OFFICE BRASIL GESTAO DE PATRIMONIO LTDA</v>
          </cell>
        </row>
        <row r="18937">
          <cell r="B18937">
            <v>80860</v>
          </cell>
          <cell r="C18937" t="str">
            <v>CKY FIM CP IE</v>
          </cell>
          <cell r="D18937" t="str">
            <v>CKY FIM CP IE</v>
          </cell>
          <cell r="E18937" t="str">
            <v>JULIUS BAER FAMILY OFFICE BRASIL GESTAO DE PATRIMONIO LTDA</v>
          </cell>
        </row>
        <row r="18938">
          <cell r="B18938">
            <v>80861</v>
          </cell>
          <cell r="C18938" t="str">
            <v>L&amp;L FIM CP IE</v>
          </cell>
          <cell r="D18938" t="str">
            <v>L&amp;L FIM CP IE</v>
          </cell>
          <cell r="E18938" t="str">
            <v>L&amp;L FIM CP IE</v>
          </cell>
        </row>
        <row r="18939">
          <cell r="B18939">
            <v>80861</v>
          </cell>
          <cell r="C18939" t="str">
            <v>L&amp;L FIM CP IE</v>
          </cell>
          <cell r="D18939" t="str">
            <v>L&amp;L FIM CP IE</v>
          </cell>
          <cell r="E18939" t="str">
            <v>L&amp;L FIM CP IE</v>
          </cell>
        </row>
        <row r="18940">
          <cell r="B18940">
            <v>124869</v>
          </cell>
          <cell r="C18940" t="str">
            <v>L&amp;L FIM CP IE</v>
          </cell>
          <cell r="D18940">
            <v>124869</v>
          </cell>
          <cell r="E18940" t="str">
            <v>L&amp;L FIM CP IE</v>
          </cell>
        </row>
        <row r="18941">
          <cell r="B18941">
            <v>124869</v>
          </cell>
          <cell r="C18941" t="str">
            <v>L&amp;L FIM CP IE</v>
          </cell>
          <cell r="D18941">
            <v>124869</v>
          </cell>
          <cell r="E18941" t="str">
            <v>L&amp;L FIM CP IE</v>
          </cell>
        </row>
        <row r="18942">
          <cell r="B18942">
            <v>80862</v>
          </cell>
          <cell r="C18942" t="str">
            <v>FATES FIA BDR NIVEL I</v>
          </cell>
          <cell r="D18942" t="str">
            <v>FATES FIA BDR NIVEL I</v>
          </cell>
          <cell r="E18942" t="str">
            <v>JULIUS BAER FAMILY OFFICE BRASIL GESTAO DE PATRIMONIO LTDA</v>
          </cell>
        </row>
        <row r="18943">
          <cell r="B18943">
            <v>80862</v>
          </cell>
          <cell r="C18943" t="str">
            <v>FATES FIA BDR NIVEL I</v>
          </cell>
          <cell r="D18943" t="str">
            <v>FATES FIA BDR NIVEL I</v>
          </cell>
          <cell r="E18943" t="str">
            <v>JULIUS BAER FAMILY OFFICE BRASIL GESTAO DE PATRIMONIO LTDA</v>
          </cell>
        </row>
        <row r="18944">
          <cell r="B18944">
            <v>80863</v>
          </cell>
          <cell r="C18944" t="str">
            <v>TOSCANA FIM CP IE</v>
          </cell>
          <cell r="D18944" t="str">
            <v>TOSCANA FIM CP IE</v>
          </cell>
          <cell r="E18944" t="str">
            <v>JULIUS BAER FAMILY OFFICE BRASIL GESTAO DE PATRIMONIO LTDA</v>
          </cell>
        </row>
        <row r="18945">
          <cell r="B18945">
            <v>80863</v>
          </cell>
          <cell r="C18945" t="str">
            <v>TOSCANA FIM CP IE</v>
          </cell>
          <cell r="D18945" t="str">
            <v>TOSCANA FIM CP IE</v>
          </cell>
          <cell r="E18945" t="str">
            <v>JULIUS BAER FAMILY OFFICE BRASIL GESTAO DE PATRIMONIO LTDA</v>
          </cell>
        </row>
        <row r="18946">
          <cell r="B18946">
            <v>122803</v>
          </cell>
          <cell r="C18946" t="str">
            <v>RIO BRAVO FUNDAMENTAL FIA</v>
          </cell>
          <cell r="D18946" t="str">
            <v>RIO BRAVO FUNDAMENTAL FIA</v>
          </cell>
          <cell r="E18946" t="str">
            <v>RIO BRAVO FUNDAMENTAL FIA</v>
          </cell>
        </row>
        <row r="18947">
          <cell r="B18947">
            <v>122896</v>
          </cell>
          <cell r="C18947" t="str">
            <v>RIO BRAVO PREVIDENCIA FIM</v>
          </cell>
          <cell r="D18947" t="str">
            <v>RIO BRAVO PREVIDENCIA FIM</v>
          </cell>
          <cell r="E18947" t="str">
            <v>RIO BRAVO PREVIDENCIA FIM</v>
          </cell>
        </row>
        <row r="18948">
          <cell r="B18948">
            <v>125444</v>
          </cell>
          <cell r="C18948" t="str">
            <v>CENTRUS -FUNDAÃ‡ÃƒO BANCO CENTRAL DE PREVIDENCIA PRIVADA</v>
          </cell>
          <cell r="D18948" t="str">
            <v>CENTRUS -FUNDAÃ‡ÃƒO BANCO CENTRAL DE PREVIDENCIA PRIVADA</v>
          </cell>
          <cell r="E18948" t="str">
            <v>CENTRUS -FUNDAÇÃO BANCO CENTRAL DE PREVIDENCIA PRIVADA</v>
          </cell>
        </row>
        <row r="18949">
          <cell r="B18949">
            <v>125444</v>
          </cell>
          <cell r="C18949" t="str">
            <v>CENTRUS -FUNDAÃ‡ÃƒO BANCO CENTRAL DE PREVIDENCIA PRIVADA</v>
          </cell>
          <cell r="D18949" t="str">
            <v>CENTRUS -FUNDAÃ‡ÃƒO BANCO CENTRAL DE PREVIDENCIA PRIVADA</v>
          </cell>
          <cell r="E18949" t="str">
            <v>CENTRUS -FUNDAÇÃO BANCO CENTRAL DE PREVIDENCIA PRIVADA</v>
          </cell>
        </row>
        <row r="18950">
          <cell r="B18950">
            <v>80864</v>
          </cell>
          <cell r="C18950" t="str">
            <v>VITREO AWP FUNDO DE INVESTIMENTO MULTIMERCADO IE</v>
          </cell>
          <cell r="D18950" t="str">
            <v>VITREO AWP FUNDO DE INVESTIMENTO MULTIMERCADO IE</v>
          </cell>
          <cell r="E18950" t="str">
            <v>EMPIRICUS GESTAO DE RECURSOS LTDA</v>
          </cell>
        </row>
        <row r="18951">
          <cell r="B18951">
            <v>80864</v>
          </cell>
          <cell r="C18951" t="str">
            <v>VITREO AWP FUNDO DE INVESTIMENTO MULTIMERCADO IE</v>
          </cell>
          <cell r="D18951" t="str">
            <v>VITREO AWP FUNDO DE INVESTIMENTO MULTIMERCADO IE</v>
          </cell>
          <cell r="E18951" t="str">
            <v>VITREO AWP FUNDO DE INVESTIMENTO MULTIMERCADO IE</v>
          </cell>
        </row>
        <row r="18952">
          <cell r="B18952">
            <v>80865</v>
          </cell>
          <cell r="C18952" t="str">
            <v>VTR PRAT FUNDO DE INVESTIMENTO MULTIMERCADO</v>
          </cell>
          <cell r="D18952" t="str">
            <v>VTR PRAT FUNDO DE INVESTIMENTO MULTIMERCADO</v>
          </cell>
          <cell r="E18952" t="str">
            <v>EMPIRICUS GESTAO DE RECURSOS LTDA</v>
          </cell>
        </row>
        <row r="18953">
          <cell r="B18953">
            <v>80865</v>
          </cell>
          <cell r="C18953" t="str">
            <v>VTR PRAT FUNDO DE INVESTIMENTO MULTIMERCADO</v>
          </cell>
          <cell r="D18953" t="str">
            <v>VTR PRAT FUNDO DE INVESTIMENTO MULTIMERCADO</v>
          </cell>
          <cell r="E18953" t="str">
            <v>EMPIRICUS GESTAO DE RECURSOS LTDA</v>
          </cell>
        </row>
        <row r="18954">
          <cell r="B18954">
            <v>80866</v>
          </cell>
          <cell r="C18954" t="str">
            <v>MULTI 831 FIM CRED PRIV IE</v>
          </cell>
          <cell r="D18954" t="str">
            <v>MULTI 831 FIM CRED PRIV IE</v>
          </cell>
          <cell r="E18954" t="str">
            <v>INVESTMENT ONE PARTNERS GESTAO DE RECURSOS LTDA</v>
          </cell>
        </row>
        <row r="18955">
          <cell r="B18955">
            <v>80867</v>
          </cell>
          <cell r="C18955" t="str">
            <v>VITREO BONDS USD FIM IE CP</v>
          </cell>
          <cell r="D18955" t="str">
            <v>VITREO BONDS USD FIM IE CP</v>
          </cell>
          <cell r="E18955" t="str">
            <v>EMPIRICUS GESTAO DE RECURSOS LTDA</v>
          </cell>
        </row>
        <row r="18956">
          <cell r="B18956">
            <v>80867</v>
          </cell>
          <cell r="C18956" t="str">
            <v>VITREO BONDS USD FIM IE CP</v>
          </cell>
          <cell r="D18956" t="str">
            <v>VITREO BONDS USD FIM IE CP</v>
          </cell>
          <cell r="E18956" t="str">
            <v>EMPIRICUS GESTAO DE RECURSOS LTDA</v>
          </cell>
        </row>
        <row r="18957">
          <cell r="B18957">
            <v>80869</v>
          </cell>
          <cell r="C18957" t="str">
            <v>KAIROS MACRO B PREVID. FIFE MASTER FIM</v>
          </cell>
          <cell r="D18957" t="str">
            <v>KAIROS MACRO B PREVID. FIFE MASTER FIM</v>
          </cell>
          <cell r="E18957" t="str">
            <v>KAIROS CAPITAL GESTAO DE RECURSOS LTDA</v>
          </cell>
        </row>
        <row r="18958">
          <cell r="B18958">
            <v>80869</v>
          </cell>
          <cell r="C18958" t="str">
            <v>KAIROS MACRO B PREVID. FIFE MASTER FIM</v>
          </cell>
          <cell r="D18958" t="str">
            <v>KAIROS MACRO B PREVID. FIFE MASTER FIM</v>
          </cell>
          <cell r="E18958" t="str">
            <v>KAIROS CAPITAL GESTAO DE RECURSOS LTDA</v>
          </cell>
        </row>
        <row r="18959">
          <cell r="B18959">
            <v>80868</v>
          </cell>
          <cell r="C18959" t="str">
            <v>GAROUPA II FIM CP IE</v>
          </cell>
          <cell r="D18959" t="str">
            <v>GAROUPA II FIM CP IE</v>
          </cell>
          <cell r="E18959" t="str">
            <v>JULIUS BAER FAMILY OFFICE BRASIL GESTAO DE PATRIMONIO LTDA</v>
          </cell>
        </row>
        <row r="18960">
          <cell r="B18960">
            <v>80868</v>
          </cell>
          <cell r="C18960" t="str">
            <v>GAROUPA II FIM CP IE</v>
          </cell>
          <cell r="D18960" t="str">
            <v>GAROUPA II FIM CP IE</v>
          </cell>
          <cell r="E18960" t="str">
            <v>JULIUS BAER FAMILY OFFICE BRASIL GESTAO DE PATRIMONIO LTDA</v>
          </cell>
        </row>
        <row r="18961">
          <cell r="B18961">
            <v>80866</v>
          </cell>
          <cell r="C18961" t="str">
            <v>MULTI 831 FIM CRED PRIV IE</v>
          </cell>
          <cell r="D18961" t="str">
            <v>MULTI 831 FIM CRED PRIV IE</v>
          </cell>
          <cell r="E18961" t="str">
            <v>INVESTMENT ONE PARTNERS GESTAO DE RECURSOS LTDA</v>
          </cell>
        </row>
        <row r="18962">
          <cell r="B18962">
            <v>80870</v>
          </cell>
          <cell r="C18962" t="str">
            <v>JULIANA RODRIGUES COURA GONÃ‡ALVES</v>
          </cell>
          <cell r="D18962" t="str">
            <v>JULIANA RODRIGUES COURA GONÃ‡ALVES</v>
          </cell>
          <cell r="E18962" t="str">
            <v>JULIANA RODRIGUES COURA GONÃ‡ALVES</v>
          </cell>
        </row>
        <row r="18963">
          <cell r="B18963">
            <v>80871</v>
          </cell>
          <cell r="C18963" t="str">
            <v>OLIVIA COURA SIQUEIRA GONÃ‡ALVES</v>
          </cell>
          <cell r="D18963" t="str">
            <v>OLIVIA COURA SIQUEIRA GONÃ‡ALVES</v>
          </cell>
          <cell r="E18963" t="str">
            <v>OLIVIA COURA SIQUEIRA GONÃ‡ALVES</v>
          </cell>
        </row>
        <row r="18964">
          <cell r="B18964">
            <v>80871</v>
          </cell>
          <cell r="C18964" t="str">
            <v>OLIVIA COURA SIQUEIRA GONÃ‡ALVES</v>
          </cell>
          <cell r="D18964" t="str">
            <v>OLIVIA COURA SIQUEIRA GONÃ‡ALVES</v>
          </cell>
          <cell r="E18964" t="str">
            <v>OLIVIA COURA SIQUEIRA GONÃ‡ALVES</v>
          </cell>
        </row>
        <row r="18965">
          <cell r="B18965">
            <v>80870</v>
          </cell>
          <cell r="C18965" t="str">
            <v>JULIANA RODRIGUES COURA GONÃ‡ALVES</v>
          </cell>
          <cell r="D18965" t="str">
            <v>JULIANA RODRIGUES COURA GONÃ‡ALVES</v>
          </cell>
          <cell r="E18965" t="str">
            <v>JULIANA RODRIGUES COURA GONÃ‡ALVES</v>
          </cell>
        </row>
        <row r="18966">
          <cell r="B18966">
            <v>125447</v>
          </cell>
          <cell r="C18966" t="str">
            <v>ITAU ACOES SMALL CAP INDEX FI</v>
          </cell>
          <cell r="D18966" t="str">
            <v>ITAU ACOES SMALL CAP INDEX FI</v>
          </cell>
          <cell r="E18966" t="str">
            <v>ITAU UNIBANCO ASSET - TACO</v>
          </cell>
        </row>
        <row r="18967">
          <cell r="B18967">
            <v>125448</v>
          </cell>
          <cell r="C18967" t="str">
            <v>ITAU FLEXPREV PRIVATE BOLSA MULT FI</v>
          </cell>
          <cell r="D18967" t="str">
            <v>ITAU FLEXPREV PRIVATE BOLSA MULT FI</v>
          </cell>
          <cell r="E18967" t="str">
            <v>ITAU UNIBANCO ASSET - TACO</v>
          </cell>
        </row>
        <row r="18968">
          <cell r="B18968">
            <v>80872</v>
          </cell>
          <cell r="C18968" t="str">
            <v>APEX LONG BIASED ADVISORY XP SEGUROS PREV FIM</v>
          </cell>
          <cell r="D18968" t="str">
            <v>APEX LONG BIASED ADVISORY XP SEGUROS PREV FIM</v>
          </cell>
          <cell r="E18968" t="str">
            <v>APEX CAPITAL LTDA</v>
          </cell>
        </row>
        <row r="18969">
          <cell r="B18969">
            <v>80872</v>
          </cell>
          <cell r="C18969" t="str">
            <v>APEX LONG BIASED ADVISORY XP SEGUROS PREV FIM</v>
          </cell>
          <cell r="D18969" t="str">
            <v>APEX LONG BIASED ADVISORY XP SEGUROS PREV FIM</v>
          </cell>
          <cell r="E18969" t="str">
            <v>APEX CAPITAL LTDA</v>
          </cell>
        </row>
        <row r="18970">
          <cell r="B18970">
            <v>80873</v>
          </cell>
          <cell r="C18970" t="str">
            <v>APEX LONG BIASED ADVISORY XP SEGUROS PREV FIM</v>
          </cell>
          <cell r="D18970" t="str">
            <v>APEX LONG BIASED ADVISORY XP SEGUROS PREV FIM</v>
          </cell>
          <cell r="E18970" t="str">
            <v>APEX CAPITAL LTDA</v>
          </cell>
        </row>
        <row r="18971">
          <cell r="B18971">
            <v>80873</v>
          </cell>
          <cell r="C18971" t="str">
            <v>APEX LONG BIASED ADVISORY XP SEGUROS PREV FIM</v>
          </cell>
          <cell r="D18971" t="str">
            <v>APEX LONG BIASED ADVISORY XP SEGUROS PREV FIM</v>
          </cell>
          <cell r="E18971" t="str">
            <v>APEX CAPITAL LTDA</v>
          </cell>
        </row>
        <row r="18972">
          <cell r="B18972">
            <v>80874</v>
          </cell>
          <cell r="C18972" t="str">
            <v>APEX LONG BIASED ADVISORY XP SEGUROS PREV FIM</v>
          </cell>
          <cell r="D18972" t="str">
            <v>APEX LONG BIASED ADVISORY XP SEGUROS PREV FIM</v>
          </cell>
          <cell r="E18972" t="str">
            <v>APEX CAPITAL LTDA</v>
          </cell>
        </row>
        <row r="18973">
          <cell r="B18973">
            <v>80874</v>
          </cell>
          <cell r="C18973" t="str">
            <v>APEX LONG BIASED ADVISORY XP SEGUROS PREV FIM</v>
          </cell>
          <cell r="D18973" t="str">
            <v>APEX LONG BIASED ADVISORY XP SEGUROS PREV FIM</v>
          </cell>
          <cell r="E18973" t="str">
            <v>APEX CAPITAL LTDA</v>
          </cell>
        </row>
        <row r="18974">
          <cell r="B18974">
            <v>125449</v>
          </cell>
          <cell r="C18974" t="str">
            <v>SANTANDER CACEIS BRASIL DTVM S.A.</v>
          </cell>
          <cell r="D18974" t="str">
            <v>SANTANDER CACEIS BRASIL DTVM S.A.</v>
          </cell>
          <cell r="E18974" t="str">
            <v>SANTANDER BRASIL GESTAO DE RECURSOS LTDA</v>
          </cell>
        </row>
        <row r="18975">
          <cell r="B18975">
            <v>125449</v>
          </cell>
          <cell r="C18975" t="str">
            <v>SANTANDER CACEIS BRASIL DTVM S.A.</v>
          </cell>
          <cell r="D18975" t="str">
            <v>SANTANDER CACEIS BRASIL DTVM S.A.</v>
          </cell>
          <cell r="E18975" t="str">
            <v>SANTANDER BRASIL GESTAO DE RECURSOS LTDA</v>
          </cell>
        </row>
        <row r="18976">
          <cell r="B18976">
            <v>80875</v>
          </cell>
          <cell r="C18976" t="str">
            <v>SAFRA PREV NEWTON FIM CP PREVIDENCIÃRIO</v>
          </cell>
          <cell r="D18976" t="str">
            <v>SAFRA PREV NEWTON FIM CP PREVIDENCIÃRIO</v>
          </cell>
          <cell r="E18976" t="str">
            <v>TURMALINA GESTAO E ADMINISTRAÃ‡ÃƒO DE RECURSOS SA</v>
          </cell>
        </row>
        <row r="18977">
          <cell r="B18977">
            <v>125450</v>
          </cell>
          <cell r="C18977" t="str">
            <v>BB GESTAO DE RECURSOS DTVM LTDA</v>
          </cell>
          <cell r="D18977" t="str">
            <v>BB GESTAO DE RECURSOS DTVM LTDA</v>
          </cell>
          <cell r="E18977" t="str">
            <v>BB GESTAO DE RECURSOS DTVM LTDA</v>
          </cell>
        </row>
        <row r="18978">
          <cell r="B18978">
            <v>125451</v>
          </cell>
          <cell r="C18978" t="str">
            <v>SANTANDER CACEIS BRASIL DTVM S.A.</v>
          </cell>
          <cell r="D18978" t="str">
            <v>SANTANDER CACEIS BRASIL DTVM S.A.</v>
          </cell>
          <cell r="E18978" t="str">
            <v>SANTANDER BRASIL GESTAO DE RECURSOS LTDA</v>
          </cell>
        </row>
        <row r="18979">
          <cell r="B18979">
            <v>125451</v>
          </cell>
          <cell r="C18979" t="str">
            <v>SANTANDER CACEIS BRASIL DTVM S.A.</v>
          </cell>
          <cell r="D18979" t="str">
            <v>SANTANDER CACEIS BRASIL DTVM S.A.</v>
          </cell>
          <cell r="E18979" t="str">
            <v>SANTANDER BRASIL GESTAO DE RECURSOS LTDA</v>
          </cell>
        </row>
        <row r="18980">
          <cell r="B18980">
            <v>125452</v>
          </cell>
          <cell r="C18980" t="str">
            <v>BB GESTAO DE RECURSOS DTVM LTDA</v>
          </cell>
          <cell r="D18980" t="str">
            <v>BB GESTAO DE RECURSOS DTVM LTDA</v>
          </cell>
          <cell r="E18980" t="str">
            <v>BB GESTAO DE RECURSOS DTVM LTDA</v>
          </cell>
        </row>
        <row r="18981">
          <cell r="B18981">
            <v>125453</v>
          </cell>
          <cell r="C18981" t="str">
            <v>BB GESTAO DE RECURSOS DTVM LTDA</v>
          </cell>
          <cell r="D18981" t="str">
            <v>BB GESTAO DE RECURSOS DTVM LTDA</v>
          </cell>
          <cell r="E18981" t="str">
            <v>BB GESTAO DE RECURSOS DTVM LTDA</v>
          </cell>
        </row>
        <row r="18982">
          <cell r="B18982">
            <v>988112</v>
          </cell>
          <cell r="C18982" t="str">
            <v>UBS BRASIL CCTVM S/A (ANTIGA LINK S/A CCTVM)</v>
          </cell>
          <cell r="D18982" t="str">
            <v>101*</v>
          </cell>
          <cell r="E18982" t="str">
            <v>UBS AG, LONDON BRANCH NOVO</v>
          </cell>
        </row>
        <row r="18983">
          <cell r="B18983">
            <v>99652</v>
          </cell>
          <cell r="C18983" t="str">
            <v>UBS BRASIL CCTVM S/A (ANTIGA LINK S/A CCTVM)</v>
          </cell>
          <cell r="D18983" t="str">
            <v>A99652</v>
          </cell>
          <cell r="E18983" t="str">
            <v>UBS AG, LONDON BRANCH NOVO</v>
          </cell>
        </row>
        <row r="18984">
          <cell r="B18984">
            <v>125454</v>
          </cell>
          <cell r="C18984" t="str">
            <v>SULAMERICA SELECTION MASTER I FIA</v>
          </cell>
          <cell r="D18984" t="str">
            <v>SULAMERICA SELECTION MASTER I FIA</v>
          </cell>
          <cell r="E18984" t="str">
            <v>SUL AMERICA INVESTIMENTOS GESTORA DE RECURSOS S/A</v>
          </cell>
        </row>
        <row r="18985">
          <cell r="B18985">
            <v>125454</v>
          </cell>
          <cell r="C18985" t="str">
            <v>SULAMERICA SELECTION MASTER I FIA</v>
          </cell>
          <cell r="D18985">
            <v>65049</v>
          </cell>
          <cell r="E18985" t="str">
            <v>SUL AMERICA INVESTIMENTOS GESTORA DE RECURSOS S/A</v>
          </cell>
        </row>
        <row r="18986">
          <cell r="B18986">
            <v>125455</v>
          </cell>
          <cell r="C18986" t="str">
            <v>SUL AMERICA EQUITIES 30 FIA</v>
          </cell>
          <cell r="D18986" t="str">
            <v>SUL AMERICA EQUITIES 30 FIA</v>
          </cell>
          <cell r="E18986" t="str">
            <v>SUL AMERICA INVESTIMENTOS GESTORA DE RECURSOS S/A</v>
          </cell>
        </row>
        <row r="18987">
          <cell r="B18987">
            <v>125455</v>
          </cell>
          <cell r="C18987" t="str">
            <v>SUL AMERICA EQUITIES 30 FIA</v>
          </cell>
          <cell r="D18987" t="str">
            <v>SUL AMERICA EQUITIES 30 FIA</v>
          </cell>
          <cell r="E18987" t="str">
            <v>SUL AMERICA INVESTIMENTOS GESTORA DE RECURSOS S/A</v>
          </cell>
        </row>
        <row r="18988">
          <cell r="B18988">
            <v>80878</v>
          </cell>
          <cell r="C18988" t="str">
            <v>HOLLY III FIM CP IE</v>
          </cell>
          <cell r="D18988" t="str">
            <v>HOLLY III FIM CP IE</v>
          </cell>
          <cell r="E18988" t="str">
            <v>JULIUS BAER FAMILY OFFICE BRASIL GESTAO DE PATRIMONIO LTDA</v>
          </cell>
        </row>
        <row r="18989">
          <cell r="B18989">
            <v>80878</v>
          </cell>
          <cell r="C18989" t="str">
            <v>HOLLY III FIM CP IE</v>
          </cell>
          <cell r="D18989" t="str">
            <v>HOLLY III FIM CP IE</v>
          </cell>
          <cell r="E18989" t="str">
            <v>JULIUS BAER FAMILY OFFICE BRASIL GESTAO DE PATRIMONIO LTDA</v>
          </cell>
        </row>
        <row r="18990">
          <cell r="B18990">
            <v>80879</v>
          </cell>
          <cell r="C18990" t="str">
            <v>LIAO FIC DE FIM CP IE</v>
          </cell>
          <cell r="D18990" t="str">
            <v>LIAO FIC DE FIM CP IE</v>
          </cell>
          <cell r="E18990" t="str">
            <v>JULIUS BAER FAMILY OFFICE BRASIL GESTAO DE PATRIMONIO LTDA</v>
          </cell>
        </row>
        <row r="18991">
          <cell r="B18991">
            <v>80879</v>
          </cell>
          <cell r="C18991" t="str">
            <v>LIAO FIC DE FIM CP IE</v>
          </cell>
          <cell r="D18991" t="str">
            <v>LIAO FIC DE FIM CP IE</v>
          </cell>
          <cell r="E18991" t="str">
            <v>JULIUS BAER FAMILY OFFICE BRASIL GESTAO DE PATRIMONIO LTDA</v>
          </cell>
        </row>
        <row r="18992">
          <cell r="B18992">
            <v>125456</v>
          </cell>
          <cell r="C18992" t="str">
            <v>SANTANDER CACEIS BRASIL DTVM S.A.</v>
          </cell>
          <cell r="D18992" t="str">
            <v>SANTANDER CACEIS BRASIL DTVM S.A.</v>
          </cell>
          <cell r="E18992" t="str">
            <v>SANTANDER BRASIL GESTAO DE RECURSOS LTDA</v>
          </cell>
        </row>
        <row r="18993">
          <cell r="B18993">
            <v>80881</v>
          </cell>
          <cell r="C18993" t="str">
            <v>VITREO BONDS BRL FIM IE CP</v>
          </cell>
          <cell r="D18993" t="str">
            <v>VITREO BONDS BRL FIM IE CP</v>
          </cell>
          <cell r="E18993" t="str">
            <v>EMPIRICUS GESTAO DE RECURSOS LTDA</v>
          </cell>
        </row>
        <row r="18994">
          <cell r="B18994">
            <v>80881</v>
          </cell>
          <cell r="C18994" t="str">
            <v>VITREO BONDS BRL FIM IE CP</v>
          </cell>
          <cell r="D18994" t="str">
            <v>VITREO BONDS BRL FIM IE CP</v>
          </cell>
          <cell r="E18994" t="str">
            <v>EMPIRICUS GESTAO DE RECURSOS LTDA</v>
          </cell>
        </row>
        <row r="18995">
          <cell r="B18995">
            <v>80882</v>
          </cell>
          <cell r="C18995" t="str">
            <v>EMPIRICUS TECH SELECT FUNDO DE INVESTIMENTO EM A BDR NIVEL</v>
          </cell>
          <cell r="D18995" t="str">
            <v>EMPIRICUS TECH SELECT FUNDO DE INVESTIMENTO EM A BDR NIVEL</v>
          </cell>
          <cell r="E18995" t="str">
            <v>EMPIRICUS GESTAO DE RECURSOS LTDA</v>
          </cell>
        </row>
        <row r="18996">
          <cell r="B18996">
            <v>80882</v>
          </cell>
          <cell r="C18996" t="str">
            <v>EMPIRICUS TECH SELECT FUNDO DE INVESTIMENTO EM A BDR NIVEL</v>
          </cell>
          <cell r="D18996" t="str">
            <v>EMPIRICUS TECH SELECT FUNDO DE INVESTIMENTO EM A BDR NIVEL</v>
          </cell>
          <cell r="E18996" t="str">
            <v>EMPIRICUS GESTAO DE RECURSOS LTDA</v>
          </cell>
        </row>
        <row r="18997">
          <cell r="B18997">
            <v>125457</v>
          </cell>
          <cell r="C18997" t="str">
            <v>SANTANDER CACEIS BRASIL DTVM S.A.</v>
          </cell>
          <cell r="D18997" t="str">
            <v>SANTANDER CACEIS BRASIL DTVM S.A.</v>
          </cell>
          <cell r="E18997" t="str">
            <v>SANTANDER BRASIL GESTAO DE RECURSOS LTDA</v>
          </cell>
        </row>
        <row r="18998">
          <cell r="B18998">
            <v>125458</v>
          </cell>
          <cell r="C18998" t="str">
            <v>ARTESANAL TOTAL RETURN FUNDO DE INVESTIMENTO MULTIMERCADO</v>
          </cell>
          <cell r="D18998" t="str">
            <v>ARTESANAL TOTAL RETURN FUNDO DE INVESTIMENTO MULTIMERCADO</v>
          </cell>
          <cell r="E18998" t="str">
            <v>ARTESANAL INVESTIMENTOS LTDA</v>
          </cell>
        </row>
        <row r="18999">
          <cell r="B18999">
            <v>125458</v>
          </cell>
          <cell r="C18999" t="str">
            <v>ARTESANAL TOTAL RETURN FUNDO DE INVESTIMENTO MULTIMERCADO</v>
          </cell>
          <cell r="D18999" t="str">
            <v>ARTESANAL TOTAL RETURN FUNDO DE INVESTIMENTO MULTIMERCADO</v>
          </cell>
          <cell r="E18999" t="str">
            <v>ARTESANAL INVESTIMENTOS LTDA</v>
          </cell>
        </row>
        <row r="19000">
          <cell r="B19000">
            <v>80908</v>
          </cell>
          <cell r="C19000" t="str">
            <v>PALMARES FIM CP IE</v>
          </cell>
          <cell r="D19000" t="str">
            <v>PALMARES FIM CP IE</v>
          </cell>
          <cell r="E19000" t="str">
            <v>JULIUS BAER FAMILY OFFICE BRASIL GESTAO DE PATRIMONIO LTDA</v>
          </cell>
        </row>
        <row r="19001">
          <cell r="B19001">
            <v>80908</v>
          </cell>
          <cell r="C19001" t="str">
            <v>PALMARES FIM CP IE</v>
          </cell>
          <cell r="D19001" t="str">
            <v>PALMARES FIM CP IE</v>
          </cell>
          <cell r="E19001" t="str">
            <v>JULIUS BAER FAMILY OFFICE BRASIL GESTAO DE PATRIMONIO LTDA</v>
          </cell>
        </row>
        <row r="19002">
          <cell r="B19002">
            <v>80909</v>
          </cell>
          <cell r="C19002" t="str">
            <v>PAQUETA FUNDO DE INVESTIMENTO MULTIMERCADO</v>
          </cell>
          <cell r="D19002" t="str">
            <v>PAQUETA FUNDO DE INVESTIMENTO MULTIMERCADO</v>
          </cell>
          <cell r="E19002" t="str">
            <v>JULIUS BAER FAMILY OFFICE BRASIL GESTAO DE PATRIMONIO LTDA</v>
          </cell>
        </row>
        <row r="19003">
          <cell r="B19003">
            <v>80909</v>
          </cell>
          <cell r="C19003" t="str">
            <v>PAQUETA FUNDO DE INVESTIMENTO MULTIMERCADO</v>
          </cell>
          <cell r="D19003" t="str">
            <v>PAQUETA FUNDO DE INVESTIMENTO MULTIMERCADO</v>
          </cell>
          <cell r="E19003" t="str">
            <v>JULIUS BAER FAMILY OFFICE BRASIL GESTAO DE PATRIMONIO LTDA</v>
          </cell>
        </row>
        <row r="19004">
          <cell r="B19004">
            <v>80910</v>
          </cell>
          <cell r="C19004" t="str">
            <v>PB EXPANDIR FIM CP IE</v>
          </cell>
          <cell r="D19004" t="str">
            <v>PB EXPANDIR FIM CP IE</v>
          </cell>
          <cell r="E19004" t="str">
            <v>JULIUS BAER FAMILY OFFICE BRASIL GESTAO DE PATRIMONIO LTDA</v>
          </cell>
        </row>
        <row r="19005">
          <cell r="B19005">
            <v>80910</v>
          </cell>
          <cell r="C19005" t="str">
            <v>PB EXPANDIR FIM CP IE</v>
          </cell>
          <cell r="D19005" t="str">
            <v>PB EXPANDIR FIM CP IE</v>
          </cell>
          <cell r="E19005" t="str">
            <v>JULIUS BAER FAMILY OFFICE BRASIL GESTAO DE PATRIMONIO LTDA</v>
          </cell>
        </row>
        <row r="19006">
          <cell r="B19006">
            <v>80911</v>
          </cell>
          <cell r="C19006" t="str">
            <v>PEDRA NEGRA FIM CP INFRAESTRUTURA</v>
          </cell>
          <cell r="D19006" t="str">
            <v>PEDRA NEGRA FIM CP INFRAESTRUTURA</v>
          </cell>
          <cell r="E19006" t="str">
            <v>JULIUS BAER FAMILY OFFICE BRASIL GESTAO DE PATRIMONIO LTDA</v>
          </cell>
        </row>
        <row r="19007">
          <cell r="B19007">
            <v>80912</v>
          </cell>
          <cell r="C19007" t="str">
            <v>PEDRA NEGRA JR&amp;P FIM CP IE</v>
          </cell>
          <cell r="D19007" t="str">
            <v>PEDRA NEGRA JR&amp;P FIM CP IE</v>
          </cell>
          <cell r="E19007" t="str">
            <v>JULIUS BAER FAMILY OFFICE BRASIL GESTAO DE PATRIMONIO LTDA</v>
          </cell>
        </row>
        <row r="19008">
          <cell r="B19008">
            <v>80913</v>
          </cell>
          <cell r="C19008" t="str">
            <v>PEDRA NEGRA MM FIM CP IE</v>
          </cell>
          <cell r="D19008" t="str">
            <v>PEDRA NEGRA MM FIM CP IE</v>
          </cell>
          <cell r="E19008" t="str">
            <v>JULIUS BAER FAMILY OFFICE BRASIL GESTAO DE PATRIMONIO LTDA</v>
          </cell>
        </row>
        <row r="19009">
          <cell r="B19009">
            <v>80914</v>
          </cell>
          <cell r="C19009" t="str">
            <v>PEDRA NEGRA RFP FIM CP IE</v>
          </cell>
          <cell r="D19009" t="str">
            <v>PEDRA NEGRA RFP FIM CP IE</v>
          </cell>
          <cell r="E19009" t="str">
            <v>JULIUS BAER FAMILY OFFICE BRASIL GESTAO DE PATRIMONIO LTDA</v>
          </cell>
        </row>
        <row r="19010">
          <cell r="B19010">
            <v>80896</v>
          </cell>
          <cell r="C19010" t="str">
            <v>EPMG FIM CP IE</v>
          </cell>
          <cell r="D19010" t="str">
            <v>EPMG FIM CP IE</v>
          </cell>
          <cell r="E19010" t="str">
            <v>JULIUS BAER FAMILY OFFICE BRASIL GESTAO DE PATRIMONIO LTDA</v>
          </cell>
        </row>
        <row r="19011">
          <cell r="B19011">
            <v>80915</v>
          </cell>
          <cell r="C19011" t="str">
            <v>PEDRA NEGRA RV FIA BDR NIVEL I</v>
          </cell>
          <cell r="D19011" t="str">
            <v>PEDRA NEGRA RV FIA BDR NIVEL I</v>
          </cell>
          <cell r="E19011" t="str">
            <v>JULIUS BAER FAMILY OFFICE BRASIL GESTAO DE PATRIMONIO LTDA</v>
          </cell>
        </row>
        <row r="19012">
          <cell r="B19012">
            <v>80916</v>
          </cell>
          <cell r="C19012" t="str">
            <v>PINGUIM FIM CP IE</v>
          </cell>
          <cell r="D19012" t="str">
            <v>PINGUIM FIM CP IE</v>
          </cell>
          <cell r="E19012" t="str">
            <v>JULIUS BAER FAMILY OFFICE BRASIL GESTAO DE PATRIMONIO LTDA</v>
          </cell>
        </row>
        <row r="19013">
          <cell r="B19013">
            <v>80917</v>
          </cell>
          <cell r="C19013" t="str">
            <v>SARFIM FIM CP IE</v>
          </cell>
          <cell r="D19013" t="str">
            <v>SARFIM FIM CP IE</v>
          </cell>
          <cell r="E19013" t="str">
            <v>JULIUS BAER FAMILY OFFICE BRASIL GESTAO DE PATRIMONIO LTDA</v>
          </cell>
        </row>
        <row r="19014">
          <cell r="B19014">
            <v>80918</v>
          </cell>
          <cell r="C19014" t="str">
            <v>SKY FIM CP IE</v>
          </cell>
          <cell r="D19014" t="str">
            <v>SKY FIM CP IE</v>
          </cell>
          <cell r="E19014" t="str">
            <v>JULIUS BAER FAMILY OFFICE BRASIL GESTAO DE PATRIMONIO LTDA</v>
          </cell>
        </row>
        <row r="19015">
          <cell r="B19015">
            <v>80919</v>
          </cell>
          <cell r="C19015" t="str">
            <v>SOPHIA FIM CP IE</v>
          </cell>
          <cell r="D19015" t="str">
            <v>SOPHIA FIM CP IE</v>
          </cell>
          <cell r="E19015" t="str">
            <v>JULIUS BAER FAMILY OFFICE BRASIL GESTAO DE PATRIMONIO LTDA</v>
          </cell>
        </row>
        <row r="19016">
          <cell r="B19016">
            <v>80920</v>
          </cell>
          <cell r="C19016" t="str">
            <v>ZACK FIM CP IE</v>
          </cell>
          <cell r="D19016" t="str">
            <v>ZACK FIM CP IE</v>
          </cell>
          <cell r="E19016" t="str">
            <v>JULIUS BAER FAMILY OFFICE BRASIL GESTAO DE PATRIMONIO LTDA</v>
          </cell>
        </row>
        <row r="19017">
          <cell r="B19017">
            <v>80897</v>
          </cell>
          <cell r="C19017" t="str">
            <v>FLAP FIM CP IE</v>
          </cell>
          <cell r="D19017" t="str">
            <v>FLAP FIM CP IE</v>
          </cell>
          <cell r="E19017" t="str">
            <v>JULIUS BAER FAMILY OFFICE BRASIL GESTAO DE PATRIMONIO LTDA</v>
          </cell>
        </row>
        <row r="19018">
          <cell r="B19018">
            <v>80898</v>
          </cell>
          <cell r="C19018" t="str">
            <v>FOR TI - FIM CP IE</v>
          </cell>
          <cell r="D19018" t="str">
            <v>FOR TI - FIM CP IE</v>
          </cell>
          <cell r="E19018" t="str">
            <v>JULIUS BAER FAMILY OFFICE BRASIL GESTAO DE PATRIMONIO LTDA</v>
          </cell>
        </row>
        <row r="19019">
          <cell r="B19019">
            <v>80899</v>
          </cell>
          <cell r="C19019" t="str">
            <v>GAIA FIM CP IE</v>
          </cell>
          <cell r="D19019" t="str">
            <v>GAIA FIM CP IE</v>
          </cell>
          <cell r="E19019" t="str">
            <v>JULIUS BAER FAMILY OFFICE BRASIL GESTAO DE PATRIMONIO LTDA</v>
          </cell>
        </row>
        <row r="19020">
          <cell r="B19020">
            <v>80884</v>
          </cell>
          <cell r="C19020" t="str">
            <v>ACACIAS FIM CP IE</v>
          </cell>
          <cell r="D19020" t="str">
            <v>ACACIAS FIM CP IE</v>
          </cell>
          <cell r="E19020" t="str">
            <v>JULIUS BAER FAMILY OFFICE BRASIL GESTAO DE PATRIMONIO LTDA</v>
          </cell>
        </row>
        <row r="19021">
          <cell r="B19021">
            <v>80884</v>
          </cell>
          <cell r="C19021" t="str">
            <v>ACACIAS FIM CP IE</v>
          </cell>
          <cell r="D19021" t="str">
            <v>ACACIAS FIM CP IE</v>
          </cell>
          <cell r="E19021" t="str">
            <v>JULIUS BAER FAMILY OFFICE BRASIL GESTAO DE PATRIMONIO LTDA</v>
          </cell>
        </row>
        <row r="19022">
          <cell r="B19022">
            <v>80900</v>
          </cell>
          <cell r="C19022" t="str">
            <v>HEMATITA FIM CP IE</v>
          </cell>
          <cell r="D19022" t="str">
            <v>HEMATITA FIM CP IE</v>
          </cell>
          <cell r="E19022" t="str">
            <v>JULIUS BAER FAMILY OFFICE BRASIL GESTAO DE PATRIMONIO LTDA</v>
          </cell>
        </row>
        <row r="19023">
          <cell r="B19023">
            <v>80885</v>
          </cell>
          <cell r="C19023" t="str">
            <v>ANNAPURNA FIM CP IE</v>
          </cell>
          <cell r="D19023" t="str">
            <v>ANNAPURNA FIM CP IE</v>
          </cell>
          <cell r="E19023" t="str">
            <v>JULIUS BAER FAMILY OFFICE BRASIL GESTAO DE PATRIMONIO LTDA</v>
          </cell>
        </row>
        <row r="19024">
          <cell r="B19024">
            <v>80885</v>
          </cell>
          <cell r="C19024" t="str">
            <v>ANNAPURNA FIM CP IE</v>
          </cell>
          <cell r="D19024" t="str">
            <v>ANNAPURNA FIM CP IE</v>
          </cell>
          <cell r="E19024" t="str">
            <v>JULIUS BAER FAMILY OFFICE BRASIL GESTAO DE PATRIMONIO LTDA</v>
          </cell>
        </row>
        <row r="19025">
          <cell r="B19025">
            <v>80886</v>
          </cell>
          <cell r="C19025" t="str">
            <v>ARARAS FIM CP IE</v>
          </cell>
          <cell r="D19025" t="str">
            <v>ARARAS FIM CP IE</v>
          </cell>
          <cell r="E19025" t="str">
            <v>JULIUS BAER FAMILY OFFICE BRASIL GESTAO DE PATRIMONIO LTDA</v>
          </cell>
        </row>
        <row r="19026">
          <cell r="B19026">
            <v>80886</v>
          </cell>
          <cell r="C19026" t="str">
            <v>ARARAS FIM CP IE</v>
          </cell>
          <cell r="D19026" t="str">
            <v>ARARAS FIM CP IE</v>
          </cell>
          <cell r="E19026" t="str">
            <v>JULIUS BAER FAMILY OFFICE BRASIL GESTAO DE PATRIMONIO LTDA</v>
          </cell>
        </row>
        <row r="19027">
          <cell r="B19027">
            <v>80901</v>
          </cell>
          <cell r="C19027" t="str">
            <v>HOLLY CASH FIM CP IE</v>
          </cell>
          <cell r="D19027" t="str">
            <v>HOLLY CASH FIM CP IE</v>
          </cell>
          <cell r="E19027" t="str">
            <v>JULIUS BAER FAMILY OFFICE BRASIL GESTAO DE PATRIMONIO LTDA</v>
          </cell>
        </row>
        <row r="19028">
          <cell r="B19028">
            <v>80887</v>
          </cell>
          <cell r="C19028" t="str">
            <v>BALTICO FIA BDR NIVEL I</v>
          </cell>
          <cell r="D19028" t="str">
            <v>BALTICO FIA BDR NIVEL I</v>
          </cell>
          <cell r="E19028" t="str">
            <v>JULIUS BAER FAMILY OFFICE BRASIL GESTAO DE PATRIMONIO LTDA</v>
          </cell>
        </row>
        <row r="19029">
          <cell r="B19029">
            <v>80887</v>
          </cell>
          <cell r="C19029" t="str">
            <v>BALTICO FIA BDR NIVEL I</v>
          </cell>
          <cell r="D19029" t="str">
            <v>BALTICO FIA BDR NIVEL I</v>
          </cell>
          <cell r="E19029" t="str">
            <v>JULIUS BAER FAMILY OFFICE BRASIL GESTAO DE PATRIMONIO LTDA</v>
          </cell>
        </row>
        <row r="19030">
          <cell r="B19030">
            <v>80888</v>
          </cell>
          <cell r="C19030" t="str">
            <v>BENIGNA FIM CP IE</v>
          </cell>
          <cell r="D19030" t="str">
            <v>BENIGNA FIM CP IE</v>
          </cell>
          <cell r="E19030" t="str">
            <v>JULIUS BAER FAMILY OFFICE BRASIL GESTAO DE PATRIMONIO LTDA</v>
          </cell>
        </row>
        <row r="19031">
          <cell r="B19031">
            <v>80888</v>
          </cell>
          <cell r="C19031" t="str">
            <v>BENIGNA FIM CP IE</v>
          </cell>
          <cell r="D19031" t="str">
            <v>BENIGNA FIM CP IE</v>
          </cell>
          <cell r="E19031" t="str">
            <v>JULIUS BAER FAMILY OFFICE BRASIL GESTAO DE PATRIMONIO LTDA</v>
          </cell>
        </row>
        <row r="19032">
          <cell r="B19032">
            <v>80889</v>
          </cell>
          <cell r="C19032" t="str">
            <v>CACHALOTE FIM CP IE</v>
          </cell>
          <cell r="D19032" t="str">
            <v>CACHALOTE FIM CP IE</v>
          </cell>
          <cell r="E19032" t="str">
            <v>JULIUS BAER FAMILY OFFICE BRASIL GESTAO DE PATRIMONIO LTDA</v>
          </cell>
        </row>
        <row r="19033">
          <cell r="B19033">
            <v>80889</v>
          </cell>
          <cell r="C19033" t="str">
            <v>CACHALOTE FIM CP IE</v>
          </cell>
          <cell r="D19033" t="str">
            <v>CACHALOTE FIM CP IE</v>
          </cell>
          <cell r="E19033" t="str">
            <v>JULIUS BAER FAMILY OFFICE BRASIL GESTAO DE PATRIMONIO LTDA</v>
          </cell>
        </row>
        <row r="19034">
          <cell r="B19034">
            <v>80902</v>
          </cell>
          <cell r="C19034" t="str">
            <v>HOLLY PORTFOLIO FIM CP IE</v>
          </cell>
          <cell r="D19034" t="str">
            <v>HOLLY PORTFOLIO FIM CP IE</v>
          </cell>
          <cell r="E19034" t="str">
            <v>JULIUS BAER FAMILY OFFICE BRASIL GESTAO DE PATRIMONIO LTDA</v>
          </cell>
        </row>
        <row r="19035">
          <cell r="B19035">
            <v>80890</v>
          </cell>
          <cell r="C19035" t="str">
            <v>CALEDONIA FI RENDA FIXA CP</v>
          </cell>
          <cell r="D19035" t="str">
            <v>CALEDONIA FI RENDA FIXA CP</v>
          </cell>
          <cell r="E19035" t="str">
            <v>JULIUS BAER FAMILY OFFICE BRASIL GESTAO DE PATRIMONIO LTDA</v>
          </cell>
        </row>
        <row r="19036">
          <cell r="B19036">
            <v>80890</v>
          </cell>
          <cell r="C19036" t="str">
            <v>CALEDONIA FI RENDA FIXA CP</v>
          </cell>
          <cell r="D19036" t="str">
            <v>CALEDONIA FI RENDA FIXA CP</v>
          </cell>
          <cell r="E19036" t="str">
            <v>JULIUS BAER FAMILY OFFICE BRASIL GESTAO DE PATRIMONIO LTDA</v>
          </cell>
        </row>
        <row r="19037">
          <cell r="B19037">
            <v>80891</v>
          </cell>
          <cell r="C19037" t="str">
            <v>CAPELA FIM CP IE</v>
          </cell>
          <cell r="D19037" t="str">
            <v>CAPELA FIM CP IE</v>
          </cell>
          <cell r="E19037" t="str">
            <v>JULIUS BAER FAMILY OFFICE BRASIL GESTAO DE PATRIMONIO LTDA</v>
          </cell>
        </row>
        <row r="19038">
          <cell r="B19038">
            <v>80891</v>
          </cell>
          <cell r="C19038" t="str">
            <v>CAPELA FIM CP IE</v>
          </cell>
          <cell r="D19038" t="str">
            <v>CAPELA FIM CP IE</v>
          </cell>
          <cell r="E19038" t="str">
            <v>JULIUS BAER FAMILY OFFICE BRASIL GESTAO DE PATRIMONIO LTDA</v>
          </cell>
        </row>
        <row r="19039">
          <cell r="B19039">
            <v>80903</v>
          </cell>
          <cell r="C19039" t="str">
            <v>IBIZA FIM CP IE</v>
          </cell>
          <cell r="D19039" t="str">
            <v>IBIZA FIM CP IE</v>
          </cell>
          <cell r="E19039" t="str">
            <v>JULIUS BAER FAMILY OFFICE BRASIL GESTAO DE PATRIMONIO LTDA</v>
          </cell>
        </row>
        <row r="19040">
          <cell r="B19040">
            <v>80892</v>
          </cell>
          <cell r="C19040" t="str">
            <v>CARRO FIA BDR NIVEL I</v>
          </cell>
          <cell r="D19040" t="str">
            <v>CARRO FIA BDR NIVEL I</v>
          </cell>
          <cell r="E19040" t="str">
            <v>JULIUS BAER FAMILY OFFICE BRASIL GESTAO DE PATRIMONIO LTDA</v>
          </cell>
        </row>
        <row r="19041">
          <cell r="B19041">
            <v>80892</v>
          </cell>
          <cell r="C19041" t="str">
            <v>CARRO FIA BDR NIVEL I</v>
          </cell>
          <cell r="D19041" t="str">
            <v>CARRO FIA BDR NIVEL I</v>
          </cell>
          <cell r="E19041" t="str">
            <v>JULIUS BAER FAMILY OFFICE BRASIL GESTAO DE PATRIMONIO LTDA</v>
          </cell>
        </row>
        <row r="19042">
          <cell r="B19042">
            <v>80893</v>
          </cell>
          <cell r="C19042" t="str">
            <v>CEOS FIM CP IE</v>
          </cell>
          <cell r="D19042" t="str">
            <v>CEOS FIM CP IE</v>
          </cell>
          <cell r="E19042" t="str">
            <v>JULIUS BAER FAMILY OFFICE BRASIL GESTAO DE PATRIMONIO LTDA</v>
          </cell>
        </row>
        <row r="19043">
          <cell r="B19043">
            <v>80893</v>
          </cell>
          <cell r="C19043" t="str">
            <v>CEOS FIM CP IE</v>
          </cell>
          <cell r="D19043" t="str">
            <v>CEOS FIM CP IE</v>
          </cell>
          <cell r="E19043" t="str">
            <v>JULIUS BAER FAMILY OFFICE BRASIL GESTAO DE PATRIMONIO LTDA</v>
          </cell>
        </row>
        <row r="19044">
          <cell r="B19044">
            <v>80894</v>
          </cell>
          <cell r="C19044" t="str">
            <v>CORREAS FIA BDR NIVEL I</v>
          </cell>
          <cell r="D19044" t="str">
            <v>CORREAS FIA BDR NIVEL I</v>
          </cell>
          <cell r="E19044" t="str">
            <v>JULIUS BAER FAMILY OFFICE BRASIL GESTAO DE PATRIMONIO LTDA</v>
          </cell>
        </row>
        <row r="19045">
          <cell r="B19045">
            <v>80894</v>
          </cell>
          <cell r="C19045" t="str">
            <v>CORREAS FIA BDR NIVEL I</v>
          </cell>
          <cell r="D19045" t="str">
            <v>CORREAS FIA BDR NIVEL I</v>
          </cell>
          <cell r="E19045" t="str">
            <v>JULIUS BAER FAMILY OFFICE BRASIL GESTAO DE PATRIMONIO LTDA</v>
          </cell>
        </row>
        <row r="19046">
          <cell r="B19046">
            <v>80895</v>
          </cell>
          <cell r="C19046" t="str">
            <v>DINO FIM CP IE</v>
          </cell>
          <cell r="D19046" t="str">
            <v>DINO FIM CP IE</v>
          </cell>
          <cell r="E19046" t="str">
            <v>JULIUS BAER FAMILY OFFICE BRASIL GESTAO DE PATRIMONIO LTDA</v>
          </cell>
        </row>
        <row r="19047">
          <cell r="B19047">
            <v>80895</v>
          </cell>
          <cell r="C19047" t="str">
            <v>DINO FIM CP IE</v>
          </cell>
          <cell r="D19047" t="str">
            <v>DINO FIM CP IE</v>
          </cell>
          <cell r="E19047" t="str">
            <v>JULIUS BAER FAMILY OFFICE BRASIL GESTAO DE PATRIMONIO LTDA</v>
          </cell>
        </row>
        <row r="19048">
          <cell r="B19048">
            <v>80904</v>
          </cell>
          <cell r="C19048" t="str">
            <v>INVISTE FIM CP IE</v>
          </cell>
          <cell r="D19048" t="str">
            <v>INVISTE FIM CP IE</v>
          </cell>
          <cell r="E19048" t="str">
            <v>JULIUS BAER FAMILY OFFICE BRASIL GESTAO DE PATRIMONIO LTDA</v>
          </cell>
        </row>
        <row r="19049">
          <cell r="B19049">
            <v>80905</v>
          </cell>
          <cell r="C19049" t="str">
            <v>IPF FIM CP IE</v>
          </cell>
          <cell r="D19049" t="str">
            <v>IPF FIM CP IE</v>
          </cell>
          <cell r="E19049" t="str">
            <v>JULIUS BAER FAMILY OFFICE BRASIL GESTAO DE PATRIMONIO LTDA</v>
          </cell>
        </row>
        <row r="19050">
          <cell r="B19050">
            <v>80906</v>
          </cell>
          <cell r="C19050" t="str">
            <v>NAOMI FIM CP</v>
          </cell>
          <cell r="D19050" t="str">
            <v>NAOMI FIM CP</v>
          </cell>
          <cell r="E19050" t="str">
            <v>JULIUS BAER FAMILY OFFICE BRASIL GESTAO DE PATRIMONIO LTDA</v>
          </cell>
        </row>
        <row r="19051">
          <cell r="B19051">
            <v>80907</v>
          </cell>
          <cell r="C19051" t="str">
            <v>ORCA III FIA BDR NIVEL I</v>
          </cell>
          <cell r="D19051" t="str">
            <v>ORCA III FIA BDR NIVEL I</v>
          </cell>
          <cell r="E19051" t="str">
            <v>JULIUS BAER FAMILY OFFICE BRASIL GESTAO DE PATRIMONIO LTDA</v>
          </cell>
        </row>
        <row r="19052">
          <cell r="B19052">
            <v>80921</v>
          </cell>
          <cell r="C19052" t="str">
            <v>SANS SOUCI FIM CP IE</v>
          </cell>
          <cell r="D19052" t="str">
            <v>SANS SOUCI FIM CP IE</v>
          </cell>
          <cell r="E19052" t="str">
            <v>JULIUS BAER FAMILY OFFICE BRASIL GESTAO DE PATRIMONIO LTDA</v>
          </cell>
        </row>
        <row r="19053">
          <cell r="B19053">
            <v>80922</v>
          </cell>
          <cell r="C19053" t="str">
            <v>ITAU UNIBANCO S.A.</v>
          </cell>
          <cell r="D19053" t="str">
            <v>ITAU UNIBANCO S.A.</v>
          </cell>
          <cell r="E19053" t="str">
            <v>ITAU UNIBANCO S/A</v>
          </cell>
        </row>
        <row r="19054">
          <cell r="B19054">
            <v>80923</v>
          </cell>
          <cell r="C19054" t="str">
            <v>AZ QUEST INVESTIMENTOS LTDA</v>
          </cell>
          <cell r="D19054" t="str">
            <v>AZ QUEST INVESTIMENTOS LTDA</v>
          </cell>
          <cell r="E19054" t="str">
            <v>AZ QUEST INVESTIMENTOS LTDA</v>
          </cell>
        </row>
        <row r="19055">
          <cell r="B19055">
            <v>80923</v>
          </cell>
          <cell r="C19055" t="str">
            <v>AZ QUEST INVESTIMENTOS LTDA</v>
          </cell>
          <cell r="D19055" t="str">
            <v>AZ QUEST INVESTIMENTOS LTDA</v>
          </cell>
          <cell r="E19055" t="str">
            <v>AZ QUEST INVESTIMENTOS LTDA</v>
          </cell>
        </row>
        <row r="19056">
          <cell r="B19056">
            <v>80924</v>
          </cell>
          <cell r="C19056" t="str">
            <v>APEX LONG BIASED III FIM PREVIDENCIARIO FIFE</v>
          </cell>
          <cell r="D19056" t="str">
            <v>APEX LONG BIASED III FIM PREVIDENCIARIO FIFE</v>
          </cell>
          <cell r="E19056" t="str">
            <v>APEX CAPITAL LTDA</v>
          </cell>
        </row>
        <row r="19057">
          <cell r="B19057">
            <v>80924</v>
          </cell>
          <cell r="C19057" t="str">
            <v>APEX LONG BIASED III FIM PREVIDENCIARIO FIFE</v>
          </cell>
          <cell r="D19057" t="str">
            <v>APEX LONG BIASED III FIM PREVIDENCIARIO FIFE</v>
          </cell>
          <cell r="E19057" t="str">
            <v>APEX CAPITAL LTDA</v>
          </cell>
        </row>
        <row r="19058">
          <cell r="B19058">
            <v>80925</v>
          </cell>
          <cell r="C19058" t="str">
            <v>APEX LONG BIASED III FIM PREVIDENCIARIO FIFE</v>
          </cell>
          <cell r="D19058" t="str">
            <v>APEX LONG BIASED III FIM PREVIDENCIARIO FIFE</v>
          </cell>
          <cell r="E19058" t="str">
            <v>APEX CAPITAL LTDA</v>
          </cell>
        </row>
        <row r="19059">
          <cell r="B19059">
            <v>80926</v>
          </cell>
          <cell r="C19059" t="str">
            <v>APEX LONG BIASED III FIM PREVIDENCIARIO FIFE</v>
          </cell>
          <cell r="D19059" t="str">
            <v>APEX LONG BIASED III FIM PREVIDENCIARIO FIFE</v>
          </cell>
          <cell r="E19059" t="str">
            <v>APEX CAPITAL LTDA</v>
          </cell>
        </row>
        <row r="19060">
          <cell r="B19060">
            <v>80925</v>
          </cell>
          <cell r="C19060" t="str">
            <v>APEX LONG BIASED III FIM PREVIDENCIARIO FIFE</v>
          </cell>
          <cell r="D19060" t="str">
            <v>APEX LONG BIASED III FIM PREVIDENCIARIO FIFE</v>
          </cell>
          <cell r="E19060" t="str">
            <v>APEX CAPITAL LTDA</v>
          </cell>
        </row>
        <row r="19061">
          <cell r="B19061">
            <v>80926</v>
          </cell>
          <cell r="C19061" t="str">
            <v>APEX LONG BIASED III FIM PREVIDENCIARIO FIFE</v>
          </cell>
          <cell r="D19061" t="str">
            <v>APEX LONG BIASED III FIM PREVIDENCIARIO FIFE</v>
          </cell>
          <cell r="E19061" t="str">
            <v>APEX CAPITAL LTDA</v>
          </cell>
        </row>
        <row r="19062">
          <cell r="B19062">
            <v>125466</v>
          </cell>
          <cell r="C19062" t="str">
            <v>SAFRA CONSUMO MASTER FIA BDR NIVEL I</v>
          </cell>
          <cell r="D19062" t="str">
            <v>SAFRA CONSUMO MASTER FIA BDR NIVEL I</v>
          </cell>
          <cell r="E19062" t="str">
            <v>EMERALD GESTAO DE INVESTIMENTOS LTDA</v>
          </cell>
        </row>
        <row r="19063">
          <cell r="B19063">
            <v>125466</v>
          </cell>
          <cell r="C19063" t="str">
            <v>SAFRA CONSUMO MASTER FIA BDR NIVEL I</v>
          </cell>
          <cell r="D19063" t="str">
            <v>SAFRA CONSUMO MASTER FIA BDR NIVEL I</v>
          </cell>
          <cell r="E19063" t="str">
            <v>EMERALD GESTAO DE INVESTIMENTOS LTDA</v>
          </cell>
        </row>
        <row r="19064">
          <cell r="B19064">
            <v>125468</v>
          </cell>
          <cell r="C19064" t="str">
            <v>SAFRA SETORIAL BANCOS MASTER FIA</v>
          </cell>
          <cell r="D19064" t="str">
            <v>SAFRA SETORIAL BANCOS MASTER FIA</v>
          </cell>
          <cell r="E19064" t="str">
            <v>EMERALD GESTAO DE INVESTIMENTOS LTDA</v>
          </cell>
        </row>
        <row r="19065">
          <cell r="B19065">
            <v>80927</v>
          </cell>
          <cell r="C19065" t="str">
            <v>EMPIRICUS ICATU CARTEIRA UNIVERSA PREV FIM CP</v>
          </cell>
          <cell r="D19065" t="str">
            <v>EMPIRICUS ICATU CARTEIRA UNIVERSA PREV FIM CP</v>
          </cell>
          <cell r="E19065" t="str">
            <v>EMPIRICUS GESTAO DE RECURSOS LTDA</v>
          </cell>
        </row>
        <row r="19066">
          <cell r="B19066">
            <v>80927</v>
          </cell>
          <cell r="C19066" t="str">
            <v>EMPIRICUS ICATU CARTEIRA UNIVERSA PREV FIM CP</v>
          </cell>
          <cell r="D19066" t="str">
            <v>EMPIRICUS ICATU CARTEIRA UNIVERSA PREV FIM CP</v>
          </cell>
          <cell r="E19066" t="str">
            <v>EMPIRICUS GESTAO DE RECURSOS LTDA</v>
          </cell>
        </row>
        <row r="19067">
          <cell r="B19067">
            <v>125467</v>
          </cell>
          <cell r="C19067" t="str">
            <v>FATOR FACEAL ALAGOAS FIC FIM</v>
          </cell>
          <cell r="D19067" t="str">
            <v>FATOR FACEAL ALAGOAS FIC FIM</v>
          </cell>
          <cell r="E19067" t="str">
            <v>SAFRA ASSET MANAGEMENT LTDA</v>
          </cell>
        </row>
        <row r="19068">
          <cell r="B19068">
            <v>125467</v>
          </cell>
          <cell r="C19068" t="str">
            <v>FATOR FACEAL ALAGOAS FIC FIM</v>
          </cell>
          <cell r="D19068" t="str">
            <v>FATOR FACEAL ALAGOAS FIC FIM</v>
          </cell>
          <cell r="E19068" t="str">
            <v>SAFRA ASSET MANAGEMENT LTDA</v>
          </cell>
        </row>
        <row r="19069">
          <cell r="B19069">
            <v>125471</v>
          </cell>
          <cell r="C19069" t="str">
            <v>BB GESTAO DE RECURSOS DTVM LTDA</v>
          </cell>
          <cell r="D19069" t="str">
            <v>BB GESTAO DE RECURSOS DTVM LTDA</v>
          </cell>
          <cell r="E19069" t="str">
            <v>BB GESTAO DE RECURSOS DTVM LTDA</v>
          </cell>
        </row>
        <row r="19070">
          <cell r="B19070">
            <v>125471</v>
          </cell>
          <cell r="C19070" t="str">
            <v>BB GESTAO DE RECURSOS DTVM LTDA</v>
          </cell>
          <cell r="D19070" t="str">
            <v>BB GESTAO DE RECURSOS DTVM LTDA</v>
          </cell>
          <cell r="E19070" t="str">
            <v>BB GESTAO DE RECURSOS DTVM LTDA</v>
          </cell>
        </row>
        <row r="19071">
          <cell r="B19071">
            <v>900008</v>
          </cell>
          <cell r="C19071" t="str">
            <v>UBS BRASIL CCTVM S/A (ANTIGA LINK S/A CCTVM)</v>
          </cell>
          <cell r="D19071" t="str">
            <v>UBS BRASIL CCTVM S/A (ANTIGA LINK S/A CCTVM)</v>
          </cell>
          <cell r="E19071" t="str">
            <v>UBS AG, LONDON BRANCH NOVO</v>
          </cell>
        </row>
        <row r="19072">
          <cell r="B19072">
            <v>90103</v>
          </cell>
          <cell r="C19072" t="str">
            <v>UBS BRASIL CCTVM S/A (ANTIGA LINK S/A CCTVM)</v>
          </cell>
          <cell r="D19072" t="str">
            <v>UBS BRASIL CCTVM S/A (ANTIGA LINK S/A CCTVM)</v>
          </cell>
          <cell r="E19072" t="str">
            <v>UBS AG, LONDON BRANCH NOVO</v>
          </cell>
        </row>
        <row r="19073">
          <cell r="B19073">
            <v>90104</v>
          </cell>
          <cell r="C19073" t="str">
            <v>UBS BRASIL CCTVM S/A (ANTIGA LINK S/A CCTVM)</v>
          </cell>
          <cell r="D19073" t="str">
            <v>UBS BRASIL CCTVM S/A (ANTIGA LINK S/A CCTVM)</v>
          </cell>
          <cell r="E19073" t="str">
            <v>UBS AG, LONDON BRANCH NOVO</v>
          </cell>
        </row>
        <row r="19074">
          <cell r="B19074">
            <v>80931</v>
          </cell>
          <cell r="C19074" t="str">
            <v>VITREO OURO PREV FIM</v>
          </cell>
          <cell r="D19074" t="str">
            <v>VITREO OURO PREV FIM</v>
          </cell>
          <cell r="E19074" t="str">
            <v>EMPIRICUS GESTAO DE RECURSOS LTDA</v>
          </cell>
        </row>
        <row r="19075">
          <cell r="B19075">
            <v>80931</v>
          </cell>
          <cell r="C19075" t="str">
            <v>VITREO OURO PREV FIM</v>
          </cell>
          <cell r="D19075" t="str">
            <v>VITREO OURO PREV FIM</v>
          </cell>
          <cell r="E19075" t="str">
            <v>VITREO OURO PREV FIM</v>
          </cell>
        </row>
        <row r="19076">
          <cell r="B19076">
            <v>80932</v>
          </cell>
          <cell r="C19076" t="str">
            <v>INFINITY MAGNUS LONG BIAS MASTER FIM</v>
          </cell>
          <cell r="D19076" t="str">
            <v>INFINITY MAGNUS LONG BIAS MASTER FIM</v>
          </cell>
          <cell r="E19076" t="str">
            <v>INFINITY ASSET MANAG ADM DE RECURSOS LTDA</v>
          </cell>
        </row>
        <row r="19077">
          <cell r="B19077">
            <v>80933</v>
          </cell>
          <cell r="C19077" t="str">
            <v>INFINITY HEDGE  FUNDO DE INVESTIMENTO MULTIMERCADO</v>
          </cell>
          <cell r="D19077" t="str">
            <v>INFINITY HEDGE  FUNDO DE INVESTIMENTO MULTIMERCADO</v>
          </cell>
          <cell r="E19077" t="str">
            <v>INFINITY ASSET MANAG ADM DE RECURSOS LTDA</v>
          </cell>
        </row>
        <row r="19078">
          <cell r="B19078">
            <v>125472</v>
          </cell>
          <cell r="C19078" t="str">
            <v>ITAU ASGARD ACOES FI</v>
          </cell>
          <cell r="D19078" t="str">
            <v>ITAU ASGARD ACOES FI</v>
          </cell>
          <cell r="E19078" t="str">
            <v>ITAU UNIBANCO ASSET - TACO</v>
          </cell>
        </row>
        <row r="19079">
          <cell r="B19079">
            <v>125473</v>
          </cell>
          <cell r="C19079" t="str">
            <v>ITAU ASGARD INSTITUCIONAL AÃ‡Ã•ES FI</v>
          </cell>
          <cell r="D19079" t="str">
            <v>ITAU ASGARD INSTITUCIONAL AÃ‡Ã•ES FI</v>
          </cell>
          <cell r="E19079" t="str">
            <v>ITAU UNIBANCO ASSET - TACO</v>
          </cell>
        </row>
        <row r="19080">
          <cell r="B19080">
            <v>125474</v>
          </cell>
          <cell r="C19080" t="str">
            <v>ITAU HUNTER TOTAL RETURN MULTIMERCADO FI</v>
          </cell>
          <cell r="D19080" t="str">
            <v>ITAU HUNTER TOTAL RETURN MULTIMERCADO FI</v>
          </cell>
          <cell r="E19080" t="str">
            <v>ITAU UNIBANCO ASSET - TACO</v>
          </cell>
        </row>
        <row r="19081">
          <cell r="B19081">
            <v>80934</v>
          </cell>
          <cell r="C19081" t="str">
            <v>INFINITY PODIUM FUNDO DE INVESTIMENTO MULTIMERCADO</v>
          </cell>
          <cell r="D19081" t="str">
            <v>INFINITY PODIUM FUNDO DE INVESTIMENTO MULTIMERCADO</v>
          </cell>
          <cell r="E19081" t="str">
            <v>INFINITY ASSET MANAG ADM DE RECURSOS LTDA</v>
          </cell>
        </row>
        <row r="19082">
          <cell r="B19082">
            <v>80935</v>
          </cell>
          <cell r="C19082" t="str">
            <v>INFINITY SELECT FUNDO DE INVESTIMENTO RENDA FIXA</v>
          </cell>
          <cell r="D19082" t="str">
            <v>INFINITY SELECT FUNDO DE INVESTIMENTO RENDA FIXA</v>
          </cell>
          <cell r="E19082" t="str">
            <v>INFINITY ASSET MANAG ADM DE RECURSOS LTDA</v>
          </cell>
        </row>
        <row r="19083">
          <cell r="B19083">
            <v>80936</v>
          </cell>
          <cell r="C19083" t="str">
            <v>LONDON FIM CP IE</v>
          </cell>
          <cell r="D19083" t="str">
            <v>LONDON FIM CP IE</v>
          </cell>
          <cell r="E19083" t="str">
            <v>LONDON FIM CP IE</v>
          </cell>
        </row>
        <row r="19084">
          <cell r="B19084">
            <v>80937</v>
          </cell>
          <cell r="C19084" t="str">
            <v>INFINITY TIGER ALOCAÃ‡ÃƒO DINÃ‚MICA FI RF</v>
          </cell>
          <cell r="D19084" t="str">
            <v>INFINITY TIGER ALOCAÃ‡ÃƒO DINÃ‚MICA FI RF</v>
          </cell>
          <cell r="E19084" t="str">
            <v>INFINITY ASSET MANAG ADM DE RECURSOS LTDA</v>
          </cell>
        </row>
        <row r="19085">
          <cell r="B19085">
            <v>80938</v>
          </cell>
          <cell r="C19085" t="str">
            <v>INFINITY AÃ‡Ã•ES MASTER FIA</v>
          </cell>
          <cell r="D19085" t="str">
            <v>INFINITY AÃ‡Ã•ES MASTER FIA</v>
          </cell>
          <cell r="E19085" t="str">
            <v>INFINITY ASSET MANAG ADM DE RECURSOS LTDA</v>
          </cell>
        </row>
        <row r="19086">
          <cell r="B19086">
            <v>80939</v>
          </cell>
          <cell r="C19086" t="str">
            <v>SPATHA FIM CP IE</v>
          </cell>
          <cell r="D19086" t="str">
            <v>SPATHA FIM CP IE</v>
          </cell>
          <cell r="E19086" t="str">
            <v>SPATHA FIM CP IE</v>
          </cell>
        </row>
        <row r="19087">
          <cell r="B19087">
            <v>125475</v>
          </cell>
          <cell r="C19087" t="str">
            <v>BB GESTAO DE RECURSOS DTVM LTDA</v>
          </cell>
          <cell r="D19087" t="str">
            <v>BB GESTAO DE RECURSOS DTVM LTDA</v>
          </cell>
          <cell r="E19087" t="str">
            <v>BB GESTAO DE RECURSOS DTVM LTDA</v>
          </cell>
        </row>
        <row r="19088">
          <cell r="B19088">
            <v>125475</v>
          </cell>
          <cell r="C19088" t="str">
            <v>BB GESTAO DE RECURSOS DTVM LTDA</v>
          </cell>
          <cell r="D19088" t="str">
            <v>BB GESTAO DE RECURSOS DTVM LTDA</v>
          </cell>
          <cell r="E19088" t="str">
            <v>BB GESTAO DE RECURSOS DTVM LTDA</v>
          </cell>
        </row>
        <row r="19089">
          <cell r="B19089">
            <v>80940</v>
          </cell>
          <cell r="C19089" t="str">
            <v>EMPIRICUS FOF SUPERPREVIDENCIA ACOES ICATU FIM</v>
          </cell>
          <cell r="D19089" t="str">
            <v>EMPIRICUS FOF SUPERPREVIDENCIA ACOES ICATU FIM</v>
          </cell>
          <cell r="E19089" t="str">
            <v>EMPIRICUS GESTAO DE RECURSOS LTDA</v>
          </cell>
        </row>
        <row r="19090">
          <cell r="B19090">
            <v>80940</v>
          </cell>
          <cell r="C19090" t="str">
            <v>EMPIRICUS FOF SUPERPREVIDENCIA ACOES ICATU FIM</v>
          </cell>
          <cell r="D19090" t="str">
            <v>EMPIRICUS FOF SUPERPREVIDENCIA ACOES ICATU FIM</v>
          </cell>
          <cell r="E19090" t="str">
            <v>EMPIRICUS GESTAO DE RECURSOS LTDA</v>
          </cell>
        </row>
        <row r="19091">
          <cell r="B19091">
            <v>125476</v>
          </cell>
          <cell r="C19091" t="str">
            <v>BB GESTAO DE RECURSOS DTVM LTDA</v>
          </cell>
          <cell r="D19091" t="str">
            <v>BB GESTAO DE RECURSOS DTVM LTDA</v>
          </cell>
          <cell r="E19091" t="str">
            <v>BB GESTAO DE RECURSOS DTVM LTDA</v>
          </cell>
        </row>
        <row r="19092">
          <cell r="B19092">
            <v>125476</v>
          </cell>
          <cell r="C19092" t="str">
            <v>BB GESTAO DE RECURSOS DTVM LTDA</v>
          </cell>
          <cell r="D19092" t="str">
            <v>BB GESTAO DE RECURSOS DTVM LTDA</v>
          </cell>
          <cell r="E19092" t="str">
            <v>BB GESTAO DE RECURSOS DTVM LTDA</v>
          </cell>
        </row>
        <row r="19093">
          <cell r="B19093">
            <v>125477</v>
          </cell>
          <cell r="C19093" t="str">
            <v>BB GESTAO DE RECURSOS DTVM LTDA</v>
          </cell>
          <cell r="D19093" t="str">
            <v>BB GESTAO DE RECURSOS DTVM LTDA</v>
          </cell>
          <cell r="E19093" t="str">
            <v>BB GESTAO DE RECURSOS DTVM LTDA</v>
          </cell>
        </row>
        <row r="19094">
          <cell r="B19094">
            <v>125478</v>
          </cell>
          <cell r="C19094" t="str">
            <v>FUNDO DE INVESTIMENTO IMOB RIO BRAVO RENDA CORPORATIVA</v>
          </cell>
          <cell r="D19094" t="str">
            <v>FUNDO DE INVESTIMENTO IMOB RIO BRAVO RENDA CORPORATIVA</v>
          </cell>
          <cell r="E19094" t="str">
            <v>FUNDO DE INVESTIMENTO IMOB RIO BRAVO RENDA CORPORATIVA</v>
          </cell>
        </row>
        <row r="19095">
          <cell r="B19095">
            <v>125480</v>
          </cell>
          <cell r="C19095" t="str">
            <v>ITAU SIRIUS FUNDO DE INVESTIMENTO EM ACOES</v>
          </cell>
          <cell r="D19095" t="str">
            <v>ITAU SIRIUS FUNDO DE INVESTIMENTO EM ACOES</v>
          </cell>
          <cell r="E19095" t="str">
            <v>ITAU UNIBANCO ASSET - TACO</v>
          </cell>
        </row>
        <row r="19096">
          <cell r="B19096">
            <v>80941</v>
          </cell>
          <cell r="C19096" t="str">
            <v>NC RENDA FIXA EXCLUSIVE FIM LP</v>
          </cell>
          <cell r="D19096" t="str">
            <v>NC RENDA FIXA EXCLUSIVE FIM LP</v>
          </cell>
          <cell r="E19096" t="str">
            <v>NC RENDA FIXA EXCLUSIVE FIM LP</v>
          </cell>
        </row>
        <row r="19097">
          <cell r="B19097">
            <v>80943</v>
          </cell>
          <cell r="C19097" t="str">
            <v>NOVUS RETORNO ABSOLUTO MASTER FIA</v>
          </cell>
          <cell r="D19097" t="str">
            <v>NOVUS RETORNO ABSOLUTO MASTER FIA</v>
          </cell>
          <cell r="E19097" t="str">
            <v>NOVUS CAPITAL GESTORA DE RECURSOS LTDA</v>
          </cell>
        </row>
        <row r="19098">
          <cell r="B19098">
            <v>125481</v>
          </cell>
          <cell r="C19098" t="str">
            <v>ITAU FLEXPREV ASGARD FIA</v>
          </cell>
          <cell r="D19098" t="str">
            <v>ITAU FLEXPREV ASGARD FIA</v>
          </cell>
          <cell r="E19098" t="str">
            <v>ITAU UNIBANCO ASSET - TACO</v>
          </cell>
        </row>
        <row r="19099">
          <cell r="B19099">
            <v>125482</v>
          </cell>
          <cell r="C19099" t="str">
            <v>SANTANDER CACEIS BRASIL DTVM S.A.</v>
          </cell>
          <cell r="D19099" t="str">
            <v>SANTANDER CACEIS BRASIL DTVM S.A.</v>
          </cell>
          <cell r="E19099" t="str">
            <v>SANTANDER BRASIL GESTAO DE RECURSOS LTDA</v>
          </cell>
        </row>
        <row r="19100">
          <cell r="B19100">
            <v>125482</v>
          </cell>
          <cell r="C19100" t="str">
            <v>SANTANDER CACEIS BRASIL DTVM S.A.</v>
          </cell>
          <cell r="D19100" t="str">
            <v>SANTANDER CACEIS BRASIL DTVM S.A.</v>
          </cell>
          <cell r="E19100" t="str">
            <v>SANTANDER BRASIL GESTAO DE RECURSOS LTDA</v>
          </cell>
        </row>
        <row r="19101">
          <cell r="B19101">
            <v>125483</v>
          </cell>
          <cell r="C19101" t="str">
            <v>ATLANTA FIC DE FI MULT CP IE</v>
          </cell>
          <cell r="D19101" t="str">
            <v>ATLANTA FIC DE FI MULT CP IE</v>
          </cell>
          <cell r="E19101" t="str">
            <v>JULIUS BAER FAMILY OFFICE BRASIL GESTAO DE PATRIMONIO LTDA</v>
          </cell>
        </row>
        <row r="19102">
          <cell r="B19102">
            <v>125484</v>
          </cell>
          <cell r="C19102" t="str">
            <v>BLACK HAWK FIM CP IE</v>
          </cell>
          <cell r="D19102" t="str">
            <v>BLACK HAWK FIM CP IE</v>
          </cell>
          <cell r="E19102" t="str">
            <v>JULIUS BAER FAMILY OFFICE BRASIL GESTAO DE PATRIMONIO LTDA</v>
          </cell>
        </row>
        <row r="19103">
          <cell r="B19103">
            <v>125484</v>
          </cell>
          <cell r="C19103" t="str">
            <v>BLACK HAWK FIM CP IE</v>
          </cell>
          <cell r="D19103" t="str">
            <v>BLACK HAWK FIM CP IE</v>
          </cell>
          <cell r="E19103" t="str">
            <v>JULIUS BAER FAMILY OFFICE BRASIL GESTAO DE PATRIMONIO LTDA</v>
          </cell>
        </row>
        <row r="19104">
          <cell r="B19104">
            <v>125485</v>
          </cell>
          <cell r="C19104" t="str">
            <v>CANAA FIA BDR NIVEL I</v>
          </cell>
          <cell r="D19104" t="str">
            <v>CANAA FIA BDR NIVEL I</v>
          </cell>
          <cell r="E19104" t="str">
            <v>JULIUS BAER FAMILY OFFICE BRASIL GESTAO DE PATRIMONIO LTDA</v>
          </cell>
        </row>
        <row r="19105">
          <cell r="B19105">
            <v>125485</v>
          </cell>
          <cell r="C19105" t="str">
            <v>CANAA FIA BDR NIVEL I</v>
          </cell>
          <cell r="D19105" t="str">
            <v>CANAA FIA BDR NIVEL I</v>
          </cell>
          <cell r="E19105" t="str">
            <v>JULIUS BAER FAMILY OFFICE BRASIL GESTAO DE PATRIMONIO LTDA</v>
          </cell>
        </row>
        <row r="19106">
          <cell r="B19106">
            <v>125486</v>
          </cell>
          <cell r="C19106" t="str">
            <v>CARMEL JBFO FIM CP IE</v>
          </cell>
          <cell r="D19106" t="str">
            <v>CARMEL JBFO FIM CP IE</v>
          </cell>
          <cell r="E19106" t="str">
            <v>JULIUS BAER FAMILY OFFICE BRASIL GESTAO DE PATRIMONIO LTDA</v>
          </cell>
        </row>
        <row r="19107">
          <cell r="B19107">
            <v>125486</v>
          </cell>
          <cell r="C19107" t="str">
            <v>CARMEL JBFO FIM CP IE</v>
          </cell>
          <cell r="D19107" t="str">
            <v>CARMEL JBFO FIM CP IE</v>
          </cell>
          <cell r="E19107" t="str">
            <v>JULIUS BAER FAMILY OFFICE BRASIL GESTAO DE PATRIMONIO LTDA</v>
          </cell>
        </row>
        <row r="19108">
          <cell r="B19108">
            <v>125487</v>
          </cell>
          <cell r="C19108" t="str">
            <v>CLAMA FIM CP IE</v>
          </cell>
          <cell r="D19108" t="str">
            <v>CLAMA FIM CP IE</v>
          </cell>
          <cell r="E19108" t="str">
            <v>JULIUS BAER FAMILY OFFICE BRASIL GESTAO DE PATRIMONIO LTDA</v>
          </cell>
        </row>
        <row r="19109">
          <cell r="B19109">
            <v>125487</v>
          </cell>
          <cell r="C19109" t="str">
            <v>CLAMA FIM CP IE</v>
          </cell>
          <cell r="D19109" t="str">
            <v>CLAMA FIM CP IE</v>
          </cell>
          <cell r="E19109" t="str">
            <v>JULIUS BAER FAMILY OFFICE BRASIL GESTAO DE PATRIMONIO LTDA</v>
          </cell>
        </row>
        <row r="19110">
          <cell r="B19110">
            <v>125488</v>
          </cell>
          <cell r="C19110" t="str">
            <v>DJM2 FIM CP IE</v>
          </cell>
          <cell r="D19110" t="str">
            <v>DJM2 FIM CP IE</v>
          </cell>
          <cell r="E19110" t="str">
            <v>JULIUS BAER FAMILY OFFICE BRASIL GESTAO DE PATRIMONIO LTDA</v>
          </cell>
        </row>
        <row r="19111">
          <cell r="B19111">
            <v>80945</v>
          </cell>
          <cell r="C19111" t="str">
            <v>FUNPRESP EXE - FUND DE PREV COMPLEMENTAR DO SERV PUBLICO FED</v>
          </cell>
          <cell r="D19111" t="str">
            <v>FUNPRESP EXE - FUND DE PREV COMPLEMENTAR DO SERV PUBLICO FED</v>
          </cell>
          <cell r="E19111" t="str">
            <v>FUNDAÃ‡ÃƒO FUNPRESP EXE</v>
          </cell>
        </row>
        <row r="19112">
          <cell r="B19112">
            <v>80945</v>
          </cell>
          <cell r="C19112" t="str">
            <v>FUNPRESP EXE - FUND DE PREV COMPLEMENTAR DO SERV PUBLICO FED</v>
          </cell>
          <cell r="D19112" t="str">
            <v>FUNPRESP EXE - FUND DE PREV COMPLEMENTAR DO SERV PUBLICO FED</v>
          </cell>
          <cell r="E19112" t="str">
            <v>FUNDAÃ‡ÃƒO FUNPRESP EXE</v>
          </cell>
        </row>
        <row r="19113">
          <cell r="B19113">
            <v>125489</v>
          </cell>
          <cell r="C19113" t="str">
            <v>MUSTARD FIM CP IE</v>
          </cell>
          <cell r="D19113" t="str">
            <v>MUSTARD FIM CP IE</v>
          </cell>
          <cell r="E19113" t="str">
            <v>JULIUS BAER FAMILY OFFICE BRASIL GESTAO DE PATRIMONIO LTDA</v>
          </cell>
        </row>
        <row r="19114">
          <cell r="B19114">
            <v>125490</v>
          </cell>
          <cell r="C19114" t="str">
            <v>NINA FIA BDR NIVEL I</v>
          </cell>
          <cell r="D19114" t="str">
            <v>NINA FIA BDR NIVEL I</v>
          </cell>
          <cell r="E19114" t="str">
            <v>JULIUS BAER FAMILY OFFICE BRASIL GESTAO DE PATRIMONIO LTDA</v>
          </cell>
        </row>
        <row r="19115">
          <cell r="B19115">
            <v>125491</v>
          </cell>
          <cell r="C19115" t="str">
            <v>PIPOCA FIM CP IE</v>
          </cell>
          <cell r="D19115" t="str">
            <v>PIPOCA FIM CP IE</v>
          </cell>
          <cell r="E19115" t="str">
            <v>JULIUS BAER FAMILY OFFICE BRASIL GESTAO DE PATRIMONIO LTDA</v>
          </cell>
        </row>
        <row r="19116">
          <cell r="B19116">
            <v>125492</v>
          </cell>
          <cell r="C19116" t="str">
            <v>STELLA MARIS FIA - BDR NIVEL I</v>
          </cell>
          <cell r="D19116" t="str">
            <v>STELLA MARIS FIA - BDR NIVEL I</v>
          </cell>
          <cell r="E19116" t="str">
            <v>JULIUS BAER FAMILY OFFICE BRASIL GESTAO DE PATRIMONIO LTDA</v>
          </cell>
        </row>
        <row r="19117">
          <cell r="B19117">
            <v>80947</v>
          </cell>
          <cell r="C19117" t="str">
            <v>SAFRA ESTRATEGIA ASG MASTER FIA</v>
          </cell>
          <cell r="D19117" t="str">
            <v>SAFRA ESTRATEGIA ASG MASTER FIA</v>
          </cell>
          <cell r="E19117" t="str">
            <v>SAFRA ASSET MANAGEMENT LTDA</v>
          </cell>
        </row>
        <row r="19118">
          <cell r="B19118">
            <v>80947</v>
          </cell>
          <cell r="C19118" t="str">
            <v>SAFRA ESTRATEGIA ASG MASTER FIA</v>
          </cell>
          <cell r="D19118" t="str">
            <v>SAFRA ESTRATEGIA ASG MASTER FIA</v>
          </cell>
          <cell r="E19118" t="str">
            <v>SAFRA ASSET MANAGEMENT LTDA</v>
          </cell>
        </row>
        <row r="19119">
          <cell r="B19119">
            <v>80948</v>
          </cell>
          <cell r="C19119" t="str">
            <v>VITREO DIVIDENDOS FIA</v>
          </cell>
          <cell r="D19119" t="str">
            <v>VITREO DIVIDENDOS FIA</v>
          </cell>
          <cell r="E19119" t="str">
            <v>EMPIRICUS GESTAO DE RECURSOS LTDA</v>
          </cell>
        </row>
        <row r="19120">
          <cell r="B19120">
            <v>80948</v>
          </cell>
          <cell r="C19120" t="str">
            <v>VITREO DIVIDENDOS FIA</v>
          </cell>
          <cell r="D19120" t="str">
            <v>VITREO DIVIDENDOS FIA</v>
          </cell>
          <cell r="E19120" t="str">
            <v>EMPIRICUS GESTAO DE RECURSOS LTDA</v>
          </cell>
        </row>
        <row r="19121">
          <cell r="B19121">
            <v>80949</v>
          </cell>
          <cell r="C19121" t="str">
            <v>VITREO LONG BIASED FIM</v>
          </cell>
          <cell r="D19121" t="str">
            <v>VITREO LONG BIASED FIM</v>
          </cell>
          <cell r="E19121" t="str">
            <v>EMPIRICUS GESTAO DE RECURSOS LTDA</v>
          </cell>
        </row>
        <row r="19122">
          <cell r="B19122">
            <v>80949</v>
          </cell>
          <cell r="C19122" t="str">
            <v>VITREO LONG BIASED FIM</v>
          </cell>
          <cell r="D19122" t="str">
            <v>VITREO LONG BIASED FIM</v>
          </cell>
          <cell r="E19122" t="str">
            <v>EMPIRICUS GESTAO DE RECURSOS LTDA</v>
          </cell>
        </row>
        <row r="19123">
          <cell r="B19123">
            <v>80950</v>
          </cell>
          <cell r="C19123" t="str">
            <v>VITREO MOEDAS LIFE FI CAMBIAL</v>
          </cell>
          <cell r="D19123" t="str">
            <v>VITREO MOEDAS LIFE FI CAMBIAL</v>
          </cell>
          <cell r="E19123" t="str">
            <v>EMPIRICUS GESTAO DE RECURSOS LTDA</v>
          </cell>
        </row>
        <row r="19124">
          <cell r="B19124">
            <v>80950</v>
          </cell>
          <cell r="C19124" t="str">
            <v>VITREO MOEDAS LIFE FI CAMBIAL</v>
          </cell>
          <cell r="D19124" t="str">
            <v>VITREO MOEDAS LIFE FI CAMBIAL</v>
          </cell>
          <cell r="E19124" t="str">
            <v>EMPIRICUS GESTAO DE RECURSOS LTDA</v>
          </cell>
        </row>
        <row r="19125">
          <cell r="B19125">
            <v>80951</v>
          </cell>
          <cell r="C19125" t="str">
            <v>VITREO RENDA EXTRA FIM</v>
          </cell>
          <cell r="D19125" t="str">
            <v>VITREO RENDA EXTRA FIM</v>
          </cell>
          <cell r="E19125" t="str">
            <v>EMPIRICUS GESTAO DE RECURSOS LTDA</v>
          </cell>
        </row>
        <row r="19126">
          <cell r="B19126">
            <v>80951</v>
          </cell>
          <cell r="C19126" t="str">
            <v>VITREO RENDA EXTRA FIM</v>
          </cell>
          <cell r="D19126" t="str">
            <v>VITREO RENDA EXTRA FIM</v>
          </cell>
          <cell r="E19126" t="str">
            <v>EMPIRICUS GESTAO DE RECURSOS LTDA</v>
          </cell>
        </row>
        <row r="19127">
          <cell r="B19127">
            <v>80953</v>
          </cell>
          <cell r="C19127" t="str">
            <v>GAP ABSOLUTO XP SEGUROS IQ FIM</v>
          </cell>
          <cell r="D19127" t="str">
            <v>GAP ABSOLUTO XP SEGUROS IQ FIM</v>
          </cell>
          <cell r="E19127" t="str">
            <v>GAP GESTORA DE RECURSOS LTDA</v>
          </cell>
        </row>
        <row r="19128">
          <cell r="B19128">
            <v>80953</v>
          </cell>
          <cell r="C19128" t="str">
            <v>GAP ABSOLUTO XP SEGUROS IQ FIM</v>
          </cell>
          <cell r="D19128" t="str">
            <v>GAP ABSOLUTO XP SEGUROS IQ FIM</v>
          </cell>
          <cell r="E19128" t="str">
            <v>GAP GESTORA DE RECURSOS LTDA</v>
          </cell>
        </row>
        <row r="19129">
          <cell r="B19129">
            <v>125495</v>
          </cell>
          <cell r="C19129" t="str">
            <v>BB GESTAO DE RECURSOS DTVM LTDA</v>
          </cell>
          <cell r="D19129" t="str">
            <v>BB GESTAO DE RECURSOS DTVM LTDA</v>
          </cell>
          <cell r="E19129" t="str">
            <v>BB GESTAO DE RECURSOS DTVM LTDA</v>
          </cell>
        </row>
        <row r="19130">
          <cell r="B19130">
            <v>125493</v>
          </cell>
          <cell r="C19130" t="str">
            <v>BB GESTAO DE RECURSOS DTVM LTDA</v>
          </cell>
          <cell r="D19130" t="str">
            <v>BB GESTAO DE RECURSOS DTVM LTDA</v>
          </cell>
          <cell r="E19130" t="str">
            <v>BB GESTAO DE RECURSOS DTVM LTDA</v>
          </cell>
        </row>
        <row r="19131">
          <cell r="B19131">
            <v>125494</v>
          </cell>
          <cell r="C19131" t="str">
            <v>ASA ITAIM HEDGE MASTER FUNDO DE INVESTIMENTO MULTIMERCADO</v>
          </cell>
          <cell r="D19131" t="str">
            <v>ASA ITAIM HEDGE MASTER FUNDO DE INVESTIMENTO MULTIMERCADO</v>
          </cell>
          <cell r="E19131" t="str">
            <v>ASA ITAIM HEDGE MASTER FUNDO DE INVESTIMENTO MULTIMERCADO</v>
          </cell>
        </row>
        <row r="19132">
          <cell r="B19132">
            <v>125497</v>
          </cell>
          <cell r="C19132" t="str">
            <v>NCH PARTICIPAÃ‡Ã•ES FIM CP IE</v>
          </cell>
          <cell r="D19132" t="str">
            <v>NCH PARTICIPAÃ‡Ã•ES FIM CP IE</v>
          </cell>
          <cell r="E19132" t="str">
            <v>JULIUS BAER FAMILY OFFICE BRASIL GESTAO DE PATRIMONIO LTDA</v>
          </cell>
        </row>
        <row r="19133">
          <cell r="B19133">
            <v>125499</v>
          </cell>
          <cell r="C19133" t="str">
            <v>SUL AMERICA FIM JUPTER CP</v>
          </cell>
          <cell r="D19133" t="str">
            <v>SUL AMERICA FIM JUPTER CP</v>
          </cell>
          <cell r="E19133" t="str">
            <v>SUL AMERICA INVESTIMENTOS GESTORA DE RECURSOS S/A</v>
          </cell>
        </row>
        <row r="19134">
          <cell r="B19134">
            <v>125502</v>
          </cell>
          <cell r="C19134" t="str">
            <v>TORK PREV FIA FIFE</v>
          </cell>
          <cell r="D19134" t="str">
            <v>TORK PREV FIA FIFE</v>
          </cell>
          <cell r="E19134" t="str">
            <v>TORK CAPITAL GESTAO DE RECURSOS LTDA</v>
          </cell>
        </row>
        <row r="19135">
          <cell r="B19135">
            <v>125503</v>
          </cell>
          <cell r="C19135" t="str">
            <v>TORK LONG ONLY MASTER FIA</v>
          </cell>
          <cell r="D19135" t="str">
            <v>TORK LONG ONLY MASTER FIA</v>
          </cell>
          <cell r="E19135" t="str">
            <v>TORK CAPITAL GESTAO DE RECURSOS LTDA</v>
          </cell>
        </row>
        <row r="19136">
          <cell r="B19136">
            <v>125504</v>
          </cell>
          <cell r="C19136" t="str">
            <v>TORK MASTER FIA</v>
          </cell>
          <cell r="D19136" t="str">
            <v>TORK MASTER FIA</v>
          </cell>
          <cell r="E19136" t="str">
            <v>TORK CAPITAL GESTAO DE RECURSOS LTDA</v>
          </cell>
        </row>
        <row r="19137">
          <cell r="B19137">
            <v>125502</v>
          </cell>
          <cell r="C19137" t="str">
            <v>TORK PREV FIA FIFE</v>
          </cell>
          <cell r="D19137" t="str">
            <v>TORK PREV FIA FIFE</v>
          </cell>
          <cell r="E19137" t="str">
            <v>TORK CAPITAL GESTAO DE RECURSOS LTDA</v>
          </cell>
        </row>
        <row r="19138">
          <cell r="B19138">
            <v>125503</v>
          </cell>
          <cell r="C19138" t="str">
            <v>TORK LONG ONLY MASTER FIA</v>
          </cell>
          <cell r="D19138" t="str">
            <v>TORK LONG ONLY MASTER FIA</v>
          </cell>
          <cell r="E19138" t="str">
            <v>TORK CAPITAL GESTAO DE RECURSOS LTDA</v>
          </cell>
        </row>
        <row r="19139">
          <cell r="B19139">
            <v>125504</v>
          </cell>
          <cell r="C19139" t="str">
            <v>TORK MASTER FIA</v>
          </cell>
          <cell r="D19139" t="str">
            <v>TORK MASTER FIA</v>
          </cell>
          <cell r="E19139" t="str">
            <v>TORK CAPITAL GESTAO DE RECURSOS LTDA</v>
          </cell>
        </row>
        <row r="19140">
          <cell r="B19140">
            <v>125505</v>
          </cell>
          <cell r="C19140" t="str">
            <v>TORK LONG ONLY INSTITUCIONAL MASTER FIA</v>
          </cell>
          <cell r="D19140" t="str">
            <v>TORK LONG ONLY INSTITUCIONAL MASTER FIA</v>
          </cell>
          <cell r="E19140" t="str">
            <v>TORK CAPITAL GESTAO DE RECURSOS LTDA</v>
          </cell>
        </row>
        <row r="19141">
          <cell r="B19141">
            <v>125505</v>
          </cell>
          <cell r="C19141" t="str">
            <v>TORK LONG ONLY INSTITUCIONAL MASTER FIA</v>
          </cell>
          <cell r="D19141" t="str">
            <v>TORK LONG ONLY INSTITUCIONAL MASTER FIA</v>
          </cell>
          <cell r="E19141" t="str">
            <v>TORK CAPITAL GESTAO DE RECURSOS LTDA</v>
          </cell>
        </row>
        <row r="19142">
          <cell r="B19142">
            <v>80956</v>
          </cell>
          <cell r="C19142" t="str">
            <v>PRADA ADMINISTRADORA DE RECURSOS LTDA.</v>
          </cell>
          <cell r="D19142" t="str">
            <v>PRADA ADMINISTRADORA DE RECURSOS LTDA.</v>
          </cell>
          <cell r="E19142" t="str">
            <v>PRADA ADMINISTRADORA DE RECURSOS LTDA.</v>
          </cell>
        </row>
        <row r="19143">
          <cell r="B19143">
            <v>80956</v>
          </cell>
          <cell r="C19143" t="str">
            <v>PRADA ADMINISTRADORA DE RECURSOS LTDA.</v>
          </cell>
          <cell r="D19143" t="str">
            <v>PRADA ADMINISTRADORA DE RECURSOS LTDA.</v>
          </cell>
          <cell r="E19143" t="str">
            <v>PRADA ADMINISTRADORA DE RECURSOS LTDA.</v>
          </cell>
        </row>
        <row r="19144">
          <cell r="B19144">
            <v>125507</v>
          </cell>
          <cell r="C19144" t="str">
            <v>FUNDO DE INVESTIMENTO IMOB RIO BRAVO RENDA VAREJO - FII</v>
          </cell>
          <cell r="D19144" t="str">
            <v>FUNDO DE INVESTIMENTO IMOB RIO BRAVO RENDA VAREJO - FII</v>
          </cell>
          <cell r="E19144" t="str">
            <v>FUNDO DE INVESTIMENTO IMOB RIO BRAVO RENDA VAREJO - FII</v>
          </cell>
        </row>
        <row r="19145">
          <cell r="B19145">
            <v>125506</v>
          </cell>
          <cell r="C19145" t="str">
            <v>MILLTRUST INTERNACIONAL INVESTMENTS SPC- CITIBANK DTVM SA</v>
          </cell>
          <cell r="D19145" t="str">
            <v>MILLTRUST INTERNACIONAL INVESTMENTS SPC- CITIBANK DTVM SA</v>
          </cell>
          <cell r="E19145" t="str">
            <v>ALASKA INVESTIMENTOS LTDA</v>
          </cell>
        </row>
        <row r="19146">
          <cell r="B19146">
            <v>125506</v>
          </cell>
          <cell r="C19146" t="str">
            <v>MILLTRUST INTERNACIONAL INVESTMENTS SPC- CITIBANK DTVM SA</v>
          </cell>
          <cell r="D19146" t="str">
            <v>MILLTRUST INTERNACIONAL INVESTMENTS SPC- CITIBANK DTVM SA</v>
          </cell>
          <cell r="E19146" t="str">
            <v>ALASKA INVESTIMENTOS LTDA</v>
          </cell>
        </row>
        <row r="19147">
          <cell r="B19147">
            <v>125508</v>
          </cell>
          <cell r="C19147" t="str">
            <v>BB GESTAO DE RECURSOS DTVM LTDA</v>
          </cell>
          <cell r="D19147" t="str">
            <v>BB GESTAO DE RECURSOS DTVM LTDA</v>
          </cell>
          <cell r="E19147" t="str">
            <v>BB GESTAO DE RECURSOS DTVM LTDA</v>
          </cell>
        </row>
        <row r="19148">
          <cell r="B19148">
            <v>80959</v>
          </cell>
          <cell r="C19148" t="str">
            <v>VITREO FRANKLIN FIA BDR NIVEL I</v>
          </cell>
          <cell r="D19148" t="str">
            <v>VITREO FRANKLIN FIA BDR NIVEL I</v>
          </cell>
          <cell r="E19148" t="str">
            <v>EMPIRICUS GESTAO DE RECURSOS LTDA</v>
          </cell>
        </row>
        <row r="19149">
          <cell r="B19149">
            <v>80959</v>
          </cell>
          <cell r="C19149" t="str">
            <v>VITREO FRANKLIN FIA BDR NIVEL I</v>
          </cell>
          <cell r="D19149" t="str">
            <v>VITREO FRANKLIN FIA BDR NIVEL I</v>
          </cell>
          <cell r="E19149" t="str">
            <v>EMPIRICUS GESTAO DE RECURSOS LTDA</v>
          </cell>
        </row>
        <row r="19150">
          <cell r="B19150">
            <v>80957</v>
          </cell>
          <cell r="C19150" t="str">
            <v>ITAU UNIBANCO S.A.</v>
          </cell>
          <cell r="D19150" t="str">
            <v>ITAU UNIBANCO S.A.</v>
          </cell>
          <cell r="E19150" t="str">
            <v>ITAU UNIBANCO ASSET - QUANT</v>
          </cell>
        </row>
        <row r="19151">
          <cell r="B19151">
            <v>80957</v>
          </cell>
          <cell r="C19151" t="str">
            <v>ITAU UNIBANCO S.A.</v>
          </cell>
          <cell r="D19151" t="str">
            <v>ITAU UNIBANCO S.A.</v>
          </cell>
          <cell r="E19151" t="str">
            <v>ITAU UNIBANCO ASSET - QUANT</v>
          </cell>
        </row>
        <row r="19152">
          <cell r="B19152">
            <v>80952</v>
          </cell>
          <cell r="C19152" t="str">
            <v>VITREO TECH BRASIL FIA</v>
          </cell>
          <cell r="D19152" t="str">
            <v>VITREO TECH BRASIL FIA</v>
          </cell>
          <cell r="E19152" t="str">
            <v>EMPIRICUS GESTAO DE RECURSOS LTDA</v>
          </cell>
        </row>
        <row r="19153">
          <cell r="B19153">
            <v>80952</v>
          </cell>
          <cell r="C19153" t="str">
            <v>VITREO TECH BRASIL FIA</v>
          </cell>
          <cell r="D19153" t="str">
            <v>VITREO TECH BRASIL FIA</v>
          </cell>
          <cell r="E19153" t="str">
            <v>EMPIRICUS GESTAO DE RECURSOS LTDA</v>
          </cell>
        </row>
        <row r="19154">
          <cell r="B19154">
            <v>125510</v>
          </cell>
          <cell r="C19154" t="str">
            <v>BB GESTAO DE RECURSOS DTVM LTDA</v>
          </cell>
          <cell r="D19154" t="str">
            <v>BB GESTAO DE RECURSOS DTVM LTDA</v>
          </cell>
          <cell r="E19154" t="str">
            <v>BB GESTAO DE RECURSOS DTVM LTDA</v>
          </cell>
        </row>
        <row r="19155">
          <cell r="B19155">
            <v>125510</v>
          </cell>
          <cell r="C19155" t="str">
            <v>BB GESTAO DE RECURSOS DTVM LTDA</v>
          </cell>
          <cell r="D19155" t="str">
            <v>BB GESTAO DE RECURSOS DTVM LTDA</v>
          </cell>
          <cell r="E19155" t="str">
            <v>BB GESTAO DE RECURSOS DTVM LTDA</v>
          </cell>
        </row>
        <row r="19156">
          <cell r="B19156">
            <v>80961</v>
          </cell>
          <cell r="C19156" t="str">
            <v>BANCO CITIBANK S/A</v>
          </cell>
          <cell r="D19156" t="str">
            <v>BANCO CITIBANK S/A</v>
          </cell>
          <cell r="E19156" t="str">
            <v>BANCO CITIBANK S/A</v>
          </cell>
        </row>
        <row r="19157">
          <cell r="B19157">
            <v>125514</v>
          </cell>
          <cell r="C19157" t="str">
            <v>SAGARANA II FIF CLASSE DE INVESTIMENTO MULTIMERCADO</v>
          </cell>
          <cell r="D19157" t="str">
            <v>SAGARANA II FIF CLASSE DE INVESTIMENTO MULTIMERCADO</v>
          </cell>
          <cell r="E19157" t="str">
            <v>EMERALD GESTAO DE INVESTIMENTOS LTDA</v>
          </cell>
        </row>
        <row r="19158">
          <cell r="B19158">
            <v>125518</v>
          </cell>
          <cell r="C19158" t="str">
            <v>BB GESTAO DE RECURSOS DTVM LTDA</v>
          </cell>
          <cell r="D19158" t="str">
            <v>BB GESTAO DE RECURSOS DTVM LTDA</v>
          </cell>
          <cell r="E19158" t="str">
            <v>BB GESTAO DE RECURSOS DTVM LTDA</v>
          </cell>
        </row>
        <row r="19159">
          <cell r="B19159">
            <v>125519</v>
          </cell>
          <cell r="C19159" t="str">
            <v>SUL AMERICA PARANA FIM CP IE</v>
          </cell>
          <cell r="D19159" t="str">
            <v>SUL AMERICA PARANA FIM CP IE</v>
          </cell>
          <cell r="E19159" t="str">
            <v>SUL AMERICA INVESTIMENTOS GESTORA DE RECURSOS S/A</v>
          </cell>
        </row>
        <row r="19160">
          <cell r="B19160">
            <v>80962</v>
          </cell>
          <cell r="C19160" t="str">
            <v>JULIUS BAER FAMILY OFFICE BRASIL GESTAO DE PATRIMONIO LTDA</v>
          </cell>
          <cell r="D19160" t="str">
            <v>JULIUS BAER FAMILY OFFICE BRASIL GESTAO DE PATRIMONIO LTDA</v>
          </cell>
          <cell r="E19160" t="str">
            <v>JULIUS BAER FAMILY OFFICE BRASIL GESTAO DE PATRIMONIO LTDA</v>
          </cell>
        </row>
        <row r="19161">
          <cell r="B19161">
            <v>80962</v>
          </cell>
          <cell r="C19161" t="str">
            <v>JULIUS BAER FAMILY OFFICE BRASIL GESTAO DE PATRIMONIO LTDA</v>
          </cell>
          <cell r="D19161" t="str">
            <v>JULIUS BAER FAMILY OFFICE BRASIL GESTAO DE PATRIMONIO LTDA</v>
          </cell>
          <cell r="E19161" t="str">
            <v>JULIUS BAER FAMILY OFFICE BRASIL GESTAO DE PATRIMONIO LTDA</v>
          </cell>
        </row>
        <row r="19162">
          <cell r="B19162">
            <v>80963</v>
          </cell>
          <cell r="C19162" t="str">
            <v>WB90 FUNDO DE INVESTIMENTO DE AÃ‡Ã•ES BDR NÃVEL I</v>
          </cell>
          <cell r="D19162" t="str">
            <v>WB90 FUNDO DE INVESTIMENTO DE AÃ‡Ã•ES BDR NÃVEL I</v>
          </cell>
          <cell r="E19162" t="str">
            <v>EMPIRICUS GESTAO DE RECURSOS LTDA</v>
          </cell>
        </row>
        <row r="19163">
          <cell r="B19163">
            <v>80963</v>
          </cell>
          <cell r="C19163" t="str">
            <v>WB90 FUNDO DE INVESTIMENTO DE AÃ‡Ã•ES BDR NÃVEL I</v>
          </cell>
          <cell r="D19163" t="str">
            <v>WB90 FUNDO DE INVESTIMENTO DE AÃ‡Ã•ES BDR NÃVEL I</v>
          </cell>
          <cell r="E19163" t="str">
            <v>EMPIRICUS GESTAO DE RECURSOS LTDA</v>
          </cell>
        </row>
        <row r="19164">
          <cell r="B19164">
            <v>80964</v>
          </cell>
          <cell r="C19164" t="str">
            <v>VTR FOF MF FIC DE FIM CP</v>
          </cell>
          <cell r="D19164" t="str">
            <v>VTR FOF MF FIC DE FIM CP</v>
          </cell>
          <cell r="E19164" t="str">
            <v>EMPIRICUS GESTAO DE RECURSOS LTDA</v>
          </cell>
        </row>
        <row r="19165">
          <cell r="B19165">
            <v>80964</v>
          </cell>
          <cell r="C19165" t="str">
            <v>VTR FOF MF FIC DE FIM CP</v>
          </cell>
          <cell r="D19165" t="str">
            <v>VTR FOF MF FIC DE FIM CP</v>
          </cell>
          <cell r="E19165" t="str">
            <v>EMPIRICUS GESTAO DE RECURSOS LTDA</v>
          </cell>
        </row>
        <row r="19166">
          <cell r="B19166">
            <v>125521</v>
          </cell>
          <cell r="C19166" t="str">
            <v>SANTANDER CACEIS BRASIL DTVM S.A.</v>
          </cell>
          <cell r="D19166" t="str">
            <v>SANTANDER CACEIS BRASIL DTVM S.A.</v>
          </cell>
          <cell r="E19166" t="str">
            <v>SANTANDER BRASIL GESTAO DE RECURSOS LTDA</v>
          </cell>
        </row>
        <row r="19167">
          <cell r="B19167">
            <v>125523</v>
          </cell>
          <cell r="C19167" t="str">
            <v>BB GESTAO DE RECURSOS DTVM LTDA</v>
          </cell>
          <cell r="D19167" t="str">
            <v>BB GESTAO DE RECURSOS DTVM LTDA</v>
          </cell>
          <cell r="E19167" t="str">
            <v>BB GESTAO DE RECURSOS DTVM LTDA</v>
          </cell>
        </row>
        <row r="19168">
          <cell r="B19168">
            <v>122841</v>
          </cell>
          <cell r="C19168" t="str">
            <v>XP INVESTOR FIA</v>
          </cell>
          <cell r="D19168" t="str">
            <v>XP INVESTOR FIA</v>
          </cell>
          <cell r="E19168" t="str">
            <v>XP INVESTOR FIA</v>
          </cell>
        </row>
        <row r="19169">
          <cell r="B19169">
            <v>123716</v>
          </cell>
          <cell r="C19169" t="str">
            <v>XP INVESTOR LONG BIASED FIM</v>
          </cell>
          <cell r="D19169" t="str">
            <v>XP INVESTOR LONG BIASED FIM</v>
          </cell>
          <cell r="E19169" t="str">
            <v>XP INVESTOR LONG BIASED FIM</v>
          </cell>
        </row>
        <row r="19170">
          <cell r="B19170">
            <v>123716</v>
          </cell>
          <cell r="C19170" t="str">
            <v>XP INVESTOR LONG BIASED FIM</v>
          </cell>
          <cell r="D19170" t="str">
            <v>XP INVESTOR LONG BIASED FIM</v>
          </cell>
          <cell r="E19170" t="str">
            <v>XP INVESTOR LONG BIASED FIM</v>
          </cell>
        </row>
        <row r="19171">
          <cell r="B19171">
            <v>122846</v>
          </cell>
          <cell r="C19171" t="str">
            <v>XP INVESTOR SMALL CAPS FIA</v>
          </cell>
          <cell r="D19171" t="str">
            <v>XP INVESTOR SMALL CAPS FIA</v>
          </cell>
          <cell r="E19171" t="str">
            <v>XP INVESTOR SMALL CAPS FIA</v>
          </cell>
        </row>
        <row r="19172">
          <cell r="B19172">
            <v>913134</v>
          </cell>
          <cell r="C19172" t="str">
            <v>BGC LIQUIDEZ DTVM LTDA</v>
          </cell>
          <cell r="D19172" t="str">
            <v>BGC LIQUIDEZ DTVM LTDA</v>
          </cell>
          <cell r="E19172" t="str">
            <v>BGC LIQUIDEZ DTVM LTDA</v>
          </cell>
        </row>
        <row r="19173">
          <cell r="B19173">
            <v>913134</v>
          </cell>
          <cell r="C19173" t="str">
            <v>BGC LIQUIDEZ DTVM LTDA</v>
          </cell>
          <cell r="D19173" t="str">
            <v>BGC LIQUIDEZ DTVM LTDA</v>
          </cell>
          <cell r="E19173" t="str">
            <v>BGC LIQUIDEZ DTVM LTDA</v>
          </cell>
        </row>
        <row r="19174">
          <cell r="B19174">
            <v>125524</v>
          </cell>
          <cell r="C19174" t="str">
            <v>JBFO FOF FUNDO DE INVESTIMENTO IMOBILIÃRIO</v>
          </cell>
          <cell r="D19174" t="str">
            <v>JBFO FOF FUNDO DE INVESTIMENTO IMOBILIÃRIO</v>
          </cell>
          <cell r="E19174" t="str">
            <v>JULIUS BAER FAMILY OFFICE BRASIL GESTAO DE PATRIMONIO LTDA</v>
          </cell>
        </row>
        <row r="19175">
          <cell r="B19175">
            <v>125525</v>
          </cell>
          <cell r="C19175" t="str">
            <v>MAR CAPITAL GESTAO DE RECURSOS LTDA</v>
          </cell>
          <cell r="D19175">
            <v>125525</v>
          </cell>
          <cell r="E19175" t="str">
            <v>MAR CAPITAL GESTAO DE RECURSOS LTDA</v>
          </cell>
        </row>
        <row r="19176">
          <cell r="B19176">
            <v>80967</v>
          </cell>
          <cell r="C19176" t="str">
            <v>MAR CAPITAL GESTAO DE RECURSOS LTDA</v>
          </cell>
          <cell r="D19176" t="str">
            <v>MAR CAPITAL GESTAO DE RECURSOS LTDA</v>
          </cell>
          <cell r="E19176" t="str">
            <v>MAR CAPITAL GESTAO DE RECURSOS LTDA</v>
          </cell>
        </row>
        <row r="19177">
          <cell r="B19177">
            <v>125526</v>
          </cell>
          <cell r="C19177" t="str">
            <v>BB GESTAO DE RECURSOS DTVM LTDA</v>
          </cell>
          <cell r="D19177" t="str">
            <v>BB GESTAO DE RECURSOS DTVM LTDA</v>
          </cell>
          <cell r="E19177" t="str">
            <v>BB GESTAO DE RECURSOS DTVM LTDA</v>
          </cell>
        </row>
        <row r="19178">
          <cell r="B19178">
            <v>80968</v>
          </cell>
          <cell r="C19178" t="str">
            <v>RAFAEL MARQUES MOREIRA DA COSTA</v>
          </cell>
          <cell r="D19178" t="str">
            <v>RAFAEL MARQUES MOREIRA DA COSTA</v>
          </cell>
          <cell r="E19178" t="str">
            <v>RAFAEL MARQUES MOREIRA DA COSTA</v>
          </cell>
        </row>
        <row r="19179">
          <cell r="B19179">
            <v>80968</v>
          </cell>
          <cell r="C19179" t="str">
            <v>RAFAEL MARQUES MOREIRA DA COSTA</v>
          </cell>
          <cell r="D19179" t="str">
            <v>RAFAEL MARQUES MOREIRA DA COSTA</v>
          </cell>
          <cell r="E19179" t="str">
            <v>RAFAEL MARQUES MOREIRA DA COSTA</v>
          </cell>
        </row>
        <row r="19180">
          <cell r="B19180">
            <v>125527</v>
          </cell>
          <cell r="C19180" t="str">
            <v>ITAU CENTRALIZADOR ALOCAÃ‡ÃƒO INTERNACIONAL IE FIC DE FIM</v>
          </cell>
          <cell r="D19180" t="str">
            <v>ITAU CENTRALIZADOR ALOCAÃ‡ÃƒO INTERNACIONAL IE FIC DE FIM</v>
          </cell>
          <cell r="E19180" t="str">
            <v>ITAU UNIBANCO ASSET - TACO</v>
          </cell>
        </row>
        <row r="19181">
          <cell r="B19181">
            <v>80969</v>
          </cell>
          <cell r="C19181" t="str">
            <v>VITREO TECH ASIA FUNDO DE INVESTIMENTO DE ACOES BDR NIVEL I</v>
          </cell>
          <cell r="D19181" t="str">
            <v>VITREO TECH ASIA FUNDO DE INVESTIMENTO DE ACOES BDR NIVEL I</v>
          </cell>
          <cell r="E19181" t="str">
            <v>EMPIRICUS GESTAO DE RECURSOS LTDA</v>
          </cell>
        </row>
        <row r="19182">
          <cell r="B19182">
            <v>80969</v>
          </cell>
          <cell r="C19182" t="str">
            <v>VITREO TECH ASIA FUNDO DE INVESTIMENTO DE ACOES BDR NIVEL I</v>
          </cell>
          <cell r="D19182" t="str">
            <v>VITREO TECH ASIA FUNDO DE INVESTIMENTO DE ACOES BDR NIVEL I</v>
          </cell>
          <cell r="E19182" t="str">
            <v>EMPIRICUS GESTAO DE RECURSOS LTDA</v>
          </cell>
        </row>
        <row r="19183">
          <cell r="B19183">
            <v>80970</v>
          </cell>
          <cell r="C19183" t="str">
            <v>VITREO MONEYBETS FIA IE - BDR NIVEL 1</v>
          </cell>
          <cell r="D19183" t="str">
            <v>VITREO MONEYBETS FIA IE - BDR NIVEL 1</v>
          </cell>
          <cell r="E19183" t="str">
            <v>EMPIRICUS GESTAO DE RECURSOS LTDA</v>
          </cell>
        </row>
        <row r="19184">
          <cell r="B19184">
            <v>80970</v>
          </cell>
          <cell r="C19184" t="str">
            <v>VITREO MONEYBETS FIA IE - BDR NIVEL 1</v>
          </cell>
          <cell r="D19184" t="str">
            <v>VITREO MONEYBETS FIA IE - BDR NIVEL 1</v>
          </cell>
          <cell r="E19184" t="str">
            <v>EMPIRICUS GESTAO DE RECURSOS LTDA</v>
          </cell>
        </row>
        <row r="19185">
          <cell r="B19185">
            <v>80972</v>
          </cell>
          <cell r="C19185" t="str">
            <v>SUPREMUS FUNDO DE INVESTIMENTO EM AÃ‡Ã•ES</v>
          </cell>
          <cell r="D19185" t="str">
            <v>SUPREMUS FUNDO DE INVESTIMENTO EM AÃ‡Ã•ES</v>
          </cell>
          <cell r="E19185" t="str">
            <v>SUPREMUS FUNDO DE INVESTIMENTO EM AÃ‡Ã•ES</v>
          </cell>
        </row>
        <row r="19186">
          <cell r="B19186">
            <v>80972</v>
          </cell>
          <cell r="C19186" t="str">
            <v>SUPREMUS FUNDO DE INVESTIMENTO EM AÃ‡Ã•ES</v>
          </cell>
          <cell r="D19186" t="str">
            <v>SUPREMUS FUNDO DE INVESTIMENTO EM AÃ‡Ã•ES</v>
          </cell>
          <cell r="E19186" t="str">
            <v>SUPREMUS FUNDO DE INVESTIMENTO EM AÃ‡Ã•ES</v>
          </cell>
        </row>
        <row r="19187">
          <cell r="B19187">
            <v>80973</v>
          </cell>
          <cell r="C19187" t="str">
            <v>CSHG SUPRASSUMO FUNDO DE INVESTIMENTO EM AÃ‡Ã•ES IE</v>
          </cell>
          <cell r="D19187" t="str">
            <v>CSHG SUPRASSUMO FUNDO DE INVESTIMENTO EM AÃ‡Ã•ES IE</v>
          </cell>
          <cell r="E19187" t="str">
            <v>ESH CAPITAL INVESTIMENTOS LTDA.</v>
          </cell>
        </row>
        <row r="19188">
          <cell r="B19188">
            <v>80973</v>
          </cell>
          <cell r="C19188" t="str">
            <v>CSHG SUPRASSUMO FUNDO DE INVESTIMENTO EM AÃ‡Ã•ES IE</v>
          </cell>
          <cell r="D19188" t="str">
            <v>CSHG SUPRASSUMO FUNDO DE INVESTIMENTO EM AÃ‡Ã•ES IE</v>
          </cell>
          <cell r="E19188" t="str">
            <v>REAG ASSET MANAGEMENT LTDA</v>
          </cell>
        </row>
        <row r="19189">
          <cell r="B19189">
            <v>125529</v>
          </cell>
          <cell r="C19189" t="str">
            <v>SANTANDER CACEIS BRASIL DTVM S.A.</v>
          </cell>
          <cell r="D19189" t="str">
            <v>SANTANDER CACEIS BRASIL DTVM S.A.</v>
          </cell>
          <cell r="E19189" t="str">
            <v>SANTANDER BRASIL GESTAO DE RECURSOS LTDA</v>
          </cell>
        </row>
        <row r="19190">
          <cell r="B19190">
            <v>125529</v>
          </cell>
          <cell r="C19190" t="str">
            <v>SANTANDER CACEIS BRASIL DTVM S.A.</v>
          </cell>
          <cell r="D19190" t="str">
            <v>SANTANDER CACEIS BRASIL DTVM S.A.</v>
          </cell>
          <cell r="E19190" t="str">
            <v>SANTANDER BRASIL GESTAO DE RECURSOS LTDA</v>
          </cell>
        </row>
        <row r="19191">
          <cell r="B19191">
            <v>125530</v>
          </cell>
          <cell r="C19191" t="str">
            <v>SANTANDER CACEIS BRASIL DTVM S.A.</v>
          </cell>
          <cell r="D19191" t="str">
            <v>SANTANDER CACEIS BRASIL DTVM S.A.</v>
          </cell>
          <cell r="E19191" t="str">
            <v>SANTANDER BRASIL GESTAO DE RECURSOS LTDA</v>
          </cell>
        </row>
        <row r="19192">
          <cell r="B19192">
            <v>125531</v>
          </cell>
          <cell r="C19192" t="str">
            <v>SANTANDER CACEIS BRASIL DTVM S.A.</v>
          </cell>
          <cell r="D19192" t="str">
            <v>SANTANDER CACEIS BRASIL DTVM S.A.</v>
          </cell>
          <cell r="E19192" t="str">
            <v>SANTANDER BRASIL GESTAO DE RECURSOS LTDA</v>
          </cell>
        </row>
        <row r="19193">
          <cell r="B19193">
            <v>80974</v>
          </cell>
          <cell r="C19193" t="str">
            <v>SAFRA MAXWELL MACRO PLUS MASTER FUNDO DE INVESTIMENTO MULTIM</v>
          </cell>
          <cell r="D19193" t="str">
            <v>SAFRA MAXWELL MACRO PLUS MASTER FUNDO DE INVESTIMENTO MULTIM</v>
          </cell>
          <cell r="E19193" t="str">
            <v>SAFRA ASSET MANAGEMENT LTDA</v>
          </cell>
        </row>
        <row r="19194">
          <cell r="B19194">
            <v>80974</v>
          </cell>
          <cell r="C19194" t="str">
            <v>SAFRA MAXWELL MACRO PLUS MASTER FUNDO DE INVESTIMENTO MULTIM</v>
          </cell>
          <cell r="D19194" t="str">
            <v>SAFRA MAXWELL MACRO PLUS MASTER FUNDO DE INVESTIMENTO MULTIM</v>
          </cell>
          <cell r="E19194" t="str">
            <v>SAFRA ASSET MANAGEMENT LTDA</v>
          </cell>
        </row>
        <row r="19195">
          <cell r="B19195">
            <v>80975</v>
          </cell>
          <cell r="C19195" t="str">
            <v>SAFRA GALILEO PLUS MASTER FUNDO DE INVESTIMENTO MULTIMERCADO</v>
          </cell>
          <cell r="D19195" t="str">
            <v>SAFRA GALILEO PLUS MASTER FUNDO DE INVESTIMENTO MULTIMERCADO</v>
          </cell>
          <cell r="E19195" t="str">
            <v>EMERALD GESTAO DE INVESTIMENTOS LTDA</v>
          </cell>
        </row>
        <row r="19196">
          <cell r="B19196">
            <v>80977</v>
          </cell>
          <cell r="C19196" t="str">
            <v>APEX LONG BIASED IV FIM PREV FIFE</v>
          </cell>
          <cell r="D19196" t="str">
            <v>APEX LONG BIASED IV FIM PREV FIFE</v>
          </cell>
          <cell r="E19196" t="str">
            <v>APEX CAPITAL LTDA</v>
          </cell>
        </row>
        <row r="19197">
          <cell r="B19197">
            <v>80978</v>
          </cell>
          <cell r="C19197" t="str">
            <v>APEX LONG BIASED IV FIM PREV FIFE</v>
          </cell>
          <cell r="D19197" t="str">
            <v>APEX LONG BIASED IV FIM PREV FIFE</v>
          </cell>
          <cell r="E19197" t="str">
            <v>APEX CAPITAL LTDA</v>
          </cell>
        </row>
        <row r="19198">
          <cell r="B19198">
            <v>80979</v>
          </cell>
          <cell r="C19198" t="str">
            <v>SFAPES FUNDO DE INVESTIMENTO MULTIMERCADO</v>
          </cell>
          <cell r="D19198" t="str">
            <v>SFAPES FUNDO DE INVESTIMENTO MULTIMERCADO</v>
          </cell>
          <cell r="E19198" t="str">
            <v>SFAPES FUNDO DE INVESTIMENTO MULTIMERCADO</v>
          </cell>
        </row>
        <row r="19199">
          <cell r="B19199">
            <v>80979</v>
          </cell>
          <cell r="C19199" t="str">
            <v>SFAPES FUNDO DE INVESTIMENTO MULTIMERCADO</v>
          </cell>
          <cell r="D19199" t="str">
            <v>SFAPES FUNDO DE INVESTIMENTO MULTIMERCADO</v>
          </cell>
          <cell r="E19199" t="str">
            <v>SFAPES FUNDO DE INVESTIMENTO MULTIMERCADO</v>
          </cell>
        </row>
        <row r="19200">
          <cell r="B19200">
            <v>80967</v>
          </cell>
          <cell r="C19200" t="str">
            <v>MAR CAPITAL GESTAO DE RECURSOS LTDA</v>
          </cell>
          <cell r="D19200" t="str">
            <v>MAR CAPITAL GESTAO DE RECURSOS LTDA</v>
          </cell>
          <cell r="E19200" t="str">
            <v>MAR CAPITAL GESTAO DE RECURSOS LTDA</v>
          </cell>
        </row>
        <row r="19201">
          <cell r="B19201">
            <v>125533</v>
          </cell>
          <cell r="C19201" t="str">
            <v>ABACO III FIM CP IE</v>
          </cell>
          <cell r="D19201" t="str">
            <v>ABACO III FIM CP IE</v>
          </cell>
          <cell r="E19201" t="str">
            <v>JULIUS BAER FAMILY OFFICE BRASIL GESTAO DE PATRIMONIO LTDA</v>
          </cell>
        </row>
        <row r="19202">
          <cell r="B19202">
            <v>80980</v>
          </cell>
          <cell r="C19202" t="str">
            <v>MARCELO OLIVEIRA LOPEZ</v>
          </cell>
          <cell r="D19202" t="str">
            <v>MARCELO OLIVEIRA LOPEZ</v>
          </cell>
          <cell r="E19202" t="str">
            <v>MARCELO OLIVEIRA LOPEZ</v>
          </cell>
        </row>
        <row r="19203">
          <cell r="B19203">
            <v>80980</v>
          </cell>
          <cell r="C19203" t="str">
            <v>MARCELO OLIVEIRA LOPEZ</v>
          </cell>
          <cell r="D19203" t="str">
            <v>MARCELO OLIVEIRA LOPEZ</v>
          </cell>
          <cell r="E19203" t="str">
            <v>MARCELO OLIVEIRA LOPEZ</v>
          </cell>
        </row>
        <row r="19204">
          <cell r="B19204">
            <v>80981</v>
          </cell>
          <cell r="C19204" t="str">
            <v>SMBCB ONSHORE FIM IE LONGO PRAZO</v>
          </cell>
          <cell r="D19204" t="str">
            <v>SMBCB ONSHORE FIM IE LONGO PRAZO</v>
          </cell>
          <cell r="E19204" t="str">
            <v>SMBCB ONSHORE FIM IE LONGO PRAZO</v>
          </cell>
        </row>
        <row r="19205">
          <cell r="B19205">
            <v>125539</v>
          </cell>
          <cell r="C19205" t="str">
            <v>ITAU VERTICE PATRIMONIO IQ FUNDO DE INVESTIMENTO MULTIMERCAD</v>
          </cell>
          <cell r="D19205" t="str">
            <v>ITAU VERTICE PATRIMONIO IQ FUNDO DE INVESTIMENTO MULTIMERCAD</v>
          </cell>
          <cell r="E19205" t="str">
            <v>ITAU UNIBANCO ASSET - TACO</v>
          </cell>
        </row>
        <row r="19206">
          <cell r="B19206">
            <v>125537</v>
          </cell>
          <cell r="C19206" t="str">
            <v>ITAÃš FLEXPREV PATRIMÃ”NIO PJ1 FUNDO DE INVESTIMENTO MULTIMERC</v>
          </cell>
          <cell r="D19206" t="str">
            <v>ITAÃš FLEXPREV PATRIMÃ”NIO PJ1 FUNDO DE INVESTIMENTO MULTIMERC</v>
          </cell>
          <cell r="E19206" t="str">
            <v>ITAU UNIBANCO ASSET - TACO</v>
          </cell>
        </row>
        <row r="19207">
          <cell r="B19207">
            <v>125538</v>
          </cell>
          <cell r="C19207" t="str">
            <v>ITAÃš FLEXPREV PATRIMÃ”NIO PJ2 FIM</v>
          </cell>
          <cell r="D19207" t="str">
            <v>ITAÃš FLEXPREV PATRIMÃ”NIO PJ2 FIM</v>
          </cell>
          <cell r="E19207" t="str">
            <v>ITAU UNIBANCO ASSET - TACO</v>
          </cell>
        </row>
        <row r="19208">
          <cell r="B19208">
            <v>125540</v>
          </cell>
          <cell r="C19208" t="str">
            <v>INVESTSÃŠNIOR FUNDO DE INVESTIMENTO MULTIMERCADO CRÃ‰DITO PRIV</v>
          </cell>
          <cell r="D19208" t="str">
            <v>INVESTSÃŠNIOR FUNDO DE INVESTIMENTO MULTIMERCADO CRÃ‰DITO PRIV</v>
          </cell>
          <cell r="E19208" t="str">
            <v>JULIUS BAER FAMILY OFFICE BRASIL GESTAO DE PATRIMONIO LTDA</v>
          </cell>
        </row>
        <row r="19209">
          <cell r="B19209">
            <v>80986</v>
          </cell>
          <cell r="C19209" t="str">
            <v>VERSA INSTITUCIONAL FUNDO DE INVESTIMENTO EM AÃ‡Ã•ES</v>
          </cell>
          <cell r="D19209" t="str">
            <v>VERSA INSTITUCIONAL FUNDO DE INVESTIMENTO EM AÃ‡Ã•ES</v>
          </cell>
          <cell r="E19209" t="str">
            <v>VERSA GESTORA DE RECURSOS LTDA</v>
          </cell>
        </row>
        <row r="19210">
          <cell r="B19210">
            <v>80986</v>
          </cell>
          <cell r="C19210" t="str">
            <v>VERSA INSTITUCIONAL FUNDO DE INVESTIMENTO EM AÃ‡Ã•ES</v>
          </cell>
          <cell r="D19210" t="str">
            <v>VERSA INSTITUCIONAL FUNDO DE INVESTIMENTO EM AÃ‡Ã•ES</v>
          </cell>
          <cell r="E19210" t="str">
            <v>VERSA GESTORA DE RECURSOS LTDA</v>
          </cell>
        </row>
        <row r="19211">
          <cell r="B19211">
            <v>80987</v>
          </cell>
          <cell r="C19211" t="str">
            <v>VERSA GENESIS FUNDO DE INVESTIMENTO EM AÃ‡Ã•ES BDR NIVEL I</v>
          </cell>
          <cell r="D19211" t="str">
            <v>VERSA GENESIS FUNDO DE INVESTIMENTO EM AÃ‡Ã•ES BDR NIVEL I</v>
          </cell>
          <cell r="E19211" t="str">
            <v>VERSA GESTORA DE RECURSOS LTDA</v>
          </cell>
        </row>
        <row r="19212">
          <cell r="B19212">
            <v>80987</v>
          </cell>
          <cell r="C19212" t="str">
            <v>VERSA GENESIS FUNDO DE INVESTIMENTO EM AÃ‡Ã•ES BDR NIVEL I</v>
          </cell>
          <cell r="D19212" t="str">
            <v>VERSA GENESIS FUNDO DE INVESTIMENTO EM AÃ‡Ã•ES BDR NIVEL I</v>
          </cell>
          <cell r="E19212" t="str">
            <v>VERSA GESTORA DE RECURSOS LTDA</v>
          </cell>
        </row>
        <row r="19213">
          <cell r="B19213">
            <v>80988</v>
          </cell>
          <cell r="C19213" t="str">
            <v>VERSA TRACKER FUNDO DE INVESTIMENTO MULTIMERCADO</v>
          </cell>
          <cell r="D19213" t="str">
            <v>VERSA TRACKER FUNDO DE INVESTIMENTO MULTIMERCADO</v>
          </cell>
          <cell r="E19213" t="str">
            <v>VERSA GESTORA DE RECURSOS LTDA</v>
          </cell>
        </row>
        <row r="19214">
          <cell r="B19214">
            <v>80988</v>
          </cell>
          <cell r="C19214" t="str">
            <v>VERSA TRACKER FUNDO DE INVESTIMENTO MULTIMERCADO</v>
          </cell>
          <cell r="D19214" t="str">
            <v>VERSA TRACKER FUNDO DE INVESTIMENTO MULTIMERCADO</v>
          </cell>
          <cell r="E19214" t="str">
            <v>VERSA GESTORA DE RECURSOS LTDA</v>
          </cell>
        </row>
        <row r="19215">
          <cell r="B19215">
            <v>80984</v>
          </cell>
          <cell r="C19215" t="str">
            <v>VERSA GESTORA DE RECURSOS LTDA</v>
          </cell>
          <cell r="D19215" t="str">
            <v>VERSA GESTORA DE RECURSOS LTDA</v>
          </cell>
          <cell r="E19215" t="str">
            <v>VERSA GESTORA DE RECURSOS LTDA</v>
          </cell>
        </row>
        <row r="19216">
          <cell r="B19216">
            <v>80984</v>
          </cell>
          <cell r="C19216" t="str">
            <v>VERSA GESTORA DE RECURSOS LTDA</v>
          </cell>
          <cell r="D19216" t="str">
            <v>VERSA GESTORA DE RECURSOS LTDA</v>
          </cell>
          <cell r="E19216" t="str">
            <v>VERSA GESTORA DE RECURSOS LTDA</v>
          </cell>
        </row>
        <row r="19217">
          <cell r="B19217">
            <v>80989</v>
          </cell>
          <cell r="C19217" t="str">
            <v>VERSA FIT LONG BIASED FUNDO DE INVESTIMENTO MULTIMERCADO</v>
          </cell>
          <cell r="D19217" t="str">
            <v>VERSA FIT LONG BIASED FUNDO DE INVESTIMENTO MULTIMERCADO</v>
          </cell>
          <cell r="E19217" t="str">
            <v>VERSA GESTORA DE RECURSOS LTDA</v>
          </cell>
        </row>
        <row r="19218">
          <cell r="B19218">
            <v>80989</v>
          </cell>
          <cell r="C19218" t="str">
            <v>VERSA FIT LONG BIASED FUNDO DE INVESTIMENTO MULTIMERCADO</v>
          </cell>
          <cell r="D19218" t="str">
            <v>VERSA FIT LONG BIASED FUNDO DE INVESTIMENTO MULTIMERCADO</v>
          </cell>
          <cell r="E19218" t="str">
            <v>VERSA GESTORA DE RECURSOS LTDA</v>
          </cell>
        </row>
        <row r="19219">
          <cell r="B19219">
            <v>80985</v>
          </cell>
          <cell r="C19219" t="str">
            <v>VERSA LONG BIASED FUNDO DE INVESTIMENTO MULTIMERCADO</v>
          </cell>
          <cell r="D19219" t="str">
            <v>VERSA LONG BIASED FUNDO DE INVESTIMENTO MULTIMERCADO</v>
          </cell>
          <cell r="E19219" t="str">
            <v>VERSA GESTORA DE RECURSOS LTDA</v>
          </cell>
        </row>
        <row r="19220">
          <cell r="B19220">
            <v>80985</v>
          </cell>
          <cell r="C19220" t="str">
            <v>VERSA LONG BIASED FUNDO DE INVESTIMENTO MULTIMERCADO</v>
          </cell>
          <cell r="D19220" t="str">
            <v>VERSA LONG BIASED FUNDO DE INVESTIMENTO MULTIMERCADO</v>
          </cell>
          <cell r="E19220" t="str">
            <v>VERSA GESTORA DE RECURSOS LTDA</v>
          </cell>
        </row>
        <row r="19221">
          <cell r="B19221">
            <v>125541</v>
          </cell>
          <cell r="C19221" t="str">
            <v>TERMO FUNDO DE INVESTIMENTO RENDA FIXA SUL AMERICA</v>
          </cell>
          <cell r="D19221" t="str">
            <v>TERMO FUNDO DE INVESTIMENTO RENDA FIXA SUL AMERICA</v>
          </cell>
          <cell r="E19221" t="str">
            <v>SUL AMERICA INVESTIMENTOS GESTORA DE RECURSOS S/A</v>
          </cell>
        </row>
        <row r="19222">
          <cell r="B19222">
            <v>125542</v>
          </cell>
          <cell r="C19222" t="str">
            <v>SULAMERICA TERMO MASTER FUNDO DE INVESTIMENTO RENDA FIXA</v>
          </cell>
          <cell r="D19222" t="str">
            <v>SULAMERICA TERMO MASTER FUNDO DE INVESTIMENTO RENDA FIXA</v>
          </cell>
          <cell r="E19222" t="str">
            <v>SUL AMERICA INVESTIMENTOS GESTORA DE RECURSOS S/A</v>
          </cell>
        </row>
        <row r="19223">
          <cell r="B19223">
            <v>125543</v>
          </cell>
          <cell r="C19223" t="str">
            <v>JLS FUNDO DE INVESTIMENTO MULT CRÃ‰D PRIV IE</v>
          </cell>
          <cell r="D19223" t="str">
            <v>JLS FUNDO DE INVESTIMENTO MULT CRÃ‰D PRIV IE</v>
          </cell>
          <cell r="E19223" t="str">
            <v>JULIUS BAER FAMILY OFFICE BRASIL GESTAO DE PATRIMONIO LTDA</v>
          </cell>
        </row>
        <row r="19224">
          <cell r="B19224">
            <v>125544</v>
          </cell>
          <cell r="C19224" t="str">
            <v>BB GESTAO DE RECURSOS DTVM LTDA</v>
          </cell>
          <cell r="D19224" t="str">
            <v>BB GESTAO DE RECURSOS DTVM LTDA</v>
          </cell>
          <cell r="E19224" t="str">
            <v>BB GESTAO DE RECURSOS DTVM LTDA</v>
          </cell>
        </row>
        <row r="19225">
          <cell r="B19225">
            <v>80990</v>
          </cell>
          <cell r="C19225" t="str">
            <v>CARGILL, INCORPORATED</v>
          </cell>
          <cell r="D19225" t="str">
            <v>CARGILL, INCORPORATED</v>
          </cell>
          <cell r="E19225" t="str">
            <v>BANCO CARGILL S/A</v>
          </cell>
        </row>
        <row r="19226">
          <cell r="B19226">
            <v>80994</v>
          </cell>
          <cell r="C19226" t="str">
            <v>MAUA CAPITAL INVESTIMENTOS ALTERNATIVOS LTDA.</v>
          </cell>
          <cell r="D19226" t="str">
            <v>MAUA CAPITAL INVESTIMENTOS ALTERNATIVOS LTDA.</v>
          </cell>
          <cell r="E19226" t="str">
            <v>MAUA CAPITAL INVESTIMENTOS ALTERNATIVOS LTDA.</v>
          </cell>
        </row>
        <row r="19227">
          <cell r="B19227">
            <v>80994</v>
          </cell>
          <cell r="C19227" t="str">
            <v>MAUA CAPITAL INVESTIMENTOS ALTERNATIVOS LTDA.</v>
          </cell>
          <cell r="D19227" t="str">
            <v>MAUA CAPITAL INVESTIMENTOS ALTERNATIVOS LTDA.</v>
          </cell>
          <cell r="E19227" t="str">
            <v>MAUA CAPITAL INVESTIMENTOS ALTERNATIVOS LTDA.</v>
          </cell>
        </row>
        <row r="19228">
          <cell r="B19228">
            <v>80991</v>
          </cell>
          <cell r="C19228" t="str">
            <v>UJAY CAPITAL INVESTIMENTOS LTDA.</v>
          </cell>
          <cell r="D19228" t="str">
            <v>UJAY CAPITAL INVESTIMENTOS LTDA.</v>
          </cell>
          <cell r="E19228" t="str">
            <v>UJAY CAPITAL INVESTIMENTOS LTDA</v>
          </cell>
        </row>
        <row r="19229">
          <cell r="B19229">
            <v>80992</v>
          </cell>
          <cell r="C19229" t="str">
            <v>UJAY CAPITAL INVESTIMENTOS LTDA.</v>
          </cell>
          <cell r="D19229" t="str">
            <v>UJAY CAPITAL INVESTIMENTOS LTDA.</v>
          </cell>
          <cell r="E19229" t="str">
            <v>UJAY CAPITAL INVESTIMENTOS LTDA</v>
          </cell>
        </row>
        <row r="19230">
          <cell r="B19230">
            <v>80993</v>
          </cell>
          <cell r="C19230" t="str">
            <v>UJAY CAPITAL INVESTIMENTOS LTDA.</v>
          </cell>
          <cell r="D19230" t="str">
            <v>UJAY CAPITAL INVESTIMENTOS LTDA.</v>
          </cell>
          <cell r="E19230" t="str">
            <v>UJAY CAPITAL INVESTIMENTOS LTDA</v>
          </cell>
        </row>
        <row r="19231">
          <cell r="B19231">
            <v>80998</v>
          </cell>
          <cell r="C19231" t="str">
            <v>VITREO TECH GAMES FUNDO DE INVESTIMENTO DE ACOES BDR NÃVEL I</v>
          </cell>
          <cell r="D19231" t="str">
            <v>VITREO TECH GAMES FUNDO DE INVESTIMENTO DE ACOES BDR NÃVEL I</v>
          </cell>
          <cell r="E19231" t="str">
            <v>EMPIRICUS GESTAO DE RECURSOS LTDA</v>
          </cell>
        </row>
        <row r="19232">
          <cell r="B19232">
            <v>80998</v>
          </cell>
          <cell r="C19232" t="str">
            <v>VITREO TECH GAMES FUNDO DE INVESTIMENTO DE ACOES BDR NÃVEL I</v>
          </cell>
          <cell r="D19232" t="str">
            <v>VITREO TECH GAMES FUNDO DE INVESTIMENTO DE ACOES BDR NÃVEL I</v>
          </cell>
          <cell r="E19232" t="str">
            <v>EMPIRICUS GESTAO DE RECURSOS LTDA</v>
          </cell>
        </row>
        <row r="19233">
          <cell r="B19233">
            <v>80204</v>
          </cell>
          <cell r="C19233" t="str">
            <v>BANCO SANTANDER S.A (HISPANO)</v>
          </cell>
          <cell r="D19233" t="str">
            <v>BANCO SANTANDER S.A (HISPANO)</v>
          </cell>
          <cell r="E19233" t="str">
            <v>BANCO SANTANDER S/A (HISPANO)</v>
          </cell>
        </row>
        <row r="19234">
          <cell r="B19234">
            <v>81001</v>
          </cell>
          <cell r="C19234" t="str">
            <v>MALUI FIM CP IE</v>
          </cell>
          <cell r="D19234" t="str">
            <v>MALUI FIM CP IE</v>
          </cell>
          <cell r="E19234" t="str">
            <v>ARMOR GESTORA DE RECURSOS LTDA</v>
          </cell>
        </row>
        <row r="19235">
          <cell r="B19235">
            <v>81001</v>
          </cell>
          <cell r="C19235" t="str">
            <v>MALUI FIM CP IE</v>
          </cell>
          <cell r="D19235" t="str">
            <v>MALUI FIM CP IE</v>
          </cell>
          <cell r="E19235" t="str">
            <v>ARMOR GESTORA DE RECURSOS LTDA</v>
          </cell>
        </row>
        <row r="19236">
          <cell r="B19236">
            <v>125545</v>
          </cell>
          <cell r="C19236" t="str">
            <v>STATERA FIC FI MULTIMERCADO CP IE</v>
          </cell>
          <cell r="D19236" t="str">
            <v>STATERA FIC FI MULTIMERCADO CP IE</v>
          </cell>
          <cell r="E19236" t="str">
            <v>JULIUS BAER FAMILY OFFICE BRASIL GESTAO DE PATRIMONIO LTDA</v>
          </cell>
        </row>
        <row r="19237">
          <cell r="B19237">
            <v>81004</v>
          </cell>
          <cell r="C19237" t="str">
            <v>SAFRA HIGH YIELD II FIM</v>
          </cell>
          <cell r="D19237" t="str">
            <v>SAFRA HIGH YIELD II FIM</v>
          </cell>
          <cell r="E19237" t="str">
            <v>SAFRA ASSET MANAGEMENT LTDA</v>
          </cell>
        </row>
        <row r="19238">
          <cell r="B19238">
            <v>81004</v>
          </cell>
          <cell r="C19238" t="str">
            <v>SAFRA HIGH YIELD II FIM</v>
          </cell>
          <cell r="D19238" t="str">
            <v>SAFRA HIGH YIELD II FIM</v>
          </cell>
          <cell r="E19238" t="str">
            <v>SAFRA ASSET MANAGEMENT LTDA</v>
          </cell>
        </row>
        <row r="19239">
          <cell r="B19239">
            <v>80997</v>
          </cell>
          <cell r="C19239" t="str">
            <v>STATE STREET BRASIL S.A. - BANCO COMERCIAL</v>
          </cell>
          <cell r="D19239" t="str">
            <v>STATE STREET BRASIL S.A. - BANCO COMERCIAL</v>
          </cell>
          <cell r="E19239" t="str">
            <v>STATE STREET BANK AND TRUST COMPANY</v>
          </cell>
        </row>
        <row r="19240">
          <cell r="B19240">
            <v>81007</v>
          </cell>
          <cell r="C19240" t="str">
            <v>GALAPAGOS CAPITAL INVESTIMENTOS E PARTICIPAÃ‡OES LTDA</v>
          </cell>
          <cell r="D19240" t="str">
            <v>GALAPAGOS CAPITAL INVESTIMENTOS E PARTICIPAÃ‡OES LTDA</v>
          </cell>
          <cell r="E19240" t="str">
            <v>GALAPAGOS CAPITAL INVESTIMENTOS E PARTICIPAÇOES LTDA</v>
          </cell>
        </row>
        <row r="19241">
          <cell r="B19241">
            <v>81008</v>
          </cell>
          <cell r="C19241" t="str">
            <v>BC GESTAO DE RECURSOS LTDA</v>
          </cell>
          <cell r="D19241" t="str">
            <v>BC GESTAO DE RECURSOS LTDA</v>
          </cell>
          <cell r="E19241" t="str">
            <v>BC GESTAO DE RECURSOS LTDA</v>
          </cell>
        </row>
        <row r="19242">
          <cell r="B19242">
            <v>81008</v>
          </cell>
          <cell r="C19242" t="str">
            <v>BC GESTAO DE RECURSOS LTDA</v>
          </cell>
          <cell r="D19242" t="str">
            <v>BC GESTAO DE RECURSOS LTDA</v>
          </cell>
          <cell r="E19242" t="str">
            <v>BC GESTAO DE RECURSOS LTDA</v>
          </cell>
        </row>
        <row r="19243">
          <cell r="B19243">
            <v>125550</v>
          </cell>
          <cell r="C19243" t="str">
            <v>NEO REDLI MASTER FI RF LP</v>
          </cell>
          <cell r="D19243" t="str">
            <v>NEO REDLI MASTER FI RF LP</v>
          </cell>
          <cell r="E19243" t="str">
            <v>NEO GESTÃO DE RECURSOS LTDA</v>
          </cell>
        </row>
        <row r="19244">
          <cell r="B19244">
            <v>125551</v>
          </cell>
          <cell r="C19244" t="str">
            <v>NEO RFDLI FUNDO DE INVESTIMENTO RENDA FIXA - INVESTIMENTO NO</v>
          </cell>
          <cell r="D19244" t="str">
            <v>NEO RFDLI FUNDO DE INVESTIMENTO RENDA FIXA - INVESTIMENTO NO</v>
          </cell>
          <cell r="E19244" t="str">
            <v>NEO GESTÃO DE RECURSOS LTDA</v>
          </cell>
        </row>
        <row r="19245">
          <cell r="B19245">
            <v>125552</v>
          </cell>
          <cell r="C19245" t="str">
            <v>SANTANDER CACEIS BRASIL DTVM S.A.</v>
          </cell>
          <cell r="D19245" t="str">
            <v>SANTANDER CACEIS BRASIL DTVM S.A.</v>
          </cell>
          <cell r="E19245" t="str">
            <v>SANTANDER BRASIL GESTAO DE RECURSOS LTDA</v>
          </cell>
        </row>
        <row r="19246">
          <cell r="B19246">
            <v>125550</v>
          </cell>
          <cell r="C19246" t="str">
            <v>NEO REDLI MASTER FI RF LP</v>
          </cell>
          <cell r="D19246" t="str">
            <v>NEO REDLI MASTER FI RF LP</v>
          </cell>
          <cell r="E19246" t="str">
            <v>NEO GESTÃO DE RECURSOS LTDA</v>
          </cell>
        </row>
        <row r="19247">
          <cell r="B19247">
            <v>125551</v>
          </cell>
          <cell r="C19247" t="str">
            <v>NEO RFDLI FUNDO DE INVESTIMENTO RENDA FIXA - INVESTIMENTO NO</v>
          </cell>
          <cell r="D19247" t="str">
            <v>NEO RFDLI FUNDO DE INVESTIMENTO RENDA FIXA - INVESTIMENTO NO</v>
          </cell>
          <cell r="E19247" t="str">
            <v>NEO GESTÃO DE RECURSOS LTDA</v>
          </cell>
        </row>
        <row r="19248">
          <cell r="B19248">
            <v>125553</v>
          </cell>
          <cell r="C19248" t="str">
            <v>ITAÃš FLEXPREV MOMENTO FUNDO DE INVESTIMENTO EM AÃ‡Ã•ES</v>
          </cell>
          <cell r="D19248" t="str">
            <v>ITAÃš FLEXPREV MOMENTO FUNDO DE INVESTIMENTO EM AÃ‡Ã•ES</v>
          </cell>
          <cell r="E19248" t="str">
            <v>ITAU UNIBANCO ASSET - TACO</v>
          </cell>
        </row>
        <row r="19249">
          <cell r="B19249">
            <v>81009</v>
          </cell>
          <cell r="C19249" t="str">
            <v>BANCO C6 S.A</v>
          </cell>
          <cell r="D19249" t="str">
            <v>BANCO C6 S.A</v>
          </cell>
          <cell r="E19249" t="str">
            <v>BANCO C6 S/A</v>
          </cell>
        </row>
        <row r="19250">
          <cell r="B19250">
            <v>81010</v>
          </cell>
          <cell r="C19250" t="str">
            <v>EMPIRICUS MONEY RIDER ACOES DINAMICO FIA BDR NIVEL I</v>
          </cell>
          <cell r="D19250" t="str">
            <v>EMPIRICUS MONEY RIDER ACOES DINAMICO FIA BDR NIVEL I</v>
          </cell>
          <cell r="E19250" t="str">
            <v>EMPIRICUS GESTAO DE RECURSOS LTDA</v>
          </cell>
        </row>
        <row r="19251">
          <cell r="B19251">
            <v>81010</v>
          </cell>
          <cell r="C19251" t="str">
            <v>EMPIRICUS MONEY RIDER ACOES DINAMICO FIA BDR NIVEL I</v>
          </cell>
          <cell r="D19251" t="str">
            <v>EMPIRICUS MONEY RIDER ACOES DINAMICO FIA BDR NIVEL I</v>
          </cell>
          <cell r="E19251" t="str">
            <v>EMPIRICUS GESTAO DE RECURSOS LTDA</v>
          </cell>
        </row>
        <row r="19252">
          <cell r="B19252">
            <v>125557</v>
          </cell>
          <cell r="C19252" t="str">
            <v>OCEANO AZUL FIF MCP</v>
          </cell>
          <cell r="D19252" t="str">
            <v>OCEANO AZUL FIF MCP</v>
          </cell>
          <cell r="E19252" t="str">
            <v>JULIUS BAER FAMILY OFFICE BRASIL GESTAO DE PATRIMONIO LTDA</v>
          </cell>
        </row>
        <row r="19253">
          <cell r="B19253">
            <v>125556</v>
          </cell>
          <cell r="C19253" t="str">
            <v>AMETISTA FUNDO DE INVESTIMENTO FINANCEIRO MULTIMERCADO CP</v>
          </cell>
          <cell r="D19253" t="str">
            <v>AMETISTA FUNDO DE INVESTIMENTO FINANCEIRO MULTIMERCADO CP</v>
          </cell>
          <cell r="E19253" t="str">
            <v>JULIUS BAER FAMILY OFFICE BRASIL GESTAO DE PATRIMONIO LTDA</v>
          </cell>
        </row>
        <row r="19254">
          <cell r="B19254">
            <v>125558</v>
          </cell>
          <cell r="C19254" t="str">
            <v>BORA BORA FIM CP IE</v>
          </cell>
          <cell r="D19254" t="str">
            <v>BORA BORA FIM CP IE</v>
          </cell>
          <cell r="E19254" t="str">
            <v>JULIUS BAER FAMILY OFFICE BRASIL GESTAO DE PATRIMONIO LTDA</v>
          </cell>
        </row>
        <row r="19255">
          <cell r="B19255">
            <v>125559</v>
          </cell>
          <cell r="C19255" t="str">
            <v>ANJO II FI MULTIMERCADO CP IE</v>
          </cell>
          <cell r="D19255" t="str">
            <v>ANJO II FI MULTIMERCADO CP IE</v>
          </cell>
          <cell r="E19255" t="str">
            <v>JULIUS BAER FAMILY OFFICE BRASIL GESTAO DE PATRIMONIO LTDA</v>
          </cell>
        </row>
        <row r="19256">
          <cell r="B19256">
            <v>125560</v>
          </cell>
          <cell r="C19256" t="str">
            <v>RM2P FIM CP IE</v>
          </cell>
          <cell r="D19256" t="str">
            <v>RM2P FIM CP IE</v>
          </cell>
          <cell r="E19256" t="str">
            <v>JULIUS BAER FAMILY OFFICE BRASIL GESTAO DE PATRIMONIO LTDA</v>
          </cell>
        </row>
        <row r="19257">
          <cell r="B19257">
            <v>125562</v>
          </cell>
          <cell r="C19257" t="str">
            <v>BRAUNA II FIM CP IE</v>
          </cell>
          <cell r="D19257" t="str">
            <v>BRAUNA II FIM CP IE</v>
          </cell>
          <cell r="E19257" t="str">
            <v>JULIUS BAER FAMILY OFFICE BRASIL GESTAO DE PATRIMONIO LTDA</v>
          </cell>
        </row>
        <row r="19258">
          <cell r="B19258">
            <v>81011</v>
          </cell>
          <cell r="C19258" t="str">
            <v>MANDATTO GESTAO DE INVESTIMENTOS LTDA</v>
          </cell>
          <cell r="D19258" t="str">
            <v>MANDATTO GESTAO DE INVESTIMENTOS LTDA</v>
          </cell>
          <cell r="E19258" t="str">
            <v>MANDATTO GESTAO DE INVESTIMENTOS LTDA</v>
          </cell>
        </row>
        <row r="19259">
          <cell r="B19259">
            <v>81011</v>
          </cell>
          <cell r="C19259" t="str">
            <v>MANDATTO GESTAO DE INVESTIMENTOS LTDA</v>
          </cell>
          <cell r="D19259" t="str">
            <v>MANDATTO GESTAO DE INVESTIMENTOS LTDA</v>
          </cell>
          <cell r="E19259" t="str">
            <v>MANDATTO GESTAO DE INVESTIMENTOS LTDA</v>
          </cell>
        </row>
        <row r="19260">
          <cell r="B19260">
            <v>125563</v>
          </cell>
          <cell r="C19260" t="str">
            <v>ASA FIA</v>
          </cell>
          <cell r="D19260" t="str">
            <v>ASA FIA</v>
          </cell>
          <cell r="E19260" t="str">
            <v>ASA ASSET GESTAO EM INVESTIMENTOS LTDA</v>
          </cell>
        </row>
        <row r="19261">
          <cell r="B19261">
            <v>125566</v>
          </cell>
          <cell r="C19261" t="str">
            <v>V8 VEYRON SMART BETA FUNDO DE INVESTIMENTO MULTIMERCADO</v>
          </cell>
          <cell r="D19261" t="str">
            <v>V8 VEYRON SMART BETA FUNDO DE INVESTIMENTO MULTIMERCADO</v>
          </cell>
          <cell r="E19261" t="str">
            <v>V8 CAPITAL GESTAO DE INVESTIMENTOS LTDA</v>
          </cell>
        </row>
        <row r="19262">
          <cell r="B19262">
            <v>81012</v>
          </cell>
          <cell r="C19262" t="str">
            <v>APEX AÃ‡Ã•ES PLUS MASTER FUNDO DE INVESTIMENTO DE AÃ‡Ã•ES</v>
          </cell>
          <cell r="D19262" t="str">
            <v>APEX AÃ‡Ã•ES PLUS MASTER FUNDO DE INVESTIMENTO DE AÃ‡Ã•ES</v>
          </cell>
          <cell r="E19262" t="str">
            <v>APEX CAPITAL LTDA</v>
          </cell>
        </row>
        <row r="19263">
          <cell r="B19263">
            <v>81013</v>
          </cell>
          <cell r="C19263" t="str">
            <v>APEX AÃ‡Ã•ES PLUS MASTER FUNDO DE INVESTIMENTO DE AÃ‡Ã•ES</v>
          </cell>
          <cell r="D19263" t="str">
            <v>APEX AÃ‡Ã•ES PLUS MASTER FUNDO DE INVESTIMENTO DE AÃ‡Ã•ES</v>
          </cell>
          <cell r="E19263" t="str">
            <v>APEX CAPITAL LTDA</v>
          </cell>
        </row>
        <row r="19264">
          <cell r="B19264">
            <v>81014</v>
          </cell>
          <cell r="C19264" t="str">
            <v>APEX AÃ‡Ã•ES PLUS MASTER FUNDO DE INVESTIMENTO DE AÃ‡Ã•ES</v>
          </cell>
          <cell r="D19264" t="str">
            <v>APEX AÃ‡Ã•ES PLUS MASTER FUNDO DE INVESTIMENTO DE AÃ‡Ã•ES</v>
          </cell>
          <cell r="E19264" t="str">
            <v>APEX CAPITAL LTDA</v>
          </cell>
        </row>
        <row r="19265">
          <cell r="B19265">
            <v>81014</v>
          </cell>
          <cell r="C19265" t="str">
            <v>APEX AÃ‡Ã•ES PLUS MASTER FUNDO DE INVESTIMENTO DE AÃ‡Ã•ES</v>
          </cell>
          <cell r="D19265" t="str">
            <v>APEX AÃ‡Ã•ES PLUS MASTER FUNDO DE INVESTIMENTO DE AÃ‡Ã•ES</v>
          </cell>
          <cell r="E19265" t="str">
            <v>APEX CAPITAL LTDA</v>
          </cell>
        </row>
        <row r="19266">
          <cell r="B19266">
            <v>125567</v>
          </cell>
          <cell r="C19266" t="str">
            <v>BAHIA AM PREV FIFE FIM</v>
          </cell>
          <cell r="D19266" t="str">
            <v>BAHIA AM PREV FIFE FIM</v>
          </cell>
          <cell r="E19266" t="str">
            <v>BAHIA AM LTDA</v>
          </cell>
        </row>
        <row r="19267">
          <cell r="B19267">
            <v>125568</v>
          </cell>
          <cell r="C19267" t="str">
            <v>SAFRA EUCLIDES MASTER FUNDO DE INVESTIMENTO MULTIMERCADO</v>
          </cell>
          <cell r="D19267" t="str">
            <v>SAFRA EUCLIDES MASTER FUNDO DE INVESTIMENTO MULTIMERCADO</v>
          </cell>
          <cell r="E19267" t="str">
            <v>EMERALD GESTAO DE INVESTIMENTOS LTDA</v>
          </cell>
        </row>
        <row r="19268">
          <cell r="B19268">
            <v>81015</v>
          </cell>
          <cell r="C19268" t="str">
            <v>SAFRA PREV TOTAL RETURN FIA PREVIDENCIARIO</v>
          </cell>
          <cell r="D19268" t="str">
            <v>SAFRA PREV TOTAL RETURN FIA PREVIDENCIARIO</v>
          </cell>
          <cell r="E19268" t="str">
            <v>TURMALINA GESTAO E ADMINISTRAÃ‡ÃƒO DE RECURSOS SA</v>
          </cell>
        </row>
        <row r="19269">
          <cell r="B19269">
            <v>81016</v>
          </cell>
          <cell r="C19269" t="str">
            <v>SAFRA PREV TOTAL RETURN IQ FIM CP PREV</v>
          </cell>
          <cell r="D19269" t="str">
            <v>SAFRA PREV TOTAL RETURN IQ FIM CP PREV</v>
          </cell>
          <cell r="E19269" t="str">
            <v>TURMALINA GESTAO E ADMINISTRAÃ‡ÃƒO DE RECURSOS SA</v>
          </cell>
        </row>
        <row r="19270">
          <cell r="B19270">
            <v>81016</v>
          </cell>
          <cell r="C19270" t="str">
            <v>SAFRA PREV TOTAL RETURN IQ FIM CP PREV</v>
          </cell>
          <cell r="D19270" t="str">
            <v>SAFRA PREV TOTAL RETURN IQ FIM CP PREV</v>
          </cell>
          <cell r="E19270" t="str">
            <v>TURMALINA GESTAO E ADMINISTRAÃ‡ÃƒO DE RECURSOS SA</v>
          </cell>
        </row>
        <row r="19271">
          <cell r="B19271">
            <v>81017</v>
          </cell>
          <cell r="C19271" t="str">
            <v>FDGOLD DISTRIBUIDORA DE TITULOS E VALORES MOBILIARIOS LTDA</v>
          </cell>
          <cell r="D19271" t="str">
            <v>FDGOLD DISTRIBUIDORA DE TITULOS E VALORES MOBILIARIOS LTDA</v>
          </cell>
          <cell r="E19271" t="str">
            <v>FDGOLD DISTRIBUIDORA DE TITULOS E VALORES MOBILIARIOS LTDA</v>
          </cell>
        </row>
        <row r="19272">
          <cell r="B19272">
            <v>81017</v>
          </cell>
          <cell r="C19272" t="str">
            <v>FDGOLD DISTRIBUIDORA DE TITULOS E VALORES MOBILIARIOS LTDA</v>
          </cell>
          <cell r="D19272" t="str">
            <v>FDGOLD DISTRIBUIDORA DE TITULOS E VALORES MOBILIARIOS LTDA</v>
          </cell>
          <cell r="E19272" t="str">
            <v>FDGOLD DISTRIBUIDORA DE TITULOS E VALORES MOBILIARIOS LTDA</v>
          </cell>
        </row>
        <row r="19273">
          <cell r="B19273">
            <v>81018</v>
          </cell>
          <cell r="C19273" t="str">
            <v>INFINITE ALPHA FIM CP IE</v>
          </cell>
          <cell r="D19273" t="str">
            <v>INFINITE ALPHA FIM CP IE</v>
          </cell>
          <cell r="E19273" t="str">
            <v>EMPIRICUS GESTAO DE RECURSOS LTDA</v>
          </cell>
        </row>
        <row r="19274">
          <cell r="B19274">
            <v>81018</v>
          </cell>
          <cell r="C19274" t="str">
            <v>INFINITE ALPHA FIM CP IE</v>
          </cell>
          <cell r="D19274" t="str">
            <v>INFINITE ALPHA FIM CP IE</v>
          </cell>
          <cell r="E19274" t="str">
            <v>EMPIRICUS GESTAO DE RECURSOS LTDA</v>
          </cell>
        </row>
        <row r="19275">
          <cell r="B19275">
            <v>81019</v>
          </cell>
          <cell r="C19275" t="str">
            <v>VELA FUNDO DE INVESTIMENTO MULTIMERCADO</v>
          </cell>
          <cell r="D19275" t="str">
            <v>VELA FUNDO DE INVESTIMENTO MULTIMERCADO</v>
          </cell>
          <cell r="E19275" t="str">
            <v>EMERALD GESTAO DE INVESTIMENTOS LTDA</v>
          </cell>
        </row>
        <row r="19276">
          <cell r="B19276">
            <v>81020</v>
          </cell>
          <cell r="C19276" t="str">
            <v>CANIS FUNDO DE INVESTIMENTO MULTIMERCADO CREDITO PRIVADO</v>
          </cell>
          <cell r="D19276" t="str">
            <v>CANIS FUNDO DE INVESTIMENTO MULTIMERCADO CREDITO PRIVADO</v>
          </cell>
          <cell r="E19276" t="str">
            <v>EMERALD GESTAO DE INVESTIMENTOS LTDA</v>
          </cell>
        </row>
        <row r="19277">
          <cell r="B19277">
            <v>81021</v>
          </cell>
          <cell r="C19277" t="str">
            <v>ITAU UNIBANCO S.A.</v>
          </cell>
          <cell r="D19277" t="str">
            <v>ITAU UNIBANCO S.A.</v>
          </cell>
          <cell r="E19277" t="str">
            <v>ITAU UNIBANCO S/A</v>
          </cell>
        </row>
        <row r="19278">
          <cell r="B19278">
            <v>125569</v>
          </cell>
          <cell r="C19278" t="str">
            <v>SANTANDER CACEIS BRASIL DTVM S.A.</v>
          </cell>
          <cell r="D19278" t="str">
            <v>SANTANDER CACEIS BRASIL DTVM S.A.</v>
          </cell>
          <cell r="E19278" t="str">
            <v>SANTANDER BRASIL GESTAO DE RECURSOS LTDA</v>
          </cell>
        </row>
        <row r="19279">
          <cell r="B19279">
            <v>81023</v>
          </cell>
          <cell r="C19279" t="str">
            <v>NEW HORIZON FIM CP IE</v>
          </cell>
          <cell r="D19279" t="str">
            <v>NEW HORIZON FIM CP IE</v>
          </cell>
          <cell r="E19279" t="str">
            <v>EMPIRICUS GESTAO DE RECURSOS LTDA</v>
          </cell>
        </row>
        <row r="19280">
          <cell r="B19280">
            <v>81023</v>
          </cell>
          <cell r="C19280" t="str">
            <v>NEW HORIZON FIM CP IE</v>
          </cell>
          <cell r="D19280" t="str">
            <v>NEW HORIZON FIM CP IE</v>
          </cell>
          <cell r="E19280" t="str">
            <v>EMPIRICUS GESTAO DE RECURSOS LTDA</v>
          </cell>
        </row>
        <row r="19281">
          <cell r="B19281">
            <v>125570</v>
          </cell>
          <cell r="C19281" t="str">
            <v>REAL INVESTOR MASTER FIF EM AÃ‡Ã•ES RL</v>
          </cell>
          <cell r="D19281" t="str">
            <v>REAL INVESTOR MASTER FIF EM AÃ‡Ã•ES RL</v>
          </cell>
          <cell r="E19281" t="str">
            <v>REAL INVESTOR ASSET MANAGEMENT LTDA</v>
          </cell>
        </row>
        <row r="19282">
          <cell r="B19282">
            <v>125570</v>
          </cell>
          <cell r="C19282" t="str">
            <v>REAL INVESTOR MASTER FIF EM AÃ‡Ã•ES RL</v>
          </cell>
          <cell r="D19282" t="str">
            <v>REAL INVESTOR MASTER FIF EM AÃ‡Ã•ES RL</v>
          </cell>
          <cell r="E19282" t="str">
            <v>REAL INVESTOR ASSET MANAGEMENT LTDA</v>
          </cell>
        </row>
        <row r="19283">
          <cell r="B19283">
            <v>125572</v>
          </cell>
          <cell r="C19283" t="str">
            <v>MANDUR PREVIDENCIARIO FIM CP</v>
          </cell>
          <cell r="D19283" t="str">
            <v>MANDUR PREVIDENCIARIO FIM CP</v>
          </cell>
          <cell r="E19283" t="str">
            <v>JULIUS BAER FAMILY OFFICE BRASIL GESTAO DE PATRIMONIO LTDA</v>
          </cell>
        </row>
        <row r="19284">
          <cell r="B19284">
            <v>125575</v>
          </cell>
          <cell r="C19284" t="str">
            <v>BRADESCO FUNDO DE INVESTIMENTO EM AÃ‡Ã•ES ETF IBOVESPA</v>
          </cell>
          <cell r="D19284" t="str">
            <v>BRADESCO FUNDO DE INVESTIMENTO EM AÃ‡Ã•ES ETF IBOVESPA</v>
          </cell>
          <cell r="E19284" t="str">
            <v>BRAM - BRADESCO ASSET MANAGEMENT S/A DTVM</v>
          </cell>
        </row>
        <row r="19285">
          <cell r="B19285">
            <v>81026</v>
          </cell>
          <cell r="C19285" t="str">
            <v>SANTANDER BRASIL GESTAO DE RECURSOS LTDA</v>
          </cell>
          <cell r="D19285" t="str">
            <v>SANTANDER BRASIL GESTAO DE RECURSOS LTDA</v>
          </cell>
          <cell r="E19285" t="str">
            <v>SANTANDER BRASIL GESTAO DE RECURSOS LTDA</v>
          </cell>
        </row>
        <row r="19286">
          <cell r="B19286">
            <v>125577</v>
          </cell>
          <cell r="C19286" t="str">
            <v>SULAMERICA LONG BIASED FIM</v>
          </cell>
          <cell r="D19286" t="str">
            <v>SULAMERICA LONG BIASED FIM</v>
          </cell>
          <cell r="E19286" t="str">
            <v>SUL AMERICA INVESTIMENTOS GESTORA DE RECURSOS S/A</v>
          </cell>
        </row>
        <row r="19287">
          <cell r="B19287">
            <v>125578</v>
          </cell>
          <cell r="C19287" t="str">
            <v>ESPERANCA JBFO FIM CP IE</v>
          </cell>
          <cell r="D19287" t="str">
            <v>ESPERANCA JBFO FIM CP IE</v>
          </cell>
          <cell r="E19287" t="str">
            <v>JULIUS BAER FAMILY OFFICE BRASIL GESTAO DE PATRIMONIO LTDA</v>
          </cell>
        </row>
        <row r="19288">
          <cell r="B19288">
            <v>125579</v>
          </cell>
          <cell r="C19288" t="str">
            <v>ELUPE V FIM CRÃ‰DITO PRIVADO INVESTIMENTO NO EXTERIOR</v>
          </cell>
          <cell r="D19288" t="str">
            <v>ELUPE V FIM CRÃ‰DITO PRIVADO INVESTIMENTO NO EXTERIOR</v>
          </cell>
          <cell r="E19288" t="str">
            <v>JULIUS BAER FAMILY OFFICE BRASIL GESTAO DE PATRIMONIO LTDA</v>
          </cell>
        </row>
        <row r="19289">
          <cell r="B19289">
            <v>125580</v>
          </cell>
          <cell r="C19289" t="str">
            <v>BRADESCO FIM CP IE ALMA 555</v>
          </cell>
          <cell r="D19289" t="str">
            <v>BRADESCO FIM CP IE ALMA 555</v>
          </cell>
          <cell r="E19289" t="str">
            <v>BRAM - BRADESCO ASSET MANAGEMENT S/A DTVM</v>
          </cell>
        </row>
        <row r="19290">
          <cell r="B19290">
            <v>81027</v>
          </cell>
          <cell r="C19290" t="str">
            <v>TORK MASTER II FUNDO DE INVESTIMENTO EM AÃ‡Ã•ES</v>
          </cell>
          <cell r="D19290" t="str">
            <v>TORK MASTER II FUNDO DE INVESTIMENTO EM AÃ‡Ã•ES</v>
          </cell>
          <cell r="E19290" t="str">
            <v>TORK CAPITAL GESTAO DE RECURSOS LTDA</v>
          </cell>
        </row>
        <row r="19291">
          <cell r="B19291">
            <v>81027</v>
          </cell>
          <cell r="C19291" t="str">
            <v>TORK MASTER II FUNDO DE INVESTIMENTO EM AÃ‡Ã•ES</v>
          </cell>
          <cell r="D19291" t="str">
            <v>TORK MASTER II FUNDO DE INVESTIMENTO EM AÃ‡Ã•ES</v>
          </cell>
          <cell r="E19291" t="str">
            <v>TORK CAPITAL GESTAO DE RECURSOS LTDA</v>
          </cell>
        </row>
        <row r="19292">
          <cell r="B19292">
            <v>125582</v>
          </cell>
          <cell r="C19292" t="str">
            <v>FENENA FIM CP IE</v>
          </cell>
          <cell r="D19292" t="str">
            <v>FENENA FIM CP IE</v>
          </cell>
          <cell r="E19292" t="str">
            <v>JULIUS BAER FAMILY OFFICE BRASIL GESTAO DE PATRIMONIO LTDA</v>
          </cell>
        </row>
        <row r="19293">
          <cell r="B19293">
            <v>81029</v>
          </cell>
          <cell r="C19293" t="str">
            <v>APEX GLOBAL EQUITIES MASTER FIA IE</v>
          </cell>
          <cell r="D19293" t="str">
            <v>APEX GLOBAL EQUITIES MASTER FIA IE</v>
          </cell>
          <cell r="E19293" t="str">
            <v>APEX CAPITAL LTDA</v>
          </cell>
        </row>
        <row r="19294">
          <cell r="B19294">
            <v>81030</v>
          </cell>
          <cell r="C19294" t="str">
            <v>APEX GLOBAL EQUITIES MASTER FIA IE</v>
          </cell>
          <cell r="D19294" t="str">
            <v>APEX GLOBAL EQUITIES MASTER FIA IE</v>
          </cell>
          <cell r="E19294" t="str">
            <v>APEX CAPITAL LTDA</v>
          </cell>
        </row>
        <row r="19295">
          <cell r="B19295">
            <v>81028</v>
          </cell>
          <cell r="C19295" t="str">
            <v>APEX GLOBAL EQUITIES MASTER FIA IE</v>
          </cell>
          <cell r="D19295" t="str">
            <v>APEX GLOBAL EQUITIES MASTER FIA IE</v>
          </cell>
          <cell r="E19295" t="str">
            <v>APEX CAPITAL LTDA</v>
          </cell>
        </row>
        <row r="19296">
          <cell r="B19296">
            <v>81031</v>
          </cell>
          <cell r="C19296" t="str">
            <v>ACE CAPITAL GESTORA DE RECURSOS LTDA</v>
          </cell>
          <cell r="D19296" t="str">
            <v>ACE CAPITAL GESTORA DE RECURSOS LTDA</v>
          </cell>
          <cell r="E19296" t="str">
            <v>ACE CAPITAL GESTORA DE RECURSOS LTDA</v>
          </cell>
        </row>
        <row r="19297">
          <cell r="B19297">
            <v>81031</v>
          </cell>
          <cell r="C19297" t="str">
            <v>ACE CAPITAL GESTORA DE RECURSOS LTDA</v>
          </cell>
          <cell r="D19297" t="str">
            <v>ACE CAPITAL GESTORA DE RECURSOS LTDA</v>
          </cell>
          <cell r="E19297" t="str">
            <v>ACE CAPITAL GESTORA DE RECURSOS LTDA</v>
          </cell>
        </row>
        <row r="19298">
          <cell r="B19298">
            <v>81032</v>
          </cell>
          <cell r="C19298" t="str">
            <v>KAIROS MACRO PREV FIFE FIM</v>
          </cell>
          <cell r="D19298" t="str">
            <v>KAIROS MACRO PREV FIFE FIM</v>
          </cell>
          <cell r="E19298" t="str">
            <v>KAIROS CAPITAL GESTAO DE RECURSOS LTDA</v>
          </cell>
        </row>
        <row r="19299">
          <cell r="B19299">
            <v>81032</v>
          </cell>
          <cell r="C19299" t="str">
            <v>KAIROS MACRO PREV FIFE FIM</v>
          </cell>
          <cell r="D19299" t="str">
            <v>KAIROS MACRO PREV FIFE FIM</v>
          </cell>
          <cell r="E19299" t="str">
            <v>KAIROS CAPITAL GESTAO DE RECURSOS LTDA</v>
          </cell>
        </row>
        <row r="19300">
          <cell r="B19300">
            <v>125583</v>
          </cell>
          <cell r="C19300" t="str">
            <v>CR2 FI FIM CP</v>
          </cell>
          <cell r="D19300" t="str">
            <v>CR2 FI FIM CP</v>
          </cell>
          <cell r="E19300" t="str">
            <v>JULIUS BAER FAMILY OFFICE BRASIL GESTAO DE PATRIMONIO LTDA</v>
          </cell>
        </row>
        <row r="19301">
          <cell r="B19301">
            <v>81033</v>
          </cell>
          <cell r="C19301" t="str">
            <v>ACE CAPITAL MASTER FIM</v>
          </cell>
          <cell r="D19301" t="str">
            <v>ACE CAPITAL MASTER FIM</v>
          </cell>
          <cell r="E19301" t="str">
            <v>ACE CAPITAL GESTORA DE RECURSOS LTDA</v>
          </cell>
        </row>
        <row r="19302">
          <cell r="B19302">
            <v>81033</v>
          </cell>
          <cell r="C19302" t="str">
            <v>ACE CAPITAL MASTER FIM</v>
          </cell>
          <cell r="D19302" t="str">
            <v>ACE CAPITAL MASTER FIM</v>
          </cell>
          <cell r="E19302" t="str">
            <v>ACE CAPITAL GESTORA DE RECURSOS LTDA</v>
          </cell>
        </row>
        <row r="19303">
          <cell r="B19303">
            <v>81034</v>
          </cell>
          <cell r="C19303" t="str">
            <v>VITERRA AGRICULTURE BRASIL SA</v>
          </cell>
          <cell r="D19303" t="str">
            <v>VITERRA AGRICULTURE BRASIL SA</v>
          </cell>
          <cell r="E19303" t="str">
            <v>VITERRA AGRICULTURE BRASIL SA</v>
          </cell>
        </row>
        <row r="19304">
          <cell r="B19304">
            <v>81034</v>
          </cell>
          <cell r="C19304" t="str">
            <v>VITERRA AGRICULTURE BRASIL SA</v>
          </cell>
          <cell r="D19304" t="str">
            <v>VITERRA AGRICULTURE BRASIL SA</v>
          </cell>
          <cell r="E19304" t="str">
            <v>VITERRA AGRICULTURE BRASIL SA</v>
          </cell>
        </row>
        <row r="19305">
          <cell r="B19305">
            <v>81036</v>
          </cell>
          <cell r="C19305" t="str">
            <v>ASA STRATEGY FIM</v>
          </cell>
          <cell r="D19305" t="str">
            <v>ASA STRATEGY FIM</v>
          </cell>
          <cell r="E19305" t="str">
            <v>ASA ASSET GESTAO EM INVESTIMENTOS LTDA</v>
          </cell>
        </row>
        <row r="19306">
          <cell r="B19306">
            <v>81036</v>
          </cell>
          <cell r="C19306" t="str">
            <v>ASA STRATEGY FIM</v>
          </cell>
          <cell r="D19306" t="str">
            <v>ASA STRATEGY FIM</v>
          </cell>
          <cell r="E19306" t="str">
            <v>ASA ASSET GESTAO EM INVESTIMENTOS LTDA</v>
          </cell>
        </row>
        <row r="19307">
          <cell r="B19307">
            <v>125584</v>
          </cell>
          <cell r="C19307" t="str">
            <v>SANTANDER CACEIS BRASIL DTVM S.A.</v>
          </cell>
          <cell r="D19307" t="str">
            <v>SANTANDER CACEIS BRASIL DTVM S.A.</v>
          </cell>
          <cell r="E19307" t="str">
            <v>SANTANDER BRASIL GESTAO DE RECURSOS LTDA</v>
          </cell>
        </row>
        <row r="19308">
          <cell r="B19308">
            <v>125566</v>
          </cell>
          <cell r="C19308" t="str">
            <v>V8 VEYRON SMART BETA FUNDO DE INVESTIMENTO MULTIMERCADO</v>
          </cell>
          <cell r="D19308" t="str">
            <v>V8 VEYRON SMART BETA FUNDO DE INVESTIMENTO MULTIMERCADO</v>
          </cell>
          <cell r="E19308" t="str">
            <v>V8 CAPITAL GESTAO DE INVESTIMENTOS LTDA</v>
          </cell>
        </row>
        <row r="19309">
          <cell r="B19309">
            <v>125586</v>
          </cell>
          <cell r="C19309" t="str">
            <v>SANTANDER CACEIS BRASIL DTVM S.A.</v>
          </cell>
          <cell r="D19309" t="str">
            <v>SANTANDER CACEIS BRASIL DTVM S.A.</v>
          </cell>
          <cell r="E19309" t="str">
            <v>SANTANDER BRASIL GESTAO DE RECURSOS LTDA</v>
          </cell>
        </row>
        <row r="19310">
          <cell r="B19310">
            <v>81037</v>
          </cell>
          <cell r="C19310" t="str">
            <v>NORTE ASSET MANAGEMENT GESTAO DE RECURSOS S.A.</v>
          </cell>
          <cell r="D19310" t="str">
            <v>NORTE ASSET MANAGEMENT GESTAO DE RECURSOS S.A.</v>
          </cell>
          <cell r="E19310" t="str">
            <v>NORTE ASSET MANAGEMENT GESTAO DE RECURSOS S.A.</v>
          </cell>
        </row>
        <row r="19311">
          <cell r="B19311">
            <v>81037</v>
          </cell>
          <cell r="C19311" t="str">
            <v>NORTE ASSET MANAGEMENT GESTAO DE RECURSOS S.A.</v>
          </cell>
          <cell r="D19311" t="str">
            <v>NORTE ASSET MANAGEMENT GESTAO DE RECURSOS S.A.</v>
          </cell>
          <cell r="E19311" t="str">
            <v>NORTE ASSET MANAGEMENT GESTAO DE RECURSOS S.A.</v>
          </cell>
        </row>
        <row r="19312">
          <cell r="B19312">
            <v>125587</v>
          </cell>
          <cell r="C19312" t="str">
            <v>SANTANDER CACEIS BRASIL DTVM S.A.</v>
          </cell>
          <cell r="D19312" t="str">
            <v>SANTANDER CACEIS BRASIL DTVM S.A.</v>
          </cell>
          <cell r="E19312" t="str">
            <v>SANTANDER BRASIL GESTAO DE RECURSOS LTDA</v>
          </cell>
        </row>
        <row r="19313">
          <cell r="B19313">
            <v>125589</v>
          </cell>
          <cell r="C19313" t="str">
            <v>PAZ FUNDO DE INVESTIMENTO MULTIMERCADO CRÃ‰DITO PRIVADO</v>
          </cell>
          <cell r="D19313" t="str">
            <v>PAZ FUNDO DE INVESTIMENTO MULTIMERCADO CRÃ‰DITO PRIVADO</v>
          </cell>
          <cell r="E19313" t="str">
            <v>JULIUS BAER FAMILY OFFICE BRASIL GESTAO DE PATRIMONIO LTDA</v>
          </cell>
        </row>
        <row r="19314">
          <cell r="B19314">
            <v>125591</v>
          </cell>
          <cell r="C19314" t="str">
            <v>BB GESTAO DE RECURSOS DTVM LTDA</v>
          </cell>
          <cell r="D19314" t="str">
            <v>BB GESTAO DE RECURSOS DTVM LTDA</v>
          </cell>
          <cell r="E19314" t="str">
            <v>BB GESTAO DE RECURSOS DTVM LTDA</v>
          </cell>
        </row>
        <row r="19315">
          <cell r="B19315">
            <v>125592</v>
          </cell>
          <cell r="C19315" t="str">
            <v>MERRILL LYNCH S/A CTVM</v>
          </cell>
          <cell r="D19315" t="str">
            <v>MERRILL LYNCH S/A CTVM</v>
          </cell>
          <cell r="E19315" t="str">
            <v>MERRILL LYNCH S/A CTVM</v>
          </cell>
        </row>
        <row r="19316">
          <cell r="B19316">
            <v>81042</v>
          </cell>
          <cell r="C19316" t="str">
            <v>FUNDACAO PETROBRAS DE SEGURIDADE SOCIAL PETROS</v>
          </cell>
          <cell r="D19316" t="str">
            <v>FUNDACAO PETROBRAS DE SEGURIDADE SOCIAL PETROS</v>
          </cell>
          <cell r="E19316" t="str">
            <v>FUNDACAO PETROBRAS DE SEGURIDADE SOCIAL PETROS</v>
          </cell>
        </row>
        <row r="19317">
          <cell r="B19317">
            <v>81043</v>
          </cell>
          <cell r="C19317" t="str">
            <v>CHAMBOURD CASTLE FIM CP IE</v>
          </cell>
          <cell r="D19317" t="str">
            <v>CHAMBOURD CASTLE FIM CP IE</v>
          </cell>
          <cell r="E19317" t="str">
            <v>EMPIRICUS GESTAO DE RECURSOS LTDA</v>
          </cell>
        </row>
        <row r="19318">
          <cell r="B19318">
            <v>81044</v>
          </cell>
          <cell r="C19318" t="str">
            <v>VITREO IBOVESPA INDEX FUNDO DE INVESTIMENTO DE ACOES</v>
          </cell>
          <cell r="D19318" t="str">
            <v>VITREO IBOVESPA INDEX FUNDO DE INVESTIMENTO DE ACOES</v>
          </cell>
          <cell r="E19318" t="str">
            <v>EMPIRICUS GESTAO DE RECURSOS LTDA</v>
          </cell>
        </row>
        <row r="19319">
          <cell r="B19319">
            <v>81045</v>
          </cell>
          <cell r="C19319" t="str">
            <v>VITREO SPECIAL SITUATIONS FUNDO DE INVESTIMENTO DE ACOES</v>
          </cell>
          <cell r="D19319" t="str">
            <v>VITREO SPECIAL SITUATIONS FUNDO DE INVESTIMENTO DE ACOES</v>
          </cell>
          <cell r="E19319" t="str">
            <v>EMPIRICUS GESTAO DE RECURSOS LTDA</v>
          </cell>
        </row>
        <row r="19320">
          <cell r="B19320">
            <v>81046</v>
          </cell>
          <cell r="C19320" t="str">
            <v>EMPIRICUS URANIO FIM</v>
          </cell>
          <cell r="D19320" t="str">
            <v>EMPIRICUS URANIO FIM</v>
          </cell>
          <cell r="E19320" t="str">
            <v>EMPIRICUS GESTAO DE RECURSOS LTDA</v>
          </cell>
        </row>
        <row r="19321">
          <cell r="B19321">
            <v>81044</v>
          </cell>
          <cell r="C19321" t="str">
            <v>VITREO IBOVESPA INDEX FUNDO DE INVESTIMENTO DE ACOES</v>
          </cell>
          <cell r="D19321" t="str">
            <v>VITREO IBOVESPA INDEX FUNDO DE INVESTIMENTO DE ACOES</v>
          </cell>
          <cell r="E19321" t="str">
            <v>VITREO IBOVESPA INDEX FUNDO DE INVESTIMENTO DE ACOES</v>
          </cell>
        </row>
        <row r="19322">
          <cell r="B19322">
            <v>81043</v>
          </cell>
          <cell r="C19322" t="str">
            <v>CHAMBOURD CASTLE FIM CP IE</v>
          </cell>
          <cell r="D19322" t="str">
            <v>CHAMBOURD CASTLE FIM CP IE</v>
          </cell>
          <cell r="E19322" t="str">
            <v>EMPIRICUS GESTAO DE RECURSOS LTDA</v>
          </cell>
        </row>
        <row r="19323">
          <cell r="B19323">
            <v>81045</v>
          </cell>
          <cell r="C19323" t="str">
            <v>VITREO SPECIAL SITUATIONS FUNDO DE INVESTIMENTO DE ACOES</v>
          </cell>
          <cell r="D19323" t="str">
            <v>VITREO SPECIAL SITUATIONS FUNDO DE INVESTIMENTO DE ACOES</v>
          </cell>
          <cell r="E19323" t="str">
            <v>VITREO SPECIAL SITUATIONS FUNDO DE INVESTIMENTO DE ACOES</v>
          </cell>
        </row>
        <row r="19324">
          <cell r="B19324">
            <v>81046</v>
          </cell>
          <cell r="C19324" t="str">
            <v>EMPIRICUS URANIO FIM</v>
          </cell>
          <cell r="D19324" t="str">
            <v>EMPIRICUS URANIO FIM</v>
          </cell>
          <cell r="E19324" t="str">
            <v>EMPIRICUS URANIO FIM</v>
          </cell>
        </row>
        <row r="19325">
          <cell r="B19325">
            <v>81047</v>
          </cell>
          <cell r="C19325" t="str">
            <v>WALLYS BH FUNDO DE INVESTIMENTO MULTIMERCADO CRÃ‰DITO PRIVADO</v>
          </cell>
          <cell r="D19325" t="str">
            <v>WALLYS BH FUNDO DE INVESTIMENTO MULTIMERCADO CRÃ‰DITO PRIVADO</v>
          </cell>
          <cell r="E19325" t="str">
            <v>JULIUS BAER FAMILY OFFICE BRASIL GESTAO DE PATRIMONIO LTDA</v>
          </cell>
        </row>
        <row r="19326">
          <cell r="B19326">
            <v>125605</v>
          </cell>
          <cell r="C19326" t="str">
            <v>ITAÃš FLEXPREV PATRIMÃ”NIO PJ3 FUNDO DE INVESTIMENTO MULTIMERC</v>
          </cell>
          <cell r="D19326" t="str">
            <v>ITAÃš FLEXPREV PATRIMÃ”NIO PJ3 FUNDO DE INVESTIMENTO MULTIMERC</v>
          </cell>
          <cell r="E19326" t="str">
            <v>ITAU UNIBANCO ASSET - TACO</v>
          </cell>
        </row>
        <row r="19327">
          <cell r="B19327">
            <v>81050</v>
          </cell>
          <cell r="C19327" t="str">
            <v>EQI FUNDO DE INVESTIMENTO EM COTAS DE FIA</v>
          </cell>
          <cell r="D19327" t="str">
            <v>EQI FUNDO DE INVESTIMENTO EM COTAS DE FIA</v>
          </cell>
          <cell r="E19327" t="str">
            <v>EQI FUNDO DE INVESTIMENTO EM COTAS DE FIA</v>
          </cell>
        </row>
        <row r="19328">
          <cell r="B19328">
            <v>81050</v>
          </cell>
          <cell r="C19328" t="str">
            <v>EQI FUNDO DE INVESTIMENTO EM COTAS DE FIA</v>
          </cell>
          <cell r="D19328" t="str">
            <v>EQI FUNDO DE INVESTIMENTO EM COTAS DE FIA</v>
          </cell>
          <cell r="E19328" t="str">
            <v>EQI FUNDO DE INVESTIMENTO EM COTAS DE FIA</v>
          </cell>
        </row>
        <row r="19329">
          <cell r="B19329">
            <v>81052</v>
          </cell>
          <cell r="C19329" t="str">
            <v>EQI LONG BIAS FUNDO DE INVESTIMENTO EM COTAS DE FIM</v>
          </cell>
          <cell r="D19329" t="str">
            <v>EQI LONG BIAS FUNDO DE INVESTIMENTO EM COTAS DE FIM</v>
          </cell>
          <cell r="E19329" t="str">
            <v>EQI LONG BIAS FUNDO DE INVESTIMENTO EM COTAS DE FIM</v>
          </cell>
        </row>
        <row r="19330">
          <cell r="B19330">
            <v>81052</v>
          </cell>
          <cell r="C19330" t="str">
            <v>EQI LONG BIAS FUNDO DE INVESTIMENTO EM COTAS DE FIM</v>
          </cell>
          <cell r="D19330" t="str">
            <v>EQI LONG BIAS FUNDO DE INVESTIMENTO EM COTAS DE FIM</v>
          </cell>
          <cell r="E19330" t="str">
            <v>EQI LONG BIAS FUNDO DE INVESTIMENTO EM COTAS DE FIM</v>
          </cell>
        </row>
        <row r="19331">
          <cell r="B19331">
            <v>81053</v>
          </cell>
          <cell r="C19331" t="str">
            <v>EQI LONG BIAS MASTER FUNDO DE INVESTIMENTO MULTIMERCADO</v>
          </cell>
          <cell r="D19331" t="str">
            <v>EQI LONG BIAS MASTER FUNDO DE INVESTIMENTO MULTIMERCADO</v>
          </cell>
          <cell r="E19331" t="str">
            <v>EQI LONG BIAS MASTER FUNDO DE INVESTIMENTO MULTIMERCADO</v>
          </cell>
        </row>
        <row r="19332">
          <cell r="B19332">
            <v>81053</v>
          </cell>
          <cell r="C19332" t="str">
            <v>EQI LONG BIAS MASTER FUNDO DE INVESTIMENTO MULTIMERCADO</v>
          </cell>
          <cell r="D19332" t="str">
            <v>EQI LONG BIAS MASTER FUNDO DE INVESTIMENTO MULTIMERCADO</v>
          </cell>
          <cell r="E19332" t="str">
            <v>EQI LONG BIAS MASTER FUNDO DE INVESTIMENTO MULTIMERCADO</v>
          </cell>
        </row>
        <row r="19333">
          <cell r="B19333">
            <v>81054</v>
          </cell>
          <cell r="C19333" t="str">
            <v>EQI MACRO FUNDO DE INVESTIMENTO EM COTAS DE FIM</v>
          </cell>
          <cell r="D19333" t="str">
            <v>EQI MACRO FUNDO DE INVESTIMENTO EM COTAS DE FIM</v>
          </cell>
          <cell r="E19333" t="str">
            <v>EQI MACRO FUNDO DE INVESTIMENTO EM COTAS DE FIM</v>
          </cell>
        </row>
        <row r="19334">
          <cell r="B19334">
            <v>81054</v>
          </cell>
          <cell r="C19334" t="str">
            <v>EQI MACRO FUNDO DE INVESTIMENTO EM COTAS DE FIM</v>
          </cell>
          <cell r="D19334" t="str">
            <v>EQI MACRO FUNDO DE INVESTIMENTO EM COTAS DE FIM</v>
          </cell>
          <cell r="E19334" t="str">
            <v>EQI MACRO FUNDO DE INVESTIMENTO EM COTAS DE FIM</v>
          </cell>
        </row>
        <row r="19335">
          <cell r="B19335">
            <v>81055</v>
          </cell>
          <cell r="C19335" t="str">
            <v>EQI MACRO MASTER FUNDO DE INVESTIMENTO MULTIMERCADO</v>
          </cell>
          <cell r="D19335" t="str">
            <v>EQI MACRO MASTER FUNDO DE INVESTIMENTO MULTIMERCADO</v>
          </cell>
          <cell r="E19335" t="str">
            <v>EQI MACRO MASTER FUNDO DE INVESTIMENTO MULTIMERCADO</v>
          </cell>
        </row>
        <row r="19336">
          <cell r="B19336">
            <v>81055</v>
          </cell>
          <cell r="C19336" t="str">
            <v>EQI MACRO MASTER FUNDO DE INVESTIMENTO MULTIMERCADO</v>
          </cell>
          <cell r="D19336" t="str">
            <v>EQI MACRO MASTER FUNDO DE INVESTIMENTO MULTIMERCADO</v>
          </cell>
          <cell r="E19336" t="str">
            <v>EQI MACRO MASTER FUNDO DE INVESTIMENTO MULTIMERCADO</v>
          </cell>
        </row>
        <row r="19337">
          <cell r="B19337">
            <v>81056</v>
          </cell>
          <cell r="C19337" t="str">
            <v>EQI MACRO MASTER FUNDO DE INVESTIMENTO EM ACOES</v>
          </cell>
          <cell r="D19337" t="str">
            <v>EQI MACRO MASTER FUNDO DE INVESTIMENTO EM ACOES</v>
          </cell>
          <cell r="E19337" t="str">
            <v>EQI MACRO MASTER FUNDO DE INVESTIMENTO EM ACOES</v>
          </cell>
        </row>
        <row r="19338">
          <cell r="B19338">
            <v>81056</v>
          </cell>
          <cell r="C19338" t="str">
            <v>EQI MACRO MASTER FUNDO DE INVESTIMENTO EM ACOES</v>
          </cell>
          <cell r="D19338" t="str">
            <v>EQI MACRO MASTER FUNDO DE INVESTIMENTO EM ACOES</v>
          </cell>
          <cell r="E19338" t="str">
            <v>EQI MACRO MASTER FUNDO DE INVESTIMENTO EM ACOES</v>
          </cell>
        </row>
        <row r="19339">
          <cell r="B19339">
            <v>81051</v>
          </cell>
          <cell r="C19339" t="str">
            <v>EQI LIQUIDEZ FUNDO DE INVESTIMENTO RENDA FIXA</v>
          </cell>
          <cell r="D19339" t="str">
            <v>EQI LIQUIDEZ FUNDO DE INVESTIMENTO RENDA FIXA</v>
          </cell>
          <cell r="E19339" t="str">
            <v>EQI LIQUIDEZ FUNDO DE INVESTIMENTO RENDA FIXA</v>
          </cell>
        </row>
        <row r="19340">
          <cell r="B19340">
            <v>81051</v>
          </cell>
          <cell r="C19340" t="str">
            <v>EQI LIQUIDEZ FUNDO DE INVESTIMENTO RENDA FIXA</v>
          </cell>
          <cell r="D19340" t="str">
            <v>EQI LIQUIDEZ FUNDO DE INVESTIMENTO RENDA FIXA</v>
          </cell>
          <cell r="E19340" t="str">
            <v>EQI LIQUIDEZ FUNDO DE INVESTIMENTO RENDA FIXA</v>
          </cell>
        </row>
        <row r="19341">
          <cell r="B19341">
            <v>81059</v>
          </cell>
          <cell r="C19341" t="str">
            <v>VINLAND MACRO II PREV MASTER FIM</v>
          </cell>
          <cell r="D19341" t="str">
            <v>VINLAND MACRO II PREV MASTER FIM</v>
          </cell>
          <cell r="E19341" t="str">
            <v>VINLAND MACRO II PREV MASTER FIM</v>
          </cell>
        </row>
        <row r="19342">
          <cell r="B19342">
            <v>125596</v>
          </cell>
          <cell r="C19342" t="str">
            <v>SANTANDER FI MULTISTRATEGY MULTIMERCADO</v>
          </cell>
          <cell r="D19342" t="str">
            <v>SANTANDER FI MULTISTRATEGY MULTIMERCADO</v>
          </cell>
          <cell r="E19342" t="str">
            <v>SANTANDER BRASIL GESTAO DE RECURSOS LTDA</v>
          </cell>
        </row>
        <row r="19343">
          <cell r="B19343">
            <v>125597</v>
          </cell>
          <cell r="C19343" t="str">
            <v>SANTANDER MULTIESTRATEGIA MULTIMERCADO FI</v>
          </cell>
          <cell r="D19343" t="str">
            <v>SANTANDER MULTIESTRATEGIA MULTIMERCADO FI</v>
          </cell>
          <cell r="E19343" t="str">
            <v>SANTANDER BRASIL GESTAO DE RECURSOS LTDA</v>
          </cell>
        </row>
        <row r="19344">
          <cell r="B19344">
            <v>125600</v>
          </cell>
          <cell r="C19344" t="str">
            <v>SANTANDER KAVER MULTIMERCADO FI</v>
          </cell>
          <cell r="D19344" t="str">
            <v>SANTANDER KAVER MULTIMERCADO FI</v>
          </cell>
          <cell r="E19344" t="str">
            <v>SANTANDER BRASIL GESTAO DE RECURSOS LTDA</v>
          </cell>
        </row>
        <row r="19345">
          <cell r="B19345">
            <v>125602</v>
          </cell>
          <cell r="C19345" t="str">
            <v>SANTANDER PREV MULT SELECAO LONG BIASED FI</v>
          </cell>
          <cell r="D19345" t="str">
            <v>SANTANDER PREV MULT SELECAO LONG BIASED FI</v>
          </cell>
          <cell r="E19345" t="str">
            <v>SANTANDER BRASIL GESTAO DE RECURSOS LTDA</v>
          </cell>
        </row>
        <row r="19346">
          <cell r="B19346">
            <v>125603</v>
          </cell>
          <cell r="C19346" t="str">
            <v>SANTANDER FI TOP MULTIMERCADO</v>
          </cell>
          <cell r="D19346" t="str">
            <v>SANTANDER FI TOP MULTIMERCADO</v>
          </cell>
          <cell r="E19346" t="str">
            <v>SANTANDER BRASIL GESTAO DE RECURSOS LTDA</v>
          </cell>
        </row>
        <row r="19347">
          <cell r="B19347">
            <v>81060</v>
          </cell>
          <cell r="C19347" t="str">
            <v>VITREO EMERGING MARKET EQUITIES FIA BDR NIVEL I</v>
          </cell>
          <cell r="D19347" t="str">
            <v>VITREO EMERGING MARKET EQUITIES FIA BDR NIVEL I</v>
          </cell>
          <cell r="E19347" t="str">
            <v>EMPIRICUS GESTAO DE RECURSOS LTDA</v>
          </cell>
        </row>
        <row r="19348">
          <cell r="B19348">
            <v>81060</v>
          </cell>
          <cell r="C19348" t="str">
            <v>VITREO EMERGING MARKET EQUITIES FIA BDR NIVEL I</v>
          </cell>
          <cell r="D19348" t="str">
            <v>VITREO EMERGING MARKET EQUITIES FIA BDR NIVEL I</v>
          </cell>
          <cell r="E19348" t="str">
            <v>EMPIRICUS GESTAO DE RECURSOS LTDA</v>
          </cell>
        </row>
        <row r="19349">
          <cell r="B19349">
            <v>125606</v>
          </cell>
          <cell r="C19349" t="str">
            <v>RODRIGO DE ABREU RIBAS</v>
          </cell>
          <cell r="D19349" t="str">
            <v>RODRIGO DE ABREU RIBAS</v>
          </cell>
          <cell r="E19349" t="str">
            <v>RODRIGO DE ABREU RIBAS</v>
          </cell>
        </row>
        <row r="19350">
          <cell r="B19350">
            <v>125614</v>
          </cell>
          <cell r="C19350" t="str">
            <v>SUVINIL FIA</v>
          </cell>
          <cell r="D19350" t="str">
            <v>SUVINIL FIA</v>
          </cell>
          <cell r="E19350" t="str">
            <v>SANTANDER BRASIL GESTAO DE RECURSOS LTDA</v>
          </cell>
        </row>
        <row r="19351">
          <cell r="B19351">
            <v>125618</v>
          </cell>
          <cell r="C19351" t="str">
            <v>SANTANDER FI VALE 2 ACOES</v>
          </cell>
          <cell r="D19351" t="str">
            <v>SANTANDER FI VALE 2 ACOES</v>
          </cell>
          <cell r="E19351" t="str">
            <v>SANTANDER BRASIL GESTAO DE RECURSOS LTDA</v>
          </cell>
        </row>
        <row r="19352">
          <cell r="B19352">
            <v>913135</v>
          </cell>
          <cell r="C19352" t="str">
            <v>BGC LIQUIDEZ DTVM LTDA</v>
          </cell>
          <cell r="D19352" t="str">
            <v>BGC LIQUIDEZ DTVM LTDA</v>
          </cell>
          <cell r="E19352" t="str">
            <v>BGC LIQUIDEZ DTVM LTDA</v>
          </cell>
        </row>
        <row r="19353">
          <cell r="B19353">
            <v>125624</v>
          </cell>
          <cell r="C19353" t="str">
            <v>SANTANDER PREV VERTIX IBOV ATIVO FIA</v>
          </cell>
          <cell r="D19353" t="str">
            <v>SANTANDER PREV VERTIX IBOV ATIVO FIA</v>
          </cell>
          <cell r="E19353" t="str">
            <v>SANTANDER BRASIL GESTAO DE RECURSOS LTDA</v>
          </cell>
        </row>
        <row r="19354">
          <cell r="B19354">
            <v>125625</v>
          </cell>
          <cell r="C19354" t="str">
            <v>SANTANDER PREV SABIYA MULT FI</v>
          </cell>
          <cell r="D19354" t="str">
            <v>SANTANDER PREV SABIYA MULT FI</v>
          </cell>
          <cell r="E19354" t="str">
            <v>SANTANDER BRASIL GESTAO DE RECURSOS LTDA</v>
          </cell>
        </row>
        <row r="19355">
          <cell r="B19355">
            <v>81063</v>
          </cell>
          <cell r="C19355" t="str">
            <v>KALISPELL FIM IE CP</v>
          </cell>
          <cell r="D19355" t="str">
            <v>KALISPELL FIM IE CP</v>
          </cell>
          <cell r="E19355" t="str">
            <v>EMPIRICUS GESTAO DE RECURSOS LTDA</v>
          </cell>
        </row>
        <row r="19356">
          <cell r="B19356">
            <v>81063</v>
          </cell>
          <cell r="C19356" t="str">
            <v>KALISPELL FIM IE CP</v>
          </cell>
          <cell r="D19356" t="str">
            <v>KALISPELL FIM IE CP</v>
          </cell>
          <cell r="E19356" t="str">
            <v>EMPIRICUS GESTAO DE RECURSOS LTDA</v>
          </cell>
        </row>
        <row r="19357">
          <cell r="B19357">
            <v>125630</v>
          </cell>
          <cell r="C19357" t="str">
            <v>GIOVANA SAMPAIO COLLETE</v>
          </cell>
          <cell r="D19357" t="str">
            <v>GIOVANA SAMPAIO COLLETE</v>
          </cell>
          <cell r="E19357" t="str">
            <v>GIOVANA SAMPAIO COLLETE</v>
          </cell>
        </row>
        <row r="19358">
          <cell r="B19358">
            <v>913136</v>
          </cell>
          <cell r="C19358" t="str">
            <v>BGC LIQUIDEZ DTVM LTDA</v>
          </cell>
          <cell r="D19358" t="str">
            <v>BGC LIQUIDEZ DTVM LTDA</v>
          </cell>
          <cell r="E19358" t="str">
            <v>BGC LIQUIDEZ DTVM LTDA</v>
          </cell>
        </row>
        <row r="19359">
          <cell r="B19359">
            <v>81064</v>
          </cell>
          <cell r="C19359" t="str">
            <v>ATHENA CAPITAL GESTÃƒO DE RECURSOS LTDA</v>
          </cell>
          <cell r="D19359" t="str">
            <v>ATHENA CAPITAL GESTÃƒO DE RECURSOS LTDA</v>
          </cell>
          <cell r="E19359" t="str">
            <v>ATHENA CAPITAL GESTAO DE RECURSOS LTDA</v>
          </cell>
        </row>
        <row r="19360">
          <cell r="B19360">
            <v>81064</v>
          </cell>
          <cell r="C19360" t="str">
            <v>ATHENA CAPITAL GESTÃƒO DE RECURSOS LTDA</v>
          </cell>
          <cell r="D19360" t="str">
            <v>ATHENA CAPITAL GESTÃƒO DE RECURSOS LTDA</v>
          </cell>
          <cell r="E19360" t="str">
            <v>ATHENA CAPITAL GESTAO DE RECURSOS LTDA</v>
          </cell>
        </row>
        <row r="19361">
          <cell r="B19361">
            <v>125633</v>
          </cell>
          <cell r="C19361" t="str">
            <v>BB GESTAO DE RECURSOS DTVM LTDA</v>
          </cell>
          <cell r="D19361" t="str">
            <v>BB GESTAO DE RECURSOS DTVM LTDA</v>
          </cell>
          <cell r="E19361" t="str">
            <v>BB GESTAO DE RECURSOS DTVM LTDA</v>
          </cell>
        </row>
        <row r="19362">
          <cell r="B19362">
            <v>81065</v>
          </cell>
          <cell r="C19362" t="str">
            <v>VTR CARTEIRA UNIVERSA PARALELO FIM</v>
          </cell>
          <cell r="D19362" t="str">
            <v>VTR CARTEIRA UNIVERSA PARALELO FIM</v>
          </cell>
          <cell r="E19362" t="str">
            <v>EMPIRICUS GESTAO DE RECURSOS LTDA</v>
          </cell>
        </row>
        <row r="19363">
          <cell r="B19363">
            <v>81065</v>
          </cell>
          <cell r="C19363" t="str">
            <v>VTR CARTEIRA UNIVERSA PARALELO FIM</v>
          </cell>
          <cell r="D19363" t="str">
            <v>VTR CARTEIRA UNIVERSA PARALELO FIM</v>
          </cell>
          <cell r="E19363" t="str">
            <v>EMPIRICUS GESTAO DE RECURSOS LTDA</v>
          </cell>
        </row>
        <row r="19364">
          <cell r="B19364">
            <v>81066</v>
          </cell>
          <cell r="C19364" t="str">
            <v>EMPIRICUS PETROLEO FIM</v>
          </cell>
          <cell r="D19364" t="str">
            <v>EMPIRICUS PETROLEO FIM</v>
          </cell>
          <cell r="E19364" t="str">
            <v>EMPIRICUS GESTAO DE RECURSOS LTDA</v>
          </cell>
        </row>
        <row r="19365">
          <cell r="B19365">
            <v>81066</v>
          </cell>
          <cell r="C19365" t="str">
            <v>EMPIRICUS PETROLEO FIM</v>
          </cell>
          <cell r="D19365" t="str">
            <v>EMPIRICUS PETROLEO FIM</v>
          </cell>
          <cell r="E19365" t="str">
            <v>EMPIRICUS GESTAO DE RECURSOS LTDA</v>
          </cell>
        </row>
        <row r="19366">
          <cell r="B19366">
            <v>81067</v>
          </cell>
          <cell r="C19366" t="str">
            <v>MALIBU INSTITUCIONAL FI RF</v>
          </cell>
          <cell r="D19366" t="str">
            <v>MALIBU INSTITUCIONAL FI RF</v>
          </cell>
          <cell r="E19366" t="str">
            <v>MALIBU INSTITUCIONAL FI RF</v>
          </cell>
        </row>
        <row r="19367">
          <cell r="B19367">
            <v>81048</v>
          </cell>
          <cell r="C19367" t="str">
            <v>ITAÃš FLEXPREV HUNTER TOTAL RETURN MULTIMERCADO FUNDO DE INVE</v>
          </cell>
          <cell r="D19367" t="str">
            <v>ITAÃš FLEXPREV HUNTER TOTAL RETURN MULTIMERCADO FUNDO DE INVE</v>
          </cell>
          <cell r="E19367" t="str">
            <v>ITAÃš FLEXPREV HUNTER TOTAL RETURN MULTIMERCADO FUNDO DE INVE</v>
          </cell>
        </row>
        <row r="19368">
          <cell r="B19368">
            <v>81068</v>
          </cell>
          <cell r="C19368" t="str">
            <v>NATWEST MARKETS PLC</v>
          </cell>
          <cell r="D19368" t="str">
            <v>NATWEST MARKETS PLC</v>
          </cell>
          <cell r="E19368" t="str">
            <v>NATWEST MARKETS PLC</v>
          </cell>
        </row>
        <row r="19369">
          <cell r="B19369">
            <v>81068</v>
          </cell>
          <cell r="C19369" t="str">
            <v>NATWEST MARKETS PLC</v>
          </cell>
          <cell r="D19369" t="str">
            <v>NATWEST MARKETS PLC</v>
          </cell>
          <cell r="E19369" t="str">
            <v>NATWEST MARKETS PLC</v>
          </cell>
        </row>
        <row r="19370">
          <cell r="B19370">
            <v>125635</v>
          </cell>
          <cell r="C19370" t="str">
            <v>CAVALO II FIM</v>
          </cell>
          <cell r="D19370" t="str">
            <v>CAVALO II FIM</v>
          </cell>
          <cell r="E19370" t="str">
            <v>MULTIPLICA CAPITAL ASSET MANAGEMENT LTDA</v>
          </cell>
        </row>
        <row r="19371">
          <cell r="B19371">
            <v>125637</v>
          </cell>
          <cell r="C19371" t="str">
            <v>PROTON FIM CP</v>
          </cell>
          <cell r="D19371" t="str">
            <v>PROTON FIM CP</v>
          </cell>
          <cell r="E19371" t="str">
            <v>MULTIPLICA CAPITAL ASSET MANAGEMENT LTDA</v>
          </cell>
        </row>
        <row r="19372">
          <cell r="B19372">
            <v>81069</v>
          </cell>
          <cell r="C19372" t="str">
            <v>VITREO OURO PREV FIM</v>
          </cell>
          <cell r="D19372" t="str">
            <v>VITREO OURO PREV FIM</v>
          </cell>
          <cell r="E19372" t="str">
            <v>EMPIRICUS GESTAO DE RECURSOS LTDA</v>
          </cell>
        </row>
        <row r="19373">
          <cell r="B19373">
            <v>81069</v>
          </cell>
          <cell r="C19373" t="str">
            <v>VITREO OURO PREV FIM</v>
          </cell>
          <cell r="D19373" t="str">
            <v>VITREO OURO PREV FIM</v>
          </cell>
          <cell r="E19373" t="str">
            <v>EMPIRICUS GESTAO DE RECURSOS LTDA</v>
          </cell>
        </row>
        <row r="19374">
          <cell r="B19374">
            <v>81070</v>
          </cell>
          <cell r="C19374" t="str">
            <v>NATWEST MARKETS PLC _ BANCO BNP PARIBAS BRASIL SA</v>
          </cell>
          <cell r="D19374" t="str">
            <v>NATWEST MARKETS PLC _ BANCO BNP PARIBAS BRASIL SA</v>
          </cell>
          <cell r="E19374" t="str">
            <v>NATWEST MARKETS PLC _ BANCO BNP PARIBAS BRASIL SA</v>
          </cell>
        </row>
        <row r="19375">
          <cell r="B19375">
            <v>81070</v>
          </cell>
          <cell r="C19375" t="str">
            <v>NATWEST MARKETS PLC _ BANCO BNP PARIBAS BRASIL SA</v>
          </cell>
          <cell r="D19375" t="str">
            <v>NATWEST MARKETS PLC _ BANCO BNP PARIBAS BRASIL SA</v>
          </cell>
          <cell r="E19375" t="str">
            <v>NATWEST MARKETS PLC _ BANCO BNP PARIBAS BRASIL SA</v>
          </cell>
        </row>
        <row r="19376">
          <cell r="B19376">
            <v>125635</v>
          </cell>
          <cell r="C19376" t="str">
            <v>CAVALO II FIM</v>
          </cell>
          <cell r="D19376" t="str">
            <v>CAVALO II FIM</v>
          </cell>
          <cell r="E19376" t="str">
            <v>CAVALO II FIM</v>
          </cell>
        </row>
        <row r="19377">
          <cell r="B19377">
            <v>125637</v>
          </cell>
          <cell r="C19377" t="str">
            <v>PROTON FIM CP</v>
          </cell>
          <cell r="D19377" t="str">
            <v>PROTON FIM CP</v>
          </cell>
          <cell r="E19377" t="str">
            <v>MULTIPLICA CAPITAL ASSET MANAGEMENT LTDA</v>
          </cell>
        </row>
        <row r="19378">
          <cell r="B19378">
            <v>125638</v>
          </cell>
          <cell r="C19378" t="str">
            <v>ASA ASSET 2 GESTAO DE RECURSOS LTDA</v>
          </cell>
          <cell r="D19378" t="str">
            <v>ASA ASSET 2 GESTAO DE RECURSOS LTDA</v>
          </cell>
          <cell r="E19378" t="str">
            <v>ASA ASSET GESTAO EM INVESTIMENTOS LTDA</v>
          </cell>
        </row>
        <row r="19379">
          <cell r="B19379">
            <v>125638</v>
          </cell>
          <cell r="C19379" t="str">
            <v>ASA ASSET 2 GESTAO DE RECURSOS LTDA</v>
          </cell>
          <cell r="D19379" t="str">
            <v>ASA ASSET 2 GESTAO DE RECURSOS LTDA</v>
          </cell>
          <cell r="E19379" t="str">
            <v>ASA ASSET GESTAO EM INVESTIMENTOS LTDA</v>
          </cell>
        </row>
        <row r="19380">
          <cell r="B19380">
            <v>125640</v>
          </cell>
          <cell r="C19380" t="str">
            <v>SETTA TATICO FUNDO DE INVESTIMENTO MULTIMERCADO CP</v>
          </cell>
          <cell r="D19380" t="str">
            <v>SETTA TATICO FUNDO DE INVESTIMENTO MULTIMERCADO CP</v>
          </cell>
          <cell r="E19380" t="str">
            <v>MANDATTO GESTAO DE INVESTIMENTOS LTDA</v>
          </cell>
        </row>
        <row r="19381">
          <cell r="B19381">
            <v>125640</v>
          </cell>
          <cell r="C19381" t="str">
            <v>SETTA TATICO FUNDO DE INVESTIMENTO MULTIMERCADO CP</v>
          </cell>
          <cell r="D19381" t="str">
            <v>SETTA TATICO FUNDO DE INVESTIMENTO MULTIMERCADO CP</v>
          </cell>
          <cell r="E19381" t="str">
            <v>MANDATTO GESTAO DE INVESTIMENTOS LTDA</v>
          </cell>
        </row>
        <row r="19382">
          <cell r="B19382">
            <v>125641</v>
          </cell>
          <cell r="C19382" t="str">
            <v>STRATUS FI EM COTAS DE FIM</v>
          </cell>
          <cell r="D19382" t="str">
            <v>STRATUS FI EM COTAS DE FIM</v>
          </cell>
          <cell r="E19382" t="str">
            <v>EMPIRICUS GESTAO DE RECURSOS LTDA</v>
          </cell>
        </row>
        <row r="19383">
          <cell r="B19383">
            <v>125641</v>
          </cell>
          <cell r="C19383" t="str">
            <v>STRATUS FI EM COTAS DE FIM</v>
          </cell>
          <cell r="D19383" t="str">
            <v>STRATUS FI EM COTAS DE FIM</v>
          </cell>
          <cell r="E19383" t="str">
            <v>EMPIRICUS GESTAO DE RECURSOS LTDA</v>
          </cell>
        </row>
        <row r="19384">
          <cell r="B19384">
            <v>125642</v>
          </cell>
          <cell r="C19384" t="str">
            <v>INDRA FIM CP IE</v>
          </cell>
          <cell r="D19384" t="str">
            <v>INDRA FIM CP IE</v>
          </cell>
          <cell r="E19384" t="str">
            <v>JULIUS BAER FAMILY OFFICE BRASIL GESTAO DE PATRIMONIO LTDA</v>
          </cell>
        </row>
        <row r="19385">
          <cell r="B19385">
            <v>125643</v>
          </cell>
          <cell r="C19385" t="str">
            <v>NETZACH FIA BDR NÃVEL I INVESTIMENTO NO EXTERIOR</v>
          </cell>
          <cell r="D19385" t="str">
            <v>NETZACH FIA BDR NÃVEL I INVESTIMENTO NO EXTERIOR</v>
          </cell>
          <cell r="E19385" t="str">
            <v>JULIUS BAER FAMILY OFFICE BRASIL GESTAO DE PATRIMONIO LTDA</v>
          </cell>
        </row>
        <row r="19386">
          <cell r="B19386">
            <v>125644</v>
          </cell>
          <cell r="C19386" t="str">
            <v>MDO FIM CP IE</v>
          </cell>
          <cell r="D19386" t="str">
            <v>MDO FIM CP IE</v>
          </cell>
          <cell r="E19386" t="str">
            <v>JULIUS BAER FAMILY OFFICE BRASIL GESTAO DE PATRIMONIO LTDA</v>
          </cell>
        </row>
        <row r="19387">
          <cell r="B19387">
            <v>80205</v>
          </cell>
          <cell r="C19387" t="str">
            <v>BANCO SANTANDER S.A (HISPANO)</v>
          </cell>
          <cell r="D19387" t="str">
            <v>BANCO SANTANDER S.A (HISPANO)</v>
          </cell>
          <cell r="E19387" t="str">
            <v>BANCO SANTANDER S/A (HISPANO)</v>
          </cell>
        </row>
        <row r="19388">
          <cell r="B19388">
            <v>125645</v>
          </cell>
          <cell r="C19388" t="str">
            <v>URUBICI FIM CP IE</v>
          </cell>
          <cell r="D19388" t="str">
            <v>URUBICI FIM CP IE</v>
          </cell>
          <cell r="E19388" t="str">
            <v>JULIUS BAER FAMILY OFFICE BRASIL GESTAO DE PATRIMONIO LTDA</v>
          </cell>
        </row>
        <row r="19389">
          <cell r="B19389">
            <v>125646</v>
          </cell>
          <cell r="C19389" t="str">
            <v>MILES SINGULAR MASTER FIA IE</v>
          </cell>
          <cell r="D19389" t="str">
            <v>MILES SINGULAR MASTER FIA IE</v>
          </cell>
          <cell r="E19389" t="str">
            <v>MILES CAPITAL LTDA</v>
          </cell>
        </row>
        <row r="19390">
          <cell r="B19390">
            <v>125646</v>
          </cell>
          <cell r="C19390" t="str">
            <v>MILES SINGULAR MASTER FIA IE</v>
          </cell>
          <cell r="D19390" t="str">
            <v>MILES SINGULAR MASTER FIA IE</v>
          </cell>
          <cell r="E19390" t="str">
            <v>MILES CAPITAL LTDA</v>
          </cell>
        </row>
        <row r="19391">
          <cell r="B19391">
            <v>81072</v>
          </cell>
          <cell r="C19391" t="str">
            <v>MERAKI CAPITAL GESTAO DE RECURSOS LTDA</v>
          </cell>
          <cell r="D19391" t="str">
            <v>MERAKI CAPITAL GESTAO DE RECURSOS LTDA</v>
          </cell>
          <cell r="E19391" t="str">
            <v>MERAKI CAPITAL GESTAO DE RECURSOS LTDA</v>
          </cell>
        </row>
        <row r="19392">
          <cell r="B19392">
            <v>81072</v>
          </cell>
          <cell r="C19392" t="str">
            <v>MERAKI CAPITAL GESTAO DE RECURSOS LTDA</v>
          </cell>
          <cell r="D19392" t="str">
            <v>MERAKI CAPITAL GESTAO DE RECURSOS LTDA</v>
          </cell>
          <cell r="E19392" t="str">
            <v>MERAKI CAPITAL GESTAO DE RECURSOS LTDA</v>
          </cell>
        </row>
        <row r="19393">
          <cell r="B19393">
            <v>81073</v>
          </cell>
          <cell r="C19393" t="str">
            <v>BANCO MUFG BRASIL S.A.</v>
          </cell>
          <cell r="D19393" t="str">
            <v>BANCO MUFG BRASIL S.A.</v>
          </cell>
          <cell r="E19393" t="str">
            <v>BANCO MUFG BRASIL S/A</v>
          </cell>
        </row>
        <row r="19394">
          <cell r="B19394">
            <v>125648</v>
          </cell>
          <cell r="C19394" t="str">
            <v>ASA LONG BIASED FIM</v>
          </cell>
          <cell r="D19394" t="str">
            <v>ASA LONG BIASED FIM</v>
          </cell>
          <cell r="E19394" t="str">
            <v>ASA LONG BIASED FIM</v>
          </cell>
        </row>
        <row r="19395">
          <cell r="B19395">
            <v>125649</v>
          </cell>
          <cell r="C19395" t="str">
            <v>MERCURY DERIVATIVES TRADING LIMITED</v>
          </cell>
          <cell r="D19395" t="str">
            <v>MERCURY DERIVATIVES TRADING LIMITED</v>
          </cell>
          <cell r="E19395" t="str">
            <v>MERCURY DERIVATIVES TRADING LIMITED</v>
          </cell>
        </row>
        <row r="19396">
          <cell r="B19396">
            <v>125649</v>
          </cell>
          <cell r="C19396" t="str">
            <v>MERCURY DERIVATIVES TRADING LIMITED</v>
          </cell>
          <cell r="D19396" t="str">
            <v>MERCURY DERIVATIVES TRADING LIMITED</v>
          </cell>
          <cell r="E19396" t="str">
            <v>MERCURY DERIVATIVES TRADING LIMITED</v>
          </cell>
        </row>
        <row r="19397">
          <cell r="B19397">
            <v>125650</v>
          </cell>
          <cell r="C19397" t="str">
            <v>HELIUS CAPITAL GESTAO DE RECURSOS LTDA</v>
          </cell>
          <cell r="D19397" t="str">
            <v>HELIUS CAPITAL GESTAO DE RECURSOS LTDA</v>
          </cell>
          <cell r="E19397" t="str">
            <v>HELIUS CAPITAL GESTAO DE RECURSOS LTDA</v>
          </cell>
        </row>
        <row r="19398">
          <cell r="B19398">
            <v>125650</v>
          </cell>
          <cell r="C19398" t="str">
            <v>HELIUS CAPITAL GESTAO DE RECURSOS LTDA</v>
          </cell>
          <cell r="D19398" t="str">
            <v>HELIUS CAPITAL GESTAO DE RECURSOS LTDA</v>
          </cell>
          <cell r="E19398" t="str">
            <v>HELIUS CAPITAL GESTAO DE RECURSOS LTDA</v>
          </cell>
        </row>
        <row r="19399">
          <cell r="B19399">
            <v>125651</v>
          </cell>
          <cell r="C19399" t="str">
            <v>BB GESTAO DE RECURSOS DTVM LTDA</v>
          </cell>
          <cell r="D19399" t="str">
            <v>BB GESTAO DE RECURSOS DTVM LTDA</v>
          </cell>
          <cell r="E19399" t="str">
            <v>BB GESTAO DE RECURSOS DTVM LTDA</v>
          </cell>
        </row>
        <row r="19400">
          <cell r="B19400">
            <v>81075</v>
          </cell>
          <cell r="C19400" t="str">
            <v>QFUND FUNDO DE INVESTIMENTO EM AÃ‡Ã•ES</v>
          </cell>
          <cell r="D19400" t="str">
            <v>QFUND FUNDO DE INVESTIMENTO EM AÃ‡Ã•ES</v>
          </cell>
          <cell r="E19400" t="str">
            <v>ATLAS ONE INVESTIMENTOS GESTÃƒO DE RECURSOS LTDA</v>
          </cell>
        </row>
        <row r="19401">
          <cell r="B19401">
            <v>81075</v>
          </cell>
          <cell r="C19401" t="str">
            <v>QFUND FUNDO DE INVESTIMENTO EM AÃ‡Ã•ES</v>
          </cell>
          <cell r="D19401" t="str">
            <v>QFUND FUNDO DE INVESTIMENTO EM AÃ‡Ã•ES</v>
          </cell>
          <cell r="E19401" t="str">
            <v>ATLAS ONE INVESTIMENTOS GESTÃƒO DE RECURSOS LTDA</v>
          </cell>
        </row>
        <row r="19402">
          <cell r="B19402">
            <v>81079</v>
          </cell>
          <cell r="C19402" t="str">
            <v>SYMMETRY FINANCIALS LIMITED</v>
          </cell>
          <cell r="D19402" t="str">
            <v>SYMMETRY FINANCIALS LIMITED</v>
          </cell>
          <cell r="E19402" t="str">
            <v>SYMMETRY FINANCIALS LIMITED</v>
          </cell>
        </row>
        <row r="19403">
          <cell r="B19403">
            <v>125652</v>
          </cell>
          <cell r="C19403" t="str">
            <v>LUCAS ABRANCHES ROSSINI</v>
          </cell>
          <cell r="D19403" t="str">
            <v>LUCAS ABRANCHES ROSSINI</v>
          </cell>
          <cell r="E19403" t="str">
            <v>LUCAS ABRANCHES ROSSINI</v>
          </cell>
        </row>
        <row r="19404">
          <cell r="B19404">
            <v>125653</v>
          </cell>
          <cell r="C19404" t="str">
            <v>PETROLEO BRASILEIRO S.A - PETROBRAS</v>
          </cell>
          <cell r="D19404" t="str">
            <v>PETROLEO BRASILEIRO S.A - PETROBRAS</v>
          </cell>
          <cell r="E19404" t="str">
            <v>PETROLEO BRASILEIRO S.A - PETROBRAS</v>
          </cell>
        </row>
        <row r="19405">
          <cell r="B19405">
            <v>81076</v>
          </cell>
          <cell r="C19405" t="str">
            <v>GALLOWAY CAPITAL GESTORA DE RECURSOS LTDA.</v>
          </cell>
          <cell r="D19405" t="str">
            <v>GALLOWAY CAPITAL GESTORA DE RECURSOS LTDA.</v>
          </cell>
          <cell r="E19405" t="str">
            <v>GALLOWAY CAPITAL GESTORA DE RECURSOS LTDA.</v>
          </cell>
        </row>
        <row r="19406">
          <cell r="B19406">
            <v>81077</v>
          </cell>
          <cell r="C19406" t="str">
            <v>QUASAR EM HY USD FIM IE</v>
          </cell>
          <cell r="D19406" t="str">
            <v>QUASAR EM HY USD FIM IE</v>
          </cell>
          <cell r="E19406" t="str">
            <v>GALLOWAY CAPITAL GESTORA DE RECURSOS LTDA.</v>
          </cell>
        </row>
        <row r="19407">
          <cell r="B19407">
            <v>81077</v>
          </cell>
          <cell r="C19407" t="str">
            <v>QUASAR EM HY USD FIM IE</v>
          </cell>
          <cell r="D19407" t="str">
            <v>QUASAR EM HY USD FIM IE</v>
          </cell>
          <cell r="E19407" t="str">
            <v>GALLOWAY CAPITAL GESTORA DE RECURSOS LTDA.</v>
          </cell>
        </row>
        <row r="19408">
          <cell r="B19408">
            <v>81078</v>
          </cell>
          <cell r="C19408" t="str">
            <v>GALLOWAY LATAM BONDS BRL FIM CP IE</v>
          </cell>
          <cell r="D19408" t="str">
            <v>GALLOWAY LATAM BONDS BRL FIM CP IE</v>
          </cell>
          <cell r="E19408" t="str">
            <v>GALLOWAY CAPITAL GESTORA DE RECURSOS LTDA.</v>
          </cell>
        </row>
        <row r="19409">
          <cell r="B19409">
            <v>81080</v>
          </cell>
          <cell r="C19409" t="str">
            <v>EMPIRICUS CARBONO FUNDO DE INVESTIMENTO MULTIMERCADO</v>
          </cell>
          <cell r="D19409" t="str">
            <v>EMPIRICUS CARBONO FUNDO DE INVESTIMENTO MULTIMERCADO</v>
          </cell>
          <cell r="E19409" t="str">
            <v>EMPIRICUS GESTAO DE RECURSOS LTDA</v>
          </cell>
        </row>
        <row r="19410">
          <cell r="B19410">
            <v>81080</v>
          </cell>
          <cell r="C19410" t="str">
            <v>EMPIRICUS CARBONO FUNDO DE INVESTIMENTO MULTIMERCADO</v>
          </cell>
          <cell r="D19410" t="str">
            <v>EMPIRICUS CARBONO FUNDO DE INVESTIMENTO MULTIMERCADO</v>
          </cell>
          <cell r="E19410" t="str">
            <v>EMPIRICUS GESTAO DE RECURSOS LTDA</v>
          </cell>
        </row>
        <row r="19411">
          <cell r="B19411">
            <v>81082</v>
          </cell>
          <cell r="C19411" t="str">
            <v>SIG CAPITAL GLOBAL MACRO MASTER FM</v>
          </cell>
          <cell r="D19411" t="str">
            <v>SIG CAPITAL GLOBAL MACRO MASTER FM</v>
          </cell>
          <cell r="E19411" t="str">
            <v>SIG CAPITAL GLOBAL MACRO MASTER FM</v>
          </cell>
        </row>
        <row r="19412">
          <cell r="B19412">
            <v>81082</v>
          </cell>
          <cell r="C19412" t="str">
            <v>SIG CAPITAL GLOBAL MACRO MASTER FM</v>
          </cell>
          <cell r="D19412" t="str">
            <v>SIG CAPITAL GLOBAL MACRO MASTER FM</v>
          </cell>
          <cell r="E19412" t="str">
            <v>SIG CAPITAL GLOBAL MACRO MASTER FM</v>
          </cell>
        </row>
        <row r="19413">
          <cell r="B19413">
            <v>81083</v>
          </cell>
          <cell r="C19413" t="str">
            <v>HELIUS LUX LONG BIASED MASTER FIM</v>
          </cell>
          <cell r="D19413" t="str">
            <v>HELIUS LUX LONG BIASED MASTER FIM</v>
          </cell>
          <cell r="E19413" t="str">
            <v>HELIUS CAPITAL GESTAO DE RECURSOS LTDA</v>
          </cell>
        </row>
        <row r="19414">
          <cell r="B19414">
            <v>81083</v>
          </cell>
          <cell r="C19414" t="str">
            <v>HELIUS LUX LONG BIASED MASTER FIM</v>
          </cell>
          <cell r="D19414" t="str">
            <v>HELIUS LUX LONG BIASED MASTER FIM</v>
          </cell>
          <cell r="E19414" t="str">
            <v>HELIUS CAPITAL GESTAO DE RECURSOS LTDA</v>
          </cell>
        </row>
        <row r="19415">
          <cell r="B19415">
            <v>125656</v>
          </cell>
          <cell r="C19415" t="str">
            <v>CHACAL FIM CREDITO PRIVADO IE</v>
          </cell>
          <cell r="D19415" t="str">
            <v>CHACAL FIM CREDITO PRIVADO IE</v>
          </cell>
          <cell r="E19415" t="str">
            <v>JULIUS BAER FAMILY OFFICE BRASIL GESTAO DE PATRIMONIO LTDA</v>
          </cell>
        </row>
        <row r="19416">
          <cell r="B19416">
            <v>125655</v>
          </cell>
          <cell r="C19416" t="str">
            <v>AGUA MARINHA FIM CRED PRIV IE</v>
          </cell>
          <cell r="D19416" t="str">
            <v>AGUA MARINHA FIM CRED PRIV IE</v>
          </cell>
          <cell r="E19416" t="str">
            <v>JULIUS BAER FAMILY OFFICE BRASIL GESTAO DE PATRIMONIO LTDA</v>
          </cell>
        </row>
        <row r="19417">
          <cell r="B19417">
            <v>125657</v>
          </cell>
          <cell r="C19417" t="str">
            <v>VVV FUNDO DE INVESTIMENTO MULTIMERCADO CREDITO PRIVADO INVES</v>
          </cell>
          <cell r="D19417" t="str">
            <v>VVV FUNDO DE INVESTIMENTO MULTIMERCADO CREDITO PRIVADO INVES</v>
          </cell>
          <cell r="E19417" t="str">
            <v>JULIUS BAER FAMILY OFFICE BRASIL GESTAO DE PATRIMONIO LTDA</v>
          </cell>
        </row>
        <row r="19418">
          <cell r="B19418">
            <v>81084</v>
          </cell>
          <cell r="C19418" t="str">
            <v>GREENBAY INVESTIMENTOS LTDA</v>
          </cell>
          <cell r="D19418" t="str">
            <v>GREENBAY INVESTIMENTOS LTDA</v>
          </cell>
          <cell r="E19418" t="str">
            <v>GREENBAY INVESTIMENTOS LTDA</v>
          </cell>
        </row>
        <row r="19419">
          <cell r="B19419">
            <v>81084</v>
          </cell>
          <cell r="C19419" t="str">
            <v>GREENBAY INVESTIMENTOS LTDA</v>
          </cell>
          <cell r="D19419" t="str">
            <v>GREENBAY INVESTIMENTOS LTDA</v>
          </cell>
          <cell r="E19419" t="str">
            <v>GREENBAY INVESTIMENTOS LTDA</v>
          </cell>
        </row>
        <row r="19420">
          <cell r="B19420">
            <v>125658</v>
          </cell>
          <cell r="C19420" t="str">
            <v>GRIMPER BLANC MASTER FUNDO DE INVESTIMENTO MULTIMERCADO</v>
          </cell>
          <cell r="D19420" t="str">
            <v>GRIMPER BLANC MASTER FUNDO DE INVESTIMENTO MULTIMERCADO</v>
          </cell>
          <cell r="E19420" t="str">
            <v>GRIMPER CAPITAL GESTORA DE RECURSOS LTDA</v>
          </cell>
        </row>
        <row r="19421">
          <cell r="B19421">
            <v>125658</v>
          </cell>
          <cell r="C19421" t="str">
            <v>GRIMPER BLANC MASTER FUNDO DE INVESTIMENTO MULTIMERCADO</v>
          </cell>
          <cell r="D19421" t="str">
            <v>GRIMPER BLANC MASTER FUNDO DE INVESTIMENTO MULTIMERCADO</v>
          </cell>
          <cell r="E19421" t="str">
            <v>GRIMPER CAPITAL GESTORA DE RECURSOS LTDA</v>
          </cell>
        </row>
        <row r="19422">
          <cell r="B19422">
            <v>125659</v>
          </cell>
          <cell r="C19422" t="str">
            <v>GRIMPER MERU LONG BIAS MASTER FUNDO DE INVESTIMENTO MULTIMER</v>
          </cell>
          <cell r="D19422" t="str">
            <v>GRIMPER MERU LONG BIAS MASTER FUNDO DE INVESTIMENTO MULTIMER</v>
          </cell>
          <cell r="E19422" t="str">
            <v>GRIMPER CAPITAL GESTORA DE RECURSOS LTDA</v>
          </cell>
        </row>
        <row r="19423">
          <cell r="B19423">
            <v>125659</v>
          </cell>
          <cell r="C19423" t="str">
            <v>GRIMPER MERU LONG BIAS MASTER FUNDO DE INVESTIMENTO MULTIMER</v>
          </cell>
          <cell r="D19423" t="str">
            <v>GRIMPER MERU LONG BIAS MASTER FUNDO DE INVESTIMENTO MULTIMER</v>
          </cell>
          <cell r="E19423" t="str">
            <v>GRIMPER CAPITAL GESTORA DE RECURSOS LTDA</v>
          </cell>
        </row>
        <row r="19424">
          <cell r="B19424">
            <v>125653</v>
          </cell>
          <cell r="C19424" t="str">
            <v>PETROLEO BRASILEIRO S.A - PETROBRAS</v>
          </cell>
          <cell r="D19424" t="str">
            <v>PETROLEO BRASILEIRO S.A - PETROBRAS</v>
          </cell>
          <cell r="E19424" t="str">
            <v>PETROLEO BRASILEIRO S.A - PETROBRAS</v>
          </cell>
        </row>
        <row r="19425">
          <cell r="B19425">
            <v>81086</v>
          </cell>
          <cell r="C19425" t="str">
            <v>EMPIRICUS FOF SUPERPREVIDÃŠNCIA 2 ICATU FIM</v>
          </cell>
          <cell r="D19425" t="str">
            <v>EMPIRICUS FOF SUPERPREVIDÃŠNCIA 2 ICATU FIM</v>
          </cell>
          <cell r="E19425" t="str">
            <v>EMPIRICUS GESTAO DE RECURSOS LTDA</v>
          </cell>
        </row>
        <row r="19426">
          <cell r="B19426">
            <v>81086</v>
          </cell>
          <cell r="C19426" t="str">
            <v>EMPIRICUS FOF SUPERPREVIDÃŠNCIA 2 ICATU FIM</v>
          </cell>
          <cell r="D19426" t="str">
            <v>EMPIRICUS FOF SUPERPREVIDÃŠNCIA 2 ICATU FIM</v>
          </cell>
          <cell r="E19426" t="str">
            <v>EMPIRICUS GESTAO DE RECURSOS LTDA</v>
          </cell>
        </row>
        <row r="19427">
          <cell r="B19427">
            <v>81087</v>
          </cell>
          <cell r="C19427" t="str">
            <v>EMPIRICUS FOF SUPERPREVIDÃŠNCIA ICATU FIM</v>
          </cell>
          <cell r="D19427" t="str">
            <v>EMPIRICUS FOF SUPERPREVIDÃŠNCIA ICATU FIM</v>
          </cell>
          <cell r="E19427" t="str">
            <v>EMPIRICUS GESTAO DE RECURSOS LTDA</v>
          </cell>
        </row>
        <row r="19428">
          <cell r="B19428">
            <v>81087</v>
          </cell>
          <cell r="C19428" t="str">
            <v>EMPIRICUS FOF SUPERPREVIDÃŠNCIA ICATU FIM</v>
          </cell>
          <cell r="D19428" t="str">
            <v>EMPIRICUS FOF SUPERPREVIDÃŠNCIA ICATU FIM</v>
          </cell>
          <cell r="E19428" t="str">
            <v>EMPIRICUS GESTAO DE RECURSOS LTDA</v>
          </cell>
        </row>
        <row r="19429">
          <cell r="B19429">
            <v>125660</v>
          </cell>
          <cell r="C19429" t="str">
            <v>KEEVA FI MULT CRÃ‰DITO PRIVADO INVESTIMENTO NO EXTERIOR</v>
          </cell>
          <cell r="D19429" t="str">
            <v>KEEVA FI MULT CRÃ‰DITO PRIVADO INVESTIMENTO NO EXTERIOR</v>
          </cell>
          <cell r="E19429" t="str">
            <v>JULIUS BAER FAMILY OFFICE BRASIL GESTAO DE PATRIMONIO LTDA</v>
          </cell>
        </row>
        <row r="19430">
          <cell r="B19430">
            <v>125660</v>
          </cell>
          <cell r="C19430" t="str">
            <v>KEEVA FI MULT CRÃ‰DITO PRIVADO INVESTIMENTO NO EXTERIOR</v>
          </cell>
          <cell r="D19430" t="str">
            <v>KEEVA FI MULT CRÃ‰DITO PRIVADO INVESTIMENTO NO EXTERIOR</v>
          </cell>
          <cell r="E19430" t="str">
            <v>JULIUS BAER FAMILY OFFICE BRASIL GESTAO DE PATRIMONIO LTDA</v>
          </cell>
        </row>
        <row r="19431">
          <cell r="B19431">
            <v>125661</v>
          </cell>
          <cell r="C19431" t="str">
            <v>FIL CAP FIC DE FIM CREDITO PRIVADO IE</v>
          </cell>
          <cell r="D19431" t="str">
            <v>FIL CAP FIC DE FIM CREDITO PRIVADO IE</v>
          </cell>
          <cell r="E19431" t="str">
            <v>JULIUS BAER FAMILY OFFICE BRASIL GESTAO DE PATRIMONIO LTDA</v>
          </cell>
        </row>
        <row r="19432">
          <cell r="B19432">
            <v>125661</v>
          </cell>
          <cell r="C19432" t="str">
            <v>FIL CAP FIC DE FIM CREDITO PRIVADO IE</v>
          </cell>
          <cell r="D19432" t="str">
            <v>FIL CAP FIC DE FIM CREDITO PRIVADO IE</v>
          </cell>
          <cell r="E19432" t="str">
            <v>JULIUS BAER FAMILY OFFICE BRASIL GESTAO DE PATRIMONIO LTDA</v>
          </cell>
        </row>
        <row r="19433">
          <cell r="B19433">
            <v>125663</v>
          </cell>
          <cell r="C19433" t="str">
            <v>PINGUIM CRÃ‰DITO ESTRUTURADO FUNDO DE INVESTIMENTO MULTIMERCA</v>
          </cell>
          <cell r="D19433" t="str">
            <v>PINGUIM CRÃ‰DITO ESTRUTURADO FUNDO DE INVESTIMENTO MULTIMERCA</v>
          </cell>
          <cell r="E19433" t="str">
            <v>JULIUS BAER FAMILY OFFICE BRASIL GESTAO DE PATRIMONIO LTDA</v>
          </cell>
        </row>
        <row r="19434">
          <cell r="B19434">
            <v>125663</v>
          </cell>
          <cell r="C19434" t="str">
            <v>PINGUIM CRÃ‰DITO ESTRUTURADO FUNDO DE INVESTIMENTO MULTIMERCA</v>
          </cell>
          <cell r="D19434" t="str">
            <v>PINGUIM CRÃ‰DITO ESTRUTURADO FUNDO DE INVESTIMENTO MULTIMERCA</v>
          </cell>
          <cell r="E19434" t="str">
            <v>JULIUS BAER FAMILY OFFICE BRASIL GESTAO DE PATRIMONIO LTDA</v>
          </cell>
        </row>
        <row r="19435">
          <cell r="B19435">
            <v>81088</v>
          </cell>
          <cell r="C19435" t="str">
            <v>CF3 FUNDO DE INVESTIMENTO MULTIMERCADO CRÃ‰DITO PRIVADO INVES</v>
          </cell>
          <cell r="D19435" t="str">
            <v>CF3 FUNDO DE INVESTIMENTO MULTIMERCADO CRÃ‰DITO PRIVADO INVES</v>
          </cell>
          <cell r="E19435" t="str">
            <v>EMPIRICUS GESTAO DE RECURSOS LTDA</v>
          </cell>
        </row>
        <row r="19436">
          <cell r="B19436">
            <v>81088</v>
          </cell>
          <cell r="C19436" t="str">
            <v>CF3 FUNDO DE INVESTIMENTO MULTIMERCADO CRÃ‰DITO PRIVADO INVES</v>
          </cell>
          <cell r="D19436" t="str">
            <v>CF3 FUNDO DE INVESTIMENTO MULTIMERCADO CRÃ‰DITO PRIVADO INVES</v>
          </cell>
          <cell r="E19436" t="str">
            <v>EMPIRICUS GESTAO DE RECURSOS LTDA</v>
          </cell>
        </row>
        <row r="19437">
          <cell r="B19437">
            <v>125662</v>
          </cell>
          <cell r="C19437" t="str">
            <v>CAVIAR FUNDO DE INVESTIMENTO MULTIMERCADO CRÃ‰DITO PRIVADO IN</v>
          </cell>
          <cell r="D19437" t="str">
            <v>CAVIAR FUNDO DE INVESTIMENTO MULTIMERCADO CRÃ‰DITO PRIVADO IN</v>
          </cell>
          <cell r="E19437" t="str">
            <v>JULIUS BAER FAMILY OFFICE BRASIL GESTAO DE PATRIMONIO LTDA</v>
          </cell>
        </row>
        <row r="19438">
          <cell r="B19438">
            <v>125662</v>
          </cell>
          <cell r="C19438" t="str">
            <v>CAVIAR FUNDO DE INVESTIMENTO MULTIMERCADO CRÃ‰DITO PRIVADO IN</v>
          </cell>
          <cell r="D19438" t="str">
            <v>CAVIAR FUNDO DE INVESTIMENTO MULTIMERCADO CRÃ‰DITO PRIVADO IN</v>
          </cell>
          <cell r="E19438" t="str">
            <v>JULIUS BAER FAMILY OFFICE BRASIL GESTAO DE PATRIMONIO LTDA</v>
          </cell>
        </row>
        <row r="19439">
          <cell r="B19439">
            <v>81090</v>
          </cell>
          <cell r="C19439" t="str">
            <v>APEX EQUITY HEDGE MASTER II FUNDO DE INVESTIMENTO MULTIMERCA</v>
          </cell>
          <cell r="D19439" t="str">
            <v>APEX EQUITY HEDGE MASTER II FUNDO DE INVESTIMENTO MULTIMERCA</v>
          </cell>
          <cell r="E19439" t="str">
            <v>APEX CAPITAL LTDA</v>
          </cell>
        </row>
        <row r="19440">
          <cell r="B19440">
            <v>81091</v>
          </cell>
          <cell r="C19440" t="str">
            <v>APEX EQUITY HEDGE MASTER II FUNDO DE INVESTIMENTO MULTIMERCA</v>
          </cell>
          <cell r="D19440" t="str">
            <v>APEX EQUITY HEDGE MASTER II FUNDO DE INVESTIMENTO MULTIMERCA</v>
          </cell>
          <cell r="E19440" t="str">
            <v>APEX CAPITAL LTDA</v>
          </cell>
        </row>
        <row r="19441">
          <cell r="B19441">
            <v>81092</v>
          </cell>
          <cell r="C19441" t="str">
            <v>APEX EQUITY HEDGE MASTER II FUNDO DE INVESTIMENTO MULTIMERCA</v>
          </cell>
          <cell r="D19441" t="str">
            <v>APEX EQUITY HEDGE MASTER II FUNDO DE INVESTIMENTO MULTIMERCA</v>
          </cell>
          <cell r="E19441" t="str">
            <v>APEX CAPITAL LTDA</v>
          </cell>
        </row>
        <row r="19442">
          <cell r="B19442">
            <v>81091</v>
          </cell>
          <cell r="C19442" t="str">
            <v>APEX EQUITY HEDGE MASTER II FUNDO DE INVESTIMENTO MULTIMERCA</v>
          </cell>
          <cell r="D19442" t="str">
            <v>APEX EQUITY HEDGE MASTER II FUNDO DE INVESTIMENTO MULTIMERCA</v>
          </cell>
          <cell r="E19442" t="str">
            <v>APEX CAPITAL LTDA</v>
          </cell>
        </row>
        <row r="19443">
          <cell r="B19443">
            <v>81092</v>
          </cell>
          <cell r="C19443" t="str">
            <v>APEX EQUITY HEDGE MASTER II FUNDO DE INVESTIMENTO MULTIMERCA</v>
          </cell>
          <cell r="D19443" t="str">
            <v>APEX EQUITY HEDGE MASTER II FUNDO DE INVESTIMENTO MULTIMERCA</v>
          </cell>
          <cell r="E19443" t="str">
            <v>APEX CAPITAL LTDA</v>
          </cell>
        </row>
        <row r="19444">
          <cell r="B19444">
            <v>81093</v>
          </cell>
          <cell r="C19444" t="str">
            <v>RT BOND LIKE FIF CIC MULT RESP LIMITADA</v>
          </cell>
          <cell r="D19444" t="str">
            <v>RT BOND LIKE FIF CIC MULT RESP LIMITADA</v>
          </cell>
          <cell r="E19444" t="str">
            <v>ITAU UNIBANCO ASSET - TACO</v>
          </cell>
        </row>
        <row r="19445">
          <cell r="B19445">
            <v>81093</v>
          </cell>
          <cell r="C19445" t="str">
            <v>RT BOND LIKE FIF CIC MULT RESP LIMITADA</v>
          </cell>
          <cell r="D19445" t="str">
            <v>RT BOND LIKE FIF CIC MULT RESP LIMITADA</v>
          </cell>
          <cell r="E19445" t="str">
            <v>ITAU UNIBANCO ASSET - TACO</v>
          </cell>
        </row>
        <row r="19446">
          <cell r="B19446">
            <v>125664</v>
          </cell>
          <cell r="C19446" t="str">
            <v>FATO FIM CP IE</v>
          </cell>
          <cell r="D19446" t="str">
            <v>FATO FIM CP IE</v>
          </cell>
          <cell r="E19446" t="str">
            <v>JULIUS BAER FAMILY OFFICE BRASIL GESTAO DE PATRIMONIO LTDA</v>
          </cell>
        </row>
        <row r="19447">
          <cell r="B19447">
            <v>125664</v>
          </cell>
          <cell r="C19447" t="str">
            <v>FATO FIM CP IE</v>
          </cell>
          <cell r="D19447" t="str">
            <v>FATO FIM CP IE</v>
          </cell>
          <cell r="E19447" t="str">
            <v>JULIUS BAER FAMILY OFFICE BRASIL GESTAO DE PATRIMONIO LTDA</v>
          </cell>
        </row>
        <row r="19448">
          <cell r="B19448">
            <v>81089</v>
          </cell>
          <cell r="C19448" t="str">
            <v>JOAO RODRIGUES DOS SANTOS E JUNQUEIRA</v>
          </cell>
          <cell r="D19448" t="str">
            <v>JOAO RODRIGUES DOS SANTOS E JUNQUEIRA</v>
          </cell>
          <cell r="E19448" t="str">
            <v>JOAO RODRIGUES DOS SANTOS E JUNQUEIRA</v>
          </cell>
        </row>
        <row r="19449">
          <cell r="B19449">
            <v>81089</v>
          </cell>
          <cell r="C19449" t="str">
            <v>JOAO RODRIGUES DOS SANTOS E JUNQUEIRA</v>
          </cell>
          <cell r="D19449" t="str">
            <v>JOAO RODRIGUES DOS SANTOS E JUNQUEIRA</v>
          </cell>
          <cell r="E19449" t="str">
            <v>JOAO RODRIGUES DOS SANTOS E JUNQUEIRA</v>
          </cell>
        </row>
        <row r="19450">
          <cell r="B19450">
            <v>81094</v>
          </cell>
          <cell r="C19450" t="str">
            <v>VITREO BITCOIN DEFI FIM</v>
          </cell>
          <cell r="D19450" t="str">
            <v>VITREO BITCOIN DEFI FIM</v>
          </cell>
          <cell r="E19450" t="str">
            <v>EMPIRICUS GESTAO DE RECURSOS LTDA</v>
          </cell>
        </row>
        <row r="19451">
          <cell r="B19451">
            <v>81094</v>
          </cell>
          <cell r="C19451" t="str">
            <v>VITREO BITCOIN DEFI FIM</v>
          </cell>
          <cell r="D19451" t="str">
            <v>VITREO BITCOIN DEFI FIM</v>
          </cell>
          <cell r="E19451" t="str">
            <v>EMPIRICUS GESTAO DE RECURSOS LTDA</v>
          </cell>
        </row>
        <row r="19452">
          <cell r="B19452">
            <v>81095</v>
          </cell>
          <cell r="C19452" t="str">
            <v>AGUABOA FIM CP IE</v>
          </cell>
          <cell r="D19452" t="str">
            <v>AGUABOA FIM CP IE</v>
          </cell>
          <cell r="E19452" t="str">
            <v>EMPIRICUS GESTAO DE RECURSOS LTDA</v>
          </cell>
        </row>
        <row r="19453">
          <cell r="B19453">
            <v>81096</v>
          </cell>
          <cell r="C19453" t="str">
            <v>JOHN GALT ATLAS FUNDO DE INVESTIMENTO MULTIMERCADO CRÃ‰DITO P</v>
          </cell>
          <cell r="D19453" t="str">
            <v>JOHN GALT ATLAS FUNDO DE INVESTIMENTO MULTIMERCADO CRÃ‰DITO P</v>
          </cell>
          <cell r="E19453" t="str">
            <v>EMPIRICUS GESTAO DE RECURSOS LTDA</v>
          </cell>
        </row>
        <row r="19454">
          <cell r="B19454">
            <v>81096</v>
          </cell>
          <cell r="C19454" t="str">
            <v>JOHN GALT ATLAS FUNDO DE INVESTIMENTO MULTIMERCADO CRÃ‰DITO P</v>
          </cell>
          <cell r="D19454" t="str">
            <v>JOHN GALT ATLAS FUNDO DE INVESTIMENTO MULTIMERCADO CRÃ‰DITO P</v>
          </cell>
          <cell r="E19454" t="str">
            <v>EMPIRICUS GESTAO DE RECURSOS LTDA</v>
          </cell>
        </row>
        <row r="19455">
          <cell r="B19455">
            <v>81095</v>
          </cell>
          <cell r="C19455" t="str">
            <v>AGUABOA FIM CP IE</v>
          </cell>
          <cell r="D19455" t="str">
            <v>AGUABOA FIM CP IE</v>
          </cell>
          <cell r="E19455" t="str">
            <v>EMPIRICUS GESTAO DE RECURSOS LTDA</v>
          </cell>
        </row>
        <row r="19456">
          <cell r="B19456">
            <v>81097</v>
          </cell>
          <cell r="C19456" t="str">
            <v>SAFRA PREV MAXWELL FUNDO DE INVESTIMENTO MULTIMERCADO PREVID</v>
          </cell>
          <cell r="D19456" t="str">
            <v>SAFRA PREV MAXWELL FUNDO DE INVESTIMENTO MULTIMERCADO PREVID</v>
          </cell>
          <cell r="E19456" t="str">
            <v>EMERALD GESTAO DE INVESTIMENTOS LTDA</v>
          </cell>
        </row>
        <row r="19457">
          <cell r="B19457">
            <v>81098</v>
          </cell>
          <cell r="C19457" t="str">
            <v>SAFRA DIRECT SUZANO MASTER FIA</v>
          </cell>
          <cell r="D19457" t="str">
            <v>SAFRA DIRECT SUZANO MASTER FIA</v>
          </cell>
          <cell r="E19457" t="str">
            <v>SAFRA ASSET MANAGEMENT LTDA</v>
          </cell>
        </row>
        <row r="19458">
          <cell r="B19458">
            <v>81098</v>
          </cell>
          <cell r="C19458" t="str">
            <v>SAFRA DIRECT SUZANO MASTER FIA</v>
          </cell>
          <cell r="D19458" t="str">
            <v>SAFRA DIRECT SUZANO MASTER FIA</v>
          </cell>
          <cell r="E19458" t="str">
            <v>SAFRA ASSET MANAGEMENT LTDA</v>
          </cell>
        </row>
        <row r="19459">
          <cell r="B19459">
            <v>81099</v>
          </cell>
          <cell r="C19459" t="str">
            <v>SAFRA DIRECT MINERACAO MASTER FIA</v>
          </cell>
          <cell r="D19459" t="str">
            <v>SAFRA DIRECT MINERACAO MASTER FIA</v>
          </cell>
          <cell r="E19459" t="str">
            <v>SAFRA ASSET MANAGEMENT LTDA</v>
          </cell>
        </row>
        <row r="19460">
          <cell r="B19460">
            <v>81099</v>
          </cell>
          <cell r="C19460" t="str">
            <v>SAFRA DIRECT MINERACAO MASTER FIA</v>
          </cell>
          <cell r="D19460" t="str">
            <v>SAFRA DIRECT MINERACAO MASTER FIA</v>
          </cell>
          <cell r="E19460" t="str">
            <v>SAFRA ASSET MANAGEMENT LTDA</v>
          </cell>
        </row>
        <row r="19461">
          <cell r="B19461">
            <v>81100</v>
          </cell>
          <cell r="C19461" t="str">
            <v>SAFRA DIRECT PETRO MASTER FIA</v>
          </cell>
          <cell r="D19461" t="str">
            <v>SAFRA DIRECT PETRO MASTER FIA</v>
          </cell>
          <cell r="E19461" t="str">
            <v>EMERALD GESTAO DE INVESTIMENTOS LTDA</v>
          </cell>
        </row>
        <row r="19462">
          <cell r="B19462">
            <v>81100</v>
          </cell>
          <cell r="C19462" t="str">
            <v>SAFRA DIRECT PETRO MASTER FIA</v>
          </cell>
          <cell r="D19462" t="str">
            <v>SAFRA DIRECT PETRO MASTER FIA</v>
          </cell>
          <cell r="E19462" t="str">
            <v>EMERALD GESTAO DE INVESTIMENTOS LTDA</v>
          </cell>
        </row>
        <row r="19463">
          <cell r="B19463">
            <v>81101</v>
          </cell>
          <cell r="C19463" t="str">
            <v>BELAGRICOLA COMÃ‰RCIO E REPRESENTAÃ‡Ã•ES DE PRODUTOS AGRÃCOLAS</v>
          </cell>
          <cell r="D19463" t="str">
            <v>BELAGRICOLA COMÃ‰RCIO E REPRESENTAÃ‡Ã•ES DE PRODUTOS AGRÃCOLAS</v>
          </cell>
          <cell r="E19463" t="str">
            <v>BELAGRICOLA COMÃ‰RCIO E REPRESENTAÃ‡Ã•ES DE PRODUTOS AGRÃCOLAS</v>
          </cell>
        </row>
        <row r="19464">
          <cell r="B19464">
            <v>81101</v>
          </cell>
          <cell r="C19464" t="str">
            <v>BELAGRICOLA COMÃ‰RCIO E REPRESENTAÃ‡Ã•ES DE PRODUTOS AGRÃCOLAS</v>
          </cell>
          <cell r="D19464" t="str">
            <v>BELAGRICOLA COMÃ‰RCIO E REPRESENTAÃ‡Ã•ES DE PRODUTOS AGRÃCOLAS</v>
          </cell>
          <cell r="E19464" t="str">
            <v>BELAGRICOLA COMÃ‰RCIO E REPRESENTAÃ‡Ã•ES DE PRODUTOS AGRÃCOLAS</v>
          </cell>
        </row>
        <row r="19465">
          <cell r="B19465">
            <v>81102</v>
          </cell>
          <cell r="C19465" t="str">
            <v>HORIZON FIM CP IE</v>
          </cell>
          <cell r="D19465" t="str">
            <v>HORIZON FIM CP IE</v>
          </cell>
          <cell r="E19465" t="str">
            <v>EMPIRICUS GESTAO DE RECURSOS LTDA</v>
          </cell>
        </row>
        <row r="19466">
          <cell r="B19466">
            <v>81102</v>
          </cell>
          <cell r="C19466" t="str">
            <v>HORIZON FIM CP IE</v>
          </cell>
          <cell r="D19466" t="str">
            <v>HORIZON FIM CP IE</v>
          </cell>
          <cell r="E19466" t="str">
            <v>EMPIRICUS GESTAO DE RECURSOS LTDA</v>
          </cell>
        </row>
        <row r="19467">
          <cell r="B19467">
            <v>81103</v>
          </cell>
          <cell r="C19467" t="str">
            <v>PRO 100 FUNDO DE INVESTIMENTO MULTIMERCADO CREDITO PRIVADO I</v>
          </cell>
          <cell r="D19467" t="str">
            <v>PRO 100 FUNDO DE INVESTIMENTO MULTIMERCADO CREDITO PRIVADO I</v>
          </cell>
          <cell r="E19467" t="str">
            <v>EMPIRICUS GESTAO DE RECURSOS LTDA</v>
          </cell>
        </row>
        <row r="19468">
          <cell r="B19468">
            <v>81103</v>
          </cell>
          <cell r="C19468" t="str">
            <v>PRO 100 FUNDO DE INVESTIMENTO MULTIMERCADO CREDITO PRIVADO I</v>
          </cell>
          <cell r="D19468" t="str">
            <v>PRO 100 FUNDO DE INVESTIMENTO MULTIMERCADO CREDITO PRIVADO I</v>
          </cell>
          <cell r="E19468" t="str">
            <v>EMPIRICUS GESTAO DE RECURSOS LTDA</v>
          </cell>
        </row>
        <row r="19469">
          <cell r="B19469">
            <v>125665</v>
          </cell>
          <cell r="C19469" t="str">
            <v>BB GESTAO DE RECURSOS DTVM LTDA</v>
          </cell>
          <cell r="D19469" t="str">
            <v>BB GESTAO DE RECURSOS DTVM LTDA</v>
          </cell>
          <cell r="E19469" t="str">
            <v>BB GESTAO DE RECURSOS DTVM LTDA</v>
          </cell>
        </row>
        <row r="19470">
          <cell r="B19470">
            <v>125666</v>
          </cell>
          <cell r="C19470" t="str">
            <v>ASA QUANT FUNDO DE INVESTIMENTO MULTIMERCADO</v>
          </cell>
          <cell r="D19470" t="str">
            <v>ASA QUANT FUNDO DE INVESTIMENTO MULTIMERCADO</v>
          </cell>
          <cell r="E19470" t="str">
            <v>ASA ASSET GESTAO EM INVESTIMENTOS LTDA</v>
          </cell>
        </row>
        <row r="19471">
          <cell r="B19471">
            <v>125666</v>
          </cell>
          <cell r="C19471" t="str">
            <v>ASA QUANT FUNDO DE INVESTIMENTO MULTIMERCADO</v>
          </cell>
          <cell r="D19471" t="str">
            <v>ASA QUANT FUNDO DE INVESTIMENTO MULTIMERCADO</v>
          </cell>
          <cell r="E19471" t="str">
            <v>ASA ASSET GESTAO EM INVESTIMENTOS LTDA</v>
          </cell>
        </row>
        <row r="19472">
          <cell r="B19472">
            <v>79285</v>
          </cell>
          <cell r="C19472" t="str">
            <v>OCCAM RETORNO ABSOLUTO FIF MULTIMERCADO RESP LTDA</v>
          </cell>
          <cell r="D19472" t="str">
            <v>OCCAM RETORNO ABSOLUTO FIF MULTIMERCADO RESP LTDA</v>
          </cell>
          <cell r="E19472" t="str">
            <v>OCCAM BRASIL GESTAO DE RECURSOS LTDA</v>
          </cell>
        </row>
        <row r="19473">
          <cell r="B19473">
            <v>122992</v>
          </cell>
          <cell r="C19473" t="str">
            <v>OCCAM RETORNO ABSOLUTO FIF MULTIMERCADO RESP LTDA</v>
          </cell>
          <cell r="D19473" t="str">
            <v>OCCAM RETORNO ABSOLUTO FIF MULTIMERCADO RESP LTDA</v>
          </cell>
          <cell r="E19473" t="str">
            <v>OCCAM BRASIL GESTAO DE RECURSOS LTDA</v>
          </cell>
        </row>
        <row r="19474">
          <cell r="B19474">
            <v>81105</v>
          </cell>
          <cell r="C19474" t="str">
            <v>SAFRA CURIE MASTER FUNDO DE INVESTIMENTO MULTIMERCADO</v>
          </cell>
          <cell r="D19474" t="str">
            <v>SAFRA CURIE MASTER FUNDO DE INVESTIMENTO MULTIMERCADO</v>
          </cell>
          <cell r="E19474" t="str">
            <v>SAFRA ASSET MANAGEMENT LTDA</v>
          </cell>
        </row>
        <row r="19475">
          <cell r="B19475">
            <v>81105</v>
          </cell>
          <cell r="C19475" t="str">
            <v>SAFRA CURIE MASTER FUNDO DE INVESTIMENTO MULTIMERCADO</v>
          </cell>
          <cell r="D19475" t="str">
            <v>SAFRA CURIE MASTER FUNDO DE INVESTIMENTO MULTIMERCADO</v>
          </cell>
          <cell r="E19475" t="str">
            <v>SAFRA ASSET MANAGEMENT LTDA</v>
          </cell>
        </row>
        <row r="19476">
          <cell r="B19476">
            <v>81106</v>
          </cell>
          <cell r="C19476" t="str">
            <v>ASA ASSET 2 GESTAO DE RECURSOS LTDA</v>
          </cell>
          <cell r="D19476" t="str">
            <v>ASA ASSET 2 GESTAO DE RECURSOS LTDA</v>
          </cell>
          <cell r="E19476" t="str">
            <v>ASA ASSET GESTAO EM INVESTIMENTOS LTDA</v>
          </cell>
        </row>
        <row r="19477">
          <cell r="B19477">
            <v>81106</v>
          </cell>
          <cell r="C19477" t="str">
            <v>ASA ASSET 2 GESTAO DE RECURSOS LTDA</v>
          </cell>
          <cell r="D19477" t="str">
            <v>ASA ASSET 2 GESTAO DE RECURSOS LTDA</v>
          </cell>
          <cell r="E19477" t="str">
            <v>ASA ASSET GESTAO EM INVESTIMENTOS LTDA</v>
          </cell>
        </row>
        <row r="19478">
          <cell r="B19478">
            <v>81107</v>
          </cell>
          <cell r="C19478" t="str">
            <v>KAPITALO INVESTIMENTOS LTDA</v>
          </cell>
          <cell r="D19478" t="str">
            <v>KAPITALO INVESTIMENTOS LTDA</v>
          </cell>
          <cell r="E19478" t="str">
            <v>KAPITALO INVESTIMENTOS LTDA</v>
          </cell>
        </row>
        <row r="19479">
          <cell r="B19479">
            <v>81107</v>
          </cell>
          <cell r="C19479" t="str">
            <v>KAPITALO INVESTIMENTOS LTDA</v>
          </cell>
          <cell r="D19479" t="str">
            <v>KAPITALO INVESTIMENTOS LTDA</v>
          </cell>
          <cell r="E19479" t="str">
            <v>KAPITALO INVESTIMENTOS LTDA</v>
          </cell>
        </row>
        <row r="19480">
          <cell r="B19480">
            <v>81109</v>
          </cell>
          <cell r="C19480" t="str">
            <v>BANCO TRAVELEX S.A.</v>
          </cell>
          <cell r="D19480" t="str">
            <v>BANCO TRAVELEX S.A.</v>
          </cell>
          <cell r="E19480" t="str">
            <v>TRAVELEX BANCO DE CAMBIO S/A</v>
          </cell>
        </row>
        <row r="19481">
          <cell r="B19481">
            <v>81110</v>
          </cell>
          <cell r="C19481" t="str">
            <v>ITAU UNIBANCO S.A.</v>
          </cell>
          <cell r="D19481" t="str">
            <v>ITAU UNIBANCO S.A.</v>
          </cell>
          <cell r="E19481" t="str">
            <v>ITAU UNIBANCO S/A</v>
          </cell>
        </row>
        <row r="19482">
          <cell r="B19482">
            <v>81111</v>
          </cell>
          <cell r="C19482" t="str">
            <v>ESTRELA GUIA FIM CP IE</v>
          </cell>
          <cell r="D19482" t="str">
            <v>ESTRELA GUIA FIM CP IE</v>
          </cell>
          <cell r="E19482" t="str">
            <v>EMPIRICUS GESTAO DE RECURSOS LTDA</v>
          </cell>
        </row>
        <row r="19483">
          <cell r="B19483">
            <v>81111</v>
          </cell>
          <cell r="C19483" t="str">
            <v>ESTRELA GUIA FIM CP IE</v>
          </cell>
          <cell r="D19483" t="str">
            <v>ESTRELA GUIA FIM CP IE</v>
          </cell>
          <cell r="E19483" t="str">
            <v>EMPIRICUS GESTAO DE RECURSOS LTDA</v>
          </cell>
        </row>
        <row r="19484">
          <cell r="B19484">
            <v>81112</v>
          </cell>
          <cell r="C19484" t="str">
            <v>RADAR GESTORA DE RECURSOS LTDA</v>
          </cell>
          <cell r="D19484" t="str">
            <v>RADAR GESTORA DE RECURSOS LTDA</v>
          </cell>
          <cell r="E19484" t="str">
            <v>RADAR GESTORA DE RECURSOS LTDA</v>
          </cell>
        </row>
        <row r="19485">
          <cell r="B19485">
            <v>81112</v>
          </cell>
          <cell r="C19485" t="str">
            <v>RADAR GESTORA DE RECURSOS LTDA</v>
          </cell>
          <cell r="D19485" t="str">
            <v>RADAR GESTORA DE RECURSOS LTDA</v>
          </cell>
          <cell r="E19485" t="str">
            <v>RADAR GESTORA DE RECURSOS LTDA</v>
          </cell>
        </row>
        <row r="19486">
          <cell r="B19486">
            <v>81113</v>
          </cell>
          <cell r="C19486" t="str">
            <v>ESQUILO FUND FUNDO DE INVESTIMENTO MULTIMERCADO CREDITO PRIV</v>
          </cell>
          <cell r="D19486" t="str">
            <v>ESQUILO FUND FUNDO DE INVESTIMENTO MULTIMERCADO CREDITO PRIV</v>
          </cell>
          <cell r="E19486" t="str">
            <v>EMPIRICUS GESTAO DE RECURSOS LTDA</v>
          </cell>
        </row>
        <row r="19487">
          <cell r="B19487">
            <v>81113</v>
          </cell>
          <cell r="C19487" t="str">
            <v>ESQUILO FUND FUNDO DE INVESTIMENTO MULTIMERCADO CREDITO PRIV</v>
          </cell>
          <cell r="D19487" t="str">
            <v>ESQUILO FUND FUNDO DE INVESTIMENTO MULTIMERCADO CREDITO PRIV</v>
          </cell>
          <cell r="E19487" t="str">
            <v>EMPIRICUS GESTAO DE RECURSOS LTDA</v>
          </cell>
        </row>
        <row r="19488">
          <cell r="B19488">
            <v>81114</v>
          </cell>
          <cell r="C19488" t="str">
            <v>CALA BENIDAA FUNDO DE INVESTIMENTO MULTIMERCADO CRÃ‰DITO PRIV</v>
          </cell>
          <cell r="D19488" t="str">
            <v>CALA BENIDAA FUNDO DE INVESTIMENTO MULTIMERCADO CRÃ‰DITO PRIV</v>
          </cell>
          <cell r="E19488" t="str">
            <v>EMPIRICUS GESTAO DE RECURSOS LTDA</v>
          </cell>
        </row>
        <row r="19489">
          <cell r="B19489">
            <v>81115</v>
          </cell>
          <cell r="C19489" t="str">
            <v>TAMBATAJÃ FUNDO DE INVESTIMENTO EM AÃ‡Ã•ES INVESTIMENTO NO EXT</v>
          </cell>
          <cell r="D19489" t="str">
            <v>TAMBATAJÃ FUNDO DE INVESTIMENTO EM AÃ‡Ã•ES INVESTIMENTO NO EXT</v>
          </cell>
          <cell r="E19489" t="str">
            <v>EMPIRICUS GESTAO DE RECURSOS LTDA</v>
          </cell>
        </row>
        <row r="19490">
          <cell r="B19490">
            <v>81116</v>
          </cell>
          <cell r="C19490" t="str">
            <v>TRIGO FUNDO DE INVESTIMENTO MULTIMERCADO CRÃ‰DITO PRIVADO INV</v>
          </cell>
          <cell r="D19490" t="str">
            <v>TRIGO FUNDO DE INVESTIMENTO MULTIMERCADO CRÃ‰DITO PRIVADO INV</v>
          </cell>
          <cell r="E19490" t="str">
            <v>EMPIRICUS GESTAO DE RECURSOS LTDA</v>
          </cell>
        </row>
        <row r="19491">
          <cell r="B19491">
            <v>81114</v>
          </cell>
          <cell r="C19491" t="str">
            <v>CALA BENIDAA FUNDO DE INVESTIMENTO MULTIMERCADO CRÃ‰DITO PRIV</v>
          </cell>
          <cell r="D19491" t="str">
            <v>CALA BENIDAA FUNDO DE INVESTIMENTO MULTIMERCADO CRÃ‰DITO PRIV</v>
          </cell>
          <cell r="E19491" t="str">
            <v>EMPIRICUS GESTAO DE RECURSOS LTDA</v>
          </cell>
        </row>
        <row r="19492">
          <cell r="B19492">
            <v>81115</v>
          </cell>
          <cell r="C19492" t="str">
            <v>TAMBATAJÃ FUNDO DE INVESTIMENTO EM AÃ‡Ã•ES INVESTIMENTO NO EXT</v>
          </cell>
          <cell r="D19492" t="str">
            <v>TAMBATAJÃ FUNDO DE INVESTIMENTO EM AÃ‡Ã•ES INVESTIMENTO NO EXT</v>
          </cell>
          <cell r="E19492" t="str">
            <v>EMPIRICUS GESTAO DE RECURSOS LTDA</v>
          </cell>
        </row>
        <row r="19493">
          <cell r="B19493">
            <v>81116</v>
          </cell>
          <cell r="C19493" t="str">
            <v>TRIGO FUNDO DE INVESTIMENTO MULTIMERCADO CRÃ‰DITO PRIVADO INV</v>
          </cell>
          <cell r="D19493" t="str">
            <v>TRIGO FUNDO DE INVESTIMENTO MULTIMERCADO CRÃ‰DITO PRIVADO INV</v>
          </cell>
          <cell r="E19493" t="str">
            <v>EMPIRICUS GESTAO DE RECURSOS LTDA</v>
          </cell>
        </row>
        <row r="19494">
          <cell r="B19494">
            <v>81117</v>
          </cell>
          <cell r="C19494" t="str">
            <v>PSTAR FIA</v>
          </cell>
          <cell r="D19494" t="str">
            <v>PSTAR FIA</v>
          </cell>
          <cell r="E19494" t="str">
            <v>PACIFICO GESTAO DE RECURSOS LTDA</v>
          </cell>
        </row>
        <row r="19495">
          <cell r="B19495">
            <v>81117</v>
          </cell>
          <cell r="C19495" t="str">
            <v>PSTAR FIA</v>
          </cell>
          <cell r="D19495" t="str">
            <v>PSTAR FIA</v>
          </cell>
          <cell r="E19495" t="str">
            <v>PACIFICO GESTAO DE RECURSOS LTDA</v>
          </cell>
        </row>
        <row r="19496">
          <cell r="B19496">
            <v>125667</v>
          </cell>
          <cell r="C19496" t="str">
            <v>NELFO FIM CP IE</v>
          </cell>
          <cell r="D19496" t="str">
            <v>NELFO FIM CP IE</v>
          </cell>
          <cell r="E19496" t="str">
            <v>JULIUS BAER FAMILY OFFICE BRASIL GESTAO DE PATRIMONIO LTDA</v>
          </cell>
        </row>
        <row r="19497">
          <cell r="B19497">
            <v>125667</v>
          </cell>
          <cell r="C19497" t="str">
            <v>NELFO FIM CP IE</v>
          </cell>
          <cell r="D19497" t="str">
            <v>NELFO FIM CP IE</v>
          </cell>
          <cell r="E19497" t="str">
            <v>JULIUS BAER FAMILY OFFICE BRASIL GESTAO DE PATRIMONIO LTDA</v>
          </cell>
        </row>
        <row r="19498">
          <cell r="B19498">
            <v>125668</v>
          </cell>
          <cell r="C19498" t="str">
            <v>HRM ROCKET FIA</v>
          </cell>
          <cell r="D19498" t="str">
            <v>HRM ROCKET FIA</v>
          </cell>
          <cell r="E19498" t="str">
            <v>JULIUS BAER FAMILY OFFICE BRASIL GESTAO DE PATRIMONIO LTDA</v>
          </cell>
        </row>
        <row r="19499">
          <cell r="B19499">
            <v>125668</v>
          </cell>
          <cell r="C19499" t="str">
            <v>HRM ROCKET FIA</v>
          </cell>
          <cell r="D19499" t="str">
            <v>HRM ROCKET FIA</v>
          </cell>
          <cell r="E19499" t="str">
            <v>JULIUS BAER FAMILY OFFICE BRASIL GESTAO DE PATRIMONIO LTDA</v>
          </cell>
        </row>
        <row r="19500">
          <cell r="B19500">
            <v>125669</v>
          </cell>
          <cell r="C19500" t="str">
            <v>EPM FII EM ESTRUTURA RENDA FIXA</v>
          </cell>
          <cell r="D19500" t="str">
            <v>EPM FII EM ESTRUTURA RENDA FIXA</v>
          </cell>
          <cell r="E19500" t="str">
            <v>JULIUS BAER FAMILY OFFICE BRASIL GESTAO DE PATRIMONIO LTDA</v>
          </cell>
        </row>
        <row r="19501">
          <cell r="B19501">
            <v>125669</v>
          </cell>
          <cell r="C19501" t="str">
            <v>EPM FII EM ESTRUTURA RENDA FIXA</v>
          </cell>
          <cell r="D19501" t="str">
            <v>EPM FII EM ESTRUTURA RENDA FIXA</v>
          </cell>
          <cell r="E19501" t="str">
            <v>JULIUS BAER FAMILY OFFICE BRASIL GESTAO DE PATRIMONIO LTDA</v>
          </cell>
        </row>
        <row r="19502">
          <cell r="B19502">
            <v>125670</v>
          </cell>
          <cell r="C19502" t="str">
            <v>BONSAI II FIM CP IE</v>
          </cell>
          <cell r="D19502" t="str">
            <v>BONSAI II FIM CP IE</v>
          </cell>
          <cell r="E19502" t="str">
            <v>BONSAI II FIM CP IE</v>
          </cell>
        </row>
        <row r="19503">
          <cell r="B19503">
            <v>125670</v>
          </cell>
          <cell r="C19503" t="str">
            <v>BONSAI II FIM CP IE</v>
          </cell>
          <cell r="D19503" t="str">
            <v>BONSAI II FIM CP IE</v>
          </cell>
          <cell r="E19503" t="str">
            <v>BONSAI II FIM CP IE</v>
          </cell>
        </row>
        <row r="19504">
          <cell r="B19504">
            <v>125671</v>
          </cell>
          <cell r="C19504" t="str">
            <v>ROCH FIA BDR NIVEL I</v>
          </cell>
          <cell r="D19504" t="str">
            <v>ROCH FIA BDR NIVEL I</v>
          </cell>
          <cell r="E19504" t="str">
            <v>JULIUS BAER FAMILY OFFICE BRASIL GESTAO DE PATRIMONIO LTDA</v>
          </cell>
        </row>
        <row r="19505">
          <cell r="B19505">
            <v>125671</v>
          </cell>
          <cell r="C19505" t="str">
            <v>ROCH FIA BDR NIVEL I</v>
          </cell>
          <cell r="D19505" t="str">
            <v>ROCH FIA BDR NIVEL I</v>
          </cell>
          <cell r="E19505" t="str">
            <v>JULIUS BAER FAMILY OFFICE BRASIL GESTAO DE PATRIMONIO LTDA</v>
          </cell>
        </row>
        <row r="19506">
          <cell r="B19506">
            <v>125672</v>
          </cell>
          <cell r="C19506" t="str">
            <v>CALAMBRIAO FUNDO DE INVESTIMENTO MULTIMERCADO CREDITO PRIVAD</v>
          </cell>
          <cell r="D19506" t="str">
            <v>CALAMBRIAO FUNDO DE INVESTIMENTO MULTIMERCADO CREDITO PRIVAD</v>
          </cell>
          <cell r="E19506" t="str">
            <v>JULIUS BAER FAMILY OFFICE BRASIL GESTAO DE PATRIMONIO LTDA</v>
          </cell>
        </row>
        <row r="19507">
          <cell r="B19507">
            <v>125672</v>
          </cell>
          <cell r="C19507" t="str">
            <v>CALAMBRIAO FUNDO DE INVESTIMENTO MULTIMERCADO CREDITO PRIVAD</v>
          </cell>
          <cell r="D19507" t="str">
            <v>CALAMBRIAO FUNDO DE INVESTIMENTO MULTIMERCADO CREDITO PRIVAD</v>
          </cell>
          <cell r="E19507" t="str">
            <v>JULIUS BAER FAMILY OFFICE BRASIL GESTAO DE PATRIMONIO LTDA</v>
          </cell>
        </row>
        <row r="19508">
          <cell r="B19508">
            <v>125673</v>
          </cell>
          <cell r="C19508" t="str">
            <v>WWCV FUNDO DE INVESTIMENTO MULTIMERCADO CREDITO PRIVADO INVE</v>
          </cell>
          <cell r="D19508" t="str">
            <v>WWCV FUNDO DE INVESTIMENTO MULTIMERCADO CREDITO PRIVADO INVE</v>
          </cell>
          <cell r="E19508" t="str">
            <v>JULIUS BAER FAMILY OFFICE BRASIL GESTAO DE PATRIMONIO LTDA</v>
          </cell>
        </row>
        <row r="19509">
          <cell r="B19509">
            <v>125673</v>
          </cell>
          <cell r="C19509" t="str">
            <v>WWCV FUNDO DE INVESTIMENTO MULTIMERCADO CREDITO PRIVADO INVE</v>
          </cell>
          <cell r="D19509" t="str">
            <v>WWCV FUNDO DE INVESTIMENTO MULTIMERCADO CREDITO PRIVADO INVE</v>
          </cell>
          <cell r="E19509" t="str">
            <v>JULIUS BAER FAMILY OFFICE BRASIL GESTAO DE PATRIMONIO LTDA</v>
          </cell>
        </row>
        <row r="19510">
          <cell r="B19510">
            <v>81118</v>
          </cell>
          <cell r="C19510" t="str">
            <v>SAFRA ASSET MANAGEMENT LTDA</v>
          </cell>
          <cell r="D19510" t="str">
            <v>SAFRA ASSET MANAGEMENT LTDA</v>
          </cell>
          <cell r="E19510" t="str">
            <v>SAFRA ASSET MANAGEMENT LTDA</v>
          </cell>
        </row>
        <row r="19511">
          <cell r="B19511">
            <v>81118</v>
          </cell>
          <cell r="C19511" t="str">
            <v>SAFRA ASSET MANAGEMENT LTDA</v>
          </cell>
          <cell r="D19511" t="str">
            <v>SAFRA ASSET MANAGEMENT LTDA</v>
          </cell>
          <cell r="E19511" t="str">
            <v>SAFRA ASSET MANAGEMENT LTDA</v>
          </cell>
        </row>
        <row r="19512">
          <cell r="B19512">
            <v>81119</v>
          </cell>
          <cell r="C19512" t="str">
            <v>SAFRA MAXWELL MACRO MASTER FIM CLASSE DE INV MULT RESP LTDA</v>
          </cell>
          <cell r="D19512" t="str">
            <v>SAFRA MAXWELL MACRO MASTER FIM CLASSE DE INV MULT RESP LTDA</v>
          </cell>
          <cell r="E19512" t="str">
            <v>EMERALD GESTAO DE INVESTIMENTOS LTDA</v>
          </cell>
        </row>
        <row r="19513">
          <cell r="B19513">
            <v>81120</v>
          </cell>
          <cell r="C19513" t="str">
            <v>SAFRA FERMAT MASTER FIM</v>
          </cell>
          <cell r="D19513" t="str">
            <v>SAFRA FERMAT MASTER FIM</v>
          </cell>
          <cell r="E19513" t="str">
            <v>EMERALD GESTAO DE INVESTIMENTOS LTDA</v>
          </cell>
        </row>
        <row r="19514">
          <cell r="B19514">
            <v>81120</v>
          </cell>
          <cell r="C19514" t="str">
            <v>SAFRA FERMAT MASTER FIM</v>
          </cell>
          <cell r="D19514" t="str">
            <v>SAFRA FERMAT MASTER FIM</v>
          </cell>
          <cell r="E19514" t="str">
            <v>EMERALD GESTAO DE INVESTIMENTOS LTDA</v>
          </cell>
        </row>
        <row r="19515">
          <cell r="B19515">
            <v>125674</v>
          </cell>
          <cell r="C19515" t="str">
            <v>CHEERS FIC DE FIM CP IE</v>
          </cell>
          <cell r="D19515" t="str">
            <v>CHEERS FIC DE FIM CP IE</v>
          </cell>
          <cell r="E19515" t="str">
            <v>JULIUS BAER FAMILY OFFICE BRASIL GESTAO DE PATRIMONIO LTDA</v>
          </cell>
        </row>
        <row r="19516">
          <cell r="B19516">
            <v>125674</v>
          </cell>
          <cell r="C19516" t="str">
            <v>CHEERS FIC DE FIM CP IE</v>
          </cell>
          <cell r="D19516" t="str">
            <v>CHEERS FIC DE FIM CP IE</v>
          </cell>
          <cell r="E19516" t="str">
            <v>JULIUS BAER FAMILY OFFICE BRASIL GESTAO DE PATRIMONIO LTDA</v>
          </cell>
        </row>
        <row r="19517">
          <cell r="B19517">
            <v>125675</v>
          </cell>
          <cell r="C19517" t="str">
            <v>SAO MIGUEL ARCANJO FII EM INFRA RF</v>
          </cell>
          <cell r="D19517" t="str">
            <v>SAO MIGUEL ARCANJO FII EM INFRA RF</v>
          </cell>
          <cell r="E19517" t="str">
            <v>JULIUS BAER FAMILY OFFICE BRASIL GESTAO DE PATRIMONIO LTDA</v>
          </cell>
        </row>
        <row r="19518">
          <cell r="B19518">
            <v>125675</v>
          </cell>
          <cell r="C19518" t="str">
            <v>SAO MIGUEL ARCANJO FII EM INFRA RF</v>
          </cell>
          <cell r="D19518" t="str">
            <v>SAO MIGUEL ARCANJO FII EM INFRA RF</v>
          </cell>
          <cell r="E19518" t="str">
            <v>JULIUS BAER FAMILY OFFICE BRASIL GESTAO DE PATRIMONIO LTDA</v>
          </cell>
        </row>
        <row r="19519">
          <cell r="B19519">
            <v>81121</v>
          </cell>
          <cell r="C19519" t="str">
            <v>SAFRA SHORT INDEX ALOCACAO FIM</v>
          </cell>
          <cell r="D19519" t="str">
            <v>SAFRA SHORT INDEX ALOCACAO FIM</v>
          </cell>
          <cell r="E19519" t="str">
            <v>EMERALD GESTAO DE INVESTIMENTOS LTDA</v>
          </cell>
        </row>
        <row r="19520">
          <cell r="B19520">
            <v>81121</v>
          </cell>
          <cell r="C19520" t="str">
            <v>SAFRA SHORT INDEX ALOCACAO FIM</v>
          </cell>
          <cell r="D19520" t="str">
            <v>SAFRA SHORT INDEX ALOCACAO FIM</v>
          </cell>
          <cell r="E19520" t="str">
            <v>EMERALD GESTAO DE INVESTIMENTOS LTDA</v>
          </cell>
        </row>
        <row r="19521">
          <cell r="B19521">
            <v>81122</v>
          </cell>
          <cell r="C19521" t="str">
            <v>SAFRA DIRECT BANCOS MASTER FIA</v>
          </cell>
          <cell r="D19521" t="str">
            <v>SAFRA DIRECT BANCOS MASTER FIA</v>
          </cell>
          <cell r="E19521" t="str">
            <v>SAFRA ASSET MANAGEMENT LTDA</v>
          </cell>
        </row>
        <row r="19522">
          <cell r="B19522">
            <v>81122</v>
          </cell>
          <cell r="C19522" t="str">
            <v>SAFRA DIRECT BANCOS MASTER FIA</v>
          </cell>
          <cell r="D19522" t="str">
            <v>SAFRA DIRECT BANCOS MASTER FIA</v>
          </cell>
          <cell r="E19522" t="str">
            <v>SAFRA ASSET MANAGEMENT LTDA</v>
          </cell>
        </row>
        <row r="19523">
          <cell r="B19523">
            <v>81123</v>
          </cell>
          <cell r="C19523" t="str">
            <v>SAFRA ETF IBOVESPA FUNDO DE INDICE - RESPONSABILIDADE LIMITA</v>
          </cell>
          <cell r="D19523" t="str">
            <v>SAFRA ETF IBOVESPA FUNDO DE INDICE - RESPONSABILIDADE LIMITA</v>
          </cell>
          <cell r="E19523" t="str">
            <v>EMERALD GESTAO DE INVESTIMENTOS LTDA</v>
          </cell>
        </row>
        <row r="19524">
          <cell r="B19524">
            <v>81124</v>
          </cell>
          <cell r="C19524" t="str">
            <v>SAFRA CASH EXCLUSIVE FI RF REFERENCIADO DI CP</v>
          </cell>
          <cell r="D19524" t="str">
            <v>SAFRA CASH EXCLUSIVE FI RF REFERENCIADO DI CP</v>
          </cell>
          <cell r="E19524" t="str">
            <v>SAFRA ASSET MANAGEMENT LTDA</v>
          </cell>
        </row>
        <row r="19525">
          <cell r="B19525">
            <v>81125</v>
          </cell>
          <cell r="C19525" t="str">
            <v>ALASKA PREVIDENCIA MASTER FIM</v>
          </cell>
          <cell r="D19525" t="str">
            <v>ALASKA PREVIDENCIA MASTER FIM</v>
          </cell>
          <cell r="E19525" t="str">
            <v>ALASKA INVESTIMENTOS LTDA</v>
          </cell>
        </row>
        <row r="19526">
          <cell r="B19526">
            <v>81127</v>
          </cell>
          <cell r="C19526" t="str">
            <v>MANAGER ABSOLUTE VERTEX PREV FIC DE FIM PREV</v>
          </cell>
          <cell r="D19526" t="str">
            <v>MANAGER ABSOLUTE VERTEX PREV FIC DE FIM PREV</v>
          </cell>
          <cell r="E19526" t="str">
            <v>TURMALINA GESTAO E ADMINISTRAÃ‡ÃƒO DE RECURSOS SA</v>
          </cell>
        </row>
        <row r="19527">
          <cell r="B19527">
            <v>81128</v>
          </cell>
          <cell r="C19527" t="str">
            <v>CLAVE GESTORA DE RECURSOS LTDA</v>
          </cell>
          <cell r="D19527" t="str">
            <v>CLAVE GESTORA DE RECURSOS LTDA</v>
          </cell>
          <cell r="E19527" t="str">
            <v>CLAVE GESTORA DE RECURSOS LTDA</v>
          </cell>
        </row>
        <row r="19528">
          <cell r="B19528">
            <v>81128</v>
          </cell>
          <cell r="C19528" t="str">
            <v>CLAVE GESTORA DE RECURSOS LTDA</v>
          </cell>
          <cell r="D19528" t="str">
            <v>CLAVE GESTORA DE RECURSOS LTDA</v>
          </cell>
          <cell r="E19528" t="str">
            <v>CLAVE GESTORA DE RECURSOS LTDA</v>
          </cell>
        </row>
        <row r="19529">
          <cell r="B19529">
            <v>81129</v>
          </cell>
          <cell r="C19529" t="str">
            <v>PETROLEO BRASILEIRO S.A - PETROBRAS</v>
          </cell>
          <cell r="D19529" t="str">
            <v>PETROLEO BRASILEIRO S.A - PETROBRAS</v>
          </cell>
          <cell r="E19529" t="str">
            <v>PETROLEO BRASILEIRO S.A - PETROBRAS</v>
          </cell>
        </row>
        <row r="19530">
          <cell r="B19530">
            <v>125676</v>
          </cell>
          <cell r="C19530" t="str">
            <v>BB GESTAO DE RECURSOS DTVM LTDA</v>
          </cell>
          <cell r="D19530" t="str">
            <v>BB GESTAO DE RECURSOS DTVM LTDA</v>
          </cell>
          <cell r="E19530" t="str">
            <v>BB GESTAO DE RECURSOS DTVM LTDA</v>
          </cell>
        </row>
        <row r="19531">
          <cell r="B19531">
            <v>81130</v>
          </cell>
          <cell r="C19531" t="str">
            <v>ACACIA FIM CP IE</v>
          </cell>
          <cell r="D19531" t="str">
            <v>ACACIA FIM CP IE</v>
          </cell>
          <cell r="E19531" t="str">
            <v>EMPIRICUS GESTAO DE RECURSOS LTDA</v>
          </cell>
        </row>
        <row r="19532">
          <cell r="B19532">
            <v>81131</v>
          </cell>
          <cell r="C19532" t="str">
            <v>GC AETERNUM FIM CP IE</v>
          </cell>
          <cell r="D19532" t="str">
            <v>GC AETERNUM FIM CP IE</v>
          </cell>
          <cell r="E19532" t="str">
            <v>EMPIRICUS GESTAO DE RECURSOS LTDA</v>
          </cell>
        </row>
        <row r="19533">
          <cell r="B19533">
            <v>81130</v>
          </cell>
          <cell r="C19533" t="str">
            <v>ACACIA FIM CP IE</v>
          </cell>
          <cell r="D19533" t="str">
            <v>ACACIA FIM CP IE</v>
          </cell>
          <cell r="E19533" t="str">
            <v>EMPIRICUS GESTAO DE RECURSOS LTDA</v>
          </cell>
        </row>
        <row r="19534">
          <cell r="B19534">
            <v>81131</v>
          </cell>
          <cell r="C19534" t="str">
            <v>GC AETERNUM FIM CP IE</v>
          </cell>
          <cell r="D19534" t="str">
            <v>GC AETERNUM FIM CP IE</v>
          </cell>
          <cell r="E19534" t="str">
            <v>EMPIRICUS GESTAO DE RECURSOS LTDA</v>
          </cell>
        </row>
        <row r="19535">
          <cell r="B19535">
            <v>81132</v>
          </cell>
          <cell r="C19535" t="str">
            <v>VITREO AGRO FUNDO DE INVESTIMENTO MULTIMERCADO</v>
          </cell>
          <cell r="D19535" t="str">
            <v>VITREO AGRO FUNDO DE INVESTIMENTO MULTIMERCADO</v>
          </cell>
          <cell r="E19535" t="str">
            <v>EMPIRICUS GESTAO DE RECURSOS LTDA</v>
          </cell>
        </row>
        <row r="19536">
          <cell r="B19536">
            <v>81132</v>
          </cell>
          <cell r="C19536" t="str">
            <v>VITREO AGRO FUNDO DE INVESTIMENTO MULTIMERCADO</v>
          </cell>
          <cell r="D19536" t="str">
            <v>VITREO AGRO FUNDO DE INVESTIMENTO MULTIMERCADO</v>
          </cell>
          <cell r="E19536" t="str">
            <v>EMPIRICUS GESTAO DE RECURSOS LTDA</v>
          </cell>
        </row>
        <row r="19537">
          <cell r="B19537">
            <v>81133</v>
          </cell>
          <cell r="C19537" t="str">
            <v>GAP ABSOLUTO FIFE FIM</v>
          </cell>
          <cell r="D19537" t="str">
            <v>GAP ABSOLUTO FIFE FIM</v>
          </cell>
          <cell r="E19537" t="str">
            <v>GAP GESTORA DE RECURSOS LTDA</v>
          </cell>
        </row>
        <row r="19538">
          <cell r="B19538">
            <v>81133</v>
          </cell>
          <cell r="C19538" t="str">
            <v>GAP ABSOLUTO FIFE FIM</v>
          </cell>
          <cell r="D19538" t="str">
            <v>GAP ABSOLUTO FIFE FIM</v>
          </cell>
          <cell r="E19538" t="str">
            <v>GAP GESTORA DE RECURSOS LTDA</v>
          </cell>
        </row>
        <row r="19539">
          <cell r="B19539">
            <v>125677</v>
          </cell>
          <cell r="C19539" t="str">
            <v>SAFRA HEDGE ALOCAÃ‡ÃƒO FUNDO DE INVESTIMENTO MULTIMERCADO</v>
          </cell>
          <cell r="D19539" t="str">
            <v>SAFRA HEDGE ALOCAÃ‡ÃƒO FUNDO DE INVESTIMENTO MULTIMERCADO</v>
          </cell>
          <cell r="E19539" t="str">
            <v>EMERALD GESTAO DE INVESTIMENTOS LTDA</v>
          </cell>
        </row>
        <row r="19540">
          <cell r="B19540">
            <v>125677</v>
          </cell>
          <cell r="C19540" t="str">
            <v>SAFRA HEDGE ALOCAÃ‡ÃƒO FUNDO DE INVESTIMENTO MULTIMERCADO</v>
          </cell>
          <cell r="D19540" t="str">
            <v>SAFRA HEDGE ALOCAÃ‡ÃƒO FUNDO DE INVESTIMENTO MULTIMERCADO</v>
          </cell>
          <cell r="E19540" t="str">
            <v>EMERALD GESTAO DE INVESTIMENTOS LTDA</v>
          </cell>
        </row>
        <row r="19541">
          <cell r="B19541">
            <v>81135</v>
          </cell>
          <cell r="C19541" t="str">
            <v>TOWER THREE RV GESTORA DE RECURSOS LTDA.</v>
          </cell>
          <cell r="D19541" t="str">
            <v>TOWER THREE RV GESTORA DE RECURSOS LTDA.</v>
          </cell>
          <cell r="E19541" t="str">
            <v>TOWER THREE RV GESTORA DE RECURSOS LTDA.</v>
          </cell>
        </row>
        <row r="19542">
          <cell r="B19542">
            <v>81135</v>
          </cell>
          <cell r="C19542" t="str">
            <v>TOWER THREE RV GESTORA DE RECURSOS LTDA.</v>
          </cell>
          <cell r="D19542" t="str">
            <v>TOWER THREE RV GESTORA DE RECURSOS LTDA.</v>
          </cell>
          <cell r="E19542" t="str">
            <v>TOWER THREE RV GESTORA DE RECURSOS LTDA.</v>
          </cell>
        </row>
        <row r="19543">
          <cell r="B19543">
            <v>81134</v>
          </cell>
          <cell r="C19543" t="str">
            <v>MALIKO INVESTMENTS LLC</v>
          </cell>
          <cell r="D19543" t="str">
            <v>MALIKO INVESTMENTS LLC</v>
          </cell>
          <cell r="E19543" t="str">
            <v>RADAR GESTORA DE RECURSOS LTDA</v>
          </cell>
        </row>
        <row r="19544">
          <cell r="B19544">
            <v>81134</v>
          </cell>
          <cell r="C19544" t="str">
            <v>MALIKO INVESTMENTS LLC</v>
          </cell>
          <cell r="D19544" t="str">
            <v>MALIKO INVESTMENTS LLC</v>
          </cell>
          <cell r="E19544" t="str">
            <v>RADAR GESTORA DE RECURSOS LTDA</v>
          </cell>
        </row>
        <row r="19545">
          <cell r="B19545">
            <v>125678</v>
          </cell>
          <cell r="C19545" t="str">
            <v>BB GESTAO DE RECURSOS DTVM LTDA</v>
          </cell>
          <cell r="D19545" t="str">
            <v>BB GESTAO DE RECURSOS DTVM LTDA</v>
          </cell>
          <cell r="E19545" t="str">
            <v>BB GESTAO DE RECURSOS DTVM LTDA</v>
          </cell>
        </row>
        <row r="19546">
          <cell r="B19546">
            <v>125678</v>
          </cell>
          <cell r="C19546" t="str">
            <v>BB GESTAO DE RECURSOS DTVM LTDA</v>
          </cell>
          <cell r="D19546" t="str">
            <v>BB GESTAO DE RECURSOS DTVM LTDA</v>
          </cell>
          <cell r="E19546" t="str">
            <v>BB GESTAO DE RECURSOS DTVM LTDA</v>
          </cell>
        </row>
        <row r="19547">
          <cell r="B19547">
            <v>125679</v>
          </cell>
          <cell r="C19547" t="str">
            <v>BB GESTAO DE RECURSOS DTVM LTDA</v>
          </cell>
          <cell r="D19547" t="str">
            <v>BB GESTAO DE RECURSOS DTVM LTDA</v>
          </cell>
          <cell r="E19547" t="str">
            <v>BB GESTAO DE RECURSOS DTVM LTDA</v>
          </cell>
        </row>
        <row r="19548">
          <cell r="B19548">
            <v>125680</v>
          </cell>
          <cell r="C19548" t="str">
            <v>ITAU INFLATION EQUITY OPPORTUNITIES MULT FIF RESP LIMITADA</v>
          </cell>
          <cell r="D19548" t="str">
            <v>ITAU INFLATION EQUITY OPPORTUNITIES MULT FIF RESP LIMITADA</v>
          </cell>
          <cell r="E19548" t="str">
            <v>ITAU UNIBANCO ASSET - TACO</v>
          </cell>
        </row>
        <row r="19549">
          <cell r="B19549">
            <v>125681</v>
          </cell>
          <cell r="C19549" t="str">
            <v>ITAU FLEXPREV OPTIMUS TITAN FIF MULT RESP LTDA</v>
          </cell>
          <cell r="D19549" t="str">
            <v>ITAU FLEXPREV OPTIMUS TITAN FIF MULT RESP LTDA</v>
          </cell>
          <cell r="E19549" t="str">
            <v>ITAU UNIBANCO ASSET - TACO</v>
          </cell>
        </row>
        <row r="19550">
          <cell r="B19550">
            <v>125682</v>
          </cell>
          <cell r="C19550" t="str">
            <v>ITAÃš OPTIMUS EXTREME MULT FIF RESP LTDA</v>
          </cell>
          <cell r="D19550" t="str">
            <v>ITAÃš OPTIMUS EXTREME MULT FIF RESP LTDA</v>
          </cell>
          <cell r="E19550" t="str">
            <v>ITAU UNIBANCO ASSET - TACO</v>
          </cell>
        </row>
        <row r="19551">
          <cell r="B19551">
            <v>125683</v>
          </cell>
          <cell r="C19551" t="str">
            <v>ITAÃš OPTIMUS TITAN MULT FIF RESP LTDA</v>
          </cell>
          <cell r="D19551" t="str">
            <v>ITAÃš OPTIMUS TITAN MULT FIF RESP LTDA</v>
          </cell>
          <cell r="E19551" t="str">
            <v>ITAU UNIBANCO ASSET - TACO</v>
          </cell>
        </row>
        <row r="19552">
          <cell r="B19552">
            <v>125684</v>
          </cell>
          <cell r="C19552" t="str">
            <v>ARX LONG BIASED MASTER FIA</v>
          </cell>
          <cell r="D19552" t="str">
            <v>ARX LONG BIASED MASTER FIA</v>
          </cell>
          <cell r="E19552" t="str">
            <v>ARX INVESTIMENTOS LTDA</v>
          </cell>
        </row>
        <row r="19553">
          <cell r="B19553">
            <v>125684</v>
          </cell>
          <cell r="C19553" t="str">
            <v>ARX LONG BIASED MASTER FIA</v>
          </cell>
          <cell r="D19553" t="str">
            <v>ARX LONG BIASED MASTER FIA</v>
          </cell>
          <cell r="E19553" t="str">
            <v>ARX INVESTIMENTOS LTDA</v>
          </cell>
        </row>
        <row r="19554">
          <cell r="B19554">
            <v>125685</v>
          </cell>
          <cell r="C19554" t="str">
            <v>BB GESTAO DE RECURSOS DTVM LTDA</v>
          </cell>
          <cell r="D19554" t="str">
            <v>BB GESTAO DE RECURSOS DTVM LTDA</v>
          </cell>
          <cell r="E19554" t="str">
            <v>BB GESTAO DE RECURSOS DTVM LTDA</v>
          </cell>
        </row>
        <row r="19555">
          <cell r="B19555">
            <v>125686</v>
          </cell>
          <cell r="C19555" t="str">
            <v>ITAÃš OPTIMUS LONG BIAS MULTIMERCADO FUNDO DE INVESTIMENTO</v>
          </cell>
          <cell r="D19555" t="str">
            <v>ITAÃš OPTIMUS LONG BIAS MULTIMERCADO FUNDO DE INVESTIMENTO</v>
          </cell>
          <cell r="E19555" t="str">
            <v>ITAU UNIBANCO ASSET - TACO</v>
          </cell>
        </row>
        <row r="19556">
          <cell r="B19556">
            <v>81136</v>
          </cell>
          <cell r="C19556" t="str">
            <v>VITREO AGUA FUNDO DE INVESTIMENTO EM AÃ‡Ã•ES</v>
          </cell>
          <cell r="D19556" t="str">
            <v>VITREO AGUA FUNDO DE INVESTIMENTO EM AÃ‡Ã•ES</v>
          </cell>
          <cell r="E19556" t="str">
            <v>EMPIRICUS GESTAO DE RECURSOS LTDA</v>
          </cell>
        </row>
        <row r="19557">
          <cell r="B19557">
            <v>81136</v>
          </cell>
          <cell r="C19557" t="str">
            <v>VITREO AGUA FUNDO DE INVESTIMENTO EM AÃ‡Ã•ES</v>
          </cell>
          <cell r="D19557" t="str">
            <v>VITREO AGUA FUNDO DE INVESTIMENTO EM AÃ‡Ã•ES</v>
          </cell>
          <cell r="E19557" t="str">
            <v>EMPIRICUS GESTAO DE RECURSOS LTDA</v>
          </cell>
        </row>
        <row r="19558">
          <cell r="B19558">
            <v>125687</v>
          </cell>
          <cell r="C19558" t="str">
            <v>VIC CLAVE ALPHA MACRO FIM</v>
          </cell>
          <cell r="D19558" t="str">
            <v>VIC CLAVE ALPHA MACRO FIM</v>
          </cell>
          <cell r="E19558" t="str">
            <v>JULIUS BAER FAMILY OFFICE BRASIL GESTAO DE PATRIMONIO LTDA</v>
          </cell>
        </row>
        <row r="19559">
          <cell r="B19559">
            <v>125687</v>
          </cell>
          <cell r="C19559" t="str">
            <v>VIC CLAVE ALPHA MACRO FIM</v>
          </cell>
          <cell r="D19559" t="str">
            <v>VIC CLAVE ALPHA MACRO FIM</v>
          </cell>
          <cell r="E19559" t="str">
            <v>JULIUS BAER FAMILY OFFICE BRASIL GESTAO DE PATRIMONIO LTDA</v>
          </cell>
        </row>
        <row r="19560">
          <cell r="B19560">
            <v>125688</v>
          </cell>
          <cell r="C19560" t="str">
            <v>LEGADO FIM CP IE</v>
          </cell>
          <cell r="D19560" t="str">
            <v>LEGADO FIM CP IE</v>
          </cell>
          <cell r="E19560" t="str">
            <v>JULIUS BAER FAMILY OFFICE BRASIL GESTAO DE PATRIMONIO LTDA</v>
          </cell>
        </row>
        <row r="19561">
          <cell r="B19561">
            <v>125688</v>
          </cell>
          <cell r="C19561" t="str">
            <v>LEGADO FIM CP IE</v>
          </cell>
          <cell r="D19561" t="str">
            <v>LEGADO FIM CP IE</v>
          </cell>
          <cell r="E19561" t="str">
            <v>JULIUS BAER FAMILY OFFICE BRASIL GESTAO DE PATRIMONIO LTDA</v>
          </cell>
        </row>
        <row r="19562">
          <cell r="B19562">
            <v>125689</v>
          </cell>
          <cell r="C19562" t="str">
            <v>NEO NAVITAS B MASTER FIA</v>
          </cell>
          <cell r="D19562" t="str">
            <v>NEO NAVITAS B MASTER FIA</v>
          </cell>
          <cell r="E19562" t="str">
            <v>NEO GESTÃO DE RECURSOS LTDA</v>
          </cell>
        </row>
        <row r="19563">
          <cell r="B19563">
            <v>125690</v>
          </cell>
          <cell r="C19563" t="str">
            <v>NEO NAVITAS PREV MASTER XP SEGUROS FIA</v>
          </cell>
          <cell r="D19563" t="str">
            <v>NEO NAVITAS PREV MASTER XP SEGUROS FIA</v>
          </cell>
          <cell r="E19563" t="str">
            <v>NEO GESTÃO DE RECURSOS LTDA</v>
          </cell>
        </row>
        <row r="19564">
          <cell r="B19564">
            <v>125689</v>
          </cell>
          <cell r="C19564" t="str">
            <v>NEO NAVITAS B MASTER FIA</v>
          </cell>
          <cell r="D19564" t="str">
            <v>NEO NAVITAS B MASTER FIA</v>
          </cell>
          <cell r="E19564" t="str">
            <v>NEO GESTÃO DE RECURSOS LTDA</v>
          </cell>
        </row>
        <row r="19565">
          <cell r="B19565">
            <v>125690</v>
          </cell>
          <cell r="C19565" t="str">
            <v>NEO NAVITAS PREV MASTER XP SEGUROS FIA</v>
          </cell>
          <cell r="D19565" t="str">
            <v>NEO NAVITAS PREV MASTER XP SEGUROS FIA</v>
          </cell>
          <cell r="E19565" t="str">
            <v>NEO GESTÃO DE RECURSOS LTDA</v>
          </cell>
        </row>
        <row r="19566">
          <cell r="B19566">
            <v>81138</v>
          </cell>
          <cell r="C19566" t="str">
            <v>VTR QR CRIPTO FUNDO DE INVESTIMENTO MULTIMERCADO INVESTIMENT</v>
          </cell>
          <cell r="D19566" t="str">
            <v>VTR QR CRIPTO FUNDO DE INVESTIMENTO MULTIMERCADO INVESTIMENT</v>
          </cell>
          <cell r="E19566" t="str">
            <v>EMPIRICUS GESTAO DE RECURSOS LTDA</v>
          </cell>
        </row>
        <row r="19567">
          <cell r="B19567">
            <v>81138</v>
          </cell>
          <cell r="C19567" t="str">
            <v>VTR QR CRIPTO FUNDO DE INVESTIMENTO MULTIMERCADO INVESTIMENT</v>
          </cell>
          <cell r="D19567" t="str">
            <v>VTR QR CRIPTO FUNDO DE INVESTIMENTO MULTIMERCADO INVESTIMENT</v>
          </cell>
          <cell r="E19567" t="str">
            <v>EMPIRICUS GESTAO DE RECURSOS LTDA</v>
          </cell>
        </row>
        <row r="19568">
          <cell r="B19568">
            <v>81139</v>
          </cell>
          <cell r="C19568" t="str">
            <v>NXT CAPITAL B.V.</v>
          </cell>
          <cell r="D19568" t="str">
            <v>NXT CAPITAL B.V.</v>
          </cell>
          <cell r="E19568" t="str">
            <v>NXT CAPITAL B.V.</v>
          </cell>
        </row>
        <row r="19569">
          <cell r="B19569">
            <v>81140</v>
          </cell>
          <cell r="C19569" t="str">
            <v>NXT CAPITAL B.V.</v>
          </cell>
          <cell r="D19569" t="str">
            <v>NXT CAPITAL B.V.</v>
          </cell>
          <cell r="E19569" t="str">
            <v>NXT CAPITAL B.V.</v>
          </cell>
        </row>
        <row r="19570">
          <cell r="B19570">
            <v>81141</v>
          </cell>
          <cell r="C19570" t="str">
            <v>NXT CAPITAL B.V.</v>
          </cell>
          <cell r="D19570" t="str">
            <v>NXT CAPITAL B.V.</v>
          </cell>
          <cell r="E19570" t="str">
            <v>NXT CAPITAL B.V.</v>
          </cell>
        </row>
        <row r="19571">
          <cell r="B19571">
            <v>81139</v>
          </cell>
          <cell r="C19571" t="str">
            <v>NXT CAPITAL B.V.</v>
          </cell>
          <cell r="D19571" t="str">
            <v>NXT CAPITAL B.V.</v>
          </cell>
          <cell r="E19571" t="str">
            <v>NXT CAPITAL B.V.</v>
          </cell>
        </row>
        <row r="19572">
          <cell r="B19572">
            <v>81140</v>
          </cell>
          <cell r="C19572" t="str">
            <v>NXT CAPITAL B.V.</v>
          </cell>
          <cell r="D19572" t="str">
            <v>NXT CAPITAL B.V.</v>
          </cell>
          <cell r="E19572" t="str">
            <v>NXT CAPITAL B.V.</v>
          </cell>
        </row>
        <row r="19573">
          <cell r="B19573">
            <v>81141</v>
          </cell>
          <cell r="C19573" t="str">
            <v>NXT CAPITAL B.V.</v>
          </cell>
          <cell r="D19573" t="str">
            <v>NXT CAPITAL B.V.</v>
          </cell>
          <cell r="E19573" t="str">
            <v>NXT CAPITAL B.V.</v>
          </cell>
        </row>
        <row r="19574">
          <cell r="B19574">
            <v>81142</v>
          </cell>
          <cell r="C19574" t="str">
            <v>NXT CAPITAL B.V.</v>
          </cell>
          <cell r="D19574" t="str">
            <v>NXT CAPITAL B.V.</v>
          </cell>
          <cell r="E19574" t="str">
            <v>NXT CAPITAL B.V.</v>
          </cell>
        </row>
        <row r="19575">
          <cell r="B19575">
            <v>81143</v>
          </cell>
          <cell r="C19575" t="str">
            <v>NXT CAPITAL B.V.</v>
          </cell>
          <cell r="D19575" t="str">
            <v>NXT CAPITAL B.V.</v>
          </cell>
          <cell r="E19575" t="str">
            <v>NXT CAPITAL B.V.</v>
          </cell>
        </row>
        <row r="19576">
          <cell r="B19576">
            <v>81142</v>
          </cell>
          <cell r="C19576" t="str">
            <v>NXT CAPITAL B.V.</v>
          </cell>
          <cell r="D19576" t="str">
            <v>NXT CAPITAL B.V.</v>
          </cell>
          <cell r="E19576" t="str">
            <v>NXT CAPITAL B.V.</v>
          </cell>
        </row>
        <row r="19577">
          <cell r="B19577">
            <v>81143</v>
          </cell>
          <cell r="C19577" t="str">
            <v>NXT CAPITAL B.V.</v>
          </cell>
          <cell r="D19577" t="str">
            <v>NXT CAPITAL B.V.</v>
          </cell>
          <cell r="E19577" t="str">
            <v>NXT CAPITAL B.V.</v>
          </cell>
        </row>
        <row r="19578">
          <cell r="B19578">
            <v>125692</v>
          </cell>
          <cell r="C19578" t="str">
            <v>BB GESTAO DE RECURSOS DTVM LTDA</v>
          </cell>
          <cell r="D19578" t="str">
            <v>BB GESTAO DE RECURSOS DTVM LTDA</v>
          </cell>
          <cell r="E19578" t="str">
            <v>BB GESTAO DE RECURSOS DTVM LTDA</v>
          </cell>
        </row>
        <row r="19579">
          <cell r="B19579">
            <v>125691</v>
          </cell>
          <cell r="C19579" t="str">
            <v>BB GESTAO DE RECURSOS DTVM LTDA</v>
          </cell>
          <cell r="D19579" t="str">
            <v>BB GESTAO DE RECURSOS DTVM LTDA</v>
          </cell>
          <cell r="E19579" t="str">
            <v>BB GESTAO DE RECURSOS DTVM LTDA</v>
          </cell>
        </row>
        <row r="19580">
          <cell r="B19580">
            <v>125692</v>
          </cell>
          <cell r="C19580" t="str">
            <v>BB GESTAO DE RECURSOS DTVM LTDA</v>
          </cell>
          <cell r="D19580" t="str">
            <v>BB GESTAO DE RECURSOS DTVM LTDA</v>
          </cell>
          <cell r="E19580" t="str">
            <v>BB GESTAO DE RECURSOS DTVM LTDA</v>
          </cell>
        </row>
        <row r="19581">
          <cell r="B19581">
            <v>81145</v>
          </cell>
          <cell r="C19581" t="str">
            <v>RAIZEN CENTRO SUL SA</v>
          </cell>
          <cell r="D19581" t="str">
            <v>RAIZEN CENTRO SUL SA</v>
          </cell>
          <cell r="E19581" t="str">
            <v>RAIZEN CENTRO SUL SA</v>
          </cell>
        </row>
        <row r="19582">
          <cell r="B19582">
            <v>81146</v>
          </cell>
          <cell r="C19582" t="str">
            <v>RAIZEN CENTRO SUL SA</v>
          </cell>
          <cell r="D19582" t="str">
            <v>RAIZEN CENTRO SUL SA</v>
          </cell>
          <cell r="E19582" t="str">
            <v>RAIZEN CENTRO SUL SA</v>
          </cell>
        </row>
        <row r="19583">
          <cell r="B19583">
            <v>81147</v>
          </cell>
          <cell r="C19583" t="str">
            <v>RAIZEN CENTRO SUL SA</v>
          </cell>
          <cell r="D19583" t="str">
            <v>RAIZEN CENTRO SUL SA</v>
          </cell>
          <cell r="E19583" t="str">
            <v>RAIZEN CENTRO SUL SA</v>
          </cell>
        </row>
        <row r="19584">
          <cell r="B19584">
            <v>81144</v>
          </cell>
          <cell r="C19584" t="str">
            <v>RAIZEN CENTRO SUL SA</v>
          </cell>
          <cell r="D19584" t="str">
            <v>RAIZEN CENTRO SUL SA</v>
          </cell>
          <cell r="E19584" t="str">
            <v>RAIZEN CENTRO SUL SA</v>
          </cell>
        </row>
        <row r="19585">
          <cell r="B19585">
            <v>81145</v>
          </cell>
          <cell r="C19585" t="str">
            <v>RAIZEN CENTRO SUL SA</v>
          </cell>
          <cell r="D19585" t="str">
            <v>RAIZEN CENTRO SUL SA</v>
          </cell>
          <cell r="E19585" t="str">
            <v>RAIZEN CENTRO SUL SA</v>
          </cell>
        </row>
        <row r="19586">
          <cell r="B19586">
            <v>81146</v>
          </cell>
          <cell r="C19586" t="str">
            <v>RAIZEN CENTRO SUL SA</v>
          </cell>
          <cell r="D19586" t="str">
            <v>RAIZEN CENTRO SUL SA</v>
          </cell>
          <cell r="E19586" t="str">
            <v>RAIZEN CENTRO SUL SA</v>
          </cell>
        </row>
        <row r="19587">
          <cell r="B19587">
            <v>81147</v>
          </cell>
          <cell r="C19587" t="str">
            <v>RAIZEN CENTRO SUL SA</v>
          </cell>
          <cell r="D19587" t="str">
            <v>RAIZEN CENTRO SUL SA</v>
          </cell>
          <cell r="E19587" t="str">
            <v>RAIZEN CENTRO SUL SA</v>
          </cell>
        </row>
        <row r="19588">
          <cell r="B19588">
            <v>81148</v>
          </cell>
          <cell r="C19588" t="str">
            <v>RAIZEN CENTRO SUL SA</v>
          </cell>
          <cell r="D19588" t="str">
            <v>RAIZEN CENTRO SUL SA</v>
          </cell>
          <cell r="E19588" t="str">
            <v>RAIZEN CENTRO SUL SA</v>
          </cell>
        </row>
        <row r="19589">
          <cell r="B19589">
            <v>81149</v>
          </cell>
          <cell r="C19589" t="str">
            <v>RAIZEN CENTRO SUL SA</v>
          </cell>
          <cell r="D19589" t="str">
            <v>RAIZEN CENTRO SUL SA</v>
          </cell>
          <cell r="E19589" t="str">
            <v>RAIZEN CENTRO SUL SA</v>
          </cell>
        </row>
        <row r="19590">
          <cell r="B19590">
            <v>81150</v>
          </cell>
          <cell r="C19590" t="str">
            <v>RAIZEN CENTRO SUL SA</v>
          </cell>
          <cell r="D19590" t="str">
            <v>RAIZEN CENTRO SUL SA</v>
          </cell>
          <cell r="E19590" t="str">
            <v>RAIZEN CENTRO SUL SA</v>
          </cell>
        </row>
        <row r="19591">
          <cell r="B19591">
            <v>81151</v>
          </cell>
          <cell r="C19591" t="str">
            <v>RAIZEN CENTRO SUL SA</v>
          </cell>
          <cell r="D19591" t="str">
            <v>RAIZEN CENTRO SUL SA</v>
          </cell>
          <cell r="E19591" t="str">
            <v>RAIZEN CENTRO SUL SA</v>
          </cell>
        </row>
        <row r="19592">
          <cell r="B19592">
            <v>81152</v>
          </cell>
          <cell r="C19592" t="str">
            <v>RAIZEN CENTRO SUL SA</v>
          </cell>
          <cell r="D19592" t="str">
            <v>RAIZEN CENTRO SUL SA</v>
          </cell>
          <cell r="E19592" t="str">
            <v>RAIZEN CENTRO SUL SA</v>
          </cell>
        </row>
        <row r="19593">
          <cell r="B19593">
            <v>81153</v>
          </cell>
          <cell r="C19593" t="str">
            <v>RAIZEN CENTRO SUL SA</v>
          </cell>
          <cell r="D19593" t="str">
            <v>RAIZEN CENTRO SUL SA</v>
          </cell>
          <cell r="E19593" t="str">
            <v>RAIZEN CENTRO SUL SA</v>
          </cell>
        </row>
        <row r="19594">
          <cell r="B19594">
            <v>81154</v>
          </cell>
          <cell r="C19594" t="str">
            <v>RAIZEN CENTRO SUL SA</v>
          </cell>
          <cell r="D19594" t="str">
            <v>RAIZEN CENTRO SUL SA</v>
          </cell>
          <cell r="E19594" t="str">
            <v>RAIZEN CENTRO SUL SA</v>
          </cell>
        </row>
        <row r="19595">
          <cell r="B19595">
            <v>81148</v>
          </cell>
          <cell r="C19595" t="str">
            <v>RAIZEN CENTRO SUL SA</v>
          </cell>
          <cell r="D19595" t="str">
            <v>RAIZEN CENTRO SUL SA</v>
          </cell>
          <cell r="E19595" t="str">
            <v>RAIZEN CENTRO SUL SA</v>
          </cell>
        </row>
        <row r="19596">
          <cell r="B19596">
            <v>81149</v>
          </cell>
          <cell r="C19596" t="str">
            <v>RAIZEN CENTRO SUL SA</v>
          </cell>
          <cell r="D19596" t="str">
            <v>RAIZEN CENTRO SUL SA</v>
          </cell>
          <cell r="E19596" t="str">
            <v>RAIZEN CENTRO SUL SA</v>
          </cell>
        </row>
        <row r="19597">
          <cell r="B19597">
            <v>81150</v>
          </cell>
          <cell r="C19597" t="str">
            <v>RAIZEN CENTRO SUL SA</v>
          </cell>
          <cell r="D19597" t="str">
            <v>RAIZEN CENTRO SUL SA</v>
          </cell>
          <cell r="E19597" t="str">
            <v>RAIZEN CENTRO SUL SA</v>
          </cell>
        </row>
        <row r="19598">
          <cell r="B19598">
            <v>81151</v>
          </cell>
          <cell r="C19598" t="str">
            <v>RAIZEN CENTRO SUL SA</v>
          </cell>
          <cell r="D19598" t="str">
            <v>RAIZEN CENTRO SUL SA</v>
          </cell>
          <cell r="E19598" t="str">
            <v>RAIZEN CENTRO SUL SA</v>
          </cell>
        </row>
        <row r="19599">
          <cell r="B19599">
            <v>81152</v>
          </cell>
          <cell r="C19599" t="str">
            <v>RAIZEN CENTRO SUL SA</v>
          </cell>
          <cell r="D19599" t="str">
            <v>RAIZEN CENTRO SUL SA</v>
          </cell>
          <cell r="E19599" t="str">
            <v>RAIZEN CENTRO SUL SA</v>
          </cell>
        </row>
        <row r="19600">
          <cell r="B19600">
            <v>81153</v>
          </cell>
          <cell r="C19600" t="str">
            <v>RAIZEN CENTRO SUL SA</v>
          </cell>
          <cell r="D19600" t="str">
            <v>RAIZEN CENTRO SUL SA</v>
          </cell>
          <cell r="E19600" t="str">
            <v>RAIZEN CENTRO SUL SA</v>
          </cell>
        </row>
        <row r="19601">
          <cell r="B19601">
            <v>81154</v>
          </cell>
          <cell r="C19601" t="str">
            <v>RAIZEN CENTRO SUL SA</v>
          </cell>
          <cell r="D19601" t="str">
            <v>RAIZEN CENTRO SUL SA</v>
          </cell>
          <cell r="E19601" t="str">
            <v>RAIZEN CENTRO SUL SA</v>
          </cell>
        </row>
        <row r="19602">
          <cell r="B19602">
            <v>81155</v>
          </cell>
          <cell r="C19602" t="str">
            <v>RAIZEN CENTRO SUL SA</v>
          </cell>
          <cell r="D19602" t="str">
            <v>RAIZEN CENTRO SUL SA</v>
          </cell>
          <cell r="E19602" t="str">
            <v>RAIZEN CENTRO SUL SA</v>
          </cell>
        </row>
        <row r="19603">
          <cell r="B19603">
            <v>81156</v>
          </cell>
          <cell r="C19603" t="str">
            <v>RAIZEN CENTRO SUL SA</v>
          </cell>
          <cell r="D19603" t="str">
            <v>RAIZEN CENTRO SUL SA</v>
          </cell>
          <cell r="E19603" t="str">
            <v>RAIZEN CENTRO SUL SA</v>
          </cell>
        </row>
        <row r="19604">
          <cell r="B19604">
            <v>81155</v>
          </cell>
          <cell r="C19604" t="str">
            <v>RAIZEN CENTRO SUL SA</v>
          </cell>
          <cell r="D19604" t="str">
            <v>RAIZEN CENTRO SUL SA</v>
          </cell>
          <cell r="E19604" t="str">
            <v>RAIZEN CENTRO SUL SA</v>
          </cell>
        </row>
        <row r="19605">
          <cell r="B19605">
            <v>81156</v>
          </cell>
          <cell r="C19605" t="str">
            <v>RAIZEN CENTRO SUL SA</v>
          </cell>
          <cell r="D19605" t="str">
            <v>RAIZEN CENTRO SUL SA</v>
          </cell>
          <cell r="E19605" t="str">
            <v>RAIZEN CENTRO SUL SA</v>
          </cell>
        </row>
        <row r="19606">
          <cell r="B19606">
            <v>81157</v>
          </cell>
          <cell r="C19606" t="str">
            <v>RADAR GESTORA DE RECURSOS LTDA</v>
          </cell>
          <cell r="D19606" t="str">
            <v>RADAR GESTORA DE RECURSOS LTDA</v>
          </cell>
          <cell r="E19606" t="str">
            <v>RADAR GESTORA DE RECURSOS LTDA</v>
          </cell>
        </row>
        <row r="19607">
          <cell r="B19607">
            <v>81157</v>
          </cell>
          <cell r="C19607" t="str">
            <v>RADAR GESTORA DE RECURSOS LTDA</v>
          </cell>
          <cell r="D19607" t="str">
            <v>RADAR GESTORA DE RECURSOS LTDA</v>
          </cell>
          <cell r="E19607" t="str">
            <v>RADAR GESTORA DE RECURSOS LTDA</v>
          </cell>
        </row>
        <row r="19608">
          <cell r="B19608">
            <v>81159</v>
          </cell>
          <cell r="C19608" t="str">
            <v>VITREO BLOCKCHAIN AÃ‡Ã•ES FUNDO DE INVESTIMENTO EM AÃ‡OES BDR N</v>
          </cell>
          <cell r="D19608" t="str">
            <v>VITREO BLOCKCHAIN AÃ‡Ã•ES FUNDO DE INVESTIMENTO EM AÃ‡OES BDR N</v>
          </cell>
          <cell r="E19608" t="str">
            <v>EMPIRICUS GESTAO DE RECURSOS LTDA</v>
          </cell>
        </row>
        <row r="19609">
          <cell r="B19609">
            <v>81159</v>
          </cell>
          <cell r="C19609" t="str">
            <v>VITREO BLOCKCHAIN AÃ‡Ã•ES FUNDO DE INVESTIMENTO EM AÃ‡OES BDR N</v>
          </cell>
          <cell r="D19609" t="str">
            <v>VITREO BLOCKCHAIN AÃ‡Ã•ES FUNDO DE INVESTIMENTO EM AÃ‡OES BDR N</v>
          </cell>
          <cell r="E19609" t="str">
            <v>EMPIRICUS GESTAO DE RECURSOS LTDA</v>
          </cell>
        </row>
        <row r="19610">
          <cell r="B19610">
            <v>125693</v>
          </cell>
          <cell r="C19610" t="str">
            <v>ITAU MASTER GLOBAL DINAMICO MULTIMERCADO FI</v>
          </cell>
          <cell r="D19610" t="str">
            <v>ITAU MASTER GLOBAL DINAMICO MULTIMERCADO FI</v>
          </cell>
          <cell r="E19610" t="str">
            <v>ITAU UNIBANCO ASSET - TACO</v>
          </cell>
        </row>
        <row r="19611">
          <cell r="B19611">
            <v>81160</v>
          </cell>
          <cell r="C19611" t="str">
            <v>BANCO DE INVESTIMENTOS UBS (BRASIL) S.A.</v>
          </cell>
          <cell r="D19611" t="str">
            <v>BANCO DE INVESTIMENTOS UBS (BRASIL) S.A.</v>
          </cell>
          <cell r="E19611" t="str">
            <v>BANCO DE INVESTIMENTO CREDIT SUISSE (BRASIL) S/A</v>
          </cell>
        </row>
        <row r="19612">
          <cell r="B19612">
            <v>81160</v>
          </cell>
          <cell r="C19612" t="str">
            <v>BANCO DE INVESTIMENTOS UBS (BRASIL) S.A.</v>
          </cell>
          <cell r="D19612" t="str">
            <v>BANCO DE INVESTIMENTOS UBS (BRASIL) S.A.</v>
          </cell>
          <cell r="E19612" t="str">
            <v>BANCO DE INVESTIMENTO CREDIT SUISSE (BRASIL) S/A</v>
          </cell>
        </row>
        <row r="19613">
          <cell r="B19613">
            <v>125694</v>
          </cell>
          <cell r="C19613" t="str">
            <v>BB GESTAO DE RECURSOS DTVM LTDA</v>
          </cell>
          <cell r="D19613" t="str">
            <v>BB GESTAO DE RECURSOS DTVM LTDA</v>
          </cell>
          <cell r="E19613" t="str">
            <v>BB GESTAO DE RECURSOS DTVM LTDA</v>
          </cell>
        </row>
        <row r="19614">
          <cell r="B19614">
            <v>125694</v>
          </cell>
          <cell r="C19614" t="str">
            <v>BB GESTAO DE RECURSOS DTVM LTDA</v>
          </cell>
          <cell r="D19614" t="str">
            <v>BB GESTAO DE RECURSOS DTVM LTDA</v>
          </cell>
          <cell r="E19614" t="str">
            <v>BB GESTAO DE RECURSOS DTVM LTDA</v>
          </cell>
        </row>
        <row r="19615">
          <cell r="B19615">
            <v>81161</v>
          </cell>
          <cell r="C19615" t="str">
            <v>WEALTH HIGH GOVERNANCE CAPITAL LTDA</v>
          </cell>
          <cell r="D19615" t="str">
            <v>WEALTH HIGH GOVERNANCE CAPITAL LTDA</v>
          </cell>
          <cell r="E19615" t="str">
            <v>WEALTH HIGH GOVERNANCE CAPITAL LTDA</v>
          </cell>
        </row>
        <row r="19616">
          <cell r="B19616">
            <v>81161</v>
          </cell>
          <cell r="C19616" t="str">
            <v>WEALTH HIGH GOVERNANCE CAPITAL LTDA</v>
          </cell>
          <cell r="D19616" t="str">
            <v>WEALTH HIGH GOVERNANCE CAPITAL LTDA</v>
          </cell>
          <cell r="E19616" t="str">
            <v>WEALTH HIGH GOVERNANCE CAPITAL LTDA</v>
          </cell>
        </row>
        <row r="19617">
          <cell r="B19617">
            <v>81163</v>
          </cell>
          <cell r="C19617" t="str">
            <v>PERSEVERA GESTAO DE RECURSOS LTDA</v>
          </cell>
          <cell r="D19617" t="str">
            <v>PERSEVERA GESTAO DE RECURSOS LTDA</v>
          </cell>
          <cell r="E19617" t="str">
            <v>PERSEVERA GESTAO DE RECURSOS LTDA</v>
          </cell>
        </row>
        <row r="19618">
          <cell r="B19618">
            <v>81163</v>
          </cell>
          <cell r="C19618" t="str">
            <v>PERSEVERA GESTAO DE RECURSOS LTDA</v>
          </cell>
          <cell r="D19618" t="str">
            <v>PERSEVERA 1055</v>
          </cell>
          <cell r="E19618" t="str">
            <v>PERSEVERA GESTAO DE RECURSOS LTDA</v>
          </cell>
        </row>
        <row r="19619">
          <cell r="B19619">
            <v>125695</v>
          </cell>
          <cell r="C19619" t="str">
            <v>DUST FIA BDR NIVEL I</v>
          </cell>
          <cell r="D19619" t="str">
            <v>DUST FIA BDR NIVEL I</v>
          </cell>
          <cell r="E19619" t="str">
            <v>ARGUCIA CAPITAL GESTAO DE RECURSOS LTDA</v>
          </cell>
        </row>
        <row r="19620">
          <cell r="B19620">
            <v>125695</v>
          </cell>
          <cell r="C19620" t="str">
            <v>DUST FIA BDR NIVEL I</v>
          </cell>
          <cell r="D19620" t="str">
            <v>DUST FIA BDR NIVEL I</v>
          </cell>
          <cell r="E19620" t="str">
            <v>ARGUCIA CAPITAL GESTAO DE RECURSOS LTDA</v>
          </cell>
        </row>
        <row r="19621">
          <cell r="B19621">
            <v>125696</v>
          </cell>
          <cell r="C19621" t="str">
            <v>PITI FIM CP IE</v>
          </cell>
          <cell r="D19621" t="str">
            <v>PITI FIM CP IE</v>
          </cell>
          <cell r="E19621" t="str">
            <v>JULIUS BAER FAMILY OFFICE BRASIL GESTAO DE PATRIMONIO LTDA</v>
          </cell>
        </row>
        <row r="19622">
          <cell r="B19622">
            <v>125696</v>
          </cell>
          <cell r="C19622" t="str">
            <v>PITI FIM CP IE</v>
          </cell>
          <cell r="D19622" t="str">
            <v>PITI FIM CP IE</v>
          </cell>
          <cell r="E19622" t="str">
            <v>JULIUS BAER FAMILY OFFICE BRASIL GESTAO DE PATRIMONIO LTDA</v>
          </cell>
        </row>
        <row r="19623">
          <cell r="B19623">
            <v>81162</v>
          </cell>
          <cell r="C19623" t="str">
            <v>WNT GESTORA DE RECURSOS LTDA</v>
          </cell>
          <cell r="D19623" t="str">
            <v>WNT GESTORA DE RECURSOS LTDA</v>
          </cell>
          <cell r="E19623" t="str">
            <v>WNT GESTORA DE RECURSOS LTDA</v>
          </cell>
        </row>
        <row r="19624">
          <cell r="B19624">
            <v>81162</v>
          </cell>
          <cell r="C19624" t="str">
            <v>WNT GESTORA DE RECURSOS LTDA</v>
          </cell>
          <cell r="D19624" t="str">
            <v>WNT GESTORA DE RECURSOS LTDA</v>
          </cell>
          <cell r="E19624" t="str">
            <v>WNT GESTORA DE RECURSOS LTDA</v>
          </cell>
        </row>
        <row r="19625">
          <cell r="B19625">
            <v>81165</v>
          </cell>
          <cell r="C19625" t="str">
            <v>MANUKA FIM CP IE</v>
          </cell>
          <cell r="D19625" t="str">
            <v>MANUKA FIM CP IE</v>
          </cell>
          <cell r="E19625" t="str">
            <v>EMPIRICUS GESTAO DE RECURSOS LTDA</v>
          </cell>
        </row>
        <row r="19626">
          <cell r="B19626">
            <v>81166</v>
          </cell>
          <cell r="C19626" t="str">
            <v>APOLLO FIM CP IE</v>
          </cell>
          <cell r="D19626" t="str">
            <v>APOLLO FIM CP IE</v>
          </cell>
          <cell r="E19626" t="str">
            <v>EMPIRICUS GESTAO DE RECURSOS LTDA</v>
          </cell>
        </row>
        <row r="19627">
          <cell r="B19627">
            <v>81165</v>
          </cell>
          <cell r="C19627" t="str">
            <v>MANUKA FIM CP IE</v>
          </cell>
          <cell r="D19627" t="str">
            <v>MANUKA FIM CP IE</v>
          </cell>
          <cell r="E19627" t="str">
            <v>EMPIRICUS GESTAO DE RECURSOS LTDA</v>
          </cell>
        </row>
        <row r="19628">
          <cell r="B19628">
            <v>81166</v>
          </cell>
          <cell r="C19628" t="str">
            <v>APOLLO FIM CP IE</v>
          </cell>
          <cell r="D19628" t="str">
            <v>APOLLO FIM CP IE</v>
          </cell>
          <cell r="E19628" t="str">
            <v>EMPIRICUS GESTAO DE RECURSOS LTDA</v>
          </cell>
        </row>
        <row r="19629">
          <cell r="B19629">
            <v>81167</v>
          </cell>
          <cell r="C19629" t="str">
            <v>TRIADE FIM CP IE</v>
          </cell>
          <cell r="D19629" t="str">
            <v>TRIADE FIM CP IE</v>
          </cell>
          <cell r="E19629" t="str">
            <v>EMPIRICUS GESTAO DE RECURSOS LTDA</v>
          </cell>
        </row>
        <row r="19630">
          <cell r="B19630">
            <v>81167</v>
          </cell>
          <cell r="C19630" t="str">
            <v>TRIADE FIM CP IE</v>
          </cell>
          <cell r="D19630" t="str">
            <v>TRIADE FIM CP IE</v>
          </cell>
          <cell r="E19630" t="str">
            <v>EMPIRICUS GESTAO DE RECURSOS LTDA</v>
          </cell>
        </row>
        <row r="19631">
          <cell r="B19631">
            <v>81168</v>
          </cell>
          <cell r="C19631" t="str">
            <v>VARESE FIF MULTIMERCADO CP RESP LIMITADA</v>
          </cell>
          <cell r="D19631" t="str">
            <v>VARESE FIF MULTIMERCADO CP RESP LIMITADA</v>
          </cell>
          <cell r="E19631" t="str">
            <v>ITAU UNIBANCO ASSET - TACO</v>
          </cell>
        </row>
        <row r="19632">
          <cell r="B19632">
            <v>81169</v>
          </cell>
          <cell r="C19632" t="str">
            <v>JBFO RV TATICO FIM</v>
          </cell>
          <cell r="D19632" t="str">
            <v>JBFO RV TATICO FIM</v>
          </cell>
          <cell r="E19632" t="str">
            <v>JULIUS BAER FAMILY OFFICE BRASIL GESTAO DE PATRIMONIO LTDA</v>
          </cell>
        </row>
        <row r="19633">
          <cell r="B19633">
            <v>81169</v>
          </cell>
          <cell r="C19633" t="str">
            <v>JBFO RV TATICO FIM</v>
          </cell>
          <cell r="D19633" t="str">
            <v>JBFO RV TATICO FIM</v>
          </cell>
          <cell r="E19633" t="str">
            <v>JULIUS BAER FAMILY OFFICE BRASIL GESTAO DE PATRIMONIO LTDA</v>
          </cell>
        </row>
        <row r="19634">
          <cell r="B19634">
            <v>81170</v>
          </cell>
          <cell r="C19634" t="str">
            <v>VITREO HIDROGENIO FIA</v>
          </cell>
          <cell r="D19634" t="str">
            <v>VITREO HIDROGENIO FIA</v>
          </cell>
          <cell r="E19634" t="str">
            <v>EMPIRICUS GESTAO DE RECURSOS LTDA</v>
          </cell>
        </row>
        <row r="19635">
          <cell r="B19635">
            <v>81170</v>
          </cell>
          <cell r="C19635" t="str">
            <v>VITREO HIDROGENIO FIA</v>
          </cell>
          <cell r="D19635" t="str">
            <v>VITREO HIDROGENIO FIA</v>
          </cell>
          <cell r="E19635" t="str">
            <v>EMPIRICUS GESTAO DE RECURSOS LTDA</v>
          </cell>
        </row>
        <row r="19636">
          <cell r="B19636">
            <v>125697</v>
          </cell>
          <cell r="C19636" t="str">
            <v>BRAVOOS FIM CP</v>
          </cell>
          <cell r="D19636" t="str">
            <v>BRAVOOS FIM CP</v>
          </cell>
          <cell r="E19636" t="str">
            <v>JULIUS BAER FAMILY OFFICE BRASIL GESTAO DE PATRIMONIO LTDA</v>
          </cell>
        </row>
        <row r="19637">
          <cell r="B19637">
            <v>125697</v>
          </cell>
          <cell r="C19637" t="str">
            <v>BRAVOOS FIM CP</v>
          </cell>
          <cell r="D19637" t="str">
            <v>BRAVOOS FIM CP</v>
          </cell>
          <cell r="E19637" t="str">
            <v>JULIUS BAER FAMILY OFFICE BRASIL GESTAO DE PATRIMONIO LTDA</v>
          </cell>
        </row>
        <row r="19638">
          <cell r="B19638">
            <v>125698</v>
          </cell>
          <cell r="C19638" t="str">
            <v>LUNGMA FIM CREDITO PRIVADO IE</v>
          </cell>
          <cell r="D19638" t="str">
            <v>LUNGMA FIM CREDITO PRIVADO IE</v>
          </cell>
          <cell r="E19638" t="str">
            <v>JULIUS BAER FAMILY OFFICE BRASIL GESTAO DE PATRIMONIO LTDA</v>
          </cell>
        </row>
        <row r="19639">
          <cell r="B19639">
            <v>125698</v>
          </cell>
          <cell r="C19639" t="str">
            <v>LUNGMA FIM CREDITO PRIVADO IE</v>
          </cell>
          <cell r="D19639" t="str">
            <v>LUNGMA FIM CREDITO PRIVADO IE</v>
          </cell>
          <cell r="E19639" t="str">
            <v>JULIUS BAER FAMILY OFFICE BRASIL GESTAO DE PATRIMONIO LTDA</v>
          </cell>
        </row>
        <row r="19640">
          <cell r="B19640">
            <v>125699</v>
          </cell>
          <cell r="C19640" t="str">
            <v>REGENCY DE INVESTIMENT MULT CP IE</v>
          </cell>
          <cell r="D19640" t="str">
            <v>REGENCY DE INVESTIMENT MULT CP IE</v>
          </cell>
          <cell r="E19640" t="str">
            <v>JULIUS BAER FAMILY OFFICE BRASIL GESTAO DE PATRIMONIO LTDA</v>
          </cell>
        </row>
        <row r="19641">
          <cell r="B19641">
            <v>125699</v>
          </cell>
          <cell r="C19641" t="str">
            <v>REGENCY DE INVESTIMENT MULT CP IE</v>
          </cell>
          <cell r="D19641" t="str">
            <v>REGENCY DE INVESTIMENT MULT CP IE</v>
          </cell>
          <cell r="E19641" t="str">
            <v>JULIUS BAER FAMILY OFFICE BRASIL GESTAO DE PATRIMONIO LTDA</v>
          </cell>
        </row>
        <row r="19642">
          <cell r="B19642">
            <v>125701</v>
          </cell>
          <cell r="C19642" t="str">
            <v>FRG ADM FIF CL MULT RL</v>
          </cell>
          <cell r="D19642" t="str">
            <v>FRG ADM FIF CL MULT RL</v>
          </cell>
          <cell r="E19642" t="str">
            <v>REAL GRANDEZA - FUNDACAO DE PREVIDENCIA E ASSISTENCIA SOCIAL</v>
          </cell>
        </row>
        <row r="19643">
          <cell r="B19643">
            <v>125701</v>
          </cell>
          <cell r="C19643" t="str">
            <v>FRG ADM FIF CL MULT RL</v>
          </cell>
          <cell r="D19643" t="str">
            <v>FRG ADM FIF CL MULT RL</v>
          </cell>
          <cell r="E19643" t="str">
            <v>REAL GRANDEZA - FUNDACAO DE PREVIDENCIA E ASSISTENCIA SOCIAL</v>
          </cell>
        </row>
        <row r="19644">
          <cell r="B19644">
            <v>125702</v>
          </cell>
          <cell r="C19644" t="str">
            <v>FRG FA FUNDO DE INVESTIMENTO RENDA FIXA</v>
          </cell>
          <cell r="D19644" t="str">
            <v>FRG FA FUNDO DE INVESTIMENTO RENDA FIXA</v>
          </cell>
          <cell r="E19644" t="str">
            <v>REAL GRANDEZA - FUNDACAO DE PREVIDENCIA E ASSISTENCIA SOCIAL</v>
          </cell>
        </row>
        <row r="19645">
          <cell r="B19645">
            <v>125702</v>
          </cell>
          <cell r="C19645" t="str">
            <v>FRG FA FUNDO DE INVESTIMENTO RENDA FIXA</v>
          </cell>
          <cell r="D19645" t="str">
            <v>FRG FA FUNDO DE INVESTIMENTO RENDA FIXA</v>
          </cell>
          <cell r="E19645" t="str">
            <v>REAL GRANDEZA - FUNDACAO DE PREVIDENCIA E ASSISTENCIA SOCIAL</v>
          </cell>
        </row>
        <row r="19646">
          <cell r="B19646">
            <v>125704</v>
          </cell>
          <cell r="C19646" t="str">
            <v>FRG PLANO CD FIF CI MULT RL</v>
          </cell>
          <cell r="D19646" t="str">
            <v>FRG PLANO CD FIF CI MULT RL</v>
          </cell>
          <cell r="E19646" t="str">
            <v>REAL GRANDEZA - FUNDACAO DE PREVIDENCIA E ASSISTENCIA SOCIAL</v>
          </cell>
        </row>
        <row r="19647">
          <cell r="B19647">
            <v>125704</v>
          </cell>
          <cell r="C19647" t="str">
            <v>FRG PLANO CD FIF CI MULT RL</v>
          </cell>
          <cell r="D19647" t="str">
            <v>FRG PLANO CD FIF CI MULT RL</v>
          </cell>
          <cell r="E19647" t="str">
            <v>REAL GRANDEZA - FUNDACAO DE PREVIDENCIA E ASSISTENCIA SOCIAL</v>
          </cell>
        </row>
        <row r="19648">
          <cell r="B19648">
            <v>125700</v>
          </cell>
          <cell r="C19648" t="str">
            <v>REAL GRANDEZA - FUNDACAO DE PREVIDENCIA E ASSISTENCIA SOCIAL</v>
          </cell>
          <cell r="D19648" t="str">
            <v>REAL GRANDEZA - FUNDACAO DE PREVIDENCIA E ASSISTENCIA SOCIAL</v>
          </cell>
          <cell r="E19648" t="str">
            <v>REAL GRANDEZA - FUNDACAO DE PREVIDENCIA E ASSISTENCIA SOCIAL</v>
          </cell>
        </row>
        <row r="19649">
          <cell r="B19649">
            <v>125700</v>
          </cell>
          <cell r="C19649" t="str">
            <v>REAL GRANDEZA - FUNDACAO DE PREVIDENCIA E ASSISTENCIA SOCIAL</v>
          </cell>
          <cell r="D19649" t="str">
            <v>REAL GRANDEZA - FUNDACAO DE PREVIDENCIA E ASSISTENCIA SOCIAL</v>
          </cell>
          <cell r="E19649" t="str">
            <v>REAL GRANDEZA - FUNDACAO DE PREVIDENCIA E ASSISTENCIA SOCIAL</v>
          </cell>
        </row>
        <row r="19650">
          <cell r="B19650">
            <v>125703</v>
          </cell>
          <cell r="C19650" t="str">
            <v>FRG PLANO BD FIF CI MULT RL</v>
          </cell>
          <cell r="D19650" t="str">
            <v>FRG PLANO BD FIF CI MULT RL</v>
          </cell>
          <cell r="E19650" t="str">
            <v>REAL GRANDEZA - FUNDACAO DE PREVIDENCIA E ASSISTENCIA SOCIAL</v>
          </cell>
        </row>
        <row r="19651">
          <cell r="B19651">
            <v>125703</v>
          </cell>
          <cell r="C19651" t="str">
            <v>FRG PLANO BD FIF CI MULT RL</v>
          </cell>
          <cell r="D19651" t="str">
            <v>FRG PLANO BD FIF CI MULT RL</v>
          </cell>
          <cell r="E19651" t="str">
            <v>REAL GRANDEZA - FUNDACAO DE PREVIDENCIA E ASSISTENCIA SOCIAL</v>
          </cell>
        </row>
        <row r="19652">
          <cell r="B19652">
            <v>125705</v>
          </cell>
          <cell r="C19652" t="str">
            <v>FRG FA FUNDO DE INVESTIMENTO RENDA FIXA</v>
          </cell>
          <cell r="D19652" t="str">
            <v>FRG FA FUNDO DE INVESTIMENTO RENDA FIXA</v>
          </cell>
          <cell r="E19652" t="str">
            <v>REAL GRANDEZA - FUNDACAO DE PREVIDENCIA E ASSISTENCIA SOCIAL</v>
          </cell>
        </row>
        <row r="19653">
          <cell r="B19653">
            <v>125705</v>
          </cell>
          <cell r="C19653" t="str">
            <v>FRG FA FUNDO DE INVESTIMENTO RENDA FIXA</v>
          </cell>
          <cell r="D19653" t="str">
            <v>FRG FA FUNDO DE INVESTIMENTO RENDA FIXA</v>
          </cell>
          <cell r="E19653" t="str">
            <v>REAL GRANDEZA - FUNDACAO DE PREVIDENCIA E ASSISTENCIA SOCIAL</v>
          </cell>
        </row>
        <row r="19654">
          <cell r="B19654">
            <v>125706</v>
          </cell>
          <cell r="C19654" t="str">
            <v>WNT MASTER FUNDO DE INVESTIMENTO FINANCEIRO EM AÃ‡Ã•ES</v>
          </cell>
          <cell r="D19654" t="str">
            <v>WNT MASTER FUNDO DE INVESTIMENTO FINANCEIRO EM AÃ‡Ã•ES</v>
          </cell>
          <cell r="E19654" t="str">
            <v>WNT GESTORA DE RECURSOS LTDA</v>
          </cell>
        </row>
        <row r="19655">
          <cell r="B19655">
            <v>125706</v>
          </cell>
          <cell r="C19655" t="str">
            <v>WNT MASTER FUNDO DE INVESTIMENTO FINANCEIRO EM AÃ‡Ã•ES</v>
          </cell>
          <cell r="D19655" t="str">
            <v>WNT MASTER FUNDO DE INVESTIMENTO FINANCEIRO EM AÃ‡Ã•ES</v>
          </cell>
          <cell r="E19655" t="str">
            <v>WNT GESTORA DE RECURSOS LTDA</v>
          </cell>
        </row>
        <row r="19656">
          <cell r="B19656">
            <v>125707</v>
          </cell>
          <cell r="C19656" t="str">
            <v>EMPIRICUS FOF MELHORES FUNDOS GLOBAL FIM IE</v>
          </cell>
          <cell r="D19656" t="str">
            <v>EMPIRICUS FOF MELHORES FUNDOS GLOBAL FIM IE</v>
          </cell>
          <cell r="E19656" t="str">
            <v>EMPIRICUS GESTAO DE RECURSOS LTDA</v>
          </cell>
        </row>
        <row r="19657">
          <cell r="B19657">
            <v>125707</v>
          </cell>
          <cell r="C19657" t="str">
            <v>EMPIRICUS FOF MELHORES FUNDOS GLOBAL FIM IE</v>
          </cell>
          <cell r="D19657" t="str">
            <v>EMPIRICUS FOF MELHORES FUNDOS GLOBAL FIM IE</v>
          </cell>
          <cell r="E19657" t="str">
            <v>EMPIRICUS GESTAO DE RECURSOS LTDA</v>
          </cell>
        </row>
        <row r="19658">
          <cell r="B19658">
            <v>125708</v>
          </cell>
          <cell r="C19658" t="str">
            <v>BB GESTAO DE RECURSOS DTVM LTDA</v>
          </cell>
          <cell r="D19658" t="str">
            <v>BB GESTAO DE RECURSOS DTVM LTDA</v>
          </cell>
          <cell r="E19658" t="str">
            <v>BB GESTAO DE RECURSOS DTVM LTDA</v>
          </cell>
        </row>
        <row r="19659">
          <cell r="B19659">
            <v>125708</v>
          </cell>
          <cell r="C19659" t="str">
            <v>BB GESTAO DE RECURSOS DTVM LTDA</v>
          </cell>
          <cell r="D19659" t="str">
            <v>BB GESTAO DE RECURSOS DTVM LTDA</v>
          </cell>
          <cell r="E19659" t="str">
            <v>BB GESTAO DE RECURSOS DTVM LTDA</v>
          </cell>
        </row>
        <row r="19660">
          <cell r="B19660">
            <v>81173</v>
          </cell>
          <cell r="C19660" t="str">
            <v>NU FINANCEIRA SA - SOCIEDADE DE CRÃ‰DITO, FIN E INVESTIMENTO</v>
          </cell>
          <cell r="D19660" t="str">
            <v>NU FINANCEIRA SA - SOCIEDADE DE CRÃ‰DITO, FIN E INVESTIMENTO</v>
          </cell>
          <cell r="E19660" t="str">
            <v>NU PAGAMENTOS SOCIEDADE ANONIMA</v>
          </cell>
        </row>
        <row r="19661">
          <cell r="B19661">
            <v>81173</v>
          </cell>
          <cell r="C19661" t="str">
            <v>NU FINANCEIRA SA - SOCIEDADE DE CRÃ‰DITO, FIN E INVESTIMENTO</v>
          </cell>
          <cell r="D19661" t="str">
            <v>NU FINANCEIRA SA - SOCIEDADE DE CRÃ‰DITO, FIN E INVESTIMENTO</v>
          </cell>
          <cell r="E19661" t="str">
            <v>NU PAGAMENTOS SOCIEDADE ANONIMA</v>
          </cell>
        </row>
        <row r="19662">
          <cell r="B19662">
            <v>81174</v>
          </cell>
          <cell r="C19662" t="str">
            <v>NU FINANCEIRA SA - SOCIEDADE DE CRÃ‰DITO, FIN E INVESTIMENTO</v>
          </cell>
          <cell r="D19662" t="str">
            <v>NU FINANCEIRA SA - SOCIEDADE DE CRÃ‰DITO, FIN E INVESTIMENTO</v>
          </cell>
          <cell r="E19662" t="str">
            <v>NU PAGAMENTOS SOCIEDADE ANONIMA</v>
          </cell>
        </row>
        <row r="19663">
          <cell r="B19663">
            <v>125709</v>
          </cell>
          <cell r="C19663" t="str">
            <v>CURIE FIM CRPR IE</v>
          </cell>
          <cell r="D19663" t="str">
            <v>CURIE FIM CRPR IE</v>
          </cell>
          <cell r="E19663" t="str">
            <v>JULIUS BAER FAMILY OFFICE BRASIL GESTAO DE PATRIMONIO LTDA</v>
          </cell>
        </row>
        <row r="19664">
          <cell r="B19664">
            <v>125710</v>
          </cell>
          <cell r="C19664" t="str">
            <v>NADAL FIM CRPR IE</v>
          </cell>
          <cell r="D19664" t="str">
            <v>NADAL FIM CRPR IE</v>
          </cell>
          <cell r="E19664" t="str">
            <v>JULIUS BAER FAMILY OFFICE BRASIL GESTAO DE PATRIMONIO LTDA</v>
          </cell>
        </row>
        <row r="19665">
          <cell r="B19665">
            <v>125711</v>
          </cell>
          <cell r="C19665" t="str">
            <v>WJNQ FIM CRPR IE</v>
          </cell>
          <cell r="D19665" t="str">
            <v>WJNQ FIM CRPR IE</v>
          </cell>
          <cell r="E19665" t="str">
            <v>JULIUS BAER FAMILY OFFICE BRASIL GESTAO DE PATRIMONIO LTDA</v>
          </cell>
        </row>
        <row r="19666">
          <cell r="B19666">
            <v>125709</v>
          </cell>
          <cell r="C19666" t="str">
            <v>CURIE FIM CRPR IE</v>
          </cell>
          <cell r="D19666" t="str">
            <v>CURIE FIM CRPR IE</v>
          </cell>
          <cell r="E19666" t="str">
            <v>JULIUS BAER FAMILY OFFICE BRASIL GESTAO DE PATRIMONIO LTDA</v>
          </cell>
        </row>
        <row r="19667">
          <cell r="B19667">
            <v>125710</v>
          </cell>
          <cell r="C19667" t="str">
            <v>NADAL FIM CRPR IE</v>
          </cell>
          <cell r="D19667" t="str">
            <v>NADAL FIM CRPR IE</v>
          </cell>
          <cell r="E19667" t="str">
            <v>JULIUS BAER FAMILY OFFICE BRASIL GESTAO DE PATRIMONIO LTDA</v>
          </cell>
        </row>
        <row r="19668">
          <cell r="B19668">
            <v>125711</v>
          </cell>
          <cell r="C19668" t="str">
            <v>WJNQ FIM CRPR IE</v>
          </cell>
          <cell r="D19668" t="str">
            <v>WJNQ FIM CRPR IE</v>
          </cell>
          <cell r="E19668" t="str">
            <v>JULIUS BAER FAMILY OFFICE BRASIL GESTAO DE PATRIMONIO LTDA</v>
          </cell>
        </row>
        <row r="19669">
          <cell r="B19669">
            <v>81175</v>
          </cell>
          <cell r="C19669" t="str">
            <v>NU PAGAMENTOS SA - INSTITUIÃ‡ÃƒO DE PAGAMENTO</v>
          </cell>
          <cell r="D19669" t="str">
            <v>NU PAGAMENTOS SA - INSTITUIÃ‡ÃƒO DE PAGAMENTO</v>
          </cell>
          <cell r="E19669" t="str">
            <v>NU PAGAMENTOS SOCIEDADE ANONIMA</v>
          </cell>
        </row>
        <row r="19670">
          <cell r="B19670">
            <v>81176</v>
          </cell>
          <cell r="C19670" t="str">
            <v>VITREO BIOTECNOLOGIA AÃ‡Ã•ES FUNDO DE INVESTIMENTO EM AÃ‡Ã•ES BD</v>
          </cell>
          <cell r="D19670" t="str">
            <v>VITREO BIOTECNOLOGIA AÃ‡Ã•ES FUNDO DE INVESTIMENTO EM AÃ‡Ã•ES BD</v>
          </cell>
          <cell r="E19670" t="str">
            <v>EMPIRICUS GESTAO DE RECURSOS LTDA</v>
          </cell>
        </row>
        <row r="19671">
          <cell r="B19671">
            <v>81176</v>
          </cell>
          <cell r="C19671" t="str">
            <v>VITREO BIOTECNOLOGIA AÃ‡Ã•ES FUNDO DE INVESTIMENTO EM AÃ‡Ã•ES BD</v>
          </cell>
          <cell r="D19671" t="str">
            <v>VITREO BIOTECNOLOGIA AÃ‡Ã•ES FUNDO DE INVESTIMENTO EM AÃ‡Ã•ES BD</v>
          </cell>
          <cell r="E19671" t="str">
            <v>EMPIRICUS GESTAO DE RECURSOS LTDA</v>
          </cell>
        </row>
        <row r="19672">
          <cell r="B19672">
            <v>81177</v>
          </cell>
          <cell r="C19672" t="str">
            <v>VITREO MONEY RIDER HF 4 ALL FIA BDR NIVEL I</v>
          </cell>
          <cell r="D19672" t="str">
            <v>VITREO MONEY RIDER HF 4 ALL FIA BDR NIVEL I</v>
          </cell>
          <cell r="E19672" t="str">
            <v>EMPIRICUS GESTAO DE RECURSOS LTDA</v>
          </cell>
        </row>
        <row r="19673">
          <cell r="B19673">
            <v>81177</v>
          </cell>
          <cell r="C19673" t="str">
            <v>VITREO MONEY RIDER HF 4 ALL FIA BDR NIVEL I</v>
          </cell>
          <cell r="D19673" t="str">
            <v>VITREO MONEY RIDER HF 4 ALL FIA BDR NIVEL I</v>
          </cell>
          <cell r="E19673" t="str">
            <v>EMPIRICUS GESTAO DE RECURSOS LTDA</v>
          </cell>
        </row>
        <row r="19674">
          <cell r="B19674">
            <v>81178</v>
          </cell>
          <cell r="C19674" t="str">
            <v>VITREO OPORTUNIDADES ESG FUNDO DE INVESTIMENT EM AÃ‡Ã•ES</v>
          </cell>
          <cell r="D19674" t="str">
            <v>VITREO OPORTUNIDADES ESG FUNDO DE INVESTIMENT EM AÃ‡Ã•ES</v>
          </cell>
          <cell r="E19674" t="str">
            <v>EMPIRICUS GESTAO DE RECURSOS LTDA</v>
          </cell>
        </row>
        <row r="19675">
          <cell r="B19675">
            <v>81178</v>
          </cell>
          <cell r="C19675" t="str">
            <v>VITREO OPORTUNIDADES ESG FUNDO DE INVESTIMENT EM AÃ‡Ã•ES</v>
          </cell>
          <cell r="D19675" t="str">
            <v>VITREO OPORTUNIDADES ESG FUNDO DE INVESTIMENT EM AÃ‡Ã•ES</v>
          </cell>
          <cell r="E19675" t="str">
            <v>EMPIRICUS GESTAO DE RECURSOS LTDA</v>
          </cell>
        </row>
        <row r="19676">
          <cell r="B19676">
            <v>81179</v>
          </cell>
          <cell r="C19676" t="str">
            <v>REAL GRANDEZA - FUNDACAO DE PREVIDENCIA E ASSISTENCIA SOCIAL</v>
          </cell>
          <cell r="D19676" t="str">
            <v>REAL GRANDEZA - FUNDACAO DE PREVIDENCIA E ASSISTENCIA SOCIAL</v>
          </cell>
          <cell r="E19676" t="str">
            <v>REAL GRANDEZA - FUNDACAO DE PREVIDENCIA E ASSISTENCIA SOCIAL</v>
          </cell>
        </row>
        <row r="19677">
          <cell r="B19677">
            <v>81180</v>
          </cell>
          <cell r="C19677" t="str">
            <v>REAL GRANDEZA - FUNDACAO DE PREVIDENCIA E ASSISTENCIA SOCIAL</v>
          </cell>
          <cell r="D19677" t="str">
            <v>REAL GRANDEZA - FUNDACAO DE PREVIDENCIA E ASSISTENCIA SOCIAL</v>
          </cell>
          <cell r="E19677" t="str">
            <v>REAL GRANDEZA - FUNDACAO DE PREVIDENCIA E ASSISTENCIA SOCIAL</v>
          </cell>
        </row>
        <row r="19678">
          <cell r="B19678">
            <v>81181</v>
          </cell>
          <cell r="C19678" t="str">
            <v>REAL GRANDEZA - FUNDACAO DE PREVIDENCIA E ASSISTENCIA SOCIAL</v>
          </cell>
          <cell r="D19678" t="str">
            <v>REAL GRANDEZA - FUNDACAO DE PREVIDENCIA E ASSISTENCIA SOCIAL</v>
          </cell>
          <cell r="E19678" t="str">
            <v>REAL GRANDEZA - FUNDACAO DE PREVIDENCIA E ASSISTENCIA SOCIAL</v>
          </cell>
        </row>
        <row r="19679">
          <cell r="B19679">
            <v>81182</v>
          </cell>
          <cell r="C19679" t="str">
            <v>REAL GRANDEZA - FUNDACAO DE PREVIDENCIA E ASSISTENCIA SOCIAL</v>
          </cell>
          <cell r="D19679" t="str">
            <v>REAL GRANDEZA - FUNDACAO DE PREVIDENCIA E ASSISTENCIA SOCIAL</v>
          </cell>
          <cell r="E19679" t="str">
            <v>REAL GRANDEZA - FUNDACAO DE PREVIDENCIA E ASSISTENCIA SOCIAL</v>
          </cell>
        </row>
        <row r="19680">
          <cell r="B19680">
            <v>81183</v>
          </cell>
          <cell r="C19680" t="str">
            <v>MAUA INVESTIMENTOS LTDA</v>
          </cell>
          <cell r="D19680" t="str">
            <v>MAUA INVESTIMENTOS LTDA</v>
          </cell>
          <cell r="E19680" t="str">
            <v>MAUA INVESTIMENTOS LTDA</v>
          </cell>
        </row>
        <row r="19681">
          <cell r="B19681">
            <v>81179</v>
          </cell>
          <cell r="C19681" t="str">
            <v>REAL GRANDEZA - FUNDACAO DE PREVIDENCIA E ASSISTENCIA SOCIAL</v>
          </cell>
          <cell r="D19681" t="str">
            <v>REAL GRANDEZA - FUNDACAO DE PREVIDENCIA E ASSISTENCIA SOCIAL</v>
          </cell>
          <cell r="E19681" t="str">
            <v>REAL GRANDEZA - FUNDACAO DE PREVIDENCIA E ASSISTENCIA SOCIAL</v>
          </cell>
        </row>
        <row r="19682">
          <cell r="B19682">
            <v>81180</v>
          </cell>
          <cell r="C19682" t="str">
            <v>REAL GRANDEZA - FUNDACAO DE PREVIDENCIA E ASSISTENCIA SOCIAL</v>
          </cell>
          <cell r="D19682" t="str">
            <v>REAL GRANDEZA - FUNDACAO DE PREVIDENCIA E ASSISTENCIA SOCIAL</v>
          </cell>
          <cell r="E19682" t="str">
            <v>REAL GRANDEZA - FUNDACAO DE PREVIDENCIA E ASSISTENCIA SOCIAL</v>
          </cell>
        </row>
        <row r="19683">
          <cell r="B19683">
            <v>81181</v>
          </cell>
          <cell r="C19683" t="str">
            <v>REAL GRANDEZA - FUNDACAO DE PREVIDENCIA E ASSISTENCIA SOCIAL</v>
          </cell>
          <cell r="D19683" t="str">
            <v>REAL GRANDEZA - FUNDACAO DE PREVIDENCIA E ASSISTENCIA SOCIAL</v>
          </cell>
          <cell r="E19683" t="str">
            <v>REAL GRANDEZA - FUNDACAO DE PREVIDENCIA E ASSISTENCIA SOCIAL</v>
          </cell>
        </row>
        <row r="19684">
          <cell r="B19684">
            <v>81182</v>
          </cell>
          <cell r="C19684" t="str">
            <v>REAL GRANDEZA - FUNDACAO DE PREVIDENCIA E ASSISTENCIA SOCIAL</v>
          </cell>
          <cell r="D19684" t="str">
            <v>REAL GRANDEZA - FUNDACAO DE PREVIDENCIA E ASSISTENCIA SOCIAL</v>
          </cell>
          <cell r="E19684" t="str">
            <v>REAL GRANDEZA - FUNDACAO DE PREVIDENCIA E ASSISTENCIA SOCIAL</v>
          </cell>
        </row>
        <row r="19685">
          <cell r="B19685">
            <v>81183</v>
          </cell>
          <cell r="C19685" t="str">
            <v>MAUA INVESTIMENTOS LTDA</v>
          </cell>
          <cell r="D19685" t="str">
            <v>MAUA INVESTIMENTOS LTDA</v>
          </cell>
          <cell r="E19685" t="str">
            <v>MAUA INVESTIMENTOS LTDA</v>
          </cell>
        </row>
        <row r="19686">
          <cell r="B19686">
            <v>125712</v>
          </cell>
          <cell r="C19686" t="str">
            <v>PLUS INVESTIMENTOS FIC DE FIM CP IE</v>
          </cell>
          <cell r="D19686" t="str">
            <v>PLUS INVESTIMENTOS FIC DE FIM CP IE</v>
          </cell>
          <cell r="E19686" t="str">
            <v>JULIUS BAER FAMILY OFFICE BRASIL GESTAO DE PATRIMONIO LTDA</v>
          </cell>
        </row>
        <row r="19687">
          <cell r="B19687">
            <v>125712</v>
          </cell>
          <cell r="C19687" t="str">
            <v>PLUS INVESTIMENTOS FIC DE FIM CP IE</v>
          </cell>
          <cell r="D19687" t="str">
            <v>PLUS INVESTIMENTOS FIC DE FIM CP IE</v>
          </cell>
          <cell r="E19687" t="str">
            <v>JULIUS BAER FAMILY OFFICE BRASIL GESTAO DE PATRIMONIO LTDA</v>
          </cell>
        </row>
        <row r="19688">
          <cell r="B19688">
            <v>81184</v>
          </cell>
          <cell r="C19688" t="str">
            <v>ITAU MASTER GLOBAL DINAMICO MULTIMERCADO FI</v>
          </cell>
          <cell r="D19688" t="str">
            <v>ITAU MASTER GLOBAL DINAMICO MULTIMERCADO FI</v>
          </cell>
          <cell r="E19688" t="str">
            <v>ITAU UNIBANCO ASSET - TACO</v>
          </cell>
        </row>
        <row r="19689">
          <cell r="B19689">
            <v>81184</v>
          </cell>
          <cell r="C19689" t="str">
            <v>ITAU MASTER GLOBAL DINAMICO MULTIMERCADO FI</v>
          </cell>
          <cell r="D19689" t="str">
            <v>ITAU MASTER GLOBAL DINAMICO MULTIMERCADO FI</v>
          </cell>
          <cell r="E19689" t="str">
            <v>ITAU UNIBANCO ASSET - TACO</v>
          </cell>
        </row>
        <row r="19690">
          <cell r="B19690">
            <v>125713</v>
          </cell>
          <cell r="C19690" t="str">
            <v>ROMA FI RF CP</v>
          </cell>
          <cell r="D19690" t="str">
            <v>ROMA FI RF CP</v>
          </cell>
          <cell r="E19690" t="str">
            <v>FUNDACAO VALE DO RIO DOCE DE SEGURIDADE SOCIAL - VALIA</v>
          </cell>
        </row>
        <row r="19691">
          <cell r="B19691">
            <v>125713</v>
          </cell>
          <cell r="C19691" t="str">
            <v>ROMA FI RF CP</v>
          </cell>
          <cell r="D19691" t="str">
            <v>ROMA FI RF CP</v>
          </cell>
          <cell r="E19691" t="str">
            <v>FUNDACAO VALE DO RIO DOCE DE SEGURIDADE SOCIAL - VALIA</v>
          </cell>
        </row>
        <row r="19692">
          <cell r="B19692">
            <v>125714</v>
          </cell>
          <cell r="C19692" t="str">
            <v>KILIMA FUNDO DE INVE EM COTAS DE F IMOBILIÃRIOS SUNO 30 RL</v>
          </cell>
          <cell r="D19692" t="str">
            <v>KILIMA FUNDO DE INVE EM COTAS DE F IMOBILIÃRIOS SUNO 30 RL</v>
          </cell>
          <cell r="E19692" t="str">
            <v>KILIMA GESTAO DE RECURSOS LTDA</v>
          </cell>
        </row>
        <row r="19693">
          <cell r="B19693">
            <v>125714</v>
          </cell>
          <cell r="C19693" t="str">
            <v>KILIMA FUNDO DE INVE EM COTAS DE F IMOBILIÃRIOS SUNO 30 RL</v>
          </cell>
          <cell r="D19693" t="str">
            <v>KILIMA FUNDO DE INVE EM COTAS DE F IMOBILIÃRIOS SUNO 30 RL</v>
          </cell>
          <cell r="E19693" t="str">
            <v>KILIMA GESTAO DE RECURSOS LTDA</v>
          </cell>
        </row>
        <row r="19694">
          <cell r="B19694">
            <v>125715</v>
          </cell>
          <cell r="C19694" t="str">
            <v>ITAÃš FLEXPREV DUNAMIS ADVANCED AÃ‡Ã•ES FUNDO DE INVESTIMENTO</v>
          </cell>
          <cell r="D19694" t="str">
            <v>ITAÃš FLEXPREV DUNAMIS ADVANCED AÃ‡Ã•ES FUNDO DE INVESTIMENTO</v>
          </cell>
          <cell r="E19694" t="str">
            <v>ITAU UNIBANCO ASSET - TACO</v>
          </cell>
        </row>
        <row r="19695">
          <cell r="B19695">
            <v>81185</v>
          </cell>
          <cell r="C19695" t="str">
            <v>ATLAS ONE INVESTIMENTOS GESTÃƒO DE RECURSOS LTDA.</v>
          </cell>
          <cell r="D19695" t="str">
            <v>ATLAS ONE INVESTIMENTOS GESTÃƒO DE RECURSOS LTDA.</v>
          </cell>
          <cell r="E19695" t="str">
            <v>ATLAS ONE INVESTIMENTOS GESTÃƒO DE RECURSOS LTDA</v>
          </cell>
        </row>
        <row r="19696">
          <cell r="B19696">
            <v>81185</v>
          </cell>
          <cell r="C19696" t="str">
            <v>ATLAS ONE INVESTIMENTOS GESTÃƒO DE RECURSOS LTDA.</v>
          </cell>
          <cell r="D19696" t="str">
            <v>ATLAS ONE INVESTIMENTOS GESTÃƒO DE RECURSOS LTDA.</v>
          </cell>
          <cell r="E19696" t="str">
            <v>ATLAS ONE INVESTIMENTOS GESTÃƒO DE RECURSOS LTDA</v>
          </cell>
        </row>
        <row r="19697">
          <cell r="B19697">
            <v>125717</v>
          </cell>
          <cell r="C19697" t="str">
            <v>BB GESTAO DE RECURSOS DTVM LTDA</v>
          </cell>
          <cell r="D19697" t="str">
            <v>BB GESTAO DE RECURSOS DTVM LTDA</v>
          </cell>
          <cell r="E19697" t="str">
            <v>BB GESTAO DE RECURSOS DTVM LTDA</v>
          </cell>
        </row>
        <row r="19698">
          <cell r="B19698">
            <v>125716</v>
          </cell>
          <cell r="C19698" t="str">
            <v>BB GESTAO DE RECURSOS DTVM LTDA</v>
          </cell>
          <cell r="D19698" t="str">
            <v>BB GESTAO DE RECURSOS DTVM LTDA</v>
          </cell>
          <cell r="E19698" t="str">
            <v>BB GESTAO DE RECURSOS DTVM LTDA</v>
          </cell>
        </row>
        <row r="19699">
          <cell r="B19699">
            <v>81187</v>
          </cell>
          <cell r="C19699" t="str">
            <v>OCEANA STR MASTER FUNDO DE INVESTIMENTO MULTIMERCADO</v>
          </cell>
          <cell r="D19699" t="str">
            <v>OCEANA STR MASTER FUNDO DE INVESTIMENTO MULTIMERCADO</v>
          </cell>
          <cell r="E19699" t="str">
            <v>OCEANA STR MASTER FUNDO DE INVESTIMENTO MULTIMERCADO</v>
          </cell>
        </row>
        <row r="19700">
          <cell r="B19700">
            <v>81187</v>
          </cell>
          <cell r="C19700" t="str">
            <v>OCEANA STR MASTER FUNDO DE INVESTIMENTO MULTIMERCADO</v>
          </cell>
          <cell r="D19700" t="str">
            <v>OCEANA STR MASTER FUNDO DE INVESTIMENTO MULTIMERCADO</v>
          </cell>
          <cell r="E19700" t="str">
            <v>OCEANA STR MASTER FUNDO DE INVESTIMENTO MULTIMERCADO</v>
          </cell>
        </row>
        <row r="19701">
          <cell r="B19701">
            <v>81190</v>
          </cell>
          <cell r="C19701" t="str">
            <v>VTR CRIPTO NFT FUNDO DE INVESTIMENTO MULTIMERCADO IE</v>
          </cell>
          <cell r="D19701" t="str">
            <v>VTR CRIPTO NFT FUNDO DE INVESTIMENTO MULTIMERCADO IE</v>
          </cell>
          <cell r="E19701" t="str">
            <v>EMPIRICUS GESTAO DE RECURSOS LTDA</v>
          </cell>
        </row>
        <row r="19702">
          <cell r="B19702">
            <v>81190</v>
          </cell>
          <cell r="C19702" t="str">
            <v>VTR CRIPTO NFT FUNDO DE INVESTIMENTO MULTIMERCADO IE</v>
          </cell>
          <cell r="D19702" t="str">
            <v>VTR CRIPTO NFT FUNDO DE INVESTIMENTO MULTIMERCADO IE</v>
          </cell>
          <cell r="E19702" t="str">
            <v>EMPIRICUS GESTAO DE RECURSOS LTDA</v>
          </cell>
        </row>
        <row r="19703">
          <cell r="B19703">
            <v>81191</v>
          </cell>
          <cell r="C19703" t="str">
            <v>BANCO SUMITOMO MITSUI BRASILEIRO S.A</v>
          </cell>
          <cell r="D19703" t="str">
            <v>BANCO SUMITOMO MITSUI BRASILEIRO S.A</v>
          </cell>
          <cell r="E19703" t="str">
            <v>BANCO SUMITOMO MITSUI BRASILEIRO S/A</v>
          </cell>
        </row>
        <row r="19704">
          <cell r="B19704">
            <v>81191</v>
          </cell>
          <cell r="C19704" t="str">
            <v>BANCO SUMITOMO MITSUI BRASILEIRO S.A</v>
          </cell>
          <cell r="D19704" t="str">
            <v>BANCO SUMITOMO MITSUI BRASILEIRO S.A</v>
          </cell>
          <cell r="E19704" t="str">
            <v>BANCO SUMITOMO MITSUI BRASILEIRO S/A</v>
          </cell>
        </row>
        <row r="19705">
          <cell r="B19705">
            <v>81192</v>
          </cell>
          <cell r="C19705" t="str">
            <v>SAFRA GROWTH FI AÃ‡Ã•ES BDR NIVEL I</v>
          </cell>
          <cell r="D19705" t="str">
            <v>SAFRA GROWTH FI AÃ‡Ã•ES BDR NIVEL I</v>
          </cell>
          <cell r="E19705" t="str">
            <v>SAFRA ASSET MANAGEMENT LTDA</v>
          </cell>
        </row>
        <row r="19706">
          <cell r="B19706">
            <v>81192</v>
          </cell>
          <cell r="C19706" t="str">
            <v>SAFRA GROWTH FI AÃ‡Ã•ES BDR NIVEL I</v>
          </cell>
          <cell r="D19706" t="str">
            <v>SAFRA GROWTH FI AÃ‡Ã•ES BDR NIVEL I</v>
          </cell>
          <cell r="E19706" t="str">
            <v>SAFRA ASSET MANAGEMENT LTDA</v>
          </cell>
        </row>
        <row r="19707">
          <cell r="B19707">
            <v>81193</v>
          </cell>
          <cell r="C19707" t="str">
            <v>PAROS FI FINANCEIRO CI RF RL</v>
          </cell>
          <cell r="D19707" t="str">
            <v>PAROS FI FINANCEIRO CI RF RL</v>
          </cell>
          <cell r="E19707" t="str">
            <v>EMERALD GESTAO DE INVESTIMENTOS LTDA</v>
          </cell>
        </row>
        <row r="19708">
          <cell r="B19708">
            <v>81194</v>
          </cell>
          <cell r="C19708" t="str">
            <v>PERFIN UTILITIES MASTER FUNDO DE INVESTIMENTO EM AÃ‡Ã•ES</v>
          </cell>
          <cell r="D19708" t="str">
            <v>PERFIN UTILITIES MASTER FUNDO DE INVESTIMENTO EM AÃ‡Ã•ES</v>
          </cell>
          <cell r="E19708" t="str">
            <v>PERFIN ADMINISTRAÃ‡ÃƒO DE RECURSOS LTDA</v>
          </cell>
        </row>
        <row r="19709">
          <cell r="B19709">
            <v>81194</v>
          </cell>
          <cell r="C19709" t="str">
            <v>PERFIN UTILITIES MASTER FUNDO DE INVESTIMENTO EM AÃ‡Ã•ES</v>
          </cell>
          <cell r="D19709" t="str">
            <v>PERFIN UTILITIES MASTER FUNDO DE INVESTIMENTO EM AÃ‡Ã•ES</v>
          </cell>
          <cell r="E19709" t="str">
            <v>PERFIN ADMINISTRAÃ‡ÃƒO DE RECURSOS LTDA</v>
          </cell>
        </row>
        <row r="19710">
          <cell r="B19710">
            <v>81196</v>
          </cell>
          <cell r="C19710" t="str">
            <v>VITREO COIN NFT FUNDO DE INVESTIMENTO MULTIMERCADO</v>
          </cell>
          <cell r="D19710" t="str">
            <v>VITREO COIN NFT FUNDO DE INVESTIMENTO MULTIMERCADO</v>
          </cell>
          <cell r="E19710" t="str">
            <v>EMPIRICUS GESTAO DE RECURSOS LTDA</v>
          </cell>
        </row>
        <row r="19711">
          <cell r="B19711">
            <v>81196</v>
          </cell>
          <cell r="C19711" t="str">
            <v>VITREO COIN NFT FUNDO DE INVESTIMENTO MULTIMERCADO</v>
          </cell>
          <cell r="D19711" t="str">
            <v>VITREO COIN NFT FUNDO DE INVESTIMENTO MULTIMERCADO</v>
          </cell>
          <cell r="E19711" t="str">
            <v>EMPIRICUS GESTAO DE RECURSOS LTDA</v>
          </cell>
        </row>
        <row r="19712">
          <cell r="B19712">
            <v>81197</v>
          </cell>
          <cell r="C19712" t="str">
            <v>VITREO CRIPTO NFT FIC DE FIM IE</v>
          </cell>
          <cell r="D19712" t="str">
            <v>VITREO CRIPTO NFT FIC DE FIM IE</v>
          </cell>
          <cell r="E19712" t="str">
            <v>EMPIRICUS GESTAO DE RECURSOS LTDA</v>
          </cell>
        </row>
        <row r="19713">
          <cell r="B19713">
            <v>81197</v>
          </cell>
          <cell r="C19713" t="str">
            <v>VITREO CRIPTO NFT FIC DE FIM IE</v>
          </cell>
          <cell r="D19713" t="str">
            <v>VITREO CRIPTO NFT FIC DE FIM IE</v>
          </cell>
          <cell r="E19713" t="str">
            <v>EMPIRICUS GESTAO DE RECURSOS LTDA</v>
          </cell>
        </row>
        <row r="19714">
          <cell r="B19714">
            <v>81198</v>
          </cell>
          <cell r="C19714" t="str">
            <v>VITREO RENDA FIXA ATIVO FI RENDA FIXA CP IE</v>
          </cell>
          <cell r="D19714" t="str">
            <v>VITREO RENDA FIXA ATIVO FI RENDA FIXA CP IE</v>
          </cell>
          <cell r="E19714" t="str">
            <v>EMPIRICUS GESTAO DE RECURSOS LTDA</v>
          </cell>
        </row>
        <row r="19715">
          <cell r="B19715">
            <v>81198</v>
          </cell>
          <cell r="C19715" t="str">
            <v>VITREO RENDA FIXA ATIVO FI RENDA FIXA CP IE</v>
          </cell>
          <cell r="D19715" t="str">
            <v>VITREO RENDA FIXA ATIVO FI RENDA FIXA CP IE</v>
          </cell>
          <cell r="E19715" t="str">
            <v>EMPIRICUS GESTAO DE RECURSOS LTDA</v>
          </cell>
        </row>
        <row r="19716">
          <cell r="B19716">
            <v>81195</v>
          </cell>
          <cell r="C19716" t="str">
            <v>N3M FIM CP IE</v>
          </cell>
          <cell r="D19716" t="str">
            <v>N3M FIM CP IE</v>
          </cell>
          <cell r="E19716" t="str">
            <v>JULIUS BAER FAMILY OFFICE BRASIL GESTAO DE PATRIMONIO LTDA</v>
          </cell>
        </row>
        <row r="19717">
          <cell r="B19717">
            <v>81195</v>
          </cell>
          <cell r="C19717" t="str">
            <v>N3M FIM CP IE</v>
          </cell>
          <cell r="D19717" t="str">
            <v>N3M FIM CP IE</v>
          </cell>
          <cell r="E19717" t="str">
            <v>JULIUS BAER FAMILY OFFICE BRASIL GESTAO DE PATRIMONIO LTDA</v>
          </cell>
        </row>
        <row r="19718">
          <cell r="B19718">
            <v>81199</v>
          </cell>
          <cell r="C19718" t="str">
            <v>BANCO ORIGINAL S/A</v>
          </cell>
          <cell r="D19718" t="str">
            <v>BANCO ORIGINAL S/A</v>
          </cell>
          <cell r="E19718" t="str">
            <v>BANCO ORIGINAL S/A</v>
          </cell>
        </row>
        <row r="19719">
          <cell r="B19719">
            <v>125718</v>
          </cell>
          <cell r="C19719" t="str">
            <v>STERNA CAPITAL GESTORA DE RECURSOS LTDA.</v>
          </cell>
          <cell r="D19719" t="str">
            <v>STERNA CAPITAL GESTORA DE RECURSOS LTDA.</v>
          </cell>
          <cell r="E19719" t="str">
            <v>STERNA CAPITAL GESTORA DE RECURSOS LTDA.</v>
          </cell>
        </row>
        <row r="19720">
          <cell r="B19720">
            <v>125718</v>
          </cell>
          <cell r="C19720" t="str">
            <v>STERNA CAPITAL GESTORA DE RECURSOS LTDA.</v>
          </cell>
          <cell r="D19720" t="str">
            <v>STERNA CAPITAL GESTORA DE RECURSOS LTDA.</v>
          </cell>
          <cell r="E19720" t="str">
            <v>STERNA CAPITAL GESTORA DE RECURSOS LTDA.</v>
          </cell>
        </row>
        <row r="19721">
          <cell r="B19721">
            <v>125719</v>
          </cell>
          <cell r="C19721" t="str">
            <v>BB GESTAO DE RECURSOS DTVM LTDA</v>
          </cell>
          <cell r="D19721" t="str">
            <v>BB GESTAO DE RECURSOS DTVM LTDA</v>
          </cell>
          <cell r="E19721" t="str">
            <v>BB GESTAO DE RECURSOS DTVM LTDA</v>
          </cell>
        </row>
        <row r="19722">
          <cell r="B19722">
            <v>81201</v>
          </cell>
          <cell r="C19722" t="str">
            <v>BR PARTNERS BANCO DE INVESTIMENTOS SA</v>
          </cell>
          <cell r="D19722" t="str">
            <v>BR PARTNERS BANCO DE INVESTIMENTOS SA</v>
          </cell>
          <cell r="E19722" t="str">
            <v>BR PARTNERS BANCO DE INVESTIMENTOS S/A</v>
          </cell>
        </row>
        <row r="19723">
          <cell r="B19723">
            <v>81204</v>
          </cell>
          <cell r="C19723" t="str">
            <v>QUANTAMENTAL HEDGE MASTER FIF RENDA FR DI RL</v>
          </cell>
          <cell r="D19723" t="str">
            <v>QUANTAMENTAL HEDGE MASTER FIF RENDA FR DI RL</v>
          </cell>
          <cell r="E19723" t="str">
            <v>ITAU UNIBANCO ASSET - TACO</v>
          </cell>
        </row>
        <row r="19724">
          <cell r="B19724">
            <v>81205</v>
          </cell>
          <cell r="C19724" t="str">
            <v>ITAU MASTER GLOBAL DINAMICO ULTRA MULTIMERCADO FUNDO DE INVE</v>
          </cell>
          <cell r="D19724" t="str">
            <v>ITAU MASTER GLOBAL DINAMICO ULTRA MULTIMERCADO FUNDO DE INVE</v>
          </cell>
          <cell r="E19724" t="str">
            <v>ITAU UNIBANCO ASSET - TACO</v>
          </cell>
        </row>
        <row r="19725">
          <cell r="B19725">
            <v>81206</v>
          </cell>
          <cell r="C19725" t="str">
            <v>ITAU MASTER GLOBAL DINAMICO ULTRA MULTIMERCADO FUNDO DE INVE</v>
          </cell>
          <cell r="D19725" t="str">
            <v>ITAU MASTER GLOBAL DINAMICO ULTRA MULTIMERCADO FUNDO DE INVE</v>
          </cell>
          <cell r="E19725" t="str">
            <v>ITAU UNIBANCO S/A</v>
          </cell>
        </row>
        <row r="19726">
          <cell r="B19726">
            <v>81207</v>
          </cell>
          <cell r="C19726" t="str">
            <v>ITAU MASTER GLOBAL DINAMICO ULTRA MULTIMERCADO FUNDO DE INVE</v>
          </cell>
          <cell r="D19726" t="str">
            <v>ITAU MASTER GLOBAL DINAMICO ULTRA MULTIMERCADO FUNDO DE INVE</v>
          </cell>
          <cell r="E19726" t="str">
            <v>ITAU UNIBANCO ASSET - TACO</v>
          </cell>
        </row>
        <row r="19727">
          <cell r="B19727">
            <v>81208</v>
          </cell>
          <cell r="C19727" t="str">
            <v>ITAU MASTER GLOBAL DINAMICO ULTRA MULTIMERCADO FUNDO DE INVE</v>
          </cell>
          <cell r="D19727" t="str">
            <v>ITAU MASTER GLOBAL DINAMICO ULTRA MULTIMERCADO FUNDO DE INVE</v>
          </cell>
          <cell r="E19727" t="str">
            <v>ITAU UNIBANCO ASSET - TACO</v>
          </cell>
        </row>
        <row r="19728">
          <cell r="B19728">
            <v>81209</v>
          </cell>
          <cell r="C19728" t="str">
            <v>ITAU MASTER GLOBAL DINAMICO ULTRA MULTIMERCADO FUNDO DE INVE</v>
          </cell>
          <cell r="D19728" t="str">
            <v>ITAU MASTER GLOBAL DINAMICO ULTRA MULTIMERCADO FUNDO DE INVE</v>
          </cell>
          <cell r="E19728" t="str">
            <v>ITAU UNIBANCO ASSET - TACO</v>
          </cell>
        </row>
        <row r="19729">
          <cell r="B19729">
            <v>81210</v>
          </cell>
          <cell r="C19729" t="str">
            <v>ITAÃš COLUMBUS MULTIMERCADO FUNDO DE INVESTIMENTO</v>
          </cell>
          <cell r="D19729" t="str">
            <v>ITAÃš COLUMBUS MULTIMERCADO FUNDO DE INVESTIMENTO</v>
          </cell>
          <cell r="E19729" t="str">
            <v>ITAU UNIBANCO ASSET - TACO</v>
          </cell>
        </row>
        <row r="19730">
          <cell r="B19730">
            <v>81210</v>
          </cell>
          <cell r="C19730" t="str">
            <v>ITAÃš COLUMBUS MULTIMERCADO FUNDO DE INVESTIMENTO</v>
          </cell>
          <cell r="D19730" t="str">
            <v>ITAÃš COLUMBUS MULTIMERCADO FUNDO DE INVESTIMENTO</v>
          </cell>
          <cell r="E19730" t="str">
            <v>ITAU UNIBANCO ASSET - TACO</v>
          </cell>
        </row>
        <row r="19731">
          <cell r="B19731">
            <v>81212</v>
          </cell>
          <cell r="C19731" t="str">
            <v>ITAU UNIBANCO S.A.</v>
          </cell>
          <cell r="D19731" t="str">
            <v>ITAU UNIBANCO S.A.</v>
          </cell>
          <cell r="E19731" t="str">
            <v>ITAU UNIBANCO S/A</v>
          </cell>
        </row>
        <row r="19732">
          <cell r="B19732">
            <v>81211</v>
          </cell>
          <cell r="C19732" t="str">
            <v>ITAU UNIBANCO S.A.</v>
          </cell>
          <cell r="D19732" t="str">
            <v>ITAU UNIBANCO S.A.</v>
          </cell>
          <cell r="E19732" t="str">
            <v>ITAU UNIBANCO S/A</v>
          </cell>
        </row>
        <row r="19733">
          <cell r="B19733">
            <v>81211</v>
          </cell>
          <cell r="C19733" t="str">
            <v>ITAU UNIBANCO S.A.</v>
          </cell>
          <cell r="D19733" t="str">
            <v>ITAU UNIBANCO S.A.</v>
          </cell>
          <cell r="E19733" t="str">
            <v>ITAU UNIBANCO S/A</v>
          </cell>
        </row>
        <row r="19734">
          <cell r="B19734">
            <v>81212</v>
          </cell>
          <cell r="C19734" t="str">
            <v>ITAU UNIBANCO S.A.</v>
          </cell>
          <cell r="D19734" t="str">
            <v>ITAU UNIBANCO S.A.</v>
          </cell>
          <cell r="E19734" t="str">
            <v>ITAU UNIBANCO S/A</v>
          </cell>
        </row>
        <row r="19735">
          <cell r="B19735">
            <v>81214</v>
          </cell>
          <cell r="C19735" t="str">
            <v>BANCO BRADESCO S/A</v>
          </cell>
          <cell r="D19735" t="str">
            <v>BANCO BRADESCO S/A</v>
          </cell>
          <cell r="E19735" t="str">
            <v>BANCO BRADESCO S/A</v>
          </cell>
        </row>
        <row r="19736">
          <cell r="B19736">
            <v>81215</v>
          </cell>
          <cell r="C19736" t="str">
            <v>GARIN OR FIM</v>
          </cell>
          <cell r="D19736" t="str">
            <v>GARIN OR FIM</v>
          </cell>
          <cell r="E19736" t="str">
            <v>GARIN INVESTIMENTOS LTDA</v>
          </cell>
        </row>
        <row r="19737">
          <cell r="B19737">
            <v>81215</v>
          </cell>
          <cell r="C19737" t="str">
            <v>GARIN OR FIM</v>
          </cell>
          <cell r="D19737" t="str">
            <v>GARIN OR FIM</v>
          </cell>
          <cell r="E19737" t="str">
            <v>GARIN INVESTIMENTOS LTDA</v>
          </cell>
        </row>
        <row r="19738">
          <cell r="B19738">
            <v>81216</v>
          </cell>
          <cell r="C19738" t="str">
            <v>ITAU UNIBANCO ASSET MANAGEMENT LTDA</v>
          </cell>
          <cell r="D19738" t="str">
            <v>ITAU UNIBANCO ASSET MANAGEMENT LTDA</v>
          </cell>
          <cell r="E19738" t="str">
            <v>ITAU UNIBANCO ASSET MANAGEMENT LTDA</v>
          </cell>
        </row>
        <row r="19739">
          <cell r="B19739">
            <v>81216</v>
          </cell>
          <cell r="C19739" t="str">
            <v>ITAU UNIBANCO ASSET MANAGEMENT LTDA</v>
          </cell>
          <cell r="D19739" t="str">
            <v>ITAU UNIBANCO ASSET MANAGEMENT LTDA</v>
          </cell>
          <cell r="E19739" t="str">
            <v>ITAU UNIBANCO ASSET MANAGEMENT LTDA</v>
          </cell>
        </row>
        <row r="19740">
          <cell r="B19740">
            <v>79419</v>
          </cell>
          <cell r="C19740" t="str">
            <v>BANIF- BANCO INTERNACIONAL DO FUNCHAL ( BRASIL) S/A</v>
          </cell>
          <cell r="D19740" t="str">
            <v>BANIF- BANCO INTERNACIONAL DO FUNCHAL ( BRASIL) S/A</v>
          </cell>
          <cell r="E19740" t="str">
            <v>BANIF- BANCO INTERNACIONAL DO FUNCHAL ( BRASIL) S/A</v>
          </cell>
        </row>
        <row r="19741">
          <cell r="B19741">
            <v>81218</v>
          </cell>
          <cell r="C19741" t="str">
            <v>QUELUZ SELECAO FIA</v>
          </cell>
          <cell r="D19741" t="str">
            <v>QUELUZ SELECAO FIA</v>
          </cell>
          <cell r="E19741" t="str">
            <v>QLZ GESTAO DE RECURSOS FINANCEIROS LTDA</v>
          </cell>
        </row>
        <row r="19742">
          <cell r="B19742">
            <v>81218</v>
          </cell>
          <cell r="C19742" t="str">
            <v>QUELUZ SELECAO FIA</v>
          </cell>
          <cell r="D19742" t="str">
            <v>QUELUZ SELECAO FIA</v>
          </cell>
          <cell r="E19742" t="str">
            <v>QLZ GESTAO DE RECURSOS FINANCEIROS LTDA</v>
          </cell>
        </row>
        <row r="19743">
          <cell r="B19743">
            <v>81219</v>
          </cell>
          <cell r="C19743" t="str">
            <v>VITREO OURO FIM</v>
          </cell>
          <cell r="D19743" t="str">
            <v>VITREO OURO FIM</v>
          </cell>
          <cell r="E19743" t="str">
            <v>EMPIRICUS GESTAO DE RECURSOS LTDA</v>
          </cell>
        </row>
        <row r="19744">
          <cell r="B19744">
            <v>81219</v>
          </cell>
          <cell r="C19744" t="str">
            <v>VITREO OURO FIM</v>
          </cell>
          <cell r="D19744" t="str">
            <v>VITREO OURO FIM</v>
          </cell>
          <cell r="E19744" t="str">
            <v>EMPIRICUS GESTAO DE RECURSOS LTDA</v>
          </cell>
        </row>
        <row r="19745">
          <cell r="B19745">
            <v>81220</v>
          </cell>
          <cell r="C19745" t="str">
            <v>BRADESCO MÃSTER LONG BIASED FI FINANCEIRO CIA RL</v>
          </cell>
          <cell r="D19745" t="str">
            <v>BRADESCO MÃSTER LONG BIASED FI FINANCEIRO CIA RL</v>
          </cell>
          <cell r="E19745" t="str">
            <v>BRAM - BRADESCO ASSET MANAGEMENT S/A DTVM</v>
          </cell>
        </row>
        <row r="19746">
          <cell r="B19746">
            <v>81221</v>
          </cell>
          <cell r="C19746" t="str">
            <v>ÃGORA ESMERALDA FI FINANCEIRO CI MULT RL</v>
          </cell>
          <cell r="D19746" t="str">
            <v>ÃGORA ESMERALDA FI FINANCEIRO CI MULT RL</v>
          </cell>
          <cell r="E19746" t="str">
            <v>BRAM - BRADESCO ASSET MANAGEMENT S/A DTVM</v>
          </cell>
        </row>
        <row r="19747">
          <cell r="B19747">
            <v>81226</v>
          </cell>
          <cell r="C19747" t="str">
            <v>SEARA ALIMENTOS LTDA</v>
          </cell>
          <cell r="D19747" t="str">
            <v>SEARA ALIMENTOS LTDA</v>
          </cell>
          <cell r="E19747" t="str">
            <v>SEARA ALIMENTOS LTDA</v>
          </cell>
        </row>
        <row r="19748">
          <cell r="B19748">
            <v>81227</v>
          </cell>
          <cell r="C19748" t="str">
            <v>FAR FATOR ADMINISTRAÃ‡ÃƒO DE RECURSOS LTDA</v>
          </cell>
          <cell r="D19748" t="str">
            <v>FAR FATOR ADMINISTRAÃ‡ÃƒO DE RECURSOS LTDA</v>
          </cell>
          <cell r="E19748" t="str">
            <v>FAR FATOR ADMINISTRAÃ‡ÃƒO DE RECURSOS LTDA</v>
          </cell>
        </row>
        <row r="19749">
          <cell r="B19749">
            <v>81227</v>
          </cell>
          <cell r="C19749" t="str">
            <v>FAR FATOR ADMINISTRAÃ‡ÃƒO DE RECURSOS LTDA</v>
          </cell>
          <cell r="D19749" t="str">
            <v>FAR FATOR ADMINISTRAÃ‡ÃƒO DE RECURSOS LTDA</v>
          </cell>
          <cell r="E19749" t="str">
            <v>FAR FATOR ADMINISTRAÃ‡ÃƒO DE RECURSOS LTDA</v>
          </cell>
        </row>
        <row r="19750">
          <cell r="B19750">
            <v>81228</v>
          </cell>
          <cell r="C19750" t="str">
            <v>SAFRA ASSET MANAGEMENT LTDA</v>
          </cell>
          <cell r="D19750" t="str">
            <v>SAFRA ASSET MANAGEMENT LTDA</v>
          </cell>
          <cell r="E19750" t="str">
            <v>SAFRA ASSET MANAGEMENT LTDA</v>
          </cell>
        </row>
        <row r="19751">
          <cell r="B19751">
            <v>81228</v>
          </cell>
          <cell r="C19751" t="str">
            <v>SAFRA ASSET MANAGEMENT LTDA</v>
          </cell>
          <cell r="D19751" t="str">
            <v>SAFRA ASSET MANAGEMENT LTDA</v>
          </cell>
          <cell r="E19751" t="str">
            <v>SAFRA ASSET MANAGEMENT LTDA</v>
          </cell>
        </row>
        <row r="19752">
          <cell r="B19752">
            <v>81230</v>
          </cell>
          <cell r="C19752" t="str">
            <v>OITI FIM CP IE</v>
          </cell>
          <cell r="D19752" t="str">
            <v>OITI FIM CP IE</v>
          </cell>
          <cell r="E19752" t="str">
            <v>ITAU UNIBANCO S/A</v>
          </cell>
        </row>
        <row r="19753">
          <cell r="B19753">
            <v>81229</v>
          </cell>
          <cell r="C19753" t="str">
            <v>EMPIRICUS OPORTUNIDADES DE UMA VIDA FUNDO DE INVESTIMENTO EM</v>
          </cell>
          <cell r="D19753" t="str">
            <v>EMPIRICUS OPORTUNIDADES DE UMA VIDA FUNDO DE INVESTIMENTO EM</v>
          </cell>
          <cell r="E19753" t="str">
            <v>EMPIRICUS GESTAO DE RECURSOS LTDA</v>
          </cell>
        </row>
        <row r="19754">
          <cell r="B19754">
            <v>81229</v>
          </cell>
          <cell r="C19754" t="str">
            <v>EMPIRICUS OPORTUNIDADES DE UMA VIDA FUNDO DE INVESTIMENTO EM</v>
          </cell>
          <cell r="D19754" t="str">
            <v>EMPIRICUS OPORTUNIDADES DE UMA VIDA FUNDO DE INVESTIMENTO EM</v>
          </cell>
          <cell r="E19754" t="str">
            <v>EMPIRICUS GESTAO DE RECURSOS LTDA</v>
          </cell>
        </row>
        <row r="19755">
          <cell r="B19755">
            <v>81230</v>
          </cell>
          <cell r="C19755" t="str">
            <v>OITI FIM CP IE</v>
          </cell>
          <cell r="D19755" t="str">
            <v>OITI FIM CP IE</v>
          </cell>
          <cell r="E19755" t="str">
            <v>ITAU UNIBANCO S/A</v>
          </cell>
        </row>
        <row r="19756">
          <cell r="B19756">
            <v>81231</v>
          </cell>
          <cell r="C19756" t="str">
            <v>VIVAPREV CAPITAL FUNDO DE INVESTIMENTO MULTIMERCADO RL</v>
          </cell>
          <cell r="D19756" t="str">
            <v>VIVAPREV CAPITAL FUNDO DE INVESTIMENTO MULTIMERCADO RL</v>
          </cell>
          <cell r="E19756" t="str">
            <v>ICATU VANGUARDA GESTAO DE RECURSOS LTDA</v>
          </cell>
        </row>
        <row r="19757">
          <cell r="B19757">
            <v>81231</v>
          </cell>
          <cell r="C19757" t="str">
            <v>VIVAPREV CAPITAL FUNDO DE INVESTIMENTO MULTIMERCADO RL</v>
          </cell>
          <cell r="D19757" t="str">
            <v>VIVAPREV CAPITAL FUNDO DE INVESTIMENTO MULTIMERCADO RL</v>
          </cell>
          <cell r="E19757" t="str">
            <v>ICATU VANGUARDA GESTAO DE RECURSOS LTDA</v>
          </cell>
        </row>
        <row r="19758">
          <cell r="B19758">
            <v>81232</v>
          </cell>
          <cell r="C19758" t="str">
            <v>MERAKI CAPITAL GESTAO DE RECURSOS LTDA</v>
          </cell>
          <cell r="D19758" t="str">
            <v>MERAKI CAPITAL GESTAO DE RECURSOS LTDA</v>
          </cell>
          <cell r="E19758" t="str">
            <v>MERAKI CAPITAL GESTAO DE RECURSOS LTDA</v>
          </cell>
        </row>
        <row r="19759">
          <cell r="B19759">
            <v>81232</v>
          </cell>
          <cell r="C19759" t="str">
            <v>MERAKI CAPITAL GESTAO DE RECURSOS LTDA</v>
          </cell>
          <cell r="D19759" t="str">
            <v>MERAKI CAPITAL GESTAO DE RECURSOS LTDA</v>
          </cell>
          <cell r="E19759" t="str">
            <v>MERAKI CAPITAL GESTAO DE RECURSOS LTDA</v>
          </cell>
        </row>
        <row r="19760">
          <cell r="B19760">
            <v>81233</v>
          </cell>
          <cell r="C19760" t="str">
            <v>VITREO COIN DEFI P FIM</v>
          </cell>
          <cell r="D19760" t="str">
            <v>VITREO COIN DEFI P FIM</v>
          </cell>
          <cell r="E19760" t="str">
            <v>EMPIRICUS GESTAO DE RECURSOS LTDA</v>
          </cell>
        </row>
        <row r="19761">
          <cell r="B19761">
            <v>81233</v>
          </cell>
          <cell r="C19761" t="str">
            <v>VITREO COIN DEFI P FIM</v>
          </cell>
          <cell r="D19761" t="str">
            <v>VITREO COIN DEFI P FIM</v>
          </cell>
          <cell r="E19761" t="str">
            <v>EMPIRICUS GESTAO DE RECURSOS LTDA</v>
          </cell>
        </row>
        <row r="19762">
          <cell r="B19762">
            <v>81234</v>
          </cell>
          <cell r="C19762" t="str">
            <v>FUNDO DE INVESTIMENTO MULTIMERCADO CRÃ‰DITO PRIVADO RHODES</v>
          </cell>
          <cell r="D19762" t="str">
            <v>FUNDO DE INVESTIMENTO MULTIMERCADO CRÃ‰DITO PRIVADO RHODES</v>
          </cell>
          <cell r="E19762" t="str">
            <v>JULIUS BAER FAMILY OFFICE BRASIL GESTAO DE PATRIMONIO LTDA</v>
          </cell>
        </row>
        <row r="19763">
          <cell r="B19763">
            <v>81234</v>
          </cell>
          <cell r="C19763" t="str">
            <v>FUNDO DE INVESTIMENTO MULTIMERCADO CRÃ‰DITO PRIVADO RHODES</v>
          </cell>
          <cell r="D19763" t="str">
            <v>FUNDO DE INVESTIMENTO MULTIMERCADO CRÃ‰DITO PRIVADO RHODES</v>
          </cell>
          <cell r="E19763" t="str">
            <v>JULIUS BAER FAMILY OFFICE BRASIL GESTAO DE PATRIMONIO LTDA</v>
          </cell>
        </row>
        <row r="19764">
          <cell r="B19764">
            <v>81235</v>
          </cell>
          <cell r="C19764" t="str">
            <v>BANCO DA AMAZONIA S.A.</v>
          </cell>
          <cell r="D19764" t="str">
            <v>BANCO DA AMAZONIA S.A.</v>
          </cell>
          <cell r="E19764" t="str">
            <v>BANCO DA AMAZONIA S/A</v>
          </cell>
        </row>
        <row r="19765">
          <cell r="B19765">
            <v>81235</v>
          </cell>
          <cell r="C19765" t="str">
            <v>BANCO DA AMAZONIA S.A.</v>
          </cell>
          <cell r="D19765" t="str">
            <v>BANCO DA AMAZONIA S.A.</v>
          </cell>
          <cell r="E19765" t="str">
            <v>BANCO DA AMAZONIA S/A</v>
          </cell>
        </row>
        <row r="19766">
          <cell r="B19766">
            <v>81236</v>
          </cell>
          <cell r="C19766" t="str">
            <v>ITAU MASTER GLOBAL DINAMICO MULTIMERCADO FI</v>
          </cell>
          <cell r="D19766" t="str">
            <v>ITAU MASTER GLOBAL DINAMICO MULTIMERCADO FI</v>
          </cell>
          <cell r="E19766" t="str">
            <v>ITAU UNIBANCO ASSET - TACO</v>
          </cell>
        </row>
        <row r="19767">
          <cell r="B19767">
            <v>81237</v>
          </cell>
          <cell r="C19767" t="str">
            <v>ITAU MASTER GLOBAL DINAMICO ULTRA MULTIMERCADO FUNDO DE INVE</v>
          </cell>
          <cell r="D19767" t="str">
            <v>ITAU MASTER GLOBAL DINAMICO ULTRA MULTIMERCADO FUNDO DE INVE</v>
          </cell>
          <cell r="E19767" t="str">
            <v>ITAU UNIBANCO ASSET - TACO</v>
          </cell>
        </row>
        <row r="19768">
          <cell r="B19768">
            <v>81237</v>
          </cell>
          <cell r="C19768" t="str">
            <v>ITAU MASTER GLOBAL DINAMICO ULTRA MULTIMERCADO FUNDO DE INVE</v>
          </cell>
          <cell r="D19768" t="str">
            <v>ITAU MASTER GLOBAL DINAMICO ULTRA MULTIMERCADO FUNDO DE INVE</v>
          </cell>
          <cell r="E19768" t="str">
            <v>ITAU UNIBANCO ASSET - TACO</v>
          </cell>
        </row>
        <row r="19769">
          <cell r="B19769">
            <v>81238</v>
          </cell>
          <cell r="C19769" t="str">
            <v>KAPITALO K10 PREVIDÃŠNCIA MASTER FIF MULT RL</v>
          </cell>
          <cell r="D19769" t="str">
            <v>KAPITALO K10 PREVIDÃŠNCIA MASTER FIF MULT RL</v>
          </cell>
          <cell r="E19769" t="str">
            <v>KAPITALO INVESTIMENTOS LTDA</v>
          </cell>
        </row>
        <row r="19770">
          <cell r="B19770">
            <v>81239</v>
          </cell>
          <cell r="C19770" t="str">
            <v>KAPITALO MASTER V FUNDO DE INVESTIMENTO FINANCEIRO MULT RL</v>
          </cell>
          <cell r="D19770" t="str">
            <v>KAPITALO MASTER V FUNDO DE INVESTIMENTO FINANCEIRO MULT RL</v>
          </cell>
          <cell r="E19770" t="str">
            <v>KAPITALO INVESTIMENTOS LTDA</v>
          </cell>
        </row>
        <row r="19771">
          <cell r="B19771">
            <v>81240</v>
          </cell>
          <cell r="C19771" t="str">
            <v>SANTANDER ACOES GLOBAIS REAIS BDR ETF NIVEL I FIA</v>
          </cell>
          <cell r="D19771" t="str">
            <v>SANTANDER ACOES GLOBAIS REAIS BDR ETF NIVEL I FIA</v>
          </cell>
          <cell r="E19771" t="str">
            <v>SANTANDER BRASIL GESTAO DE RECURSOS LTDA</v>
          </cell>
        </row>
        <row r="19772">
          <cell r="B19772">
            <v>81241</v>
          </cell>
          <cell r="C19772" t="str">
            <v>MZK MASTER FIM</v>
          </cell>
          <cell r="D19772" t="str">
            <v>MZK MASTER FIM</v>
          </cell>
          <cell r="E19772" t="str">
            <v>MZK MASTER FIM</v>
          </cell>
        </row>
        <row r="19773">
          <cell r="B19773">
            <v>81241</v>
          </cell>
          <cell r="C19773" t="str">
            <v>MZK MASTER FIM</v>
          </cell>
          <cell r="D19773" t="str">
            <v>MZK MASTER FIM</v>
          </cell>
          <cell r="E19773" t="str">
            <v>MZK MASTER FIM</v>
          </cell>
        </row>
        <row r="19774">
          <cell r="B19774">
            <v>81242</v>
          </cell>
          <cell r="C19774" t="str">
            <v>VTR CRIPTO SMART FUNDO DE INVESTIMENTO MULTIMERCADO IE</v>
          </cell>
          <cell r="D19774" t="str">
            <v>VTR CRIPTO SMART FUNDO DE INVESTIMENTO MULTIMERCADO IE</v>
          </cell>
          <cell r="E19774" t="str">
            <v>EMPIRICUS GESTAO DE RECURSOS LTDA</v>
          </cell>
        </row>
        <row r="19775">
          <cell r="B19775">
            <v>81242</v>
          </cell>
          <cell r="C19775" t="str">
            <v>VTR CRIPTO SMART FUNDO DE INVESTIMENTO MULTIMERCADO IE</v>
          </cell>
          <cell r="D19775" t="str">
            <v>VTR CRIPTO SMART FUNDO DE INVESTIMENTO MULTIMERCADO IE</v>
          </cell>
          <cell r="E19775" t="str">
            <v>EMPIRICUS GESTAO DE RECURSOS LTDA</v>
          </cell>
        </row>
        <row r="19776">
          <cell r="B19776">
            <v>81243</v>
          </cell>
          <cell r="C19776" t="str">
            <v>ITAU MASTER HU MULTIMERCADO FUNDO DE INVESTIMENTO</v>
          </cell>
          <cell r="D19776" t="str">
            <v>ITAU MASTER HU MULTIMERCADO FUNDO DE INVESTIMENTO</v>
          </cell>
          <cell r="E19776" t="str">
            <v>ITAU UNIBANCO ASSET - TACO</v>
          </cell>
        </row>
        <row r="19777">
          <cell r="B19777">
            <v>81243</v>
          </cell>
          <cell r="C19777" t="str">
            <v>ITAU MASTER HU MULTIMERCADO FUNDO DE INVESTIMENTO</v>
          </cell>
          <cell r="D19777" t="str">
            <v>ITAU MASTER HU MULTIMERCADO FUNDO DE INVESTIMENTO</v>
          </cell>
          <cell r="E19777" t="str">
            <v>ITAU UNIBANCO ASSET - TACO</v>
          </cell>
        </row>
        <row r="19778">
          <cell r="B19778">
            <v>81244</v>
          </cell>
          <cell r="C19778" t="str">
            <v>ALPHATREE FUNDO DE INVESTIMENTO EM COTAS EM FIM</v>
          </cell>
          <cell r="D19778" t="str">
            <v>ALPHATREE FUNDO DE INVESTIMENTO EM COTAS EM FIM</v>
          </cell>
          <cell r="E19778" t="str">
            <v>ALPHATREE FUNDO DE INVESTIMENTO EM COTAS EM FIM</v>
          </cell>
        </row>
        <row r="19779">
          <cell r="B19779">
            <v>81244</v>
          </cell>
          <cell r="C19779" t="str">
            <v>ALPHATREE FUNDO DE INVESTIMENTO EM COTAS EM FIM</v>
          </cell>
          <cell r="D19779" t="str">
            <v>ALPHATREE FUNDO DE INVESTIMENTO EM COTAS EM FIM</v>
          </cell>
          <cell r="E19779" t="str">
            <v>ALPHATREE FUNDO DE INVESTIMENTO EM COTAS EM FIM</v>
          </cell>
        </row>
        <row r="19780">
          <cell r="B19780">
            <v>81245</v>
          </cell>
          <cell r="C19780" t="str">
            <v>VITREO METAVERSO FUNDO DE INVESTIMENTO EM AÃ‡Ã•ES BDR NÃVEL I</v>
          </cell>
          <cell r="D19780" t="str">
            <v>VITREO METAVERSO FUNDO DE INVESTIMENTO EM AÃ‡Ã•ES BDR NÃVEL I</v>
          </cell>
          <cell r="E19780" t="str">
            <v>EMPIRICUS GESTAO DE RECURSOS LTDA</v>
          </cell>
        </row>
        <row r="19781">
          <cell r="B19781">
            <v>81245</v>
          </cell>
          <cell r="C19781" t="str">
            <v>VITREO METAVERSO FUNDO DE INVESTIMENTO EM AÃ‡Ã•ES BDR NÃVEL I</v>
          </cell>
          <cell r="D19781" t="str">
            <v>VITREO METAVERSO FUNDO DE INVESTIMENTO EM AÃ‡Ã•ES BDR NÃVEL I</v>
          </cell>
          <cell r="E19781" t="str">
            <v>EMPIRICUS GESTAO DE RECURSOS LTDA</v>
          </cell>
        </row>
        <row r="19782">
          <cell r="B19782">
            <v>81246</v>
          </cell>
          <cell r="C19782" t="str">
            <v>VITREO COIN SMART FUNDO DE INVESTIMENTO MULTIMERCADO</v>
          </cell>
          <cell r="D19782" t="str">
            <v>VITREO COIN SMART FUNDO DE INVESTIMENTO MULTIMERCADO</v>
          </cell>
          <cell r="E19782" t="str">
            <v>EMPIRICUS GESTAO DE RECURSOS LTDA</v>
          </cell>
        </row>
        <row r="19783">
          <cell r="B19783">
            <v>81246</v>
          </cell>
          <cell r="C19783" t="str">
            <v>VITREO COIN SMART FUNDO DE INVESTIMENTO MULTIMERCADO</v>
          </cell>
          <cell r="D19783" t="str">
            <v>VITREO COIN SMART FUNDO DE INVESTIMENTO MULTIMERCADO</v>
          </cell>
          <cell r="E19783" t="str">
            <v>EMPIRICUS GESTAO DE RECURSOS LTDA</v>
          </cell>
        </row>
        <row r="19784">
          <cell r="B19784">
            <v>81247</v>
          </cell>
          <cell r="C19784" t="str">
            <v>VITREO CRIPTO SMART FUNDO DE INVESTIMENTO EM COTAS DE FUNDOS</v>
          </cell>
          <cell r="D19784" t="str">
            <v>VITREO CRIPTO SMART FUNDO DE INVESTIMENTO EM COTAS DE FUNDOS</v>
          </cell>
          <cell r="E19784" t="str">
            <v>EMPIRICUS GESTAO DE RECURSOS LTDA</v>
          </cell>
        </row>
        <row r="19785">
          <cell r="B19785">
            <v>81247</v>
          </cell>
          <cell r="C19785" t="str">
            <v>VITREO CRIPTO SMART FUNDO DE INVESTIMENTO EM COTAS DE FUNDOS</v>
          </cell>
          <cell r="D19785" t="str">
            <v>VITREO CRIPTO SMART FUNDO DE INVESTIMENTO EM COTAS DE FUNDOS</v>
          </cell>
          <cell r="E19785" t="str">
            <v>EMPIRICUS GESTAO DE RECURSOS LTDA</v>
          </cell>
        </row>
        <row r="19786">
          <cell r="B19786">
            <v>81248</v>
          </cell>
          <cell r="C19786" t="str">
            <v>VITREO DOLAR FUNDO DE INVESTIMENTO CAMBIAL</v>
          </cell>
          <cell r="D19786" t="str">
            <v>VITREO DOLAR FUNDO DE INVESTIMENTO CAMBIAL</v>
          </cell>
          <cell r="E19786" t="str">
            <v>EMPIRICUS GESTAO DE RECURSOS LTDA</v>
          </cell>
        </row>
        <row r="19787">
          <cell r="B19787">
            <v>81248</v>
          </cell>
          <cell r="C19787" t="str">
            <v>VITREO DOLAR FUNDO DE INVESTIMENTO CAMBIAL</v>
          </cell>
          <cell r="D19787" t="str">
            <v>VITREO DOLAR FUNDO DE INVESTIMENTO CAMBIAL</v>
          </cell>
          <cell r="E19787" t="str">
            <v>EMPIRICUS GESTAO DE RECURSOS LTDA</v>
          </cell>
        </row>
        <row r="19788">
          <cell r="B19788">
            <v>81249</v>
          </cell>
          <cell r="C19788" t="str">
            <v>HSBC BANK USA, NATIONAL ASSOCIATION (HBUS) - BNP</v>
          </cell>
          <cell r="D19788" t="str">
            <v>HSBC BANK USA, NATIONAL ASSOCIATION (HBUS) - BNP</v>
          </cell>
          <cell r="E19788" t="str">
            <v>BANCO HSBC S/A</v>
          </cell>
        </row>
        <row r="19789">
          <cell r="B19789">
            <v>81251</v>
          </cell>
          <cell r="C19789" t="str">
            <v>MORGAN STANLEY LATAM LLC - CITIBANK</v>
          </cell>
          <cell r="D19789" t="str">
            <v>MORGAN STANLEY LATAM LLC - CITIBANK</v>
          </cell>
          <cell r="E19789" t="str">
            <v>BANCO MORGAN STANLEY S/A</v>
          </cell>
        </row>
        <row r="19790">
          <cell r="B19790">
            <v>81251</v>
          </cell>
          <cell r="C19790" t="str">
            <v>MORGAN STANLEY LATAM LLC - CITIBANK</v>
          </cell>
          <cell r="D19790" t="str">
            <v>MORGAN STANLEY LATAM LLC - CITIBANK</v>
          </cell>
          <cell r="E19790" t="str">
            <v>BANCO MORGAN STANLEY S/A</v>
          </cell>
        </row>
        <row r="19791">
          <cell r="B19791">
            <v>81253</v>
          </cell>
          <cell r="C19791" t="str">
            <v>VERSA GESTORA DE RECURSOS LTDA</v>
          </cell>
          <cell r="D19791" t="str">
            <v>VERSA GESTORA DE RECURSOS LTDA</v>
          </cell>
          <cell r="E19791" t="str">
            <v>VERSA GESTORA DE RECURSOS LTDA</v>
          </cell>
        </row>
        <row r="19792">
          <cell r="B19792">
            <v>81254</v>
          </cell>
          <cell r="C19792" t="str">
            <v>VITREO MICROCAPS ALERT FUNDO DE INVESTIMENTO EM ACOES</v>
          </cell>
          <cell r="D19792" t="str">
            <v>VITREO MICROCAPS ALERT FUNDO DE INVESTIMENTO EM ACOES</v>
          </cell>
          <cell r="E19792" t="str">
            <v>EMPIRICUS GESTAO DE RECURSOS LTDA</v>
          </cell>
        </row>
        <row r="19793">
          <cell r="B19793">
            <v>81254</v>
          </cell>
          <cell r="C19793" t="str">
            <v>VITREO MICROCAPS ALERT FUNDO DE INVESTIMENTO EM ACOES</v>
          </cell>
          <cell r="D19793" t="str">
            <v>VITREO MICROCAPS ALERT FUNDO DE INVESTIMENTO EM ACOES</v>
          </cell>
          <cell r="E19793" t="str">
            <v>EMPIRICUS GESTAO DE RECURSOS LTDA</v>
          </cell>
        </row>
        <row r="19794">
          <cell r="B19794">
            <v>81255</v>
          </cell>
          <cell r="C19794" t="str">
            <v>SAINT CAPITAL FUND</v>
          </cell>
          <cell r="D19794" t="str">
            <v>SAINT CAPITAL FUND</v>
          </cell>
          <cell r="E19794" t="str">
            <v>SAINT CAPITAL FUND</v>
          </cell>
        </row>
        <row r="19795">
          <cell r="B19795">
            <v>81255</v>
          </cell>
          <cell r="C19795" t="str">
            <v>SAINT CAPITAL FUND</v>
          </cell>
          <cell r="D19795" t="str">
            <v>SAINT CAPITAL FUND</v>
          </cell>
          <cell r="E19795" t="str">
            <v>SAINT CAPITAL FUND</v>
          </cell>
        </row>
        <row r="19796">
          <cell r="B19796">
            <v>81256</v>
          </cell>
          <cell r="C19796" t="str">
            <v>GAUSS PANORAMA FIFE IQ CLASSE DE INVESTIMENTO MULT CP RL</v>
          </cell>
          <cell r="D19796" t="str">
            <v>GAUSS PANORAMA FIFE IQ CLASSE DE INVESTIMENTO MULT CP RL</v>
          </cell>
          <cell r="E19796" t="str">
            <v>ASA ASSET GESTAO EM INVESTIMENTOS LTDA</v>
          </cell>
        </row>
        <row r="19797">
          <cell r="B19797">
            <v>81257</v>
          </cell>
          <cell r="C19797" t="str">
            <v>HERANÃ‡A FIA</v>
          </cell>
          <cell r="D19797" t="str">
            <v>HERANÃ‡A FIA</v>
          </cell>
          <cell r="E19797" t="str">
            <v>JULIUS BAER FAMILY OFFICE BRASIL GESTAO DE PATRIMONIO LTDA</v>
          </cell>
        </row>
        <row r="19798">
          <cell r="B19798">
            <v>81257</v>
          </cell>
          <cell r="C19798" t="str">
            <v>HERANÃ‡A FIA</v>
          </cell>
          <cell r="D19798" t="str">
            <v>HERANÃ‡A FIA</v>
          </cell>
          <cell r="E19798" t="str">
            <v>JULIUS BAER FAMILY OFFICE BRASIL GESTAO DE PATRIMONIO LTDA</v>
          </cell>
        </row>
        <row r="19799">
          <cell r="B19799">
            <v>81261</v>
          </cell>
          <cell r="C19799" t="str">
            <v>VITREO MAB PLUS FUNDO DE INVESTIMENTO EM ACOES</v>
          </cell>
          <cell r="D19799" t="str">
            <v>VITREO MAB PLUS FUNDO DE INVESTIMENTO EM ACOES</v>
          </cell>
          <cell r="E19799" t="str">
            <v>EMPIRICUS GESTAO DE RECURSOS LTDA</v>
          </cell>
        </row>
        <row r="19800">
          <cell r="B19800">
            <v>81261</v>
          </cell>
          <cell r="C19800" t="str">
            <v>VITREO MAB PLUS FUNDO DE INVESTIMENTO EM ACOES</v>
          </cell>
          <cell r="D19800" t="str">
            <v>VITREO MAB PLUS FUNDO DE INVESTIMENTO EM ACOES</v>
          </cell>
          <cell r="E19800" t="str">
            <v>EMPIRICUS GESTAO DE RECURSOS LTDA</v>
          </cell>
        </row>
        <row r="19801">
          <cell r="B19801">
            <v>81258</v>
          </cell>
          <cell r="C19801" t="str">
            <v>HSBC BANK PLC (HBEU)</v>
          </cell>
          <cell r="D19801" t="str">
            <v>HSBC BANK PLC (HBEU)</v>
          </cell>
          <cell r="E19801" t="str">
            <v>BANCO HSBC S/A</v>
          </cell>
        </row>
        <row r="19802">
          <cell r="B19802">
            <v>81258</v>
          </cell>
          <cell r="C19802" t="str">
            <v>HSBC BANK PLC (HBEU)</v>
          </cell>
          <cell r="D19802" t="str">
            <v>HSBC BANK PLC (HBEU)</v>
          </cell>
          <cell r="E19802" t="str">
            <v>BANCO HSBC S/A</v>
          </cell>
        </row>
        <row r="19803">
          <cell r="B19803">
            <v>81262</v>
          </cell>
          <cell r="C19803" t="str">
            <v>HSBC BANK PLC (HBEU)</v>
          </cell>
          <cell r="D19803" t="str">
            <v>HSBC BANK PLC (HBEU)</v>
          </cell>
          <cell r="E19803" t="str">
            <v>BANCO HSBC S/A</v>
          </cell>
        </row>
        <row r="19804">
          <cell r="B19804">
            <v>81262</v>
          </cell>
          <cell r="C19804" t="str">
            <v>HSBC BANK PLC (HBEU)</v>
          </cell>
          <cell r="D19804" t="str">
            <v>HSBC BANK PLC (HBEU)</v>
          </cell>
          <cell r="E19804" t="str">
            <v>BANCO HSBC S/A</v>
          </cell>
        </row>
        <row r="19805">
          <cell r="B19805">
            <v>81263</v>
          </cell>
          <cell r="C19805" t="str">
            <v>INFRA PLUS RENDA FIXA FUNDO INCENTIVADO DE INVESTIMENTO EM I</v>
          </cell>
          <cell r="D19805" t="str">
            <v>INFRA PLUS RENDA FIXA FUNDO INCENTIVADO DE INVESTIMENTO EM I</v>
          </cell>
          <cell r="E19805" t="str">
            <v>JULIUS BAER FAMILY OFFICE BRASIL GESTAO DE PATRIMONIO LTDA</v>
          </cell>
        </row>
        <row r="19806">
          <cell r="B19806">
            <v>81263</v>
          </cell>
          <cell r="C19806" t="str">
            <v>INFRA PLUS RENDA FIXA FUNDO INCENTIVADO DE INVESTIMENTO EM I</v>
          </cell>
          <cell r="D19806" t="str">
            <v>INFRA PLUS RENDA FIXA FUNDO INCENTIVADO DE INVESTIMENTO EM I</v>
          </cell>
          <cell r="E19806" t="str">
            <v>JULIUS BAER FAMILY OFFICE BRASIL GESTAO DE PATRIMONIO LTDA</v>
          </cell>
        </row>
        <row r="19807">
          <cell r="B19807">
            <v>81264</v>
          </cell>
          <cell r="C19807" t="str">
            <v>GRALHA AZUL FUNDO DE INVESTIMENTO MULTIMERCADO CRÃ‰DITO PRIVA</v>
          </cell>
          <cell r="D19807" t="str">
            <v>GRALHA AZUL FUNDO DE INVESTIMENTO MULTIMERCADO CRÃ‰DITO PRIVA</v>
          </cell>
          <cell r="E19807" t="str">
            <v>JULIUS BAER FAMILY OFFICE BRASIL GESTAO DE PATRIMONIO LTDA</v>
          </cell>
        </row>
        <row r="19808">
          <cell r="B19808">
            <v>81264</v>
          </cell>
          <cell r="C19808" t="str">
            <v>GRALHA AZUL FUNDO DE INVESTIMENTO MULTIMERCADO CRÃ‰DITO PRIVA</v>
          </cell>
          <cell r="D19808" t="str">
            <v>GRALHA AZUL FUNDO DE INVESTIMENTO MULTIMERCADO CRÃ‰DITO PRIVA</v>
          </cell>
          <cell r="E19808" t="str">
            <v>JULIUS BAER FAMILY OFFICE BRASIL GESTAO DE PATRIMONIO LTDA</v>
          </cell>
        </row>
        <row r="19809">
          <cell r="B19809">
            <v>81265</v>
          </cell>
          <cell r="C19809" t="str">
            <v>ZAHIR FUNDO DE INVESTIMENTO EM AÃ‡Ã•ES INVESTIMENTO NO EXTERIO</v>
          </cell>
          <cell r="D19809" t="str">
            <v>ZAHIR FUNDO DE INVESTIMENTO EM AÃ‡Ã•ES INVESTIMENTO NO EXTERIO</v>
          </cell>
          <cell r="E19809" t="str">
            <v>EMPIRICUS GESTAO DE RECURSOS LTDA</v>
          </cell>
        </row>
        <row r="19810">
          <cell r="B19810">
            <v>81265</v>
          </cell>
          <cell r="C19810" t="str">
            <v>ZAHIR FUNDO DE INVESTIMENTO EM AÃ‡Ã•ES INVESTIMENTO NO EXTERIO</v>
          </cell>
          <cell r="D19810" t="str">
            <v>ZAHIR FUNDO DE INVESTIMENTO EM AÃ‡Ã•ES INVESTIMENTO NO EXTERIO</v>
          </cell>
          <cell r="E19810" t="str">
            <v>EMPIRICUS GESTAO DE RECURSOS LTDA</v>
          </cell>
        </row>
        <row r="19811">
          <cell r="B19811">
            <v>82091</v>
          </cell>
          <cell r="C19811" t="str">
            <v>GOLDMAN SACHS INTERNATIONAL - CITI</v>
          </cell>
          <cell r="D19811" t="str">
            <v>GOLDMAN SACHS INTERNATIONAL - CITI</v>
          </cell>
          <cell r="E19811" t="str">
            <v>GOLDMAN SACHS DO BRASIL BANCO MULTIPLO S/A</v>
          </cell>
        </row>
        <row r="19812">
          <cell r="B19812">
            <v>81266</v>
          </cell>
          <cell r="C19812" t="str">
            <v>BUZZLYEAR FUNDO DE INVESTIMENTO EM AÃ‡Ã•ES IE</v>
          </cell>
          <cell r="D19812" t="str">
            <v>BUZZLYEAR FUNDO DE INVESTIMENTO EM AÃ‡Ã•ES IE</v>
          </cell>
          <cell r="E19812" t="str">
            <v>EMPIRICUS GESTAO DE RECURSOS LTDA</v>
          </cell>
        </row>
        <row r="19813">
          <cell r="B19813">
            <v>81267</v>
          </cell>
          <cell r="C19813" t="str">
            <v>CALA BENIDAA FUNDO DE INVESTIMENTO EM AÃ‡Ã•ES INVESTIMENTO NO</v>
          </cell>
          <cell r="D19813" t="str">
            <v>CALA BENIDAA FUNDO DE INVESTIMENTO EM AÃ‡Ã•ES INVESTIMENTO NO</v>
          </cell>
          <cell r="E19813" t="str">
            <v>EMPIRICUS GESTAO DE RECURSOS LTDA</v>
          </cell>
        </row>
        <row r="19814">
          <cell r="B19814">
            <v>81268</v>
          </cell>
          <cell r="C19814" t="str">
            <v>KINCS FUNDO DE INVESTIMENTO EM AÃ‡Ã•ES IE</v>
          </cell>
          <cell r="D19814" t="str">
            <v>KINCS FUNDO DE INVESTIMENTO EM AÃ‡Ã•ES IE</v>
          </cell>
          <cell r="E19814" t="str">
            <v>EMPIRICUS GESTAO DE RECURSOS LTDA</v>
          </cell>
        </row>
        <row r="19815">
          <cell r="B19815">
            <v>81269</v>
          </cell>
          <cell r="C19815" t="str">
            <v>KYRA FUNDO DE INVESTIMENTO EM AÃ‡Ã•ES INVESTIMENTO NO EXTERIOR</v>
          </cell>
          <cell r="D19815" t="str">
            <v>KYRA FUNDO DE INVESTIMENTO EM AÃ‡Ã•ES INVESTIMENTO NO EXTERIOR</v>
          </cell>
          <cell r="E19815" t="str">
            <v>EMPIRICUS GESTAO DE RECURSOS LTDA</v>
          </cell>
        </row>
        <row r="19816">
          <cell r="B19816">
            <v>81270</v>
          </cell>
          <cell r="C19816" t="str">
            <v>SUPER RESERVA FUNDO DE INVESTIMENTO EM AÃ‡Ã•ES INVESTIMENTO NO</v>
          </cell>
          <cell r="D19816" t="str">
            <v>SUPER RESERVA FUNDO DE INVESTIMENTO EM AÃ‡Ã•ES INVESTIMENTO NO</v>
          </cell>
          <cell r="E19816" t="str">
            <v>EMPIRICUS GESTAO DE RECURSOS LTDA</v>
          </cell>
        </row>
        <row r="19817">
          <cell r="B19817">
            <v>81266</v>
          </cell>
          <cell r="C19817" t="str">
            <v>BUZZLYEAR FUNDO DE INVESTIMENTO EM AÃ‡Ã•ES IE</v>
          </cell>
          <cell r="D19817" t="str">
            <v>BUZZLYEAR FUNDO DE INVESTIMENTO EM AÃ‡Ã•ES IE</v>
          </cell>
          <cell r="E19817" t="str">
            <v>EMPIRICUS GESTAO DE RECURSOS LTDA</v>
          </cell>
        </row>
        <row r="19818">
          <cell r="B19818">
            <v>81267</v>
          </cell>
          <cell r="C19818" t="str">
            <v>CALA BENIDAA FUNDO DE INVESTIMENTO EM AÃ‡Ã•ES INVESTIMENTO NO</v>
          </cell>
          <cell r="D19818" t="str">
            <v>CALA BENIDAA FUNDO DE INVESTIMENTO EM AÃ‡Ã•ES INVESTIMENTO NO</v>
          </cell>
          <cell r="E19818" t="str">
            <v>EMPIRICUS GESTAO DE RECURSOS LTDA</v>
          </cell>
        </row>
        <row r="19819">
          <cell r="B19819">
            <v>81268</v>
          </cell>
          <cell r="C19819" t="str">
            <v>KINCS FUNDO DE INVESTIMENTO EM AÃ‡Ã•ES IE</v>
          </cell>
          <cell r="D19819" t="str">
            <v>KINCS FUNDO DE INVESTIMENTO EM AÃ‡Ã•ES IE</v>
          </cell>
          <cell r="E19819" t="str">
            <v>EMPIRICUS GESTAO DE RECURSOS LTDA</v>
          </cell>
        </row>
        <row r="19820">
          <cell r="B19820">
            <v>81269</v>
          </cell>
          <cell r="C19820" t="str">
            <v>KYRA FUNDO DE INVESTIMENTO EM AÃ‡Ã•ES INVESTIMENTO NO EXTERIOR</v>
          </cell>
          <cell r="D19820" t="str">
            <v>KYRA FUNDO DE INVESTIMENTO EM AÃ‡Ã•ES INVESTIMENTO NO EXTERIOR</v>
          </cell>
          <cell r="E19820" t="str">
            <v>EMPIRICUS GESTAO DE RECURSOS LTDA</v>
          </cell>
        </row>
        <row r="19821">
          <cell r="B19821">
            <v>81270</v>
          </cell>
          <cell r="C19821" t="str">
            <v>SUPER RESERVA FUNDO DE INVESTIMENTO EM AÃ‡Ã•ES INVESTIMENTO NO</v>
          </cell>
          <cell r="D19821" t="str">
            <v>SUPER RESERVA FUNDO DE INVESTIMENTO EM AÃ‡Ã•ES INVESTIMENTO NO</v>
          </cell>
          <cell r="E19821" t="str">
            <v>EMPIRICUS GESTAO DE RECURSOS LTDA</v>
          </cell>
        </row>
        <row r="19822">
          <cell r="B19822">
            <v>81271</v>
          </cell>
          <cell r="C19822" t="str">
            <v>TRIGO FUNDO DE INVESTIMENTO EM AÃ‡Ã•ES INVESTIMENTO NO EXTERIO</v>
          </cell>
          <cell r="D19822" t="str">
            <v>TRIGO FUNDO DE INVESTIMENTO EM AÃ‡Ã•ES INVESTIMENTO NO EXTERIO</v>
          </cell>
          <cell r="E19822" t="str">
            <v>EMPIRICUS GESTAO DE RECURSOS LTDA</v>
          </cell>
        </row>
        <row r="19823">
          <cell r="B19823">
            <v>81271</v>
          </cell>
          <cell r="C19823" t="str">
            <v>TRIGO FUNDO DE INVESTIMENTO EM AÃ‡Ã•ES INVESTIMENTO NO EXTERIO</v>
          </cell>
          <cell r="D19823" t="str">
            <v>TRIGO FUNDO DE INVESTIMENTO EM AÃ‡Ã•ES INVESTIMENTO NO EXTERIO</v>
          </cell>
          <cell r="E19823" t="str">
            <v>EMPIRICUS GESTAO DE RECURSOS LTDA</v>
          </cell>
        </row>
        <row r="19824">
          <cell r="B19824">
            <v>81272</v>
          </cell>
          <cell r="C19824" t="str">
            <v>JATAITUBA FIM CP IE</v>
          </cell>
          <cell r="D19824" t="str">
            <v>JATAITUBA FIM CP IE</v>
          </cell>
          <cell r="E19824" t="str">
            <v>JULIUS BAER FAMILY OFFICE BRASIL GESTAO DE PATRIMONIO LTDA</v>
          </cell>
        </row>
        <row r="19825">
          <cell r="B19825">
            <v>81272</v>
          </cell>
          <cell r="C19825" t="str">
            <v>JATAITUBA FIM CP IE</v>
          </cell>
          <cell r="D19825" t="str">
            <v>JATAITUBA FIM CP IE</v>
          </cell>
          <cell r="E19825" t="str">
            <v>JULIUS BAER FAMILY OFFICE BRASIL GESTAO DE PATRIMONIO LTDA</v>
          </cell>
        </row>
        <row r="19826">
          <cell r="B19826">
            <v>81273</v>
          </cell>
          <cell r="C19826" t="str">
            <v>VINLAND PLUS MASTER FUNDO DE INVESTIMENTO FINANCEIRO MULT RL</v>
          </cell>
          <cell r="D19826" t="str">
            <v>VINLAND PLUS MASTER FUNDO DE INVESTIMENTO FINANCEIRO MULT RL</v>
          </cell>
          <cell r="E19826" t="str">
            <v>VINLAND CAPITAL MANAGEMENT GESTORA DE RECURSOS LTDA</v>
          </cell>
        </row>
        <row r="19827">
          <cell r="B19827">
            <v>81274</v>
          </cell>
          <cell r="C19827" t="str">
            <v>ITAU MASTER GLOBAL DINAMICO ULTRA MULTIMERCADO FUNDO DE INVE</v>
          </cell>
          <cell r="D19827" t="str">
            <v>ITAU MASTER GLOBAL DINAMICO ULTRA MULTIMERCADO FUNDO DE INVE</v>
          </cell>
          <cell r="E19827" t="str">
            <v>ITAU UNIBANCO ASSET - TACO</v>
          </cell>
        </row>
        <row r="19828">
          <cell r="B19828">
            <v>81275</v>
          </cell>
          <cell r="C19828" t="str">
            <v>ITAU MASTER GLOBAL DINAMICO MULTIMERCADO FI</v>
          </cell>
          <cell r="D19828" t="str">
            <v>ITAU MASTER GLOBAL DINAMICO MULTIMERCADO FI</v>
          </cell>
          <cell r="E19828" t="str">
            <v>ITAU UNIBANCO ASSET - TACO</v>
          </cell>
        </row>
        <row r="19829">
          <cell r="B19829">
            <v>81277</v>
          </cell>
          <cell r="C19829" t="str">
            <v>ITAÃš QUANTAMENTAL GEMS MASTER AÃ‡Ã•ES FIF RL</v>
          </cell>
          <cell r="D19829" t="str">
            <v>ITAÃš QUANTAMENTAL GEMS MASTER AÃ‡Ã•ES FIF RL</v>
          </cell>
          <cell r="E19829" t="str">
            <v>ITAU UNIBANCO ASSET - TACO</v>
          </cell>
        </row>
        <row r="19830">
          <cell r="B19830">
            <v>81277</v>
          </cell>
          <cell r="C19830" t="str">
            <v>ITAÃš QUANTAMENTAL GEMS MASTER AÃ‡Ã•ES FIF RL</v>
          </cell>
          <cell r="D19830" t="str">
            <v>ITAÃš QUANTAMENTAL GEMS MASTER AÃ‡Ã•ES FIF RL</v>
          </cell>
          <cell r="E19830" t="str">
            <v>ITAU UNIBANCO ASSET - TACO</v>
          </cell>
        </row>
        <row r="19831">
          <cell r="B19831">
            <v>81276</v>
          </cell>
          <cell r="C19831" t="str">
            <v>FB &amp; FH FIM CP IE</v>
          </cell>
          <cell r="D19831" t="str">
            <v>FB &amp; FH FIM CP IE</v>
          </cell>
          <cell r="E19831" t="str">
            <v>JULIUS BAER FAMILY OFFICE BRASIL GESTAO DE PATRIMONIO LTDA</v>
          </cell>
        </row>
        <row r="19832">
          <cell r="B19832">
            <v>81276</v>
          </cell>
          <cell r="C19832" t="str">
            <v>FB &amp; FH FIM CP IE</v>
          </cell>
          <cell r="D19832" t="str">
            <v>FB &amp; FH FIM CP IE</v>
          </cell>
          <cell r="E19832" t="str">
            <v>JULIUS BAER FAMILY OFFICE BRASIL GESTAO DE PATRIMONIO LTDA</v>
          </cell>
        </row>
        <row r="19833">
          <cell r="B19833">
            <v>81278</v>
          </cell>
          <cell r="C19833" t="str">
            <v>SAFRA MAXWELL LONG AND SHORT MASTER FUNDO DE INVESTIMENTO MU</v>
          </cell>
          <cell r="D19833" t="str">
            <v>SAFRA MAXWELL LONG AND SHORT MASTER FUNDO DE INVESTIMENTO MU</v>
          </cell>
          <cell r="E19833" t="str">
            <v>SAFRA ASSET MANAGEMENT LTDA</v>
          </cell>
        </row>
        <row r="19834">
          <cell r="B19834">
            <v>81278</v>
          </cell>
          <cell r="C19834" t="str">
            <v>SAFRA MAXWELL LONG AND SHORT MASTER FUNDO DE INVESTIMENTO MU</v>
          </cell>
          <cell r="D19834" t="str">
            <v>SAFRA MAXWELL LONG AND SHORT MASTER FUNDO DE INVESTIMENTO MU</v>
          </cell>
          <cell r="E19834" t="str">
            <v>SAFRA ASSET MANAGEMENT LTDA</v>
          </cell>
        </row>
        <row r="19835">
          <cell r="B19835">
            <v>125720</v>
          </cell>
          <cell r="C19835" t="str">
            <v>BB GESTAO DE RECURSOS DTVM LTDA</v>
          </cell>
          <cell r="D19835" t="str">
            <v>BB GESTAO DE RECURSOS DTVM LTDA</v>
          </cell>
          <cell r="E19835" t="str">
            <v>BB GESTAO DE RECURSOS DTVM LTDA</v>
          </cell>
        </row>
        <row r="19836">
          <cell r="B19836">
            <v>125720</v>
          </cell>
          <cell r="C19836" t="str">
            <v>BB GESTAO DE RECURSOS DTVM LTDA</v>
          </cell>
          <cell r="D19836" t="str">
            <v>BB GESTAO DE RECURSOS DTVM LTDA</v>
          </cell>
          <cell r="E19836" t="str">
            <v>BB GESTAO DE RECURSOS DTVM LTDA</v>
          </cell>
        </row>
        <row r="19837">
          <cell r="B19837">
            <v>125721</v>
          </cell>
          <cell r="C19837" t="str">
            <v>BB GESTAO DE RECURSOS DTVM LTDA</v>
          </cell>
          <cell r="D19837" t="str">
            <v>BB GESTAO DE RECURSOS DTVM LTDA</v>
          </cell>
          <cell r="E19837" t="str">
            <v>BB GESTAO DE RECURSOS DTVM LTDA</v>
          </cell>
        </row>
        <row r="19838">
          <cell r="B19838">
            <v>81279</v>
          </cell>
          <cell r="C19838" t="str">
            <v>KILIMA NAUTILUS MASTER FUNDO DE INVESTIMENTO MULTIMERCADO</v>
          </cell>
          <cell r="D19838" t="str">
            <v>KILIMA NAUTILUS MASTER FUNDO DE INVESTIMENTO MULTIMERCADO</v>
          </cell>
          <cell r="E19838" t="str">
            <v>KILIMA GESTAO DE RECURSOS LTDA</v>
          </cell>
        </row>
        <row r="19839">
          <cell r="B19839">
            <v>81279</v>
          </cell>
          <cell r="C19839" t="str">
            <v>KILIMA NAUTILUS MASTER FUNDO DE INVESTIMENTO MULTIMERCADO</v>
          </cell>
          <cell r="D19839" t="str">
            <v>KILIMA NAUTILUS MASTER FUNDO DE INVESTIMENTO MULTIMERCADO</v>
          </cell>
          <cell r="E19839" t="str">
            <v>KILIMA GESTAO DE RECURSOS LTDA</v>
          </cell>
        </row>
        <row r="19840">
          <cell r="B19840">
            <v>9999602</v>
          </cell>
          <cell r="C19840" t="str">
            <v>BGC LIQUIDEZ DTVM LTDA</v>
          </cell>
          <cell r="D19840" t="str">
            <v>BGC LIQUIDEZ DTVM LTDA</v>
          </cell>
          <cell r="E19840" t="str">
            <v>BGC LIQUIDEZ DTVM LTDA</v>
          </cell>
        </row>
        <row r="19841">
          <cell r="B19841">
            <v>999602</v>
          </cell>
          <cell r="C19841" t="str">
            <v>BGC LIQUIDEZ DTVM LTDA</v>
          </cell>
          <cell r="D19841">
            <v>999602</v>
          </cell>
          <cell r="E19841" t="str">
            <v>BGC LIQUIDEZ DTVM LTDA</v>
          </cell>
        </row>
        <row r="19842">
          <cell r="B19842">
            <v>9999602</v>
          </cell>
          <cell r="C19842" t="str">
            <v>BGC LIQUIDEZ DTVM LTDA</v>
          </cell>
          <cell r="D19842" t="str">
            <v>BGC LIQUIDEZ DTVM LTDA</v>
          </cell>
          <cell r="E19842" t="str">
            <v>BGC LIQUIDEZ DTVM LTDA</v>
          </cell>
        </row>
        <row r="19843">
          <cell r="B19843">
            <v>81280</v>
          </cell>
          <cell r="C19843" t="str">
            <v>MERCURY DERIVATIVES TRADING (SINGAPORE) PTE. LTD</v>
          </cell>
          <cell r="D19843" t="str">
            <v>MERCURY DERIVATIVES TRADING (SINGAPORE) PTE. LTD</v>
          </cell>
          <cell r="E19843" t="str">
            <v>MERCURY DERIVATIVES TRADING (SINGAPORE) PTE. LTD</v>
          </cell>
        </row>
        <row r="19844">
          <cell r="B19844">
            <v>81281</v>
          </cell>
          <cell r="C19844" t="str">
            <v>MERCURY DERIVATIVES TRADING (SINGAPORE) PTE. LTD</v>
          </cell>
          <cell r="D19844" t="str">
            <v>MERCURY DERIVATIVES TRADING (SINGAPORE) PTE. LTD</v>
          </cell>
          <cell r="E19844" t="str">
            <v>MERCURY DERIVATIVES TRADING (SINGAPORE) PTE. LTD</v>
          </cell>
        </row>
        <row r="19845">
          <cell r="B19845">
            <v>81280</v>
          </cell>
          <cell r="C19845" t="str">
            <v>MERCURY DERIVATIVES TRADING (SINGAPORE) PTE. LTD</v>
          </cell>
          <cell r="D19845" t="str">
            <v>MERCURY DERIVATIVES TRADING (SINGAPORE) PTE. LTD</v>
          </cell>
          <cell r="E19845" t="str">
            <v>MERCURY DERIVATIVES TRADING (SINGAPORE) PTE. LTD</v>
          </cell>
        </row>
        <row r="19846">
          <cell r="B19846">
            <v>81281</v>
          </cell>
          <cell r="C19846" t="str">
            <v>MERCURY DERIVATIVES TRADING (SINGAPORE) PTE. LTD</v>
          </cell>
          <cell r="D19846" t="str">
            <v>MERCURY DERIVATIVES TRADING (SINGAPORE) PTE. LTD</v>
          </cell>
          <cell r="E19846" t="str">
            <v>MERCURY DERIVATIVES TRADING (SINGAPORE) PTE. LTD</v>
          </cell>
        </row>
        <row r="19847">
          <cell r="B19847">
            <v>81284</v>
          </cell>
          <cell r="C19847" t="str">
            <v>OURIBANK S.A. BANCO MULTIPLO</v>
          </cell>
          <cell r="D19847" t="str">
            <v>OURIBANK S.A. BANCO MULTIPLO</v>
          </cell>
          <cell r="E19847" t="str">
            <v>OURIBANK S.A. BANCO MULTIPLO</v>
          </cell>
        </row>
        <row r="19848">
          <cell r="B19848">
            <v>81284</v>
          </cell>
          <cell r="C19848" t="str">
            <v>OURIBANK S.A. BANCO MULTIPLO</v>
          </cell>
          <cell r="D19848" t="str">
            <v>OURIBANK S.A. BANCO MULTIPLO</v>
          </cell>
          <cell r="E19848" t="str">
            <v>OURIBANK S.A. BANCO MULTIPLO</v>
          </cell>
        </row>
        <row r="19849">
          <cell r="B19849">
            <v>913137</v>
          </cell>
          <cell r="C19849" t="str">
            <v>BGC LIQUIDEZ DTVM LTDA</v>
          </cell>
          <cell r="D19849" t="str">
            <v>BGC LIQUIDEZ DTVM LTDA</v>
          </cell>
          <cell r="E19849" t="str">
            <v>BGC LIQUIDEZ DTVM LTDA</v>
          </cell>
        </row>
        <row r="19850">
          <cell r="B19850">
            <v>81282</v>
          </cell>
          <cell r="C19850" t="str">
            <v>JTP FUNDO DE INVESTIMENTO MULTIMERCADO</v>
          </cell>
          <cell r="D19850" t="str">
            <v>JTP FUNDO DE INVESTIMENTO MULTIMERCADO</v>
          </cell>
          <cell r="E19850" t="str">
            <v>JTP FUNDO DE INVESTIMENTO MULTIMERCADO</v>
          </cell>
        </row>
        <row r="19851">
          <cell r="B19851">
            <v>81282</v>
          </cell>
          <cell r="C19851" t="str">
            <v>JTP FUNDO DE INVESTIMENTO MULTIMERCADO</v>
          </cell>
          <cell r="D19851" t="str">
            <v>JTP FUNDO DE INVESTIMENTO MULTIMERCADO</v>
          </cell>
          <cell r="E19851" t="str">
            <v>JTP FUNDO DE INVESTIMENTO MULTIMERCADO</v>
          </cell>
        </row>
        <row r="19852">
          <cell r="B19852">
            <v>81283</v>
          </cell>
          <cell r="C19852" t="str">
            <v>JTP 2 FUNDO DE INVESTIMENTO EM AÃ‡Ã•ES</v>
          </cell>
          <cell r="D19852" t="str">
            <v>JTP 2 FUNDO DE INVESTIMENTO EM AÃ‡Ã•ES</v>
          </cell>
          <cell r="E19852" t="str">
            <v>JTP 2 FUNDO DE INVESTIMENTO EM AÃ‡Ã•ES</v>
          </cell>
        </row>
        <row r="19853">
          <cell r="B19853">
            <v>81283</v>
          </cell>
          <cell r="C19853" t="str">
            <v>JTP 2 FUNDO DE INVESTIMENTO EM AÃ‡Ã•ES</v>
          </cell>
          <cell r="D19853" t="str">
            <v>JTP 2 FUNDO DE INVESTIMENTO EM AÃ‡Ã•ES</v>
          </cell>
          <cell r="E19853" t="str">
            <v>JTP 2 FUNDO DE INVESTIMENTO EM AÃ‡Ã•ES</v>
          </cell>
        </row>
        <row r="19854">
          <cell r="B19854">
            <v>81285</v>
          </cell>
          <cell r="C19854" t="str">
            <v>VERSA LONG BIASED FUNDO DE INVESTIMENTO MULTIMERCADO</v>
          </cell>
          <cell r="D19854" t="str">
            <v>VERSA LONG BIASED FUNDO DE INVESTIMENTO MULTIMERCADO</v>
          </cell>
          <cell r="E19854" t="str">
            <v>VERSA GESTORA DE RECURSOS LTDA</v>
          </cell>
        </row>
        <row r="19855">
          <cell r="B19855">
            <v>81286</v>
          </cell>
          <cell r="C19855" t="str">
            <v>VERSA FIT LONG BIASED FUNDO DE INVESTIMENTO MULTIMERCADO</v>
          </cell>
          <cell r="D19855" t="str">
            <v>VERSA FIT LONG BIASED FUNDO DE INVESTIMENTO MULTIMERCADO</v>
          </cell>
          <cell r="E19855" t="str">
            <v>VERSA GESTORA DE RECURSOS LTDA</v>
          </cell>
        </row>
        <row r="19856">
          <cell r="B19856">
            <v>81287</v>
          </cell>
          <cell r="C19856" t="str">
            <v>VERSA TRACKER FUNDO DE INVESTIMENTO MULTIMERCADO</v>
          </cell>
          <cell r="D19856" t="str">
            <v>VERSA TRACKER FUNDO DE INVESTIMENTO MULTIMERCADO</v>
          </cell>
          <cell r="E19856" t="str">
            <v>VERSA GESTORA DE RECURSOS LTDA</v>
          </cell>
        </row>
        <row r="19857">
          <cell r="B19857">
            <v>81288</v>
          </cell>
          <cell r="C19857" t="str">
            <v>VERSA INSTITUCIONAL FUNDO DE INVESTIMENTO EM AÃ‡Ã•ES</v>
          </cell>
          <cell r="D19857" t="str">
            <v>VERSA INSTITUCIONAL FUNDO DE INVESTIMENTO EM AÃ‡Ã•ES</v>
          </cell>
          <cell r="E19857" t="str">
            <v>VERSA GESTORA DE RECURSOS LTDA</v>
          </cell>
        </row>
        <row r="19858">
          <cell r="B19858">
            <v>81289</v>
          </cell>
          <cell r="C19858" t="str">
            <v>VERSA GENESIS FUNDO DE INVESTIMENTO EM AÃ‡Ã•ES BDR NIVEL I</v>
          </cell>
          <cell r="D19858" t="str">
            <v>VERSA GENESIS FUNDO DE INVESTIMENTO EM AÃ‡Ã•ES BDR NIVEL I</v>
          </cell>
          <cell r="E19858" t="str">
            <v>VERSA GESTORA DE RECURSOS LTDA</v>
          </cell>
        </row>
        <row r="19859">
          <cell r="B19859">
            <v>81290</v>
          </cell>
          <cell r="C19859" t="str">
            <v>BANCO BRADESCO S/A</v>
          </cell>
          <cell r="D19859" t="str">
            <v>BANCO BRADESCO S/A</v>
          </cell>
          <cell r="E19859" t="str">
            <v>BANCO BRADESCO S/A</v>
          </cell>
        </row>
        <row r="19860">
          <cell r="B19860">
            <v>81291</v>
          </cell>
          <cell r="C19860" t="str">
            <v>BB GESTAO DE RECURSOS DTVM LTDA</v>
          </cell>
          <cell r="D19860" t="str">
            <v>BB GESTAO DE RECURSOS DTVM LTDA</v>
          </cell>
          <cell r="E19860" t="str">
            <v>BB GESTAO DE RECURSOS DTVM LTDA</v>
          </cell>
        </row>
        <row r="19861">
          <cell r="B19861">
            <v>81292</v>
          </cell>
          <cell r="C19861" t="str">
            <v>DINASTIA FUNDO DE INVESTIMENTO MULTIMERCADO CRÃ‰DITO PRIVADO</v>
          </cell>
          <cell r="D19861" t="str">
            <v>DINASTIA FUNDO DE INVESTIMENTO MULTIMERCADO CRÃ‰DITO PRIVADO</v>
          </cell>
          <cell r="E19861" t="str">
            <v>JULIUS BAER FAMILY OFFICE BRASIL GESTAO DE PATRIMONIO LTDA</v>
          </cell>
        </row>
        <row r="19862">
          <cell r="B19862">
            <v>81292</v>
          </cell>
          <cell r="C19862" t="str">
            <v>DINASTIA FUNDO DE INVESTIMENTO MULTIMERCADO CRÃ‰DITO PRIVADO</v>
          </cell>
          <cell r="D19862" t="str">
            <v>DINASTIA FUNDO DE INVESTIMENTO MULTIMERCADO CRÃ‰DITO PRIVADO</v>
          </cell>
          <cell r="E19862" t="str">
            <v>JULIUS BAER FAMILY OFFICE BRASIL GESTAO DE PATRIMONIO LTDA</v>
          </cell>
        </row>
        <row r="19863">
          <cell r="B19863">
            <v>81293</v>
          </cell>
          <cell r="C19863" t="str">
            <v>BRB BANCO DE BRASILIA S.A</v>
          </cell>
          <cell r="D19863" t="str">
            <v>BRB BANCO DE BRASILIA S.A</v>
          </cell>
          <cell r="E19863" t="str">
            <v>BRB BANCO DE BRASILIA S/A</v>
          </cell>
        </row>
        <row r="19864">
          <cell r="B19864">
            <v>81293</v>
          </cell>
          <cell r="C19864" t="str">
            <v>BRB BANCO DE BRASILIA S.A</v>
          </cell>
          <cell r="D19864" t="str">
            <v>BRB BANCO DE BRASILIA S.A</v>
          </cell>
          <cell r="E19864" t="str">
            <v>BRB BANCO DE BRASILIA S/A</v>
          </cell>
        </row>
        <row r="19865">
          <cell r="B19865">
            <v>125722</v>
          </cell>
          <cell r="C19865" t="str">
            <v>BB GESTAO DE RECURSOS DTVM LTDA</v>
          </cell>
          <cell r="D19865" t="str">
            <v>BB GESTAO DE RECURSOS DTVM LTDA</v>
          </cell>
          <cell r="E19865" t="str">
            <v>BB GESTAO DE RECURSOS DTVM LTDA</v>
          </cell>
        </row>
        <row r="19866">
          <cell r="B19866">
            <v>125722</v>
          </cell>
          <cell r="C19866" t="str">
            <v>BB GESTAO DE RECURSOS DTVM LTDA</v>
          </cell>
          <cell r="D19866" t="str">
            <v>BB GESTAO DE RECURSOS DTVM LTDA</v>
          </cell>
          <cell r="E19866" t="str">
            <v>BB GESTAO DE RECURSOS DTVM LTDA</v>
          </cell>
        </row>
        <row r="19867">
          <cell r="B19867">
            <v>125726</v>
          </cell>
          <cell r="C19867" t="str">
            <v>BB GESTAO DE RECURSOS DTVM LTDA</v>
          </cell>
          <cell r="D19867" t="str">
            <v>BB GESTAO DE RECURSOS DTVM LTDA</v>
          </cell>
          <cell r="E19867" t="str">
            <v>BB GESTAO DE RECURSOS DTVM LTDA</v>
          </cell>
        </row>
        <row r="19868">
          <cell r="B19868">
            <v>125723</v>
          </cell>
          <cell r="C19868" t="str">
            <v>BB GESTAO DE RECURSOS DTVM LTDA</v>
          </cell>
          <cell r="D19868" t="str">
            <v>BB GESTAO DE RECURSOS DTVM LTDA</v>
          </cell>
          <cell r="E19868" t="str">
            <v>BB GESTAO DE RECURSOS DTVM LTDA</v>
          </cell>
        </row>
        <row r="19869">
          <cell r="B19869">
            <v>125724</v>
          </cell>
          <cell r="C19869" t="str">
            <v>BB GESTAO DE RECURSOS DTVM LTDA</v>
          </cell>
          <cell r="D19869" t="str">
            <v>BB GESTAO DE RECURSOS DTVM LTDA</v>
          </cell>
          <cell r="E19869" t="str">
            <v>BB GESTAO DE RECURSOS DTVM LTDA</v>
          </cell>
        </row>
        <row r="19870">
          <cell r="B19870">
            <v>125725</v>
          </cell>
          <cell r="C19870" t="str">
            <v>BB GESTAO DE RECURSOS DTVM LTDA</v>
          </cell>
          <cell r="D19870" t="str">
            <v>BB GESTAO DE RECURSOS DTVM LTDA</v>
          </cell>
          <cell r="E19870" t="str">
            <v>BB GESTAO DE RECURSOS DTVM LTDA</v>
          </cell>
        </row>
        <row r="19871">
          <cell r="B19871">
            <v>125726</v>
          </cell>
          <cell r="C19871" t="str">
            <v>BB GESTAO DE RECURSOS DTVM LTDA</v>
          </cell>
          <cell r="D19871" t="str">
            <v>BB GESTAO DE RECURSOS DTVM LTDA</v>
          </cell>
          <cell r="E19871" t="str">
            <v>BB GESTAO DE RECURSOS DTVM LTDA</v>
          </cell>
        </row>
        <row r="19872">
          <cell r="B19872">
            <v>125727</v>
          </cell>
          <cell r="C19872" t="str">
            <v>BB GESTAO DE RECURSOS DTVM LTDA</v>
          </cell>
          <cell r="D19872" t="str">
            <v>BB GESTAO DE RECURSOS DTVM LTDA</v>
          </cell>
          <cell r="E19872" t="str">
            <v>BB GESTAO DE RECURSOS DTVM LTDA</v>
          </cell>
        </row>
        <row r="19873">
          <cell r="B19873">
            <v>125728</v>
          </cell>
          <cell r="C19873" t="str">
            <v>BB GESTAO DE RECURSOS DTVM LTDA</v>
          </cell>
          <cell r="D19873" t="str">
            <v>BB GESTAO DE RECURSOS DTVM LTDA</v>
          </cell>
          <cell r="E19873" t="str">
            <v>BB GESTAO DE RECURSOS DTVM LTDA</v>
          </cell>
        </row>
        <row r="19874">
          <cell r="B19874">
            <v>125729</v>
          </cell>
          <cell r="C19874" t="str">
            <v>BB GESTAO DE RECURSOS DTVM LTDA</v>
          </cell>
          <cell r="D19874" t="str">
            <v>BB GESTAO DE RECURSOS DTVM LTDA</v>
          </cell>
          <cell r="E19874" t="str">
            <v>BB GESTAO DE RECURSOS DTVM LTDA</v>
          </cell>
        </row>
        <row r="19875">
          <cell r="B19875">
            <v>81294</v>
          </cell>
          <cell r="C19875" t="str">
            <v>VITREO AÃ‡Ã•ES EXTREMAS FUNDO DE INVESTIMENTO EM AÃ‡Ã•ES</v>
          </cell>
          <cell r="D19875" t="str">
            <v>VITREO AÃ‡Ã•ES EXTREMAS FUNDO DE INVESTIMENTO EM AÃ‡Ã•ES</v>
          </cell>
          <cell r="E19875" t="str">
            <v>EMPIRICUS GESTAO DE RECURSOS LTDA</v>
          </cell>
        </row>
        <row r="19876">
          <cell r="B19876">
            <v>81294</v>
          </cell>
          <cell r="C19876" t="str">
            <v>VITREO AÃ‡Ã•ES EXTREMAS FUNDO DE INVESTIMENTO EM AÃ‡Ã•ES</v>
          </cell>
          <cell r="D19876" t="str">
            <v>VITREO AÃ‡Ã•ES EXTREMAS FUNDO DE INVESTIMENTO EM AÃ‡Ã•ES</v>
          </cell>
          <cell r="E19876" t="str">
            <v>EMPIRICUS GESTAO DE RECURSOS LTDA</v>
          </cell>
        </row>
        <row r="19877">
          <cell r="B19877">
            <v>81295</v>
          </cell>
          <cell r="C19877" t="str">
            <v>VITREO MONEY RIDER HEDGE FIM IE</v>
          </cell>
          <cell r="D19877" t="str">
            <v>VITREO MONEY RIDER HEDGE FIM IE</v>
          </cell>
          <cell r="E19877" t="str">
            <v>EMPIRICUS GESTAO DE RECURSOS LTDA</v>
          </cell>
        </row>
        <row r="19878">
          <cell r="B19878">
            <v>81295</v>
          </cell>
          <cell r="C19878" t="str">
            <v>VITREO MONEY RIDER HEDGE FIM IE</v>
          </cell>
          <cell r="D19878" t="str">
            <v>VITREO MONEY RIDER HEDGE FIM IE</v>
          </cell>
          <cell r="E19878" t="str">
            <v>EMPIRICUS GESTAO DE RECURSOS LTDA</v>
          </cell>
        </row>
        <row r="19879">
          <cell r="B19879">
            <v>81296</v>
          </cell>
          <cell r="C19879" t="str">
            <v>ASA SMALL CAPS MID CAPS FIA</v>
          </cell>
          <cell r="D19879" t="str">
            <v>ASA SMALL CAPS MID CAPS FIA</v>
          </cell>
          <cell r="E19879" t="str">
            <v>ASA ASSET GESTAO EM INVESTIMENTOS LTDA</v>
          </cell>
        </row>
        <row r="19880">
          <cell r="B19880">
            <v>81296</v>
          </cell>
          <cell r="C19880" t="str">
            <v>ASA SMALL CAPS MID CAPS FIA</v>
          </cell>
          <cell r="D19880" t="str">
            <v>ASA SMALL CAPS MID CAPS FIA</v>
          </cell>
          <cell r="E19880" t="str">
            <v>ASA ASSET GESTAO EM INVESTIMENTOS LTDA</v>
          </cell>
        </row>
        <row r="19881">
          <cell r="B19881">
            <v>81297</v>
          </cell>
          <cell r="C19881" t="str">
            <v>ATLAS FRONTIER MASTER FUNDO DE INVESTIMENTO EM AÃ‡Ã•ES</v>
          </cell>
          <cell r="D19881" t="str">
            <v>ATLAS FRONTIER MASTER FUNDO DE INVESTIMENTO EM AÃ‡Ã•ES</v>
          </cell>
          <cell r="E19881" t="str">
            <v>ATLAS ONE INVESTIMENTOS GESTÃƒO DE RECURSOS LTDA</v>
          </cell>
        </row>
        <row r="19882">
          <cell r="B19882">
            <v>81298</v>
          </cell>
          <cell r="C19882" t="str">
            <v>HATEU FUNDO DE INVESTIMENTO EM AÃ‡Ã•ES</v>
          </cell>
          <cell r="D19882" t="str">
            <v>HATEU FUNDO DE INVESTIMENTO EM AÃ‡Ã•ES</v>
          </cell>
          <cell r="E19882" t="str">
            <v>ATLAS ONE INVESTIMENTOS GESTÃƒO DE RECURSOS LTDA</v>
          </cell>
        </row>
        <row r="19883">
          <cell r="B19883">
            <v>81297</v>
          </cell>
          <cell r="C19883" t="str">
            <v>ATLAS FRONTIER MASTER FUNDO DE INVESTIMENTO EM AÃ‡Ã•ES</v>
          </cell>
          <cell r="D19883" t="str">
            <v>ATLAS FRONTIER MASTER FUNDO DE INVESTIMENTO EM AÃ‡Ã•ES</v>
          </cell>
          <cell r="E19883" t="str">
            <v>ATLAS ONE INVESTIMENTOS GESTÃƒO DE RECURSOS LTDA</v>
          </cell>
        </row>
        <row r="19884">
          <cell r="B19884">
            <v>81298</v>
          </cell>
          <cell r="C19884" t="str">
            <v>HATEU FUNDO DE INVESTIMENTO EM AÃ‡Ã•ES</v>
          </cell>
          <cell r="D19884" t="str">
            <v>HATEU FUNDO DE INVESTIMENTO EM AÃ‡Ã•ES</v>
          </cell>
          <cell r="E19884" t="str">
            <v>ATLAS ONE INVESTIMENTOS GESTÃƒO DE RECURSOS LTDA</v>
          </cell>
        </row>
        <row r="19885">
          <cell r="B19885">
            <v>125730</v>
          </cell>
          <cell r="C19885" t="str">
            <v>BB GESTAO DE RECURSOS DTVM LTDA</v>
          </cell>
          <cell r="D19885" t="str">
            <v>BB GESTAO DE RECURSOS DTVM LTDA</v>
          </cell>
          <cell r="E19885" t="str">
            <v>BB GESTAO DE RECURSOS DTVM LTDA</v>
          </cell>
        </row>
        <row r="19886">
          <cell r="B19886">
            <v>125731</v>
          </cell>
          <cell r="C19886" t="str">
            <v>BB GESTAO DE RECURSOS DTVM LTDA</v>
          </cell>
          <cell r="D19886" t="str">
            <v>BB GESTAO DE RECURSOS DTVM LTDA</v>
          </cell>
          <cell r="E19886" t="str">
            <v>BB GESTAO DE RECURSOS DTVM LTDA</v>
          </cell>
        </row>
        <row r="19887">
          <cell r="B19887">
            <v>125732</v>
          </cell>
          <cell r="C19887" t="str">
            <v>BB GESTAO DE RECURSOS DTVM LTDA</v>
          </cell>
          <cell r="D19887" t="str">
            <v>BB GESTAO DE RECURSOS DTVM LTDA</v>
          </cell>
          <cell r="E19887" t="str">
            <v>BB GESTAO DE RECURSOS DTVM LTDA</v>
          </cell>
        </row>
        <row r="19888">
          <cell r="B19888">
            <v>81300</v>
          </cell>
          <cell r="C19888" t="str">
            <v>WNT GESTORA DE RECURSOS LTDA</v>
          </cell>
          <cell r="D19888" t="str">
            <v>WNT GESTORA DE RECURSOS LTDA</v>
          </cell>
          <cell r="E19888" t="str">
            <v>WNT GESTORA DE RECURSOS LTDA</v>
          </cell>
        </row>
        <row r="19889">
          <cell r="B19889">
            <v>81300</v>
          </cell>
          <cell r="C19889" t="str">
            <v>WNT GESTORA DE RECURSOS LTDA</v>
          </cell>
          <cell r="D19889" t="str">
            <v>WNT GESTORA DE RECURSOS LTDA</v>
          </cell>
          <cell r="E19889" t="str">
            <v>WNT GESTORA DE RECURSOS LTDA</v>
          </cell>
        </row>
        <row r="19890">
          <cell r="B19890">
            <v>81301</v>
          </cell>
          <cell r="C19890" t="str">
            <v>MACADAMIA ICATU PREVIDENCIARIO QUALIFICADO FIM CRPR</v>
          </cell>
          <cell r="D19890" t="str">
            <v>MACADAMIA ICATU PREVIDENCIARIO QUALIFICADO FIM CRPR</v>
          </cell>
          <cell r="E19890" t="str">
            <v>JULIUS BAER FAMILY OFFICE BRASIL GESTAO DE PATRIMONIO LTDA</v>
          </cell>
        </row>
        <row r="19891">
          <cell r="B19891">
            <v>81301</v>
          </cell>
          <cell r="C19891" t="str">
            <v>MACADAMIA ICATU PREVIDENCIARIO QUALIFICADO FIM CRPR</v>
          </cell>
          <cell r="D19891" t="str">
            <v>MACADAMIA ICATU PREVIDENCIARIO QUALIFICADO FIM CRPR</v>
          </cell>
          <cell r="E19891" t="str">
            <v>JULIUS BAER FAMILY OFFICE BRASIL GESTAO DE PATRIMONIO LTDA</v>
          </cell>
        </row>
        <row r="19892">
          <cell r="B19892">
            <v>81302</v>
          </cell>
          <cell r="C19892" t="str">
            <v>SUSSEGO FIM CRPR PREV</v>
          </cell>
          <cell r="D19892" t="str">
            <v>SUSSEGO FIM CRPR PREV</v>
          </cell>
          <cell r="E19892" t="str">
            <v>JULIUS BAER FAMILY OFFICE BRASIL GESTAO DE PATRIMONIO LTDA</v>
          </cell>
        </row>
        <row r="19893">
          <cell r="B19893">
            <v>81302</v>
          </cell>
          <cell r="C19893" t="str">
            <v>SUSSEGO FIM CRPR PREV</v>
          </cell>
          <cell r="D19893" t="str">
            <v>SUSSEGO FIM CRPR PREV</v>
          </cell>
          <cell r="E19893" t="str">
            <v>JULIUS BAER FAMILY OFFICE BRASIL GESTAO DE PATRIMONIO LTDA</v>
          </cell>
        </row>
        <row r="19894">
          <cell r="B19894">
            <v>81303</v>
          </cell>
          <cell r="C19894" t="str">
            <v>MERCURY DERIVATIVES TRADING (SINGAPORE) PTE. LTD</v>
          </cell>
          <cell r="D19894" t="str">
            <v>MERCURY DERIVATIVES TRADING (SINGAPORE) PTE. LTD</v>
          </cell>
          <cell r="E19894" t="str">
            <v>MERCURY DERIVATIVES TRADING (SINGAPORE) PTE. LTD</v>
          </cell>
        </row>
        <row r="19895">
          <cell r="B19895">
            <v>81304</v>
          </cell>
          <cell r="C19895" t="str">
            <v>MERCURY DERIVATIVES TRADING (SINGAPORE) PTE. LTD</v>
          </cell>
          <cell r="D19895" t="str">
            <v>MERCURY DERIVATIVES TRADING (SINGAPORE) PTE. LTD</v>
          </cell>
          <cell r="E19895" t="str">
            <v>MERCURY DERIVATIVES TRADING (SINGAPORE) PTE. LTD</v>
          </cell>
        </row>
        <row r="19896">
          <cell r="B19896">
            <v>81303</v>
          </cell>
          <cell r="C19896" t="str">
            <v>MERCURY DERIVATIVES TRADING (SINGAPORE) PTE. LTD</v>
          </cell>
          <cell r="D19896" t="str">
            <v>MERCURY DERIVATIVES TRADING (SINGAPORE) PTE. LTD</v>
          </cell>
          <cell r="E19896" t="str">
            <v>MERCURY DERIVATIVES TRADING (SINGAPORE) PTE. LTD</v>
          </cell>
        </row>
        <row r="19897">
          <cell r="B19897">
            <v>81304</v>
          </cell>
          <cell r="C19897" t="str">
            <v>MERCURY DERIVATIVES TRADING (SINGAPORE) PTE. LTD</v>
          </cell>
          <cell r="D19897" t="str">
            <v>MERCURY DERIVATIVES TRADING (SINGAPORE) PTE. LTD</v>
          </cell>
          <cell r="E19897" t="str">
            <v>MERCURY DERIVATIVES TRADING (SINGAPORE) PTE. LTD</v>
          </cell>
        </row>
        <row r="19898">
          <cell r="B19898">
            <v>81306</v>
          </cell>
          <cell r="C19898" t="str">
            <v>SAFRA MAXWELL RISK PREMIUM MASTER FIM</v>
          </cell>
          <cell r="D19898" t="str">
            <v>SAFRA MAXWELL RISK PREMIUM MASTER FIM</v>
          </cell>
          <cell r="E19898" t="str">
            <v>SAFRA ASSET MANAGEMENT LTDA</v>
          </cell>
        </row>
        <row r="19899">
          <cell r="B19899">
            <v>81306</v>
          </cell>
          <cell r="C19899" t="str">
            <v>SAFRA MAXWELL RISK PREMIUM MASTER FIM</v>
          </cell>
          <cell r="D19899" t="str">
            <v>SAFRA MAXWELL RISK PREMIUM MASTER FIM</v>
          </cell>
          <cell r="E19899" t="str">
            <v>SAFRA MAXWELL RISK PREMIUM MASTER FIM</v>
          </cell>
        </row>
        <row r="19900">
          <cell r="B19900">
            <v>81307</v>
          </cell>
          <cell r="C19900" t="str">
            <v>ARAIN FIM CRPR IE</v>
          </cell>
          <cell r="D19900" t="str">
            <v>ARAIN FIM CRPR IE</v>
          </cell>
          <cell r="E19900" t="str">
            <v>JULIUS BAER FAMILY OFFICE BRASIL GESTAO DE PATRIMONIO LTDA</v>
          </cell>
        </row>
        <row r="19901">
          <cell r="B19901">
            <v>81307</v>
          </cell>
          <cell r="C19901" t="str">
            <v>ARAIN FIM CRPR IE</v>
          </cell>
          <cell r="D19901" t="str">
            <v>ARAIN FIM CRPR IE</v>
          </cell>
          <cell r="E19901" t="str">
            <v>JULIUS BAER FAMILY OFFICE BRASIL GESTAO DE PATRIMONIO LTDA</v>
          </cell>
        </row>
        <row r="19902">
          <cell r="B19902">
            <v>81308</v>
          </cell>
          <cell r="C19902" t="str">
            <v>VITREO PRP FUNDO DE INVESTIMENTO MULTIMERCADO</v>
          </cell>
          <cell r="D19902" t="str">
            <v>VITREO PRP FUNDO DE INVESTIMENTO MULTIMERCADO</v>
          </cell>
          <cell r="E19902" t="str">
            <v>EMPIRICUS GESTAO DE RECURSOS LTDA</v>
          </cell>
        </row>
        <row r="19903">
          <cell r="B19903">
            <v>81308</v>
          </cell>
          <cell r="C19903" t="str">
            <v>VITREO PRP FUNDO DE INVESTIMENTO MULTIMERCADO</v>
          </cell>
          <cell r="D19903" t="str">
            <v>VITREO PRP FUNDO DE INVESTIMENTO MULTIMERCADO</v>
          </cell>
          <cell r="E19903" t="str">
            <v>EMPIRICUS GESTAO DE RECURSOS LTDA</v>
          </cell>
        </row>
        <row r="19904">
          <cell r="B19904">
            <v>81309</v>
          </cell>
          <cell r="C19904" t="str">
            <v>IPAS DOS FUNCIONÃRIOS MUNICIPAIS DE PIRACICABA</v>
          </cell>
          <cell r="D19904" t="str">
            <v>IPAS DOS FUNCIONÃRIOS MUNICIPAIS DE PIRACICABA</v>
          </cell>
          <cell r="E19904" t="str">
            <v>IPAS DOS FUNCIONÃRIOS MUNICIPAIS DE PIRACICABA</v>
          </cell>
        </row>
        <row r="19905">
          <cell r="B19905">
            <v>81309</v>
          </cell>
          <cell r="C19905" t="str">
            <v>IPAS DOS FUNCIONÃRIOS MUNICIPAIS DE PIRACICABA</v>
          </cell>
          <cell r="D19905" t="str">
            <v>IPAS DOS FUNCIONÃRIOS MUNICIPAIS DE PIRACICABA</v>
          </cell>
          <cell r="E19905" t="str">
            <v>IPAS DOS FUNCIONÃRIOS MUNICIPAIS DE PIRACICABA</v>
          </cell>
        </row>
        <row r="19906">
          <cell r="B19906">
            <v>81310</v>
          </cell>
          <cell r="C19906" t="str">
            <v>PACIFICO EHF MASTER FIM</v>
          </cell>
          <cell r="D19906" t="str">
            <v>PACIFICO EHF MASTER FIM</v>
          </cell>
          <cell r="E19906" t="str">
            <v>PACIFICO GESTAO DE RECURSOS LTDA</v>
          </cell>
        </row>
        <row r="19907">
          <cell r="B19907">
            <v>81310</v>
          </cell>
          <cell r="C19907" t="str">
            <v>PACIFICO EHF MASTER FIM</v>
          </cell>
          <cell r="D19907" t="str">
            <v>PACIFICO EHF MASTER FIM</v>
          </cell>
          <cell r="E19907" t="str">
            <v>PACIFICO GESTAO DE RECURSOS LTDA</v>
          </cell>
        </row>
        <row r="19908">
          <cell r="B19908">
            <v>81311</v>
          </cell>
          <cell r="C19908" t="str">
            <v>MANTARO LB PREVIDENCIARIO FIM FIFE</v>
          </cell>
          <cell r="D19908" t="str">
            <v>MANTARO LB PREVIDENCIARIO FIM FIFE</v>
          </cell>
          <cell r="E19908" t="str">
            <v>MANTARO CAPITAL LTDA</v>
          </cell>
        </row>
        <row r="19909">
          <cell r="B19909">
            <v>81313</v>
          </cell>
          <cell r="C19909" t="str">
            <v>SAFRA ETF MULHERES NA LIDERANÃ‡A FUNDO DE INDICE DE ACOES</v>
          </cell>
          <cell r="D19909" t="str">
            <v>SAFRA ETF MULHERES NA LIDERANÃ‡A FUNDO DE INDICE DE ACOES</v>
          </cell>
          <cell r="E19909" t="str">
            <v>EMERALD GESTAO DE INVESTIMENTOS LTDA</v>
          </cell>
        </row>
        <row r="19910">
          <cell r="B19910">
            <v>81314</v>
          </cell>
          <cell r="C19910" t="str">
            <v>RT DEFIANT FIF MULT RL</v>
          </cell>
          <cell r="D19910" t="str">
            <v>RT DEFIANT FIF MULT RL</v>
          </cell>
          <cell r="E19910" t="str">
            <v>ITAU UNIBANCO ASSET - TACO</v>
          </cell>
        </row>
        <row r="19911">
          <cell r="B19911">
            <v>125734</v>
          </cell>
          <cell r="C19911" t="str">
            <v>BB GESTAO DE RECURSOS DTVM LTDA</v>
          </cell>
          <cell r="D19911" t="str">
            <v>BB GESTAO DE RECURSOS DTVM LTDA</v>
          </cell>
          <cell r="E19911" t="str">
            <v>BB GESTAO DE RECURSOS DTVM LTDA</v>
          </cell>
        </row>
        <row r="19912">
          <cell r="B19912">
            <v>125735</v>
          </cell>
          <cell r="C19912" t="str">
            <v>BB GESTAO DE RECURSOS DTVM LTDA</v>
          </cell>
          <cell r="D19912" t="str">
            <v>BB GESTAO DE RECURSOS DTVM LTDA</v>
          </cell>
          <cell r="E19912" t="str">
            <v>BB GESTAO DE RECURSOS DTVM LTDA</v>
          </cell>
        </row>
        <row r="19913">
          <cell r="B19913">
            <v>81315</v>
          </cell>
          <cell r="C19913" t="str">
            <v>ESTOCOLMO FUNDO DE INVESTIMENTO EM AÃ‡Ã•ES</v>
          </cell>
          <cell r="D19913" t="str">
            <v>ESTOCOLMO FUNDO DE INVESTIMENTO EM AÃ‡Ã•ES</v>
          </cell>
          <cell r="E19913" t="str">
            <v>MAM ASSET MANAGEMENT GESTORA DE RECURSOS LTDA</v>
          </cell>
        </row>
        <row r="19914">
          <cell r="B19914">
            <v>81315</v>
          </cell>
          <cell r="C19914" t="str">
            <v>ESTOCOLMO FUNDO DE INVESTIMENTO EM AÃ‡Ã•ES</v>
          </cell>
          <cell r="D19914" t="str">
            <v>ESTOCOLMO FUNDO DE INVESTIMENTO EM AÃ‡Ã•ES</v>
          </cell>
          <cell r="E19914" t="str">
            <v>MAM ASSET MANAGEMENT GESTORA DE RECURSOS LTDA</v>
          </cell>
        </row>
        <row r="19915">
          <cell r="B19915">
            <v>81316</v>
          </cell>
          <cell r="C19915" t="str">
            <v>KILIMA GESTAO DE RECURSOS LTDA</v>
          </cell>
          <cell r="D19915" t="str">
            <v>KILIMA GESTAO DE RECURSOS LTDA</v>
          </cell>
          <cell r="E19915" t="str">
            <v>KILIMA GESTAO DE RECURSOS LTDA</v>
          </cell>
        </row>
        <row r="19916">
          <cell r="B19916">
            <v>81317</v>
          </cell>
          <cell r="C19916" t="str">
            <v>KILIMA GESTAO DE RECURSOS LTDA</v>
          </cell>
          <cell r="D19916" t="str">
            <v>KILIMA GESTAO DE RECURSOS LTDA</v>
          </cell>
          <cell r="E19916" t="str">
            <v>KILIMA GESTAO DE RECURSOS LTDA</v>
          </cell>
        </row>
        <row r="19917">
          <cell r="B19917">
            <v>81316</v>
          </cell>
          <cell r="C19917" t="str">
            <v>KILIMA GESTAO DE RECURSOS LTDA</v>
          </cell>
          <cell r="D19917" t="str">
            <v>KILIMA GESTAO DE RECURSOS LTDA</v>
          </cell>
          <cell r="E19917" t="str">
            <v>KILIMA GESTAO DE RECURSOS LTDA</v>
          </cell>
        </row>
        <row r="19918">
          <cell r="B19918">
            <v>81317</v>
          </cell>
          <cell r="C19918" t="str">
            <v>KILIMA GESTAO DE RECURSOS LTDA</v>
          </cell>
          <cell r="D19918" t="str">
            <v>KILIMA GESTAO DE RECURSOS LTDA</v>
          </cell>
          <cell r="E19918" t="str">
            <v>KILIMA GESTAO DE RECURSOS LTDA</v>
          </cell>
        </row>
        <row r="19919">
          <cell r="B19919">
            <v>81318</v>
          </cell>
          <cell r="C19919" t="str">
            <v>VITREO CARTEIRA UNIVERSA FIM</v>
          </cell>
          <cell r="D19919" t="str">
            <v>VITREO CARTEIRA UNIVERSA FIM</v>
          </cell>
          <cell r="E19919" t="str">
            <v>EMPIRICUS GESTAO DE RECURSOS LTDA</v>
          </cell>
        </row>
        <row r="19920">
          <cell r="B19920">
            <v>81318</v>
          </cell>
          <cell r="C19920" t="str">
            <v>VITREO CARTEIRA UNIVERSA FIM</v>
          </cell>
          <cell r="D19920" t="str">
            <v>VITREO CARTEIRA UNIVERSA FIM</v>
          </cell>
          <cell r="E19920" t="str">
            <v>EMPIRICUS GESTAO DE RECURSOS LTDA</v>
          </cell>
        </row>
        <row r="19921">
          <cell r="B19921">
            <v>81319</v>
          </cell>
          <cell r="C19921" t="str">
            <v>PRAGMA GESTAO DE PATRIMONIO LTDA</v>
          </cell>
          <cell r="D19921" t="str">
            <v>PRAGMA GESTAO DE PATRIMONIO LTDA</v>
          </cell>
          <cell r="E19921" t="str">
            <v>PRAGMA GESTAO DE PATRIMONIO LTDA</v>
          </cell>
        </row>
        <row r="19922">
          <cell r="B19922">
            <v>81320</v>
          </cell>
          <cell r="C19922" t="str">
            <v>JBFO PREV PORTIFOLIO ICATU QUALIFICADO FIM CRPR</v>
          </cell>
          <cell r="D19922" t="str">
            <v>JBFO PREV PORTIFOLIO ICATU QUALIFICADO FIM CRPR</v>
          </cell>
          <cell r="E19922" t="str">
            <v>JULIUS BAER FAMILY OFFICE BRASIL GESTAO DE PATRIMONIO LTDA</v>
          </cell>
        </row>
        <row r="19923">
          <cell r="B19923">
            <v>81320</v>
          </cell>
          <cell r="C19923" t="str">
            <v>JBFO PREV PORTIFOLIO ICATU QUALIFICADO FIM CRPR</v>
          </cell>
          <cell r="D19923" t="str">
            <v>JBFO PREV PORTIFOLIO ICATU QUALIFICADO FIM CRPR</v>
          </cell>
          <cell r="E19923" t="str">
            <v>JULIUS BAER FAMILY OFFICE BRASIL GESTAO DE PATRIMONIO LTDA</v>
          </cell>
        </row>
        <row r="19924">
          <cell r="B19924">
            <v>81321</v>
          </cell>
          <cell r="C19924" t="str">
            <v>GLOBAL PARTICIPAÃ‡Ã•ES FIM CRPR IE</v>
          </cell>
          <cell r="D19924" t="str">
            <v>GLOBAL PARTICIPAÃ‡Ã•ES FIM CRPR IE</v>
          </cell>
          <cell r="E19924" t="str">
            <v>JULIUS BAER FAMILY OFFICE BRASIL GESTAO DE PATRIMONIO LTDA</v>
          </cell>
        </row>
        <row r="19925">
          <cell r="B19925">
            <v>81321</v>
          </cell>
          <cell r="C19925" t="str">
            <v>GLOBAL PARTICIPAÃ‡Ã•ES FIM CRPR IE</v>
          </cell>
          <cell r="D19925" t="str">
            <v>GLOBAL PARTICIPAÃ‡Ã•ES FIM CRPR IE</v>
          </cell>
          <cell r="E19925" t="str">
            <v>JULIUS BAER FAMILY OFFICE BRASIL GESTAO DE PATRIMONIO LTDA</v>
          </cell>
        </row>
        <row r="19926">
          <cell r="B19926">
            <v>81322</v>
          </cell>
          <cell r="C19926" t="str">
            <v>ITAÃš INFLATION EQUITY OPPORTUNITIES AÃ‡Ã•ES FUNDO DE INVESTIME</v>
          </cell>
          <cell r="D19926" t="str">
            <v>ITAÃš INFLATION EQUITY OPPORTUNITIES AÃ‡Ã•ES FUNDO DE INVESTIME</v>
          </cell>
          <cell r="E19926" t="str">
            <v>ITAU UNIBANCO ASSET - TACO</v>
          </cell>
        </row>
        <row r="19927">
          <cell r="B19927">
            <v>81323</v>
          </cell>
          <cell r="C19927" t="str">
            <v>AQUAMARINE FUNDO DE INVESTIMENTO MULTIMERCADO CP IE</v>
          </cell>
          <cell r="D19927" t="str">
            <v>AQUAMARINE FUNDO DE INVESTIMENTO MULTIMERCADO CP IE</v>
          </cell>
          <cell r="E19927" t="str">
            <v>JULIUS BAER FAMILY OFFICE BRASIL GESTAO DE PATRIMONIO LTDA</v>
          </cell>
        </row>
        <row r="19928">
          <cell r="B19928">
            <v>81324</v>
          </cell>
          <cell r="C19928" t="str">
            <v>FI AMAZONITA MULTIMERCADO CRPR IE</v>
          </cell>
          <cell r="D19928" t="str">
            <v>FI AMAZONITA MULTIMERCADO CRPR IE</v>
          </cell>
          <cell r="E19928" t="str">
            <v>JULIUS BAER FAMILY OFFICE BRASIL GESTAO DE PATRIMONIO LTDA</v>
          </cell>
        </row>
        <row r="19929">
          <cell r="B19929">
            <v>81323</v>
          </cell>
          <cell r="C19929" t="str">
            <v>AQUAMARINE FUNDO DE INVESTIMENTO MULTIMERCADO CP IE</v>
          </cell>
          <cell r="D19929" t="str">
            <v>AQUAMARINE FUNDO DE INVESTIMENTO MULTIMERCADO CP IE</v>
          </cell>
          <cell r="E19929" t="str">
            <v>JULIUS BAER FAMILY OFFICE BRASIL GESTAO DE PATRIMONIO LTDA</v>
          </cell>
        </row>
        <row r="19930">
          <cell r="B19930">
            <v>81324</v>
          </cell>
          <cell r="C19930" t="str">
            <v>FI AMAZONITA MULTIMERCADO CRPR IE</v>
          </cell>
          <cell r="D19930" t="str">
            <v>FI AMAZONITA MULTIMERCADO CRPR IE</v>
          </cell>
          <cell r="E19930" t="str">
            <v>JULIUS BAER FAMILY OFFICE BRASIL GESTAO DE PATRIMONIO LTDA</v>
          </cell>
        </row>
        <row r="19931">
          <cell r="B19931">
            <v>81325</v>
          </cell>
          <cell r="C19931" t="str">
            <v>FIC FI TURQUESA H10 MULTIMERCADO CRPR</v>
          </cell>
          <cell r="D19931" t="str">
            <v>FIC FI TURQUESA H10 MULTIMERCADO CRPR</v>
          </cell>
          <cell r="E19931" t="str">
            <v>JULIUS BAER FAMILY OFFICE BRASIL GESTAO DE PATRIMONIO LTDA</v>
          </cell>
        </row>
        <row r="19932">
          <cell r="B19932">
            <v>81325</v>
          </cell>
          <cell r="C19932" t="str">
            <v>FIC FI TURQUESA H10 MULTIMERCADO CRPR</v>
          </cell>
          <cell r="D19932" t="str">
            <v>FIC FI TURQUESA H10 MULTIMERCADO CRPR</v>
          </cell>
          <cell r="E19932" t="str">
            <v>JULIUS BAER FAMILY OFFICE BRASIL GESTAO DE PATRIMONIO LTDA</v>
          </cell>
        </row>
        <row r="19933">
          <cell r="B19933">
            <v>81326</v>
          </cell>
          <cell r="C19933" t="str">
            <v>WNT MASTER FUNDO DE INVESTIMENTO FINANCEIRO EM AÃ‡Ã•ES</v>
          </cell>
          <cell r="D19933" t="str">
            <v>WNT MASTER FUNDO DE INVESTIMENTO FINANCEIRO EM AÃ‡Ã•ES</v>
          </cell>
          <cell r="E19933" t="str">
            <v>WNT GESTORA DE RECURSOS LTDA</v>
          </cell>
        </row>
        <row r="19934">
          <cell r="B19934">
            <v>81327</v>
          </cell>
          <cell r="C19934" t="str">
            <v>APIS FIM CRPR IE</v>
          </cell>
          <cell r="D19934" t="str">
            <v>APIS FIM CRPR IE</v>
          </cell>
          <cell r="E19934" t="str">
            <v>JULIUS BAER FAMILY OFFICE BRASIL GESTAO DE PATRIMONIO LTDA</v>
          </cell>
        </row>
        <row r="19935">
          <cell r="B19935">
            <v>81327</v>
          </cell>
          <cell r="C19935" t="str">
            <v>APIS FIM CRPR IE</v>
          </cell>
          <cell r="D19935" t="str">
            <v>APIS FIM CRPR IE</v>
          </cell>
          <cell r="E19935" t="str">
            <v>JULIUS BAER FAMILY OFFICE BRASIL GESTAO DE PATRIMONIO LTDA</v>
          </cell>
        </row>
        <row r="19936">
          <cell r="B19936">
            <v>81328</v>
          </cell>
          <cell r="C19936" t="str">
            <v>FIA SAO CONRADO</v>
          </cell>
          <cell r="D19936" t="str">
            <v>FIA SAO CONRADO</v>
          </cell>
          <cell r="E19936" t="str">
            <v>DRYS CAPITAL LTDA</v>
          </cell>
        </row>
        <row r="19937">
          <cell r="B19937">
            <v>81328</v>
          </cell>
          <cell r="C19937" t="str">
            <v>FIA SAO CONRADO</v>
          </cell>
          <cell r="D19937" t="str">
            <v>FIA SAO CONRADO</v>
          </cell>
          <cell r="E19937" t="str">
            <v>DRYS CAPITAL LTDA</v>
          </cell>
        </row>
        <row r="19938">
          <cell r="B19938">
            <v>81329</v>
          </cell>
          <cell r="C19938" t="str">
            <v>KILIMA NAUTILUS MASTER FUNDO DE INVESTIMENTO EM AÃ‡Ã•ES</v>
          </cell>
          <cell r="D19938" t="str">
            <v>KILIMA NAUTILUS MASTER FUNDO DE INVESTIMENTO EM AÃ‡Ã•ES</v>
          </cell>
          <cell r="E19938" t="str">
            <v>KILIMA GESTAO DE RECURSOS LTDA</v>
          </cell>
        </row>
        <row r="19939">
          <cell r="B19939">
            <v>81329</v>
          </cell>
          <cell r="C19939" t="str">
            <v>KILIMA NAUTILUS MASTER FUNDO DE INVESTIMENTO EM AÃ‡Ã•ES</v>
          </cell>
          <cell r="D19939" t="str">
            <v>KILIMA NAUTILUS MASTER FUNDO DE INVESTIMENTO EM AÃ‡Ã•ES</v>
          </cell>
          <cell r="E19939" t="str">
            <v>KILIMA GESTAO DE RECURSOS LTDA</v>
          </cell>
        </row>
        <row r="19940">
          <cell r="B19940">
            <v>81331</v>
          </cell>
          <cell r="C19940" t="str">
            <v>HAWKSWELL FIM CRPR IE</v>
          </cell>
          <cell r="D19940" t="str">
            <v>HAWKSWELL FIM CRPR IE</v>
          </cell>
          <cell r="E19940" t="str">
            <v>JULIUS BAER FAMILY OFFICE BRASIL GESTAO DE PATRIMONIO LTDA</v>
          </cell>
        </row>
        <row r="19941">
          <cell r="B19941">
            <v>81331</v>
          </cell>
          <cell r="C19941" t="str">
            <v>HAWKSWELL FIM CRPR IE</v>
          </cell>
          <cell r="D19941" t="str">
            <v>HAWKSWELL FIM CRPR IE</v>
          </cell>
          <cell r="E19941" t="str">
            <v>JULIUS BAER FAMILY OFFICE BRASIL GESTAO DE PATRIMONIO LTDA</v>
          </cell>
        </row>
        <row r="19942">
          <cell r="B19942">
            <v>81330</v>
          </cell>
          <cell r="C19942" t="str">
            <v>LCN FIM CRPR IE</v>
          </cell>
          <cell r="D19942" t="str">
            <v>LCN FIM CRPR IE</v>
          </cell>
          <cell r="E19942" t="str">
            <v>JULIUS BAER FAMILY OFFICE BRASIL GESTAO DE PATRIMONIO LTDA</v>
          </cell>
        </row>
        <row r="19943">
          <cell r="B19943">
            <v>81330</v>
          </cell>
          <cell r="C19943" t="str">
            <v>LCN FIM CRPR IE</v>
          </cell>
          <cell r="D19943" t="str">
            <v>LCN FIM CRPR IE</v>
          </cell>
          <cell r="E19943" t="str">
            <v>JULIUS BAER FAMILY OFFICE BRASIL GESTAO DE PATRIMONIO LTDA</v>
          </cell>
        </row>
        <row r="19944">
          <cell r="B19944">
            <v>81332</v>
          </cell>
          <cell r="C19944" t="str">
            <v>SBC OPORTUNIDADE FIC DE FIM CP</v>
          </cell>
          <cell r="D19944" t="str">
            <v>SBC OPORTUNIDADE FIC DE FIM CP</v>
          </cell>
          <cell r="E19944" t="str">
            <v>WNT GESTORA DE RECURSOS LTDA</v>
          </cell>
        </row>
        <row r="19945">
          <cell r="B19945">
            <v>81334</v>
          </cell>
          <cell r="C19945" t="str">
            <v>MONTENEGRO FIM CP</v>
          </cell>
          <cell r="D19945" t="str">
            <v>MONTENEGRO FIM CP</v>
          </cell>
          <cell r="E19945" t="str">
            <v>WNT GESTORA DE RECURSOS LTDA</v>
          </cell>
        </row>
        <row r="19946">
          <cell r="B19946">
            <v>81332</v>
          </cell>
          <cell r="C19946" t="str">
            <v>SBC OPORTUNIDADE FIC DE FIM CP</v>
          </cell>
          <cell r="D19946" t="str">
            <v>SBC OPORTUNIDADE FIC DE FIM CP</v>
          </cell>
          <cell r="E19946" t="str">
            <v>WNT GESTORA DE RECURSOS LTDA</v>
          </cell>
        </row>
        <row r="19947">
          <cell r="B19947">
            <v>81334</v>
          </cell>
          <cell r="C19947" t="str">
            <v>MONTENEGRO FIM CP</v>
          </cell>
          <cell r="D19947" t="str">
            <v>MONTENEGRO FIM CP</v>
          </cell>
          <cell r="E19947" t="str">
            <v>WNT GESTORA DE RECURSOS LTDA</v>
          </cell>
        </row>
        <row r="19948">
          <cell r="B19948">
            <v>81335</v>
          </cell>
          <cell r="C19948" t="str">
            <v>MONTENEGRO FIM CP</v>
          </cell>
          <cell r="D19948" t="str">
            <v>MONTENEGRO FIM CP</v>
          </cell>
          <cell r="E19948" t="str">
            <v>WNT GESTORA DE RECURSOS LTDA</v>
          </cell>
        </row>
        <row r="19949">
          <cell r="B19949">
            <v>81335</v>
          </cell>
          <cell r="C19949" t="str">
            <v>MONTENEGRO FIM CP</v>
          </cell>
          <cell r="D19949" t="str">
            <v>MONTENEGRO FIM CP</v>
          </cell>
          <cell r="E19949" t="str">
            <v>WNT GESTORA DE RECURSOS LTDA</v>
          </cell>
        </row>
        <row r="19950">
          <cell r="B19950">
            <v>81333</v>
          </cell>
          <cell r="C19950" t="str">
            <v>SBC OPORTUNIDADE FIC DE FIM CP</v>
          </cell>
          <cell r="D19950" t="str">
            <v>SBC OPORTUNIDADE FIC DE FIM CP</v>
          </cell>
          <cell r="E19950" t="str">
            <v>WNT GESTORA DE RECURSOS LTDA</v>
          </cell>
        </row>
        <row r="19951">
          <cell r="B19951">
            <v>81333</v>
          </cell>
          <cell r="C19951" t="str">
            <v>SBC OPORTUNIDADE FIC DE FIM CP</v>
          </cell>
          <cell r="D19951" t="str">
            <v>SBC OPORTUNIDADE FIC DE FIM CP</v>
          </cell>
          <cell r="E19951" t="str">
            <v>WNT GESTORA DE RECURSOS LTDA</v>
          </cell>
        </row>
        <row r="19952">
          <cell r="B19952">
            <v>81336</v>
          </cell>
          <cell r="C19952" t="str">
            <v>FP STUDIO TOTAL RETURN FUNDO DE INVESTIMENTO EM AÃ‡Ã•ES</v>
          </cell>
          <cell r="D19952" t="str">
            <v>FP STUDIO TOTAL RETURN FUNDO DE INVESTIMENTO EM AÃ‡Ã•ES</v>
          </cell>
          <cell r="E19952" t="str">
            <v>STUDIO INVESTIMENTOS ADMINISTRADORA DE RECURSOS LTDA</v>
          </cell>
        </row>
        <row r="19953">
          <cell r="B19953">
            <v>81338</v>
          </cell>
          <cell r="C19953" t="str">
            <v>STUDIO ABSOLUTO MASTER FIM</v>
          </cell>
          <cell r="D19953" t="str">
            <v>STUDIO ABSOLUTO MASTER FIM</v>
          </cell>
          <cell r="E19953" t="str">
            <v>STUDIO INVESTIMENTOS ADMINISTRADORA DE RECURSOS LTDA</v>
          </cell>
        </row>
        <row r="19954">
          <cell r="B19954">
            <v>81338</v>
          </cell>
          <cell r="C19954" t="str">
            <v>STUDIO ABSOLUTO MASTER FIM</v>
          </cell>
          <cell r="D19954" t="str">
            <v>STUDIO ABSOLUTO MASTER FIM</v>
          </cell>
          <cell r="E19954" t="str">
            <v>STUDIO INVESTIMENTOS ADMINISTRADORA DE RECURSOS LTDA</v>
          </cell>
        </row>
        <row r="19955">
          <cell r="B19955">
            <v>81337</v>
          </cell>
          <cell r="C19955" t="str">
            <v>SI FIM CP IE</v>
          </cell>
          <cell r="D19955" t="str">
            <v>SI FIM CP IE</v>
          </cell>
          <cell r="E19955" t="str">
            <v>STUDIO INVESTIMENTOS ADMINISTRADORA DE RECURSOS LTDA</v>
          </cell>
        </row>
        <row r="19956">
          <cell r="B19956">
            <v>81339</v>
          </cell>
          <cell r="C19956" t="str">
            <v>STUDIO ICATU 49 PREV FIM</v>
          </cell>
          <cell r="D19956" t="str">
            <v>STUDIO ICATU 49 PREV FIM</v>
          </cell>
          <cell r="E19956" t="str">
            <v>STUDIO INVESTIMENTOS ADMINISTRADORA DE RECURSOS LTDA</v>
          </cell>
        </row>
        <row r="19957">
          <cell r="B19957">
            <v>81342</v>
          </cell>
          <cell r="C19957" t="str">
            <v>STUDIO MASTER III FIA</v>
          </cell>
          <cell r="D19957" t="str">
            <v>STUDIO MASTER III FIA</v>
          </cell>
          <cell r="E19957" t="str">
            <v>STUDIO INVESTIMENTOS ADMINISTRADORA DE RECURSOS LTDA</v>
          </cell>
        </row>
        <row r="19958">
          <cell r="B19958">
            <v>81343</v>
          </cell>
          <cell r="C19958" t="str">
            <v>STUDIO MASTER IV FIA</v>
          </cell>
          <cell r="D19958" t="str">
            <v>STUDIO MASTER IV FIA</v>
          </cell>
          <cell r="E19958" t="str">
            <v>STUDIO INVESTIMENTOS ADMINISTRADORA DE RECURSOS LTDA</v>
          </cell>
        </row>
        <row r="19959">
          <cell r="B19959">
            <v>81340</v>
          </cell>
          <cell r="C19959" t="str">
            <v>STUDIO ICATU PREV FIFE FIM CP</v>
          </cell>
          <cell r="D19959" t="str">
            <v>STUDIO ICATU PREV FIFE FIM CP</v>
          </cell>
          <cell r="E19959" t="str">
            <v>STUDIO INVESTIMENTOS ADMINISTRADORA DE RECURSOS LTDA</v>
          </cell>
        </row>
        <row r="19960">
          <cell r="B19960">
            <v>81341</v>
          </cell>
          <cell r="C19960" t="str">
            <v>STUDIO MASTER 70 PREV FIFE FUNDO DE INVESTIMENTO MULTIMERCAD</v>
          </cell>
          <cell r="D19960" t="str">
            <v>STUDIO MASTER 70 PREV FIFE FUNDO DE INVESTIMENTO MULTIMERCAD</v>
          </cell>
          <cell r="E19960" t="str">
            <v>STUDIO INVESTIMENTOS ADMINISTRADORA DE RECURSOS LTDA</v>
          </cell>
        </row>
        <row r="19961">
          <cell r="B19961">
            <v>81342</v>
          </cell>
          <cell r="C19961" t="str">
            <v>STUDIO MASTER III FIA</v>
          </cell>
          <cell r="D19961" t="str">
            <v>STUDIO MASTER III FIA</v>
          </cell>
          <cell r="E19961" t="str">
            <v>STUDIO INVESTIMENTOS ADMINISTRADORA DE RECURSOS LTDA</v>
          </cell>
        </row>
        <row r="19962">
          <cell r="B19962">
            <v>81343</v>
          </cell>
          <cell r="C19962" t="str">
            <v>STUDIO MASTER IV FIA</v>
          </cell>
          <cell r="D19962" t="str">
            <v>STUDIO MASTER IV FIA</v>
          </cell>
          <cell r="E19962" t="str">
            <v>STUDIO INVESTIMENTOS ADMINISTRADORA DE RECURSOS LTDA</v>
          </cell>
        </row>
        <row r="19963">
          <cell r="B19963">
            <v>81355</v>
          </cell>
          <cell r="C19963" t="str">
            <v>STUDIO MASTER V FUNDO DE INVESTIMENTO MULTIMERCADO</v>
          </cell>
          <cell r="D19963" t="str">
            <v>STUDIO MASTER V FUNDO DE INVESTIMENTO MULTIMERCADO</v>
          </cell>
          <cell r="E19963" t="str">
            <v>STUDIO INVESTIMENTOS ADMINISTRADORA DE RECURSOS LTDA</v>
          </cell>
        </row>
        <row r="19964">
          <cell r="B19964">
            <v>81345</v>
          </cell>
          <cell r="C19964" t="str">
            <v>TENAX ACOES MASTER FIA</v>
          </cell>
          <cell r="D19964" t="str">
            <v>TENAX ACOES MASTER FIA</v>
          </cell>
          <cell r="E19964" t="str">
            <v>TENAX CAPITAL LTDA</v>
          </cell>
        </row>
        <row r="19965">
          <cell r="B19965">
            <v>81346</v>
          </cell>
          <cell r="C19965" t="str">
            <v>TENAX MACRO MASTER FIM</v>
          </cell>
          <cell r="D19965" t="str">
            <v>TENAX MACRO MASTER FIM</v>
          </cell>
          <cell r="E19965" t="str">
            <v>TENAX CAPITAL LTDA</v>
          </cell>
        </row>
        <row r="19966">
          <cell r="B19966">
            <v>81347</v>
          </cell>
          <cell r="C19966" t="str">
            <v>TENAX TOTAL RETURN MASTER FIM</v>
          </cell>
          <cell r="D19966" t="str">
            <v>TENAX TOTAL RETURN MASTER FIM</v>
          </cell>
          <cell r="E19966" t="str">
            <v>TENAX CAPITAL LTDA</v>
          </cell>
        </row>
        <row r="19967">
          <cell r="B19967">
            <v>81348</v>
          </cell>
          <cell r="C19967" t="str">
            <v>HSBC BANK PLC (HBEU) - BNP</v>
          </cell>
          <cell r="D19967" t="str">
            <v>HSBC BANK PLC (HBEU) - BNP</v>
          </cell>
          <cell r="E19967" t="str">
            <v>BANCO HSBC S/A</v>
          </cell>
        </row>
        <row r="19968">
          <cell r="B19968">
            <v>81352</v>
          </cell>
          <cell r="C19968" t="str">
            <v>CALATHEA RF FI INFRA</v>
          </cell>
          <cell r="D19968" t="str">
            <v>CALATHEA RF FI INFRA</v>
          </cell>
          <cell r="E19968" t="str">
            <v>JULIUS BAER FAMILY OFFICE BRASIL GESTAO DE PATRIMONIO LTDA</v>
          </cell>
        </row>
        <row r="19969">
          <cell r="B19969">
            <v>81352</v>
          </cell>
          <cell r="C19969" t="str">
            <v>CALATHEA RF FI INFRA</v>
          </cell>
          <cell r="D19969" t="str">
            <v>CALATHEA RF FI INFRA</v>
          </cell>
          <cell r="E19969" t="str">
            <v>JULIUS BAER FAMILY OFFICE BRASIL GESTAO DE PATRIMONIO LTDA</v>
          </cell>
        </row>
        <row r="19970">
          <cell r="B19970">
            <v>81353</v>
          </cell>
          <cell r="C19970" t="str">
            <v>LOTUS FIM CRPR IE</v>
          </cell>
          <cell r="D19970" t="str">
            <v>LOTUS FIM CRPR IE</v>
          </cell>
          <cell r="E19970" t="str">
            <v>JULIUS BAER FAMILY OFFICE BRASIL GESTAO DE PATRIMONIO LTDA</v>
          </cell>
        </row>
        <row r="19971">
          <cell r="B19971">
            <v>81353</v>
          </cell>
          <cell r="C19971" t="str">
            <v>LOTUS FIM CRPR IE</v>
          </cell>
          <cell r="D19971" t="str">
            <v>LOTUS FIM CRPR IE</v>
          </cell>
          <cell r="E19971" t="str">
            <v>JULIUS BAER FAMILY OFFICE BRASIL GESTAO DE PATRIMONIO LTDA</v>
          </cell>
        </row>
        <row r="19972">
          <cell r="B19972">
            <v>81354</v>
          </cell>
          <cell r="C19972" t="str">
            <v>SIEBEN FIM CRPR IE</v>
          </cell>
          <cell r="D19972" t="str">
            <v>SIEBEN FIM CRPR IE</v>
          </cell>
          <cell r="E19972" t="str">
            <v>JULIUS BAER FAMILY OFFICE BRASIL GESTAO DE PATRIMONIO LTDA</v>
          </cell>
        </row>
        <row r="19973">
          <cell r="B19973">
            <v>81354</v>
          </cell>
          <cell r="C19973" t="str">
            <v>SIEBEN FIM CRPR IE</v>
          </cell>
          <cell r="D19973" t="str">
            <v>SIEBEN FIM CRPR IE</v>
          </cell>
          <cell r="E19973" t="str">
            <v>JULIUS BAER FAMILY OFFICE BRASIL GESTAO DE PATRIMONIO LTDA</v>
          </cell>
        </row>
        <row r="19974">
          <cell r="B19974">
            <v>913138</v>
          </cell>
          <cell r="C19974" t="str">
            <v>BGC LIQUIDEZ DTVM LTDA</v>
          </cell>
          <cell r="D19974" t="str">
            <v>BGC LIQUIDEZ DTVM LTDA</v>
          </cell>
          <cell r="E19974" t="str">
            <v>BGC LIQUIDEZ DTVM LTDA</v>
          </cell>
        </row>
        <row r="19975">
          <cell r="B19975">
            <v>81746</v>
          </cell>
          <cell r="C19975" t="str">
            <v>STUDIO MASTER VI FUNDO DE INVESTIMENTO EM ACOES</v>
          </cell>
          <cell r="D19975" t="str">
            <v>STUDIO MASTER VI FUNDO DE INVESTIMENTO EM ACOES</v>
          </cell>
          <cell r="E19975" t="str">
            <v>STUDIO INVESTIMENTOS ADMINISTRADORA DE RECURSOS LTDA</v>
          </cell>
        </row>
        <row r="19976">
          <cell r="B19976">
            <v>81356</v>
          </cell>
          <cell r="C19976" t="str">
            <v>VISTA LONG BIASED MASTER FUNDO DE INVESTIMENTO MULTIMERCADO</v>
          </cell>
          <cell r="D19976" t="str">
            <v>VISTA LONG BIASED MASTER FUNDO DE INVESTIMENTO MULTIMERCADO</v>
          </cell>
          <cell r="E19976" t="str">
            <v>VISTA CAPITAL GESTORA DE RECURSOS LTDA</v>
          </cell>
        </row>
        <row r="19977">
          <cell r="B19977">
            <v>81356</v>
          </cell>
          <cell r="C19977" t="str">
            <v>VISTA LONG BIASED MASTER FUNDO DE INVESTIMENTO MULTIMERCADO</v>
          </cell>
          <cell r="D19977" t="str">
            <v>VISTA LONG BIASED MASTER FUNDO DE INVESTIMENTO MULTIMERCADO</v>
          </cell>
          <cell r="E19977" t="str">
            <v>VISTA CAPITAL GESTORA DE RECURSOS LTDA</v>
          </cell>
        </row>
        <row r="19978">
          <cell r="B19978">
            <v>122839</v>
          </cell>
          <cell r="C19978" t="str">
            <v>XP LONG SHORT FIC FIM</v>
          </cell>
          <cell r="D19978" t="str">
            <v>XP LONG SHORT FIC FIM</v>
          </cell>
          <cell r="E19978" t="str">
            <v>XP LONG SHORT FIC FIM</v>
          </cell>
        </row>
        <row r="19979">
          <cell r="B19979">
            <v>122964</v>
          </cell>
          <cell r="C19979" t="str">
            <v>SUCESSO FIM CP IE</v>
          </cell>
          <cell r="D19979" t="str">
            <v>SUCESSO FIM CP IE</v>
          </cell>
          <cell r="E19979" t="str">
            <v>JULIUS BAER FAMILY OFFICE BRASIL GESTAO DE PATRIMONIO LTDA</v>
          </cell>
        </row>
        <row r="19980">
          <cell r="B19980">
            <v>81358</v>
          </cell>
          <cell r="C19980" t="str">
            <v>ITAU MASTER MULTI QUANT MULTIMERCADO FUNDO DE INVESTIMENTO</v>
          </cell>
          <cell r="D19980" t="str">
            <v>ITAU MASTER MULTI QUANT MULTIMERCADO FUNDO DE INVESTIMENTO</v>
          </cell>
          <cell r="E19980" t="str">
            <v>ITAU UNIBANCO ASSET - TACO</v>
          </cell>
        </row>
        <row r="19981">
          <cell r="B19981">
            <v>81358</v>
          </cell>
          <cell r="C19981" t="str">
            <v>ITAU MASTER MULTI QUANT MULTIMERCADO FUNDO DE INVESTIMENTO</v>
          </cell>
          <cell r="D19981" t="str">
            <v>ITAU MASTER MULTI QUANT MULTIMERCADO FUNDO DE INVESTIMENTO</v>
          </cell>
          <cell r="E19981" t="str">
            <v>ITAU UNIBANCO ASSET - TACO</v>
          </cell>
        </row>
        <row r="19982">
          <cell r="B19982">
            <v>81359</v>
          </cell>
          <cell r="C19982" t="str">
            <v>REAL GRANDEZA - FUNDACAO DE PREVIDENCIA E ASSISTENCIA SOCIAL</v>
          </cell>
          <cell r="D19982" t="str">
            <v>REAL GRANDEZA - FUNDACAO DE PREVIDENCIA E ASSISTENCIA SOCIAL</v>
          </cell>
          <cell r="E19982" t="str">
            <v>REAL GRANDEZA - FUNDACAO DE PREVIDENCIA E ASSISTENCIA SOCIAL</v>
          </cell>
        </row>
        <row r="19983">
          <cell r="B19983">
            <v>81359</v>
          </cell>
          <cell r="C19983" t="str">
            <v>REAL GRANDEZA - FUNDACAO DE PREVIDENCIA E ASSISTENCIA SOCIAL</v>
          </cell>
          <cell r="D19983" t="str">
            <v>REAL GRANDEZA - FUNDACAO DE PREVIDENCIA E ASSISTENCIA SOCIAL</v>
          </cell>
          <cell r="E19983" t="str">
            <v>REAL GRANDEZA - FUNDACAO DE PREVIDENCIA E ASSISTENCIA SOCIAL</v>
          </cell>
        </row>
        <row r="19984">
          <cell r="B19984">
            <v>81360</v>
          </cell>
          <cell r="C19984" t="str">
            <v>PRADA ADMINISTRADORA DE RECURSOS LTDA.</v>
          </cell>
          <cell r="D19984" t="str">
            <v>PRADA ADMINISTRADORA DE RECURSOS LTDA.</v>
          </cell>
          <cell r="E19984" t="str">
            <v>PRADA ADMINISTRADORA DE RECURSOS LTDA.</v>
          </cell>
        </row>
        <row r="19985">
          <cell r="B19985">
            <v>81360</v>
          </cell>
          <cell r="C19985" t="str">
            <v>PRADA ADMINISTRADORA DE RECURSOS LTDA.</v>
          </cell>
          <cell r="D19985" t="str">
            <v>PRADA ADMINISTRADORA DE RECURSOS LTDA.</v>
          </cell>
          <cell r="E19985" t="str">
            <v>PRADA ADMINISTRADORA DE RECURSOS LTDA.</v>
          </cell>
        </row>
        <row r="19986">
          <cell r="B19986">
            <v>81362</v>
          </cell>
          <cell r="C19986" t="str">
            <v>M SQUARE GLOBAL EQUITY MANAGERS MASTER FIM IE</v>
          </cell>
          <cell r="D19986" t="str">
            <v>M SQUARE GLOBAL EQUITY MANAGERS MASTER FIM IE</v>
          </cell>
          <cell r="E19986" t="str">
            <v>M SQUARE INVESTIMENTOS LTDA.</v>
          </cell>
        </row>
        <row r="19987">
          <cell r="B19987">
            <v>81362</v>
          </cell>
          <cell r="C19987" t="str">
            <v>M SQUARE GLOBAL EQUITY MANAGERS MASTER FIM IE</v>
          </cell>
          <cell r="D19987" t="str">
            <v>M SQUARE GLOBAL EQUITY MANAGERS MASTER FIM IE</v>
          </cell>
          <cell r="E19987" t="str">
            <v>M SQUARE INVESTIMENTOS LTDA.</v>
          </cell>
        </row>
        <row r="19988">
          <cell r="B19988">
            <v>81363</v>
          </cell>
          <cell r="C19988" t="str">
            <v>M SQUARE PORTFOLIO GLOBAL INSTITUCIONAL FIM IE</v>
          </cell>
          <cell r="D19988" t="str">
            <v>M SQUARE PORTFOLIO GLOBAL INSTITUCIONAL FIM IE</v>
          </cell>
          <cell r="E19988" t="str">
            <v>M SQUARE INVESTIMENTOS LTDA.</v>
          </cell>
        </row>
        <row r="19989">
          <cell r="B19989">
            <v>81363</v>
          </cell>
          <cell r="C19989" t="str">
            <v>M SQUARE PORTFOLIO GLOBAL INSTITUCIONAL FIM IE</v>
          </cell>
          <cell r="D19989" t="str">
            <v>M SQUARE PORTFOLIO GLOBAL INSTITUCIONAL FIM IE</v>
          </cell>
          <cell r="E19989" t="str">
            <v>M SQUARE INVESTIMENTOS LTDA.</v>
          </cell>
        </row>
        <row r="19990">
          <cell r="B19990">
            <v>81365</v>
          </cell>
          <cell r="C19990" t="str">
            <v>CENTRUS AQUILA FIM IE</v>
          </cell>
          <cell r="D19990" t="str">
            <v>CENTRUS AQUILA FIM IE</v>
          </cell>
          <cell r="E19990" t="str">
            <v>M SQUARE INVESTIMENTOS LTDA.</v>
          </cell>
        </row>
        <row r="19991">
          <cell r="B19991">
            <v>81365</v>
          </cell>
          <cell r="C19991" t="str">
            <v>CENTRUS AQUILA FIM IE</v>
          </cell>
          <cell r="D19991" t="str">
            <v>CENTRUS AQUILA FIM IE</v>
          </cell>
          <cell r="E19991" t="str">
            <v>M SQUARE INVESTIMENTOS LTDA.</v>
          </cell>
        </row>
        <row r="19992">
          <cell r="B19992">
            <v>81364</v>
          </cell>
          <cell r="C19992" t="str">
            <v>M SQUARE SABESPREV FIM IE</v>
          </cell>
          <cell r="D19992" t="str">
            <v>M SQUARE SABESPREV FIM IE</v>
          </cell>
          <cell r="E19992" t="str">
            <v>M SQUARE INVESTIMENTOS LTDA.</v>
          </cell>
        </row>
        <row r="19993">
          <cell r="B19993">
            <v>81364</v>
          </cell>
          <cell r="C19993" t="str">
            <v>M SQUARE SABESPREV FIM IE</v>
          </cell>
          <cell r="D19993" t="str">
            <v>M SQUARE SABESPREV FIM IE</v>
          </cell>
          <cell r="E19993" t="str">
            <v>M SQUARE INVESTIMENTOS LTDA.</v>
          </cell>
        </row>
        <row r="19994">
          <cell r="B19994">
            <v>82355</v>
          </cell>
          <cell r="C19994" t="str">
            <v>IBIUNA ST PLUS MASTER FUNDO DE INVESTIMENTO FINANCEIRO MULTI</v>
          </cell>
          <cell r="D19994" t="str">
            <v>IBIUNA ST PLUS MASTER FUNDO DE INVESTIMENTO FINANCEIRO MULTI</v>
          </cell>
          <cell r="E19994" t="str">
            <v>IBIUNA GESTAO DE RECURSOS LTDA</v>
          </cell>
        </row>
        <row r="19995">
          <cell r="B19995">
            <v>82779</v>
          </cell>
          <cell r="C19995" t="str">
            <v>BZ LOCAL FIF CIM RESP LTDA</v>
          </cell>
          <cell r="D19995" t="str">
            <v>BZ LOCAL FIF CIM RESP LTDA</v>
          </cell>
          <cell r="E19995" t="str">
            <v>IBIUNA GESTAO DE RECURSOS LTDA</v>
          </cell>
        </row>
        <row r="19996">
          <cell r="B19996">
            <v>125736</v>
          </cell>
          <cell r="C19996" t="str">
            <v>BB GESTAO DE RECURSOS DTVM LTDA</v>
          </cell>
          <cell r="D19996" t="str">
            <v>BB GESTAO DE RECURSOS DTVM LTDA</v>
          </cell>
          <cell r="E19996" t="str">
            <v>BB GESTAO DE RECURSOS DTVM LTDA</v>
          </cell>
        </row>
        <row r="19997">
          <cell r="B19997">
            <v>81368</v>
          </cell>
          <cell r="C19997" t="str">
            <v>M SQUARE SERINGUEIRA FIM IE</v>
          </cell>
          <cell r="D19997" t="str">
            <v>M SQUARE SERINGUEIRA FIM IE</v>
          </cell>
          <cell r="E19997" t="str">
            <v>M SQUARE INVESTIMENTOS LTDA.</v>
          </cell>
        </row>
        <row r="19998">
          <cell r="B19998">
            <v>81368</v>
          </cell>
          <cell r="C19998" t="str">
            <v>M SQUARE SERINGUEIRA FIM IE</v>
          </cell>
          <cell r="D19998" t="str">
            <v>M SQUARE SERINGUEIRA FIM IE</v>
          </cell>
          <cell r="E19998" t="str">
            <v>M SQUARE INVESTIMENTOS LTDA.</v>
          </cell>
        </row>
        <row r="19999">
          <cell r="B19999">
            <v>81369</v>
          </cell>
          <cell r="C19999" t="str">
            <v>CENTRUS -FUNDAÃ‡ÃƒO BANCO CENTRAL DE PREVIDENCIA PRIVADA</v>
          </cell>
          <cell r="D19999" t="str">
            <v>CENTRUS -FUNDAÃ‡ÃƒO BANCO CENTRAL DE PREVIDENCIA PRIVADA</v>
          </cell>
          <cell r="E19999" t="str">
            <v>CENTRUS -FUNDAÇÃO BANCO CENTRAL DE PREVIDENCIA PRIVADA</v>
          </cell>
        </row>
        <row r="20000">
          <cell r="B20000">
            <v>81369</v>
          </cell>
          <cell r="C20000" t="str">
            <v>CENTRUS -FUNDAÃ‡ÃƒO BANCO CENTRAL DE PREVIDENCIA PRIVADA</v>
          </cell>
          <cell r="D20000" t="str">
            <v>CENTRUS -FUNDAÃ‡ÃƒO BANCO CENTRAL DE PREVIDENCIA PRIVADA</v>
          </cell>
          <cell r="E20000" t="str">
            <v>CENTRUS -FUNDAÇÃO BANCO CENTRAL DE PREVIDENCIA PRIVADA</v>
          </cell>
        </row>
        <row r="20001">
          <cell r="B20001">
            <v>81370</v>
          </cell>
          <cell r="C20001" t="str">
            <v>SOCIETE GENERALE (PARIS)</v>
          </cell>
          <cell r="D20001" t="str">
            <v>SOCIETE GENERALE (PARIS)</v>
          </cell>
          <cell r="E20001" t="str">
            <v>BANCO SOCIETE GENERALE BRASIL S/A</v>
          </cell>
        </row>
        <row r="20002">
          <cell r="B20002">
            <v>81371</v>
          </cell>
          <cell r="C20002" t="str">
            <v>MAYBACK FUNDO DE INVESTIMENTO MULTIMERCADO</v>
          </cell>
          <cell r="D20002" t="str">
            <v>MAYBACK FUNDO DE INVESTIMENTO MULTIMERCADO</v>
          </cell>
          <cell r="E20002" t="str">
            <v>WNT GESTORA DE RECURSOS LTDA</v>
          </cell>
        </row>
        <row r="20003">
          <cell r="B20003">
            <v>81371</v>
          </cell>
          <cell r="C20003" t="str">
            <v>MAYBACK FUNDO DE INVESTIMENTO MULTIMERCADO</v>
          </cell>
          <cell r="D20003" t="str">
            <v>MAYBACK FUNDO DE INVESTIMENTO MULTIMERCADO</v>
          </cell>
          <cell r="E20003" t="str">
            <v>WNT GESTORA DE RECURSOS LTDA</v>
          </cell>
        </row>
        <row r="20004">
          <cell r="B20004">
            <v>81372</v>
          </cell>
          <cell r="C20004" t="str">
            <v>MAYBACK FUNDO DE INVESTIMENTO MULTIMERCADO</v>
          </cell>
          <cell r="D20004" t="str">
            <v>MAYBACK FUNDO DE INVESTIMENTO MULTIMERCADO</v>
          </cell>
          <cell r="E20004" t="str">
            <v>WNT GESTORA DE RECURSOS LTDA</v>
          </cell>
        </row>
        <row r="20005">
          <cell r="B20005">
            <v>81372</v>
          </cell>
          <cell r="C20005" t="str">
            <v>MAYBACK FUNDO DE INVESTIMENTO MULTIMERCADO</v>
          </cell>
          <cell r="D20005" t="str">
            <v>MAYBACK FUNDO DE INVESTIMENTO MULTIMERCADO</v>
          </cell>
          <cell r="E20005" t="str">
            <v>WNT GESTORA DE RECURSOS LTDA</v>
          </cell>
        </row>
        <row r="20006">
          <cell r="B20006">
            <v>81373</v>
          </cell>
          <cell r="C20006" t="str">
            <v>BRASILPREV GARDE PARIS FIFE FUNDO DE INVESTIMENTO</v>
          </cell>
          <cell r="D20006" t="str">
            <v>BRASILPREV GARDE PARIS FIFE FUNDO DE INVESTIMENTO</v>
          </cell>
          <cell r="E20006" t="str">
            <v>GARDE ASSET MANAGEMENT GESTAO DE RECURSOS LTDA</v>
          </cell>
        </row>
        <row r="20007">
          <cell r="B20007">
            <v>81373</v>
          </cell>
          <cell r="C20007" t="str">
            <v>BRASILPREV GARDE PARIS FIFE FUNDO DE INVESTIMENTO</v>
          </cell>
          <cell r="D20007" t="str">
            <v>BRASILPREV GARDE PARIS FIFE FUNDO DE INVESTIMENTO</v>
          </cell>
          <cell r="E20007" t="str">
            <v>GARDE ASSET MANAGEMENT GESTAO DE RECURSOS LTDA</v>
          </cell>
        </row>
        <row r="20008">
          <cell r="B20008">
            <v>81375</v>
          </cell>
          <cell r="C20008" t="str">
            <v>MUNIQUE FUNDO DE INVESTIMENTO MULTIMERCADO CRÃ‰DITO PRIVADO I</v>
          </cell>
          <cell r="D20008" t="str">
            <v>MUNIQUE FUNDO DE INVESTIMENTO MULTIMERCADO CRÃ‰DITO PRIVADO I</v>
          </cell>
          <cell r="E20008" t="str">
            <v>JULIUS BAER FAMILY OFFICE BRASIL GESTAO DE PATRIMONIO LTDA</v>
          </cell>
        </row>
        <row r="20009">
          <cell r="B20009">
            <v>81375</v>
          </cell>
          <cell r="C20009" t="str">
            <v>MUNIQUE FUNDO DE INVESTIMENTO MULTIMERCADO CRÃ‰DITO PRIVADO I</v>
          </cell>
          <cell r="D20009" t="str">
            <v>MUNIQUE FUNDO DE INVESTIMENTO MULTIMERCADO CRÃ‰DITO PRIVADO I</v>
          </cell>
          <cell r="E20009" t="str">
            <v>JULIUS BAER FAMILY OFFICE BRASIL GESTAO DE PATRIMONIO LTDA</v>
          </cell>
        </row>
        <row r="20010">
          <cell r="B20010">
            <v>81376</v>
          </cell>
          <cell r="C20010" t="str">
            <v>JUCAPE FIM CREDITO PRIVADO</v>
          </cell>
          <cell r="D20010" t="str">
            <v>JUCAPE FIM CREDITO PRIVADO</v>
          </cell>
          <cell r="E20010" t="str">
            <v>JULIUS BAER FAMILY OFFICE BRASIL GESTAO DE PATRIMONIO LTDA</v>
          </cell>
        </row>
        <row r="20011">
          <cell r="B20011">
            <v>81376</v>
          </cell>
          <cell r="C20011" t="str">
            <v>JUCAPE FIM CREDITO PRIVADO</v>
          </cell>
          <cell r="D20011" t="str">
            <v>JUCAPE FIM CREDITO PRIVADO</v>
          </cell>
          <cell r="E20011" t="str">
            <v>JULIUS BAER FAMILY OFFICE BRASIL GESTAO DE PATRIMONIO LTDA</v>
          </cell>
        </row>
        <row r="20012">
          <cell r="B20012">
            <v>11255</v>
          </cell>
          <cell r="C20012" t="str">
            <v>BB GESTAO DE RECURSOS DTVM LTDA</v>
          </cell>
          <cell r="D20012">
            <v>11255</v>
          </cell>
          <cell r="E20012" t="str">
            <v>BB GESTAO DE RECURSOS DTVM LTDA</v>
          </cell>
        </row>
        <row r="20013">
          <cell r="B20013">
            <v>11255</v>
          </cell>
          <cell r="C20013" t="str">
            <v>BB GESTAO DE RECURSOS DTVM LTDA</v>
          </cell>
          <cell r="D20013" t="str">
            <v>BB GESTAO DE RECURSOS DTVM LTDA</v>
          </cell>
          <cell r="E20013" t="str">
            <v>BB GESTAO DE RECURSOS DTVM LTDA</v>
          </cell>
        </row>
        <row r="20014">
          <cell r="B20014">
            <v>81377</v>
          </cell>
          <cell r="C20014" t="str">
            <v>DITA FIM CP IE IP</v>
          </cell>
          <cell r="D20014" t="str">
            <v>DITA FIM CP IE IP</v>
          </cell>
          <cell r="E20014" t="str">
            <v>JULIUS BAER FAMILY OFFICE BRASIL GESTAO DE PATRIMONIO LTDA</v>
          </cell>
        </row>
        <row r="20015">
          <cell r="B20015">
            <v>81377</v>
          </cell>
          <cell r="C20015" t="str">
            <v>DITA FIM CP IE IP</v>
          </cell>
          <cell r="D20015" t="str">
            <v>DITA FIM CP IE IP</v>
          </cell>
          <cell r="E20015" t="str">
            <v>JULIUS BAER FAMILY OFFICE BRASIL GESTAO DE PATRIMONIO LTDA</v>
          </cell>
        </row>
        <row r="20016">
          <cell r="B20016">
            <v>81378</v>
          </cell>
          <cell r="C20016" t="str">
            <v>MORENO FUNDO DE INVESTIMENTO MULTIMERCADO</v>
          </cell>
          <cell r="D20016" t="str">
            <v>MORENO FUNDO DE INVESTIMENTO MULTIMERCADO</v>
          </cell>
          <cell r="E20016" t="str">
            <v>JULIUS BAER FAMILY OFFICE BRASIL GESTAO DE PATRIMONIO LTDA</v>
          </cell>
        </row>
        <row r="20017">
          <cell r="B20017">
            <v>81378</v>
          </cell>
          <cell r="C20017" t="str">
            <v>MORENO FUNDO DE INVESTIMENTO MULTIMERCADO</v>
          </cell>
          <cell r="D20017" t="str">
            <v>MORENO FUNDO DE INVESTIMENTO MULTIMERCADO</v>
          </cell>
          <cell r="E20017" t="str">
            <v>JULIUS BAER FAMILY OFFICE BRASIL GESTAO DE PATRIMONIO LTDA</v>
          </cell>
        </row>
        <row r="20018">
          <cell r="B20018">
            <v>125737</v>
          </cell>
          <cell r="C20018" t="str">
            <v>BB GESTAO DE RECURSOS DTVM LTDA</v>
          </cell>
          <cell r="D20018" t="str">
            <v>BB GESTAO DE RECURSOS DTVM LTDA</v>
          </cell>
          <cell r="E20018" t="str">
            <v>BB GESTAO DE RECURSOS DTVM LTDA</v>
          </cell>
        </row>
        <row r="20019">
          <cell r="B20019">
            <v>125738</v>
          </cell>
          <cell r="C20019" t="str">
            <v>BB GESTAO DE RECURSOS DTVM LTDA</v>
          </cell>
          <cell r="D20019" t="str">
            <v>BB GESTAO DE RECURSOS DTVM LTDA</v>
          </cell>
          <cell r="E20019" t="str">
            <v>BB GESTAO DE RECURSOS DTVM LTDA</v>
          </cell>
        </row>
        <row r="20020">
          <cell r="B20020">
            <v>81379</v>
          </cell>
          <cell r="C20020" t="str">
            <v>ITAÃš MASTER MOMENTO AÃ‡Ã•ES FUNDO DE INVESTIMENTO</v>
          </cell>
          <cell r="D20020" t="str">
            <v>ITAÃš MASTER MOMENTO AÃ‡Ã•ES FUNDO DE INVESTIMENTO</v>
          </cell>
          <cell r="E20020" t="str">
            <v>ITAU UNIBANCO ASSET - TACO</v>
          </cell>
        </row>
        <row r="20021">
          <cell r="B20021">
            <v>81380</v>
          </cell>
          <cell r="C20021" t="str">
            <v>BANCO TOPAZIO S.A.</v>
          </cell>
          <cell r="D20021" t="str">
            <v>BANCO TOPAZIO S.A.</v>
          </cell>
          <cell r="E20021" t="str">
            <v>BANCO TOPAZIO S/A</v>
          </cell>
        </row>
        <row r="20022">
          <cell r="B20022">
            <v>81383</v>
          </cell>
          <cell r="C20022" t="str">
            <v>VISTA MASTER FUNDO DE INVESTIMENTO EM AÃ‡Ã•ES</v>
          </cell>
          <cell r="D20022" t="str">
            <v>VISTA MASTER FUNDO DE INVESTIMENTO EM AÃ‡Ã•ES</v>
          </cell>
          <cell r="E20022" t="str">
            <v>VISTA CAPITAL GESTORA DE RECURSOS LTDA</v>
          </cell>
        </row>
        <row r="20023">
          <cell r="B20023">
            <v>81383</v>
          </cell>
          <cell r="C20023" t="str">
            <v>VISTA MASTER FUNDO DE INVESTIMENTO EM AÃ‡Ã•ES</v>
          </cell>
          <cell r="D20023" t="str">
            <v>VISTA MASTER FUNDO DE INVESTIMENTO EM AÃ‡Ã•ES</v>
          </cell>
          <cell r="E20023" t="str">
            <v>VISTA CAPITAL GESTORA DE RECURSOS LTDA</v>
          </cell>
        </row>
        <row r="20024">
          <cell r="B20024">
            <v>81384</v>
          </cell>
          <cell r="C20024" t="str">
            <v>SANTANDER PREV SELECAO 70 MULTIMERCADO FUNDO DE INVESTIMENTO</v>
          </cell>
          <cell r="D20024" t="str">
            <v>SANTANDER PREV SELECAO 70 MULTIMERCADO FUNDO DE INVESTIMENTO</v>
          </cell>
          <cell r="E20024" t="str">
            <v>SANTANDER BRASIL GESTAO DE RECURSOS LTDA</v>
          </cell>
        </row>
        <row r="20025">
          <cell r="B20025">
            <v>81385</v>
          </cell>
          <cell r="C20025" t="str">
            <v>VISTA FOCUS FIA</v>
          </cell>
          <cell r="D20025" t="str">
            <v>VISTA FOCUS FIA</v>
          </cell>
          <cell r="E20025" t="str">
            <v>VISTA CAPITAL GESTORA DE RECURSOS LTDA</v>
          </cell>
        </row>
        <row r="20026">
          <cell r="B20026">
            <v>81386</v>
          </cell>
          <cell r="C20026" t="str">
            <v>VISTA LB PREV M FIM</v>
          </cell>
          <cell r="D20026" t="str">
            <v>VISTA LB PREV M FIM</v>
          </cell>
          <cell r="E20026" t="str">
            <v>VISTA CAPITAL GESTORA DE RECURSOS LTDA</v>
          </cell>
        </row>
        <row r="20027">
          <cell r="B20027">
            <v>81385</v>
          </cell>
          <cell r="C20027" t="str">
            <v>VISTA FOCUS FIA</v>
          </cell>
          <cell r="D20027" t="str">
            <v>VISTA FOCUS FIA</v>
          </cell>
          <cell r="E20027" t="str">
            <v>VISTA CAPITAL GESTORA DE RECURSOS LTDA</v>
          </cell>
        </row>
        <row r="20028">
          <cell r="B20028">
            <v>81386</v>
          </cell>
          <cell r="C20028" t="str">
            <v>VISTA LB PREV M FIM</v>
          </cell>
          <cell r="D20028" t="str">
            <v>VISTA LB PREV M FIM</v>
          </cell>
          <cell r="E20028" t="str">
            <v>VISTA CAPITAL GESTORA DE RECURSOS LTDA</v>
          </cell>
        </row>
        <row r="20029">
          <cell r="B20029">
            <v>81387</v>
          </cell>
          <cell r="C20029" t="str">
            <v>UNDIAMO FIM</v>
          </cell>
          <cell r="D20029" t="str">
            <v>UNDIAMO FIM</v>
          </cell>
          <cell r="E20029" t="str">
            <v>JULIUS BAER FAMILY OFFICE BRASIL GESTAO DE PATRIMONIO LTDA</v>
          </cell>
        </row>
        <row r="20030">
          <cell r="B20030">
            <v>81388</v>
          </cell>
          <cell r="C20030" t="str">
            <v>EWBANK FIM CRPR IE</v>
          </cell>
          <cell r="D20030" t="str">
            <v>EWBANK FIM CRPR IE</v>
          </cell>
          <cell r="E20030" t="str">
            <v>JULIUS BAER FAMILY OFFICE BRASIL GESTAO DE PATRIMONIO LTDA</v>
          </cell>
        </row>
        <row r="20031">
          <cell r="B20031">
            <v>81387</v>
          </cell>
          <cell r="C20031" t="str">
            <v>UNDIAMO FIM</v>
          </cell>
          <cell r="D20031" t="str">
            <v>UNDIAMO FIM</v>
          </cell>
          <cell r="E20031" t="str">
            <v>JULIUS BAER FAMILY OFFICE BRASIL GESTAO DE PATRIMONIO LTDA</v>
          </cell>
        </row>
        <row r="20032">
          <cell r="B20032">
            <v>81388</v>
          </cell>
          <cell r="C20032" t="str">
            <v>EWBANK FIM CRPR IE</v>
          </cell>
          <cell r="D20032" t="str">
            <v>EWBANK FIM CRPR IE</v>
          </cell>
          <cell r="E20032" t="str">
            <v>JULIUS BAER FAMILY OFFICE BRASIL GESTAO DE PATRIMONIO LTDA</v>
          </cell>
        </row>
        <row r="20033">
          <cell r="B20033">
            <v>125739</v>
          </cell>
          <cell r="C20033" t="str">
            <v>BB GESTAO DE RECURSOS DTVM LTDA</v>
          </cell>
          <cell r="D20033" t="str">
            <v>BB GESTAO DE RECURSOS DTVM LTDA</v>
          </cell>
          <cell r="E20033" t="str">
            <v>BB GESTAO DE RECURSOS DTVM LTDA</v>
          </cell>
        </row>
        <row r="20034">
          <cell r="B20034">
            <v>81389</v>
          </cell>
          <cell r="C20034" t="str">
            <v>FUNDO DE PREVIDENCIA DO MUNICIPIO DE LAGES</v>
          </cell>
          <cell r="D20034" t="str">
            <v>FUNDO DE PREVIDENCIA DO MUNICIPIO DE LAGES</v>
          </cell>
          <cell r="E20034" t="str">
            <v>FUNDO DE PREVIDENCIA DO MUNICIPIO DE LAGES</v>
          </cell>
        </row>
        <row r="20035">
          <cell r="B20035">
            <v>81389</v>
          </cell>
          <cell r="C20035" t="str">
            <v>FUNDO DE PREVIDENCIA DO MUNICIPIO DE LAGES</v>
          </cell>
          <cell r="D20035" t="str">
            <v>FUNDO DE PREVIDENCIA DO MUNICIPIO DE LAGES</v>
          </cell>
          <cell r="E20035" t="str">
            <v>FUNDO DE PREVIDENCIA DO MUNICIPIO DE LAGES</v>
          </cell>
        </row>
        <row r="20036">
          <cell r="B20036">
            <v>81391</v>
          </cell>
          <cell r="C20036" t="str">
            <v>PORTO SEGURO AÃ‡Ã•ES MASTER FUNDO DE INVESTIMENTO PREVIDENCIÃR</v>
          </cell>
          <cell r="D20036" t="str">
            <v>PORTO SEGURO AÃ‡Ã•ES MASTER FUNDO DE INVESTIMENTO PREVIDENCIÃR</v>
          </cell>
          <cell r="E20036" t="str">
            <v>PORTO SEGURO INVESTIMENTOS LTDA</v>
          </cell>
        </row>
        <row r="20037">
          <cell r="B20037">
            <v>81391</v>
          </cell>
          <cell r="C20037" t="str">
            <v>PORTO SEGURO AÃ‡Ã•ES MASTER FUNDO DE INVESTIMENTO PREVIDENCIÃR</v>
          </cell>
          <cell r="D20037" t="str">
            <v>PORTO SEGURO AÃ‡Ã•ES MASTER FUNDO DE INVESTIMENTO PREVIDENCIÃR</v>
          </cell>
          <cell r="E20037" t="str">
            <v>PORTO SEGURO INVESTIMENTOS LTDA</v>
          </cell>
        </row>
        <row r="20038">
          <cell r="B20038">
            <v>81390</v>
          </cell>
          <cell r="C20038" t="str">
            <v>CREDIT AGRICOLE CORPORATE AND INVESTMENT BANK</v>
          </cell>
          <cell r="D20038" t="str">
            <v>CREDIT AGRICOLE CORPORATE AND INVESTMENT BANK</v>
          </cell>
          <cell r="E20038" t="str">
            <v>BANCO CREDIT AGRICOLE BRASIL S/A</v>
          </cell>
        </row>
        <row r="20039">
          <cell r="B20039">
            <v>125740</v>
          </cell>
          <cell r="C20039" t="str">
            <v>BB GESTAO DE RECURSOS DTVM LTDA</v>
          </cell>
          <cell r="D20039" t="str">
            <v>BB GESTAO DE RECURSOS DTVM LTDA</v>
          </cell>
          <cell r="E20039" t="str">
            <v>BB GESTAO DE RECURSOS DTVM LTDA</v>
          </cell>
        </row>
        <row r="20040">
          <cell r="B20040">
            <v>81392</v>
          </cell>
          <cell r="C20040" t="str">
            <v>PORTO SEGURO CARAVELAS FUNDO DE INVESTIMENTO MULTIMERCADO CR</v>
          </cell>
          <cell r="D20040" t="str">
            <v>PORTO SEGURO CARAVELAS FUNDO DE INVESTIMENTO MULTIMERCADO CR</v>
          </cell>
          <cell r="E20040" t="str">
            <v>PORTO SEGURO INVESTIMENTOS LTDA</v>
          </cell>
        </row>
        <row r="20041">
          <cell r="B20041">
            <v>81392</v>
          </cell>
          <cell r="C20041" t="str">
            <v>PORTO SEGURO CARAVELAS FUNDO DE INVESTIMENTO MULTIMERCADO CR</v>
          </cell>
          <cell r="D20041" t="str">
            <v>PORTO SEGURO CARAVELAS FUNDO DE INVESTIMENTO MULTIMERCADO CR</v>
          </cell>
          <cell r="E20041" t="str">
            <v>PORTO SEGURO INVESTIMENTOS LTDA</v>
          </cell>
        </row>
        <row r="20042">
          <cell r="B20042">
            <v>81393</v>
          </cell>
          <cell r="C20042" t="str">
            <v>PORTO SEGURO EMPRESARIAL RENDA FIXA FUNDO DE INVESTIMENTO CR</v>
          </cell>
          <cell r="D20042" t="str">
            <v>PORTO SEGURO EMPRESARIAL RENDA FIXA FUNDO DE INVESTIMENTO CR</v>
          </cell>
          <cell r="E20042" t="str">
            <v>PORTO SEGURO INVESTIMENTOS LTDA</v>
          </cell>
        </row>
        <row r="20043">
          <cell r="B20043">
            <v>81393</v>
          </cell>
          <cell r="C20043" t="str">
            <v>PORTO SEGURO EMPRESARIAL RENDA FIXA FUNDO DE INVESTIMENTO CR</v>
          </cell>
          <cell r="D20043" t="str">
            <v>PORTO SEGURO EMPRESARIAL RENDA FIXA FUNDO DE INVESTIMENTO CR</v>
          </cell>
          <cell r="E20043" t="str">
            <v>PORTO SEGURO INVESTIMENTOS LTDA</v>
          </cell>
        </row>
        <row r="20044">
          <cell r="B20044">
            <v>81394</v>
          </cell>
          <cell r="C20044" t="str">
            <v>PORTO SEGURO MACRO MASTER FUNDO DE INVESTIMENTO MULTIMERCADO</v>
          </cell>
          <cell r="D20044" t="str">
            <v>PORTO SEGURO MACRO MASTER FUNDO DE INVESTIMENTO MULTIMERCADO</v>
          </cell>
          <cell r="E20044" t="str">
            <v>PORTO SEGURO INVESTIMENTOS LTDA</v>
          </cell>
        </row>
        <row r="20045">
          <cell r="B20045">
            <v>81394</v>
          </cell>
          <cell r="C20045" t="str">
            <v>PORTO SEGURO MACRO MASTER FUNDO DE INVESTIMENTO MULTIMERCADO</v>
          </cell>
          <cell r="D20045" t="str">
            <v>PORTO SEGURO MACRO MASTER FUNDO DE INVESTIMENTO MULTIMERCADO</v>
          </cell>
          <cell r="E20045" t="str">
            <v>PORTO SEGURO INVESTIMENTOS LTDA</v>
          </cell>
        </row>
        <row r="20046">
          <cell r="B20046">
            <v>81395</v>
          </cell>
          <cell r="C20046" t="str">
            <v>PORTO SEGURO MÃSTER FUNDO DE INVESTIMENTO EM AÃ‡Ã•ES</v>
          </cell>
          <cell r="D20046" t="str">
            <v>PORTO SEGURO MÃSTER FUNDO DE INVESTIMENTO EM AÃ‡Ã•ES</v>
          </cell>
          <cell r="E20046" t="str">
            <v>PORTO SEGURO INVESTIMENTOS LTDA</v>
          </cell>
        </row>
        <row r="20047">
          <cell r="B20047">
            <v>81395</v>
          </cell>
          <cell r="C20047" t="str">
            <v>PORTO SEGURO MÃSTER FUNDO DE INVESTIMENTO EM AÃ‡Ã•ES</v>
          </cell>
          <cell r="D20047" t="str">
            <v>PORTO SEGURO MÃSTER FUNDO DE INVESTIMENTO EM AÃ‡Ã•ES</v>
          </cell>
          <cell r="E20047" t="str">
            <v>PORTO SEGURO INVESTIMENTOS LTDA</v>
          </cell>
        </row>
        <row r="20048">
          <cell r="B20048">
            <v>81396</v>
          </cell>
          <cell r="C20048" t="str">
            <v>PORTO SEGURO PREVIDÃŠNCIA PRIVADA MASTER - FUNDO DE INVESTIME</v>
          </cell>
          <cell r="D20048" t="str">
            <v>PORTO SEGURO PREVIDÃŠNCIA PRIVADA MASTER - FUNDO DE INVESTIME</v>
          </cell>
          <cell r="E20048" t="str">
            <v>PORTO SEGURO PREVIDÃŠNCIA PRIVADA MASTER - FUNDO DE INVESTIME</v>
          </cell>
        </row>
        <row r="20049">
          <cell r="B20049">
            <v>81396</v>
          </cell>
          <cell r="C20049" t="str">
            <v>PORTO SEGURO PREVIDÃŠNCIA PRIVADA MASTER - FUNDO DE INVESTIME</v>
          </cell>
          <cell r="D20049" t="str">
            <v>PORTO SEGURO PREVIDÃŠNCIA PRIVADA MASTER - FUNDO DE INVESTIME</v>
          </cell>
          <cell r="E20049" t="str">
            <v>PORTO SEGURO PREVIDÃŠNCIA PRIVADA MASTER - FUNDO DE INVESTIME</v>
          </cell>
        </row>
        <row r="20050">
          <cell r="B20050">
            <v>81397</v>
          </cell>
          <cell r="C20050" t="str">
            <v>PORTO SEGURO RENDA FIXA MASTER FUNDO DE INVESTIMENTO PREVIDE</v>
          </cell>
          <cell r="D20050" t="str">
            <v>PORTO SEGURO RENDA FIXA MASTER FUNDO DE INVESTIMENTO PREVIDE</v>
          </cell>
          <cell r="E20050" t="str">
            <v>PORTO SEGURO INVESTIMENTOS LTDA</v>
          </cell>
        </row>
        <row r="20051">
          <cell r="B20051">
            <v>81397</v>
          </cell>
          <cell r="C20051" t="str">
            <v>PORTO SEGURO RENDA FIXA MASTER FUNDO DE INVESTIMENTO PREVIDE</v>
          </cell>
          <cell r="D20051" t="str">
            <v>PORTO SEGURO RENDA FIXA MASTER FUNDO DE INVESTIMENTO PREVIDE</v>
          </cell>
          <cell r="E20051" t="str">
            <v>PORTO SEGURO INVESTIMENTOS LTDA</v>
          </cell>
        </row>
        <row r="20052">
          <cell r="B20052">
            <v>81398</v>
          </cell>
          <cell r="C20052" t="str">
            <v>PORTO SEGURO RENDA FIXA MASTER PREVIDENCIA PRIVADA FUNDO DE</v>
          </cell>
          <cell r="D20052" t="str">
            <v>PORTO SEGURO RENDA FIXA MASTER PREVIDENCIA PRIVADA FUNDO DE</v>
          </cell>
          <cell r="E20052" t="str">
            <v>PORTO SEGURO INVESTIMENTOS LTDA</v>
          </cell>
        </row>
        <row r="20053">
          <cell r="B20053">
            <v>81398</v>
          </cell>
          <cell r="C20053" t="str">
            <v>PORTO SEGURO RENDA FIXA MASTER PREVIDENCIA PRIVADA FUNDO DE</v>
          </cell>
          <cell r="D20053" t="str">
            <v>PORTO SEGURO RENDA FIXA MASTER PREVIDENCIA PRIVADA FUNDO DE</v>
          </cell>
          <cell r="E20053" t="str">
            <v>PORTO SEGURO INVESTIMENTOS LTDA</v>
          </cell>
        </row>
        <row r="20054">
          <cell r="B20054">
            <v>81399</v>
          </cell>
          <cell r="C20054" t="str">
            <v>POLO ENDURANCE FUNDO DE INVESTIMENTO MULTIMERCADO</v>
          </cell>
          <cell r="D20054" t="str">
            <v>POLO ENDURANCE FUNDO DE INVESTIMENTO MULTIMERCADO</v>
          </cell>
          <cell r="E20054" t="str">
            <v>POLO CAPITAL GESTÃO DE RECURSOS LTDA</v>
          </cell>
        </row>
        <row r="20055">
          <cell r="B20055">
            <v>81400</v>
          </cell>
          <cell r="C20055" t="str">
            <v>ITAU UNIBANCO S.A.</v>
          </cell>
          <cell r="D20055" t="str">
            <v>ITAU UNIBANCO S.A.</v>
          </cell>
          <cell r="E20055" t="str">
            <v>ITAU UNIBANCO ASSET - DELTA</v>
          </cell>
        </row>
        <row r="20056">
          <cell r="B20056">
            <v>81400</v>
          </cell>
          <cell r="C20056" t="str">
            <v>ITAU UNIBANCO S.A.</v>
          </cell>
          <cell r="D20056" t="str">
            <v>ITAU UNIBANCO S.A.</v>
          </cell>
          <cell r="E20056" t="str">
            <v>ITAU UNIBANCO ASSET - DELTA</v>
          </cell>
        </row>
        <row r="20057">
          <cell r="B20057">
            <v>81401</v>
          </cell>
          <cell r="C20057" t="str">
            <v>APEX EQUITY HEDGE FUNDO DE INVESTIMENTO MULTIMERCADO PREV</v>
          </cell>
          <cell r="D20057" t="str">
            <v>APEX EQUITY HEDGE FUNDO DE INVESTIMENTO MULTIMERCADO PREV</v>
          </cell>
          <cell r="E20057" t="str">
            <v>APEX CAPITAL LTDA</v>
          </cell>
        </row>
        <row r="20058">
          <cell r="B20058">
            <v>81401</v>
          </cell>
          <cell r="C20058" t="str">
            <v>APEX EQUITY HEDGE FUNDO DE INVESTIMENTO MULTIMERCADO PREV</v>
          </cell>
          <cell r="D20058" t="str">
            <v>APEX EQUITY HEDGE FUNDO DE INVESTIMENTO MULTIMERCADO PREV</v>
          </cell>
          <cell r="E20058" t="str">
            <v>APEX CAPITAL LTDA</v>
          </cell>
        </row>
        <row r="20059">
          <cell r="B20059">
            <v>81402</v>
          </cell>
          <cell r="C20059" t="str">
            <v>APEX EQUITY HEDGE FUNDO DE INVESTIMENTO MULTIMERCADO PREV</v>
          </cell>
          <cell r="D20059" t="str">
            <v>APEX EQUITY HEDGE FUNDO DE INVESTIMENTO MULTIMERCADO PREV</v>
          </cell>
          <cell r="E20059" t="str">
            <v>APEX CAPITAL LTDA</v>
          </cell>
        </row>
        <row r="20060">
          <cell r="B20060">
            <v>81403</v>
          </cell>
          <cell r="C20060" t="str">
            <v>APEX EQUITY HEDGE FUNDO DE INVESTIMENTO MULTIMERCADO PREV</v>
          </cell>
          <cell r="D20060" t="str">
            <v>APEX EQUITY HEDGE FUNDO DE INVESTIMENTO MULTIMERCADO PREV</v>
          </cell>
          <cell r="E20060" t="str">
            <v>APEX CAPITAL LTDA</v>
          </cell>
        </row>
        <row r="20061">
          <cell r="B20061">
            <v>81402</v>
          </cell>
          <cell r="C20061" t="str">
            <v>APEX EQUITY HEDGE FUNDO DE INVESTIMENTO MULTIMERCADO PREV</v>
          </cell>
          <cell r="D20061" t="str">
            <v>APEX EQUITY HEDGE FUNDO DE INVESTIMENTO MULTIMERCADO PREV</v>
          </cell>
          <cell r="E20061" t="str">
            <v>APEX CAPITAL LTDA</v>
          </cell>
        </row>
        <row r="20062">
          <cell r="B20062">
            <v>81403</v>
          </cell>
          <cell r="C20062" t="str">
            <v>APEX EQUITY HEDGE FUNDO DE INVESTIMENTO MULTIMERCADO PREV</v>
          </cell>
          <cell r="D20062" t="str">
            <v>APEX EQUITY HEDGE FUNDO DE INVESTIMENTO MULTIMERCADO PREV</v>
          </cell>
          <cell r="E20062" t="str">
            <v>APEX CAPITAL LTDA</v>
          </cell>
        </row>
        <row r="20063">
          <cell r="B20063">
            <v>81404</v>
          </cell>
          <cell r="C20063" t="str">
            <v>GARDE PARIS ICATU FIFE FUNDO DE INVESTIMENTO MULTIMERCADO</v>
          </cell>
          <cell r="D20063" t="str">
            <v>GARDE PARIS ICATU FIFE FUNDO DE INVESTIMENTO MULTIMERCADO</v>
          </cell>
          <cell r="E20063" t="str">
            <v>GARDE ASSET MANAGEMENT GESTAO DE RECURSOS LTDA</v>
          </cell>
        </row>
        <row r="20064">
          <cell r="B20064">
            <v>81404</v>
          </cell>
          <cell r="C20064" t="str">
            <v>GARDE PARIS ICATU FIFE FUNDO DE INVESTIMENTO MULTIMERCADO</v>
          </cell>
          <cell r="D20064" t="str">
            <v>GARDE PARIS ICATU FIFE FUNDO DE INVESTIMENTO MULTIMERCADO</v>
          </cell>
          <cell r="E20064" t="str">
            <v>GARDE ASSET MANAGEMENT GESTAO DE RECURSOS LTDA</v>
          </cell>
        </row>
        <row r="20065">
          <cell r="B20065">
            <v>81405</v>
          </cell>
          <cell r="C20065" t="str">
            <v>NEOLUBES INDUSTRIA DE LUBRIFICANTES LTDA</v>
          </cell>
          <cell r="D20065" t="str">
            <v>NEOLUBES INDUSTRIA DE LUBRIFICANTES LTDA</v>
          </cell>
          <cell r="E20065" t="str">
            <v>RAIZEN CENTRO SUL SA</v>
          </cell>
        </row>
        <row r="20066">
          <cell r="B20066">
            <v>81405</v>
          </cell>
          <cell r="C20066" t="str">
            <v>NEOLUBES INDUSTRIA DE LUBRIFICANTES LTDA</v>
          </cell>
          <cell r="D20066" t="str">
            <v>NEOLUBES INDUSTRIA DE LUBRIFICANTES LTDA</v>
          </cell>
          <cell r="E20066" t="str">
            <v>RAIZEN CENTRO SUL SA</v>
          </cell>
        </row>
        <row r="20067">
          <cell r="B20067">
            <v>122554</v>
          </cell>
          <cell r="C20067" t="str">
            <v>IBIUNA HEDGE FIM</v>
          </cell>
          <cell r="D20067" t="str">
            <v>IBIUNA HEDGE FIM</v>
          </cell>
          <cell r="E20067" t="str">
            <v>IBIUNA GESTAO DE RECURSOS LTDA</v>
          </cell>
        </row>
        <row r="20068">
          <cell r="B20068">
            <v>81407</v>
          </cell>
          <cell r="C20068" t="str">
            <v>KAPITALO ZETA MASTER FUNDO DE INVESTIMENTO EM AÃ‡Ã•ES</v>
          </cell>
          <cell r="D20068" t="str">
            <v>KAPITALO ZETA MASTER FUNDO DE INVESTIMENTO EM AÃ‡Ã•ES</v>
          </cell>
          <cell r="E20068" t="str">
            <v>KAPITALO INVESTIMENTOS LTDA</v>
          </cell>
        </row>
        <row r="20069">
          <cell r="B20069">
            <v>81408</v>
          </cell>
          <cell r="C20069" t="str">
            <v>STK CAPITAL GESTORA DE RECURSOS LTDA</v>
          </cell>
          <cell r="D20069">
            <v>81408</v>
          </cell>
          <cell r="E20069" t="str">
            <v>STK CAPITAL GESTORA DE RECURSOS LTDA</v>
          </cell>
        </row>
        <row r="20070">
          <cell r="B20070">
            <v>81408</v>
          </cell>
          <cell r="C20070" t="str">
            <v>STK CAPITAL GESTORA DE RECURSOS LTDA</v>
          </cell>
          <cell r="D20070">
            <v>81408</v>
          </cell>
          <cell r="E20070" t="str">
            <v>STK CAPITAL GESTORA DE RECURSOS LTDA</v>
          </cell>
        </row>
        <row r="20071">
          <cell r="B20071">
            <v>81409</v>
          </cell>
          <cell r="C20071" t="str">
            <v>DAUER CAPITAL INVESTIMENTOS LTDA</v>
          </cell>
          <cell r="D20071">
            <v>81409</v>
          </cell>
          <cell r="E20071" t="str">
            <v>AUTÃŠNTICO CAPITAL LTDA</v>
          </cell>
        </row>
        <row r="20072">
          <cell r="B20072">
            <v>81409</v>
          </cell>
          <cell r="C20072" t="str">
            <v>DAUER CAPITAL INVESTIMENTOS LTDA</v>
          </cell>
          <cell r="D20072">
            <v>81409</v>
          </cell>
          <cell r="E20072" t="str">
            <v>AUTÃŠNTICO CAPITAL LTDA</v>
          </cell>
        </row>
        <row r="20073">
          <cell r="B20073">
            <v>81411</v>
          </cell>
          <cell r="C20073" t="str">
            <v>STK CAPITAL GESTORA DE RECURSOS LTDA</v>
          </cell>
          <cell r="D20073" t="str">
            <v>STK CAPITAL GESTORA DE RECURSOS LTDA</v>
          </cell>
          <cell r="E20073" t="str">
            <v>STK CAPITAL GESTORA DE RECURSOS LTDA</v>
          </cell>
        </row>
        <row r="20074">
          <cell r="B20074">
            <v>81411</v>
          </cell>
          <cell r="C20074" t="str">
            <v>STK CAPITAL GESTORA DE RECURSOS LTDA</v>
          </cell>
          <cell r="D20074" t="str">
            <v>STK CAPITAL GESTORA DE RECURSOS LTDA</v>
          </cell>
          <cell r="E20074" t="str">
            <v>STK CAPITAL GESTORA DE RECURSOS LTDA</v>
          </cell>
        </row>
        <row r="20075">
          <cell r="B20075">
            <v>81412</v>
          </cell>
          <cell r="C20075" t="str">
            <v>DAUER CAPITAL INVESTIMENTOS LTDA</v>
          </cell>
          <cell r="D20075" t="str">
            <v>DAUER CAPITAL INVESTIMENTOS LTDA</v>
          </cell>
          <cell r="E20075" t="str">
            <v>AUTÃŠNTICO CAPITAL LTDA</v>
          </cell>
        </row>
        <row r="20076">
          <cell r="B20076">
            <v>81412</v>
          </cell>
          <cell r="C20076" t="str">
            <v>DAUER CAPITAL INVESTIMENTOS LTDA</v>
          </cell>
          <cell r="D20076" t="str">
            <v>DAUER CAPITAL INVESTIMENTOS LTDA</v>
          </cell>
          <cell r="E20076" t="str">
            <v>AUTÃŠNTICO CAPITAL LTDA</v>
          </cell>
        </row>
        <row r="20077">
          <cell r="B20077">
            <v>81413</v>
          </cell>
          <cell r="C20077" t="str">
            <v>VTR QR DEFI FUNDO DE INVESTIMENTO MULTIMERCADO INVESTIMENTO</v>
          </cell>
          <cell r="D20077" t="str">
            <v>VTR QR DEFI FUNDO DE INVESTIMENTO MULTIMERCADO INVESTIMENTO</v>
          </cell>
          <cell r="E20077" t="str">
            <v>EMPIRICUS GESTAO DE RECURSOS LTDA</v>
          </cell>
        </row>
        <row r="20078">
          <cell r="B20078">
            <v>81413</v>
          </cell>
          <cell r="C20078" t="str">
            <v>VTR QR DEFI FUNDO DE INVESTIMENTO MULTIMERCADO INVESTIMENTO</v>
          </cell>
          <cell r="D20078" t="str">
            <v>VTR QR DEFI FUNDO DE INVESTIMENTO MULTIMERCADO INVESTIMENTO</v>
          </cell>
          <cell r="E20078" t="str">
            <v>EMPIRICUS GESTAO DE RECURSOS LTDA</v>
          </cell>
        </row>
        <row r="20079">
          <cell r="B20079">
            <v>81414</v>
          </cell>
          <cell r="C20079" t="str">
            <v>VITREO ENERGIA LIMPA FUNDO DE INVESTIMENTO EM AÃ‡Ã•ES</v>
          </cell>
          <cell r="D20079" t="str">
            <v>VITREO ENERGIA LIMPA FUNDO DE INVESTIMENTO EM AÃ‡Ã•ES</v>
          </cell>
          <cell r="E20079" t="str">
            <v>EMPIRICUS GESTAO DE RECURSOS LTDA</v>
          </cell>
        </row>
        <row r="20080">
          <cell r="B20080">
            <v>81414</v>
          </cell>
          <cell r="C20080" t="str">
            <v>VITREO ENERGIA LIMPA FUNDO DE INVESTIMENTO EM AÃ‡Ã•ES</v>
          </cell>
          <cell r="D20080" t="str">
            <v>VITREO ENERGIA LIMPA FUNDO DE INVESTIMENTO EM AÃ‡Ã•ES</v>
          </cell>
          <cell r="E20080" t="str">
            <v>EMPIRICUS GESTAO DE RECURSOS LTDA</v>
          </cell>
        </row>
        <row r="20081">
          <cell r="B20081">
            <v>81415</v>
          </cell>
          <cell r="C20081" t="str">
            <v>EMPIRICUS CRIPTO PREVIDÃŠNCIA 20 FUNDO DE INVESTIMENTO MULTIM</v>
          </cell>
          <cell r="D20081" t="str">
            <v>EMPIRICUS CRIPTO PREVIDÃŠNCIA 20 FUNDO DE INVESTIMENTO MULTIM</v>
          </cell>
          <cell r="E20081" t="str">
            <v>EMPIRICUS GESTAO DE RECURSOS LTDA</v>
          </cell>
        </row>
        <row r="20082">
          <cell r="B20082">
            <v>81415</v>
          </cell>
          <cell r="C20082" t="str">
            <v>EMPIRICUS CRIPTO PREVIDÃŠNCIA 20 FUNDO DE INVESTIMENTO MULTIM</v>
          </cell>
          <cell r="D20082" t="str">
            <v>EMPIRICUS CRIPTO PREVIDÃŠNCIA 20 FUNDO DE INVESTIMENTO MULTIM</v>
          </cell>
          <cell r="E20082" t="str">
            <v>EMPIRICUS GESTAO DE RECURSOS LTDA</v>
          </cell>
        </row>
        <row r="20083">
          <cell r="B20083">
            <v>124870</v>
          </cell>
          <cell r="C20083" t="str">
            <v>ITAU FLEXPREV MASTER GD MULTIMERCADO FUNDO DE INVESTIMENTO</v>
          </cell>
          <cell r="D20083">
            <v>124870</v>
          </cell>
          <cell r="E20083" t="str">
            <v>ITAU FLEXPREV MASTER GD MULTIMERCADO FUNDO DE INVESTIMENTO</v>
          </cell>
        </row>
        <row r="20084">
          <cell r="B20084">
            <v>81432</v>
          </cell>
          <cell r="C20084" t="str">
            <v>ITAU FLEXPREV MASTER GD MULTIMERCADO FUNDO DE INVESTIMENTO</v>
          </cell>
          <cell r="D20084" t="str">
            <v>ITAU FLEXPREV MASTER GD MULTIMERCADO FUNDO DE INVESTIMENTO</v>
          </cell>
          <cell r="E20084" t="str">
            <v>ITAU UNIBANCO ASSET - TACO</v>
          </cell>
        </row>
        <row r="20085">
          <cell r="B20085">
            <v>81433</v>
          </cell>
          <cell r="C20085" t="str">
            <v>ITAU FLEXPREV MASTER GD MULTIMERCADO FUNDO DE INVESTIMENTO</v>
          </cell>
          <cell r="D20085" t="str">
            <v>ITAU FLEXPREV MASTER GD MULTIMERCADO FUNDO DE INVESTIMENTO</v>
          </cell>
          <cell r="E20085" t="str">
            <v>ITAU UNIBANCO ASSET - TACO</v>
          </cell>
        </row>
        <row r="20086">
          <cell r="B20086">
            <v>124870</v>
          </cell>
          <cell r="C20086" t="str">
            <v>ITAU FLEXPREV MASTER GD MULTIMERCADO FUNDO DE INVESTIMENTO</v>
          </cell>
          <cell r="D20086">
            <v>124870</v>
          </cell>
          <cell r="E20086" t="str">
            <v>ITAU FLEXPREV MASTER GD MULTIMERCADO FUNDO DE INVESTIMENTO</v>
          </cell>
        </row>
        <row r="20087">
          <cell r="B20087">
            <v>81434</v>
          </cell>
          <cell r="C20087" t="str">
            <v>ITAU FLEXPREV MASTER GD MULTIMERCADO FUNDO DE INVESTIMENTO</v>
          </cell>
          <cell r="D20087" t="str">
            <v>ITAU FLEXPREV MASTER GD MULTIMERCADO FUNDO DE INVESTIMENTO</v>
          </cell>
          <cell r="E20087" t="str">
            <v>ITAU UNIBANCO ASSET - TACO</v>
          </cell>
        </row>
        <row r="20088">
          <cell r="B20088">
            <v>81435</v>
          </cell>
          <cell r="C20088" t="str">
            <v>ITAU FLEXPREV MASTER GD MULTIMERCADO FUNDO DE INVESTIMENTO</v>
          </cell>
          <cell r="D20088" t="str">
            <v>ITAU FLEXPREV MASTER GD MULTIMERCADO FUNDO DE INVESTIMENTO</v>
          </cell>
          <cell r="E20088" t="str">
            <v>ITAU UNIBANCO ASSET - TACO</v>
          </cell>
        </row>
        <row r="20089">
          <cell r="B20089">
            <v>81436</v>
          </cell>
          <cell r="C20089" t="str">
            <v>ITAU FLEXPREV MASTER GD MULTIMERCADO FUNDO DE INVESTIMENTO</v>
          </cell>
          <cell r="D20089" t="str">
            <v>ITAU FLEXPREV MASTER GD MULTIMERCADO FUNDO DE INVESTIMENTO</v>
          </cell>
          <cell r="E20089" t="str">
            <v>ITAU UNIBANCO ASSET - TACO</v>
          </cell>
        </row>
        <row r="20090">
          <cell r="B20090">
            <v>81428</v>
          </cell>
          <cell r="C20090" t="str">
            <v>VITREO CRIPTOMOEDAS FIC DE FIM IE</v>
          </cell>
          <cell r="D20090" t="str">
            <v>VITREO CRIPTOMOEDAS FIC DE FIM IE</v>
          </cell>
          <cell r="E20090" t="str">
            <v>EMPIRICUS GESTAO DE RECURSOS LTDA</v>
          </cell>
        </row>
        <row r="20091">
          <cell r="B20091">
            <v>81428</v>
          </cell>
          <cell r="C20091" t="str">
            <v>VITREO CRIPTOMOEDAS FIC DE FIM IE</v>
          </cell>
          <cell r="D20091" t="str">
            <v>VITREO CRIPTOMOEDAS FIC DE FIM IE</v>
          </cell>
          <cell r="E20091" t="str">
            <v>EMPIRICUS GESTAO DE RECURSOS LTDA</v>
          </cell>
        </row>
        <row r="20092">
          <cell r="B20092">
            <v>81429</v>
          </cell>
          <cell r="C20092" t="str">
            <v>VITREO CRIPTOMOEDAS P FIC DE FIM IE</v>
          </cell>
          <cell r="D20092" t="str">
            <v>VITREO CRIPTOMOEDAS P FIC DE FIM IE</v>
          </cell>
          <cell r="E20092" t="str">
            <v>EMPIRICUS GESTAO DE RECURSOS LTDA</v>
          </cell>
        </row>
        <row r="20093">
          <cell r="B20093">
            <v>81429</v>
          </cell>
          <cell r="C20093" t="str">
            <v>VITREO CRIPTOMOEDAS P FIC DE FIM IE</v>
          </cell>
          <cell r="D20093" t="str">
            <v>VITREO CRIPTOMOEDAS P FIC DE FIM IE</v>
          </cell>
          <cell r="E20093" t="str">
            <v>EMPIRICUS GESTAO DE RECURSOS LTDA</v>
          </cell>
        </row>
        <row r="20094">
          <cell r="B20094">
            <v>81430</v>
          </cell>
          <cell r="C20094" t="str">
            <v>VITREO DEEP VALUE BRASIL FI AÃ‡Ã•ES</v>
          </cell>
          <cell r="D20094" t="str">
            <v>VITREO DEEP VALUE BRASIL FI AÃ‡Ã•ES</v>
          </cell>
          <cell r="E20094" t="str">
            <v>EMPIRICUS GESTAO DE RECURSOS LTDA</v>
          </cell>
        </row>
        <row r="20095">
          <cell r="B20095">
            <v>81430</v>
          </cell>
          <cell r="C20095" t="str">
            <v>VITREO DEEP VALUE BRASIL FI AÃ‡Ã•ES</v>
          </cell>
          <cell r="D20095" t="str">
            <v>VITREO DEEP VALUE BRASIL FI AÃ‡Ã•ES</v>
          </cell>
          <cell r="E20095" t="str">
            <v>EMPIRICUS GESTAO DE RECURSOS LTDA</v>
          </cell>
        </row>
        <row r="20096">
          <cell r="B20096">
            <v>81431</v>
          </cell>
          <cell r="C20096" t="str">
            <v>VITREO PRATA FUNDO DE INVESTIMENTO MULTIMERCADO</v>
          </cell>
          <cell r="D20096" t="str">
            <v>VITREO PRATA FUNDO DE INVESTIMENTO MULTIMERCADO</v>
          </cell>
          <cell r="E20096" t="str">
            <v>EMPIRICUS GESTAO DE RECURSOS LTDA</v>
          </cell>
        </row>
        <row r="20097">
          <cell r="B20097">
            <v>81431</v>
          </cell>
          <cell r="C20097" t="str">
            <v>VITREO PRATA FUNDO DE INVESTIMENTO MULTIMERCADO</v>
          </cell>
          <cell r="D20097" t="str">
            <v>VITREO PRATA FUNDO DE INVESTIMENTO MULTIMERCADO</v>
          </cell>
          <cell r="E20097" t="str">
            <v>EMPIRICUS GESTAO DE RECURSOS LTDA</v>
          </cell>
        </row>
        <row r="20098">
          <cell r="B20098">
            <v>81417</v>
          </cell>
          <cell r="C20098" t="str">
            <v>EMPIRICUS GLOBAL REAL RETURN PREV FIM</v>
          </cell>
          <cell r="D20098" t="str">
            <v>EMPIRICUS GLOBAL REAL RETURN PREV FIM</v>
          </cell>
          <cell r="E20098" t="str">
            <v>EMPIRICUS GESTAO DE RECURSOS LTDA</v>
          </cell>
        </row>
        <row r="20099">
          <cell r="B20099">
            <v>81417</v>
          </cell>
          <cell r="C20099" t="str">
            <v>EMPIRICUS GLOBAL REAL RETURN PREV FIM</v>
          </cell>
          <cell r="D20099" t="str">
            <v>EMPIRICUS GLOBAL REAL RETURN PREV FIM</v>
          </cell>
          <cell r="E20099" t="str">
            <v>EMPIRICUS GESTAO DE RECURSOS LTDA</v>
          </cell>
        </row>
        <row r="20100">
          <cell r="B20100">
            <v>81422</v>
          </cell>
          <cell r="C20100" t="str">
            <v>VITREO BEST IDEAS AÃ‡Ã•ES FI AÃ‡Ã•ES</v>
          </cell>
          <cell r="D20100" t="str">
            <v>VITREO BEST IDEAS AÃ‡Ã•ES FI AÃ‡Ã•ES</v>
          </cell>
          <cell r="E20100" t="str">
            <v>EMPIRICUS GESTAO DE RECURSOS LTDA</v>
          </cell>
        </row>
        <row r="20101">
          <cell r="B20101">
            <v>81422</v>
          </cell>
          <cell r="C20101" t="str">
            <v>VITREO BEST IDEAS AÃ‡Ã•ES FI AÃ‡Ã•ES</v>
          </cell>
          <cell r="D20101" t="str">
            <v>VITREO BEST IDEAS AÃ‡Ã•ES FI AÃ‡Ã•ES</v>
          </cell>
          <cell r="E20101" t="str">
            <v>EMPIRICUS GESTAO DE RECURSOS LTDA</v>
          </cell>
        </row>
        <row r="20102">
          <cell r="B20102">
            <v>81418</v>
          </cell>
          <cell r="C20102" t="str">
            <v>EMPIRICUS KIT BRASIL FUNDO DE INVESTIMENTO MULTIMERCADO</v>
          </cell>
          <cell r="D20102" t="str">
            <v>EMPIRICUS KIT BRASIL FUNDO DE INVESTIMENTO MULTIMERCADO</v>
          </cell>
          <cell r="E20102" t="str">
            <v>EMPIRICUS GESTAO DE RECURSOS LTDA</v>
          </cell>
        </row>
        <row r="20103">
          <cell r="B20103">
            <v>81419</v>
          </cell>
          <cell r="C20103" t="str">
            <v>EMPIRICUS OPORTUNIDADES DE UMA VIDA PREVIDENCIÃRIO FUNDO DE</v>
          </cell>
          <cell r="D20103" t="str">
            <v>EMPIRICUS OPORTUNIDADES DE UMA VIDA PREVIDENCIÃRIO FUNDO DE</v>
          </cell>
          <cell r="E20103" t="str">
            <v>EMPIRICUS GESTAO DE RECURSOS LTDA</v>
          </cell>
        </row>
        <row r="20104">
          <cell r="B20104">
            <v>81418</v>
          </cell>
          <cell r="C20104" t="str">
            <v>EMPIRICUS KIT BRASIL FUNDO DE INVESTIMENTO MULTIMERCADO</v>
          </cell>
          <cell r="D20104" t="str">
            <v>EMPIRICUS KIT BRASIL FUNDO DE INVESTIMENTO MULTIMERCADO</v>
          </cell>
          <cell r="E20104" t="str">
            <v>EMPIRICUS GESTAO DE RECURSOS LTDA</v>
          </cell>
        </row>
        <row r="20105">
          <cell r="B20105">
            <v>81419</v>
          </cell>
          <cell r="C20105" t="str">
            <v>EMPIRICUS OPORTUNIDADES DE UMA VIDA PREVIDENCIÃRIO FUNDO DE</v>
          </cell>
          <cell r="D20105" t="str">
            <v>EMPIRICUS OPORTUNIDADES DE UMA VIDA PREVIDENCIÃRIO FUNDO DE</v>
          </cell>
          <cell r="E20105" t="str">
            <v>EMPIRICUS GESTAO DE RECURSOS LTDA</v>
          </cell>
        </row>
        <row r="20106">
          <cell r="B20106">
            <v>81416</v>
          </cell>
          <cell r="C20106" t="str">
            <v>EMPIRICUS FOF MELHORES FUNDOS CONSERVADOR FI EM COTAS DE FI</v>
          </cell>
          <cell r="D20106" t="str">
            <v>EMPIRICUS FOF MELHORES FUNDOS CONSERVADOR FI EM COTAS DE FI</v>
          </cell>
          <cell r="E20106" t="str">
            <v>EMPIRICUS GESTAO DE RECURSOS LTDA</v>
          </cell>
        </row>
        <row r="20107">
          <cell r="B20107">
            <v>81416</v>
          </cell>
          <cell r="C20107" t="str">
            <v>EMPIRICUS FOF MELHORES FUNDOS CONSERVADOR FI EM COTAS DE FI</v>
          </cell>
          <cell r="D20107" t="str">
            <v>EMPIRICUS FOF MELHORES FUNDOS CONSERVADOR FI EM COTAS DE FI</v>
          </cell>
          <cell r="E20107" t="str">
            <v>EMPIRICUS GESTAO DE RECURSOS LTDA</v>
          </cell>
        </row>
        <row r="20108">
          <cell r="B20108">
            <v>81420</v>
          </cell>
          <cell r="C20108" t="str">
            <v>INTER VITREO DUPLO ALPHA FUNDO DE INVESTIMENTO EM ACOES</v>
          </cell>
          <cell r="D20108" t="str">
            <v>INTER VITREO DUPLO ALPHA FUNDO DE INVESTIMENTO EM ACOES</v>
          </cell>
          <cell r="E20108" t="str">
            <v>EMPIRICUS GESTAO DE RECURSOS LTDA</v>
          </cell>
        </row>
        <row r="20109">
          <cell r="B20109">
            <v>81420</v>
          </cell>
          <cell r="C20109" t="str">
            <v>INTER VITREO DUPLO ALPHA FUNDO DE INVESTIMENTO EM ACOES</v>
          </cell>
          <cell r="D20109" t="str">
            <v>INTER VITREO DUPLO ALPHA FUNDO DE INVESTIMENTO EM ACOES</v>
          </cell>
          <cell r="E20109" t="str">
            <v>EMPIRICUS GESTAO DE RECURSOS LTDA</v>
          </cell>
        </row>
        <row r="20110">
          <cell r="B20110">
            <v>81421</v>
          </cell>
          <cell r="C20110" t="str">
            <v>MEJORADO FUNDO DE INVESTIMENTO MULTIMERCADO CRÃ‰DITO PRIVADO</v>
          </cell>
          <cell r="D20110" t="str">
            <v>MEJORADO FUNDO DE INVESTIMENTO MULTIMERCADO CRÃ‰DITO PRIVADO</v>
          </cell>
          <cell r="E20110" t="str">
            <v>EMPIRICUS GESTAO DE RECURSOS LTDA</v>
          </cell>
        </row>
        <row r="20111">
          <cell r="B20111">
            <v>81421</v>
          </cell>
          <cell r="C20111" t="str">
            <v>MEJORADO FUNDO DE INVESTIMENTO MULTIMERCADO CRÃ‰DITO PRIVADO</v>
          </cell>
          <cell r="D20111" t="str">
            <v>MEJORADO FUNDO DE INVESTIMENTO MULTIMERCADO CRÃ‰DITO PRIVADO</v>
          </cell>
          <cell r="E20111" t="str">
            <v>EMPIRICUS GESTAO DE RECURSOS LTDA</v>
          </cell>
        </row>
        <row r="20112">
          <cell r="B20112">
            <v>81424</v>
          </cell>
          <cell r="C20112" t="str">
            <v>VITREO COBRE FI MULTIMERCADO</v>
          </cell>
          <cell r="D20112" t="str">
            <v>VITREO COBRE FI MULTIMERCADO</v>
          </cell>
          <cell r="E20112" t="str">
            <v>EMPIRICUS GESTAO DE RECURSOS LTDA</v>
          </cell>
        </row>
        <row r="20113">
          <cell r="B20113">
            <v>81424</v>
          </cell>
          <cell r="C20113" t="str">
            <v>VITREO COBRE FI MULTIMERCADO</v>
          </cell>
          <cell r="D20113" t="str">
            <v>VITREO COBRE FI MULTIMERCADO</v>
          </cell>
          <cell r="E20113" t="str">
            <v>EMPIRICUS GESTAO DE RECURSOS LTDA</v>
          </cell>
        </row>
        <row r="20114">
          <cell r="B20114">
            <v>81425</v>
          </cell>
          <cell r="C20114" t="str">
            <v>VITREO COIN CRIPTO FI MULTIMERCADO</v>
          </cell>
          <cell r="D20114" t="str">
            <v>VITREO COIN CRIPTO FI MULTIMERCADO</v>
          </cell>
          <cell r="E20114" t="str">
            <v>EMPIRICUS GESTAO DE RECURSOS LTDA</v>
          </cell>
        </row>
        <row r="20115">
          <cell r="B20115">
            <v>81425</v>
          </cell>
          <cell r="C20115" t="str">
            <v>VITREO COIN CRIPTO FI MULTIMERCADO</v>
          </cell>
          <cell r="D20115" t="str">
            <v>VITREO COIN CRIPTO FI MULTIMERCADO</v>
          </cell>
          <cell r="E20115" t="str">
            <v>EMPIRICUS GESTAO DE RECURSOS LTDA</v>
          </cell>
        </row>
        <row r="20116">
          <cell r="B20116">
            <v>81426</v>
          </cell>
          <cell r="C20116" t="str">
            <v>VITREO CRIPTO DEFI INVESTIMENTO NO EXTERIOR FIC MULTIMERCADO</v>
          </cell>
          <cell r="D20116" t="str">
            <v>VITREO CRIPTO DEFI INVESTIMENTO NO EXTERIOR FIC MULTIMERCADO</v>
          </cell>
          <cell r="E20116" t="str">
            <v>EMPIRICUS GESTAO DE RECURSOS LTDA</v>
          </cell>
        </row>
        <row r="20117">
          <cell r="B20117">
            <v>81426</v>
          </cell>
          <cell r="C20117" t="str">
            <v>VITREO CRIPTO DEFI INVESTIMENTO NO EXTERIOR FIC MULTIMERCADO</v>
          </cell>
          <cell r="D20117" t="str">
            <v>VITREO CRIPTO DEFI INVESTIMENTO NO EXTERIOR FIC MULTIMERCADO</v>
          </cell>
          <cell r="E20117" t="str">
            <v>EMPIRICUS GESTAO DE RECURSOS LTDA</v>
          </cell>
        </row>
        <row r="20118">
          <cell r="B20118">
            <v>81427</v>
          </cell>
          <cell r="C20118" t="str">
            <v>VITREO CRIPTO METALS BLEND FIC MULTIMERCADO</v>
          </cell>
          <cell r="D20118" t="str">
            <v>VITREO CRIPTO METALS BLEND FIC MULTIMERCADO</v>
          </cell>
          <cell r="E20118" t="str">
            <v>EMPIRICUS GESTAO DE RECURSOS LTDA</v>
          </cell>
        </row>
        <row r="20119">
          <cell r="B20119">
            <v>81427</v>
          </cell>
          <cell r="C20119" t="str">
            <v>VITREO CRIPTO METALS BLEND FIC MULTIMERCADO</v>
          </cell>
          <cell r="D20119" t="str">
            <v>VITREO CRIPTO METALS BLEND FIC MULTIMERCADO</v>
          </cell>
          <cell r="E20119" t="str">
            <v>EMPIRICUS GESTAO DE RECURSOS LTDA</v>
          </cell>
        </row>
        <row r="20120">
          <cell r="B20120">
            <v>81423</v>
          </cell>
          <cell r="C20120" t="str">
            <v>VITREO CANNABIS ATIVO FUNDO DE INVESTIMENTO MULTIMERCADO</v>
          </cell>
          <cell r="D20120" t="str">
            <v>VITREO CANNABIS ATIVO FUNDO DE INVESTIMENTO MULTIMERCADO</v>
          </cell>
          <cell r="E20120" t="str">
            <v>EMPIRICUS GESTAO DE RECURSOS LTDA</v>
          </cell>
        </row>
        <row r="20121">
          <cell r="B20121">
            <v>81423</v>
          </cell>
          <cell r="C20121" t="str">
            <v>VITREO CANNABIS ATIVO FUNDO DE INVESTIMENTO MULTIMERCADO</v>
          </cell>
          <cell r="D20121" t="str">
            <v>VITREO CANNABIS ATIVO FUNDO DE INVESTIMENTO MULTIMERCADO</v>
          </cell>
          <cell r="E20121" t="str">
            <v>EMPIRICUS GESTAO DE RECURSOS LTDA</v>
          </cell>
        </row>
        <row r="20122">
          <cell r="B20122">
            <v>81437</v>
          </cell>
          <cell r="C20122" t="str">
            <v>NORTE LONG BIAS MASTER FUNDO DE INVESTIMENTO MULTIMERCADO</v>
          </cell>
          <cell r="D20122" t="str">
            <v>NORTE LONG BIAS MASTER FUNDO DE INVESTIMENTO MULTIMERCADO</v>
          </cell>
          <cell r="E20122" t="str">
            <v>NORTE ASSET MANAGEMENT GESTAO DE RECURSOS S.A.</v>
          </cell>
        </row>
        <row r="20123">
          <cell r="B20123">
            <v>81437</v>
          </cell>
          <cell r="C20123" t="str">
            <v>NORTE LONG BIAS MASTER FUNDO DE INVESTIMENTO MULTIMERCADO</v>
          </cell>
          <cell r="D20123" t="str">
            <v>NORTE LONG BIAS MASTER FUNDO DE INVESTIMENTO MULTIMERCADO</v>
          </cell>
          <cell r="E20123" t="str">
            <v>NORTE ASSET MANAGEMENT GESTAO DE RECURSOS S.A.</v>
          </cell>
        </row>
        <row r="20124">
          <cell r="B20124">
            <v>125741</v>
          </cell>
          <cell r="C20124" t="str">
            <v>BB GESTAO DE RECURSOS DTVM LTDA</v>
          </cell>
          <cell r="D20124" t="str">
            <v>BB GESTAO DE RECURSOS DTVM LTDA</v>
          </cell>
          <cell r="E20124" t="str">
            <v>BB GESTAO DE RECURSOS DTVM LTDA</v>
          </cell>
        </row>
        <row r="20125">
          <cell r="B20125">
            <v>125742</v>
          </cell>
          <cell r="C20125" t="str">
            <v>BB GESTAO DE RECURSOS DTVM LTDA</v>
          </cell>
          <cell r="D20125" t="str">
            <v>BB GESTAO DE RECURSOS DTVM LTDA</v>
          </cell>
          <cell r="E20125" t="str">
            <v>BB GESTAO DE RECURSOS DTVM LTDA</v>
          </cell>
        </row>
        <row r="20126">
          <cell r="B20126">
            <v>125743</v>
          </cell>
          <cell r="C20126" t="str">
            <v>BB GESTAO DE RECURSOS DTVM LTDA</v>
          </cell>
          <cell r="D20126" t="str">
            <v>BB GESTAO DE RECURSOS DTVM LTDA</v>
          </cell>
          <cell r="E20126" t="str">
            <v>BB GESTAO DE RECURSOS DTVM LTDA</v>
          </cell>
        </row>
        <row r="20127">
          <cell r="B20127">
            <v>81439</v>
          </cell>
          <cell r="C20127" t="str">
            <v>PORTO SEGURO RENDA FIXA MASTER PREVIDENCIA PRIVADA FUNDO DE</v>
          </cell>
          <cell r="D20127" t="str">
            <v>PORTO SEGURO RENDA FIXA MASTER PREVIDENCIA PRIVADA FUNDO DE</v>
          </cell>
          <cell r="E20127" t="str">
            <v>PORTO SEGURO RENDA FIXA MASTER PREVIDENCIA PRIVADA FUNDO DE</v>
          </cell>
        </row>
        <row r="20128">
          <cell r="B20128">
            <v>81439</v>
          </cell>
          <cell r="C20128" t="str">
            <v>PORTO SEGURO RENDA FIXA MASTER PREVIDENCIA PRIVADA FUNDO DE</v>
          </cell>
          <cell r="D20128" t="str">
            <v>PORTO SEGURO RENDA FIXA MASTER PREVIDENCIA PRIVADA FUNDO DE</v>
          </cell>
          <cell r="E20128" t="str">
            <v>PORTO SEGURO RENDA FIXA MASTER PREVIDENCIA PRIVADA FUNDO DE</v>
          </cell>
        </row>
        <row r="20129">
          <cell r="B20129">
            <v>81440</v>
          </cell>
          <cell r="C20129" t="str">
            <v>PORTO SEGURO PREVIDÃŠNCIA PRIVADA MASTER - FUNDO DE INVESTIME</v>
          </cell>
          <cell r="D20129" t="str">
            <v>PORTO SEGURO PREVIDÃŠNCIA PRIVADA MASTER - FUNDO DE INVESTIME</v>
          </cell>
          <cell r="E20129" t="str">
            <v>PORTO SEGURO PREVIDÃŠNCIA PRIVADA MASTER - FUNDO DE INVESTIME</v>
          </cell>
        </row>
        <row r="20130">
          <cell r="B20130">
            <v>81440</v>
          </cell>
          <cell r="C20130" t="str">
            <v>PORTO SEGURO PREVIDÃŠNCIA PRIVADA MASTER - FUNDO DE INVESTIME</v>
          </cell>
          <cell r="D20130" t="str">
            <v>PORTO SEGURO PREVIDÃŠNCIA PRIVADA MASTER - FUNDO DE INVESTIME</v>
          </cell>
          <cell r="E20130" t="str">
            <v>PORTO SEGURO PREVIDÃŠNCIA PRIVADA MASTER - FUNDO DE INVESTIME</v>
          </cell>
        </row>
        <row r="20131">
          <cell r="B20131">
            <v>81441</v>
          </cell>
          <cell r="C20131" t="str">
            <v>ALL SAINTS FIM CRPR IE</v>
          </cell>
          <cell r="D20131" t="str">
            <v>ALL SAINTS FIM CRPR IE</v>
          </cell>
          <cell r="E20131" t="str">
            <v>JULIUS BAER FAMILY OFFICE BRASIL GESTAO DE PATRIMONIO LTDA</v>
          </cell>
        </row>
        <row r="20132">
          <cell r="B20132">
            <v>81441</v>
          </cell>
          <cell r="C20132" t="str">
            <v>ALL SAINTS FIM CRPR IE</v>
          </cell>
          <cell r="D20132" t="str">
            <v>ALL SAINTS FIM CRPR IE</v>
          </cell>
          <cell r="E20132" t="str">
            <v>JULIUS BAER FAMILY OFFICE BRASIL GESTAO DE PATRIMONIO LTDA</v>
          </cell>
        </row>
        <row r="20133">
          <cell r="B20133">
            <v>81442</v>
          </cell>
          <cell r="C20133" t="str">
            <v>IJC 2 FUNDO DE INVESTIMENTO MULTIMERCADO CRÃ‰DITO PRIVADO</v>
          </cell>
          <cell r="D20133" t="str">
            <v>IJC 2 FUNDO DE INVESTIMENTO MULTIMERCADO CRÃ‰DITO PRIVADO</v>
          </cell>
          <cell r="E20133" t="str">
            <v>JULIUS BAER FAMILY OFFICE BRASIL GESTAO DE PATRIMONIO LTDA</v>
          </cell>
        </row>
        <row r="20134">
          <cell r="B20134">
            <v>81442</v>
          </cell>
          <cell r="C20134" t="str">
            <v>IJC 2 FUNDO DE INVESTIMENTO MULTIMERCADO CRÃ‰DITO PRIVADO</v>
          </cell>
          <cell r="D20134" t="str">
            <v>IJC 2 FUNDO DE INVESTIMENTO MULTIMERCADO CRÃ‰DITO PRIVADO</v>
          </cell>
          <cell r="E20134" t="str">
            <v>JULIUS BAER FAMILY OFFICE BRASIL GESTAO DE PATRIMONIO LTDA</v>
          </cell>
        </row>
        <row r="20135">
          <cell r="B20135">
            <v>81443</v>
          </cell>
          <cell r="C20135" t="str">
            <v>LUNI FIM CREDITO PRIVADO INVESTIMENTO NO EXTERIOR</v>
          </cell>
          <cell r="D20135" t="str">
            <v>LUNI FIM CREDITO PRIVADO INVESTIMENTO NO EXTERIOR</v>
          </cell>
          <cell r="E20135" t="str">
            <v>JULIUS BAER FAMILY OFFICE BRASIL GESTAO DE PATRIMONIO LTDA</v>
          </cell>
        </row>
        <row r="20136">
          <cell r="B20136">
            <v>81443</v>
          </cell>
          <cell r="C20136" t="str">
            <v>LUNI FIM CREDITO PRIVADO INVESTIMENTO NO EXTERIOR</v>
          </cell>
          <cell r="D20136" t="str">
            <v>LUNI FIM CREDITO PRIVADO INVESTIMENTO NO EXTERIOR</v>
          </cell>
          <cell r="E20136" t="str">
            <v>JULIUS BAER FAMILY OFFICE BRASIL GESTAO DE PATRIMONIO LTDA</v>
          </cell>
        </row>
        <row r="20137">
          <cell r="B20137">
            <v>81444</v>
          </cell>
          <cell r="C20137" t="str">
            <v>SURICATO FIM CRPR IE</v>
          </cell>
          <cell r="D20137" t="str">
            <v>SURICATO FIM CRPR IE</v>
          </cell>
          <cell r="E20137" t="str">
            <v>JULIUS BAER FAMILY OFFICE BRASIL GESTAO DE PATRIMONIO LTDA</v>
          </cell>
        </row>
        <row r="20138">
          <cell r="B20138">
            <v>81444</v>
          </cell>
          <cell r="C20138" t="str">
            <v>SURICATO FIM CRPR IE</v>
          </cell>
          <cell r="D20138" t="str">
            <v>SURICATO FIM CRPR IE</v>
          </cell>
          <cell r="E20138" t="str">
            <v>JULIUS BAER FAMILY OFFICE BRASIL GESTAO DE PATRIMONIO LTDA</v>
          </cell>
        </row>
        <row r="20139">
          <cell r="B20139">
            <v>125744</v>
          </cell>
          <cell r="C20139" t="str">
            <v>BB GESTAO DE RECURSOS DTVM LTDA</v>
          </cell>
          <cell r="D20139" t="str">
            <v>BB GESTAO DE RECURSOS DTVM LTDA</v>
          </cell>
          <cell r="E20139" t="str">
            <v>BB GESTAO DE RECURSOS DTVM LTDA</v>
          </cell>
        </row>
        <row r="20140">
          <cell r="B20140">
            <v>81446</v>
          </cell>
          <cell r="C20140" t="str">
            <v>ITAU ACOES DIVIDENDOS - FUNDO DE INVESTIMENTO EM COTAS DE FU</v>
          </cell>
          <cell r="D20140" t="str">
            <v>ITAU ACOES DIVIDENDOS - FUNDO DE INVESTIMENTO EM COTAS DE FU</v>
          </cell>
          <cell r="E20140" t="str">
            <v>ITAU UNIBANCO ASSET - TACO</v>
          </cell>
        </row>
        <row r="20141">
          <cell r="B20141">
            <v>81447</v>
          </cell>
          <cell r="C20141" t="str">
            <v>ITAÃš AÃ‡Ã•ES DIVIDENDOS FUNDO DE INVESTIMENTO EM COTAS DE FUND</v>
          </cell>
          <cell r="D20141" t="str">
            <v>ITAÃš AÃ‡Ã•ES DIVIDENDOS FUNDO DE INVESTIMENTO EM COTAS DE FUND</v>
          </cell>
          <cell r="E20141" t="str">
            <v>ITAU UNIBANCO ASSET - TACO</v>
          </cell>
        </row>
        <row r="20142">
          <cell r="B20142">
            <v>81445</v>
          </cell>
          <cell r="C20142" t="str">
            <v>ITAÃš ACE DIVIDENDOS AÃ‡Ã•ES FUNDO DE INVESTIMENTO EM COTAS DE</v>
          </cell>
          <cell r="D20142" t="str">
            <v>ITAÃš ACE DIVIDENDOS AÃ‡Ã•ES FUNDO DE INVESTIMENTO EM COTAS DE</v>
          </cell>
          <cell r="E20142" t="str">
            <v>ITAU UNIBANCO ASSET - TACO</v>
          </cell>
        </row>
        <row r="20143">
          <cell r="B20143">
            <v>81448</v>
          </cell>
          <cell r="C20143" t="str">
            <v>ITAÃš FLEXPREV PHOENIX FUNDO DE INVESTIMENTO EM AÃ‡Ã•ES</v>
          </cell>
          <cell r="D20143" t="str">
            <v>ITAÃš FLEXPREV PHOENIX FUNDO DE INVESTIMENTO EM AÃ‡Ã•ES</v>
          </cell>
          <cell r="E20143" t="str">
            <v>ITAU UNIBANCO ASSET - TACO</v>
          </cell>
        </row>
        <row r="20144">
          <cell r="B20144">
            <v>81449</v>
          </cell>
          <cell r="C20144" t="str">
            <v>ITAÃš PHOENIX IQ AÃ‡Ã•ES FUNDO DE INVESTIMENTO</v>
          </cell>
          <cell r="D20144" t="str">
            <v>ITAÃš PHOENIX IQ AÃ‡Ã•ES FUNDO DE INVESTIMENTO</v>
          </cell>
          <cell r="E20144" t="str">
            <v>ITAU UNIBANCO ASSET - TACO</v>
          </cell>
        </row>
        <row r="20145">
          <cell r="B20145">
            <v>81450</v>
          </cell>
          <cell r="C20145" t="str">
            <v>ITAÃš SNIPER FUNDO DE INVESTIMENTO EM AÃ‡Ã•ES</v>
          </cell>
          <cell r="D20145" t="str">
            <v>ITAÃš SNIPER FUNDO DE INVESTIMENTO EM AÃ‡Ã•ES</v>
          </cell>
          <cell r="E20145" t="str">
            <v>ITAU UNIBANCO ASSET - TACO</v>
          </cell>
        </row>
        <row r="20146">
          <cell r="B20146">
            <v>81448</v>
          </cell>
          <cell r="C20146" t="str">
            <v>ITAÃš FLEXPREV PHOENIX FUNDO DE INVESTIMENTO EM AÃ‡Ã•ES</v>
          </cell>
          <cell r="D20146" t="str">
            <v>ITAÃš FLEXPREV PHOENIX FUNDO DE INVESTIMENTO EM AÃ‡Ã•ES</v>
          </cell>
          <cell r="E20146" t="str">
            <v>ITAU UNIBANCO ASSET - TACO</v>
          </cell>
        </row>
        <row r="20147">
          <cell r="B20147">
            <v>81449</v>
          </cell>
          <cell r="C20147" t="str">
            <v>ITAÃš PHOENIX IQ AÃ‡Ã•ES FUNDO DE INVESTIMENTO</v>
          </cell>
          <cell r="D20147" t="str">
            <v>ITAÃš PHOENIX IQ AÃ‡Ã•ES FUNDO DE INVESTIMENTO</v>
          </cell>
          <cell r="E20147" t="str">
            <v>ITAU UNIBANCO ASSET - TACO</v>
          </cell>
        </row>
        <row r="20148">
          <cell r="B20148">
            <v>81450</v>
          </cell>
          <cell r="C20148" t="str">
            <v>ITAÃš SNIPER FUNDO DE INVESTIMENTO EM AÃ‡Ã•ES</v>
          </cell>
          <cell r="D20148" t="str">
            <v>ITAÃš SNIPER FUNDO DE INVESTIMENTO EM AÃ‡Ã•ES</v>
          </cell>
          <cell r="E20148" t="str">
            <v>ITAU UNIBANCO ASSET - TACO</v>
          </cell>
        </row>
        <row r="20149">
          <cell r="B20149">
            <v>81451</v>
          </cell>
          <cell r="C20149" t="str">
            <v>LIMERICK FIM CRPR IE</v>
          </cell>
          <cell r="D20149" t="str">
            <v>LIMERICK FIM CRPR IE</v>
          </cell>
          <cell r="E20149" t="str">
            <v>JULIUS BAER FAMILY OFFICE BRASIL GESTAO DE PATRIMONIO LTDA</v>
          </cell>
        </row>
        <row r="20150">
          <cell r="B20150">
            <v>81451</v>
          </cell>
          <cell r="C20150" t="str">
            <v>LIMERICK FIM CRPR IE</v>
          </cell>
          <cell r="D20150" t="str">
            <v>LIMERICK FIM CRPR IE</v>
          </cell>
          <cell r="E20150" t="str">
            <v>JULIUS BAER FAMILY OFFICE BRASIL GESTAO DE PATRIMONIO LTDA</v>
          </cell>
        </row>
        <row r="20151">
          <cell r="B20151">
            <v>81452</v>
          </cell>
          <cell r="C20151" t="str">
            <v>THUJA FIM CRPR IE</v>
          </cell>
          <cell r="D20151" t="str">
            <v>THUJA FIM CRPR IE</v>
          </cell>
          <cell r="E20151" t="str">
            <v>JULIUS BAER FAMILY OFFICE BRASIL GESTAO DE PATRIMONIO LTDA</v>
          </cell>
        </row>
        <row r="20152">
          <cell r="B20152">
            <v>81452</v>
          </cell>
          <cell r="C20152" t="str">
            <v>THUJA FIM CRPR IE</v>
          </cell>
          <cell r="D20152" t="str">
            <v>THUJA FIM CRPR IE</v>
          </cell>
          <cell r="E20152" t="str">
            <v>JULIUS BAER FAMILY OFFICE BRASIL GESTAO DE PATRIMONIO LTDA</v>
          </cell>
        </row>
        <row r="20153">
          <cell r="B20153">
            <v>81453</v>
          </cell>
          <cell r="C20153" t="str">
            <v>SANTANDER VALENCIA GLOBAL MULTIMERCADO FIF RL</v>
          </cell>
          <cell r="D20153" t="str">
            <v>SANTANDER VALENCIA GLOBAL MULTIMERCADO FIF RL</v>
          </cell>
          <cell r="E20153" t="str">
            <v>SANTANDER BRASIL GESTAO DE RECURSOS LTDA</v>
          </cell>
        </row>
        <row r="20154">
          <cell r="B20154">
            <v>125745</v>
          </cell>
          <cell r="C20154" t="str">
            <v>BB GESTAO DE RECURSOS DTVM LTDA</v>
          </cell>
          <cell r="D20154" t="str">
            <v>BB GESTAO DE RECURSOS DTVM LTDA</v>
          </cell>
          <cell r="E20154" t="str">
            <v>BB GESTAO DE RECURSOS DTVM LTDA</v>
          </cell>
        </row>
        <row r="20155">
          <cell r="B20155">
            <v>81454</v>
          </cell>
          <cell r="C20155" t="str">
            <v>PREVI GM EXTERIOR I FIM IE</v>
          </cell>
          <cell r="D20155" t="str">
            <v>PREVI GM EXTERIOR I FIM IE</v>
          </cell>
          <cell r="E20155" t="str">
            <v>M SQUARE INVESTIMENTOS LTDA.</v>
          </cell>
        </row>
        <row r="20156">
          <cell r="B20156">
            <v>81454</v>
          </cell>
          <cell r="C20156" t="str">
            <v>PREVI GM EXTERIOR I FIM IE</v>
          </cell>
          <cell r="D20156" t="str">
            <v>PREVI GM EXTERIOR I FIM IE</v>
          </cell>
          <cell r="E20156" t="str">
            <v>M SQUARE INVESTIMENTOS LTDA.</v>
          </cell>
        </row>
        <row r="20157">
          <cell r="B20157">
            <v>81455</v>
          </cell>
          <cell r="C20157" t="str">
            <v>MMPG FUNDO DE INVESTIMENTO MULTIMERCADO</v>
          </cell>
          <cell r="D20157" t="str">
            <v>MMPG FUNDO DE INVESTIMENTO MULTIMERCADO</v>
          </cell>
          <cell r="E20157" t="str">
            <v>WNT GESTORA DE RECURSOS LTDA</v>
          </cell>
        </row>
        <row r="20158">
          <cell r="B20158">
            <v>81455</v>
          </cell>
          <cell r="C20158" t="str">
            <v>MMPG FUNDO DE INVESTIMENTO MULTIMERCADO</v>
          </cell>
          <cell r="D20158" t="str">
            <v>MMPG FUNDO DE INVESTIMENTO MULTIMERCADO</v>
          </cell>
          <cell r="E20158" t="str">
            <v>WNT GESTORA DE RECURSOS LTDA</v>
          </cell>
        </row>
        <row r="20159">
          <cell r="B20159">
            <v>144554</v>
          </cell>
          <cell r="C20159" t="str">
            <v>SAFRA ASSET MANAGEMENT LTDA</v>
          </cell>
          <cell r="D20159" t="str">
            <v>SAFRA ASSET MANAGEMENT LTDA</v>
          </cell>
          <cell r="E20159" t="str">
            <v>SAFRA ASSET MANAGEMENT LTDA</v>
          </cell>
        </row>
        <row r="20160">
          <cell r="B20160">
            <v>144554</v>
          </cell>
          <cell r="C20160" t="str">
            <v>SAFRA ASSET MANAGEMENT LTDA</v>
          </cell>
          <cell r="D20160" t="str">
            <v>SAFRA ASSET MANAGEMENT LTDA</v>
          </cell>
          <cell r="E20160" t="str">
            <v>SAFRA ASSET MANAGEMENT LTDA</v>
          </cell>
        </row>
        <row r="20161">
          <cell r="B20161">
            <v>82092</v>
          </cell>
          <cell r="C20161" t="str">
            <v>GOLDMAN SACHS INTERNATIONAL - CITI</v>
          </cell>
          <cell r="D20161" t="str">
            <v>GOLDMAN SACHS INTERNATIONAL - CITI</v>
          </cell>
          <cell r="E20161" t="str">
            <v>GOLDMAN SACHS DO BRASIL BANCO MULTIPLO S/A</v>
          </cell>
        </row>
        <row r="20162">
          <cell r="B20162">
            <v>82858</v>
          </cell>
          <cell r="C20162" t="str">
            <v>GOLDMAN SACHS INTERNATIONAL - CITI</v>
          </cell>
          <cell r="D20162" t="str">
            <v>GOLDMAN SACHS INTERNATIONAL - CITI</v>
          </cell>
          <cell r="E20162" t="str">
            <v>GOLDMAN SACHS DO BRASIL BANCO MULTIPLO S/A</v>
          </cell>
        </row>
        <row r="20163">
          <cell r="B20163">
            <v>81457</v>
          </cell>
          <cell r="C20163" t="str">
            <v>FUNDACAO DE SEGURIDADE SOCIAL BRASLIGHT</v>
          </cell>
          <cell r="D20163" t="str">
            <v>FUNDACAO DE SEGURIDADE SOCIAL BRASLIGHT</v>
          </cell>
          <cell r="E20163" t="str">
            <v>FUNDACAO DE SEGURIDADE SOCIAL BRASLIGHT</v>
          </cell>
        </row>
        <row r="20164">
          <cell r="B20164">
            <v>81458</v>
          </cell>
          <cell r="C20164" t="str">
            <v>FUNDACAO DE SEGURIDADE SOCIAL BRASLIGHT</v>
          </cell>
          <cell r="D20164" t="str">
            <v>FUNDACAO DE SEGURIDADE SOCIAL BRASLIGHT</v>
          </cell>
          <cell r="E20164" t="str">
            <v>FUNDACAO DE SEGURIDADE SOCIAL BRASLIGHT</v>
          </cell>
        </row>
        <row r="20165">
          <cell r="B20165">
            <v>81459</v>
          </cell>
          <cell r="C20165" t="str">
            <v>FUNDACAO DE SEGURIDADE SOCIAL BRASLIGHT</v>
          </cell>
          <cell r="D20165" t="str">
            <v>FUNDACAO DE SEGURIDADE SOCIAL BRASLIGHT</v>
          </cell>
          <cell r="E20165" t="str">
            <v>FUNDACAO DE SEGURIDADE SOCIAL BRASLIGHT</v>
          </cell>
        </row>
        <row r="20166">
          <cell r="B20166">
            <v>81460</v>
          </cell>
          <cell r="C20166" t="str">
            <v>FUNDACAO DE SEGURIDADE SOCIAL BRASLIGHT</v>
          </cell>
          <cell r="D20166" t="str">
            <v>FUNDACAO DE SEGURIDADE SOCIAL BRASLIGHT</v>
          </cell>
          <cell r="E20166" t="str">
            <v>FUNDACAO DE SEGURIDADE SOCIAL BRASLIGHT</v>
          </cell>
        </row>
        <row r="20167">
          <cell r="B20167">
            <v>81457</v>
          </cell>
          <cell r="C20167" t="str">
            <v>FUNDACAO DE SEGURIDADE SOCIAL BRASLIGHT</v>
          </cell>
          <cell r="D20167" t="str">
            <v>FUNDACAO DE SEGURIDADE SOCIAL BRASLIGHT</v>
          </cell>
          <cell r="E20167" t="str">
            <v>FUNDACAO DE SEGURIDADE SOCIAL BRASLIGHT</v>
          </cell>
        </row>
        <row r="20168">
          <cell r="B20168">
            <v>81458</v>
          </cell>
          <cell r="C20168" t="str">
            <v>FUNDACAO DE SEGURIDADE SOCIAL BRASLIGHT</v>
          </cell>
          <cell r="D20168" t="str">
            <v>FUNDACAO DE SEGURIDADE SOCIAL BRASLIGHT</v>
          </cell>
          <cell r="E20168" t="str">
            <v>FUNDACAO DE SEGURIDADE SOCIAL BRASLIGHT</v>
          </cell>
        </row>
        <row r="20169">
          <cell r="B20169">
            <v>81459</v>
          </cell>
          <cell r="C20169" t="str">
            <v>FUNDACAO DE SEGURIDADE SOCIAL BRASLIGHT</v>
          </cell>
          <cell r="D20169" t="str">
            <v>FUNDACAO DE SEGURIDADE SOCIAL BRASLIGHT</v>
          </cell>
          <cell r="E20169" t="str">
            <v>FUNDACAO DE SEGURIDADE SOCIAL BRASLIGHT</v>
          </cell>
        </row>
        <row r="20170">
          <cell r="B20170">
            <v>81460</v>
          </cell>
          <cell r="C20170" t="str">
            <v>FUNDACAO DE SEGURIDADE SOCIAL BRASLIGHT</v>
          </cell>
          <cell r="D20170" t="str">
            <v>FUNDACAO DE SEGURIDADE SOCIAL BRASLIGHT</v>
          </cell>
          <cell r="E20170" t="str">
            <v>FUNDACAO DE SEGURIDADE SOCIAL BRASLIGHT</v>
          </cell>
        </row>
        <row r="20171">
          <cell r="B20171">
            <v>122698</v>
          </cell>
          <cell r="C20171" t="str">
            <v>SPX RAPTOR MASTER FI EXT MM CP</v>
          </cell>
          <cell r="D20171" t="str">
            <v>SPX RAPTOR MASTER FI EXT MM CP</v>
          </cell>
          <cell r="E20171" t="str">
            <v>SPX RAPTOR MASTER FI EXT MM CP</v>
          </cell>
        </row>
        <row r="20172">
          <cell r="B20172">
            <v>81461</v>
          </cell>
          <cell r="C20172" t="str">
            <v>VITREO FOF MELHORES FUNDOS MULT FIC DE FIM</v>
          </cell>
          <cell r="D20172" t="str">
            <v>VITREO FOF MELHORES FUNDOS MULT FIC DE FIM</v>
          </cell>
          <cell r="E20172" t="str">
            <v>EMPIRICUS GESTAO DE RECURSOS LTDA</v>
          </cell>
        </row>
        <row r="20173">
          <cell r="B20173">
            <v>81461</v>
          </cell>
          <cell r="C20173" t="str">
            <v>VITREO FOF MELHORES FUNDOS MULT FIC DE FIM</v>
          </cell>
          <cell r="D20173" t="str">
            <v>VITREO FOF MELHORES FUNDOS MULT FIC DE FIM</v>
          </cell>
          <cell r="E20173" t="str">
            <v>EMPIRICUS GESTAO DE RECURSOS LTDA</v>
          </cell>
        </row>
        <row r="20174">
          <cell r="B20174">
            <v>81462</v>
          </cell>
          <cell r="C20174" t="str">
            <v>VITREO FOF SUPERPREVIDENCIA ICATU FIM</v>
          </cell>
          <cell r="D20174" t="str">
            <v>VITREO FOF SUPERPREVIDENCIA ICATU FIM</v>
          </cell>
          <cell r="E20174" t="str">
            <v>VITREO FOF SUPERPREVIDENCIA ICATU FIM</v>
          </cell>
        </row>
        <row r="20175">
          <cell r="B20175">
            <v>81462</v>
          </cell>
          <cell r="C20175" t="str">
            <v>VITREO FOF SUPERPREVIDENCIA ICATU FIM</v>
          </cell>
          <cell r="D20175" t="str">
            <v>VITREO FOF SUPERPREVIDENCIA ICATU FIM</v>
          </cell>
          <cell r="E20175" t="str">
            <v>VITREO FOF SUPERPREVIDENCIA ICATU FIM</v>
          </cell>
        </row>
        <row r="20176">
          <cell r="B20176">
            <v>81463</v>
          </cell>
          <cell r="C20176" t="str">
            <v>EMPIRICUS FOF SUPERPREVIDENCIA ARROJADO ICATU FIM</v>
          </cell>
          <cell r="D20176" t="str">
            <v>EMPIRICUS FOF SUPERPREVIDENCIA ARROJADO ICATU FIM</v>
          </cell>
          <cell r="E20176" t="str">
            <v>EMPIRICUS GESTAO DE RECURSOS LTDA</v>
          </cell>
        </row>
        <row r="20177">
          <cell r="B20177">
            <v>81463</v>
          </cell>
          <cell r="C20177" t="str">
            <v>EMPIRICUS FOF SUPERPREVIDENCIA ARROJADO ICATU FIM</v>
          </cell>
          <cell r="D20177" t="str">
            <v>EMPIRICUS FOF SUPERPREVIDENCIA ARROJADO ICATU FIM</v>
          </cell>
          <cell r="E20177" t="str">
            <v>EMPIRICUS GESTAO DE RECURSOS LTDA</v>
          </cell>
        </row>
        <row r="20178">
          <cell r="B20178">
            <v>81464</v>
          </cell>
          <cell r="C20178" t="str">
            <v>JABEOL 3 FIC FIM CP IE</v>
          </cell>
          <cell r="D20178" t="str">
            <v>JABEOL 3 FIC FIM CP IE</v>
          </cell>
          <cell r="E20178" t="str">
            <v>JULIUS BAER FAMILY OFFICE BRASIL GESTAO DE PATRIMONIO LTDA</v>
          </cell>
        </row>
        <row r="20179">
          <cell r="B20179">
            <v>81464</v>
          </cell>
          <cell r="C20179" t="str">
            <v>JABEOL 3 FIC FIM CP IE</v>
          </cell>
          <cell r="D20179" t="str">
            <v>JABEOL 3 FIC FIM CP IE</v>
          </cell>
          <cell r="E20179" t="str">
            <v>JULIUS BAER FAMILY OFFICE BRASIL GESTAO DE PATRIMONIO LTDA</v>
          </cell>
        </row>
        <row r="20180">
          <cell r="B20180">
            <v>81465</v>
          </cell>
          <cell r="C20180" t="str">
            <v>NEO ARGO EQUITY HEDGE MASTER FIM</v>
          </cell>
          <cell r="D20180" t="str">
            <v>NEO ARGO EQUITY HEDGE MASTER FIM</v>
          </cell>
          <cell r="E20180" t="str">
            <v>NEO GESTÃO DE RECURSOS LTDA</v>
          </cell>
        </row>
        <row r="20181">
          <cell r="B20181">
            <v>81465</v>
          </cell>
          <cell r="C20181" t="str">
            <v>NEO ARGO EQUITY HEDGE MASTER FIM</v>
          </cell>
          <cell r="D20181" t="str">
            <v>NEO ARGO EQUITY HEDGE MASTER FIM</v>
          </cell>
          <cell r="E20181" t="str">
            <v>NEO GESTÃO DE RECURSOS LTDA</v>
          </cell>
        </row>
        <row r="20182">
          <cell r="B20182">
            <v>81466</v>
          </cell>
          <cell r="C20182" t="str">
            <v>GART FIM CP IE IP</v>
          </cell>
          <cell r="D20182" t="str">
            <v>GART FIM CP IE IP</v>
          </cell>
          <cell r="E20182" t="str">
            <v>JULIUS BAER FAMILY OFFICE BRASIL GESTAO DE PATRIMONIO LTDA</v>
          </cell>
        </row>
        <row r="20183">
          <cell r="B20183">
            <v>81466</v>
          </cell>
          <cell r="C20183" t="str">
            <v>GART FIM CP IE IP</v>
          </cell>
          <cell r="D20183" t="str">
            <v>GART FIM CP IE IP</v>
          </cell>
          <cell r="E20183" t="str">
            <v>JULIUS BAER FAMILY OFFICE BRASIL GESTAO DE PATRIMONIO LTDA</v>
          </cell>
        </row>
        <row r="20184">
          <cell r="B20184">
            <v>81468</v>
          </cell>
          <cell r="C20184" t="str">
            <v>NEO ARGO LONG AND SHORT MASTER FIM</v>
          </cell>
          <cell r="D20184" t="str">
            <v>NEO ARGO LONG AND SHORT MASTER FIM</v>
          </cell>
          <cell r="E20184" t="str">
            <v>NEO GESTÃO DE RECURSOS LTDA</v>
          </cell>
        </row>
        <row r="20185">
          <cell r="B20185">
            <v>81467</v>
          </cell>
          <cell r="C20185" t="str">
            <v>NEO EQUITY HEDGE P FUNDO DE INVESTIMENTO MULTIMERCADO</v>
          </cell>
          <cell r="D20185" t="str">
            <v>NEO EQUITY HEDGE P FUNDO DE INVESTIMENTO MULTIMERCADO</v>
          </cell>
          <cell r="E20185" t="str">
            <v>NEO GESTÃO DE RECURSOS LTDA</v>
          </cell>
        </row>
        <row r="20186">
          <cell r="B20186">
            <v>81469</v>
          </cell>
          <cell r="C20186" t="str">
            <v>NEO MULTIMERCADO B PREV FIFE FIM</v>
          </cell>
          <cell r="D20186" t="str">
            <v>NEO MULTIMERCADO B PREV FIFE FIM</v>
          </cell>
          <cell r="E20186" t="str">
            <v>NEO GESTÃO DE RECURSOS LTDA</v>
          </cell>
        </row>
        <row r="20187">
          <cell r="B20187">
            <v>81470</v>
          </cell>
          <cell r="C20187" t="str">
            <v>NEO MULTIESTRATEGIA ITAU PREV MASTER FIM</v>
          </cell>
          <cell r="D20187" t="str">
            <v>NEO MULTIESTRATEGIA ITAU PREV MASTER FIM</v>
          </cell>
          <cell r="E20187" t="str">
            <v>NEO GESTÃO DE RECURSOS LTDA</v>
          </cell>
        </row>
        <row r="20188">
          <cell r="B20188">
            <v>81471</v>
          </cell>
          <cell r="C20188" t="str">
            <v>NEO NAVITAS ITAÃš PREV MASTER FUNDO DE INVESTIMENTO EM AÃ‡Ã•ES</v>
          </cell>
          <cell r="D20188" t="str">
            <v>NEO NAVITAS ITAÃš PREV MASTER FUNDO DE INVESTIMENTO EM AÃ‡Ã•ES</v>
          </cell>
          <cell r="E20188" t="str">
            <v>NEO GESTÃO DE RECURSOS LTDA</v>
          </cell>
        </row>
        <row r="20189">
          <cell r="B20189">
            <v>125746</v>
          </cell>
          <cell r="C20189" t="str">
            <v>BB GESTAO DE RECURSOS DTVM LTDA</v>
          </cell>
          <cell r="D20189" t="str">
            <v>BB GESTAO DE RECURSOS DTVM LTDA</v>
          </cell>
          <cell r="E20189" t="str">
            <v>BB GESTAO DE RECURSOS DTVM LTDA</v>
          </cell>
        </row>
        <row r="20190">
          <cell r="B20190">
            <v>81472</v>
          </cell>
          <cell r="C20190" t="str">
            <v>BANCO BRADESCO S/A</v>
          </cell>
          <cell r="D20190" t="str">
            <v>BANCO BRADESCO S/A</v>
          </cell>
          <cell r="E20190" t="str">
            <v>BANCO BRADESCO S/A</v>
          </cell>
        </row>
        <row r="20191">
          <cell r="B20191">
            <v>81473</v>
          </cell>
          <cell r="C20191" t="str">
            <v>HANKOE FI EM PARTICIPAÃ‡Ã•ES MULTIESTRATEGIA IE</v>
          </cell>
          <cell r="D20191" t="str">
            <v>HANKOE FI EM PARTICIPAÃ‡Ã•ES MULTIESTRATEGIA IE</v>
          </cell>
          <cell r="E20191" t="str">
            <v>LORINVEST GESTAO DE RECURSOS LTDA</v>
          </cell>
        </row>
        <row r="20192">
          <cell r="B20192">
            <v>81473</v>
          </cell>
          <cell r="C20192" t="str">
            <v>HANKOE FI EM PARTICIPAÃ‡Ã•ES MULTIESTRATEGIA IE</v>
          </cell>
          <cell r="D20192" t="str">
            <v>HANKOE FI EM PARTICIPAÃ‡Ã•ES MULTIESTRATEGIA IE</v>
          </cell>
          <cell r="E20192" t="str">
            <v>LORINVEST GESTAO DE RECURSOS LTDA</v>
          </cell>
        </row>
        <row r="20193">
          <cell r="B20193">
            <v>81474</v>
          </cell>
          <cell r="C20193" t="str">
            <v>LOFOTEN FI EM PARTICIPAÃ‡Ã•ES MULTIESTRATEGIA IE</v>
          </cell>
          <cell r="D20193" t="str">
            <v>LOFOTEN FI EM PARTICIPAÃ‡Ã•ES MULTIESTRATEGIA IE</v>
          </cell>
          <cell r="E20193" t="str">
            <v>LORINVEST GESTAO DE RECURSOS LTDA</v>
          </cell>
        </row>
        <row r="20194">
          <cell r="B20194">
            <v>81474</v>
          </cell>
          <cell r="C20194" t="str">
            <v>LOFOTEN FI EM PARTICIPAÃ‡Ã•ES MULTIESTRATEGIA IE</v>
          </cell>
          <cell r="D20194" t="str">
            <v>LOFOTEN FI EM PARTICIPAÃ‡Ã•ES MULTIESTRATEGIA IE</v>
          </cell>
          <cell r="E20194" t="str">
            <v>LORINVEST GESTAO DE RECURSOS LTDA</v>
          </cell>
        </row>
        <row r="20195">
          <cell r="B20195">
            <v>81476</v>
          </cell>
          <cell r="C20195" t="str">
            <v>ASTRALO FIM CREDITO PRIVADO INVESTIMENTO NO EXTERIOR</v>
          </cell>
          <cell r="D20195" t="str">
            <v>ASTRALO FIM CREDITO PRIVADO INVESTIMENTO NO EXTERIOR</v>
          </cell>
          <cell r="E20195" t="str">
            <v>WNT GESTORA DE RECURSOS LTDA</v>
          </cell>
        </row>
        <row r="20196">
          <cell r="B20196">
            <v>81476</v>
          </cell>
          <cell r="C20196" t="str">
            <v>ASTRALO FIM CREDITO PRIVADO INVESTIMENTO NO EXTERIOR</v>
          </cell>
          <cell r="D20196" t="str">
            <v>ASTRALO FIM CREDITO PRIVADO INVESTIMENTO NO EXTERIOR</v>
          </cell>
          <cell r="E20196" t="str">
            <v>WNT GESTORA DE RECURSOS LTDA</v>
          </cell>
        </row>
        <row r="20197">
          <cell r="B20197">
            <v>81477</v>
          </cell>
          <cell r="C20197" t="str">
            <v>PNBY GESTORA DE RECURSOS LTDA</v>
          </cell>
          <cell r="D20197" t="str">
            <v>PNBY GESTORA DE RECURSOS LTDA</v>
          </cell>
          <cell r="E20197" t="str">
            <v>PNBY GESTORA DE RECURSOS LTDA</v>
          </cell>
        </row>
        <row r="20198">
          <cell r="B20198">
            <v>81477</v>
          </cell>
          <cell r="C20198" t="str">
            <v>PNBY GESTORA DE RECURSOS LTDA</v>
          </cell>
          <cell r="D20198" t="str">
            <v>PNBY GESTORA DE RECURSOS LTDA</v>
          </cell>
          <cell r="E20198" t="str">
            <v>PNBY GESTORA DE RECURSOS LTDA</v>
          </cell>
        </row>
        <row r="20199">
          <cell r="B20199">
            <v>81478</v>
          </cell>
          <cell r="C20199" t="str">
            <v>SVEGLIARE FIM CP IE</v>
          </cell>
          <cell r="D20199" t="str">
            <v>SVEGLIARE FIM CP IE</v>
          </cell>
          <cell r="E20199" t="str">
            <v>JULIUS BAER FAMILY OFFICE BRASIL GESTAO DE PATRIMONIO LTDA</v>
          </cell>
        </row>
        <row r="20200">
          <cell r="B20200">
            <v>81478</v>
          </cell>
          <cell r="C20200" t="str">
            <v>SVEGLIARE FIM CP IE</v>
          </cell>
          <cell r="D20200" t="str">
            <v>SVEGLIARE FIM CP IE</v>
          </cell>
          <cell r="E20200" t="str">
            <v>JULIUS BAER FAMILY OFFICE BRASIL GESTAO DE PATRIMONIO LTDA</v>
          </cell>
        </row>
        <row r="20201">
          <cell r="B20201">
            <v>81479</v>
          </cell>
          <cell r="C20201" t="str">
            <v>AURELIUS FIC DE FIM CP INVESTIMENTO DE EXTERIOR</v>
          </cell>
          <cell r="D20201" t="str">
            <v>AURELIUS FIC DE FIM CP INVESTIMENTO DE EXTERIOR</v>
          </cell>
          <cell r="E20201" t="str">
            <v>JULIUS BAER FAMILY OFFICE BRASIL GESTAO DE PATRIMONIO LTDA</v>
          </cell>
        </row>
        <row r="20202">
          <cell r="B20202">
            <v>81479</v>
          </cell>
          <cell r="C20202" t="str">
            <v>AURELIUS FIC DE FIM CP INVESTIMENTO DE EXTERIOR</v>
          </cell>
          <cell r="D20202" t="str">
            <v>AURELIUS FIC DE FIM CP INVESTIMENTO DE EXTERIOR</v>
          </cell>
          <cell r="E20202" t="str">
            <v>JULIUS BAER FAMILY OFFICE BRASIL GESTAO DE PATRIMONIO LTDA</v>
          </cell>
        </row>
        <row r="20203">
          <cell r="B20203">
            <v>81480</v>
          </cell>
          <cell r="C20203" t="str">
            <v>BOA VIAGEM FIM CP IE</v>
          </cell>
          <cell r="D20203" t="str">
            <v>BOA VIAGEM FIM CP IE</v>
          </cell>
          <cell r="E20203" t="str">
            <v>JULIUS BAER FAMILY OFFICE BRASIL GESTAO DE PATRIMONIO LTDA</v>
          </cell>
        </row>
        <row r="20204">
          <cell r="B20204">
            <v>81480</v>
          </cell>
          <cell r="C20204" t="str">
            <v>BOA VIAGEM FIM CP IE</v>
          </cell>
          <cell r="D20204" t="str">
            <v>BOA VIAGEM FIM CP IE</v>
          </cell>
          <cell r="E20204" t="str">
            <v>JULIUS BAER FAMILY OFFICE BRASIL GESTAO DE PATRIMONIO LTDA</v>
          </cell>
        </row>
        <row r="20205">
          <cell r="B20205">
            <v>81481</v>
          </cell>
          <cell r="C20205" t="str">
            <v>HECARO22 FIM CP IE</v>
          </cell>
          <cell r="D20205" t="str">
            <v>HECARO22 FIM CP IE</v>
          </cell>
          <cell r="E20205" t="str">
            <v>JULIUS BAER FAMILY OFFICE BRASIL GESTAO DE PATRIMONIO LTDA</v>
          </cell>
        </row>
        <row r="20206">
          <cell r="B20206">
            <v>81481</v>
          </cell>
          <cell r="C20206" t="str">
            <v>HECARO22 FIM CP IE</v>
          </cell>
          <cell r="D20206" t="str">
            <v>HECARO22 FIM CP IE</v>
          </cell>
          <cell r="E20206" t="str">
            <v>JULIUS BAER FAMILY OFFICE BRASIL GESTAO DE PATRIMONIO LTDA</v>
          </cell>
        </row>
        <row r="20207">
          <cell r="B20207">
            <v>81482</v>
          </cell>
          <cell r="C20207" t="str">
            <v>PEVERELLA FIM CP IE</v>
          </cell>
          <cell r="D20207" t="str">
            <v>PEVERELLA FIM CP IE</v>
          </cell>
          <cell r="E20207" t="str">
            <v>JULIUS BAER FAMILY OFFICE BRASIL GESTAO DE PATRIMONIO LTDA</v>
          </cell>
        </row>
        <row r="20208">
          <cell r="B20208">
            <v>81482</v>
          </cell>
          <cell r="C20208" t="str">
            <v>PEVERELLA FIM CP IE</v>
          </cell>
          <cell r="D20208" t="str">
            <v>PEVERELLA FIM CP IE</v>
          </cell>
          <cell r="E20208" t="str">
            <v>JULIUS BAER FAMILY OFFICE BRASIL GESTAO DE PATRIMONIO LTDA</v>
          </cell>
        </row>
        <row r="20209">
          <cell r="B20209">
            <v>81483</v>
          </cell>
          <cell r="C20209" t="str">
            <v>QUIMBERLITO FIM CP IE</v>
          </cell>
          <cell r="D20209" t="str">
            <v>QUIMBERLITO FIM CP IE</v>
          </cell>
          <cell r="E20209" t="str">
            <v>JULIUS BAER FAMILY OFFICE BRASIL GESTAO DE PATRIMONIO LTDA</v>
          </cell>
        </row>
        <row r="20210">
          <cell r="B20210">
            <v>81483</v>
          </cell>
          <cell r="C20210" t="str">
            <v>QUIMBERLITO FIM CP IE</v>
          </cell>
          <cell r="D20210" t="str">
            <v>QUIMBERLITO FIM CP IE</v>
          </cell>
          <cell r="E20210" t="str">
            <v>JULIUS BAER FAMILY OFFICE BRASIL GESTAO DE PATRIMONIO LTDA</v>
          </cell>
        </row>
        <row r="20211">
          <cell r="B20211">
            <v>81484</v>
          </cell>
          <cell r="C20211" t="str">
            <v>TELLURIUM FIM CP IE</v>
          </cell>
          <cell r="D20211" t="str">
            <v>TELLURIUM FIM CP IE</v>
          </cell>
          <cell r="E20211" t="str">
            <v>JULIUS BAER FAMILY OFFICE BRASIL GESTAO DE PATRIMONIO LTDA</v>
          </cell>
        </row>
        <row r="20212">
          <cell r="B20212">
            <v>81484</v>
          </cell>
          <cell r="C20212" t="str">
            <v>TELLURIUM FIM CP IE</v>
          </cell>
          <cell r="D20212" t="str">
            <v>TELLURIUM FIM CP IE</v>
          </cell>
          <cell r="E20212" t="str">
            <v>JULIUS BAER FAMILY OFFICE BRASIL GESTAO DE PATRIMONIO LTDA</v>
          </cell>
        </row>
        <row r="20213">
          <cell r="B20213">
            <v>81485</v>
          </cell>
          <cell r="C20213" t="str">
            <v>ITAÃš ARTAX MULTIMERCADO FUNDO DE INVESTIMENTO</v>
          </cell>
          <cell r="D20213" t="str">
            <v>ITAÃš ARTAX MULTIMERCADO FUNDO DE INVESTIMENTO</v>
          </cell>
          <cell r="E20213" t="str">
            <v>ITAU UNIBANCO ASSET - TACO</v>
          </cell>
        </row>
        <row r="20214">
          <cell r="B20214">
            <v>81486</v>
          </cell>
          <cell r="C20214" t="str">
            <v>ITAÃš ARTAX ULTRA MULTIMERCADO FUNDO DE INVESTIMENTO</v>
          </cell>
          <cell r="D20214" t="str">
            <v>ITAÃš ARTAX ULTRA MULTIMERCADO FUNDO DE INVESTIMENTO</v>
          </cell>
          <cell r="E20214" t="str">
            <v>ITAU UNIBANCO ASSET - TACO</v>
          </cell>
        </row>
        <row r="20215">
          <cell r="B20215">
            <v>81487</v>
          </cell>
          <cell r="C20215" t="str">
            <v>ITAÃš FLEXPREV ARTAX MULTIMERCADO FUNDO DE INVESTIMENTO</v>
          </cell>
          <cell r="D20215" t="str">
            <v>ITAÃš FLEXPREV ARTAX MULTIMERCADO FUNDO DE INVESTIMENTO</v>
          </cell>
          <cell r="E20215" t="str">
            <v>ITAU UNIBANCO ASSET - TACO</v>
          </cell>
        </row>
        <row r="20216">
          <cell r="B20216">
            <v>81488</v>
          </cell>
          <cell r="C20216" t="str">
            <v>OCEANA LONG BIASED ADVISORY PREV MASTER FIM</v>
          </cell>
          <cell r="D20216" t="str">
            <v>OCEANA LONG BIASED ADVISORY PREV MASTER FIM</v>
          </cell>
          <cell r="E20216" t="str">
            <v>OCEANA INVESTIMENTOS ADM DE CARTEIRAS DE VALORES MOB LTDA</v>
          </cell>
        </row>
        <row r="20217">
          <cell r="B20217">
            <v>81489</v>
          </cell>
          <cell r="C20217" t="str">
            <v>WX ENERGY COMERCIALIZADORA DE ENERGIA LTDA</v>
          </cell>
          <cell r="D20217" t="str">
            <v>WX ENERGY COMERCIALIZADORA DE ENERGIA LTDA</v>
          </cell>
          <cell r="E20217" t="str">
            <v>WX ENERGY COMERCIALIZADORA DE ENERGIA LTDA</v>
          </cell>
        </row>
        <row r="20218">
          <cell r="B20218">
            <v>81489</v>
          </cell>
          <cell r="C20218" t="str">
            <v>WX ENERGY COMERCIALIZADORA DE ENERGIA LTDA</v>
          </cell>
          <cell r="D20218" t="str">
            <v>WX ENERGY COMERCIALIZADORA DE ENERGIA LTDA</v>
          </cell>
          <cell r="E20218" t="str">
            <v>WX ENERGY COMERCIALIZADORA DE ENERGIA LTDA</v>
          </cell>
        </row>
        <row r="20219">
          <cell r="B20219">
            <v>81490</v>
          </cell>
          <cell r="C20219" t="str">
            <v>RGD SOLAR DESENVOLVIMENTO LTDA</v>
          </cell>
          <cell r="D20219" t="str">
            <v>RGD SOLAR DESENVOLVIMENTO LTDA</v>
          </cell>
          <cell r="E20219" t="str">
            <v>RGD SOLAR DESENVOLVIMENTO LTDA</v>
          </cell>
        </row>
        <row r="20220">
          <cell r="B20220">
            <v>81490</v>
          </cell>
          <cell r="C20220" t="str">
            <v>RGD SOLAR DESENVOLVIMENTO LTDA</v>
          </cell>
          <cell r="D20220" t="str">
            <v>RGD SOLAR DESENVOLVIMENTO LTDA</v>
          </cell>
          <cell r="E20220" t="str">
            <v>RGD SOLAR DESENVOLVIMENTO LTDA</v>
          </cell>
        </row>
        <row r="20221">
          <cell r="B20221">
            <v>81491</v>
          </cell>
          <cell r="C20221" t="str">
            <v>PORTO SEGURO CARAVELAS FUNDO DE INVESTIMENTO MULTIMERCADO CR</v>
          </cell>
          <cell r="D20221" t="str">
            <v>PORTO SEGURO CARAVELAS FUNDO DE INVESTIMENTO MULTIMERCADO CR</v>
          </cell>
          <cell r="E20221" t="str">
            <v>PORTO SEGURO INVESTIMENTOS LTDA</v>
          </cell>
        </row>
        <row r="20222">
          <cell r="B20222">
            <v>81492</v>
          </cell>
          <cell r="C20222" t="str">
            <v>PORTO SEGURO EMPRESARIAL RENDA FIXA FUNDO DE INVESTIMENTO CR</v>
          </cell>
          <cell r="D20222" t="str">
            <v>PORTO SEGURO EMPRESARIAL RENDA FIXA FUNDO DE INVESTIMENTO CR</v>
          </cell>
          <cell r="E20222" t="str">
            <v>PORTO SEGURO INVESTIMENTOS LTDA</v>
          </cell>
        </row>
        <row r="20223">
          <cell r="B20223">
            <v>81493</v>
          </cell>
          <cell r="C20223" t="str">
            <v>PORTO SEGURO RENDA FIXA MASTER PREVIDENCIA PRIVADA FUNDO DE</v>
          </cell>
          <cell r="D20223" t="str">
            <v>PORTO SEGURO RENDA FIXA MASTER PREVIDENCIA PRIVADA FUNDO DE</v>
          </cell>
          <cell r="E20223" t="str">
            <v>PORTO SEGURO INVESTIMENTOS LTDA</v>
          </cell>
        </row>
        <row r="20224">
          <cell r="B20224">
            <v>81494</v>
          </cell>
          <cell r="C20224" t="str">
            <v>PORTO SEGURO AÃ‡Ã•ES MASTER FUNDO DE INVESTIMENTO PREVIDENCIÃR</v>
          </cell>
          <cell r="D20224" t="str">
            <v>PORTO SEGURO AÃ‡Ã•ES MASTER FUNDO DE INVESTIMENTO PREVIDENCIÃR</v>
          </cell>
          <cell r="E20224" t="str">
            <v>PORTO SEGURO INVESTIMENTOS LTDA</v>
          </cell>
        </row>
        <row r="20225">
          <cell r="B20225">
            <v>81495</v>
          </cell>
          <cell r="C20225" t="str">
            <v>PORTO SEGURO MÃSTER FUNDO DE INVESTIMENTO EM AÃ‡Ã•ES</v>
          </cell>
          <cell r="D20225" t="str">
            <v>PORTO SEGURO MÃSTER FUNDO DE INVESTIMENTO EM AÃ‡Ã•ES</v>
          </cell>
          <cell r="E20225" t="str">
            <v>PORTO SEGURO INVESTIMENTOS LTDA</v>
          </cell>
        </row>
        <row r="20226">
          <cell r="B20226">
            <v>81495</v>
          </cell>
          <cell r="C20226" t="str">
            <v>PORTO SEGURO MÃSTER FUNDO DE INVESTIMENTO EM AÃ‡Ã•ES</v>
          </cell>
          <cell r="D20226" t="str">
            <v>PORTO SEGURO MÃSTER FUNDO DE INVESTIMENTO EM AÃ‡Ã•ES</v>
          </cell>
          <cell r="E20226" t="str">
            <v>PORTO SEGURO INVESTIMENTOS LTDA</v>
          </cell>
        </row>
        <row r="20227">
          <cell r="B20227">
            <v>81496</v>
          </cell>
          <cell r="C20227" t="str">
            <v>PORTO SEGURO RENDA FIXA MASTER FUNDO DE INVESTIMENTO PREVIDE</v>
          </cell>
          <cell r="D20227" t="str">
            <v>PORTO SEGURO RENDA FIXA MASTER FUNDO DE INVESTIMENTO PREVIDE</v>
          </cell>
          <cell r="E20227" t="str">
            <v>PORTO SEGURO INVESTIMENTOS LTDA</v>
          </cell>
        </row>
        <row r="20228">
          <cell r="B20228">
            <v>81497</v>
          </cell>
          <cell r="C20228" t="str">
            <v>PORTO SEGURO MACRO MASTER FUNDO DE INVESTIMENTO MULTIMERCADO</v>
          </cell>
          <cell r="D20228" t="str">
            <v>PORTO SEGURO MACRO MASTER FUNDO DE INVESTIMENTO MULTIMERCADO</v>
          </cell>
          <cell r="E20228" t="str">
            <v>PORTO SEGURO INVESTIMENTOS LTDA</v>
          </cell>
        </row>
        <row r="20229">
          <cell r="B20229">
            <v>81497</v>
          </cell>
          <cell r="C20229" t="str">
            <v>PORTO SEGURO MACRO MASTER FUNDO DE INVESTIMENTO MULTIMERCADO</v>
          </cell>
          <cell r="D20229" t="str">
            <v>PORTO SEGURO MACRO MASTER FUNDO DE INVESTIMENTO MULTIMERCADO</v>
          </cell>
          <cell r="E20229" t="str">
            <v>PORTO SEGURO INVESTIMENTOS LTDA</v>
          </cell>
        </row>
        <row r="20230">
          <cell r="B20230">
            <v>81498</v>
          </cell>
          <cell r="C20230" t="str">
            <v>PORTO SEGURO SELECTA MASTER FIA</v>
          </cell>
          <cell r="D20230" t="str">
            <v>PORTO SEGURO SELECTA MASTER FIA</v>
          </cell>
          <cell r="E20230" t="str">
            <v>PORTO SEGURO INVESTIMENTOS LTDA</v>
          </cell>
        </row>
        <row r="20231">
          <cell r="B20231">
            <v>81498</v>
          </cell>
          <cell r="C20231" t="str">
            <v>PORTO SEGURO SELECTA MASTER FIA</v>
          </cell>
          <cell r="D20231" t="str">
            <v>PORTO SEGURO SELECTA MASTER FIA</v>
          </cell>
          <cell r="E20231" t="str">
            <v>PORTO SEGURO INVESTIMENTOS LTDA</v>
          </cell>
        </row>
        <row r="20232">
          <cell r="B20232">
            <v>81504</v>
          </cell>
          <cell r="C20232" t="str">
            <v>CTR FIM CP IE</v>
          </cell>
          <cell r="D20232" t="str">
            <v>CTR FIM CP IE</v>
          </cell>
          <cell r="E20232" t="str">
            <v>JULIUS BAER FAMILY OFFICE BRASIL GESTAO DE PATRIMONIO LTDA</v>
          </cell>
        </row>
        <row r="20233">
          <cell r="B20233">
            <v>81504</v>
          </cell>
          <cell r="C20233" t="str">
            <v>CTR FIM CP IE</v>
          </cell>
          <cell r="D20233" t="str">
            <v>CTR FIM CP IE</v>
          </cell>
          <cell r="E20233" t="str">
            <v>JULIUS BAER FAMILY OFFICE BRASIL GESTAO DE PATRIMONIO LTDA</v>
          </cell>
        </row>
        <row r="20234">
          <cell r="B20234">
            <v>81505</v>
          </cell>
          <cell r="C20234" t="str">
            <v>M SQUARE ACCESS FUND I FUNDO DE INVESTIMENTO MULTIMERCADO IE</v>
          </cell>
          <cell r="D20234" t="str">
            <v>M SQUARE ACCESS FUND I FUNDO DE INVESTIMENTO MULTIMERCADO IE</v>
          </cell>
          <cell r="E20234" t="str">
            <v>M SQUARE INVESTIMENTOS LTDA.</v>
          </cell>
        </row>
        <row r="20235">
          <cell r="B20235">
            <v>81505</v>
          </cell>
          <cell r="C20235" t="str">
            <v>M SQUARE ACCESS FUND I FUNDO DE INVESTIMENTO MULTIMERCADO IE</v>
          </cell>
          <cell r="D20235" t="str">
            <v>M SQUARE ACCESS FUND I FUNDO DE INVESTIMENTO MULTIMERCADO IE</v>
          </cell>
          <cell r="E20235" t="str">
            <v>M SQUARE INVESTIMENTOS LTDA.</v>
          </cell>
        </row>
        <row r="20236">
          <cell r="B20236">
            <v>81506</v>
          </cell>
          <cell r="C20236" t="str">
            <v>LATO CAPITAL LTDA</v>
          </cell>
          <cell r="D20236" t="str">
            <v>LATO CAPITAL LTDA</v>
          </cell>
          <cell r="E20236" t="str">
            <v>LATO CAPITAL LTDA</v>
          </cell>
        </row>
        <row r="20237">
          <cell r="B20237">
            <v>81507</v>
          </cell>
          <cell r="C20237" t="str">
            <v>BANCO BRADESCO S/A</v>
          </cell>
          <cell r="D20237" t="str">
            <v>BANCO BRADESCO S/A</v>
          </cell>
          <cell r="E20237" t="str">
            <v>BANCO BRADESCO S/A</v>
          </cell>
        </row>
        <row r="20238">
          <cell r="B20238">
            <v>81508</v>
          </cell>
          <cell r="C20238" t="str">
            <v>BTG PACTUAL ABSOLUTO LS MASTER FIM</v>
          </cell>
          <cell r="D20238" t="str">
            <v>BTG PACTUAL ABSOLUTO LS MASTER FIM</v>
          </cell>
          <cell r="E20238" t="str">
            <v>BTG PACTUAL ASSET MANAGEMENT SA DTVM</v>
          </cell>
        </row>
        <row r="20239">
          <cell r="B20239">
            <v>81508</v>
          </cell>
          <cell r="C20239" t="str">
            <v>BTG PACTUAL ABSOLUTO LS MASTER FIM</v>
          </cell>
          <cell r="D20239" t="str">
            <v>BTG PACTUAL ABSOLUTO LS MASTER FIM</v>
          </cell>
          <cell r="E20239" t="str">
            <v>BTG PACTUAL ASSET MANAGEMENT SA DTVM</v>
          </cell>
        </row>
        <row r="20240">
          <cell r="B20240">
            <v>81509</v>
          </cell>
          <cell r="C20240" t="str">
            <v>BTG PACTUAL ESG FUNDO DE ÃNDICE S&amp;P/B3 BRAZIL ESG</v>
          </cell>
          <cell r="D20240" t="str">
            <v>BTG PACTUAL ESG FUNDO DE ÃNDICE S&amp;P/B3 BRAZIL ESG</v>
          </cell>
          <cell r="E20240" t="str">
            <v>BTG PACTUAL ASSET MANAGEMENT SA DTVM</v>
          </cell>
        </row>
        <row r="20241">
          <cell r="B20241">
            <v>81510</v>
          </cell>
          <cell r="C20241" t="str">
            <v>BTG PACTUAL B3 IBOVESPA FUNDO DE ÃNDICE</v>
          </cell>
          <cell r="D20241" t="str">
            <v>BTG PACTUAL B3 IBOVESPA FUNDO DE ÃNDICE</v>
          </cell>
          <cell r="E20241" t="str">
            <v>BTG PACTUAL ASSET MANAGEMENT SA DTVM</v>
          </cell>
        </row>
        <row r="20242">
          <cell r="B20242">
            <v>81511</v>
          </cell>
          <cell r="C20242" t="str">
            <v>BTG PACTUAL ABSOLUTO LS MASTER PREV FIM</v>
          </cell>
          <cell r="D20242" t="str">
            <v>BTG PACTUAL ABSOLUTO LS MASTER PREV FIM</v>
          </cell>
          <cell r="E20242" t="str">
            <v>BTG PACTUAL ASSET MANAGEMENT SA DTVM</v>
          </cell>
        </row>
        <row r="20243">
          <cell r="B20243">
            <v>81512</v>
          </cell>
          <cell r="C20243" t="str">
            <v>BTG PACTUAL TEVA ACOES COMMODITIES BRASIL FUNDO DE INDICE</v>
          </cell>
          <cell r="D20243" t="str">
            <v>BTG PACTUAL TEVA ACOES COMMODITIES BRASIL FUNDO DE INDICE</v>
          </cell>
          <cell r="E20243" t="str">
            <v>BTG PACTUAL ASSET MANAGEMENT SA DTVM</v>
          </cell>
        </row>
        <row r="20244">
          <cell r="B20244">
            <v>81513</v>
          </cell>
          <cell r="C20244" t="str">
            <v>BTG PACTUAL REFERENCE GLOBAL TECH FIA</v>
          </cell>
          <cell r="D20244" t="str">
            <v>BTG PACTUAL REFERENCE GLOBAL TECH FIA</v>
          </cell>
          <cell r="E20244" t="str">
            <v>BTG PACTUAL ASSET MANAGEMENT SA DTVM</v>
          </cell>
        </row>
        <row r="20245">
          <cell r="B20245">
            <v>81514</v>
          </cell>
          <cell r="C20245" t="str">
            <v>CARTEIRA INSTITUCIONAL 53 FIM CP</v>
          </cell>
          <cell r="D20245" t="str">
            <v>CARTEIRA INSTITUCIONAL 53 FIM CP</v>
          </cell>
          <cell r="E20245" t="str">
            <v>ITAU UNIBANCO ASSET - TACO</v>
          </cell>
        </row>
        <row r="20246">
          <cell r="B20246">
            <v>81515</v>
          </cell>
          <cell r="C20246" t="str">
            <v>ITAÃš FLEXPREV ARTAX II MULTIMERCADO FUNDO DE INVESTIMENTO</v>
          </cell>
          <cell r="D20246" t="str">
            <v>ITAÃš FLEXPREV ARTAX II MULTIMERCADO FUNDO DE INVESTIMENTO</v>
          </cell>
          <cell r="E20246" t="str">
            <v>ITAU UNIBANCO ASSET - TACO</v>
          </cell>
        </row>
        <row r="20247">
          <cell r="B20247">
            <v>81515</v>
          </cell>
          <cell r="C20247" t="str">
            <v>ITAÃš FLEXPREV ARTAX II MULTIMERCADO FUNDO DE INVESTIMENTO</v>
          </cell>
          <cell r="D20247" t="str">
            <v>ITAÃš FLEXPREV ARTAX II MULTIMERCADO FUNDO DE INVESTIMENTO</v>
          </cell>
          <cell r="E20247" t="str">
            <v>ITAU UNIBANCO ASSET - TACO</v>
          </cell>
        </row>
        <row r="20248">
          <cell r="B20248">
            <v>81516</v>
          </cell>
          <cell r="C20248" t="str">
            <v>ITAÃš FLEXPREV QUANTAMENTAL HEDGE MULTIMERCADO FI</v>
          </cell>
          <cell r="D20248" t="str">
            <v>ITAÃš FLEXPREV QUANTAMENTAL HEDGE MULTIMERCADO FI</v>
          </cell>
          <cell r="E20248" t="str">
            <v>ITAU UNIBANCO ASSET - TACO</v>
          </cell>
        </row>
        <row r="20249">
          <cell r="B20249">
            <v>81516</v>
          </cell>
          <cell r="C20249" t="str">
            <v>ITAÃš FLEXPREV QUANTAMENTAL HEDGE MULTIMERCADO FI</v>
          </cell>
          <cell r="D20249" t="str">
            <v>ITAÃš FLEXPREV QUANTAMENTAL HEDGE MULTIMERCADO FI</v>
          </cell>
          <cell r="E20249" t="str">
            <v>ITAU UNIBANCO ASSET - TACO</v>
          </cell>
        </row>
        <row r="20250">
          <cell r="B20250">
            <v>81517</v>
          </cell>
          <cell r="C20250" t="str">
            <v>PREV SB 40 FIF CIC MULT RL</v>
          </cell>
          <cell r="D20250" t="str">
            <v>PREV SB 40 FIF CIC MULT RL</v>
          </cell>
          <cell r="E20250" t="str">
            <v>ITAU UNIBANCO ASSET - TACO</v>
          </cell>
        </row>
        <row r="20251">
          <cell r="B20251">
            <v>81518</v>
          </cell>
          <cell r="C20251" t="str">
            <v>BTG PACTUAL SEP/B3 INGENIUS FUNDO DE INDICE</v>
          </cell>
          <cell r="D20251" t="str">
            <v>BTG PACTUAL SEP/B3 INGENIUS FUNDO DE INDICE</v>
          </cell>
          <cell r="E20251" t="str">
            <v>BTG PACTUAL ASSET MANAGEMENT SA DTVM</v>
          </cell>
        </row>
        <row r="20252">
          <cell r="B20252">
            <v>81519</v>
          </cell>
          <cell r="C20252" t="str">
            <v>PREVIDENCIÃRIO SB DEZ MULTIMERCADO FI EM COTAS DE FI</v>
          </cell>
          <cell r="D20252" t="str">
            <v>PREVIDENCIÃRIO SB DEZ MULTIMERCADO FI EM COTAS DE FI</v>
          </cell>
          <cell r="E20252" t="str">
            <v>ITAU UNIBANCO ASSET - TACO</v>
          </cell>
        </row>
        <row r="20253">
          <cell r="B20253">
            <v>81520</v>
          </cell>
          <cell r="C20253" t="str">
            <v>PREV SB 20 FIF CIC MULT RL</v>
          </cell>
          <cell r="D20253" t="str">
            <v>PREV SB 20 FIF CIC MULT RL</v>
          </cell>
          <cell r="E20253" t="str">
            <v>ITAU UNIBANCO ASSET - TACO</v>
          </cell>
        </row>
        <row r="20254">
          <cell r="B20254">
            <v>81521</v>
          </cell>
          <cell r="C20254" t="str">
            <v>OCEANA LONG BIASED PREV II FIM</v>
          </cell>
          <cell r="D20254" t="str">
            <v>OCEANA LONG BIASED PREV II FIM</v>
          </cell>
          <cell r="E20254" t="str">
            <v>OCEANA INVESTIMENTOS ADM DE CARTEIRAS DE VALORES MOB LTDA</v>
          </cell>
        </row>
        <row r="20255">
          <cell r="B20255">
            <v>81522</v>
          </cell>
          <cell r="C20255" t="str">
            <v>OCEANA PREV MASTER FIFE FUNDO DE INVESTIMENTO MULTIMERCADO</v>
          </cell>
          <cell r="D20255" t="str">
            <v>OCEANA PREV MASTER FIFE FUNDO DE INVESTIMENTO MULTIMERCADO</v>
          </cell>
          <cell r="E20255" t="str">
            <v>OCEANA INVESTIMENTOS ADM DE CARTEIRAS DE VALORES MOB LTDA</v>
          </cell>
        </row>
        <row r="20256">
          <cell r="B20256">
            <v>81523</v>
          </cell>
          <cell r="C20256" t="str">
            <v>APEX LONG BIASED MULTIMERCADO FUNDO DE INVESTIMENTO</v>
          </cell>
          <cell r="D20256" t="str">
            <v>APEX LONG BIASED MULTIMERCADO FUNDO DE INVESTIMENTO</v>
          </cell>
          <cell r="E20256" t="str">
            <v>APEX CAPITAL LTDA</v>
          </cell>
        </row>
        <row r="20257">
          <cell r="B20257">
            <v>81524</v>
          </cell>
          <cell r="C20257" t="str">
            <v>APEX LONG BIASED MULTIMERCADO FUNDO DE INVESTIMENTO</v>
          </cell>
          <cell r="D20257" t="str">
            <v>APEX LONG BIASED MULTIMERCADO FUNDO DE INVESTIMENTO</v>
          </cell>
          <cell r="E20257" t="str">
            <v>APEX CAPITAL LTDA</v>
          </cell>
        </row>
        <row r="20258">
          <cell r="B20258">
            <v>81525</v>
          </cell>
          <cell r="C20258" t="str">
            <v>APEX LONG BIASED MULTIMERCADO FUNDO DE INVESTIMENTO</v>
          </cell>
          <cell r="D20258" t="str">
            <v>APEX LONG BIASED MULTIMERCADO FUNDO DE INVESTIMENTO</v>
          </cell>
          <cell r="E20258" t="str">
            <v>APEX CAPITAL LTDA</v>
          </cell>
        </row>
        <row r="20259">
          <cell r="B20259">
            <v>81523</v>
          </cell>
          <cell r="C20259" t="str">
            <v>APEX LONG BIASED MULTIMERCADO FUNDO DE INVESTIMENTO</v>
          </cell>
          <cell r="D20259" t="str">
            <v>APEX LONG BIASED MULTIMERCADO FUNDO DE INVESTIMENTO</v>
          </cell>
          <cell r="E20259" t="str">
            <v>APEX CAPITAL LTDA</v>
          </cell>
        </row>
        <row r="20260">
          <cell r="B20260">
            <v>81524</v>
          </cell>
          <cell r="C20260" t="str">
            <v>APEX LONG BIASED MULTIMERCADO FUNDO DE INVESTIMENTO</v>
          </cell>
          <cell r="D20260" t="str">
            <v>APEX LONG BIASED MULTIMERCADO FUNDO DE INVESTIMENTO</v>
          </cell>
          <cell r="E20260" t="str">
            <v>APEX CAPITAL LTDA</v>
          </cell>
        </row>
        <row r="20261">
          <cell r="B20261">
            <v>81525</v>
          </cell>
          <cell r="C20261" t="str">
            <v>APEX LONG BIASED MULTIMERCADO FUNDO DE INVESTIMENTO</v>
          </cell>
          <cell r="D20261" t="str">
            <v>APEX LONG BIASED MULTIMERCADO FUNDO DE INVESTIMENTO</v>
          </cell>
          <cell r="E20261" t="str">
            <v>APEX CAPITAL LTDA</v>
          </cell>
        </row>
        <row r="20262">
          <cell r="B20262">
            <v>81526</v>
          </cell>
          <cell r="C20262" t="str">
            <v>VENICE ICATU QUALIFICADO PREVIDENCIÃRIO FIM CP</v>
          </cell>
          <cell r="D20262" t="str">
            <v>VENICE ICATU QUALIFICADO PREVIDENCIÃRIO FIM CP</v>
          </cell>
          <cell r="E20262" t="str">
            <v>JULIUS BAER FAMILY OFFICE BRASIL GESTAO DE PATRIMONIO LTDA</v>
          </cell>
        </row>
        <row r="20263">
          <cell r="B20263">
            <v>81526</v>
          </cell>
          <cell r="C20263" t="str">
            <v>VENICE ICATU QUALIFICADO PREVIDENCIÃRIO FIM CP</v>
          </cell>
          <cell r="D20263" t="str">
            <v>VENICE ICATU QUALIFICADO PREVIDENCIÃRIO FIM CP</v>
          </cell>
          <cell r="E20263" t="str">
            <v>JULIUS BAER FAMILY OFFICE BRASIL GESTAO DE PATRIMONIO LTDA</v>
          </cell>
        </row>
        <row r="20264">
          <cell r="B20264">
            <v>81527</v>
          </cell>
          <cell r="C20264" t="str">
            <v>BAUMER FIM CP IE</v>
          </cell>
          <cell r="D20264" t="str">
            <v>BAUMER FIM CP IE</v>
          </cell>
          <cell r="E20264" t="str">
            <v>JULIUS BAER FAMILY OFFICE BRASIL GESTAO DE PATRIMONIO LTDA</v>
          </cell>
        </row>
        <row r="20265">
          <cell r="B20265">
            <v>81527</v>
          </cell>
          <cell r="C20265" t="str">
            <v>BAUMER FIM CP IE</v>
          </cell>
          <cell r="D20265" t="str">
            <v>BAUMER FIM CP IE</v>
          </cell>
          <cell r="E20265" t="str">
            <v>JULIUS BAER FAMILY OFFICE BRASIL GESTAO DE PATRIMONIO LTDA</v>
          </cell>
        </row>
        <row r="20266">
          <cell r="B20266">
            <v>81528</v>
          </cell>
          <cell r="C20266" t="str">
            <v>CONDO FIM CRPR IE</v>
          </cell>
          <cell r="D20266" t="str">
            <v>CONDO FIM CRPR IE</v>
          </cell>
          <cell r="E20266" t="str">
            <v>JULIUS BAER FAMILY OFFICE BRASIL GESTAO DE PATRIMONIO LTDA</v>
          </cell>
        </row>
        <row r="20267">
          <cell r="B20267">
            <v>81528</v>
          </cell>
          <cell r="C20267" t="str">
            <v>CONDO FIM CRPR IE</v>
          </cell>
          <cell r="D20267" t="str">
            <v>CONDO FIM CRPR IE</v>
          </cell>
          <cell r="E20267" t="str">
            <v>JULIUS BAER FAMILY OFFICE BRASIL GESTAO DE PATRIMONIO LTDA</v>
          </cell>
        </row>
        <row r="20268">
          <cell r="B20268">
            <v>81529</v>
          </cell>
          <cell r="C20268" t="str">
            <v>GAMA UN II FIM CP IE</v>
          </cell>
          <cell r="D20268" t="str">
            <v>GAMA UN II FIM CP IE</v>
          </cell>
          <cell r="E20268" t="str">
            <v>JULIUS BAER FAMILY OFFICE BRASIL GESTAO DE PATRIMONIO LTDA</v>
          </cell>
        </row>
        <row r="20269">
          <cell r="B20269">
            <v>81529</v>
          </cell>
          <cell r="C20269" t="str">
            <v>GAMA UN II FIM CP IE</v>
          </cell>
          <cell r="D20269" t="str">
            <v>GAMA UN II FIM CP IE</v>
          </cell>
          <cell r="E20269" t="str">
            <v>JULIUS BAER FAMILY OFFICE BRASIL GESTAO DE PATRIMONIO LTDA</v>
          </cell>
        </row>
        <row r="20270">
          <cell r="B20270">
            <v>81530</v>
          </cell>
          <cell r="C20270" t="str">
            <v>GARIBALDI FIM CP IE IP</v>
          </cell>
          <cell r="D20270" t="str">
            <v>GARIBALDI FIM CP IE IP</v>
          </cell>
          <cell r="E20270" t="str">
            <v>JULIUS BAER FAMILY OFFICE BRASIL GESTAO DE PATRIMONIO LTDA</v>
          </cell>
        </row>
        <row r="20271">
          <cell r="B20271">
            <v>81530</v>
          </cell>
          <cell r="C20271" t="str">
            <v>GARIBALDI FIM CP IE IP</v>
          </cell>
          <cell r="D20271" t="str">
            <v>GARIBALDI FIM CP IE IP</v>
          </cell>
          <cell r="E20271" t="str">
            <v>JULIUS BAER FAMILY OFFICE BRASIL GESTAO DE PATRIMONIO LTDA</v>
          </cell>
        </row>
        <row r="20272">
          <cell r="B20272">
            <v>81531</v>
          </cell>
          <cell r="C20272" t="str">
            <v>JABEOL 7 FIM CP IE</v>
          </cell>
          <cell r="D20272" t="str">
            <v>JABEOL 7 FIM CP IE</v>
          </cell>
          <cell r="E20272" t="str">
            <v>JULIUS BAER FAMILY OFFICE BRASIL GESTAO DE PATRIMONIO LTDA</v>
          </cell>
        </row>
        <row r="20273">
          <cell r="B20273">
            <v>81531</v>
          </cell>
          <cell r="C20273" t="str">
            <v>JABEOL 7 FIM CP IE</v>
          </cell>
          <cell r="D20273" t="str">
            <v>JABEOL 7 FIM CP IE</v>
          </cell>
          <cell r="E20273" t="str">
            <v>JULIUS BAER FAMILY OFFICE BRASIL GESTAO DE PATRIMONIO LTDA</v>
          </cell>
        </row>
        <row r="20274">
          <cell r="B20274">
            <v>81532</v>
          </cell>
          <cell r="C20274" t="str">
            <v>KAPPA II FIM CP IE</v>
          </cell>
          <cell r="D20274" t="str">
            <v>KAPPA II FIM CP IE</v>
          </cell>
          <cell r="E20274" t="str">
            <v>JULIUS BAER FAMILY OFFICE BRASIL GESTAO DE PATRIMONIO LTDA</v>
          </cell>
        </row>
        <row r="20275">
          <cell r="B20275">
            <v>81532</v>
          </cell>
          <cell r="C20275" t="str">
            <v>KAPPA II FIM CP IE</v>
          </cell>
          <cell r="D20275" t="str">
            <v>KAPPA II FIM CP IE</v>
          </cell>
          <cell r="E20275" t="str">
            <v>JULIUS BAER FAMILY OFFICE BRASIL GESTAO DE PATRIMONIO LTDA</v>
          </cell>
        </row>
        <row r="20276">
          <cell r="B20276">
            <v>81533</v>
          </cell>
          <cell r="C20276" t="str">
            <v>NICA FIA BDR NÃVEL I</v>
          </cell>
          <cell r="D20276" t="str">
            <v>NICA FIA BDR NÃVEL I</v>
          </cell>
          <cell r="E20276" t="str">
            <v>JULIUS BAER FAMILY OFFICE BRASIL GESTAO DE PATRIMONIO LTDA</v>
          </cell>
        </row>
        <row r="20277">
          <cell r="B20277">
            <v>81533</v>
          </cell>
          <cell r="C20277" t="str">
            <v>NICA FIA BDR NÃVEL I</v>
          </cell>
          <cell r="D20277" t="str">
            <v>NICA FIA BDR NÃVEL I</v>
          </cell>
          <cell r="E20277" t="str">
            <v>JULIUS BAER FAMILY OFFICE BRASIL GESTAO DE PATRIMONIO LTDA</v>
          </cell>
        </row>
        <row r="20278">
          <cell r="B20278">
            <v>81534</v>
          </cell>
          <cell r="C20278" t="str">
            <v>OR FIM CP IE</v>
          </cell>
          <cell r="D20278" t="str">
            <v>OR FIM CP IE</v>
          </cell>
          <cell r="E20278" t="str">
            <v>JULIUS BAER FAMILY OFFICE BRASIL GESTAO DE PATRIMONIO LTDA</v>
          </cell>
        </row>
        <row r="20279">
          <cell r="B20279">
            <v>81534</v>
          </cell>
          <cell r="C20279" t="str">
            <v>OR FIM CP IE</v>
          </cell>
          <cell r="D20279" t="str">
            <v>OR FIM CP IE</v>
          </cell>
          <cell r="E20279" t="str">
            <v>JULIUS BAER FAMILY OFFICE BRASIL GESTAO DE PATRIMONIO LTDA</v>
          </cell>
        </row>
        <row r="20280">
          <cell r="B20280">
            <v>81535</v>
          </cell>
          <cell r="C20280" t="str">
            <v>SONG III FIM CP IE</v>
          </cell>
          <cell r="D20280" t="str">
            <v>SONG III FIM CP IE</v>
          </cell>
          <cell r="E20280" t="str">
            <v>JULIUS BAER FAMILY OFFICE BRASIL GESTAO DE PATRIMONIO LTDA</v>
          </cell>
        </row>
        <row r="20281">
          <cell r="B20281">
            <v>81535</v>
          </cell>
          <cell r="C20281" t="str">
            <v>SONG III FIM CP IE</v>
          </cell>
          <cell r="D20281" t="str">
            <v>SONG III FIM CP IE</v>
          </cell>
          <cell r="E20281" t="str">
            <v>JULIUS BAER FAMILY OFFICE BRASIL GESTAO DE PATRIMONIO LTDA</v>
          </cell>
        </row>
        <row r="20282">
          <cell r="B20282">
            <v>81536</v>
          </cell>
          <cell r="C20282" t="str">
            <v>TAO II FIM CP IE</v>
          </cell>
          <cell r="D20282" t="str">
            <v>TAO II FIM CP IE</v>
          </cell>
          <cell r="E20282" t="str">
            <v>JULIUS BAER FAMILY OFFICE BRASIL GESTAO DE PATRIMONIO LTDA</v>
          </cell>
        </row>
        <row r="20283">
          <cell r="B20283">
            <v>81536</v>
          </cell>
          <cell r="C20283" t="str">
            <v>TAO II FIM CP IE</v>
          </cell>
          <cell r="D20283" t="str">
            <v>TAO II FIM CP IE</v>
          </cell>
          <cell r="E20283" t="str">
            <v>JULIUS BAER FAMILY OFFICE BRASIL GESTAO DE PATRIMONIO LTDA</v>
          </cell>
        </row>
        <row r="20284">
          <cell r="B20284">
            <v>81537</v>
          </cell>
          <cell r="C20284" t="str">
            <v>SAFRA FUNDO MÃšTUO DE PRIVATIZAÃ‡ÃƒO - FGTS ELETROBRAS</v>
          </cell>
          <cell r="D20284" t="str">
            <v>SAFRA FUNDO MÃšTUO DE PRIVATIZAÃ‡ÃƒO - FGTS ELETROBRAS</v>
          </cell>
          <cell r="E20284" t="str">
            <v>EMERALD GESTAO DE INVESTIMENTOS LTDA</v>
          </cell>
        </row>
        <row r="20285">
          <cell r="B20285">
            <v>81538</v>
          </cell>
          <cell r="C20285" t="str">
            <v>SPX EQUITIES GESTAO DE RECURSOS LTDA</v>
          </cell>
          <cell r="D20285" t="str">
            <v>SPX EQUITIES GESTAO DE RECURSOS LTDA</v>
          </cell>
          <cell r="E20285" t="str">
            <v>SPX GESTAO DE RECURSOS LTDA</v>
          </cell>
        </row>
        <row r="20286">
          <cell r="B20286">
            <v>81539</v>
          </cell>
          <cell r="C20286" t="str">
            <v>SPX EQUITIES GESTAO DE RECURSOS LTDA</v>
          </cell>
          <cell r="D20286" t="str">
            <v>SPX EQUITIES GESTAO DE RECURSOS LTDA</v>
          </cell>
          <cell r="E20286" t="str">
            <v>SPX GESTAO DE RECURSOS LTDA</v>
          </cell>
        </row>
        <row r="20287">
          <cell r="B20287">
            <v>81538</v>
          </cell>
          <cell r="C20287" t="str">
            <v>SPX EQUITIES GESTAO DE RECURSOS LTDA</v>
          </cell>
          <cell r="D20287" t="str">
            <v>SPX EQUITIES GESTAO DE RECURSOS LTDA</v>
          </cell>
          <cell r="E20287" t="str">
            <v>SPX GESTAO DE RECURSOS LTDA</v>
          </cell>
        </row>
        <row r="20288">
          <cell r="B20288">
            <v>81539</v>
          </cell>
          <cell r="C20288" t="str">
            <v>SPX EQUITIES GESTAO DE RECURSOS LTDA</v>
          </cell>
          <cell r="D20288" t="str">
            <v>SPX EQUITIES GESTAO DE RECURSOS LTDA</v>
          </cell>
          <cell r="E20288" t="str">
            <v>SPX GESTAO DE RECURSOS LTDA</v>
          </cell>
        </row>
        <row r="20289">
          <cell r="B20289">
            <v>125747</v>
          </cell>
          <cell r="C20289" t="str">
            <v>BB GESTAO DE RECURSOS DTVM LTDA</v>
          </cell>
          <cell r="D20289" t="str">
            <v>BB GESTAO DE RECURSOS DTVM LTDA</v>
          </cell>
          <cell r="E20289" t="str">
            <v>BB GESTAO DE RECURSOS DTVM LTDA</v>
          </cell>
        </row>
        <row r="20290">
          <cell r="B20290">
            <v>81540</v>
          </cell>
          <cell r="C20290" t="str">
            <v>VITREO AWP FUNDO DE INVESTIMENTO MULTIMERCADO IE</v>
          </cell>
          <cell r="D20290" t="str">
            <v>VITREO AWP FUNDO DE INVESTIMENTO MULTIMERCADO IE</v>
          </cell>
          <cell r="E20290" t="str">
            <v>EMPIRICUS GESTAO DE RECURSOS LTDA</v>
          </cell>
        </row>
        <row r="20291">
          <cell r="B20291">
            <v>81540</v>
          </cell>
          <cell r="C20291" t="str">
            <v>VITREO AWP FUNDO DE INVESTIMENTO MULTIMERCADO IE</v>
          </cell>
          <cell r="D20291" t="str">
            <v>VITREO AWP FUNDO DE INVESTIMENTO MULTIMERCADO IE</v>
          </cell>
          <cell r="E20291" t="str">
            <v>EMPIRICUS GESTAO DE RECURSOS LTDA</v>
          </cell>
        </row>
        <row r="20292">
          <cell r="B20292">
            <v>81542</v>
          </cell>
          <cell r="C20292" t="str">
            <v>INST PREV SOCIAL DOS SERV PUBLICOS DO MUNI DE TAIO/TAIOPREV</v>
          </cell>
          <cell r="D20292" t="str">
            <v>INST PREV SOCIAL DOS SERV PUBLICOS DO MUNI DE TAIO/TAIOPREV</v>
          </cell>
          <cell r="E20292" t="str">
            <v>RPPS TAIOTAIOPREV</v>
          </cell>
        </row>
        <row r="20293">
          <cell r="B20293">
            <v>81542</v>
          </cell>
          <cell r="C20293" t="str">
            <v>INST PREV SOCIAL DOS SERV PUBLICOS DO MUNI DE TAIO/TAIOPREV</v>
          </cell>
          <cell r="D20293" t="str">
            <v>INST PREV SOCIAL DOS SERV PUBLICOS DO MUNI DE TAIO/TAIOPREV</v>
          </cell>
          <cell r="E20293" t="str">
            <v>RPPS TAIOTAIOPREV</v>
          </cell>
        </row>
        <row r="20294">
          <cell r="B20294">
            <v>125748</v>
          </cell>
          <cell r="C20294" t="str">
            <v>BB GESTAO DE RECURSOS DTVM LTDA</v>
          </cell>
          <cell r="D20294" t="str">
            <v>BB GESTAO DE RECURSOS DTVM LTDA</v>
          </cell>
          <cell r="E20294" t="str">
            <v>BB GESTAO DE RECURSOS DTVM LTDA</v>
          </cell>
        </row>
        <row r="20295">
          <cell r="B20295">
            <v>81544</v>
          </cell>
          <cell r="C20295" t="str">
            <v>TRUXT VALOR B PREVIDENCIA FIFE MASTER FIA</v>
          </cell>
          <cell r="D20295" t="str">
            <v>TRUXT VALOR B PREVIDENCIA FIFE MASTER FIA</v>
          </cell>
          <cell r="E20295" t="str">
            <v>TRUXT INVESTIMENTOS LTDA</v>
          </cell>
        </row>
        <row r="20296">
          <cell r="B20296">
            <v>125749</v>
          </cell>
          <cell r="C20296" t="str">
            <v>BB GESTAO DE RECURSOS DTVM LTDA</v>
          </cell>
          <cell r="D20296" t="str">
            <v>BB GESTAO DE RECURSOS DTVM LTDA</v>
          </cell>
          <cell r="E20296" t="str">
            <v>BB GESTAO DE RECURSOS DTVM LTDA</v>
          </cell>
        </row>
        <row r="20297">
          <cell r="B20297">
            <v>81545</v>
          </cell>
          <cell r="C20297" t="str">
            <v>SV2 EQUITY LLC</v>
          </cell>
          <cell r="D20297" t="str">
            <v>SV2 EQUITY LLC</v>
          </cell>
          <cell r="E20297" t="str">
            <v>SQUADRA INVESTIMENTOS GESTÃƒO DE RECURSOS LTDA</v>
          </cell>
        </row>
        <row r="20298">
          <cell r="B20298">
            <v>81543</v>
          </cell>
          <cell r="C20298" t="str">
            <v>SV3 EQUITY LLC</v>
          </cell>
          <cell r="D20298" t="str">
            <v>SV3 EQUITY LLC</v>
          </cell>
          <cell r="E20298" t="str">
            <v>SQUADRA INVESTIMENTOS GESTÃƒO DE RECURSOS LTDA</v>
          </cell>
        </row>
        <row r="20299">
          <cell r="B20299">
            <v>81543</v>
          </cell>
          <cell r="C20299" t="str">
            <v>SV3 EQUITY LLC</v>
          </cell>
          <cell r="D20299" t="str">
            <v>SV3 EQUITY LLC</v>
          </cell>
          <cell r="E20299" t="str">
            <v>SQUADRA INVESTIMENTOS GESTÃƒO DE RECURSOS LTDA</v>
          </cell>
        </row>
        <row r="20300">
          <cell r="B20300">
            <v>81546</v>
          </cell>
          <cell r="C20300" t="str">
            <v>BAOBA MARROM FIM CP IE</v>
          </cell>
          <cell r="D20300" t="str">
            <v>BAOBA MARROM FIM CP IE</v>
          </cell>
          <cell r="E20300" t="str">
            <v>JULIUS BAER FAMILY OFFICE BRASIL GESTAO DE PATRIMONIO LTDA</v>
          </cell>
        </row>
        <row r="20301">
          <cell r="B20301">
            <v>81546</v>
          </cell>
          <cell r="C20301" t="str">
            <v>BAOBA MARROM FIM CP IE</v>
          </cell>
          <cell r="D20301" t="str">
            <v>BAOBA MARROM FIM CP IE</v>
          </cell>
          <cell r="E20301" t="str">
            <v>JULIUS BAER FAMILY OFFICE BRASIL GESTAO DE PATRIMONIO LTDA</v>
          </cell>
        </row>
        <row r="20302">
          <cell r="B20302">
            <v>81547</v>
          </cell>
          <cell r="C20302" t="str">
            <v>ELP FIM CP IE</v>
          </cell>
          <cell r="D20302" t="str">
            <v>ELP FIM CP IE</v>
          </cell>
          <cell r="E20302" t="str">
            <v>JULIUS BAER FAMILY OFFICE BRASIL GESTAO DE PATRIMONIO LTDA</v>
          </cell>
        </row>
        <row r="20303">
          <cell r="B20303">
            <v>81547</v>
          </cell>
          <cell r="C20303" t="str">
            <v>ELP FIM CP IE</v>
          </cell>
          <cell r="D20303" t="str">
            <v>ELP FIM CP IE</v>
          </cell>
          <cell r="E20303" t="str">
            <v>JULIUS BAER FAMILY OFFICE BRASIL GESTAO DE PATRIMONIO LTDA</v>
          </cell>
        </row>
        <row r="20304">
          <cell r="B20304">
            <v>81548</v>
          </cell>
          <cell r="C20304" t="str">
            <v>TRAMONTANA FIM CP IE</v>
          </cell>
          <cell r="D20304" t="str">
            <v>TRAMONTANA FIM CP IE</v>
          </cell>
          <cell r="E20304" t="str">
            <v>JULIUS BAER FAMILY OFFICE BRASIL GESTAO DE PATRIMONIO LTDA</v>
          </cell>
        </row>
        <row r="20305">
          <cell r="B20305">
            <v>81548</v>
          </cell>
          <cell r="C20305" t="str">
            <v>TRAMONTANA FIM CP IE</v>
          </cell>
          <cell r="D20305" t="str">
            <v>TRAMONTANA FIM CP IE</v>
          </cell>
          <cell r="E20305" t="str">
            <v>JULIUS BAER FAMILY OFFICE BRASIL GESTAO DE PATRIMONIO LTDA</v>
          </cell>
        </row>
        <row r="20306">
          <cell r="B20306">
            <v>81549</v>
          </cell>
          <cell r="C20306" t="str">
            <v>ITAU MASTER GLOBAL DINAMICO MULTIMERCADO FI</v>
          </cell>
          <cell r="D20306" t="str">
            <v>ITAU MASTER GLOBAL DINAMICO MULTIMERCADO FI</v>
          </cell>
          <cell r="E20306" t="str">
            <v>ITAU UNIBANCO ASSET - TACO</v>
          </cell>
        </row>
        <row r="20307">
          <cell r="B20307">
            <v>81553</v>
          </cell>
          <cell r="C20307" t="str">
            <v>VITREO FOF MELHORES AÃ‡Ã•ES  FIC DE FIM</v>
          </cell>
          <cell r="D20307" t="str">
            <v>VITREO FOF MELHORES AÃ‡Ã•ES  FIC DE FIM</v>
          </cell>
          <cell r="E20307" t="str">
            <v>EMPIRICUS GESTAO DE RECURSOS LTDA</v>
          </cell>
        </row>
        <row r="20308">
          <cell r="B20308">
            <v>81553</v>
          </cell>
          <cell r="C20308" t="str">
            <v>VITREO FOF MELHORES AÃ‡Ã•ES  FIC DE FIM</v>
          </cell>
          <cell r="D20308" t="str">
            <v>VITREO FOF MELHORES AÃ‡Ã•ES  FIC DE FIM</v>
          </cell>
          <cell r="E20308" t="str">
            <v>EMPIRICUS GESTAO DE RECURSOS LTDA</v>
          </cell>
        </row>
        <row r="20309">
          <cell r="B20309">
            <v>80049</v>
          </cell>
          <cell r="C20309" t="str">
            <v>IBIUNA HEDGE FIM</v>
          </cell>
          <cell r="D20309" t="str">
            <v>IBIUNA HEDGE FIM</v>
          </cell>
          <cell r="E20309" t="str">
            <v>IBIUNA GESTAO DE RECURSOS LTDA</v>
          </cell>
        </row>
        <row r="20310">
          <cell r="B20310">
            <v>81555</v>
          </cell>
          <cell r="C20310" t="str">
            <v>SW1 INVESTIMENTOS FIM CP IE</v>
          </cell>
          <cell r="D20310" t="str">
            <v>SW1 INVESTIMENTOS FIM CP IE</v>
          </cell>
          <cell r="E20310" t="str">
            <v>JULIUS BAER FAMILY OFFICE BRASIL GESTAO DE PATRIMONIO LTDA</v>
          </cell>
        </row>
        <row r="20311">
          <cell r="B20311">
            <v>81555</v>
          </cell>
          <cell r="C20311" t="str">
            <v>SW1 INVESTIMENTOS FIM CP IE</v>
          </cell>
          <cell r="D20311" t="str">
            <v>SW1 INVESTIMENTOS FIM CP IE</v>
          </cell>
          <cell r="E20311" t="str">
            <v>JULIUS BAER FAMILY OFFICE BRASIL GESTAO DE PATRIMONIO LTDA</v>
          </cell>
        </row>
        <row r="20312">
          <cell r="B20312">
            <v>81557</v>
          </cell>
          <cell r="C20312" t="str">
            <v>TENAX RFA YIELD FIF RENDA FIXA LP RL</v>
          </cell>
          <cell r="D20312" t="str">
            <v>TENAX RFA YIELD FIF RENDA FIXA LP RL</v>
          </cell>
          <cell r="E20312" t="str">
            <v>TENAX CAPITAL LTDA</v>
          </cell>
        </row>
        <row r="20313">
          <cell r="B20313">
            <v>81558</v>
          </cell>
          <cell r="C20313" t="str">
            <v>NEO EQUITY HEDGE ITAU P FUNDO DE INVESTIMENTO MULTIMERCADO</v>
          </cell>
          <cell r="D20313" t="str">
            <v>NEO EQUITY HEDGE ITAU P FUNDO DE INVESTIMENTO MULTIMERCADO</v>
          </cell>
          <cell r="E20313" t="str">
            <v>NEO GESTÃO DE RECURSOS LTDA</v>
          </cell>
        </row>
        <row r="20314">
          <cell r="B20314">
            <v>81559</v>
          </cell>
          <cell r="C20314" t="str">
            <v>INST PREV DOS SERV PUBLICOS DO MUNICIPIO DE SILVANIA</v>
          </cell>
          <cell r="D20314" t="str">
            <v>INST PREV DOS SERV PUBLICOS DO MUNICIPIO DE SILVANIA</v>
          </cell>
          <cell r="E20314" t="str">
            <v>INST PREV DOS SERV PUBLICOS DO MUNICIPIO DE SILVANIA</v>
          </cell>
        </row>
        <row r="20315">
          <cell r="B20315">
            <v>81559</v>
          </cell>
          <cell r="C20315" t="str">
            <v>INST PREV DOS SERV PUBLICOS DO MUNICIPIO DE SILVANIA</v>
          </cell>
          <cell r="D20315" t="str">
            <v>INST PREV DOS SERV PUBLICOS DO MUNICIPIO DE SILVANIA</v>
          </cell>
          <cell r="E20315" t="str">
            <v>INST PREV DOS SERV PUBLICOS DO MUNICIPIO DE SILVANIA</v>
          </cell>
        </row>
        <row r="20316">
          <cell r="B20316">
            <v>81560</v>
          </cell>
          <cell r="C20316" t="str">
            <v>SAFRA ASSET MANAGEMENT LTDA</v>
          </cell>
          <cell r="D20316" t="str">
            <v>SAFRA ASSET MANAGEMENT LTDA</v>
          </cell>
          <cell r="E20316" t="str">
            <v>SAFRA ASSET MANAGEMENT LTDA</v>
          </cell>
        </row>
        <row r="20317">
          <cell r="B20317">
            <v>81560</v>
          </cell>
          <cell r="C20317" t="str">
            <v>SAFRA ASSET MANAGEMENT LTDA</v>
          </cell>
          <cell r="D20317" t="str">
            <v>SAFRA ASSET MANAGEMENT LTDA</v>
          </cell>
          <cell r="E20317" t="str">
            <v>SAFRA ASSET MANAGEMENT LTDA</v>
          </cell>
        </row>
        <row r="20318">
          <cell r="B20318">
            <v>81561</v>
          </cell>
          <cell r="C20318" t="str">
            <v>GROUPER EQUITY LLC</v>
          </cell>
          <cell r="D20318" t="str">
            <v>GROUPER EQUITY LLC</v>
          </cell>
          <cell r="E20318" t="str">
            <v>SQUADRA INVESTIMENTOS GESTÃƒO DE RECURSOS LTDA</v>
          </cell>
        </row>
        <row r="20319">
          <cell r="B20319">
            <v>81562</v>
          </cell>
          <cell r="C20319" t="str">
            <v>CANADIAN EAGLE PORTFOLIO LLC</v>
          </cell>
          <cell r="D20319" t="str">
            <v>CANADIAN EAGLE PORTFOLIO LLC</v>
          </cell>
          <cell r="E20319" t="str">
            <v>SPX GESTAO DE RECURSOS LTDA</v>
          </cell>
        </row>
        <row r="20320">
          <cell r="B20320">
            <v>81563</v>
          </cell>
          <cell r="C20320" t="str">
            <v>SNAPPER EQUITY LLC</v>
          </cell>
          <cell r="D20320" t="str">
            <v>SNAPPER EQUITY LLC</v>
          </cell>
          <cell r="E20320" t="str">
            <v>SQUADRA INVESTIMENTOS GESTÃƒO DE RECURSOS LTDA</v>
          </cell>
        </row>
        <row r="20321">
          <cell r="B20321">
            <v>81566</v>
          </cell>
          <cell r="C20321" t="str">
            <v>CAPILANO FUNDO DE INVESTIMENTO MULTIMERCADO CRÃ‰DITO PRIVADO</v>
          </cell>
          <cell r="D20321" t="str">
            <v>CAPILANO FUNDO DE INVESTIMENTO MULTIMERCADO CRÃ‰DITO PRIVADO</v>
          </cell>
          <cell r="E20321" t="str">
            <v>JULIUS BAER FAMILY OFFICE BRASIL GESTAO DE PATRIMONIO LTDA</v>
          </cell>
        </row>
        <row r="20322">
          <cell r="B20322">
            <v>81566</v>
          </cell>
          <cell r="C20322" t="str">
            <v>CAPILANO FUNDO DE INVESTIMENTO MULTIMERCADO CRÃ‰DITO PRIVADO</v>
          </cell>
          <cell r="D20322" t="str">
            <v>CAPILANO FUNDO DE INVESTIMENTO MULTIMERCADO CRÃ‰DITO PRIVADO</v>
          </cell>
          <cell r="E20322" t="str">
            <v>JULIUS BAER FAMILY OFFICE BRASIL GESTAO DE PATRIMONIO LTDA</v>
          </cell>
        </row>
        <row r="20323">
          <cell r="B20323">
            <v>81567</v>
          </cell>
          <cell r="C20323" t="str">
            <v>VENTURA AB FUNDO DE INVESTIMENTO MULTIMERCADO CP</v>
          </cell>
          <cell r="D20323" t="str">
            <v>VENTURA AB FUNDO DE INVESTIMENTO MULTIMERCADO CP</v>
          </cell>
          <cell r="E20323" t="str">
            <v>JULIUS BAER FAMILY OFFICE BRASIL GESTAO DE PATRIMONIO LTDA</v>
          </cell>
        </row>
        <row r="20324">
          <cell r="B20324">
            <v>81567</v>
          </cell>
          <cell r="C20324" t="str">
            <v>VENTURA AB FUNDO DE INVESTIMENTO MULTIMERCADO CP</v>
          </cell>
          <cell r="D20324" t="str">
            <v>VENTURA AB FUNDO DE INVESTIMENTO MULTIMERCADO CP</v>
          </cell>
          <cell r="E20324" t="str">
            <v>JULIUS BAER FAMILY OFFICE BRASIL GESTAO DE PATRIMONIO LTDA</v>
          </cell>
        </row>
        <row r="20325">
          <cell r="B20325">
            <v>81568</v>
          </cell>
          <cell r="C20325" t="str">
            <v>REAL GRANDEZA - FUNDACAO DE PREVIDENCIA E ASSISTENCIA SOCIAL</v>
          </cell>
          <cell r="D20325" t="str">
            <v>REAL GRANDEZA - FUNDACAO DE PREVIDENCIA E ASSISTENCIA SOCIAL</v>
          </cell>
          <cell r="E20325" t="str">
            <v>REAL GRANDEZA - FUNDACAO DE PREVIDENCIA E ASSISTENCIA SOCIAL</v>
          </cell>
        </row>
        <row r="20326">
          <cell r="B20326">
            <v>81569</v>
          </cell>
          <cell r="C20326" t="str">
            <v>REAL GRANDEZA - FUNDACAO DE PREVIDENCIA E ASSISTENCIA SOCIAL</v>
          </cell>
          <cell r="D20326" t="str">
            <v>REAL GRANDEZA - FUNDACAO DE PREVIDENCIA E ASSISTENCIA SOCIAL</v>
          </cell>
          <cell r="E20326" t="str">
            <v>REAL GRANDEZA - FUNDACAO DE PREVIDENCIA E ASSISTENCIA SOCIAL</v>
          </cell>
        </row>
        <row r="20327">
          <cell r="B20327">
            <v>81568</v>
          </cell>
          <cell r="C20327" t="str">
            <v>REAL GRANDEZA - FUNDACAO DE PREVIDENCIA E ASSISTENCIA SOCIAL</v>
          </cell>
          <cell r="D20327" t="str">
            <v>REAL GRANDEZA - FUNDACAO DE PREVIDENCIA E ASSISTENCIA SOCIAL</v>
          </cell>
          <cell r="E20327" t="str">
            <v>REAL GRANDEZA - FUNDACAO DE PREVIDENCIA E ASSISTENCIA SOCIAL</v>
          </cell>
        </row>
        <row r="20328">
          <cell r="B20328">
            <v>81569</v>
          </cell>
          <cell r="C20328" t="str">
            <v>REAL GRANDEZA - FUNDACAO DE PREVIDENCIA E ASSISTENCIA SOCIAL</v>
          </cell>
          <cell r="D20328" t="str">
            <v>REAL GRANDEZA - FUNDACAO DE PREVIDENCIA E ASSISTENCIA SOCIAL</v>
          </cell>
          <cell r="E20328" t="str">
            <v>REAL GRANDEZA - FUNDACAO DE PREVIDENCIA E ASSISTENCIA SOCIAL</v>
          </cell>
        </row>
        <row r="20329">
          <cell r="B20329">
            <v>81570</v>
          </cell>
          <cell r="C20329" t="str">
            <v>FUNPRESP EXE - FUND DE PREV COMPLEMENTAR DO SERV PUBLICO FED</v>
          </cell>
          <cell r="D20329" t="str">
            <v>FUNPRESP EXE - FUND DE PREV COMPLEMENTAR DO SERV PUBLICO FED</v>
          </cell>
          <cell r="E20329" t="str">
            <v>FUNDAÃ‡ÃƒO FUNPRESP EXE</v>
          </cell>
        </row>
        <row r="20330">
          <cell r="B20330">
            <v>81570</v>
          </cell>
          <cell r="C20330" t="str">
            <v>FUNPRESP EXE - FUND DE PREV COMPLEMENTAR DO SERV PUBLICO FED</v>
          </cell>
          <cell r="D20330" t="str">
            <v>FUNPRESP EXE - FUND DE PREV COMPLEMENTAR DO SERV PUBLICO FED</v>
          </cell>
          <cell r="E20330" t="str">
            <v>FUNDAÃ‡ÃƒO FUNPRESP EXE</v>
          </cell>
        </row>
        <row r="20331">
          <cell r="B20331">
            <v>81571</v>
          </cell>
          <cell r="C20331" t="str">
            <v>CBX FIF CIA</v>
          </cell>
          <cell r="D20331" t="str">
            <v>CBX FIF CIA</v>
          </cell>
          <cell r="E20331" t="str">
            <v>EMERALD GESTAO DE INVESTIMENTOS LTDA</v>
          </cell>
        </row>
        <row r="20332">
          <cell r="B20332">
            <v>81572</v>
          </cell>
          <cell r="C20332" t="str">
            <v>GUFA FIA IE</v>
          </cell>
          <cell r="D20332" t="str">
            <v>GUFA FIA IE</v>
          </cell>
          <cell r="E20332" t="str">
            <v>EMERALD GESTAO DE INVESTIMENTOS LTDA</v>
          </cell>
        </row>
        <row r="20333">
          <cell r="B20333">
            <v>81573</v>
          </cell>
          <cell r="C20333" t="str">
            <v>JAKARTA FIA</v>
          </cell>
          <cell r="D20333" t="str">
            <v>JAKARTA FIA</v>
          </cell>
          <cell r="E20333" t="str">
            <v>EMERALD GESTAO DE INVESTIMENTOS LTDA</v>
          </cell>
        </row>
        <row r="20334">
          <cell r="B20334">
            <v>81573</v>
          </cell>
          <cell r="C20334" t="str">
            <v>JAKARTA FIA</v>
          </cell>
          <cell r="D20334" t="str">
            <v>JAKARTA FIA</v>
          </cell>
          <cell r="E20334" t="str">
            <v>EMERALD GESTAO DE INVESTIMENTOS LTDA</v>
          </cell>
        </row>
        <row r="20335">
          <cell r="B20335">
            <v>81574</v>
          </cell>
          <cell r="C20335" t="str">
            <v>NOBLE HOUSE FIA</v>
          </cell>
          <cell r="D20335" t="str">
            <v>NOBLE HOUSE FIA</v>
          </cell>
          <cell r="E20335" t="str">
            <v>EMERALD GESTAO DE INVESTIMENTOS LTDA</v>
          </cell>
        </row>
        <row r="20336">
          <cell r="B20336">
            <v>81574</v>
          </cell>
          <cell r="C20336" t="str">
            <v>NOBLE HOUSE FIA</v>
          </cell>
          <cell r="D20336" t="str">
            <v>NOBLE HOUSE FIA</v>
          </cell>
          <cell r="E20336" t="str">
            <v>EMERALD GESTAO DE INVESTIMENTOS LTDA</v>
          </cell>
        </row>
        <row r="20337">
          <cell r="B20337">
            <v>81575</v>
          </cell>
          <cell r="C20337" t="str">
            <v>SAFRA PREV ASG MASTER FIM PREVIDENCIÃRIO</v>
          </cell>
          <cell r="D20337" t="str">
            <v>SAFRA PREV ASG MASTER FIM PREVIDENCIÃRIO</v>
          </cell>
          <cell r="E20337" t="str">
            <v>TURMALINA GESTAO E ADMINISTRAÃ‡ÃƒO DE RECURSOS SA</v>
          </cell>
        </row>
        <row r="20338">
          <cell r="B20338">
            <v>81575</v>
          </cell>
          <cell r="C20338" t="str">
            <v>SAFRA PREV ASG MASTER FIM PREVIDENCIÃRIO</v>
          </cell>
          <cell r="D20338" t="str">
            <v>SAFRA PREV ASG MASTER FIM PREVIDENCIÃRIO</v>
          </cell>
          <cell r="E20338" t="str">
            <v>TURMALINA GESTAO E ADMINISTRAÃ‡ÃƒO DE RECURSOS SA</v>
          </cell>
        </row>
        <row r="20339">
          <cell r="B20339">
            <v>81576</v>
          </cell>
          <cell r="C20339" t="str">
            <v>SAFRA PREV BHASKARA MASTER FIA PREVIDENCIARIO</v>
          </cell>
          <cell r="D20339" t="str">
            <v>SAFRA PREV BHASKARA MASTER FIA PREVIDENCIARIO</v>
          </cell>
          <cell r="E20339" t="str">
            <v>TURMALINA GESTAO E ADMINISTRAÃ‡ÃƒO DE RECURSOS SA</v>
          </cell>
        </row>
        <row r="20340">
          <cell r="B20340">
            <v>81576</v>
          </cell>
          <cell r="C20340" t="str">
            <v>SAFRA PREV BHASKARA MASTER FIA PREVIDENCIARIO</v>
          </cell>
          <cell r="D20340" t="str">
            <v>SAFRA PREV BHASKARA MASTER FIA PREVIDENCIARIO</v>
          </cell>
          <cell r="E20340" t="str">
            <v>TURMALINA GESTAO E ADMINISTRAÃ‡ÃƒO DE RECURSOS SA</v>
          </cell>
        </row>
        <row r="20341">
          <cell r="B20341">
            <v>81577</v>
          </cell>
          <cell r="C20341" t="str">
            <v>SAFRA PREV MI MASTER FIF PREV CI MULTI CP PREV RESP LIMITADA</v>
          </cell>
          <cell r="D20341" t="str">
            <v>SAFRA PREV MI MASTER FIF PREV CI MULTI CP PREV RESP LIMITADA</v>
          </cell>
          <cell r="E20341" t="str">
            <v>TURMALINA GESTAO E ADMINISTRAÃ‡ÃƒO DE RECURSOS SA</v>
          </cell>
        </row>
        <row r="20342">
          <cell r="B20342">
            <v>81578</v>
          </cell>
          <cell r="C20342" t="str">
            <v>SAFRA PREV VESALIUS MASTER FIF PREV CI MUL CP PREV RESP LIMI</v>
          </cell>
          <cell r="D20342" t="str">
            <v>SAFRA PREV VESALIUS MASTER FIF PREV CI MUL CP PREV RESP LIMI</v>
          </cell>
          <cell r="E20342" t="str">
            <v>TURMALINA GESTAO E ADMINISTRAÃ‡ÃƒO DE RECURSOS SA</v>
          </cell>
        </row>
        <row r="20343">
          <cell r="B20343">
            <v>82679</v>
          </cell>
          <cell r="C20343" t="str">
            <v>WOLVES FUNDO DE INVESTIMENTO MULTIMERCADO</v>
          </cell>
          <cell r="D20343" t="str">
            <v>WOLVES FUNDO DE INVESTIMENTO MULTIMERCADO</v>
          </cell>
          <cell r="E20343" t="str">
            <v>JAZZ CAPITAL LTDA</v>
          </cell>
        </row>
        <row r="20344">
          <cell r="B20344">
            <v>81937</v>
          </cell>
          <cell r="C20344" t="str">
            <v>PERENNE INVESTIMENTOS LTDA</v>
          </cell>
          <cell r="D20344" t="str">
            <v>PERENNE INVESTIMENTOS LTDA</v>
          </cell>
          <cell r="E20344" t="str">
            <v>PERENNE INVESTIMENTOS LTDA</v>
          </cell>
        </row>
        <row r="20345">
          <cell r="B20345">
            <v>81583</v>
          </cell>
          <cell r="C20345" t="str">
            <v>INSTITUTO DE PREVIDENCIA MUNICIPAL IPREM - FERNANDOPOLIS</v>
          </cell>
          <cell r="D20345" t="str">
            <v>INSTITUTO DE PREVIDENCIA MUNICIPAL IPREM - FERNANDOPOLIS</v>
          </cell>
          <cell r="E20345" t="str">
            <v>INSTITUTO DE PREVIDENCIA MUNICIPAL IPREM - FERNANDOPOLIS</v>
          </cell>
        </row>
        <row r="20346">
          <cell r="B20346">
            <v>81583</v>
          </cell>
          <cell r="C20346" t="str">
            <v>INSTITUTO DE PREVIDENCIA MUNICIPAL IPREM - FERNANDOPOLIS</v>
          </cell>
          <cell r="D20346" t="str">
            <v>INSTITUTO DE PREVIDENCIA MUNICIPAL IPREM - FERNANDOPOLIS</v>
          </cell>
          <cell r="E20346" t="str">
            <v>INSTITUTO DE PREVIDENCIA MUNICIPAL IPREM - FERNANDOPOLIS</v>
          </cell>
        </row>
        <row r="20347">
          <cell r="B20347">
            <v>81584</v>
          </cell>
          <cell r="C20347" t="str">
            <v>QI FIM CP BARÃ‰</v>
          </cell>
          <cell r="D20347" t="str">
            <v>QI FIM CP BARÃ‰</v>
          </cell>
          <cell r="E20347" t="str">
            <v>QUADRANTE INVESTIMENTOS LTDA</v>
          </cell>
        </row>
        <row r="20348">
          <cell r="B20348">
            <v>81584</v>
          </cell>
          <cell r="C20348" t="str">
            <v>QI FIM CP BARÃ‰</v>
          </cell>
          <cell r="D20348" t="str">
            <v>QI FIM CP BARÃ‰</v>
          </cell>
          <cell r="E20348" t="str">
            <v>QUADRANTE INVESTIMENTOS LTDA</v>
          </cell>
        </row>
        <row r="20349">
          <cell r="B20349">
            <v>81585</v>
          </cell>
          <cell r="C20349" t="str">
            <v>INST DE PREV DOS SERVIDORES PUB DO MUNIC DE TEOFILO OTONI</v>
          </cell>
          <cell r="D20349" t="str">
            <v>INST DE PREV DOS SERVIDORES PUB DO MUNIC DE TEOFILO OTONI</v>
          </cell>
          <cell r="E20349" t="str">
            <v>INST DE PREV DOS SERVIDORES PUB DO MUNIC DE TEOFILO OTONI</v>
          </cell>
        </row>
        <row r="20350">
          <cell r="B20350">
            <v>81585</v>
          </cell>
          <cell r="C20350" t="str">
            <v>INST DE PREV DOS SERVIDORES PUB DO MUNIC DE TEOFILO OTONI</v>
          </cell>
          <cell r="D20350" t="str">
            <v>INST DE PREV DOS SERVIDORES PUB DO MUNIC DE TEOFILO OTONI</v>
          </cell>
          <cell r="E20350" t="str">
            <v>INST DE PREV DOS SERVIDORES PUB DO MUNIC DE TEOFILO OTONI</v>
          </cell>
        </row>
        <row r="20351">
          <cell r="B20351">
            <v>81582</v>
          </cell>
          <cell r="C20351" t="str">
            <v>CARPE DIEM BR QI FUNDO DE INVESTIMENTO MULTIMERCADO CRÃ‰DITO</v>
          </cell>
          <cell r="D20351" t="str">
            <v>CARPE DIEM BR QI FUNDO DE INVESTIMENTO MULTIMERCADO CRÃ‰DITO</v>
          </cell>
          <cell r="E20351" t="str">
            <v>QUADRANTE INVESTIMENTOS LTDA</v>
          </cell>
        </row>
        <row r="20352">
          <cell r="B20352">
            <v>81586</v>
          </cell>
          <cell r="C20352" t="str">
            <v>CASCAIX QI FIM CREDITO PRIVADO INVESTIMENTO NO EXTERIOR</v>
          </cell>
          <cell r="D20352" t="str">
            <v>CASCAIX QI FIM CREDITO PRIVADO INVESTIMENTO NO EXTERIOR</v>
          </cell>
          <cell r="E20352" t="str">
            <v>QUADRANTE INVESTIMENTOS LTDA</v>
          </cell>
        </row>
        <row r="20353">
          <cell r="B20353">
            <v>81586</v>
          </cell>
          <cell r="C20353" t="str">
            <v>CASCAIX QI FIM CREDITO PRIVADO INVESTIMENTO NO EXTERIOR</v>
          </cell>
          <cell r="D20353" t="str">
            <v>CASCAIX QI FIM CREDITO PRIVADO INVESTIMENTO NO EXTERIOR</v>
          </cell>
          <cell r="E20353" t="str">
            <v>QUADRANTE INVESTIMENTOS LTDA</v>
          </cell>
        </row>
        <row r="20354">
          <cell r="B20354">
            <v>81587</v>
          </cell>
          <cell r="C20354" t="str">
            <v>FUNDO DE INVESTIMENTO MULTIMERCADO CRÃ‰DITO PRIVADO FMA QI</v>
          </cell>
          <cell r="D20354" t="str">
            <v>FUNDO DE INVESTIMENTO MULTIMERCADO CRÃ‰DITO PRIVADO FMA QI</v>
          </cell>
          <cell r="E20354" t="str">
            <v>QUADRANTE INVESTIMENTOS LTDA</v>
          </cell>
        </row>
        <row r="20355">
          <cell r="B20355">
            <v>81588</v>
          </cell>
          <cell r="C20355" t="str">
            <v>GAPE QI MULTIMERCADO FUNDO DE INVESTIMENTO CRÃ‰DITO PRIVADO</v>
          </cell>
          <cell r="D20355" t="str">
            <v>GAPE QI MULTIMERCADO FUNDO DE INVESTIMENTO CRÃ‰DITO PRIVADO</v>
          </cell>
          <cell r="E20355" t="str">
            <v>QUADRANTE INVESTIMENTOS LTDA</v>
          </cell>
        </row>
        <row r="20356">
          <cell r="B20356">
            <v>81589</v>
          </cell>
          <cell r="C20356" t="str">
            <v>FUNDAÃ‡ÃƒO ELETROSUL DE PREVIDÃŠNCIA E ASSISTÃŠNCIA SOCIAL ELOS</v>
          </cell>
          <cell r="D20356" t="str">
            <v>FUNDAÃ‡ÃƒO ELETROSUL DE PREVIDÃŠNCIA E ASSISTÃŠNCIA SOCIAL ELOS</v>
          </cell>
          <cell r="E20356" t="str">
            <v>FUNDAÃ‡ÃƒO ELETROSUL DE PREVIDÃŠNCIA E ASSISTÃŠNCIA SOCIAL ELOS</v>
          </cell>
        </row>
        <row r="20357">
          <cell r="B20357">
            <v>81590</v>
          </cell>
          <cell r="C20357" t="str">
            <v>FUNDAÃ‡ÃƒO ELETROSUL DE PREVIDÃŠNCIA E ASSISTÃŠNCIA SOCIAL ELOS</v>
          </cell>
          <cell r="D20357" t="str">
            <v>FUNDAÃ‡ÃƒO ELETROSUL DE PREVIDÃŠNCIA E ASSISTÃŠNCIA SOCIAL ELOS</v>
          </cell>
          <cell r="E20357" t="str">
            <v>FUNDAÃ‡ÃƒO ELETROSUL DE PREVIDÃŠNCIA E ASSISTÃŠNCIA SOCIAL ELOS</v>
          </cell>
        </row>
        <row r="20358">
          <cell r="B20358">
            <v>81591</v>
          </cell>
          <cell r="C20358" t="str">
            <v>FUNDAÃ‡ÃƒO ELETROSUL DE PREVIDÃŠNCIA E ASSISTÃŠNCIA SOCIAL ELOS</v>
          </cell>
          <cell r="D20358" t="str">
            <v>FUNDAÃ‡ÃƒO ELETROSUL DE PREVIDÃŠNCIA E ASSISTÃŠNCIA SOCIAL ELOS</v>
          </cell>
          <cell r="E20358" t="str">
            <v>FUNDAÃ‡ÃƒO ELETROSUL DE PREVIDÃŠNCIA E ASSISTÃŠNCIA SOCIAL ELOS</v>
          </cell>
        </row>
        <row r="20359">
          <cell r="B20359">
            <v>81593</v>
          </cell>
          <cell r="C20359" t="str">
            <v>FUNDAÃ‡ÃƒO ELETROSUL DE PREVIDÃŠNCIA E ASSISTÃŠNCIA SOCIAL ELOS</v>
          </cell>
          <cell r="D20359" t="str">
            <v>FUNDAÃ‡ÃƒO ELETROSUL DE PREVIDÃŠNCIA E ASSISTÃŠNCIA SOCIAL ELOS</v>
          </cell>
          <cell r="E20359" t="str">
            <v>FUNDAÃ‡ÃƒO ELETROSUL DE PREVIDÃŠNCIA E ASSISTÃŠNCIA SOCIAL ELOS</v>
          </cell>
        </row>
        <row r="20360">
          <cell r="B20360">
            <v>81589</v>
          </cell>
          <cell r="C20360" t="str">
            <v>FUNDAÃ‡ÃƒO ELETROSUL DE PREVIDÃŠNCIA E ASSISTÃŠNCIA SOCIAL ELOS</v>
          </cell>
          <cell r="D20360" t="str">
            <v>FUNDAÃ‡ÃƒO ELETROSUL DE PREVIDÃŠNCIA E ASSISTÃŠNCIA SOCIAL ELOS</v>
          </cell>
          <cell r="E20360" t="str">
            <v>FUNDAÃ‡ÃƒO ELETROSUL DE PREVIDÃŠNCIA E ASSISTÃŠNCIA SOCIAL ELOS</v>
          </cell>
        </row>
        <row r="20361">
          <cell r="B20361">
            <v>81590</v>
          </cell>
          <cell r="C20361" t="str">
            <v>FUNDAÃ‡ÃƒO ELETROSUL DE PREVIDÃŠNCIA E ASSISTÃŠNCIA SOCIAL ELOS</v>
          </cell>
          <cell r="D20361" t="str">
            <v>FUNDAÃ‡ÃƒO ELETROSUL DE PREVIDÃŠNCIA E ASSISTÃŠNCIA SOCIAL ELOS</v>
          </cell>
          <cell r="E20361" t="str">
            <v>FUNDAÃ‡ÃƒO ELETROSUL DE PREVIDÃŠNCIA E ASSISTÃŠNCIA SOCIAL ELOS</v>
          </cell>
        </row>
        <row r="20362">
          <cell r="B20362">
            <v>81591</v>
          </cell>
          <cell r="C20362" t="str">
            <v>FUNDAÃ‡ÃƒO ELETROSUL DE PREVIDÃŠNCIA E ASSISTÃŠNCIA SOCIAL ELOS</v>
          </cell>
          <cell r="D20362" t="str">
            <v>FUNDAÃ‡ÃƒO ELETROSUL DE PREVIDÃŠNCIA E ASSISTÃŠNCIA SOCIAL ELOS</v>
          </cell>
          <cell r="E20362" t="str">
            <v>FUNDAÃ‡ÃƒO ELETROSUL DE PREVIDÃŠNCIA E ASSISTÃŠNCIA SOCIAL ELOS</v>
          </cell>
        </row>
        <row r="20363">
          <cell r="B20363">
            <v>81592</v>
          </cell>
          <cell r="C20363" t="str">
            <v>FUNDAÃ‡ÃƒO ELETROSUL DE PREVIDÃŠNCIA E ASSISTÃŠNCIA SOCIAL ELOS</v>
          </cell>
          <cell r="D20363" t="str">
            <v>FUNDAÃ‡ÃƒO ELETROSUL DE PREVIDÃŠNCIA E ASSISTÃŠNCIA SOCIAL ELOS</v>
          </cell>
          <cell r="E20363" t="str">
            <v>FUNDAÃ‡ÃƒO ELETROSUL DE PREVIDÃŠNCIA E ASSISTÃŠNCIA SOCIAL ELOS</v>
          </cell>
        </row>
        <row r="20364">
          <cell r="B20364">
            <v>81593</v>
          </cell>
          <cell r="C20364" t="str">
            <v>FUNDAÃ‡ÃƒO ELETROSUL DE PREVIDÃŠNCIA E ASSISTÃŠNCIA SOCIAL ELOS</v>
          </cell>
          <cell r="D20364" t="str">
            <v>FUNDAÃ‡ÃƒO ELETROSUL DE PREVIDÃŠNCIA E ASSISTÃŠNCIA SOCIAL ELOS</v>
          </cell>
          <cell r="E20364" t="str">
            <v>FUNDAÃ‡ÃƒO ELETROSUL DE PREVIDÃŠNCIA E ASSISTÃŠNCIA SOCIAL ELOS</v>
          </cell>
        </row>
        <row r="20365">
          <cell r="B20365">
            <v>81594</v>
          </cell>
          <cell r="C20365" t="str">
            <v>NEO FUTURE GESTÃƒO DE RECURSOS LTDA</v>
          </cell>
          <cell r="D20365" t="str">
            <v>NEO FUTURE GESTÃƒO DE RECURSOS LTDA</v>
          </cell>
          <cell r="E20365" t="str">
            <v>NEO GESTÃO DE RECURSOS LTDA</v>
          </cell>
        </row>
        <row r="20366">
          <cell r="B20366">
            <v>81594</v>
          </cell>
          <cell r="C20366" t="str">
            <v>NEO FUTURE GESTÃƒO DE RECURSOS LTDA</v>
          </cell>
          <cell r="D20366" t="str">
            <v>NEO FUTURE GESTÃƒO DE RECURSOS LTDA</v>
          </cell>
          <cell r="E20366" t="str">
            <v>NEO GESTÃO DE RECURSOS LTDA</v>
          </cell>
        </row>
        <row r="20367">
          <cell r="B20367">
            <v>81597</v>
          </cell>
          <cell r="C20367" t="str">
            <v>GATI QI FIM CP IE</v>
          </cell>
          <cell r="D20367" t="str">
            <v>GATI QI FIM CP IE</v>
          </cell>
          <cell r="E20367" t="str">
            <v>QUADRANTE INVESTIMENTOS LTDA</v>
          </cell>
        </row>
        <row r="20368">
          <cell r="B20368">
            <v>81598</v>
          </cell>
          <cell r="C20368" t="str">
            <v>GUILE QI FUNDO DE INVESTIMENTO MULTIMERCADO CRÃ‰DITO PRIVADO</v>
          </cell>
          <cell r="D20368" t="str">
            <v>GUILE QI FUNDO DE INVESTIMENTO MULTIMERCADO CRÃ‰DITO PRIVADO</v>
          </cell>
          <cell r="E20368" t="str">
            <v>QUADRANTE INVESTIMENTOS LTDA</v>
          </cell>
        </row>
        <row r="20369">
          <cell r="B20369">
            <v>81599</v>
          </cell>
          <cell r="C20369" t="str">
            <v>JUBIA QI FUNDO DE INVESTIMENTO MULTIMERCADO CRÃ‰DITO PRIVADO</v>
          </cell>
          <cell r="D20369" t="str">
            <v>JUBIA QI FUNDO DE INVESTIMENTO MULTIMERCADO CRÃ‰DITO PRIVADO</v>
          </cell>
          <cell r="E20369" t="str">
            <v>QUADRANTE INVESTIMENTOS LTDA</v>
          </cell>
        </row>
        <row r="20370">
          <cell r="B20370">
            <v>81600</v>
          </cell>
          <cell r="C20370" t="str">
            <v>MMCP QI FUNDO DE INVESTIMENTO MULTIMERCADO CRÃ‰DITO PRIVADO</v>
          </cell>
          <cell r="D20370" t="str">
            <v>MMCP QI FUNDO DE INVESTIMENTO MULTIMERCADO CRÃ‰DITO PRIVADO</v>
          </cell>
          <cell r="E20370" t="str">
            <v>QUADRANTE INVESTIMENTOS LTDA</v>
          </cell>
        </row>
        <row r="20371">
          <cell r="B20371">
            <v>81601</v>
          </cell>
          <cell r="C20371" t="str">
            <v>NEVERGIVEUP QI MULTIMERCADO FUNDO DE INVESTIMENTO CRÃ‰DITO PR</v>
          </cell>
          <cell r="D20371" t="str">
            <v>NEVERGIVEUP QI MULTIMERCADO FUNDO DE INVESTIMENTO CRÃ‰DITO PR</v>
          </cell>
          <cell r="E20371" t="str">
            <v>QUADRANTE INVESTIMENTOS LTDA</v>
          </cell>
        </row>
        <row r="20372">
          <cell r="B20372">
            <v>81602</v>
          </cell>
          <cell r="C20372" t="str">
            <v>PHISIQ QI CHALLENGER FUNDO DE INVESTIMENTO MULTIMERCADO CRÃ‰D</v>
          </cell>
          <cell r="D20372" t="str">
            <v>PHISIQ QI CHALLENGER FUNDO DE INVESTIMENTO MULTIMERCADO CRÃ‰D</v>
          </cell>
          <cell r="E20372" t="str">
            <v>QUADRANTE INVESTIMENTOS LTDA</v>
          </cell>
        </row>
        <row r="20373">
          <cell r="B20373">
            <v>81602</v>
          </cell>
          <cell r="C20373" t="str">
            <v>PHISIQ QI CHALLENGER FUNDO DE INVESTIMENTO MULTIMERCADO CRÃ‰D</v>
          </cell>
          <cell r="D20373" t="str">
            <v>PHISIQ QI CHALLENGER FUNDO DE INVESTIMENTO MULTIMERCADO CRÃ‰D</v>
          </cell>
          <cell r="E20373" t="str">
            <v>QUADRANTE INVESTIMENTOS LTDA</v>
          </cell>
        </row>
        <row r="20374">
          <cell r="B20374">
            <v>81603</v>
          </cell>
          <cell r="C20374" t="str">
            <v>PHISIQ QI GRAND SLAM FUNDO DE INVESTIMENTO MULTIMERCADO CRÃ‰D</v>
          </cell>
          <cell r="D20374" t="str">
            <v>PHISIQ QI GRAND SLAM FUNDO DE INVESTIMENTO MULTIMERCADO CRÃ‰D</v>
          </cell>
          <cell r="E20374" t="str">
            <v>QUADRANTE INVESTIMENTOS LTDA</v>
          </cell>
        </row>
        <row r="20375">
          <cell r="B20375">
            <v>81604</v>
          </cell>
          <cell r="C20375" t="str">
            <v>PRIAR QI FUNDO DE INVESTIMENTO MULTIMERCADO CRÃ‰DITO PRIVADO</v>
          </cell>
          <cell r="D20375" t="str">
            <v>PRIAR QI FUNDO DE INVESTIMENTO MULTIMERCADO CRÃ‰DITO PRIVADO</v>
          </cell>
          <cell r="E20375" t="str">
            <v>QUADRANTE INVESTIMENTOS LTDA</v>
          </cell>
        </row>
        <row r="20376">
          <cell r="B20376">
            <v>81605</v>
          </cell>
          <cell r="C20376" t="str">
            <v>PHISIQ QI MASTER SERIES FIM CP</v>
          </cell>
          <cell r="D20376" t="str">
            <v>PHISIQ QI MASTER SERIES FIM CP</v>
          </cell>
          <cell r="E20376" t="str">
            <v>QUADRANTE INVESTIMENTOS LTDA</v>
          </cell>
        </row>
        <row r="20377">
          <cell r="B20377">
            <v>81605</v>
          </cell>
          <cell r="C20377" t="str">
            <v>PHISIQ QI MASTER SERIES FIM CP</v>
          </cell>
          <cell r="D20377" t="str">
            <v>PHISIQ QI MASTER SERIES FIM CP</v>
          </cell>
          <cell r="E20377" t="str">
            <v>QUADRANTE INVESTIMENTOS LTDA</v>
          </cell>
        </row>
        <row r="20378">
          <cell r="B20378">
            <v>81606</v>
          </cell>
          <cell r="C20378" t="str">
            <v>RMF QI FUNDO DE INVESTIMENTO MULTIMERCADO CRÃ‰DITO PRIVADO</v>
          </cell>
          <cell r="D20378" t="str">
            <v>RMF QI FUNDO DE INVESTIMENTO MULTIMERCADO CRÃ‰DITO PRIVADO</v>
          </cell>
          <cell r="E20378" t="str">
            <v>QUADRANTE INVESTIMENTOS LTDA</v>
          </cell>
        </row>
        <row r="20379">
          <cell r="B20379">
            <v>81607</v>
          </cell>
          <cell r="C20379" t="str">
            <v>TAMBAÃš QI FUNDO DE INVESTIMENTO MULTIMERCADO CRÃ‰DITO PRIVADO</v>
          </cell>
          <cell r="D20379" t="str">
            <v>TAMBAÃš QI FUNDO DE INVESTIMENTO MULTIMERCADO CRÃ‰DITO PRIVADO</v>
          </cell>
          <cell r="E20379" t="str">
            <v>QUADRANTE INVESTIMENTOS LTDA</v>
          </cell>
        </row>
        <row r="20380">
          <cell r="B20380">
            <v>81608</v>
          </cell>
          <cell r="C20380" t="str">
            <v>DUNAMIS PROJETOS E ENERGIA FOTOVOLTAICA SPE LTDA</v>
          </cell>
          <cell r="D20380" t="str">
            <v>DUNAMIS PROJETOS E ENERGIA FOTOVOLTAICA SPE LTDA</v>
          </cell>
          <cell r="E20380" t="str">
            <v>DUNAMIS PROJETOS E ENERGIA FOTOVOLTAICA SPE LTDA</v>
          </cell>
        </row>
        <row r="20381">
          <cell r="B20381">
            <v>81608</v>
          </cell>
          <cell r="C20381" t="str">
            <v>DUNAMIS PROJETOS E ENERGIA FOTOVOLTAICA SPE LTDA</v>
          </cell>
          <cell r="D20381" t="str">
            <v>DUNAMIS PROJETOS E ENERGIA FOTOVOLTAICA SPE LTDA</v>
          </cell>
          <cell r="E20381" t="str">
            <v>DUNAMIS PROJETOS E ENERGIA FOTOVOLTAICA SPE LTDA</v>
          </cell>
        </row>
        <row r="20382">
          <cell r="B20382">
            <v>125750</v>
          </cell>
          <cell r="C20382" t="str">
            <v>BB GESTAO DE RECURSOS DTVM LTDA</v>
          </cell>
          <cell r="D20382" t="str">
            <v>BB GESTAO DE RECURSOS DTVM LTDA</v>
          </cell>
          <cell r="E20382" t="str">
            <v>BB GESTAO DE RECURSOS DTVM LTDA</v>
          </cell>
        </row>
        <row r="20383">
          <cell r="B20383">
            <v>125751</v>
          </cell>
          <cell r="C20383" t="str">
            <v>BB GESTAO DE RECURSOS DTVM LTDA</v>
          </cell>
          <cell r="D20383" t="str">
            <v>BB GESTAO DE RECURSOS DTVM LTDA</v>
          </cell>
          <cell r="E20383" t="str">
            <v>BB GESTAO DE RECURSOS DTVM LTDA</v>
          </cell>
        </row>
        <row r="20384">
          <cell r="B20384">
            <v>81609</v>
          </cell>
          <cell r="C20384" t="str">
            <v>BANCO CITIBANK S/A</v>
          </cell>
          <cell r="D20384" t="str">
            <v>BANCO CITIBANK S/A</v>
          </cell>
          <cell r="E20384" t="str">
            <v>BANCO CITIBANK S/A</v>
          </cell>
        </row>
        <row r="20385">
          <cell r="B20385">
            <v>125752</v>
          </cell>
          <cell r="C20385" t="str">
            <v>BB GESTAO DE RECURSOS DTVM LTDA</v>
          </cell>
          <cell r="D20385" t="str">
            <v>BB GESTAO DE RECURSOS DTVM LTDA</v>
          </cell>
          <cell r="E20385" t="str">
            <v>BB GESTAO DE RECURSOS DTVM LTDA</v>
          </cell>
        </row>
        <row r="20386">
          <cell r="B20386">
            <v>81611</v>
          </cell>
          <cell r="C20386" t="str">
            <v>INST DE PREV E ASSISTENCIA DOS SERV MUNICIPAIS DE RIO VERDE</v>
          </cell>
          <cell r="D20386" t="str">
            <v>INST DE PREV E ASSISTENCIA DOS SERV MUNICIPAIS DE RIO VERDE</v>
          </cell>
          <cell r="E20386" t="str">
            <v>INST DE PREV E ASSISTENCIA DOS SERV MUNICIPAIS DE RIO VERDE</v>
          </cell>
        </row>
        <row r="20387">
          <cell r="B20387">
            <v>81611</v>
          </cell>
          <cell r="C20387" t="str">
            <v>INST DE PREV E ASSISTENCIA DOS SERV MUNICIPAIS DE RIO VERDE</v>
          </cell>
          <cell r="D20387" t="str">
            <v>INST DE PREV E ASSISTENCIA DOS SERV MUNICIPAIS DE RIO VERDE</v>
          </cell>
          <cell r="E20387" t="str">
            <v>INST DE PREV E ASSISTENCIA DOS SERV MUNICIPAIS DE RIO VERDE</v>
          </cell>
        </row>
        <row r="20388">
          <cell r="B20388">
            <v>125753</v>
          </cell>
          <cell r="C20388" t="str">
            <v>BB GESTAO DE RECURSOS DTVM LTDA</v>
          </cell>
          <cell r="D20388" t="str">
            <v>BB GESTAO DE RECURSOS DTVM LTDA</v>
          </cell>
          <cell r="E20388" t="str">
            <v>BB GESTAO DE RECURSOS DTVM LTDA</v>
          </cell>
        </row>
        <row r="20389">
          <cell r="B20389">
            <v>81613</v>
          </cell>
          <cell r="C20389" t="str">
            <v>SV4 EQUITY LLC</v>
          </cell>
          <cell r="D20389" t="str">
            <v>SV4 EQUITY LLC</v>
          </cell>
          <cell r="E20389" t="str">
            <v>SQUADRA INVESTIMENTOS GESTÃƒO DE RECURSOS LTDA</v>
          </cell>
        </row>
        <row r="20390">
          <cell r="B20390">
            <v>81614</v>
          </cell>
          <cell r="C20390" t="str">
            <v>REAL GRANDEZA - FUNDACAO DE PREVIDENCIA E ASSISTENCIA SOCIAL</v>
          </cell>
          <cell r="D20390" t="str">
            <v>REAL GRANDEZA - FUNDACAO DE PREVIDENCIA E ASSISTENCIA SOCIAL</v>
          </cell>
          <cell r="E20390" t="str">
            <v>REAL GRANDEZA - FUNDACAO DE PREVIDENCIA E ASSISTENCIA SOCIAL</v>
          </cell>
        </row>
        <row r="20391">
          <cell r="B20391">
            <v>81615</v>
          </cell>
          <cell r="C20391" t="str">
            <v>REAL GRANDEZA - FUNDACAO DE PREVIDENCIA E ASSISTENCIA SOCIAL</v>
          </cell>
          <cell r="D20391" t="str">
            <v>REAL GRANDEZA - FUNDACAO DE PREVIDENCIA E ASSISTENCIA SOCIAL</v>
          </cell>
          <cell r="E20391" t="str">
            <v>REAL GRANDEZA - FUNDACAO DE PREVIDENCIA E ASSISTENCIA SOCIAL</v>
          </cell>
        </row>
        <row r="20392">
          <cell r="B20392">
            <v>81614</v>
          </cell>
          <cell r="C20392" t="str">
            <v>REAL GRANDEZA - FUNDACAO DE PREVIDENCIA E ASSISTENCIA SOCIAL</v>
          </cell>
          <cell r="D20392" t="str">
            <v>REAL GRANDEZA - FUNDACAO DE PREVIDENCIA E ASSISTENCIA SOCIAL</v>
          </cell>
          <cell r="E20392" t="str">
            <v>REAL GRANDEZA - FUNDACAO DE PREVIDENCIA E ASSISTENCIA SOCIAL</v>
          </cell>
        </row>
        <row r="20393">
          <cell r="B20393">
            <v>81615</v>
          </cell>
          <cell r="C20393" t="str">
            <v>REAL GRANDEZA - FUNDACAO DE PREVIDENCIA E ASSISTENCIA SOCIAL</v>
          </cell>
          <cell r="D20393" t="str">
            <v>REAL GRANDEZA - FUNDACAO DE PREVIDENCIA E ASSISTENCIA SOCIAL</v>
          </cell>
          <cell r="E20393" t="str">
            <v>REAL GRANDEZA - FUNDACAO DE PREVIDENCIA E ASSISTENCIA SOCIAL</v>
          </cell>
        </row>
        <row r="20394">
          <cell r="B20394">
            <v>81616</v>
          </cell>
          <cell r="C20394" t="str">
            <v>MASTER ONE FUNDO DE INVESTIMENTO MULTIMERCADO CP</v>
          </cell>
          <cell r="D20394" t="str">
            <v>MASTER ONE FUNDO DE INVESTIMENTO MULTIMERCADO CP</v>
          </cell>
          <cell r="E20394" t="str">
            <v>WNT GESTORA DE RECURSOS LTDA</v>
          </cell>
        </row>
        <row r="20395">
          <cell r="B20395">
            <v>81616</v>
          </cell>
          <cell r="C20395" t="str">
            <v>MASTER ONE FUNDO DE INVESTIMENTO MULTIMERCADO CP</v>
          </cell>
          <cell r="D20395" t="str">
            <v>MASTER ONE FUNDO DE INVESTIMENTO MULTIMERCADO CP</v>
          </cell>
          <cell r="E20395" t="str">
            <v>WNT GESTORA DE RECURSOS LTDA</v>
          </cell>
        </row>
        <row r="20396">
          <cell r="B20396">
            <v>81617</v>
          </cell>
          <cell r="C20396" t="str">
            <v>MN I FUNDO DE INVESTIMENTO EM DIREITOS CREDITORIOS</v>
          </cell>
          <cell r="D20396" t="str">
            <v>MN I FUNDO DE INVESTIMENTO EM DIREITOS CREDITORIOS</v>
          </cell>
          <cell r="E20396" t="str">
            <v>WNT GESTORA DE RECURSOS LTDA</v>
          </cell>
        </row>
        <row r="20397">
          <cell r="B20397">
            <v>81617</v>
          </cell>
          <cell r="C20397" t="str">
            <v>MN I FUNDO DE INVESTIMENTO EM DIREITOS CREDITORIOS</v>
          </cell>
          <cell r="D20397" t="str">
            <v>MN I FUNDO DE INVESTIMENTO EM DIREITOS CREDITORIOS</v>
          </cell>
          <cell r="E20397" t="str">
            <v>WNT GESTORA DE RECURSOS LTDA</v>
          </cell>
        </row>
        <row r="20398">
          <cell r="B20398">
            <v>81618</v>
          </cell>
          <cell r="C20398" t="str">
            <v>VICTORIA FUNDO DE INVESTIMENTO MULTIMERCADO CREDITO PRIVADO</v>
          </cell>
          <cell r="D20398" t="str">
            <v>VICTORIA FUNDO DE INVESTIMENTO MULTIMERCADO CREDITO PRIVADO</v>
          </cell>
          <cell r="E20398" t="str">
            <v>WNT GESTORA DE RECURSOS LTDA</v>
          </cell>
        </row>
        <row r="20399">
          <cell r="B20399">
            <v>81618</v>
          </cell>
          <cell r="C20399" t="str">
            <v>VICTORIA FUNDO DE INVESTIMENTO MULTIMERCADO CREDITO PRIVADO</v>
          </cell>
          <cell r="D20399" t="str">
            <v>VICTORIA FUNDO DE INVESTIMENTO MULTIMERCADO CREDITO PRIVADO</v>
          </cell>
          <cell r="E20399" t="str">
            <v>WNT GESTORA DE RECURSOS LTDA</v>
          </cell>
        </row>
        <row r="20400">
          <cell r="B20400">
            <v>81619</v>
          </cell>
          <cell r="C20400" t="str">
            <v>ALFA FIC DE FUNDOS DE INVESTIMENTO MULTIMERCADO CP IE</v>
          </cell>
          <cell r="D20400" t="str">
            <v>ALFA FIC DE FUNDOS DE INVESTIMENTO MULTIMERCADO CP IE</v>
          </cell>
          <cell r="E20400" t="str">
            <v>JULIUS BAER FAMILY OFFICE BRASIL GESTAO DE PATRIMONIO LTDA</v>
          </cell>
        </row>
        <row r="20401">
          <cell r="B20401">
            <v>81619</v>
          </cell>
          <cell r="C20401" t="str">
            <v>ALFA FIC DE FUNDOS DE INVESTIMENTO MULTIMERCADO CP IE</v>
          </cell>
          <cell r="D20401" t="str">
            <v>ALFA FIC DE FUNDOS DE INVESTIMENTO MULTIMERCADO CP IE</v>
          </cell>
          <cell r="E20401" t="str">
            <v>JULIUS BAER FAMILY OFFICE BRASIL GESTAO DE PATRIMONIO LTDA</v>
          </cell>
        </row>
        <row r="20402">
          <cell r="B20402">
            <v>81620</v>
          </cell>
          <cell r="C20402" t="str">
            <v>BYBLOS FIM CP IE</v>
          </cell>
          <cell r="D20402" t="str">
            <v>BYBLOS FIM CP IE</v>
          </cell>
          <cell r="E20402" t="str">
            <v>JULIUS BAER FAMILY OFFICE BRASIL GESTAO DE PATRIMONIO LTDA</v>
          </cell>
        </row>
        <row r="20403">
          <cell r="B20403">
            <v>81620</v>
          </cell>
          <cell r="C20403" t="str">
            <v>BYBLOS FIM CP IE</v>
          </cell>
          <cell r="D20403" t="str">
            <v>BYBLOS FIM CP IE</v>
          </cell>
          <cell r="E20403" t="str">
            <v>JULIUS BAER FAMILY OFFICE BRASIL GESTAO DE PATRIMONIO LTDA</v>
          </cell>
        </row>
        <row r="20404">
          <cell r="B20404">
            <v>81621</v>
          </cell>
          <cell r="C20404" t="str">
            <v>CRISEPA FIM CP IE</v>
          </cell>
          <cell r="D20404" t="str">
            <v>CRISEPA FIM CP IE</v>
          </cell>
          <cell r="E20404" t="str">
            <v>JULIUS BAER FAMILY OFFICE BRASIL GESTAO DE PATRIMONIO LTDA</v>
          </cell>
        </row>
        <row r="20405">
          <cell r="B20405">
            <v>81621</v>
          </cell>
          <cell r="C20405" t="str">
            <v>CRISEPA FIM CP IE</v>
          </cell>
          <cell r="D20405" t="str">
            <v>CRISEPA FIM CP IE</v>
          </cell>
          <cell r="E20405" t="str">
            <v>JULIUS BAER FAMILY OFFICE BRASIL GESTAO DE PATRIMONIO LTDA</v>
          </cell>
        </row>
        <row r="20406">
          <cell r="B20406">
            <v>81622</v>
          </cell>
          <cell r="C20406" t="str">
            <v>BRADESCO FF INDICE ATIVO FUNDO DE INVESTIMENTO EM ACOES</v>
          </cell>
          <cell r="D20406" t="str">
            <v>BRADESCO FF INDICE ATIVO FUNDO DE INVESTIMENTO EM ACOES</v>
          </cell>
          <cell r="E20406" t="str">
            <v>BRAM - BRADESCO ASSET MANAGEMENT S/A DTVM</v>
          </cell>
        </row>
        <row r="20407">
          <cell r="B20407">
            <v>81622</v>
          </cell>
          <cell r="C20407" t="str">
            <v>BRADESCO FF INDICE ATIVO FUNDO DE INVESTIMENTO EM ACOES</v>
          </cell>
          <cell r="D20407" t="str">
            <v>BRADESCO FF INDICE ATIVO FUNDO DE INVESTIMENTO EM ACOES</v>
          </cell>
          <cell r="E20407" t="str">
            <v>BRAM - BRADESCO ASSET MANAGEMENT S/A DTVM</v>
          </cell>
        </row>
        <row r="20408">
          <cell r="B20408">
            <v>81623</v>
          </cell>
          <cell r="C20408" t="str">
            <v>BRAM ALOCACAO SISTEMATICA FIM PREMIO DE ALTO RISCO</v>
          </cell>
          <cell r="D20408" t="str">
            <v>BRAM ALOCACAO SISTEMATICA FIM PREMIO DE ALTO RISCO</v>
          </cell>
          <cell r="E20408" t="str">
            <v>BRAM - BRADESCO ASSET MANAGEMENT S/A DTVM</v>
          </cell>
        </row>
        <row r="20409">
          <cell r="B20409">
            <v>81624</v>
          </cell>
          <cell r="C20409" t="str">
            <v>TAVOLA EQUITY 15 HEDGE FIM</v>
          </cell>
          <cell r="D20409" t="str">
            <v>TAVOLA EQUITY 15 HEDGE FIM</v>
          </cell>
          <cell r="E20409" t="str">
            <v>TAVOLA CAPITAL GESTAO DE RECURSOS LTDA</v>
          </cell>
        </row>
        <row r="20410">
          <cell r="B20410">
            <v>81625</v>
          </cell>
          <cell r="C20410" t="str">
            <v>ITAU INFLATION STRATEGY MULTIMERCADO FUNDO DE INVESTIMENTO</v>
          </cell>
          <cell r="D20410" t="str">
            <v>ITAU INFLATION STRATEGY MULTIMERCADO FUNDO DE INVESTIMENTO</v>
          </cell>
          <cell r="E20410" t="str">
            <v>ITAU UNIBANCO ASSET - TACO</v>
          </cell>
        </row>
        <row r="20411">
          <cell r="B20411">
            <v>81626</v>
          </cell>
          <cell r="C20411" t="str">
            <v>ITAU FLEXPREV INFLATION EQUITY OPPORTUNITIES MULTIMERCADO FI</v>
          </cell>
          <cell r="D20411" t="str">
            <v>ITAU FLEXPREV INFLATION EQUITY OPPORTUNITIES MULTIMERCADO FI</v>
          </cell>
          <cell r="E20411" t="str">
            <v>ITAU UNIBANCO ASSET - TACO</v>
          </cell>
        </row>
        <row r="20412">
          <cell r="B20412">
            <v>81627</v>
          </cell>
          <cell r="C20412" t="str">
            <v>CM ADVANCED XXXII FIM CREDITO PRIVADO</v>
          </cell>
          <cell r="D20412" t="str">
            <v>CM ADVANCED XXXII FIM CREDITO PRIVADO</v>
          </cell>
          <cell r="E20412" t="str">
            <v>WNT GESTORA DE RECURSOS LTDA</v>
          </cell>
        </row>
        <row r="20413">
          <cell r="B20413">
            <v>81627</v>
          </cell>
          <cell r="C20413" t="str">
            <v>CM ADVANCED XXXII FIM CREDITO PRIVADO</v>
          </cell>
          <cell r="D20413" t="str">
            <v>CM ADVANCED XXXII FIM CREDITO PRIVADO</v>
          </cell>
          <cell r="E20413" t="str">
            <v>WNT GESTORA DE RECURSOS LTDA</v>
          </cell>
        </row>
        <row r="20414">
          <cell r="B20414">
            <v>81628</v>
          </cell>
          <cell r="C20414" t="str">
            <v>AP CAPITAL EUROPE NV</v>
          </cell>
          <cell r="D20414" t="str">
            <v>AP CAPITAL EUROPE NV</v>
          </cell>
          <cell r="E20414" t="str">
            <v>AP CAPITAL EUROPE NV</v>
          </cell>
        </row>
        <row r="20415">
          <cell r="B20415">
            <v>81628</v>
          </cell>
          <cell r="C20415" t="str">
            <v>AP CAPITAL EUROPE NV</v>
          </cell>
          <cell r="D20415" t="str">
            <v>AP CAPITAL EUROPE NV</v>
          </cell>
          <cell r="E20415" t="str">
            <v>AP CAPITAL EUROPE NV</v>
          </cell>
        </row>
        <row r="20416">
          <cell r="B20416">
            <v>81630</v>
          </cell>
          <cell r="C20416" t="str">
            <v>DOM QUIXOTE FUNDO DE INVESTIMENTO MULTIMERCADO CP IE</v>
          </cell>
          <cell r="D20416" t="str">
            <v>DOM QUIXOTE FUNDO DE INVESTIMENTO MULTIMERCADO CP IE</v>
          </cell>
          <cell r="E20416" t="str">
            <v>JULIUS BAER FAMILY OFFICE BRASIL GESTAO DE PATRIMONIO LTDA</v>
          </cell>
        </row>
        <row r="20417">
          <cell r="B20417">
            <v>81630</v>
          </cell>
          <cell r="C20417" t="str">
            <v>DOM QUIXOTE FUNDO DE INVESTIMENTO MULTIMERCADO CP IE</v>
          </cell>
          <cell r="D20417" t="str">
            <v>DOM QUIXOTE FUNDO DE INVESTIMENTO MULTIMERCADO CP IE</v>
          </cell>
          <cell r="E20417" t="str">
            <v>JULIUS BAER FAMILY OFFICE BRASIL GESTAO DE PATRIMONIO LTDA</v>
          </cell>
        </row>
        <row r="20418">
          <cell r="B20418">
            <v>81631</v>
          </cell>
          <cell r="C20418" t="str">
            <v>INST DE PREV DO SERV PUB DO MUNI DE SAO JOAO DA BOA VISTA</v>
          </cell>
          <cell r="D20418" t="str">
            <v>INST DE PREV DO SERV PUB DO MUNI DE SAO JOAO DA BOA VISTA</v>
          </cell>
          <cell r="E20418" t="str">
            <v>RPPS SÃƒO JOÃƒO DA BOA VISTA</v>
          </cell>
        </row>
        <row r="20419">
          <cell r="B20419">
            <v>81631</v>
          </cell>
          <cell r="C20419" t="str">
            <v>INST DE PREV DO SERV PUB DO MUNI DE SAO JOAO DA BOA VISTA</v>
          </cell>
          <cell r="D20419" t="str">
            <v>INST DE PREV DO SERV PUB DO MUNI DE SAO JOAO DA BOA VISTA</v>
          </cell>
          <cell r="E20419" t="str">
            <v>RPPS SÃƒO JOÃƒO DA BOA VISTA</v>
          </cell>
        </row>
        <row r="20420">
          <cell r="B20420">
            <v>81633</v>
          </cell>
          <cell r="C20420" t="str">
            <v>ITAÃš EMPRESA GOVERNANÃ‡A CORPORATIVA AÃ‡Ã•ES FI EM COTAS DE FI</v>
          </cell>
          <cell r="D20420" t="str">
            <v>ITAÃš EMPRESA GOVERNANÃ‡A CORPORATIVA AÃ‡Ã•ES FI EM COTAS DE FI</v>
          </cell>
          <cell r="E20420" t="str">
            <v>ITAU UNIBANCO ASSET - TACO</v>
          </cell>
        </row>
        <row r="20421">
          <cell r="B20421">
            <v>81634</v>
          </cell>
          <cell r="C20421" t="str">
            <v>ITAÃš VÃ‰RTICE IBOVESPA EQUITIES II FI EM COTAS DE FI EM AÃ‡Ã•ES</v>
          </cell>
          <cell r="D20421" t="str">
            <v>ITAÃš VÃ‰RTICE IBOVESPA EQUITIES II FI EM COTAS DE FI EM AÃ‡Ã•ES</v>
          </cell>
          <cell r="E20421" t="str">
            <v>ITAU UNIBANCO ASSET - TACO</v>
          </cell>
        </row>
        <row r="20422">
          <cell r="B20422">
            <v>81635</v>
          </cell>
          <cell r="C20422" t="str">
            <v>SANTANDER GLOBAL EQUITIES DOLAR MULTIMERCADO IE FI</v>
          </cell>
          <cell r="D20422" t="str">
            <v>SANTANDER GLOBAL EQUITIES DOLAR MULTIMERCADO IE FI</v>
          </cell>
          <cell r="E20422" t="str">
            <v>SANTANDER BRASIL GESTAO DE RECURSOS LTDA</v>
          </cell>
        </row>
        <row r="20423">
          <cell r="B20423">
            <v>81636</v>
          </cell>
          <cell r="C20423" t="str">
            <v>ITAÃš INFLAÃ‡ÃƒO MULTIESTRATÃ‰GIA MULTI FUNDO DE INVESTIMENTO</v>
          </cell>
          <cell r="D20423" t="str">
            <v>ITAÃš INFLAÃ‡ÃƒO MULTIESTRATÃ‰GIA MULTI FUNDO DE INVESTIMENTO</v>
          </cell>
          <cell r="E20423" t="str">
            <v>ITAU UNIBANCO ASSET - TACO</v>
          </cell>
        </row>
        <row r="20424">
          <cell r="B20424">
            <v>81637</v>
          </cell>
          <cell r="C20424" t="str">
            <v>ITAÃš ARTAX OFF PREV MULT IE FIM</v>
          </cell>
          <cell r="D20424" t="str">
            <v>ITAÃš ARTAX OFF PREV MULT IE FIM</v>
          </cell>
          <cell r="E20424" t="str">
            <v>ITAU UNIBANCO ASSET - TACO</v>
          </cell>
        </row>
        <row r="20425">
          <cell r="B20425">
            <v>81638</v>
          </cell>
          <cell r="C20425" t="str">
            <v>INST MUNICIPAL DE PREV SOCIAL DOS SERV DO MUNI DE MINEIROS</v>
          </cell>
          <cell r="D20425" t="str">
            <v>INST MUNICIPAL DE PREV SOCIAL DOS SERV DO MUNI DE MINEIROS</v>
          </cell>
          <cell r="E20425" t="str">
            <v>INST MUNICIPAL DE PREV SOCIAL DOS SERV DO MUNI DE MINEIROS</v>
          </cell>
        </row>
        <row r="20426">
          <cell r="B20426">
            <v>81638</v>
          </cell>
          <cell r="C20426" t="str">
            <v>INST MUNICIPAL DE PREV SOCIAL DOS SERV DO MUNI DE MINEIROS</v>
          </cell>
          <cell r="D20426" t="str">
            <v>INST MUNICIPAL DE PREV SOCIAL DOS SERV DO MUNI DE MINEIROS</v>
          </cell>
          <cell r="E20426" t="str">
            <v>INST MUNICIPAL DE PREV SOCIAL DOS SERV DO MUNI DE MINEIROS</v>
          </cell>
        </row>
        <row r="20427">
          <cell r="B20427">
            <v>81639</v>
          </cell>
          <cell r="C20427" t="str">
            <v>ITAÃš ARTAX II OFF PREV MULTI IE FI</v>
          </cell>
          <cell r="D20427" t="str">
            <v>ITAÃš ARTAX II OFF PREV MULTI IE FI</v>
          </cell>
          <cell r="E20427" t="str">
            <v>ITAU UNIBANCO ASSET - TACO</v>
          </cell>
        </row>
        <row r="20428">
          <cell r="B20428">
            <v>81639</v>
          </cell>
          <cell r="C20428" t="str">
            <v>ITAÃš ARTAX II OFF PREV MULTI IE FI</v>
          </cell>
          <cell r="D20428" t="str">
            <v>ITAÃš ARTAX II OFF PREV MULTI IE FI</v>
          </cell>
          <cell r="E20428" t="str">
            <v>ITAU UNIBANCO ASSET - TACO</v>
          </cell>
        </row>
        <row r="20429">
          <cell r="B20429">
            <v>81640</v>
          </cell>
          <cell r="C20429" t="str">
            <v>OMEGA FIC FIM CP IE</v>
          </cell>
          <cell r="D20429" t="str">
            <v>OMEGA FIC FIM CP IE</v>
          </cell>
          <cell r="E20429" t="str">
            <v>JULIUS BAER FAMILY OFFICE BRASIL GESTAO DE PATRIMONIO LTDA</v>
          </cell>
        </row>
        <row r="20430">
          <cell r="B20430">
            <v>81640</v>
          </cell>
          <cell r="C20430" t="str">
            <v>OMEGA FIC FIM CP IE</v>
          </cell>
          <cell r="D20430" t="str">
            <v>OMEGA FIC FIM CP IE</v>
          </cell>
          <cell r="E20430" t="str">
            <v>JULIUS BAER FAMILY OFFICE BRASIL GESTAO DE PATRIMONIO LTDA</v>
          </cell>
        </row>
        <row r="20431">
          <cell r="B20431">
            <v>125754</v>
          </cell>
          <cell r="C20431" t="str">
            <v>BB GESTAO DE RECURSOS DTVM LTDA</v>
          </cell>
          <cell r="D20431" t="str">
            <v>BB GESTAO DE RECURSOS DTVM LTDA</v>
          </cell>
          <cell r="E20431" t="str">
            <v>BB GESTAO DE RECURSOS DTVM LTDA</v>
          </cell>
        </row>
        <row r="20432">
          <cell r="B20432">
            <v>81641</v>
          </cell>
          <cell r="C20432" t="str">
            <v>SAFRA ASSET MANAGEMENT LTDA</v>
          </cell>
          <cell r="D20432" t="str">
            <v>SAFRA ASSET MANAGEMENT LTDA</v>
          </cell>
          <cell r="E20432" t="str">
            <v>SAFRA ASSET MANAGEMENT LTDA</v>
          </cell>
        </row>
        <row r="20433">
          <cell r="B20433">
            <v>81641</v>
          </cell>
          <cell r="C20433" t="str">
            <v>SAFRA ASSET MANAGEMENT LTDA</v>
          </cell>
          <cell r="D20433" t="str">
            <v>SAFRA ASSET MANAGEMENT LTDA</v>
          </cell>
          <cell r="E20433" t="str">
            <v>SAFRA ASSET MANAGEMENT LTDA</v>
          </cell>
        </row>
        <row r="20434">
          <cell r="B20434">
            <v>125755</v>
          </cell>
          <cell r="C20434" t="str">
            <v>BB GESTAO DE RECURSOS DTVM LTDA</v>
          </cell>
          <cell r="D20434" t="str">
            <v>BB GESTAO DE RECURSOS DTVM LTDA</v>
          </cell>
          <cell r="E20434" t="str">
            <v>BB GESTAO DE RECURSOS DTVM LTDA</v>
          </cell>
        </row>
        <row r="20435">
          <cell r="B20435">
            <v>81642</v>
          </cell>
          <cell r="C20435" t="str">
            <v>ROLAND GARROS FIM CP IE</v>
          </cell>
          <cell r="D20435" t="str">
            <v>ROLAND GARROS FIM CP IE</v>
          </cell>
          <cell r="E20435" t="str">
            <v>JULIUS BAER FAMILY OFFICE BRASIL GESTAO DE PATRIMONIO LTDA</v>
          </cell>
        </row>
        <row r="20436">
          <cell r="B20436">
            <v>81642</v>
          </cell>
          <cell r="C20436" t="str">
            <v>ROLAND GARROS FIM CP IE</v>
          </cell>
          <cell r="D20436" t="str">
            <v>ROLAND GARROS FIM CP IE</v>
          </cell>
          <cell r="E20436" t="str">
            <v>JULIUS BAER FAMILY OFFICE BRASIL GESTAO DE PATRIMONIO LTDA</v>
          </cell>
        </row>
        <row r="20437">
          <cell r="B20437">
            <v>81643</v>
          </cell>
          <cell r="C20437" t="str">
            <v>BANCO SUMITOMO MITSUI BRASILEIRO S.A</v>
          </cell>
          <cell r="D20437" t="str">
            <v>BANCO SUMITOMO MITSUI BRASILEIRO S.A</v>
          </cell>
          <cell r="E20437" t="str">
            <v>BANCO SUMITOMO MITSUI BRASILEIRO S/A</v>
          </cell>
        </row>
        <row r="20438">
          <cell r="B20438">
            <v>81645</v>
          </cell>
          <cell r="C20438" t="str">
            <v>ALPHATREE MASTER FUNDO DE INVESTIMENTO MULTIMERCADO</v>
          </cell>
          <cell r="D20438" t="str">
            <v>ALPHATREE MASTER FUNDO DE INVESTIMENTO MULTIMERCADO</v>
          </cell>
          <cell r="E20438" t="str">
            <v>ALPHATREE CAPITAL GESTAO DE RECURSOS LTDA</v>
          </cell>
        </row>
        <row r="20439">
          <cell r="B20439">
            <v>81645</v>
          </cell>
          <cell r="C20439" t="str">
            <v>ALPHATREE MASTER FUNDO DE INVESTIMENTO MULTIMERCADO</v>
          </cell>
          <cell r="D20439" t="str">
            <v>ALPHATREE MASTER FUNDO DE INVESTIMENTO MULTIMERCADO</v>
          </cell>
          <cell r="E20439" t="str">
            <v>ALPHATREE CAPITAL GESTAO DE RECURSOS LTDA</v>
          </cell>
        </row>
        <row r="20440">
          <cell r="B20440">
            <v>81649</v>
          </cell>
          <cell r="C20440" t="str">
            <v>ACE CAPITAL GROU GESTORA DE RECURSOS LTDA</v>
          </cell>
          <cell r="D20440" t="str">
            <v>ACE CAPITAL GROU GESTORA DE RECURSOS LTDA</v>
          </cell>
          <cell r="E20440" t="str">
            <v>ACE CAPITAL GESTORA DE RECURSOS LTDA</v>
          </cell>
        </row>
        <row r="20441">
          <cell r="B20441">
            <v>81649</v>
          </cell>
          <cell r="C20441" t="str">
            <v>ACE CAPITAL GROU GESTORA DE RECURSOS LTDA</v>
          </cell>
          <cell r="D20441" t="str">
            <v>ACE CAPITAL GROU GESTORA DE RECURSOS LTDA</v>
          </cell>
          <cell r="E20441" t="str">
            <v>ACE CAPITAL GESTORA DE RECURSOS LTDA</v>
          </cell>
        </row>
        <row r="20442">
          <cell r="B20442">
            <v>81650</v>
          </cell>
          <cell r="C20442" t="str">
            <v>ABSOLUTO LLC</v>
          </cell>
          <cell r="D20442" t="str">
            <v>ABSOLUTO LLC</v>
          </cell>
          <cell r="E20442" t="str">
            <v>BANCO BTG PACTUAL S/A</v>
          </cell>
        </row>
        <row r="20443">
          <cell r="B20443">
            <v>81650</v>
          </cell>
          <cell r="C20443" t="str">
            <v>ABSOLUTO LLC</v>
          </cell>
          <cell r="D20443" t="str">
            <v>ABSOLUTO LLC</v>
          </cell>
          <cell r="E20443" t="str">
            <v>BANCO BTG PACTUAL S/A</v>
          </cell>
        </row>
        <row r="20444">
          <cell r="B20444">
            <v>81651</v>
          </cell>
          <cell r="C20444" t="str">
            <v>SIRIUS FUNDO DE INVESTIMENTO MULTIMERCADO CRÃ‰DITO PRIVADO</v>
          </cell>
          <cell r="D20444" t="str">
            <v>SIRIUS FUNDO DE INVESTIMENTO MULTIMERCADO CRÃ‰DITO PRIVADO</v>
          </cell>
          <cell r="E20444" t="str">
            <v>JULIUS BAER FAMILY OFFICE BRASIL GESTAO DE PATRIMONIO LTDA</v>
          </cell>
        </row>
        <row r="20445">
          <cell r="B20445">
            <v>81651</v>
          </cell>
          <cell r="C20445" t="str">
            <v>SIRIUS FUNDO DE INVESTIMENTO MULTIMERCADO CRÃ‰DITO PRIVADO</v>
          </cell>
          <cell r="D20445" t="str">
            <v>SIRIUS FUNDO DE INVESTIMENTO MULTIMERCADO CRÃ‰DITO PRIVADO</v>
          </cell>
          <cell r="E20445" t="str">
            <v>JULIUS BAER FAMILY OFFICE BRASIL GESTAO DE PATRIMONIO LTDA</v>
          </cell>
        </row>
        <row r="20446">
          <cell r="B20446">
            <v>81652</v>
          </cell>
          <cell r="C20446" t="str">
            <v>BB GESTAO DE RECURSOS DTVM LTDA</v>
          </cell>
          <cell r="D20446" t="str">
            <v>BB GESTAO DE RECURSOS DTVM LTDA</v>
          </cell>
          <cell r="E20446" t="str">
            <v>BB GESTAO DE RECURSOS DTVM LTDA</v>
          </cell>
        </row>
        <row r="20447">
          <cell r="B20447">
            <v>81652</v>
          </cell>
          <cell r="C20447" t="str">
            <v>BB GESTAO DE RECURSOS DTVM LTDA</v>
          </cell>
          <cell r="D20447" t="str">
            <v>BB GESTAO DE RECURSOS DTVM LTDA</v>
          </cell>
          <cell r="E20447" t="str">
            <v>BB GESTAO DE RECURSOS DTVM LTDA</v>
          </cell>
        </row>
        <row r="20448">
          <cell r="B20448">
            <v>125756</v>
          </cell>
          <cell r="C20448" t="str">
            <v>BB GESTAO DE RECURSOS DTVM LTDA</v>
          </cell>
          <cell r="D20448" t="str">
            <v>BB GESTAO DE RECURSOS DTVM LTDA</v>
          </cell>
          <cell r="E20448" t="str">
            <v>BB GESTAO DE RECURSOS DTVM LTDA</v>
          </cell>
        </row>
        <row r="20449">
          <cell r="B20449">
            <v>125756</v>
          </cell>
          <cell r="C20449" t="str">
            <v>BB GESTAO DE RECURSOS DTVM LTDA</v>
          </cell>
          <cell r="D20449" t="str">
            <v>BB GESTAO DE RECURSOS DTVM LTDA</v>
          </cell>
          <cell r="E20449" t="str">
            <v>BB GESTAO DE RECURSOS DTVM LTDA</v>
          </cell>
        </row>
        <row r="20450">
          <cell r="B20450">
            <v>81653</v>
          </cell>
          <cell r="C20450" t="str">
            <v>BANCO CITIBANK S/A</v>
          </cell>
          <cell r="D20450" t="str">
            <v>BANCO CITIBANK S/A</v>
          </cell>
          <cell r="E20450" t="str">
            <v>BANCO CITIBANK S/A</v>
          </cell>
        </row>
        <row r="20451">
          <cell r="B20451">
            <v>81654</v>
          </cell>
          <cell r="C20451" t="str">
            <v>BANCO CITIBANK S/A</v>
          </cell>
          <cell r="D20451" t="str">
            <v>BANCO CITIBANK S/A</v>
          </cell>
          <cell r="E20451" t="str">
            <v>BANCO CITIBANK S/A</v>
          </cell>
        </row>
        <row r="20452">
          <cell r="B20452">
            <v>81655</v>
          </cell>
          <cell r="C20452" t="str">
            <v>BTG PACTUAL MACRO HF FIM</v>
          </cell>
          <cell r="D20452" t="str">
            <v>BTG PACTUAL MACRO HF FIM</v>
          </cell>
          <cell r="E20452" t="str">
            <v>BTG PACTUAL ASSET MANAGEMENT SA DTVM</v>
          </cell>
        </row>
        <row r="20453">
          <cell r="B20453">
            <v>81656</v>
          </cell>
          <cell r="C20453" t="str">
            <v>BTGP ABSOLUTO LS B PREV FIFE FIM CP</v>
          </cell>
          <cell r="D20453" t="str">
            <v>BTGP ABSOLUTO LS B PREV FIFE FIM CP</v>
          </cell>
          <cell r="E20453" t="str">
            <v>BTG PACTUAL ASSET MANAGEMENT SA DTVM</v>
          </cell>
        </row>
        <row r="20454">
          <cell r="B20454">
            <v>81657</v>
          </cell>
          <cell r="C20454" t="str">
            <v>NOVUS CAPITAL GESTORA DE RECURSOS LTDA</v>
          </cell>
          <cell r="D20454" t="str">
            <v>NOVUS CAPITAL GESTORA DE RECURSOS LTDA</v>
          </cell>
          <cell r="E20454" t="str">
            <v>NOVUS CAPITAL GESTORA DE RECURSOS LTDA</v>
          </cell>
        </row>
        <row r="20455">
          <cell r="B20455">
            <v>81657</v>
          </cell>
          <cell r="C20455" t="str">
            <v>NOVUS CAPITAL GESTORA DE RECURSOS LTDA</v>
          </cell>
          <cell r="D20455" t="str">
            <v>NOVUS CAPITAL GESTORA DE RECURSOS LTDA</v>
          </cell>
          <cell r="E20455" t="str">
            <v>NOVUS CAPITAL GESTORA DE RECURSOS LTDA</v>
          </cell>
        </row>
        <row r="20456">
          <cell r="B20456">
            <v>81659</v>
          </cell>
          <cell r="C20456" t="str">
            <v>EAGLE SEVEN LLC</v>
          </cell>
          <cell r="D20456" t="str">
            <v>EAGLE SEVEN LLC</v>
          </cell>
          <cell r="E20456" t="str">
            <v>EAGLE SEVEN LLC</v>
          </cell>
        </row>
        <row r="20457">
          <cell r="B20457">
            <v>81659</v>
          </cell>
          <cell r="C20457" t="str">
            <v>EAGLE SEVEN LLC</v>
          </cell>
          <cell r="D20457" t="str">
            <v>EAGLE SEVEN LLC</v>
          </cell>
          <cell r="E20457" t="str">
            <v>EAGLE SEVEN LLC</v>
          </cell>
        </row>
        <row r="20458">
          <cell r="B20458">
            <v>125757</v>
          </cell>
          <cell r="C20458" t="str">
            <v>BB GESTAO DE RECURSOS DTVM LTDA</v>
          </cell>
          <cell r="D20458" t="str">
            <v>BB GESTAO DE RECURSOS DTVM LTDA</v>
          </cell>
          <cell r="E20458" t="str">
            <v>BB GESTAO DE RECURSOS DTVM LTDA</v>
          </cell>
        </row>
        <row r="20459">
          <cell r="B20459">
            <v>81660</v>
          </cell>
          <cell r="C20459" t="str">
            <v>TALISMÃƒ FUNDO DE INVESTIMENTO EM AÃ‡Ã•ES</v>
          </cell>
          <cell r="D20459" t="str">
            <v>TALISMÃƒ FUNDO DE INVESTIMENTO EM AÃ‡Ã•ES</v>
          </cell>
          <cell r="E20459" t="str">
            <v>JULIUS BAER FAMILY OFFICE BRASIL GESTAO DE PATRIMONIO LTDA</v>
          </cell>
        </row>
        <row r="20460">
          <cell r="B20460">
            <v>81660</v>
          </cell>
          <cell r="C20460" t="str">
            <v>TALISMÃƒ FUNDO DE INVESTIMENTO EM AÃ‡Ã•ES</v>
          </cell>
          <cell r="D20460" t="str">
            <v>TALISMÃƒ FUNDO DE INVESTIMENTO EM AÃ‡Ã•ES</v>
          </cell>
          <cell r="E20460" t="str">
            <v>JULIUS BAER FAMILY OFFICE BRASIL GESTAO DE PATRIMONIO LTDA</v>
          </cell>
        </row>
        <row r="20461">
          <cell r="B20461">
            <v>81661</v>
          </cell>
          <cell r="C20461" t="str">
            <v>SIRACUSA FUNDO DE INVESTIMENTO MULTIMERCADO</v>
          </cell>
          <cell r="D20461" t="str">
            <v>SIRACUSA FUNDO DE INVESTIMENTO MULTIMERCADO</v>
          </cell>
          <cell r="E20461" t="str">
            <v>WNT GESTORA DE RECURSOS LTDA</v>
          </cell>
        </row>
        <row r="20462">
          <cell r="B20462">
            <v>81661</v>
          </cell>
          <cell r="C20462" t="str">
            <v>SIRACUSA FUNDO DE INVESTIMENTO MULTIMERCADO</v>
          </cell>
          <cell r="D20462" t="str">
            <v>SIRACUSA FUNDO DE INVESTIMENTO MULTIMERCADO</v>
          </cell>
          <cell r="E20462" t="str">
            <v>WNT GESTORA DE RECURSOS LTDA</v>
          </cell>
        </row>
        <row r="20463">
          <cell r="B20463">
            <v>81662</v>
          </cell>
          <cell r="C20463" t="str">
            <v>GAP ABSOLUTO 10B PREVIDENCIÃRIO FIFE FIM</v>
          </cell>
          <cell r="D20463" t="str">
            <v>GAP ABSOLUTO 10B PREVIDENCIÃRIO FIFE FIM</v>
          </cell>
          <cell r="E20463" t="str">
            <v>GAP GESTORA DE RECURSOS LTDA</v>
          </cell>
        </row>
        <row r="20464">
          <cell r="B20464">
            <v>81662</v>
          </cell>
          <cell r="C20464" t="str">
            <v>GAP ABSOLUTO 10B PREVIDENCIÃRIO FIFE FIM</v>
          </cell>
          <cell r="D20464" t="str">
            <v>GAP ABSOLUTO 10B PREVIDENCIÃRIO FIFE FIM</v>
          </cell>
          <cell r="E20464" t="str">
            <v>GAP GESTORA DE RECURSOS LTDA</v>
          </cell>
        </row>
        <row r="20465">
          <cell r="B20465">
            <v>81663</v>
          </cell>
          <cell r="C20465" t="str">
            <v>GAP ABSOLUTO IQ PREVIDENCIARIO FIFE FIM</v>
          </cell>
          <cell r="D20465" t="str">
            <v>GAP ABSOLUTO IQ PREVIDENCIARIO FIFE FIM</v>
          </cell>
          <cell r="E20465" t="str">
            <v>GAP GESTORA DE RECURSOS LTDA</v>
          </cell>
        </row>
        <row r="20466">
          <cell r="B20466">
            <v>81663</v>
          </cell>
          <cell r="C20466" t="str">
            <v>GAP ABSOLUTO IQ PREVIDENCIARIO FIFE FIM</v>
          </cell>
          <cell r="D20466" t="str">
            <v>GAP ABSOLUTO IQ PREVIDENCIARIO FIFE FIM</v>
          </cell>
          <cell r="E20466" t="str">
            <v>GAP GESTORA DE RECURSOS LTDA</v>
          </cell>
        </row>
        <row r="20467">
          <cell r="B20467">
            <v>9474114</v>
          </cell>
          <cell r="C20467" t="str">
            <v>BGC LIQUIDEZ DTVM LTDA</v>
          </cell>
          <cell r="D20467" t="str">
            <v>BGC LIQUIDEZ DTVM LTDA</v>
          </cell>
          <cell r="E20467" t="str">
            <v>BGC LIQUIDEZ DTVM LTDA</v>
          </cell>
        </row>
        <row r="20468">
          <cell r="B20468">
            <v>9474114</v>
          </cell>
          <cell r="C20468" t="str">
            <v>BGC LIQUIDEZ DTVM LTDA</v>
          </cell>
          <cell r="D20468" t="str">
            <v>BGC LIQUIDEZ DTVM LTDA</v>
          </cell>
          <cell r="E20468" t="str">
            <v>BGC LIQUIDEZ DTVM LTDA</v>
          </cell>
        </row>
        <row r="20469">
          <cell r="B20469">
            <v>81664</v>
          </cell>
          <cell r="C20469" t="str">
            <v>BANCO SUMITOMO MITSUI BRASILEIRO S.A</v>
          </cell>
          <cell r="D20469" t="str">
            <v>BANCO SUMITOMO MITSUI BRASILEIRO S.A</v>
          </cell>
          <cell r="E20469" t="str">
            <v>BANCO SUMITOMO MITSUI BRASILEIRO S/A</v>
          </cell>
        </row>
        <row r="20470">
          <cell r="B20470">
            <v>81665</v>
          </cell>
          <cell r="C20470" t="str">
            <v>BANCO SUMITOMO MITSUI BRASILEIRO S.A</v>
          </cell>
          <cell r="D20470" t="str">
            <v>BANCO SUMITOMO MITSUI BRASILEIRO S.A</v>
          </cell>
          <cell r="E20470" t="str">
            <v>BANCO SUMITOMO MITSUI BRASILEIRO S/A</v>
          </cell>
        </row>
        <row r="20471">
          <cell r="B20471">
            <v>81666</v>
          </cell>
          <cell r="C20471" t="str">
            <v>BWS SELECAO BONDS FIM CP IE</v>
          </cell>
          <cell r="D20471" t="str">
            <v>BWS SELECAO BONDS FIM CP IE</v>
          </cell>
          <cell r="E20471" t="str">
            <v>GALLOWAY CAPITAL GESTORA DE RECURSOS LTDA.</v>
          </cell>
        </row>
        <row r="20472">
          <cell r="B20472">
            <v>81667</v>
          </cell>
          <cell r="C20472" t="str">
            <v>APEX CAPITAL LTDA</v>
          </cell>
          <cell r="D20472" t="str">
            <v>APEX CAPITAL LTDA</v>
          </cell>
          <cell r="E20472" t="str">
            <v>APEX CAPITAL LTDA</v>
          </cell>
        </row>
        <row r="20473">
          <cell r="B20473">
            <v>81667</v>
          </cell>
          <cell r="C20473" t="str">
            <v>APEX CAPITAL LTDA</v>
          </cell>
          <cell r="D20473" t="str">
            <v>APEX CAPITAL LTDA</v>
          </cell>
          <cell r="E20473" t="str">
            <v>APEX CAPITAL LTDA</v>
          </cell>
        </row>
        <row r="20474">
          <cell r="B20474">
            <v>81668</v>
          </cell>
          <cell r="C20474" t="str">
            <v>APEX MASTER LONG BIASED FIM</v>
          </cell>
          <cell r="D20474" t="str">
            <v>APEX MASTER LONG BIASED FIM</v>
          </cell>
          <cell r="E20474" t="str">
            <v>APEX CAPITAL LTDA</v>
          </cell>
        </row>
        <row r="20475">
          <cell r="B20475">
            <v>81668</v>
          </cell>
          <cell r="C20475" t="str">
            <v>APEX MASTER LONG BIASED FIM</v>
          </cell>
          <cell r="D20475" t="str">
            <v>APEX MASTER LONG BIASED FIM</v>
          </cell>
          <cell r="E20475" t="str">
            <v>APEX CAPITAL LTDA</v>
          </cell>
        </row>
        <row r="20476">
          <cell r="B20476">
            <v>81669</v>
          </cell>
          <cell r="C20476" t="str">
            <v>APEX EQUITY HEDGE STR FIM</v>
          </cell>
          <cell r="D20476" t="str">
            <v>APEX EQUITY HEDGE STR FIM</v>
          </cell>
          <cell r="E20476" t="str">
            <v>APEX CAPITAL LTDA</v>
          </cell>
        </row>
        <row r="20477">
          <cell r="B20477">
            <v>81669</v>
          </cell>
          <cell r="C20477" t="str">
            <v>APEX EQUITY HEDGE STR FIM</v>
          </cell>
          <cell r="D20477" t="str">
            <v>APEX EQUITY HEDGE STR FIM</v>
          </cell>
          <cell r="E20477" t="str">
            <v>APEX CAPITAL LTDA</v>
          </cell>
        </row>
        <row r="20478">
          <cell r="B20478">
            <v>81670</v>
          </cell>
          <cell r="C20478" t="str">
            <v>APEX EQUITY HEDGE FIF MULTIMERCADO RL</v>
          </cell>
          <cell r="D20478" t="str">
            <v>APEX EQUITY HEDGE FIF MULTIMERCADO RL</v>
          </cell>
          <cell r="E20478" t="str">
            <v>APEX CAPITAL LTDA</v>
          </cell>
        </row>
        <row r="20479">
          <cell r="B20479">
            <v>81670</v>
          </cell>
          <cell r="C20479" t="str">
            <v>APEX EQUITY HEDGE FIF MULTIMERCADO RL</v>
          </cell>
          <cell r="D20479" t="str">
            <v>APEX EQUITY HEDGE FIF MULTIMERCADO RL</v>
          </cell>
          <cell r="E20479" t="str">
            <v>APEX CAPITAL LTDA</v>
          </cell>
        </row>
        <row r="20480">
          <cell r="B20480">
            <v>81671</v>
          </cell>
          <cell r="C20480" t="str">
            <v>APEX INFINITY MASTER LONG BIASED FIA</v>
          </cell>
          <cell r="D20480" t="str">
            <v>APEX INFINITY MASTER LONG BIASED FIA</v>
          </cell>
          <cell r="E20480" t="str">
            <v>APEX CAPITAL LTDA</v>
          </cell>
        </row>
        <row r="20481">
          <cell r="B20481">
            <v>81671</v>
          </cell>
          <cell r="C20481" t="str">
            <v>APEX INFINITY MASTER LONG BIASED FIA</v>
          </cell>
          <cell r="D20481" t="str">
            <v>APEX INFINITY MASTER LONG BIASED FIA</v>
          </cell>
          <cell r="E20481" t="str">
            <v>APEX CAPITAL LTDA</v>
          </cell>
        </row>
        <row r="20482">
          <cell r="B20482">
            <v>81672</v>
          </cell>
          <cell r="C20482" t="str">
            <v>APEX MASTER FIA</v>
          </cell>
          <cell r="D20482" t="str">
            <v>APEX MASTER FIA</v>
          </cell>
          <cell r="E20482" t="str">
            <v>APEX CAPITAL LTDA</v>
          </cell>
        </row>
        <row r="20483">
          <cell r="B20483">
            <v>81672</v>
          </cell>
          <cell r="C20483" t="str">
            <v>APEX MASTER FIA</v>
          </cell>
          <cell r="D20483" t="str">
            <v>APEX MASTER FIA</v>
          </cell>
          <cell r="E20483" t="str">
            <v>APEX CAPITAL LTDA</v>
          </cell>
        </row>
        <row r="20484">
          <cell r="B20484">
            <v>81673</v>
          </cell>
          <cell r="C20484" t="str">
            <v>APEX LONG BIASED ICATU FIA PREVIDENCIARIO FIFE</v>
          </cell>
          <cell r="D20484" t="str">
            <v>APEX LONG BIASED ICATU FIA PREVIDENCIARIO FIFE</v>
          </cell>
          <cell r="E20484" t="str">
            <v>APEX CAPITAL LTDA</v>
          </cell>
        </row>
        <row r="20485">
          <cell r="B20485">
            <v>81673</v>
          </cell>
          <cell r="C20485" t="str">
            <v>APEX LONG BIASED ICATU FIA PREVIDENCIARIO FIFE</v>
          </cell>
          <cell r="D20485" t="str">
            <v>APEX LONG BIASED ICATU FIA PREVIDENCIARIO FIFE</v>
          </cell>
          <cell r="E20485" t="str">
            <v>APEX CAPITAL LTDA</v>
          </cell>
        </row>
        <row r="20486">
          <cell r="B20486">
            <v>81674</v>
          </cell>
          <cell r="C20486" t="str">
            <v>APEX LONG BIASED II ICATU FIF MULT PREVIDENCIÃRIO FIFE RL</v>
          </cell>
          <cell r="D20486" t="str">
            <v>APEX LONG BIASED II ICATU FIF MULT PREVIDENCIÃRIO FIFE RL</v>
          </cell>
          <cell r="E20486" t="str">
            <v>APEX CAPITAL LTDA</v>
          </cell>
        </row>
        <row r="20487">
          <cell r="B20487">
            <v>81674</v>
          </cell>
          <cell r="C20487" t="str">
            <v>APEX LONG BIASED II ICATU FIF MULT PREVIDENCIÃRIO FIFE RL</v>
          </cell>
          <cell r="D20487" t="str">
            <v>APEX LONG BIASED II ICATU FIF MULT PREVIDENCIÃRIO FIFE RL</v>
          </cell>
          <cell r="E20487" t="str">
            <v>APEX CAPITAL LTDA</v>
          </cell>
        </row>
        <row r="20488">
          <cell r="B20488">
            <v>81676</v>
          </cell>
          <cell r="C20488" t="str">
            <v>APEX LONG BIASED ADVISORY XP SEGUROS PREV FIM</v>
          </cell>
          <cell r="D20488" t="str">
            <v>APEX LONG BIASED ADVISORY XP SEGUROS PREV FIM</v>
          </cell>
          <cell r="E20488" t="str">
            <v>APEX CAPITAL LTDA</v>
          </cell>
        </row>
        <row r="20489">
          <cell r="B20489">
            <v>81675</v>
          </cell>
          <cell r="C20489" t="str">
            <v>APEX LONG ONLY PREV FIFE VI FIF EM ACOES RL</v>
          </cell>
          <cell r="D20489" t="str">
            <v>APEX LONG ONLY PREV FIFE VI FIF EM ACOES RL</v>
          </cell>
          <cell r="E20489" t="str">
            <v>APEX CAPITAL LTDA</v>
          </cell>
        </row>
        <row r="20490">
          <cell r="B20490">
            <v>81676</v>
          </cell>
          <cell r="C20490" t="str">
            <v>APEX LONG BIASED ADVISORY XP SEGUROS PREV FIM</v>
          </cell>
          <cell r="D20490" t="str">
            <v>APEX LONG BIASED ADVISORY XP SEGUROS PREV FIM</v>
          </cell>
          <cell r="E20490" t="str">
            <v>APEX CAPITAL LTDA</v>
          </cell>
        </row>
        <row r="20491">
          <cell r="B20491">
            <v>81675</v>
          </cell>
          <cell r="C20491" t="str">
            <v>APEX LONG ONLY PREV FIFE VI FIF EM ACOES RL</v>
          </cell>
          <cell r="D20491" t="str">
            <v>APEX LONG ONLY PREV FIFE VI FIF EM ACOES RL</v>
          </cell>
          <cell r="E20491" t="str">
            <v>APEX CAPITAL LTDA</v>
          </cell>
        </row>
        <row r="20492">
          <cell r="B20492">
            <v>81677</v>
          </cell>
          <cell r="C20492" t="str">
            <v>APEX LONG BIASED III FIM PREVIDENCIARIO FIFE</v>
          </cell>
          <cell r="D20492" t="str">
            <v>APEX LONG BIASED III FIM PREVIDENCIARIO FIFE</v>
          </cell>
          <cell r="E20492" t="str">
            <v>APEX CAPITAL LTDA</v>
          </cell>
        </row>
        <row r="20493">
          <cell r="B20493">
            <v>81677</v>
          </cell>
          <cell r="C20493" t="str">
            <v>APEX LONG BIASED III FIM PREVIDENCIARIO FIFE</v>
          </cell>
          <cell r="D20493" t="str">
            <v>APEX LONG BIASED III FIM PREVIDENCIARIO FIFE</v>
          </cell>
          <cell r="E20493" t="str">
            <v>APEX CAPITAL LTDA</v>
          </cell>
        </row>
        <row r="20494">
          <cell r="B20494">
            <v>81678</v>
          </cell>
          <cell r="C20494" t="str">
            <v>APEX LONG BIASED IV FIM PREV FIFE</v>
          </cell>
          <cell r="D20494" t="str">
            <v>APEX LONG BIASED IV FIM PREV FIFE</v>
          </cell>
          <cell r="E20494" t="str">
            <v>APEX CAPITAL LTDA</v>
          </cell>
        </row>
        <row r="20495">
          <cell r="B20495">
            <v>81678</v>
          </cell>
          <cell r="C20495" t="str">
            <v>APEX LONG BIASED IV FIM PREV FIFE</v>
          </cell>
          <cell r="D20495" t="str">
            <v>APEX LONG BIASED IV FIM PREV FIFE</v>
          </cell>
          <cell r="E20495" t="str">
            <v>APEX CAPITAL LTDA</v>
          </cell>
        </row>
        <row r="20496">
          <cell r="B20496">
            <v>81679</v>
          </cell>
          <cell r="C20496" t="str">
            <v>APEX AÃ‡Ã•ES PLUS MASTER FUNDO DE INVESTIMENTO DE AÃ‡Ã•ES</v>
          </cell>
          <cell r="D20496" t="str">
            <v>APEX AÃ‡Ã•ES PLUS MASTER FUNDO DE INVESTIMENTO DE AÃ‡Ã•ES</v>
          </cell>
          <cell r="E20496" t="str">
            <v>APEX CAPITAL LTDA</v>
          </cell>
        </row>
        <row r="20497">
          <cell r="B20497">
            <v>81680</v>
          </cell>
          <cell r="C20497" t="str">
            <v>APEX EQUITY HEDGE MASTER II FUNDO DE INVESTIMENTO MULTIMERCA</v>
          </cell>
          <cell r="D20497" t="str">
            <v>APEX EQUITY HEDGE MASTER II FUNDO DE INVESTIMENTO MULTIMERCA</v>
          </cell>
          <cell r="E20497" t="str">
            <v>APEX CAPITAL LTDA</v>
          </cell>
        </row>
        <row r="20498">
          <cell r="B20498">
            <v>81679</v>
          </cell>
          <cell r="C20498" t="str">
            <v>APEX AÃ‡Ã•ES PLUS MASTER FUNDO DE INVESTIMENTO DE AÃ‡Ã•ES</v>
          </cell>
          <cell r="D20498" t="str">
            <v>APEX AÃ‡Ã•ES PLUS MASTER FUNDO DE INVESTIMENTO DE AÃ‡Ã•ES</v>
          </cell>
          <cell r="E20498" t="str">
            <v>APEX CAPITAL LTDA</v>
          </cell>
        </row>
        <row r="20499">
          <cell r="B20499">
            <v>81680</v>
          </cell>
          <cell r="C20499" t="str">
            <v>APEX EQUITY HEDGE MASTER II FUNDO DE INVESTIMENTO MULTIMERCA</v>
          </cell>
          <cell r="D20499" t="str">
            <v>APEX EQUITY HEDGE MASTER II FUNDO DE INVESTIMENTO MULTIMERCA</v>
          </cell>
          <cell r="E20499" t="str">
            <v>APEX CAPITAL LTDA</v>
          </cell>
        </row>
        <row r="20500">
          <cell r="B20500">
            <v>81681</v>
          </cell>
          <cell r="C20500" t="str">
            <v>APEX EQUITY HEDGE FUNDO DE INVESTIMENTO MULTIMERCADO PREV</v>
          </cell>
          <cell r="D20500" t="str">
            <v>APEX EQUITY HEDGE FUNDO DE INVESTIMENTO MULTIMERCADO PREV</v>
          </cell>
          <cell r="E20500" t="str">
            <v>APEX CAPITAL LTDA</v>
          </cell>
        </row>
        <row r="20501">
          <cell r="B20501">
            <v>81681</v>
          </cell>
          <cell r="C20501" t="str">
            <v>APEX EQUITY HEDGE FUNDO DE INVESTIMENTO MULTIMERCADO PREV</v>
          </cell>
          <cell r="D20501" t="str">
            <v>APEX EQUITY HEDGE FUNDO DE INVESTIMENTO MULTIMERCADO PREV</v>
          </cell>
          <cell r="E20501" t="str">
            <v>APEX CAPITAL LTDA</v>
          </cell>
        </row>
        <row r="20502">
          <cell r="B20502">
            <v>81682</v>
          </cell>
          <cell r="C20502" t="str">
            <v>APEX LONG BIASED MULTIMERCADO FUNDO DE INVESTIMENTO</v>
          </cell>
          <cell r="D20502" t="str">
            <v>APEX LONG BIASED MULTIMERCADO FUNDO DE INVESTIMENTO</v>
          </cell>
          <cell r="E20502" t="str">
            <v>APEX CAPITAL LTDA</v>
          </cell>
        </row>
        <row r="20503">
          <cell r="B20503">
            <v>81682</v>
          </cell>
          <cell r="C20503" t="str">
            <v>APEX LONG BIASED MULTIMERCADO FUNDO DE INVESTIMENTO</v>
          </cell>
          <cell r="D20503" t="str">
            <v>APEX LONG BIASED MULTIMERCADO FUNDO DE INVESTIMENTO</v>
          </cell>
          <cell r="E20503" t="str">
            <v>APEX CAPITAL LTDA</v>
          </cell>
        </row>
        <row r="20504">
          <cell r="B20504">
            <v>81683</v>
          </cell>
          <cell r="C20504" t="str">
            <v>CANVAS CADENZA HIGH YIELD MASTER FIM CP</v>
          </cell>
          <cell r="D20504" t="str">
            <v>CANVAS CADENZA HIGH YIELD MASTER FIM CP</v>
          </cell>
          <cell r="E20504" t="str">
            <v>CANVAS CAPITAL S/A</v>
          </cell>
        </row>
        <row r="20505">
          <cell r="B20505">
            <v>81683</v>
          </cell>
          <cell r="C20505" t="str">
            <v>CANVAS CADENZA HIGH YIELD MASTER FIM CP</v>
          </cell>
          <cell r="D20505" t="str">
            <v>CANVAS CADENZA HIGH YIELD MASTER FIM CP</v>
          </cell>
          <cell r="E20505" t="str">
            <v>CANVAS CAPITAL S/A</v>
          </cell>
        </row>
        <row r="20506">
          <cell r="B20506">
            <v>81684</v>
          </cell>
          <cell r="C20506" t="str">
            <v>BANCO CAIXA GERAL BRASIL SA</v>
          </cell>
          <cell r="D20506" t="str">
            <v>BANCO CAIXA GERAL BRASIL SA</v>
          </cell>
          <cell r="E20506" t="str">
            <v>BANCO CAIXA GERAL BRASIL S/A</v>
          </cell>
        </row>
        <row r="20507">
          <cell r="B20507">
            <v>81685</v>
          </cell>
          <cell r="C20507" t="str">
            <v>BANCO CAIXA GERAL BRASIL SA</v>
          </cell>
          <cell r="D20507" t="str">
            <v>BANCO CAIXA GERAL BRASIL SA</v>
          </cell>
          <cell r="E20507" t="str">
            <v>BANCO CAIXA GERAL BRASIL S/A</v>
          </cell>
        </row>
        <row r="20508">
          <cell r="B20508">
            <v>122800</v>
          </cell>
          <cell r="C20508" t="str">
            <v>IBIUNA HEDGE ST MASTER FIM</v>
          </cell>
          <cell r="D20508" t="str">
            <v>IBIUNA HEDGE ST MASTER FIM</v>
          </cell>
          <cell r="E20508" t="str">
            <v>IBIUNA GESTAO DE RECURSOS LTDA</v>
          </cell>
        </row>
        <row r="20509">
          <cell r="B20509">
            <v>122840</v>
          </cell>
          <cell r="C20509" t="str">
            <v>XP MACRO FIM</v>
          </cell>
          <cell r="D20509" t="str">
            <v>XP MACRO FIM</v>
          </cell>
          <cell r="E20509" t="str">
            <v>XP MACRO FIM</v>
          </cell>
        </row>
        <row r="20510">
          <cell r="B20510">
            <v>123841</v>
          </cell>
          <cell r="C20510" t="str">
            <v>XP MACRO FIM</v>
          </cell>
          <cell r="D20510" t="str">
            <v>XP MACRO FIM</v>
          </cell>
          <cell r="E20510" t="str">
            <v>XP MACRO FIM</v>
          </cell>
        </row>
        <row r="20511">
          <cell r="B20511">
            <v>81688</v>
          </cell>
          <cell r="C20511" t="str">
            <v>NORTE LONG BIAS MASTER FIA</v>
          </cell>
          <cell r="D20511" t="str">
            <v>NORTE LONG BIAS MASTER FIA</v>
          </cell>
          <cell r="E20511" t="str">
            <v>NORTE ASSET MANAGEMENT GESTAO DE RECURSOS S.A.</v>
          </cell>
        </row>
        <row r="20512">
          <cell r="B20512">
            <v>81688</v>
          </cell>
          <cell r="C20512" t="str">
            <v>NORTE LONG BIAS MASTER FIA</v>
          </cell>
          <cell r="D20512" t="str">
            <v>NORTE LONG BIAS MASTER FIA</v>
          </cell>
          <cell r="E20512" t="str">
            <v>NORTE ASSET MANAGEMENT GESTAO DE RECURSOS S.A.</v>
          </cell>
        </row>
        <row r="20513">
          <cell r="B20513">
            <v>81689</v>
          </cell>
          <cell r="C20513" t="str">
            <v>SINGULARE ADMINISTRAÃ‡ÃƒO FIDUCIÃRIA LTDA</v>
          </cell>
          <cell r="D20513" t="str">
            <v>SINGULARE ADMINISTRAÃ‡ÃƒO FIDUCIÃRIA LTDA</v>
          </cell>
          <cell r="E20513" t="str">
            <v>SINGULARE ADMINISTRAÃ‡ÃƒO FIDUCIÃRIA LTDA</v>
          </cell>
        </row>
        <row r="20514">
          <cell r="B20514">
            <v>81689</v>
          </cell>
          <cell r="C20514" t="str">
            <v>SINGULARE ADMINISTRAÃ‡ÃƒO FIDUCIÃRIA LTDA</v>
          </cell>
          <cell r="D20514" t="str">
            <v>SINGULARE ADMINISTRAÃ‡ÃƒO FIDUCIÃRIA LTDA</v>
          </cell>
          <cell r="E20514" t="str">
            <v>SINGULARE ADMINISTRAÃ‡ÃƒO FIDUCIÃRIA LTDA</v>
          </cell>
        </row>
        <row r="20515">
          <cell r="B20515">
            <v>81690</v>
          </cell>
          <cell r="C20515" t="str">
            <v>PLATINA 183 FIM CP IE</v>
          </cell>
          <cell r="D20515" t="str">
            <v>PLATINA 183 FIM CP IE</v>
          </cell>
          <cell r="E20515" t="str">
            <v>SINGULARE ADMINISTRAÃ‡ÃƒO FIDUCIÃRIA LTDA</v>
          </cell>
        </row>
        <row r="20516">
          <cell r="B20516">
            <v>81690</v>
          </cell>
          <cell r="C20516" t="str">
            <v>PLATINA 183 FIM CP IE</v>
          </cell>
          <cell r="D20516" t="str">
            <v>PLATINA 183 FIM CP IE</v>
          </cell>
          <cell r="E20516" t="str">
            <v>SINGULARE ADMINISTRAÃ‡ÃƒO FIDUCIÃRIA LTDA</v>
          </cell>
        </row>
        <row r="20517">
          <cell r="B20517">
            <v>81691</v>
          </cell>
          <cell r="C20517" t="str">
            <v>SASSICAIA FI EM PARTICIPAÃ‡Ã•ES MULTIESTRATEGIA</v>
          </cell>
          <cell r="D20517" t="str">
            <v>SASSICAIA FI EM PARTICIPAÃ‡Ã•ES MULTIESTRATEGIA</v>
          </cell>
          <cell r="E20517" t="str">
            <v>WNT GESTORA DE RECURSOS LTDA</v>
          </cell>
        </row>
        <row r="20518">
          <cell r="B20518">
            <v>81691</v>
          </cell>
          <cell r="C20518" t="str">
            <v>SASSICAIA FI EM PARTICIPAÃ‡Ã•ES MULTIESTRATEGIA</v>
          </cell>
          <cell r="D20518" t="str">
            <v>SASSICAIA FI EM PARTICIPAÃ‡Ã•ES MULTIESTRATEGIA</v>
          </cell>
          <cell r="E20518" t="str">
            <v>WNT GESTORA DE RECURSOS LTDA</v>
          </cell>
        </row>
        <row r="20519">
          <cell r="B20519">
            <v>81692</v>
          </cell>
          <cell r="C20519" t="str">
            <v>TRIUMPH FI EM PARTICIPAÃ‡Ã•ES MULTIESTRATEGIA</v>
          </cell>
          <cell r="D20519" t="str">
            <v>TRIUMPH FI EM PARTICIPAÃ‡Ã•ES MULTIESTRATEGIA</v>
          </cell>
          <cell r="E20519" t="str">
            <v>WNT GESTORA DE RECURSOS LTDA</v>
          </cell>
        </row>
        <row r="20520">
          <cell r="B20520">
            <v>81692</v>
          </cell>
          <cell r="C20520" t="str">
            <v>TRIUMPH FI EM PARTICIPAÃ‡Ã•ES MULTIESTRATEGIA</v>
          </cell>
          <cell r="D20520" t="str">
            <v>TRIUMPH FI EM PARTICIPAÃ‡Ã•ES MULTIESTRATEGIA</v>
          </cell>
          <cell r="E20520" t="str">
            <v>WNT GESTORA DE RECURSOS LTDA</v>
          </cell>
        </row>
        <row r="20521">
          <cell r="B20521">
            <v>81694</v>
          </cell>
          <cell r="C20521" t="str">
            <v>OITI FIM CP IE</v>
          </cell>
          <cell r="D20521" t="str">
            <v>OITI FIM CP IE</v>
          </cell>
          <cell r="E20521" t="str">
            <v>ITAU UNIBANCO S/A</v>
          </cell>
        </row>
        <row r="20522">
          <cell r="B20522">
            <v>81695</v>
          </cell>
          <cell r="C20522" t="str">
            <v>ITAU UNIBANCO S.A.</v>
          </cell>
          <cell r="D20522" t="str">
            <v>ITAU UNIBANCO S.A.</v>
          </cell>
          <cell r="E20522" t="str">
            <v>ITAU UNIBANCO S/A</v>
          </cell>
        </row>
        <row r="20523">
          <cell r="B20523">
            <v>81695</v>
          </cell>
          <cell r="C20523" t="str">
            <v>ITAU UNIBANCO S.A.</v>
          </cell>
          <cell r="D20523" t="str">
            <v>ITAU UNIBANCO S.A.</v>
          </cell>
          <cell r="E20523" t="str">
            <v>ITAU UNIBANCO S/A</v>
          </cell>
        </row>
        <row r="20524">
          <cell r="B20524">
            <v>81694</v>
          </cell>
          <cell r="C20524" t="str">
            <v>OITI FIM CP IE</v>
          </cell>
          <cell r="D20524" t="str">
            <v>OITI FIM CP IE</v>
          </cell>
          <cell r="E20524" t="str">
            <v>ITAU UNIBANCO S/A</v>
          </cell>
        </row>
        <row r="20525">
          <cell r="B20525">
            <v>81696</v>
          </cell>
          <cell r="C20525" t="str">
            <v>LOUIS DREYFUS COMPANY BRASIL S/A</v>
          </cell>
          <cell r="D20525" t="str">
            <v>LOUIS DREYFUS COMPANY BRASIL S/A</v>
          </cell>
          <cell r="E20525" t="str">
            <v>LOUIS DREYFUS COMPANY BRASIL S/A</v>
          </cell>
        </row>
        <row r="20526">
          <cell r="B20526">
            <v>81697</v>
          </cell>
          <cell r="C20526" t="str">
            <v>LOUIS DREYFUS COMPANY BRASIL S/A</v>
          </cell>
          <cell r="D20526" t="str">
            <v>LOUIS DREYFUS COMPANY BRASIL S/A</v>
          </cell>
          <cell r="E20526" t="str">
            <v>LOUIS DREYFUS COMPANY BRASIL S/A</v>
          </cell>
        </row>
        <row r="20527">
          <cell r="B20527">
            <v>81698</v>
          </cell>
          <cell r="C20527" t="str">
            <v>VIC AGBI FIM CP IE</v>
          </cell>
          <cell r="D20527" t="str">
            <v>VIC AGBI FIM CP IE</v>
          </cell>
          <cell r="E20527" t="str">
            <v>JULIUS BAER FAMILY OFFICE BRASIL GESTAO DE PATRIMONIO LTDA</v>
          </cell>
        </row>
        <row r="20528">
          <cell r="B20528">
            <v>81698</v>
          </cell>
          <cell r="C20528" t="str">
            <v>VIC AGBI FIM CP IE</v>
          </cell>
          <cell r="D20528" t="str">
            <v>VIC AGBI FIM CP IE</v>
          </cell>
          <cell r="E20528" t="str">
            <v>JULIUS BAER FAMILY OFFICE BRASIL GESTAO DE PATRIMONIO LTDA</v>
          </cell>
        </row>
        <row r="20529">
          <cell r="B20529">
            <v>81699</v>
          </cell>
          <cell r="C20529" t="str">
            <v>SAFRA PREV KEPLER ADVANCED FIM PREVIDENCIÃRIO</v>
          </cell>
          <cell r="D20529" t="str">
            <v>SAFRA PREV KEPLER ADVANCED FIM PREVIDENCIÃRIO</v>
          </cell>
          <cell r="E20529" t="str">
            <v>EMERALD GESTAO DE INVESTIMENTOS LTDA</v>
          </cell>
        </row>
        <row r="20530">
          <cell r="B20530">
            <v>81700</v>
          </cell>
          <cell r="C20530" t="str">
            <v>BANCO HSBC S.A</v>
          </cell>
          <cell r="D20530" t="str">
            <v>BANCO HSBC S.A</v>
          </cell>
          <cell r="E20530" t="str">
            <v>BANCO HSBC S/A</v>
          </cell>
        </row>
        <row r="20531">
          <cell r="B20531">
            <v>81701</v>
          </cell>
          <cell r="C20531" t="str">
            <v>BNP PARIBAS EQD BRAZIL FUND CLASSE DE INVESTIMENTO MULTI CP</v>
          </cell>
          <cell r="D20531" t="str">
            <v>BNP PARIBAS EQD BRAZIL FUND CLASSE DE INVESTIMENTO MULTI CP</v>
          </cell>
          <cell r="E20531" t="str">
            <v>BANCO BNP PARIBAS BRASIL S/A</v>
          </cell>
        </row>
        <row r="20532">
          <cell r="B20532">
            <v>81702</v>
          </cell>
          <cell r="C20532" t="str">
            <v>BNP PARIBAS FINANCIAL MARKETS</v>
          </cell>
          <cell r="D20532" t="str">
            <v>BNP PARIBAS FINANCIAL MARKETS</v>
          </cell>
          <cell r="E20532" t="str">
            <v>BANCO BNP PARIBAS BRASIL S/A</v>
          </cell>
        </row>
        <row r="20533">
          <cell r="B20533">
            <v>81703</v>
          </cell>
          <cell r="C20533" t="str">
            <v>MANTARO CAPITAL LTDA</v>
          </cell>
          <cell r="D20533" t="str">
            <v>MANTARO CAPITAL LTDA</v>
          </cell>
          <cell r="E20533" t="str">
            <v>MANTARO CAPITAL LTDA</v>
          </cell>
        </row>
        <row r="20534">
          <cell r="B20534">
            <v>81704</v>
          </cell>
          <cell r="C20534" t="str">
            <v>MANTARO EQUITY HEDGE FUNDO DE INVESTIMENTO MULTIMERCADO</v>
          </cell>
          <cell r="D20534" t="str">
            <v>MANTARO EQUITY HEDGE FUNDO DE INVESTIMENTO MULTIMERCADO</v>
          </cell>
          <cell r="E20534" t="str">
            <v>MANTARO CAPITAL LTDA</v>
          </cell>
        </row>
        <row r="20535">
          <cell r="B20535">
            <v>81705</v>
          </cell>
          <cell r="C20535" t="str">
            <v>SAFRA PREV KEPLER ADVANCED FIC FIM PREVIDENCIÃRIO</v>
          </cell>
          <cell r="D20535" t="str">
            <v>SAFRA PREV KEPLER ADVANCED FIC FIM PREVIDENCIÃRIO</v>
          </cell>
          <cell r="E20535" t="str">
            <v>TURMALINA GESTAO E ADMINISTRAÃ‡ÃƒO DE RECURSOS SA</v>
          </cell>
        </row>
        <row r="20536">
          <cell r="B20536">
            <v>81706</v>
          </cell>
          <cell r="C20536" t="str">
            <v>VINLAND MACRO PREVIDENCIARIO BB MASTER MULTIMERCADO FI</v>
          </cell>
          <cell r="D20536" t="str">
            <v>VINLAND MACRO PREVIDENCIARIO BB MASTER MULTIMERCADO FI</v>
          </cell>
          <cell r="E20536" t="str">
            <v>VINLAND CAPITAL MANAGEMENT GESTORA DE RECURSOS LTDA</v>
          </cell>
        </row>
        <row r="20537">
          <cell r="B20537">
            <v>81708</v>
          </cell>
          <cell r="C20537" t="str">
            <v>FORTUNATO CAPITAL FI EM COTAS DE FI MULT CP IE</v>
          </cell>
          <cell r="D20537" t="str">
            <v>FORTUNATO CAPITAL FI EM COTAS DE FI MULT CP IE</v>
          </cell>
          <cell r="E20537" t="str">
            <v>JULIUS BAER FAMILY OFFICE BRASIL GESTAO DE PATRIMONIO LTDA</v>
          </cell>
        </row>
        <row r="20538">
          <cell r="B20538">
            <v>81708</v>
          </cell>
          <cell r="C20538" t="str">
            <v>FORTUNATO CAPITAL FI EM COTAS DE FI MULT CP IE</v>
          </cell>
          <cell r="D20538" t="str">
            <v>FORTUNATO CAPITAL FI EM COTAS DE FI MULT CP IE</v>
          </cell>
          <cell r="E20538" t="str">
            <v>JULIUS BAER FAMILY OFFICE BRASIL GESTAO DE PATRIMONIO LTDA</v>
          </cell>
        </row>
        <row r="20539">
          <cell r="B20539">
            <v>81709</v>
          </cell>
          <cell r="C20539" t="str">
            <v>SKOPOS CAPABLANCA MACRO FUNDO DE INVESTIMENTO MULTIMERCADO</v>
          </cell>
          <cell r="D20539" t="str">
            <v>SKOPOS CAPABLANCA MACRO FUNDO DE INVESTIMENTO MULTIMERCADO</v>
          </cell>
          <cell r="E20539" t="str">
            <v>SKOPOS INVESTIMENTOS LTDA</v>
          </cell>
        </row>
        <row r="20540">
          <cell r="B20540">
            <v>81709</v>
          </cell>
          <cell r="C20540" t="str">
            <v>SKOPOS CAPABLANCA MACRO FUNDO DE INVESTIMENTO MULTIMERCADO</v>
          </cell>
          <cell r="D20540" t="str">
            <v>SKOPOS CAPABLANCA MACRO FUNDO DE INVESTIMENTO MULTIMERCADO</v>
          </cell>
          <cell r="E20540" t="str">
            <v>SKOPOS INVESTIMENTOS LTDA</v>
          </cell>
        </row>
        <row r="20541">
          <cell r="B20541">
            <v>81711</v>
          </cell>
          <cell r="C20541" t="str">
            <v>ENCORE GESTAO DE RECURSOS LTDA</v>
          </cell>
          <cell r="D20541" t="str">
            <v>ENCORE GESTAO DE RECURSOS LTDA</v>
          </cell>
          <cell r="E20541" t="str">
            <v>ENCORE GESTAO DE RECURSOS LTDA</v>
          </cell>
        </row>
        <row r="20542">
          <cell r="B20542">
            <v>81712</v>
          </cell>
          <cell r="C20542" t="str">
            <v>A1 HEDGE PREVIDENCIA MULTIMERCADO FI</v>
          </cell>
          <cell r="D20542" t="str">
            <v>A1 HEDGE PREVIDENCIA MULTIMERCADO FI</v>
          </cell>
          <cell r="E20542" t="str">
            <v>ASSET1 INVESTIMENTOS LTDA</v>
          </cell>
        </row>
        <row r="20543">
          <cell r="B20543">
            <v>81713</v>
          </cell>
          <cell r="C20543" t="str">
            <v>A1 HEDGE ORANGE MASTER FI MM</v>
          </cell>
          <cell r="D20543" t="str">
            <v>A1 HEDGE ORANGE MASTER FI MM</v>
          </cell>
          <cell r="E20543" t="str">
            <v>ASSET1 INVESTIMENTOS LTDA</v>
          </cell>
        </row>
        <row r="20544">
          <cell r="B20544">
            <v>81713</v>
          </cell>
          <cell r="C20544" t="str">
            <v>A1 HEDGE ORANGE MASTER FI MM</v>
          </cell>
          <cell r="D20544" t="str">
            <v>A1 HEDGE ORANGE MASTER FI MM</v>
          </cell>
          <cell r="E20544" t="str">
            <v>ASSET1 INVESTIMENTOS LTDA</v>
          </cell>
        </row>
        <row r="20545">
          <cell r="B20545">
            <v>81714</v>
          </cell>
          <cell r="C20545" t="str">
            <v>A1 HEDGE B PREVIDENCIA FIFE MASTER FIM</v>
          </cell>
          <cell r="D20545" t="str">
            <v>A1 HEDGE B PREVIDENCIA FIFE MASTER FIM</v>
          </cell>
          <cell r="E20545" t="str">
            <v>ASSET1 INVESTIMENTOS LTDA</v>
          </cell>
        </row>
        <row r="20546">
          <cell r="B20546">
            <v>81716</v>
          </cell>
          <cell r="C20546" t="str">
            <v>RATAS FIM CP IE</v>
          </cell>
          <cell r="D20546" t="str">
            <v>RATAS FIM CP IE</v>
          </cell>
          <cell r="E20546" t="str">
            <v>JULIUS BAER FAMILY OFFICE BRASIL GESTAO DE PATRIMONIO LTDA</v>
          </cell>
        </row>
        <row r="20547">
          <cell r="B20547">
            <v>81716</v>
          </cell>
          <cell r="C20547" t="str">
            <v>RATAS FIM CP IE</v>
          </cell>
          <cell r="D20547" t="str">
            <v>RATAS FIM CP IE</v>
          </cell>
          <cell r="E20547" t="str">
            <v>JULIUS BAER FAMILY OFFICE BRASIL GESTAO DE PATRIMONIO LTDA</v>
          </cell>
        </row>
        <row r="20548">
          <cell r="B20548">
            <v>81715</v>
          </cell>
          <cell r="C20548" t="str">
            <v>INST DE PREV ASSIST DOS SERVIDORES DO MUN DE PORTO VELHO</v>
          </cell>
          <cell r="D20548" t="str">
            <v>INST DE PREV ASSIST DOS SERVIDORES DO MUN DE PORTO VELHO</v>
          </cell>
          <cell r="E20548" t="str">
            <v>INST DE PREV ASSIST DOS SERVIDORES DO MUN DE PORTO VELHO</v>
          </cell>
        </row>
        <row r="20549">
          <cell r="B20549">
            <v>81715</v>
          </cell>
          <cell r="C20549" t="str">
            <v>INST DE PREV ASSIST DOS SERVIDORES DO MUN DE PORTO VELHO</v>
          </cell>
          <cell r="D20549" t="str">
            <v>INST DE PREV ASSIST DOS SERVIDORES DO MUN DE PORTO VELHO</v>
          </cell>
          <cell r="E20549" t="str">
            <v>INST DE PREV ASSIST DOS SERVIDORES DO MUN DE PORTO VELHO</v>
          </cell>
        </row>
        <row r="20550">
          <cell r="B20550">
            <v>81717</v>
          </cell>
          <cell r="C20550" t="str">
            <v>BNP PARIBAS FINANCIAL MARKETS</v>
          </cell>
          <cell r="D20550" t="str">
            <v>BNP PARIBAS FINANCIAL MARKETS</v>
          </cell>
          <cell r="E20550" t="str">
            <v>BANCO BNP PARIBAS BRASIL S/A</v>
          </cell>
        </row>
        <row r="20551">
          <cell r="B20551">
            <v>81719</v>
          </cell>
          <cell r="C20551" t="str">
            <v>ALPHA CAPITAL FUNDO DE INVESTIMENTO EM ACOES</v>
          </cell>
          <cell r="D20551" t="str">
            <v>ALPHA CAPITAL FUNDO DE INVESTIMENTO EM ACOES</v>
          </cell>
          <cell r="E20551" t="str">
            <v>QUANTIQUE M3 INVESTMENTS LTDA</v>
          </cell>
        </row>
        <row r="20552">
          <cell r="B20552">
            <v>81719</v>
          </cell>
          <cell r="C20552" t="str">
            <v>ALPHA CAPITAL FUNDO DE INVESTIMENTO EM ACOES</v>
          </cell>
          <cell r="D20552" t="str">
            <v>ALPHA CAPITAL FUNDO DE INVESTIMENTO EM ACOES</v>
          </cell>
          <cell r="E20552" t="str">
            <v>QUANTIQUE M3 INVESTMENTS LTDA</v>
          </cell>
        </row>
        <row r="20553">
          <cell r="B20553">
            <v>81720</v>
          </cell>
          <cell r="C20553" t="str">
            <v>GAP ABSOLUTO FIFE 10 MULTIMERCADO FUNDO DE INVESTIMENTO</v>
          </cell>
          <cell r="D20553" t="str">
            <v>GAP ABSOLUTO FIFE 10 MULTIMERCADO FUNDO DE INVESTIMENTO</v>
          </cell>
          <cell r="E20553" t="str">
            <v>GAP GESTORA DE RECURSOS LTDA</v>
          </cell>
        </row>
        <row r="20554">
          <cell r="B20554">
            <v>81720</v>
          </cell>
          <cell r="C20554" t="str">
            <v>GAP ABSOLUTO FIFE 10 MULTIMERCADO FUNDO DE INVESTIMENTO</v>
          </cell>
          <cell r="D20554" t="str">
            <v>GAP ABSOLUTO FIFE 10 MULTIMERCADO FUNDO DE INVESTIMENTO</v>
          </cell>
          <cell r="E20554" t="str">
            <v>GAP GESTORA DE RECURSOS LTDA</v>
          </cell>
        </row>
        <row r="20555">
          <cell r="B20555">
            <v>81721</v>
          </cell>
          <cell r="C20555" t="str">
            <v>ARBA DEBÃŠNTURES INCENTIVADAS FII EM INFR RF</v>
          </cell>
          <cell r="D20555" t="str">
            <v>ARBA DEBÃŠNTURES INCENTIVADAS FII EM INFR RF</v>
          </cell>
          <cell r="E20555" t="str">
            <v>JULIUS BAER FAMILY OFFICE BRASIL GESTAO DE PATRIMONIO LTDA</v>
          </cell>
        </row>
        <row r="20556">
          <cell r="B20556">
            <v>81721</v>
          </cell>
          <cell r="C20556" t="str">
            <v>ARBA DEBÃŠNTURES INCENTIVADAS FII EM INFR RF</v>
          </cell>
          <cell r="D20556" t="str">
            <v>ARBA DEBÃŠNTURES INCENTIVADAS FII EM INFR RF</v>
          </cell>
          <cell r="E20556" t="str">
            <v>JULIUS BAER FAMILY OFFICE BRASIL GESTAO DE PATRIMONIO LTDA</v>
          </cell>
        </row>
        <row r="20557">
          <cell r="B20557">
            <v>81722</v>
          </cell>
          <cell r="C20557" t="str">
            <v>PLATINA 95 FIM CP IE</v>
          </cell>
          <cell r="D20557" t="str">
            <v>PLATINA 95 FIM CP IE</v>
          </cell>
          <cell r="E20557" t="str">
            <v>SINGULARE ADMINISTRAÃ‡ÃƒO FIDUCIÃRIA LTDA</v>
          </cell>
        </row>
        <row r="20558">
          <cell r="B20558">
            <v>81722</v>
          </cell>
          <cell r="C20558" t="str">
            <v>PLATINA 95 FIM CP IE</v>
          </cell>
          <cell r="D20558" t="str">
            <v>PLATINA 95 FIM CP IE</v>
          </cell>
          <cell r="E20558" t="str">
            <v>SINGULARE ADMINISTRAÃ‡ÃƒO FIDUCIÃRIA LTDA</v>
          </cell>
        </row>
        <row r="20559">
          <cell r="B20559">
            <v>81723</v>
          </cell>
          <cell r="C20559" t="str">
            <v>BLUE HILL DEBÃŠNTURES INCENTIVADAS FII EM INFRA RF</v>
          </cell>
          <cell r="D20559" t="str">
            <v>BLUE HILL DEBÃŠNTURES INCENTIVADAS FII EM INFRA RF</v>
          </cell>
          <cell r="E20559" t="str">
            <v>JULIUS BAER FAMILY OFFICE BRASIL GESTAO DE PATRIMONIO LTDA</v>
          </cell>
        </row>
        <row r="20560">
          <cell r="B20560">
            <v>81723</v>
          </cell>
          <cell r="C20560" t="str">
            <v>BLUE HILL DEBÃŠNTURES INCENTIVADAS FII EM INFRA RF</v>
          </cell>
          <cell r="D20560" t="str">
            <v>BLUE HILL DEBÃŠNTURES INCENTIVADAS FII EM INFRA RF</v>
          </cell>
          <cell r="E20560" t="str">
            <v>JULIUS BAER FAMILY OFFICE BRASIL GESTAO DE PATRIMONIO LTDA</v>
          </cell>
        </row>
        <row r="20561">
          <cell r="B20561">
            <v>81724</v>
          </cell>
          <cell r="C20561" t="str">
            <v>JBFO CASH BTG FI EM COTAS FI RF REFERENCIADO DI</v>
          </cell>
          <cell r="D20561" t="str">
            <v>JBFO CASH BTG FI EM COTAS FI RF REFERENCIADO DI</v>
          </cell>
          <cell r="E20561" t="str">
            <v>JULIUS BAER FAMILY OFFICE BRASIL GESTAO DE PATRIMONIO LTDA</v>
          </cell>
        </row>
        <row r="20562">
          <cell r="B20562">
            <v>81724</v>
          </cell>
          <cell r="C20562" t="str">
            <v>JBFO CASH BTG FI EM COTAS FI RF REFERENCIADO DI</v>
          </cell>
          <cell r="D20562" t="str">
            <v>JBFO CASH BTG FI EM COTAS FI RF REFERENCIADO DI</v>
          </cell>
          <cell r="E20562" t="str">
            <v>JULIUS BAER FAMILY OFFICE BRASIL GESTAO DE PATRIMONIO LTDA</v>
          </cell>
        </row>
        <row r="20563">
          <cell r="B20563">
            <v>81725</v>
          </cell>
          <cell r="C20563" t="str">
            <v>BLOMSTER FIM CP IE</v>
          </cell>
          <cell r="D20563" t="str">
            <v>BLOMSTER FIM CP IE</v>
          </cell>
          <cell r="E20563" t="str">
            <v>JULIUS BAER FAMILY OFFICE BRASIL GESTAO DE PATRIMONIO LTDA</v>
          </cell>
        </row>
        <row r="20564">
          <cell r="B20564">
            <v>81725</v>
          </cell>
          <cell r="C20564" t="str">
            <v>BLOMSTER FIM CP IE</v>
          </cell>
          <cell r="D20564" t="str">
            <v>BLOMSTER FIM CP IE</v>
          </cell>
          <cell r="E20564" t="str">
            <v>JULIUS BAER FAMILY OFFICE BRASIL GESTAO DE PATRIMONIO LTDA</v>
          </cell>
        </row>
        <row r="20565">
          <cell r="B20565">
            <v>81726</v>
          </cell>
          <cell r="C20565" t="str">
            <v>ONE AVENUE FIM CP IE</v>
          </cell>
          <cell r="D20565" t="str">
            <v>ONE AVENUE FIM CP IE</v>
          </cell>
          <cell r="E20565" t="str">
            <v>JULIUS BAER FAMILY OFFICE BRASIL GESTAO DE PATRIMONIO LTDA</v>
          </cell>
        </row>
        <row r="20566">
          <cell r="B20566">
            <v>81726</v>
          </cell>
          <cell r="C20566" t="str">
            <v>ONE AVENUE FIM CP IE</v>
          </cell>
          <cell r="D20566" t="str">
            <v>ONE AVENUE FIM CP IE</v>
          </cell>
          <cell r="E20566" t="str">
            <v>JULIUS BAER FAMILY OFFICE BRASIL GESTAO DE PATRIMONIO LTDA</v>
          </cell>
        </row>
        <row r="20567">
          <cell r="B20567">
            <v>81727</v>
          </cell>
          <cell r="C20567" t="str">
            <v>QUANTIQUE PERCEPTRON MAGNON FIM</v>
          </cell>
          <cell r="D20567" t="str">
            <v>QUANTIQUE PERCEPTRON MAGNON FIM</v>
          </cell>
          <cell r="E20567" t="str">
            <v>QUANTIQUE M3 INVESTMENTS LTDA</v>
          </cell>
        </row>
        <row r="20568">
          <cell r="B20568">
            <v>81727</v>
          </cell>
          <cell r="C20568" t="str">
            <v>QUANTIQUE PERCEPTRON MAGNON FIM</v>
          </cell>
          <cell r="D20568" t="str">
            <v>QUANTIQUE PERCEPTRON MAGNON FIM</v>
          </cell>
          <cell r="E20568" t="str">
            <v>QUANTIQUE M3 INVESTMENTS LTDA</v>
          </cell>
        </row>
        <row r="20569">
          <cell r="B20569">
            <v>81728</v>
          </cell>
          <cell r="C20569" t="str">
            <v>QUANTIQUE QUARK MAGNON FIF MULT</v>
          </cell>
          <cell r="D20569" t="str">
            <v>QUANTIQUE QUARK MAGNON FIF MULT</v>
          </cell>
          <cell r="E20569" t="str">
            <v>QUANTIQUE M3 INVESTMENTS LTDA</v>
          </cell>
        </row>
        <row r="20570">
          <cell r="B20570">
            <v>81729</v>
          </cell>
          <cell r="C20570" t="str">
            <v>VINLAND LONG BIAS PREV V MASTER FIM</v>
          </cell>
          <cell r="D20570" t="str">
            <v>VINLAND LONG BIAS PREV V MASTER FIM</v>
          </cell>
          <cell r="E20570" t="str">
            <v>VINLAND CAPITAL MANAGEMENT GESTORA DE RECURSOS LTDA</v>
          </cell>
        </row>
        <row r="20571">
          <cell r="B20571">
            <v>81729</v>
          </cell>
          <cell r="C20571" t="str">
            <v>VINLAND LONG BIAS PREV V MASTER FIM</v>
          </cell>
          <cell r="D20571" t="str">
            <v>VINLAND LONG BIAS PREV V MASTER FIM</v>
          </cell>
          <cell r="E20571" t="str">
            <v>VINLAND CAPITAL MANAGEMENT GESTORA DE RECURSOS LTDA</v>
          </cell>
        </row>
        <row r="20572">
          <cell r="B20572">
            <v>81730</v>
          </cell>
          <cell r="C20572" t="str">
            <v>FLORENCA F2Q BS FUNDO DE INVESTIMENTO MULTIMERCADO</v>
          </cell>
          <cell r="D20572" t="str">
            <v>FLORENCA F2Q BS FUNDO DE INVESTIMENTO MULTIMERCADO</v>
          </cell>
          <cell r="E20572" t="str">
            <v>FLORENCA F2Q BS FUNDO DE INVESTIMENTO MULTIMERCADO</v>
          </cell>
        </row>
        <row r="20573">
          <cell r="B20573">
            <v>81732</v>
          </cell>
          <cell r="C20573" t="str">
            <v>SINGULARE ADMINISTRAÃ‡ÃƒO FIDUCIÃRIA LTDA</v>
          </cell>
          <cell r="D20573" t="str">
            <v>SINGULARE ADMINISTRAÃ‡ÃƒO FIDUCIÃRIA LTDA</v>
          </cell>
          <cell r="E20573" t="str">
            <v>SINGULARE ADMINISTRAÃ‡ÃƒO FIDUCIÃRIA LTDA</v>
          </cell>
        </row>
        <row r="20574">
          <cell r="B20574">
            <v>81732</v>
          </cell>
          <cell r="C20574" t="str">
            <v>SINGULARE ADMINISTRAÃ‡ÃƒO FIDUCIÃRIA LTDA</v>
          </cell>
          <cell r="D20574" t="str">
            <v>SINGULARE ADMINISTRAÃ‡ÃƒO FIDUCIÃRIA LTDA</v>
          </cell>
          <cell r="E20574" t="str">
            <v>SINGULARE ADMINISTRAÃ‡ÃƒO FIDUCIÃRIA LTDA</v>
          </cell>
        </row>
        <row r="20575">
          <cell r="B20575">
            <v>81733</v>
          </cell>
          <cell r="C20575" t="str">
            <v>SAFRA S&amp;P REAIS RP FIM</v>
          </cell>
          <cell r="D20575" t="str">
            <v>SAFRA S&amp;P REAIS RP FIM</v>
          </cell>
          <cell r="E20575" t="str">
            <v>BANCO J SAFRA S/A</v>
          </cell>
        </row>
        <row r="20576">
          <cell r="B20576">
            <v>81734</v>
          </cell>
          <cell r="C20576" t="str">
            <v>SAFRA BONDS REAIS FIM CP IE</v>
          </cell>
          <cell r="D20576" t="str">
            <v>SAFRA BONDS REAIS FIM CP IE</v>
          </cell>
          <cell r="E20576" t="str">
            <v>EMERALD GESTAO DE INVESTIMENTOS LTDA</v>
          </cell>
        </row>
        <row r="20577">
          <cell r="B20577">
            <v>81734</v>
          </cell>
          <cell r="C20577" t="str">
            <v>SAFRA BONDS REAIS FIM CP IE</v>
          </cell>
          <cell r="D20577" t="str">
            <v>SAFRA BONDS REAIS FIM CP IE</v>
          </cell>
          <cell r="E20577" t="str">
            <v>EMERALD GESTAO DE INVESTIMENTOS LTDA</v>
          </cell>
        </row>
        <row r="20578">
          <cell r="B20578">
            <v>81735</v>
          </cell>
          <cell r="C20578" t="str">
            <v>TATIANA FI EM COTAS DE FIM CP IE</v>
          </cell>
          <cell r="D20578" t="str">
            <v>TATIANA FI EM COTAS DE FIM CP IE</v>
          </cell>
          <cell r="E20578" t="str">
            <v>EMERALD GESTAO DE INVESTIMENTOS LTDA</v>
          </cell>
        </row>
        <row r="20579">
          <cell r="B20579">
            <v>81736</v>
          </cell>
          <cell r="C20579" t="str">
            <v>SAFRA PREV RF FIF PREVIDENCIÃRIO CI RF PREV RESP LIMITADA</v>
          </cell>
          <cell r="D20579" t="str">
            <v>SAFRA PREV RF FIF PREVIDENCIÃRIO CI RF PREV RESP LIMITADA</v>
          </cell>
          <cell r="E20579" t="str">
            <v>TURMALINA GESTAO E ADMINISTRAÃ‡ÃƒO DE RECURSOS SA</v>
          </cell>
        </row>
        <row r="20580">
          <cell r="B20580">
            <v>81737</v>
          </cell>
          <cell r="C20580" t="str">
            <v>JABEOL 2 FIC DE FIM CP IE</v>
          </cell>
          <cell r="D20580" t="str">
            <v>JABEOL 2 FIC DE FIM CP IE</v>
          </cell>
          <cell r="E20580" t="str">
            <v>JULIUS BAER FAMILY OFFICE BRASIL GESTAO DE PATRIMONIO LTDA</v>
          </cell>
        </row>
        <row r="20581">
          <cell r="B20581">
            <v>81737</v>
          </cell>
          <cell r="C20581" t="str">
            <v>JABEOL 2 FIC DE FIM CP IE</v>
          </cell>
          <cell r="D20581" t="str">
            <v>JABEOL 2 FIC DE FIM CP IE</v>
          </cell>
          <cell r="E20581" t="str">
            <v>JULIUS BAER FAMILY OFFICE BRASIL GESTAO DE PATRIMONIO LTDA</v>
          </cell>
        </row>
        <row r="20582">
          <cell r="B20582">
            <v>81739</v>
          </cell>
          <cell r="C20582" t="str">
            <v>RAVENNA FIM CP IE</v>
          </cell>
          <cell r="D20582" t="str">
            <v>RAVENNA FIM CP IE</v>
          </cell>
          <cell r="E20582" t="str">
            <v>JULIUS BAER FAMILY OFFICE BRASIL GESTAO DE PATRIMONIO LTDA</v>
          </cell>
        </row>
        <row r="20583">
          <cell r="B20583">
            <v>81739</v>
          </cell>
          <cell r="C20583" t="str">
            <v>RAVENNA FIM CP IE</v>
          </cell>
          <cell r="D20583" t="str">
            <v>RAVENNA FIM CP IE</v>
          </cell>
          <cell r="E20583" t="str">
            <v>JULIUS BAER FAMILY OFFICE BRASIL GESTAO DE PATRIMONIO LTDA</v>
          </cell>
        </row>
        <row r="20584">
          <cell r="B20584">
            <v>81740</v>
          </cell>
          <cell r="C20584" t="str">
            <v>C6 TECHINVEST BRASIL DIVIDENDOS FIA</v>
          </cell>
          <cell r="D20584" t="str">
            <v>C6 TECHINVEST BRASIL DIVIDENDOS FIA</v>
          </cell>
          <cell r="E20584" t="str">
            <v>CARBON ASSET MANAGEMENT LTDA</v>
          </cell>
        </row>
        <row r="20585">
          <cell r="B20585">
            <v>81741</v>
          </cell>
          <cell r="C20585" t="str">
            <v>C6 TECHINVEST MID&amp;SMALL FIA</v>
          </cell>
          <cell r="D20585" t="str">
            <v>C6 TECHINVEST MID&amp;SMALL FIA</v>
          </cell>
          <cell r="E20585" t="str">
            <v>CARBON ASSET MANAGEMENT LTDA</v>
          </cell>
        </row>
        <row r="20586">
          <cell r="B20586">
            <v>81742</v>
          </cell>
          <cell r="C20586" t="str">
            <v>C6 TECHINVEST OURO FIM</v>
          </cell>
          <cell r="D20586" t="str">
            <v>C6 TECHINVEST OURO FIM</v>
          </cell>
          <cell r="E20586" t="str">
            <v>CARBON ASSET MANAGEMENT LTDA</v>
          </cell>
        </row>
        <row r="20587">
          <cell r="B20587">
            <v>81743</v>
          </cell>
          <cell r="C20587" t="str">
            <v>CARBON MASTER FIA</v>
          </cell>
          <cell r="D20587" t="str">
            <v>CARBON MASTER FIA</v>
          </cell>
          <cell r="E20587" t="str">
            <v>CARBON ASSET MANAGEMENT LTDA</v>
          </cell>
        </row>
        <row r="20588">
          <cell r="B20588">
            <v>81744</v>
          </cell>
          <cell r="C20588" t="str">
            <v>VISTA MACRO IVP A PREV FIFE MULTI FI</v>
          </cell>
          <cell r="D20588" t="str">
            <v>VISTA MACRO IVP A PREV FIFE MULTI FI</v>
          </cell>
          <cell r="E20588" t="str">
            <v>VISTA CAPITAL GESTORA DE RECURSOS LTDA</v>
          </cell>
        </row>
        <row r="20589">
          <cell r="B20589">
            <v>81744</v>
          </cell>
          <cell r="C20589" t="str">
            <v>VISTA MACRO IVP A PREV FIFE MULTI FI</v>
          </cell>
          <cell r="D20589" t="str">
            <v>VISTA MACRO IVP A PREV FIFE MULTI FI</v>
          </cell>
          <cell r="E20589" t="str">
            <v>VISTA CAPITAL GESTORA DE RECURSOS LTDA</v>
          </cell>
        </row>
        <row r="20590">
          <cell r="B20590">
            <v>81746</v>
          </cell>
          <cell r="C20590" t="str">
            <v>STUDIO MASTER VI FUNDO DE INVESTIMENTO EM ACOES</v>
          </cell>
          <cell r="D20590" t="str">
            <v>STUDIO MASTER VI FUNDO DE INVESTIMENTO EM ACOES</v>
          </cell>
          <cell r="E20590" t="str">
            <v>STUDIO INVESTIMENTOS ADMINISTRADORA DE RECURSOS LTDA</v>
          </cell>
        </row>
        <row r="20591">
          <cell r="B20591" t="str">
            <v>M11006650000160</v>
          </cell>
          <cell r="C20591" t="str">
            <v>STUDIO INVESTIMENTOS ADMINISTRADORA DE RECURSOS LTDA.</v>
          </cell>
          <cell r="D20591" t="str">
            <v>STUDIO INVESTIMENTOS ADMINISTRADORA DE RECURSOS LTDA</v>
          </cell>
          <cell r="E20591" t="str">
            <v>STUDIO INVESTIMENTOS ADMINISTRADORA DE RECURSOS LTDA</v>
          </cell>
        </row>
        <row r="20592">
          <cell r="B20592">
            <v>81748</v>
          </cell>
          <cell r="C20592" t="str">
            <v>PORTO ANTARES LONG BIASED MASTER FI</v>
          </cell>
          <cell r="D20592" t="str">
            <v>PORTO ANTARES LONG BIASED MASTER FI</v>
          </cell>
          <cell r="E20592" t="str">
            <v>PORTO SEGURO INVESTIMENTOS LTDA</v>
          </cell>
        </row>
        <row r="20593">
          <cell r="B20593">
            <v>81748</v>
          </cell>
          <cell r="C20593" t="str">
            <v>PORTO ANTARES LONG BIASED MASTER FI</v>
          </cell>
          <cell r="D20593" t="str">
            <v>PORTO ANTARES LONG BIASED MASTER FI</v>
          </cell>
          <cell r="E20593" t="str">
            <v>PORTO SEGURO INVESTIMENTOS LTDA</v>
          </cell>
        </row>
        <row r="20594">
          <cell r="B20594">
            <v>81749</v>
          </cell>
          <cell r="C20594" t="str">
            <v>CRISTAL FIC FIM CP IE</v>
          </cell>
          <cell r="D20594" t="str">
            <v>CRISTAL FIC FIM CP IE</v>
          </cell>
          <cell r="E20594" t="str">
            <v>JULIUS BAER FAMILY OFFICE BRASIL GESTAO DE PATRIMONIO LTDA</v>
          </cell>
        </row>
        <row r="20595">
          <cell r="B20595">
            <v>81749</v>
          </cell>
          <cell r="C20595" t="str">
            <v>CRISTAL FIC FIM CP IE</v>
          </cell>
          <cell r="D20595" t="str">
            <v>CRISTAL FIC FIM CP IE</v>
          </cell>
          <cell r="E20595" t="str">
            <v>JULIUS BAER FAMILY OFFICE BRASIL GESTAO DE PATRIMONIO LTDA</v>
          </cell>
        </row>
        <row r="20596">
          <cell r="B20596">
            <v>81755</v>
          </cell>
          <cell r="C20596" t="str">
            <v>ITAU ARTAX LONG BIAS MULTIMERCADO FI</v>
          </cell>
          <cell r="D20596" t="str">
            <v>ITAU ARTAX LONG BIAS MULTIMERCADO FI</v>
          </cell>
          <cell r="E20596" t="str">
            <v>ITAU UNIBANCO ASSET - TACO</v>
          </cell>
        </row>
        <row r="20597">
          <cell r="B20597">
            <v>81757</v>
          </cell>
          <cell r="C20597" t="str">
            <v>INSTITUTO DE PREV DOS SERVI PÃšBLICOS DO MUNICIPIO DE JOAÃ‡ABA</v>
          </cell>
          <cell r="D20597" t="str">
            <v>INSTITUTO DE PREV DOS SERVI PÃšBLICOS DO MUNICIPIO DE JOAÃ‡ABA</v>
          </cell>
          <cell r="E20597" t="str">
            <v>INSTITUTO DE PREV DOS SERVI PÃšBLICOS DO MUNICIPIO DE JOAÃ‡ABA</v>
          </cell>
        </row>
        <row r="20598">
          <cell r="B20598">
            <v>81757</v>
          </cell>
          <cell r="C20598" t="str">
            <v>INSTITUTO DE PREV DOS SERVI PÃšBLICOS DO MUNICIPIO DE JOAÃ‡ABA</v>
          </cell>
          <cell r="D20598" t="str">
            <v>INSTITUTO DE PREV DOS SERVI PÃšBLICOS DO MUNICIPIO DE JOAÃ‡ABA</v>
          </cell>
          <cell r="E20598" t="str">
            <v>INSTITUTO DE PREV DOS SERVI PÃšBLICOS DO MUNICIPIO DE JOAÃ‡ABA</v>
          </cell>
        </row>
        <row r="20599">
          <cell r="B20599">
            <v>81759</v>
          </cell>
          <cell r="C20599" t="str">
            <v>PLANO BASICO DE BENEFICIOS</v>
          </cell>
          <cell r="D20599" t="str">
            <v>PLANO BASICO DE BENEFICIOS</v>
          </cell>
          <cell r="E20599" t="str">
            <v>CENTRUS -FUNDAÇÃO BANCO CENTRAL DE PREVIDENCIA PRIVADA</v>
          </cell>
        </row>
        <row r="20600">
          <cell r="B20600">
            <v>81760</v>
          </cell>
          <cell r="C20600" t="str">
            <v>PLANO DE BENEFICIO DEFINIDO CENTRUS</v>
          </cell>
          <cell r="D20600" t="str">
            <v>PLANO DE BENEFICIO DEFINIDO CENTRUS</v>
          </cell>
          <cell r="E20600" t="str">
            <v>CENTRUS -FUNDAÇÃO BANCO CENTRAL DE PREVIDENCIA PRIVADA</v>
          </cell>
        </row>
        <row r="20601">
          <cell r="B20601">
            <v>81761</v>
          </cell>
          <cell r="C20601" t="str">
            <v>PLANO DE CONTRIBUICAO DEFINIDA</v>
          </cell>
          <cell r="D20601" t="str">
            <v>PLANO DE CONTRIBUICAO DEFINIDA</v>
          </cell>
          <cell r="E20601" t="str">
            <v>CENTRUS -FUNDAÇÃO BANCO CENTRAL DE PREVIDENCIA PRIVADA</v>
          </cell>
        </row>
        <row r="20602">
          <cell r="B20602">
            <v>81762</v>
          </cell>
          <cell r="C20602" t="str">
            <v>PLANO INSTITUIDO CENTRUSPREV</v>
          </cell>
          <cell r="D20602" t="str">
            <v>PLANO INSTITUIDO CENTRUSPREV</v>
          </cell>
          <cell r="E20602" t="str">
            <v>CENTRUS -FUNDAÇÃO BANCO CENTRAL DE PREVIDENCIA PRIVADA</v>
          </cell>
        </row>
        <row r="20603">
          <cell r="B20603">
            <v>81763</v>
          </cell>
          <cell r="C20603" t="str">
            <v>ASA ASSET 2 GESTAO DE RECURSOS LTDA</v>
          </cell>
          <cell r="D20603" t="str">
            <v>ASA ASSET 2 GESTAO DE RECURSOS LTDA</v>
          </cell>
          <cell r="E20603" t="str">
            <v>ASA ASSET GESTAO EM INVESTIMENTOS LTDA</v>
          </cell>
        </row>
        <row r="20604">
          <cell r="B20604">
            <v>81763</v>
          </cell>
          <cell r="C20604" t="str">
            <v>ASA ASSET 2 GESTAO DE RECURSOS LTDA</v>
          </cell>
          <cell r="D20604" t="str">
            <v>ASA ASSET 2 GESTAO DE RECURSOS LTDA</v>
          </cell>
          <cell r="E20604" t="str">
            <v>ASA ASSET GESTAO EM INVESTIMENTOS LTDA</v>
          </cell>
        </row>
        <row r="20605">
          <cell r="B20605">
            <v>90123</v>
          </cell>
          <cell r="C20605" t="str">
            <v>UBS BRASIL CCTVM S/A (ANTIGA LINK S/A CCTVM)</v>
          </cell>
          <cell r="D20605">
            <v>247</v>
          </cell>
          <cell r="E20605" t="str">
            <v>UBS AG, LONDON BRANCH NOVO</v>
          </cell>
        </row>
        <row r="20606">
          <cell r="B20606">
            <v>81769</v>
          </cell>
          <cell r="C20606" t="str">
            <v>WNT 524 FUNDO DE INVESTIMENTO MULTIMERCADO CP IE</v>
          </cell>
          <cell r="D20606" t="str">
            <v>WNT 524 FUNDO DE INVESTIMENTO MULTIMERCADO CP IE</v>
          </cell>
          <cell r="E20606" t="str">
            <v>WNT GESTORA DE RECURSOS LTDA</v>
          </cell>
        </row>
        <row r="20607">
          <cell r="B20607">
            <v>81769</v>
          </cell>
          <cell r="C20607" t="str">
            <v>WNT 524 FUNDO DE INVESTIMENTO MULTIMERCADO CP IE</v>
          </cell>
          <cell r="D20607" t="str">
            <v>WNT 524 FUNDO DE INVESTIMENTO MULTIMERCADO CP IE</v>
          </cell>
          <cell r="E20607" t="str">
            <v>WNT GESTORA DE RECURSOS LTDA</v>
          </cell>
        </row>
        <row r="20608">
          <cell r="B20608">
            <v>81770</v>
          </cell>
          <cell r="C20608" t="str">
            <v>SAFRA ASSET MANAGEMENT LTDA</v>
          </cell>
          <cell r="D20608" t="str">
            <v>SAFRA ASSET MANAGEMENT LTDA</v>
          </cell>
          <cell r="E20608" t="str">
            <v>SAFRA ASSET MANAGEMENT LTDA</v>
          </cell>
        </row>
        <row r="20609">
          <cell r="B20609">
            <v>81770</v>
          </cell>
          <cell r="C20609" t="str">
            <v>SAFRA ASSET MANAGEMENT LTDA</v>
          </cell>
          <cell r="D20609" t="str">
            <v>SAFRA ASSET MANAGEMENT LTDA</v>
          </cell>
          <cell r="E20609" t="str">
            <v>SAFRA ASSET MANAGEMENT LTDA</v>
          </cell>
        </row>
        <row r="20610">
          <cell r="B20610">
            <v>81772</v>
          </cell>
          <cell r="C20610" t="str">
            <v>LAKESIDE TRADING LLC</v>
          </cell>
          <cell r="D20610" t="str">
            <v>LAKESIDE TRADING LLC</v>
          </cell>
          <cell r="E20610" t="str">
            <v>LAKESIDE TRADING LLC</v>
          </cell>
        </row>
        <row r="20611">
          <cell r="B20611">
            <v>81773</v>
          </cell>
          <cell r="C20611" t="str">
            <v>HPB FUNDO DE INVESTIMENTO EM ACOES IE</v>
          </cell>
          <cell r="D20611" t="str">
            <v>HPB FUNDO DE INVESTIMENTO EM ACOES IE</v>
          </cell>
          <cell r="E20611" t="str">
            <v>ITAU UNIBANCO ASSET - TACO</v>
          </cell>
        </row>
        <row r="20612">
          <cell r="B20612">
            <v>81776</v>
          </cell>
          <cell r="C20612" t="str">
            <v>AV5 FIM CP IE</v>
          </cell>
          <cell r="D20612" t="str">
            <v>AV5 FIM CP IE</v>
          </cell>
          <cell r="E20612" t="str">
            <v>JULIUS BAER FAMILY OFFICE BRASIL GESTAO DE PATRIMONIO LTDA</v>
          </cell>
        </row>
        <row r="20613">
          <cell r="B20613">
            <v>81776</v>
          </cell>
          <cell r="C20613" t="str">
            <v>AV5 FIM CP IE</v>
          </cell>
          <cell r="D20613" t="str">
            <v>AV5 FIM CP IE</v>
          </cell>
          <cell r="E20613" t="str">
            <v>JULIUS BAER FAMILY OFFICE BRASIL GESTAO DE PATRIMONIO LTDA</v>
          </cell>
        </row>
        <row r="20614">
          <cell r="B20614">
            <v>81779</v>
          </cell>
          <cell r="C20614" t="str">
            <v>FUNDACAO PETROBRAS DE SEGURIDADE SOCIAL PETROS</v>
          </cell>
          <cell r="D20614" t="str">
            <v>FUNDACAO PETROBRAS DE SEGURIDADE SOCIAL PETROS</v>
          </cell>
          <cell r="E20614" t="str">
            <v>FUNDACAO PETROBRAS DE SEGURIDADE SOCIAL PETROS</v>
          </cell>
        </row>
        <row r="20615">
          <cell r="B20615">
            <v>81779</v>
          </cell>
          <cell r="C20615" t="str">
            <v>FUNDACAO PETROBRAS DE SEGURIDADE SOCIAL PETROS</v>
          </cell>
          <cell r="D20615" t="str">
            <v>FUNDACAO PETROBRAS DE SEGURIDADE SOCIAL PETROS</v>
          </cell>
          <cell r="E20615" t="str">
            <v>FUNDACAO PETROBRAS DE SEGURIDADE SOCIAL PETROS</v>
          </cell>
        </row>
        <row r="20616">
          <cell r="B20616">
            <v>81781</v>
          </cell>
          <cell r="C20616" t="str">
            <v>FUNDACAO PETROBRAS DE SEGURIDADE SOCIAL PETROS</v>
          </cell>
          <cell r="D20616" t="str">
            <v>FUNDACAO PETROBRAS DE SEGURIDADE SOCIAL PETROS</v>
          </cell>
          <cell r="E20616" t="str">
            <v>FUNDACAO PETROBRAS DE SEGURIDADE SOCIAL PETROS</v>
          </cell>
        </row>
        <row r="20617">
          <cell r="B20617">
            <v>81781</v>
          </cell>
          <cell r="C20617" t="str">
            <v>FUNDACAO PETROBRAS DE SEGURIDADE SOCIAL PETROS</v>
          </cell>
          <cell r="D20617" t="str">
            <v>FUNDACAO PETROBRAS DE SEGURIDADE SOCIAL PETROS</v>
          </cell>
          <cell r="E20617" t="str">
            <v>FUNDACAO PETROBRAS DE SEGURIDADE SOCIAL PETROS</v>
          </cell>
        </row>
        <row r="20618">
          <cell r="B20618">
            <v>81783</v>
          </cell>
          <cell r="C20618" t="str">
            <v>LIGA FIC FIM CP</v>
          </cell>
          <cell r="D20618" t="str">
            <v>LIGA FIC FIM CP</v>
          </cell>
          <cell r="E20618" t="str">
            <v>JULIUS BAER FAMILY OFFICE BRASIL GESTAO DE PATRIMONIO LTDA</v>
          </cell>
        </row>
        <row r="20619">
          <cell r="B20619">
            <v>81783</v>
          </cell>
          <cell r="C20619" t="str">
            <v>LIGA FIC FIM CP</v>
          </cell>
          <cell r="D20619" t="str">
            <v>LIGA FIC FIM CP</v>
          </cell>
          <cell r="E20619" t="str">
            <v>JULIUS BAER FAMILY OFFICE BRASIL GESTAO DE PATRIMONIO LTDA</v>
          </cell>
        </row>
        <row r="20620">
          <cell r="B20620">
            <v>81784</v>
          </cell>
          <cell r="C20620" t="str">
            <v>PORTO SAN GIORGIO II FIM CP IE</v>
          </cell>
          <cell r="D20620" t="str">
            <v>PORTO SAN GIORGIO II FIM CP IE</v>
          </cell>
          <cell r="E20620" t="str">
            <v>JULIUS BAER FAMILY OFFICE BRASIL GESTAO DE PATRIMONIO LTDA</v>
          </cell>
        </row>
        <row r="20621">
          <cell r="B20621">
            <v>81784</v>
          </cell>
          <cell r="C20621" t="str">
            <v>PORTO SAN GIORGIO II FIM CP IE</v>
          </cell>
          <cell r="D20621" t="str">
            <v>PORTO SAN GIORGIO II FIM CP IE</v>
          </cell>
          <cell r="E20621" t="str">
            <v>JULIUS BAER FAMILY OFFICE BRASIL GESTAO DE PATRIMONIO LTDA</v>
          </cell>
        </row>
        <row r="20622">
          <cell r="B20622">
            <v>81785</v>
          </cell>
          <cell r="C20622" t="str">
            <v>BNP PARIBAS FINANCIAL MARKETS</v>
          </cell>
          <cell r="D20622" t="str">
            <v>BNP PARIBAS FINANCIAL MARKETS</v>
          </cell>
          <cell r="E20622" t="str">
            <v>BANCO BNP PARIBAS BRASIL S/A</v>
          </cell>
        </row>
        <row r="20623">
          <cell r="B20623">
            <v>81787</v>
          </cell>
          <cell r="C20623" t="str">
            <v>RPS CAPITAL ABS B PREVIDÃŠNCIA FIFE FIM</v>
          </cell>
          <cell r="D20623" t="str">
            <v>RPS CAPITAL ABS B PREVIDÃŠNCIA FIFE FIM</v>
          </cell>
          <cell r="E20623" t="str">
            <v>RPS CAPITAL ADMINISTRADORA DE RECURSOS LTDA</v>
          </cell>
        </row>
        <row r="20624">
          <cell r="B20624">
            <v>81788</v>
          </cell>
          <cell r="C20624" t="str">
            <v>RPS TOTAL RETURN RV MASTER FIM</v>
          </cell>
          <cell r="D20624" t="str">
            <v>RPS TOTAL RETURN RV MASTER FIM</v>
          </cell>
          <cell r="E20624" t="str">
            <v>RPS CAPITAL ADMINISTRADORA DE RECURSOS LTDA</v>
          </cell>
        </row>
        <row r="20625">
          <cell r="B20625">
            <v>81789</v>
          </cell>
          <cell r="C20625" t="str">
            <v>RPS LONG BIAS FUNDO DE INVESTIMENTO EM AÃ‡Ã•ES</v>
          </cell>
          <cell r="D20625" t="str">
            <v>RPS LONG BIAS FUNDO DE INVESTIMENTO EM AÃ‡Ã•ES</v>
          </cell>
          <cell r="E20625" t="str">
            <v>RPS CAPITAL ADMINISTRADORA DE RECURSOS LTDA</v>
          </cell>
        </row>
        <row r="20626">
          <cell r="B20626">
            <v>81789</v>
          </cell>
          <cell r="C20626" t="str">
            <v>RPS LONG BIAS FUNDO DE INVESTIMENTO EM AÃ‡Ã•ES</v>
          </cell>
          <cell r="D20626" t="str">
            <v>RPS LONG BIAS FUNDO DE INVESTIMENTO EM AÃ‡Ã•ES</v>
          </cell>
          <cell r="E20626" t="str">
            <v>RPS CAPITAL ADMINISTRADORA DE RECURSOS LTDA</v>
          </cell>
        </row>
        <row r="20627">
          <cell r="B20627">
            <v>81790</v>
          </cell>
          <cell r="C20627" t="str">
            <v>RPS TOTAL RETURN II MASTER FIM</v>
          </cell>
          <cell r="D20627" t="str">
            <v>RPS TOTAL RETURN II MASTER FIM</v>
          </cell>
          <cell r="E20627" t="str">
            <v>RPS CAPITAL ADMINISTRADORA DE RECURSOS LTDA</v>
          </cell>
        </row>
        <row r="20628">
          <cell r="B20628">
            <v>81790</v>
          </cell>
          <cell r="C20628" t="str">
            <v>RPS TOTAL RETURN II MASTER FIM</v>
          </cell>
          <cell r="D20628" t="str">
            <v>RPS TOTAL RETURN II MASTER FIM</v>
          </cell>
          <cell r="E20628" t="str">
            <v>RPS CAPITAL ADMINISTRADORA DE RECURSOS LTDA</v>
          </cell>
        </row>
        <row r="20629">
          <cell r="B20629">
            <v>81791</v>
          </cell>
          <cell r="C20629" t="str">
            <v>RPS LONG BIAS SELECTION FUNDO DE INVESTIMENTO EM AÃ‡Ã•ES</v>
          </cell>
          <cell r="D20629" t="str">
            <v>RPS LONG BIAS SELECTION FUNDO DE INVESTIMENTO EM AÃ‡Ã•ES</v>
          </cell>
          <cell r="E20629" t="str">
            <v>RPS CAPITAL ADMINISTRADORA DE RECURSOS LTDA</v>
          </cell>
        </row>
        <row r="20630">
          <cell r="B20630">
            <v>81792</v>
          </cell>
          <cell r="C20630" t="str">
            <v>RPS PREV ABSOLUTO ICATU FI PREV MULTI MASTER</v>
          </cell>
          <cell r="D20630" t="str">
            <v>RPS PREV ABSOLUTO ICATU FI PREV MULTI MASTER</v>
          </cell>
          <cell r="E20630" t="str">
            <v>RPS CAPITAL ADMINISTRADORA DE RECURSOS LTDA</v>
          </cell>
        </row>
        <row r="20631">
          <cell r="B20631">
            <v>81793</v>
          </cell>
          <cell r="C20631" t="str">
            <v>RPS PREV ABSOLUTO FI PREV MULTI MASTER</v>
          </cell>
          <cell r="D20631" t="str">
            <v>RPS PREV ABSOLUTO FI PREV MULTI MASTER</v>
          </cell>
          <cell r="E20631" t="str">
            <v>RPS CAPITAL ADMINISTRADORA DE RECURSOS LTDA</v>
          </cell>
        </row>
        <row r="20632">
          <cell r="B20632">
            <v>81793</v>
          </cell>
          <cell r="C20632" t="str">
            <v>RPS PREV ABSOLUTO FI PREV MULTI MASTER</v>
          </cell>
          <cell r="D20632" t="str">
            <v>RPS PREV ABSOLUTO FI PREV MULTI MASTER</v>
          </cell>
          <cell r="E20632" t="str">
            <v>RPS CAPITAL ADMINISTRADORA DE RECURSOS LTDA</v>
          </cell>
        </row>
        <row r="20633">
          <cell r="B20633">
            <v>81794</v>
          </cell>
          <cell r="C20633" t="str">
            <v>BRAZA BANK S/A BANCO DE CAMBIO</v>
          </cell>
          <cell r="D20633" t="str">
            <v>BRAZA BANK S/A BANCO DE CAMBIO</v>
          </cell>
          <cell r="E20633" t="str">
            <v>BRAZA BANK S/A BANCO DE CAMBIO</v>
          </cell>
        </row>
        <row r="20634">
          <cell r="B20634">
            <v>81796</v>
          </cell>
          <cell r="C20634" t="str">
            <v>PLANO DE BENEFICIOS FBPREV</v>
          </cell>
          <cell r="D20634" t="str">
            <v>PLANO DE BENEFICIOS FBPREV</v>
          </cell>
          <cell r="E20634" t="str">
            <v>FUNDACAO BANRISUL DE SEGURIDADE SOCIAL</v>
          </cell>
        </row>
        <row r="20635">
          <cell r="B20635">
            <v>81797</v>
          </cell>
          <cell r="C20635" t="str">
            <v>FUNDACAO BANRISUL DE SEGURIDADE SOCIAL</v>
          </cell>
          <cell r="D20635" t="str">
            <v>FUNDACAO BANRISUL DE SEGURIDADE SOCIAL</v>
          </cell>
          <cell r="E20635" t="str">
            <v>FUNDACAO BANRISUL DE SEGURIDADE SOCIAL</v>
          </cell>
        </row>
        <row r="20636">
          <cell r="B20636">
            <v>81798</v>
          </cell>
          <cell r="C20636" t="str">
            <v>FUNDACAO BANRISUL DE SEGURIDADE SOCIAL</v>
          </cell>
          <cell r="D20636" t="str">
            <v>FUNDACAO BANRISUL DE SEGURIDADE SOCIAL</v>
          </cell>
          <cell r="E20636" t="str">
            <v>FUNDACAO BANRISUL DE SEGURIDADE SOCIAL</v>
          </cell>
        </row>
        <row r="20637">
          <cell r="B20637">
            <v>1454</v>
          </cell>
          <cell r="C20637" t="str">
            <v>BGC LIQUIDEZ DTVM LTDA</v>
          </cell>
          <cell r="D20637" t="str">
            <v>BGC LIQUIDEZ DTVM LTDA</v>
          </cell>
          <cell r="E20637" t="str">
            <v>BGC LIQUIDEZ DTVM LTDA</v>
          </cell>
        </row>
        <row r="20638">
          <cell r="B20638">
            <v>81799</v>
          </cell>
          <cell r="C20638" t="str">
            <v>PLANO DE BENEFICIOS FBPREV II</v>
          </cell>
          <cell r="D20638" t="str">
            <v>PLANO DE BENEFICIOS FBPREV II</v>
          </cell>
          <cell r="E20638" t="str">
            <v>FUNDACAO BANRISUL DE SEGURIDADE SOCIAL</v>
          </cell>
        </row>
        <row r="20639">
          <cell r="B20639">
            <v>81800</v>
          </cell>
          <cell r="C20639" t="str">
            <v>PLANO DE BENEFICIOS FBPREV II</v>
          </cell>
          <cell r="D20639" t="str">
            <v>PLANO DE BENEFICIOS FBPREV II</v>
          </cell>
          <cell r="E20639" t="str">
            <v>FUNDACAO BANRISUL DE SEGURIDADE SOCIAL</v>
          </cell>
        </row>
        <row r="20640">
          <cell r="B20640">
            <v>81801</v>
          </cell>
          <cell r="C20640" t="str">
            <v>PLANO DE BENEFICIOS FBPREV III</v>
          </cell>
          <cell r="D20640" t="str">
            <v>PLANO DE BENEFICIOS FBPREV III</v>
          </cell>
          <cell r="E20640" t="str">
            <v>FUNDACAO BANRISUL DE SEGURIDADE SOCIAL</v>
          </cell>
        </row>
        <row r="20641">
          <cell r="B20641">
            <v>81802</v>
          </cell>
          <cell r="C20641" t="str">
            <v>PLANO DE BENEFICIOS FBPREV III</v>
          </cell>
          <cell r="D20641" t="str">
            <v>PLANO DE BENEFICIOS FBPREV III</v>
          </cell>
          <cell r="E20641" t="str">
            <v>FUNDACAO BANRISUL DE SEGURIDADE SOCIAL</v>
          </cell>
        </row>
        <row r="20642">
          <cell r="B20642">
            <v>81803</v>
          </cell>
          <cell r="C20642" t="str">
            <v>PLANO DE BENEFICIOS I</v>
          </cell>
          <cell r="D20642" t="str">
            <v>PLANO DE BENEFICIOS I</v>
          </cell>
          <cell r="E20642" t="str">
            <v>FUNDACAO BANRISUL DE SEGURIDADE SOCIAL</v>
          </cell>
        </row>
        <row r="20643">
          <cell r="B20643">
            <v>81804</v>
          </cell>
          <cell r="C20643" t="str">
            <v>PLANO DE BENEFICIO SALDADO</v>
          </cell>
          <cell r="D20643" t="str">
            <v>PLANO DE BENEFICIO SALDADO</v>
          </cell>
          <cell r="E20643" t="str">
            <v>FUNDACAO BANRISUL DE SEGURIDADE SOCIAL</v>
          </cell>
        </row>
        <row r="20644">
          <cell r="B20644">
            <v>81805</v>
          </cell>
          <cell r="C20644" t="str">
            <v>PLANO DE BENEFICIO SALDADO</v>
          </cell>
          <cell r="D20644" t="str">
            <v>PLANO DE BENEFICIO SALDADO</v>
          </cell>
          <cell r="E20644" t="str">
            <v>FUNDACAO BANRISUL DE SEGURIDADE SOCIAL</v>
          </cell>
        </row>
        <row r="20645">
          <cell r="B20645">
            <v>81809</v>
          </cell>
          <cell r="C20645" t="str">
            <v>INSTITUTO DE PREV E ASSISTENCIA MUNICIPAL DE NOVA PRATA</v>
          </cell>
          <cell r="D20645" t="str">
            <v>INSTITUTO DE PREV E ASSISTENCIA MUNICIPAL DE NOVA PRATA</v>
          </cell>
          <cell r="E20645" t="str">
            <v>INSTITUTO DE PREV E ASSISTENCIA MUNICIPAL DE NOVA PRATA</v>
          </cell>
        </row>
        <row r="20646">
          <cell r="B20646">
            <v>81809</v>
          </cell>
          <cell r="C20646" t="str">
            <v>INSTITUTO DE PREV E ASSISTENCIA MUNICIPAL DE NOVA PRATA</v>
          </cell>
          <cell r="D20646" t="str">
            <v>INSTITUTO DE PREV E ASSISTENCIA MUNICIPAL DE NOVA PRATA</v>
          </cell>
          <cell r="E20646" t="str">
            <v>INSTITUTO DE PREV E ASSISTENCIA MUNICIPAL DE NOVA PRATA</v>
          </cell>
        </row>
        <row r="20647">
          <cell r="B20647">
            <v>81810</v>
          </cell>
          <cell r="C20647" t="str">
            <v>ITAÃš ALGARVE FEEDER AMZ FIM CP</v>
          </cell>
          <cell r="D20647" t="str">
            <v>ITAÃš ALGARVE FEEDER AMZ FIM CP</v>
          </cell>
          <cell r="E20647" t="str">
            <v>ITAU UNIBANCO ASSET - TACO</v>
          </cell>
        </row>
        <row r="20648">
          <cell r="B20648">
            <v>81811</v>
          </cell>
          <cell r="C20648" t="str">
            <v>ITAÃš ALPHA ONE FUNDO DE INVESTIMENTO EM AÃ‡Ã•ES</v>
          </cell>
          <cell r="D20648" t="str">
            <v>ITAÃš ALPHA ONE FUNDO DE INVESTIMENTO EM AÃ‡Ã•ES</v>
          </cell>
          <cell r="E20648" t="str">
            <v>ITAU UNIBANCO ASSET - TACO</v>
          </cell>
        </row>
        <row r="20649">
          <cell r="B20649">
            <v>81811</v>
          </cell>
          <cell r="C20649" t="str">
            <v>ITAÃš ALPHA ONE FUNDO DE INVESTIMENTO EM AÃ‡Ã•ES</v>
          </cell>
          <cell r="D20649" t="str">
            <v>ITAÃš ALPHA ONE FUNDO DE INVESTIMENTO EM AÃ‡Ã•ES</v>
          </cell>
          <cell r="E20649" t="str">
            <v>ITAU UNIBANCO ASSET - TACO</v>
          </cell>
        </row>
        <row r="20650">
          <cell r="B20650">
            <v>81812</v>
          </cell>
          <cell r="C20650" t="str">
            <v>ITAÃš CRÃ‰DITO ESTRUTURADO BALI FI MM CP</v>
          </cell>
          <cell r="D20650" t="str">
            <v>ITAÃš CRÃ‰DITO ESTRUTURADO BALI FI MM CP</v>
          </cell>
          <cell r="E20650" t="str">
            <v>ITAU UNIBANCO ASSET - TACO</v>
          </cell>
        </row>
        <row r="20651">
          <cell r="B20651">
            <v>81812</v>
          </cell>
          <cell r="C20651" t="str">
            <v>ITAÃš CRÃ‰DITO ESTRUTURADO BALI FI MM CP</v>
          </cell>
          <cell r="D20651" t="str">
            <v>ITAÃš CRÃ‰DITO ESTRUTURADO BALI FI MM CP</v>
          </cell>
          <cell r="E20651" t="str">
            <v>ITAU UNIBANCO ASSET - TACO</v>
          </cell>
        </row>
        <row r="20652">
          <cell r="B20652">
            <v>81813</v>
          </cell>
          <cell r="C20652" t="str">
            <v>ITAU BALANCEADO ATIVO FMP - FGTS CARTEIRA LIVRE</v>
          </cell>
          <cell r="D20652" t="str">
            <v>ITAU BALANCEADO ATIVO FMP - FGTS CARTEIRA LIVRE</v>
          </cell>
          <cell r="E20652" t="str">
            <v>ITAU UNIBANCO ASSET - TACO</v>
          </cell>
        </row>
        <row r="20653">
          <cell r="B20653">
            <v>81814</v>
          </cell>
          <cell r="C20653" t="str">
            <v>ITAÃš INSTITUCIONAL BOVV11 FIC FIA</v>
          </cell>
          <cell r="D20653" t="str">
            <v>ITAÃš INSTITUCIONAL BOVV11 FIC FIA</v>
          </cell>
          <cell r="E20653" t="str">
            <v>ITAU UNIBANCO ASSET - TACO</v>
          </cell>
        </row>
        <row r="20654">
          <cell r="B20654">
            <v>81815</v>
          </cell>
          <cell r="C20654" t="str">
            <v>ITAÃš FLEXPREV ADVANCED MM CP FI</v>
          </cell>
          <cell r="D20654" t="str">
            <v>ITAÃš FLEXPREV ADVANCED MM CP FI</v>
          </cell>
          <cell r="E20654" t="str">
            <v>ITAU UNIBANCO ASSET - TACO</v>
          </cell>
        </row>
        <row r="20655">
          <cell r="B20655">
            <v>81816</v>
          </cell>
          <cell r="C20655" t="str">
            <v>RIO OB FUNDO DE INVESTIMENTOS EM AÃ‡Ã•ES</v>
          </cell>
          <cell r="D20655" t="str">
            <v>RIO OB FUNDO DE INVESTIMENTOS EM AÃ‡Ã•ES</v>
          </cell>
          <cell r="E20655" t="str">
            <v>ITAU UNIBANCO ASSET - TACO</v>
          </cell>
        </row>
        <row r="20656">
          <cell r="B20656">
            <v>81817</v>
          </cell>
          <cell r="C20656" t="str">
            <v>ITAÃš VÃ‰RTICE BOVV11 FUNDO DE INVESTIMENTOS EM AÃ‡Ã•ES</v>
          </cell>
          <cell r="D20656" t="str">
            <v>ITAÃš VÃ‰RTICE BOVV11 FUNDO DE INVESTIMENTOS EM AÃ‡Ã•ES</v>
          </cell>
          <cell r="E20656" t="str">
            <v>ITAU UNIBANCO ASSET - TACO</v>
          </cell>
        </row>
        <row r="20657">
          <cell r="B20657">
            <v>81818</v>
          </cell>
          <cell r="C20657" t="str">
            <v>ITAÃš BITCOIN USD FUNDO DE INVESTIMENTO EM AÃ‡Ã•ES</v>
          </cell>
          <cell r="D20657" t="str">
            <v>ITAÃš BITCOIN USD FUNDO DE INVESTIMENTO EM AÃ‡Ã•ES</v>
          </cell>
          <cell r="E20657" t="str">
            <v>ITAU UNIBANCO ASSET - TACO</v>
          </cell>
        </row>
        <row r="20658">
          <cell r="B20658">
            <v>81820</v>
          </cell>
          <cell r="C20658" t="str">
            <v>SOLANA LONG BIASED FUNDO DE INVESTIMENTO EM AÃ‡Ã•ES</v>
          </cell>
          <cell r="D20658" t="str">
            <v>SOLANA LONG BIASED FUNDO DE INVESTIMENTO EM AÃ‡Ã•ES</v>
          </cell>
          <cell r="E20658" t="str">
            <v>SOLANA GESTORA DE RECURSOS LTDA</v>
          </cell>
        </row>
        <row r="20659">
          <cell r="B20659">
            <v>81823</v>
          </cell>
          <cell r="C20659" t="str">
            <v>INST DE PREV SOCIAL DOS SERV PUBLICOS MUNI DE NOVA TRENTO</v>
          </cell>
          <cell r="D20659" t="str">
            <v>INST DE PREV SOCIAL DOS SERV PUBLICOS MUNI DE NOVA TRENTO</v>
          </cell>
          <cell r="E20659" t="str">
            <v>INST DE PREV SOCIAL DOS SERV PUBLICOS MUNI DE NOVA TRENTO</v>
          </cell>
        </row>
        <row r="20660">
          <cell r="B20660">
            <v>81823</v>
          </cell>
          <cell r="C20660" t="str">
            <v>INST DE PREV SOCIAL DOS SERV PUBLICOS MUNI DE NOVA TRENTO</v>
          </cell>
          <cell r="D20660" t="str">
            <v>INST DE PREV SOCIAL DOS SERV PUBLICOS MUNI DE NOVA TRENTO</v>
          </cell>
          <cell r="E20660" t="str">
            <v>INST DE PREV SOCIAL DOS SERV PUBLICOS MUNI DE NOVA TRENTO</v>
          </cell>
        </row>
        <row r="20661">
          <cell r="B20661">
            <v>81824</v>
          </cell>
          <cell r="C20661" t="str">
            <v>INSTITUTO DE PREVIDENCIA DO MUNICIPIO DE MAFRA</v>
          </cell>
          <cell r="D20661" t="str">
            <v>INSTITUTO DE PREVIDENCIA DO MUNICIPIO DE MAFRA</v>
          </cell>
          <cell r="E20661" t="str">
            <v>INSTITUTO DE PREVIDENCIA DO MUNICIPIO DE MAFRA</v>
          </cell>
        </row>
        <row r="20662">
          <cell r="B20662">
            <v>81824</v>
          </cell>
          <cell r="C20662" t="str">
            <v>INSTITUTO DE PREVIDENCIA DO MUNICIPIO DE MAFRA</v>
          </cell>
          <cell r="D20662" t="str">
            <v>INSTITUTO DE PREVIDENCIA DO MUNICIPIO DE MAFRA</v>
          </cell>
          <cell r="E20662" t="str">
            <v>INSTITUTO DE PREVIDENCIA DO MUNICIPIO DE MAFRA</v>
          </cell>
        </row>
        <row r="20663">
          <cell r="B20663">
            <v>81825</v>
          </cell>
          <cell r="C20663" t="str">
            <v>NOVO PLANO DE CONTRIBUICAO DEFINIDA</v>
          </cell>
          <cell r="D20663" t="str">
            <v>NOVO PLANO DE CONTRIBUICAO DEFINIDA</v>
          </cell>
          <cell r="E20663" t="str">
            <v>FUNDAÃ‡ÃƒO ELETROSUL DE PREVIDÃŠNCIA E ASSISTÃŠNCIA SOCIAL ELOS</v>
          </cell>
        </row>
        <row r="20664">
          <cell r="B20664">
            <v>81826</v>
          </cell>
          <cell r="C20664" t="str">
            <v>FUNDAÃ‡ÃƒO ELETROSUL DE PREVIDÃŠNCIA E ASSISTÃŠNCIA SOCIAL ELOS</v>
          </cell>
          <cell r="D20664" t="str">
            <v>FUNDAÃ‡ÃƒO ELETROSUL DE PREVIDÃŠNCIA E ASSISTÃŠNCIA SOCIAL ELOS</v>
          </cell>
          <cell r="E20664" t="str">
            <v>FUNDAÃ‡ÃƒO ELETROSUL DE PREVIDÃŠNCIA E ASSISTÃŠNCIA SOCIAL ELOS</v>
          </cell>
        </row>
        <row r="20665">
          <cell r="B20665">
            <v>81827</v>
          </cell>
          <cell r="C20665" t="str">
            <v>PLANO ÃšNICO DA CGTEE</v>
          </cell>
          <cell r="D20665" t="str">
            <v>PLANO ÃšNICO DA CGTEE</v>
          </cell>
          <cell r="E20665" t="str">
            <v>FUNDAÃ‡ÃƒO ELETROSUL DE PREVIDÃŠNCIA E ASSISTÃŠNCIA SOCIAL ELOS</v>
          </cell>
        </row>
        <row r="20666">
          <cell r="B20666">
            <v>81827</v>
          </cell>
          <cell r="C20666" t="str">
            <v>PLANO ÃšNICO DA CGTEE</v>
          </cell>
          <cell r="D20666" t="str">
            <v>PLANO ÃšNICO DA CGTEE</v>
          </cell>
          <cell r="E20666" t="str">
            <v>FUNDAÃ‡ÃƒO ELETROSUL DE PREVIDÃŠNCIA E ASSISTÃŠNCIA SOCIAL ELOS</v>
          </cell>
        </row>
        <row r="20667">
          <cell r="B20667">
            <v>81828</v>
          </cell>
          <cell r="C20667" t="str">
            <v>PLANO BD ELOS ENGIE</v>
          </cell>
          <cell r="D20667" t="str">
            <v>PLANO BD ELOS ENGIE</v>
          </cell>
          <cell r="E20667" t="str">
            <v>FUNDAÃ‡ÃƒO ELETROSUL DE PREVIDÃŠNCIA E ASSISTÃŠNCIA SOCIAL ELOS</v>
          </cell>
        </row>
        <row r="20668">
          <cell r="B20668">
            <v>81829</v>
          </cell>
          <cell r="C20668" t="str">
            <v>PLANO DE BENEFICIO DEFINIDO ELOS ELETROSUL</v>
          </cell>
          <cell r="D20668" t="str">
            <v>PLANO DE BENEFICIO DEFINIDO ELOS ELETROSUL</v>
          </cell>
          <cell r="E20668" t="str">
            <v>FUNDAÃ‡ÃƒO ELETROSUL DE PREVIDÃŠNCIA E ASSISTÃŠNCIA SOCIAL ELOS</v>
          </cell>
        </row>
        <row r="20669">
          <cell r="B20669">
            <v>81830</v>
          </cell>
          <cell r="C20669" t="str">
            <v>PLANO DE BENEFÃCIOS PREVIDÃŠNCIARIOS N01 CD ELETROSUL</v>
          </cell>
          <cell r="D20669" t="str">
            <v>PLANO DE BENEFÃCIOS PREVIDÃŠNCIARIOS N01 CD ELETROSUL</v>
          </cell>
          <cell r="E20669" t="str">
            <v>FUNDAÃ‡ÃƒO ELETROSUL DE PREVIDÃŠNCIA E ASSISTÃŠNCIA SOCIAL ELOS</v>
          </cell>
        </row>
        <row r="20670">
          <cell r="B20670">
            <v>81831</v>
          </cell>
          <cell r="C20670" t="str">
            <v>BAVIERA INVESTIMENTOS LLC</v>
          </cell>
          <cell r="D20670" t="str">
            <v>BAVIERA INVESTIMENTOS LLC</v>
          </cell>
          <cell r="E20670" t="str">
            <v>BAVIERA INVESTIMENTOS LLC</v>
          </cell>
        </row>
        <row r="20671">
          <cell r="B20671">
            <v>81831</v>
          </cell>
          <cell r="C20671" t="str">
            <v>BAVIERA INVESTIMENTOS LLC</v>
          </cell>
          <cell r="D20671" t="str">
            <v>BAVIERA INVESTIMENTOS LLC</v>
          </cell>
          <cell r="E20671" t="str">
            <v>BAVIERA INVESTIMENTOS LLC</v>
          </cell>
        </row>
        <row r="20672">
          <cell r="B20672">
            <v>81834</v>
          </cell>
          <cell r="C20672" t="str">
            <v>MVT FUNDO INCENTIVADO DE INVESTIMENTO INF RF CP</v>
          </cell>
          <cell r="D20672" t="str">
            <v>MVT FUNDO INCENTIVADO DE INVESTIMENTO INF RF CP</v>
          </cell>
          <cell r="E20672" t="str">
            <v>JULIUS BAER FAMILY OFFICE BRASIL GESTAO DE PATRIMONIO LTDA</v>
          </cell>
        </row>
        <row r="20673">
          <cell r="B20673">
            <v>81834</v>
          </cell>
          <cell r="C20673" t="str">
            <v>MVT FUNDO INCENTIVADO DE INVESTIMENTO INF RF CP</v>
          </cell>
          <cell r="D20673" t="str">
            <v>MVT FUNDO INCENTIVADO DE INVESTIMENTO INF RF CP</v>
          </cell>
          <cell r="E20673" t="str">
            <v>JULIUS BAER FAMILY OFFICE BRASIL GESTAO DE PATRIMONIO LTDA</v>
          </cell>
        </row>
        <row r="20674">
          <cell r="B20674">
            <v>81835</v>
          </cell>
          <cell r="C20674" t="str">
            <v>SKIATHOS FUNDO DE INVESTIMENTO MULTIMERCADO CP IE</v>
          </cell>
          <cell r="D20674" t="str">
            <v>SKIATHOS FUNDO DE INVESTIMENTO MULTIMERCADO CP IE</v>
          </cell>
          <cell r="E20674" t="str">
            <v>JULIUS BAER FAMILY OFFICE BRASIL GESTAO DE PATRIMONIO LTDA</v>
          </cell>
        </row>
        <row r="20675">
          <cell r="B20675">
            <v>81835</v>
          </cell>
          <cell r="C20675" t="str">
            <v>SKIATHOS FUNDO DE INVESTIMENTO MULTIMERCADO CP IE</v>
          </cell>
          <cell r="D20675" t="str">
            <v>SKIATHOS FUNDO DE INVESTIMENTO MULTIMERCADO CP IE</v>
          </cell>
          <cell r="E20675" t="str">
            <v>JULIUS BAER FAMILY OFFICE BRASIL GESTAO DE PATRIMONIO LTDA</v>
          </cell>
        </row>
        <row r="20676">
          <cell r="B20676">
            <v>81837</v>
          </cell>
          <cell r="C20676" t="str">
            <v>LEGGERO FI EM DIREITOS CREDITORIOS NAO PADRONIZADO</v>
          </cell>
          <cell r="D20676" t="str">
            <v>LEGGERO FI EM DIREITOS CREDITORIOS NAO PADRONIZADO</v>
          </cell>
          <cell r="E20676" t="str">
            <v>WNT GESTORA DE RECURSOS LTDA</v>
          </cell>
        </row>
        <row r="20677">
          <cell r="B20677">
            <v>81837</v>
          </cell>
          <cell r="C20677" t="str">
            <v>LEGGERO FI EM DIREITOS CREDITORIOS NAO PADRONIZADO</v>
          </cell>
          <cell r="D20677" t="str">
            <v>LEGGERO FI EM DIREITOS CREDITORIOS NAO PADRONIZADO</v>
          </cell>
          <cell r="E20677" t="str">
            <v>WNT GESTORA DE RECURSOS LTDA</v>
          </cell>
        </row>
        <row r="20678">
          <cell r="B20678">
            <v>81838</v>
          </cell>
          <cell r="C20678" t="str">
            <v>SUNSHINE FUNDO DE INVESTIMENTO EM ACOES IE BDR NIVEL I</v>
          </cell>
          <cell r="D20678" t="str">
            <v>SUNSHINE FUNDO DE INVESTIMENTO EM ACOES IE BDR NIVEL I</v>
          </cell>
          <cell r="E20678" t="str">
            <v>JULIUS BAER FAMILY OFFICE BRASIL GESTAO DE PATRIMONIO LTDA</v>
          </cell>
        </row>
        <row r="20679">
          <cell r="B20679">
            <v>81838</v>
          </cell>
          <cell r="C20679" t="str">
            <v>SUNSHINE FUNDO DE INVESTIMENTO EM ACOES IE BDR NIVEL I</v>
          </cell>
          <cell r="D20679" t="str">
            <v>SUNSHINE FUNDO DE INVESTIMENTO EM ACOES IE BDR NIVEL I</v>
          </cell>
          <cell r="E20679" t="str">
            <v>JULIUS BAER FAMILY OFFICE BRASIL GESTAO DE PATRIMONIO LTDA</v>
          </cell>
        </row>
        <row r="20680">
          <cell r="B20680">
            <v>81841</v>
          </cell>
          <cell r="C20680" t="str">
            <v>BLUEFIN EUROPE LLP</v>
          </cell>
          <cell r="D20680" t="str">
            <v>BLUEFIN EUROPE LLP</v>
          </cell>
          <cell r="E20680" t="str">
            <v>BLUEFIN EUROPE LLP</v>
          </cell>
        </row>
        <row r="20681">
          <cell r="B20681">
            <v>81841</v>
          </cell>
          <cell r="C20681" t="str">
            <v>BLUEFIN EUROPE LLP</v>
          </cell>
          <cell r="D20681" t="str">
            <v>BLUEFIN EUROPE LLP</v>
          </cell>
          <cell r="E20681" t="str">
            <v>BLUEFIN EUROPE LLP</v>
          </cell>
        </row>
        <row r="20682">
          <cell r="B20682">
            <v>81842</v>
          </cell>
          <cell r="C20682" t="str">
            <v>BGC LIQUIDEZ DTVM LTDA</v>
          </cell>
          <cell r="D20682" t="str">
            <v>BGC LIQUIDEZ DTVM LTDA</v>
          </cell>
          <cell r="E20682" t="str">
            <v>BGC LIQUIDEZ DTVM LTDA</v>
          </cell>
        </row>
        <row r="20683">
          <cell r="B20683">
            <v>81842</v>
          </cell>
          <cell r="C20683" t="str">
            <v>BGC LIQUIDEZ DTVM LTDA</v>
          </cell>
          <cell r="D20683" t="str">
            <v>BGC LIQUIDEZ DTVM LTDA</v>
          </cell>
          <cell r="E20683" t="str">
            <v>BGC LIQUIDEZ DTVM LTDA</v>
          </cell>
        </row>
        <row r="20684">
          <cell r="B20684">
            <v>1455</v>
          </cell>
          <cell r="C20684" t="str">
            <v>BGC LIQUIDEZ DTVM LTDA</v>
          </cell>
          <cell r="D20684" t="str">
            <v>BGC LIQUIDEZ DTVM LTDA</v>
          </cell>
          <cell r="E20684" t="str">
            <v>BGC LIQUIDEZ DTVM LTDA</v>
          </cell>
        </row>
        <row r="20685">
          <cell r="B20685">
            <v>81847</v>
          </cell>
          <cell r="C20685" t="str">
            <v>MACQUARIE BANK LIMITED - SANTANDER</v>
          </cell>
          <cell r="D20685" t="str">
            <v>MACQUARIE BANK LIMITED - SANTANDER</v>
          </cell>
          <cell r="E20685" t="str">
            <v>MACQUARIE BANK LIMITED</v>
          </cell>
        </row>
        <row r="20686">
          <cell r="B20686">
            <v>81852</v>
          </cell>
          <cell r="C20686" t="str">
            <v>PLANO EXECUTIVO FEDERAL</v>
          </cell>
          <cell r="D20686" t="str">
            <v>PLANO EXECUTIVO FEDERAL</v>
          </cell>
          <cell r="E20686" t="str">
            <v>FUNPRESP EXE - FUND DE PREV COMPLEMENTAR DO SERV PUBLICO FED</v>
          </cell>
        </row>
        <row r="20687">
          <cell r="B20687">
            <v>81853</v>
          </cell>
          <cell r="C20687" t="str">
            <v>PLANO DE BENEFICIOS DO PODER LEGISLATIVO FEDERAL</v>
          </cell>
          <cell r="D20687" t="str">
            <v>PLANO DE BENEFICIOS DO PODER LEGISLATIVO FEDERAL</v>
          </cell>
          <cell r="E20687" t="str">
            <v>FUNPRESP EXE - FUND DE PREV COMPLEMENTAR DO SERV PUBLICO FED</v>
          </cell>
        </row>
        <row r="20688">
          <cell r="B20688">
            <v>81854</v>
          </cell>
          <cell r="C20688" t="str">
            <v>JBFO RAIZ III FIC DE FIM CP IE</v>
          </cell>
          <cell r="D20688" t="str">
            <v>JBFO RAIZ III FIC DE FIM CP IE</v>
          </cell>
          <cell r="E20688" t="str">
            <v>JULIUS BAER FAMILY OFFICE BRASIL GESTAO DE PATRIMONIO LTDA</v>
          </cell>
        </row>
        <row r="20689">
          <cell r="B20689">
            <v>81854</v>
          </cell>
          <cell r="C20689" t="str">
            <v>JBFO RAIZ III FIC DE FIM CP IE</v>
          </cell>
          <cell r="D20689" t="str">
            <v>JBFO RAIZ III FIC DE FIM CP IE</v>
          </cell>
          <cell r="E20689" t="str">
            <v>JULIUS BAER FAMILY OFFICE BRASIL GESTAO DE PATRIMONIO LTDA</v>
          </cell>
        </row>
        <row r="20690">
          <cell r="B20690">
            <v>81855</v>
          </cell>
          <cell r="C20690" t="str">
            <v>GRATIDAO ICATU QUALIFICADO PREVIDENCIARIO FIM CP</v>
          </cell>
          <cell r="D20690" t="str">
            <v>GRATIDAO ICATU QUALIFICADO PREVIDENCIARIO FIM CP</v>
          </cell>
          <cell r="E20690" t="str">
            <v>JULIUS BAER FAMILY OFFICE BRASIL GESTAO DE PATRIMONIO LTDA</v>
          </cell>
        </row>
        <row r="20691">
          <cell r="B20691">
            <v>81855</v>
          </cell>
          <cell r="C20691" t="str">
            <v>GRATIDAO ICATU QUALIFICADO PREVIDENCIARIO FIM CP</v>
          </cell>
          <cell r="D20691" t="str">
            <v>GRATIDAO ICATU QUALIFICADO PREVIDENCIARIO FIM CP</v>
          </cell>
          <cell r="E20691" t="str">
            <v>JULIUS BAER FAMILY OFFICE BRASIL GESTAO DE PATRIMONIO LTDA</v>
          </cell>
        </row>
        <row r="20692">
          <cell r="B20692">
            <v>81856</v>
          </cell>
          <cell r="C20692" t="str">
            <v>FUTURE DEBENTURES INCENTIVADAS FII EM INFRAESTRUTURA RF</v>
          </cell>
          <cell r="D20692" t="str">
            <v>FUTURE DEBENTURES INCENTIVADAS FII EM INFRAESTRUTURA RF</v>
          </cell>
          <cell r="E20692" t="str">
            <v>JULIUS BAER FAMILY OFFICE BRASIL GESTAO DE PATRIMONIO LTDA</v>
          </cell>
        </row>
        <row r="20693">
          <cell r="B20693">
            <v>81856</v>
          </cell>
          <cell r="C20693" t="str">
            <v>FUTURE DEBENTURES INCENTIVADAS FII EM INFRAESTRUTURA RF</v>
          </cell>
          <cell r="D20693" t="str">
            <v>FUTURE DEBENTURES INCENTIVADAS FII EM INFRAESTRUTURA RF</v>
          </cell>
          <cell r="E20693" t="str">
            <v>JULIUS BAER FAMILY OFFICE BRASIL GESTAO DE PATRIMONIO LTDA</v>
          </cell>
        </row>
        <row r="20694">
          <cell r="B20694">
            <v>81857</v>
          </cell>
          <cell r="C20694" t="str">
            <v>MOS GESTAO DE INVESTIMENTOS LTDA</v>
          </cell>
          <cell r="D20694" t="str">
            <v>MOS GESTAO DE INVESTIMENTOS LTDA</v>
          </cell>
          <cell r="E20694" t="str">
            <v>MOS GESTAO DE INVESTIMENTOS LTDA</v>
          </cell>
        </row>
        <row r="20695">
          <cell r="B20695">
            <v>81857</v>
          </cell>
          <cell r="C20695" t="str">
            <v>MOS GESTAO DE INVESTIMENTOS LTDA</v>
          </cell>
          <cell r="D20695" t="str">
            <v>MOS GESTAO DE INVESTIMENTOS LTDA</v>
          </cell>
          <cell r="E20695" t="str">
            <v>MOS GESTAO DE INVESTIMENTOS LTDA</v>
          </cell>
        </row>
        <row r="20696">
          <cell r="B20696">
            <v>81858</v>
          </cell>
          <cell r="C20696" t="str">
            <v>SAFRA BOLSA PLUS MASTER FIA BDR-NÃVEL I</v>
          </cell>
          <cell r="D20696" t="str">
            <v>SAFRA BOLSA PLUS MASTER FIA BDR-NÃVEL I</v>
          </cell>
          <cell r="E20696" t="str">
            <v>EMERALD GESTAO DE INVESTIMENTOS LTDA</v>
          </cell>
        </row>
        <row r="20697">
          <cell r="B20697">
            <v>81858</v>
          </cell>
          <cell r="C20697" t="str">
            <v>SAFRA BOLSA PLUS MASTER FIA BDR-NÃVEL I</v>
          </cell>
          <cell r="D20697" t="str">
            <v>SAFRA BOLSA PLUS MASTER FIA BDR-NÃVEL I</v>
          </cell>
          <cell r="E20697" t="str">
            <v>EMERALD GESTAO DE INVESTIMENTOS LTDA</v>
          </cell>
        </row>
        <row r="20698">
          <cell r="B20698">
            <v>81859</v>
          </cell>
          <cell r="C20698" t="str">
            <v>SAFRA IBOVESPA ALOCACAO MASTER FIA</v>
          </cell>
          <cell r="D20698" t="str">
            <v>SAFRA IBOVESPA ALOCACAO MASTER FIA</v>
          </cell>
          <cell r="E20698" t="str">
            <v>EMERALD GESTAO DE INVESTIMENTOS LTDA</v>
          </cell>
        </row>
        <row r="20699">
          <cell r="B20699">
            <v>81860</v>
          </cell>
          <cell r="C20699" t="str">
            <v>EMPIRICUS FOF PREVIDÃŠNCIA CONSERVADOR ICATU FI RENDA FIXA</v>
          </cell>
          <cell r="D20699" t="str">
            <v>EMPIRICUS FOF PREVIDÃŠNCIA CONSERVADOR ICATU FI RENDA FIXA</v>
          </cell>
          <cell r="E20699" t="str">
            <v>EMPIRICUS GESTAO DE RECURSOS LTDA</v>
          </cell>
        </row>
        <row r="20700">
          <cell r="B20700">
            <v>81860</v>
          </cell>
          <cell r="C20700" t="str">
            <v>EMPIRICUS FOF PREVIDÃŠNCIA CONSERVADOR ICATU FI RENDA FIXA</v>
          </cell>
          <cell r="D20700" t="str">
            <v>EMPIRICUS FOF PREVIDÃŠNCIA CONSERVADOR ICATU FI RENDA FIXA</v>
          </cell>
          <cell r="E20700" t="str">
            <v>EMPIRICUS GESTAO DE RECURSOS LTDA</v>
          </cell>
        </row>
        <row r="20701">
          <cell r="B20701">
            <v>81862</v>
          </cell>
          <cell r="C20701" t="str">
            <v>SAFRA CARTEIRA PLUS FUNDO DE INVESTIMENTO MULTIMERCADO</v>
          </cell>
          <cell r="D20701" t="str">
            <v>SAFRA CARTEIRA PLUS FUNDO DE INVESTIMENTO MULTIMERCADO</v>
          </cell>
          <cell r="E20701" t="str">
            <v>EMERALD GESTAO DE INVESTIMENTOS LTDA</v>
          </cell>
        </row>
        <row r="20702">
          <cell r="B20702">
            <v>81862</v>
          </cell>
          <cell r="C20702" t="str">
            <v>SAFRA CARTEIRA PLUS FUNDO DE INVESTIMENTO MULTIMERCADO</v>
          </cell>
          <cell r="D20702" t="str">
            <v>SAFRA CARTEIRA PLUS FUNDO DE INVESTIMENTO MULTIMERCADO</v>
          </cell>
          <cell r="E20702" t="str">
            <v>EMERALD GESTAO DE INVESTIMENTOS LTDA</v>
          </cell>
        </row>
        <row r="20703">
          <cell r="B20703">
            <v>81863</v>
          </cell>
          <cell r="C20703" t="str">
            <v>SAFRA CONSUMO AMERICANO REAIS PB FIA BDR-NÃVEL I</v>
          </cell>
          <cell r="D20703" t="str">
            <v>SAFRA CONSUMO AMERICANO REAIS PB FIA BDR-NÃVEL I</v>
          </cell>
          <cell r="E20703" t="str">
            <v>EMERALD GESTAO DE INVESTIMENTOS LTDA</v>
          </cell>
        </row>
        <row r="20704">
          <cell r="B20704">
            <v>81865</v>
          </cell>
          <cell r="C20704" t="str">
            <v>BRADESCO FUNDO DE INVESTIMENTO EM AÃ‡Ã•ES MÃSTER LONG ONLY</v>
          </cell>
          <cell r="D20704" t="str">
            <v>BRADESCO FUNDO DE INVESTIMENTO EM AÃ‡Ã•ES MÃSTER LONG ONLY</v>
          </cell>
          <cell r="E20704" t="str">
            <v>BRAM - BRADESCO ASSET MANAGEMENT S/A DTVM</v>
          </cell>
        </row>
        <row r="20705">
          <cell r="B20705">
            <v>81866</v>
          </cell>
          <cell r="C20705" t="str">
            <v>BRADESCO FUNDO DE INVESTIMENTO EM AÃ‡Ã•ES MÃSTER PREVIDÃŠNCIA I</v>
          </cell>
          <cell r="D20705" t="str">
            <v>BRADESCO FUNDO DE INVESTIMENTO EM AÃ‡Ã•ES MÃSTER PREVIDÃŠNCIA I</v>
          </cell>
          <cell r="E20705" t="str">
            <v>BRAM - BRADESCO ASSET MANAGEMENT S/A DTVM</v>
          </cell>
        </row>
        <row r="20706">
          <cell r="B20706">
            <v>81868</v>
          </cell>
          <cell r="C20706" t="str">
            <v>BRAM FUNDO DE INVESTIMENTO EM AÃ‡Ã•ES INSTITUCIONAL</v>
          </cell>
          <cell r="D20706" t="str">
            <v>BRAM FUNDO DE INVESTIMENTO EM AÃ‡Ã•ES INSTITUCIONAL</v>
          </cell>
          <cell r="E20706" t="str">
            <v>BRAM - BRADESCO ASSET MANAGEMENT S/A DTVM</v>
          </cell>
        </row>
        <row r="20707">
          <cell r="B20707">
            <v>81869</v>
          </cell>
          <cell r="C20707" t="str">
            <v>B-INDEX MORNINGSTAR BRASIL MOMENTO FUNDO DE INDICE</v>
          </cell>
          <cell r="D20707" t="str">
            <v>B-INDEX MORNINGSTAR BRASIL MOMENTO FUNDO DE INDICE</v>
          </cell>
          <cell r="E20707" t="str">
            <v>BRAM - BRADESCO ASSET MANAGEMENT S/A DTVM</v>
          </cell>
        </row>
        <row r="20708">
          <cell r="B20708">
            <v>81871</v>
          </cell>
          <cell r="C20708" t="str">
            <v>B-INDEX MORNINGSTAR BRASIL PESOS IGUAIS FUNDO DE ÃNDICE</v>
          </cell>
          <cell r="D20708" t="str">
            <v>B-INDEX MORNINGSTAR BRASIL PESOS IGUAIS FUNDO DE ÃNDICE</v>
          </cell>
          <cell r="E20708" t="str">
            <v>BRAM - BRADESCO ASSET MANAGEMENT S/A DTVM</v>
          </cell>
        </row>
        <row r="20709">
          <cell r="B20709">
            <v>81872</v>
          </cell>
          <cell r="C20709" t="str">
            <v>B-INDEX MORNINGSTAR SETORES CICLICOS BRASIL FUNDO DE INDICE</v>
          </cell>
          <cell r="D20709" t="str">
            <v>B-INDEX MORNINGSTAR SETORES CICLICOS BRASIL FUNDO DE INDICE</v>
          </cell>
          <cell r="E20709" t="str">
            <v>BRAM - BRADESCO ASSET MANAGEMENT S/A DTVM</v>
          </cell>
        </row>
        <row r="20710">
          <cell r="B20710">
            <v>81873</v>
          </cell>
          <cell r="C20710" t="str">
            <v>B-INDEX MORNINGSTAR SETORES DEFENSIVOS BRASIL FI</v>
          </cell>
          <cell r="D20710" t="str">
            <v>B-INDEX MORNINGSTAR SETORES DEFENSIVOS BRASIL FI</v>
          </cell>
          <cell r="E20710" t="str">
            <v>BRAM - BRADESCO ASSET MANAGEMENT S/A DTVM</v>
          </cell>
        </row>
        <row r="20711">
          <cell r="B20711">
            <v>81875</v>
          </cell>
          <cell r="C20711" t="str">
            <v>FORTRESS FIM CP</v>
          </cell>
          <cell r="D20711" t="str">
            <v>FORTRESS FIM CP</v>
          </cell>
          <cell r="E20711" t="str">
            <v>WNT GESTORA DE RECURSOS LTDA</v>
          </cell>
        </row>
        <row r="20712">
          <cell r="B20712">
            <v>81875</v>
          </cell>
          <cell r="C20712" t="str">
            <v>FORTRESS FIM CP</v>
          </cell>
          <cell r="D20712" t="str">
            <v>FORTRESS FIM CP</v>
          </cell>
          <cell r="E20712" t="str">
            <v>WNT GESTORA DE RECURSOS LTDA</v>
          </cell>
        </row>
        <row r="20713">
          <cell r="B20713">
            <v>81876</v>
          </cell>
          <cell r="C20713" t="str">
            <v>STK CAPITAL GESTORA DE RECURSOS LTDA</v>
          </cell>
          <cell r="D20713" t="str">
            <v>STK CAPITAL GESTORA DE RECURSOS LTDA</v>
          </cell>
          <cell r="E20713" t="str">
            <v>STK CAPITAL GESTORA DE RECURSOS LTDA</v>
          </cell>
        </row>
        <row r="20714">
          <cell r="B20714">
            <v>81881</v>
          </cell>
          <cell r="C20714" t="str">
            <v>ITAÃš FLEXPREV VÃ‰RTICE B GERAL RF FI</v>
          </cell>
          <cell r="D20714" t="str">
            <v>ITAÃš FLEXPREV VÃ‰RTICE B GERAL RF FI</v>
          </cell>
          <cell r="E20714" t="str">
            <v>ITAU UNIBANCO ASSET - TACO</v>
          </cell>
        </row>
        <row r="20715">
          <cell r="B20715">
            <v>81882</v>
          </cell>
          <cell r="C20715" t="str">
            <v>ITAÃš FLEXPREV VÃ‰RTICE IMAB5 MAIS RENDA FIXA FI</v>
          </cell>
          <cell r="D20715" t="str">
            <v>ITAÃš FLEXPREV VÃ‰RTICE IMAB5 MAIS RENDA FIXA FI</v>
          </cell>
          <cell r="E20715" t="str">
            <v>ITAU UNIBANCO ASSET - TACO</v>
          </cell>
        </row>
        <row r="20716">
          <cell r="B20716">
            <v>81883</v>
          </cell>
          <cell r="C20716" t="str">
            <v>ITAÃš RENDA FIXA IMA-B FI</v>
          </cell>
          <cell r="D20716" t="str">
            <v>ITAÃš RENDA FIXA IMA-B FI</v>
          </cell>
          <cell r="E20716" t="str">
            <v>ITAU UNIBANCO ASSET - TACO</v>
          </cell>
        </row>
        <row r="20717">
          <cell r="B20717">
            <v>81884</v>
          </cell>
          <cell r="C20717" t="str">
            <v>ITAU VERSO K RF FI</v>
          </cell>
          <cell r="D20717" t="str">
            <v>ITAU VERSO K RF FI</v>
          </cell>
          <cell r="E20717" t="str">
            <v>ITAU UNIBANCO ASSET - TACO</v>
          </cell>
        </row>
        <row r="20718">
          <cell r="B20718">
            <v>81885</v>
          </cell>
          <cell r="C20718" t="str">
            <v>ELETROS ITAÃšNA FUNDO DE INVESTIMENTO EM AÃ‡Ã•ES</v>
          </cell>
          <cell r="D20718" t="str">
            <v>ELETROS ITAÃšNA FUNDO DE INVESTIMENTO EM AÃ‡Ã•ES</v>
          </cell>
          <cell r="E20718" t="str">
            <v>FUNDACAO ELETROBRAS DE SEGURIDADE SOCIAL ELETROS</v>
          </cell>
        </row>
        <row r="20719">
          <cell r="B20719">
            <v>81886</v>
          </cell>
          <cell r="C20719" t="str">
            <v>INST PREV SOCIAL DOS SERV PUBL MUNIC DE ROLIM DE MOURA</v>
          </cell>
          <cell r="D20719" t="str">
            <v>INST PREV SOCIAL DOS SERV PUBL MUNIC DE ROLIM DE MOURA</v>
          </cell>
          <cell r="E20719" t="str">
            <v>RPPS ROLIM DE MOURA</v>
          </cell>
        </row>
        <row r="20720">
          <cell r="B20720">
            <v>81886</v>
          </cell>
          <cell r="C20720" t="str">
            <v>INST PREV SOCIAL DOS SERV PUBL MUNIC DE ROLIM DE MOURA</v>
          </cell>
          <cell r="D20720" t="str">
            <v>INST PREV SOCIAL DOS SERV PUBL MUNIC DE ROLIM DE MOURA</v>
          </cell>
          <cell r="E20720" t="str">
            <v>RPPS ROLIM DE MOURA</v>
          </cell>
        </row>
        <row r="20721">
          <cell r="B20721">
            <v>81887</v>
          </cell>
          <cell r="C20721" t="str">
            <v>PLANO DE BENEFICIOS I</v>
          </cell>
          <cell r="D20721" t="str">
            <v>PLANO DE BENEFICIOS I</v>
          </cell>
          <cell r="E20721" t="str">
            <v>FUNDACAO BANRISUL DE SEGURIDADE SOCIAL</v>
          </cell>
        </row>
        <row r="20722">
          <cell r="B20722">
            <v>81888</v>
          </cell>
          <cell r="C20722" t="str">
            <v>BRAZA BANK S/A BANCO DE CAMBIO</v>
          </cell>
          <cell r="D20722" t="str">
            <v>BRAZA BANK S/A BANCO DE CAMBIO</v>
          </cell>
          <cell r="E20722" t="str">
            <v>BRAZA BANK S/A BANCO DE CAMBIO</v>
          </cell>
        </row>
        <row r="20723">
          <cell r="B20723">
            <v>81888</v>
          </cell>
          <cell r="C20723" t="str">
            <v>BRAZA BANK S/A BANCO DE CAMBIO</v>
          </cell>
          <cell r="D20723" t="str">
            <v>BRAZA BANK S/A BANCO DE CAMBIO</v>
          </cell>
          <cell r="E20723" t="str">
            <v>BRAZA BANK S/A BANCO DE CAMBIO</v>
          </cell>
        </row>
        <row r="20724">
          <cell r="B20724">
            <v>81889</v>
          </cell>
          <cell r="C20724" t="str">
            <v>VECTOR TRADING LLC</v>
          </cell>
          <cell r="D20724" t="str">
            <v>VECTOR TRADING LLC</v>
          </cell>
          <cell r="E20724" t="str">
            <v>VECTOR TRADING LLC</v>
          </cell>
        </row>
        <row r="20725">
          <cell r="B20725">
            <v>81890</v>
          </cell>
          <cell r="C20725" t="str">
            <v>VECTOR TRADING LLC</v>
          </cell>
          <cell r="D20725" t="str">
            <v>VECTOR TRADING LLC</v>
          </cell>
          <cell r="E20725" t="str">
            <v>VECTOR TRADING LLC</v>
          </cell>
        </row>
        <row r="20726">
          <cell r="B20726">
            <v>81891</v>
          </cell>
          <cell r="C20726" t="str">
            <v>CS EVOLUTION MACRO STRATEGIES MASTER FIM CP</v>
          </cell>
          <cell r="D20726" t="str">
            <v>CS EVOLUTION MACRO STRATEGIES MASTER FIM CP</v>
          </cell>
          <cell r="E20726" t="str">
            <v>CREDIT SUISSE HEDGING-GRIFFO WEALTH MANAGEMENT S/A</v>
          </cell>
        </row>
        <row r="20727">
          <cell r="B20727">
            <v>81895</v>
          </cell>
          <cell r="C20727" t="str">
            <v>ITAU FLEXPREV MASTER GD MULTIMERCADO FUNDO DE INVESTIMENTO</v>
          </cell>
          <cell r="D20727" t="str">
            <v>ITAU FLEXPREV MASTER GD MULTIMERCADO FUNDO DE INVESTIMENTO</v>
          </cell>
          <cell r="E20727" t="str">
            <v>ITAU UNIBANCO ASSET - TACO</v>
          </cell>
        </row>
        <row r="20728">
          <cell r="B20728">
            <v>81896</v>
          </cell>
          <cell r="C20728" t="str">
            <v>ITAU MASTER GLOBAL DINAMICO ULTRA MULTIMERCADO FUNDO DE INVE</v>
          </cell>
          <cell r="D20728" t="str">
            <v>ITAU MASTER GLOBAL DINAMICO ULTRA MULTIMERCADO FUNDO DE INVE</v>
          </cell>
          <cell r="E20728" t="str">
            <v>ITAU UNIBANCO ASSET - TACO</v>
          </cell>
        </row>
        <row r="20729">
          <cell r="B20729">
            <v>81897</v>
          </cell>
          <cell r="C20729" t="str">
            <v>ITAU MASTER GLOBAL DINAMICO MULTIMERCADO FI</v>
          </cell>
          <cell r="D20729" t="str">
            <v>ITAU MASTER GLOBAL DINAMICO MULTIMERCADO FI</v>
          </cell>
          <cell r="E20729" t="str">
            <v>ITAU UNIBANCO ASSET - TACO</v>
          </cell>
        </row>
        <row r="20730">
          <cell r="B20730">
            <v>81897</v>
          </cell>
          <cell r="C20730" t="str">
            <v>ITAU MASTER GLOBAL DINAMICO MULTIMERCADO FI</v>
          </cell>
          <cell r="D20730" t="str">
            <v>ITAU MASTER GLOBAL DINAMICO MULTIMERCADO FI</v>
          </cell>
          <cell r="E20730" t="str">
            <v>ITAU UNIBANCO ASSET - TACO</v>
          </cell>
        </row>
        <row r="20731">
          <cell r="B20731">
            <v>81898</v>
          </cell>
          <cell r="C20731" t="str">
            <v>FUNDO FORTALEZA DE INVESTIMENTO IMOBILIÃRIO</v>
          </cell>
          <cell r="D20731" t="str">
            <v>FUNDO FORTALEZA DE INVESTIMENTO IMOBILIÃRIO</v>
          </cell>
          <cell r="E20731" t="str">
            <v>FUNDO FORTALEZA DE INVESTIMENTO IMOBILIÃRIO</v>
          </cell>
        </row>
        <row r="20732">
          <cell r="B20732">
            <v>81901</v>
          </cell>
          <cell r="C20732" t="str">
            <v>SAFRA AVANT-GARDE MÃSTER FIC FI MULTIMERCADO CRÃ‰DITO PRIVADO</v>
          </cell>
          <cell r="D20732" t="str">
            <v>SAFRA AVANT-GARDE MÃSTER FIC FI MULTIMERCADO CRÃ‰DITO PRIVADO</v>
          </cell>
          <cell r="E20732" t="str">
            <v>SAFRA ASSET MANAGEMENT LTDA</v>
          </cell>
        </row>
        <row r="20733">
          <cell r="B20733">
            <v>81901</v>
          </cell>
          <cell r="C20733" t="str">
            <v>SAFRA AVANT-GARDE MÃSTER FIC FI MULTIMERCADO CRÃ‰DITO PRIVADO</v>
          </cell>
          <cell r="D20733" t="str">
            <v>SAFRA AVANT-GARDE MÃSTER FIC FI MULTIMERCADO CRÃ‰DITO PRIVADO</v>
          </cell>
          <cell r="E20733" t="str">
            <v>SAFRA ASSET MANAGEMENT LTDA</v>
          </cell>
        </row>
        <row r="20734">
          <cell r="B20734">
            <v>81902</v>
          </cell>
          <cell r="C20734" t="str">
            <v>SAFRA AGILITÃ‰ FUNDO DE INVESTIMENTO RENDA FIXA CRÃ‰DITO PRIVA</v>
          </cell>
          <cell r="D20734" t="str">
            <v>SAFRA AGILITÃ‰ FUNDO DE INVESTIMENTO RENDA FIXA CRÃ‰DITO PRIVA</v>
          </cell>
          <cell r="E20734" t="str">
            <v>SAFRA ASSET MANAGEMENT LTDA</v>
          </cell>
        </row>
        <row r="20735">
          <cell r="B20735">
            <v>81903</v>
          </cell>
          <cell r="C20735" t="str">
            <v>LEME ICATU PREVIDENCIÃRIO QUALIFICADO FUNDO DE INVESTIMENTO</v>
          </cell>
          <cell r="D20735" t="str">
            <v>LEME ICATU PREVIDENCIÃRIO QUALIFICADO FUNDO DE INVESTIMENTO</v>
          </cell>
          <cell r="E20735" t="str">
            <v>SAFRA ASSET MANAGEMENT LTDA</v>
          </cell>
        </row>
        <row r="20736">
          <cell r="B20736">
            <v>81903</v>
          </cell>
          <cell r="C20736" t="str">
            <v>LEME ICATU PREVIDENCIÃRIO QUALIFICADO FUNDO DE INVESTIMENTO</v>
          </cell>
          <cell r="D20736" t="str">
            <v>LEME ICATU PREVIDENCIÃRIO QUALIFICADO FUNDO DE INVESTIMENTO</v>
          </cell>
          <cell r="E20736" t="str">
            <v>SAFRA ASSET MANAGEMENT LTDA</v>
          </cell>
        </row>
        <row r="20737">
          <cell r="B20737">
            <v>81904</v>
          </cell>
          <cell r="C20737" t="str">
            <v>SAFE ICATU QUALIFICADO PREVIDENCIÃRIO FUNDO DE INVESTIMENTO</v>
          </cell>
          <cell r="D20737" t="str">
            <v>SAFE ICATU QUALIFICADO PREVIDENCIÃRIO FUNDO DE INVESTIMENTO</v>
          </cell>
          <cell r="E20737" t="str">
            <v>SAFRA ASSET MANAGEMENT LTDA</v>
          </cell>
        </row>
        <row r="20738">
          <cell r="B20738">
            <v>81905</v>
          </cell>
          <cell r="C20738" t="str">
            <v>PRIVATE ADVANTAGE FI EM COTAS DE FIM CP</v>
          </cell>
          <cell r="D20738" t="str">
            <v>PRIVATE ADVANTAGE FI EM COTAS DE FIM CP</v>
          </cell>
          <cell r="E20738" t="str">
            <v>SAFRA ASSET MANAGEMENT LTDA</v>
          </cell>
        </row>
        <row r="20739">
          <cell r="B20739">
            <v>81906</v>
          </cell>
          <cell r="C20739" t="str">
            <v>SAFRA DEBÃŠNTURES INCENT CRÃ‰D PRIV MASTER II FII EM INF RF</v>
          </cell>
          <cell r="D20739" t="str">
            <v>SAFRA DEBÃŠNTURES INCENT CRÃ‰D PRIV MASTER II FII EM INF RF</v>
          </cell>
          <cell r="E20739" t="str">
            <v>SAFRA ASSET MANAGEMENT LTDA</v>
          </cell>
        </row>
        <row r="20740">
          <cell r="B20740">
            <v>81907</v>
          </cell>
          <cell r="C20740" t="str">
            <v>BONANZA FUNDO DE INVESTIMENTO MULTIMERCADO CP IE</v>
          </cell>
          <cell r="D20740" t="str">
            <v>BONANZA FUNDO DE INVESTIMENTO MULTIMERCADO CP IE</v>
          </cell>
          <cell r="E20740" t="str">
            <v>JULIUS BAER FAMILY OFFICE BRASIL GESTAO DE PATRIMONIO LTDA</v>
          </cell>
        </row>
        <row r="20741">
          <cell r="B20741">
            <v>81907</v>
          </cell>
          <cell r="C20741" t="str">
            <v>BONANZA FUNDO DE INVESTIMENTO MULTIMERCADO CP IE</v>
          </cell>
          <cell r="D20741" t="str">
            <v>BONANZA FUNDO DE INVESTIMENTO MULTIMERCADO CP IE</v>
          </cell>
          <cell r="E20741" t="str">
            <v>JULIUS BAER FAMILY OFFICE BRASIL GESTAO DE PATRIMONIO LTDA</v>
          </cell>
        </row>
        <row r="20742">
          <cell r="B20742">
            <v>81908</v>
          </cell>
          <cell r="C20742" t="str">
            <v>SAFRA DEBÃŠNTURES INCENTIVADAS CRÃ‰DITO PRIVADO MASTER I FI MU</v>
          </cell>
          <cell r="D20742" t="str">
            <v>SAFRA DEBÃŠNTURES INCENTIVADAS CRÃ‰DITO PRIVADO MASTER I FI MU</v>
          </cell>
          <cell r="E20742" t="str">
            <v>SAFRA ASSET MANAGEMENT LTDA</v>
          </cell>
        </row>
        <row r="20743">
          <cell r="B20743">
            <v>81908</v>
          </cell>
          <cell r="C20743" t="str">
            <v>SAFRA DEBÃŠNTURES INCENTIVADAS CRÃ‰DITO PRIVADO MASTER I FI MU</v>
          </cell>
          <cell r="D20743" t="str">
            <v>SAFRA DEBÃŠNTURES INCENTIVADAS CRÃ‰DITO PRIVADO MASTER I FI MU</v>
          </cell>
          <cell r="E20743" t="str">
            <v>SAFRA ASSET MANAGEMENT LTDA</v>
          </cell>
        </row>
        <row r="20744">
          <cell r="B20744">
            <v>81909</v>
          </cell>
          <cell r="C20744" t="str">
            <v>AGUIA FIM INFRAESTRUTURA INCENTIVADO CREDITO PRIVADO</v>
          </cell>
          <cell r="D20744" t="str">
            <v>AGUIA FIM INFRAESTRUTURA INCENTIVADO CREDITO PRIVADO</v>
          </cell>
          <cell r="E20744" t="str">
            <v>SAFRA ASSET MANAGEMENT LTDA</v>
          </cell>
        </row>
        <row r="20745">
          <cell r="B20745">
            <v>81910</v>
          </cell>
          <cell r="C20745" t="str">
            <v>RAYON FIC FIM CP IE</v>
          </cell>
          <cell r="D20745" t="str">
            <v>RAYON FIC FIM CP IE</v>
          </cell>
          <cell r="E20745" t="str">
            <v>SAFRA ASSET MANAGEMENT LTDA</v>
          </cell>
        </row>
        <row r="20746">
          <cell r="B20746">
            <v>81910</v>
          </cell>
          <cell r="C20746" t="str">
            <v>RAYON FIC FIM CP IE</v>
          </cell>
          <cell r="D20746" t="str">
            <v>RAYON FIC FIM CP IE</v>
          </cell>
          <cell r="E20746" t="str">
            <v>SAFRA ASSET MANAGEMENT LTDA</v>
          </cell>
        </row>
        <row r="20747">
          <cell r="B20747">
            <v>81911</v>
          </cell>
          <cell r="C20747" t="str">
            <v>GAROUPA FIC DE FUNDOS DE INVESTIMENTO MULTIMERCADO CP IE</v>
          </cell>
          <cell r="D20747" t="str">
            <v>GAROUPA FIC DE FUNDOS DE INVESTIMENTO MULTIMERCADO CP IE</v>
          </cell>
          <cell r="E20747" t="str">
            <v>SAFRA ASSET MANAGEMENT LTDA</v>
          </cell>
        </row>
        <row r="20748">
          <cell r="B20748">
            <v>81912</v>
          </cell>
          <cell r="C20748" t="str">
            <v>PENSION FUNDO DE INVESTIMENTO RENDA FIXA CRÃ‰DITO PRIVADO</v>
          </cell>
          <cell r="D20748" t="str">
            <v>PENSION FUNDO DE INVESTIMENTO RENDA FIXA CRÃ‰DITO PRIVADO</v>
          </cell>
          <cell r="E20748" t="str">
            <v>SAFRA ASSET MANAGEMENT LTDA</v>
          </cell>
        </row>
        <row r="20749">
          <cell r="B20749">
            <v>81913</v>
          </cell>
          <cell r="C20749" t="str">
            <v>CRUISE PLUS FIC DE FIM CREDITO PRIVADO IE</v>
          </cell>
          <cell r="D20749" t="str">
            <v>CRUISE PLUS FIC DE FIM CREDITO PRIVADO IE</v>
          </cell>
          <cell r="E20749" t="str">
            <v>SAFRA ASSET MANAGEMENT LTDA</v>
          </cell>
        </row>
        <row r="20750">
          <cell r="B20750">
            <v>81913</v>
          </cell>
          <cell r="C20750" t="str">
            <v>CRUISE PLUS FIC DE FIM CREDITO PRIVADO IE</v>
          </cell>
          <cell r="D20750" t="str">
            <v>CRUISE PLUS FIC DE FIM CREDITO PRIVADO IE</v>
          </cell>
          <cell r="E20750" t="str">
            <v>SAFRA ASSET MANAGEMENT LTDA</v>
          </cell>
        </row>
        <row r="20751">
          <cell r="B20751">
            <v>81914</v>
          </cell>
          <cell r="C20751" t="str">
            <v>SAFRA PRIVATE PI FIC DE FIM</v>
          </cell>
          <cell r="D20751" t="str">
            <v>SAFRA PRIVATE PI FIC DE FIM</v>
          </cell>
          <cell r="E20751" t="str">
            <v>SAFRA ASSET MANAGEMENT LTDA</v>
          </cell>
        </row>
        <row r="20752">
          <cell r="B20752">
            <v>81914</v>
          </cell>
          <cell r="C20752" t="str">
            <v>SAFRA PRIVATE PI FIC DE FIM</v>
          </cell>
          <cell r="D20752" t="str">
            <v>SAFRA PRIVATE PI FIC DE FIM</v>
          </cell>
          <cell r="E20752" t="str">
            <v>SAFRA ASSET MANAGEMENT LTDA</v>
          </cell>
        </row>
        <row r="20753">
          <cell r="B20753">
            <v>81915</v>
          </cell>
          <cell r="C20753" t="str">
            <v>SAFRA EXCLUSIVITÃ‰ DEBÃŠNTURES INCENTIVADAS CRÃ‰DITO PRIVADO FI</v>
          </cell>
          <cell r="D20753" t="str">
            <v>SAFRA EXCLUSIVITÃ‰ DEBÃŠNTURES INCENTIVADAS CRÃ‰DITO PRIVADO FI</v>
          </cell>
          <cell r="E20753" t="str">
            <v>SAFRA ASSET MANAGEMENT LTDA</v>
          </cell>
        </row>
        <row r="20754">
          <cell r="B20754">
            <v>81916</v>
          </cell>
          <cell r="C20754" t="str">
            <v>SAFRA PREV ICATU FUNDO DE INVESTIMENTO RENDA FIXA CP</v>
          </cell>
          <cell r="D20754" t="str">
            <v>SAFRA PREV ICATU FUNDO DE INVESTIMENTO RENDA FIXA CP</v>
          </cell>
          <cell r="E20754" t="str">
            <v>SAFRA ASSET MANAGEMENT LTDA</v>
          </cell>
        </row>
        <row r="20755">
          <cell r="B20755">
            <v>81917</v>
          </cell>
          <cell r="C20755" t="str">
            <v>SAFRA DI MASTER FI RENDA FIXA REFERENCIADO DI LONGO PRAZO</v>
          </cell>
          <cell r="D20755" t="str">
            <v>SAFRA DI MASTER FI RENDA FIXA REFERENCIADO DI LONGO PRAZO</v>
          </cell>
          <cell r="E20755" t="str">
            <v>SAFRA ASSET MANAGEMENT LTDA</v>
          </cell>
        </row>
        <row r="20756">
          <cell r="B20756">
            <v>81918</v>
          </cell>
          <cell r="C20756" t="str">
            <v>CA INDOSUEZ FMP-FGTS VALE DO RIO DOCE</v>
          </cell>
          <cell r="D20756" t="str">
            <v>CA INDOSUEZ FMP-FGTS VALE DO RIO DOCE</v>
          </cell>
          <cell r="E20756" t="str">
            <v>SAFRA ASSET MANAGEMENT LTDA</v>
          </cell>
        </row>
        <row r="20757">
          <cell r="B20757">
            <v>81919</v>
          </cell>
          <cell r="C20757" t="str">
            <v>SAFRA INFRA SELECTION II RF FII EM INFRAESTRUTURA</v>
          </cell>
          <cell r="D20757" t="str">
            <v>SAFRA INFRA SELECTION II RF FII EM INFRAESTRUTURA</v>
          </cell>
          <cell r="E20757" t="str">
            <v>SAFRA ASSET MANAGEMENT LTDA</v>
          </cell>
        </row>
        <row r="20758">
          <cell r="B20758">
            <v>81920</v>
          </cell>
          <cell r="C20758" t="str">
            <v>ANAMA FIC FI MULTIMERCADO CREDITO PRIVADO IE</v>
          </cell>
          <cell r="D20758" t="str">
            <v>ANAMA FIC FI MULTIMERCADO CREDITO PRIVADO IE</v>
          </cell>
          <cell r="E20758" t="str">
            <v>SAFRA ASSET MANAGEMENT LTDA</v>
          </cell>
        </row>
        <row r="20759">
          <cell r="B20759">
            <v>81920</v>
          </cell>
          <cell r="C20759" t="str">
            <v>ANAMA FIC FI MULTIMERCADO CREDITO PRIVADO IE</v>
          </cell>
          <cell r="D20759" t="str">
            <v>ANAMA FIC FI MULTIMERCADO CREDITO PRIVADO IE</v>
          </cell>
          <cell r="E20759" t="str">
            <v>SAFRA ASSET MANAGEMENT LTDA</v>
          </cell>
        </row>
        <row r="20760">
          <cell r="B20760">
            <v>81921</v>
          </cell>
          <cell r="C20760" t="str">
            <v>SAFRA INFRA SELECTION RF FII EM INFRAESTRUTURA</v>
          </cell>
          <cell r="D20760" t="str">
            <v>SAFRA INFRA SELECTION RF FII EM INFRAESTRUTURA</v>
          </cell>
          <cell r="E20760" t="str">
            <v>SAFRA ASSET MANAGEMENT LTDA</v>
          </cell>
        </row>
        <row r="20761">
          <cell r="B20761">
            <v>81922</v>
          </cell>
          <cell r="C20761" t="str">
            <v>TIVIO CAPITAL DISTRIBUIDORA DE TITULOS E VALORES MOBILIARIOS</v>
          </cell>
          <cell r="D20761" t="str">
            <v>TIVIO CAPITAL DISTRIBUIDORA DE TITULOS E VALORES MOBILIARIOS</v>
          </cell>
          <cell r="E20761" t="str">
            <v>TIVIO CAPITAL DISTRIBUIDORA DE TITULOS E VALORES MOBILIARIOS</v>
          </cell>
        </row>
        <row r="20762">
          <cell r="B20762">
            <v>81922</v>
          </cell>
          <cell r="C20762" t="str">
            <v>TIVIO CAPITAL DISTRIBUIDORA DE TITULOS E VALORES MOBILIARIOS</v>
          </cell>
          <cell r="D20762" t="str">
            <v>TIVIO CAPITAL DISTRIBUIDORA DE TITULOS E VALORES MOBILIARIOS</v>
          </cell>
          <cell r="E20762" t="str">
            <v>TIVIO CAPITAL DISTRIBUIDORA DE TITULOS E VALORES MOBILIARIOS</v>
          </cell>
        </row>
        <row r="20763">
          <cell r="B20763">
            <v>81923</v>
          </cell>
          <cell r="C20763" t="str">
            <v>SAFRA AVANT-GARDE - FEEDER 01 - FIC FI MULTIMERCADO CRÃ‰DITO</v>
          </cell>
          <cell r="D20763" t="str">
            <v>SAFRA AVANT-GARDE - FEEDER 01 - FIC FI MULTIMERCADO CRÃ‰DITO</v>
          </cell>
          <cell r="E20763" t="str">
            <v>SAFRA ASSET MANAGEMENT LTDA</v>
          </cell>
        </row>
        <row r="20764">
          <cell r="B20764">
            <v>81923</v>
          </cell>
          <cell r="C20764" t="str">
            <v>SAFRA AVANT-GARDE - FEEDER 01 - FIC FI MULTIMERCADO CRÃ‰DITO</v>
          </cell>
          <cell r="D20764" t="str">
            <v>SAFRA AVANT-GARDE - FEEDER 01 - FIC FI MULTIMERCADO CRÃ‰DITO</v>
          </cell>
          <cell r="E20764" t="str">
            <v>SAFRA ASSET MANAGEMENT LTDA</v>
          </cell>
        </row>
        <row r="20765">
          <cell r="B20765">
            <v>81924</v>
          </cell>
          <cell r="C20765" t="str">
            <v>SAFRA PREV ZURICH FUNDO DE INVESTIMENTO RENDA FIXA CRÃ‰DITO P</v>
          </cell>
          <cell r="D20765" t="str">
            <v>SAFRA PREV ZURICH FUNDO DE INVESTIMENTO RENDA FIXA CRÃ‰DITO P</v>
          </cell>
          <cell r="E20765" t="str">
            <v>SAFRA ASSET MANAGEMENT LTDA</v>
          </cell>
        </row>
        <row r="20766">
          <cell r="B20766">
            <v>81924</v>
          </cell>
          <cell r="C20766" t="str">
            <v>SAFRA PREV ZURICH FUNDO DE INVESTIMENTO RENDA FIXA CRÃ‰DITO P</v>
          </cell>
          <cell r="D20766" t="str">
            <v>SAFRA PREV ZURICH FUNDO DE INVESTIMENTO RENDA FIXA CRÃ‰DITO P</v>
          </cell>
          <cell r="E20766" t="str">
            <v>SAFRA ASSET MANAGEMENT LTDA</v>
          </cell>
        </row>
        <row r="20767">
          <cell r="B20767">
            <v>81926</v>
          </cell>
          <cell r="C20767" t="str">
            <v>ITAU FLEXPREV MASTER GD MULTIMERCADO FUNDO DE INVESTIMENTO</v>
          </cell>
          <cell r="D20767" t="str">
            <v>ITAU FLEXPREV MASTER GD MULTIMERCADO FUNDO DE INVESTIMENTO</v>
          </cell>
          <cell r="E20767" t="str">
            <v>ITAU UNIBANCO ASSET - TACO</v>
          </cell>
        </row>
        <row r="20768">
          <cell r="B20768">
            <v>81927</v>
          </cell>
          <cell r="C20768" t="str">
            <v>ITAU MASTER GLOBAL DINAMICO MULTIMERCADO FI</v>
          </cell>
          <cell r="D20768" t="str">
            <v>ITAU MASTER GLOBAL DINAMICO MULTIMERCADO FI</v>
          </cell>
          <cell r="E20768" t="str">
            <v>ITAU UNIBANCO ASSET - TACO</v>
          </cell>
        </row>
        <row r="20769">
          <cell r="B20769">
            <v>81928</v>
          </cell>
          <cell r="C20769" t="str">
            <v>DIANA FIF MULTIMERCADO CP IE RL</v>
          </cell>
          <cell r="D20769" t="str">
            <v>DIANA FIF MULTIMERCADO CP IE RL</v>
          </cell>
          <cell r="E20769" t="str">
            <v>ITAU UNIBANCO ASSET - TACO</v>
          </cell>
        </row>
        <row r="20770">
          <cell r="B20770">
            <v>81929</v>
          </cell>
          <cell r="C20770" t="str">
            <v>RS INVESTOR FI MULTIMERCADO CP IE</v>
          </cell>
          <cell r="D20770" t="str">
            <v>RS INVESTOR FI MULTIMERCADO CP IE</v>
          </cell>
          <cell r="E20770" t="str">
            <v>ITAU UNIBANCO ASSET - TACO</v>
          </cell>
        </row>
        <row r="20771">
          <cell r="B20771">
            <v>81929</v>
          </cell>
          <cell r="C20771" t="str">
            <v>RS INVESTOR FI MULTIMERCADO CP IE</v>
          </cell>
          <cell r="D20771" t="str">
            <v>RS INVESTOR FI MULTIMERCADO CP IE</v>
          </cell>
          <cell r="E20771" t="str">
            <v>ITAU UNIBANCO ASSET - TACO</v>
          </cell>
        </row>
        <row r="20772">
          <cell r="B20772">
            <v>81930</v>
          </cell>
          <cell r="C20772" t="str">
            <v>SAFRA PREV VITESSE MASTER FIM RENDA FIXA CP PREV</v>
          </cell>
          <cell r="D20772" t="str">
            <v>SAFRA PREV VITESSE MASTER FIM RENDA FIXA CP PREV</v>
          </cell>
          <cell r="E20772" t="str">
            <v>SAFRA ASSET MANAGEMENT LTDA</v>
          </cell>
        </row>
        <row r="20773">
          <cell r="B20773">
            <v>81931</v>
          </cell>
          <cell r="C20773" t="str">
            <v>PB TOP 21C FI MULTIMERCADO CREDITO PRIVADO IE</v>
          </cell>
          <cell r="D20773" t="str">
            <v>PB TOP 21C FI MULTIMERCADO CREDITO PRIVADO IE</v>
          </cell>
          <cell r="E20773" t="str">
            <v>ITAU UNIBANCO ASSET - TACO</v>
          </cell>
        </row>
        <row r="20774">
          <cell r="B20774">
            <v>81931</v>
          </cell>
          <cell r="C20774" t="str">
            <v>PB TOP 21C FI MULTIMERCADO CREDITO PRIVADO IE</v>
          </cell>
          <cell r="D20774" t="str">
            <v>PB TOP 21C FI MULTIMERCADO CREDITO PRIVADO IE</v>
          </cell>
          <cell r="E20774" t="str">
            <v>ITAU UNIBANCO ASSET - TACO</v>
          </cell>
        </row>
        <row r="20775">
          <cell r="B20775">
            <v>81932</v>
          </cell>
          <cell r="C20775" t="str">
            <v>SAFRA GRAND VITESSE FUNDO DE INVESTIMENTO RENDA FIXA CRÃ‰DITO</v>
          </cell>
          <cell r="D20775" t="str">
            <v>SAFRA GRAND VITESSE FUNDO DE INVESTIMENTO RENDA FIXA CRÃ‰DITO</v>
          </cell>
          <cell r="E20775" t="str">
            <v>SAFRA ASSET MANAGEMENT LTDA</v>
          </cell>
        </row>
        <row r="20776">
          <cell r="B20776">
            <v>81933</v>
          </cell>
          <cell r="C20776" t="str">
            <v>UYUNI FIC FI MULTIMERCADO CRÃ‰DITO PRIVADO IE</v>
          </cell>
          <cell r="D20776" t="str">
            <v>UYUNI FIC FI MULTIMERCADO CRÃ‰DITO PRIVADO IE</v>
          </cell>
          <cell r="E20776" t="str">
            <v>SAFRA ASSET MANAGEMENT LTDA</v>
          </cell>
        </row>
        <row r="20777">
          <cell r="B20777">
            <v>81933</v>
          </cell>
          <cell r="C20777" t="str">
            <v>UYUNI FIC FI MULTIMERCADO CRÃ‰DITO PRIVADO IE</v>
          </cell>
          <cell r="D20777" t="str">
            <v>UYUNI FIC FI MULTIMERCADO CRÃ‰DITO PRIVADO IE</v>
          </cell>
          <cell r="E20777" t="str">
            <v>SAFRA ASSET MANAGEMENT LTDA</v>
          </cell>
        </row>
        <row r="20778">
          <cell r="B20778">
            <v>81934</v>
          </cell>
          <cell r="C20778" t="str">
            <v>TENACE FUNDO DE INVESTIMENTO RENDA FIXA CRÃ‰DITO PRIVADO LONG</v>
          </cell>
          <cell r="D20778" t="str">
            <v>TENACE FUNDO DE INVESTIMENTO RENDA FIXA CRÃ‰DITO PRIVADO LONG</v>
          </cell>
          <cell r="E20778" t="str">
            <v>SAFRA ASSET MANAGEMENT LTDA</v>
          </cell>
        </row>
        <row r="20779">
          <cell r="B20779">
            <v>81935</v>
          </cell>
          <cell r="C20779" t="str">
            <v>SATURN FUNDO DE INVESTIMENTO MULTIMERCADO CP IE</v>
          </cell>
          <cell r="D20779" t="str">
            <v>SATURN FUNDO DE INVESTIMENTO MULTIMERCADO CP IE</v>
          </cell>
          <cell r="E20779" t="str">
            <v>SAFRA ASSET MANAGEMENT LTDA</v>
          </cell>
        </row>
        <row r="20780">
          <cell r="B20780">
            <v>81935</v>
          </cell>
          <cell r="C20780" t="str">
            <v>SATURN FUNDO DE INVESTIMENTO MULTIMERCADO CP IE</v>
          </cell>
          <cell r="D20780" t="str">
            <v>SATURN FUNDO DE INVESTIMENTO MULTIMERCADO CP IE</v>
          </cell>
          <cell r="E20780" t="str">
            <v>SAFRA ASSET MANAGEMENT LTDA</v>
          </cell>
        </row>
        <row r="20781">
          <cell r="B20781">
            <v>81938</v>
          </cell>
          <cell r="C20781" t="str">
            <v>ITAU MASTER GLOBAL DINAMICO ULTRA MULTIMERCADO FUNDO DE INVE</v>
          </cell>
          <cell r="D20781" t="str">
            <v>ITAU MASTER GLOBAL DINAMICO ULTRA MULTIMERCADO FUNDO DE INVE</v>
          </cell>
          <cell r="E20781" t="str">
            <v>ITAU UNIBANCO ASSET - TACO</v>
          </cell>
        </row>
        <row r="20782">
          <cell r="B20782">
            <v>81939</v>
          </cell>
          <cell r="C20782" t="str">
            <v>SAFRA VITESSE FUNDO DE INVESTIMENTO RENDA FIXA CRÃ‰DITO PRIVA</v>
          </cell>
          <cell r="D20782" t="str">
            <v>SAFRA VITESSE FUNDO DE INVESTIMENTO RENDA FIXA CRÃ‰DITO PRIVA</v>
          </cell>
          <cell r="E20782" t="str">
            <v>SAFRA ASSET MANAGEMENT LTDA</v>
          </cell>
        </row>
        <row r="20783">
          <cell r="B20783">
            <v>81940</v>
          </cell>
          <cell r="C20783" t="str">
            <v>SAFRA SOUVERAIN IRFM FUNDO DE INVESTIMENTO RENDA FIXA</v>
          </cell>
          <cell r="D20783" t="str">
            <v>SAFRA SOUVERAIN IRFM FUNDO DE INVESTIMENTO RENDA FIXA</v>
          </cell>
          <cell r="E20783" t="str">
            <v>SAFRA ASSET MANAGEMENT LTDA</v>
          </cell>
        </row>
        <row r="20784">
          <cell r="B20784">
            <v>81941</v>
          </cell>
          <cell r="C20784" t="str">
            <v>AMARÃLIS FIC FI MULTIMERCADO CRÃ‰DITO PRIVADO INVESTIMENTO NO</v>
          </cell>
          <cell r="D20784" t="str">
            <v>AMARÃLIS FIC FI MULTIMERCADO CRÃ‰DITO PRIVADO INVESTIMENTO NO</v>
          </cell>
          <cell r="E20784" t="str">
            <v>SAFRA ASSET MANAGEMENT LTDA</v>
          </cell>
        </row>
        <row r="20785">
          <cell r="B20785">
            <v>81941</v>
          </cell>
          <cell r="C20785" t="str">
            <v>AMARÃLIS FIC FI MULTIMERCADO CRÃ‰DITO PRIVADO INVESTIMENTO NO</v>
          </cell>
          <cell r="D20785" t="str">
            <v>AMARÃLIS FIC FI MULTIMERCADO CRÃ‰DITO PRIVADO INVESTIMENTO NO</v>
          </cell>
          <cell r="E20785" t="str">
            <v>SAFRA ASSET MANAGEMENT LTDA</v>
          </cell>
        </row>
        <row r="20786">
          <cell r="B20786">
            <v>81943</v>
          </cell>
          <cell r="C20786" t="str">
            <v>JBFO JUROS ATIVO FUNDO DE INVESTIMENTO RENDA FIXA</v>
          </cell>
          <cell r="D20786" t="str">
            <v>JBFO JUROS ATIVO FUNDO DE INVESTIMENTO RENDA FIXA</v>
          </cell>
          <cell r="E20786" t="str">
            <v>JULIUS BAER FAMILY OFFICE BRASIL GESTAO DE PATRIMONIO LTDA</v>
          </cell>
        </row>
        <row r="20787">
          <cell r="B20787">
            <v>81943</v>
          </cell>
          <cell r="C20787" t="str">
            <v>JBFO JUROS ATIVO FUNDO DE INVESTIMENTO RENDA FIXA</v>
          </cell>
          <cell r="D20787" t="str">
            <v>JBFO JUROS ATIVO FUNDO DE INVESTIMENTO RENDA FIXA</v>
          </cell>
          <cell r="E20787" t="str">
            <v>JULIUS BAER FAMILY OFFICE BRASIL GESTAO DE PATRIMONIO LTDA</v>
          </cell>
        </row>
        <row r="20788">
          <cell r="B20788">
            <v>81944</v>
          </cell>
          <cell r="C20788" t="str">
            <v>ITAU CYAMPREV ARROJADO MM CP FIM</v>
          </cell>
          <cell r="D20788" t="str">
            <v>ITAU CYAMPREV ARROJADO MM CP FIM</v>
          </cell>
          <cell r="E20788" t="str">
            <v>ITAU UNIBANCO ASSET - TACO</v>
          </cell>
        </row>
        <row r="20789">
          <cell r="B20789">
            <v>81945</v>
          </cell>
          <cell r="C20789" t="str">
            <v>GCMF FUNDO DE INVESTIMENTO MULTIMERCADO CRÃ‰DITO PRIVADO IE</v>
          </cell>
          <cell r="D20789" t="str">
            <v>GCMF FUNDO DE INVESTIMENTO MULTIMERCADO CRÃ‰DITO PRIVADO IE</v>
          </cell>
          <cell r="E20789" t="str">
            <v>JULIUS BAER FAMILY OFFICE BRASIL GESTAO DE PATRIMONIO LTDA</v>
          </cell>
        </row>
        <row r="20790">
          <cell r="B20790">
            <v>81945</v>
          </cell>
          <cell r="C20790" t="str">
            <v>GCMF FUNDO DE INVESTIMENTO MULTIMERCADO CRÃ‰DITO PRIVADO IE</v>
          </cell>
          <cell r="D20790" t="str">
            <v>GCMF FUNDO DE INVESTIMENTO MULTIMERCADO CRÃ‰DITO PRIVADO IE</v>
          </cell>
          <cell r="E20790" t="str">
            <v>JULIUS BAER FAMILY OFFICE BRASIL GESTAO DE PATRIMONIO LTDA</v>
          </cell>
        </row>
        <row r="20791">
          <cell r="B20791">
            <v>81948</v>
          </cell>
          <cell r="C20791" t="str">
            <v>VANQUISH ASSET MANAGEMENT LTDA</v>
          </cell>
          <cell r="D20791" t="str">
            <v>VANQUISH ASSET MANAGEMENT LTDA</v>
          </cell>
          <cell r="E20791" t="str">
            <v>VANQUISH ASSET MANAGEMENT LTDA</v>
          </cell>
        </row>
        <row r="20792">
          <cell r="B20792">
            <v>81948</v>
          </cell>
          <cell r="C20792" t="str">
            <v>VANQUISH ASSET MANAGEMENT LTDA</v>
          </cell>
          <cell r="D20792" t="str">
            <v>VANQUISH ASSET MANAGEMENT LTDA</v>
          </cell>
          <cell r="E20792" t="str">
            <v>VANQUISH ASSET MANAGEMENT LTDA</v>
          </cell>
        </row>
        <row r="20793">
          <cell r="B20793">
            <v>81949</v>
          </cell>
          <cell r="C20793" t="str">
            <v>ENGELBERG FUNDO DE INVESTIMENTO EM AÃ‡Ã•ES</v>
          </cell>
          <cell r="D20793" t="str">
            <v>ENGELBERG FUNDO DE INVESTIMENTO EM AÃ‡Ã•ES</v>
          </cell>
          <cell r="E20793" t="str">
            <v>JULIUS BAER FAMILY OFFICE BRASIL GESTAO DE PATRIMONIO LTDA</v>
          </cell>
        </row>
        <row r="20794">
          <cell r="B20794">
            <v>81949</v>
          </cell>
          <cell r="C20794" t="str">
            <v>ENGELBERG FUNDO DE INVESTIMENTO EM AÃ‡Ã•ES</v>
          </cell>
          <cell r="D20794" t="str">
            <v>ENGELBERG FUNDO DE INVESTIMENTO EM AÃ‡Ã•ES</v>
          </cell>
          <cell r="E20794" t="str">
            <v>JULIUS BAER FAMILY OFFICE BRASIL GESTAO DE PATRIMONIO LTDA</v>
          </cell>
        </row>
        <row r="20795">
          <cell r="B20795">
            <v>81950</v>
          </cell>
          <cell r="C20795" t="str">
            <v>ESPINELIO FUNDO DE INVESTIMENTO MULTIMERCADO CRÃ‰DITO PRIVADO</v>
          </cell>
          <cell r="D20795" t="str">
            <v>ESPINELIO FUNDO DE INVESTIMENTO MULTIMERCADO CRÃ‰DITO PRIVADO</v>
          </cell>
          <cell r="E20795" t="str">
            <v>JULIUS BAER FAMILY OFFICE BRASIL GESTAO DE PATRIMONIO LTDA</v>
          </cell>
        </row>
        <row r="20796">
          <cell r="B20796">
            <v>81950</v>
          </cell>
          <cell r="C20796" t="str">
            <v>ESPINELIO FUNDO DE INVESTIMENTO MULTIMERCADO CRÃ‰DITO PRIVADO</v>
          </cell>
          <cell r="D20796" t="str">
            <v>ESPINELIO FUNDO DE INVESTIMENTO MULTIMERCADO CRÃ‰DITO PRIVADO</v>
          </cell>
          <cell r="E20796" t="str">
            <v>JULIUS BAER FAMILY OFFICE BRASIL GESTAO DE PATRIMONIO LTDA</v>
          </cell>
        </row>
        <row r="20797">
          <cell r="B20797">
            <v>81956</v>
          </cell>
          <cell r="C20797" t="str">
            <v>SAFRA DIVERSE MASTER FIM</v>
          </cell>
          <cell r="D20797" t="str">
            <v>SAFRA DIVERSE MASTER FIM</v>
          </cell>
          <cell r="E20797" t="str">
            <v>EMERALD GESTAO DE INVESTIMENTOS LTDA</v>
          </cell>
        </row>
        <row r="20798">
          <cell r="B20798">
            <v>81956</v>
          </cell>
          <cell r="C20798" t="str">
            <v>SAFRA DIVERSE MASTER FIM</v>
          </cell>
          <cell r="D20798" t="str">
            <v>SAFRA DIVERSE MASTER FIM</v>
          </cell>
          <cell r="E20798" t="str">
            <v>EMERALD GESTAO DE INVESTIMENTOS LTDA</v>
          </cell>
        </row>
        <row r="20799">
          <cell r="B20799">
            <v>81961</v>
          </cell>
          <cell r="C20799" t="str">
            <v>PALUDI FIM CP IE</v>
          </cell>
          <cell r="D20799" t="str">
            <v>PALUDI FIM CP IE</v>
          </cell>
          <cell r="E20799" t="str">
            <v>M8 PARTNERS GESTORA DE RECURSOS LTDA</v>
          </cell>
        </row>
        <row r="20800">
          <cell r="B20800">
            <v>81961</v>
          </cell>
          <cell r="C20800" t="str">
            <v>PALUDI FIM CP IE</v>
          </cell>
          <cell r="D20800" t="str">
            <v>PALUDI FIM CP IE</v>
          </cell>
          <cell r="E20800" t="str">
            <v>M8 PARTNERS GESTORA DE RECURSOS LTDA</v>
          </cell>
        </row>
        <row r="20801">
          <cell r="B20801">
            <v>81963</v>
          </cell>
          <cell r="C20801" t="str">
            <v>ATACAMA MULTIMERCADO FI</v>
          </cell>
          <cell r="D20801" t="str">
            <v>ATACAMA MULTIMERCADO FI</v>
          </cell>
          <cell r="E20801" t="str">
            <v>BANCO JP MORGAN S/A</v>
          </cell>
        </row>
        <row r="20802">
          <cell r="B20802">
            <v>81964</v>
          </cell>
          <cell r="C20802" t="str">
            <v>JP MORGAN SECURITIES PLC</v>
          </cell>
          <cell r="D20802" t="str">
            <v>JP MORGAN SECURITIES PLC</v>
          </cell>
          <cell r="E20802" t="str">
            <v>BANCO JP MORGAN S/A</v>
          </cell>
        </row>
        <row r="20803">
          <cell r="B20803">
            <v>81965</v>
          </cell>
          <cell r="C20803" t="str">
            <v>ATACAMA MULTIMERCADO FI</v>
          </cell>
          <cell r="D20803" t="str">
            <v>ATACAMA MULTIMERCADO FI</v>
          </cell>
          <cell r="E20803" t="str">
            <v>BANCO JP MORGAN S/A</v>
          </cell>
        </row>
        <row r="20804">
          <cell r="B20804">
            <v>81966</v>
          </cell>
          <cell r="C20804" t="str">
            <v>JP MORGAN SECURITIES PLC</v>
          </cell>
          <cell r="D20804" t="str">
            <v>JP MORGAN SECURITIES PLC</v>
          </cell>
          <cell r="E20804" t="str">
            <v>BANCO JP MORGAN S/A</v>
          </cell>
        </row>
        <row r="20805">
          <cell r="B20805">
            <v>81969</v>
          </cell>
          <cell r="C20805" t="str">
            <v>EPM FUNDO DE INVESTIMENTO MULTIMERCADO CRÃ‰DITO PRIVADO IE</v>
          </cell>
          <cell r="D20805" t="str">
            <v>EPM FUNDO DE INVESTIMENTO MULTIMERCADO CRÃ‰DITO PRIVADO IE</v>
          </cell>
          <cell r="E20805" t="str">
            <v>JULIUS BAER FAMILY OFFICE BRASIL GESTAO DE PATRIMONIO LTDA</v>
          </cell>
        </row>
        <row r="20806">
          <cell r="B20806">
            <v>81969</v>
          </cell>
          <cell r="C20806" t="str">
            <v>EPM FUNDO DE INVESTIMENTO MULTIMERCADO CRÃ‰DITO PRIVADO IE</v>
          </cell>
          <cell r="D20806" t="str">
            <v>EPM FUNDO DE INVESTIMENTO MULTIMERCADO CRÃ‰DITO PRIVADO IE</v>
          </cell>
          <cell r="E20806" t="str">
            <v>JULIUS BAER FAMILY OFFICE BRASIL GESTAO DE PATRIMONIO LTDA</v>
          </cell>
        </row>
        <row r="20807">
          <cell r="B20807">
            <v>81970</v>
          </cell>
          <cell r="C20807" t="str">
            <v>REAG ASSET MANAGEMENT LTDA</v>
          </cell>
          <cell r="D20807" t="str">
            <v>REAG ASSET MANAGEMENT LTDA</v>
          </cell>
          <cell r="E20807" t="str">
            <v>REAG ASSET MANAGEMENT LTDA</v>
          </cell>
        </row>
        <row r="20808">
          <cell r="B20808">
            <v>81970</v>
          </cell>
          <cell r="C20808" t="str">
            <v>REAG ASSET MANAGEMENT LTDA</v>
          </cell>
          <cell r="D20808" t="str">
            <v>REAG ASSET MANAGEMENT LTDA</v>
          </cell>
          <cell r="E20808" t="str">
            <v>REAG ASSET MANAGEMENT LTDA</v>
          </cell>
        </row>
        <row r="20809">
          <cell r="B20809">
            <v>81971</v>
          </cell>
          <cell r="C20809" t="str">
            <v>BANCO RABOBANK INTERNATIONAL BRASIL S/A</v>
          </cell>
          <cell r="D20809" t="str">
            <v>BANCO RABOBANK INTERNATIONAL BRASIL S/A</v>
          </cell>
          <cell r="E20809" t="str">
            <v>BANCO RABOBANK INTERNATIONAL BRASIL S/A</v>
          </cell>
        </row>
        <row r="20810">
          <cell r="B20810">
            <v>81972</v>
          </cell>
          <cell r="C20810" t="str">
            <v>BANCO RABOBANK INTERNATIONAL BRASIL S/A</v>
          </cell>
          <cell r="D20810" t="str">
            <v>BANCO RABOBANK INTERNATIONAL BRASIL S/A</v>
          </cell>
          <cell r="E20810" t="str">
            <v>BANCO RABOBANK INTERNATIONAL BRASIL S/A</v>
          </cell>
        </row>
        <row r="20811">
          <cell r="B20811">
            <v>81973</v>
          </cell>
          <cell r="C20811" t="str">
            <v>BRADSEG PARTICIPAÃ‡Ã•ES S.A.</v>
          </cell>
          <cell r="D20811" t="str">
            <v>BRADSEG PARTICIPAÃ‡Ã•ES S.A.</v>
          </cell>
          <cell r="E20811" t="str">
            <v>BRAM - BRADESCO ASSET MANAGEMENT S/A DTVM</v>
          </cell>
        </row>
        <row r="20812">
          <cell r="B20812">
            <v>81974</v>
          </cell>
          <cell r="C20812" t="str">
            <v>BRADSEG PARTICIPAÃ‡Ã•ES S.A.</v>
          </cell>
          <cell r="D20812" t="str">
            <v>BRADSEG PARTICIPAÃ‡Ã•ES S.A.</v>
          </cell>
          <cell r="E20812" t="str">
            <v>BRAM - BRADESCO ASSET MANAGEMENT S/A DTVM</v>
          </cell>
        </row>
        <row r="20813">
          <cell r="B20813">
            <v>81975</v>
          </cell>
          <cell r="C20813" t="str">
            <v>CSS FIM CP IE</v>
          </cell>
          <cell r="D20813" t="str">
            <v>CSS FIM CP IE</v>
          </cell>
          <cell r="E20813" t="str">
            <v>SOW CAPITAL GESTÃƒO DE INVESTIMENTOS LTDA</v>
          </cell>
        </row>
        <row r="20814">
          <cell r="B20814">
            <v>81975</v>
          </cell>
          <cell r="C20814" t="str">
            <v>CSS FIM CP IE</v>
          </cell>
          <cell r="D20814" t="str">
            <v>CSS FIM CP IE</v>
          </cell>
          <cell r="E20814" t="str">
            <v>SOW CAPITAL GESTÃƒO DE INVESTIMENTOS LTDA</v>
          </cell>
        </row>
        <row r="20815">
          <cell r="B20815">
            <v>81937</v>
          </cell>
          <cell r="C20815" t="str">
            <v>PERENNE INVESTIMENTOS LTDA</v>
          </cell>
          <cell r="D20815" t="str">
            <v>PERENNE INVESTIMENTOS LTDA</v>
          </cell>
          <cell r="E20815" t="str">
            <v>PERENNE INVESTIMENTOS LTDA</v>
          </cell>
        </row>
        <row r="20816">
          <cell r="B20816">
            <v>81978</v>
          </cell>
          <cell r="C20816" t="str">
            <v>TERRA NOVA FIC FIM CRÃ‰DITO PRIVADO IE</v>
          </cell>
          <cell r="D20816" t="str">
            <v>TERRA NOVA FIC FIM CRÃ‰DITO PRIVADO IE</v>
          </cell>
          <cell r="E20816" t="str">
            <v>JULIUS BAER FAMILY OFFICE BRASIL GESTAO DE PATRIMONIO LTDA</v>
          </cell>
        </row>
        <row r="20817">
          <cell r="B20817">
            <v>81978</v>
          </cell>
          <cell r="C20817" t="str">
            <v>TERRA NOVA FIC FIM CRÃ‰DITO PRIVADO IE</v>
          </cell>
          <cell r="D20817" t="str">
            <v>TERRA NOVA FIC FIM CRÃ‰DITO PRIVADO IE</v>
          </cell>
          <cell r="E20817" t="str">
            <v>JULIUS BAER FAMILY OFFICE BRASIL GESTAO DE PATRIMONIO LTDA</v>
          </cell>
        </row>
        <row r="20818">
          <cell r="B20818">
            <v>124871</v>
          </cell>
          <cell r="C20818" t="str">
            <v>ABERDEEN FUNDO DE INVESTIMENTO MULTIMERCADO CP IE</v>
          </cell>
          <cell r="D20818" t="str">
            <v>ABERDEEN FUNDO DE INVESTIMENTO MULTIMERCADO CP IE</v>
          </cell>
          <cell r="E20818" t="str">
            <v>JULIUS BAER FAMILY OFFICE BRASIL GESTAO DE PATRIMONIO LTDA</v>
          </cell>
        </row>
        <row r="20819">
          <cell r="B20819">
            <v>124871</v>
          </cell>
          <cell r="C20819" t="str">
            <v>ABERDEEN FUNDO DE INVESTIMENTO MULTIMERCADO CP IE</v>
          </cell>
          <cell r="D20819" t="str">
            <v>ABERDEEN FUNDO DE INVESTIMENTO MULTIMERCADO CP IE</v>
          </cell>
          <cell r="E20819" t="str">
            <v>JULIUS BAER FAMILY OFFICE BRASIL GESTAO DE PATRIMONIO LTDA</v>
          </cell>
        </row>
        <row r="20820">
          <cell r="B20820">
            <v>81979</v>
          </cell>
          <cell r="C20820" t="str">
            <v>ABERDEEN FUNDO DE INVESTIMENTO MULTIMERCADO CP IE</v>
          </cell>
          <cell r="D20820" t="str">
            <v>ABERDEEN FUNDO DE INVESTIMENTO MULTIMERCADO CP IE</v>
          </cell>
          <cell r="E20820" t="str">
            <v>JULIUS BAER FAMILY OFFICE BRASIL GESTAO DE PATRIMONIO LTDA</v>
          </cell>
        </row>
        <row r="20821">
          <cell r="B20821">
            <v>81979</v>
          </cell>
          <cell r="C20821" t="str">
            <v>ABERDEEN FUNDO DE INVESTIMENTO MULTIMERCADO CP IE</v>
          </cell>
          <cell r="D20821" t="str">
            <v>ABERDEEN FUNDO DE INVESTIMENTO MULTIMERCADO CP IE</v>
          </cell>
          <cell r="E20821" t="str">
            <v>JULIUS BAER FAMILY OFFICE BRASIL GESTAO DE PATRIMONIO LTDA</v>
          </cell>
        </row>
        <row r="20822">
          <cell r="B20822">
            <v>81980</v>
          </cell>
          <cell r="C20822" t="str">
            <v>BRUMEL FUNDO DE INVESTIMENTO MULTIMERCADO CP IE</v>
          </cell>
          <cell r="D20822" t="str">
            <v>BRUMEL FUNDO DE INVESTIMENTO MULTIMERCADO CP IE</v>
          </cell>
          <cell r="E20822" t="str">
            <v>JULIUS BAER FAMILY OFFICE BRASIL GESTAO DE PATRIMONIO LTDA</v>
          </cell>
        </row>
        <row r="20823">
          <cell r="B20823">
            <v>81980</v>
          </cell>
          <cell r="C20823" t="str">
            <v>BRUMEL FUNDO DE INVESTIMENTO MULTIMERCADO CP IE</v>
          </cell>
          <cell r="D20823" t="str">
            <v>BRUMEL FUNDO DE INVESTIMENTO MULTIMERCADO CP IE</v>
          </cell>
          <cell r="E20823" t="str">
            <v>JULIUS BAER FAMILY OFFICE BRASIL GESTAO DE PATRIMONIO LTDA</v>
          </cell>
        </row>
        <row r="20824">
          <cell r="B20824">
            <v>81981</v>
          </cell>
          <cell r="C20824" t="str">
            <v>FOUNTAINHEAD FUNDO DE INVESTIMENTO MULTIMERCADO CRÃ‰DITO PRIV</v>
          </cell>
          <cell r="D20824" t="str">
            <v>FOUNTAINHEAD FUNDO DE INVESTIMENTO MULTIMERCADO CRÃ‰DITO PRIV</v>
          </cell>
          <cell r="E20824" t="str">
            <v>JULIUS BAER FAMILY OFFICE BRASIL GESTAO DE PATRIMONIO LTDA</v>
          </cell>
        </row>
        <row r="20825">
          <cell r="B20825">
            <v>81981</v>
          </cell>
          <cell r="C20825" t="str">
            <v>FOUNTAINHEAD FUNDO DE INVESTIMENTO MULTIMERCADO CRÃ‰DITO PRIV</v>
          </cell>
          <cell r="D20825" t="str">
            <v>FOUNTAINHEAD FUNDO DE INVESTIMENTO MULTIMERCADO CRÃ‰DITO PRIV</v>
          </cell>
          <cell r="E20825" t="str">
            <v>JULIUS BAER FAMILY OFFICE BRASIL GESTAO DE PATRIMONIO LTDA</v>
          </cell>
        </row>
        <row r="20826">
          <cell r="B20826">
            <v>81982</v>
          </cell>
          <cell r="C20826" t="str">
            <v>PHOENIX FUNDO DE INVEST MULTIMERCADO CP IE</v>
          </cell>
          <cell r="D20826" t="str">
            <v>PHOENIX FUNDO DE INVEST MULTIMERCADO CP IE</v>
          </cell>
          <cell r="E20826" t="str">
            <v>JULIUS BAER FAMILY OFFICE BRASIL GESTAO DE PATRIMONIO LTDA</v>
          </cell>
        </row>
        <row r="20827">
          <cell r="B20827">
            <v>81982</v>
          </cell>
          <cell r="C20827" t="str">
            <v>PHOENIX FUNDO DE INVEST MULTIMERCADO CP IE</v>
          </cell>
          <cell r="D20827" t="str">
            <v>PHOENIX FUNDO DE INVEST MULTIMERCADO CP IE</v>
          </cell>
          <cell r="E20827" t="str">
            <v>JULIUS BAER FAMILY OFFICE BRASIL GESTAO DE PATRIMONIO LTDA</v>
          </cell>
        </row>
        <row r="20828">
          <cell r="B20828">
            <v>81983</v>
          </cell>
          <cell r="C20828" t="str">
            <v>MYRACRODRUON FUNDO DE INVESTIMENTO MULTIMERCADO CP IE</v>
          </cell>
          <cell r="D20828" t="str">
            <v>MYRACRODRUON FUNDO DE INVESTIMENTO MULTIMERCADO CP IE</v>
          </cell>
          <cell r="E20828" t="str">
            <v>JULIUS BAER FAMILY OFFICE BRASIL GESTAO DE PATRIMONIO LTDA</v>
          </cell>
        </row>
        <row r="20829">
          <cell r="B20829">
            <v>81983</v>
          </cell>
          <cell r="C20829" t="str">
            <v>MYRACRODRUON FUNDO DE INVESTIMENTO MULTIMERCADO CP IE</v>
          </cell>
          <cell r="D20829" t="str">
            <v>MYRACRODRUON FUNDO DE INVESTIMENTO MULTIMERCADO CP IE</v>
          </cell>
          <cell r="E20829" t="str">
            <v>JULIUS BAER FAMILY OFFICE BRASIL GESTAO DE PATRIMONIO LTDA</v>
          </cell>
        </row>
        <row r="20830">
          <cell r="B20830">
            <v>81984</v>
          </cell>
          <cell r="C20830" t="str">
            <v>VERTICE GIS IPE DA SERRA FIA IE</v>
          </cell>
          <cell r="D20830" t="str">
            <v>VERTICE GIS IPE DA SERRA FIA IE</v>
          </cell>
          <cell r="E20830" t="str">
            <v>ITAU UNIBANCO ASSET - TACO</v>
          </cell>
        </row>
        <row r="20831">
          <cell r="B20831">
            <v>81984</v>
          </cell>
          <cell r="C20831" t="str">
            <v>VERTICE GIS IPE DA SERRA FIA IE</v>
          </cell>
          <cell r="D20831" t="str">
            <v>VERTICE GIS IPE DA SERRA FIA IE</v>
          </cell>
          <cell r="E20831" t="str">
            <v>ITAU UNIBANCO ASSET - TACO</v>
          </cell>
        </row>
        <row r="20832">
          <cell r="B20832">
            <v>81985</v>
          </cell>
          <cell r="C20832" t="str">
            <v>JBFO BRAZIL MASTER FIA BDR NÃVEL I</v>
          </cell>
          <cell r="D20832" t="str">
            <v>JBFO BRAZIL MASTER FIA BDR NÃVEL I</v>
          </cell>
          <cell r="E20832" t="str">
            <v>JULIUS BAER FAMILY OFFICE BRASIL GESTAO DE PATRIMONIO LTDA</v>
          </cell>
        </row>
        <row r="20833">
          <cell r="B20833">
            <v>81985</v>
          </cell>
          <cell r="C20833" t="str">
            <v>JBFO BRAZIL MASTER FIA BDR NÃVEL I</v>
          </cell>
          <cell r="D20833" t="str">
            <v>JBFO BRAZIL MASTER FIA BDR NÃVEL I</v>
          </cell>
          <cell r="E20833" t="str">
            <v>JULIUS BAER FAMILY OFFICE BRASIL GESTAO DE PATRIMONIO LTDA</v>
          </cell>
        </row>
        <row r="20834">
          <cell r="B20834">
            <v>81986</v>
          </cell>
          <cell r="C20834" t="str">
            <v>STARLIT FUNDO DE INVESTIMENTO MULTIMERCADO CP IE</v>
          </cell>
          <cell r="D20834" t="str">
            <v>STARLIT FUNDO DE INVESTIMENTO MULTIMERCADO CP IE</v>
          </cell>
          <cell r="E20834" t="str">
            <v>JULIUS BAER FAMILY OFFICE BRASIL GESTAO DE PATRIMONIO LTDA</v>
          </cell>
        </row>
        <row r="20835">
          <cell r="B20835">
            <v>81986</v>
          </cell>
          <cell r="C20835" t="str">
            <v>STARLIT FUNDO DE INVESTIMENTO MULTIMERCADO CP IE</v>
          </cell>
          <cell r="D20835" t="str">
            <v>STARLIT FUNDO DE INVESTIMENTO MULTIMERCADO CP IE</v>
          </cell>
          <cell r="E20835" t="str">
            <v>JULIUS BAER FAMILY OFFICE BRASIL GESTAO DE PATRIMONIO LTDA</v>
          </cell>
        </row>
        <row r="20836">
          <cell r="B20836">
            <v>81987</v>
          </cell>
          <cell r="C20836" t="str">
            <v>STAR TWO FUNDO DE INVESTIMENTO MULTIMERCADO CP IE</v>
          </cell>
          <cell r="D20836" t="str">
            <v>STAR TWO FUNDO DE INVESTIMENTO MULTIMERCADO CP IE</v>
          </cell>
          <cell r="E20836" t="str">
            <v>JULIUS BAER FAMILY OFFICE BRASIL GESTAO DE PATRIMONIO LTDA</v>
          </cell>
        </row>
        <row r="20837">
          <cell r="B20837">
            <v>81987</v>
          </cell>
          <cell r="C20837" t="str">
            <v>STAR TWO FUNDO DE INVESTIMENTO MULTIMERCADO CP IE</v>
          </cell>
          <cell r="D20837" t="str">
            <v>STAR TWO FUNDO DE INVESTIMENTO MULTIMERCADO CP IE</v>
          </cell>
          <cell r="E20837" t="str">
            <v>JULIUS BAER FAMILY OFFICE BRASIL GESTAO DE PATRIMONIO LTDA</v>
          </cell>
        </row>
        <row r="20838">
          <cell r="B20838">
            <v>81988</v>
          </cell>
          <cell r="C20838" t="str">
            <v>SELF FUNDO DE INVESTIMENTO MULTIMERCADO CP IE</v>
          </cell>
          <cell r="D20838" t="str">
            <v>SELF FUNDO DE INVESTIMENTO MULTIMERCADO CP IE</v>
          </cell>
          <cell r="E20838" t="str">
            <v>JULIUS BAER FAMILY OFFICE BRASIL GESTAO DE PATRIMONIO LTDA</v>
          </cell>
        </row>
        <row r="20839">
          <cell r="B20839">
            <v>81988</v>
          </cell>
          <cell r="C20839" t="str">
            <v>SELF FUNDO DE INVESTIMENTO MULTIMERCADO CP IE</v>
          </cell>
          <cell r="D20839" t="str">
            <v>SELF FUNDO DE INVESTIMENTO MULTIMERCADO CP IE</v>
          </cell>
          <cell r="E20839" t="str">
            <v>JULIUS BAER FAMILY OFFICE BRASIL GESTAO DE PATRIMONIO LTDA</v>
          </cell>
        </row>
        <row r="20840">
          <cell r="B20840">
            <v>81989</v>
          </cell>
          <cell r="C20840" t="str">
            <v>BANCO VOTORANTIM S/A</v>
          </cell>
          <cell r="D20840" t="str">
            <v>BANCO VOTORANTIM S/A</v>
          </cell>
          <cell r="E20840" t="str">
            <v>BANCO VOTORANTIM S/A</v>
          </cell>
        </row>
        <row r="20841">
          <cell r="B20841">
            <v>81990</v>
          </cell>
          <cell r="C20841" t="str">
            <v>SANDALWOOD FUNDO DE INVESTIMENTO MULTIMERCADO CP IE</v>
          </cell>
          <cell r="D20841" t="str">
            <v>SANDALWOOD FUNDO DE INVESTIMENTO MULTIMERCADO CP IE</v>
          </cell>
          <cell r="E20841" t="str">
            <v>JULIUS BAER FAMILY OFFICE BRASIL GESTAO DE PATRIMONIO LTDA</v>
          </cell>
        </row>
        <row r="20842">
          <cell r="B20842">
            <v>81990</v>
          </cell>
          <cell r="C20842" t="str">
            <v>SANDALWOOD FUNDO DE INVESTIMENTO MULTIMERCADO CP IE</v>
          </cell>
          <cell r="D20842" t="str">
            <v>SANDALWOOD FUNDO DE INVESTIMENTO MULTIMERCADO CP IE</v>
          </cell>
          <cell r="E20842" t="str">
            <v>JULIUS BAER FAMILY OFFICE BRASIL GESTAO DE PATRIMONIO LTDA</v>
          </cell>
        </row>
        <row r="20843">
          <cell r="B20843">
            <v>81991</v>
          </cell>
          <cell r="C20843" t="str">
            <v>TUTTO FUNDO DE INVESTIMENTO MULTIMERCADO CP IE</v>
          </cell>
          <cell r="D20843" t="str">
            <v>TUTTO FUNDO DE INVESTIMENTO MULTIMERCADO CP IE</v>
          </cell>
          <cell r="E20843" t="str">
            <v>JULIUS BAER FAMILY OFFICE BRASIL GESTAO DE PATRIMONIO LTDA</v>
          </cell>
        </row>
        <row r="20844">
          <cell r="B20844">
            <v>81991</v>
          </cell>
          <cell r="C20844" t="str">
            <v>TUTTO FUNDO DE INVESTIMENTO MULTIMERCADO CP IE</v>
          </cell>
          <cell r="D20844" t="str">
            <v>TUTTO FUNDO DE INVESTIMENTO MULTIMERCADO CP IE</v>
          </cell>
          <cell r="E20844" t="str">
            <v>JULIUS BAER FAMILY OFFICE BRASIL GESTAO DE PATRIMONIO LTDA</v>
          </cell>
        </row>
        <row r="20845">
          <cell r="B20845">
            <v>81992</v>
          </cell>
          <cell r="C20845" t="str">
            <v>TREEHOUSE FUNDO DE INVESTIMENTO EM AÃ‡Ã•ES</v>
          </cell>
          <cell r="D20845" t="str">
            <v>TREEHOUSE FUNDO DE INVESTIMENTO EM AÃ‡Ã•ES</v>
          </cell>
          <cell r="E20845" t="str">
            <v>JULIUS BAER FAMILY OFFICE BRASIL GESTAO DE PATRIMONIO LTDA</v>
          </cell>
        </row>
        <row r="20846">
          <cell r="B20846">
            <v>81992</v>
          </cell>
          <cell r="C20846" t="str">
            <v>TREEHOUSE FUNDO DE INVESTIMENTO EM AÃ‡Ã•ES</v>
          </cell>
          <cell r="D20846" t="str">
            <v>TREEHOUSE FUNDO DE INVESTIMENTO EM AÃ‡Ã•ES</v>
          </cell>
          <cell r="E20846" t="str">
            <v>JULIUS BAER FAMILY OFFICE BRASIL GESTAO DE PATRIMONIO LTDA</v>
          </cell>
        </row>
        <row r="20847">
          <cell r="B20847">
            <v>81993</v>
          </cell>
          <cell r="C20847" t="str">
            <v>TENAX TR MASTER FIA</v>
          </cell>
          <cell r="D20847" t="str">
            <v>TENAX TR MASTER FIA</v>
          </cell>
          <cell r="E20847" t="str">
            <v>TENAX CAPITAL LTDA</v>
          </cell>
        </row>
        <row r="20848">
          <cell r="B20848">
            <v>81993</v>
          </cell>
          <cell r="C20848" t="str">
            <v>TENAX TR MASTER FIA</v>
          </cell>
          <cell r="D20848" t="str">
            <v>TENAX TR MASTER FIA</v>
          </cell>
          <cell r="E20848" t="str">
            <v>TENAX CAPITAL LTDA</v>
          </cell>
        </row>
        <row r="20849">
          <cell r="B20849">
            <v>81994</v>
          </cell>
          <cell r="C20849" t="str">
            <v>SAFRA PREV SOBERANO II FIF PREV CI RF PREV RESP LIMITADA</v>
          </cell>
          <cell r="D20849" t="str">
            <v>SAFRA PREV SOBERANO II FIF PREV CI RF PREV RESP LIMITADA</v>
          </cell>
          <cell r="E20849" t="str">
            <v>TURMALINA GESTAO E ADMINISTRAÃ‡ÃƒO DE RECURSOS SA</v>
          </cell>
        </row>
        <row r="20850">
          <cell r="B20850">
            <v>81995</v>
          </cell>
          <cell r="C20850" t="str">
            <v>SAFRA MASTER FUNDO DE INVESTIMENTO MULTIMERCADO</v>
          </cell>
          <cell r="D20850" t="str">
            <v>SAFRA MASTER FUNDO DE INVESTIMENTO MULTIMERCADO</v>
          </cell>
          <cell r="E20850" t="str">
            <v>TURMALINA GESTAO E ADMINISTRAÃ‡ÃƒO DE RECURSOS SA</v>
          </cell>
        </row>
        <row r="20851">
          <cell r="B20851">
            <v>81995</v>
          </cell>
          <cell r="C20851" t="str">
            <v>SAFRA MASTER FUNDO DE INVESTIMENTO MULTIMERCADO</v>
          </cell>
          <cell r="D20851" t="str">
            <v>SAFRA MASTER FUNDO DE INVESTIMENTO MULTIMERCADO</v>
          </cell>
          <cell r="E20851" t="str">
            <v>TURMALINA GESTAO E ADMINISTRAÃ‡ÃƒO DE RECURSOS SA</v>
          </cell>
        </row>
        <row r="20852">
          <cell r="B20852">
            <v>81996</v>
          </cell>
          <cell r="C20852" t="str">
            <v>SAFRA CASH PREV FUNDO DE INVESTIMENTO RENDA FIXA PREV</v>
          </cell>
          <cell r="D20852" t="str">
            <v>SAFRA CASH PREV FUNDO DE INVESTIMENTO RENDA FIXA PREV</v>
          </cell>
          <cell r="E20852" t="str">
            <v>TURMALINA GESTAO E ADMINISTRAÃ‡ÃƒO DE RECURSOS SA</v>
          </cell>
        </row>
        <row r="20853">
          <cell r="B20853">
            <v>81997</v>
          </cell>
          <cell r="C20853" t="str">
            <v>SAFRA PREV CAPITAL MARKET FUNDO DE INVESTIMENTO RF CP PREV</v>
          </cell>
          <cell r="D20853" t="str">
            <v>SAFRA PREV CAPITAL MARKET FUNDO DE INVESTIMENTO RF CP PREV</v>
          </cell>
          <cell r="E20853" t="str">
            <v>TURMALINA GESTAO E ADMINISTRAÃ‡ÃƒO DE RECURSOS SA</v>
          </cell>
        </row>
        <row r="20854">
          <cell r="B20854">
            <v>81998</v>
          </cell>
          <cell r="C20854" t="str">
            <v>SAFRA PREV CREDIT OPPORTUNITIES E FI RENDA FIXA CRÃ‰DITO PRIV</v>
          </cell>
          <cell r="D20854" t="str">
            <v>SAFRA PREV CREDIT OPPORTUNITIES E FI RENDA FIXA CRÃ‰DITO PRIV</v>
          </cell>
          <cell r="E20854" t="str">
            <v>TURMALINA GESTAO E ADMINISTRAÃ‡ÃƒO DE RECURSOS SA</v>
          </cell>
        </row>
        <row r="20855">
          <cell r="B20855">
            <v>81998</v>
          </cell>
          <cell r="C20855" t="str">
            <v>SAFRA PREV CREDIT OPPORTUNITIES E FI RENDA FIXA CRÃ‰DITO PRIV</v>
          </cell>
          <cell r="D20855" t="str">
            <v>SAFRA PREV CREDIT OPPORTUNITIES E FI RENDA FIXA CRÃ‰DITO PRIV</v>
          </cell>
          <cell r="E20855" t="str">
            <v>TURMALINA GESTAO E ADMINISTRAÃ‡ÃƒO DE RECURSOS SA</v>
          </cell>
        </row>
        <row r="20856">
          <cell r="B20856">
            <v>81999</v>
          </cell>
          <cell r="C20856" t="str">
            <v>SAFRA PREV DIVIDENDOS MASTER FIF PREV CI PREV RESP LIMITADA</v>
          </cell>
          <cell r="D20856" t="str">
            <v>SAFRA PREV DIVIDENDOS MASTER FIF PREV CI PREV RESP LIMITADA</v>
          </cell>
          <cell r="E20856" t="str">
            <v>TURMALINA GESTAO E ADMINISTRAÃ‡ÃƒO DE RECURSOS SA</v>
          </cell>
        </row>
        <row r="20857">
          <cell r="B20857">
            <v>82000</v>
          </cell>
          <cell r="C20857" t="str">
            <v>SAFRA PREV INTERNACIONAL MASTER FIFPR I MULT CP RESP LIMITAD</v>
          </cell>
          <cell r="D20857" t="str">
            <v>SAFRA PREV INTERNACIONAL MASTER FIFPR I MULT CP RESP LIMITAD</v>
          </cell>
          <cell r="E20857" t="str">
            <v>TURMALINA GESTAO E ADMINISTRAÃ‡ÃƒO DE RECURSOS SA</v>
          </cell>
        </row>
        <row r="20858">
          <cell r="B20858">
            <v>82001</v>
          </cell>
          <cell r="C20858" t="str">
            <v>SAFRA PREV JURO REAL FUNDO DE INVESTIMENTO RENDA FIXA PREVID</v>
          </cell>
          <cell r="D20858" t="str">
            <v>SAFRA PREV JURO REAL FUNDO DE INVESTIMENTO RENDA FIXA PREVID</v>
          </cell>
          <cell r="E20858" t="str">
            <v>TURMALINA GESTAO E ADMINISTRAÃ‡ÃƒO DE RECURSOS SA</v>
          </cell>
        </row>
        <row r="20859">
          <cell r="B20859">
            <v>82002</v>
          </cell>
          <cell r="C20859" t="str">
            <v>SAFRA PREV LALELI FUNDO DE INVESTIMENTO RENDA FIXA PREVIDENC</v>
          </cell>
          <cell r="D20859" t="str">
            <v>SAFRA PREV LALELI FUNDO DE INVESTIMENTO RENDA FIXA PREVIDENC</v>
          </cell>
          <cell r="E20859" t="str">
            <v>TURMALINA GESTAO E ADMINISTRAÃ‡ÃƒO DE RECURSOS SA</v>
          </cell>
        </row>
        <row r="20860">
          <cell r="B20860">
            <v>82003</v>
          </cell>
          <cell r="C20860" t="str">
            <v>SAFRA PREV LONG BIAS MASTER FUNDO DE INVESTIMENTO AÃ‡Ã•ES PREV</v>
          </cell>
          <cell r="D20860" t="str">
            <v>SAFRA PREV LONG BIAS MASTER FUNDO DE INVESTIMENTO AÃ‡Ã•ES PREV</v>
          </cell>
          <cell r="E20860" t="str">
            <v>EMERALD GESTAO DE INVESTIMENTOS LTDA</v>
          </cell>
        </row>
        <row r="20861">
          <cell r="B20861">
            <v>82004</v>
          </cell>
          <cell r="C20861" t="str">
            <v>SAFRA PREV PREFIXADO E FUNDO DE INVESTIMENTO RENDA FIXA PREV</v>
          </cell>
          <cell r="D20861" t="str">
            <v>SAFRA PREV PREFIXADO E FUNDO DE INVESTIMENTO RENDA FIXA PREV</v>
          </cell>
          <cell r="E20861" t="str">
            <v>TURMALINA GESTAO E ADMINISTRAÃ‡ÃƒO DE RECURSOS SA</v>
          </cell>
        </row>
        <row r="20862">
          <cell r="B20862">
            <v>82004</v>
          </cell>
          <cell r="C20862" t="str">
            <v>SAFRA PREV PREFIXADO E FUNDO DE INVESTIMENTO RENDA FIXA PREV</v>
          </cell>
          <cell r="D20862" t="str">
            <v>SAFRA PREV PREFIXADO E FUNDO DE INVESTIMENTO RENDA FIXA PREV</v>
          </cell>
          <cell r="E20862" t="str">
            <v>TURMALINA GESTAO E ADMINISTRAÃ‡ÃƒO DE RECURSOS SA</v>
          </cell>
        </row>
        <row r="20863">
          <cell r="B20863">
            <v>82005</v>
          </cell>
          <cell r="C20863" t="str">
            <v>LEV ALPHA MASTER FUNDO DE INVESTIMENTO FINANCEIRO EM ACOES</v>
          </cell>
          <cell r="D20863" t="str">
            <v>LEV ALPHA MASTER FUNDO DE INVESTIMENTO FINANCEIRO EM ACOES</v>
          </cell>
          <cell r="E20863" t="str">
            <v>SKOPOS INVESTIMENTOS LTDA</v>
          </cell>
        </row>
        <row r="20864">
          <cell r="B20864">
            <v>82005</v>
          </cell>
          <cell r="C20864" t="str">
            <v>LEV ALPHA MASTER FUNDO DE INVESTIMENTO FINANCEIRO EM ACOES</v>
          </cell>
          <cell r="D20864" t="str">
            <v>LEV ALPHA MASTER FUNDO DE INVESTIMENTO FINANCEIRO EM ACOES</v>
          </cell>
          <cell r="E20864" t="str">
            <v>SKOPOS INVESTIMENTOS LTDA</v>
          </cell>
        </row>
        <row r="20865">
          <cell r="B20865">
            <v>82006</v>
          </cell>
          <cell r="C20865" t="str">
            <v>SKOPOS TOP TRADES EQUITY HEDGE FUNDO DE INVESTIMENTO MULTIME</v>
          </cell>
          <cell r="D20865" t="str">
            <v>SKOPOS TOP TRADES EQUITY HEDGE FUNDO DE INVESTIMENTO MULTIME</v>
          </cell>
          <cell r="E20865" t="str">
            <v>SKOPOS INVESTIMENTOS LTDA</v>
          </cell>
        </row>
        <row r="20866">
          <cell r="B20866">
            <v>82006</v>
          </cell>
          <cell r="C20866" t="str">
            <v>SKOPOS TOP TRADES EQUITY HEDGE FUNDO DE INVESTIMENTO MULTIME</v>
          </cell>
          <cell r="D20866" t="str">
            <v>SKOPOS TOP TRADES EQUITY HEDGE FUNDO DE INVESTIMENTO MULTIME</v>
          </cell>
          <cell r="E20866" t="str">
            <v>SKOPOS INVESTIMENTOS LTDA</v>
          </cell>
        </row>
        <row r="20867">
          <cell r="B20867">
            <v>82007</v>
          </cell>
          <cell r="C20867" t="str">
            <v>SKOPOS VANGUARDA ASSET ALLOCATION FUNDO DE INVESTIMENTO MULT</v>
          </cell>
          <cell r="D20867" t="str">
            <v>SKOPOS VANGUARDA ASSET ALLOCATION FUNDO DE INVESTIMENTO MULT</v>
          </cell>
          <cell r="E20867" t="str">
            <v>SKOPOS INVESTIMENTOS LTDA</v>
          </cell>
        </row>
        <row r="20868">
          <cell r="B20868">
            <v>82007</v>
          </cell>
          <cell r="C20868" t="str">
            <v>SKOPOS VANGUARDA ASSET ALLOCATION FUNDO DE INVESTIMENTO MULT</v>
          </cell>
          <cell r="D20868" t="str">
            <v>SKOPOS VANGUARDA ASSET ALLOCATION FUNDO DE INVESTIMENTO MULT</v>
          </cell>
          <cell r="E20868" t="str">
            <v>SKOPOS INVESTIMENTOS LTDA</v>
          </cell>
        </row>
        <row r="20869">
          <cell r="B20869">
            <v>82008</v>
          </cell>
          <cell r="C20869" t="str">
            <v>SKOPOS MIB IMAT FIA</v>
          </cell>
          <cell r="D20869" t="str">
            <v>SKOPOS MIB IMAT FIA</v>
          </cell>
          <cell r="E20869" t="str">
            <v>SKOPOS INVESTIMENTOS LTDA</v>
          </cell>
        </row>
        <row r="20870">
          <cell r="B20870">
            <v>82008</v>
          </cell>
          <cell r="C20870" t="str">
            <v>SKOPOS MIB IMAT FIA</v>
          </cell>
          <cell r="D20870" t="str">
            <v>SKOPOS MIB IMAT FIA</v>
          </cell>
          <cell r="E20870" t="str">
            <v>SKOPOS INVESTIMENTOS LTDA</v>
          </cell>
        </row>
        <row r="20871">
          <cell r="B20871">
            <v>82009</v>
          </cell>
          <cell r="C20871" t="str">
            <v>SKOPOS NOVO TEMPO FIM</v>
          </cell>
          <cell r="D20871" t="str">
            <v>SKOPOS NOVO TEMPO FIM</v>
          </cell>
          <cell r="E20871" t="str">
            <v>SKOPOS INVESTIMENTOS LTDA</v>
          </cell>
        </row>
        <row r="20872">
          <cell r="B20872">
            <v>82009</v>
          </cell>
          <cell r="C20872" t="str">
            <v>SKOPOS NOVO TEMPO FIM</v>
          </cell>
          <cell r="D20872" t="str">
            <v>SKOPOS NOVO TEMPO FIM</v>
          </cell>
          <cell r="E20872" t="str">
            <v>SKOPOS INVESTIMENTOS LTDA</v>
          </cell>
        </row>
        <row r="20873">
          <cell r="B20873">
            <v>82016</v>
          </cell>
          <cell r="C20873" t="str">
            <v>CAIXA VIDA E PREVIDÃŠNCIA S.A</v>
          </cell>
          <cell r="D20873" t="str">
            <v>CAIXA VIDA E PREVIDÃŠNCIA S.A</v>
          </cell>
          <cell r="E20873" t="str">
            <v>CAIXA VIDA E PREVIDÊNCIA S/A</v>
          </cell>
        </row>
        <row r="20874">
          <cell r="B20874">
            <v>82016</v>
          </cell>
          <cell r="C20874" t="str">
            <v>CAIXA VIDA E PREVIDÃŠNCIA S.A</v>
          </cell>
          <cell r="D20874" t="str">
            <v>CAIXA VIDA E PREVIDÃŠNCIA S.A</v>
          </cell>
          <cell r="E20874" t="str">
            <v>CAIXA VIDA E PREVIDÊNCIA S/A</v>
          </cell>
        </row>
        <row r="20875">
          <cell r="B20875">
            <v>82017</v>
          </cell>
          <cell r="C20875" t="str">
            <v>CAIXA VIDA E PREVIDÃŠNCIA S.A</v>
          </cell>
          <cell r="D20875" t="str">
            <v>CAIXA VIDA E PREVIDÃŠNCIA S.A</v>
          </cell>
          <cell r="E20875" t="str">
            <v>CAIXA VIDA E PREVIDÊNCIA S/A</v>
          </cell>
        </row>
        <row r="20876">
          <cell r="B20876">
            <v>82018</v>
          </cell>
          <cell r="C20876" t="str">
            <v>CAIXA CVP GESTÃƒO ATIVA FIM CP</v>
          </cell>
          <cell r="D20876" t="str">
            <v>CAIXA CVP GESTÃƒO ATIVA FIM CP</v>
          </cell>
          <cell r="E20876" t="str">
            <v>CAIXA VIDA E PREVIDÊNCIA S/A</v>
          </cell>
        </row>
        <row r="20877">
          <cell r="B20877">
            <v>82019</v>
          </cell>
          <cell r="C20877" t="str">
            <v>TAVOLA EQUITY HEDGE 5 FIM</v>
          </cell>
          <cell r="D20877" t="str">
            <v>TAVOLA EQUITY HEDGE 5 FIM</v>
          </cell>
          <cell r="E20877" t="str">
            <v>TAVOLA CAPITAL GESTAO DE RECURSOS LTDA</v>
          </cell>
        </row>
        <row r="20878">
          <cell r="B20878">
            <v>82020</v>
          </cell>
          <cell r="C20878" t="str">
            <v>VECTOR TRADING LLC</v>
          </cell>
          <cell r="D20878" t="str">
            <v>VECTOR TRADING LLC</v>
          </cell>
          <cell r="E20878" t="str">
            <v>VECTOR TRADING LLC</v>
          </cell>
        </row>
        <row r="20879">
          <cell r="B20879">
            <v>82021</v>
          </cell>
          <cell r="C20879" t="str">
            <v>VECTOR TRADING LLC</v>
          </cell>
          <cell r="D20879" t="str">
            <v>VECTOR TRADING LLC</v>
          </cell>
          <cell r="E20879" t="str">
            <v>VECTOR TRADING LLC</v>
          </cell>
        </row>
        <row r="20880">
          <cell r="B20880">
            <v>82022</v>
          </cell>
          <cell r="C20880" t="str">
            <v>FUNDAÃ‡ÃƒO DE PREVIDÃŠNCIA DOS SERVIDORES DO IRB PREVIRB</v>
          </cell>
          <cell r="D20880" t="str">
            <v>FUNDAÃ‡ÃƒO DE PREVIDÃŠNCIA DOS SERVIDORES DO IRB PREVIRB</v>
          </cell>
          <cell r="E20880" t="str">
            <v>FUNDAÇÃO DE PREVIDENCIA DOS SERVIDORES DO IRB PREVIRB</v>
          </cell>
        </row>
        <row r="20881">
          <cell r="B20881">
            <v>82023</v>
          </cell>
          <cell r="C20881" t="str">
            <v>PLANO PREVIDENCIAL A</v>
          </cell>
          <cell r="D20881" t="str">
            <v>PLANO PREVIDENCIAL A</v>
          </cell>
          <cell r="E20881" t="str">
            <v>FUNDAÇÃO DE PREVIDENCIA DOS SERVIDORES DO IRB PREVIRB</v>
          </cell>
        </row>
        <row r="20882">
          <cell r="B20882">
            <v>82025</v>
          </cell>
          <cell r="C20882" t="str">
            <v>PLANO PREVIDENCIAL B</v>
          </cell>
          <cell r="D20882" t="str">
            <v>PLANO PREVIDENCIAL B</v>
          </cell>
          <cell r="E20882" t="str">
            <v>FUNDAÇÃO DE PREVIDENCIA DOS SERVIDORES DO IRB PREVIRB</v>
          </cell>
        </row>
        <row r="20883">
          <cell r="B20883">
            <v>82028</v>
          </cell>
          <cell r="C20883" t="str">
            <v>SANTANDER SMALL CAPS AÃ‡Ã•ES FUNDO DE INVESTIMENTO</v>
          </cell>
          <cell r="D20883" t="str">
            <v>SANTANDER SMALL CAPS AÃ‡Ã•ES FUNDO DE INVESTIMENTO</v>
          </cell>
          <cell r="E20883" t="str">
            <v>SANTANDER BRASIL GESTAO DE RECURSOS LTDA</v>
          </cell>
        </row>
        <row r="20884">
          <cell r="B20884">
            <v>82029</v>
          </cell>
          <cell r="C20884" t="str">
            <v>SANTANDER FUNDO MÃšTUO DE PRIVATIZAÃ‡ÃƒO FGTS CARTEIRA LIVRE</v>
          </cell>
          <cell r="D20884" t="str">
            <v>SANTANDER FUNDO MÃšTUO DE PRIVATIZAÃ‡ÃƒO FGTS CARTEIRA LIVRE</v>
          </cell>
          <cell r="E20884" t="str">
            <v>SANTANDER BRASIL GESTAO DE RECURSOS LTDA</v>
          </cell>
        </row>
        <row r="20885">
          <cell r="B20885">
            <v>82033</v>
          </cell>
          <cell r="C20885" t="str">
            <v>CLUBE DE INV DOS EMPREGADOS DA CIA SID DE TUBARAO CIEST</v>
          </cell>
          <cell r="D20885" t="str">
            <v>CLUBE DE INV DOS EMPREGADOS DA CIA SID DE TUBARAO CIEST</v>
          </cell>
          <cell r="E20885" t="str">
            <v>SANTANDER BRASIL GESTAO DE RECURSOS LTDA</v>
          </cell>
        </row>
        <row r="20886">
          <cell r="B20886">
            <v>82034</v>
          </cell>
          <cell r="C20886" t="str">
            <v>DAHLIA GLOBAL 50 FIFE PREVIDÃŠNCIA FIM</v>
          </cell>
          <cell r="D20886" t="str">
            <v>DAHLIA GLOBAL 50 FIFE PREVIDÃŠNCIA FIM</v>
          </cell>
          <cell r="E20886" t="str">
            <v>DAHLIA CAPITAL GESTAO DE RECURSOS LTDA</v>
          </cell>
        </row>
        <row r="20887">
          <cell r="B20887">
            <v>82035</v>
          </cell>
          <cell r="C20887" t="str">
            <v>DAHLIA GLOBAL ALLOCATION MASTER FIM</v>
          </cell>
          <cell r="D20887" t="str">
            <v>DAHLIA GLOBAL ALLOCATION MASTER FIM</v>
          </cell>
          <cell r="E20887" t="str">
            <v>DAHLIA CAPITAL GESTAO DE RECURSOS LTDA</v>
          </cell>
        </row>
        <row r="20888">
          <cell r="B20888">
            <v>82036</v>
          </cell>
          <cell r="C20888" t="str">
            <v>DAHLIA MASTER AÃ‡Ã•ES PREVIDENCIÃRIO FUNDO DE INVESTIMENTO</v>
          </cell>
          <cell r="D20888" t="str">
            <v>DAHLIA MASTER AÃ‡Ã•ES PREVIDENCIÃRIO FUNDO DE INVESTIMENTO</v>
          </cell>
          <cell r="E20888" t="str">
            <v>DAHLIA CAPITAL GESTAO DE RECURSOS LTDA</v>
          </cell>
        </row>
        <row r="20889">
          <cell r="B20889">
            <v>82037</v>
          </cell>
          <cell r="C20889" t="str">
            <v>DAHLIA PREV TOTAL RETURN 70 FIFE MULTIMERCADO FI</v>
          </cell>
          <cell r="D20889" t="str">
            <v>DAHLIA PREV TOTAL RETURN 70 FIFE MULTIMERCADO FI</v>
          </cell>
          <cell r="E20889" t="str">
            <v>DAHLIA CAPITAL GESTAO DE RECURSOS LTDA</v>
          </cell>
        </row>
        <row r="20890">
          <cell r="B20890">
            <v>82038</v>
          </cell>
          <cell r="C20890" t="str">
            <v>DAHLIA 70 ADVISORY XP SEGUROS FIFE PREVIDÃŠNCIA FIM</v>
          </cell>
          <cell r="D20890" t="str">
            <v>DAHLIA 70 ADVISORY XP SEGUROS FIFE PREVIDÃŠNCIA FIM</v>
          </cell>
          <cell r="E20890" t="str">
            <v>DAHLIA CAPITAL GESTAO DE RECURSOS LTDA</v>
          </cell>
        </row>
        <row r="20891">
          <cell r="B20891">
            <v>82039</v>
          </cell>
          <cell r="C20891" t="str">
            <v>BR FUNDO DE INVESTIMENTO EM COTAS DE FIM CP IE</v>
          </cell>
          <cell r="D20891" t="str">
            <v>BR FUNDO DE INVESTIMENTO EM COTAS DE FIM CP IE</v>
          </cell>
          <cell r="E20891" t="str">
            <v>JULIUS BAER FAMILY OFFICE BRASIL GESTAO DE PATRIMONIO LTDA</v>
          </cell>
        </row>
        <row r="20892">
          <cell r="B20892">
            <v>82039</v>
          </cell>
          <cell r="C20892" t="str">
            <v>BR FUNDO DE INVESTIMENTO EM COTAS DE FIM CP IE</v>
          </cell>
          <cell r="D20892" t="str">
            <v>BR FUNDO DE INVESTIMENTO EM COTAS DE FIM CP IE</v>
          </cell>
          <cell r="E20892" t="str">
            <v>JULIUS BAER FAMILY OFFICE BRASIL GESTAO DE PATRIMONIO LTDA</v>
          </cell>
        </row>
        <row r="20893">
          <cell r="B20893">
            <v>82040</v>
          </cell>
          <cell r="C20893" t="str">
            <v>BEAR FIC DE FUNDOS DE INVESTIMENTO MULTIMERCADO CP IE</v>
          </cell>
          <cell r="D20893" t="str">
            <v>BEAR FIC DE FUNDOS DE INVESTIMENTO MULTIMERCADO CP IE</v>
          </cell>
          <cell r="E20893" t="str">
            <v>JULIUS BAER FAMILY OFFICE BRASIL GESTAO DE PATRIMONIO LTDA</v>
          </cell>
        </row>
        <row r="20894">
          <cell r="B20894">
            <v>82040</v>
          </cell>
          <cell r="C20894" t="str">
            <v>BEAR FIC DE FUNDOS DE INVESTIMENTO MULTIMERCADO CP IE</v>
          </cell>
          <cell r="D20894" t="str">
            <v>BEAR FIC DE FUNDOS DE INVESTIMENTO MULTIMERCADO CP IE</v>
          </cell>
          <cell r="E20894" t="str">
            <v>JULIUS BAER FAMILY OFFICE BRASIL GESTAO DE PATRIMONIO LTDA</v>
          </cell>
        </row>
        <row r="20895">
          <cell r="B20895">
            <v>82043</v>
          </cell>
          <cell r="C20895" t="str">
            <v>ER FUNDO DE INVESTIMENTO EM COTAS DE FIM CP IE</v>
          </cell>
          <cell r="D20895" t="str">
            <v>ER FUNDO DE INVESTIMENTO EM COTAS DE FIM CP IE</v>
          </cell>
          <cell r="E20895" t="str">
            <v>JULIUS BAER FAMILY OFFICE BRASIL GESTAO DE PATRIMONIO LTDA</v>
          </cell>
        </row>
        <row r="20896">
          <cell r="B20896">
            <v>82043</v>
          </cell>
          <cell r="C20896" t="str">
            <v>ER FUNDO DE INVESTIMENTO EM COTAS DE FIM CP IE</v>
          </cell>
          <cell r="D20896" t="str">
            <v>ER FUNDO DE INVESTIMENTO EM COTAS DE FIM CP IE</v>
          </cell>
          <cell r="E20896" t="str">
            <v>JULIUS BAER FAMILY OFFICE BRASIL GESTAO DE PATRIMONIO LTDA</v>
          </cell>
        </row>
        <row r="20897">
          <cell r="B20897">
            <v>82044</v>
          </cell>
          <cell r="C20897" t="str">
            <v>JGMX FUNDO DE INVESTIMENTO MULTIMERCADO CRÃ‰DITO PRIVADO IE</v>
          </cell>
          <cell r="D20897" t="str">
            <v>JGMX FUNDO DE INVESTIMENTO MULTIMERCADO CRÃ‰DITO PRIVADO IE</v>
          </cell>
          <cell r="E20897" t="str">
            <v>JULIUS BAER FAMILY OFFICE BRASIL GESTAO DE PATRIMONIO LTDA</v>
          </cell>
        </row>
        <row r="20898">
          <cell r="B20898">
            <v>82044</v>
          </cell>
          <cell r="C20898" t="str">
            <v>JGMX FUNDO DE INVESTIMENTO MULTIMERCADO CRÃ‰DITO PRIVADO IE</v>
          </cell>
          <cell r="D20898" t="str">
            <v>JGMX FUNDO DE INVESTIMENTO MULTIMERCADO CRÃ‰DITO PRIVADO IE</v>
          </cell>
          <cell r="E20898" t="str">
            <v>JULIUS BAER FAMILY OFFICE BRASIL GESTAO DE PATRIMONIO LTDA</v>
          </cell>
        </row>
        <row r="20899">
          <cell r="B20899">
            <v>82045</v>
          </cell>
          <cell r="C20899" t="str">
            <v>GCJB DEBENTURES INCETIVADAS FI EM INFRA RF</v>
          </cell>
          <cell r="D20899" t="str">
            <v>GCJB DEBENTURES INCETIVADAS FI EM INFRA RF</v>
          </cell>
          <cell r="E20899" t="str">
            <v>JULIUS BAER FAMILY OFFICE BRASIL GESTAO DE PATRIMONIO LTDA</v>
          </cell>
        </row>
        <row r="20900">
          <cell r="B20900">
            <v>82045</v>
          </cell>
          <cell r="C20900" t="str">
            <v>GCJB DEBENTURES INCETIVADAS FI EM INFRA RF</v>
          </cell>
          <cell r="D20900" t="str">
            <v>GCJB DEBENTURES INCETIVADAS FI EM INFRA RF</v>
          </cell>
          <cell r="E20900" t="str">
            <v>JULIUS BAER FAMILY OFFICE BRASIL GESTAO DE PATRIMONIO LTDA</v>
          </cell>
        </row>
        <row r="20901">
          <cell r="B20901">
            <v>82046</v>
          </cell>
          <cell r="C20901" t="str">
            <v>JBGC FIF EM AÃ‡Ã•ES INVESTIMENTO NO EXTERIOR RL</v>
          </cell>
          <cell r="D20901" t="str">
            <v>JBGC FIF EM AÃ‡Ã•ES INVESTIMENTO NO EXTERIOR RL</v>
          </cell>
          <cell r="E20901" t="str">
            <v>ITAU UNIBANCO ASSET - TACO</v>
          </cell>
        </row>
        <row r="20902">
          <cell r="B20902">
            <v>82047</v>
          </cell>
          <cell r="C20902" t="str">
            <v>TAMANDUAÃ FUNDO DE INVESTIMENTO MULTIMERCADO CP IE</v>
          </cell>
          <cell r="D20902" t="str">
            <v>TAMANDUAÃ FUNDO DE INVESTIMENTO MULTIMERCADO CP IE</v>
          </cell>
          <cell r="E20902" t="str">
            <v>JULIUS BAER FAMILY OFFICE BRASIL GESTAO DE PATRIMONIO LTDA</v>
          </cell>
        </row>
        <row r="20903">
          <cell r="B20903">
            <v>82047</v>
          </cell>
          <cell r="C20903" t="str">
            <v>TAMANDUAÃ FUNDO DE INVESTIMENTO MULTIMERCADO CP IE</v>
          </cell>
          <cell r="D20903" t="str">
            <v>TAMANDUAÃ FUNDO DE INVESTIMENTO MULTIMERCADO CP IE</v>
          </cell>
          <cell r="E20903" t="str">
            <v>JULIUS BAER FAMILY OFFICE BRASIL GESTAO DE PATRIMONIO LTDA</v>
          </cell>
        </row>
        <row r="20904">
          <cell r="B20904">
            <v>82048</v>
          </cell>
          <cell r="C20904" t="str">
            <v>FORTALEZA DEBÃŠNTURES INCENTIVADAS FII EM INFRA RF</v>
          </cell>
          <cell r="D20904" t="str">
            <v>FORTALEZA DEBÃŠNTURES INCENTIVADAS FII EM INFRA RF</v>
          </cell>
          <cell r="E20904" t="str">
            <v>JULIUS BAER FAMILY OFFICE BRASIL GESTAO DE PATRIMONIO LTDA</v>
          </cell>
        </row>
        <row r="20905">
          <cell r="B20905">
            <v>82048</v>
          </cell>
          <cell r="C20905" t="str">
            <v>FORTALEZA DEBÃŠNTURES INCENTIVADAS FII EM INFRA RF</v>
          </cell>
          <cell r="D20905" t="str">
            <v>FORTALEZA DEBÃŠNTURES INCENTIVADAS FII EM INFRA RF</v>
          </cell>
          <cell r="E20905" t="str">
            <v>JULIUS BAER FAMILY OFFICE BRASIL GESTAO DE PATRIMONIO LTDA</v>
          </cell>
        </row>
        <row r="20906">
          <cell r="B20906">
            <v>82049</v>
          </cell>
          <cell r="C20906" t="str">
            <v>CASCAIS DEBÃŠNTURES INCENTIVADAS FII EM INFRA RF</v>
          </cell>
          <cell r="D20906" t="str">
            <v>CASCAIS DEBÃŠNTURES INCENTIVADAS FII EM INFRA RF</v>
          </cell>
          <cell r="E20906" t="str">
            <v>JULIUS BAER FAMILY OFFICE BRASIL GESTAO DE PATRIMONIO LTDA</v>
          </cell>
        </row>
        <row r="20907">
          <cell r="B20907">
            <v>82049</v>
          </cell>
          <cell r="C20907" t="str">
            <v>CASCAIS DEBÃŠNTURES INCENTIVADAS FII EM INFRA RF</v>
          </cell>
          <cell r="D20907" t="str">
            <v>CASCAIS DEBÃŠNTURES INCENTIVADAS FII EM INFRA RF</v>
          </cell>
          <cell r="E20907" t="str">
            <v>JULIUS BAER FAMILY OFFICE BRASIL GESTAO DE PATRIMONIO LTDA</v>
          </cell>
        </row>
        <row r="20908">
          <cell r="B20908">
            <v>82050</v>
          </cell>
          <cell r="C20908" t="str">
            <v>BANCO BMG S/A</v>
          </cell>
          <cell r="D20908" t="str">
            <v>BANCO BMG S/A</v>
          </cell>
          <cell r="E20908" t="str">
            <v>BANCO BMG S/A</v>
          </cell>
        </row>
        <row r="20909">
          <cell r="B20909">
            <v>82058</v>
          </cell>
          <cell r="C20909" t="str">
            <v>SPX LANCER PLUS PREVIDENCIÃRIO FI MULTIMERCADO</v>
          </cell>
          <cell r="D20909" t="str">
            <v>SPX LANCER PLUS PREVIDENCIÃRIO FI MULTIMERCADO</v>
          </cell>
          <cell r="E20909" t="str">
            <v>SPX GESTAO DE RECURSOS LTDA</v>
          </cell>
        </row>
        <row r="20910">
          <cell r="B20910">
            <v>82059</v>
          </cell>
          <cell r="C20910" t="str">
            <v>SPX LANCER PREVIDENCIARIO FIM</v>
          </cell>
          <cell r="D20910" t="str">
            <v>SPX LANCER PREVIDENCIARIO FIM</v>
          </cell>
          <cell r="E20910" t="str">
            <v>SPX GESTAO DE RECURSOS LTDA</v>
          </cell>
        </row>
        <row r="20911">
          <cell r="B20911">
            <v>82060</v>
          </cell>
          <cell r="C20911" t="str">
            <v>TRUXT LONG BIAS PREVIDENCIA MASTER FI MM</v>
          </cell>
          <cell r="D20911" t="str">
            <v>TRUXT LONG BIAS PREVIDENCIA MASTER FI MM</v>
          </cell>
          <cell r="E20911" t="str">
            <v>TRUXT INVESTIMENTOS LTDA</v>
          </cell>
        </row>
        <row r="20912">
          <cell r="B20912">
            <v>82061</v>
          </cell>
          <cell r="C20912" t="str">
            <v>YPE FUNDO DE INVESTIMENTO MULTIMERCADO CRÃ‰DITO PRIVADO IE</v>
          </cell>
          <cell r="D20912" t="str">
            <v>YPE FUNDO DE INVESTIMENTO MULTIMERCADO CRÃ‰DITO PRIVADO IE</v>
          </cell>
          <cell r="E20912" t="str">
            <v>JULIUS BAER FAMILY OFFICE BRASIL GESTAO DE PATRIMONIO LTDA</v>
          </cell>
        </row>
        <row r="20913">
          <cell r="B20913">
            <v>82061</v>
          </cell>
          <cell r="C20913" t="str">
            <v>YPE FUNDO DE INVESTIMENTO MULTIMERCADO CRÃ‰DITO PRIVADO IE</v>
          </cell>
          <cell r="D20913" t="str">
            <v>YPE FUNDO DE INVESTIMENTO MULTIMERCADO CRÃ‰DITO PRIVADO IE</v>
          </cell>
          <cell r="E20913" t="str">
            <v>JULIUS BAER FAMILY OFFICE BRASIL GESTAO DE PATRIMONIO LTDA</v>
          </cell>
        </row>
        <row r="20914">
          <cell r="B20914">
            <v>82063</v>
          </cell>
          <cell r="C20914" t="str">
            <v>ITAU FLEXPREV MASTER GD MULTIMERCADO FUNDO DE INVESTIMENTO</v>
          </cell>
          <cell r="D20914" t="str">
            <v>ITAU FLEXPREV MASTER GD MULTIMERCADO FUNDO DE INVESTIMENTO</v>
          </cell>
          <cell r="E20914" t="str">
            <v>ITAU UNIBANCO ASSET - TACO</v>
          </cell>
        </row>
        <row r="20915">
          <cell r="B20915">
            <v>82064</v>
          </cell>
          <cell r="C20915" t="str">
            <v>ITAU MASTER GLOBAL DINAMICO ULTRA MULTIMERCADO FUNDO DE INVE</v>
          </cell>
          <cell r="D20915" t="str">
            <v>ITAU MASTER GLOBAL DINAMICO ULTRA MULTIMERCADO FUNDO DE INVE</v>
          </cell>
          <cell r="E20915" t="str">
            <v>ITAU UNIBANCO ASSET - TACO</v>
          </cell>
        </row>
        <row r="20916">
          <cell r="B20916">
            <v>82078</v>
          </cell>
          <cell r="C20916" t="str">
            <v>QUANTIQ PARTNERS LLC</v>
          </cell>
          <cell r="D20916" t="str">
            <v>QUANTIQ PARTNERS LLC</v>
          </cell>
          <cell r="E20916" t="str">
            <v>QUANTIQ PARTNERS LLC</v>
          </cell>
        </row>
        <row r="20917">
          <cell r="B20917">
            <v>82079</v>
          </cell>
          <cell r="C20917" t="str">
            <v>QUANTIQ PARTNERS LLC</v>
          </cell>
          <cell r="D20917" t="str">
            <v>QUANTIQ PARTNERS LLC</v>
          </cell>
          <cell r="E20917" t="str">
            <v>QUANTIQ PARTNERS LLC</v>
          </cell>
        </row>
        <row r="20918">
          <cell r="B20918">
            <v>82078</v>
          </cell>
          <cell r="C20918" t="str">
            <v>QUANTIQ PARTNERS LLC</v>
          </cell>
          <cell r="D20918" t="str">
            <v>QUANTIQ PARTNERS LLC</v>
          </cell>
          <cell r="E20918" t="str">
            <v>QUANTIQ PARTNERS LLC</v>
          </cell>
        </row>
        <row r="20919">
          <cell r="B20919">
            <v>82079</v>
          </cell>
          <cell r="C20919" t="str">
            <v>QUANTIQ PARTNERS LLC</v>
          </cell>
          <cell r="D20919" t="str">
            <v>QUANTIQ PARTNERS LLC</v>
          </cell>
          <cell r="E20919" t="str">
            <v>QUANTIQ PARTNERS LLC</v>
          </cell>
        </row>
        <row r="20920">
          <cell r="B20920">
            <v>82080</v>
          </cell>
          <cell r="C20920" t="str">
            <v>QUANTIQ PARTNERS LLC</v>
          </cell>
          <cell r="D20920" t="str">
            <v>QUANTIQ PARTNERS LLC</v>
          </cell>
          <cell r="E20920" t="str">
            <v>QUANTIQ PARTNERS LLC</v>
          </cell>
        </row>
        <row r="20921">
          <cell r="B20921">
            <v>82080</v>
          </cell>
          <cell r="C20921" t="str">
            <v>QUANTIQ PARTNERS LLC</v>
          </cell>
          <cell r="D20921" t="str">
            <v>QUANTIQ PARTNERS LLC</v>
          </cell>
          <cell r="E20921" t="str">
            <v>QUANTIQ PARTNERS LLC</v>
          </cell>
        </row>
        <row r="20922">
          <cell r="B20922">
            <v>82081</v>
          </cell>
          <cell r="C20922" t="str">
            <v>REAG ASSET MANAGEMENT LTDA</v>
          </cell>
          <cell r="D20922" t="str">
            <v>REAG ASSET MANAGEMENT LTDA</v>
          </cell>
          <cell r="E20922" t="str">
            <v>REAG ASSET MANAGEMENT LTDA</v>
          </cell>
        </row>
        <row r="20923">
          <cell r="B20923">
            <v>82081</v>
          </cell>
          <cell r="C20923" t="str">
            <v>REAG ASSET MANAGEMENT LTDA</v>
          </cell>
          <cell r="D20923" t="str">
            <v>REAG ASSET MANAGEMENT LTDA</v>
          </cell>
          <cell r="E20923" t="str">
            <v>REAG ASSET MANAGEMENT LTDA</v>
          </cell>
        </row>
        <row r="20924">
          <cell r="B20924">
            <v>82082</v>
          </cell>
          <cell r="C20924" t="str">
            <v>TENAX TOTAL RETURN PREVIDÃŠNCIA MASTER FIFE FIM</v>
          </cell>
          <cell r="D20924" t="str">
            <v>TENAX TOTAL RETURN PREVIDÃŠNCIA MASTER FIFE FIM</v>
          </cell>
          <cell r="E20924" t="str">
            <v>TENAX CAPITAL LTDA</v>
          </cell>
        </row>
        <row r="20925">
          <cell r="B20925">
            <v>82082</v>
          </cell>
          <cell r="C20925" t="str">
            <v>TENAX TOTAL RETURN PREVIDÃŠNCIA MASTER FIFE FIM</v>
          </cell>
          <cell r="D20925" t="str">
            <v>TENAX TOTAL RETURN PREVIDÃŠNCIA MASTER FIFE FIM</v>
          </cell>
          <cell r="E20925" t="str">
            <v>TENAX CAPITAL LTDA</v>
          </cell>
        </row>
        <row r="20926">
          <cell r="B20926">
            <v>82084</v>
          </cell>
          <cell r="C20926" t="str">
            <v>ALFERES FUNDO DE INVESTIMENTO MULTIMERCADO CP IE</v>
          </cell>
          <cell r="D20926" t="str">
            <v>ALFERES FUNDO DE INVESTIMENTO MULTIMERCADO CP IE</v>
          </cell>
          <cell r="E20926" t="str">
            <v>JULIUS BAER FAMILY OFFICE BRASIL GESTAO DE PATRIMONIO LTDA</v>
          </cell>
        </row>
        <row r="20927">
          <cell r="B20927">
            <v>82084</v>
          </cell>
          <cell r="C20927" t="str">
            <v>ALFERES FUNDO DE INVESTIMENTO MULTIMERCADO CP IE</v>
          </cell>
          <cell r="D20927" t="str">
            <v>ALFERES FUNDO DE INVESTIMENTO MULTIMERCADO CP IE</v>
          </cell>
          <cell r="E20927" t="str">
            <v>JULIUS BAER FAMILY OFFICE BRASIL GESTAO DE PATRIMONIO LTDA</v>
          </cell>
        </row>
        <row r="20928">
          <cell r="B20928">
            <v>82086</v>
          </cell>
          <cell r="C20928" t="str">
            <v>GREEN LAND FUNDO DE INVESTIMENTO MULTIMERCADO CRED PRIV IE</v>
          </cell>
          <cell r="D20928" t="str">
            <v>GREEN LAND FUNDO DE INVESTIMENTO MULTIMERCADO CRED PRIV IE</v>
          </cell>
          <cell r="E20928" t="str">
            <v>JULIUS BAER FAMILY OFFICE BRASIL GESTAO DE PATRIMONIO LTDA</v>
          </cell>
        </row>
        <row r="20929">
          <cell r="B20929">
            <v>82086</v>
          </cell>
          <cell r="C20929" t="str">
            <v>GREEN LAND FUNDO DE INVESTIMENTO MULTIMERCADO CRED PRIV IE</v>
          </cell>
          <cell r="D20929" t="str">
            <v>GREEN LAND FUNDO DE INVESTIMENTO MULTIMERCADO CRED PRIV IE</v>
          </cell>
          <cell r="E20929" t="str">
            <v>JULIUS BAER FAMILY OFFICE BRASIL GESTAO DE PATRIMONIO LTDA</v>
          </cell>
        </row>
        <row r="20930">
          <cell r="B20930">
            <v>82087</v>
          </cell>
          <cell r="C20930" t="str">
            <v>CARBON FUNDO DE INVESTIMENTO MULTIMERCADO CRÃ‰DITO PRIVADO IE</v>
          </cell>
          <cell r="D20930" t="str">
            <v>CARBON FUNDO DE INVESTIMENTO MULTIMERCADO CRÃ‰DITO PRIVADO IE</v>
          </cell>
          <cell r="E20930" t="str">
            <v>CARBON ASSET MANAGEMENT LTDA</v>
          </cell>
        </row>
        <row r="20931">
          <cell r="B20931">
            <v>82088</v>
          </cell>
          <cell r="C20931" t="str">
            <v>CARBON JUROS MASTER FUNDO DE INVESTIMENTO EM COTAS DE FI RF</v>
          </cell>
          <cell r="D20931" t="str">
            <v>CARBON JUROS MASTER FUNDO DE INVESTIMENTO EM COTAS DE FI RF</v>
          </cell>
          <cell r="E20931" t="str">
            <v>CARBON ASSET MANAGEMENT LTDA</v>
          </cell>
        </row>
        <row r="20932">
          <cell r="B20932">
            <v>82089</v>
          </cell>
          <cell r="C20932" t="str">
            <v>CARBON NASDAQ MASTER FUNDO DE INVESTIMENTO MULTIMERCADO</v>
          </cell>
          <cell r="D20932" t="str">
            <v>CARBON NASDAQ MASTER FUNDO DE INVESTIMENTO MULTIMERCADO</v>
          </cell>
          <cell r="E20932" t="str">
            <v>CARBON ASSET MANAGEMENT LTDA</v>
          </cell>
        </row>
        <row r="20933">
          <cell r="B20933">
            <v>82090</v>
          </cell>
          <cell r="C20933" t="str">
            <v>CARBON INFLAÃ‡ÃƒO MASTER FUNDO DE INVESTIMENTO EM COTAS FI RF</v>
          </cell>
          <cell r="D20933" t="str">
            <v>CARBON INFLAÃ‡ÃƒO MASTER FUNDO DE INVESTIMENTO EM COTAS FI RF</v>
          </cell>
          <cell r="E20933" t="str">
            <v>CARBON ASSET MANAGEMENT LTDA</v>
          </cell>
        </row>
        <row r="20934">
          <cell r="B20934">
            <v>27647</v>
          </cell>
          <cell r="C20934" t="str">
            <v>GOLDMAN SACHS DO BRASIL CTVM S/A</v>
          </cell>
          <cell r="D20934" t="str">
            <v>GOLDMAN SACHS DO BRASIL CTVM S/A</v>
          </cell>
          <cell r="E20934" t="str">
            <v>GOLDMAN SACHS DO BRASIL BANCO MULTIPLO S/A</v>
          </cell>
        </row>
        <row r="20935">
          <cell r="B20935">
            <v>27647</v>
          </cell>
          <cell r="C20935" t="str">
            <v>GOLDMAN SACHS DO BRASIL CTVM S/A</v>
          </cell>
          <cell r="D20935" t="str">
            <v>GOLDMAN SACHS DO BRASIL CTVM S/A</v>
          </cell>
          <cell r="E20935" t="str">
            <v>GOLDMAN SACHS DO BRASIL BANCO MULTIPLO S/A</v>
          </cell>
        </row>
        <row r="20936">
          <cell r="B20936">
            <v>82093</v>
          </cell>
          <cell r="C20936" t="str">
            <v>ITAU JANEIRO MULTIMERCADO FI</v>
          </cell>
          <cell r="D20936" t="str">
            <v>ITAU JANEIRO MULTIMERCADO FI</v>
          </cell>
          <cell r="E20936" t="str">
            <v>ITAU UNIBANCO ASSET - TACO</v>
          </cell>
        </row>
        <row r="20937">
          <cell r="B20937">
            <v>82094</v>
          </cell>
          <cell r="C20937" t="str">
            <v>BANCO CITIBANK S/A</v>
          </cell>
          <cell r="D20937" t="str">
            <v>BANCO CITIBANK S/A</v>
          </cell>
          <cell r="E20937" t="str">
            <v>BANCO CITIBANK S/A</v>
          </cell>
        </row>
        <row r="20938">
          <cell r="B20938">
            <v>82095</v>
          </cell>
          <cell r="C20938" t="str">
            <v>CAROLERA FUNDO DE INVESTIMENTO MULTIMERCADO CP IE</v>
          </cell>
          <cell r="D20938" t="str">
            <v>CAROLERA FUNDO DE INVESTIMENTO MULTIMERCADO CP IE</v>
          </cell>
          <cell r="E20938" t="str">
            <v>JULIUS BAER FAMILY OFFICE BRASIL GESTAO DE PATRIMONIO LTDA</v>
          </cell>
        </row>
        <row r="20939">
          <cell r="B20939">
            <v>82095</v>
          </cell>
          <cell r="C20939" t="str">
            <v>CAROLERA FUNDO DE INVESTIMENTO MULTIMERCADO CP IE</v>
          </cell>
          <cell r="D20939" t="str">
            <v>CAROLERA FUNDO DE INVESTIMENTO MULTIMERCADO CP IE</v>
          </cell>
          <cell r="E20939" t="str">
            <v>JULIUS BAER FAMILY OFFICE BRASIL GESTAO DE PATRIMONIO LTDA</v>
          </cell>
        </row>
        <row r="20940">
          <cell r="B20940">
            <v>82096</v>
          </cell>
          <cell r="C20940" t="str">
            <v>LAGO RICO FUNDO DE INVESTIMENTO MULTIMERCADO IE</v>
          </cell>
          <cell r="D20940" t="str">
            <v>LAGO RICO FUNDO DE INVESTIMENTO MULTIMERCADO IE</v>
          </cell>
          <cell r="E20940" t="str">
            <v>JULIUS BAER FAMILY OFFICE BRASIL GESTAO DE PATRIMONIO LTDA</v>
          </cell>
        </row>
        <row r="20941">
          <cell r="B20941">
            <v>82096</v>
          </cell>
          <cell r="C20941" t="str">
            <v>LAGO RICO FUNDO DE INVESTIMENTO MULTIMERCADO IE</v>
          </cell>
          <cell r="D20941" t="str">
            <v>LAGO RICO FUNDO DE INVESTIMENTO MULTIMERCADO IE</v>
          </cell>
          <cell r="E20941" t="str">
            <v>JULIUS BAER FAMILY OFFICE BRASIL GESTAO DE PATRIMONIO LTDA</v>
          </cell>
        </row>
        <row r="20942">
          <cell r="B20942">
            <v>82097</v>
          </cell>
          <cell r="C20942" t="str">
            <v>ITAU FLEXPREV JANEIRO MULTIMERCADO FI</v>
          </cell>
          <cell r="D20942" t="str">
            <v>ITAU FLEXPREV JANEIRO MULTIMERCADO FI</v>
          </cell>
          <cell r="E20942" t="str">
            <v>ITAU UNIBANCO ASSET - TACO</v>
          </cell>
        </row>
        <row r="20943">
          <cell r="B20943">
            <v>82098</v>
          </cell>
          <cell r="C20943" t="str">
            <v>ITAÃš MASTER HUNTER LONG ONLY FIF ACOES RL</v>
          </cell>
          <cell r="D20943" t="str">
            <v>ITAÃš MASTER HUNTER LONG ONLY FIF ACOES RL</v>
          </cell>
          <cell r="E20943" t="str">
            <v>ITAU UNIBANCO ASSET - TACO</v>
          </cell>
        </row>
        <row r="20944">
          <cell r="B20944">
            <v>82099</v>
          </cell>
          <cell r="C20944" t="str">
            <v>SAFRA MIX I FUNDO DE INVESTIMENTO EM COTAS DE FIM</v>
          </cell>
          <cell r="D20944" t="str">
            <v>SAFRA MIX I FUNDO DE INVESTIMENTO EM COTAS DE FIM</v>
          </cell>
          <cell r="E20944" t="str">
            <v>EMERALD GESTAO DE INVESTIMENTOS LTDA</v>
          </cell>
        </row>
        <row r="20945">
          <cell r="B20945">
            <v>82101</v>
          </cell>
          <cell r="C20945" t="str">
            <v>CARBON SISTEMATICO MASTER FUNDO DE INVESTIMENTO MULTIMERCADO</v>
          </cell>
          <cell r="D20945" t="str">
            <v>CARBON SISTEMATICO MASTER FUNDO DE INVESTIMENTO MULTIMERCADO</v>
          </cell>
          <cell r="E20945" t="str">
            <v>CARBON ASSET MANAGEMENT LTDA</v>
          </cell>
        </row>
        <row r="20946">
          <cell r="B20946">
            <v>82103</v>
          </cell>
          <cell r="C20946" t="str">
            <v>MAGNUS VALOR INST MASTER FIA</v>
          </cell>
          <cell r="D20946" t="str">
            <v>MAGNUS VALOR INST MASTER FIA</v>
          </cell>
          <cell r="E20946" t="str">
            <v>MAGNUS CAPITAL GESTORA DE RECURSOS LTDA</v>
          </cell>
        </row>
        <row r="20947">
          <cell r="B20947">
            <v>82104</v>
          </cell>
          <cell r="C20947" t="str">
            <v>MAGNUS VALOR INSTITUCIONAL E MASTER FIA</v>
          </cell>
          <cell r="D20947" t="str">
            <v>MAGNUS VALOR INSTITUCIONAL E MASTER FIA</v>
          </cell>
          <cell r="E20947" t="str">
            <v>MAGNUS CAPITAL GESTORA DE RECURSOS LTDA</v>
          </cell>
        </row>
        <row r="20948">
          <cell r="B20948">
            <v>82105</v>
          </cell>
          <cell r="C20948" t="str">
            <v>MAGNUS VALOR MASTER FIA RESPONSABILIDADE LIMITADA</v>
          </cell>
          <cell r="D20948" t="str">
            <v>MAGNUS VALOR MASTER FIA RESPONSABILIDADE LIMITADA</v>
          </cell>
          <cell r="E20948" t="str">
            <v>MAGNUS CAPITAL GESTORA DE RECURSOS LTDA</v>
          </cell>
        </row>
        <row r="20949">
          <cell r="B20949">
            <v>82114</v>
          </cell>
          <cell r="C20949" t="str">
            <v>SPX FALCON INSTITUCIONAL MASTER FIM</v>
          </cell>
          <cell r="D20949" t="str">
            <v>SPX FALCON INSTITUCIONAL MASTER FIM</v>
          </cell>
          <cell r="E20949" t="str">
            <v>SPX GESTAO DE RECURSOS LTDA</v>
          </cell>
        </row>
        <row r="20950">
          <cell r="B20950">
            <v>82115</v>
          </cell>
          <cell r="C20950" t="str">
            <v>SPX LONG BIAS PREVIDENCIARIO MASTER FIM</v>
          </cell>
          <cell r="D20950" t="str">
            <v>SPX LONG BIAS PREVIDENCIARIO MASTER FIM</v>
          </cell>
          <cell r="E20950" t="str">
            <v>SPX GESTAO DE RECURSOS LTDA</v>
          </cell>
        </row>
        <row r="20951">
          <cell r="B20951">
            <v>82116</v>
          </cell>
          <cell r="C20951" t="str">
            <v>SPX HORNET EQUITY HEDGE MASTER FIM</v>
          </cell>
          <cell r="D20951" t="str">
            <v>SPX HORNET EQUITY HEDGE MASTER FIM</v>
          </cell>
          <cell r="E20951" t="str">
            <v>SPX GESTAO DE RECURSOS LTDA</v>
          </cell>
        </row>
        <row r="20952">
          <cell r="B20952">
            <v>82121</v>
          </cell>
          <cell r="C20952" t="str">
            <v>ESH THETA MASTER FUNDO DE INVESTIMENTO MULTIMERCADO</v>
          </cell>
          <cell r="D20952" t="str">
            <v>ESH THETA MASTER FUNDO DE INVESTIMENTO MULTIMERCADO</v>
          </cell>
          <cell r="E20952" t="str">
            <v>ESH CAPITAL INVESTIMENTOS LTDA.</v>
          </cell>
        </row>
        <row r="20953">
          <cell r="B20953">
            <v>82122</v>
          </cell>
          <cell r="C20953" t="str">
            <v>ITAU UNIBANCO S.A.</v>
          </cell>
          <cell r="D20953" t="str">
            <v>ITAU UNIBANCO S.A.</v>
          </cell>
          <cell r="E20953" t="str">
            <v>ITAU UNIBANCO ASSET - QUANT   GEMS</v>
          </cell>
        </row>
        <row r="20954">
          <cell r="B20954">
            <v>82122</v>
          </cell>
          <cell r="C20954" t="str">
            <v>ITAU UNIBANCO S.A.</v>
          </cell>
          <cell r="D20954" t="str">
            <v>ITAU UNIBANCO S.A.</v>
          </cell>
          <cell r="E20954" t="str">
            <v>ITAU UNIBANCO ASSET - QUANT   GEMS</v>
          </cell>
        </row>
        <row r="20955">
          <cell r="B20955">
            <v>82149</v>
          </cell>
          <cell r="C20955" t="str">
            <v>TVD FUNDO DE INVESTIMENTO FINANCEIRO MULTIMERCADO CP</v>
          </cell>
          <cell r="D20955" t="str">
            <v>TVD FUNDO DE INVESTIMENTO FINANCEIRO MULTIMERCADO CP</v>
          </cell>
          <cell r="E20955" t="str">
            <v>JULIUS BAER FAMILY OFFICE BRASIL GESTAO DE PATRIMONIO LTDA</v>
          </cell>
        </row>
        <row r="20956">
          <cell r="B20956">
            <v>82149</v>
          </cell>
          <cell r="C20956" t="str">
            <v>TVD FUNDO DE INVESTIMENTO FINANCEIRO MULTIMERCADO CP</v>
          </cell>
          <cell r="D20956" t="str">
            <v>TVD FUNDO DE INVESTIMENTO FINANCEIRO MULTIMERCADO CP</v>
          </cell>
          <cell r="E20956" t="str">
            <v>JULIUS BAER FAMILY OFFICE BRASIL GESTAO DE PATRIMONIO LTDA</v>
          </cell>
        </row>
        <row r="20957">
          <cell r="B20957">
            <v>82158</v>
          </cell>
          <cell r="C20957" t="str">
            <v>A1 HEDGE PLUS FUNDO DE INVESTIMENTO FINANCEIRO MULTIMERCADO</v>
          </cell>
          <cell r="D20957" t="str">
            <v>A1 HEDGE PLUS FUNDO DE INVESTIMENTO FINANCEIRO MULTIMERCADO</v>
          </cell>
          <cell r="E20957" t="str">
            <v>ASSET1 INVESTIMENTOS LTDA</v>
          </cell>
        </row>
        <row r="20958">
          <cell r="B20958">
            <v>82178</v>
          </cell>
          <cell r="C20958" t="str">
            <v>BANCO SUMITOMO MITSUI BRASILEIRO S.A</v>
          </cell>
          <cell r="D20958" t="str">
            <v>BANCO SUMITOMO MITSUI BRASILEIRO S.A</v>
          </cell>
          <cell r="E20958" t="str">
            <v>BANCO SUMITOMO MITSUI BRASILEIRO S/A</v>
          </cell>
        </row>
        <row r="20959">
          <cell r="B20959">
            <v>82206</v>
          </cell>
          <cell r="C20959" t="str">
            <v>ITAU UNIBANCO S.A.</v>
          </cell>
          <cell r="D20959" t="str">
            <v>ITAU UNIBANCO S.A.</v>
          </cell>
          <cell r="E20959" t="str">
            <v>ITAU UNIBANCO S/A</v>
          </cell>
        </row>
        <row r="20960">
          <cell r="B20960">
            <v>82210</v>
          </cell>
          <cell r="C20960" t="str">
            <v>INST DE PREV SOCIAL DOS SERV PUB DO MUNI DE LEOBERTO LEAL</v>
          </cell>
          <cell r="D20960" t="str">
            <v>INST DE PREV SOCIAL DOS SERV PUB DO MUNI DE LEOBERTO LEAL</v>
          </cell>
          <cell r="E20960" t="str">
            <v>INST DE PREV SOCIAL DOS SERV PUB DO MUNI DE LEOBERTO LEAL</v>
          </cell>
        </row>
        <row r="20961">
          <cell r="B20961">
            <v>82210</v>
          </cell>
          <cell r="C20961" t="str">
            <v>INST DE PREV SOCIAL DOS SERV PUB DO MUNI DE LEOBERTO LEAL</v>
          </cell>
          <cell r="D20961" t="str">
            <v>INST DE PREV SOCIAL DOS SERV PUB DO MUNI DE LEOBERTO LEAL</v>
          </cell>
          <cell r="E20961" t="str">
            <v>INST DE PREV SOCIAL DOS SERV PUB DO MUNI DE LEOBERTO LEAL</v>
          </cell>
        </row>
        <row r="20962">
          <cell r="B20962">
            <v>82211</v>
          </cell>
          <cell r="C20962" t="str">
            <v>INST PREV SOC DOS SERV PUB DO MUNI DE STO AMARO IMPERATRIZ</v>
          </cell>
          <cell r="D20962" t="str">
            <v>INST PREV SOC DOS SERV PUB DO MUNI DE STO AMARO IMPERATRIZ</v>
          </cell>
          <cell r="E20962" t="str">
            <v>INST PREV SOC DOS SERV PUB DO MUNI DE STO AMARO IMPERATRIZ</v>
          </cell>
        </row>
        <row r="20963">
          <cell r="B20963">
            <v>82211</v>
          </cell>
          <cell r="C20963" t="str">
            <v>INST PREV SOC DOS SERV PUB DO MUNI DE STO AMARO IMPERATRIZ</v>
          </cell>
          <cell r="D20963" t="str">
            <v>INST PREV SOC DOS SERV PUB DO MUNI DE STO AMARO IMPERATRIZ</v>
          </cell>
          <cell r="E20963" t="str">
            <v>INST PREV SOC DOS SERV PUB DO MUNI DE STO AMARO IMPERATRIZ</v>
          </cell>
        </row>
        <row r="20964">
          <cell r="B20964">
            <v>82212</v>
          </cell>
          <cell r="C20964" t="str">
            <v>FUNDO DE APOSENTADORIA E PENSOES SANTO ANTONIO DE PADUA</v>
          </cell>
          <cell r="D20964" t="str">
            <v>FUNDO DE APOSENTADORIA E PENSOES SANTO ANTONIO DE PADUA</v>
          </cell>
          <cell r="E20964" t="str">
            <v>FUNDO DE APOSENTADORIA E PENSOES SANTO ANTONIO DE PADUA</v>
          </cell>
        </row>
        <row r="20965">
          <cell r="B20965">
            <v>82212</v>
          </cell>
          <cell r="C20965" t="str">
            <v>FUNDO DE APOSENTADORIA E PENSOES SANTO ANTONIO DE PADUA</v>
          </cell>
          <cell r="D20965" t="str">
            <v>FUNDO DE APOSENTADORIA E PENSOES SANTO ANTONIO DE PADUA</v>
          </cell>
          <cell r="E20965" t="str">
            <v>FUNDO DE APOSENTADORIA E PENSOES SANTO ANTONIO DE PADUA</v>
          </cell>
        </row>
        <row r="20966">
          <cell r="B20966">
            <v>82213</v>
          </cell>
          <cell r="C20966" t="str">
            <v>REAG ADMINISTRADORA DE RECURSOS LTDA</v>
          </cell>
          <cell r="D20966" t="str">
            <v>REAG ADMINISTRADORA DE RECURSOS LTDA</v>
          </cell>
          <cell r="E20966" t="str">
            <v>REAG ASSET MANAGEMENT LTDA</v>
          </cell>
        </row>
        <row r="20967">
          <cell r="B20967">
            <v>82213</v>
          </cell>
          <cell r="C20967" t="str">
            <v>REAG ADMINISTRADORA DE RECURSOS LTDA</v>
          </cell>
          <cell r="D20967" t="str">
            <v>REAG ADMINISTRADORA DE RECURSOS LTDA</v>
          </cell>
          <cell r="E20967" t="str">
            <v>REAG ASSET MANAGEMENT LTDA</v>
          </cell>
        </row>
        <row r="20968">
          <cell r="B20968">
            <v>82214</v>
          </cell>
          <cell r="C20968" t="str">
            <v>REAG ALPHA FUNDO DE INVESTIMENTO FINANCEIRO EM AÃ‡Ã•ES</v>
          </cell>
          <cell r="D20968" t="str">
            <v>REAG ALPHA FUNDO DE INVESTIMENTO FINANCEIRO EM AÃ‡Ã•ES</v>
          </cell>
          <cell r="E20968" t="str">
            <v>REAG ASSET MANAGEMENT LTDA</v>
          </cell>
        </row>
        <row r="20969">
          <cell r="B20969">
            <v>82214</v>
          </cell>
          <cell r="C20969" t="str">
            <v>REAG ALPHA FUNDO DE INVESTIMENTO FINANCEIRO EM AÃ‡Ã•ES</v>
          </cell>
          <cell r="D20969" t="str">
            <v>REAG ALPHA FUNDO DE INVESTIMENTO FINANCEIRO EM AÃ‡Ã•ES</v>
          </cell>
          <cell r="E20969" t="str">
            <v>REAG ASSET MANAGEMENT LTDA</v>
          </cell>
        </row>
        <row r="20970">
          <cell r="B20970">
            <v>82215</v>
          </cell>
          <cell r="C20970" t="str">
            <v>JEM CAPITAL FUNDO DE INVESTIMENTO MULTIMERCADO CP</v>
          </cell>
          <cell r="D20970" t="str">
            <v>JEM CAPITAL FUNDO DE INVESTIMENTO MULTIMERCADO CP</v>
          </cell>
          <cell r="E20970" t="str">
            <v>REAG ASSET MANAGEMENT LTDA</v>
          </cell>
        </row>
        <row r="20971">
          <cell r="B20971">
            <v>82215</v>
          </cell>
          <cell r="C20971" t="str">
            <v>JEM CAPITAL FUNDO DE INVESTIMENTO MULTIMERCADO CP</v>
          </cell>
          <cell r="D20971" t="str">
            <v>JEM CAPITAL FUNDO DE INVESTIMENTO MULTIMERCADO CP</v>
          </cell>
          <cell r="E20971" t="str">
            <v>REAG ASSET MANAGEMENT LTDA</v>
          </cell>
        </row>
        <row r="20972">
          <cell r="B20972">
            <v>82218</v>
          </cell>
          <cell r="C20972" t="str">
            <v>FIM CP IE BEBUAL II</v>
          </cell>
          <cell r="D20972" t="str">
            <v>FIM CP IE BEBUAL II</v>
          </cell>
          <cell r="E20972" t="str">
            <v>JULIUS BAER FAMILY OFFICE BRASIL GESTAO DE PATRIMONIO LTDA</v>
          </cell>
        </row>
        <row r="20973">
          <cell r="B20973">
            <v>82218</v>
          </cell>
          <cell r="C20973" t="str">
            <v>FIM CP IE BEBUAL II</v>
          </cell>
          <cell r="D20973" t="str">
            <v>FIM CP IE BEBUAL II</v>
          </cell>
          <cell r="E20973" t="str">
            <v>JULIUS BAER FAMILY OFFICE BRASIL GESTAO DE PATRIMONIO LTDA</v>
          </cell>
        </row>
        <row r="20974">
          <cell r="B20974">
            <v>82219</v>
          </cell>
          <cell r="C20974" t="str">
            <v>JANDIÃBIDU FUNDO DE INVESTIMENTO MULTIMERCADO CP IE</v>
          </cell>
          <cell r="D20974" t="str">
            <v>JANDIÃBIDU FUNDO DE INVESTIMENTO MULTIMERCADO CP IE</v>
          </cell>
          <cell r="E20974" t="str">
            <v>JULIUS BAER FAMILY OFFICE BRASIL GESTAO DE PATRIMONIO LTDA</v>
          </cell>
        </row>
        <row r="20975">
          <cell r="B20975">
            <v>82219</v>
          </cell>
          <cell r="C20975" t="str">
            <v>JANDIÃBIDU FUNDO DE INVESTIMENTO MULTIMERCADO CP IE</v>
          </cell>
          <cell r="D20975" t="str">
            <v>JANDIÃBIDU FUNDO DE INVESTIMENTO MULTIMERCADO CP IE</v>
          </cell>
          <cell r="E20975" t="str">
            <v>JULIUS BAER FAMILY OFFICE BRASIL GESTAO DE PATRIMONIO LTDA</v>
          </cell>
        </row>
        <row r="20976">
          <cell r="B20976">
            <v>82220</v>
          </cell>
          <cell r="C20976" t="str">
            <v>CARBON HIGH FREQUENCY MASTER FUNDO DE INVESTIMENTO MULTIMERC</v>
          </cell>
          <cell r="D20976" t="str">
            <v>CARBON HIGH FREQUENCY MASTER FUNDO DE INVESTIMENTO MULTIMERC</v>
          </cell>
          <cell r="E20976" t="str">
            <v>CARBON ASSET MANAGEMENT LTDA</v>
          </cell>
        </row>
        <row r="20977">
          <cell r="B20977">
            <v>82220</v>
          </cell>
          <cell r="C20977" t="str">
            <v>CARBON HIGH FREQUENCY MASTER FUNDO DE INVESTIMENTO MULTIMERC</v>
          </cell>
          <cell r="D20977" t="str">
            <v>CARBON HIGH FREQUENCY MASTER FUNDO DE INVESTIMENTO MULTIMERC</v>
          </cell>
          <cell r="E20977" t="str">
            <v>CARBON ASSET MANAGEMENT LTDA</v>
          </cell>
        </row>
        <row r="20978">
          <cell r="B20978">
            <v>82224</v>
          </cell>
          <cell r="C20978" t="str">
            <v>ASTRALO FUNDO DE INVESTIMENTO FINANCEIRO EM ACOES</v>
          </cell>
          <cell r="D20978" t="str">
            <v>ASTRALO FUNDO DE INVESTIMENTO FINANCEIRO EM ACOES</v>
          </cell>
          <cell r="E20978" t="str">
            <v>WNT GESTORA DE RECURSOS LTDA</v>
          </cell>
        </row>
        <row r="20979">
          <cell r="B20979">
            <v>82224</v>
          </cell>
          <cell r="C20979" t="str">
            <v>ASTRALO FUNDO DE INVESTIMENTO FINANCEIRO EM ACOES</v>
          </cell>
          <cell r="D20979" t="str">
            <v>ASTRALO FUNDO DE INVESTIMENTO FINANCEIRO EM ACOES</v>
          </cell>
          <cell r="E20979" t="str">
            <v>WNT GESTORA DE RECURSOS LTDA</v>
          </cell>
        </row>
        <row r="20980">
          <cell r="B20980">
            <v>82230</v>
          </cell>
          <cell r="C20980" t="str">
            <v>MILLTRUST INTERNATIONAL INVESTMENTS SPC - BANCO BNP PARIBAS</v>
          </cell>
          <cell r="D20980" t="str">
            <v>MILLTRUST INTERNATIONAL INVESTMENTS SPC - BANCO BNP PARIBAS</v>
          </cell>
          <cell r="E20980" t="str">
            <v>ALASKA INVESTIMENTOS LTDA</v>
          </cell>
        </row>
        <row r="20981">
          <cell r="B20981">
            <v>82231</v>
          </cell>
          <cell r="C20981" t="str">
            <v>ITAU FLEXPREV MASTER GD MULTIMERCADO FUNDO DE INVESTIMENTO</v>
          </cell>
          <cell r="D20981" t="str">
            <v>ITAU FLEXPREV MASTER GD MULTIMERCADO FUNDO DE INVESTIMENTO</v>
          </cell>
          <cell r="E20981" t="str">
            <v>ITAU UNIBANCO ASSET - TACO</v>
          </cell>
        </row>
        <row r="20982">
          <cell r="B20982">
            <v>82232</v>
          </cell>
          <cell r="C20982" t="str">
            <v>ITAU FLEXPREV MASTER GD MULTIMERCADO FUNDO DE INVESTIMENTO</v>
          </cell>
          <cell r="D20982" t="str">
            <v>ITAU FLEXPREV MASTER GD MULTIMERCADO FUNDO DE INVESTIMENTO</v>
          </cell>
          <cell r="E20982" t="str">
            <v>ITAU UNIBANCO ASSET - TACO</v>
          </cell>
        </row>
        <row r="20983">
          <cell r="B20983">
            <v>82233</v>
          </cell>
          <cell r="C20983" t="str">
            <v>ITAU MASTER GLOBAL DINAMICO MULTIMERCADO FI</v>
          </cell>
          <cell r="D20983" t="str">
            <v>ITAU MASTER GLOBAL DINAMICO MULTIMERCADO FI</v>
          </cell>
          <cell r="E20983" t="str">
            <v>ITAU UNIBANCO ASSET - TACO</v>
          </cell>
        </row>
        <row r="20984">
          <cell r="B20984">
            <v>82234</v>
          </cell>
          <cell r="C20984" t="str">
            <v>ITAU MASTER GLOBAL DINAMICO ULTRA MULTIMERCADO FUNDO DE INVE</v>
          </cell>
          <cell r="D20984" t="str">
            <v>ITAU MASTER GLOBAL DINAMICO ULTRA MULTIMERCADO FUNDO DE INVE</v>
          </cell>
          <cell r="E20984" t="str">
            <v>ITAU UNIBANCO ASSET - TACO</v>
          </cell>
        </row>
        <row r="20985">
          <cell r="B20985">
            <v>82235</v>
          </cell>
          <cell r="C20985" t="str">
            <v>ITAU FLEXPREV MASTER GD MULTIMERCADO FUNDO DE INVESTIMENTO</v>
          </cell>
          <cell r="D20985" t="str">
            <v>ITAU FLEXPREV MASTER GD MULTIMERCADO FUNDO DE INVESTIMENTO</v>
          </cell>
          <cell r="E20985" t="str">
            <v>ITAU FLEXPREV MASTER GD MULTIMERCADO FUNDO DE INVESTIMENTO</v>
          </cell>
        </row>
        <row r="20986">
          <cell r="B20986">
            <v>82235</v>
          </cell>
          <cell r="C20986" t="str">
            <v>ITAU FLEXPREV MASTER GD MULTIMERCADO FUNDO DE INVESTIMENTO</v>
          </cell>
          <cell r="D20986" t="str">
            <v>ITAU FLEXPREV MASTER GD MULTIMERCADO FUNDO DE INVESTIMENTO</v>
          </cell>
          <cell r="E20986" t="str">
            <v>ITAU FLEXPREV MASTER GD MULTIMERCADO FUNDO DE INVESTIMENTO</v>
          </cell>
        </row>
        <row r="20987">
          <cell r="B20987">
            <v>82241</v>
          </cell>
          <cell r="C20987" t="str">
            <v>SANTANDER US CAPITAL MARKETS LLC</v>
          </cell>
          <cell r="D20987" t="str">
            <v>SANTANDER US CAPITAL MARKETS LLC</v>
          </cell>
          <cell r="E20987" t="str">
            <v>SANTANDER DISTRIBUIDORA DE TITULOS E VALORES MOBILIARIOS S/A</v>
          </cell>
        </row>
        <row r="20988">
          <cell r="B20988">
            <v>82243</v>
          </cell>
          <cell r="C20988" t="str">
            <v>GAUSS BRASILPREV FIFE FUNDO DE INVESTIMENTO MULTIMERCADO</v>
          </cell>
          <cell r="D20988" t="str">
            <v>GAUSS BRASILPREV FIFE FUNDO DE INVESTIMENTO MULTIMERCADO</v>
          </cell>
          <cell r="E20988" t="str">
            <v>ASA ASSET GESTAO EM INVESTIMENTOS LTDA</v>
          </cell>
        </row>
        <row r="20989">
          <cell r="B20989">
            <v>82246</v>
          </cell>
          <cell r="C20989" t="str">
            <v>ITAU BALANCEADO ATIVO FMP - FGTS CARTEIRA LIVRE</v>
          </cell>
          <cell r="D20989" t="str">
            <v>ITAU BALANCEADO ATIVO FMP - FGTS CARTEIRA LIVRE</v>
          </cell>
          <cell r="E20989" t="str">
            <v>ITAU UNIBANCO ASSET - TACO</v>
          </cell>
        </row>
        <row r="20990">
          <cell r="B20990">
            <v>82250</v>
          </cell>
          <cell r="C20990" t="str">
            <v>MORE TOTAL RETURN FUNDO DE INVESTIMENTO FINANCEIRO MULT</v>
          </cell>
          <cell r="D20990" t="str">
            <v>MORE TOTAL RETURN FUNDO DE INVESTIMENTO FINANCEIRO MULT</v>
          </cell>
          <cell r="E20990" t="str">
            <v>MORE INVEST GESTORA DE RECURSOS LTDA</v>
          </cell>
        </row>
        <row r="20991">
          <cell r="B20991">
            <v>82250</v>
          </cell>
          <cell r="C20991" t="str">
            <v>MORE TOTAL RETURN FUNDO DE INVESTIMENTO FINANCEIRO MULT</v>
          </cell>
          <cell r="D20991" t="str">
            <v>MORE TOTAL RETURN FUNDO DE INVESTIMENTO FINANCEIRO MULT</v>
          </cell>
          <cell r="E20991" t="str">
            <v>MORE INVEST GESTORA DE RECURSOS LTDA</v>
          </cell>
        </row>
        <row r="20992">
          <cell r="B20992">
            <v>82255</v>
          </cell>
          <cell r="C20992" t="str">
            <v>JP MORGAN SECURITIES PLC</v>
          </cell>
          <cell r="D20992" t="str">
            <v>JP MORGAN SECURITIES PLC</v>
          </cell>
          <cell r="E20992" t="str">
            <v>BANCO JP MORGAN S/A</v>
          </cell>
        </row>
        <row r="20993">
          <cell r="B20993">
            <v>82256</v>
          </cell>
          <cell r="C20993" t="str">
            <v>OCEANA EQUITY HEDGE I MASTER FIF DE AÃ‡Ã•ES RESP LIM</v>
          </cell>
          <cell r="D20993" t="str">
            <v>OCEANA EQUITY HEDGE I MASTER FIF DE AÃ‡Ã•ES RESP LIM</v>
          </cell>
          <cell r="E20993" t="str">
            <v>OCEANA INVESTIMENTOS ADM DE CARTEIRAS DE VALORES MOB LTDA</v>
          </cell>
        </row>
        <row r="20994">
          <cell r="B20994">
            <v>82257</v>
          </cell>
          <cell r="C20994" t="str">
            <v>MARLIM II FUNDO DE INVESTIMENTO FINANCEIRO</v>
          </cell>
          <cell r="D20994" t="str">
            <v>MARLIM II FUNDO DE INVESTIMENTO FINANCEIRO</v>
          </cell>
          <cell r="E20994" t="str">
            <v>JULIUS BAER FAMILY OFFICE BRASIL GESTAO DE PATRIMONIO LTDA</v>
          </cell>
        </row>
        <row r="20995">
          <cell r="B20995">
            <v>82257</v>
          </cell>
          <cell r="C20995" t="str">
            <v>MARLIM II FUNDO DE INVESTIMENTO FINANCEIRO</v>
          </cell>
          <cell r="D20995" t="str">
            <v>MARLIM II FUNDO DE INVESTIMENTO FINANCEIRO</v>
          </cell>
          <cell r="E20995" t="str">
            <v>JULIUS BAER FAMILY OFFICE BRASIL GESTAO DE PATRIMONIO LTDA</v>
          </cell>
        </row>
        <row r="20996">
          <cell r="B20996">
            <v>82258</v>
          </cell>
          <cell r="C20996" t="str">
            <v>JP MORGAN SECURITIES PLC</v>
          </cell>
          <cell r="D20996" t="str">
            <v>JP MORGAN SECURITIES PLC</v>
          </cell>
          <cell r="E20996" t="str">
            <v>BANCO JP MORGAN S/A</v>
          </cell>
        </row>
        <row r="20997">
          <cell r="B20997">
            <v>82259</v>
          </cell>
          <cell r="C20997" t="str">
            <v>CAFE VELHO FIM CP IE</v>
          </cell>
          <cell r="D20997" t="str">
            <v>CAFE VELHO FIM CP IE</v>
          </cell>
          <cell r="E20997" t="str">
            <v>WNT GESTORA DE RECURSOS LTDA</v>
          </cell>
        </row>
        <row r="20998">
          <cell r="B20998">
            <v>82259</v>
          </cell>
          <cell r="C20998" t="str">
            <v>CAFE VELHO FIM CP IE</v>
          </cell>
          <cell r="D20998" t="str">
            <v>CAFE VELHO FIM CP IE</v>
          </cell>
          <cell r="E20998" t="str">
            <v>WNT GESTORA DE RECURSOS LTDA</v>
          </cell>
        </row>
        <row r="20999">
          <cell r="B20999">
            <v>82260</v>
          </cell>
          <cell r="C20999" t="str">
            <v>TWO RIVERS FIF EM ACOES</v>
          </cell>
          <cell r="D20999" t="str">
            <v>TWO RIVERS FIF EM ACOES</v>
          </cell>
          <cell r="E20999" t="str">
            <v>JULIUS BAER FAMILY OFFICE BRASIL GESTAO DE PATRIMONIO LTDA</v>
          </cell>
        </row>
        <row r="21000">
          <cell r="B21000">
            <v>82260</v>
          </cell>
          <cell r="C21000" t="str">
            <v>TWO RIVERS FIF EM ACOES</v>
          </cell>
          <cell r="D21000" t="str">
            <v>TWO RIVERS FIF EM ACOES</v>
          </cell>
          <cell r="E21000" t="str">
            <v>JULIUS BAER FAMILY OFFICE BRASIL GESTAO DE PATRIMONIO LTDA</v>
          </cell>
        </row>
        <row r="21001">
          <cell r="B21001">
            <v>82261</v>
          </cell>
          <cell r="C21001" t="str">
            <v>4LADIES FUNDO DE INVESTIMENTO FINANCEIRO MULTIMERCADO CP</v>
          </cell>
          <cell r="D21001" t="str">
            <v>4LADIES FUNDO DE INVESTIMENTO FINANCEIRO MULTIMERCADO CP</v>
          </cell>
          <cell r="E21001" t="str">
            <v>JULIUS BAER FAMILY OFFICE BRASIL GESTAO DE PATRIMONIO LTDA</v>
          </cell>
        </row>
        <row r="21002">
          <cell r="B21002">
            <v>82261</v>
          </cell>
          <cell r="C21002" t="str">
            <v>4LADIES FUNDO DE INVESTIMENTO FINANCEIRO MULTIMERCADO CP</v>
          </cell>
          <cell r="D21002" t="str">
            <v>4LADIES FUNDO DE INVESTIMENTO FINANCEIRO MULTIMERCADO CP</v>
          </cell>
          <cell r="E21002" t="str">
            <v>JULIUS BAER FAMILY OFFICE BRASIL GESTAO DE PATRIMONIO LTDA</v>
          </cell>
        </row>
        <row r="21003">
          <cell r="B21003">
            <v>82262</v>
          </cell>
          <cell r="C21003" t="str">
            <v>2094 FUNDO DE INVESTIMENTO EM COTAS DE FIM CP IE</v>
          </cell>
          <cell r="D21003" t="str">
            <v>2094 FUNDO DE INVESTIMENTO EM COTAS DE FIM CP IE</v>
          </cell>
          <cell r="E21003" t="str">
            <v>JULIUS BAER FAMILY OFFICE BRASIL GESTAO DE PATRIMONIO LTDA</v>
          </cell>
        </row>
        <row r="21004">
          <cell r="B21004">
            <v>82262</v>
          </cell>
          <cell r="C21004" t="str">
            <v>2094 FUNDO DE INVESTIMENTO EM COTAS DE FIM CP IE</v>
          </cell>
          <cell r="D21004" t="str">
            <v>2094 FUNDO DE INVESTIMENTO EM COTAS DE FIM CP IE</v>
          </cell>
          <cell r="E21004" t="str">
            <v>JULIUS BAER FAMILY OFFICE BRASIL GESTAO DE PATRIMONIO LTDA</v>
          </cell>
        </row>
        <row r="21005">
          <cell r="B21005">
            <v>82263</v>
          </cell>
          <cell r="C21005" t="str">
            <v>MANIÃ‡OBA DEBÃŠNTURES INCENTIVADAS FII EM INFRA RF</v>
          </cell>
          <cell r="D21005" t="str">
            <v>MANIÃ‡OBA DEBÃŠNTURES INCENTIVADAS FII EM INFRA RF</v>
          </cell>
          <cell r="E21005" t="str">
            <v>JULIUS BAER FAMILY OFFICE BRASIL GESTAO DE PATRIMONIO LTDA</v>
          </cell>
        </row>
        <row r="21006">
          <cell r="B21006">
            <v>82263</v>
          </cell>
          <cell r="C21006" t="str">
            <v>MANIÃ‡OBA DEBÃŠNTURES INCENTIVADAS FII EM INFRA RF</v>
          </cell>
          <cell r="D21006" t="str">
            <v>MANIÃ‡OBA DEBÃŠNTURES INCENTIVADAS FII EM INFRA RF</v>
          </cell>
          <cell r="E21006" t="str">
            <v>JULIUS BAER FAMILY OFFICE BRASIL GESTAO DE PATRIMONIO LTDA</v>
          </cell>
        </row>
        <row r="21007">
          <cell r="B21007">
            <v>82264</v>
          </cell>
          <cell r="C21007" t="str">
            <v>3 MARIAS FUNDO DE INVESTIMENTO MULTIMERCADO CP IE</v>
          </cell>
          <cell r="D21007" t="str">
            <v>3 MARIAS FUNDO DE INVESTIMENTO MULTIMERCADO CP IE</v>
          </cell>
          <cell r="E21007" t="str">
            <v>JULIUS BAER FAMILY OFFICE BRASIL GESTAO DE PATRIMONIO LTDA</v>
          </cell>
        </row>
        <row r="21008">
          <cell r="B21008">
            <v>82264</v>
          </cell>
          <cell r="C21008" t="str">
            <v>3 MARIAS FUNDO DE INVESTIMENTO MULTIMERCADO CP IE</v>
          </cell>
          <cell r="D21008" t="str">
            <v>3 MARIAS FUNDO DE INVESTIMENTO MULTIMERCADO CP IE</v>
          </cell>
          <cell r="E21008" t="str">
            <v>JULIUS BAER FAMILY OFFICE BRASIL GESTAO DE PATRIMONIO LTDA</v>
          </cell>
        </row>
        <row r="21009">
          <cell r="B21009">
            <v>82265</v>
          </cell>
          <cell r="C21009" t="str">
            <v>PJH FUNDO DE INVESTIMENTO MULTIMERCADO CRÃ‰DITO PRIVADO IE</v>
          </cell>
          <cell r="D21009" t="str">
            <v>PJH FUNDO DE INVESTIMENTO MULTIMERCADO CRÃ‰DITO PRIVADO IE</v>
          </cell>
          <cell r="E21009" t="str">
            <v>JULIUS BAER FAMILY OFFICE BRASIL GESTAO DE PATRIMONIO LTDA</v>
          </cell>
        </row>
        <row r="21010">
          <cell r="B21010">
            <v>82265</v>
          </cell>
          <cell r="C21010" t="str">
            <v>PJH FUNDO DE INVESTIMENTO MULTIMERCADO CRÃ‰DITO PRIVADO IE</v>
          </cell>
          <cell r="D21010" t="str">
            <v>PJH FUNDO DE INVESTIMENTO MULTIMERCADO CRÃ‰DITO PRIVADO IE</v>
          </cell>
          <cell r="E21010" t="str">
            <v>JULIUS BAER FAMILY OFFICE BRASIL GESTAO DE PATRIMONIO LTDA</v>
          </cell>
        </row>
        <row r="21011">
          <cell r="B21011">
            <v>82266</v>
          </cell>
          <cell r="C21011" t="str">
            <v>ELDORADO FUNDO DE INVESTIMENTO FINANCEIRO EM AÃ‡Ã•ES</v>
          </cell>
          <cell r="D21011" t="str">
            <v>ELDORADO FUNDO DE INVESTIMENTO FINANCEIRO EM AÃ‡Ã•ES</v>
          </cell>
          <cell r="E21011" t="str">
            <v>REAG ASSET MANAGEMENT LTDA</v>
          </cell>
        </row>
        <row r="21012">
          <cell r="B21012">
            <v>82266</v>
          </cell>
          <cell r="C21012" t="str">
            <v>ELDORADO FUNDO DE INVESTIMENTO FINANCEIRO EM AÃ‡Ã•ES</v>
          </cell>
          <cell r="D21012" t="str">
            <v>ELDORADO FUNDO DE INVESTIMENTO FINANCEIRO EM AÃ‡Ã•ES</v>
          </cell>
          <cell r="E21012" t="str">
            <v>ELDORADO FUNDO DE INVESTIMENTO FINANCEIRO EM AÃ‡Ã•ES</v>
          </cell>
        </row>
        <row r="21013">
          <cell r="B21013">
            <v>82268</v>
          </cell>
          <cell r="C21013" t="str">
            <v>SPX SOLUÃ‡Ã•ES DE INVESTIMENTOS LTDA.</v>
          </cell>
          <cell r="D21013" t="str">
            <v>SPX SOLUÃ‡Ã•ES DE INVESTIMENTOS LTDA.</v>
          </cell>
          <cell r="E21013" t="str">
            <v>SPX SOLUÃ‡Ã•ES DE INVESTIMENTOS LTDA.</v>
          </cell>
        </row>
        <row r="21014">
          <cell r="B21014">
            <v>82268</v>
          </cell>
          <cell r="C21014" t="str">
            <v>SPX SOLUÃ‡Ã•ES DE INVESTIMENTOS LTDA.</v>
          </cell>
          <cell r="D21014" t="str">
            <v>SPX SOLUÃ‡Ã•ES DE INVESTIMENTOS LTDA.</v>
          </cell>
          <cell r="E21014" t="str">
            <v>SPX SOLUÃ‡Ã•ES DE INVESTIMENTOS LTDA.</v>
          </cell>
        </row>
        <row r="21015">
          <cell r="B21015">
            <v>82269</v>
          </cell>
          <cell r="C21015" t="str">
            <v>SPX SOLUÃ‡Ã•ES DE INVESTIMENTOS LTDA.</v>
          </cell>
          <cell r="D21015" t="str">
            <v>SPX SOLUÃ‡Ã•ES DE INVESTIMENTOS LTDA.</v>
          </cell>
          <cell r="E21015" t="str">
            <v>SPX SOLUÃ‡Ã•ES DE INVESTIMENTOS LTDA.</v>
          </cell>
        </row>
        <row r="21016">
          <cell r="B21016">
            <v>82269</v>
          </cell>
          <cell r="C21016" t="str">
            <v>SPX SOLUÃ‡Ã•ES DE INVESTIMENTOS LTDA.</v>
          </cell>
          <cell r="D21016" t="str">
            <v>SPX SOLUÃ‡Ã•ES DE INVESTIMENTOS LTDA.</v>
          </cell>
          <cell r="E21016" t="str">
            <v>SPX SOLUÃ‡Ã•ES DE INVESTIMENTOS LTDA.</v>
          </cell>
        </row>
        <row r="21017">
          <cell r="B21017">
            <v>82270</v>
          </cell>
          <cell r="C21017" t="str">
            <v>PICPAY BANK BANCO MULTIPLO S.A.</v>
          </cell>
          <cell r="D21017" t="str">
            <v>PICPAY BANK BANCO MULTIPLO S.A.</v>
          </cell>
          <cell r="E21017" t="str">
            <v>PICPAY BANK BANCO MULTIPLO S/A</v>
          </cell>
        </row>
        <row r="21018">
          <cell r="B21018">
            <v>82270</v>
          </cell>
          <cell r="C21018" t="str">
            <v>PICPAY BANK BANCO MULTIPLO S.A.</v>
          </cell>
          <cell r="D21018" t="str">
            <v>PICPAY BANK BANCO MULTIPLO S.A.</v>
          </cell>
          <cell r="E21018" t="str">
            <v>PICPAY BANK BANCO MULTIPLO S/A</v>
          </cell>
        </row>
        <row r="21019">
          <cell r="B21019">
            <v>82272</v>
          </cell>
          <cell r="C21019" t="str">
            <v>OITI FIM CP IE</v>
          </cell>
          <cell r="D21019" t="str">
            <v>OITI FIM CP IE</v>
          </cell>
          <cell r="E21019" t="str">
            <v>ITAU UNIBANCO S/A</v>
          </cell>
        </row>
        <row r="21020">
          <cell r="B21020">
            <v>80048</v>
          </cell>
          <cell r="C21020" t="str">
            <v>IBIUNA HEDGE ST MASTER FIM</v>
          </cell>
          <cell r="D21020" t="str">
            <v>IBIUNA HEDGE ST MASTER FIM</v>
          </cell>
          <cell r="E21020" t="str">
            <v>IBIUNA GESTAO DE RECURSOS LTDA</v>
          </cell>
        </row>
        <row r="21021">
          <cell r="B21021">
            <v>82275</v>
          </cell>
          <cell r="C21021" t="str">
            <v>ANTARCTICA FUNDO DE INVESTIMENTO MULTIMERCADO CP</v>
          </cell>
          <cell r="D21021" t="str">
            <v>ANTARCTICA FUNDO DE INVESTIMENTO MULTIMERCADO CP</v>
          </cell>
          <cell r="E21021" t="str">
            <v>ITAU UNIBANCO ASSET - TACO</v>
          </cell>
        </row>
        <row r="21022">
          <cell r="B21022">
            <v>82276</v>
          </cell>
          <cell r="C21022" t="str">
            <v>BANCO CAIXA GERAL BRASIL SA</v>
          </cell>
          <cell r="D21022" t="str">
            <v>BANCO CAIXA GERAL BRASIL SA</v>
          </cell>
          <cell r="E21022" t="str">
            <v>BANCO CAIXA GERAL BRASIL S/A</v>
          </cell>
        </row>
        <row r="21023">
          <cell r="B21023">
            <v>82277</v>
          </cell>
          <cell r="C21023" t="str">
            <v>TAUS FUNDO DE INVESTIMENTO FINANCEIRO EM ACOES RL</v>
          </cell>
          <cell r="D21023" t="str">
            <v>TAUS FUNDO DE INVESTIMENTO FINANCEIRO EM ACOES RL</v>
          </cell>
          <cell r="E21023" t="str">
            <v>ITAU UNIBANCO ASSET - TACO</v>
          </cell>
        </row>
        <row r="21024">
          <cell r="B21024">
            <v>82278</v>
          </cell>
          <cell r="C21024" t="str">
            <v>ARC CAPITAL LTDA</v>
          </cell>
          <cell r="D21024" t="str">
            <v>ARC CAPITAL LTDA</v>
          </cell>
          <cell r="E21024" t="str">
            <v>ARC CAPITAL LTDA</v>
          </cell>
        </row>
        <row r="21025">
          <cell r="B21025">
            <v>82278</v>
          </cell>
          <cell r="C21025" t="str">
            <v>ARC CAPITAL LTDA</v>
          </cell>
          <cell r="D21025" t="str">
            <v>ARC CAPITAL LTDA</v>
          </cell>
          <cell r="E21025" t="str">
            <v>ARC CAPITAL LTDA</v>
          </cell>
        </row>
        <row r="21026">
          <cell r="B21026">
            <v>82279</v>
          </cell>
          <cell r="C21026" t="str">
            <v>ARC I FUNDO DE INVESTIMENTO MULTIMERCADO CRÃ‰DITO PRIVADO IE</v>
          </cell>
          <cell r="D21026" t="str">
            <v>ARC I FUNDO DE INVESTIMENTO MULTIMERCADO CRÃ‰DITO PRIVADO IE</v>
          </cell>
          <cell r="E21026" t="str">
            <v>ARC CAPITAL LTDA</v>
          </cell>
        </row>
        <row r="21027">
          <cell r="B21027">
            <v>82279</v>
          </cell>
          <cell r="C21027" t="str">
            <v>ARC I FUNDO DE INVESTIMENTO MULTIMERCADO CRÃ‰DITO PRIVADO IE</v>
          </cell>
          <cell r="D21027" t="str">
            <v>ARC I FUNDO DE INVESTIMENTO MULTIMERCADO CRÃ‰DITO PRIVADO IE</v>
          </cell>
          <cell r="E21027" t="str">
            <v>ARC CAPITAL LTDA</v>
          </cell>
        </row>
        <row r="21028">
          <cell r="B21028">
            <v>82281</v>
          </cell>
          <cell r="C21028" t="str">
            <v>RENASCENÃ‡A DTVM LTDA</v>
          </cell>
          <cell r="D21028" t="str">
            <v>RENASCENÃ‡A DTVM LTDA</v>
          </cell>
          <cell r="E21028" t="str">
            <v>WARREN BRASIL GESTÃO E ADMINISTRAÇÃO DE RECURSOS LTDA</v>
          </cell>
        </row>
        <row r="21029">
          <cell r="B21029">
            <v>82281</v>
          </cell>
          <cell r="C21029" t="str">
            <v>RENASCENÃ‡A DTVM LTDA</v>
          </cell>
          <cell r="D21029" t="str">
            <v>RENASCENÃ‡A DTVM LTDA</v>
          </cell>
          <cell r="E21029" t="str">
            <v>WARREN BRASIL GESTÃO E ADMINISTRAÇÃO DE RECURSOS LTDA</v>
          </cell>
        </row>
        <row r="21030">
          <cell r="B21030">
            <v>82282</v>
          </cell>
          <cell r="C21030" t="str">
            <v>PROSPERO FUNDO DE INVESTIMENTO EM AÃ‡Ã•ES</v>
          </cell>
          <cell r="D21030" t="str">
            <v>PROSPERO FUNDO DE INVESTIMENTO EM AÃ‡Ã•ES</v>
          </cell>
          <cell r="E21030" t="str">
            <v>REAG ASSET MANAGEMENT LTDA</v>
          </cell>
        </row>
        <row r="21031">
          <cell r="B21031">
            <v>82282</v>
          </cell>
          <cell r="C21031" t="str">
            <v>PROSPERO FUNDO DE INVESTIMENTO EM AÃ‡Ã•ES</v>
          </cell>
          <cell r="D21031" t="str">
            <v>PROSPERO FUNDO DE INVESTIMENTO EM AÃ‡Ã•ES</v>
          </cell>
          <cell r="E21031" t="str">
            <v>REAG ASSET MANAGEMENT LTDA</v>
          </cell>
        </row>
        <row r="21032">
          <cell r="B21032">
            <v>82288</v>
          </cell>
          <cell r="C21032" t="str">
            <v>FUNDO DE INVESTIMENTO FINANCEIRO EM ACOES NOVA OI</v>
          </cell>
          <cell r="D21032" t="str">
            <v>FUNDO DE INVESTIMENTO FINANCEIRO EM ACOES NOVA OI</v>
          </cell>
          <cell r="E21032" t="str">
            <v>TRUSTEE DISTRIBUIDORA DE TITULOS E VALORES MOBILIARIOS LTDA</v>
          </cell>
        </row>
        <row r="21033">
          <cell r="B21033">
            <v>82288</v>
          </cell>
          <cell r="C21033" t="str">
            <v>FUNDO DE INVESTIMENTO FINANCEIRO EM ACOES NOVA OI</v>
          </cell>
          <cell r="D21033" t="str">
            <v>FUNDO DE INVESTIMENTO FINANCEIRO EM ACOES NOVA OI</v>
          </cell>
          <cell r="E21033" t="str">
            <v>TRUSTEE DISTRIBUIDORA DE TITULOS E VALORES MOBILIARIOS LTDA</v>
          </cell>
        </row>
        <row r="21034">
          <cell r="B21034">
            <v>82289</v>
          </cell>
          <cell r="C21034" t="str">
            <v>ANTARCTICA FUNDO DE INVESTIMENTO MULTIMERCADO CP</v>
          </cell>
          <cell r="D21034" t="str">
            <v>ANTARCTICA FUNDO DE INVESTIMENTO MULTIMERCADO CP</v>
          </cell>
          <cell r="E21034" t="str">
            <v>ITAU UNIBANCO ASSET - TACO</v>
          </cell>
        </row>
        <row r="21035">
          <cell r="B21035">
            <v>82289</v>
          </cell>
          <cell r="C21035" t="str">
            <v>ANTARCTICA FUNDO DE INVESTIMENTO MULTIMERCADO CP</v>
          </cell>
          <cell r="D21035" t="str">
            <v>ANTARCTICA FUNDO DE INVESTIMENTO MULTIMERCADO CP</v>
          </cell>
          <cell r="E21035" t="str">
            <v>ITAU UNIBANCO ASSET - TACO</v>
          </cell>
        </row>
        <row r="21036">
          <cell r="B21036">
            <v>82290</v>
          </cell>
          <cell r="C21036" t="str">
            <v>ITAU MASTER GLOBAL DINAMICO MULTIMERCADO FI</v>
          </cell>
          <cell r="D21036" t="str">
            <v>ITAU MASTER GLOBAL DINAMICO MULTIMERCADO FI</v>
          </cell>
          <cell r="E21036" t="str">
            <v>ITAU UNIBANCO ASSET - TACO</v>
          </cell>
        </row>
        <row r="21037">
          <cell r="B21037">
            <v>82291</v>
          </cell>
          <cell r="C21037" t="str">
            <v>ITAU MASTER GLOBAL DINAMICO MULTIMERCADO FI</v>
          </cell>
          <cell r="D21037" t="str">
            <v>ITAU MASTER GLOBAL DINAMICO MULTIMERCADO FI</v>
          </cell>
          <cell r="E21037" t="str">
            <v>ITAU UNIBANCO ASSET - TACO</v>
          </cell>
        </row>
        <row r="21038">
          <cell r="B21038">
            <v>82297</v>
          </cell>
          <cell r="C21038" t="str">
            <v>AKAD SEGUROS S.A.</v>
          </cell>
          <cell r="D21038" t="str">
            <v>AKAD SEGUROS S.A.</v>
          </cell>
          <cell r="E21038" t="str">
            <v>AKAD SEGUROS S/A</v>
          </cell>
        </row>
        <row r="21039">
          <cell r="B21039">
            <v>82297</v>
          </cell>
          <cell r="C21039" t="str">
            <v>AKAD SEGUROS S.A.</v>
          </cell>
          <cell r="D21039" t="str">
            <v>AKAD SEGUROS S.A.</v>
          </cell>
          <cell r="E21039" t="str">
            <v>AKAD SEGUROS S/A</v>
          </cell>
        </row>
        <row r="21040">
          <cell r="B21040">
            <v>122800</v>
          </cell>
          <cell r="C21040" t="str">
            <v>IBIUNA HEDGE ST MASTER FIM</v>
          </cell>
          <cell r="D21040" t="str">
            <v>IBIUNA HEDGE ST MASTER FIM</v>
          </cell>
          <cell r="E21040" t="str">
            <v>IBIUNA GESTAO DE RECURSOS LTDA</v>
          </cell>
        </row>
        <row r="21041">
          <cell r="B21041">
            <v>82309</v>
          </cell>
          <cell r="C21041" t="str">
            <v>NORTE PREVIDENCIA FIFE MASTER FUNDO DE INVESTIMENTO EM ACOES</v>
          </cell>
          <cell r="D21041" t="str">
            <v>NORTE PREVIDENCIA FIFE MASTER FUNDO DE INVESTIMENTO EM ACOES</v>
          </cell>
          <cell r="E21041" t="str">
            <v>NORTE ASSET MANAGEMENT GESTAO DE RECURSOS S.A.</v>
          </cell>
        </row>
        <row r="21042">
          <cell r="B21042">
            <v>82309</v>
          </cell>
          <cell r="C21042" t="str">
            <v>NORTE PREVIDENCIA FIFE MASTER FUNDO DE INVESTIMENTO EM ACOES</v>
          </cell>
          <cell r="D21042" t="str">
            <v>NORTE PREVIDENCIA FIFE MASTER FUNDO DE INVESTIMENTO EM ACOES</v>
          </cell>
          <cell r="E21042" t="str">
            <v>NORTE ASSET MANAGEMENT GESTAO DE RECURSOS S.A.</v>
          </cell>
        </row>
        <row r="21043">
          <cell r="B21043">
            <v>82310</v>
          </cell>
          <cell r="C21043" t="str">
            <v>NORTE LONG ONLY MASTER FUNDO DE INVESTIMENTO EM ACOES</v>
          </cell>
          <cell r="D21043" t="str">
            <v>NORTE LONG ONLY MASTER FUNDO DE INVESTIMENTO EM ACOES</v>
          </cell>
          <cell r="E21043" t="str">
            <v>NORTE ASSET MANAGEMENT GESTAO DE RECURSOS S.A.</v>
          </cell>
        </row>
        <row r="21044">
          <cell r="B21044">
            <v>82310</v>
          </cell>
          <cell r="C21044" t="str">
            <v>NORTE LONG ONLY MASTER FUNDO DE INVESTIMENTO EM ACOES</v>
          </cell>
          <cell r="D21044" t="str">
            <v>NORTE LONG ONLY MASTER FUNDO DE INVESTIMENTO EM ACOES</v>
          </cell>
          <cell r="E21044" t="str">
            <v>NORTE ASSET MANAGEMENT GESTAO DE RECURSOS S.A.</v>
          </cell>
        </row>
        <row r="21045">
          <cell r="B21045">
            <v>82311</v>
          </cell>
          <cell r="C21045" t="str">
            <v>NORTE INSTITUCIONAL MASTER FUNDO DE INVESTIMENTO EM ACOES</v>
          </cell>
          <cell r="D21045" t="str">
            <v>NORTE INSTITUCIONAL MASTER FUNDO DE INVESTIMENTO EM ACOES</v>
          </cell>
          <cell r="E21045" t="str">
            <v>NORTE ASSET MANAGEMENT GESTAO DE RECURSOS S.A.</v>
          </cell>
        </row>
        <row r="21046">
          <cell r="B21046">
            <v>82311</v>
          </cell>
          <cell r="C21046" t="str">
            <v>NORTE INSTITUCIONAL MASTER FUNDO DE INVESTIMENTO EM ACOES</v>
          </cell>
          <cell r="D21046" t="str">
            <v>NORTE INSTITUCIONAL MASTER FUNDO DE INVESTIMENTO EM ACOES</v>
          </cell>
          <cell r="E21046" t="str">
            <v>NORTE ASSET MANAGEMENT GESTAO DE RECURSOS S.A.</v>
          </cell>
        </row>
        <row r="21047">
          <cell r="B21047">
            <v>82312</v>
          </cell>
          <cell r="C21047" t="str">
            <v>TAMBORA HEDGE FUND FII</v>
          </cell>
          <cell r="D21047" t="str">
            <v>TAMBORA HEDGE FUND FII</v>
          </cell>
          <cell r="E21047" t="str">
            <v>REAG ASSET MANAGEMENT LTDA</v>
          </cell>
        </row>
        <row r="21048">
          <cell r="B21048">
            <v>82312</v>
          </cell>
          <cell r="C21048" t="str">
            <v>TAMBORA HEDGE FUND FII</v>
          </cell>
          <cell r="D21048" t="str">
            <v>TAMBORA HEDGE FUND FII</v>
          </cell>
          <cell r="E21048" t="str">
            <v>REAG ASSET MANAGEMENT LTDA</v>
          </cell>
        </row>
        <row r="21049">
          <cell r="B21049">
            <v>82315</v>
          </cell>
          <cell r="C21049" t="str">
            <v>INTER ASSET GESTAO DE RECURSOS LTDA</v>
          </cell>
          <cell r="D21049" t="str">
            <v>INTER ASSET GESTAO DE RECURSOS LTDA</v>
          </cell>
          <cell r="E21049" t="str">
            <v>INTER ASSET GESTAO DE RECURSOS LTDA</v>
          </cell>
        </row>
        <row r="21050">
          <cell r="B21050">
            <v>82316</v>
          </cell>
          <cell r="C21050" t="str">
            <v>DAHLIA BRASILPREV TOTAL RETURN 70 FIFE FI FM RL</v>
          </cell>
          <cell r="D21050" t="str">
            <v>DAHLIA BRASILPREV TOTAL RETURN 70 FIFE FI FM RL</v>
          </cell>
          <cell r="E21050" t="str">
            <v>DAHLIA CAPITAL GESTAO DE RECURSOS LTDA</v>
          </cell>
        </row>
        <row r="21051">
          <cell r="B21051">
            <v>82316</v>
          </cell>
          <cell r="C21051" t="str">
            <v>DAHLIA BRASILPREV TOTAL RETURN 70 FIFE FI FM RL</v>
          </cell>
          <cell r="D21051" t="str">
            <v>DAHLIA BRASILPREV TOTAL RETURN 70 FIFE FI FM RL</v>
          </cell>
          <cell r="E21051" t="str">
            <v>DAHLIA CAPITAL GESTAO DE RECURSOS LTDA</v>
          </cell>
        </row>
        <row r="21052">
          <cell r="B21052">
            <v>82317</v>
          </cell>
          <cell r="C21052" t="str">
            <v>DAHLIA TOTAL RETURN PREVIDENCIÃRIO FIFE FI FM RL</v>
          </cell>
          <cell r="D21052" t="str">
            <v>DAHLIA TOTAL RETURN PREVIDENCIÃRIO FIFE FI FM RL</v>
          </cell>
          <cell r="E21052" t="str">
            <v>DAHLIA CAPITAL GESTAO DE RECURSOS LTDA</v>
          </cell>
        </row>
        <row r="21053">
          <cell r="B21053">
            <v>82318</v>
          </cell>
          <cell r="C21053" t="str">
            <v>ITAU MASTER GLOBAL DINAMICO MULTIMERCADO FI</v>
          </cell>
          <cell r="D21053" t="str">
            <v>ITAU MASTER GLOBAL DINAMICO MULTIMERCADO FI</v>
          </cell>
          <cell r="E21053" t="str">
            <v>ITAU UNIBANCO ASSET - TACO</v>
          </cell>
        </row>
        <row r="21054">
          <cell r="B21054">
            <v>82320</v>
          </cell>
          <cell r="C21054" t="str">
            <v>ITAU UNIBANCO ASSET MANAGEMENT LTDA</v>
          </cell>
          <cell r="D21054" t="str">
            <v>ITAU UNIBANCO ASSET MANAGEMENT LTDA</v>
          </cell>
          <cell r="E21054" t="str">
            <v>ITAU UNIBANCO ASSET - MIKE</v>
          </cell>
        </row>
        <row r="21055">
          <cell r="B21055">
            <v>82320</v>
          </cell>
          <cell r="C21055" t="str">
            <v>ITAU UNIBANCO ASSET MANAGEMENT LTDA</v>
          </cell>
          <cell r="D21055" t="str">
            <v>ITAU UNIBANCO ASSET MANAGEMENT LTDA</v>
          </cell>
          <cell r="E21055" t="str">
            <v>ITAU UNIBANCO ASSET - MIKE</v>
          </cell>
        </row>
        <row r="21056">
          <cell r="B21056">
            <v>82324</v>
          </cell>
          <cell r="C21056" t="str">
            <v>ITAU MASTER GLOBAL DINAMICO ULTRA MULTIMERCADO FUNDO DE INVE</v>
          </cell>
          <cell r="D21056" t="str">
            <v>ITAU MASTER GLOBAL DINAMICO ULTRA MULTIMERCADO FUNDO DE INVE</v>
          </cell>
          <cell r="E21056" t="str">
            <v>ITAU UNIBANCO ASSET - TACO</v>
          </cell>
        </row>
        <row r="21057">
          <cell r="B21057">
            <v>82325</v>
          </cell>
          <cell r="C21057" t="str">
            <v>ITAU FLEXPREV MASTER GD MULTIMERCADO FUNDO DE INVESTIMENTO</v>
          </cell>
          <cell r="D21057" t="str">
            <v>ITAU FLEXPREV MASTER GD MULTIMERCADO FUNDO DE INVESTIMENTO</v>
          </cell>
          <cell r="E21057" t="str">
            <v>ITAU UNIBANCO ASSET - TACO</v>
          </cell>
        </row>
        <row r="21058">
          <cell r="B21058">
            <v>82336</v>
          </cell>
          <cell r="C21058" t="str">
            <v>CLAVE CORTEX MASTER FIM</v>
          </cell>
          <cell r="D21058" t="str">
            <v>CLAVE CORTEX MASTER FIM</v>
          </cell>
          <cell r="E21058" t="str">
            <v>CLAVE GESTORA DE RECURSOS LTDA</v>
          </cell>
        </row>
        <row r="21059">
          <cell r="B21059">
            <v>82336</v>
          </cell>
          <cell r="C21059" t="str">
            <v>CLAVE CORTEX MASTER FIM</v>
          </cell>
          <cell r="D21059" t="str">
            <v>CLAVE CORTEX MASTER FIM</v>
          </cell>
          <cell r="E21059" t="str">
            <v>CLAVE GESTORA DE RECURSOS LTDA</v>
          </cell>
        </row>
        <row r="21060">
          <cell r="B21060">
            <v>82331</v>
          </cell>
          <cell r="C21060" t="str">
            <v>CLAVE ACOES INSTITUCIONAL MASTER FIA</v>
          </cell>
          <cell r="D21060" t="str">
            <v>CLAVE ACOES INSTITUCIONAL MASTER FIA</v>
          </cell>
          <cell r="E21060" t="str">
            <v>CLAVE GESTORA DE RECURSOS LTDA</v>
          </cell>
        </row>
        <row r="21061">
          <cell r="B21061">
            <v>82331</v>
          </cell>
          <cell r="C21061" t="str">
            <v>CLAVE ACOES INSTITUCIONAL MASTER FIA</v>
          </cell>
          <cell r="D21061" t="str">
            <v>CLAVE ACOES INSTITUCIONAL MASTER FIA</v>
          </cell>
          <cell r="E21061" t="str">
            <v>CLAVE GESTORA DE RECURSOS LTDA</v>
          </cell>
        </row>
        <row r="21062">
          <cell r="B21062">
            <v>82349</v>
          </cell>
          <cell r="C21062" t="str">
            <v>CLAVE ALPHA MACRO MASTER FIM</v>
          </cell>
          <cell r="D21062" t="str">
            <v>CLAVE ALPHA MACRO MASTER FIM</v>
          </cell>
          <cell r="E21062" t="str">
            <v>CLAVE ALPHA MACRO MASTER FIM</v>
          </cell>
        </row>
        <row r="21063">
          <cell r="B21063">
            <v>82349</v>
          </cell>
          <cell r="C21063" t="str">
            <v>CLAVE ALPHA MACRO MASTER FIM</v>
          </cell>
          <cell r="D21063" t="str">
            <v>CLAVE ALPHA MACRO MASTER FIM</v>
          </cell>
          <cell r="E21063" t="str">
            <v>CLAVE GESTORA DE RECURSOS LTDA</v>
          </cell>
        </row>
        <row r="21064">
          <cell r="B21064">
            <v>82334</v>
          </cell>
          <cell r="C21064" t="str">
            <v>CLAVE TOTAL RETURN MASTER FIA</v>
          </cell>
          <cell r="D21064" t="str">
            <v>CLAVE TOTAL RETURN MASTER FIA</v>
          </cell>
          <cell r="E21064" t="str">
            <v>CLAVE GESTORA DE RECURSOS LTDA</v>
          </cell>
        </row>
        <row r="21065">
          <cell r="B21065">
            <v>82334</v>
          </cell>
          <cell r="C21065" t="str">
            <v>CLAVE TOTAL RETURN MASTER FIA</v>
          </cell>
          <cell r="D21065" t="str">
            <v>CLAVE TOTAL RETURN MASTER FIA</v>
          </cell>
          <cell r="E21065" t="str">
            <v>CLAVE GESTORA DE RECURSOS LTDA</v>
          </cell>
        </row>
        <row r="21066">
          <cell r="B21066">
            <v>82337</v>
          </cell>
          <cell r="C21066" t="str">
            <v>CL I FIM</v>
          </cell>
          <cell r="D21066" t="str">
            <v>CL I FIM</v>
          </cell>
          <cell r="E21066" t="str">
            <v>CLAVE GESTORA DE RECURSOS LTDA</v>
          </cell>
        </row>
        <row r="21067">
          <cell r="B21067">
            <v>82332</v>
          </cell>
          <cell r="C21067" t="str">
            <v>CLAVE ACOES MASTER FUNDO DE INVESTIMENTO EM ACOES</v>
          </cell>
          <cell r="D21067" t="str">
            <v>CLAVE ACOES MASTER FUNDO DE INVESTIMENTO EM ACOES</v>
          </cell>
          <cell r="E21067" t="str">
            <v>CLAVE GESTORA DE RECURSOS LTDA</v>
          </cell>
        </row>
        <row r="21068">
          <cell r="B21068">
            <v>82337</v>
          </cell>
          <cell r="C21068" t="str">
            <v>CL I FIM</v>
          </cell>
          <cell r="D21068" t="str">
            <v>CL I FIM</v>
          </cell>
          <cell r="E21068" t="str">
            <v>CLAVE GESTORA DE RECURSOS LTDA</v>
          </cell>
        </row>
        <row r="21069">
          <cell r="B21069">
            <v>82332</v>
          </cell>
          <cell r="C21069" t="str">
            <v>CLAVE ACOES MASTER FUNDO DE INVESTIMENTO EM ACOES</v>
          </cell>
          <cell r="D21069" t="str">
            <v>CLAVE ACOES MASTER FUNDO DE INVESTIMENTO EM ACOES</v>
          </cell>
          <cell r="E21069" t="str">
            <v>CLAVE GESTORA DE RECURSOS LTDA</v>
          </cell>
        </row>
        <row r="21070">
          <cell r="B21070">
            <v>82339</v>
          </cell>
          <cell r="C21070" t="str">
            <v>CLV M2 MASTER FUNDO DE INVESTIMENTO MULTIMERCADO</v>
          </cell>
          <cell r="D21070" t="str">
            <v>CLV M2 MASTER FUNDO DE INVESTIMENTO MULTIMERCADO</v>
          </cell>
          <cell r="E21070" t="str">
            <v>CLAVE GESTORA DE RECURSOS LTDA</v>
          </cell>
        </row>
        <row r="21071">
          <cell r="B21071">
            <v>82335</v>
          </cell>
          <cell r="C21071" t="str">
            <v>CLAVE EQUITY HEDGE MASTER FUNDO DE INVESTIMENTO MULTIMERCADO</v>
          </cell>
          <cell r="D21071" t="str">
            <v>CLAVE EQUITY HEDGE MASTER FUNDO DE INVESTIMENTO MULTIMERCADO</v>
          </cell>
          <cell r="E21071" t="str">
            <v>CLAVE GESTORA DE RECURSOS LTDA</v>
          </cell>
        </row>
        <row r="21072">
          <cell r="B21072">
            <v>82339</v>
          </cell>
          <cell r="C21072" t="str">
            <v>CLV M2 MASTER FUNDO DE INVESTIMENTO MULTIMERCADO</v>
          </cell>
          <cell r="D21072" t="str">
            <v>CLV M2 MASTER FUNDO DE INVESTIMENTO MULTIMERCADO</v>
          </cell>
          <cell r="E21072" t="str">
            <v>CLAVE GESTORA DE RECURSOS LTDA</v>
          </cell>
        </row>
        <row r="21073">
          <cell r="B21073">
            <v>82338</v>
          </cell>
          <cell r="C21073" t="str">
            <v>CL II MASTER FIM</v>
          </cell>
          <cell r="D21073" t="str">
            <v>CL II MASTER FIM</v>
          </cell>
          <cell r="E21073" t="str">
            <v>CLAVE GESTORA DE RECURSOS LTDA</v>
          </cell>
        </row>
        <row r="21074">
          <cell r="B21074">
            <v>82338</v>
          </cell>
          <cell r="C21074" t="str">
            <v>CL II MASTER FIM</v>
          </cell>
          <cell r="D21074" t="str">
            <v>CL II MASTER FIM</v>
          </cell>
          <cell r="E21074" t="str">
            <v>CLAVE GESTORA DE RECURSOS LTDA</v>
          </cell>
        </row>
        <row r="21075">
          <cell r="B21075">
            <v>82350</v>
          </cell>
          <cell r="C21075" t="str">
            <v>CLAVE FLEX PREV FIFE I FIF MULTI - RESP LIMITADA</v>
          </cell>
          <cell r="D21075" t="str">
            <v>CLAVE FLEX PREV FIFE I FIF MULTI - RESP LIMITADA</v>
          </cell>
          <cell r="E21075" t="str">
            <v>CLAVE GESTORA DE RECURSOS LTDA</v>
          </cell>
        </row>
        <row r="21076">
          <cell r="B21076">
            <v>82333</v>
          </cell>
          <cell r="C21076" t="str">
            <v>CLAVE TOTAL RETURN MASTER FIM</v>
          </cell>
          <cell r="D21076" t="str">
            <v>CLAVE TOTAL RETURN MASTER FIM</v>
          </cell>
          <cell r="E21076" t="str">
            <v>CLAVE GESTORA DE RECURSOS LTDA</v>
          </cell>
        </row>
        <row r="21077">
          <cell r="B21077">
            <v>82350</v>
          </cell>
          <cell r="C21077" t="str">
            <v>CLAVE FLEX PREV FIFE I FIF MULTI - RESP LIMITADA</v>
          </cell>
          <cell r="D21077" t="str">
            <v>CLAVE FLEX PREV FIFE I FIF MULTI - RESP LIMITADA</v>
          </cell>
          <cell r="E21077" t="str">
            <v>CLAVE GESTORA DE RECURSOS LTDA</v>
          </cell>
        </row>
        <row r="21078">
          <cell r="B21078">
            <v>82353</v>
          </cell>
          <cell r="C21078" t="str">
            <v>SERIGY DEBÃŠNTURES FIF INCENTIVADO EM NFRAESTRUTURA RF</v>
          </cell>
          <cell r="D21078" t="str">
            <v>SERIGY DEBÃŠNTURES FIF INCENTIVADO EM NFRAESTRUTURA RF</v>
          </cell>
          <cell r="E21078" t="str">
            <v>JULIUS BAER FAMILY OFFICE BRASIL GESTAO DE PATRIMONIO LTDA</v>
          </cell>
        </row>
        <row r="21079">
          <cell r="B21079">
            <v>82353</v>
          </cell>
          <cell r="C21079" t="str">
            <v>SERIGY DEBÃŠNTURES FIF INCENTIVADO EM NFRAESTRUTURA RF</v>
          </cell>
          <cell r="D21079" t="str">
            <v>SERIGY DEBÃŠNTURES FIF INCENTIVADO EM NFRAESTRUTURA RF</v>
          </cell>
          <cell r="E21079" t="str">
            <v>JULIUS BAER FAMILY OFFICE BRASIL GESTAO DE PATRIMONIO LTDA</v>
          </cell>
        </row>
        <row r="21080">
          <cell r="B21080">
            <v>82354</v>
          </cell>
          <cell r="C21080" t="str">
            <v>2549 FIC DE FIM CP IE</v>
          </cell>
          <cell r="D21080" t="str">
            <v>2549 FIC DE FIM CP IE</v>
          </cell>
          <cell r="E21080" t="str">
            <v>JULIUS BAER FAMILY OFFICE BRASIL GESTAO DE PATRIMONIO LTDA</v>
          </cell>
        </row>
        <row r="21081">
          <cell r="B21081">
            <v>82354</v>
          </cell>
          <cell r="C21081" t="str">
            <v>2549 FIC DE FIM CP IE</v>
          </cell>
          <cell r="D21081" t="str">
            <v>2549 FIC DE FIM CP IE</v>
          </cell>
          <cell r="E21081" t="str">
            <v>JULIUS BAER FAMILY OFFICE BRASIL GESTAO DE PATRIMONIO LTDA</v>
          </cell>
        </row>
        <row r="21082">
          <cell r="B21082">
            <v>80048</v>
          </cell>
          <cell r="C21082" t="str">
            <v>IBIUNA HEDGE ST MASTER FIM</v>
          </cell>
          <cell r="D21082" t="str">
            <v>IBIUNA HEDGE ST MASTER FIM</v>
          </cell>
          <cell r="E21082" t="str">
            <v>IBIUNA GESTAO DE RECURSOS LTDA</v>
          </cell>
        </row>
        <row r="21083">
          <cell r="B21083">
            <v>82357</v>
          </cell>
          <cell r="C21083" t="str">
            <v>BANCO BOCOM BBM S.A</v>
          </cell>
          <cell r="D21083" t="str">
            <v>BANCO BOCOM BBM S.A</v>
          </cell>
          <cell r="E21083" t="str">
            <v>BANCO BOCOM BBM S/A</v>
          </cell>
        </row>
        <row r="21084">
          <cell r="B21084">
            <v>82358</v>
          </cell>
          <cell r="C21084" t="str">
            <v>RAVELLO FI EM PARTICIPAÃ‡OES MULTIESTRATEGIA</v>
          </cell>
          <cell r="D21084" t="str">
            <v>RAVELLO FI EM PARTICIPAÃ‡OES MULTIESTRATEGIA</v>
          </cell>
          <cell r="E21084" t="str">
            <v>MAM ASSET MANAGEMENT GESTORA DE RECURSOS LTDA</v>
          </cell>
        </row>
        <row r="21085">
          <cell r="B21085">
            <v>82358</v>
          </cell>
          <cell r="C21085" t="str">
            <v>RAVELLO FI EM PARTICIPAÃ‡OES MULTIESTRATEGIA</v>
          </cell>
          <cell r="D21085" t="str">
            <v>RAVELLO FI EM PARTICIPAÃ‡OES MULTIESTRATEGIA</v>
          </cell>
          <cell r="E21085" t="str">
            <v>MAM ASSET MANAGEMENT GESTORA DE RECURSOS LTDA</v>
          </cell>
        </row>
        <row r="21086">
          <cell r="B21086">
            <v>82364</v>
          </cell>
          <cell r="C21086" t="str">
            <v>MAGNUS VALOR PREVIDENCIA I FIA</v>
          </cell>
          <cell r="D21086" t="str">
            <v>MAGNUS VALOR PREVIDENCIA I FIA</v>
          </cell>
          <cell r="E21086" t="str">
            <v>MAGNUS CAPITAL GESTORA DE RECURSOS LTDA</v>
          </cell>
        </row>
        <row r="21087">
          <cell r="B21087">
            <v>82365</v>
          </cell>
          <cell r="C21087" t="str">
            <v>KAPAM GESTORA DE RECURSOS LTDA</v>
          </cell>
          <cell r="D21087" t="str">
            <v>KAPAM GESTORA DE RECURSOS LTDA</v>
          </cell>
          <cell r="E21087" t="str">
            <v>KAPAM GESTORA DE RECURSOS LTDA</v>
          </cell>
        </row>
        <row r="21088">
          <cell r="B21088">
            <v>82366</v>
          </cell>
          <cell r="C21088" t="str">
            <v>KAPAM GESTORA DE RECURSOS LTDA</v>
          </cell>
          <cell r="D21088" t="str">
            <v>KAPAM GESTORA DE RECURSOS LTDA</v>
          </cell>
          <cell r="E21088" t="str">
            <v>KAPAM GESTORA DE RECURSOS LTDA</v>
          </cell>
        </row>
        <row r="21089">
          <cell r="B21089">
            <v>82366</v>
          </cell>
          <cell r="C21089" t="str">
            <v>KAPAM GESTORA DE RECURSOS LTDA</v>
          </cell>
          <cell r="D21089" t="str">
            <v>KAPAM GESTORA DE RECURSOS LTDA</v>
          </cell>
          <cell r="E21089" t="str">
            <v>KAPAM GESTORA DE RECURSOS LTDA</v>
          </cell>
        </row>
        <row r="21090">
          <cell r="B21090">
            <v>82365</v>
          </cell>
          <cell r="C21090" t="str">
            <v>KAPAM GESTORA DE RECURSOS LTDA</v>
          </cell>
          <cell r="D21090" t="str">
            <v>KAPAM GESTORA DE RECURSOS LTDA</v>
          </cell>
          <cell r="E21090" t="str">
            <v>KAPAM GESTORA DE RECURSOS LTDA</v>
          </cell>
        </row>
        <row r="21091">
          <cell r="B21091">
            <v>82368</v>
          </cell>
          <cell r="C21091" t="str">
            <v>CHINOOK CLASSE DE INVESTIMENTO RX INFRAEST INCENTIVADO LP</v>
          </cell>
          <cell r="D21091" t="str">
            <v>CHINOOK CLASSE DE INVESTIMENTO RX INFRAEST INCENTIVADO LP</v>
          </cell>
          <cell r="E21091" t="str">
            <v>JULIUS BAER FAMILY OFFICE BRASIL GESTAO DE PATRIMONIO LTDA</v>
          </cell>
        </row>
        <row r="21092">
          <cell r="B21092">
            <v>82368</v>
          </cell>
          <cell r="C21092" t="str">
            <v>CHINOOK CLASSE DE INVESTIMENTO RX INFRAEST INCENTIVADO LP</v>
          </cell>
          <cell r="D21092" t="str">
            <v>CHINOOK CLASSE DE INVESTIMENTO RX INFRAEST INCENTIVADO LP</v>
          </cell>
          <cell r="E21092" t="str">
            <v>JULIUS BAER FAMILY OFFICE BRASIL GESTAO DE PATRIMONIO LTDA</v>
          </cell>
        </row>
        <row r="21093">
          <cell r="B21093">
            <v>82369</v>
          </cell>
          <cell r="C21093" t="str">
            <v>CATLITE INFRA FUNDO DE INVESTIMENTO FI EM INFRA RF</v>
          </cell>
          <cell r="D21093" t="str">
            <v>CATLITE INFRA FUNDO DE INVESTIMENTO FI EM INFRA RF</v>
          </cell>
          <cell r="E21093" t="str">
            <v>JULIUS BAER FAMILY OFFICE BRASIL GESTAO DE PATRIMONIO LTDA</v>
          </cell>
        </row>
        <row r="21094">
          <cell r="B21094">
            <v>82369</v>
          </cell>
          <cell r="C21094" t="str">
            <v>CATLITE INFRA FUNDO DE INVESTIMENTO FI EM INFRA RF</v>
          </cell>
          <cell r="D21094" t="str">
            <v>CATLITE INFRA FUNDO DE INVESTIMENTO FI EM INFRA RF</v>
          </cell>
          <cell r="E21094" t="str">
            <v>JULIUS BAER FAMILY OFFICE BRASIL GESTAO DE PATRIMONIO LTDA</v>
          </cell>
        </row>
        <row r="21095">
          <cell r="B21095">
            <v>82370</v>
          </cell>
          <cell r="C21095" t="str">
            <v>CRASSO CLASSE DE INVESTIMENTO EM RF INFRA INCENTIVADO CP</v>
          </cell>
          <cell r="D21095" t="str">
            <v>CRASSO CLASSE DE INVESTIMENTO EM RF INFRA INCENTIVADO CP</v>
          </cell>
          <cell r="E21095" t="str">
            <v>JULIUS BAER FAMILY OFFICE BRASIL GESTAO DE PATRIMONIO LTDA</v>
          </cell>
        </row>
        <row r="21096">
          <cell r="B21096">
            <v>82370</v>
          </cell>
          <cell r="C21096" t="str">
            <v>CRASSO CLASSE DE INVESTIMENTO EM RF INFRA INCENTIVADO CP</v>
          </cell>
          <cell r="D21096" t="str">
            <v>CRASSO CLASSE DE INVESTIMENTO EM RF INFRA INCENTIVADO CP</v>
          </cell>
          <cell r="E21096" t="str">
            <v>JULIUS BAER FAMILY OFFICE BRASIL GESTAO DE PATRIMONIO LTDA</v>
          </cell>
        </row>
        <row r="21097">
          <cell r="B21097">
            <v>82371</v>
          </cell>
          <cell r="C21097" t="str">
            <v>VENTUS CLASSE DE INVESTIMENTO EM RF INFRA INCENTIVADO CP</v>
          </cell>
          <cell r="D21097" t="str">
            <v>VENTUS CLASSE DE INVESTIMENTO EM RF INFRA INCENTIVADO CP</v>
          </cell>
          <cell r="E21097" t="str">
            <v>JULIUS BAER FAMILY OFFICE BRASIL GESTAO DE PATRIMONIO LTDA</v>
          </cell>
        </row>
        <row r="21098">
          <cell r="B21098">
            <v>82371</v>
          </cell>
          <cell r="C21098" t="str">
            <v>VENTUS CLASSE DE INVESTIMENTO EM RF INFRA INCENTIVADO CP</v>
          </cell>
          <cell r="D21098" t="str">
            <v>VENTUS CLASSE DE INVESTIMENTO EM RF INFRA INCENTIVADO CP</v>
          </cell>
          <cell r="E21098" t="str">
            <v>JULIUS BAER FAMILY OFFICE BRASIL GESTAO DE PATRIMONIO LTDA</v>
          </cell>
        </row>
        <row r="21099">
          <cell r="B21099">
            <v>82372</v>
          </cell>
          <cell r="C21099" t="str">
            <v>FIDUCIA MASTER FI MULT CRÃ‰DITO PRIVADO INVEST NO EXTERIOR</v>
          </cell>
          <cell r="D21099" t="str">
            <v>FIDUCIA MASTER FI MULT CRÃ‰DITO PRIVADO INVEST NO EXTERIOR</v>
          </cell>
          <cell r="E21099" t="str">
            <v>JULIUS BAER FAMILY OFFICE BRASIL GESTAO DE PATRIMONIO LTDA</v>
          </cell>
        </row>
        <row r="21100">
          <cell r="B21100">
            <v>82372</v>
          </cell>
          <cell r="C21100" t="str">
            <v>FIDUCIA MASTER FI MULT CRÃ‰DITO PRIVADO INVEST NO EXTERIOR</v>
          </cell>
          <cell r="D21100" t="str">
            <v>FIDUCIA MASTER FI MULT CRÃ‰DITO PRIVADO INVEST NO EXTERIOR</v>
          </cell>
          <cell r="E21100" t="str">
            <v>JULIUS BAER FAMILY OFFICE BRASIL GESTAO DE PATRIMONIO LTDA</v>
          </cell>
        </row>
        <row r="21101">
          <cell r="B21101">
            <v>82373</v>
          </cell>
          <cell r="C21101" t="str">
            <v>CALLIDUS FUNDO DE INVESTIMENTO FINANCEIRO RFI INVEST EM INFR</v>
          </cell>
          <cell r="D21101" t="str">
            <v>CALLIDUS FUNDO DE INVESTIMENTO FINANCEIRO RFI INVEST EM INFR</v>
          </cell>
          <cell r="E21101" t="str">
            <v>JULIUS BAER FAMILY OFFICE BRASIL GESTAO DE PATRIMONIO LTDA</v>
          </cell>
        </row>
        <row r="21102">
          <cell r="B21102">
            <v>82373</v>
          </cell>
          <cell r="C21102" t="str">
            <v>CALLIDUS FUNDO DE INVESTIMENTO FINANCEIRO RFI INVEST EM INFR</v>
          </cell>
          <cell r="D21102" t="str">
            <v>CALLIDUS FUNDO DE INVESTIMENTO FINANCEIRO RFI INVEST EM INFR</v>
          </cell>
          <cell r="E21102" t="str">
            <v>JULIUS BAER FAMILY OFFICE BRASIL GESTAO DE PATRIMONIO LTDA</v>
          </cell>
        </row>
        <row r="21103">
          <cell r="B21103">
            <v>82384</v>
          </cell>
          <cell r="C21103" t="str">
            <v>LIGHT FUNDO DE INVESTIMENTO MULTIMERCADO CREDITO PRIVADO</v>
          </cell>
          <cell r="D21103" t="str">
            <v>LIGHT FUNDO DE INVESTIMENTO MULTIMERCADO CREDITO PRIVADO</v>
          </cell>
          <cell r="E21103" t="str">
            <v>WNT GESTORA DE RECURSOS LTDA</v>
          </cell>
        </row>
        <row r="21104">
          <cell r="B21104">
            <v>82384</v>
          </cell>
          <cell r="C21104" t="str">
            <v>LIGHT FUNDO DE INVESTIMENTO MULTIMERCADO CREDITO PRIVADO</v>
          </cell>
          <cell r="D21104" t="str">
            <v>LIGHT FUNDO DE INVESTIMENTO MULTIMERCADO CREDITO PRIVADO</v>
          </cell>
          <cell r="E21104" t="str">
            <v>WNT GESTORA DE RECURSOS LTDA</v>
          </cell>
        </row>
        <row r="21105">
          <cell r="B21105">
            <v>82387</v>
          </cell>
          <cell r="C21105" t="str">
            <v>ITAU MAPPA INSTITUCIONAL MULTIMERCADO FUNDO DE INVESTIMENTO</v>
          </cell>
          <cell r="D21105" t="str">
            <v>ITAU MAPPA INSTITUCIONAL MULTIMERCADO FUNDO DE INVESTIMENTO</v>
          </cell>
          <cell r="E21105" t="str">
            <v>ITAU UNIBANCO ASSET - TACO</v>
          </cell>
        </row>
        <row r="21106">
          <cell r="B21106">
            <v>82387</v>
          </cell>
          <cell r="C21106" t="str">
            <v>ITAU MAPPA INSTITUCIONAL MULTIMERCADO FUNDO DE INVESTIMENTO</v>
          </cell>
          <cell r="D21106" t="str">
            <v>ITAU MAPPA INSTITUCIONAL MULTIMERCADO FUNDO DE INVESTIMENTO</v>
          </cell>
          <cell r="E21106" t="str">
            <v>ITAU UNIBANCO ASSET - TACO</v>
          </cell>
        </row>
        <row r="21107">
          <cell r="B21107">
            <v>82388</v>
          </cell>
          <cell r="C21107" t="str">
            <v>ITAU MASTER GLOBAL DINAMICO ULTRA MULTIMERCADO FUNDO DE INVE</v>
          </cell>
          <cell r="D21107" t="str">
            <v>ITAU MASTER GLOBAL DINAMICO ULTRA MULTIMERCADO FUNDO DE INVE</v>
          </cell>
          <cell r="E21107" t="str">
            <v>ITAU UNIBANCO ASSET - TACO</v>
          </cell>
        </row>
        <row r="21108">
          <cell r="B21108">
            <v>82389</v>
          </cell>
          <cell r="C21108" t="str">
            <v>ITAU FLEXPREV MASTER GD MULTIMERCADO FUNDO DE INVESTIMENTO</v>
          </cell>
          <cell r="D21108" t="str">
            <v>ITAU FLEXPREV MASTER GD MULTIMERCADO FUNDO DE INVESTIMENTO</v>
          </cell>
          <cell r="E21108" t="str">
            <v>ITAU UNIBANCO ASSET - TACO</v>
          </cell>
        </row>
        <row r="21109">
          <cell r="B21109">
            <v>82390</v>
          </cell>
          <cell r="C21109" t="str">
            <v>SQUAREPOINT MASTER TRADING LLC</v>
          </cell>
          <cell r="D21109" t="str">
            <v>SQUAREPOINT MASTER TRADING LLC</v>
          </cell>
          <cell r="E21109" t="str">
            <v>SQUAREPOINT TRADING LLC</v>
          </cell>
        </row>
        <row r="21110">
          <cell r="B21110">
            <v>82391</v>
          </cell>
          <cell r="C21110" t="str">
            <v>ITAU MASTER GLOBAL DINAMICO MULTIMERCADO FI</v>
          </cell>
          <cell r="D21110" t="str">
            <v>ITAU MASTER GLOBAL DINAMICO MULTIMERCADO FI</v>
          </cell>
          <cell r="E21110" t="str">
            <v>ITAU UNIBANCO ASSET - TACO</v>
          </cell>
        </row>
        <row r="21111">
          <cell r="B21111">
            <v>82392</v>
          </cell>
          <cell r="C21111" t="str">
            <v>CAST IRON DEBENTURES INCENTIVADAS EM INFRAESTRUTURA CIRF CP</v>
          </cell>
          <cell r="D21111" t="str">
            <v>CAST IRON DEBENTURES INCENTIVADAS EM INFRAESTRUTURA CIRF CP</v>
          </cell>
          <cell r="E21111" t="str">
            <v>JULIUS BAER FAMILY OFFICE BRASIL GESTAO DE PATRIMONIO LTDA</v>
          </cell>
        </row>
        <row r="21112">
          <cell r="B21112">
            <v>82392</v>
          </cell>
          <cell r="C21112" t="str">
            <v>CAST IRON DEBENTURES INCENTIVADAS EM INFRAESTRUTURA CIRF CP</v>
          </cell>
          <cell r="D21112" t="str">
            <v>CAST IRON DEBENTURES INCENTIVADAS EM INFRAESTRUTURA CIRF CP</v>
          </cell>
          <cell r="E21112" t="str">
            <v>JULIUS BAER FAMILY OFFICE BRASIL GESTAO DE PATRIMONIO LTDA</v>
          </cell>
        </row>
        <row r="21113">
          <cell r="B21113">
            <v>82393</v>
          </cell>
          <cell r="C21113" t="str">
            <v>MAGNUS VALOR PREV A MASTER FIF AÃ‡Ã•ES RESP LIMITADA</v>
          </cell>
          <cell r="D21113" t="str">
            <v>MAGNUS VALOR PREV A MASTER FIF AÃ‡Ã•ES RESP LIMITADA</v>
          </cell>
          <cell r="E21113" t="str">
            <v>MAGNUS CAPITAL GESTORA DE RECURSOS LTDA</v>
          </cell>
        </row>
        <row r="21114">
          <cell r="B21114">
            <v>82404</v>
          </cell>
          <cell r="C21114" t="str">
            <v>MAM ASSET MANAGEMENT GESTORA DE RECURSOS LTDA</v>
          </cell>
          <cell r="D21114" t="str">
            <v>MAM ASSET MANAGEMENT GESTORA DE RECURSOS LTDA</v>
          </cell>
          <cell r="E21114" t="str">
            <v>MAM ASSET MANAGEMENT GESTORA DE RECURSOS LTDA</v>
          </cell>
        </row>
        <row r="21115">
          <cell r="B21115">
            <v>82404</v>
          </cell>
          <cell r="C21115" t="str">
            <v>MAM ASSET MANAGEMENT GESTORA DE RECURSOS LTDA</v>
          </cell>
          <cell r="D21115" t="str">
            <v>MAM ASSET MANAGEMENT GESTORA DE RECURSOS LTDA</v>
          </cell>
          <cell r="E21115" t="str">
            <v>MAM ASSET MANAGEMENT GESTORA DE RECURSOS LTDA</v>
          </cell>
        </row>
        <row r="21116">
          <cell r="B21116">
            <v>82408</v>
          </cell>
          <cell r="C21116" t="str">
            <v>PLANO COMPLEMENTAR A PREVIDENCIA SOCIAL</v>
          </cell>
          <cell r="D21116" t="str">
            <v>PLANO COMPLEMENTAR A PREVIDENCIA SOCIAL</v>
          </cell>
          <cell r="E21116" t="str">
            <v>FUNDACAO ELETROBRAS DE SEGURIDADE SOCIAL ELETROS</v>
          </cell>
        </row>
        <row r="21117">
          <cell r="B21117">
            <v>82409</v>
          </cell>
          <cell r="C21117" t="str">
            <v>FUNDACAO ELETROBRAS DE SEGURIDADE SOCIAL ELETROS</v>
          </cell>
          <cell r="D21117" t="str">
            <v>FUNDACAO ELETROBRAS DE SEGURIDADE SOCIAL ELETROS</v>
          </cell>
          <cell r="E21117" t="str">
            <v>FUNDACAO ELETROBRAS DE SEGURIDADE SOCIAL ELETROS</v>
          </cell>
        </row>
        <row r="21118">
          <cell r="B21118">
            <v>82410</v>
          </cell>
          <cell r="C21118" t="str">
            <v>PLANO DE CONTRIBUICAO DEFINIDA_ ELETROS</v>
          </cell>
          <cell r="D21118" t="str">
            <v>PLANO DE CONTRIBUICAO DEFINIDA_ ELETROS</v>
          </cell>
          <cell r="E21118" t="str">
            <v>FUNDACAO ELETROBRAS DE SEGURIDADE SOCIAL ELETROS</v>
          </cell>
        </row>
        <row r="21119">
          <cell r="B21119">
            <v>82411</v>
          </cell>
          <cell r="C21119" t="str">
            <v>PLANO ELETROBRAS DE CONTRIBUICAO DEFINIDA I</v>
          </cell>
          <cell r="D21119" t="str">
            <v>PLANO ELETROBRAS DE CONTRIBUICAO DEFINIDA I</v>
          </cell>
          <cell r="E21119" t="str">
            <v>FUNDACAO ELETROBRAS DE SEGURIDADE SOCIAL ELETROS</v>
          </cell>
        </row>
        <row r="21120">
          <cell r="B21120">
            <v>82412</v>
          </cell>
          <cell r="C21120" t="str">
            <v>PLANO DE PREVIDENCIA DA ELETROS PLANO EPE</v>
          </cell>
          <cell r="D21120" t="str">
            <v>PLANO DE PREVIDENCIA DA ELETROS PLANO EPE</v>
          </cell>
          <cell r="E21120" t="str">
            <v>FUNDACAO ELETROBRAS DE SEGURIDADE SOCIAL ELETROS</v>
          </cell>
        </row>
        <row r="21121">
          <cell r="B21121">
            <v>82413</v>
          </cell>
          <cell r="C21121" t="str">
            <v>PLANO CV ONS</v>
          </cell>
          <cell r="D21121" t="str">
            <v>PLANO CV ONS</v>
          </cell>
          <cell r="E21121" t="str">
            <v>FUNDACAO ELETROBRAS DE SEGURIDADE SOCIAL ELETROS</v>
          </cell>
        </row>
        <row r="21122">
          <cell r="B21122">
            <v>82414</v>
          </cell>
          <cell r="C21122" t="str">
            <v>ELETROS ACOES FUNDO DE INVESTIMENTO EM COTAS DE FIA</v>
          </cell>
          <cell r="D21122" t="str">
            <v>ELETROS ACOES FUNDO DE INVESTIMENTO EM COTAS DE FIA</v>
          </cell>
          <cell r="E21122" t="str">
            <v>FUNDACAO ELETROBRAS DE SEGURIDADE SOCIAL ELETROS</v>
          </cell>
        </row>
        <row r="21123">
          <cell r="B21123">
            <v>82415</v>
          </cell>
          <cell r="C21123" t="str">
            <v>ITAU UNIBANCO S.A.</v>
          </cell>
          <cell r="D21123" t="str">
            <v>ITAU UNIBANCO S.A.</v>
          </cell>
          <cell r="E21123" t="str">
            <v>ITAU UNIBANCO S/A</v>
          </cell>
        </row>
        <row r="21124">
          <cell r="B21124">
            <v>82415</v>
          </cell>
          <cell r="C21124" t="str">
            <v>ITAU UNIBANCO S.A.</v>
          </cell>
          <cell r="D21124" t="str">
            <v>ITAU UNIBANCO S.A.</v>
          </cell>
          <cell r="E21124" t="str">
            <v>ITAU UNIBANCO S/A</v>
          </cell>
        </row>
        <row r="21125">
          <cell r="B21125">
            <v>82417</v>
          </cell>
          <cell r="C21125" t="str">
            <v>CLAVE CREDIT VC FIM CP IE</v>
          </cell>
          <cell r="D21125" t="str">
            <v>CLAVE CREDIT VC FIM CP IE</v>
          </cell>
          <cell r="E21125" t="str">
            <v>CLAVE GESTORA DE RECURSOS LTDA</v>
          </cell>
        </row>
        <row r="21126">
          <cell r="B21126">
            <v>82418</v>
          </cell>
          <cell r="C21126" t="str">
            <v>CLAVE CREDIT CW2 FIM CP RL</v>
          </cell>
          <cell r="D21126" t="str">
            <v>CLAVE CREDIT CW2 FIM CP RL</v>
          </cell>
          <cell r="E21126" t="str">
            <v>CLAVE GESTORA DE RECURSOS LTDA</v>
          </cell>
        </row>
        <row r="21127">
          <cell r="B21127">
            <v>82419</v>
          </cell>
          <cell r="C21127" t="str">
            <v>CLAVE MULTI CREDIT PLUS MASTER FIM CP</v>
          </cell>
          <cell r="D21127" t="str">
            <v>CLAVE MULTI CREDIT PLUS MASTER FIM CP</v>
          </cell>
          <cell r="E21127" t="str">
            <v>CLAVE GESTORA DE RECURSOS LTDA</v>
          </cell>
        </row>
        <row r="21128">
          <cell r="B21128">
            <v>82419</v>
          </cell>
          <cell r="C21128" t="str">
            <v>CLAVE MULTI CREDIT PLUS MASTER FIM CP</v>
          </cell>
          <cell r="D21128" t="str">
            <v>CLAVE MULTI CREDIT PLUS MASTER FIM CP</v>
          </cell>
          <cell r="E21128" t="str">
            <v>CLAVE GESTORA DE RECURSOS LTDA</v>
          </cell>
        </row>
        <row r="21129">
          <cell r="B21129">
            <v>82420</v>
          </cell>
          <cell r="C21129" t="str">
            <v>CLAVE MULTI CREDIT PREV FIFE I FIM CP</v>
          </cell>
          <cell r="D21129" t="str">
            <v>CLAVE MULTI CREDIT PREV FIFE I FIM CP</v>
          </cell>
          <cell r="E21129" t="str">
            <v>CLAVE GESTORA DE RECURSOS LTDA</v>
          </cell>
        </row>
        <row r="21130">
          <cell r="B21130">
            <v>82421</v>
          </cell>
          <cell r="C21130" t="str">
            <v>CLAVE CREDIT L FIM CP</v>
          </cell>
          <cell r="D21130" t="str">
            <v>CLAVE CREDIT L FIM CP</v>
          </cell>
          <cell r="E21130" t="str">
            <v>CLAVE GESTORA DE RECURSOS LTDA</v>
          </cell>
        </row>
        <row r="21131">
          <cell r="B21131">
            <v>82422</v>
          </cell>
          <cell r="C21131" t="str">
            <v>CLAVE CREDIT TB FIM CP IE</v>
          </cell>
          <cell r="D21131" t="str">
            <v>CLAVE CREDIT TB FIM CP IE</v>
          </cell>
          <cell r="E21131" t="str">
            <v>CLAVE GESTORA DE RECURSOS LTDA</v>
          </cell>
        </row>
        <row r="21132">
          <cell r="B21132">
            <v>82423</v>
          </cell>
          <cell r="C21132" t="str">
            <v>CARGILL NOVOS HORIZONTES LTDA</v>
          </cell>
          <cell r="D21132" t="str">
            <v>CARGILL NOVOS HORIZONTES LTDA</v>
          </cell>
          <cell r="E21132" t="str">
            <v>BANCO CARGILL S/A</v>
          </cell>
        </row>
        <row r="21133">
          <cell r="B21133">
            <v>82423</v>
          </cell>
          <cell r="C21133" t="str">
            <v>CARGILL NOVOS HORIZONTES LTDA</v>
          </cell>
          <cell r="D21133" t="str">
            <v>CARGILL NOVOS HORIZONTES LTDA</v>
          </cell>
          <cell r="E21133" t="str">
            <v>BANCO CARGILL S/A</v>
          </cell>
        </row>
        <row r="21134">
          <cell r="B21134">
            <v>82424</v>
          </cell>
          <cell r="C21134" t="str">
            <v>ITAÃš FLEXPREV OPTIMUS LONG BIAS FIF MULT - RESP LIMITADA</v>
          </cell>
          <cell r="D21134" t="str">
            <v>ITAÃš FLEXPREV OPTIMUS LONG BIAS FIF MULT - RESP LIMITADA</v>
          </cell>
          <cell r="E21134" t="str">
            <v>ITAU UNIBANCO ASSET - TACO</v>
          </cell>
        </row>
        <row r="21135">
          <cell r="B21135">
            <v>82425</v>
          </cell>
          <cell r="C21135" t="str">
            <v>ITAU OPTIMUS TITAN BRASILPREV FIFE FIF MULT RL</v>
          </cell>
          <cell r="D21135" t="str">
            <v>ITAU OPTIMUS TITAN BRASILPREV FIFE FIF MULT RL</v>
          </cell>
          <cell r="E21135" t="str">
            <v>ITAU UNIBANCO ASSET - TACO</v>
          </cell>
        </row>
        <row r="21136">
          <cell r="B21136">
            <v>82426</v>
          </cell>
          <cell r="C21136" t="str">
            <v>JP MORGAN SECURITIES PLC</v>
          </cell>
          <cell r="D21136" t="str">
            <v>JP MORGAN SECURITIES PLC</v>
          </cell>
          <cell r="E21136" t="str">
            <v>BANCO JP MORGAN S/A</v>
          </cell>
        </row>
        <row r="21137">
          <cell r="B21137">
            <v>82427</v>
          </cell>
          <cell r="C21137" t="str">
            <v>KAPITALO SIGMA LLC - BTG</v>
          </cell>
          <cell r="D21137" t="str">
            <v>KAPITALO SIGMA LLC - BTG</v>
          </cell>
          <cell r="E21137" t="str">
            <v>KAPITALO INVESTIMENTOS LTDA</v>
          </cell>
        </row>
        <row r="21138">
          <cell r="B21138">
            <v>82428</v>
          </cell>
          <cell r="C21138" t="str">
            <v>SAFRA KEPLER MACRO MASTER FIF CLASSE DE IM RL</v>
          </cell>
          <cell r="D21138" t="str">
            <v>SAFRA KEPLER MACRO MASTER FIF CLASSE DE IM RL</v>
          </cell>
          <cell r="E21138" t="str">
            <v>EMERALD GESTAO DE INVESTIMENTOS LTDA</v>
          </cell>
        </row>
        <row r="21139">
          <cell r="B21139">
            <v>82429</v>
          </cell>
          <cell r="C21139" t="str">
            <v>CL IX FUNDO DE INVESTIMENTO MULTIMERCADO</v>
          </cell>
          <cell r="D21139" t="str">
            <v>CL IX FUNDO DE INVESTIMENTO MULTIMERCADO</v>
          </cell>
          <cell r="E21139" t="str">
            <v>CLAVE GESTORA DE RECURSOS LTDA</v>
          </cell>
        </row>
        <row r="21140">
          <cell r="B21140">
            <v>82434</v>
          </cell>
          <cell r="C21140" t="str">
            <v>RIO DEBENTURES FUNDO DE INVESTIMENTO FI INFRAESTRUTURADO RF</v>
          </cell>
          <cell r="D21140" t="str">
            <v>RIO DEBENTURES FUNDO DE INVESTIMENTO FI INFRAESTRUTURADO RF</v>
          </cell>
          <cell r="E21140" t="str">
            <v>JULIUS BAER FAMILY OFFICE BRASIL GESTAO DE PATRIMONIO LTDA</v>
          </cell>
        </row>
        <row r="21141">
          <cell r="B21141">
            <v>82434</v>
          </cell>
          <cell r="C21141" t="str">
            <v>RIO DEBENTURES FUNDO DE INVESTIMENTO FI INFRAESTRUTURADO RF</v>
          </cell>
          <cell r="D21141" t="str">
            <v>RIO DEBENTURES FUNDO DE INVESTIMENTO FI INFRAESTRUTURADO RF</v>
          </cell>
          <cell r="E21141" t="str">
            <v>JULIUS BAER FAMILY OFFICE BRASIL GESTAO DE PATRIMONIO LTDA</v>
          </cell>
        </row>
        <row r="21142">
          <cell r="B21142">
            <v>82435</v>
          </cell>
          <cell r="C21142" t="str">
            <v>MILES WATER CLASSE DE INVESTIMENTO EM ACOES</v>
          </cell>
          <cell r="D21142" t="str">
            <v>MILES WATER CLASSE DE INVESTIMENTO EM ACOES</v>
          </cell>
          <cell r="E21142" t="str">
            <v>MILES CAPITAL LTDA</v>
          </cell>
        </row>
        <row r="21143">
          <cell r="B21143">
            <v>82435</v>
          </cell>
          <cell r="C21143" t="str">
            <v>MILES WATER CLASSE DE INVESTIMENTO EM ACOES</v>
          </cell>
          <cell r="D21143" t="str">
            <v>MILES WATER CLASSE DE INVESTIMENTO EM ACOES</v>
          </cell>
          <cell r="E21143" t="str">
            <v>MILES CAPITAL LTDA</v>
          </cell>
        </row>
        <row r="21144">
          <cell r="B21144">
            <v>82436</v>
          </cell>
          <cell r="C21144" t="str">
            <v>BARRA FIA RESPONSABILIDADE LIMITADA</v>
          </cell>
          <cell r="D21144" t="str">
            <v>BARRA FIA RESPONSABILIDADE LIMITADA</v>
          </cell>
          <cell r="E21144" t="str">
            <v>ALASKA INVESTIMENTOS LTDA</v>
          </cell>
        </row>
        <row r="21145">
          <cell r="B21145">
            <v>82437</v>
          </cell>
          <cell r="C21145" t="str">
            <v>KAPAM INSTITUCIONAL MODERADO FIM</v>
          </cell>
          <cell r="D21145" t="str">
            <v>KAPAM INSTITUCIONAL MODERADO FIM</v>
          </cell>
          <cell r="E21145" t="str">
            <v>KAPAM GESTORA DE RECURSOS LTDA</v>
          </cell>
        </row>
        <row r="21146">
          <cell r="B21146">
            <v>82437</v>
          </cell>
          <cell r="C21146" t="str">
            <v>KAPAM INSTITUCIONAL MODERADO FIM</v>
          </cell>
          <cell r="D21146" t="str">
            <v>KAPAM INSTITUCIONAL MODERADO FIM</v>
          </cell>
          <cell r="E21146" t="str">
            <v>KAPAM GESTORA DE RECURSOS LTDA</v>
          </cell>
        </row>
        <row r="21147">
          <cell r="B21147">
            <v>82438</v>
          </cell>
          <cell r="C21147" t="str">
            <v>ARTESANAL PREVIDENCIA FUNDO DE INVESTIMENTO MULTIMERCADO RL</v>
          </cell>
          <cell r="D21147" t="str">
            <v>ARTESANAL PREVIDENCIA FUNDO DE INVESTIMENTO MULTIMERCADO RL</v>
          </cell>
          <cell r="E21147" t="str">
            <v>ARTESANAL INVESTIMENTOS LTDA</v>
          </cell>
        </row>
        <row r="21148">
          <cell r="B21148">
            <v>82440</v>
          </cell>
          <cell r="C21148" t="str">
            <v>ITAU TOTAL RETURN FUNDO DE INVESTIMENTO IMOBILIARIO</v>
          </cell>
          <cell r="D21148" t="str">
            <v>ITAU TOTAL RETURN FUNDO DE INVESTIMENTO IMOBILIARIO</v>
          </cell>
          <cell r="E21148" t="str">
            <v>ITAU UNIBANCO ASSET - TACO</v>
          </cell>
        </row>
        <row r="21149">
          <cell r="B21149">
            <v>1456</v>
          </cell>
          <cell r="C21149" t="str">
            <v>BGC LIQUIDEZ DTVM LTDA</v>
          </cell>
          <cell r="D21149" t="str">
            <v>BGC LIQUIDEZ DTVM LTDA</v>
          </cell>
          <cell r="E21149" t="str">
            <v>BGC LIQUIDEZ DTVM LTDA</v>
          </cell>
        </row>
        <row r="21150">
          <cell r="B21150">
            <v>1457</v>
          </cell>
          <cell r="C21150" t="str">
            <v>BGC LIQUIDEZ DTVM LTDA</v>
          </cell>
          <cell r="D21150" t="str">
            <v>BGC LIQUIDEZ DTVM LTDA</v>
          </cell>
          <cell r="E21150" t="str">
            <v>BGC LIQUIDEZ DTVM LTDA</v>
          </cell>
        </row>
        <row r="21151">
          <cell r="B21151">
            <v>82442</v>
          </cell>
          <cell r="C21151" t="str">
            <v>MAGNUS VALOR INSTITUCIONAL T1 FIA</v>
          </cell>
          <cell r="D21151" t="str">
            <v>MAGNUS VALOR INSTITUCIONAL T1 FIA</v>
          </cell>
          <cell r="E21151" t="str">
            <v>MAGNUS CAPITAL GESTORA DE RECURSOS LTDA</v>
          </cell>
        </row>
        <row r="21152">
          <cell r="B21152">
            <v>82442</v>
          </cell>
          <cell r="C21152" t="str">
            <v>MAGNUS VALOR INSTITUCIONAL T1 FIA</v>
          </cell>
          <cell r="D21152" t="str">
            <v>MAGNUS VALOR INSTITUCIONAL T1 FIA</v>
          </cell>
          <cell r="E21152" t="str">
            <v>MAGNUS CAPITAL GESTORA DE RECURSOS LTDA</v>
          </cell>
        </row>
        <row r="21153">
          <cell r="B21153">
            <v>82443</v>
          </cell>
          <cell r="C21153" t="str">
            <v>KAPAM SUL PREVIDENCIA FIM</v>
          </cell>
          <cell r="D21153" t="str">
            <v>KAPAM SUL PREVIDENCIA FIM</v>
          </cell>
          <cell r="E21153" t="str">
            <v>KAPAM GESTORA DE RECURSOS LTDA</v>
          </cell>
        </row>
        <row r="21154">
          <cell r="B21154">
            <v>82443</v>
          </cell>
          <cell r="C21154" t="str">
            <v>KAPAM SUL PREVIDENCIA FIM</v>
          </cell>
          <cell r="D21154" t="str">
            <v>KAPAM SUL PREVIDENCIA FIM</v>
          </cell>
          <cell r="E21154" t="str">
            <v>KAPAM GESTORA DE RECURSOS LTDA</v>
          </cell>
        </row>
        <row r="21155">
          <cell r="B21155">
            <v>82444</v>
          </cell>
          <cell r="C21155" t="str">
            <v>JULIUS BAER FEEDER ACWI HEDGED BRL FIC DE FIF EM AÃ‡Ã•ES</v>
          </cell>
          <cell r="D21155" t="str">
            <v>JULIUS BAER FEEDER ACWI HEDGED BRL FIC DE FIF EM AÃ‡Ã•ES</v>
          </cell>
          <cell r="E21155" t="str">
            <v>JULIUS BAER FAMILY OFFICE BRASIL GESTAO DE PATRIMONIO LTDA</v>
          </cell>
        </row>
        <row r="21156">
          <cell r="B21156">
            <v>82444</v>
          </cell>
          <cell r="C21156" t="str">
            <v>JULIUS BAER FEEDER ACWI HEDGED BRL FIC DE FIF EM AÃ‡Ã•ES</v>
          </cell>
          <cell r="D21156" t="str">
            <v>JULIUS BAER FEEDER ACWI HEDGED BRL FIC DE FIF EM AÃ‡Ã•ES</v>
          </cell>
          <cell r="E21156" t="str">
            <v>JULIUS BAER FAMILY OFFICE BRASIL GESTAO DE PATRIMONIO LTDA</v>
          </cell>
        </row>
        <row r="21157">
          <cell r="B21157">
            <v>82445</v>
          </cell>
          <cell r="C21157" t="str">
            <v>SOLANA LONG AND SHORT FUNDO DE INVESTIMENTO EM AÃ‡Ã•ES RESP LI</v>
          </cell>
          <cell r="D21157" t="str">
            <v>SOLANA LONG AND SHORT FUNDO DE INVESTIMENTO EM AÃ‡Ã•ES RESP LI</v>
          </cell>
          <cell r="E21157" t="str">
            <v>SOLANA GESTORA DE RECURSOS LTDA</v>
          </cell>
        </row>
        <row r="21158">
          <cell r="B21158">
            <v>82446</v>
          </cell>
          <cell r="C21158" t="str">
            <v>CITIBANK NA</v>
          </cell>
          <cell r="D21158" t="str">
            <v>CITIBANK NA</v>
          </cell>
          <cell r="E21158" t="str">
            <v>CITIBANK DTVM S/A</v>
          </cell>
        </row>
        <row r="21159">
          <cell r="B21159">
            <v>82447</v>
          </cell>
          <cell r="C21159" t="str">
            <v>ITAU MASTER GLOBAL DINAMICO MULTIMERCADO FI</v>
          </cell>
          <cell r="D21159" t="str">
            <v>ITAU MASTER GLOBAL DINAMICO MULTIMERCADO FI</v>
          </cell>
          <cell r="E21159" t="str">
            <v>ITAU UNIBANCO ASSET - TACO</v>
          </cell>
        </row>
        <row r="21160">
          <cell r="B21160">
            <v>82448</v>
          </cell>
          <cell r="C21160" t="str">
            <v>ITAU MASTER GLOBAL DINAMICO ULTRA MULTIMERCADO FUNDO DE INVE</v>
          </cell>
          <cell r="D21160" t="str">
            <v>ITAU MASTER GLOBAL DINAMICO ULTRA MULTIMERCADO FUNDO DE INVE</v>
          </cell>
          <cell r="E21160" t="str">
            <v>ITAU UNIBANCO ASSET - TACO</v>
          </cell>
        </row>
        <row r="21161">
          <cell r="B21161">
            <v>82449</v>
          </cell>
          <cell r="C21161" t="str">
            <v>ITAU FLEXPREV MASTER GD MULTIMERCADO FUNDO DE INVESTIMENTO</v>
          </cell>
          <cell r="D21161" t="str">
            <v>ITAU FLEXPREV MASTER GD MULTIMERCADO FUNDO DE INVESTIMENTO</v>
          </cell>
          <cell r="E21161" t="str">
            <v>ITAU UNIBANCO ASSET - TACO</v>
          </cell>
        </row>
        <row r="21162">
          <cell r="B21162">
            <v>82450</v>
          </cell>
          <cell r="C21162" t="str">
            <v>CSHG SUPRASSUMO FUNDO DE INVESTIMENTO EM AÃ‡Ã•ES IE</v>
          </cell>
          <cell r="D21162" t="str">
            <v>CSHG SUPRASSUMO FUNDO DE INVESTIMENTO EM AÃ‡Ã•ES IE</v>
          </cell>
          <cell r="E21162" t="str">
            <v>REAG ASSET MANAGEMENT LTDA</v>
          </cell>
        </row>
        <row r="21163">
          <cell r="B21163">
            <v>82450</v>
          </cell>
          <cell r="C21163" t="str">
            <v>CSHG SUPRASSUMO FUNDO DE INVESTIMENTO EM AÃ‡Ã•ES IE</v>
          </cell>
          <cell r="D21163" t="str">
            <v>CSHG SUPRASSUMO FUNDO DE INVESTIMENTO EM AÃ‡Ã•ES IE</v>
          </cell>
          <cell r="E21163" t="str">
            <v>CSHG SUPRASSUMO FUNDO DE INVESTIMENTO EM AÃ‡Ã•ES IE</v>
          </cell>
        </row>
        <row r="21164">
          <cell r="B21164">
            <v>82451</v>
          </cell>
          <cell r="C21164" t="str">
            <v>ESNA FIA</v>
          </cell>
          <cell r="D21164" t="str">
            <v>ESNA FIA</v>
          </cell>
          <cell r="E21164" t="str">
            <v>TRUSTEE DISTRIBUIDORA DE TITULOS E VALORES MOBILIARIOS LTDA</v>
          </cell>
        </row>
        <row r="21165">
          <cell r="B21165">
            <v>82451</v>
          </cell>
          <cell r="C21165" t="str">
            <v>ESNA FIA</v>
          </cell>
          <cell r="D21165" t="str">
            <v>ESNA FIA</v>
          </cell>
          <cell r="E21165" t="str">
            <v>TRUSTEE DISTRIBUIDORA DE TITULOS E VALORES MOBILIARIOS LTDA</v>
          </cell>
        </row>
        <row r="21166">
          <cell r="B21166">
            <v>82453</v>
          </cell>
          <cell r="C21166" t="str">
            <v>TRUSTEE DISTRIBUIDORA DE TITULOS E VALORES MOBILIARIOS LTDA</v>
          </cell>
          <cell r="D21166" t="str">
            <v>TRUSTEE DISTRIBUIDORA DE TITULOS E VALORES MOBILIARIOS LTDA</v>
          </cell>
          <cell r="E21166" t="str">
            <v>TRUSTEE DISTRIBUIDORA DE TITULOS E VALORES MOBILIARIOS LTDA</v>
          </cell>
        </row>
        <row r="21167">
          <cell r="B21167">
            <v>82453</v>
          </cell>
          <cell r="C21167" t="str">
            <v>TRUSTEE DISTRIBUIDORA DE TITULOS E VALORES MOBILIARIOS LTDA</v>
          </cell>
          <cell r="D21167" t="str">
            <v>TRUSTEE DISTRIBUIDORA DE TITULOS E VALORES MOBILIARIOS LTDA</v>
          </cell>
          <cell r="E21167" t="str">
            <v>TRUSTEE DISTRIBUIDORA DE TITULOS E VALORES MOBILIARIOS LTDA</v>
          </cell>
        </row>
        <row r="21168">
          <cell r="B21168">
            <v>82458</v>
          </cell>
          <cell r="C21168" t="str">
            <v>LANS EQUITIES FIA IE</v>
          </cell>
          <cell r="D21168" t="str">
            <v>LANS EQUITIES FIA IE</v>
          </cell>
          <cell r="E21168" t="str">
            <v>NORD GESTORA DE RECURSOS LTDA</v>
          </cell>
        </row>
        <row r="21169">
          <cell r="B21169">
            <v>82457</v>
          </cell>
          <cell r="C21169" t="str">
            <v>NORD 10X FIA</v>
          </cell>
          <cell r="D21169" t="str">
            <v>NORD 10X FIA</v>
          </cell>
          <cell r="E21169" t="str">
            <v>NORD GESTORA DE RECURSOS LTDA</v>
          </cell>
        </row>
        <row r="21170">
          <cell r="B21170">
            <v>82454</v>
          </cell>
          <cell r="C21170" t="str">
            <v>NORD GESTORA DE RECURSOS LTDA</v>
          </cell>
          <cell r="D21170" t="str">
            <v>NORD GESTORA DE RECURSOS LTDA</v>
          </cell>
          <cell r="E21170" t="str">
            <v>NORD GESTORA DE RECURSOS LTDA</v>
          </cell>
        </row>
        <row r="21171">
          <cell r="B21171">
            <v>82456</v>
          </cell>
          <cell r="C21171" t="str">
            <v>NORD AT PREVIDENCIA FIFE FIA</v>
          </cell>
          <cell r="D21171" t="str">
            <v>NORD AT PREVIDENCIA FIFE FIA</v>
          </cell>
          <cell r="E21171" t="str">
            <v>NORD GESTORA DE RECURSOS LTDA</v>
          </cell>
        </row>
        <row r="21172">
          <cell r="B21172">
            <v>82455</v>
          </cell>
          <cell r="C21172" t="str">
            <v>NORD AT MASTER FIA</v>
          </cell>
          <cell r="D21172" t="str">
            <v>NORD AT MASTER FIA</v>
          </cell>
          <cell r="E21172" t="str">
            <v>NORD GESTORA DE RECURSOS LTDA</v>
          </cell>
        </row>
        <row r="21173">
          <cell r="B21173">
            <v>82459</v>
          </cell>
          <cell r="C21173" t="str">
            <v>VINLAND MACRO MASTER INSTITUCIONAL FIM</v>
          </cell>
          <cell r="D21173" t="str">
            <v>VINLAND MACRO MASTER INSTITUCIONAL FIM</v>
          </cell>
          <cell r="E21173" t="str">
            <v>VINLAND CAPITAL MANAGEMENT GESTORA DE RECURSOS LTDA</v>
          </cell>
        </row>
        <row r="21174">
          <cell r="B21174">
            <v>82461</v>
          </cell>
          <cell r="C21174" t="str">
            <v>MAGNUS VALOR PREVIDÃŠNCIA RED FUNDO DE INVESTIMENTO EM AÃ‡Ã•ES</v>
          </cell>
          <cell r="D21174" t="str">
            <v>MAGNUS VALOR PREVIDÃŠNCIA RED FUNDO DE INVESTIMENTO EM AÃ‡Ã•ES</v>
          </cell>
          <cell r="E21174" t="str">
            <v>MAGNUS CAPITAL GESTORA DE RECURSOS LTDA</v>
          </cell>
        </row>
        <row r="21175">
          <cell r="B21175">
            <v>82462</v>
          </cell>
          <cell r="C21175" t="str">
            <v>ALTAMURA FUNDO DE INVESTIMENTO FINANCEIRO MULTIMERCADO</v>
          </cell>
          <cell r="D21175" t="str">
            <v>ALTAMURA FUNDO DE INVESTIMENTO FINANCEIRO MULTIMERCADO</v>
          </cell>
          <cell r="E21175" t="str">
            <v>TRUSTEE DISTRIBUIDORA DE TITULOS E VALORES MOBILIARIOS LTDA</v>
          </cell>
        </row>
        <row r="21176">
          <cell r="B21176">
            <v>82462</v>
          </cell>
          <cell r="C21176" t="str">
            <v>ALTAMURA FUNDO DE INVESTIMENTO FINANCEIRO MULTIMERCADO</v>
          </cell>
          <cell r="D21176" t="str">
            <v>ALTAMURA FUNDO DE INVESTIMENTO FINANCEIRO MULTIMERCADO</v>
          </cell>
          <cell r="E21176" t="str">
            <v>TRUSTEE DISTRIBUIDORA DE TITULOS E VALORES MOBILIARIOS LTDA</v>
          </cell>
        </row>
        <row r="21177">
          <cell r="B21177">
            <v>82463</v>
          </cell>
          <cell r="C21177" t="str">
            <v>ITAU MULTIESTRATEGIA MULTIMERCADO FI</v>
          </cell>
          <cell r="D21177" t="str">
            <v>ITAU MULTIESTRATEGIA MULTIMERCADO FI</v>
          </cell>
          <cell r="E21177" t="str">
            <v>ITAU UNIBANCO ASSET - TACO</v>
          </cell>
        </row>
        <row r="21178">
          <cell r="B21178">
            <v>82464</v>
          </cell>
          <cell r="C21178" t="str">
            <v>TEXAS I FUNDO DE INVESTIMENTO EM ACOES</v>
          </cell>
          <cell r="D21178" t="str">
            <v>TEXAS I FUNDO DE INVESTIMENTO EM ACOES</v>
          </cell>
          <cell r="E21178" t="str">
            <v>TRUSTEE DISTRIBUIDORA DE TITULOS E VALORES MOBILIARIOS LTDA</v>
          </cell>
        </row>
        <row r="21179">
          <cell r="B21179">
            <v>82464</v>
          </cell>
          <cell r="C21179" t="str">
            <v>TEXAS I FUNDO DE INVESTIMENTO EM ACOES</v>
          </cell>
          <cell r="D21179" t="str">
            <v>TEXAS I FUNDO DE INVESTIMENTO EM ACOES</v>
          </cell>
          <cell r="E21179" t="str">
            <v>TRUSTEE DISTRIBUIDORA DE TITULOS E VALORES MOBILIARIOS LTDA</v>
          </cell>
        </row>
        <row r="21180">
          <cell r="B21180">
            <v>82465</v>
          </cell>
          <cell r="C21180" t="str">
            <v>RUBICON GLOBAL OPPORTUNITIES FIM CP IE</v>
          </cell>
          <cell r="D21180" t="str">
            <v>RUBICON GLOBAL OPPORTUNITIES FIM CP IE</v>
          </cell>
          <cell r="E21180" t="str">
            <v>RUBICON GLOBAL OPPORTUNITIES FIM CP IE</v>
          </cell>
        </row>
        <row r="21181">
          <cell r="B21181">
            <v>82466</v>
          </cell>
          <cell r="C21181" t="str">
            <v>ITAÃš MASTER PETROBRÃS AÃ‡Ã•ES FUNDO DE INVESTIMENTO</v>
          </cell>
          <cell r="D21181" t="str">
            <v>ITAÃš MASTER PETROBRÃS AÃ‡Ã•ES FUNDO DE INVESTIMENTO</v>
          </cell>
          <cell r="E21181" t="str">
            <v>ITAU UNIBANCO ASSET - TACO</v>
          </cell>
        </row>
        <row r="21182">
          <cell r="B21182">
            <v>82468</v>
          </cell>
          <cell r="C21182" t="str">
            <v>ITAÃš ELETROBRAS AÃ‡Ã•ES FUNDO DE INVESTIMENTO</v>
          </cell>
          <cell r="D21182" t="str">
            <v>ITAÃš ELETROBRAS AÃ‡Ã•ES FUNDO DE INVESTIMENTO</v>
          </cell>
          <cell r="E21182" t="str">
            <v>ITAU UNIBANCO ASSET - TACO</v>
          </cell>
        </row>
        <row r="21183">
          <cell r="B21183">
            <v>82469</v>
          </cell>
          <cell r="C21183" t="str">
            <v>ITAU VQL FUNDO DE INVESTIMENTO FINANCEIRO MULT RESP LIMITADA</v>
          </cell>
          <cell r="D21183" t="str">
            <v>ITAU VQL FUNDO DE INVESTIMENTO FINANCEIRO MULT RESP LIMITADA</v>
          </cell>
          <cell r="E21183" t="str">
            <v>ITAU UNIBANCO ASSET - TACO</v>
          </cell>
        </row>
        <row r="21184">
          <cell r="B21184">
            <v>82470</v>
          </cell>
          <cell r="C21184" t="str">
            <v>INSTITUTO DE PREVIDÃŠNCIA DO MUNICÃPIO DE JUNDIAÃ</v>
          </cell>
          <cell r="D21184" t="str">
            <v>INSTITUTO DE PREVIDÃŠNCIA DO MUNICÃPIO DE JUNDIAÃ</v>
          </cell>
          <cell r="E21184" t="str">
            <v>INSTITUTO DE PREVIDÃŠNCIA DO MUNICÃPIO DE JUNDIAÃ</v>
          </cell>
        </row>
        <row r="21185">
          <cell r="B21185">
            <v>82470</v>
          </cell>
          <cell r="C21185" t="str">
            <v>INSTITUTO DE PREVIDÃŠNCIA DO MUNICÃPIO DE JUNDIAÃ</v>
          </cell>
          <cell r="D21185" t="str">
            <v>INSTITUTO DE PREVIDÃŠNCIA DO MUNICÃPIO DE JUNDIAÃ</v>
          </cell>
          <cell r="E21185" t="str">
            <v>INSTITUTO DE PREVIDÃŠNCIA DO MUNICÃPIO DE JUNDIAÃ</v>
          </cell>
        </row>
        <row r="21186">
          <cell r="B21186">
            <v>82471</v>
          </cell>
          <cell r="C21186" t="str">
            <v>VEREDAS FUNDO DE INVESTIMENTO MULTIMERCADO CRÃ‰DITO PRIVADO</v>
          </cell>
          <cell r="D21186" t="str">
            <v>VEREDAS FUNDO DE INVESTIMENTO MULTIMERCADO CRÃ‰DITO PRIVADO</v>
          </cell>
          <cell r="E21186" t="str">
            <v>AGUILA CAPITAL ADM E GESTAO DE CAPITAIS LTDA</v>
          </cell>
        </row>
        <row r="21187">
          <cell r="B21187">
            <v>82472</v>
          </cell>
          <cell r="C21187" t="str">
            <v>ITAU PREV VQL FUNDO DE INVESTIMENTO FINANCEIRO MULT RL</v>
          </cell>
          <cell r="D21187" t="str">
            <v>ITAU PREV VQL FUNDO DE INVESTIMENTO FINANCEIRO MULT RL</v>
          </cell>
          <cell r="E21187" t="str">
            <v>ITAU UNIBANCO ASSET - TACO</v>
          </cell>
        </row>
        <row r="21188">
          <cell r="B21188">
            <v>82473</v>
          </cell>
          <cell r="C21188" t="str">
            <v>ITAU FLEXPREV INFLACAO MULTIESTRATEGIA FIF MULT RL</v>
          </cell>
          <cell r="D21188" t="str">
            <v>ITAU FLEXPREV INFLACAO MULTIESTRATEGIA FIF MULT RL</v>
          </cell>
          <cell r="E21188" t="str">
            <v>ITAU UNIBANCO ASSET - TACO</v>
          </cell>
        </row>
        <row r="21189">
          <cell r="B21189">
            <v>82474</v>
          </cell>
          <cell r="C21189" t="str">
            <v>TULLETT PREBON BRASIL CVC (ANTIGA CONVENÃ‡AO)</v>
          </cell>
          <cell r="D21189" t="str">
            <v>TULLETT PREBON BRASIL CVC (ANTIGA CONVENÃ‡AO)</v>
          </cell>
          <cell r="E21189" t="str">
            <v>TULLETT PREBON BRASIL CVC LTDA</v>
          </cell>
        </row>
        <row r="21190">
          <cell r="B21190">
            <v>82474</v>
          </cell>
          <cell r="C21190" t="str">
            <v>TULLETT PREBON BRASIL CVC (ANTIGA CONVENÃ‡AO)</v>
          </cell>
          <cell r="D21190" t="str">
            <v>TULLETT PREBON BRASIL CVC (ANTIGA CONVENÃ‡AO)</v>
          </cell>
          <cell r="E21190" t="str">
            <v>TULLETT PREBON BRASIL CVC LTDA</v>
          </cell>
        </row>
        <row r="21191">
          <cell r="B21191">
            <v>82475</v>
          </cell>
          <cell r="C21191" t="str">
            <v>SPX GESTAO DE RECURSOS LTDA</v>
          </cell>
          <cell r="D21191" t="str">
            <v>SPX GESTAO DE RECURSOS LTDA</v>
          </cell>
          <cell r="E21191" t="str">
            <v>SPX GESTAO DE RECURSOS LTDA</v>
          </cell>
        </row>
        <row r="21192">
          <cell r="B21192">
            <v>82475</v>
          </cell>
          <cell r="C21192" t="str">
            <v>SPX GESTAO DE RECURSOS LTDA</v>
          </cell>
          <cell r="D21192" t="str">
            <v>SPX GESTAO DE RECURSOS LTDA</v>
          </cell>
          <cell r="E21192" t="str">
            <v>SPX GESTAO DE RECURSOS LTDA</v>
          </cell>
        </row>
        <row r="21193">
          <cell r="B21193">
            <v>82478</v>
          </cell>
          <cell r="C21193" t="str">
            <v>SPX GESTAO DE RECURSOS LTDA</v>
          </cell>
          <cell r="D21193" t="str">
            <v>SPX GESTAO DE RECURSOS LTDA</v>
          </cell>
          <cell r="E21193" t="str">
            <v>SPX GESTAO DE RECURSOS LTDA</v>
          </cell>
        </row>
        <row r="21194">
          <cell r="B21194">
            <v>82478</v>
          </cell>
          <cell r="C21194" t="str">
            <v>SPX GESTAO DE RECURSOS LTDA</v>
          </cell>
          <cell r="D21194" t="str">
            <v>SPX GESTAO DE RECURSOS LTDA</v>
          </cell>
          <cell r="E21194" t="str">
            <v>SPX GESTAO DE RECURSOS LTDA</v>
          </cell>
        </row>
        <row r="21195">
          <cell r="B21195">
            <v>82479</v>
          </cell>
          <cell r="C21195" t="str">
            <v>SPX GESTAO DE RECURSOS LTDA</v>
          </cell>
          <cell r="D21195" t="str">
            <v>SPX GESTAO DE RECURSOS LTDA</v>
          </cell>
          <cell r="E21195" t="str">
            <v>SPX GESTAO DE RECURSOS LTDA</v>
          </cell>
        </row>
        <row r="21196">
          <cell r="B21196">
            <v>82479</v>
          </cell>
          <cell r="C21196" t="str">
            <v>SPX GESTAO DE RECURSOS LTDA</v>
          </cell>
          <cell r="D21196" t="str">
            <v>SPX GESTAO DE RECURSOS LTDA</v>
          </cell>
          <cell r="E21196" t="str">
            <v>SPX GESTAO DE RECURSOS LTDA</v>
          </cell>
        </row>
        <row r="21197">
          <cell r="B21197">
            <v>82481</v>
          </cell>
          <cell r="C21197" t="str">
            <v>IT NOW IDIV RENDA DIVIDENDOS FUNDO DE INDICE RESP LIMITADA</v>
          </cell>
          <cell r="D21197" t="str">
            <v>IT NOW IDIV RENDA DIVIDENDOS FUNDO DE INDICE RESP LIMITADA</v>
          </cell>
          <cell r="E21197" t="str">
            <v>ITAU UNIBANCO ASSET - TACO</v>
          </cell>
        </row>
        <row r="21198">
          <cell r="B21198">
            <v>82482</v>
          </cell>
          <cell r="C21198" t="str">
            <v>ITAU PANGEA FIF MULT - RESP LIMITADA</v>
          </cell>
          <cell r="D21198" t="str">
            <v>ITAU PANGEA FIF MULT - RESP LIMITADA</v>
          </cell>
          <cell r="E21198" t="str">
            <v>ITAU UNIBANCO ASSET - TACO</v>
          </cell>
        </row>
        <row r="21199">
          <cell r="B21199">
            <v>82483</v>
          </cell>
          <cell r="C21199" t="str">
            <v>ITAU PREV VOTL FUNDO DE INVESTIMENTO FINANCEIRO MULTI RL</v>
          </cell>
          <cell r="D21199" t="str">
            <v>ITAU PREV VOTL FUNDO DE INVESTIMENTO FINANCEIRO MULTI RL</v>
          </cell>
          <cell r="E21199" t="str">
            <v>ITAU UNIBANCO ASSET - TACO</v>
          </cell>
        </row>
        <row r="21200">
          <cell r="B21200">
            <v>82484</v>
          </cell>
          <cell r="C21200" t="str">
            <v>KYRA FIA</v>
          </cell>
          <cell r="D21200" t="str">
            <v>KYRA FIA</v>
          </cell>
          <cell r="E21200" t="str">
            <v>TRUSTEE DISTRIBUIDORA DE TITULOS E VALORES MOBILIARIOS LTDA</v>
          </cell>
        </row>
        <row r="21201">
          <cell r="B21201">
            <v>82484</v>
          </cell>
          <cell r="C21201" t="str">
            <v>KYRA FIA</v>
          </cell>
          <cell r="D21201" t="str">
            <v>KYRA FIA</v>
          </cell>
          <cell r="E21201" t="str">
            <v>TRUSTEE DISTRIBUIDORA DE TITULOS E VALORES MOBILIARIOS LTDA</v>
          </cell>
        </row>
        <row r="21202">
          <cell r="B21202">
            <v>82485</v>
          </cell>
          <cell r="C21202" t="str">
            <v>ITAÃš SABESP FUNDO DE INVESTIMENTO FINANCEIRO EM AÃ‡Ã•ES RP</v>
          </cell>
          <cell r="D21202" t="str">
            <v>ITAÃš SABESP FUNDO DE INVESTIMENTO FINANCEIRO EM AÃ‡Ã•ES RP</v>
          </cell>
          <cell r="E21202" t="str">
            <v>ITAU UNIBANCO ASSET - TACO</v>
          </cell>
        </row>
        <row r="21203">
          <cell r="B21203">
            <v>79809</v>
          </cell>
          <cell r="C21203" t="str">
            <v>BLUEWAY TRADING IMPORTAÃ‡ÃƒO E EXPORTAÃ‡ÃƒO S/A</v>
          </cell>
          <cell r="D21203" t="str">
            <v>BLUEWAY TRADING IMPORTAÃ‡ÃƒO E EXPORTAÃ‡ÃƒO S/A</v>
          </cell>
          <cell r="E21203" t="str">
            <v>BLUEWAY TRADING IMPORTAÇÃO E EXPORTAÇÃO S/A</v>
          </cell>
        </row>
        <row r="21204">
          <cell r="B21204">
            <v>82486</v>
          </cell>
          <cell r="C21204" t="str">
            <v>SYMMETRY FINANCIALS LIMITED</v>
          </cell>
          <cell r="D21204" t="str">
            <v>SYMMETRY FINANCIALS LIMITED</v>
          </cell>
          <cell r="E21204" t="str">
            <v>SYMMETRY FINANCIALS LIMITED</v>
          </cell>
        </row>
        <row r="21205">
          <cell r="B21205">
            <v>82536</v>
          </cell>
          <cell r="C21205" t="str">
            <v>BAHIA AM MARAÃš MASTER FUNDO DE INVESTIMENTO MULTIMERCADO</v>
          </cell>
          <cell r="D21205" t="str">
            <v>BAHIA AM MARAÃš MASTER FUNDO DE INVESTIMENTO MULTIMERCADO</v>
          </cell>
          <cell r="E21205" t="str">
            <v>BAHIA AM LTDA</v>
          </cell>
        </row>
        <row r="21206">
          <cell r="B21206">
            <v>82539</v>
          </cell>
          <cell r="C21206" t="str">
            <v>CELI LEGACY BRDR FUNDO DE INVESTIMENTO EM ACOES IE</v>
          </cell>
          <cell r="D21206" t="str">
            <v>CELI LEGACY BRDR FUNDO DE INVESTIMENTO EM ACOES IE</v>
          </cell>
          <cell r="E21206" t="str">
            <v>BRDR GESTORA DE VALORES MOBILIARIOS LTDA.</v>
          </cell>
        </row>
        <row r="21207">
          <cell r="B21207">
            <v>82539</v>
          </cell>
          <cell r="C21207" t="str">
            <v>CELI LEGACY BRDR FUNDO DE INVESTIMENTO EM ACOES IE</v>
          </cell>
          <cell r="D21207" t="str">
            <v>CELI LEGACY BRDR FUNDO DE INVESTIMENTO EM ACOES IE</v>
          </cell>
          <cell r="E21207" t="str">
            <v>BRDR GESTORA DE VALORES MOBILIARIOS LTDA.</v>
          </cell>
        </row>
        <row r="21208">
          <cell r="B21208">
            <v>82487</v>
          </cell>
          <cell r="C21208" t="str">
            <v>SYMMETRY FINANCIALS LIMITED</v>
          </cell>
          <cell r="D21208" t="str">
            <v>SYMMETRY FINANCIALS LIMITED</v>
          </cell>
          <cell r="E21208" t="str">
            <v>SYMMETRY FINANCIALS LIMITED</v>
          </cell>
        </row>
        <row r="21209">
          <cell r="B21209">
            <v>82488</v>
          </cell>
          <cell r="C21209" t="str">
            <v>SYMMETRY FINANCIALS LIMITED</v>
          </cell>
          <cell r="D21209" t="str">
            <v>SYMMETRY FINANCIALS LIMITED</v>
          </cell>
          <cell r="E21209" t="str">
            <v>SYMMETRY FINANCIALS LIMITED</v>
          </cell>
        </row>
        <row r="21210">
          <cell r="B21210">
            <v>82489</v>
          </cell>
          <cell r="C21210" t="str">
            <v>SYMMETRY FINANCIALS LIMITED</v>
          </cell>
          <cell r="D21210" t="str">
            <v>SYMMETRY FINANCIALS LIMITED</v>
          </cell>
          <cell r="E21210" t="str">
            <v>SYMMETRY FINANCIALS LIMITED</v>
          </cell>
        </row>
        <row r="21211">
          <cell r="B21211">
            <v>82490</v>
          </cell>
          <cell r="C21211" t="str">
            <v>SYMMETRY FINANCIALS LIMITED</v>
          </cell>
          <cell r="D21211" t="str">
            <v>SYMMETRY FINANCIALS LIMITED</v>
          </cell>
          <cell r="E21211" t="str">
            <v>SYMMETRY FINANCIALS LIMITED</v>
          </cell>
        </row>
        <row r="21212">
          <cell r="B21212">
            <v>82491</v>
          </cell>
          <cell r="C21212" t="str">
            <v>SYMMETRY FINANCIALS LIMITED</v>
          </cell>
          <cell r="D21212" t="str">
            <v>SYMMETRY FINANCIALS LIMITED</v>
          </cell>
          <cell r="E21212" t="str">
            <v>SYMMETRY FINANCIALS LIMITED</v>
          </cell>
        </row>
        <row r="21213">
          <cell r="B21213">
            <v>82492</v>
          </cell>
          <cell r="C21213" t="str">
            <v>SYMMETRY FINANCIALS LIMITED</v>
          </cell>
          <cell r="D21213" t="str">
            <v>SYMMETRY FINANCIALS LIMITED</v>
          </cell>
          <cell r="E21213" t="str">
            <v>SYMMETRY FINANCIALS LIMITED</v>
          </cell>
        </row>
        <row r="21214">
          <cell r="B21214">
            <v>82493</v>
          </cell>
          <cell r="C21214" t="str">
            <v>SYMMETRY FINANCIALS LIMITED</v>
          </cell>
          <cell r="D21214" t="str">
            <v>SYMMETRY FINANCIALS LIMITED</v>
          </cell>
          <cell r="E21214" t="str">
            <v>SYMMETRY FINANCIALS LIMITED</v>
          </cell>
        </row>
        <row r="21215">
          <cell r="B21215">
            <v>82494</v>
          </cell>
          <cell r="C21215" t="str">
            <v>SYMMETRY FINANCIALS LIMITED</v>
          </cell>
          <cell r="D21215" t="str">
            <v>SYMMETRY FINANCIALS LIMITED</v>
          </cell>
          <cell r="E21215" t="str">
            <v>SYMMETRY FINANCIALS LIMITED</v>
          </cell>
        </row>
        <row r="21216">
          <cell r="B21216">
            <v>82495</v>
          </cell>
          <cell r="C21216" t="str">
            <v>SYMMETRY FINANCIALS LIMITED</v>
          </cell>
          <cell r="D21216" t="str">
            <v>SYMMETRY FINANCIALS LIMITED</v>
          </cell>
          <cell r="E21216" t="str">
            <v>SYMMETRY FINANCIALS LIMITED</v>
          </cell>
        </row>
        <row r="21217">
          <cell r="B21217">
            <v>82496</v>
          </cell>
          <cell r="C21217" t="str">
            <v>SYMMETRY FINANCIALS LIMITED</v>
          </cell>
          <cell r="D21217" t="str">
            <v>SYMMETRY FINANCIALS LIMITED</v>
          </cell>
          <cell r="E21217" t="str">
            <v>SYMMETRY FINANCIALS LIMITED</v>
          </cell>
        </row>
        <row r="21218">
          <cell r="B21218">
            <v>82497</v>
          </cell>
          <cell r="C21218" t="str">
            <v>SYMMETRY FINANCIALS LIMITED</v>
          </cell>
          <cell r="D21218" t="str">
            <v>SYMMETRY FINANCIALS LIMITED</v>
          </cell>
          <cell r="E21218" t="str">
            <v>SYMMETRY FINANCIALS LIMITED</v>
          </cell>
        </row>
        <row r="21219">
          <cell r="B21219">
            <v>82498</v>
          </cell>
          <cell r="C21219" t="str">
            <v>SYMMETRY FINANCIALS LIMITED</v>
          </cell>
          <cell r="D21219" t="str">
            <v>SYMMETRY FINANCIALS LIMITED</v>
          </cell>
          <cell r="E21219" t="str">
            <v>SYMMETRY FINANCIALS LIMITED</v>
          </cell>
        </row>
        <row r="21220">
          <cell r="B21220">
            <v>82499</v>
          </cell>
          <cell r="C21220" t="str">
            <v>SYMMETRY FINANCIALS LIMITED</v>
          </cell>
          <cell r="D21220" t="str">
            <v>SYMMETRY FINANCIALS LIMITED</v>
          </cell>
          <cell r="E21220" t="str">
            <v>SYMMETRY FINANCIALS LIMITED</v>
          </cell>
        </row>
        <row r="21221">
          <cell r="B21221">
            <v>82500</v>
          </cell>
          <cell r="C21221" t="str">
            <v>SYMMETRY FINANCIALS LIMITED</v>
          </cell>
          <cell r="D21221" t="str">
            <v>SYMMETRY FINANCIALS LIMITED</v>
          </cell>
          <cell r="E21221" t="str">
            <v>SYMMETRY FINANCIALS LIMITED</v>
          </cell>
        </row>
        <row r="21222">
          <cell r="B21222">
            <v>82506</v>
          </cell>
          <cell r="C21222" t="str">
            <v>SYMMETRY FINANCIALS LIMITED</v>
          </cell>
          <cell r="D21222" t="str">
            <v>SYMMETRY FINANCIALS LIMITED</v>
          </cell>
          <cell r="E21222" t="str">
            <v>SYMMETRY FINANCIALS LIMITED</v>
          </cell>
        </row>
        <row r="21223">
          <cell r="B21223">
            <v>82507</v>
          </cell>
          <cell r="C21223" t="str">
            <v>SYMMETRY FINANCIALS LIMITED</v>
          </cell>
          <cell r="D21223" t="str">
            <v>SYMMETRY FINANCIALS LIMITED</v>
          </cell>
          <cell r="E21223" t="str">
            <v>SYMMETRY FINANCIALS LIMITED</v>
          </cell>
        </row>
        <row r="21224">
          <cell r="B21224">
            <v>82501</v>
          </cell>
          <cell r="C21224" t="str">
            <v>SYMMETRY FINANCIALS LIMITED</v>
          </cell>
          <cell r="D21224" t="str">
            <v>SYMMETRY FINANCIALS LIMITED</v>
          </cell>
          <cell r="E21224" t="str">
            <v>SYMMETRY FINANCIALS LIMITED</v>
          </cell>
        </row>
        <row r="21225">
          <cell r="B21225">
            <v>82502</v>
          </cell>
          <cell r="C21225" t="str">
            <v>SYMMETRY FINANCIALS LIMITED</v>
          </cell>
          <cell r="D21225" t="str">
            <v>SYMMETRY FINANCIALS LIMITED</v>
          </cell>
          <cell r="E21225" t="str">
            <v>SYMMETRY FINANCIALS LIMITED</v>
          </cell>
        </row>
        <row r="21226">
          <cell r="B21226">
            <v>82503</v>
          </cell>
          <cell r="C21226" t="str">
            <v>SYMMETRY FINANCIALS LIMITED</v>
          </cell>
          <cell r="D21226" t="str">
            <v>SYMMETRY FINANCIALS LIMITED</v>
          </cell>
          <cell r="E21226" t="str">
            <v>SYMMETRY FINANCIALS LIMITED</v>
          </cell>
        </row>
        <row r="21227">
          <cell r="B21227">
            <v>82504</v>
          </cell>
          <cell r="C21227" t="str">
            <v>SYMMETRY FINANCIALS LIMITED</v>
          </cell>
          <cell r="D21227" t="str">
            <v>SYMMETRY FINANCIALS LIMITED</v>
          </cell>
          <cell r="E21227" t="str">
            <v>SYMMETRY FINANCIALS LIMITED</v>
          </cell>
        </row>
        <row r="21228">
          <cell r="B21228">
            <v>82505</v>
          </cell>
          <cell r="C21228" t="str">
            <v>SYMMETRY FINANCIALS LIMITED</v>
          </cell>
          <cell r="D21228" t="str">
            <v>SYMMETRY FINANCIALS LIMITED</v>
          </cell>
          <cell r="E21228" t="str">
            <v>SYMMETRY FINANCIALS LIMITED</v>
          </cell>
        </row>
        <row r="21229">
          <cell r="B21229">
            <v>82508</v>
          </cell>
          <cell r="C21229" t="str">
            <v>SYMMETRY FINANCIALS LIMITED</v>
          </cell>
          <cell r="D21229" t="str">
            <v>SYMMETRY FINANCIALS LIMITED</v>
          </cell>
          <cell r="E21229" t="str">
            <v>SYMMETRY FINANCIALS LIMITED</v>
          </cell>
        </row>
        <row r="21230">
          <cell r="B21230">
            <v>82509</v>
          </cell>
          <cell r="C21230" t="str">
            <v>SYMMETRY FINANCIALS LIMITED</v>
          </cell>
          <cell r="D21230" t="str">
            <v>SYMMETRY FINANCIALS LIMITED</v>
          </cell>
          <cell r="E21230" t="str">
            <v>SYMMETRY FINANCIALS LIMITED</v>
          </cell>
        </row>
        <row r="21231">
          <cell r="B21231">
            <v>82510</v>
          </cell>
          <cell r="C21231" t="str">
            <v>SYMMETRY FINANCIALS LIMITED</v>
          </cell>
          <cell r="D21231" t="str">
            <v>SYMMETRY FINANCIALS LIMITED</v>
          </cell>
          <cell r="E21231" t="str">
            <v>SYMMETRY FINANCIALS LIMITED</v>
          </cell>
        </row>
        <row r="21232">
          <cell r="B21232">
            <v>82511</v>
          </cell>
          <cell r="C21232" t="str">
            <v>SYMMETRY FINANCIALS LIMITED</v>
          </cell>
          <cell r="D21232" t="str">
            <v>SYMMETRY FINANCIALS LIMITED</v>
          </cell>
          <cell r="E21232" t="str">
            <v>SYMMETRY FINANCIALS LIMITED</v>
          </cell>
        </row>
        <row r="21233">
          <cell r="B21233">
            <v>82512</v>
          </cell>
          <cell r="C21233" t="str">
            <v>SYMMETRY FINANCIALS LIMITED</v>
          </cell>
          <cell r="D21233" t="str">
            <v>SYMMETRY FINANCIALS LIMITED</v>
          </cell>
          <cell r="E21233" t="str">
            <v>SYMMETRY FINANCIALS LIMITED</v>
          </cell>
        </row>
        <row r="21234">
          <cell r="B21234">
            <v>82513</v>
          </cell>
          <cell r="C21234" t="str">
            <v>SYMMETRY FINANCIALS LIMITED</v>
          </cell>
          <cell r="D21234" t="str">
            <v>SYMMETRY FINANCIALS LIMITED</v>
          </cell>
          <cell r="E21234" t="str">
            <v>SYMMETRY FINANCIALS LIMITED</v>
          </cell>
        </row>
        <row r="21235">
          <cell r="B21235">
            <v>82514</v>
          </cell>
          <cell r="C21235" t="str">
            <v>SYMMETRY FINANCIALS LIMITED</v>
          </cell>
          <cell r="D21235" t="str">
            <v>SYMMETRY FINANCIALS LIMITED</v>
          </cell>
          <cell r="E21235" t="str">
            <v>SYMMETRY FINANCIALS LIMITED</v>
          </cell>
        </row>
        <row r="21236">
          <cell r="B21236">
            <v>82515</v>
          </cell>
          <cell r="C21236" t="str">
            <v>SYMMETRY FINANCIALS LIMITED</v>
          </cell>
          <cell r="D21236" t="str">
            <v>SYMMETRY FINANCIALS LIMITED</v>
          </cell>
          <cell r="E21236" t="str">
            <v>SYMMETRY FINANCIALS LIMITED</v>
          </cell>
        </row>
        <row r="21237">
          <cell r="B21237">
            <v>82516</v>
          </cell>
          <cell r="C21237" t="str">
            <v>SYMMETRY FINANCIALS LIMITED</v>
          </cell>
          <cell r="D21237" t="str">
            <v>SYMMETRY FINANCIALS LIMITED</v>
          </cell>
          <cell r="E21237" t="str">
            <v>SYMMETRY FINANCIALS LIMITED</v>
          </cell>
        </row>
        <row r="21238">
          <cell r="B21238">
            <v>82521</v>
          </cell>
          <cell r="C21238" t="str">
            <v>SYMMETRY FINANCIALS LIMITED</v>
          </cell>
          <cell r="D21238" t="str">
            <v>SYMMETRY FINANCIALS LIMITED</v>
          </cell>
          <cell r="E21238" t="str">
            <v>SYMMETRY FINANCIALS LIMITED</v>
          </cell>
        </row>
        <row r="21239">
          <cell r="B21239">
            <v>82517</v>
          </cell>
          <cell r="C21239" t="str">
            <v>SYMMETRY FINANCIALS LIMITED</v>
          </cell>
          <cell r="D21239" t="str">
            <v>SYMMETRY FINANCIALS LIMITED</v>
          </cell>
          <cell r="E21239" t="str">
            <v>SYMMETRY FINANCIALS LIMITED</v>
          </cell>
        </row>
        <row r="21240">
          <cell r="B21240">
            <v>82518</v>
          </cell>
          <cell r="C21240" t="str">
            <v>SYMMETRY FINANCIALS LIMITED</v>
          </cell>
          <cell r="D21240" t="str">
            <v>SYMMETRY FINANCIALS LIMITED</v>
          </cell>
          <cell r="E21240" t="str">
            <v>SYMMETRY FINANCIALS LIMITED</v>
          </cell>
        </row>
        <row r="21241">
          <cell r="B21241">
            <v>82519</v>
          </cell>
          <cell r="C21241" t="str">
            <v>SYMMETRY FINANCIALS LIMITED</v>
          </cell>
          <cell r="D21241" t="str">
            <v>SYMMETRY FINANCIALS LIMITED</v>
          </cell>
          <cell r="E21241" t="str">
            <v>SYMMETRY FINANCIALS LIMITED</v>
          </cell>
        </row>
        <row r="21242">
          <cell r="B21242">
            <v>82520</v>
          </cell>
          <cell r="C21242" t="str">
            <v>SYMMETRY FINANCIALS LIMITED</v>
          </cell>
          <cell r="D21242" t="str">
            <v>SYMMETRY FINANCIALS LIMITED</v>
          </cell>
          <cell r="E21242" t="str">
            <v>SYMMETRY FINANCIALS LIMITED</v>
          </cell>
        </row>
        <row r="21243">
          <cell r="B21243">
            <v>82522</v>
          </cell>
          <cell r="C21243" t="str">
            <v>SYMMETRY FINANCIALS LIMITED</v>
          </cell>
          <cell r="D21243" t="str">
            <v>SYMMETRY FINANCIALS LIMITED</v>
          </cell>
          <cell r="E21243" t="str">
            <v>SYMMETRY FINANCIALS LIMITED</v>
          </cell>
        </row>
        <row r="21244">
          <cell r="B21244">
            <v>82523</v>
          </cell>
          <cell r="C21244" t="str">
            <v>SYMMETRY FINANCIALS LIMITED</v>
          </cell>
          <cell r="D21244" t="str">
            <v>SYMMETRY FINANCIALS LIMITED</v>
          </cell>
          <cell r="E21244" t="str">
            <v>SYMMETRY FINANCIALS LIMITED</v>
          </cell>
        </row>
        <row r="21245">
          <cell r="B21245">
            <v>82524</v>
          </cell>
          <cell r="C21245" t="str">
            <v>SYMMETRY FINANCIALS LIMITED</v>
          </cell>
          <cell r="D21245" t="str">
            <v>SYMMETRY FINANCIALS LIMITED</v>
          </cell>
          <cell r="E21245" t="str">
            <v>SYMMETRY FINANCIALS LIMITED</v>
          </cell>
        </row>
        <row r="21246">
          <cell r="B21246">
            <v>82526</v>
          </cell>
          <cell r="C21246" t="str">
            <v>SYMMETRY FINANCIALS LIMITED</v>
          </cell>
          <cell r="D21246" t="str">
            <v>SYMMETRY FINANCIALS LIMITED</v>
          </cell>
          <cell r="E21246" t="str">
            <v>SYMMETRY FINANCIALS LIMITED</v>
          </cell>
        </row>
        <row r="21247">
          <cell r="B21247">
            <v>82527</v>
          </cell>
          <cell r="C21247" t="str">
            <v>SYMMETRY FINANCIALS LIMITED</v>
          </cell>
          <cell r="D21247" t="str">
            <v>SYMMETRY FINANCIALS LIMITED</v>
          </cell>
          <cell r="E21247" t="str">
            <v>SYMMETRY FINANCIALS LIMITED</v>
          </cell>
        </row>
        <row r="21248">
          <cell r="B21248">
            <v>82528</v>
          </cell>
          <cell r="C21248" t="str">
            <v>SYMMETRY FINANCIALS LIMITED</v>
          </cell>
          <cell r="D21248" t="str">
            <v>SYMMETRY FINANCIALS LIMITED</v>
          </cell>
          <cell r="E21248" t="str">
            <v>SYMMETRY FINANCIALS LIMITED</v>
          </cell>
        </row>
        <row r="21249">
          <cell r="B21249">
            <v>82529</v>
          </cell>
          <cell r="C21249" t="str">
            <v>SYMMETRY FINANCIALS LIMITED</v>
          </cell>
          <cell r="D21249" t="str">
            <v>SYMMETRY FINANCIALS LIMITED</v>
          </cell>
          <cell r="E21249" t="str">
            <v>SYMMETRY FINANCIALS LIMITED</v>
          </cell>
        </row>
        <row r="21250">
          <cell r="B21250">
            <v>82530</v>
          </cell>
          <cell r="C21250" t="str">
            <v>SYMMETRY FINANCIALS LIMITED</v>
          </cell>
          <cell r="D21250" t="str">
            <v>SYMMETRY FINANCIALS LIMITED</v>
          </cell>
          <cell r="E21250" t="str">
            <v>SYMMETRY FINANCIALS LIMITED</v>
          </cell>
        </row>
        <row r="21251">
          <cell r="B21251">
            <v>82531</v>
          </cell>
          <cell r="C21251" t="str">
            <v>SYMMETRY FINANCIALS LIMITED</v>
          </cell>
          <cell r="D21251" t="str">
            <v>SYMMETRY FINANCIALS LIMITED</v>
          </cell>
          <cell r="E21251" t="str">
            <v>SYMMETRY FINANCIALS LIMITED</v>
          </cell>
        </row>
        <row r="21252">
          <cell r="B21252">
            <v>82532</v>
          </cell>
          <cell r="C21252" t="str">
            <v>SYMMETRY FINANCIALS LIMITED</v>
          </cell>
          <cell r="D21252" t="str">
            <v>SYMMETRY FINANCIALS LIMITED</v>
          </cell>
          <cell r="E21252" t="str">
            <v>SYMMETRY FINANCIALS LIMITED</v>
          </cell>
        </row>
        <row r="21253">
          <cell r="B21253">
            <v>82533</v>
          </cell>
          <cell r="C21253" t="str">
            <v>SYMMETRY FINANCIALS LIMITED</v>
          </cell>
          <cell r="D21253" t="str">
            <v>SYMMETRY FINANCIALS LIMITED</v>
          </cell>
          <cell r="E21253" t="str">
            <v>SYMMETRY FINANCIALS LIMITED</v>
          </cell>
        </row>
        <row r="21254">
          <cell r="B21254">
            <v>82534</v>
          </cell>
          <cell r="C21254" t="str">
            <v>SYMMETRY FINANCIALS LIMITED</v>
          </cell>
          <cell r="D21254" t="str">
            <v>SYMMETRY FINANCIALS LIMITED</v>
          </cell>
          <cell r="E21254" t="str">
            <v>SYMMETRY FINANCIALS LIMITED</v>
          </cell>
        </row>
        <row r="21255">
          <cell r="B21255">
            <v>82535</v>
          </cell>
          <cell r="C21255" t="str">
            <v>SYMMETRY FINANCIALS LIMITED</v>
          </cell>
          <cell r="D21255" t="str">
            <v>SYMMETRY FINANCIALS LIMITED</v>
          </cell>
          <cell r="E21255" t="str">
            <v>SYMMETRY FINANCIALS LIMITED</v>
          </cell>
        </row>
        <row r="21256">
          <cell r="B21256">
            <v>122120</v>
          </cell>
          <cell r="C21256" t="str">
            <v>CELI LEGACY BRDR FUNDO DE INVESTIMENTO EM ACOES IE</v>
          </cell>
          <cell r="D21256" t="str">
            <v>CELI LEGACY BRDR FUNDO DE INVESTIMENTO EM ACOES IE</v>
          </cell>
          <cell r="E21256" t="str">
            <v>CELI LEGACY BRDR FUNDO DE INVESTIMENTO EM ACOES IE</v>
          </cell>
        </row>
        <row r="21257">
          <cell r="B21257">
            <v>82540</v>
          </cell>
          <cell r="C21257" t="str">
            <v>LAZULI FIA IE</v>
          </cell>
          <cell r="D21257" t="str">
            <v>LAZULI FIA IE</v>
          </cell>
          <cell r="E21257" t="str">
            <v>ITAU UNIBANCO ASSET - TACO</v>
          </cell>
        </row>
        <row r="21258">
          <cell r="B21258">
            <v>82541</v>
          </cell>
          <cell r="C21258" t="str">
            <v>ITAU CAIXA MULTIMESAS FIF MULT RESP LIMITADA</v>
          </cell>
          <cell r="D21258" t="str">
            <v>ITAU CAIXA MULTIMESAS FIF MULT RESP LIMITADA</v>
          </cell>
          <cell r="E21258" t="str">
            <v>ITAU UNIBANCO ASSET - TACO</v>
          </cell>
        </row>
        <row r="21259">
          <cell r="B21259">
            <v>82542</v>
          </cell>
          <cell r="C21259" t="str">
            <v>TX A AÃ‡Ã•ES FUNDO DE INVESTIMENTO EM AÃ‡Ã•ES</v>
          </cell>
          <cell r="D21259" t="str">
            <v>TX A AÃ‡Ã•ES FUNDO DE INVESTIMENTO EM AÃ‡Ã•ES</v>
          </cell>
          <cell r="E21259" t="str">
            <v>TENAX CAPITAL LTDA</v>
          </cell>
        </row>
        <row r="21260">
          <cell r="B21260">
            <v>82542</v>
          </cell>
          <cell r="C21260" t="str">
            <v>TX A AÃ‡Ã•ES FUNDO DE INVESTIMENTO EM AÃ‡Ã•ES</v>
          </cell>
          <cell r="D21260" t="str">
            <v>TX A AÃ‡Ã•ES FUNDO DE INVESTIMENTO EM AÃ‡Ã•ES</v>
          </cell>
          <cell r="E21260" t="str">
            <v>TENAX CAPITAL LTDA</v>
          </cell>
        </row>
        <row r="21261">
          <cell r="B21261">
            <v>82543</v>
          </cell>
          <cell r="C21261" t="str">
            <v>TX A AÃ‡Ã•ES FUNDO DE INVESTIMENTO EM AÃ‡Ã•ES</v>
          </cell>
          <cell r="D21261" t="str">
            <v>TX A AÃ‡Ã•ES FUNDO DE INVESTIMENTO EM AÃ‡Ã•ES</v>
          </cell>
          <cell r="E21261" t="str">
            <v>TENAX CAPITAL LTDA</v>
          </cell>
        </row>
        <row r="21262">
          <cell r="B21262">
            <v>82544</v>
          </cell>
          <cell r="C21262" t="str">
            <v>INST DE PREV DOS SERVIDORES MUNICIPAIS DE SAO VICENTE</v>
          </cell>
          <cell r="D21262" t="str">
            <v>INST DE PREV DOS SERVIDORES MUNICIPAIS DE SAO VICENTE</v>
          </cell>
          <cell r="E21262" t="str">
            <v>INST DE PREV DOS SERVIDORES MUNICIPAIS DE SAO VICENTE</v>
          </cell>
        </row>
        <row r="21263">
          <cell r="B21263">
            <v>82544</v>
          </cell>
          <cell r="C21263" t="str">
            <v>INST DE PREV DOS SERVIDORES MUNICIPAIS DE SAO VICENTE</v>
          </cell>
          <cell r="D21263" t="str">
            <v>INST DE PREV DOS SERVIDORES MUNICIPAIS DE SAO VICENTE</v>
          </cell>
          <cell r="E21263" t="str">
            <v>INST DE PREV DOS SERVIDORES MUNICIPAIS DE SAO VICENTE</v>
          </cell>
        </row>
        <row r="21264">
          <cell r="B21264">
            <v>82545</v>
          </cell>
          <cell r="C21264" t="str">
            <v>AGNUS FUNDO DE INVESTIMENTO FINANCEIRO EM ACOES</v>
          </cell>
          <cell r="D21264" t="str">
            <v>AGNUS FUNDO DE INVESTIMENTO FINANCEIRO EM ACOES</v>
          </cell>
          <cell r="E21264" t="str">
            <v>AGNUS FUNDO DE INVESTIMENTO FINANCEIRO EM ACOES</v>
          </cell>
        </row>
        <row r="21265">
          <cell r="B21265">
            <v>82545</v>
          </cell>
          <cell r="C21265" t="str">
            <v>AGNUS FUNDO DE INVESTIMENTO FINANCEIRO EM ACOES</v>
          </cell>
          <cell r="D21265" t="str">
            <v>AGNUS FUNDO DE INVESTIMENTO FINANCEIRO EM ACOES</v>
          </cell>
          <cell r="E21265" t="str">
            <v>AGNUS FUNDO DE INVESTIMENTO FINANCEIRO EM ACOES</v>
          </cell>
        </row>
        <row r="21266">
          <cell r="B21266">
            <v>82546</v>
          </cell>
          <cell r="C21266" t="str">
            <v>AGNUS FUNDO DE INVESTIMENTO FINANCEIRO EM ACOES</v>
          </cell>
          <cell r="D21266" t="str">
            <v>AGNUS FUNDO DE INVESTIMENTO FINANCEIRO EM ACOES</v>
          </cell>
          <cell r="E21266" t="str">
            <v>TRUSTEE DISTRIBUIDORA DE TITULOS E VALORES MOBILIARIOS LTDA</v>
          </cell>
        </row>
        <row r="21267">
          <cell r="B21267">
            <v>82546</v>
          </cell>
          <cell r="C21267" t="str">
            <v>AGNUS FUNDO DE INVESTIMENTO FINANCEIRO EM ACOES</v>
          </cell>
          <cell r="D21267" t="str">
            <v>AGNUS FUNDO DE INVESTIMENTO FINANCEIRO EM ACOES</v>
          </cell>
          <cell r="E21267" t="str">
            <v>TRUSTEE DISTRIBUIDORA DE TITULOS E VALORES MOBILIARIOS LTDA</v>
          </cell>
        </row>
        <row r="21268">
          <cell r="B21268">
            <v>82547</v>
          </cell>
          <cell r="C21268" t="str">
            <v>SAFRA GALILEO ESTRATEGIA FX MASTER FIF CLASSE CIM REP LIM</v>
          </cell>
          <cell r="D21268" t="str">
            <v>SAFRA GALILEO ESTRATEGIA FX MASTER FIF CLASSE CIM REP LIM</v>
          </cell>
          <cell r="E21268" t="str">
            <v>EMERALD GESTAO DE INVESTIMENTOS LTDA</v>
          </cell>
        </row>
        <row r="21269">
          <cell r="B21269">
            <v>82547</v>
          </cell>
          <cell r="C21269" t="str">
            <v>SAFRA GALILEO ESTRATEGIA FX MASTER FIF CLASSE CIM REP LIM</v>
          </cell>
          <cell r="D21269" t="str">
            <v>SAFRA GALILEO ESTRATEGIA FX MASTER FIF CLASSE CIM REP LIM</v>
          </cell>
          <cell r="E21269" t="str">
            <v>EMERALD GESTAO DE INVESTIMENTOS LTDA</v>
          </cell>
        </row>
        <row r="21270">
          <cell r="B21270">
            <v>82549</v>
          </cell>
          <cell r="C21270" t="str">
            <v>SAFRA PREV IBOVESPA MASTER FIF PREV CIA PREV RESP LIM</v>
          </cell>
          <cell r="D21270" t="str">
            <v>SAFRA PREV IBOVESPA MASTER FIF PREV CIA PREV RESP LIM</v>
          </cell>
          <cell r="E21270" t="str">
            <v>EMERALD GESTAO DE INVESTIMENTOS LTDA</v>
          </cell>
        </row>
        <row r="21271">
          <cell r="B21271">
            <v>82549</v>
          </cell>
          <cell r="C21271" t="str">
            <v>SAFRA PREV IBOVESPA MASTER FIF PREV CIA PREV RESP LIM</v>
          </cell>
          <cell r="D21271" t="str">
            <v>SAFRA PREV IBOVESPA MASTER FIF PREV CIA PREV RESP LIM</v>
          </cell>
          <cell r="E21271" t="str">
            <v>EMERALD GESTAO DE INVESTIMENTOS LTDA</v>
          </cell>
        </row>
        <row r="21272">
          <cell r="B21272">
            <v>82552</v>
          </cell>
          <cell r="C21272" t="str">
            <v>SKOPOS MIB IMAT FIA</v>
          </cell>
          <cell r="D21272" t="str">
            <v>SKOPOS MIB IMAT FIA</v>
          </cell>
          <cell r="E21272" t="str">
            <v>SKOPOS INVESTIMENTOS LTDA</v>
          </cell>
        </row>
        <row r="21273">
          <cell r="B21273">
            <v>82552</v>
          </cell>
          <cell r="C21273" t="str">
            <v>SKOPOS MIB IMAT FIA</v>
          </cell>
          <cell r="D21273" t="str">
            <v>SKOPOS MIB IMAT FIA</v>
          </cell>
          <cell r="E21273" t="str">
            <v>SKOPOS INVESTIMENTOS LTDA</v>
          </cell>
        </row>
        <row r="21274">
          <cell r="B21274">
            <v>82556</v>
          </cell>
          <cell r="C21274" t="str">
            <v>SKOPOS TOP TRADES EQUITY HEDGE FUNDO DE INVESTIMENTO MULTIME</v>
          </cell>
          <cell r="D21274" t="str">
            <v>SKOPOS TOP TRADES EQUITY HEDGE FUNDO DE INVESTIMENTO MULTIME</v>
          </cell>
          <cell r="E21274" t="str">
            <v>SKOPOS INVESTIMENTOS LTDA</v>
          </cell>
        </row>
        <row r="21275">
          <cell r="B21275">
            <v>82557</v>
          </cell>
          <cell r="C21275" t="str">
            <v>SKOPOS GUPEMA FUNDO DE INVESTIMENTO EM ACOES</v>
          </cell>
          <cell r="D21275" t="str">
            <v>SKOPOS GUPEMA FUNDO DE INVESTIMENTO EM ACOES</v>
          </cell>
          <cell r="E21275" t="str">
            <v>SKOPOS INVESTIMENTOS LTDA</v>
          </cell>
        </row>
        <row r="21276">
          <cell r="B21276">
            <v>82556</v>
          </cell>
          <cell r="C21276" t="str">
            <v>SKOPOS TOP TRADES EQUITY HEDGE FUNDO DE INVESTIMENTO MULTIME</v>
          </cell>
          <cell r="D21276" t="str">
            <v>SKOPOS TOP TRADES EQUITY HEDGE FUNDO DE INVESTIMENTO MULTIME</v>
          </cell>
          <cell r="E21276" t="str">
            <v>SKOPOS INVESTIMENTOS LTDA</v>
          </cell>
        </row>
        <row r="21277">
          <cell r="B21277">
            <v>82557</v>
          </cell>
          <cell r="C21277" t="str">
            <v>SKOPOS GUPEMA FUNDO DE INVESTIMENTO EM ACOES</v>
          </cell>
          <cell r="D21277" t="str">
            <v>SKOPOS GUPEMA FUNDO DE INVESTIMENTO EM ACOES</v>
          </cell>
          <cell r="E21277" t="str">
            <v>SKOPOS INVESTIMENTOS LTDA</v>
          </cell>
        </row>
        <row r="21278">
          <cell r="B21278">
            <v>82558</v>
          </cell>
          <cell r="C21278" t="str">
            <v>ITAÃš US TECH FUNDO DE INVESTIMENTO EM AÃ‡Ã•ES</v>
          </cell>
          <cell r="D21278" t="str">
            <v>ITAÃš US TECH FUNDO DE INVESTIMENTO EM AÃ‡Ã•ES</v>
          </cell>
          <cell r="E21278" t="str">
            <v>ITAU UNIBANCO ASSET - TACO</v>
          </cell>
        </row>
        <row r="21279">
          <cell r="B21279">
            <v>82564</v>
          </cell>
          <cell r="C21279" t="str">
            <v>ITAU VOTL FIF MULTIMERCADO RESP. LIMITADA</v>
          </cell>
          <cell r="D21279" t="str">
            <v>ITAU VOTL FIF MULTIMERCADO RESP. LIMITADA</v>
          </cell>
          <cell r="E21279" t="str">
            <v>ITAU UNIBANCO ASSET - TACO</v>
          </cell>
        </row>
        <row r="21280">
          <cell r="B21280">
            <v>82574</v>
          </cell>
          <cell r="C21280" t="str">
            <v>ITAU US TECH USD FIF ACOES RL</v>
          </cell>
          <cell r="D21280" t="str">
            <v>ITAU US TECH USD FIF ACOES RL</v>
          </cell>
          <cell r="E21280" t="str">
            <v>ITAU UNIBANCO ASSET - TACO</v>
          </cell>
        </row>
        <row r="21281">
          <cell r="B21281">
            <v>82575</v>
          </cell>
          <cell r="C21281" t="str">
            <v>PORTO RIO BRANCO FUNDO DE INVESTIMENTO FINANCEIRO MULT RL</v>
          </cell>
          <cell r="D21281" t="str">
            <v>PORTO RIO BRANCO FUNDO DE INVESTIMENTO FINANCEIRO MULT RL</v>
          </cell>
          <cell r="E21281" t="str">
            <v>PORTO SEGURO INVESTIMENTOS LTDA</v>
          </cell>
        </row>
        <row r="21282">
          <cell r="B21282">
            <v>82576</v>
          </cell>
          <cell r="C21282" t="str">
            <v>IT NOW IBOVESPA B3 BR+ FUNDO DE INDICE RESP. LIMITADA</v>
          </cell>
          <cell r="D21282" t="str">
            <v>IT NOW IBOVESPA B3 BR+ FUNDO DE INDICE RESP. LIMITADA</v>
          </cell>
          <cell r="E21282" t="str">
            <v>ITAU UNIBANCO ASSET - TACO</v>
          </cell>
        </row>
        <row r="21283">
          <cell r="B21283">
            <v>82578</v>
          </cell>
          <cell r="C21283" t="str">
            <v>GAP MAHALO FIM</v>
          </cell>
          <cell r="D21283" t="str">
            <v>GAP MAHALO FIM</v>
          </cell>
          <cell r="E21283" t="str">
            <v>GAP GESTORA DE RECURSOS LTDA</v>
          </cell>
        </row>
        <row r="21284">
          <cell r="B21284">
            <v>82578</v>
          </cell>
          <cell r="C21284" t="str">
            <v>GAP MAHALO FIM</v>
          </cell>
          <cell r="D21284" t="str">
            <v>GAP MAHALO FIM</v>
          </cell>
          <cell r="E21284" t="str">
            <v>GAP GESTORA DE RECURSOS LTDA</v>
          </cell>
        </row>
        <row r="21285">
          <cell r="B21285">
            <v>82580</v>
          </cell>
          <cell r="C21285" t="str">
            <v>TENAX EQUITY HEDGE FIM RL</v>
          </cell>
          <cell r="D21285" t="str">
            <v>TENAX EQUITY HEDGE FIM RL</v>
          </cell>
          <cell r="E21285" t="str">
            <v>TENAX CAPITAL LTDA</v>
          </cell>
        </row>
        <row r="21286">
          <cell r="B21286">
            <v>82581</v>
          </cell>
          <cell r="C21286" t="str">
            <v>CIBRIUS IMOB CLASSE DE INVESTIMENTO MULTIMERCADO CP RL</v>
          </cell>
          <cell r="D21286" t="str">
            <v>CIBRIUS IMOB CLASSE DE INVESTIMENTO MULTIMERCADO CP RL</v>
          </cell>
          <cell r="E21286" t="str">
            <v>CIBRIUS - INSTITUTO DE PREVIDENCIA COMPLEMENTAR</v>
          </cell>
        </row>
        <row r="21287">
          <cell r="B21287">
            <v>82582</v>
          </cell>
          <cell r="C21287" t="str">
            <v>ITAU UNIBANCO S.A. _ FILIAL</v>
          </cell>
          <cell r="D21287" t="str">
            <v>ITAU UNIBANCO S.A. _ FILIAL</v>
          </cell>
          <cell r="E21287" t="str">
            <v>ITAU UNIBANCO S/A</v>
          </cell>
        </row>
        <row r="21288">
          <cell r="B21288">
            <v>82583</v>
          </cell>
          <cell r="C21288" t="str">
            <v>CIBRIUS - INSTITUTO DE PREVIDENCIA COMPLEMENTAR</v>
          </cell>
          <cell r="D21288" t="str">
            <v>CIBRIUS - INSTITUTO DE PREVIDENCIA COMPLEMENTAR</v>
          </cell>
          <cell r="E21288" t="str">
            <v>CIBRIUS - INSTITUTO DE PREVIDENCIA COMPLEMENTAR</v>
          </cell>
        </row>
        <row r="21289">
          <cell r="B21289">
            <v>82584</v>
          </cell>
          <cell r="C21289" t="str">
            <v>IAJA SAM ACOES FUNDO DE INVESTIMENTO</v>
          </cell>
          <cell r="D21289" t="str">
            <v>IAJA SAM ACOES FUNDO DE INVESTIMENTO</v>
          </cell>
          <cell r="E21289" t="str">
            <v>SANTANDER BRASIL GESTAO DE RECURSOS LTDA</v>
          </cell>
        </row>
        <row r="21290">
          <cell r="B21290">
            <v>82585</v>
          </cell>
          <cell r="C21290" t="str">
            <v>ITAU UNIBANCO S.A.</v>
          </cell>
          <cell r="D21290" t="str">
            <v>ITAU UNIBANCO S.A.</v>
          </cell>
          <cell r="E21290" t="str">
            <v>ITAU UNIBANCO S/A</v>
          </cell>
        </row>
        <row r="21291">
          <cell r="B21291">
            <v>82587</v>
          </cell>
          <cell r="C21291" t="str">
            <v>QUANTIQUE AXION FUNDO DE INVESTIMENTO MULTIMERCADO</v>
          </cell>
          <cell r="D21291" t="str">
            <v>QUANTIQUE AXION FUNDO DE INVESTIMENTO MULTIMERCADO</v>
          </cell>
          <cell r="E21291" t="str">
            <v>QUANTIQUE M3 INVESTMENTS LTDA</v>
          </cell>
        </row>
        <row r="21292">
          <cell r="B21292">
            <v>82588</v>
          </cell>
          <cell r="C21292" t="str">
            <v>DV TRADING, LLC</v>
          </cell>
          <cell r="D21292" t="str">
            <v>DV TRADING, LLC</v>
          </cell>
          <cell r="E21292" t="str">
            <v>DV TRADING, LLC</v>
          </cell>
        </row>
        <row r="21293">
          <cell r="B21293">
            <v>82588</v>
          </cell>
          <cell r="C21293" t="str">
            <v>DV TRADING, LLC</v>
          </cell>
          <cell r="D21293" t="str">
            <v>DV TRADING, LLC</v>
          </cell>
          <cell r="E21293" t="str">
            <v>DV TRADING, LLC</v>
          </cell>
        </row>
        <row r="21294">
          <cell r="B21294">
            <v>82589</v>
          </cell>
          <cell r="C21294" t="str">
            <v>CAIXA DE PREVIDENCIA E ASSISTENCIA DE SANTANA DE PARNAIBA</v>
          </cell>
          <cell r="D21294" t="str">
            <v>CAIXA DE PREVIDENCIA E ASSISTENCIA DE SANTANA DE PARNAIBA</v>
          </cell>
          <cell r="E21294" t="str">
            <v>CAIXA DE PREVIDENCIA E ASSISTENCIA DE SANTANA DE PARNAIBA</v>
          </cell>
        </row>
        <row r="21295">
          <cell r="B21295">
            <v>82589</v>
          </cell>
          <cell r="C21295" t="str">
            <v>CAIXA DE PREVIDENCIA E ASSISTENCIA DE SANTANA DE PARNAIBA</v>
          </cell>
          <cell r="D21295" t="str">
            <v>CAIXA DE PREVIDENCIA E ASSISTENCIA DE SANTANA DE PARNAIBA</v>
          </cell>
          <cell r="E21295" t="str">
            <v>CAIXA DE PREVIDENCIA E ASSISTENCIA DE SANTANA DE PARNAIBA</v>
          </cell>
        </row>
        <row r="21296">
          <cell r="B21296">
            <v>82590</v>
          </cell>
          <cell r="C21296" t="str">
            <v>INSTITUTO CANOINHENSE DE PREVIDENCIA - ICPREV</v>
          </cell>
          <cell r="D21296" t="str">
            <v>INSTITUTO CANOINHENSE DE PREVIDENCIA - ICPREV</v>
          </cell>
          <cell r="E21296" t="str">
            <v>RPPS CANOINHAS ICPREV</v>
          </cell>
        </row>
        <row r="21297">
          <cell r="B21297">
            <v>82590</v>
          </cell>
          <cell r="C21297" t="str">
            <v>INSTITUTO CANOINHENSE DE PREVIDENCIA - ICPREV</v>
          </cell>
          <cell r="D21297" t="str">
            <v>INSTITUTO CANOINHENSE DE PREVIDENCIA - ICPREV</v>
          </cell>
          <cell r="E21297" t="str">
            <v>RPPS CANOINHAS ICPREV</v>
          </cell>
        </row>
        <row r="21298">
          <cell r="B21298">
            <v>82592</v>
          </cell>
          <cell r="C21298" t="str">
            <v>VINLAND CREDITO MASTER INSTITUCIONAL FI RENDA FIXA</v>
          </cell>
          <cell r="D21298" t="str">
            <v>VINLAND CREDITO MASTER INSTITUCIONAL FI RENDA FIXA</v>
          </cell>
          <cell r="E21298" t="str">
            <v>VINLAND CAPITAL MANAGEMENT GESTORA DE RECURSOS LTDA</v>
          </cell>
        </row>
        <row r="21299">
          <cell r="B21299">
            <v>123841</v>
          </cell>
          <cell r="C21299" t="str">
            <v>XP MACRO FIM</v>
          </cell>
          <cell r="D21299" t="str">
            <v>XP MACRO FIM</v>
          </cell>
          <cell r="E21299" t="str">
            <v>XP MACRO FIM</v>
          </cell>
        </row>
        <row r="21300">
          <cell r="B21300">
            <v>82595</v>
          </cell>
          <cell r="C21300" t="str">
            <v>ITAÃš FLEXPREV US TECH V40 FIFCIC MULT RL</v>
          </cell>
          <cell r="D21300" t="str">
            <v>ITAÃš FLEXPREV US TECH V40 FIFCIC MULT RL</v>
          </cell>
          <cell r="E21300" t="str">
            <v>ITAU UNIBANCO ASSET - TACO</v>
          </cell>
        </row>
        <row r="21301">
          <cell r="B21301">
            <v>82595</v>
          </cell>
          <cell r="C21301" t="str">
            <v>ITAÃš FLEXPREV US TECH V40 FIFCIC MULT RL</v>
          </cell>
          <cell r="D21301" t="str">
            <v>ITAÃš FLEXPREV US TECH V40 FIFCIC MULT RL</v>
          </cell>
          <cell r="E21301" t="str">
            <v>ITAU UNIBANCO ASSET - TACO</v>
          </cell>
        </row>
        <row r="21302">
          <cell r="B21302">
            <v>82596</v>
          </cell>
          <cell r="C21302" t="str">
            <v>DPT MUNICIPAL DE PREV DOS SERVS PUBLICOS DE PORTO ALEGRE</v>
          </cell>
          <cell r="D21302" t="str">
            <v>DPT MUNICIPAL DE PREV DOS SERVS PUBLICOS DE PORTO ALEGRE</v>
          </cell>
          <cell r="E21302" t="str">
            <v>RPPS PORTO ALEGRE</v>
          </cell>
        </row>
        <row r="21303">
          <cell r="B21303">
            <v>82596</v>
          </cell>
          <cell r="C21303" t="str">
            <v>DPT MUNICIPAL DE PREV DOS SERVS PUBLICOS DE PORTO ALEGRE</v>
          </cell>
          <cell r="D21303" t="str">
            <v>DPT MUNICIPAL DE PREV DOS SERVS PUBLICOS DE PORTO ALEGRE</v>
          </cell>
          <cell r="E21303" t="str">
            <v>RPPS PORTO ALEGRE</v>
          </cell>
        </row>
        <row r="21304">
          <cell r="B21304">
            <v>82598</v>
          </cell>
          <cell r="C21304" t="str">
            <v>J&amp;F INVESTIMENTOS SA</v>
          </cell>
          <cell r="D21304" t="str">
            <v>J&amp;F INVESTIMENTOS SA</v>
          </cell>
          <cell r="E21304" t="str">
            <v>J&amp;F INVESTIMENTOS SA</v>
          </cell>
        </row>
        <row r="21305">
          <cell r="B21305">
            <v>82599</v>
          </cell>
          <cell r="C21305" t="str">
            <v>ITAU FUSION FIF MULT RL</v>
          </cell>
          <cell r="D21305" t="str">
            <v>ITAU FUSION FIF MULT RL</v>
          </cell>
          <cell r="E21305" t="str">
            <v>ITAU UNIBANCO ASSET - TACO</v>
          </cell>
        </row>
        <row r="21306">
          <cell r="B21306">
            <v>82600</v>
          </cell>
          <cell r="C21306" t="str">
            <v>INST DE PREV DOS SERVIDORES MUNICIPIO DE CASIMIRO DE ABREU</v>
          </cell>
          <cell r="D21306" t="str">
            <v>INST DE PREV DOS SERVIDORES MUNICIPIO DE CASIMIRO DE ABREU</v>
          </cell>
          <cell r="E21306" t="str">
            <v>INST DE PREV DOS SERVIDORES MUNICIPIO DE CASIMIRO DE ABREU</v>
          </cell>
        </row>
        <row r="21307">
          <cell r="B21307">
            <v>82600</v>
          </cell>
          <cell r="C21307" t="str">
            <v>INST DE PREV DOS SERVIDORES MUNICIPIO DE CASIMIRO DE ABREU</v>
          </cell>
          <cell r="D21307" t="str">
            <v>INST DE PREV DOS SERVIDORES MUNICIPIO DE CASIMIRO DE ABREU</v>
          </cell>
          <cell r="E21307" t="str">
            <v>INST DE PREV DOS SERVIDORES MUNICIPIO DE CASIMIRO DE ABREU</v>
          </cell>
        </row>
        <row r="21308">
          <cell r="B21308">
            <v>82601</v>
          </cell>
          <cell r="C21308" t="str">
            <v>NU CRYPTO LTDA.</v>
          </cell>
          <cell r="D21308" t="str">
            <v>NU CRYPTO LTDA.</v>
          </cell>
          <cell r="E21308" t="str">
            <v>NU PAGAMENTOS SOCIEDADE ANONIMA</v>
          </cell>
        </row>
        <row r="21309">
          <cell r="B21309">
            <v>82601</v>
          </cell>
          <cell r="C21309" t="str">
            <v>NU CRYPTO LTDA.</v>
          </cell>
          <cell r="D21309" t="str">
            <v>NU CRYPTO LTDA.</v>
          </cell>
          <cell r="E21309" t="str">
            <v>NU PAGAMENTOS SOCIEDADE ANONIMA</v>
          </cell>
        </row>
        <row r="21310">
          <cell r="B21310">
            <v>82602</v>
          </cell>
          <cell r="C21310" t="str">
            <v>NU CRYPTO LTDA.</v>
          </cell>
          <cell r="D21310" t="str">
            <v>NU CRYPTO LTDA.</v>
          </cell>
          <cell r="E21310" t="str">
            <v>NU PAGAMENTOS SOCIEDADE ANONIMA</v>
          </cell>
        </row>
        <row r="21311">
          <cell r="B21311">
            <v>82603</v>
          </cell>
          <cell r="C21311" t="str">
            <v>INST DE PREV SOCIAL DOS SERV PÃšBL MUN DE ANTÃ”NIO CARLOS</v>
          </cell>
          <cell r="D21311" t="str">
            <v>INST DE PREV SOCIAL DOS SERV PÃšBL MUN DE ANTÃ”NIO CARLOS</v>
          </cell>
          <cell r="E21311" t="str">
            <v>RPPS IPREANCARLOS</v>
          </cell>
        </row>
        <row r="21312">
          <cell r="B21312">
            <v>82603</v>
          </cell>
          <cell r="C21312" t="str">
            <v>INST DE PREV SOCIAL DOS SERV PÃšBL MUN DE ANTÃ”NIO CARLOS</v>
          </cell>
          <cell r="D21312" t="str">
            <v>INST DE PREV SOCIAL DOS SERV PÃšBL MUN DE ANTÃ”NIO CARLOS</v>
          </cell>
          <cell r="E21312" t="str">
            <v>RPPS IPREANCARLOS</v>
          </cell>
        </row>
        <row r="21313">
          <cell r="B21313">
            <v>82604</v>
          </cell>
          <cell r="C21313" t="str">
            <v>FIM ICEBERG IE CP</v>
          </cell>
          <cell r="D21313" t="str">
            <v>FIM ICEBERG IE CP</v>
          </cell>
          <cell r="E21313" t="str">
            <v>BANK OF AMERICA MERRILL LYNCH BANCO MULTIPLO S/A</v>
          </cell>
        </row>
        <row r="21314">
          <cell r="B21314">
            <v>82605</v>
          </cell>
          <cell r="C21314" t="str">
            <v>IT NOW IRFM P3 FUNDO DE INDICE RL</v>
          </cell>
          <cell r="D21314" t="str">
            <v>IT NOW IRFM P3 FUNDO DE INDICE RL</v>
          </cell>
          <cell r="E21314" t="str">
            <v>ITAU UNIBANCO ASSET - TACO</v>
          </cell>
        </row>
        <row r="21315">
          <cell r="B21315">
            <v>82606</v>
          </cell>
          <cell r="C21315" t="str">
            <v>ITAU ACTIVE FIX ESG IS FIF MULT CRED PRIV RL</v>
          </cell>
          <cell r="D21315" t="str">
            <v>ITAU ACTIVE FIX ESG IS FIF MULT CRED PRIV RL</v>
          </cell>
          <cell r="E21315" t="str">
            <v>ITAU UNIBANCO ASSET - TACO</v>
          </cell>
        </row>
        <row r="21316">
          <cell r="B21316">
            <v>82607</v>
          </cell>
          <cell r="C21316" t="str">
            <v>SQUAREPOINT MASTER TRADING LLC</v>
          </cell>
          <cell r="D21316" t="str">
            <v>SQUAREPOINT MASTER TRADING LLC</v>
          </cell>
          <cell r="E21316" t="str">
            <v>SQUAREPOINT TRADING LLC</v>
          </cell>
        </row>
        <row r="21317">
          <cell r="B21317">
            <v>82607</v>
          </cell>
          <cell r="C21317" t="str">
            <v>SQUAREPOINT MASTER TRADING LLC</v>
          </cell>
          <cell r="D21317" t="str">
            <v>SQUAREPOINT MASTER TRADING LLC</v>
          </cell>
          <cell r="E21317" t="str">
            <v>SQUAREPOINT TRADING LLC</v>
          </cell>
        </row>
        <row r="21318">
          <cell r="B21318">
            <v>82608</v>
          </cell>
          <cell r="C21318" t="str">
            <v>SQUAREPOINT MASTER TRADING LLC</v>
          </cell>
          <cell r="D21318" t="str">
            <v>SQUAREPOINT MASTER TRADING LLC</v>
          </cell>
          <cell r="E21318" t="str">
            <v>SQUAREPOINT TRADING LLC</v>
          </cell>
        </row>
        <row r="21319">
          <cell r="B21319">
            <v>82608</v>
          </cell>
          <cell r="C21319" t="str">
            <v>SQUAREPOINT MASTER TRADING LLC</v>
          </cell>
          <cell r="D21319" t="str">
            <v>SQUAREPOINT MASTER TRADING LLC</v>
          </cell>
          <cell r="E21319" t="str">
            <v>SQUAREPOINT TRADING LLC</v>
          </cell>
        </row>
        <row r="21320">
          <cell r="B21320">
            <v>82609</v>
          </cell>
          <cell r="C21320" t="str">
            <v>ITAU FUSION EAGLE FIF MULT RL</v>
          </cell>
          <cell r="D21320" t="str">
            <v>ITAU FUSION EAGLE FIF MULT RL</v>
          </cell>
          <cell r="E21320" t="str">
            <v>ITAU UNIBANCO ASSET - TACO</v>
          </cell>
        </row>
        <row r="21321">
          <cell r="B21321">
            <v>82611</v>
          </cell>
          <cell r="C21321" t="str">
            <v>WHG CHINA MACRO MASTER MULTIMERCADO FUNDO DE INVESTIMENTO</v>
          </cell>
          <cell r="D21321" t="str">
            <v>WHG CHINA MACRO MASTER MULTIMERCADO FUNDO DE INVESTIMENTO</v>
          </cell>
          <cell r="E21321" t="str">
            <v>WEALTH HIGH GOVERNANCE ASSET MANAGEMENT LTDA</v>
          </cell>
        </row>
        <row r="21322">
          <cell r="B21322">
            <v>82611</v>
          </cell>
          <cell r="C21322" t="str">
            <v>WHG CHINA MACRO MASTER MULTIMERCADO FUNDO DE INVESTIMENTO</v>
          </cell>
          <cell r="D21322" t="str">
            <v>WHG CHINA MACRO MASTER MULTIMERCADO FUNDO DE INVESTIMENTO</v>
          </cell>
          <cell r="E21322" t="str">
            <v>WEALTH HIGH GOVERNANCE ASSET MANAGEMENT LTDA</v>
          </cell>
        </row>
        <row r="21323">
          <cell r="B21323">
            <v>82619</v>
          </cell>
          <cell r="C21323" t="str">
            <v>DAHLIA 97 FIF MULTIMERCADO RESP LTDA</v>
          </cell>
          <cell r="D21323" t="str">
            <v>DAHLIA 97 FIF MULTIMERCADO RESP LTDA</v>
          </cell>
          <cell r="E21323" t="str">
            <v>DAHLIA CAPITAL GESTAO DE RECURSOS LTDA</v>
          </cell>
        </row>
        <row r="21324">
          <cell r="B21324">
            <v>82620</v>
          </cell>
          <cell r="C21324" t="str">
            <v>DAHLIA 89 FIF MULTIMERCADO - RESP LTDA</v>
          </cell>
          <cell r="D21324" t="str">
            <v>DAHLIA 89 FIF MULTIMERCADO - RESP LTDA</v>
          </cell>
          <cell r="E21324" t="str">
            <v>DAHLIA CAPITAL GESTAO DE RECURSOS LTDA</v>
          </cell>
        </row>
        <row r="21325">
          <cell r="B21325">
            <v>82622</v>
          </cell>
          <cell r="C21325" t="str">
            <v>CREDIT SUISSE (BRASIL) S/A CTVM</v>
          </cell>
          <cell r="D21325" t="str">
            <v>CREDIT SUISSE (BRASIL) S/A CTVM</v>
          </cell>
          <cell r="E21325" t="str">
            <v>CREDIT SUISSE (BRASIL) S/A CTVM</v>
          </cell>
        </row>
        <row r="21326">
          <cell r="B21326">
            <v>82623</v>
          </cell>
          <cell r="C21326" t="str">
            <v>ITAU DOLOMITAS LISTADOS FI FINANCEIRO MULT CRED PRIV RL</v>
          </cell>
          <cell r="D21326" t="str">
            <v>ITAU DOLOMITAS LISTADOS FI FINANCEIRO MULT CRED PRIV RL</v>
          </cell>
          <cell r="E21326" t="str">
            <v>ITAU UNIBANCO ASSET - TACO</v>
          </cell>
        </row>
        <row r="21327">
          <cell r="B21327">
            <v>82624</v>
          </cell>
          <cell r="C21327" t="str">
            <v>ITAU FLEXPREV FUSION HARPIA FIF RENDA FIXA RESPONSABILIDE LI</v>
          </cell>
          <cell r="D21327" t="str">
            <v>ITAU FLEXPREV FUSION HARPIA FIF RENDA FIXA RESPONSABILIDE LI</v>
          </cell>
          <cell r="E21327" t="str">
            <v>ITAU UNIBANCO ASSET - TACO</v>
          </cell>
        </row>
        <row r="21328">
          <cell r="B21328">
            <v>82625</v>
          </cell>
          <cell r="C21328" t="str">
            <v>ITAU MASTER POLARIS SPECIAL OPPS II FIM RESP LIMITADA</v>
          </cell>
          <cell r="D21328" t="str">
            <v>ITAU MASTER POLARIS SPECIAL OPPS II FIM RESP LIMITADA</v>
          </cell>
          <cell r="E21328" t="str">
            <v>ITAU UNIBANCO ASSET - TACO</v>
          </cell>
        </row>
        <row r="21329">
          <cell r="B21329">
            <v>82626</v>
          </cell>
          <cell r="C21329" t="str">
            <v>ITAU VERTICE OPTVEGA FIF MULTIMERCADO RESPONSABILIDADE LIMIT</v>
          </cell>
          <cell r="D21329" t="str">
            <v>ITAU VERTICE OPTVEGA FIF MULTIMERCADO RESPONSABILIDADE LIMIT</v>
          </cell>
          <cell r="E21329" t="str">
            <v>ITAU UNIBANCO ASSET - TACO</v>
          </cell>
        </row>
        <row r="21330">
          <cell r="B21330">
            <v>82627</v>
          </cell>
          <cell r="C21330" t="str">
            <v>ITAU MASTER GLOBAL DINAMICO MULTIMERCADO FI</v>
          </cell>
          <cell r="D21330" t="str">
            <v>ITAU MASTER GLOBAL DINAMICO MULTIMERCADO FI</v>
          </cell>
          <cell r="E21330" t="str">
            <v>ITAU UNIBANCO ASSET - TACO</v>
          </cell>
        </row>
        <row r="21331">
          <cell r="B21331">
            <v>82628</v>
          </cell>
          <cell r="C21331" t="str">
            <v>ITAU MASTER GLOBAL DINAMICO ULTRA MULTIMERCADO FUNDO DE INVE</v>
          </cell>
          <cell r="D21331" t="str">
            <v>ITAU MASTER GLOBAL DINAMICO ULTRA MULTIMERCADO FUNDO DE INVE</v>
          </cell>
          <cell r="E21331" t="str">
            <v>ITAU UNIBANCO ASSET - TACO</v>
          </cell>
        </row>
        <row r="21332">
          <cell r="B21332">
            <v>82629</v>
          </cell>
          <cell r="C21332" t="str">
            <v>ITAU FLEXPREV MASTER GD MULTIMERCADO FUNDO DE INVESTIMENTO</v>
          </cell>
          <cell r="D21332" t="str">
            <v>ITAU FLEXPREV MASTER GD MULTIMERCADO FUNDO DE INVESTIMENTO</v>
          </cell>
          <cell r="E21332" t="str">
            <v>ITAU UNIBANCO ASSET - TACO</v>
          </cell>
        </row>
        <row r="21333">
          <cell r="B21333">
            <v>144511</v>
          </cell>
          <cell r="C21333" t="str">
            <v>BRAM - BRADESCO ASSET MANAGEMENT SA DTVM</v>
          </cell>
          <cell r="D21333" t="str">
            <v>BRAM - BRADESCO ASSET MANAGEMENT SA DTVM</v>
          </cell>
          <cell r="E21333" t="str">
            <v>BRAM - BRADESCO ASSET MANAGEMENT S/A DTVM</v>
          </cell>
        </row>
        <row r="21334">
          <cell r="B21334">
            <v>82633</v>
          </cell>
          <cell r="C21334" t="str">
            <v>SAFRA ASSET CORRETORA DE TITULOS E VALORES MOBILIARIOS S.A.</v>
          </cell>
          <cell r="D21334" t="str">
            <v>SAFRA ASSET CORRETORA DE TITULOS E VALORES MOBILIARIOS S.A.</v>
          </cell>
          <cell r="E21334" t="str">
            <v>SAFRA ASSET MANAGEMENT LTDA</v>
          </cell>
        </row>
        <row r="21335">
          <cell r="B21335">
            <v>82634</v>
          </cell>
          <cell r="C21335" t="str">
            <v>SAFRA ASSET CORRETORA DE TITULOS E VALORES MOBILIARIOS S.A.</v>
          </cell>
          <cell r="D21335" t="str">
            <v>SAFRA ASSET CORRETORA DE TITULOS E VALORES MOBILIARIOS S.A.</v>
          </cell>
          <cell r="E21335" t="str">
            <v>SAFRA ASSET MANAGEMENT LTDA</v>
          </cell>
        </row>
        <row r="21336">
          <cell r="B21336">
            <v>82635</v>
          </cell>
          <cell r="C21336" t="str">
            <v>SAFRA ASSET CORRETORA DE TITULOS E VALORES MOBILIARIOS S.A.</v>
          </cell>
          <cell r="D21336" t="str">
            <v>SAFRA ASSET CORRETORA DE TITULOS E VALORES MOBILIARIOS S.A.</v>
          </cell>
          <cell r="E21336" t="str">
            <v>SAFRA ASSET MANAGEMENT LTDA</v>
          </cell>
        </row>
        <row r="21337">
          <cell r="B21337">
            <v>82636</v>
          </cell>
          <cell r="C21337" t="str">
            <v>SAFRA ASSET CORRETORA DE TITULOS E VALORES MOBILIARIOS S.A.</v>
          </cell>
          <cell r="D21337" t="str">
            <v>SAFRA ASSET CORRETORA DE TITULOS E VALORES MOBILIARIOS S.A.</v>
          </cell>
          <cell r="E21337" t="str">
            <v>SAFRA ASSET MANAGEMENT LTDA</v>
          </cell>
        </row>
        <row r="21338">
          <cell r="B21338" t="str">
            <v>M99825015420</v>
          </cell>
          <cell r="C21338" t="str">
            <v>LUIS EDUARDO SANTOS COELHO NETTO</v>
          </cell>
          <cell r="D21338" t="str">
            <v>LUIS EDUARDO SANTOS COELHO NETTO</v>
          </cell>
          <cell r="E21338" t="str">
            <v>LUIS EDUARDO SANTOS COELHO NETTO</v>
          </cell>
        </row>
        <row r="21339">
          <cell r="B21339" t="str">
            <v>M97548288000175</v>
          </cell>
          <cell r="C21339" t="str">
            <v>KAETE INVESTIMENTOS LTDA</v>
          </cell>
          <cell r="D21339" t="str">
            <v>KAETE INVESTIMENTOS LTDA</v>
          </cell>
          <cell r="E21339" t="str">
            <v>KAETE INVESTIMENTOS LTDA</v>
          </cell>
        </row>
        <row r="21340">
          <cell r="B21340" t="str">
            <v>M97543940000169</v>
          </cell>
          <cell r="C21340" t="str">
            <v>ZION GESTAO DE RECURSOS LTDA</v>
          </cell>
          <cell r="D21340" t="str">
            <v>ZION GESTAO DE RECURSOS LTDA</v>
          </cell>
          <cell r="E21340" t="str">
            <v>ZION GESTAO DE RECURSOS LTDA</v>
          </cell>
        </row>
        <row r="21341">
          <cell r="B21341" t="str">
            <v>M97522536000109</v>
          </cell>
          <cell r="C21341" t="str">
            <v>ABRADINVEST GESTAO DE RECURSOS FINANCEIROS LTDA</v>
          </cell>
          <cell r="D21341" t="str">
            <v>ABRADINVEST GESTAO DE RECURSOS FINANCEIROS LTDA</v>
          </cell>
          <cell r="E21341" t="str">
            <v>ABRADINVEST GESTAO DE RECURSOS FINANCEIROS LTDA</v>
          </cell>
        </row>
        <row r="21342">
          <cell r="B21342" t="str">
            <v>M92885581000104</v>
          </cell>
          <cell r="C21342" t="str">
            <v>GERVAL INVESTIMENTOS LTDA.</v>
          </cell>
          <cell r="D21342" t="str">
            <v>GERVAL INVESTIMENTOS LTDA.</v>
          </cell>
          <cell r="E21342" t="str">
            <v>GERVAL INVESTIMENTOS LTDA.</v>
          </cell>
        </row>
        <row r="21343">
          <cell r="B21343" t="str">
            <v>M92751213000173</v>
          </cell>
          <cell r="D21343" t="str">
            <v>COMPANHIA DE SEGUROS PREVIDENCIA DO SUL</v>
          </cell>
        </row>
        <row r="21344">
          <cell r="B21344" t="str">
            <v>M89255607634</v>
          </cell>
          <cell r="C21344" t="str">
            <v>FLÃVIO HERBART MENEZES CROSARA</v>
          </cell>
          <cell r="D21344" t="str">
            <v>FLÃVIO HERBART MENEZES CROSARA</v>
          </cell>
          <cell r="E21344" t="str">
            <v>FLÃVIO HERBART MENEZES CROSARA</v>
          </cell>
        </row>
        <row r="21345">
          <cell r="B21345" t="str">
            <v>M87679760772</v>
          </cell>
          <cell r="C21345" t="str">
            <v>LUIZ FERNANDO CAMARGO VIEIRA ROMANO</v>
          </cell>
          <cell r="D21345" t="str">
            <v>LUIZ FERNANDO CAMARGO VIEIRA ROMANO</v>
          </cell>
          <cell r="E21345" t="str">
            <v>LUIZ FERNANDO CAMARGO VIEIRA ROMANO</v>
          </cell>
        </row>
        <row r="21346">
          <cell r="B21346" t="str">
            <v>M87438950697</v>
          </cell>
          <cell r="C21346" t="str">
            <v>GUILHERME DELGADO DE PAULA</v>
          </cell>
          <cell r="D21346" t="str">
            <v>GUILHERME DELGADO DE PAULA</v>
          </cell>
          <cell r="E21346" t="str">
            <v>GUILHERME DELGADO DE PAULA</v>
          </cell>
        </row>
        <row r="21347">
          <cell r="B21347" t="str">
            <v>M85532517720</v>
          </cell>
          <cell r="C21347" t="str">
            <v>GUILHERME CAMPELLO DE FIGUEIREDO</v>
          </cell>
          <cell r="D21347" t="str">
            <v>GUILHERME CAMPELLO DE FIGUEIREDO</v>
          </cell>
          <cell r="E21347" t="str">
            <v>GUILHERME CAMPELLO DE FIGUEIREDO</v>
          </cell>
        </row>
        <row r="21348">
          <cell r="B21348" t="str">
            <v>M79335047600</v>
          </cell>
          <cell r="C21348" t="str">
            <v>RODRIGO BAPTISTA DE OLIVEIRA CAMPOS</v>
          </cell>
          <cell r="D21348" t="str">
            <v>RODRIGO BAPTISTA DE OLIVEIRA CAMPOS</v>
          </cell>
          <cell r="E21348" t="str">
            <v>RODRIGO BAPTISTA DE OLIVEIRA CAMPOS</v>
          </cell>
        </row>
        <row r="21349">
          <cell r="B21349" t="str">
            <v>M77409884720</v>
          </cell>
          <cell r="C21349" t="str">
            <v>LUIZ SERPA COELHO</v>
          </cell>
          <cell r="D21349" t="str">
            <v>LUIZ SERPA COELHO</v>
          </cell>
          <cell r="E21349" t="str">
            <v>LUIZ SERPA COELHO</v>
          </cell>
        </row>
        <row r="21350">
          <cell r="B21350" t="str">
            <v>M75054940000162</v>
          </cell>
          <cell r="C21350" t="str">
            <v>FUNDAÃ‡ÃƒO COPEL DE PREVIDÃŠNCIA E ASSISTÃŠNCIA SOCIAL</v>
          </cell>
          <cell r="D21350" t="str">
            <v>FUNDAÃ‡ÃƒO COPEL DE PREVIDÃŠNCIA E ASSISTÃŠNCIA SOCIAL</v>
          </cell>
          <cell r="E21350" t="str">
            <v>FUNDAÇÃO COPEL DE PREVIDÊNCIA E ASSISTÊNCIA SOCIAL</v>
          </cell>
        </row>
        <row r="21351">
          <cell r="B21351" t="str">
            <v>M71822488753</v>
          </cell>
          <cell r="C21351" t="str">
            <v>VALDECYR MACIEL GOMES</v>
          </cell>
          <cell r="D21351" t="str">
            <v>VALDECYR MACIEL GOMES</v>
          </cell>
          <cell r="E21351" t="str">
            <v>VALDECYR MACIEL GOMES</v>
          </cell>
        </row>
        <row r="21352">
          <cell r="B21352" t="str">
            <v>M71590442000183</v>
          </cell>
          <cell r="C21352" t="str">
            <v>LASTRO RDV DTVM Ltda</v>
          </cell>
          <cell r="D21352" t="str">
            <v>LASTRO RDV DTVM Ltda</v>
          </cell>
          <cell r="E21352" t="str">
            <v>LASTRO RDV DTVM Ltda</v>
          </cell>
        </row>
        <row r="21353">
          <cell r="B21353" t="str">
            <v>M71464077134</v>
          </cell>
          <cell r="C21353" t="str">
            <v>JOSÃ‰ HENRIQUE DE OLIVEIRA VARANDA</v>
          </cell>
          <cell r="D21353" t="str">
            <v>JOSÃ‰ HENRIQUE DE OLIVEIRA VARANDA</v>
          </cell>
          <cell r="E21353" t="str">
            <v>JOSÃ‰ HENRIQUE DE OLIVEIRA VARANDA</v>
          </cell>
        </row>
        <row r="21354">
          <cell r="B21354" t="str">
            <v>M69040176787</v>
          </cell>
          <cell r="C21354" t="str">
            <v>RODOLFO FRÃ“ES DA FONSECA ALMEIDA E SILVA</v>
          </cell>
          <cell r="D21354" t="str">
            <v>RODOLFO FRÃ“ES DA FONSECA ALMEIDA E SILVA</v>
          </cell>
          <cell r="E21354" t="str">
            <v>RODOLFO FRÃ“ES DA FONSECA ALMEIDA E SILVA</v>
          </cell>
        </row>
        <row r="21355">
          <cell r="B21355" t="str">
            <v>M67030395000146</v>
          </cell>
          <cell r="C21355" t="str">
            <v>TRUSTEE DISTRIBUIDORA DE TITULOS E VALORES MOBILIARIOS LTDA</v>
          </cell>
          <cell r="D21355" t="str">
            <v>TRUSTEE DISTRIBUIDORA DE TITULOS E VALORES MOBILIARIOS LTDA</v>
          </cell>
          <cell r="E21355" t="str">
            <v>TRUSTEE DISTRIBUIDORA DE TITULOS E VALORES MOBILIARIOS LTDA</v>
          </cell>
        </row>
        <row r="21356">
          <cell r="B21356" t="str">
            <v>M65471914000186</v>
          </cell>
          <cell r="C21356" t="str">
            <v>FUNDACAO SABESP DE SEGURIDADE SOCIAL - SABESPREV</v>
          </cell>
          <cell r="D21356" t="str">
            <v>FUNDACAO SABESP DE SEGURIDADE SOCIAL - SABESPREV</v>
          </cell>
          <cell r="E21356" t="str">
            <v>FUNDACAO SABESP DE SEGURIDADE SOCIAL - SABESPREV</v>
          </cell>
        </row>
        <row r="21357">
          <cell r="B21357" t="str">
            <v>M62375134000144</v>
          </cell>
          <cell r="C21357" t="str">
            <v>BRAM - BRADESCO ASSET MANAGEMENT S.A. DISTRIBUIDORA DE TITULOS E VALORES MOBILIARIOS</v>
          </cell>
          <cell r="D21357" t="str">
            <v>BRAM - BRADESCO ASSET MANAGEMENT SA DTVM</v>
          </cell>
          <cell r="E21357" t="str">
            <v>BRAM - BRADESCO ASSET MANAGEMENT S/A DTVM</v>
          </cell>
        </row>
        <row r="21358">
          <cell r="B21358" t="str">
            <v>M60653124791</v>
          </cell>
          <cell r="C21358" t="str">
            <v>PEDRO PAULO NUNES FERREIRA</v>
          </cell>
          <cell r="D21358" t="str">
            <v>PEDRO PAULO NUNES FERREIRA</v>
          </cell>
          <cell r="E21358" t="str">
            <v>PEDRO PAULO NUNES FERREIRA</v>
          </cell>
        </row>
        <row r="21359">
          <cell r="B21359" t="str">
            <v>M60363918000127</v>
          </cell>
          <cell r="C21359" t="str">
            <v>TENDÃŠNCIA ASSET MANAGEMENT LTDA.</v>
          </cell>
          <cell r="D21359" t="str">
            <v>TENDÃŠNCIA ASSET MANAGEMENT LTDA.</v>
          </cell>
          <cell r="E21359" t="str">
            <v>TENDÃŠNCIA ASSET MANAGEMENT LTDA.</v>
          </cell>
        </row>
        <row r="21360">
          <cell r="B21360" t="str">
            <v>M57883645153</v>
          </cell>
          <cell r="C21360" t="str">
            <v>TULIO LUZ BARBOSA</v>
          </cell>
          <cell r="D21360" t="str">
            <v>TULIO LUZ BARBOSA</v>
          </cell>
          <cell r="E21360" t="str">
            <v>TULIO LUZ BARBOSA</v>
          </cell>
        </row>
        <row r="21361">
          <cell r="B21361" t="str">
            <v>M54782532000157</v>
          </cell>
          <cell r="C21361" t="str">
            <v>AZUMI ASSET MANAGEMENT LTDA.</v>
          </cell>
          <cell r="D21361" t="str">
            <v>AZUMI ASSET MANAGEMENT LTDA.</v>
          </cell>
          <cell r="E21361" t="str">
            <v>AZUMI ASSET MANAGEMENT LTDA.</v>
          </cell>
        </row>
        <row r="21362">
          <cell r="B21362" t="str">
            <v>M54464258000178</v>
          </cell>
          <cell r="C21362" t="str">
            <v>REGIA CAPITAL LTDA</v>
          </cell>
          <cell r="D21362" t="str">
            <v>REGIA CAPITAL LTDA</v>
          </cell>
          <cell r="E21362" t="str">
            <v>JGP GESTAO PATRIMONIAL LTDA</v>
          </cell>
        </row>
        <row r="21363">
          <cell r="B21363" t="str">
            <v>M53956035000165</v>
          </cell>
          <cell r="C21363" t="str">
            <v>ICON CAPITAL LTDA.</v>
          </cell>
          <cell r="D21363" t="str">
            <v>ICON CAPITAL LTDA.</v>
          </cell>
          <cell r="E21363" t="str">
            <v>ICON CAPITAL LTDA.</v>
          </cell>
        </row>
        <row r="21364">
          <cell r="B21364" t="str">
            <v>M52803255000196</v>
          </cell>
          <cell r="C21364" t="str">
            <v>MELPAR INVEST LTDA.</v>
          </cell>
          <cell r="D21364" t="str">
            <v>MELPAR INVEST LTDA.</v>
          </cell>
          <cell r="E21364" t="str">
            <v>MELPAR INVEST LTDA.</v>
          </cell>
        </row>
        <row r="21365">
          <cell r="B21365" t="str">
            <v>M52508052000177</v>
          </cell>
          <cell r="C21365" t="str">
            <v>MOSAICO GESTORA DE RECURSOS LTDA.</v>
          </cell>
          <cell r="D21365" t="str">
            <v>MOSAICO GESTORA DE RECURSOS LTDA.</v>
          </cell>
          <cell r="E21365" t="str">
            <v>MOSAICO GESTORA DE RECURSOS LTDA.</v>
          </cell>
        </row>
        <row r="21366">
          <cell r="B21366" t="str">
            <v>M52332058000136</v>
          </cell>
          <cell r="C21366" t="str">
            <v>QI GESTÃƒO DE RECURSOS LTDA.</v>
          </cell>
          <cell r="D21366" t="str">
            <v>QI GESTÃƒO DE RECURSOS LTDA.</v>
          </cell>
          <cell r="E21366" t="str">
            <v>QI GESTÃƒO DE RECURSOS LTDA.</v>
          </cell>
        </row>
        <row r="21367">
          <cell r="B21367" t="str">
            <v>M52230344000190</v>
          </cell>
          <cell r="C21367" t="str">
            <v>NORONHA TRUST LTDA.</v>
          </cell>
          <cell r="D21367" t="str">
            <v>NORONHA TRUST LTDA.</v>
          </cell>
          <cell r="E21367" t="str">
            <v>NORONHA TRUST LTDA.</v>
          </cell>
        </row>
        <row r="21368">
          <cell r="B21368" t="str">
            <v>M52031145000153</v>
          </cell>
          <cell r="C21368" t="str">
            <v>QUAESTUS GESTÃƒO DE INVESTIMENTOS LTDA.</v>
          </cell>
          <cell r="D21368" t="str">
            <v>QUAESTUS GESTÃƒO DE INVESTIMENTOS LTDA.</v>
          </cell>
          <cell r="E21368" t="str">
            <v>QUAESTUS GESTÃƒO DE INVESTIMENTOS LTDA.</v>
          </cell>
        </row>
        <row r="21369">
          <cell r="B21369" t="str">
            <v>M51180890000100</v>
          </cell>
          <cell r="C21369" t="str">
            <v>AMAGGI CAPITAL LTDA.</v>
          </cell>
          <cell r="D21369" t="str">
            <v>AMAGGI CAPITAL LTDA.</v>
          </cell>
          <cell r="E21369" t="str">
            <v>AMAGGI CAPITAL LTDA.</v>
          </cell>
        </row>
        <row r="21370">
          <cell r="B21370" t="str">
            <v>M50982746000116</v>
          </cell>
          <cell r="C21370" t="str">
            <v>ARM CAPITAL S.A.</v>
          </cell>
          <cell r="D21370" t="str">
            <v>ARM CAPITAL S.A.</v>
          </cell>
          <cell r="E21370" t="str">
            <v>ARM CAPITAL S/A</v>
          </cell>
        </row>
        <row r="21371">
          <cell r="B21371" t="str">
            <v>M50543106000100</v>
          </cell>
          <cell r="C21371" t="str">
            <v>MENESTYS GESTORA DE RECURSOS LTDA</v>
          </cell>
          <cell r="D21371" t="str">
            <v>MENESTYS GESTORA DE RECURSOS LTDA</v>
          </cell>
          <cell r="E21371" t="str">
            <v>MENESTYS GESTORA DE RECURSOS LTDA</v>
          </cell>
        </row>
        <row r="21372">
          <cell r="B21372" t="str">
            <v>M50068148000136</v>
          </cell>
          <cell r="C21372" t="str">
            <v>TRY CAPITAL LTDA.</v>
          </cell>
          <cell r="D21372" t="str">
            <v>TRY CAPITAL LTDA.</v>
          </cell>
          <cell r="E21372" t="str">
            <v>TRY CAPITAL LTDA.</v>
          </cell>
        </row>
        <row r="21373">
          <cell r="B21373" t="str">
            <v>M49857981000187</v>
          </cell>
          <cell r="C21373" t="str">
            <v>MONTE BRAVO GESTAO PATRIMONIAL LTDA</v>
          </cell>
          <cell r="D21373" t="str">
            <v>MONTE BRAVO GESTAO PATRIMONIAL LTDA</v>
          </cell>
          <cell r="E21373" t="str">
            <v>MONTE BRAVO GESTAO PATRIMONIAL LTDA</v>
          </cell>
        </row>
        <row r="21374">
          <cell r="B21374" t="str">
            <v>M49708657000105</v>
          </cell>
          <cell r="C21374" t="str">
            <v>IWÃ GESTÃƒO DE RECURSOS LTDA.</v>
          </cell>
          <cell r="D21374" t="str">
            <v>IWÃ GESTÃƒO DE RECURSOS LTDA.</v>
          </cell>
          <cell r="E21374" t="str">
            <v>IWÃ GESTÃƒO DE RECURSOS LTDA.</v>
          </cell>
        </row>
        <row r="21375">
          <cell r="B21375" t="str">
            <v>M49497776000158</v>
          </cell>
          <cell r="C21375" t="str">
            <v>FOURCE GESTÃƒO DE RECURSOS LTDA.</v>
          </cell>
          <cell r="D21375" t="str">
            <v>FOURCE GESTÃƒO DE RECURSOS LTDA.</v>
          </cell>
          <cell r="E21375" t="str">
            <v>FOURCE GESTÃƒO DE RECURSOS LTDA.</v>
          </cell>
        </row>
        <row r="21376">
          <cell r="B21376" t="str">
            <v>M49494976000157</v>
          </cell>
          <cell r="C21376" t="str">
            <v>HUMA CAPITAL LTDA.</v>
          </cell>
          <cell r="D21376" t="str">
            <v>HUMA CAPITAL LTDA.</v>
          </cell>
          <cell r="E21376" t="str">
            <v>HUMA CAPITAL LTDA.</v>
          </cell>
        </row>
        <row r="21377">
          <cell r="B21377" t="str">
            <v>M49347835000101</v>
          </cell>
          <cell r="C21377" t="str">
            <v>MAUD CAPITAL GESTORA DE ATIVOS LTDA.</v>
          </cell>
          <cell r="D21377" t="str">
            <v>MAUD CAPITAL GESTORA DE ATIVOS LTDA.</v>
          </cell>
          <cell r="E21377" t="str">
            <v>MAUD CAPITAL GESTORA DE ATIVOS LTDA.</v>
          </cell>
        </row>
        <row r="21378">
          <cell r="B21378" t="str">
            <v>M49182781000171</v>
          </cell>
          <cell r="C21378" t="str">
            <v>SCORE CAPITAL GESTÃƒO DE RECURSOS LTDA</v>
          </cell>
          <cell r="D21378" t="str">
            <v>SCORE CAPITAL GESTÃƒO DE RECURSOS LTDA</v>
          </cell>
          <cell r="E21378" t="str">
            <v>SCORE CAPITAL GESTÃƒO DE RECURSOS LTDA</v>
          </cell>
        </row>
        <row r="21379">
          <cell r="B21379" t="str">
            <v>M48957769000129</v>
          </cell>
          <cell r="C21379" t="str">
            <v>SLAT GESTORA DE RECURSOS E CONSULTORIA LTDA.</v>
          </cell>
          <cell r="D21379" t="str">
            <v>SLAT GESTORA DE RECURSOS E CONSULTORIA LTDA.</v>
          </cell>
          <cell r="E21379" t="str">
            <v>SLAT GESTORA DE RECURSOS E CONSULTORIA LTDA.</v>
          </cell>
        </row>
        <row r="21380">
          <cell r="B21380" t="str">
            <v>M48954141000170</v>
          </cell>
          <cell r="C21380" t="str">
            <v>REAG INSTITUCIONAL GESTÃƒO DE ATIVOS LTDA.</v>
          </cell>
          <cell r="D21380" t="str">
            <v>REAG INSTITUCIONAL GESTÃƒO DE ATIVOS LTDA.</v>
          </cell>
          <cell r="E21380" t="str">
            <v>REAG ASSET MANAGEMENT LTDA</v>
          </cell>
        </row>
        <row r="21381">
          <cell r="B21381" t="str">
            <v>M48914619000138</v>
          </cell>
          <cell r="C21381" t="str">
            <v>ACE OUTLIER CAPITAL LTDA.</v>
          </cell>
          <cell r="D21381" t="str">
            <v>ACE OUTLIER CAPITAL LTDA.</v>
          </cell>
          <cell r="E21381" t="str">
            <v>ACE OUTLIER CAPITAL LTDA.</v>
          </cell>
        </row>
        <row r="21382">
          <cell r="B21382" t="str">
            <v>M48880654000183</v>
          </cell>
          <cell r="C21382" t="str">
            <v>OKEAN INVEST LTDA.</v>
          </cell>
          <cell r="D21382" t="str">
            <v>OKEAN INVEST LTDA.</v>
          </cell>
          <cell r="E21382" t="str">
            <v>OKEAN INVEST LTDA.</v>
          </cell>
        </row>
        <row r="21383">
          <cell r="B21383" t="str">
            <v>M48880116000199</v>
          </cell>
          <cell r="C21383" t="str">
            <v>TRENDBANK S/A FOMENTO MERCANTIL</v>
          </cell>
          <cell r="D21383" t="str">
            <v>TRENDBANK S/A FOMENTO MERCANTIL</v>
          </cell>
          <cell r="E21383" t="str">
            <v>TRENDBANK S/A FOMENTO MERCANTIL</v>
          </cell>
        </row>
        <row r="21384">
          <cell r="B21384" t="str">
            <v>M48818002000119</v>
          </cell>
          <cell r="C21384" t="str">
            <v>FUTURUM CAPITAL GESTÃƒO DE ATIVOS LTDA</v>
          </cell>
          <cell r="D21384" t="str">
            <v>FUTURUM CAPITAL GESTÃƒO DE ATIVOS LTDA</v>
          </cell>
          <cell r="E21384" t="str">
            <v>FUTURUM CAPITAL GESTÃƒO DE ATIVOS LTDA</v>
          </cell>
        </row>
        <row r="21385">
          <cell r="B21385" t="str">
            <v>M48781504000112</v>
          </cell>
          <cell r="C21385" t="str">
            <v>CONVEST CONSULTORIA DE INVESTIMENTOS LTDA</v>
          </cell>
          <cell r="D21385" t="str">
            <v>CONVEST CONSULTORIA DE INVESTIMENTOS LTDA</v>
          </cell>
          <cell r="E21385" t="str">
            <v>CONVEST CONSULTORIA DE INVESTIMENTOS LTDA</v>
          </cell>
        </row>
        <row r="21386">
          <cell r="B21386" t="str">
            <v>M48625631000122</v>
          </cell>
          <cell r="C21386" t="str">
            <v>LEME GESTÃƒO DE RECURSOS LTDA.</v>
          </cell>
          <cell r="D21386" t="str">
            <v>LEME GESTÃƒO DE RECURSOS LTDA.</v>
          </cell>
          <cell r="E21386" t="str">
            <v>LEME GESTÃƒO DE RECURSOS LTDA.</v>
          </cell>
        </row>
        <row r="21387">
          <cell r="B21387" t="str">
            <v>M48529137000164</v>
          </cell>
          <cell r="C21387" t="str">
            <v>PROSPEX GESTÃƒO DE RECURSOS LTDA.</v>
          </cell>
          <cell r="D21387" t="str">
            <v>PROSPEX GESTÃƒO DE RECURSOS LTDA.</v>
          </cell>
          <cell r="E21387" t="str">
            <v>PROSPEX GESTÃƒO DE RECURSOS LTDA.</v>
          </cell>
        </row>
        <row r="21388">
          <cell r="B21388" t="str">
            <v>M48401513000130</v>
          </cell>
          <cell r="C21388" t="str">
            <v>AZ QUEST AGRO LTDA.</v>
          </cell>
          <cell r="D21388" t="str">
            <v>AZ QUEST AGRO LTDA.</v>
          </cell>
          <cell r="E21388" t="str">
            <v>AZ QUEST INVESTIMENTOS LTDA</v>
          </cell>
        </row>
        <row r="21389">
          <cell r="B21389" t="str">
            <v>M48352277000100</v>
          </cell>
          <cell r="C21389" t="str">
            <v>ASAROCK ASSET MANAGEMENT LTDA.</v>
          </cell>
          <cell r="D21389" t="str">
            <v>ASAROCK ASSET MANAGEMENT LTDA.</v>
          </cell>
          <cell r="E21389" t="str">
            <v>ASAROCK ASSET MANAGEMENT LTDA.</v>
          </cell>
        </row>
        <row r="21390">
          <cell r="B21390" t="str">
            <v>M48307786000110</v>
          </cell>
          <cell r="C21390" t="str">
            <v>PLANO ELETROBRAS DE CONTRIBUICAO DEFINIDA I</v>
          </cell>
          <cell r="D21390" t="str">
            <v>PLANO ELETROBRAS DE CONTRIBUICAO DEFINIDA I</v>
          </cell>
          <cell r="E21390" t="str">
            <v>PLANO ELETROBRAS DE CONTRIBUICAO DEFINIDA I</v>
          </cell>
        </row>
        <row r="21391">
          <cell r="B21391" t="str">
            <v>M48307721000175</v>
          </cell>
          <cell r="D21391" t="str">
            <v>PLANO PETROS DO SISTEMA PETROBRAS NAO REPACTUADOS</v>
          </cell>
        </row>
        <row r="21392">
          <cell r="B21392" t="str">
            <v>M48307720000120</v>
          </cell>
          <cell r="D21392" t="str">
            <v>PLANO PETROS DO SISTEMA PETROBRAS REPACTUADOS PRE</v>
          </cell>
        </row>
        <row r="21393">
          <cell r="B21393" t="str">
            <v>M48307704000138</v>
          </cell>
          <cell r="D21393" t="str">
            <v>PLANO DE APOSENTADORIA SUPLEMENTAR ITAU UNIBANCO</v>
          </cell>
        </row>
        <row r="21394">
          <cell r="B21394" t="str">
            <v>M48307652000108</v>
          </cell>
        </row>
        <row r="21395">
          <cell r="B21395" t="str">
            <v>M48307627000116</v>
          </cell>
          <cell r="C21395" t="str">
            <v>PLANO DE BENEFICIOS DO SERVIDOR PUBLICO DO ESTADO DO RIO GRANDE DO SUL</v>
          </cell>
          <cell r="D21395" t="str">
            <v>PLANO DE BENEFICIOS DO SERVIDOR PUBLICO DO ESTADO DO RIO GRANDE DO SUL</v>
          </cell>
          <cell r="E21395" t="str">
            <v>RPPS RIO GRANDE DO SUL IPERGS</v>
          </cell>
        </row>
        <row r="21396">
          <cell r="B21396" t="str">
            <v>M48307603000167</v>
          </cell>
          <cell r="D21396" t="str">
            <v>FAMILIA PREVIDENCIA CORPORATIVO</v>
          </cell>
        </row>
        <row r="21397">
          <cell r="B21397" t="str">
            <v>M48307570000155</v>
          </cell>
          <cell r="D21397" t="str">
            <v>PLANO DE BENEFICIOS DO JUDICIARIO DA UNIAO DO MINI</v>
          </cell>
        </row>
        <row r="21398">
          <cell r="B21398" t="str">
            <v>M48307559000195</v>
          </cell>
          <cell r="D21398" t="str">
            <v>PLANO DE BENEFICIOS DO PODER LEGISLATIVO FEDERAL</v>
          </cell>
        </row>
        <row r="21399">
          <cell r="B21399" t="str">
            <v>M48307555000107</v>
          </cell>
          <cell r="D21399" t="str">
            <v>PLANO EXECUTIVO FEDERAL</v>
          </cell>
        </row>
        <row r="21400">
          <cell r="B21400" t="str">
            <v>M48307494000188</v>
          </cell>
          <cell r="D21400" t="str">
            <v>FAMILIA PREVIDENCIA ASSOCIATIVO</v>
          </cell>
        </row>
        <row r="21401">
          <cell r="B21401" t="str">
            <v>M48307399000184</v>
          </cell>
          <cell r="D21401" t="str">
            <v>PLANO DE CONTRIBUICAO VARIAVEL DA CTS</v>
          </cell>
        </row>
        <row r="21402">
          <cell r="B21402" t="str">
            <v>M48307319000190</v>
          </cell>
          <cell r="D21402" t="str">
            <v>PLANO DE BENEFICIOS PREVMAIS</v>
          </cell>
          <cell r="E21402" t="str">
            <v>PLANO DE BENEFICIOS PREVMAIS</v>
          </cell>
        </row>
        <row r="21403">
          <cell r="B21403" t="str">
            <v>M48307301000199</v>
          </cell>
          <cell r="C21403" t="str">
            <v>PLANO DE CONTRIBUICAO DEFINIDA_ ELETROS</v>
          </cell>
          <cell r="D21403" t="str">
            <v>PLANO DE CONTRIBUICAO DEFINIDA</v>
          </cell>
          <cell r="E21403" t="str">
            <v>PLANO DE CONTRIBUICAO DEFINIDA_ ELETROS</v>
          </cell>
        </row>
        <row r="21404">
          <cell r="B21404" t="str">
            <v>M48307232000113</v>
          </cell>
          <cell r="D21404" t="str">
            <v>PLANO DE BENEFICIOS SENGE PREVIDENCIA</v>
          </cell>
        </row>
        <row r="21405">
          <cell r="B21405" t="str">
            <v>M48307202000107</v>
          </cell>
          <cell r="D21405" t="str">
            <v>PLANO ARLANXEO</v>
          </cell>
        </row>
        <row r="21406">
          <cell r="B21406" t="str">
            <v>M48307200000118</v>
          </cell>
          <cell r="D21406" t="str">
            <v>PLANO PETROS NITRIFLEX ARLAXEO</v>
          </cell>
        </row>
        <row r="21407">
          <cell r="B21407" t="str">
            <v>M48307192000100</v>
          </cell>
          <cell r="D21407" t="str">
            <v>PLANO CRMPREV</v>
          </cell>
        </row>
        <row r="21408">
          <cell r="B21408" t="str">
            <v>M48307145000166</v>
          </cell>
          <cell r="D21408" t="str">
            <v>PLANO SALDADO DE BENEFICIOS</v>
          </cell>
        </row>
        <row r="21409">
          <cell r="B21409" t="str">
            <v>M48307143000177</v>
          </cell>
          <cell r="D21409" t="str">
            <v>PLANO DE APOSENTADORIA DE CONTRIBUIÃ‡ÃƒO DEFINIDA</v>
          </cell>
        </row>
        <row r="21410">
          <cell r="B21410" t="str">
            <v>M48307118000193</v>
          </cell>
          <cell r="D21410" t="str">
            <v>PLANO DE PREVIDENCIA ALPAPREV</v>
          </cell>
        </row>
        <row r="21411">
          <cell r="B21411" t="str">
            <v>M48307113000160</v>
          </cell>
          <cell r="C21411" t="str">
            <v>PLANO CV ONS</v>
          </cell>
          <cell r="D21411" t="str">
            <v>PLANO CV ONS</v>
          </cell>
          <cell r="E21411" t="str">
            <v>PLANO CV ONS</v>
          </cell>
        </row>
        <row r="21412">
          <cell r="B21412" t="str">
            <v>M48307071000168</v>
          </cell>
          <cell r="D21412" t="str">
            <v>PLANO PROGRAMADO DE BENEFICIOS</v>
          </cell>
        </row>
        <row r="21413">
          <cell r="B21413" t="str">
            <v>M48307026000103</v>
          </cell>
          <cell r="D21413" t="str">
            <v>Plano de Beneficios II da Previdencia Suplementar</v>
          </cell>
        </row>
        <row r="21414">
          <cell r="B21414" t="str">
            <v>M48306979000157</v>
          </cell>
          <cell r="D21414" t="str">
            <v>PLANO II DE APOSENTADORIA</v>
          </cell>
        </row>
        <row r="21415">
          <cell r="B21415" t="str">
            <v>M48306958000131</v>
          </cell>
          <cell r="D21415" t="str">
            <v>PLANO DE PECULIO</v>
          </cell>
        </row>
        <row r="21416">
          <cell r="B21416" t="str">
            <v>M48306841000158</v>
          </cell>
          <cell r="D21416" t="str">
            <v>PREVIDENCIARIO NA</v>
          </cell>
        </row>
        <row r="21417">
          <cell r="B21417" t="str">
            <v>M48306779000102</v>
          </cell>
          <cell r="D21417" t="str">
            <v>PLANO BASICO ITAULAM</v>
          </cell>
        </row>
        <row r="21418">
          <cell r="B21418" t="str">
            <v>M48306743000110</v>
          </cell>
          <cell r="D21418" t="str">
            <v>PLANO DE BENEFICIOS FIBRA</v>
          </cell>
        </row>
        <row r="21419">
          <cell r="B21419" t="str">
            <v>M48306627000100</v>
          </cell>
          <cell r="D21419" t="str">
            <v>PLANO DE APOSENTADORIA</v>
          </cell>
        </row>
        <row r="21420">
          <cell r="B21420" t="str">
            <v>M48306603000142</v>
          </cell>
          <cell r="D21420" t="str">
            <v>PLANO I DA RGE</v>
          </cell>
        </row>
        <row r="21421">
          <cell r="B21421" t="str">
            <v>M48306601000153</v>
          </cell>
          <cell r="D21421" t="str">
            <v>PLANO UNICO DA CEEE</v>
          </cell>
          <cell r="E21421" t="str">
            <v>PLANO UNICO DA CEEE</v>
          </cell>
        </row>
        <row r="21422">
          <cell r="B21422" t="str">
            <v>M48306600000109</v>
          </cell>
          <cell r="D21422" t="str">
            <v>PLANO II DA RGE</v>
          </cell>
        </row>
        <row r="21423">
          <cell r="B21423" t="str">
            <v>M48306594000190</v>
          </cell>
          <cell r="D21423" t="str">
            <v>PLANO DE BENEFICIOS I</v>
          </cell>
        </row>
        <row r="21424">
          <cell r="B21424" t="str">
            <v>M48306579000141</v>
          </cell>
          <cell r="C21424" t="str">
            <v>PLANO COMPLEMENTAR A PREVIDENCIA SOCIAL</v>
          </cell>
          <cell r="D21424" t="str">
            <v>PLANO COMPLEMENTAR A PREVIDENCIA SOCIAL</v>
          </cell>
          <cell r="E21424" t="str">
            <v>PLANO COMPLEMENTAR A PREVIDENCIA SOCIAL</v>
          </cell>
        </row>
        <row r="21425">
          <cell r="B21425" t="str">
            <v>M48306554000148</v>
          </cell>
          <cell r="C21425" t="str">
            <v>PLANO PREVIDENCIAL A</v>
          </cell>
          <cell r="D21425" t="str">
            <v>PLANO PREVIDENCIAL A</v>
          </cell>
          <cell r="E21425" t="str">
            <v>PLANO PREVIDENCIAL A</v>
          </cell>
        </row>
        <row r="21426">
          <cell r="B21426" t="str">
            <v>M48306548000190</v>
          </cell>
          <cell r="C21426" t="str">
            <v>PLANO BD ELOS ENGIE</v>
          </cell>
          <cell r="D21426" t="str">
            <v>PLANO BD ELOS ENGIE</v>
          </cell>
          <cell r="E21426" t="str">
            <v>PLANO BD ELOS ENGIE</v>
          </cell>
        </row>
        <row r="21427">
          <cell r="B21427" t="str">
            <v>M48306546000100</v>
          </cell>
          <cell r="D21427" t="str">
            <v>PLANO ULTRAPREV DE SUPLEMENTACAO DE BENEFICIOS</v>
          </cell>
        </row>
        <row r="21428">
          <cell r="B21428" t="str">
            <v>M48171824072</v>
          </cell>
          <cell r="C21428" t="str">
            <v>RICHARD CHAGAS GERDAU JOHANNPETER</v>
          </cell>
          <cell r="D21428" t="str">
            <v>RICHARD CHAGAS GERDAU JOHANNPETER</v>
          </cell>
          <cell r="E21428" t="str">
            <v>RICHARD CHAGAS GERDAU JOHANNPETER</v>
          </cell>
        </row>
        <row r="21429">
          <cell r="B21429" t="str">
            <v>M48089509000189</v>
          </cell>
          <cell r="C21429" t="str">
            <v>EXT CAPITAL LTDA.</v>
          </cell>
          <cell r="D21429" t="str">
            <v>EXT CAPITAL LTDA.</v>
          </cell>
          <cell r="E21429" t="str">
            <v>EXT CAPITAL LTDA</v>
          </cell>
        </row>
        <row r="21430">
          <cell r="B21430" t="str">
            <v>M48068650000103</v>
          </cell>
          <cell r="C21430" t="str">
            <v>HIVENTURES GESTÃƒO DE RECURSOS LTDA.</v>
          </cell>
          <cell r="D21430" t="str">
            <v>HIVENTURES GESTÃƒO DE RECURSOS LTDA.</v>
          </cell>
          <cell r="E21430" t="str">
            <v>HIVENTURES GESTÃƒO DE RECURSOS LTDA.</v>
          </cell>
        </row>
        <row r="21431">
          <cell r="B21431" t="str">
            <v>M47982937000173</v>
          </cell>
          <cell r="C21431" t="str">
            <v>ALTINVEST GESTÃƒO E ADMINISTRAÃ‡ÃƒO DE RECURSOS DE TERCEIROS LTDA.</v>
          </cell>
          <cell r="D21431" t="str">
            <v>ALTINVEST GESTÃƒO E ADMINISTRAÃ‡ÃƒO DE RECURSOS DE TERCEIROS LTDA.</v>
          </cell>
          <cell r="E21431" t="str">
            <v>ALTINVEST GESTÃƒO E ADMINISTRAÃ‡ÃƒO DE RECURSOS DE TERCEIROS LTDA.</v>
          </cell>
        </row>
        <row r="21432">
          <cell r="B21432" t="str">
            <v>M47969382000120</v>
          </cell>
          <cell r="C21432" t="str">
            <v>FIRST WHO CAPITAL ASSET MANAGEMENT LTDA.</v>
          </cell>
          <cell r="D21432" t="str">
            <v>FIRST WHO CAPITAL ASSET MANAGEMENT LTDA.</v>
          </cell>
          <cell r="E21432" t="str">
            <v>FIRST WHO CAPITAL ASSET MANAGEMENT LTDA.</v>
          </cell>
        </row>
        <row r="21433">
          <cell r="B21433" t="str">
            <v>M47949396000181</v>
          </cell>
          <cell r="C21433" t="str">
            <v>ETRNTY CAPITAL GESTORA DE RECURSOS LTDA</v>
          </cell>
          <cell r="D21433" t="str">
            <v>ETRNTY CAPITAL GESTORA DE RECURSOS LTDA</v>
          </cell>
          <cell r="E21433" t="str">
            <v>ETRNTY CAPITAL GESTORA DE RECURSOS LTDA</v>
          </cell>
        </row>
        <row r="21434">
          <cell r="B21434" t="str">
            <v>M47918635000136</v>
          </cell>
          <cell r="C21434" t="str">
            <v>LAZULI PARTNERS ASSET MANAGEMENT LTDA.</v>
          </cell>
          <cell r="D21434" t="str">
            <v>LAZULI PARTNERS ASSET MANAGEMENT LTDA.</v>
          </cell>
          <cell r="E21434" t="str">
            <v>LAZULI PARTNERS ASSET MANAGEMENT LTDA.</v>
          </cell>
        </row>
        <row r="21435">
          <cell r="B21435" t="str">
            <v>M47917164000141</v>
          </cell>
          <cell r="C21435" t="str">
            <v>MACAM ASSET MANAGEMENT LTDA.</v>
          </cell>
          <cell r="D21435" t="str">
            <v>MACAM ASSET MANAGEMENT LTDA.</v>
          </cell>
          <cell r="E21435" t="str">
            <v>MACAM ASSET MANAGEMENT LTDA.</v>
          </cell>
        </row>
        <row r="21436">
          <cell r="B21436" t="str">
            <v>M47766912000132</v>
          </cell>
          <cell r="C21436" t="str">
            <v>BRM ASSET GESTÃƒO DE RECURSOS LTDA</v>
          </cell>
          <cell r="D21436" t="str">
            <v>BRM ASSET GESTÃƒO DE RECURSOS LTDA</v>
          </cell>
          <cell r="E21436" t="str">
            <v>BRM ASSET GESTÃO DE RECURSOS LTDA</v>
          </cell>
        </row>
        <row r="21437">
          <cell r="B21437" t="str">
            <v>M47631666000101</v>
          </cell>
          <cell r="C21437" t="str">
            <v>MOAT CAPITAL INVESTIMENTOS GESTORA DE RECURSOS LTDA.</v>
          </cell>
          <cell r="D21437" t="str">
            <v>MOAT CAPITAL INVESTIMENTOS GESTORA DE RECURSOS LTDA.</v>
          </cell>
          <cell r="E21437" t="str">
            <v>MOAT CAPITAL INVESTIMENTOS GESTORA DE RECURSOS LTDA.</v>
          </cell>
        </row>
        <row r="21438">
          <cell r="B21438" t="str">
            <v>M47501069840</v>
          </cell>
          <cell r="C21438" t="str">
            <v>THAIS OLIVEIRA ALMEIDA</v>
          </cell>
          <cell r="D21438" t="str">
            <v>THAIS OLIVEIRA ALMEIDA</v>
          </cell>
          <cell r="E21438" t="str">
            <v>THAIS OLIVEIRA ALMEIDA</v>
          </cell>
        </row>
        <row r="21439">
          <cell r="B21439" t="str">
            <v>M47377964000117</v>
          </cell>
          <cell r="C21439" t="str">
            <v>SIMON CAPITAL GESTÃƒO DE RECURSOS LTDA.</v>
          </cell>
          <cell r="D21439" t="str">
            <v>SIMON CAPITAL GESTÃƒO DE RECURSOS LTDA.</v>
          </cell>
          <cell r="E21439" t="str">
            <v>SIMON CAPITAL GESTÃƒO DE RECURSOS LTDA.</v>
          </cell>
        </row>
        <row r="21440">
          <cell r="B21440" t="str">
            <v>M47352283000102</v>
          </cell>
          <cell r="C21440" t="str">
            <v>VBI CAPITAL LTDA.</v>
          </cell>
          <cell r="D21440" t="str">
            <v>VBI CAPITAL LTDA.</v>
          </cell>
          <cell r="E21440" t="str">
            <v>VBI CAPITAL LTDA.</v>
          </cell>
        </row>
        <row r="21441">
          <cell r="B21441" t="str">
            <v>M47326127000169</v>
          </cell>
          <cell r="C21441" t="str">
            <v>FIGTREE CAPITAL ADMINISTRAÃ‡ÃƒO DE RECURSOS LTDA.</v>
          </cell>
          <cell r="D21441" t="str">
            <v>FIGTREE CAPITAL ADMINISTRAÃ‡ÃƒO DE RECURSOS LTDA.</v>
          </cell>
          <cell r="E21441" t="str">
            <v>FIGTREE CAPITAL ADMINISTRAÃ‡ÃƒO DE RECURSOS LTDA.</v>
          </cell>
        </row>
        <row r="21442">
          <cell r="B21442" t="str">
            <v>M47046216000151</v>
          </cell>
          <cell r="C21442" t="str">
            <v>W CAPITAL PARTNERS GESTORA DE RECURSOS LTDA.</v>
          </cell>
          <cell r="D21442" t="str">
            <v>W CAPITAL PARTNERS GESTORA DE RECURSOS LTDA.</v>
          </cell>
          <cell r="E21442" t="str">
            <v>W CAPITAL PARTNERS GESTORA DE RECURSOS LTDA.</v>
          </cell>
        </row>
        <row r="21443">
          <cell r="B21443" t="str">
            <v>M46974410000134</v>
          </cell>
          <cell r="C21443" t="str">
            <v>CPV CAPITAL GESTÃƒO DE RECURSOS LTDA.</v>
          </cell>
          <cell r="D21443" t="str">
            <v>CPV CAPITAL GESTÃƒO DE RECURSOS LTDA.</v>
          </cell>
          <cell r="E21443" t="str">
            <v>CPV CAPITAL GESTÃƒO DE RECURSOS LTDA.</v>
          </cell>
        </row>
        <row r="21444">
          <cell r="B21444" t="str">
            <v>M46938918000187</v>
          </cell>
          <cell r="C21444" t="str">
            <v>VINCI VIDA E PREVIDÃŠNCIA S.A.</v>
          </cell>
          <cell r="D21444" t="str">
            <v>VINCI VIDA E PREVIDÃŠNCIA S.A.</v>
          </cell>
          <cell r="E21444" t="str">
            <v>VINCI GESTORA DE RECURSOS LTDA</v>
          </cell>
        </row>
        <row r="21445">
          <cell r="B21445" t="str">
            <v>M46887901000148</v>
          </cell>
          <cell r="C21445" t="str">
            <v>ESTRUTURA ASSET MANAGEMENT S.A</v>
          </cell>
          <cell r="D21445" t="str">
            <v>ESTRUTURA ASSET MANAGEMENT S.A</v>
          </cell>
          <cell r="E21445" t="str">
            <v>ESTRUTURA ASSET MANAGEMENT S.A</v>
          </cell>
        </row>
        <row r="21446">
          <cell r="B21446" t="str">
            <v>M46791648000124</v>
          </cell>
          <cell r="C21446" t="str">
            <v>CENTRAL CAPITAL GESTAO DE RECURSOS S.A.</v>
          </cell>
          <cell r="D21446" t="str">
            <v>CENTRAL CAPITAL GESTAO DE RECURSOS S.A.</v>
          </cell>
          <cell r="E21446" t="str">
            <v>CENTRAL CAPITAL GESTAO DE RECURSOS S.A.</v>
          </cell>
        </row>
        <row r="21447">
          <cell r="B21447" t="str">
            <v>M46676165000189</v>
          </cell>
          <cell r="C21447" t="str">
            <v>PRISMA CAPITAL MARKETS LTDA.</v>
          </cell>
          <cell r="D21447" t="str">
            <v>PRISMA CAPITAL MARKETS LTDA.</v>
          </cell>
          <cell r="E21447" t="str">
            <v>PRISMA CAPITAL MARKETS LTDA.</v>
          </cell>
        </row>
        <row r="21448">
          <cell r="B21448" t="str">
            <v>M46649800000139</v>
          </cell>
          <cell r="C21448" t="str">
            <v>DESBRAVA CAPITAL LTDA</v>
          </cell>
          <cell r="D21448" t="str">
            <v>DESBRAVA CAPITAL LTDA</v>
          </cell>
          <cell r="E21448" t="str">
            <v>DESBRAVA CAPITAL LTDA</v>
          </cell>
        </row>
        <row r="21449">
          <cell r="B21449" t="str">
            <v>M46642564000129</v>
          </cell>
          <cell r="C21449" t="str">
            <v>ÃRTEMIS GESTÃƒO DE RECURSOS LTDA.</v>
          </cell>
          <cell r="D21449" t="str">
            <v>ÃRTEMIS GESTÃƒO DE RECURSOS LTDA.</v>
          </cell>
          <cell r="E21449" t="str">
            <v>ÃRTEMIS GESTÃƒO DE RECURSOS LTDA.</v>
          </cell>
        </row>
        <row r="21450">
          <cell r="B21450" t="str">
            <v>M46558198000124</v>
          </cell>
          <cell r="C21450" t="str">
            <v>EQUUS CAPITAL GESTORA DE RECURSOS LTDA</v>
          </cell>
          <cell r="D21450" t="str">
            <v>EQUUS CAPITAL GESTORA DE RECURSOS LTDA</v>
          </cell>
          <cell r="E21450" t="str">
            <v>EQUUS CAPITAL GESTORA DE RECURSOS LTDA</v>
          </cell>
        </row>
        <row r="21451">
          <cell r="B21451" t="str">
            <v>M46382187000136</v>
          </cell>
          <cell r="C21451" t="str">
            <v>LCP GESTORA DE RECURSOS LTDA</v>
          </cell>
          <cell r="D21451" t="str">
            <v>LCP GESTORA DE RECURSOS LTDA</v>
          </cell>
          <cell r="E21451" t="str">
            <v>LCP GESTORA DE RECURSOS LTDA</v>
          </cell>
        </row>
        <row r="21452">
          <cell r="B21452" t="str">
            <v>M46364480000170</v>
          </cell>
          <cell r="C21452" t="str">
            <v>MURALHA CAPITAL ASSET MANAGEMENT LTDA</v>
          </cell>
          <cell r="D21452" t="str">
            <v>MURALHA CAPITAL ASSET MANAGEMENT LTDA</v>
          </cell>
          <cell r="E21452" t="str">
            <v>MURALHA CAPITAL ASSET MANAGEMENT LTDA</v>
          </cell>
        </row>
        <row r="21453">
          <cell r="B21453" t="str">
            <v>M46356742000155</v>
          </cell>
          <cell r="C21453" t="str">
            <v>REAG JUS GESTÃƒO DE ATIVOS JUDICIAIS LTDA.</v>
          </cell>
          <cell r="D21453" t="str">
            <v>REAG JUS GESTÃƒO DE ATIVOS JUDICIAIS LTDA.</v>
          </cell>
          <cell r="E21453" t="str">
            <v>REAG ASSET MANAGEMENT LTDA</v>
          </cell>
        </row>
        <row r="21454">
          <cell r="B21454" t="str">
            <v>M46350241000161</v>
          </cell>
          <cell r="C21454" t="str">
            <v>JUGIS CAPITAL GESTÃƒO DE RECURSOS LTDA.</v>
          </cell>
          <cell r="D21454" t="str">
            <v>JUGIS CAPITAL GESTÃƒO DE RECURSOS LTDA.</v>
          </cell>
          <cell r="E21454" t="str">
            <v>JUGIS CAPITAL GESTÃƒO DE RECURSOS LTDA.</v>
          </cell>
        </row>
        <row r="21455">
          <cell r="B21455" t="str">
            <v>M46208664000141</v>
          </cell>
          <cell r="C21455" t="str">
            <v>HYPERION ASSET MANAGEMENT LTDA.</v>
          </cell>
          <cell r="D21455" t="str">
            <v>HYPERION ASSET MANAGEMENT LTDA.</v>
          </cell>
          <cell r="E21455" t="str">
            <v>HYPERION ASSET MANAGEMENT LTDA.</v>
          </cell>
        </row>
        <row r="21456">
          <cell r="B21456" t="str">
            <v>M45999585000133</v>
          </cell>
          <cell r="C21456" t="str">
            <v>TB CAPITAL GESTÃƒO DE RECURSOS LTDA.</v>
          </cell>
          <cell r="D21456" t="str">
            <v>TB CAPITAL GESTÃƒO DE RECURSOS LTDA.</v>
          </cell>
          <cell r="E21456" t="str">
            <v>TB CAPITAL GESTÃƒO DE RECURSOS LTDA.</v>
          </cell>
        </row>
        <row r="21457">
          <cell r="B21457" t="str">
            <v>M45981761000100</v>
          </cell>
          <cell r="C21457" t="str">
            <v>ADA CAPITAL GESTÃƒO DE RECURSOS LTDA.</v>
          </cell>
          <cell r="D21457" t="str">
            <v>ADA CAPITAL GESTÃƒO DE RECURSOS LTDA.</v>
          </cell>
          <cell r="E21457" t="str">
            <v>ADA CAPITAL GESTÃƒO DE RECURSOS LTDA.</v>
          </cell>
        </row>
        <row r="21458">
          <cell r="B21458" t="str">
            <v>M45954172000132</v>
          </cell>
          <cell r="C21458" t="str">
            <v>HOSSEGOR GESTÃƒO DE RECURSOS LTDA.</v>
          </cell>
          <cell r="D21458" t="str">
            <v>HOSSEGOR GESTÃƒO DE RECURSOS LTDA.</v>
          </cell>
          <cell r="E21458" t="str">
            <v>HOSSEGOR GESTÃƒO DE RECURSOS LTDA.</v>
          </cell>
        </row>
        <row r="21459">
          <cell r="B21459" t="str">
            <v>M45776352000171</v>
          </cell>
          <cell r="C21459" t="str">
            <v>VERTENTE CAPITAL GESTORA DE RECURSOS LTDA</v>
          </cell>
          <cell r="D21459" t="str">
            <v>VERTENTE CAPITAL GESTORA DE RECURSOS LTDA</v>
          </cell>
          <cell r="E21459" t="str">
            <v>VERTENTE CAPITAL GESTORA DE RECURSOS LTDA</v>
          </cell>
        </row>
        <row r="21460">
          <cell r="B21460" t="str">
            <v>M45768582000199</v>
          </cell>
          <cell r="C21460" t="str">
            <v>PHI GLOBAL GESTAO DE RECURSOS LTDA.</v>
          </cell>
          <cell r="D21460" t="str">
            <v>PHI GLOBAL GESTAO DE RECURSOS LTDA.</v>
          </cell>
          <cell r="E21460" t="str">
            <v>PHI GLOBAL GESTAO DE RECURSOS LTDA.</v>
          </cell>
        </row>
        <row r="21461">
          <cell r="B21461" t="str">
            <v>M45653567000103</v>
          </cell>
          <cell r="C21461" t="str">
            <v>L4 VENTURE BUILDER GESTÃƒO DE CAPITAL LTDA.</v>
          </cell>
          <cell r="D21461" t="str">
            <v>L4 VENTURE BUILDER GESTÃƒO DE CAPITAL LTDA.</v>
          </cell>
          <cell r="E21461" t="str">
            <v>L4 VENTURE BUILDER GESTÃƒO DE CAPITAL LTDA.</v>
          </cell>
        </row>
        <row r="21462">
          <cell r="B21462" t="str">
            <v>M45537532000109</v>
          </cell>
          <cell r="C21462" t="str">
            <v>H2 ASSET MANAGEMENT LTDA</v>
          </cell>
          <cell r="D21462" t="str">
            <v>H2 ASSET MANAGEMENT LTDA</v>
          </cell>
          <cell r="E21462" t="str">
            <v>H2 ASSET MANAGEMENT LTDA</v>
          </cell>
        </row>
        <row r="21463">
          <cell r="B21463" t="str">
            <v>M45457891000148</v>
          </cell>
          <cell r="D21463" t="str">
            <v>LEV DISTRIBUIDORA DE TITULOS E VALORES MOBILIARIOS LTDA.</v>
          </cell>
          <cell r="E21463" t="str">
            <v>LEV DISTRIBUIDORA DE TITULOS E VALORES MOBILIARIOS LTDA</v>
          </cell>
        </row>
        <row r="21464">
          <cell r="B21464" t="str">
            <v>M45437983000166</v>
          </cell>
          <cell r="C21464" t="str">
            <v>ATIVA ASSET LTDA</v>
          </cell>
          <cell r="D21464" t="str">
            <v>ATIVA ASSET LTDA</v>
          </cell>
          <cell r="E21464" t="str">
            <v>ATIVA ASSET LTDA</v>
          </cell>
        </row>
        <row r="21465">
          <cell r="B21465" t="str">
            <v>M45201272000198</v>
          </cell>
          <cell r="C21465" t="str">
            <v>AMERICA P.E. ADMINISTRAÃ‡ÃƒO DE RECURSOS LTDA</v>
          </cell>
          <cell r="D21465" t="str">
            <v>AMERICA P.E. ADMINISTRAÃ‡ÃƒO DE RECURSOS LTDA</v>
          </cell>
          <cell r="E21465" t="str">
            <v>AMERICA P.E. ADMINISTRAÃ‡ÃƒO DE RECURSOS LTDA</v>
          </cell>
        </row>
        <row r="21466">
          <cell r="B21466" t="str">
            <v>M45108944000115</v>
          </cell>
          <cell r="C21466" t="str">
            <v>CATALUNYA GESTÃƒO DE RECURSOS LTDA.</v>
          </cell>
          <cell r="D21466" t="str">
            <v>CATALUNYA GESTÃƒO DE RECURSOS LTDA.</v>
          </cell>
          <cell r="E21466" t="str">
            <v>CATALUNYA GESTÃƒO DE RECURSOS LTDA.</v>
          </cell>
        </row>
        <row r="21467">
          <cell r="B21467" t="str">
            <v>M45083984000150</v>
          </cell>
          <cell r="C21467" t="str">
            <v>URBANO ADMINISTRAÃ‡ÃƒO DE RECURSOS LTDA.</v>
          </cell>
          <cell r="D21467" t="str">
            <v>URBANO ADMINISTRAÃ‡ÃƒO DE RECURSOS LTDA.</v>
          </cell>
          <cell r="E21467" t="str">
            <v>URBANO ADMINISTRAÃ‡ÃƒO DE RECURSOS LTDA.</v>
          </cell>
        </row>
        <row r="21468">
          <cell r="B21468" t="str">
            <v>M45036300000169</v>
          </cell>
          <cell r="C21468" t="str">
            <v>HIGH ASSET MANAGEMENT LTDA</v>
          </cell>
          <cell r="D21468" t="str">
            <v>HIGH ASSET MANAGEMENT LTDA</v>
          </cell>
          <cell r="E21468" t="str">
            <v>HIGH ASSET MANAGEMENT LTDA</v>
          </cell>
        </row>
        <row r="21469">
          <cell r="B21469" t="str">
            <v>M44909155000110</v>
          </cell>
          <cell r="C21469" t="str">
            <v>COINEXT GESTÃƒO DE RECURSOS LTDA.</v>
          </cell>
          <cell r="D21469" t="str">
            <v>COINEXT GESTÃƒO DE RECURSOS LTDA.</v>
          </cell>
          <cell r="E21469" t="str">
            <v>COINEXT GESTÃƒO DE RECURSOS LTDA.</v>
          </cell>
        </row>
        <row r="21470">
          <cell r="B21470" t="str">
            <v>M44874562000130</v>
          </cell>
          <cell r="C21470" t="str">
            <v>ARMADA GESTÃƒO DE RECURSOS LTDA</v>
          </cell>
          <cell r="D21470" t="str">
            <v>ARMADA GESTÃƒO DE RECURSOS LTDA</v>
          </cell>
          <cell r="E21470" t="str">
            <v>ARMADA GESTÃƒO DE RECURSOS LTDA</v>
          </cell>
        </row>
        <row r="21471">
          <cell r="B21471" t="str">
            <v>M44870662000198</v>
          </cell>
          <cell r="C21471" t="str">
            <v>KANASTRA ADMINISTRAÃ‡ÃƒO DE RECURSOS LTDA</v>
          </cell>
          <cell r="D21471" t="str">
            <v>KANASTRA ADMINISTRAÃ‡ÃƒO DE RECURSOS LTDA</v>
          </cell>
          <cell r="E21471" t="str">
            <v>KANASTRA ADMINISTRAÃ‡ÃƒO DE RECURSOS LTDA</v>
          </cell>
        </row>
        <row r="21472">
          <cell r="B21472" t="str">
            <v>M44858582000117</v>
          </cell>
          <cell r="C21472" t="str">
            <v>NEULER CAPITAL GESTÃƒO DE RECURSOS LTDA</v>
          </cell>
          <cell r="D21472" t="str">
            <v>NEULER CAPITAL GESTÃƒO DE RECURSOS LTDA</v>
          </cell>
          <cell r="E21472" t="str">
            <v>NEULER CAPITAL GESTÃƒO DE RECURSOS LTDA</v>
          </cell>
        </row>
        <row r="21473">
          <cell r="B21473" t="str">
            <v>M44848824000191</v>
          </cell>
          <cell r="C21473" t="str">
            <v>VESTED CAPITAL LTDA.</v>
          </cell>
          <cell r="D21473" t="str">
            <v>VESTED CAPITAL LTDA.</v>
          </cell>
          <cell r="E21473" t="str">
            <v>VESTED CAPITAL LTDA.</v>
          </cell>
        </row>
        <row r="21474">
          <cell r="B21474" t="str">
            <v>M44797193000129</v>
          </cell>
          <cell r="C21474" t="str">
            <v>B2V CRYPTO GESTORA DE RECURSOS LTDA.</v>
          </cell>
          <cell r="D21474" t="str">
            <v>B2V CRYPTO GESTORA DE RECURSOS LTDA.</v>
          </cell>
          <cell r="E21474" t="str">
            <v>B2V CRYPTO GESTORA DE RECURSOS LTDA.</v>
          </cell>
        </row>
        <row r="21475">
          <cell r="B21475" t="str">
            <v>M44696473000140</v>
          </cell>
          <cell r="C21475" t="str">
            <v>BURITI INVESTIMENTOS GESTORA DE RECURSOS LTDA</v>
          </cell>
          <cell r="D21475" t="str">
            <v>BURITI INVESTIMENTOS GESTORA DE RECURSOS LTDA</v>
          </cell>
          <cell r="E21475" t="str">
            <v>BURITI INVESTIMENTOS GESTORA DE RECURSOS LTDA</v>
          </cell>
        </row>
        <row r="21476">
          <cell r="B21476" t="str">
            <v>M44615804000170</v>
          </cell>
          <cell r="C21476" t="str">
            <v>GESTORA DE RECURSOS ID - GRID LTDA</v>
          </cell>
          <cell r="D21476" t="str">
            <v>GESTORA DE RECURSOS ID - GRID LTDA</v>
          </cell>
          <cell r="E21476" t="str">
            <v>GESTORA DE RECURSOS ID - GRID LTDA</v>
          </cell>
        </row>
        <row r="21477">
          <cell r="B21477" t="str">
            <v>M44476932000180</v>
          </cell>
          <cell r="C21477" t="str">
            <v>SVN GESTORA DE RECURSOS LTDA</v>
          </cell>
          <cell r="D21477" t="str">
            <v>SVN GESTORA DE RECURSOS LTDA</v>
          </cell>
          <cell r="E21477" t="str">
            <v>SVN GESTORA DE RECURSOS LTDA</v>
          </cell>
        </row>
        <row r="21478">
          <cell r="B21478" t="str">
            <v>M44450075000140</v>
          </cell>
          <cell r="C21478" t="str">
            <v>ASQ ASSET MANAGEMENT LTDA.</v>
          </cell>
          <cell r="D21478" t="str">
            <v>ASQ ASSET MANAGEMENT LTDA.</v>
          </cell>
          <cell r="E21478" t="str">
            <v>ASQ ASSET MANAGEMENT LTDA.</v>
          </cell>
        </row>
        <row r="21479">
          <cell r="B21479" t="str">
            <v>M44409242000109</v>
          </cell>
          <cell r="C21479" t="str">
            <v>NEVES ASSET MANAGEMENT LTDA.</v>
          </cell>
          <cell r="D21479" t="str">
            <v>NEVES ASSET MANAGEMENT LTDA.</v>
          </cell>
          <cell r="E21479" t="str">
            <v>NEVES ASSET MANAGEMENT LTDA.</v>
          </cell>
        </row>
        <row r="21480">
          <cell r="B21480" t="str">
            <v>M44391239000105</v>
          </cell>
          <cell r="C21480" t="str">
            <v>LAV CAPITAL GESTÃƒO DE RECURSOS LTDA.</v>
          </cell>
          <cell r="D21480" t="str">
            <v>LAV CAPITAL GESTÃƒO DE RECURSOS LTDA.</v>
          </cell>
          <cell r="E21480" t="str">
            <v>LAV CAPITAL GESTÃƒO DE RECURSOS LTDA.</v>
          </cell>
        </row>
        <row r="21481">
          <cell r="B21481" t="str">
            <v>M44259453000102</v>
          </cell>
          <cell r="C21481" t="str">
            <v>MAKENA GESTORA DE RECURSOS LTDA.</v>
          </cell>
          <cell r="D21481" t="str">
            <v>MAKENA GESTORA DE RECURSOS LTDA.</v>
          </cell>
          <cell r="E21481" t="str">
            <v>MAKENA GESTORA DE RECURSOS LTDA.</v>
          </cell>
        </row>
        <row r="21482">
          <cell r="B21482" t="str">
            <v>M44206305000120</v>
          </cell>
          <cell r="C21482" t="str">
            <v>AHEAD VENTURES GESTAO DE RECURSOS E CONSULTORIA LTDA.</v>
          </cell>
          <cell r="D21482" t="str">
            <v>AHEAD VENTURES GESTAO DE RECURSOS E CONSULTORIA LTDA.</v>
          </cell>
          <cell r="E21482" t="str">
            <v>AHEAD VENTURES GESTAO DE RECURSOS E CONSULTORIA LTDA.</v>
          </cell>
        </row>
        <row r="21483">
          <cell r="B21483" t="str">
            <v>M44197667949</v>
          </cell>
          <cell r="C21483" t="str">
            <v>JOÃƒO DÃ‰CIO BUFFARA LOBO</v>
          </cell>
          <cell r="D21483" t="str">
            <v>JOÃƒO DÃ‰CIO BUFFARA LOBO</v>
          </cell>
          <cell r="E21483" t="str">
            <v>JOÃƒO DÃ‰CIO BUFFARA LOBO</v>
          </cell>
        </row>
        <row r="21484">
          <cell r="B21484" t="str">
            <v>M44079192000149</v>
          </cell>
          <cell r="C21484" t="str">
            <v>SANTA FE INVESTIMENTOS LTDA</v>
          </cell>
          <cell r="D21484" t="str">
            <v>SANTA FE INVESTIMENTOS LTDA</v>
          </cell>
          <cell r="E21484" t="str">
            <v>SANTA FE INVESTIMENTOS LTDA</v>
          </cell>
        </row>
        <row r="21485">
          <cell r="B21485" t="str">
            <v>M44077014000189</v>
          </cell>
          <cell r="C21485" t="str">
            <v>BR-CAPITAL DTVM S.A.</v>
          </cell>
          <cell r="D21485" t="str">
            <v>BR-CAPITAL DTVM S.A.</v>
          </cell>
          <cell r="E21485" t="str">
            <v>BR-CAPITAL DTVM S.A.</v>
          </cell>
        </row>
        <row r="21486">
          <cell r="B21486" t="str">
            <v>M44062415000165</v>
          </cell>
          <cell r="C21486" t="str">
            <v>KYMAS GESTÃƒO DE RECURSOS LTDA</v>
          </cell>
          <cell r="D21486" t="str">
            <v>KYMAS GESTÃƒO DE RECURSOS LTDA</v>
          </cell>
          <cell r="E21486" t="str">
            <v>KYMAS GESTÃƒO DE RECURSOS LTDA</v>
          </cell>
        </row>
        <row r="21487">
          <cell r="B21487" t="str">
            <v>M44011526000142</v>
          </cell>
          <cell r="C21487" t="str">
            <v>SPECTRA INVESTIMENTOS LTDA</v>
          </cell>
          <cell r="D21487" t="str">
            <v>SPECTRA INVESTIMENTOS LTDA</v>
          </cell>
          <cell r="E21487" t="str">
            <v>SPECTRA INVESTIMENTOS LTDA</v>
          </cell>
        </row>
        <row r="21488">
          <cell r="B21488" t="str">
            <v>M43946902000128</v>
          </cell>
          <cell r="C21488" t="str">
            <v>AF INVEST REAL ESTATE ADMINISTRAÃ‡ÃƒO DE RECURSOS LTDA</v>
          </cell>
          <cell r="D21488" t="str">
            <v>AF INVEST REAL ESTATE ADMINISTRAÃ‡ÃƒO DE RECURSOS LTDA</v>
          </cell>
          <cell r="E21488" t="str">
            <v>AF INVEST ADMINISTRAÇÃO DE RECURSOS LTDA</v>
          </cell>
        </row>
        <row r="21489">
          <cell r="B21489" t="str">
            <v>M43942232000171</v>
          </cell>
          <cell r="C21489" t="str">
            <v>VALORAMA ASSET MANAGEMENT LTDA.</v>
          </cell>
          <cell r="D21489" t="str">
            <v>VALORAMA ASSET MANAGEMENT LTDA.</v>
          </cell>
          <cell r="E21489" t="str">
            <v>VALORAMA ASSET MANAGEMENT LTDA.</v>
          </cell>
        </row>
        <row r="21490">
          <cell r="B21490" t="str">
            <v>M43802212000103</v>
          </cell>
          <cell r="C21490" t="str">
            <v>NEWAVE GESTÃƒO DE RECURSOS LTDA.</v>
          </cell>
          <cell r="D21490" t="str">
            <v>NEWAVE GESTÃƒO DE RECURSOS LTDA.</v>
          </cell>
          <cell r="E21490" t="str">
            <v>NEWAVE GESTÃO DE RECURSOS LTDA</v>
          </cell>
        </row>
        <row r="21491">
          <cell r="B21491" t="str">
            <v>M43758513000179</v>
          </cell>
          <cell r="C21491" t="str">
            <v>NEX GESTÃƒO DE RECURSOS LTDA.</v>
          </cell>
          <cell r="D21491" t="str">
            <v>NEX GESTÃƒO DE RECURSOS LTDA.</v>
          </cell>
          <cell r="E21491" t="str">
            <v>NEX GESTÃƒO DE RECURSOS LTDA.</v>
          </cell>
        </row>
        <row r="21492">
          <cell r="B21492" t="str">
            <v>M43757787000143</v>
          </cell>
          <cell r="C21492" t="str">
            <v>REAG GESTÃƒO DE FUNDOS IMOBILIÃRIOS LTDA.</v>
          </cell>
          <cell r="D21492" t="str">
            <v>REAG GESTÃƒO DE FUNDOS IMOBILIÃRIOS LTDA.</v>
          </cell>
          <cell r="E21492" t="str">
            <v>REAG GESTÃƒO DE FUNDOS IMOBILIÃRIOS LTDA.</v>
          </cell>
        </row>
        <row r="21493">
          <cell r="B21493" t="str">
            <v>M43739164000148</v>
          </cell>
          <cell r="C21493" t="str">
            <v>GRÃƒO GESTÃƒO DE RECURSOS LTDA.</v>
          </cell>
          <cell r="D21493" t="str">
            <v>GRÃƒO GESTÃƒO DE RECURSOS LTDA.</v>
          </cell>
          <cell r="E21493" t="str">
            <v>GRÃƒO GESTÃƒO DE RECURSOS LTDA.</v>
          </cell>
        </row>
        <row r="21494">
          <cell r="B21494" t="str">
            <v>M43705850000106</v>
          </cell>
          <cell r="C21494" t="str">
            <v>MAV CAPITAL GESTORA DE RECURSOS SS LTDA.</v>
          </cell>
          <cell r="D21494" t="str">
            <v>MAV CAPITAL GESTORA DE RECURSOS SS LTDA.</v>
          </cell>
          <cell r="E21494" t="str">
            <v>MAV CAPITAL GESTORA DE RECURSOS SS LTDA.</v>
          </cell>
        </row>
        <row r="21495">
          <cell r="B21495" t="str">
            <v>M43675872000162</v>
          </cell>
          <cell r="C21495" t="str">
            <v>ALAMEDA CAPITAL GESTORA DE INVESTIMENTOS LTDA.</v>
          </cell>
          <cell r="D21495" t="str">
            <v>ALAMEDA CAPITAL GESTORA DE INVESTIMENTOS LTDA.</v>
          </cell>
          <cell r="E21495" t="str">
            <v>ALAMEDA CAPITAL GESTORA DE INVESTIMENTOS LTDA.</v>
          </cell>
        </row>
        <row r="21496">
          <cell r="B21496" t="str">
            <v>M43628554000140</v>
          </cell>
          <cell r="C21496" t="str">
            <v>EKHO INVESTIMENTOS LTDA.</v>
          </cell>
          <cell r="D21496" t="str">
            <v>EKHO INVESTIMENTOS LTDA.</v>
          </cell>
          <cell r="E21496" t="str">
            <v>EKHO INVESTIMENTOS LTDA.</v>
          </cell>
        </row>
        <row r="21497">
          <cell r="B21497" t="str">
            <v>M43573693000114</v>
          </cell>
          <cell r="C21497" t="str">
            <v>VINCI ASSET ALLOCATION LTDA.</v>
          </cell>
          <cell r="D21497" t="str">
            <v>VINCI ASSET ALLOCATION LTDA.</v>
          </cell>
          <cell r="E21497" t="str">
            <v>VINCI GESTORA DE RECURSOS LTDA</v>
          </cell>
        </row>
        <row r="21498">
          <cell r="B21498" t="str">
            <v>M43434498000103</v>
          </cell>
          <cell r="C21498" t="str">
            <v>SINGULAR CAPITAL LTDA.</v>
          </cell>
          <cell r="D21498" t="str">
            <v>SINGULAR CAPITAL LTDA.</v>
          </cell>
          <cell r="E21498" t="str">
            <v>SINGULAR CAPITAL LTDA.</v>
          </cell>
        </row>
        <row r="21499">
          <cell r="B21499" t="str">
            <v>M43350729000109</v>
          </cell>
          <cell r="C21499" t="str">
            <v>R6 CAPITAL GESTAO DE INVESTIMENTOS E CONSULTORIA LTDA.</v>
          </cell>
          <cell r="D21499" t="str">
            <v>R6 CAPITAL GESTAO DE INVESTIMENTOS E CONSULTORIA LTDA.</v>
          </cell>
          <cell r="E21499" t="str">
            <v>R6 CAPITAL GESTAO DE INVESTIMENTOS E CONSULTORIA LTDA.</v>
          </cell>
        </row>
        <row r="21500">
          <cell r="B21500" t="str">
            <v>M43241818000109</v>
          </cell>
          <cell r="C21500" t="str">
            <v>PRISMA OIL&amp;GAS LTDA</v>
          </cell>
          <cell r="D21500" t="str">
            <v>PRISMA OIL&amp;GAS LTDA</v>
          </cell>
          <cell r="E21500" t="str">
            <v>PRISMA OIL&amp;GAS LTDA</v>
          </cell>
        </row>
        <row r="21501">
          <cell r="B21501" t="str">
            <v>M43237334000196</v>
          </cell>
          <cell r="D21501" t="str">
            <v>INSTITUTO TODOS PELA SAUDE</v>
          </cell>
        </row>
        <row r="21502">
          <cell r="B21502" t="str">
            <v>M43231396000190</v>
          </cell>
          <cell r="C21502" t="str">
            <v>Open Capital GestÃ£o de Ativos Ltda.</v>
          </cell>
          <cell r="D21502" t="str">
            <v>Open Capital GestÃ£o de Ativos Ltda.</v>
          </cell>
          <cell r="E21502" t="str">
            <v>Open Capital GestÃ£o de Ativos Ltda.</v>
          </cell>
        </row>
        <row r="21503">
          <cell r="B21503" t="str">
            <v>M43179785000114</v>
          </cell>
          <cell r="C21503" t="str">
            <v>STRATA CAPITAL GESTÃƒO DE RECURSOS LTDA</v>
          </cell>
          <cell r="D21503" t="str">
            <v>STRATA CAPITAL GESTÃƒO DE RECURSOS LTDA</v>
          </cell>
          <cell r="E21503" t="str">
            <v>STRATA CAPITAL GESTÃƒO DE RECURSOS LTDA</v>
          </cell>
        </row>
        <row r="21504">
          <cell r="B21504" t="str">
            <v>M43173313000154</v>
          </cell>
          <cell r="C21504" t="str">
            <v>HOPE ASSET GESTAO DE RECURSOS LTDA</v>
          </cell>
          <cell r="D21504" t="str">
            <v>HOPE ASSET GESTAO DE RECURSOS LTDA</v>
          </cell>
          <cell r="E21504" t="str">
            <v>HOPE ASSET GESTAO DE RECURSOS LTDA</v>
          </cell>
        </row>
        <row r="21505">
          <cell r="B21505" t="str">
            <v>M43152502000140</v>
          </cell>
          <cell r="C21505" t="str">
            <v>IVI CAPITAL MANAGEMENT LTDA.</v>
          </cell>
          <cell r="D21505" t="str">
            <v>IVI CAPITAL MANAGEMENT LTDA.</v>
          </cell>
          <cell r="E21505" t="str">
            <v>IVI CAPITAL MANAGEMENT LTDA.</v>
          </cell>
        </row>
        <row r="21506">
          <cell r="B21506" t="str">
            <v>M43125493000107</v>
          </cell>
          <cell r="C21506" t="str">
            <v>KIJANI GESTORA DE RECURSOS LTDA.</v>
          </cell>
          <cell r="D21506" t="str">
            <v>KIJANI GESTORA DE RECURSOS LTDA.</v>
          </cell>
          <cell r="E21506" t="str">
            <v>KIJANI GESTORA DE RECURSOS LTDA.</v>
          </cell>
        </row>
        <row r="21507">
          <cell r="B21507" t="str">
            <v>M43043121000123</v>
          </cell>
          <cell r="C21507" t="str">
            <v>ONE WEALTH MANAGEMENT GESTORA DE RECURSOS LTDA</v>
          </cell>
          <cell r="D21507" t="str">
            <v>ONE WEALTH MANAGEMENT GESTORA DE RECURSOS LTDA</v>
          </cell>
          <cell r="E21507" t="str">
            <v>ONE WEALTH MANAGEMENT GESTORA DE RECURSOS LTDA</v>
          </cell>
        </row>
        <row r="21508">
          <cell r="B21508" t="str">
            <v>M42886319000106</v>
          </cell>
          <cell r="C21508" t="str">
            <v>MOMBAK GESTORA DE RECURSOS LTDA.</v>
          </cell>
          <cell r="D21508" t="str">
            <v>MOMBAK GESTORA DE RECURSOS LTDA.</v>
          </cell>
          <cell r="E21508" t="str">
            <v>MOMBAK GESTORA DE RECURSOS LTDA.</v>
          </cell>
        </row>
        <row r="21509">
          <cell r="B21509" t="str">
            <v>M42621928000133</v>
          </cell>
          <cell r="C21509" t="str">
            <v>INTRABANK ASSET MANAGEMENT LTDA.</v>
          </cell>
          <cell r="D21509" t="str">
            <v>INTRABANK ASSET MANAGEMENT LTDA.</v>
          </cell>
          <cell r="E21509" t="str">
            <v>INTRABANK ASSET MANAGEMENT LTDA.</v>
          </cell>
        </row>
        <row r="21510">
          <cell r="B21510" t="str">
            <v>M42617367000107</v>
          </cell>
          <cell r="C21510" t="str">
            <v>SPX SYN GESTÃƒO DE RECURSOS LTDA.</v>
          </cell>
          <cell r="D21510" t="str">
            <v>SPX SYN GESTÃƒO DE RECURSOS LTDA.</v>
          </cell>
          <cell r="E21510" t="str">
            <v>SPX GESTAO DE RECURSOS LTDA</v>
          </cell>
        </row>
        <row r="21511">
          <cell r="B21511" t="str">
            <v>M42611920000196</v>
          </cell>
          <cell r="C21511" t="str">
            <v>QUANTIQUE M3 INVESTMENTS LTDA.</v>
          </cell>
          <cell r="D21511" t="str">
            <v>QUANTIQUE M3 INVESTMENTS LTDA.</v>
          </cell>
          <cell r="E21511" t="str">
            <v>QUANTIQUE M3 INVESTMENTS LTDA.</v>
          </cell>
        </row>
        <row r="21512">
          <cell r="B21512" t="str">
            <v>M42584318000107</v>
          </cell>
          <cell r="C21512" t="str">
            <v>CREDIT SUISSE (BRASIL) S/A CTVM</v>
          </cell>
          <cell r="D21512" t="str">
            <v>CREDIT SUISSE (BRASIL) S/A CTVM</v>
          </cell>
          <cell r="E21512" t="str">
            <v>CREDIT SUISSE (BRASIL) S/A CTVM</v>
          </cell>
        </row>
        <row r="21513">
          <cell r="B21513" t="str">
            <v>M42517868000103</v>
          </cell>
          <cell r="C21513" t="str">
            <v>CLOUD9 CAPITAL LTDA.</v>
          </cell>
          <cell r="D21513" t="str">
            <v>CLOUD9 CAPITAL LTDA.</v>
          </cell>
          <cell r="E21513" t="str">
            <v>CLOUD9 CAPITAL LTDA.</v>
          </cell>
        </row>
        <row r="21514">
          <cell r="B21514" t="str">
            <v>M42467304000103</v>
          </cell>
          <cell r="C21514" t="str">
            <v>SHORE CAPITAL GESTAO DE RECURSOS LTDA</v>
          </cell>
          <cell r="D21514" t="str">
            <v>SHORE CAPITAL GESTAO DE RECURSOS LTDA</v>
          </cell>
          <cell r="E21514" t="str">
            <v>SHORE CAPITAL GESTAO DE RECURSOS LTDA</v>
          </cell>
        </row>
        <row r="21515">
          <cell r="B21515" t="str">
            <v>M42462859000162</v>
          </cell>
          <cell r="C21515" t="str">
            <v>NEO EQUITIES GESTÃƒO DE RECURSOS LTDA.</v>
          </cell>
          <cell r="D21515" t="str">
            <v>NEO EQUITIES GESTÃƒO DE RECURSOS LTDA.</v>
          </cell>
          <cell r="E21515" t="str">
            <v>NEO GESTÃO DE RECURSOS LTDA</v>
          </cell>
        </row>
        <row r="21516">
          <cell r="B21516" t="str">
            <v>M42455783000148</v>
          </cell>
          <cell r="C21516" t="str">
            <v>NERO CAPITAL GESTÃƒO DE RECURSOS LTDA.</v>
          </cell>
          <cell r="D21516" t="str">
            <v>NERO CAPITAL GESTÃƒO DE RECURSOS LTDA.</v>
          </cell>
          <cell r="E21516" t="str">
            <v>NERO CAPITAL GESTÃƒO DE RECURSOS LTDA.</v>
          </cell>
        </row>
        <row r="21517">
          <cell r="B21517" t="str">
            <v>M42379993000102</v>
          </cell>
          <cell r="C21517" t="str">
            <v>SOD CAPITAL LTDA.</v>
          </cell>
          <cell r="D21517" t="str">
            <v>SOD CAPITAL LTDA.</v>
          </cell>
          <cell r="E21517" t="str">
            <v>SOD CAPITAL LTDA.</v>
          </cell>
        </row>
        <row r="21518">
          <cell r="B21518" t="str">
            <v>M42373402000181</v>
          </cell>
          <cell r="C21518" t="str">
            <v>Squalo Capital Gestora de Recursos Ltda.</v>
          </cell>
          <cell r="D21518" t="str">
            <v>Squalo Capital Gestora de Recursos Ltda.</v>
          </cell>
          <cell r="E21518" t="str">
            <v>Squalo Capital Gestora de Recursos Ltda.</v>
          </cell>
        </row>
        <row r="21519">
          <cell r="B21519" t="str">
            <v>M42330305000101</v>
          </cell>
          <cell r="C21519" t="str">
            <v>PIPO CAPITAL GESTÃƒO DE INVESTIMENTOS LTDA.</v>
          </cell>
          <cell r="D21519" t="str">
            <v>PIPO CAPITAL GESTÃƒO DE INVESTIMENTOS LTDA.</v>
          </cell>
          <cell r="E21519" t="str">
            <v>PIPO CAPITAL GESTÃƒO DE INVESTIMENTOS LTDA.</v>
          </cell>
        </row>
        <row r="21520">
          <cell r="B21520" t="str">
            <v>M42312440000124</v>
          </cell>
          <cell r="C21520" t="str">
            <v>HSI GESTORA DE REAL ESTATE PRIVATE EQUITY LTDA.</v>
          </cell>
          <cell r="D21520" t="str">
            <v>HSI GESTORA DE REAL ESTATE PRIVATE EQUITY LTDA.</v>
          </cell>
          <cell r="E21520" t="str">
            <v>HSI GESTORA DE REAL ESTATE PRIVATE EQUITY LTDA.</v>
          </cell>
        </row>
        <row r="21521">
          <cell r="B21521" t="str">
            <v>M42238039000191</v>
          </cell>
          <cell r="C21521" t="str">
            <v>HSI GESTORA DE ATIVOS FINANCEIROS LTDA.</v>
          </cell>
          <cell r="D21521" t="str">
            <v>HSI GESTORA DE ATIVOS FINANCEIROS LTDA.</v>
          </cell>
          <cell r="E21521" t="str">
            <v>HSI GESTORA DE ATIVOS FINANCEIROS LTDA.</v>
          </cell>
        </row>
        <row r="21522">
          <cell r="B21522" t="str">
            <v>M42237691000191</v>
          </cell>
          <cell r="C21522" t="str">
            <v>HSI GESTORA DE CRÃ‰DITO PRIVADO LTDA.</v>
          </cell>
          <cell r="D21522" t="str">
            <v>HSI GESTORA DE CRÃ‰DITO PRIVADO LTDA.</v>
          </cell>
          <cell r="E21522" t="str">
            <v>HSI GESTORA DE CRÃ‰DITO PRIVADO LTDA.</v>
          </cell>
        </row>
        <row r="21523">
          <cell r="B21523" t="str">
            <v>M42221617000187</v>
          </cell>
          <cell r="C21523" t="str">
            <v>ASSET BANK MANAGEMENT LTDA.</v>
          </cell>
          <cell r="D21523" t="str">
            <v>ASSET BANK MANAGEMENT LTDA.</v>
          </cell>
          <cell r="E21523" t="str">
            <v>ASSET BANK MANAGEMENT LTDA.</v>
          </cell>
        </row>
        <row r="21524">
          <cell r="B21524" t="str">
            <v>M42113253000111</v>
          </cell>
          <cell r="C21524" t="str">
            <v>ASTER INVESTIMENTOS S.A.</v>
          </cell>
          <cell r="D21524" t="str">
            <v>ASTER INVESTIMENTOS S.A.</v>
          </cell>
          <cell r="E21524" t="str">
            <v>ASTER INVESTIMENTOS S.A.</v>
          </cell>
        </row>
        <row r="21525">
          <cell r="B21525" t="str">
            <v>M42034424000117</v>
          </cell>
          <cell r="C21525" t="str">
            <v>NORD GESTORA DE RECURSOS LTDA.</v>
          </cell>
          <cell r="D21525" t="str">
            <v>NORD GESTORA DE RECURSOS LTDA.</v>
          </cell>
          <cell r="E21525" t="str">
            <v>NORD GESTORA DE RECURSOS LTDA.</v>
          </cell>
        </row>
        <row r="21526">
          <cell r="B21526" t="str">
            <v>M41992770000145</v>
          </cell>
          <cell r="C21526" t="str">
            <v>ELLO GESTORA DE RECURSOS LTDA</v>
          </cell>
          <cell r="D21526" t="str">
            <v>ELLO GESTORA DE RECURSOS LTDA</v>
          </cell>
          <cell r="E21526" t="str">
            <v>ELLO GESTORA DE RECURSOS LTDA</v>
          </cell>
        </row>
        <row r="21527">
          <cell r="B21527" t="str">
            <v>M41986711000164</v>
          </cell>
          <cell r="C21527" t="str">
            <v>BUENA VISTA GESTORA DE RECURSOS LTDA.</v>
          </cell>
          <cell r="D21527" t="str">
            <v>BUENA VISTA GESTORA DE RECURSOS LTDA.</v>
          </cell>
          <cell r="E21527" t="str">
            <v>BUENA VISTA GESTORA DE RECURSOS LTDA.</v>
          </cell>
        </row>
        <row r="21528">
          <cell r="B21528" t="str">
            <v>M41940952000172</v>
          </cell>
          <cell r="C21528" t="str">
            <v>XVI CAPITAL LTDA.</v>
          </cell>
          <cell r="D21528" t="str">
            <v>XVI CAPITAL LTDA.</v>
          </cell>
          <cell r="E21528" t="str">
            <v>XVI CAPITAL LTDA.</v>
          </cell>
        </row>
        <row r="21529">
          <cell r="B21529" t="str">
            <v>M41917181000100</v>
          </cell>
          <cell r="C21529" t="str">
            <v>NORTH SEA GESTORA DE RECURSOS LTDA.</v>
          </cell>
          <cell r="D21529" t="str">
            <v>NORTH SEA GESTORA DE RECURSOS LTDA.</v>
          </cell>
          <cell r="E21529" t="str">
            <v>NORTH SEA GESTORA DE RECURSOS LTDA.</v>
          </cell>
        </row>
        <row r="21530">
          <cell r="B21530" t="str">
            <v>M41743371000140</v>
          </cell>
          <cell r="C21530" t="str">
            <v>NOAD GESTAO DE RECURSOS LTDA</v>
          </cell>
          <cell r="D21530" t="str">
            <v>NOAD GESTAO DE RECURSOS LTDA</v>
          </cell>
          <cell r="E21530" t="str">
            <v>NOAD GESTAO DE RECURSOS LTDA</v>
          </cell>
        </row>
        <row r="21531">
          <cell r="B21531" t="str">
            <v>M41727578000121</v>
          </cell>
          <cell r="C21531" t="str">
            <v>UTILITY GESTORA DE RECURSOS LTDA.</v>
          </cell>
          <cell r="D21531" t="str">
            <v>UTILITY GESTORA DE RECURSOS LTDA.</v>
          </cell>
          <cell r="E21531" t="str">
            <v>UTILITY GESTORA DE RECURSOS LTDA.</v>
          </cell>
        </row>
        <row r="21532">
          <cell r="B21532" t="str">
            <v>M41583492000172</v>
          </cell>
          <cell r="C21532" t="str">
            <v>MISSION CO. LTDA.</v>
          </cell>
          <cell r="D21532" t="str">
            <v>MISSION CO. LTDA.</v>
          </cell>
          <cell r="E21532" t="str">
            <v>MISSION CO. LTDA.</v>
          </cell>
        </row>
        <row r="21533">
          <cell r="B21533" t="str">
            <v>M41562390000170</v>
          </cell>
          <cell r="C21533" t="str">
            <v>RISE INVESTMENT MANAGEMENT LTDA.</v>
          </cell>
          <cell r="D21533" t="str">
            <v>RISE INVESTMENT MANAGEMENT LTDA.</v>
          </cell>
          <cell r="E21533" t="str">
            <v>RISE INVESTMENT MANAGEMENT LTDA.</v>
          </cell>
        </row>
        <row r="21534">
          <cell r="B21534" t="str">
            <v>M41448478000166</v>
          </cell>
          <cell r="C21534" t="str">
            <v>MERCURIUS GESTORA DE RECURSOS LTDA.</v>
          </cell>
          <cell r="D21534" t="str">
            <v>MERCURIUS GESTORA DE RECURSOS LTDA.</v>
          </cell>
          <cell r="E21534" t="str">
            <v>MERCURIUS GESTORA DE RECURSOS LTDA.</v>
          </cell>
        </row>
        <row r="21535">
          <cell r="B21535" t="str">
            <v>M41397045000129</v>
          </cell>
          <cell r="C21535" t="str">
            <v>XMS S/A</v>
          </cell>
          <cell r="D21535" t="str">
            <v>XMS S/A</v>
          </cell>
          <cell r="E21535" t="str">
            <v>XMS S/A</v>
          </cell>
        </row>
        <row r="21536">
          <cell r="B21536" t="str">
            <v>M41302834000139</v>
          </cell>
          <cell r="C21536" t="str">
            <v>B6 GESTORA DE RECURSOS LTDA</v>
          </cell>
          <cell r="D21536" t="str">
            <v>B6 GESTORA DE RECURSOS LTDA</v>
          </cell>
          <cell r="E21536" t="str">
            <v>B6 GESTORA DE RECURSOS LTDA</v>
          </cell>
        </row>
        <row r="21537">
          <cell r="B21537" t="str">
            <v>M41249846000147</v>
          </cell>
          <cell r="C21537" t="str">
            <v>DSK CAPITAL GESTORA DE RECURSOS E CONSULTORIA LTDA.</v>
          </cell>
          <cell r="D21537" t="str">
            <v>DSK CAPITAL GESTORA DE RECURSOS E CONSULTORIA LTDA.</v>
          </cell>
          <cell r="E21537" t="str">
            <v>DSK CAPITAL GESTORA DE RECURSOS E CONSULTORIA LTDA.</v>
          </cell>
        </row>
        <row r="21538">
          <cell r="B21538" t="str">
            <v>M41179663000100</v>
          </cell>
          <cell r="C21538" t="str">
            <v>KUARÃ CAPITAL GESTORA DE RECURSOS LTDA.</v>
          </cell>
          <cell r="D21538" t="str">
            <v>KUARÃ CAPITAL GESTORA DE RECURSOS LTDA.</v>
          </cell>
          <cell r="E21538" t="str">
            <v>KUARÃ CAPITAL GESTORA DE RECURSOS LTDA.</v>
          </cell>
        </row>
        <row r="21539">
          <cell r="B21539" t="str">
            <v>M41132644000110</v>
          </cell>
          <cell r="C21539" t="str">
            <v>D3 CAPITAL GESTORA DE RECURSOS LTDA</v>
          </cell>
          <cell r="D21539" t="str">
            <v>D3 CAPITAL GESTORA DE RECURSOS LTDA</v>
          </cell>
          <cell r="E21539" t="str">
            <v>D3 CAPITAL GESTORA DE RECURSOS LTDA</v>
          </cell>
        </row>
        <row r="21540">
          <cell r="B21540" t="str">
            <v>M41096143000126</v>
          </cell>
          <cell r="C21540" t="str">
            <v>HARPIA GESTORA DE RECURSOS LTDA.</v>
          </cell>
          <cell r="D21540" t="str">
            <v>HARPIA GESTORA DE RECURSOS LTDA.</v>
          </cell>
          <cell r="E21540" t="str">
            <v>HARPIA GESTORA DE RECURSOS LTDA.</v>
          </cell>
        </row>
        <row r="21541">
          <cell r="B21541" t="str">
            <v>M41020034000125</v>
          </cell>
          <cell r="C21541" t="str">
            <v>NOVA FUTURA GESTORA DE RECURSOS LTDA.</v>
          </cell>
          <cell r="D21541" t="str">
            <v>NOVA FUTURA GESTORA DE RECURSOS LTDA.</v>
          </cell>
          <cell r="E21541" t="str">
            <v>NOVA FUTURA GESTORA DE RECURSOS LTDA.</v>
          </cell>
        </row>
        <row r="21542">
          <cell r="B21542" t="str">
            <v>M41019477000104</v>
          </cell>
          <cell r="C21542" t="str">
            <v>REAG GESTÃƒO DE FUNDOS ESTRUTURADOS LTDA.</v>
          </cell>
          <cell r="D21542" t="str">
            <v>REAG GESTÃƒO DE FUNDOS ESTRUTURADOS LTDA.</v>
          </cell>
          <cell r="E21542" t="str">
            <v>REAG ASSET MANAGEMENT LTDA</v>
          </cell>
        </row>
        <row r="21543">
          <cell r="B21543" t="str">
            <v>M40962925000138</v>
          </cell>
          <cell r="C21543" t="str">
            <v>CERES ASSET GESTAO DE INVESTIMENTOS LTDA</v>
          </cell>
          <cell r="D21543" t="str">
            <v>CERES ASSET GESTAO DE INVESTIMENTOS LTDA</v>
          </cell>
          <cell r="E21543" t="str">
            <v>CERES ASSET GESTAO DE INVESTIMENTOS LTDA</v>
          </cell>
        </row>
        <row r="21544">
          <cell r="B21544" t="str">
            <v>M40888143000104</v>
          </cell>
          <cell r="C21544" t="str">
            <v>GV ATACAMA CAPITAL LTDA.</v>
          </cell>
          <cell r="D21544" t="str">
            <v>GV ATACAMA CAPITAL LTDA.</v>
          </cell>
          <cell r="E21544" t="str">
            <v>GV ATACAMA CAPITAL LTDA.</v>
          </cell>
        </row>
        <row r="21545">
          <cell r="B21545" t="str">
            <v>M40815594000103</v>
          </cell>
          <cell r="C21545" t="str">
            <v>Polyface Invest S.A.</v>
          </cell>
          <cell r="D21545" t="str">
            <v>Polyface Invest S.A.</v>
          </cell>
          <cell r="E21545" t="str">
            <v>Polyface Invest S.A.</v>
          </cell>
        </row>
        <row r="21546">
          <cell r="B21546" t="str">
            <v>M40768766000135</v>
          </cell>
          <cell r="C21546" t="str">
            <v>LIONS TRUST DISTRIBUIDORA DE TÃTULOS E VALORES MOBILIÃRIOS LTDA.</v>
          </cell>
          <cell r="D21546" t="str">
            <v>LIONS TRUST DISTRIBUIDORA DE TÃTULOS E VALORES MOBILIÃRIOS LTDA.</v>
          </cell>
          <cell r="E21546" t="str">
            <v>LIONS TRUST DISTRIBUIDORA DE TÃTULOS E VALORES MOBILIÃRIOS LTDA.</v>
          </cell>
        </row>
        <row r="21547">
          <cell r="B21547">
            <v>79693</v>
          </cell>
          <cell r="C21547" t="str">
            <v>LOUIS DREYFUS COMPANY BRASIL S/A</v>
          </cell>
          <cell r="D21547" t="str">
            <v>LOUIS DREYFUS COMPANY BRASIL S/A</v>
          </cell>
          <cell r="E21547" t="str">
            <v>LOUIS DREYFUS COMPANY BRASIL S/A</v>
          </cell>
        </row>
        <row r="21548">
          <cell r="B21548" t="str">
            <v>M40468595000129</v>
          </cell>
          <cell r="C21548" t="str">
            <v>ULTRA-MAR CAPITAL MULTIESTRATÃ‰GIA GESTORA DE RECURSOS LTDA.</v>
          </cell>
          <cell r="D21548" t="str">
            <v>ULTRA-MAR CAPITAL MULTIESTRATÃ‰GIA GESTORA DE RECURSOS LTDA.</v>
          </cell>
          <cell r="E21548" t="str">
            <v>ULTRA-MAR CAPITAL MULTIESTRATÃ‰GIA GESTORA DE RECURSOS LTDA.</v>
          </cell>
        </row>
        <row r="21549">
          <cell r="B21549" t="str">
            <v>M40297139000163</v>
          </cell>
          <cell r="C21549" t="str">
            <v>H2 KAPITAL S.A.</v>
          </cell>
          <cell r="D21549" t="str">
            <v>H2 KAPITAL S.A.</v>
          </cell>
          <cell r="E21549" t="str">
            <v>H2 KAPITAL S.A.</v>
          </cell>
        </row>
        <row r="21550">
          <cell r="B21550" t="str">
            <v>M40259248000196</v>
          </cell>
          <cell r="C21550" t="str">
            <v>HANNAH VENTURES GESTÃƒO DE RECURSOS LTDA.</v>
          </cell>
          <cell r="D21550" t="str">
            <v>HANNAH VENTURES GESTÃƒO DE RECURSOS LTDA.</v>
          </cell>
          <cell r="E21550" t="str">
            <v>HANNAH VENTURES GESTÃƒO DE RECURSOS LTDA.</v>
          </cell>
        </row>
        <row r="21551">
          <cell r="B21551" t="str">
            <v>M40202235000180</v>
          </cell>
          <cell r="C21551" t="str">
            <v>QUARTZ GESTÃƒO DE RECURSOS LTDA.</v>
          </cell>
          <cell r="D21551" t="str">
            <v>QUARTZ GESTÃƒO DE RECURSOS LTDA.</v>
          </cell>
          <cell r="E21551" t="str">
            <v>QUARTZ GESTÃƒO DE RECURSOS LTDA.</v>
          </cell>
        </row>
        <row r="21552">
          <cell r="B21552" t="str">
            <v>M40105252000108</v>
          </cell>
          <cell r="C21552" t="str">
            <v>SAKS GESTÃƒO DE RECURSOS LTDA.</v>
          </cell>
          <cell r="D21552" t="str">
            <v>SAKS GESTÃƒO DE RECURSOS LTDA.</v>
          </cell>
          <cell r="E21552" t="str">
            <v>SAKS GESTÃƒO DE RECURSOS LTDA.</v>
          </cell>
        </row>
        <row r="21553">
          <cell r="B21553" t="str">
            <v>M40090621000128</v>
          </cell>
          <cell r="C21553" t="str">
            <v>PENÃNSULA PARTNERS GESTÃƒO DE INVESTIMENTOS LTDA.</v>
          </cell>
          <cell r="D21553" t="str">
            <v>PENÃNSULA PARTNERS GESTÃƒO DE INVESTIMENTOS LTDA.</v>
          </cell>
          <cell r="E21553" t="str">
            <v>PENÃNSULA PARTNERS GESTÃƒO DE INVESTIMENTOS LTDA.</v>
          </cell>
        </row>
        <row r="21554">
          <cell r="B21554" t="str">
            <v>M39976272000167</v>
          </cell>
          <cell r="C21554" t="str">
            <v>BERTHA CAPITAL GESTORA DE RECURSOS S.A.</v>
          </cell>
          <cell r="D21554" t="str">
            <v>BERTHA CAPITAL GESTORA DE RECURSOS S.A.</v>
          </cell>
          <cell r="E21554" t="str">
            <v>BERTHA CAPITAL GESTORA DE RECURSOS S.A.</v>
          </cell>
        </row>
        <row r="21555">
          <cell r="B21555" t="str">
            <v>M39720860000135</v>
          </cell>
          <cell r="C21555" t="str">
            <v>GCB CAPITAL GESTÃƒO DE RECURSOS DE VALORES MOBILIÃRIOS LTDA.</v>
          </cell>
          <cell r="D21555" t="str">
            <v>GCB CAPITAL GESTÃƒO DE RECURSOS DE VALORES MOBILIÃRIOS LTDA.</v>
          </cell>
          <cell r="E21555" t="str">
            <v>GCB CAPITAL GESTÃƒO DE RECURSOS DE VALORES MOBILIÃRIOS LTDA.</v>
          </cell>
        </row>
        <row r="21556">
          <cell r="B21556" t="str">
            <v>M39716593000122</v>
          </cell>
          <cell r="C21556" t="str">
            <v>HENKAN PE INVESTIMENTOS LTDA.</v>
          </cell>
          <cell r="D21556" t="str">
            <v>HENKAN PE INVESTIMENTOS LTDA.</v>
          </cell>
          <cell r="E21556" t="str">
            <v>HENKAN PE INVESTIMENTOS LTDA.</v>
          </cell>
        </row>
        <row r="21557">
          <cell r="B21557" t="str">
            <v>M39667665000199</v>
          </cell>
          <cell r="C21557" t="str">
            <v>MMZR GESTORA DE RECURSOS LTDA.</v>
          </cell>
          <cell r="D21557" t="str">
            <v>MMZR GESTORA DE RECURSOS LTDA.</v>
          </cell>
          <cell r="E21557" t="str">
            <v>MMZR GESTORA DE RECURSOS LTDA.</v>
          </cell>
        </row>
        <row r="21558">
          <cell r="B21558">
            <v>79604</v>
          </cell>
          <cell r="C21558" t="str">
            <v>LOUIS DREYFUS COMPANY SUCOS S/A (ANTIGO LDC AGROINDUSTRIAL</v>
          </cell>
          <cell r="D21558" t="str">
            <v>93.1</v>
          </cell>
          <cell r="E21558" t="str">
            <v>LOUIS DREYFUS COMPANY BRASIL S/A</v>
          </cell>
        </row>
        <row r="21559">
          <cell r="B21559" t="str">
            <v>M39511973000120</v>
          </cell>
          <cell r="C21559" t="str">
            <v>FATOR INNOVATION LTDA.</v>
          </cell>
          <cell r="D21559" t="str">
            <v>FATOR INNOVATION LTDA.</v>
          </cell>
          <cell r="E21559" t="str">
            <v>FATOR INNOVATION LTDA.</v>
          </cell>
        </row>
        <row r="21560">
          <cell r="B21560" t="str">
            <v>M39491900000114</v>
          </cell>
          <cell r="C21560" t="str">
            <v>V-CAPITAL GESTÃƒO DE RECURSOS E INVESTIMENTOS LTDA.</v>
          </cell>
          <cell r="D21560" t="str">
            <v>V-CAPITAL GESTÃƒO DE RECURSOS E INVESTIMENTOS LTDA.</v>
          </cell>
          <cell r="E21560" t="str">
            <v>V-CAPITAL GESTÃƒO DE RECURSOS E INVESTIMENTOS LTDA.</v>
          </cell>
        </row>
        <row r="21561">
          <cell r="B21561" t="str">
            <v>M39454389000180</v>
          </cell>
          <cell r="C21561" t="str">
            <v>GOOD KARMA VENTURES GESTORA DE RECURSOS LTDA.</v>
          </cell>
          <cell r="D21561" t="str">
            <v>GOOD KARMA VENTURES GESTORA DE RECURSOS LTDA.</v>
          </cell>
          <cell r="E21561" t="str">
            <v>GOOD KARMA VENTURES GESTORA DE RECURSOS LTDA.</v>
          </cell>
        </row>
        <row r="21562">
          <cell r="B21562" t="str">
            <v>M39422314000118</v>
          </cell>
          <cell r="C21562" t="str">
            <v>MÃ–BIUS CAPITAL GESTÃƒO DE RECURSOS LTDA.</v>
          </cell>
          <cell r="D21562" t="str">
            <v>MÃ–BIUS CAPITAL GESTÃƒO DE RECURSOS LTDA.</v>
          </cell>
          <cell r="E21562" t="str">
            <v>MÃ–BIUS CAPITAL GESTÃƒO DE RECURSOS LTDA.</v>
          </cell>
        </row>
        <row r="21563">
          <cell r="B21563" t="str">
            <v>M39314405000130</v>
          </cell>
          <cell r="C21563" t="str">
            <v>GRIF CAPITAL GESTORA DE RECURSOS LTDA.</v>
          </cell>
          <cell r="D21563" t="str">
            <v>GRIF CAPITAL GESTORA DE RECURSOS LTDA.</v>
          </cell>
          <cell r="E21563" t="str">
            <v>GRIF CAPITAL GESTORA DE RECURSOS LTDA.</v>
          </cell>
        </row>
        <row r="21564">
          <cell r="B21564" t="str">
            <v>M39267921000150</v>
          </cell>
          <cell r="C21564" t="str">
            <v>MONTE CAPITAL MANAGEMENT GESTORA DE RECURSOS S.A.</v>
          </cell>
          <cell r="D21564" t="str">
            <v>MONTE CAPITAL MANAGEMENT GESTORA DE RECURSOS S.A.</v>
          </cell>
          <cell r="E21564" t="str">
            <v>MONTE CAPITAL MANAGEMENT GESTORA DE RECURSOS S.A.</v>
          </cell>
        </row>
        <row r="21565">
          <cell r="B21565" t="str">
            <v>M38481640000133</v>
          </cell>
          <cell r="C21565" t="str">
            <v>ALGARVE CAPITAL GESTÃƒO DE RECURSOS LTDA.</v>
          </cell>
          <cell r="D21565" t="str">
            <v>ALGARVE CAPITAL GESTÃƒO DE RECURSOS LTDA.</v>
          </cell>
          <cell r="E21565" t="str">
            <v>ALGARVE CAPITAL GESTÃƒO DE RECURSOS LTDA.</v>
          </cell>
        </row>
        <row r="21566">
          <cell r="B21566" t="str">
            <v>M38461272000161</v>
          </cell>
          <cell r="C21566" t="str">
            <v>NICHE PARTNERS GESTORA DE RECURSOS LTDA.</v>
          </cell>
          <cell r="D21566" t="str">
            <v>NICHE PARTNERS GESTORA DE RECURSOS LTDA.</v>
          </cell>
          <cell r="E21566" t="str">
            <v>NICHE PARTNERS GESTORA DE RECURSOS LTDA.</v>
          </cell>
        </row>
        <row r="21567">
          <cell r="B21567" t="str">
            <v>M38411697000166</v>
          </cell>
          <cell r="C21567" t="str">
            <v>STRIVO GESTORA DE RECURSOS S/A.</v>
          </cell>
          <cell r="D21567" t="str">
            <v>STRIVO GESTORA DE RECURSOS S/A.</v>
          </cell>
          <cell r="E21567" t="str">
            <v>STRIVO GESTORA DE RECURSOS S/A.</v>
          </cell>
        </row>
        <row r="21568">
          <cell r="B21568" t="str">
            <v>M38318963000100</v>
          </cell>
          <cell r="C21568" t="str">
            <v>CARBYNE GESTÃƒO DE RECURSOS LTDA.</v>
          </cell>
          <cell r="D21568" t="str">
            <v>CARBYNE GESTÃƒO DE RECURSOS LTDA.</v>
          </cell>
          <cell r="E21568" t="str">
            <v>CARBYNE GESTÃƒO DE RECURSOS LTDA.</v>
          </cell>
        </row>
        <row r="21569">
          <cell r="B21569" t="str">
            <v>M38300262000144</v>
          </cell>
          <cell r="C21569" t="str">
            <v>BLUEMACAW ASSET MANAGEMENT LTDA.</v>
          </cell>
          <cell r="D21569" t="str">
            <v>BLUEMACAW ASSET MANAGEMENT LTDA.</v>
          </cell>
          <cell r="E21569" t="str">
            <v>BLUEMACAW ASSET MANAGEMENT LTDA.</v>
          </cell>
        </row>
        <row r="21570">
          <cell r="B21570" t="str">
            <v>M38183509000190</v>
          </cell>
          <cell r="C21570" t="str">
            <v>DOJO CAPITAL INVESTIMENTOS ADMINISTRADORA DE CARTEIRAS DE RECURSOS E CONSULTORIA LTDA.</v>
          </cell>
          <cell r="D21570" t="str">
            <v>DOJO CAPITAL INVESTIMENTOS ADMINISTRADORA DE CARTEIRAS DE RECURSOS E CONSULTORIA LTDA.</v>
          </cell>
          <cell r="E21570" t="str">
            <v>DOJO CAPITAL INVESTIMENTOS ADMINISTRADORA DE CARTEIRAS DE RECURSOS E CONSULTORIA LTDA.</v>
          </cell>
        </row>
        <row r="21571">
          <cell r="B21571" t="str">
            <v>M38150247000167</v>
          </cell>
          <cell r="C21571" t="str">
            <v>DAO CAPITAL LTDA.</v>
          </cell>
          <cell r="D21571" t="str">
            <v>DAO CAPITAL LTDA.</v>
          </cell>
          <cell r="E21571" t="str">
            <v>DAO CAPITAL LTDA.</v>
          </cell>
        </row>
        <row r="21572">
          <cell r="B21572" t="str">
            <v>M38136258000192</v>
          </cell>
          <cell r="C21572" t="str">
            <v>ZAVIT GESTÃƒO DE RECURSOS LTDA.</v>
          </cell>
          <cell r="D21572" t="str">
            <v>ZAVIT GESTÃƒO DE RECURSOS LTDA.</v>
          </cell>
          <cell r="E21572" t="str">
            <v>ZAVIT GESTÃƒO DE RECURSOS LTDA.</v>
          </cell>
        </row>
        <row r="21573">
          <cell r="B21573" t="str">
            <v>M38057109000138</v>
          </cell>
          <cell r="C21573" t="str">
            <v>SARPEN QUANT INVESTMENT LTDA.</v>
          </cell>
          <cell r="D21573" t="str">
            <v>SARPEN QUANT INVESTMENT LTDA.</v>
          </cell>
          <cell r="E21573" t="str">
            <v>SARPEN QUANT INVESTMENT LTDA.</v>
          </cell>
        </row>
        <row r="21574">
          <cell r="B21574" t="str">
            <v>M38034802000195</v>
          </cell>
          <cell r="C21574" t="str">
            <v>ANOUK CAPITAL LTDA</v>
          </cell>
          <cell r="D21574" t="str">
            <v>ANOUK CAPITAL LTDA</v>
          </cell>
          <cell r="E21574" t="str">
            <v>ANOUK CAPITAL LTDA</v>
          </cell>
        </row>
        <row r="21575">
          <cell r="B21575" t="str">
            <v>M37995213000100</v>
          </cell>
          <cell r="C21575" t="str">
            <v>MONGERAL AEGON RENDA VARIÃVEL LTDA.</v>
          </cell>
          <cell r="D21575" t="str">
            <v>MONGERAL AEGON RENDA VARIÃVEL LTDA.</v>
          </cell>
          <cell r="E21575" t="str">
            <v>MONGERAL AEGON INVESTIMENTOS LTDA</v>
          </cell>
        </row>
        <row r="21576">
          <cell r="B21576" t="str">
            <v>M37980655000183</v>
          </cell>
          <cell r="C21576" t="str">
            <v>NAVI REAL ESTATE VENTURES - ADMINISTRADORA E GESTORA DE RECURSOS FINANCEIROS LTDA.</v>
          </cell>
          <cell r="D21576" t="str">
            <v>NAVI REAL ESTATE VENTURES - ADMINISTRADORA E GESTORA DE RECURSOS FINANCEIROS LTDA.</v>
          </cell>
          <cell r="E21576" t="str">
            <v>NAVI REAL ESTATE VENTURES - ADMINISTRADORA E GESTORA DE RECURSOS FINANCEIROS LTDA.</v>
          </cell>
        </row>
        <row r="21577">
          <cell r="B21577" t="str">
            <v>M37947185000156</v>
          </cell>
          <cell r="C21577" t="str">
            <v>ENCORE GESTÃƒO DE RECURSOS LTDA.</v>
          </cell>
          <cell r="D21577" t="str">
            <v>ENCORE GESTÃƒO DE RECURSOS LTDA.</v>
          </cell>
          <cell r="E21577" t="str">
            <v>ENCORE GESTÃƒO DE RECURSOS LTDA.</v>
          </cell>
        </row>
        <row r="21578">
          <cell r="B21578" t="str">
            <v>M37813257000172</v>
          </cell>
          <cell r="C21578" t="str">
            <v>BRICK CAPITAL LTDA.</v>
          </cell>
          <cell r="D21578" t="str">
            <v>BRICK CAPITAL LTDA.</v>
          </cell>
          <cell r="E21578" t="str">
            <v>BRICK CAPITAL LTDA.</v>
          </cell>
        </row>
        <row r="21579">
          <cell r="B21579" t="str">
            <v>M37783771000102</v>
          </cell>
          <cell r="C21579" t="str">
            <v>PANORAMA CAPITAL LTDA.</v>
          </cell>
          <cell r="D21579" t="str">
            <v>PANORAMA CAPITAL LTDA.</v>
          </cell>
          <cell r="E21579" t="str">
            <v>PANORAMA CAPITAL LTDA.</v>
          </cell>
        </row>
        <row r="21580">
          <cell r="B21580" t="str">
            <v>M37747986000178</v>
          </cell>
          <cell r="C21580" t="str">
            <v>MERCURIO GESTORA DE RECURSOS LTDA.</v>
          </cell>
          <cell r="D21580" t="str">
            <v>MERCURIO GESTORA DE RECURSOS LTDA.</v>
          </cell>
          <cell r="E21580" t="str">
            <v>MERCURIO GESTORA DE RECURSOS LTDA.</v>
          </cell>
        </row>
        <row r="21581">
          <cell r="B21581" t="str">
            <v>M37658373000164</v>
          </cell>
          <cell r="C21581" t="str">
            <v>NAVI REAL ESTATE SELECTION - ADMINISTRADORA E GESTORA DE RECURSOS FINANCEIROS LTDA.</v>
          </cell>
          <cell r="D21581" t="str">
            <v>NAVI REAL ESTATE SELECTION - ADMINISTRADORA E GESTORA DE RECURSOS FINANCEIROS LTDA.</v>
          </cell>
          <cell r="E21581" t="str">
            <v>NAVI REAL ESTATE SELECTION - ADMINISTRADORA E GESTORA DE RECURSOS FINANCEIROS LTDA.</v>
          </cell>
        </row>
        <row r="21582">
          <cell r="B21582" t="str">
            <v>M37653353000109</v>
          </cell>
          <cell r="C21582" t="str">
            <v>NAVI ALLOCATION - ADMINISTRADORA E GESTORA DE RECURSOS FINANCEIROS LTDA.</v>
          </cell>
          <cell r="D21582" t="str">
            <v>NAVI ALLOCATION - ADMINISTRADORA E GESTORA DE RECURSOS FINANCEIROS LTDA.</v>
          </cell>
          <cell r="E21582" t="str">
            <v>NAVI ALLOCATION - ADMINISTRADORA E GESTORA DE RECURSOS FINANCEIROS LTDA.</v>
          </cell>
        </row>
        <row r="21583">
          <cell r="B21583" t="str">
            <v>M37555586000160</v>
          </cell>
          <cell r="C21583" t="str">
            <v>SKADE CAPITAL GESTÃƒO DE INVESTMENTOS LTDA.</v>
          </cell>
          <cell r="D21583" t="str">
            <v>SKADE CAPITAL GESTÃƒO DE INVESTMENTOS LTDA.</v>
          </cell>
          <cell r="E21583" t="str">
            <v>SKADE CAPITAL GESTÃƒO DE INVESTMENTOS LTDA.</v>
          </cell>
        </row>
        <row r="21584">
          <cell r="B21584" t="str">
            <v>M37542067000168</v>
          </cell>
          <cell r="C21584" t="str">
            <v>BRAVOS GESTÃƒO DE RECURSOS LTDA.</v>
          </cell>
          <cell r="D21584" t="str">
            <v>BRAVOS GESTÃƒO DE RECURSOS LTDA.</v>
          </cell>
          <cell r="E21584" t="str">
            <v>BRAVOS GESTÃƒO DE RECURSOS LTDA.</v>
          </cell>
        </row>
        <row r="21585">
          <cell r="B21585" t="str">
            <v>M37519405000140</v>
          </cell>
          <cell r="C21585" t="str">
            <v>AURO CAPITAL LTDA</v>
          </cell>
          <cell r="D21585" t="str">
            <v>AURO CAPITAL LTDA</v>
          </cell>
          <cell r="E21585" t="str">
            <v>AURO CAPITAL LTDA</v>
          </cell>
        </row>
        <row r="21586">
          <cell r="B21586" t="str">
            <v>M37464061000110</v>
          </cell>
          <cell r="C21586" t="str">
            <v>EVEREST CAPITAL GESTORA DE RECURSOS LTDA.</v>
          </cell>
          <cell r="D21586" t="str">
            <v>EVEREST CAPITAL GESTORA DE RECURSOS LTDA.</v>
          </cell>
          <cell r="E21586" t="str">
            <v>EVEREST CAPITAL GESTORA DE RECURSOS LTDA.</v>
          </cell>
        </row>
        <row r="21587">
          <cell r="B21587" t="str">
            <v>M37414193000137</v>
          </cell>
          <cell r="C21587" t="str">
            <v>GUARDIAN GESTORA LTDA.</v>
          </cell>
          <cell r="D21587" t="str">
            <v>GUARDIAN GESTORA LTDA.</v>
          </cell>
          <cell r="E21587" t="str">
            <v>GUARDIAN GESTORA LTDA.</v>
          </cell>
        </row>
        <row r="21588">
          <cell r="B21588" t="str">
            <v>M37370840000156</v>
          </cell>
          <cell r="C21588" t="str">
            <v>CATARINA CAPITAL CONSULTORIA E GESTÃƒO LTDA.</v>
          </cell>
          <cell r="D21588" t="str">
            <v>CATARINA CAPITAL CONSULTORIA E GESTÃƒO LTDA.</v>
          </cell>
          <cell r="E21588" t="str">
            <v>CATARINA CAPITAL CONSULTORIA E GESTÃƒO LTDA.</v>
          </cell>
        </row>
        <row r="21589">
          <cell r="B21589" t="str">
            <v>M37336862000108</v>
          </cell>
          <cell r="C21589" t="str">
            <v>MAKALU GESTORA DE RECURSOS LTDA.</v>
          </cell>
          <cell r="D21589" t="str">
            <v>MAKALU GESTORA DE RECURSOS LTDA.</v>
          </cell>
          <cell r="E21589" t="str">
            <v>MAKALU GESTORA DE RECURSOS LTDA.</v>
          </cell>
        </row>
        <row r="21590">
          <cell r="B21590" t="str">
            <v>M37332689000161</v>
          </cell>
          <cell r="C21590" t="str">
            <v>CHIMERA CAPITAL ASSET MANAGEMENT LTDA.</v>
          </cell>
          <cell r="D21590" t="str">
            <v>CHIMERA CAPITAL ASSET MANAGEMENT LTDA.</v>
          </cell>
          <cell r="E21590" t="str">
            <v>CHIMERA CAPITAL ASSET MANAGEMENT LTDA.</v>
          </cell>
        </row>
        <row r="21591">
          <cell r="B21591" t="str">
            <v>M37307440000104</v>
          </cell>
          <cell r="C21591" t="str">
            <v>STRATEGI CAPITAL GESTÃƒO DE RECURSOS LTDA.</v>
          </cell>
          <cell r="D21591" t="str">
            <v>STRATEGI CAPITAL GESTÃƒO DE RECURSOS LTDA.</v>
          </cell>
          <cell r="E21591" t="str">
            <v>STRATEGI CAPITAL GESTÃƒO DE RECURSOS LTDA.</v>
          </cell>
        </row>
        <row r="21592">
          <cell r="B21592" t="str">
            <v>M37270719000152</v>
          </cell>
          <cell r="C21592" t="str">
            <v>TITANIUM INVEST GESTÃƒO DE INVESTIMENTOS LTDA.</v>
          </cell>
          <cell r="D21592" t="str">
            <v>TITANIUM INVEST GESTÃƒO DE INVESTIMENTOS LTDA.</v>
          </cell>
          <cell r="E21592" t="str">
            <v>TITANIUM INVEST GESTÃƒO DE INVESTIMENTOS LTDA.</v>
          </cell>
        </row>
        <row r="21593">
          <cell r="B21593" t="str">
            <v>M37178739000106</v>
          </cell>
          <cell r="C21593" t="str">
            <v>ZEUS CAPITAL GESTÃƒO DE RECURSOS E INVESTIMENTOS LTDA.</v>
          </cell>
          <cell r="D21593" t="str">
            <v>ZEUS CAPITAL GESTÃƒO DE RECURSOS E INVESTIMENTOS LTDA.</v>
          </cell>
          <cell r="E21593" t="str">
            <v>ZEUS CAPITAL GESTÃƒO DE RECURSOS E INVESTIMENTOS LTDA.</v>
          </cell>
        </row>
        <row r="21594">
          <cell r="B21594" t="str">
            <v>M37156717000137</v>
          </cell>
          <cell r="C21594" t="str">
            <v>OBY EQUITIES GESTORA DE RECURSOS LTDA.</v>
          </cell>
          <cell r="D21594" t="str">
            <v>OBY EQUITIES GESTORA DE RECURSOS LTDA.</v>
          </cell>
          <cell r="E21594" t="str">
            <v>OBY CAPITAL GESTORA DE RECURSOS LTDA</v>
          </cell>
        </row>
        <row r="21595">
          <cell r="B21595" t="str">
            <v>M37022825000117</v>
          </cell>
          <cell r="C21595" t="str">
            <v>ETERNIA GESTORA DE RECURSOS LTDA.</v>
          </cell>
          <cell r="D21595" t="str">
            <v>ETERNIA GESTORA DE RECURSOS LTDA.</v>
          </cell>
          <cell r="E21595" t="str">
            <v>ETERNIA GESTORA DE RECURSOS LTDA.</v>
          </cell>
        </row>
        <row r="21596">
          <cell r="B21596" t="str">
            <v>M36976638000100</v>
          </cell>
          <cell r="C21596" t="str">
            <v>ALPHABOT INVESTIMENTOS S.A.</v>
          </cell>
          <cell r="D21596" t="str">
            <v>ALPHABOT INVESTIMENTOS S.A.</v>
          </cell>
          <cell r="E21596" t="str">
            <v>ALPHABOT INVESTIMENTOS S.A.</v>
          </cell>
        </row>
        <row r="21597">
          <cell r="B21597" t="str">
            <v>M36658682000171</v>
          </cell>
          <cell r="C21597" t="str">
            <v>ATLAS ONE INVESTIMENTOS GESTÃƒO DE RECURSOS LTDA.</v>
          </cell>
          <cell r="D21597" t="str">
            <v>ATLAS ONE INVESTIMENTOS GESTÃƒO DE RECURSOS LTDA.</v>
          </cell>
          <cell r="E21597" t="str">
            <v>ATLAS ONE INVESTIMENTOS GESTÃƒO DE RECURSOS LTDA</v>
          </cell>
        </row>
        <row r="21598">
          <cell r="B21598" t="str">
            <v>M36603403000172</v>
          </cell>
          <cell r="C21598" t="str">
            <v>TARUA CAPITAL GESTORA DE RECURSOS LTDA</v>
          </cell>
          <cell r="D21598" t="str">
            <v>TARUA CAPITAL GESTORA DE RECURSOS LTDA</v>
          </cell>
          <cell r="E21598" t="str">
            <v>TARUA CAPITAL GESTORA DE RECURSOS LTDA</v>
          </cell>
        </row>
        <row r="21599">
          <cell r="B21599" t="str">
            <v>M36588627000152</v>
          </cell>
          <cell r="C21599" t="str">
            <v>ORGANON CAPITAL GESTÃƒO DE INVESTIMENTOS LTDA.</v>
          </cell>
          <cell r="D21599" t="str">
            <v>ORGANON CAPITAL GESTÃƒO DE INVESTIMENTOS LTDA.</v>
          </cell>
          <cell r="E21599" t="str">
            <v>ORGANON CAPITAL GESTÃƒO DE INVESTIMENTOS LTDA.</v>
          </cell>
        </row>
        <row r="21600">
          <cell r="B21600" t="str">
            <v>M36556327000191</v>
          </cell>
          <cell r="C21600" t="str">
            <v>HELIUS CAPITAL GESTÃƒO DE RECURSOS SA.</v>
          </cell>
          <cell r="D21600" t="str">
            <v>HELIUS CAPITAL GESTÃƒO DE RECURSOS SA.</v>
          </cell>
          <cell r="E21600" t="str">
            <v>HELIUS CAPITAL GESTÃƒO DE RECURSOS SA.</v>
          </cell>
        </row>
        <row r="21601">
          <cell r="B21601">
            <v>90966</v>
          </cell>
          <cell r="C21601" t="str">
            <v>XP MACRO PLUS FUNDO DE INVESTIMENTO MULTIMERCADO</v>
          </cell>
          <cell r="D21601">
            <v>90966</v>
          </cell>
          <cell r="E21601" t="str">
            <v>XP MACRO PLUS FUNDO DE INVESTIMENTO MULTIMERCADO</v>
          </cell>
        </row>
        <row r="21602">
          <cell r="B21602" t="str">
            <v>M36358004000193</v>
          </cell>
          <cell r="C21602" t="str">
            <v>PRISMA REAL ESTATE GESTORA DE RECURSOS LTDA.</v>
          </cell>
          <cell r="D21602" t="str">
            <v>PRISMA REAL ESTATE GESTORA DE RECURSOS LTDA.</v>
          </cell>
          <cell r="E21602" t="str">
            <v>PRISMA REAL ESTATE GESTORA DE RECURSOS LTDA.</v>
          </cell>
        </row>
        <row r="21603">
          <cell r="B21603" t="str">
            <v>M36325253000263</v>
          </cell>
          <cell r="D21603" t="str">
            <v>BSIDE ASSESSOR DE INVESTIMENTO LTDA</v>
          </cell>
          <cell r="E21603" t="str">
            <v>BSIDE ASSESSOR DE INVESTIMENTO LTDA</v>
          </cell>
        </row>
        <row r="21604">
          <cell r="B21604" t="str">
            <v>M36196900000101</v>
          </cell>
          <cell r="C21604" t="str">
            <v>OPEA GESTORA DE RECURSOS LTDA.</v>
          </cell>
          <cell r="D21604" t="str">
            <v>OPEA GESTORA DE RECURSOS LTDA.</v>
          </cell>
          <cell r="E21604" t="str">
            <v>OPEA GESTORA DE RECURSOS LTDA.</v>
          </cell>
        </row>
        <row r="21605">
          <cell r="B21605" t="str">
            <v>M36122633000110</v>
          </cell>
          <cell r="C21605" t="str">
            <v>PEBAY INVESTIMENTOS LTDA.</v>
          </cell>
          <cell r="D21605" t="str">
            <v>PEBAY INVESTIMENTOS LTDA.</v>
          </cell>
          <cell r="E21605" t="str">
            <v>PEBAY INVESTIMENTOS LTDA.</v>
          </cell>
        </row>
        <row r="21606">
          <cell r="B21606" t="str">
            <v>M36040900000100</v>
          </cell>
          <cell r="C21606" t="str">
            <v>HARBOUR CAPITAL ADMINISTRADORA DE CARTEIRAS DE VALORES MOBILIÃRIOS LTDA.</v>
          </cell>
          <cell r="D21606" t="str">
            <v>HARBOUR CAPITAL ADMINISTRADORA DE CARTEIRAS DE VALORES MOBILIÃRIOS LTDA.</v>
          </cell>
          <cell r="E21606" t="str">
            <v>HARBOUR CAPITAL ADMINISTRADORA DE CARTEIRAS DE VALORES MOBILIÃRIOS LTDA.</v>
          </cell>
        </row>
        <row r="21607">
          <cell r="B21607" t="str">
            <v>M36012644000147</v>
          </cell>
          <cell r="C21607" t="str">
            <v>CAPSUR CAPITAL GESTÃƒO DE RECURSOS LTDA.</v>
          </cell>
          <cell r="D21607" t="str">
            <v>CAPSUR CAPITAL GESTÃƒO DE RECURSOS LTDA.</v>
          </cell>
          <cell r="E21607" t="str">
            <v>CAPSUR CAPITAL GESTÃƒO DE RECURSOS LTDA.</v>
          </cell>
        </row>
        <row r="21608">
          <cell r="B21608" t="str">
            <v>M35950923000199</v>
          </cell>
          <cell r="C21608" t="str">
            <v>ANGÃ INVESTIMENTOS LTDA</v>
          </cell>
          <cell r="D21608" t="str">
            <v>ANGÃ INVESTIMENTOS LTDA</v>
          </cell>
          <cell r="E21608" t="str">
            <v>ANGÃ INVESTIMENTOS LTDA</v>
          </cell>
        </row>
        <row r="21609">
          <cell r="B21609" t="str">
            <v>M35823637000162</v>
          </cell>
          <cell r="C21609" t="str">
            <v>FUSE CAPITAL GESTÃƒO DE RECURSOS S.A</v>
          </cell>
          <cell r="D21609" t="str">
            <v>FUSE CAPITAL GESTÃƒO DE RECURSOS S.A</v>
          </cell>
          <cell r="E21609" t="str">
            <v>FUSE CAPITAL GESTÃƒO DE RECURSOS S.A</v>
          </cell>
        </row>
        <row r="21610">
          <cell r="B21610" t="str">
            <v>M35713661000149</v>
          </cell>
          <cell r="C21610" t="str">
            <v>FICTOR ASSET LTDA.</v>
          </cell>
          <cell r="D21610" t="str">
            <v>FICTOR ASSET LTDA.</v>
          </cell>
          <cell r="E21610" t="str">
            <v>FICTOR ASSET LTDA.</v>
          </cell>
        </row>
        <row r="21611">
          <cell r="B21611" t="str">
            <v>M35646759000120</v>
          </cell>
          <cell r="C21611" t="str">
            <v>FORTUNE GESTORA DE RECURSOS LTDA.</v>
          </cell>
          <cell r="D21611" t="str">
            <v>FORTUNE GESTORA DE RECURSOS LTDA.</v>
          </cell>
          <cell r="E21611" t="str">
            <v>FORTUNE GESTORA DE RECURSOS LTDA.</v>
          </cell>
        </row>
        <row r="21612">
          <cell r="B21612" t="str">
            <v>M35502462000191</v>
          </cell>
          <cell r="C21612" t="str">
            <v>PANGEA CAPITAL GESTÃƒO DE RECURSOS LTDA.</v>
          </cell>
          <cell r="D21612" t="str">
            <v>PANGEA CAPITAL GESTÃƒO DE RECURSOS LTDA.</v>
          </cell>
          <cell r="E21612" t="str">
            <v>PANGEA CAPITAL GESTÃƒO DE RECURSOS LTDA.</v>
          </cell>
        </row>
        <row r="21613">
          <cell r="B21613" t="str">
            <v>M35487714000150</v>
          </cell>
          <cell r="C21613" t="str">
            <v>GREEN ALTERNATIVE INVESTMENTS ASSET MANAGEMENT S.A.</v>
          </cell>
          <cell r="D21613" t="str">
            <v>GREEN ALTERNATIVE INVESTMENTS ASSET MANAGEMENT S.A.</v>
          </cell>
          <cell r="E21613" t="str">
            <v>GREEN ALTERNATIVE INVESTMENTS ASSET MANAGEMENT S.A.</v>
          </cell>
        </row>
        <row r="21614">
          <cell r="B21614" t="str">
            <v>M35429122000182</v>
          </cell>
          <cell r="C21614" t="str">
            <v>CRESCERA VENTURE LTDA.</v>
          </cell>
          <cell r="D21614" t="str">
            <v>CRESCERA VENTURE LTDA.</v>
          </cell>
          <cell r="E21614" t="str">
            <v>CRESCERA VENTURE LTDA.</v>
          </cell>
        </row>
        <row r="21615">
          <cell r="B21615" t="str">
            <v>M35255886000107</v>
          </cell>
          <cell r="C21615" t="str">
            <v>BPS CAPITAL GESTORA DE RECURSOS LTDA.</v>
          </cell>
          <cell r="D21615" t="str">
            <v>BPS CAPITAL GESTORA DE RECURSOS LTDA.</v>
          </cell>
          <cell r="E21615" t="str">
            <v>BPS CAPITAL GESTORA DE RECURSOS LTDA.</v>
          </cell>
        </row>
        <row r="21616">
          <cell r="B21616" t="str">
            <v>M35137445000100</v>
          </cell>
          <cell r="C21616" t="str">
            <v>AWT CONSULTORIA E ADMINISTRAÃ‡ÃƒO DE VALORES MOBILIÃRIOS LTDA.</v>
          </cell>
          <cell r="D21616" t="str">
            <v>AWT CONSULTORIA E ADMINISTRAÃ‡ÃƒO DE VALORES MOBILIÃRIOS LTDA.</v>
          </cell>
          <cell r="E21616" t="str">
            <v>AWT CONSULTORIA E ADMINISTRAÃ‡ÃƒO DE VALORES MOBILIÃRIOS LTDA.</v>
          </cell>
        </row>
        <row r="21617">
          <cell r="B21617" t="str">
            <v>M35132740000166</v>
          </cell>
          <cell r="C21617" t="str">
            <v>BDR INVESTIMENTOS LTDA.</v>
          </cell>
          <cell r="D21617" t="str">
            <v>BDR INVESTIMENTOS LTDA.</v>
          </cell>
          <cell r="E21617" t="str">
            <v>BDR INVESTIMENTOS LTDA.</v>
          </cell>
        </row>
        <row r="21618">
          <cell r="B21618" t="str">
            <v>M35098801000116</v>
          </cell>
          <cell r="C21618" t="str">
            <v>TPE GESTORA DE RECURSOS LTDA.</v>
          </cell>
          <cell r="D21618" t="str">
            <v>TPE GESTORA DE RECURSOS LTDA.</v>
          </cell>
          <cell r="E21618" t="str">
            <v>TPE GESTORA DE RECURSOS LTDA.</v>
          </cell>
        </row>
        <row r="21619">
          <cell r="B21619" t="str">
            <v>M35098686000180</v>
          </cell>
          <cell r="C21619" t="str">
            <v>10B GESTORA DE RECURSOS LTDA.</v>
          </cell>
          <cell r="D21619" t="str">
            <v>10B GESTORA DE RECURSOS LTDA.</v>
          </cell>
          <cell r="E21619" t="str">
            <v>10B GESTORA DE RECURSOS LTDA.</v>
          </cell>
        </row>
        <row r="21620">
          <cell r="B21620" t="str">
            <v>M35096963000115</v>
          </cell>
          <cell r="C21620" t="str">
            <v>KAMAROOPIN GESTORA DE RECURSOS LTDA.</v>
          </cell>
          <cell r="D21620" t="str">
            <v>KAMAROOPIN GESTORA DE RECURSOS LTDA.</v>
          </cell>
          <cell r="E21620" t="str">
            <v>KAMAROOPIN GESTORA DE RECURSOS LTDA.</v>
          </cell>
        </row>
        <row r="21621">
          <cell r="B21621" t="str">
            <v>M35070686000171</v>
          </cell>
          <cell r="C21621" t="str">
            <v>GHIA GESTÃƒO DE RECURSOS LTDA.</v>
          </cell>
          <cell r="D21621" t="str">
            <v>GHIA GESTÃƒO DE RECURSOS LTDA.</v>
          </cell>
          <cell r="E21621" t="str">
            <v>GHIA GESTÃƒO DE RECURSOS LTDA.</v>
          </cell>
        </row>
        <row r="21622">
          <cell r="B21622" t="str">
            <v>M35068183000161</v>
          </cell>
          <cell r="C21622" t="str">
            <v>BLUE ASSET GESTÃƒO DE RECURSOS LTDA.</v>
          </cell>
          <cell r="D21622" t="str">
            <v>BLUE ASSET GESTÃƒO DE RECURSOS LTDA.</v>
          </cell>
          <cell r="E21622" t="str">
            <v>BLUE ASSET GESTÃƒO DE RECURSOS LTDA.</v>
          </cell>
        </row>
        <row r="21623">
          <cell r="B21623" t="str">
            <v>M34989998000110</v>
          </cell>
          <cell r="C21623" t="str">
            <v>ERFOLG GESTORA DE RECURSOS S/A</v>
          </cell>
          <cell r="D21623" t="str">
            <v>ERFOLG GESTORA DE RECURSOS S/A</v>
          </cell>
          <cell r="E21623" t="str">
            <v>ERFOLG GESTORA DE RECURSOS S/A</v>
          </cell>
        </row>
        <row r="21624">
          <cell r="B21624" t="str">
            <v>M34894757000198</v>
          </cell>
          <cell r="C21624" t="str">
            <v>STIMA GESTAO DE RECURSOS LTDA</v>
          </cell>
          <cell r="D21624" t="str">
            <v>STIMA GESTAO DE RECURSOS LTDA</v>
          </cell>
          <cell r="E21624" t="str">
            <v>STIMA GESTAO DE RECURSOS LTDA</v>
          </cell>
        </row>
        <row r="21625">
          <cell r="B21625" t="str">
            <v>M34867534000131</v>
          </cell>
          <cell r="C21625" t="str">
            <v>AVIN ASSET GESTAO DE RECURSOS LTDA.</v>
          </cell>
          <cell r="D21625" t="str">
            <v>AVIN ASSET GESTAO DE RECURSOS LTDA.</v>
          </cell>
          <cell r="E21625" t="str">
            <v>AVIN ASSET GESTAO DE RECURSOS LTDA.</v>
          </cell>
        </row>
        <row r="21626">
          <cell r="B21626" t="str">
            <v>M34835557000164</v>
          </cell>
          <cell r="C21626" t="str">
            <v>CRESCERA ASSET MANAGEMENT LTDA.</v>
          </cell>
          <cell r="D21626" t="str">
            <v>CRESCERA ASSET MANAGEMENT LTDA.</v>
          </cell>
          <cell r="E21626" t="str">
            <v>CRESCERA ASSET MANAGEMENT LTDA.</v>
          </cell>
        </row>
        <row r="21627">
          <cell r="B21627" t="str">
            <v>M34771772000149</v>
          </cell>
          <cell r="C21627" t="str">
            <v>FL2 PARTNERS GESTORA DE RECURSOS LTDA.</v>
          </cell>
          <cell r="D21627" t="str">
            <v>FL2 PARTNERS GESTORA DE RECURSOS LTDA.</v>
          </cell>
          <cell r="E21627" t="str">
            <v>FL2 PARTNERS GESTORA DE RECURSOS LTDA.</v>
          </cell>
        </row>
        <row r="21628">
          <cell r="B21628" t="str">
            <v>M34745508000130</v>
          </cell>
          <cell r="C21628" t="str">
            <v>NAVI YIELD - ADMINISTRADORA E GESTORA DE RECURSOS FINANCEIROS LTDA.</v>
          </cell>
          <cell r="D21628" t="str">
            <v>NAVI YIELD - ADMINISTRADORA E GESTORA DE RECURSOS FINANCEIROS LTDA.</v>
          </cell>
          <cell r="E21628" t="str">
            <v>NAVI YIELD - ADMINISTRADORA E GESTORA DE RECURSOS FINANCEIROS LTDA.</v>
          </cell>
        </row>
        <row r="21629">
          <cell r="B21629" t="str">
            <v>M34724184787</v>
          </cell>
          <cell r="C21629" t="str">
            <v>LELIS ALBERTO DE MOURA NOBRE</v>
          </cell>
          <cell r="D21629" t="str">
            <v>LELIS ALBERTO DE MOURA NOBRE</v>
          </cell>
          <cell r="E21629" t="str">
            <v>LELIS ALBERTO DE MOURA NOBRE</v>
          </cell>
        </row>
        <row r="21630">
          <cell r="B21630" t="str">
            <v>M34530561000114</v>
          </cell>
          <cell r="C21630" t="str">
            <v>CARAVELA CONSULTORIA E GESTÃƒO DE INVESTIMENTOS LTDA.</v>
          </cell>
          <cell r="D21630" t="str">
            <v>CARAVELA CONSULTORIA E GESTÃƒO DE INVESTIMENTOS LTDA.</v>
          </cell>
          <cell r="E21630" t="str">
            <v>CARAVELA CONSULTORIA E GESTÃƒO DE INVESTIMENTOS LTDA.</v>
          </cell>
        </row>
        <row r="21631">
          <cell r="B21631" t="str">
            <v>M34481804000171</v>
          </cell>
          <cell r="D21631" t="str">
            <v>INSTITUTOT DE PREV ASSIST DOS SERVIDORES DO MUN DE PORTO VELHO</v>
          </cell>
        </row>
        <row r="21632">
          <cell r="B21632" t="str">
            <v>M34020354000110</v>
          </cell>
          <cell r="D21632" t="str">
            <v>CAIXA SEGURADORA SA</v>
          </cell>
          <cell r="E21632" t="str">
            <v>CAIXA SEGURADORA S/A</v>
          </cell>
        </row>
        <row r="21633">
          <cell r="B21633" t="str">
            <v>M34008584000163</v>
          </cell>
          <cell r="C21633" t="str">
            <v>APO CAPITAL LTDA.</v>
          </cell>
          <cell r="D21633" t="str">
            <v>APO CAPITAL LTDA.</v>
          </cell>
          <cell r="E21633" t="str">
            <v>APO CAPITAL LTDA.</v>
          </cell>
        </row>
        <row r="21634">
          <cell r="B21634" t="str">
            <v>M34001455000143</v>
          </cell>
          <cell r="C21634" t="str">
            <v>GCS GestÃ£o de Recursos e IntermediaÃ§Ã£o de NegÃ³cios Ltda.</v>
          </cell>
          <cell r="D21634" t="str">
            <v>GCS GestÃ£o de Recursos e IntermediaÃ§Ã£o de NegÃ³cios Ltda.</v>
          </cell>
          <cell r="E21634" t="str">
            <v>GCS GestÃ£o de Recursos e IntermediaÃ§Ã£o de NegÃ³cios Ltda.</v>
          </cell>
        </row>
        <row r="21635">
          <cell r="B21635" t="str">
            <v>M33962328000148</v>
          </cell>
          <cell r="C21635" t="str">
            <v>R CAPITAL ASSET MANAGEMENT INVESTIMENTOS S.A.</v>
          </cell>
          <cell r="D21635" t="str">
            <v>R CAPITAL ASSET MANAGEMENT INVESTIMENTOS S.A.</v>
          </cell>
          <cell r="E21635" t="str">
            <v>R CAPITAL ASSET MANAGEMENT INVESTIMENTOS S.A.</v>
          </cell>
        </row>
        <row r="21636">
          <cell r="B21636" t="str">
            <v>M33857830000199</v>
          </cell>
          <cell r="C21636" t="str">
            <v>OPPORTUNITY HDF ADMINISTRADORA DE RECURSOS LTDA.</v>
          </cell>
          <cell r="D21636" t="str">
            <v>OPPORTUNITY HDF ADMINISTRADORA DE RECURSOS LTDA.</v>
          </cell>
          <cell r="E21636" t="str">
            <v>OPPORTUNITY GESTAO DE INVESTIMENTOS E RECURSOS LTDA</v>
          </cell>
        </row>
        <row r="21637">
          <cell r="B21637" t="str">
            <v>M33850686000169</v>
          </cell>
          <cell r="C21637" t="str">
            <v>BRB DTVM SA</v>
          </cell>
          <cell r="D21637" t="str">
            <v>BRB DTVM SA</v>
          </cell>
          <cell r="E21637" t="str">
            <v>BRB DTVM SA</v>
          </cell>
        </row>
        <row r="21638">
          <cell r="B21638" t="str">
            <v>M33820112000148</v>
          </cell>
          <cell r="C21638" t="str">
            <v>SHIFT CAPITAL GESTÃƒO DE RECURSOS S.A.</v>
          </cell>
          <cell r="D21638" t="str">
            <v>SHIFT CAPITAL GESTÃƒO DE RECURSOS S.A.</v>
          </cell>
          <cell r="E21638" t="str">
            <v>SHIFT CAPITAL GESTÃƒO DE RECURSOS S.A.</v>
          </cell>
        </row>
        <row r="21639">
          <cell r="B21639" t="str">
            <v>M33805882000111</v>
          </cell>
          <cell r="C21639" t="str">
            <v>AVANZA INVESTIMENTOS LTDA</v>
          </cell>
          <cell r="D21639" t="str">
            <v>AVANZA INVESTIMENTOS LTDA</v>
          </cell>
          <cell r="E21639" t="str">
            <v>AVANZA INVESTIMENTOS LTDA</v>
          </cell>
        </row>
        <row r="21640">
          <cell r="B21640" t="str">
            <v>M33755378833</v>
          </cell>
          <cell r="C21640" t="str">
            <v>GUSTAVO IMAFUKU KATAGUIRI</v>
          </cell>
          <cell r="D21640" t="str">
            <v>GUSTAVO IMAFUKU KATAGUIRI</v>
          </cell>
          <cell r="E21640" t="str">
            <v>GUSTAVO IMAFUKU KATAGUIRI</v>
          </cell>
        </row>
        <row r="21641">
          <cell r="B21641" t="str">
            <v>M33754914000105</v>
          </cell>
          <cell r="C21641" t="str">
            <v>ATIVORE GESTORA DE RECURSOS LTDA.</v>
          </cell>
          <cell r="D21641" t="str">
            <v>ATIVORE GESTORA DE RECURSOS LTDA.</v>
          </cell>
          <cell r="E21641" t="str">
            <v>ATIVORE GESTORA DE RECURSOS LTDA.</v>
          </cell>
        </row>
        <row r="21642">
          <cell r="B21642" t="str">
            <v>M33754482000124</v>
          </cell>
          <cell r="C21642" t="str">
            <v>CAIXA DE PREVIDENCIA DOS FUNCS DO BANCO DO BRASIL- PREVI</v>
          </cell>
          <cell r="D21642" t="str">
            <v>CAIXA DE PREVIDENCIA DOS FUNCS DO BANCO DO BRASIL- PREVI</v>
          </cell>
          <cell r="E21642" t="str">
            <v>CAIXA DE PREVIDENCIA DOS FUNCS DO BANCO DO BRASIL- PREVI</v>
          </cell>
        </row>
        <row r="21643">
          <cell r="B21643" t="str">
            <v>M33608308000173</v>
          </cell>
          <cell r="C21643" t="str">
            <v>MONGERAL AEGON SEGUROS E PREVIDÃŠNCIA S.A.</v>
          </cell>
          <cell r="D21643" t="str">
            <v>MONGERAL AEGON SEGUROS E PREVIDÃŠNCIA S.A.</v>
          </cell>
          <cell r="E21643" t="str">
            <v>MONGERAL AEGON INVESTIMENTOS LTDA</v>
          </cell>
        </row>
        <row r="21644">
          <cell r="B21644" t="str">
            <v>M33576954000104</v>
          </cell>
          <cell r="C21644" t="str">
            <v>ARTESANAL FINANCEIRO LTDA</v>
          </cell>
          <cell r="D21644" t="str">
            <v>ARTESANAL FINANCEIRO LTDA</v>
          </cell>
          <cell r="E21644" t="str">
            <v>ARTESANAL FINANCEIRO LTDA</v>
          </cell>
        </row>
        <row r="21645">
          <cell r="B21645" t="str">
            <v>M33534220000154</v>
          </cell>
          <cell r="C21645" t="str">
            <v>AURUM GESTÃƒO DE PATRIMÃ”NIO LTDA.</v>
          </cell>
          <cell r="D21645" t="str">
            <v>AURUM GESTÃƒO DE PATRIMÃ”NIO LTDA.</v>
          </cell>
          <cell r="E21645" t="str">
            <v>AURUM GESTÃƒO DE PATRIMÃ”NIO LTDA.</v>
          </cell>
        </row>
        <row r="21646">
          <cell r="B21646" t="str">
            <v>M33459864000125</v>
          </cell>
          <cell r="C21646" t="str">
            <v>ORRAM GESTÃƒO DE RECURSOS LTDA.</v>
          </cell>
          <cell r="D21646" t="str">
            <v>ORRAM GESTÃƒO DE RECURSOS LTDA.</v>
          </cell>
          <cell r="E21646" t="str">
            <v>ORRAM GESTÃƒO DE RECURSOS LTDA.</v>
          </cell>
        </row>
        <row r="21647">
          <cell r="B21647" t="str">
            <v>M33411319000169</v>
          </cell>
          <cell r="C21647" t="str">
            <v>ABC CAPITAL MFO GESTÃƒO DE ATIVOS LTDA.</v>
          </cell>
          <cell r="D21647" t="str">
            <v>ABC CAPITAL MFO GESTÃƒO DE ATIVOS LTDA.</v>
          </cell>
          <cell r="E21647" t="str">
            <v>ABC CAPITAL MFO GESTÃƒO DE ATIVOS LTDA.</v>
          </cell>
        </row>
        <row r="21648">
          <cell r="B21648" t="str">
            <v>M33342059000117</v>
          </cell>
          <cell r="C21648" t="str">
            <v>SOMACRED ASSET LTDA.</v>
          </cell>
          <cell r="D21648" t="str">
            <v>SOMACRED ASSET LTDA.</v>
          </cell>
          <cell r="E21648" t="str">
            <v>SOMACRED ASSET LTDA.</v>
          </cell>
        </row>
        <row r="21649">
          <cell r="B21649" t="str">
            <v>M33311713000125</v>
          </cell>
          <cell r="C21649" t="str">
            <v>ITAU DTVM S.A.</v>
          </cell>
          <cell r="D21649" t="str">
            <v>ITAU DTVM S.A.</v>
          </cell>
          <cell r="E21649" t="str">
            <v>ITAU DTVM S.A.</v>
          </cell>
        </row>
        <row r="21650">
          <cell r="B21650" t="str">
            <v>M33267993000111</v>
          </cell>
          <cell r="C21650" t="str">
            <v>DELTA ENERGIA ADMINISTRAÃ‡ÃƒO DE RECURSOS LTDA.</v>
          </cell>
          <cell r="D21650" t="str">
            <v>DELTA ENERGIA ADMINISTRAÃ‡ÃƒO DE RECURSOS LTDA.</v>
          </cell>
          <cell r="E21650" t="str">
            <v>DELTA ENERGIA ADMINISTRAÃ‡ÃƒO DE RECURSOS LTDA.</v>
          </cell>
        </row>
        <row r="21651">
          <cell r="B21651" t="str">
            <v>M33254420000153</v>
          </cell>
          <cell r="C21651" t="str">
            <v>ENSO GESTÃƒO DE RECURSOS LTDA.</v>
          </cell>
          <cell r="D21651" t="str">
            <v>ENSO GESTÃƒO DE RECURSOS LTDA.</v>
          </cell>
          <cell r="E21651" t="str">
            <v>ENSO GESTÃƒO DE RECURSOS LTDA.</v>
          </cell>
        </row>
        <row r="21652">
          <cell r="B21652" t="str">
            <v>M33202473000120</v>
          </cell>
          <cell r="C21652" t="str">
            <v>POSITIVA INVESTIMENTOS LTDA</v>
          </cell>
          <cell r="D21652" t="str">
            <v>POSITIVA INVESTIMENTOS LTDA</v>
          </cell>
          <cell r="E21652" t="str">
            <v>POSITIVA INVESTIMENTOS LTDA</v>
          </cell>
        </row>
        <row r="21653">
          <cell r="B21653" t="str">
            <v>M32774786000190</v>
          </cell>
          <cell r="C21653" t="str">
            <v>MAR ASSET MANAGEMENT GESTORA DE RECURSOS LTDA.</v>
          </cell>
          <cell r="D21653" t="str">
            <v>MAR ASSET MANAGEMENT GESTORA DE RECURSOS LTDA.</v>
          </cell>
          <cell r="E21653" t="str">
            <v>MAR ASSET MANAGEMENT GESTORA DE RECURSOS LTDA.</v>
          </cell>
        </row>
        <row r="21654">
          <cell r="B21654" t="str">
            <v>M32764855000185</v>
          </cell>
          <cell r="C21654" t="str">
            <v>LIBERTAS ASSET S/A</v>
          </cell>
          <cell r="D21654" t="str">
            <v>LIBERTAS ASSET S/A</v>
          </cell>
          <cell r="E21654" t="str">
            <v>LIBERTAS ASSET S/A</v>
          </cell>
        </row>
        <row r="21655">
          <cell r="B21655" t="str">
            <v>M32719073000124</v>
          </cell>
          <cell r="C21655" t="str">
            <v>SP2 GESTORA DE RECURSOS E INVESTIMENTOS LTDA.</v>
          </cell>
          <cell r="D21655" t="str">
            <v>SP2 GESTORA DE RECURSOS E INVESTIMENTOS LTDA.</v>
          </cell>
          <cell r="E21655" t="str">
            <v>SP2 GESTORA DE RECURSOS E INVESTIMENTOS LTDA.</v>
          </cell>
        </row>
        <row r="21656">
          <cell r="B21656" t="str">
            <v>M32689682877</v>
          </cell>
          <cell r="C21656" t="str">
            <v>RAFAEL GIROTO NARCISO DE OLIVEIRA</v>
          </cell>
          <cell r="D21656" t="str">
            <v>RAFAEL GIROTO NARCISO DE OLIVEIRA</v>
          </cell>
          <cell r="E21656" t="str">
            <v>RAFAEL GIROTO NARCISO DE OLIVEIRA</v>
          </cell>
        </row>
        <row r="21657">
          <cell r="B21657" t="str">
            <v>M32582247000150</v>
          </cell>
          <cell r="C21657" t="str">
            <v>FIDD ADMINISTRAÃ‡ÃƒO DE RECURSOS LTDA</v>
          </cell>
          <cell r="D21657" t="str">
            <v>FIDD ADMINISTRAÃ‡ÃƒO DE RECURSOS LTDA</v>
          </cell>
          <cell r="E21657" t="str">
            <v>FIDD ADMINISTRAÃ‡ÃƒO DE RECURSOS LTDA</v>
          </cell>
        </row>
        <row r="21658">
          <cell r="B21658" t="str">
            <v>M32541657000152</v>
          </cell>
          <cell r="C21658" t="str">
            <v>ABSOLUTO PARTNERS GESTÃƒO DE RECURSOS LTDA.</v>
          </cell>
          <cell r="D21658" t="str">
            <v>ABSOLUTO PARTNERS GESTÃƒO DE RECURSOS LTDA.</v>
          </cell>
          <cell r="E21658" t="str">
            <v>ABSOLUTO PARTNERS GESTÃƒO DE RECURSOS LTDA.</v>
          </cell>
        </row>
        <row r="21659">
          <cell r="B21659" t="str">
            <v>M32405547000163</v>
          </cell>
          <cell r="C21659" t="str">
            <v>UNBOX CAPITAL GESTÃƒO DE RECURSOS FINANCEIROS LTDA.</v>
          </cell>
          <cell r="D21659" t="str">
            <v>UNBOX CAPITAL GESTÃƒO DE RECURSOS FINANCEIROS LTDA.</v>
          </cell>
          <cell r="E21659" t="str">
            <v>UNBOX CAPITAL GESTÃƒO DE RECURSOS FINANCEIROS LTDA.</v>
          </cell>
        </row>
        <row r="21660">
          <cell r="B21660" t="str">
            <v>M32319907000104</v>
          </cell>
          <cell r="C21660" t="str">
            <v>INVESTIDOR PROFISSIONAL GESTÃƒO DE RECURSOS LTDA</v>
          </cell>
          <cell r="D21660" t="str">
            <v>INVESTIDOR PROFISSIONAL GESTÃƒO DE RECURSOS LTDA</v>
          </cell>
          <cell r="E21660" t="str">
            <v>INVESTIDOR PROFISSIONAL GESTÃƒO DE RECURSOS LTDA</v>
          </cell>
        </row>
        <row r="21661">
          <cell r="B21661" t="str">
            <v>M32274480000175</v>
          </cell>
          <cell r="C21661" t="str">
            <v>TRIGGER GESTORA DE RECURSOS LTDA.</v>
          </cell>
          <cell r="D21661" t="str">
            <v>TRIGGER GESTORA DE RECURSOS LTDA.</v>
          </cell>
          <cell r="E21661" t="str">
            <v>TRIGGER GESTORA DE RECURSOS LTDA.</v>
          </cell>
        </row>
        <row r="21662">
          <cell r="B21662" t="str">
            <v>M32197258000116</v>
          </cell>
          <cell r="C21662" t="str">
            <v>PARALLAX VENTURES GESTÃƒO DE RECURSOS LTDA.</v>
          </cell>
          <cell r="D21662" t="str">
            <v>PARALLAX VENTURES GESTÃƒO DE RECURSOS LTDA.</v>
          </cell>
          <cell r="E21662" t="str">
            <v>PARALLAX VOLATILITY ADVISERS</v>
          </cell>
        </row>
        <row r="21663">
          <cell r="B21663" t="str">
            <v>M32007649000120</v>
          </cell>
          <cell r="C21663" t="str">
            <v>PORTOGALLO INVESTIMENTOS LTDA.</v>
          </cell>
          <cell r="D21663" t="str">
            <v>PORTOGALLO INVESTIMENTOS LTDA.</v>
          </cell>
          <cell r="E21663" t="str">
            <v>PORTOGALLO INVESTIMENTOS LTDA.</v>
          </cell>
        </row>
        <row r="21664">
          <cell r="B21664" t="str">
            <v>M32003165000103</v>
          </cell>
          <cell r="C21664" t="str">
            <v>MULTIPLICA WEALTH MANAGEMENT LTDA.</v>
          </cell>
          <cell r="D21664" t="str">
            <v>MULTIPLICA WEALTH MANAGEMENT LTDA.</v>
          </cell>
          <cell r="E21664" t="str">
            <v>MULTIPLICA WEALTH MANAGEMENT LTDA.</v>
          </cell>
        </row>
        <row r="21665">
          <cell r="B21665" t="str">
            <v>M31938859000170</v>
          </cell>
          <cell r="C21665" t="str">
            <v>MEL GESTORA DE RECURSOS S.A.</v>
          </cell>
          <cell r="D21665" t="str">
            <v>MEL GESTORA DE RECURSOS S.A.</v>
          </cell>
          <cell r="E21665" t="str">
            <v>MEL GESTORA DE RECURSOS S.A.</v>
          </cell>
        </row>
        <row r="21666">
          <cell r="B21666" t="str">
            <v>M31931023000143</v>
          </cell>
          <cell r="C21666" t="str">
            <v>FALCONI CAPITAL LTDA.</v>
          </cell>
          <cell r="D21666" t="str">
            <v>FALCONI CAPITAL LTDA.</v>
          </cell>
          <cell r="E21666" t="str">
            <v>FALCONI CAPITAL LTDA.</v>
          </cell>
        </row>
        <row r="21667">
          <cell r="B21667" t="str">
            <v>M31925548000176</v>
          </cell>
          <cell r="D21667" t="str">
            <v>GRUPO HOSPITALAR DO RIO DE JANEIRO LTDA</v>
          </cell>
        </row>
        <row r="21668">
          <cell r="B21668" t="str">
            <v>M31881090000109</v>
          </cell>
          <cell r="C21668" t="str">
            <v>BLUEMACAW GESTORA DE RECURSOS LTDA.</v>
          </cell>
          <cell r="D21668" t="str">
            <v>BLUEMACAW GESTORA DE RECURSOS LTDA.</v>
          </cell>
          <cell r="E21668" t="str">
            <v>BLUEMACAW GESTORA DE RECURSOS LTDA.</v>
          </cell>
        </row>
        <row r="21669">
          <cell r="B21669" t="str">
            <v>M31818879000107</v>
          </cell>
          <cell r="C21669" t="str">
            <v>URCA GESTÃƒO DE RECURSOS LTDA.</v>
          </cell>
          <cell r="D21669" t="str">
            <v>URCA GESTÃƒO DE RECURSOS LTDA.</v>
          </cell>
          <cell r="E21669" t="str">
            <v>URCA GESTÃƒO DE RECURSOS LTDA.</v>
          </cell>
        </row>
        <row r="21670">
          <cell r="B21670" t="str">
            <v>M31681693000159</v>
          </cell>
          <cell r="C21670" t="str">
            <v>INVESTCOOP ASSET MANAGEMENT LTDA.</v>
          </cell>
          <cell r="D21670" t="str">
            <v>INVESTCOOP ASSET MANAGEMENT LTDA.</v>
          </cell>
          <cell r="E21670" t="str">
            <v>INVESTCOOP ASSET MANAGEMENT LTDA.</v>
          </cell>
        </row>
        <row r="21671">
          <cell r="B21671" t="str">
            <v>M31654752000108</v>
          </cell>
          <cell r="C21671" t="str">
            <v>VITIS GESTÃƒO DE RECURSOS LTDA.</v>
          </cell>
          <cell r="D21671" t="str">
            <v>VITIS GESTÃƒO DE RECURSOS LTDA.</v>
          </cell>
          <cell r="E21671" t="str">
            <v>VITIS GESTÃƒO DE RECURSOS LTDA.</v>
          </cell>
        </row>
        <row r="21672">
          <cell r="B21672" t="str">
            <v>M31636333000135</v>
          </cell>
          <cell r="C21672" t="str">
            <v>VERT GESTORA DE RECURSOS FINANCEIROS LTDA.</v>
          </cell>
          <cell r="D21672" t="str">
            <v>VERT GESTORA DE RECURSOS FINANCEIROS LTDA.</v>
          </cell>
          <cell r="E21672" t="str">
            <v>VERT GESTORA DE RECURSOS FINANCEIROS LTDA.</v>
          </cell>
        </row>
        <row r="21673">
          <cell r="B21673" t="str">
            <v>M31597552000152</v>
          </cell>
          <cell r="C21673" t="str">
            <v>BANCO CLÃSSICO S.A.</v>
          </cell>
          <cell r="D21673" t="str">
            <v>BANCO CLÃSSICO S.A.</v>
          </cell>
          <cell r="E21673" t="str">
            <v>BANCO CLÃSSICO S.A.</v>
          </cell>
        </row>
        <row r="21674">
          <cell r="B21674" t="str">
            <v>M31439560000170</v>
          </cell>
          <cell r="C21674" t="str">
            <v>GALOP CAPITAL LTDA.</v>
          </cell>
          <cell r="D21674" t="str">
            <v>GALOP CAPITAL LTDA.</v>
          </cell>
          <cell r="E21674" t="str">
            <v>GALOP CAPITAL LTDA.</v>
          </cell>
        </row>
        <row r="21675">
          <cell r="B21675" t="str">
            <v>M31428961801</v>
          </cell>
          <cell r="C21675" t="str">
            <v>MARIA APARECIDA DE SOUZA</v>
          </cell>
          <cell r="D21675" t="str">
            <v>MARIA APARECIDA DE SOUZA</v>
          </cell>
          <cell r="E21675" t="str">
            <v>MARIA APARECIDA DE SOUZA</v>
          </cell>
        </row>
        <row r="21676">
          <cell r="B21676" t="str">
            <v>M31410054000159</v>
          </cell>
          <cell r="C21676" t="str">
            <v>JATAI GESTÃƒO DE RECURSOS DE TERCEIROS LTDA.</v>
          </cell>
          <cell r="D21676" t="str">
            <v>JATAI GESTÃƒO DE RECURSOS DE TERCEIROS LTDA.</v>
          </cell>
          <cell r="E21676" t="str">
            <v>JATAI GESTÃƒO DE RECURSOS DE TERCEIROS LTDA.</v>
          </cell>
        </row>
        <row r="21677">
          <cell r="B21677" t="str">
            <v>M31340246000136</v>
          </cell>
          <cell r="C21677" t="str">
            <v>ALPHA KEY CAPITAL MANAGEMENT INVESTIMENTOS LTDA.</v>
          </cell>
          <cell r="D21677" t="str">
            <v>ALPHA KEY CAPITAL MANAGEMENT INVESTIMENTOS LTDA.</v>
          </cell>
          <cell r="E21677" t="str">
            <v>ALPHA KEY CAPITAL MANAGEMENT INVESTIMENTOS LTDA</v>
          </cell>
        </row>
        <row r="21678">
          <cell r="B21678" t="str">
            <v>M31230324000140</v>
          </cell>
          <cell r="C21678" t="str">
            <v>HECTARE CAPITAL GESTORA DE RECURSOS LTDA.</v>
          </cell>
          <cell r="D21678" t="str">
            <v>HECTARE CAPITAL GESTORA DE RECURSOS LTDA.</v>
          </cell>
          <cell r="E21678" t="str">
            <v>HECTARE CAPITAL GESTORA DE RECURSOS LTDA.</v>
          </cell>
        </row>
        <row r="21679">
          <cell r="B21679" t="str">
            <v>M31158029000120</v>
          </cell>
          <cell r="C21679" t="str">
            <v>LUME INVESTIMENTOS LTDA.</v>
          </cell>
          <cell r="D21679" t="str">
            <v>LUME INVESTIMENTOS LTDA.</v>
          </cell>
          <cell r="E21679" t="str">
            <v>LUME INVESTIMENTOS LTDA.</v>
          </cell>
        </row>
        <row r="21680">
          <cell r="B21680" t="str">
            <v>M31139681000105</v>
          </cell>
          <cell r="C21680" t="str">
            <v>GERA CAPITAL GESTÃƒO DE RECURSOS LTDA.</v>
          </cell>
          <cell r="D21680" t="str">
            <v>GERA CAPITAL GESTÃƒO DE RECURSOS LTDA.</v>
          </cell>
          <cell r="E21680" t="str">
            <v>GERA CAPITAL GESTÃƒO DE RECURSOS LTDA.</v>
          </cell>
        </row>
        <row r="21681">
          <cell r="B21681" t="str">
            <v>M30886483000134</v>
          </cell>
          <cell r="C21681" t="str">
            <v>ORE INVESTMENTS PARTICIPAÃ‡Ã•ES LTDA.</v>
          </cell>
          <cell r="D21681" t="str">
            <v>ORE INVESTMENTS PARTICIPAÃ‡Ã•ES LTDA.</v>
          </cell>
          <cell r="E21681" t="str">
            <v>ORE INVESTMENTS PARTICIPAÃ‡Ã•ES LTDA.</v>
          </cell>
        </row>
        <row r="21682">
          <cell r="B21682" t="str">
            <v>M30791155000154</v>
          </cell>
          <cell r="C21682" t="str">
            <v>TORDESILHAS CAPITAL GESTORA DE RECURSOS LTDA.</v>
          </cell>
          <cell r="D21682" t="str">
            <v>TORDESILHAS CAPITAL GESTORA DE RECURSOS LTDA.</v>
          </cell>
          <cell r="E21682" t="str">
            <v>TORDESILHAS CAPITAL GESTORA DE RECURSOS LTDA.</v>
          </cell>
        </row>
        <row r="21683">
          <cell r="B21683" t="str">
            <v>M30785604812</v>
          </cell>
          <cell r="C21683" t="str">
            <v>CAUÃŠ CASTELLO VEIGA INNOCÃŠNCIO CARDOSO</v>
          </cell>
          <cell r="D21683" t="str">
            <v>CAUÃŠ CASTELLO VEIGA INNOCÃŠNCIO CARDOSO</v>
          </cell>
          <cell r="E21683" t="str">
            <v>CAUÃŠ CASTELLO VEIGA INNOCÃŠNCIO CARDOSO</v>
          </cell>
        </row>
        <row r="21684">
          <cell r="B21684" t="str">
            <v>M30658205000120</v>
          </cell>
          <cell r="C21684" t="str">
            <v>PENINSULA PATRIMONIAL GESTÃƒO DE RECURSOS LTDA.</v>
          </cell>
          <cell r="D21684" t="str">
            <v>PENINSULA PATRIMONIAL GESTÃƒO DE RECURSOS LTDA.</v>
          </cell>
          <cell r="E21684" t="str">
            <v>PENINSULA PATRIMONIAL GESTÃƒO DE RECURSOS LTDA.</v>
          </cell>
        </row>
        <row r="21685">
          <cell r="B21685" t="str">
            <v>M30554317000130</v>
          </cell>
          <cell r="C21685" t="str">
            <v>ENTERCAPITAL GESTÃƒO DE RECURSOS LTDA</v>
          </cell>
          <cell r="D21685" t="str">
            <v>ENTERCAPITAL GESTÃƒO DE RECURSOS LTDA</v>
          </cell>
          <cell r="E21685" t="str">
            <v>ENTERCAPITAL GESTÃƒO DE RECURSOS LTDA</v>
          </cell>
        </row>
        <row r="21686">
          <cell r="B21686" t="str">
            <v>M30488319000179</v>
          </cell>
          <cell r="C21686" t="str">
            <v>NW3 CAPITAL GESTÃƒO DE RECURSOS LTDA.</v>
          </cell>
          <cell r="D21686" t="str">
            <v>NW3 CAPITAL GESTÃƒO DE RECURSOS LTDA.</v>
          </cell>
          <cell r="E21686" t="str">
            <v>NW3 CAPITAL GESTÃƒO DE RECURSOS LTDA.</v>
          </cell>
        </row>
        <row r="21687">
          <cell r="B21687" t="str">
            <v>M30486755000109</v>
          </cell>
          <cell r="C21687" t="str">
            <v>LOGOS GESTAO DE RECURSOS LTDA.</v>
          </cell>
          <cell r="D21687" t="str">
            <v>LOGOS GESTAO DE RECURSOS LTDA.</v>
          </cell>
          <cell r="E21687" t="str">
            <v>LOGOS GESTAO DE RECURSOS LTDA</v>
          </cell>
        </row>
        <row r="21688">
          <cell r="B21688" t="str">
            <v>M30418084000149</v>
          </cell>
          <cell r="C21688" t="str">
            <v>EXANTE ASSET MANAGEMENT LTDA.</v>
          </cell>
          <cell r="D21688" t="str">
            <v>EXANTE ASSET MANAGEMENT LTDA.</v>
          </cell>
          <cell r="E21688" t="str">
            <v>EXANTE ASSET MANAGEMENT LTDA.</v>
          </cell>
        </row>
        <row r="21689">
          <cell r="B21689" t="str">
            <v>M30406191000157</v>
          </cell>
          <cell r="C21689" t="str">
            <v>V&amp;B GESTÃƒO DE PATRIMÃ”NIO LTDA.</v>
          </cell>
          <cell r="D21689" t="str">
            <v>V&amp;B GESTÃƒO DE PATRIMÃ”NIO LTDA.</v>
          </cell>
          <cell r="E21689" t="str">
            <v>V&amp;B GESTÃO DE PATRIMONIO LTDA</v>
          </cell>
        </row>
        <row r="21690">
          <cell r="B21690" t="str">
            <v>M30342314000133</v>
          </cell>
          <cell r="C21690" t="str">
            <v>FRONTEIRA - GESTÃƒO DE INVESTIMENTOS LTDA</v>
          </cell>
          <cell r="D21690" t="str">
            <v>FRONTEIRA - GESTÃƒO DE INVESTIMENTOS LTDA</v>
          </cell>
          <cell r="E21690" t="str">
            <v>FRONTEIRA - GESTÃƒO DE INVESTIMENTOS LTDA</v>
          </cell>
        </row>
        <row r="21691">
          <cell r="B21691" t="str">
            <v>M30193431000182</v>
          </cell>
          <cell r="C21691" t="str">
            <v>ENGEFORM GESTÃƒO DE RECURSOS LTDA.</v>
          </cell>
          <cell r="D21691" t="str">
            <v>ENGEFORM GESTÃƒO DE RECURSOS LTDA.</v>
          </cell>
          <cell r="E21691" t="str">
            <v>ENGEFORM GESTÃƒO DE RECURSOS LTDA.</v>
          </cell>
        </row>
        <row r="21692">
          <cell r="B21692" t="str">
            <v>M30056796000165</v>
          </cell>
          <cell r="C21692" t="str">
            <v>HASHDEX GESTORA DE RECURSOS LTDA</v>
          </cell>
          <cell r="D21692" t="str">
            <v>HASHDEX GESTORA DE RECURSOS LTDA</v>
          </cell>
          <cell r="E21692" t="str">
            <v>HASHDEX GESTORA DE RECURSOS LTDA</v>
          </cell>
        </row>
        <row r="21693">
          <cell r="B21693" t="str">
            <v>M30030696000160</v>
          </cell>
          <cell r="C21693" t="str">
            <v>PRECE - PREVIDENCIA COMPLEMENTAR</v>
          </cell>
          <cell r="D21693" t="str">
            <v>PRECE - PREVIDENCIA COMPLEMENTAR</v>
          </cell>
          <cell r="E21693" t="str">
            <v>PRECE - PREVIDENCIA COMPLEMENTAR</v>
          </cell>
        </row>
        <row r="21694">
          <cell r="B21694" t="str">
            <v>M29976481000157</v>
          </cell>
          <cell r="C21694" t="str">
            <v>CATUAÃ GESTORA DE RECURSOS LTDA.</v>
          </cell>
          <cell r="D21694" t="str">
            <v>CATUAÃ GESTORA DE RECURSOS LTDA.</v>
          </cell>
          <cell r="E21694" t="str">
            <v>CATUAÃ GESTORA DE RECURSOS LTDA.</v>
          </cell>
        </row>
        <row r="21695">
          <cell r="B21695" t="str">
            <v>M29793963000171</v>
          </cell>
          <cell r="C21695" t="str">
            <v>NAIA CAPITAL GESTÃƒO E CONSULTORIA FINANCEIRA LTDA.</v>
          </cell>
          <cell r="D21695" t="str">
            <v>NAIA CAPITAL GESTÃƒO E CONSULTORIA FINANCEIRA LTDA.</v>
          </cell>
          <cell r="E21695" t="str">
            <v>NAIA CAPITAL GESTÃƒO E CONSULTORIA FINANCEIRA LTDA.</v>
          </cell>
        </row>
        <row r="21696">
          <cell r="B21696" t="str">
            <v>M29762953000179</v>
          </cell>
          <cell r="C21696" t="str">
            <v>MARIN GESTORA DE RECURSOS S.A</v>
          </cell>
          <cell r="D21696" t="str">
            <v>MARIN GESTORA DE RECURSOS S.A</v>
          </cell>
          <cell r="E21696" t="str">
            <v>MARIN GESTORA DE RECURSOS S.A</v>
          </cell>
        </row>
        <row r="21697">
          <cell r="B21697" t="str">
            <v>M29738952000199</v>
          </cell>
          <cell r="C21697" t="str">
            <v>SERPROS FUNDO MULTIPATROCINADO</v>
          </cell>
          <cell r="D21697" t="str">
            <v>SERPROS FUNDO MULTIPATROCINADO</v>
          </cell>
          <cell r="E21697" t="str">
            <v>SERPROS FUNDO MULTIPATROCINADO</v>
          </cell>
        </row>
        <row r="21698">
          <cell r="B21698" t="str">
            <v>M29580517000189</v>
          </cell>
          <cell r="C21698" t="str">
            <v>CAPRI INVESTIMENTOS LTDA.</v>
          </cell>
          <cell r="D21698" t="str">
            <v>CAPRI INVESTIMENTOS LTDA.</v>
          </cell>
          <cell r="E21698" t="str">
            <v>CAPRI INVESTIMENTOS LTDA.</v>
          </cell>
        </row>
        <row r="21699">
          <cell r="B21699" t="str">
            <v>M29491423894</v>
          </cell>
          <cell r="C21699" t="str">
            <v>GUILHERME LOMBARDI JR.</v>
          </cell>
          <cell r="D21699" t="str">
            <v>GUILHERME LOMBARDI JR.</v>
          </cell>
          <cell r="E21699" t="str">
            <v>GUILHERME LOMBARDI JR.</v>
          </cell>
        </row>
        <row r="21700">
          <cell r="B21700" t="str">
            <v>M29389196000130</v>
          </cell>
          <cell r="C21700" t="str">
            <v>RYO GESTÃƒO DE RECURSOS LTDA.</v>
          </cell>
          <cell r="D21700" t="str">
            <v>RYO GESTÃƒO DE RECURSOS LTDA.</v>
          </cell>
          <cell r="E21700" t="str">
            <v>RYO GESTÃƒO DE RECURSOS LTDA.</v>
          </cell>
        </row>
        <row r="21701">
          <cell r="B21701" t="str">
            <v>M29302654000151</v>
          </cell>
          <cell r="C21701" t="str">
            <v>SOLUM GESTORA DE RECURSOS LTDA.</v>
          </cell>
          <cell r="D21701" t="str">
            <v>SOLUM GESTORA DE RECURSOS LTDA.</v>
          </cell>
          <cell r="E21701" t="str">
            <v>SOLUM GESTORA DE RECURSOS LTDA.</v>
          </cell>
        </row>
        <row r="21702">
          <cell r="B21702" t="str">
            <v>M29292940000183</v>
          </cell>
          <cell r="C21702" t="str">
            <v>REDPOINT EVENTURES GESTÃƒO DE RECURSOS LTDA.</v>
          </cell>
          <cell r="D21702" t="str">
            <v>REDPOINT EVENTURES GESTÃƒO DE RECURSOS LTDA.</v>
          </cell>
          <cell r="E21702" t="str">
            <v>REDPOINT EVENTURES GESTÃƒO DE RECURSOS LTDA.</v>
          </cell>
        </row>
        <row r="21703">
          <cell r="B21703" t="str">
            <v>M29247309000162</v>
          </cell>
          <cell r="C21703" t="str">
            <v>SOMMA MULTI-FAMILY OFFICE S.A.</v>
          </cell>
          <cell r="D21703" t="str">
            <v>SOMMA MULTI-FAMILY OFFICE S.A.</v>
          </cell>
          <cell r="E21703" t="str">
            <v>SOMMA MULTI-FAMILY OFFICE S.A.</v>
          </cell>
        </row>
        <row r="21704">
          <cell r="B21704" t="str">
            <v>M29158123000137</v>
          </cell>
          <cell r="C21704" t="str">
            <v>GALAPAGOS INVESTMENTS SOLUTIONS LTDA.</v>
          </cell>
          <cell r="D21704" t="str">
            <v>GALAPAGOS INVESTMENTS SOLUTIONS LTDA.</v>
          </cell>
          <cell r="E21704" t="str">
            <v>GALAPAGOS CAPITAL INVESTIMENTOS E PARTICIPAÇOES LTDA</v>
          </cell>
        </row>
        <row r="21705">
          <cell r="B21705" t="str">
            <v>M29063944000190</v>
          </cell>
          <cell r="C21705" t="str">
            <v>3J GESTORA DE RECURSOS LTDA. - ME</v>
          </cell>
          <cell r="D21705" t="str">
            <v>3J GESTORA DE RECURSOS LTDA. - ME</v>
          </cell>
          <cell r="E21705" t="str">
            <v>3J GESTORA DE RECURSOS LTDA. - ME</v>
          </cell>
        </row>
        <row r="21706">
          <cell r="B21706" t="str">
            <v>M28693517000122</v>
          </cell>
          <cell r="C21706" t="str">
            <v>LYON CAPITAL GESTÃƒO DE RECURSOS S.A.</v>
          </cell>
          <cell r="D21706" t="str">
            <v>LYON CAPITAL GESTÃƒO DE RECURSOS S.A.</v>
          </cell>
          <cell r="E21706" t="str">
            <v>LYON CAPITAL GESTÃƒO DE RECURSOS S.A.</v>
          </cell>
        </row>
        <row r="21707">
          <cell r="B21707" t="str">
            <v>M28643208000148</v>
          </cell>
          <cell r="C21707" t="str">
            <v>MAJORA CAPITAL GESTÃƒO DE RECURSOS</v>
          </cell>
          <cell r="D21707" t="str">
            <v>MAJORA CAPITAL GESTÃƒO DE RECURSOS</v>
          </cell>
          <cell r="E21707" t="str">
            <v>MAJORA CAPITAL GESTÃƒO DE RECURSOS</v>
          </cell>
        </row>
        <row r="21708">
          <cell r="B21708" t="str">
            <v>M28620199000170</v>
          </cell>
          <cell r="C21708" t="str">
            <v>EB CAPITAL GESTÃƒO DE RECURSOS LTDA.</v>
          </cell>
          <cell r="D21708" t="str">
            <v>EB CAPITAL GESTÃƒO DE RECURSOS LTDA.</v>
          </cell>
          <cell r="E21708" t="str">
            <v>EB CAPITAL GESTÃƒO DE RECURSOS LTDA.</v>
          </cell>
        </row>
        <row r="21709">
          <cell r="B21709" t="str">
            <v>M28606666000107</v>
          </cell>
          <cell r="C21709" t="str">
            <v>EUROPA GESTÃƒO DE RECURSOS LTDA.</v>
          </cell>
          <cell r="D21709" t="str">
            <v>EUROPA GESTÃƒO DE RECURSOS LTDA.</v>
          </cell>
          <cell r="E21709" t="str">
            <v>EUROPA GESTÃƒO DE RECURSOS LTDA.</v>
          </cell>
        </row>
        <row r="21710">
          <cell r="B21710" t="str">
            <v>M28501790000108</v>
          </cell>
          <cell r="C21710" t="str">
            <v>SAMESIDE CONSULTORIA E GESTÃƒO LTDA.</v>
          </cell>
          <cell r="D21710" t="str">
            <v>SAMESIDE CONSULTORIA E GESTÃƒO LTDA.</v>
          </cell>
          <cell r="E21710" t="str">
            <v>SAMESIDE CONSULTORIA E GESTÃƒO LTDA.</v>
          </cell>
        </row>
        <row r="21711">
          <cell r="B21711" t="str">
            <v>M28384495831</v>
          </cell>
          <cell r="C21711" t="str">
            <v>FLAVIO EDUARDO ARAKAKI</v>
          </cell>
          <cell r="D21711" t="str">
            <v>FLAVIO EDUARDO ARAKAKI</v>
          </cell>
          <cell r="E21711" t="str">
            <v>FLAVIO EDUARDO ARAKAKI</v>
          </cell>
        </row>
        <row r="21712">
          <cell r="B21712" t="str">
            <v>M28381802000108</v>
          </cell>
          <cell r="C21712" t="str">
            <v>SOSU CAPITAL GESTÃƒO DE INVESTIMENTOS LTDA.</v>
          </cell>
          <cell r="D21712" t="str">
            <v>SOSU CAPITAL GESTÃƒO DE INVESTIMENTOS LTDA.</v>
          </cell>
          <cell r="E21712" t="str">
            <v>SOSU CAPITAL GESTÃƒO DE INVESTIMENTOS LTDA.</v>
          </cell>
        </row>
        <row r="21713">
          <cell r="B21713" t="str">
            <v>M28376231000113</v>
          </cell>
          <cell r="C21713" t="str">
            <v>LAD CAPITAL GESTORA DE RECURSOS LTDA</v>
          </cell>
          <cell r="D21713" t="str">
            <v>LAD CAPITAL GESTORA DE RECURSOS LTDA</v>
          </cell>
          <cell r="E21713" t="str">
            <v>LAD CAPITAL GESTORA DE RECURSOS LTDA</v>
          </cell>
        </row>
        <row r="21714">
          <cell r="B21714" t="str">
            <v>M28375224000105</v>
          </cell>
          <cell r="C21714" t="str">
            <v>ARBOR GESTÃƒO DE RECURSOS LTDA.</v>
          </cell>
          <cell r="D21714" t="str">
            <v>ARBOR GESTÃƒO DE RECURSOS LTDA.</v>
          </cell>
          <cell r="E21714" t="str">
            <v>ARBOR GESTÃƒO DE RECURSOS LTDA.</v>
          </cell>
        </row>
        <row r="21715">
          <cell r="B21715" t="str">
            <v>M28264093000180</v>
          </cell>
          <cell r="C21715" t="str">
            <v>SMART AGRO INVESTIMENTOS LTDA.</v>
          </cell>
          <cell r="D21715" t="str">
            <v>SMART AGRO INVESTIMENTOS LTDA.</v>
          </cell>
          <cell r="E21715" t="str">
            <v>SMART AGRO INVESTIMENTOS LTDA.</v>
          </cell>
        </row>
        <row r="21716">
          <cell r="B21716" t="str">
            <v>M28240508000186</v>
          </cell>
          <cell r="C21716" t="str">
            <v>ATMOSPHERE CAPITAL GESTAO DE RECURSOS LTDA.</v>
          </cell>
          <cell r="D21716" t="str">
            <v>ATMOSPHERE CAPITAL GESTAO DE RECURSOS LTDA.</v>
          </cell>
          <cell r="E21716" t="str">
            <v>ATMOSPHERE CAPITAL GESTAO DE RECURSOS LTDA.</v>
          </cell>
        </row>
        <row r="21717">
          <cell r="B21717" t="str">
            <v>M28230876000143</v>
          </cell>
          <cell r="C21717" t="str">
            <v>SÃƒO PEDRO CAPITAL INVESTIMENTOS S.A.</v>
          </cell>
          <cell r="D21717" t="str">
            <v>SÃƒO PEDRO CAPITAL INVESTIMENTOS S.A.</v>
          </cell>
          <cell r="E21717" t="str">
            <v>SÃƒO PEDRO CAPITAL INVESTIMENTOS S.A.</v>
          </cell>
        </row>
        <row r="21718">
          <cell r="B21718" t="str">
            <v>M28153011000120</v>
          </cell>
          <cell r="C21718" t="str">
            <v>APOLO ADMINISTRACAO DE RECURSOS LTDA</v>
          </cell>
          <cell r="D21718" t="str">
            <v>APOLO ADMINISTRACAO DE RECURSOS LTDA</v>
          </cell>
          <cell r="E21718" t="str">
            <v>APOLO ADMINISTRACAO DE RECURSOS LTDA</v>
          </cell>
        </row>
        <row r="21719">
          <cell r="B21719" t="str">
            <v>M28093642000100</v>
          </cell>
          <cell r="C21719" t="str">
            <v>WIT GESTÃƒO DE RECURSOS LTDA.</v>
          </cell>
          <cell r="D21719" t="str">
            <v>WIT GESTÃƒO DE RECURSOS LTDA.</v>
          </cell>
          <cell r="E21719" t="str">
            <v>WIT GESTÃƒO DE RECURSOS LTDA.</v>
          </cell>
        </row>
        <row r="21720">
          <cell r="B21720" t="str">
            <v>M28038617000115</v>
          </cell>
          <cell r="C21720" t="str">
            <v>BLOXS ASSET GESTÃƒO DE RECURSOS LTDA</v>
          </cell>
          <cell r="D21720" t="str">
            <v>BLOXS ASSET GESTÃƒO DE RECURSOS LTDA</v>
          </cell>
          <cell r="E21720" t="str">
            <v>BLOXS ASSET GESTÃƒO DE RECURSOS LTDA</v>
          </cell>
        </row>
        <row r="21721">
          <cell r="B21721" t="str">
            <v>M27927837000137</v>
          </cell>
          <cell r="C21721" t="str">
            <v>LIGHTROCK GESTORA DE RECURSOS LTDA.</v>
          </cell>
          <cell r="D21721" t="str">
            <v>LIGHTROCK GESTORA DE RECURSOS LTDA.</v>
          </cell>
          <cell r="E21721" t="str">
            <v>LIGHTROCK GESTORA DE RECURSOS LTDA.</v>
          </cell>
        </row>
        <row r="21722">
          <cell r="B21722" t="str">
            <v>M27913835000199</v>
          </cell>
          <cell r="C21722" t="str">
            <v>AVENTIS GESTÃƒO DE RECURSOS LTDA.</v>
          </cell>
          <cell r="D21722" t="str">
            <v>AVENTIS GESTÃƒO DE RECURSOS LTDA.</v>
          </cell>
          <cell r="E21722" t="str">
            <v>AVENTIS GESTÃƒO DE RECURSOS LTDA.</v>
          </cell>
        </row>
        <row r="21723">
          <cell r="B21723" t="str">
            <v>M27899730000122</v>
          </cell>
          <cell r="C21723" t="str">
            <v>CRD CAPITAL ADMINISTRAÃ‡ÃƒO DE RECURSOS LTDA</v>
          </cell>
          <cell r="D21723" t="str">
            <v>CRD CAPITAL ADMINISTRAÃ‡ÃƒO DE RECURSOS LTDA</v>
          </cell>
          <cell r="E21723" t="str">
            <v>CRD CAPITAL ADMINISTRAÃ‡ÃƒO DE RECURSOS LTDA</v>
          </cell>
        </row>
        <row r="21724">
          <cell r="B21724" t="str">
            <v>M27610487000180</v>
          </cell>
          <cell r="C21724" t="str">
            <v>INVESTMENT ONE PARTNERS GESTÃƒO DE RECURSOS LTDA.</v>
          </cell>
          <cell r="D21724" t="str">
            <v>INVESTMENT ONE PARTNERS GESTÃƒO DE RECURSOS LTDA.</v>
          </cell>
          <cell r="E21724" t="str">
            <v>INVESTMENT ONE PARTNERS GESTÃƒO DE RECURSOS LTDA.</v>
          </cell>
        </row>
        <row r="21725">
          <cell r="B21725" t="str">
            <v>M27530973000199</v>
          </cell>
          <cell r="C21725" t="str">
            <v>VL GESTORA DE RECURSOS LTDA</v>
          </cell>
          <cell r="D21725" t="str">
            <v>VL GESTORA DE RECURSOS LTDA</v>
          </cell>
          <cell r="E21725" t="str">
            <v>VL GESTORA DE RECURSOS LTDA</v>
          </cell>
        </row>
        <row r="21726">
          <cell r="B21726" t="str">
            <v>M27451028000100</v>
          </cell>
          <cell r="C21726" t="str">
            <v>PRISMA CAPITAL LTDA</v>
          </cell>
          <cell r="D21726" t="str">
            <v>PRISMA CAPITAL LTDA</v>
          </cell>
          <cell r="E21726" t="str">
            <v>PRISMA CAPITAL LTDA</v>
          </cell>
        </row>
        <row r="21727">
          <cell r="B21727" t="str">
            <v>M27445498000152</v>
          </cell>
          <cell r="C21727" t="str">
            <v>ASTOR GESTÃƒO DE RECURSOS LTDA</v>
          </cell>
          <cell r="D21727" t="str">
            <v>ASTOR GESTÃƒO DE RECURSOS LTDA</v>
          </cell>
          <cell r="E21727" t="str">
            <v>ASTOR GESTÃƒO DE RECURSOS LTDA</v>
          </cell>
        </row>
        <row r="21728">
          <cell r="B21728" t="str">
            <v>M2729185700164</v>
          </cell>
          <cell r="D21728" t="str">
            <v>VERMONT GESTAO DE INVESTIMENTOS LTDA</v>
          </cell>
        </row>
        <row r="21729">
          <cell r="B21729" t="str">
            <v>M27257763000179</v>
          </cell>
          <cell r="C21729" t="str">
            <v>AUSTER CAPITAL GESTÃƒO DE RECURSOS LTDA.</v>
          </cell>
          <cell r="D21729" t="str">
            <v>AUSTER CAPITAL GESTÃƒO DE RECURSOS LTDA.</v>
          </cell>
          <cell r="E21729" t="str">
            <v>AUSTER CAPITAL GESTÃƒO DE RECURSOS LTDA.</v>
          </cell>
        </row>
        <row r="21730">
          <cell r="B21730" t="str">
            <v>M27222262000157</v>
          </cell>
          <cell r="C21730" t="str">
            <v>SASTRE GESTÃƒO DE PATRIMÃ”NIO LTDA.</v>
          </cell>
          <cell r="D21730" t="str">
            <v>SASTRE GESTÃƒO DE PATRIMÃ”NIO LTDA.</v>
          </cell>
          <cell r="E21730" t="str">
            <v>SASTRE GESTÃƒO DE PATRIMÃ”NIO LTDA.</v>
          </cell>
        </row>
        <row r="21731">
          <cell r="B21731" t="str">
            <v>M26843225000101</v>
          </cell>
          <cell r="C21731" t="str">
            <v>HEDGE INVESTMENTS REAL ESTATE GESTÃƒO DE RECURSOS LTDA.</v>
          </cell>
          <cell r="D21731" t="str">
            <v>HEDGE INVESTMENTS REAL ESTATE GESTÃƒO DE RECURSOS LTDA.</v>
          </cell>
          <cell r="E21731" t="str">
            <v>HEDGE INVESTMENTS REAL ESTATE GESTÃƒO DE RECURSOS LTDA.</v>
          </cell>
        </row>
        <row r="21732">
          <cell r="B21732" t="str">
            <v>M26753773000132</v>
          </cell>
          <cell r="C21732" t="str">
            <v>VITA PARTNERS CONSULTORIA E INVESTIMENTOS LTDA</v>
          </cell>
          <cell r="D21732" t="str">
            <v>VITA PARTNERS CONSULTORIA E INVESTIMENTOS LTDA</v>
          </cell>
          <cell r="E21732" t="str">
            <v>VITA PARTNERS CONSULTORIA E INVESTIMENTOS LTDA</v>
          </cell>
        </row>
        <row r="21733">
          <cell r="B21733" t="str">
            <v>M26636915000181</v>
          </cell>
          <cell r="C21733" t="str">
            <v>EVOLVE CAPITAL GESTÃƒO DE RECURSOS LTDA.</v>
          </cell>
          <cell r="D21733" t="str">
            <v>EVOLVE CAPITAL GESTÃƒO DE RECURSOS LTDA.</v>
          </cell>
          <cell r="E21733" t="str">
            <v>EVOLVE CAPITAL GESTÃƒO DE RECURSOS LTDA.</v>
          </cell>
        </row>
        <row r="21734">
          <cell r="B21734" t="str">
            <v>M26614409000191</v>
          </cell>
          <cell r="C21734" t="str">
            <v>BRIDGE ONE CAPITAL LTDA.</v>
          </cell>
          <cell r="D21734" t="str">
            <v>BRIDGE ONE CAPITAL LTDA.</v>
          </cell>
          <cell r="E21734" t="str">
            <v>BRIDGE ONE CAPITAL LTDA.</v>
          </cell>
        </row>
        <row r="21735">
          <cell r="B21735" t="str">
            <v>M26602733000190</v>
          </cell>
          <cell r="C21735" t="str">
            <v>F3 ROCK GESTÃƒO DE RECURSOS LTDA</v>
          </cell>
          <cell r="D21735" t="str">
            <v>F3 ROCK GESTÃƒO DE RECURSOS LTDA</v>
          </cell>
          <cell r="E21735" t="str">
            <v>F3 ROCK GESTÃƒO DE RECURSOS LTDA</v>
          </cell>
        </row>
        <row r="21736">
          <cell r="B21736" t="str">
            <v>M26545595000154</v>
          </cell>
          <cell r="C21736" t="str">
            <v>MUNGER INVESTIMENTOS GESTORA DE RECURSOS LTDA.</v>
          </cell>
          <cell r="D21736" t="str">
            <v>MUNGER INVESTIMENTOS GESTORA DE RECURSOS LTDA.</v>
          </cell>
          <cell r="E21736" t="str">
            <v>MUNGER INVESTIMENTOS GESTORA DE RECURSOS LTDA.</v>
          </cell>
        </row>
        <row r="21737">
          <cell r="B21737" t="str">
            <v>M26504834000128</v>
          </cell>
          <cell r="C21737" t="str">
            <v>PANDHORA INVESTIMENTOS LTDA.</v>
          </cell>
          <cell r="D21737" t="str">
            <v>PANDHORA INVESTIMENTOS LTDA.</v>
          </cell>
          <cell r="E21737" t="str">
            <v>PANDHORA INVESTIMENTOS LTDA.</v>
          </cell>
        </row>
        <row r="21738">
          <cell r="B21738" t="str">
            <v>M26264881000141</v>
          </cell>
          <cell r="C21738" t="str">
            <v>IG4 CAPITAL INVESTIMENTOS LTDA.</v>
          </cell>
          <cell r="D21738" t="str">
            <v>IG4 CAPITAL INVESTIMENTOS LTDA.</v>
          </cell>
          <cell r="E21738" t="str">
            <v>IG4 CAPITAL INVESTIMENTOS LTDA.</v>
          </cell>
        </row>
        <row r="21739">
          <cell r="B21739" t="str">
            <v>M26203121000124</v>
          </cell>
          <cell r="C21739" t="str">
            <v>WMR CAPITAL GESTORA DE RECURSOS LTDA.</v>
          </cell>
          <cell r="D21739" t="str">
            <v>WMR CAPITAL GESTORA DE RECURSOS LTDA.</v>
          </cell>
          <cell r="E21739" t="str">
            <v>WMR CAPITAL GESTORA DE RECURSOS LTDA.</v>
          </cell>
        </row>
        <row r="21740">
          <cell r="B21740" t="str">
            <v>M26130912000171</v>
          </cell>
          <cell r="C21740" t="str">
            <v>JMN GESTÃƒO DE INVESTIMENTOS LTDA.</v>
          </cell>
          <cell r="D21740" t="str">
            <v>JMN GESTÃƒO DE INVESTIMENTOS LTDA.</v>
          </cell>
          <cell r="E21740" t="str">
            <v>JMN GESTÃƒO DE INVESTIMENTOS LTDA.</v>
          </cell>
        </row>
        <row r="21741">
          <cell r="B21741" t="str">
            <v>M26032552000175</v>
          </cell>
          <cell r="C21741" t="str">
            <v>JACARANDÃ CAPITAL E GESTÃƒO LTDA.</v>
          </cell>
          <cell r="D21741" t="str">
            <v>JACARANDÃ CAPITAL E GESTÃƒO LTDA.</v>
          </cell>
          <cell r="E21741" t="str">
            <v>JACARANDÃ CAPITAL E GESTÃƒO LTDA.</v>
          </cell>
        </row>
        <row r="21742">
          <cell r="B21742" t="str">
            <v>M25297476000167</v>
          </cell>
          <cell r="C21742" t="str">
            <v>BALUARTE CAPITAL GESTÃƒO DE RECURSOS LTDA.</v>
          </cell>
          <cell r="D21742" t="str">
            <v>BALUARTE CAPITAL GESTÃƒO DE RECURSOS LTDA.</v>
          </cell>
          <cell r="E21742" t="str">
            <v>BALUARTE CAPITAL GESTÃƒO DE RECURSOS LTDA.</v>
          </cell>
        </row>
        <row r="21743">
          <cell r="B21743" t="str">
            <v>M25287778000154</v>
          </cell>
          <cell r="C21743" t="str">
            <v>TELLUS INVESTIMENTOS E  CONSULTORIA LTDA.</v>
          </cell>
          <cell r="D21743" t="str">
            <v>TELLUS INVESTIMENTOS E  CONSULTORIA LTDA.</v>
          </cell>
          <cell r="E21743" t="str">
            <v>TELLUS INVESTIMENTOS E  CONSULTORIA LTDA.</v>
          </cell>
        </row>
        <row r="21744">
          <cell r="B21744" t="str">
            <v>M25098663000111</v>
          </cell>
          <cell r="C21744" t="str">
            <v>KP GESTÃƒO DE RECURSOS LTDA</v>
          </cell>
          <cell r="D21744" t="str">
            <v>KP GESTÃƒO DE RECURSOS LTDA</v>
          </cell>
          <cell r="E21744" t="str">
            <v>KP GESTÃƒO DE RECURSOS LTDA</v>
          </cell>
        </row>
        <row r="21745">
          <cell r="B21745" t="str">
            <v>M25022196000146</v>
          </cell>
          <cell r="C21745" t="str">
            <v>CLUBE DO VALOR ADMINISTRAÃ‡ÃƒO DE CARTEIRAS DE VALORES MOBILIÃRIOS LTDA</v>
          </cell>
          <cell r="D21745" t="str">
            <v>CLUBE DO VALOR ADMINISTRAÃ‡ÃƒO DE CARTEIRAS DE VALORES MOBILIÃRIOS LTDA</v>
          </cell>
          <cell r="E21745" t="str">
            <v>CLUBE DO VALOR ADMINISTRAÃ‡ÃƒO DE CARTEIRAS DE VALORES MOBILIÃRIOS LTDA</v>
          </cell>
        </row>
        <row r="21746">
          <cell r="B21746" t="str">
            <v>M24979104000158</v>
          </cell>
          <cell r="C21746" t="str">
            <v>BASÃLICA PARTNERS LATIN AMERICA PRIVATE EQUITY LTDA.</v>
          </cell>
          <cell r="D21746" t="str">
            <v>BASÃLICA PARTNERS LATIN AMERICA PRIVATE EQUITY LTDA.</v>
          </cell>
          <cell r="E21746" t="str">
            <v>BASÃLICA PARTNERS LATIN AMERICA PRIVATE EQUITY LTDA.</v>
          </cell>
        </row>
        <row r="21747">
          <cell r="B21747" t="str">
            <v>M24515907000151</v>
          </cell>
          <cell r="C21747" t="str">
            <v>CARMEL GESTORA DE ATIVOS LTDA</v>
          </cell>
          <cell r="D21747" t="str">
            <v>CARMEL GESTORA DE ATIVOS LTDA</v>
          </cell>
          <cell r="E21747" t="str">
            <v>CARMEL GESTORA DE ATIVOS LTDA</v>
          </cell>
        </row>
        <row r="21748">
          <cell r="B21748" t="str">
            <v>M24503059000160</v>
          </cell>
          <cell r="C21748" t="str">
            <v>CIX CAPITAL GESTÃƒO DE ATIVOS LTDA.</v>
          </cell>
          <cell r="D21748" t="str">
            <v>CIX CAPITAL GESTÃƒO DE ATIVOS LTDA.</v>
          </cell>
          <cell r="E21748" t="str">
            <v>CIX CAPITAL GESTÃƒO DE ATIVOS LTDA.</v>
          </cell>
        </row>
        <row r="21749">
          <cell r="B21749" t="str">
            <v>M23964292000188</v>
          </cell>
          <cell r="C21749" t="str">
            <v>NAMAN CAPITAL LTDA.</v>
          </cell>
          <cell r="D21749" t="str">
            <v>NAMAN CAPITAL LTDA.</v>
          </cell>
          <cell r="E21749" t="str">
            <v>NAMAN CAPITAL LTDA.</v>
          </cell>
        </row>
        <row r="21750">
          <cell r="B21750" t="str">
            <v>M23862803000150</v>
          </cell>
          <cell r="C21750" t="str">
            <v>VELT PARTNERS INVESTIMENTOS LTDA</v>
          </cell>
          <cell r="D21750" t="str">
            <v>VELT PARTNERS INVESTIMENTOS LTDA</v>
          </cell>
          <cell r="E21750" t="str">
            <v>VELT PARTNERS INVESTIMENTOS LTDA</v>
          </cell>
        </row>
        <row r="21751">
          <cell r="B21751" t="str">
            <v>M23782291000112</v>
          </cell>
          <cell r="C21751" t="str">
            <v>RCB PORTFÃ“LIOS LTDA.</v>
          </cell>
          <cell r="D21751" t="str">
            <v>RCB PORTFÃ“LIOS LTDA.</v>
          </cell>
          <cell r="E21751" t="str">
            <v>RCB PORTFÃ“LIOS LTDA.</v>
          </cell>
        </row>
        <row r="21752">
          <cell r="B21752" t="str">
            <v>M23700544000161</v>
          </cell>
          <cell r="C21752" t="str">
            <v>PLENI GESTÃƒO DE RECURSOS LTDA</v>
          </cell>
          <cell r="D21752" t="str">
            <v>PLENI GESTÃƒO DE RECURSOS LTDA</v>
          </cell>
          <cell r="E21752" t="str">
            <v>PLENI GESTÃƒO DE RECURSOS LTDA</v>
          </cell>
        </row>
        <row r="21753">
          <cell r="B21753" t="str">
            <v>M23455855000102</v>
          </cell>
          <cell r="C21753" t="str">
            <v>LASS CAPITAL GESTÃƒO DE RECURSOS LTDA</v>
          </cell>
          <cell r="D21753" t="str">
            <v>LASS CAPITAL GESTÃƒO DE RECURSOS LTDA</v>
          </cell>
          <cell r="E21753" t="str">
            <v>LASS CAPITAL GESTÃƒO DE RECURSOS LTDA</v>
          </cell>
        </row>
        <row r="21754">
          <cell r="B21754" t="str">
            <v>M23447556000126</v>
          </cell>
          <cell r="C21754" t="str">
            <v>GFS ATIVOS FINANCEIROS E INVESTIMENTOS LTDA.</v>
          </cell>
          <cell r="D21754" t="str">
            <v>GFS ATIVOS FINANCEIROS E INVESTIMENTOS LTDA.</v>
          </cell>
          <cell r="E21754" t="str">
            <v>GFS ATIVOS FINANCEIROS E INVESTIMENTOS LTDA.</v>
          </cell>
        </row>
        <row r="21755">
          <cell r="B21755" t="str">
            <v>M23398913000103</v>
          </cell>
          <cell r="C21755" t="str">
            <v>FARIA LIMA CAPITAL LTDA.</v>
          </cell>
          <cell r="D21755" t="str">
            <v>FARIA LIMA CAPITAL LTDA.</v>
          </cell>
          <cell r="E21755" t="str">
            <v>FARIA LIMA CAPITAL LTDA.</v>
          </cell>
        </row>
        <row r="21756">
          <cell r="B21756" t="str">
            <v>M23361939000187</v>
          </cell>
          <cell r="C21756" t="str">
            <v>KPR INVESTIMENTOS S/A</v>
          </cell>
          <cell r="D21756" t="str">
            <v>KPR INVESTIMENTOS S/A</v>
          </cell>
          <cell r="E21756" t="str">
            <v>KPR INVESTIMENTOS S/A</v>
          </cell>
        </row>
        <row r="21757">
          <cell r="B21757" t="str">
            <v>M23345332000103</v>
          </cell>
          <cell r="C21757" t="str">
            <v>LIS CAPITAL - ADMINISTRADORA E GESTORA DE RECURSOS FINANCEIROS LTDA.</v>
          </cell>
          <cell r="D21757" t="str">
            <v>LIS CAPITAL - ADMINISTRADORA E GESTORA DE RECURSOS FINANCEIROS LTDA.</v>
          </cell>
          <cell r="E21757" t="str">
            <v>LIS CAPITAL - ADMINISTRADORA E GESTORA DE RECURSOS FINANCEIROS LTDA.</v>
          </cell>
        </row>
        <row r="21758">
          <cell r="B21758" t="str">
            <v>M23303230000125</v>
          </cell>
          <cell r="C21758" t="str">
            <v>MILES CAPITAL LTDA.</v>
          </cell>
          <cell r="D21758" t="str">
            <v>MILES CAPITAL LTDA.</v>
          </cell>
          <cell r="E21758" t="str">
            <v>MILES CAPITAL LTDA.</v>
          </cell>
        </row>
        <row r="21759">
          <cell r="B21759" t="str">
            <v>M23241377000138</v>
          </cell>
          <cell r="C21759" t="str">
            <v>MILESTONES ADMINISTRADORA DE RECURSOS LTDA.</v>
          </cell>
          <cell r="D21759" t="str">
            <v>MILESTONES ADMINISTRADORA DE RECURSOS LTDA.</v>
          </cell>
          <cell r="E21759" t="str">
            <v>MILESTONES ADMINISTRADORA DE RECURSOS LTDA.</v>
          </cell>
        </row>
        <row r="21760">
          <cell r="B21760" t="str">
            <v>M23089950000130</v>
          </cell>
          <cell r="C21760" t="str">
            <v>CARDINAL PARTNERS INVESTIMENTOS LTDA.</v>
          </cell>
          <cell r="D21760" t="str">
            <v>CARDINAL PARTNERS INVESTIMENTOS LTDA.</v>
          </cell>
          <cell r="E21760" t="str">
            <v>CARDINAL PARTNERS INVESTIMENTOS LTDA.</v>
          </cell>
        </row>
        <row r="21761">
          <cell r="B21761" t="str">
            <v>M23033743000163</v>
          </cell>
          <cell r="C21761" t="str">
            <v>EQUADOR INVESTIMENTOS LTDA.</v>
          </cell>
          <cell r="D21761" t="str">
            <v>EQUADOR INVESTIMENTOS LTDA.</v>
          </cell>
          <cell r="E21761" t="str">
            <v>EQUADOR INVESTIMENTOS LTDA.</v>
          </cell>
        </row>
        <row r="21762">
          <cell r="B21762" t="str">
            <v>M22982196000108</v>
          </cell>
          <cell r="C21762" t="str">
            <v>BLUECAP GESTÃƒO DE RECURSOS LTDA.</v>
          </cell>
          <cell r="D21762" t="str">
            <v>BLUECAP GESTÃƒO DE RECURSOS LTDA.</v>
          </cell>
          <cell r="E21762" t="str">
            <v>BLUECAP GESTÃƒO DE RECURSOS LTDA.</v>
          </cell>
        </row>
        <row r="21763">
          <cell r="B21763" t="str">
            <v>M22828968000143</v>
          </cell>
          <cell r="C21763" t="str">
            <v>REC GESTÃƒO DE RECURSOS S.A.</v>
          </cell>
          <cell r="D21763" t="str">
            <v>REC GESTÃƒO DE RECURSOS S.A.</v>
          </cell>
          <cell r="E21763" t="str">
            <v>REC GESTÃƒO DE RECURSOS S.A.</v>
          </cell>
        </row>
        <row r="21764">
          <cell r="B21764" t="str">
            <v>M22792979000110</v>
          </cell>
          <cell r="C21764" t="str">
            <v>CARPA GESTORA DE RECURSOS LTDA.</v>
          </cell>
          <cell r="D21764" t="str">
            <v>CARPA GESTORA DE RECURSOS LTDA.</v>
          </cell>
          <cell r="E21764" t="str">
            <v>CARPA GESTORA DE RECURSOS LTDA.</v>
          </cell>
        </row>
        <row r="21765">
          <cell r="B21765" t="str">
            <v>M22778532000197</v>
          </cell>
          <cell r="C21765" t="str">
            <v>TAÃBA INVESTIMENTOS LTDA.</v>
          </cell>
          <cell r="D21765" t="str">
            <v>TAÃBA INVESTIMENTOS LTDA.</v>
          </cell>
          <cell r="E21765" t="str">
            <v>TAÃBA INVESTIMENTOS LTDA.</v>
          </cell>
        </row>
        <row r="21766">
          <cell r="B21766" t="str">
            <v>M22688191000169</v>
          </cell>
          <cell r="C21766" t="str">
            <v>KIRON CAPITAL GESTÃƒO DE RECURSOS LTDA.</v>
          </cell>
          <cell r="D21766" t="str">
            <v>KIRON CAPITAL GESTÃƒO DE RECURSOS LTDA.</v>
          </cell>
          <cell r="E21766" t="str">
            <v>KIRON CAPITAL GESTÃƒO DE RECURSOS LTDA.</v>
          </cell>
        </row>
        <row r="21767">
          <cell r="B21767" t="str">
            <v>M22610500000188</v>
          </cell>
          <cell r="C21767" t="str">
            <v>VORTX DISTRIBUIDORA DE TITULOS E VALORES MOBILIARIOS LTDA.</v>
          </cell>
          <cell r="D21767" t="str">
            <v>VORTX DISTRIBUIDORA DE TITULOS E VALORES MOBILIARIOS LTDA.</v>
          </cell>
          <cell r="E21767" t="str">
            <v>VORTX DISTRIBUIDORA DE TITULOS E VALORES MOBILIARIOS LTDA.</v>
          </cell>
        </row>
        <row r="21768">
          <cell r="B21768" t="str">
            <v>M22598618000138</v>
          </cell>
          <cell r="C21768" t="str">
            <v>MONT CAPITAL GESTÃƒO E ADMINISTRAÃ‡ÃƒO DE RECURSOS S.A.</v>
          </cell>
          <cell r="D21768" t="str">
            <v>MONT CAPITAL GESTÃƒO E ADMINISTRAÃ‡ÃƒO DE RECURSOS S.A.</v>
          </cell>
          <cell r="E21768" t="str">
            <v>MONT CAPITAL GESTÃƒO E ADMINISTRAÃ‡ÃƒO DE RECURSOS S.A.</v>
          </cell>
        </row>
        <row r="21769">
          <cell r="B21769" t="str">
            <v>M22191383000165</v>
          </cell>
          <cell r="C21769" t="str">
            <v>WITPAR GESTORA DE RECURSOS LTDA.</v>
          </cell>
          <cell r="D21769" t="str">
            <v>WITPAR GESTORA DE RECURSOS LTDA.</v>
          </cell>
          <cell r="E21769" t="str">
            <v>WITPAR GESTORA DE RECURSOS LTDA.</v>
          </cell>
        </row>
        <row r="21770">
          <cell r="B21770" t="str">
            <v>M22119959000183</v>
          </cell>
          <cell r="C21770" t="str">
            <v>GENIAL GESTÃƒO LTDA.</v>
          </cell>
          <cell r="D21770" t="str">
            <v>GENIAL GESTÃƒO LTDA.</v>
          </cell>
          <cell r="E21770" t="str">
            <v>GENIAL GESTÃƒO LTDA.</v>
          </cell>
        </row>
        <row r="21771">
          <cell r="B21771" t="str">
            <v>M22084858000114</v>
          </cell>
          <cell r="C21771" t="str">
            <v>GATEINVEST GESTÃƒO DE RECURSOS LTDA.</v>
          </cell>
          <cell r="D21771" t="str">
            <v>GATEINVEST GESTÃƒO DE RECURSOS LTDA.</v>
          </cell>
          <cell r="E21771" t="str">
            <v>GATEINVEST GESTÃƒO DE RECURSOS LTDA.</v>
          </cell>
        </row>
        <row r="21772">
          <cell r="B21772" t="str">
            <v>M22067585000108</v>
          </cell>
          <cell r="C21772" t="str">
            <v>Ã“RIA GESTÃƒO DE RECURSOS LTDA.</v>
          </cell>
          <cell r="D21772" t="str">
            <v>Ã“RIA GESTÃƒO DE RECURSOS LTDA.</v>
          </cell>
          <cell r="E21772" t="str">
            <v>Ã“RIA GESTÃƒO DE RECURSOS LTDA.</v>
          </cell>
        </row>
        <row r="21773">
          <cell r="B21773" t="str">
            <v>M22006806000120</v>
          </cell>
          <cell r="C21773" t="str">
            <v>ESH CAPITAL INVESTIMENTOS LTDA.</v>
          </cell>
          <cell r="D21773" t="str">
            <v>ESH CAPITAL INVESTIMENTOS LTDA.</v>
          </cell>
          <cell r="E21773" t="str">
            <v>ESH CAPITAL INVESTIMENTOS LTDA.</v>
          </cell>
        </row>
        <row r="21774">
          <cell r="B21774" t="str">
            <v>M21950366000100</v>
          </cell>
          <cell r="C21774" t="str">
            <v>ALIANZA GESTÃƒO DE RECURSOS LTDA</v>
          </cell>
          <cell r="D21774" t="str">
            <v>ALIANZA GESTÃƒO DE RECURSOS LTDA</v>
          </cell>
          <cell r="E21774" t="str">
            <v>ALIANZA GESTÃƒO DE RECURSOS LTDA</v>
          </cell>
        </row>
        <row r="21775">
          <cell r="B21775" t="str">
            <v>M21891835000159</v>
          </cell>
          <cell r="C21775" t="str">
            <v>FIERE INVESTIMENTOS LTDA</v>
          </cell>
          <cell r="D21775" t="str">
            <v>FIERE INVESTIMENTOS LTDA</v>
          </cell>
          <cell r="E21775" t="str">
            <v>FIERE INVESTIMENTOS LTDA</v>
          </cell>
        </row>
        <row r="21776">
          <cell r="B21776" t="str">
            <v>M21850329000111</v>
          </cell>
          <cell r="C21776" t="str">
            <v>SAFARI CAPITAL GESTÃƒO DE RECURSOS LTDA.</v>
          </cell>
          <cell r="D21776" t="str">
            <v>SAFARI CAPITAL GESTÃƒO DE RECURSOS LTDA.</v>
          </cell>
          <cell r="E21776" t="str">
            <v>SAFARI CAPITAL GESTÃƒO DE RECURSOS LTDA.</v>
          </cell>
        </row>
        <row r="21777">
          <cell r="B21777" t="str">
            <v>M21839257000101</v>
          </cell>
          <cell r="C21777" t="str">
            <v>SOLE CAPITAL LTDA.</v>
          </cell>
          <cell r="D21777" t="str">
            <v>SOLE CAPITAL LTDA.</v>
          </cell>
          <cell r="E21777" t="str">
            <v>SOLE CAPITAL LTDA.</v>
          </cell>
        </row>
        <row r="21778">
          <cell r="B21778" t="str">
            <v>M21768777000170</v>
          </cell>
          <cell r="C21778" t="str">
            <v>MIRANTE INVESTIMENTOS LTDA. ME</v>
          </cell>
          <cell r="D21778" t="str">
            <v>MIRANTE INVESTIMENTOS LTDA. ME</v>
          </cell>
          <cell r="E21778" t="str">
            <v>MIRANTE INVESTIMENTOS LTDA. ME</v>
          </cell>
        </row>
        <row r="21779">
          <cell r="B21779" t="str">
            <v>M21747959000165</v>
          </cell>
          <cell r="C21779" t="str">
            <v>BARZEL PROPERTIES GESTORA DE RECURSOS LTDA.</v>
          </cell>
          <cell r="D21779" t="str">
            <v>BARZEL PROPERTIES GESTORA DE RECURSOS LTDA.</v>
          </cell>
          <cell r="E21779" t="str">
            <v>BARZEL PROPERTIES GESTORA DE RECURSOS LTDA.</v>
          </cell>
        </row>
        <row r="21780">
          <cell r="B21780" t="str">
            <v>M21744796000167</v>
          </cell>
          <cell r="C21780" t="str">
            <v>JUS CAPITAL GESTÃƒO DE RECURSOS LTDA.</v>
          </cell>
          <cell r="D21780" t="str">
            <v>JUS CAPITAL GESTÃƒO DE RECURSOS LTDA.</v>
          </cell>
          <cell r="E21780" t="str">
            <v>JUS CAPITAL GESTÃƒO DE RECURSOS LTDA.</v>
          </cell>
        </row>
        <row r="21781">
          <cell r="B21781" t="str">
            <v>M21719643000160</v>
          </cell>
          <cell r="C21781" t="str">
            <v>MB ASSETS ADMINISTRAÃ‡ÃƒO DE VALORES MOBILIÃRIOS LTDA</v>
          </cell>
          <cell r="D21781" t="str">
            <v>MB ASSETS ADMINISTRAÃ‡ÃƒO DE VALORES MOBILIÃRIOS LTDA</v>
          </cell>
          <cell r="E21781" t="str">
            <v>MB ASSETS ADMINISTRAÃ‡ÃƒO DE VALORES MOBILIÃRIOS LTDA</v>
          </cell>
        </row>
        <row r="21782">
          <cell r="B21782" t="str">
            <v>M21610424000148</v>
          </cell>
          <cell r="C21782" t="str">
            <v>HEDGE ALTERNATIVE INVESTMENTS LTDA</v>
          </cell>
          <cell r="D21782" t="str">
            <v>HEDGE ALTERNATIVE INVESTMENTS LTDA</v>
          </cell>
          <cell r="E21782" t="str">
            <v>HEDGE ALTERNATIVE INVESTMENTS LTDA</v>
          </cell>
        </row>
        <row r="21783">
          <cell r="B21783" t="str">
            <v>M21579263801</v>
          </cell>
          <cell r="C21783" t="str">
            <v>RODRIGO STORTI PERES</v>
          </cell>
          <cell r="D21783" t="str">
            <v>RODRIGO STORTI PERES</v>
          </cell>
          <cell r="E21783" t="str">
            <v>RODRIGO STORTI PERES</v>
          </cell>
        </row>
        <row r="21784">
          <cell r="B21784" t="str">
            <v>M21551986000168</v>
          </cell>
          <cell r="C21784" t="str">
            <v>PARAGUAÃ‡U INVESTIMENTOS LTDA</v>
          </cell>
          <cell r="D21784" t="str">
            <v>PARAGUAÃ‡U INVESTIMENTOS LTDA</v>
          </cell>
          <cell r="E21784" t="str">
            <v>PARAGUAÃ‡U INVESTIMENTOS LTDA</v>
          </cell>
        </row>
        <row r="21785">
          <cell r="B21785" t="str">
            <v>M21431855000147</v>
          </cell>
          <cell r="C21785" t="str">
            <v>ÃFIRA GESTÃƒO DE RECURSOS LTDA.</v>
          </cell>
          <cell r="D21785" t="str">
            <v>ÃFIRA GESTÃƒO DE RECURSOS LTDA.</v>
          </cell>
          <cell r="E21785" t="str">
            <v>ÃFIRA GESTÃƒO DE RECURSOS LTDA.</v>
          </cell>
        </row>
        <row r="21786">
          <cell r="B21786" t="str">
            <v>M21409171000149</v>
          </cell>
          <cell r="C21786" t="str">
            <v>HORIZONTE CAPITAL GESTÃƒO DE INVESTIMENTOS LTDA.</v>
          </cell>
          <cell r="D21786" t="str">
            <v>HORIZONTE CAPITAL GESTÃƒO DE INVESTIMENTOS LTDA.</v>
          </cell>
          <cell r="E21786" t="str">
            <v>HORIZONTE CAPITAL GESTÃƒO DE INVESTIMENTOS LTDA.</v>
          </cell>
        </row>
        <row r="21787">
          <cell r="B21787" t="str">
            <v>M21163346000180</v>
          </cell>
          <cell r="C21787" t="str">
            <v>SCAI GESTORA DE RECURSOS LTDA.</v>
          </cell>
          <cell r="D21787" t="str">
            <v>SCAI GESTORA DE RECURSOS LTDA.</v>
          </cell>
          <cell r="E21787" t="str">
            <v>SCAI GESTORA DE RECURSOS LTDA.</v>
          </cell>
        </row>
        <row r="21788">
          <cell r="B21788" t="str">
            <v>M21046086000163</v>
          </cell>
          <cell r="C21788" t="str">
            <v>ID GESTORA E ADMINISTRADORA DE RECURSOS LTDA</v>
          </cell>
          <cell r="D21788" t="str">
            <v>ID GESTORA E ADMINISTRADORA DE RECURSOS LTDA</v>
          </cell>
          <cell r="E21788" t="str">
            <v>ID GESTORA E ADMINISTRADORA DE RECURSOS LTDA</v>
          </cell>
        </row>
        <row r="21789">
          <cell r="B21789" t="str">
            <v>M21023532000114</v>
          </cell>
          <cell r="C21789" t="str">
            <v>AVANTGARDE ASSET MANAGEMENT GESTAO DE RECURSOS LTDA</v>
          </cell>
          <cell r="D21789" t="str">
            <v>AVANTGARDE ASSET MANAGEMENT GESTAO DE RECURSOS LTDA</v>
          </cell>
          <cell r="E21789" t="str">
            <v>AVANTGARDE ASSET MANAGEMENT GESTAO DE RECURSOS LTDA</v>
          </cell>
        </row>
        <row r="21790">
          <cell r="B21790" t="str">
            <v>M21018289000146</v>
          </cell>
          <cell r="C21790" t="str">
            <v>FORPUS CAPITAL GESTÃƒO DE RECURSOS LTDA</v>
          </cell>
          <cell r="D21790" t="str">
            <v>FORPUS CAPITAL GESTÃƒO DE RECURSOS LTDA</v>
          </cell>
          <cell r="E21790" t="str">
            <v>FORPUS CAPITAL GESTÃƒO DE RECURSOS LTDA</v>
          </cell>
        </row>
        <row r="21791">
          <cell r="B21791" t="str">
            <v>M21008985000171</v>
          </cell>
          <cell r="C21791" t="str">
            <v>LESTE CREDIT GESTAO DE RECURSOS LTDA</v>
          </cell>
          <cell r="D21791" t="str">
            <v>LESTE CREDIT GESTAO DE RECURSOS LTDA</v>
          </cell>
          <cell r="E21791" t="str">
            <v>LESTE CREDIT GESTAO DE RECURSOS LTDA</v>
          </cell>
        </row>
        <row r="21792">
          <cell r="B21792" t="str">
            <v>M21008402000102</v>
          </cell>
          <cell r="C21792" t="str">
            <v>QUARTZO INVEST LTDA.</v>
          </cell>
          <cell r="D21792" t="str">
            <v>QUARTZO INVEST LTDA.</v>
          </cell>
          <cell r="E21792" t="str">
            <v>QUARTZO INVEST LTDA.</v>
          </cell>
        </row>
        <row r="21793">
          <cell r="B21793" t="str">
            <v>M20859417000111</v>
          </cell>
          <cell r="C21793" t="str">
            <v>VINCI INFRAESTRUTURA GESTORA DE RECURSOS LTDA.</v>
          </cell>
          <cell r="D21793" t="str">
            <v>VINCI INFRAESTRUTURA GESTORA DE RECURSOS LTDA.</v>
          </cell>
          <cell r="E21793" t="str">
            <v>VINCI INFRAESTRUTURA GESTORA DE RECURSOS LTDA.</v>
          </cell>
        </row>
        <row r="21794">
          <cell r="B21794" t="str">
            <v>M20728332000102</v>
          </cell>
          <cell r="C21794" t="str">
            <v>MAR CAPITAL GESTAO DE RECURSOS LTDA</v>
          </cell>
          <cell r="D21794" t="str">
            <v>MAR CAPITAL GESTAO DE RECURSOS LTDA</v>
          </cell>
          <cell r="E21794" t="str">
            <v>MAR CAPITAL GESTAO DE RECURSOS LTDA</v>
          </cell>
        </row>
        <row r="21795">
          <cell r="B21795" t="str">
            <v>M20711029000199</v>
          </cell>
          <cell r="C21795" t="str">
            <v>VANQUISH CAPITAL LTDA.</v>
          </cell>
          <cell r="D21795" t="str">
            <v>VANQUISH CAPITAL LTDA.</v>
          </cell>
          <cell r="E21795" t="str">
            <v>VANQUISH CAPITAL LTDA.</v>
          </cell>
        </row>
        <row r="21796">
          <cell r="B21796" t="str">
            <v>M20675481000142</v>
          </cell>
          <cell r="C21796" t="str">
            <v>BLESS CAPITAL GESTORA DE RECURSOS LTDA.</v>
          </cell>
          <cell r="D21796" t="str">
            <v>BLESS CAPITAL GESTORA DE RECURSOS LTDA.</v>
          </cell>
          <cell r="E21796" t="str">
            <v>BLESS CAPITAL GESTORA DE RECURSOS LTDA.</v>
          </cell>
        </row>
        <row r="21797">
          <cell r="B21797" t="str">
            <v>M20631539000156</v>
          </cell>
          <cell r="C21797" t="str">
            <v>DELTA ENERGIA ASSET MANAGEMENT - GESTÃƒO DE RECURSOS LTDA.</v>
          </cell>
          <cell r="D21797" t="str">
            <v>DELTA ENERGIA ASSET MANAGEMENT - GESTÃƒO DE RECURSOS LTDA.</v>
          </cell>
          <cell r="E21797" t="str">
            <v>DELTA ENERGIA ASSET MANAGEMENT - GESTÃƒO DE RECURSOS LTDA.</v>
          </cell>
        </row>
        <row r="21798">
          <cell r="B21798" t="str">
            <v>M20495002000106</v>
          </cell>
          <cell r="C21798" t="str">
            <v>R2C GESTORA DE INVESTIMENTOS LTDA</v>
          </cell>
          <cell r="D21798" t="str">
            <v>R2C GESTORA DE INVESTIMENTOS LTDA</v>
          </cell>
          <cell r="E21798" t="str">
            <v>R2C GESTORA DE INVESTIMENTOS LTDA</v>
          </cell>
        </row>
        <row r="21799">
          <cell r="B21799" t="str">
            <v>M20486283000130</v>
          </cell>
          <cell r="C21799" t="str">
            <v>3V CAPITAL GESTÃƒO DE RECURSOS LTDA.</v>
          </cell>
          <cell r="D21799" t="str">
            <v>3V CAPITAL GESTÃƒO DE RECURSOS LTDA.</v>
          </cell>
          <cell r="E21799" t="str">
            <v>3V CAPITAL GESTÃƒO DE RECURSOS LTDA</v>
          </cell>
        </row>
        <row r="21800">
          <cell r="B21800" t="str">
            <v>M20445967000194</v>
          </cell>
          <cell r="C21800" t="str">
            <v>LEGATUS CAPITAL GESTORA DE RECURSOS LTDA</v>
          </cell>
          <cell r="D21800" t="str">
            <v>LEGATUS CAPITAL GESTORA DE RECURSOS LTDA</v>
          </cell>
          <cell r="E21800" t="str">
            <v>LEGATUS CAPITAL GESTORA DE RECURSOS LTDA</v>
          </cell>
        </row>
        <row r="21801">
          <cell r="B21801" t="str">
            <v>M20420262000112</v>
          </cell>
          <cell r="C21801" t="str">
            <v>LESTE ADMINISTRAÃ‡ÃƒO DE RECURSOS LTDA.</v>
          </cell>
          <cell r="D21801" t="str">
            <v>LESTE ADMINISTRAÃ‡ÃƒO DE RECURSOS LTDA.</v>
          </cell>
          <cell r="E21801" t="str">
            <v>LESTE ADMINISTRAÃ‡ÃƒO DE RECURSOS LTDA.</v>
          </cell>
        </row>
        <row r="21802">
          <cell r="B21802" t="str">
            <v>M20283929000182</v>
          </cell>
          <cell r="C21802" t="str">
            <v>FUNDEPAR GESTÃƒO E CONSULTORIA DE INVESTIMENTOS LTDA.</v>
          </cell>
          <cell r="D21802" t="str">
            <v>FUNDEPAR GESTÃƒO E CONSULTORIA DE INVESTIMENTOS LTDA.</v>
          </cell>
          <cell r="E21802" t="str">
            <v>FUNDEPAR GESTÃƒO E CONSULTORIA DE INVESTIMENTOS LTDA.</v>
          </cell>
        </row>
        <row r="21803">
          <cell r="B21803" t="str">
            <v>M20130584000127</v>
          </cell>
          <cell r="D21803" t="str">
            <v>FUNDO PREVIDENCIARIO DO MUNICIPIO DE LAGES</v>
          </cell>
        </row>
        <row r="21804">
          <cell r="B21804" t="str">
            <v>M20105116000100</v>
          </cell>
          <cell r="C21804" t="str">
            <v>GOODMAN CONSULTORIA, PARTICIPAÃ‡Ã•ES E ADMINISTRAÃ‡ÃƒO DE VM LTDA</v>
          </cell>
          <cell r="D21804" t="str">
            <v>GOODMAN CONSULTORIA, PARTICIPAÃ‡Ã•ES E ADMINISTRAÃ‡ÃƒO DE VM LTDA</v>
          </cell>
          <cell r="E21804" t="str">
            <v>GOODMAN CONSULTORIA, PARTICIPAÃ‡Ã•ES E ADMINISTRAÃ‡ÃƒO DE VM LTDA</v>
          </cell>
        </row>
        <row r="21805">
          <cell r="B21805" t="str">
            <v>M20052540000126</v>
          </cell>
          <cell r="C21805" t="str">
            <v>VINCI GGN GESTÃƒO DE RECURSOS LTDA.</v>
          </cell>
          <cell r="D21805" t="str">
            <v>VINCI GGN GESTÃƒO DE RECURSOS LTDA.</v>
          </cell>
          <cell r="E21805" t="str">
            <v>VINCI GGN GESTÃƒO DE RECURSOS LTDA.</v>
          </cell>
        </row>
        <row r="21806">
          <cell r="B21806" t="str">
            <v>M2</v>
          </cell>
          <cell r="D21806" t="str">
            <v>RUBIK</v>
          </cell>
        </row>
        <row r="21807">
          <cell r="B21807" t="str">
            <v>M19999568000196</v>
          </cell>
          <cell r="C21807" t="str">
            <v>BLACK SWAN GESTÃƒO DE INVESTIMENTOS LTDA.</v>
          </cell>
          <cell r="D21807" t="str">
            <v>BLACK SWAN GESTÃƒO DE INVESTIMENTOS LTDA.</v>
          </cell>
          <cell r="E21807" t="str">
            <v>BLACK SWAN GESTÃƒO DE INVESTIMENTOS LTDA.</v>
          </cell>
        </row>
        <row r="21808">
          <cell r="B21808" t="str">
            <v>M19910578000103</v>
          </cell>
          <cell r="C21808" t="str">
            <v>GOLDEN ASSET GESTORA DE RECURSOS LTDA.</v>
          </cell>
          <cell r="D21808" t="str">
            <v>GOLDEN ASSET GESTORA DE RECURSOS LTDA.</v>
          </cell>
          <cell r="E21808" t="str">
            <v>GOLDEN ASSET GESTORA DE RECURSOS LTDA.</v>
          </cell>
        </row>
        <row r="21809">
          <cell r="B21809" t="str">
            <v>M19807499000171</v>
          </cell>
          <cell r="C21809" t="str">
            <v>IRON CAPITAL GESTÃƒO DE RECURSOS LTDA.</v>
          </cell>
          <cell r="D21809" t="str">
            <v>IRON CAPITAL GESTÃƒO DE RECURSOS LTDA.</v>
          </cell>
          <cell r="E21809" t="str">
            <v>IRON CAPITAL GESTÃƒO DE RECURSOS LTDA.</v>
          </cell>
        </row>
        <row r="21810">
          <cell r="B21810" t="str">
            <v>M19569363000170</v>
          </cell>
          <cell r="C21810" t="str">
            <v>EFFIKA INVESTIMENTOS - GESTORA DE PATRIMÃ”NIO LTDA</v>
          </cell>
          <cell r="D21810" t="str">
            <v>EFFIKA INVESTIMENTOS - GESTORA DE PATRIMÃ”NIO LTDA</v>
          </cell>
          <cell r="E21810" t="str">
            <v>EFFIKA INVESTIMENTOS - GESTORA DE PATRIMÃ”NIO LTDA</v>
          </cell>
        </row>
        <row r="21811">
          <cell r="B21811" t="str">
            <v>M19408687000127</v>
          </cell>
          <cell r="C21811" t="str">
            <v>CCF INVESTIMENTOS LTDA</v>
          </cell>
          <cell r="D21811" t="str">
            <v>CCF INVESTIMENTOS LTDA</v>
          </cell>
          <cell r="E21811" t="str">
            <v>CCF INVESTIMENTOS LTDA</v>
          </cell>
        </row>
        <row r="21812">
          <cell r="B21812">
            <v>123718</v>
          </cell>
          <cell r="C21812" t="str">
            <v>XP MULTIESTRATEGIA FIM</v>
          </cell>
          <cell r="D21812" t="str">
            <v>XP MULTIESTRATEGIA FIM</v>
          </cell>
          <cell r="E21812" t="str">
            <v>XP MULTIESTRATEGIA FIM</v>
          </cell>
        </row>
        <row r="21813">
          <cell r="B21813" t="str">
            <v>M19361845000130</v>
          </cell>
          <cell r="C21813" t="str">
            <v>CHROMO INVESTIMENTOS LTDA.</v>
          </cell>
          <cell r="D21813" t="str">
            <v>CHROMO INVESTIMENTOS LTDA.</v>
          </cell>
          <cell r="E21813" t="str">
            <v>CHROMO INVESTIMENTOS LTDA.</v>
          </cell>
        </row>
        <row r="21814">
          <cell r="B21814" t="str">
            <v>M19357126000146</v>
          </cell>
          <cell r="C21814" t="str">
            <v>VINTAGE INVESTIMENTOS LTDA</v>
          </cell>
          <cell r="D21814" t="str">
            <v>VINTAGE INVESTIMENTOS LTDA</v>
          </cell>
          <cell r="E21814" t="str">
            <v>VINTAGE INVESTIMENTOS LTDA</v>
          </cell>
        </row>
        <row r="21815">
          <cell r="B21815" t="str">
            <v>M19331654000126</v>
          </cell>
          <cell r="C21815" t="str">
            <v>GEO CAPITAL GESTORA DE RECURSOS LTDA</v>
          </cell>
          <cell r="D21815" t="str">
            <v>GEO CAPITAL GESTORA DE RECURSOS LTDA</v>
          </cell>
          <cell r="E21815" t="str">
            <v>GEO CAPITAL GESTORA DE RECURSOS LTDA</v>
          </cell>
        </row>
        <row r="21816">
          <cell r="B21816" t="str">
            <v>M19225510000195</v>
          </cell>
          <cell r="C21816" t="str">
            <v>A10 INVESTIMENTOS LTDA.</v>
          </cell>
          <cell r="D21816" t="str">
            <v>A10 INVESTIMENTOS LTDA.</v>
          </cell>
          <cell r="E21816" t="str">
            <v>A10 INVESTIMENTOS LTDA.</v>
          </cell>
        </row>
        <row r="21817">
          <cell r="B21817" t="str">
            <v>M19207159000100</v>
          </cell>
          <cell r="C21817" t="str">
            <v>PRIVATTO ADMINISTRAÃ‡ÃƒO DE PATRIMÃ”NIO LTDA</v>
          </cell>
          <cell r="D21817" t="str">
            <v>PRIVATTO ADMINISTRAÃ‡ÃƒO DE PATRIMÃ”NIO LTDA</v>
          </cell>
          <cell r="E21817" t="str">
            <v>PRIVATTO ADMINISTRAÃ‡ÃƒO DE PATRIMÃ”NIO LTDA</v>
          </cell>
        </row>
        <row r="21818">
          <cell r="B21818" t="str">
            <v>M19196403000186</v>
          </cell>
          <cell r="C21818" t="str">
            <v>HORTO GESTORA DE RECURSOS LTDA</v>
          </cell>
          <cell r="D21818" t="str">
            <v>HORTO GESTORA DE RECURSOS LTDA</v>
          </cell>
          <cell r="E21818" t="str">
            <v>HORTO GESTORA DE RECURSOS LTDA</v>
          </cell>
        </row>
        <row r="21819">
          <cell r="B21819" t="str">
            <v>M19195480000111</v>
          </cell>
          <cell r="C21819" t="str">
            <v>ATHENA CAPITAL GESTÃƒO DE RECURSOS LTDA</v>
          </cell>
          <cell r="D21819" t="str">
            <v>ATHENA CAPITAL GESTÃƒO DE RECURSOS LTDA</v>
          </cell>
          <cell r="E21819" t="str">
            <v>ATHENA CAPITAL GESTAO DE RECURSOS LTDA</v>
          </cell>
        </row>
        <row r="21820">
          <cell r="B21820" t="str">
            <v>M19182613000115</v>
          </cell>
          <cell r="C21820" t="str">
            <v>CEDARWOOD PRIVATE EQUITY S.A.</v>
          </cell>
          <cell r="D21820" t="str">
            <v>CEDARWOOD PRIVATE EQUITY S.A.</v>
          </cell>
          <cell r="E21820" t="str">
            <v>CEDARWOOD PRIVATE EQUITY S.A.</v>
          </cell>
        </row>
        <row r="21821">
          <cell r="B21821" t="str">
            <v>M19037127000103</v>
          </cell>
          <cell r="C21821" t="str">
            <v>CADENCE GESTORA DE RECURSOS LTDA</v>
          </cell>
          <cell r="D21821" t="str">
            <v>CADENCE GESTORA DE RECURSOS LTDA</v>
          </cell>
          <cell r="E21821" t="str">
            <v>CADENCE GESTORA DE RECURSOS LTDA</v>
          </cell>
        </row>
        <row r="21822">
          <cell r="B21822" t="str">
            <v>M18966436000103</v>
          </cell>
          <cell r="C21822" t="str">
            <v>CARTESIA INVESTIMENTOS E GESTÃƒO DE RECURSOS LTDA</v>
          </cell>
          <cell r="D21822" t="str">
            <v>CARTESIA INVESTIMENTOS E GESTÃƒO DE RECURSOS LTDA</v>
          </cell>
          <cell r="E21822" t="str">
            <v>CARTESIA INVESTIMENTOS E GESTÃƒO DE RECURSOS LTDA</v>
          </cell>
        </row>
        <row r="21823">
          <cell r="B21823" t="str">
            <v>M18966381000123</v>
          </cell>
          <cell r="C21823" t="str">
            <v>DNA CAPITAL CONSULTORIA LTDA</v>
          </cell>
          <cell r="D21823" t="str">
            <v>DNA CAPITAL CONSULTORIA LTDA</v>
          </cell>
          <cell r="E21823" t="str">
            <v>DNA CAPITAL CONSULTORIA LTDA</v>
          </cell>
        </row>
        <row r="21824">
          <cell r="B21824" t="str">
            <v>M18819319861</v>
          </cell>
          <cell r="C21824" t="str">
            <v>JULIANO DE LARA FERNANDES</v>
          </cell>
          <cell r="D21824" t="str">
            <v>JULIANO DE LARA FERNANDES</v>
          </cell>
          <cell r="E21824" t="str">
            <v>JULIANO DE LARA FERNANDES</v>
          </cell>
        </row>
        <row r="21825">
          <cell r="B21825" t="str">
            <v>M18730786000168</v>
          </cell>
          <cell r="C21825" t="str">
            <v>MOAT CAPITAL GESTÃƒO DE RECURSOS LTDA</v>
          </cell>
          <cell r="D21825" t="str">
            <v>MOAT CAPITAL GESTÃƒO DE RECURSOS LTDA</v>
          </cell>
          <cell r="E21825" t="str">
            <v>MOAT CAPITAL GESTÃƒO DE RECURSOS LTDA</v>
          </cell>
        </row>
        <row r="21826">
          <cell r="B21826" t="str">
            <v>M18596891000156</v>
          </cell>
          <cell r="C21826" t="str">
            <v>CY.CAPITAL GESTORA DE RECURSOS LTDA.</v>
          </cell>
          <cell r="D21826" t="str">
            <v>CY.CAPITAL GESTORA DE RECURSOS LTDA.</v>
          </cell>
          <cell r="E21826" t="str">
            <v>CY.CAPITAL GESTORA DE RECURSOS LTDA.</v>
          </cell>
        </row>
        <row r="21827">
          <cell r="B21827" t="str">
            <v>M18529041000135</v>
          </cell>
          <cell r="C21827" t="str">
            <v>SFA INVESTIMENTOS LTDA</v>
          </cell>
          <cell r="D21827" t="str">
            <v>SFA INVESTIMENTOS LTDA</v>
          </cell>
          <cell r="E21827" t="str">
            <v>SFA INVESTIMENTOS LTDA</v>
          </cell>
        </row>
        <row r="21828">
          <cell r="B21828" t="str">
            <v>M18480055715</v>
          </cell>
          <cell r="C21828" t="str">
            <v>IVAN DE CASTRO MONTEIRO</v>
          </cell>
          <cell r="D21828" t="str">
            <v>IVAN DE CASTRO MONTEIRO</v>
          </cell>
          <cell r="E21828" t="str">
            <v>IVAN DE CASTRO MONTEIRO</v>
          </cell>
        </row>
        <row r="21829">
          <cell r="B21829" t="str">
            <v>M18466767000176</v>
          </cell>
          <cell r="C21829" t="str">
            <v>W-CAPITAL GESTÃƒO DE INVESTIMENTOS LTDA</v>
          </cell>
          <cell r="D21829" t="str">
            <v>W-CAPITAL GESTÃƒO DE INVESTIMENTOS LTDA</v>
          </cell>
          <cell r="E21829" t="str">
            <v>W-CAPITAL GESTÃƒO DE INVESTIMENTOS LTDA</v>
          </cell>
        </row>
        <row r="21830">
          <cell r="B21830" t="str">
            <v>M18356470000158</v>
          </cell>
          <cell r="C21830" t="str">
            <v>INVISTA REAL ESTATE LTDA.</v>
          </cell>
          <cell r="D21830" t="str">
            <v>INVISTA REAL ESTATE LTDA.</v>
          </cell>
          <cell r="E21830" t="str">
            <v>INVISTA REAL ESTATE LTDA.</v>
          </cell>
        </row>
        <row r="21831">
          <cell r="B21831" t="str">
            <v>M18333417000131</v>
          </cell>
          <cell r="C21831" t="str">
            <v>MÃ“DULO CAPITAL GESTÃƒO DE RECURSOS LTDA</v>
          </cell>
          <cell r="D21831" t="str">
            <v>MÃ“DULO CAPITAL GESTÃƒO DE RECURSOS LTDA</v>
          </cell>
          <cell r="E21831" t="str">
            <v>MÃ“DULO CAPITAL GESTÃƒO DE RECURSOS LTDA</v>
          </cell>
        </row>
        <row r="21832">
          <cell r="B21832" t="str">
            <v>M18313996000150</v>
          </cell>
          <cell r="C21832" t="str">
            <v>TMF BRASIL SERVICOS DE ADMINISTRACAO DE FUNDOS LTDA</v>
          </cell>
          <cell r="D21832" t="str">
            <v>TMF BRASIL SERVICOS DE ADMINISTRACAO DE FUNDOS LTDA</v>
          </cell>
          <cell r="E21832" t="str">
            <v>TMF BRASIL SERVICOS DE ADMINISTRACAO DE FUNDOS LTDA</v>
          </cell>
        </row>
        <row r="21833">
          <cell r="B21833" t="str">
            <v>M18252541000172</v>
          </cell>
          <cell r="C21833" t="str">
            <v>SOLANA GESTORA DE RECURSOS LTDA</v>
          </cell>
          <cell r="D21833" t="str">
            <v>SOLANA GESTORA DE RECURSOS LTDA</v>
          </cell>
          <cell r="E21833" t="str">
            <v>SOLANA GESTORA DE RECURSOS LTDA</v>
          </cell>
        </row>
        <row r="21834">
          <cell r="B21834" t="str">
            <v>M18223260000191</v>
          </cell>
          <cell r="C21834" t="str">
            <v>CATÃLISE INVESTIMENTOS LTDA.</v>
          </cell>
          <cell r="D21834" t="str">
            <v>CATÃLISE INVESTIMENTOS LTDA.</v>
          </cell>
          <cell r="E21834" t="str">
            <v>CATÃLISE INVESTIMENTOS LTDA.</v>
          </cell>
        </row>
        <row r="21835">
          <cell r="B21835" t="str">
            <v>M18190296000116</v>
          </cell>
          <cell r="C21835" t="str">
            <v>CEDRO ASSET MANAGEMENT LTDA</v>
          </cell>
          <cell r="D21835" t="str">
            <v>CEDRO ASSET MANAGEMENT LTDA</v>
          </cell>
          <cell r="E21835" t="str">
            <v>CEDRO ASSET MANAGEMENT LTDA</v>
          </cell>
        </row>
        <row r="21836">
          <cell r="B21836" t="str">
            <v>M18005720000105</v>
          </cell>
          <cell r="C21836" t="str">
            <v>FIBRA ADMINISTRADORA DE CARTEIRA DE VALORES MOBILIÃRIOS LTDA</v>
          </cell>
          <cell r="D21836" t="str">
            <v>FIBRA ADMINISTRADORA DE CARTEIRA DE VALORES MOBILIÃRIOS LTDA</v>
          </cell>
          <cell r="E21836" t="str">
            <v>FIBRA ADMINISTRADORA DE CARTEIRA DE VALORES MOBILIÃRIOS LTDA</v>
          </cell>
        </row>
        <row r="21837">
          <cell r="B21837" t="str">
            <v>M17967948000113</v>
          </cell>
          <cell r="C21837" t="str">
            <v>ULBREX ASSET MANAGEMENT LTDA</v>
          </cell>
          <cell r="D21837" t="str">
            <v>ULBREX ASSET MANAGEMENT LTDA</v>
          </cell>
          <cell r="E21837" t="str">
            <v>ULBREX ASSET MANAGEMENT LTDA</v>
          </cell>
        </row>
        <row r="21838">
          <cell r="B21838" t="str">
            <v>M17905206000163</v>
          </cell>
          <cell r="C21838" t="str">
            <v>ADAMCAPITAL GESTÃƒO DE RECURSOS LTDA.</v>
          </cell>
          <cell r="D21838" t="str">
            <v>ADAMCAPITAL GESTÃƒO DE RECURSOS LTDA.</v>
          </cell>
          <cell r="E21838" t="str">
            <v>ADAMCAPITAL GESTAO DE RECURSOS LTDA</v>
          </cell>
        </row>
        <row r="21839">
          <cell r="B21839" t="str">
            <v>M17839430000102</v>
          </cell>
          <cell r="C21839" t="str">
            <v>SEQUOIA FUNDOS DE INVESTIMENTOS LTDA.</v>
          </cell>
          <cell r="D21839" t="str">
            <v>SEQUOIA FUNDOS DE INVESTIMENTOS LTDA.</v>
          </cell>
          <cell r="E21839" t="str">
            <v>SEQUOIA FUNDOS DE INVESTIMENTOS LTDA.</v>
          </cell>
        </row>
        <row r="21840">
          <cell r="B21840" t="str">
            <v>M17839284000107</v>
          </cell>
          <cell r="C21840" t="str">
            <v>RPS CAPITAL ADMINISTRADORA DE RECURSOS LTDA</v>
          </cell>
          <cell r="D21840" t="str">
            <v>RPS CAPITAL ADMINISTRADORA DE RECURSOS LTDA</v>
          </cell>
          <cell r="E21840" t="str">
            <v>RPS CAPITAL ADMINISTRADORA DE RECURSOS LTDA</v>
          </cell>
        </row>
        <row r="21841">
          <cell r="B21841" t="str">
            <v>M17776271000136</v>
          </cell>
          <cell r="C21841" t="str">
            <v>RADAR GESTORA DE RECURSOS LTDA.</v>
          </cell>
          <cell r="D21841" t="str">
            <v>RADAR GESTORA DE RECURSOS LTDA.</v>
          </cell>
          <cell r="E21841" t="str">
            <v>RADAR GESTORA DE RECURSOS LTDA.</v>
          </cell>
        </row>
        <row r="21842">
          <cell r="B21842" t="str">
            <v>M17723993000122</v>
          </cell>
          <cell r="C21842" t="str">
            <v>CHARLES RIVER ADMINISTRADORA DE RECURSOS FINANCEIROS LTDA.</v>
          </cell>
          <cell r="D21842" t="str">
            <v>CHARLES RIVER ADMINISTRADORA DE RECURSOS FINANCEIROS LTDA.</v>
          </cell>
          <cell r="E21842" t="str">
            <v>CHARLES RIVER ADMINISTRADORA DE RECURSOS FINANCEIROS LTDA.</v>
          </cell>
        </row>
        <row r="21843">
          <cell r="B21843" t="str">
            <v>M17717522000101</v>
          </cell>
          <cell r="C21843" t="str">
            <v>MOKA GESTORA DE RECURSOS DE TERCEIROS LTDA.</v>
          </cell>
          <cell r="D21843" t="str">
            <v>MOKA GESTORA DE RECURSOS DE TERCEIROS LTDA.</v>
          </cell>
          <cell r="E21843" t="str">
            <v>MOKA GESTORA DE RECURSOS DE TERCEIROS LTDA.</v>
          </cell>
        </row>
        <row r="21844">
          <cell r="B21844" t="str">
            <v>M17707098000114</v>
          </cell>
          <cell r="C21844" t="str">
            <v>QUADRA GESTÃƒO DE RECURSOS S.A.</v>
          </cell>
          <cell r="D21844" t="str">
            <v>QUADRA GESTÃƒO DE RECURSOS S.A.</v>
          </cell>
          <cell r="E21844" t="str">
            <v>QUADRA GESTÃƒO DE RECURSOS S.A.</v>
          </cell>
        </row>
        <row r="21845">
          <cell r="B21845" t="str">
            <v>M17604054854</v>
          </cell>
          <cell r="C21845" t="str">
            <v>MÃRIO MARTINS CINTRA CARNEIRO</v>
          </cell>
          <cell r="D21845" t="str">
            <v>MÃRIO MARTINS CINTRA CARNEIRO</v>
          </cell>
          <cell r="E21845" t="str">
            <v>MÃRIO MARTINS CINTRA CARNEIRO</v>
          </cell>
        </row>
        <row r="21846">
          <cell r="B21846" t="str">
            <v>M17544838000149</v>
          </cell>
          <cell r="C21846" t="str">
            <v>TRILHA INVESTIMENTOS LTDA</v>
          </cell>
          <cell r="D21846" t="str">
            <v>TRILHA INVESTIMENTOS LTDA</v>
          </cell>
          <cell r="E21846" t="str">
            <v>TRILHA INVESTIMENTOS LTDA</v>
          </cell>
        </row>
        <row r="21847">
          <cell r="B21847" t="str">
            <v>M17489133000176</v>
          </cell>
          <cell r="C21847" t="str">
            <v>BWAG GESTÃƒO DE RECURSOS LTDA</v>
          </cell>
          <cell r="D21847" t="str">
            <v>BWAG GESTÃƒO DE RECURSOS LTDA</v>
          </cell>
          <cell r="E21847" t="str">
            <v>BWAG GESTÃO DE RECURSOS LTDA</v>
          </cell>
        </row>
        <row r="21848">
          <cell r="B21848" t="str">
            <v>M17480662000109</v>
          </cell>
          <cell r="C21848" t="str">
            <v>FACT INVESTMENTS GESTAO DE RECURSOS LTDA</v>
          </cell>
          <cell r="D21848" t="str">
            <v>FACT INVESTMENTS GESTAO DE RECURSOS LTDA</v>
          </cell>
          <cell r="E21848" t="str">
            <v>FACT INVESTMENTS GESTAO DE RECURSOS LTDA</v>
          </cell>
        </row>
        <row r="21849">
          <cell r="B21849" t="str">
            <v>M17415310000170</v>
          </cell>
          <cell r="C21849" t="str">
            <v>BRESCO INVESTIMENTOS E GESTÃƒO LTDA</v>
          </cell>
          <cell r="D21849" t="str">
            <v>BRESCO INVESTIMENTOS E GESTÃƒO LTDA</v>
          </cell>
          <cell r="E21849" t="str">
            <v>BRESCO INVESTIMENTOS E GESTÃƒO LTDA</v>
          </cell>
        </row>
        <row r="21850">
          <cell r="B21850" t="str">
            <v>M17364795000110</v>
          </cell>
          <cell r="C21850" t="str">
            <v>MERCANTIL DO BRASIL DISTRIBUIDORA S/A TÃTULOS E VALORES MOBILIÃRIOS</v>
          </cell>
          <cell r="D21850" t="str">
            <v>MERCANTIL DO BRASIL DISTRIBUIDORA S/A TÃTULOS E VALORES MOBILIÃRIOS</v>
          </cell>
          <cell r="E21850" t="str">
            <v>MERCANTIL DO BRASIL DISTRIBUIDORA S/A TÃTULOS E VALORES MOBILIÃRIOS</v>
          </cell>
        </row>
        <row r="21851">
          <cell r="B21851" t="str">
            <v>M17340681000130</v>
          </cell>
          <cell r="C21851" t="str">
            <v>MOV INVESTIMENTOS LTDA</v>
          </cell>
          <cell r="D21851" t="str">
            <v>MOV INVESTIMENTOS LTDA</v>
          </cell>
          <cell r="E21851" t="str">
            <v>MOV INVESTIMENTOS LTDA</v>
          </cell>
        </row>
        <row r="21852">
          <cell r="B21852" t="str">
            <v>M17236133000164</v>
          </cell>
          <cell r="D21852" t="str">
            <v>FUNDO PREVIDENCIARIO</v>
          </cell>
        </row>
        <row r="21853">
          <cell r="B21853" t="str">
            <v>M17232615000146</v>
          </cell>
          <cell r="C21853" t="str">
            <v>INX ADMINISTRADORA E GESTORA DE RECURSOS LTDA</v>
          </cell>
          <cell r="D21853" t="str">
            <v>INX ADMINISTRADORA E GESTORA DE RECURSOS LTDA</v>
          </cell>
          <cell r="E21853" t="str">
            <v>INX ADMINISTRADORA E GESTORA DE RECURSOS LTDA</v>
          </cell>
        </row>
        <row r="21854">
          <cell r="B21854" t="str">
            <v>M17169050000108</v>
          </cell>
          <cell r="C21854" t="str">
            <v>J. P. TUCHÃŠ ASSET MANAGEMENT ADMINISTRAÃ‡ÃƒO DE CARTEIRAS LTDA</v>
          </cell>
          <cell r="D21854" t="str">
            <v>J. P. TUCHÃŠ ASSET MANAGEMENT ADMINISTRAÃ‡ÃƒO DE CARTEIRAS LTDA</v>
          </cell>
          <cell r="E21854" t="str">
            <v>J. P. TUCHÃŠ ASSET MANAGEMENT ADMINISTRAÃ‡ÃƒO DE CARTEIRAS LTDA</v>
          </cell>
        </row>
        <row r="21855">
          <cell r="B21855" t="str">
            <v>M17090900000170</v>
          </cell>
          <cell r="C21855" t="str">
            <v>ARBITRAL GESTÃƒO DE RECURSOS LTDA</v>
          </cell>
          <cell r="D21855" t="str">
            <v>ARBITRAL GESTÃƒO DE RECURSOS LTDA</v>
          </cell>
          <cell r="E21855" t="str">
            <v>ARBITRAL GESTÃƒO DE RECURSOS LTDA</v>
          </cell>
        </row>
        <row r="21856">
          <cell r="B21856" t="str">
            <v>M17055372000118</v>
          </cell>
          <cell r="C21856" t="str">
            <v>AR INVESTIMENTOS ASSET MANAGEMENT LTDA.</v>
          </cell>
          <cell r="D21856" t="str">
            <v>AR INVESTIMENTOS ASSET MANAGEMENT LTDA.</v>
          </cell>
          <cell r="E21856" t="str">
            <v>AR INVESTIMENTOS ASSET MANAGEMENT LTDA.</v>
          </cell>
        </row>
        <row r="21857">
          <cell r="B21857" t="str">
            <v>M17054901000169</v>
          </cell>
          <cell r="C21857" t="str">
            <v>VBI SECURITIES LTDA.</v>
          </cell>
          <cell r="D21857" t="str">
            <v>VBI SECURITIES LTDA.</v>
          </cell>
          <cell r="E21857" t="str">
            <v>VBI SECURITIES LTDA.</v>
          </cell>
        </row>
        <row r="21858">
          <cell r="B21858" t="str">
            <v>M17036001000199</v>
          </cell>
          <cell r="C21858" t="str">
            <v>LESTE FINANCIAL SERVICES GESTÃƒO DE RECURSOS LTDA.</v>
          </cell>
          <cell r="D21858" t="str">
            <v>LESTE FINANCIAL SERVICES GESTÃƒO DE RECURSOS LTDA.</v>
          </cell>
          <cell r="E21858" t="str">
            <v>LESTE FINANCIAL SERVICES GESTÃƒO DE RECURSOS LTDA.</v>
          </cell>
        </row>
        <row r="21859">
          <cell r="B21859" t="str">
            <v>M17021922000188</v>
          </cell>
          <cell r="C21859" t="str">
            <v>GIANT STEPS CAPITAL INVESTIMENTOS</v>
          </cell>
          <cell r="D21859" t="str">
            <v>GIANT STEPS CAPITAL INVESTIMENTOS</v>
          </cell>
          <cell r="E21859" t="str">
            <v>GIANT STEPS CAPITAL INVESTIMENTOS</v>
          </cell>
        </row>
        <row r="21860">
          <cell r="B21860" t="str">
            <v>M16995968000135</v>
          </cell>
          <cell r="C21860" t="str">
            <v>GENESIS CAPITAL GESTORA DE RECURSOS LTDA.</v>
          </cell>
          <cell r="D21860" t="str">
            <v>GENESIS CAPITAL GESTORA DE RECURSOS LTDA.</v>
          </cell>
          <cell r="E21860" t="str">
            <v>GENESIS CAPITAL GESTORA DE RECURSOS LTDA.</v>
          </cell>
        </row>
        <row r="21861">
          <cell r="B21861" t="str">
            <v>M16987291000193</v>
          </cell>
          <cell r="C21861" t="str">
            <v>AZ GUIDANCE GESTÃƒO DE PATRIMÃ”NIO LTDA.</v>
          </cell>
          <cell r="D21861" t="str">
            <v>AZ GUIDANCE GESTÃƒO DE PATRIMÃ”NIO LTDA.</v>
          </cell>
          <cell r="E21861" t="str">
            <v>AZ GUIDANCE GESTAO DE PATRIMONIO LTDA</v>
          </cell>
        </row>
        <row r="21862">
          <cell r="B21862" t="str">
            <v>M16975442000193</v>
          </cell>
          <cell r="C21862" t="str">
            <v>GREENWICH GESTÃƒO DE RECURSOS LTDA</v>
          </cell>
          <cell r="D21862" t="str">
            <v>GREENWICH GESTÃƒO DE RECURSOS LTDA</v>
          </cell>
          <cell r="E21862" t="str">
            <v>GREENWICH GESTÃƒO DE RECURSOS LTDA</v>
          </cell>
        </row>
        <row r="21863">
          <cell r="B21863" t="str">
            <v>M16954358000193</v>
          </cell>
          <cell r="C21863" t="str">
            <v>VINCI SPS GESTÃƒO DE RECURSOS LTDA</v>
          </cell>
          <cell r="D21863" t="str">
            <v>VINCI SPS GESTÃƒO DE RECURSOS LTDA</v>
          </cell>
          <cell r="E21863" t="str">
            <v>VINCI SPS GESTÃƒO DE RECURSOS LTDA</v>
          </cell>
        </row>
        <row r="21864">
          <cell r="B21864" t="str">
            <v>M16929933000106</v>
          </cell>
          <cell r="C21864" t="str">
            <v>ARAMUS GESTORA DE ATIVOS LTDA</v>
          </cell>
          <cell r="D21864" t="str">
            <v>ARAMUS GESTORA DE ATIVOS LTDA</v>
          </cell>
          <cell r="E21864" t="str">
            <v>ARAMUS GESTORA DE ATIVOS LTDA</v>
          </cell>
        </row>
        <row r="21865">
          <cell r="B21865" t="str">
            <v>M16925467000182</v>
          </cell>
          <cell r="C21865" t="str">
            <v>GLOBAL GESTÃƒO E INVESTIMENTOS LTDA</v>
          </cell>
          <cell r="D21865" t="str">
            <v>GLOBAL GESTÃƒO E INVESTIMENTOS LTDA</v>
          </cell>
          <cell r="E21865" t="str">
            <v>GLOBAL GESTÃƒO E INVESTIMENTOS LTDA</v>
          </cell>
        </row>
        <row r="21866">
          <cell r="B21866" t="str">
            <v>M16907964000158</v>
          </cell>
          <cell r="C21866" t="str">
            <v>PORTCAPITAL GESTORA E CONSULTORIA DE RECURSOS LTDA</v>
          </cell>
          <cell r="D21866" t="str">
            <v>PORTCAPITAL GESTORA E CONSULTORIA DE RECURSOS LTDA</v>
          </cell>
          <cell r="E21866" t="str">
            <v>PORTCAPITAL GESTORA E CONSULTORIA DE RECURSOS LTDA</v>
          </cell>
        </row>
        <row r="21867">
          <cell r="B21867" t="str">
            <v>M16878742000154</v>
          </cell>
          <cell r="C21867" t="str">
            <v>TORK CAPITAL GESTÃƒO DE RECURSOS LTDA</v>
          </cell>
          <cell r="D21867" t="str">
            <v>TORK CAPITAL GESTÃƒO DE RECURSOS LTDA</v>
          </cell>
          <cell r="E21867" t="str">
            <v>TORK CAPITAL GESTAO DE RECURSOS LTDA</v>
          </cell>
        </row>
        <row r="21868">
          <cell r="B21868" t="str">
            <v>M16725273000133</v>
          </cell>
          <cell r="C21868" t="str">
            <v>LATINOAMERICANA DE INVESTIMENTOS E CAPITAL LTDA</v>
          </cell>
          <cell r="D21868" t="str">
            <v>LATINOAMERICANA DE INVESTIMENTOS E CAPITAL LTDA</v>
          </cell>
          <cell r="E21868" t="str">
            <v>LATINOAMERICANA DE INVESTIMENTOS E CAPITAL LTDA</v>
          </cell>
        </row>
        <row r="21869">
          <cell r="B21869" t="str">
            <v>M16712461000127</v>
          </cell>
          <cell r="C21869" t="str">
            <v>GEF BRASIL INVESTIMENTOS LTDA</v>
          </cell>
          <cell r="D21869" t="str">
            <v>GEF BRASIL INVESTIMENTOS LTDA</v>
          </cell>
          <cell r="E21869" t="str">
            <v>GEF BRASIL INVESTIMENTOS LTDA</v>
          </cell>
        </row>
        <row r="21870">
          <cell r="B21870" t="str">
            <v>M16707841000173</v>
          </cell>
          <cell r="C21870" t="str">
            <v>TYR GESTÃƒO DE RECURSOS LTDA.</v>
          </cell>
          <cell r="D21870" t="str">
            <v>TYR GESTÃƒO DE RECURSOS LTDA.</v>
          </cell>
          <cell r="E21870" t="str">
            <v>TYR GESTÃƒO DE RECURSOS LTDA.</v>
          </cell>
        </row>
        <row r="21871">
          <cell r="B21871" t="str">
            <v>M16631215000140</v>
          </cell>
          <cell r="C21871" t="str">
            <v>MININVEST GESTORA DE RECURSOS LTDA</v>
          </cell>
          <cell r="D21871" t="str">
            <v>MININVEST GESTORA DE RECURSOS LTDA</v>
          </cell>
          <cell r="E21871" t="str">
            <v>MININVEST GESTORA DE RECURSOS LTDA</v>
          </cell>
        </row>
        <row r="21872">
          <cell r="B21872" t="str">
            <v>M16619488000170</v>
          </cell>
          <cell r="D21872" t="str">
            <v>PREVIDENCIA USIMINAS</v>
          </cell>
        </row>
        <row r="21873">
          <cell r="B21873" t="str">
            <v>M16492866000105</v>
          </cell>
          <cell r="C21873" t="str">
            <v>QUARTZO ASSET LTDA</v>
          </cell>
          <cell r="D21873" t="str">
            <v>QUARTZO ASSET LTDA</v>
          </cell>
          <cell r="E21873" t="str">
            <v>QUARTZO ASSET LTDA</v>
          </cell>
        </row>
        <row r="21874">
          <cell r="B21874" t="str">
            <v>M16492426000140</v>
          </cell>
          <cell r="C21874" t="str">
            <v>CVPAR INVESTIMENTOS LTDA</v>
          </cell>
          <cell r="D21874" t="str">
            <v>CVPAR INVESTIMENTOS LTDA</v>
          </cell>
          <cell r="E21874" t="str">
            <v>CVPAR INVESTIMENTOS LTDA</v>
          </cell>
        </row>
        <row r="21875">
          <cell r="B21875" t="str">
            <v>M15862221000146</v>
          </cell>
          <cell r="C21875" t="str">
            <v>CL4 CAPITAL GESTORA DE RECURSOS LTDA.</v>
          </cell>
          <cell r="D21875" t="str">
            <v>CL4 CAPITAL GESTORA DE RECURSOS LTDA.</v>
          </cell>
          <cell r="E21875" t="str">
            <v>CL4 CAPITAL GESTORA DE RECURSOS LTDA.</v>
          </cell>
        </row>
        <row r="21876">
          <cell r="B21876" t="str">
            <v>M15675095000110</v>
          </cell>
          <cell r="C21876" t="str">
            <v>LIONS TRUST ADMINISTRADORA DE RECURSOS LTDA</v>
          </cell>
          <cell r="D21876" t="str">
            <v>LIONS TRUST ADMINISTRADORA DE RECURSOS LTDA</v>
          </cell>
          <cell r="E21876" t="str">
            <v>LIONS TRUST ADMINISTRADORA DE RECURSOS LTDA</v>
          </cell>
        </row>
        <row r="21877">
          <cell r="B21877" t="str">
            <v>M15632652000116</v>
          </cell>
          <cell r="C21877" t="str">
            <v>MERITO INVESTIMENTOS S.A.</v>
          </cell>
          <cell r="D21877" t="str">
            <v>MERITO INVESTIMENTOS S.A.</v>
          </cell>
          <cell r="E21877" t="str">
            <v>MERITO INVESTIMENTOS S.A.</v>
          </cell>
        </row>
        <row r="21878">
          <cell r="B21878" t="str">
            <v>M15624684000170</v>
          </cell>
          <cell r="C21878" t="str">
            <v>AQUA CAPITAL GESTORA DE RECURSOS LTDA.</v>
          </cell>
          <cell r="D21878" t="str">
            <v>AQUA CAPITAL GESTORA DE RECURSOS LTDA.</v>
          </cell>
          <cell r="E21878" t="str">
            <v>AQUA CAPITAL GESTORA DE RECURSOS LTDA.</v>
          </cell>
        </row>
        <row r="21879">
          <cell r="B21879" t="str">
            <v>M15555653000104</v>
          </cell>
          <cell r="C21879" t="str">
            <v>ONYX EQUITY MANAGEMENT GESTORA DE INVESTIMENTOS LTDA</v>
          </cell>
          <cell r="D21879" t="str">
            <v>ONYX EQUITY MANAGEMENT GESTORA DE INVESTIMENTOS LTDA</v>
          </cell>
          <cell r="E21879" t="str">
            <v>ONYX EQUITY MANAGEMENT GESTORA DE INVESTIMENTOS LTDA</v>
          </cell>
        </row>
        <row r="21880">
          <cell r="B21880" t="str">
            <v>M15437865000197</v>
          </cell>
          <cell r="C21880" t="str">
            <v>ALGARVE GESTAO DE INVESTIMENTOS LTDA</v>
          </cell>
          <cell r="D21880" t="str">
            <v>ALGARVE GESTAO DE INVESTIMENTOS LTDA</v>
          </cell>
          <cell r="E21880" t="str">
            <v>ALGARVE GESTAO DE INVESTIMENTOS LTDA</v>
          </cell>
        </row>
        <row r="21881">
          <cell r="B21881" t="str">
            <v>M15403817000188</v>
          </cell>
          <cell r="C21881" t="str">
            <v>GRAPHEN INVESTIMENTOS LTDA.</v>
          </cell>
          <cell r="D21881" t="str">
            <v>GRAPHEN INVESTIMENTOS LTDA.</v>
          </cell>
          <cell r="E21881" t="str">
            <v>GRAPHEN INVESTIMENTOS LTDA.</v>
          </cell>
        </row>
        <row r="21882">
          <cell r="B21882" t="str">
            <v>M15335579000110</v>
          </cell>
          <cell r="C21882" t="str">
            <v>COPA GESTAO DE INVESTIMENTOS LTDA</v>
          </cell>
          <cell r="D21882" t="str">
            <v>COPA GESTAO DE INVESTIMENTOS LTDA</v>
          </cell>
          <cell r="E21882" t="str">
            <v>COPA GESTAO DE INVESTIMENTOS LTDA</v>
          </cell>
        </row>
        <row r="21883">
          <cell r="B21883" t="str">
            <v>M15333310000103</v>
          </cell>
          <cell r="C21883" t="str">
            <v>TRIAXIS CAPITAL LTDA</v>
          </cell>
          <cell r="D21883" t="str">
            <v>TRIAXIS CAPITAL LTDA</v>
          </cell>
          <cell r="E21883" t="str">
            <v>TRIAXIS CAPITAL LTDA</v>
          </cell>
        </row>
        <row r="21884">
          <cell r="B21884" t="str">
            <v>M15319547000121</v>
          </cell>
          <cell r="C21884" t="str">
            <v>OPPORTUNITY AUSTER WEALTH MANAGEMENT LTDA.</v>
          </cell>
          <cell r="D21884" t="str">
            <v>OPPORTUNITY AUSTER WEALTH MANAGEMENT LTDA.</v>
          </cell>
          <cell r="E21884" t="str">
            <v>OPPORTUNITY GESTAO DE INVESTIMENTOS E RECURSOS LTDA</v>
          </cell>
        </row>
        <row r="21885">
          <cell r="B21885" t="str">
            <v>M15300931000182</v>
          </cell>
          <cell r="C21885" t="str">
            <v>TREECORP PARTNERS GESTORA LTDA</v>
          </cell>
          <cell r="D21885" t="str">
            <v>TREECORP PARTNERS GESTORA LTDA</v>
          </cell>
          <cell r="E21885" t="str">
            <v>TREECORP PARTNERS GESTORA LTDA</v>
          </cell>
        </row>
        <row r="21886">
          <cell r="B21886" t="str">
            <v>M15279184000148</v>
          </cell>
          <cell r="C21886" t="str">
            <v>ZENITH ASSET MANAGEMENT LTDA</v>
          </cell>
          <cell r="D21886" t="str">
            <v>ZENITH ASSET MANAGEMENT LTDA</v>
          </cell>
          <cell r="E21886" t="str">
            <v>ZENITH ASSET MANAGEMENT LTDA</v>
          </cell>
        </row>
        <row r="21887">
          <cell r="B21887" t="str">
            <v>M15270516000123</v>
          </cell>
          <cell r="C21887" t="str">
            <v>DXA GESTÃƒO DE INVESTIMENTOS S.A.</v>
          </cell>
          <cell r="D21887" t="str">
            <v>DXA GESTÃƒO DE INVESTIMENTOS S.A.</v>
          </cell>
          <cell r="E21887" t="str">
            <v>DXA GESTÃƒO DE INVESTIMENTOS S.A.</v>
          </cell>
        </row>
        <row r="21888">
          <cell r="B21888" t="str">
            <v>M15264376000180</v>
          </cell>
          <cell r="C21888" t="str">
            <v>M3 INVESTMENT GROUP GESTORA DE RECURSOS LTDA</v>
          </cell>
          <cell r="D21888" t="str">
            <v>M3 INVESTMENT GROUP GESTORA DE RECURSOS LTDA</v>
          </cell>
          <cell r="E21888" t="str">
            <v>M3 INVESTMENT GROUP GESTORA DE RECURSOS LTDA</v>
          </cell>
        </row>
        <row r="21889">
          <cell r="B21889" t="str">
            <v>M15240769000154</v>
          </cell>
          <cell r="C21889" t="str">
            <v>SÃƒO JOÃƒO GESTORA DE RECURSOS LTDA</v>
          </cell>
          <cell r="D21889" t="str">
            <v>SÃƒO JOÃƒO GESTORA DE RECURSOS LTDA</v>
          </cell>
          <cell r="E21889" t="str">
            <v>SÃƒO JOÃƒO GESTORA DE RECURSOS LTDA</v>
          </cell>
        </row>
        <row r="21890">
          <cell r="B21890" t="str">
            <v>M15171585000180</v>
          </cell>
          <cell r="C21890" t="str">
            <v>TORO ASSET MANAGEMENT SA</v>
          </cell>
          <cell r="D21890" t="str">
            <v>TORO ASSET MANAGEMENT SA</v>
          </cell>
          <cell r="E21890" t="str">
            <v>TORO ASSET MANAGEMENT SA</v>
          </cell>
        </row>
        <row r="21891">
          <cell r="B21891" t="str">
            <v>M15164333864</v>
          </cell>
          <cell r="C21891" t="str">
            <v>MARCELO TAIAR ARBEX</v>
          </cell>
          <cell r="D21891" t="str">
            <v>MARCELO TAIAR ARBEX</v>
          </cell>
          <cell r="E21891" t="str">
            <v>MARCELO TAIAR ARBEX</v>
          </cell>
        </row>
        <row r="21892">
          <cell r="B21892" t="str">
            <v>M15089883000125</v>
          </cell>
          <cell r="C21892" t="str">
            <v>ALAOF DO BRASIL ADMINISTRADORA DE VALORES MOBILIARIOS E CONSULTORIA LTDA</v>
          </cell>
          <cell r="D21892" t="str">
            <v>ALAOF DO BRASIL ADMINISTRADORA DE VALORES MOBILIARIOS E CONSULTORIA LTDA</v>
          </cell>
          <cell r="E21892" t="str">
            <v>ALAOF DO BRASIL ADMINISTRADORA DE VALORES MOBILIARIOS E CONSULTORIA LTDA</v>
          </cell>
        </row>
        <row r="21893">
          <cell r="B21893" t="str">
            <v>M15050378000177</v>
          </cell>
          <cell r="C21893" t="str">
            <v>BRIO INVESTIMENTOS LTDA.</v>
          </cell>
          <cell r="D21893" t="str">
            <v>BRIO INVESTIMENTOS LTDA.</v>
          </cell>
          <cell r="E21893" t="str">
            <v>BRIO INVESTIMENTOS LTDA.</v>
          </cell>
        </row>
        <row r="21894">
          <cell r="B21894" t="str">
            <v>M15032609000110</v>
          </cell>
          <cell r="C21894" t="str">
            <v>STARBOARD ASSET LTDA.</v>
          </cell>
          <cell r="D21894" t="str">
            <v>STARBOARD ASSET LTDA.</v>
          </cell>
          <cell r="E21894" t="str">
            <v>STARBOARD ASSET LTDA.</v>
          </cell>
        </row>
        <row r="21895">
          <cell r="B21895" t="str">
            <v>M14869060000150</v>
          </cell>
          <cell r="C21895" t="str">
            <v>PIMCO LATIN AMERICA ADMINISTRADORA DE CARTEIRAS LTDA</v>
          </cell>
          <cell r="D21895" t="str">
            <v>PIMCO LATIN AMERICA ADMINISTRADORA DE CARTEIRAS LTDA</v>
          </cell>
          <cell r="E21895" t="str">
            <v>PIMCO LATIN AMERICA ADMINISTRADORA DE CARTEIRAS LTDA</v>
          </cell>
        </row>
        <row r="21896">
          <cell r="B21896" t="str">
            <v>M14841301000152</v>
          </cell>
          <cell r="C21896" t="str">
            <v>TARPON GESTORA DE RECURSOS LTDA</v>
          </cell>
          <cell r="D21896" t="str">
            <v>TARPON GESTORA DE RECURSOS LTDA</v>
          </cell>
          <cell r="E21896" t="str">
            <v>TARPON GESTORA DE RECURSOS LTDA</v>
          </cell>
        </row>
        <row r="21897">
          <cell r="B21897" t="str">
            <v>M14841289000186</v>
          </cell>
          <cell r="C21897" t="str">
            <v>NORTHWEST GESTÃƒO DE FUNDOS E INVESTIMENTOS LTDA.</v>
          </cell>
          <cell r="D21897" t="str">
            <v>NORTHWEST GESTÃƒO DE FUNDOS E INVESTIMENTOS LTDA.</v>
          </cell>
          <cell r="E21897" t="str">
            <v>NORTHWEST GESTÃƒO DE FUNDOS E INVESTIMENTOS LTDA.</v>
          </cell>
        </row>
        <row r="21898">
          <cell r="B21898" t="str">
            <v>M14797432000180</v>
          </cell>
          <cell r="C21898" t="str">
            <v>OMEGA GESTORA DE RECURSOS LTDA</v>
          </cell>
          <cell r="D21898" t="str">
            <v>OMEGA GESTORA DE RECURSOS LTDA</v>
          </cell>
          <cell r="E21898" t="str">
            <v>OMEGA GESTORA DE RECURSOS LTDA</v>
          </cell>
        </row>
        <row r="21899">
          <cell r="B21899" t="str">
            <v>M14751574000106</v>
          </cell>
          <cell r="C21899" t="str">
            <v>VILA RICA CAPITAL GESTORA DE RECURSOS LTDA</v>
          </cell>
          <cell r="D21899" t="str">
            <v>VILA RICA CAPITAL GESTORA DE RECURSOS LTDA</v>
          </cell>
          <cell r="E21899" t="str">
            <v>VILA RICA CAPITAL GESTORA DE RECURSOS LTDA</v>
          </cell>
        </row>
        <row r="21900">
          <cell r="B21900" t="str">
            <v>M14744231000114</v>
          </cell>
          <cell r="C21900" t="str">
            <v>BREI - BRAZILIAN REAL ESTATE INVESTMENTS LTDA</v>
          </cell>
          <cell r="D21900" t="str">
            <v>BREI - BRAZILIAN REAL ESTATE INVESTMENTS LTDA</v>
          </cell>
          <cell r="E21900" t="str">
            <v>BREI - BRAZILIAN REAL ESTATE INVESTMENTS LTDA</v>
          </cell>
        </row>
        <row r="21901">
          <cell r="B21901" t="str">
            <v>M14569262000186</v>
          </cell>
          <cell r="C21901" t="str">
            <v>VGR GESTÃƒO DE RECURSOS LTDA.</v>
          </cell>
          <cell r="D21901" t="str">
            <v>VGR GESTÃƒO DE RECURSOS LTDA.</v>
          </cell>
          <cell r="E21901" t="str">
            <v>VGR GESTÃƒO DE RECURSOS LTDA.</v>
          </cell>
        </row>
        <row r="21902">
          <cell r="B21902" t="str">
            <v>M14555955000110</v>
          </cell>
          <cell r="C21902" t="str">
            <v>INNOVA CAPITAL GESTORA DE RECURSOS LTDA</v>
          </cell>
          <cell r="D21902" t="str">
            <v>INNOVA CAPITAL GESTORA DE RECURSOS LTDA</v>
          </cell>
          <cell r="E21902" t="str">
            <v>INNOVA CAPITAL GESTORA DE RECURSOS LTDA</v>
          </cell>
        </row>
        <row r="21903">
          <cell r="B21903" t="str">
            <v>M14555360000164</v>
          </cell>
          <cell r="C21903" t="str">
            <v>CANUMA CAPITAL LTDA.</v>
          </cell>
          <cell r="D21903" t="str">
            <v>CANUMA CAPITAL LTDA.</v>
          </cell>
          <cell r="E21903" t="str">
            <v>CANUMA CAPITAL LTDA.</v>
          </cell>
        </row>
        <row r="21904">
          <cell r="B21904" t="str">
            <v>M14359791000155</v>
          </cell>
          <cell r="C21904" t="str">
            <v>INDIE CAPITAL INVESTIMENTOS LTDA.</v>
          </cell>
          <cell r="D21904" t="str">
            <v>INDIE CAPITAL INVESTIMENTOS LTDA.</v>
          </cell>
          <cell r="E21904" t="str">
            <v>INDIE CAPITAL INVESTIMENTOS LTDA.</v>
          </cell>
        </row>
        <row r="21905">
          <cell r="B21905" t="str">
            <v>M14310419000154</v>
          </cell>
          <cell r="C21905" t="str">
            <v>BELA VISTA INVESTIMENTOS ADMINISTRADORA DE RECURSOS LTDA.</v>
          </cell>
          <cell r="D21905" t="str">
            <v>BELA VISTA INVESTIMENTOS ADMINISTRADORA DE RECURSOS LTDA.</v>
          </cell>
          <cell r="E21905" t="str">
            <v>BELA VISTA INVESTIMENTOS ADMINISTRADORA DE RECURSOS LTDA.</v>
          </cell>
        </row>
        <row r="21906">
          <cell r="B21906" t="str">
            <v>M14229647000102</v>
          </cell>
          <cell r="C21906" t="str">
            <v>NUCLEO CAPITAL LTDA</v>
          </cell>
          <cell r="D21906" t="str">
            <v>NUCLEO CAPITAL LTDA</v>
          </cell>
          <cell r="E21906" t="str">
            <v>NUCLEO CAPITAL LTDA</v>
          </cell>
        </row>
        <row r="21907">
          <cell r="B21907" t="str">
            <v>M14205023000147</v>
          </cell>
          <cell r="C21907" t="str">
            <v>HIX INVESTIMENTOS LTDA</v>
          </cell>
          <cell r="D21907" t="str">
            <v>HIX INVESTIMENTOS LTDA</v>
          </cell>
          <cell r="E21907" t="str">
            <v>HIX INVESTIMENTOS LTDA</v>
          </cell>
        </row>
        <row r="21908">
          <cell r="B21908" t="str">
            <v>M14142853000172</v>
          </cell>
          <cell r="C21908" t="str">
            <v>VOKIN ADMINISTRAÃ‡ÃƒO DE RECURSOS LTDA</v>
          </cell>
          <cell r="D21908" t="str">
            <v>VOKIN ADMINISTRAÃ‡ÃƒO DE RECURSOS LTDA</v>
          </cell>
          <cell r="E21908" t="str">
            <v>VOKIN ADMINISTRAÃ‡ÃƒO DE RECURSOS LTDA</v>
          </cell>
        </row>
        <row r="21909">
          <cell r="B21909" t="str">
            <v>M14121173000172</v>
          </cell>
          <cell r="C21909" t="str">
            <v>G5 GESTORA DE RECURSOS LTDA</v>
          </cell>
          <cell r="D21909" t="str">
            <v>G5 GESTORA DE RECURSOS LTDA</v>
          </cell>
          <cell r="E21909" t="str">
            <v>G5 GESTORA DE RECURSOS LTDA</v>
          </cell>
        </row>
        <row r="21910">
          <cell r="B21910" t="str">
            <v>M14101538000105</v>
          </cell>
          <cell r="C21910" t="str">
            <v>RJ GESTÃƒO DE RECURSOS LTDA</v>
          </cell>
          <cell r="D21910" t="str">
            <v>RJ GESTÃƒO DE RECURSOS LTDA</v>
          </cell>
          <cell r="E21910" t="str">
            <v>RJ GESTÃƒO DE RECURSOS LTDA</v>
          </cell>
        </row>
        <row r="21911">
          <cell r="B21911" t="str">
            <v>M14058915000162</v>
          </cell>
          <cell r="C21911" t="str">
            <v>SIGNAL CAPITAL INVESTIMENTOS LTDA</v>
          </cell>
          <cell r="D21911" t="str">
            <v>SIGNAL CAPITAL INVESTIMENTOS LTDA</v>
          </cell>
          <cell r="E21911" t="str">
            <v>SIGNAL CAPITAL INVESTIMENTOS LTDA</v>
          </cell>
        </row>
        <row r="21912">
          <cell r="B21912" t="str">
            <v>M14013968000167</v>
          </cell>
          <cell r="C21912" t="str">
            <v>DG ADMINISTRADORA DE CARTEIRAS DE VALORES MOBILIARIOS LTDA</v>
          </cell>
          <cell r="D21912" t="str">
            <v>DG ADMINISTRADORA DE CARTEIRAS DE VALORES MOBILIARIOS LTDA</v>
          </cell>
          <cell r="E21912" t="str">
            <v>DG ADMINISTRADORA DE CARTEIRAS DE VALORES MOBILIARIOS LTDA</v>
          </cell>
        </row>
        <row r="21913">
          <cell r="B21913" t="str">
            <v>M13993865000148</v>
          </cell>
          <cell r="C21913" t="str">
            <v>PRÃ“PRIO CAPITAL GESTÃƒO DE RECURSOS LTDA</v>
          </cell>
          <cell r="D21913" t="str">
            <v>PRÃ“PRIO CAPITAL GESTÃƒO DE RECURSOS LTDA</v>
          </cell>
          <cell r="E21913" t="str">
            <v>PRÃ“PRIO CAPITAL GESTÃƒO DE RECURSOS LTDA</v>
          </cell>
        </row>
        <row r="21914">
          <cell r="B21914" t="str">
            <v>M13971519000169</v>
          </cell>
          <cell r="C21914" t="str">
            <v>RENOVA GESTORA DE RECURSOS LTDA</v>
          </cell>
          <cell r="D21914" t="str">
            <v>RENOVA GESTORA DE RECURSOS LTDA</v>
          </cell>
          <cell r="E21914" t="str">
            <v>RENOVA GESTORA DE RECURSOS LTDA</v>
          </cell>
        </row>
        <row r="21915">
          <cell r="B21915" t="str">
            <v>M13960151000133</v>
          </cell>
          <cell r="C21915" t="str">
            <v>KRATHUS GESTORA DE ATIVOS H LTDA</v>
          </cell>
          <cell r="D21915" t="str">
            <v>KRATHUS GESTORA DE ATIVOS H LTDA</v>
          </cell>
          <cell r="E21915" t="str">
            <v>KRATHUS GESTORA DE ATIVOS H LTDA</v>
          </cell>
        </row>
        <row r="21916">
          <cell r="B21916" t="str">
            <v>M13911006000162</v>
          </cell>
          <cell r="C21916" t="str">
            <v>MACHADO DE ALMEIDA ASSET MANAGEMENT LTDA</v>
          </cell>
          <cell r="D21916" t="str">
            <v>MACHADO DE ALMEIDA ASSET MANAGEMENT LTDA</v>
          </cell>
          <cell r="E21916" t="str">
            <v>MACHADO DE ALMEIDA ASSET MANAGEMENT LTDA</v>
          </cell>
        </row>
        <row r="21917">
          <cell r="B21917" t="str">
            <v>M13772037000180</v>
          </cell>
          <cell r="C21917" t="str">
            <v>SIGULER GUFF GESTORA DE INVESTIMENTOS (ASSET MANAGEMENT) BRASIL LTDA</v>
          </cell>
          <cell r="D21917" t="str">
            <v>SIGULER GUFF GESTORA DE INVESTIMENTOS (ASSET MANAGEMENT) BRASIL LTDA</v>
          </cell>
          <cell r="E21917" t="str">
            <v>SIGULER GUFF GESTORA DE INVESTIMENTOS (ASSET MANAGEMENT) BRASIL LTDA</v>
          </cell>
        </row>
        <row r="21918">
          <cell r="B21918" t="str">
            <v>M13741074000120</v>
          </cell>
          <cell r="C21918" t="str">
            <v>VERSAL FINANCE GESTÃƒO DE RECURSOS LTDA</v>
          </cell>
          <cell r="D21918" t="str">
            <v>VERSAL FINANCE GESTÃƒO DE RECURSOS LTDA</v>
          </cell>
          <cell r="E21918" t="str">
            <v>VERSAL FINANCE GESTÃƒO DE RECURSOS LTDA</v>
          </cell>
        </row>
        <row r="21919">
          <cell r="B21919" t="str">
            <v>M13703306000156</v>
          </cell>
          <cell r="C21919" t="str">
            <v>BLUEWAVE ASSET LTDA</v>
          </cell>
          <cell r="D21919" t="str">
            <v>BLUEWAVE ASSET LTDA</v>
          </cell>
          <cell r="E21919" t="str">
            <v>BLUEWAVE ASSET LTDA</v>
          </cell>
        </row>
        <row r="21920">
          <cell r="B21920" t="str">
            <v>M13692473000149</v>
          </cell>
          <cell r="C21920" t="str">
            <v>VERONA GESTORA DE INVESTIMENTOS LTDA.</v>
          </cell>
          <cell r="D21920" t="str">
            <v>VERONA GESTORA DE INVESTIMENTOS LTDA.</v>
          </cell>
          <cell r="E21920" t="str">
            <v>VERONA GESTORA DE INVESTIMENTOS LTDA.</v>
          </cell>
        </row>
        <row r="21921">
          <cell r="B21921" t="str">
            <v>M13673855000125</v>
          </cell>
          <cell r="C21921" t="str">
            <v>OSLO CAPITAL DISTRIBUIDORA DE TITULOS E VALORES MOBILIARIOS S.A.</v>
          </cell>
          <cell r="D21921" t="str">
            <v>OSLO CAPITAL DISTRIBUIDORA DE TITULOS E VALORES MOBILIARIOS S.A.</v>
          </cell>
          <cell r="E21921" t="str">
            <v>OSLO CAPITAL DISTRIBUIDORA DE TITULOS E VALORES MOBILIARIOS S.A.</v>
          </cell>
        </row>
        <row r="21922">
          <cell r="B21922" t="str">
            <v>M13641353000112</v>
          </cell>
          <cell r="C21922" t="str">
            <v>3R GESTORA DE RECURSOS LTDA</v>
          </cell>
          <cell r="D21922" t="str">
            <v>3R GESTORA DE RECURSOS LTDA</v>
          </cell>
          <cell r="E21922" t="str">
            <v>3R GESTORA DE RECURSOS LTDA</v>
          </cell>
        </row>
        <row r="21923">
          <cell r="B21923" t="str">
            <v>M13601663000103</v>
          </cell>
          <cell r="C21923" t="str">
            <v>V2 INVESTIMENTOS LTDA</v>
          </cell>
          <cell r="D21923" t="str">
            <v>V2 INVESTIMENTOS LTDA</v>
          </cell>
          <cell r="E21923" t="str">
            <v>V2 INVESTIMENTOS LTDA</v>
          </cell>
        </row>
        <row r="21924">
          <cell r="B21924" t="str">
            <v>M13584716000125</v>
          </cell>
          <cell r="C21924" t="str">
            <v>LITUS GESTAO DE RECURSOS LTDA</v>
          </cell>
          <cell r="D21924" t="str">
            <v>LITUS GESTAO DE RECURSOS LTDA</v>
          </cell>
          <cell r="E21924" t="str">
            <v>LITUS GESTAO DE RECURSOS LTDA</v>
          </cell>
        </row>
        <row r="21925">
          <cell r="B21925" t="str">
            <v>M13557425000148</v>
          </cell>
          <cell r="C21925" t="str">
            <v>APUAMA CAPITAL GESTORA DE RECURSOS LTDA</v>
          </cell>
          <cell r="D21925" t="str">
            <v>APUAMA CAPITAL GESTORA DE RECURSOS LTDA</v>
          </cell>
          <cell r="E21925" t="str">
            <v>APUAMA CAPITAL GESTORA DE RECURSOS LTDA</v>
          </cell>
        </row>
        <row r="21926">
          <cell r="B21926" t="str">
            <v>M13556300702</v>
          </cell>
          <cell r="C21926" t="str">
            <v>LEONARDO POUBEL GLEICH</v>
          </cell>
          <cell r="D21926" t="str">
            <v>LEONARDO POUBEL GLEICH</v>
          </cell>
          <cell r="E21926" t="str">
            <v>LEONARDO POUBEL GLEICH</v>
          </cell>
        </row>
        <row r="21927">
          <cell r="B21927" t="str">
            <v>M13534881877</v>
          </cell>
          <cell r="C21927" t="str">
            <v>LUIZ FERNANDO VEZZONE DE MUNIZ</v>
          </cell>
          <cell r="D21927" t="str">
            <v>LUIZ FERNANDO VEZZONE DE MUNIZ</v>
          </cell>
          <cell r="E21927" t="str">
            <v>LUIZ FERNANDO VEZZONE DE MUNIZ</v>
          </cell>
        </row>
        <row r="21928">
          <cell r="B21928" t="str">
            <v>M13518918000179</v>
          </cell>
          <cell r="C21928" t="str">
            <v>APEX CAPITAL LTDA</v>
          </cell>
          <cell r="D21928" t="str">
            <v>APEX CAPITAL LTDA</v>
          </cell>
          <cell r="E21928" t="str">
            <v>APEX CAPITAL LTDA</v>
          </cell>
        </row>
        <row r="21929">
          <cell r="B21929" t="str">
            <v>M13517977000122</v>
          </cell>
          <cell r="C21929" t="str">
            <v>FORNAX ASSESSORIA LTDA.</v>
          </cell>
          <cell r="D21929" t="str">
            <v>FORNAX ASSESSORIA LTDA.</v>
          </cell>
          <cell r="E21929" t="str">
            <v>FORNAX ASSESSORIA LTDA.</v>
          </cell>
        </row>
        <row r="21930">
          <cell r="B21930" t="str">
            <v>M13516035000120</v>
          </cell>
          <cell r="C21930" t="str">
            <v>JPP CAPITAL GESTAO DE RECURSOS LTDA</v>
          </cell>
          <cell r="D21930" t="str">
            <v>JPP CAPITAL GESTAO DE RECURSOS LTDA</v>
          </cell>
          <cell r="E21930" t="str">
            <v>JPP CAPITAL GESTAO DE RECURSOS LTDA</v>
          </cell>
        </row>
        <row r="21931">
          <cell r="B21931" t="str">
            <v>M13486793000142</v>
          </cell>
          <cell r="C21931" t="str">
            <v>BRL TRUST DISTRIBUIDORA DE TITULOS E VALORES MOBILIARIOS S.A.</v>
          </cell>
          <cell r="D21931" t="str">
            <v>BRL TRUST DISTRIBUIDORA DE TITULOS E VALORES MOBILIARIOS S.A.</v>
          </cell>
          <cell r="E21931" t="str">
            <v>BRL TRUST DISTRIBUIDORA DE TITULOS E VALORES MOBILIARIOS S.A.</v>
          </cell>
        </row>
        <row r="21932">
          <cell r="B21932" t="str">
            <v>M13478471000151</v>
          </cell>
          <cell r="C21932" t="str">
            <v>GLP CAPITAL PARTNERS GESTÃƒO DE RECURSOS E ADMINISTRAÃ‡ÃƒO IMOBILIÃRIA LTDA.</v>
          </cell>
          <cell r="D21932" t="str">
            <v>GLP CAPITAL PARTNERS GESTÃƒO DE RECURSOS E ADMINISTRAÃ‡ÃƒO IMOBILIÃRIA LTDA.</v>
          </cell>
          <cell r="E21932" t="str">
            <v>GLP CAPITAL PARTNERS GESTÃƒO DE RECURSOS E ADMINISTRAÃ‡ÃƒO IMOBILIÃRIA LTDA.</v>
          </cell>
        </row>
        <row r="21933">
          <cell r="B21933" t="str">
            <v>M13246240604</v>
          </cell>
          <cell r="C21933" t="str">
            <v>GETÃšLIO ANTONIO DA COSTA</v>
          </cell>
          <cell r="D21933" t="str">
            <v>GETÃšLIO ANTONIO DA COSTA</v>
          </cell>
          <cell r="E21933" t="str">
            <v>GETÃšLIO ANTONIO DA COSTA</v>
          </cell>
        </row>
        <row r="21934">
          <cell r="B21934" t="str">
            <v>M13245187000135</v>
          </cell>
          <cell r="C21934" t="str">
            <v>FL GESTORA DE RECURSOS LTDA.</v>
          </cell>
          <cell r="D21934" t="str">
            <v>FL GESTORA DE RECURSOS LTDA.</v>
          </cell>
          <cell r="E21934" t="str">
            <v>FL GESTORA DE RECURSOS LTDA.</v>
          </cell>
        </row>
        <row r="21935">
          <cell r="B21935" t="str">
            <v>M13194316000103</v>
          </cell>
          <cell r="C21935" t="str">
            <v>TG CORE ASSET LTDA</v>
          </cell>
          <cell r="D21935" t="str">
            <v>TG CORE ASSET LTDA</v>
          </cell>
          <cell r="E21935" t="str">
            <v>TG CORE ASSET LTDA</v>
          </cell>
        </row>
        <row r="21936">
          <cell r="B21936" t="str">
            <v>M13189560000188</v>
          </cell>
          <cell r="C21936" t="str">
            <v>AUTONOMY INVESTIMENTOS LTDA.</v>
          </cell>
          <cell r="D21936" t="str">
            <v>AUTONOMY INVESTIMENTOS LTDA.</v>
          </cell>
          <cell r="E21936" t="str">
            <v>AUTONOMY INVESTIMENTOS LTDA.</v>
          </cell>
        </row>
        <row r="21937">
          <cell r="B21937" t="str">
            <v>M13183720000181</v>
          </cell>
          <cell r="C21937" t="str">
            <v>MANTIQ INVESTIMENTOS LTDA</v>
          </cell>
          <cell r="D21937" t="str">
            <v>MANTIQ INVESTIMENTOS LTDA</v>
          </cell>
          <cell r="E21937" t="str">
            <v>MANTIQ INVESTIMENTOS LTDA</v>
          </cell>
        </row>
        <row r="21938">
          <cell r="B21938" t="str">
            <v>M13056344000164</v>
          </cell>
          <cell r="C21938" t="str">
            <v>ALBION CAPITAL LTDA</v>
          </cell>
          <cell r="D21938" t="str">
            <v>ALBION CAPITAL LTDA</v>
          </cell>
          <cell r="E21938" t="str">
            <v>ALBION CAPITAL LTDA</v>
          </cell>
        </row>
        <row r="21939">
          <cell r="B21939" t="str">
            <v>M13037786000163</v>
          </cell>
          <cell r="C21939" t="str">
            <v>J. P. MORGAN ADMINISTRADORA DE CARTEIRAS BRASIL LTDA</v>
          </cell>
          <cell r="D21939" t="str">
            <v>J. P. MORGAN ADMINISTRADORA DE CARTEIRAS BRASIL LTDA</v>
          </cell>
          <cell r="E21939" t="str">
            <v>JP MORGAN ADMINISTRADORA DE CARTEIRAS BRASIL LTDA</v>
          </cell>
        </row>
        <row r="21940">
          <cell r="B21940" t="str">
            <v>M13037768000181</v>
          </cell>
          <cell r="C21940" t="str">
            <v>REDASSET GESTAO DE RECURSOS LTDA</v>
          </cell>
          <cell r="D21940" t="str">
            <v>REDASSET GESTAO DE RECURSOS LTDA</v>
          </cell>
          <cell r="E21940" t="str">
            <v>REDASSET GESTAO DE RECURSOS LTDA</v>
          </cell>
        </row>
        <row r="21941">
          <cell r="B21941" t="str">
            <v>M13017937000111</v>
          </cell>
          <cell r="C21941" t="str">
            <v>BARAUNA GESTORA DE RECURSOS LTDA</v>
          </cell>
          <cell r="D21941" t="str">
            <v>BARAUNA GESTORA DE RECURSOS LTDA</v>
          </cell>
          <cell r="E21941" t="str">
            <v>BARAUNA GESTORA DE RECURSOS LTDA</v>
          </cell>
        </row>
        <row r="21942">
          <cell r="B21942" t="str">
            <v>M12973953000115</v>
          </cell>
          <cell r="C21942" t="str">
            <v>ARAZUL CAPITAL ASSET MANAGEMENT LTDA.</v>
          </cell>
          <cell r="D21942" t="str">
            <v>ARAZUL CAPITAL ASSET MANAGEMENT LTDA.</v>
          </cell>
          <cell r="E21942" t="str">
            <v>ARAZUL CAPITAL ASSET MANAGEMENT LTDA.</v>
          </cell>
        </row>
        <row r="21943">
          <cell r="B21943" t="str">
            <v>M12807978000149</v>
          </cell>
          <cell r="C21943" t="str">
            <v>AGBI ATIVOS REAIS LTDA</v>
          </cell>
          <cell r="D21943" t="str">
            <v>AGBI ATIVOS REAIS LTDA</v>
          </cell>
          <cell r="E21943" t="str">
            <v>AGBI ATIVOS REAIS LTDA</v>
          </cell>
        </row>
        <row r="21944">
          <cell r="B21944" t="str">
            <v>M12620044000101</v>
          </cell>
          <cell r="C21944" t="str">
            <v>VECTIS GESTÃƒO DE RECURSOS LTDA</v>
          </cell>
          <cell r="D21944" t="str">
            <v>VECTIS GESTÃƒO DE RECURSOS LTDA</v>
          </cell>
          <cell r="E21944" t="str">
            <v>VECTIS GESTÃƒO DE RECURSOS LTDA</v>
          </cell>
        </row>
        <row r="21945">
          <cell r="B21945" t="str">
            <v>M12596921839</v>
          </cell>
          <cell r="C21945" t="str">
            <v>DILTON MARINHO RODRIGUES</v>
          </cell>
          <cell r="D21945" t="str">
            <v>DILTON MARINHO RODRIGUES</v>
          </cell>
          <cell r="E21945" t="str">
            <v>DILTON MARINHO RODRIGUES</v>
          </cell>
        </row>
        <row r="21946">
          <cell r="B21946" t="str">
            <v>M12586135000160</v>
          </cell>
          <cell r="C21946" t="str">
            <v>DIRETA CAPITAL LTDA</v>
          </cell>
          <cell r="D21946" t="str">
            <v>DIRETA CAPITAL LTDA</v>
          </cell>
          <cell r="E21946" t="str">
            <v>DIRETA CAPITAL LTDA</v>
          </cell>
        </row>
        <row r="21947">
          <cell r="B21947" t="str">
            <v>M12461756000117</v>
          </cell>
          <cell r="C21947" t="str">
            <v>PATRIA INVESTIMENTOS LTDA</v>
          </cell>
          <cell r="D21947" t="str">
            <v>PATRIA INVESTIMENTOS LTDA</v>
          </cell>
          <cell r="E21947" t="str">
            <v>PATRIA INVESTIMENTOS LTDA</v>
          </cell>
        </row>
        <row r="21948">
          <cell r="B21948" t="str">
            <v>M12461742000101</v>
          </cell>
          <cell r="C21948" t="str">
            <v>LATACHE GESTÃƒO DE RECURSOS LTDA</v>
          </cell>
          <cell r="D21948" t="str">
            <v>LATACHE GESTÃƒO DE RECURSOS LTDA</v>
          </cell>
          <cell r="E21948" t="str">
            <v>LATACHE GESTÃƒO DE RECURSOS LTDA</v>
          </cell>
        </row>
        <row r="21949">
          <cell r="B21949" t="str">
            <v>M12421188000120</v>
          </cell>
          <cell r="C21949" t="str">
            <v>ORI CAPITAL LTDA</v>
          </cell>
          <cell r="D21949" t="str">
            <v>ORI CAPITAL LTDA</v>
          </cell>
          <cell r="E21949" t="str">
            <v>ORI CAPITAL LTDA</v>
          </cell>
        </row>
        <row r="21950">
          <cell r="B21950" t="str">
            <v>M12263316000155</v>
          </cell>
          <cell r="C21950" t="str">
            <v>NOVA MILANO INVESTIMENTOS LTDA</v>
          </cell>
          <cell r="D21950" t="str">
            <v>NOVA MILANO INVESTIMENTOS LTDA</v>
          </cell>
          <cell r="E21950" t="str">
            <v>NOVA MILANO INVESTIMENTOS LTDA</v>
          </cell>
        </row>
        <row r="21951">
          <cell r="B21951" t="str">
            <v>M12258120000172</v>
          </cell>
          <cell r="C21951" t="str">
            <v>FIR GESTÃƒO DE INVESTIMENTOS S.A</v>
          </cell>
          <cell r="D21951" t="str">
            <v>FIR GESTÃƒO DE INVESTIMENTOS S.A</v>
          </cell>
          <cell r="E21951" t="str">
            <v>FIR GESTÃƒO DE INVESTIMENTOS S.A</v>
          </cell>
        </row>
        <row r="21952">
          <cell r="B21952" t="str">
            <v>M12216351000113</v>
          </cell>
          <cell r="C21952" t="str">
            <v>BRAX INVESTIMENTOS LTDA</v>
          </cell>
          <cell r="D21952" t="str">
            <v>BRAX INVESTIMENTOS LTDA</v>
          </cell>
          <cell r="E21952" t="str">
            <v>BRAX INVESTIMENTOS LTDA</v>
          </cell>
        </row>
        <row r="21953">
          <cell r="B21953" t="str">
            <v>M12160857000158</v>
          </cell>
          <cell r="C21953" t="str">
            <v>CULTINVEST ASSET MANAGEMENT LTDA</v>
          </cell>
          <cell r="D21953" t="str">
            <v>CULTINVEST ASSET MANAGEMENT LTDA</v>
          </cell>
          <cell r="E21953" t="str">
            <v>CULTINVEST ASSET MANAGEMENT LTDA</v>
          </cell>
        </row>
        <row r="21954">
          <cell r="B21954" t="str">
            <v>M12147903000189</v>
          </cell>
          <cell r="C21954" t="str">
            <v>3Q ASSET LTDA</v>
          </cell>
          <cell r="D21954" t="str">
            <v>3Q ASSET LTDA</v>
          </cell>
          <cell r="E21954" t="str">
            <v>3Q ASSET LTDA</v>
          </cell>
        </row>
        <row r="21955">
          <cell r="B21955" t="str">
            <v>M12046915000117</v>
          </cell>
          <cell r="C21955" t="str">
            <v>REAL CAPITAL PARTNERS LTDA</v>
          </cell>
          <cell r="D21955" t="str">
            <v>REAL CAPITAL PARTNERS LTDA</v>
          </cell>
          <cell r="E21955" t="str">
            <v>REAL CAPITAL PARTNERS LTDA</v>
          </cell>
        </row>
        <row r="21956">
          <cell r="B21956" t="str">
            <v>M11998171000178</v>
          </cell>
          <cell r="C21956" t="str">
            <v>FG/A GESTORA DE RECURSOS LTDA</v>
          </cell>
          <cell r="D21956" t="str">
            <v>FG/A GESTORA DE RECURSOS LTDA</v>
          </cell>
          <cell r="E21956" t="str">
            <v>FG/A GESTORA DE RECURSOS LTDA</v>
          </cell>
        </row>
        <row r="21957">
          <cell r="B21957" t="str">
            <v>M11916849000126</v>
          </cell>
          <cell r="C21957" t="str">
            <v>OURO PRETO GESTÃƒO DE RECURSOS S.A.</v>
          </cell>
          <cell r="D21957" t="str">
            <v>OURO PRETO GESTÃƒO DE RECURSOS S.A.</v>
          </cell>
          <cell r="E21957" t="str">
            <v>OURO PRETO GESTÃƒO DE RECURSOS S.A.</v>
          </cell>
        </row>
        <row r="21958">
          <cell r="B21958" t="str">
            <v>M11823102000123</v>
          </cell>
          <cell r="C21958" t="str">
            <v>LEROSA INVESTIMENTOS LTDA.</v>
          </cell>
          <cell r="D21958" t="str">
            <v>LEROSA INVESTIMENTOS LTDA.</v>
          </cell>
          <cell r="E21958" t="str">
            <v>LEROSA INVESTIMENTOS LTDA.</v>
          </cell>
        </row>
        <row r="21959">
          <cell r="B21959" t="str">
            <v>M11819899000195</v>
          </cell>
          <cell r="C21959" t="str">
            <v>BR OPPORTUNITIES GESTORA DE FUNDOS LTDA</v>
          </cell>
          <cell r="D21959" t="str">
            <v>BR OPPORTUNITIES GESTORA DE FUNDOS LTDA</v>
          </cell>
          <cell r="E21959" t="str">
            <v>BR OPPORTUNITIES GESTORA DE FUNDOS LTDA</v>
          </cell>
        </row>
        <row r="21960">
          <cell r="B21960" t="str">
            <v>M11797258000187</v>
          </cell>
          <cell r="C21960" t="str">
            <v>QUARTER INVESTIMENTOS ASSET MANAGEMENT LTDA</v>
          </cell>
          <cell r="D21960" t="str">
            <v>QUARTER INVESTIMENTOS ASSET MANAGEMENT LTDA</v>
          </cell>
          <cell r="E21960" t="str">
            <v>QUARTER INVESTIMENTOS ASSET MANAGEMENT LTDA</v>
          </cell>
        </row>
        <row r="21961">
          <cell r="B21961" t="str">
            <v>M11774290000147</v>
          </cell>
          <cell r="C21961" t="str">
            <v>OASIS VENTURES LTDA.</v>
          </cell>
          <cell r="D21961" t="str">
            <v>OASIS VENTURES LTDA.</v>
          </cell>
          <cell r="E21961" t="str">
            <v>OASIS VENTURES LTDA.</v>
          </cell>
        </row>
        <row r="21962">
          <cell r="B21962" t="str">
            <v>M11695155000106</v>
          </cell>
          <cell r="C21962" t="str">
            <v>ECO GESTÃƒO DE ATIVOS LTDA</v>
          </cell>
          <cell r="D21962" t="str">
            <v>ECO GESTÃƒO DE ATIVOS LTDA</v>
          </cell>
          <cell r="E21962" t="str">
            <v>ECO GESTÃƒO DE ATIVOS LTDA</v>
          </cell>
        </row>
        <row r="21963">
          <cell r="B21963" t="str">
            <v>M11581211000181</v>
          </cell>
          <cell r="C21963" t="str">
            <v>LAPB GESTAO DE RECURSOS FINANCEIROS LTDA</v>
          </cell>
          <cell r="D21963" t="str">
            <v>LAPB GESTAO DE RECURSOS FINANCEIROS LTDA</v>
          </cell>
          <cell r="E21963" t="str">
            <v>LAPB GESTAO DE RECURSOS FINANCEIROS LTDA</v>
          </cell>
        </row>
        <row r="21964">
          <cell r="B21964" t="str">
            <v>M11570951000112</v>
          </cell>
          <cell r="C21964" t="str">
            <v>REAL INVESTOR ASSET MANAGEMENT LTDA</v>
          </cell>
          <cell r="D21964" t="str">
            <v>REAL INVESTOR ASSET MANAGEMENT LTDA</v>
          </cell>
          <cell r="E21964" t="str">
            <v>REAL INVESTOR ASSET MANAGEMENT LTDA</v>
          </cell>
        </row>
        <row r="21965">
          <cell r="B21965" t="str">
            <v>M11530232000178</v>
          </cell>
          <cell r="C21965" t="str">
            <v>APOLO INVESTIMENTOS LTDA</v>
          </cell>
          <cell r="D21965" t="str">
            <v>APOLO INVESTIMENTOS LTDA</v>
          </cell>
          <cell r="E21965" t="str">
            <v>APOLO INVESTIMENTOS LTDA</v>
          </cell>
        </row>
        <row r="21966">
          <cell r="B21966" t="str">
            <v>M11504852000132</v>
          </cell>
          <cell r="C21966" t="str">
            <v>NOVA S.R.M. ADMINISTRAÃ‡ÃƒO DE RECURSOS E FINANÃ‡AS S/A</v>
          </cell>
          <cell r="D21966" t="str">
            <v>NOVA S.R.M. ADMINISTRAÃ‡ÃƒO DE RECURSOS E FINANÃ‡AS S/A</v>
          </cell>
          <cell r="E21966" t="str">
            <v>NOVA S.R.M. ADMINISTRAÃ‡ÃƒO DE RECURSOS E FINANÃ‡AS S/A</v>
          </cell>
        </row>
        <row r="21967">
          <cell r="B21967" t="str">
            <v>M11502768000180</v>
          </cell>
          <cell r="C21967" t="str">
            <v>MINT GUADUA CAPITAL GESTORA DE RECURSOS LTDA</v>
          </cell>
          <cell r="D21967" t="str">
            <v>MINT GUADUA CAPITAL GESTORA DE RECURSOS LTDA</v>
          </cell>
          <cell r="E21967" t="str">
            <v>MINT GUADUA CAPITAL GESTORA DE RECURSOS LTDA</v>
          </cell>
        </row>
        <row r="21968">
          <cell r="B21968" t="str">
            <v>M11502024000165</v>
          </cell>
          <cell r="C21968" t="str">
            <v>FCL CAPITAL GESTÃƒO DE RECURSOS DE TERCEIROS LTDA.</v>
          </cell>
          <cell r="D21968" t="str">
            <v>FCL CAPITAL GESTÃƒO DE RECURSOS DE TERCEIROS LTDA.</v>
          </cell>
          <cell r="E21968" t="str">
            <v>FCL CAPITAL GESTÃƒO DE RECURSOS DE TERCEIROS LTDA.</v>
          </cell>
        </row>
        <row r="21969">
          <cell r="B21969" t="str">
            <v>M11464150000172</v>
          </cell>
          <cell r="C21969" t="str">
            <v>DEX CAPITAL GESTÃƒO DE RECURSOS LTDA.</v>
          </cell>
          <cell r="D21969" t="str">
            <v>DEX CAPITAL GESTÃƒO DE RECURSOS LTDA.</v>
          </cell>
          <cell r="E21969" t="str">
            <v>DEX CAPITAL GESTÃƒO DE RECURSOS LTDA.</v>
          </cell>
        </row>
        <row r="21970">
          <cell r="B21970" t="str">
            <v>M11459648000147</v>
          </cell>
          <cell r="C21970" t="str">
            <v>LUXOR INVESTIMENTOS LTDA</v>
          </cell>
          <cell r="D21970" t="str">
            <v>LUXOR INVESTIMENTOS LTDA</v>
          </cell>
          <cell r="E21970" t="str">
            <v>LUXOR INVESTIMENTOS LTDA</v>
          </cell>
        </row>
        <row r="21971">
          <cell r="B21971" t="str">
            <v>M11455963000104</v>
          </cell>
          <cell r="D21971" t="str">
            <v>FUNDO DE DESENVOLVIMENTO SOCIAL</v>
          </cell>
        </row>
        <row r="21972">
          <cell r="B21972" t="str">
            <v>M11438570000184</v>
          </cell>
          <cell r="C21972" t="str">
            <v>GALAPAGOS WEALTH MANAGEMENT GESTÃƒO DE INVESTIMENTOS LTDA</v>
          </cell>
          <cell r="D21972" t="str">
            <v>GALAPAGOS WEALTH MANAGEMENT GESTÃƒO DE INVESTIMENTOS LTDA</v>
          </cell>
          <cell r="E21972" t="str">
            <v>GALAPAGOS CAPITAL INVESTIMENTOS E PARTICIPAÇOES LTDA</v>
          </cell>
        </row>
        <row r="21973">
          <cell r="B21973" t="str">
            <v>M11402234000181</v>
          </cell>
          <cell r="C21973" t="str">
            <v>4I CAPITAL LTDA</v>
          </cell>
          <cell r="D21973" t="str">
            <v>4I CAPITAL LTDA</v>
          </cell>
          <cell r="E21973" t="str">
            <v>4I CAPITAL LTDA</v>
          </cell>
        </row>
        <row r="21974">
          <cell r="B21974" t="str">
            <v>M11401701000159</v>
          </cell>
          <cell r="C21974" t="str">
            <v>LAPLACE INVESTIMENTOS E GESTAO DE RECURSOS LTDA</v>
          </cell>
          <cell r="D21974" t="str">
            <v>LAPLACE INVESTIMENTOS E GESTAO DE RECURSOS LTDA</v>
          </cell>
          <cell r="E21974" t="str">
            <v>LAPLACE INVESTIMENTOS E GESTAO DE RECURSOS LTDA</v>
          </cell>
        </row>
        <row r="21975">
          <cell r="B21975" t="str">
            <v>M11369621000163</v>
          </cell>
          <cell r="C21975" t="str">
            <v>EXPRESSO PLANEJAMENTO GESTÃƒO DE RECURSOS LTDA</v>
          </cell>
          <cell r="D21975" t="str">
            <v>EXPRESSO PLANEJAMENTO GESTÃƒO DE RECURSOS LTDA</v>
          </cell>
          <cell r="E21975" t="str">
            <v>EXPRESSO PLANEJAMENTO GESTÃƒO DE RECURSOS LTDA</v>
          </cell>
        </row>
        <row r="21976">
          <cell r="B21976" t="str">
            <v>M11333851000172</v>
          </cell>
          <cell r="C21976" t="str">
            <v>COMPOSTELA CAPITAL GESTORA DE RECURSOS LTDA</v>
          </cell>
          <cell r="D21976" t="str">
            <v>COMPOSTELA CAPITAL GESTORA DE RECURSOS LTDA</v>
          </cell>
          <cell r="E21976" t="str">
            <v>COMPOSTELA CAPITAL GESTORA DE RECURSOS LTDA</v>
          </cell>
        </row>
        <row r="21977">
          <cell r="B21977" t="str">
            <v>M11325341000153</v>
          </cell>
          <cell r="C21977" t="str">
            <v>CONTEA CAPITAL GESTAO DE RECURSOS LTDA</v>
          </cell>
          <cell r="D21977" t="str">
            <v>CONTEA CAPITAL GESTAO DE RECURSOS LTDA</v>
          </cell>
          <cell r="E21977" t="str">
            <v>CONTEA CAPITAL GESTAO DE RECURSOS LTDA</v>
          </cell>
        </row>
        <row r="21978">
          <cell r="B21978" t="str">
            <v>M11313045000132</v>
          </cell>
          <cell r="C21978" t="str">
            <v>INVESTFORT GESTÃƒO DE INVESTIMENTOS LTDA</v>
          </cell>
          <cell r="D21978" t="str">
            <v>INVESTFORT GESTÃƒO DE INVESTIMENTOS LTDA</v>
          </cell>
          <cell r="E21978" t="str">
            <v>INVESTFORT GESTÃƒO DE INVESTIMENTOS LTDA</v>
          </cell>
        </row>
        <row r="21979">
          <cell r="B21979" t="str">
            <v>M11304223000169</v>
          </cell>
          <cell r="C21979" t="str">
            <v>SUNO GESTORA DE RECURSOS LTDA</v>
          </cell>
          <cell r="D21979" t="str">
            <v>SUNO GESTORA DE RECURSOS LTDA</v>
          </cell>
          <cell r="E21979" t="str">
            <v>SUNO GESTORA DE RECURSOS LTDA</v>
          </cell>
        </row>
        <row r="21980">
          <cell r="B21980" t="str">
            <v>M11275045000195</v>
          </cell>
          <cell r="C21980" t="str">
            <v>FLORIDA INVESTIMENTOS E GESTÃƒO DE RECURSOS LTDA</v>
          </cell>
          <cell r="D21980" t="str">
            <v>FLORIDA INVESTIMENTOS E GESTÃƒO DE RECURSOS LTDA</v>
          </cell>
          <cell r="E21980" t="str">
            <v>FLORIDA INVESTIMENTOS E GESTÃƒO DE RECURSOS LTDA</v>
          </cell>
        </row>
        <row r="21981">
          <cell r="B21981" t="str">
            <v>M11240125000105</v>
          </cell>
          <cell r="C21981" t="str">
            <v>DEZESSEIS DEZOITO GESTÃƒO DE RECURSOS LTDA</v>
          </cell>
          <cell r="D21981" t="str">
            <v>DEZESSEIS DEZOITO GESTÃƒO DE RECURSOS LTDA</v>
          </cell>
          <cell r="E21981" t="str">
            <v>DEZESSEIS DEZOITO GESTÃƒO DE RECURSOS LTDA</v>
          </cell>
        </row>
        <row r="21982">
          <cell r="B21982" t="str">
            <v>M11233865000114</v>
          </cell>
          <cell r="C21982" t="str">
            <v>KPTL INVESTIMENTOS LTDA.</v>
          </cell>
          <cell r="D21982" t="str">
            <v>KPTL INVESTIMENTOS LTDA.</v>
          </cell>
          <cell r="E21982" t="str">
            <v>KPTL INVESTIMENTOS LTDA.</v>
          </cell>
        </row>
        <row r="21983">
          <cell r="B21983" t="str">
            <v>M11191325000115</v>
          </cell>
          <cell r="C21983" t="str">
            <v>L2 ADMINISTRADORA DE RECURSOS LTDA</v>
          </cell>
          <cell r="D21983" t="str">
            <v>L2 ADMINISTRADORA DE RECURSOS LTDA</v>
          </cell>
          <cell r="E21983" t="str">
            <v>L2 ADMINISTRADORA DE RECURSOS LTDA</v>
          </cell>
        </row>
        <row r="21984">
          <cell r="B21984" t="str">
            <v>M11162455000120</v>
          </cell>
          <cell r="C21984" t="str">
            <v>SHARPEN CAPITAL ADMINISTRADORA DE RECURSOS LTDA.</v>
          </cell>
          <cell r="D21984" t="str">
            <v>SHARPEN CAPITAL ADMINISTRADORA DE RECURSOS LTDA.</v>
          </cell>
          <cell r="E21984" t="str">
            <v>SHARPEN CAPITAL ADMINISTRADORA DE RECURSOS LTDA.</v>
          </cell>
        </row>
        <row r="21985">
          <cell r="B21985" t="str">
            <v>M11141257000180</v>
          </cell>
          <cell r="C21985" t="str">
            <v>AGILE ASSET GESTÃƒO DE INVESTIMENTOS LTDA</v>
          </cell>
          <cell r="D21985" t="str">
            <v>AGILE ASSET GESTÃƒO DE INVESTIMENTOS LTDA</v>
          </cell>
          <cell r="E21985" t="str">
            <v>AGILE ASSET GESTÃO DE INVESTIMENTOS LTDA</v>
          </cell>
        </row>
        <row r="21986">
          <cell r="B21986" t="str">
            <v>M11135763000166</v>
          </cell>
          <cell r="C21986" t="str">
            <v>SMARTQUANT INVESTIMENTOS LTDA.</v>
          </cell>
          <cell r="D21986" t="str">
            <v>SMARTQUANT INVESTIMENTOS LTDA.</v>
          </cell>
          <cell r="E21986" t="str">
            <v>SMARTQUANT INVESTIMENTOS LTDA.</v>
          </cell>
        </row>
        <row r="21987">
          <cell r="B21987" t="str">
            <v>M11120589000188</v>
          </cell>
          <cell r="C21987" t="str">
            <v>GUIDE GESTÃƒO DE RECURSOS LTDA</v>
          </cell>
          <cell r="D21987" t="str">
            <v>GUIDE GESTÃƒO DE RECURSOS LTDA</v>
          </cell>
          <cell r="E21987" t="str">
            <v>GUIDE GESTÃƒO DE RECURSOS LTDA</v>
          </cell>
        </row>
        <row r="21988">
          <cell r="B21988" t="str">
            <v>M11116499000113</v>
          </cell>
          <cell r="C21988" t="str">
            <v>IPORANGA INVESTIMENTOS LTDA</v>
          </cell>
          <cell r="D21988" t="str">
            <v>IPORANGA INVESTIMENTOS LTDA</v>
          </cell>
          <cell r="E21988" t="str">
            <v>IPORANGA INVESTIMENTOS LTDA</v>
          </cell>
        </row>
        <row r="21989">
          <cell r="B21989" t="str">
            <v>M11081121000121</v>
          </cell>
          <cell r="C21989" t="str">
            <v>FINHEALTH GESTAO DE RECURSOS LTDA</v>
          </cell>
          <cell r="D21989" t="str">
            <v>FINHEALTH GESTAO DE RECURSOS LTDA</v>
          </cell>
          <cell r="E21989" t="str">
            <v>FINHEALTH GESTAO DE RECURSOS LTDA</v>
          </cell>
        </row>
        <row r="21990">
          <cell r="B21990" t="str">
            <v>M11074363000198</v>
          </cell>
          <cell r="C21990" t="str">
            <v>ABRDN BRASIL INVESTIMENTOS LTDA.</v>
          </cell>
          <cell r="D21990" t="str">
            <v>ABRDN BRASIL INVESTIMENTOS LTDA.</v>
          </cell>
          <cell r="E21990" t="str">
            <v>ABRDN BRASIL INVESTIMENTOS LTDA.</v>
          </cell>
        </row>
        <row r="21991">
          <cell r="B21991" t="str">
            <v>M11065164000113</v>
          </cell>
          <cell r="C21991" t="str">
            <v>CYPRESS ASSOCIATES GESTÃƒO E PARTICIPAÃ‡Ã•ES LTDA</v>
          </cell>
          <cell r="D21991" t="str">
            <v>CYPRESS ASSOCIATES GESTÃƒO E PARTICIPAÃ‡Ã•ES LTDA</v>
          </cell>
          <cell r="E21991" t="str">
            <v>CYPRESS ASSOCIATES GESTÃƒO E PARTICIPAÃ‡Ã•ES LTDA</v>
          </cell>
        </row>
        <row r="21992">
          <cell r="B21992" t="str">
            <v>M11026162000115</v>
          </cell>
          <cell r="C21992" t="str">
            <v>F3 GESTAO DE INVESTIMENTOS LTDA</v>
          </cell>
          <cell r="D21992" t="str">
            <v>F3 GESTAO DE INVESTIMENTOS LTDA</v>
          </cell>
          <cell r="E21992" t="str">
            <v>F3 GESTAO DE INVESTIMENTOS LTDA</v>
          </cell>
        </row>
        <row r="21993">
          <cell r="B21993" t="str">
            <v>M11013757000136</v>
          </cell>
          <cell r="C21993" t="str">
            <v>TRIUS CAPITAL GESTÃƒO DE INVESTIMENTOS E CONSULTORIA LTDA</v>
          </cell>
          <cell r="D21993" t="str">
            <v>TRIUS CAPITAL GESTÃƒO DE INVESTIMENTOS E CONSULTORIA LTDA</v>
          </cell>
          <cell r="E21993" t="str">
            <v>TRIUS CAPITAL GESTÃƒO DE INVESTIMENTOS E CONSULTORIA LTDA</v>
          </cell>
        </row>
        <row r="21994">
          <cell r="B21994" t="str">
            <v>M11000859000117</v>
          </cell>
          <cell r="C21994" t="str">
            <v>BRM APEX SOLUCOES DE PORTFOLIO GESTAO DE RECURSOS LTDA.</v>
          </cell>
          <cell r="D21994" t="str">
            <v>BRM APEX SOLUCOES DE PORTFOLIO GESTAO DE RECURSOS LTDA.</v>
          </cell>
          <cell r="E21994" t="str">
            <v>BRM CARBYNE GESTAO DE RECURSOS S/A</v>
          </cell>
        </row>
        <row r="21995">
          <cell r="B21995" t="str">
            <v>M10995802000132</v>
          </cell>
          <cell r="C21995" t="str">
            <v>RJI GESTAO &amp; INVESTIMENTOS LTDA</v>
          </cell>
          <cell r="D21995" t="str">
            <v>RJI GESTAO &amp; INVESTIMENTOS LTDA</v>
          </cell>
          <cell r="E21995" t="str">
            <v>RJI GESTAO &amp; INVESTIMENTOS LTDA</v>
          </cell>
        </row>
        <row r="21996">
          <cell r="B21996" t="str">
            <v>M10979208000158</v>
          </cell>
          <cell r="C21996" t="str">
            <v>BLACKROCK BRASIL GESTORA DE INVESTIMENTOS LTDA</v>
          </cell>
          <cell r="D21996" t="str">
            <v>BLACKROCK BRASIL GESTORA DE INVESTIMENTOS LTDA</v>
          </cell>
          <cell r="E21996" t="str">
            <v>BLACKROCK BRASIL GESTORA DE INVESTIMENTOS LTDA</v>
          </cell>
        </row>
        <row r="21997">
          <cell r="B21997" t="str">
            <v>M10957035000177</v>
          </cell>
          <cell r="C21997" t="str">
            <v>ATMOS CAPITAL GESTÃƒO DE RECURSOS LTDA</v>
          </cell>
          <cell r="D21997" t="str">
            <v>ATMOS CAPITAL GESTÃƒO DE RECURSOS LTDA</v>
          </cell>
          <cell r="E21997" t="str">
            <v>ATMOS CAPITAL GESTÃƒO DE RECURSOS LTDA</v>
          </cell>
        </row>
        <row r="21998">
          <cell r="B21998" t="str">
            <v>M10936487000172</v>
          </cell>
          <cell r="C21998" t="str">
            <v>G10 ADMINISTRADORA DE RECURSOS LTDA</v>
          </cell>
          <cell r="D21998" t="str">
            <v>G10 ADMINISTRADORA DE RECURSOS LTDA</v>
          </cell>
          <cell r="E21998" t="str">
            <v>G10 ADMINISTRADORA DE RECURSOS LTDA</v>
          </cell>
        </row>
        <row r="21999">
          <cell r="B21999" t="str">
            <v>M10927936000116</v>
          </cell>
          <cell r="C21999" t="str">
            <v>R. I.  ADMINISTRADORA DE CARTEIRA DE VALORES MOBILIÃRIOS LTDA</v>
          </cell>
          <cell r="D21999" t="str">
            <v>R. I.  ADMINISTRADORA DE CARTEIRA DE VALORES MOBILIÃRIOS LTDA</v>
          </cell>
          <cell r="E21999" t="str">
            <v>R. I.  ADMINISTRADORA DE CARTEIRA DE VALORES MOBILIÃRIOS LTDA</v>
          </cell>
        </row>
        <row r="22000">
          <cell r="B22000" t="str">
            <v>M10924308000187</v>
          </cell>
          <cell r="C22000" t="str">
            <v>IGUANA INVESTIMENTOS LTDA.</v>
          </cell>
          <cell r="D22000" t="str">
            <v>IGUANA INVESTIMENTOS LTDA.</v>
          </cell>
          <cell r="E22000" t="str">
            <v>IGUANA INVESTIMENTOS LTDA.</v>
          </cell>
        </row>
        <row r="22001">
          <cell r="B22001" t="str">
            <v>M10896871000199</v>
          </cell>
          <cell r="C22001" t="str">
            <v>EMPIRICA INVESTIMENTOS GESTAO DE RECURSOS LTDA</v>
          </cell>
          <cell r="D22001" t="str">
            <v>EMPIRICA INVESTIMENTOS GESTAO DE RECURSOS LTDA</v>
          </cell>
          <cell r="E22001" t="str">
            <v>EMPIRICA INVESTIMENTOS GESTAO DE RECURSOS LTDA</v>
          </cell>
        </row>
        <row r="22002">
          <cell r="B22002" t="str">
            <v>M10865161000100</v>
          </cell>
          <cell r="C22002" t="str">
            <v>DAEMON INVESTIMENTOS LTDA.</v>
          </cell>
          <cell r="D22002" t="str">
            <v>DAEMON INVESTIMENTOS LTDA.</v>
          </cell>
          <cell r="E22002" t="str">
            <v>DAEMON INVESTIMENTOS LTDA.</v>
          </cell>
        </row>
        <row r="22003">
          <cell r="B22003" t="str">
            <v>M10840069000187</v>
          </cell>
          <cell r="C22003" t="str">
            <v>IF ASSET GESTÃƒO DE RECURSOS LTDA.</v>
          </cell>
          <cell r="D22003" t="str">
            <v>IF ASSET GESTÃƒO DE RECURSOS LTDA.</v>
          </cell>
          <cell r="E22003" t="str">
            <v>IF ASSET GESTÃƒO DE RECURSOS LTDA.</v>
          </cell>
        </row>
        <row r="22004">
          <cell r="B22004" t="str">
            <v>M10807094000169</v>
          </cell>
          <cell r="C22004" t="str">
            <v>GHT4 WEALTH MANAGEMENT LTDA.</v>
          </cell>
          <cell r="D22004" t="str">
            <v>GHT4 WEALTH MANAGEMENT LTDA.</v>
          </cell>
          <cell r="E22004" t="str">
            <v>GHT4 WEALTH MANAGEMENT LTDA.</v>
          </cell>
        </row>
        <row r="22005">
          <cell r="B22005" t="str">
            <v>M10757089000199</v>
          </cell>
          <cell r="C22005" t="str">
            <v>BLUE STAR E ASSET MANAGEMENT LTDA</v>
          </cell>
          <cell r="D22005" t="str">
            <v>BLUE STAR E ASSET MANAGEMENT LTDA</v>
          </cell>
          <cell r="E22005" t="str">
            <v>BLUE STAR E ASSET MANAGEMENT LTDA</v>
          </cell>
        </row>
        <row r="22006">
          <cell r="B22006" t="str">
            <v>M10705874000106</v>
          </cell>
          <cell r="C22006" t="str">
            <v>A3 PERFORMANCE GESTAO DE RECURSOS LTDA</v>
          </cell>
          <cell r="D22006" t="str">
            <v>A3 PERFORMANCE GESTAO DE RECURSOS LTDA</v>
          </cell>
          <cell r="E22006" t="str">
            <v>A3 PERFORMANCE GESTAO DE RECURSOS LTDA</v>
          </cell>
        </row>
        <row r="22007">
          <cell r="B22007" t="str">
            <v>M10632282000101</v>
          </cell>
          <cell r="C22007" t="str">
            <v>SPX PRIVATE EQUITY GESTÃƒO DE RECURSOS LTDA.</v>
          </cell>
          <cell r="D22007" t="str">
            <v>SPX PRIVATE EQUITY GESTÃƒO DE RECURSOS LTDA.</v>
          </cell>
          <cell r="E22007" t="str">
            <v>SPX GESTAO DE RECURSOS LTDA</v>
          </cell>
        </row>
        <row r="22008">
          <cell r="B22008" t="str">
            <v>M10594490000155</v>
          </cell>
          <cell r="C22008" t="str">
            <v>CASAFORTE INVESTIMENTOS S.A.</v>
          </cell>
          <cell r="D22008" t="str">
            <v>CASAFORTE INVESTIMENTOS S.A.</v>
          </cell>
          <cell r="E22008" t="str">
            <v>CASAFORTE INVESTIMENTOS S.A.</v>
          </cell>
        </row>
        <row r="22009">
          <cell r="B22009" t="str">
            <v>M10490029000152</v>
          </cell>
          <cell r="C22009" t="str">
            <v>MATERA RC GESTÃƒO DE RECURSOS LTDA.</v>
          </cell>
          <cell r="D22009" t="str">
            <v>MATERA RC GESTÃƒO DE RECURSOS LTDA.</v>
          </cell>
          <cell r="E22009" t="str">
            <v>MATERA RC GESTÃƒO DE RECURSOS LTDA.</v>
          </cell>
        </row>
        <row r="22010">
          <cell r="B22010" t="str">
            <v>M10479557000100</v>
          </cell>
          <cell r="C22010" t="str">
            <v>PHRONESIS INVESTIMENTOS LTDA.</v>
          </cell>
          <cell r="D22010" t="str">
            <v>PHRONESIS INVESTIMENTOS LTDA.</v>
          </cell>
          <cell r="E22010" t="str">
            <v>PHRONESIS INVESTIMENTOS LTDA.</v>
          </cell>
        </row>
        <row r="22011">
          <cell r="B22011" t="str">
            <v>M10467534000186</v>
          </cell>
          <cell r="C22011" t="str">
            <v>GERIBÃ INVESTIMENTOS LTDA</v>
          </cell>
          <cell r="D22011" t="str">
            <v>GERIBÃ INVESTIMENTOS LTDA</v>
          </cell>
          <cell r="E22011" t="str">
            <v>GERIBÃ INVESTIMENTOS LTDA</v>
          </cell>
        </row>
        <row r="22012">
          <cell r="B22012" t="str">
            <v>M10464748000107</v>
          </cell>
          <cell r="C22012" t="str">
            <v>HIERON PATRIMÃ”NIO FAMILIAR E INVESTIMOS LTDA</v>
          </cell>
          <cell r="D22012" t="str">
            <v>HIERON PATRIMÃ”NIO FAMILIAR E INVESTIMOS LTDA</v>
          </cell>
          <cell r="E22012" t="str">
            <v>HIERON PATRIMÃ”NIO FAMILIAR E INVESTIMOS LTDA</v>
          </cell>
        </row>
        <row r="22013">
          <cell r="B22013" t="str">
            <v>M10423667000150</v>
          </cell>
          <cell r="C22013" t="str">
            <v>EUROVEST ASSET MANAGEMENT LTDA</v>
          </cell>
          <cell r="D22013" t="str">
            <v>EUROVEST ASSET MANAGEMENT LTDA</v>
          </cell>
          <cell r="E22013" t="str">
            <v>EUROVEST ASSET MANAGEMENT LTDA</v>
          </cell>
        </row>
        <row r="22014">
          <cell r="B22014" t="str">
            <v>M10405423000145</v>
          </cell>
          <cell r="C22014" t="str">
            <v>REDWOOD ADMINISTRAÃ‡ÃƒO DE RECURSOS LTDA</v>
          </cell>
          <cell r="D22014" t="str">
            <v>REDWOOD ADMINISTRAÃ‡ÃƒO DE RECURSOS LTDA</v>
          </cell>
          <cell r="E22014" t="str">
            <v>REDWOOD ADMINISTRAÃ‡ÃƒO DE RECURSOS LTDA</v>
          </cell>
        </row>
        <row r="22015">
          <cell r="B22015" t="str">
            <v>M10354190000107</v>
          </cell>
          <cell r="C22015" t="str">
            <v>ALAMOS ADMINISTRADORA DE RECURSOS LTDA</v>
          </cell>
          <cell r="D22015" t="str">
            <v>ALAMOS ADMINISTRADORA DE RECURSOS LTDA</v>
          </cell>
          <cell r="E22015" t="str">
            <v>ALAMOS ADMINISTRADORA DE RECURSOS LTDA</v>
          </cell>
        </row>
        <row r="22016">
          <cell r="B22016" t="str">
            <v>M10340194000128</v>
          </cell>
          <cell r="C22016" t="str">
            <v>CONCORDIA GESTAO DE RECURSOS LTDA</v>
          </cell>
          <cell r="D22016" t="str">
            <v>CONCORDIA GESTAO DE RECURSOS LTDA</v>
          </cell>
          <cell r="E22016" t="str">
            <v>CONCORDIA GESTAO DE RECURSOS LTDA</v>
          </cell>
        </row>
        <row r="22017">
          <cell r="B22017" t="str">
            <v>M10307354000137</v>
          </cell>
          <cell r="C22017" t="str">
            <v>BELVEDERE ADMINISTRAÃ‡ÃƒO DE VALORES MOBILIÃRIOS LTDA.</v>
          </cell>
          <cell r="D22017" t="str">
            <v>BELVEDERE ADMINISTRAÃ‡ÃƒO DE VALORES MOBILIÃRIOS LTDA.</v>
          </cell>
          <cell r="E22017" t="str">
            <v>BELVEDERE ADMINISTRAÃ‡ÃƒO DE VALORES MOBILIÃRIOS LTDA.</v>
          </cell>
        </row>
        <row r="22018">
          <cell r="B22018" t="str">
            <v>M10262910000104</v>
          </cell>
          <cell r="C22018" t="str">
            <v>TS GESTÃƒO E CONSULTORIA IMOBILIÃRIA LTDA.</v>
          </cell>
          <cell r="D22018" t="str">
            <v>TS GESTÃƒO E CONSULTORIA IMOBILIÃRIA LTDA.</v>
          </cell>
          <cell r="E22018" t="str">
            <v>TS GESTÃƒO E CONSULTORIA IMOBILIÃRIA LTDA.</v>
          </cell>
        </row>
        <row r="22019">
          <cell r="B22019" t="str">
            <v>M10253634000100</v>
          </cell>
          <cell r="C22019" t="str">
            <v>RENDA ASSET ADMINISTRADORA DE RECURSOS LTDA</v>
          </cell>
          <cell r="D22019" t="str">
            <v>RENDA ASSET ADMINISTRADORA DE RECURSOS LTDA</v>
          </cell>
          <cell r="E22019" t="str">
            <v>RENDA ASSET ADMINISTRADORA DE RECURSOS LTDA</v>
          </cell>
        </row>
        <row r="22020">
          <cell r="B22020" t="str">
            <v>M10247082000127</v>
          </cell>
          <cell r="C22020" t="str">
            <v>CVENTURES EMPREENDIMENTOS INOVADORES E PARTICIPAÃ‡Ã•ES S.A.</v>
          </cell>
          <cell r="D22020" t="str">
            <v>CVENTURES EMPREENDIMENTOS INOVADORES E PARTICIPAÃ‡Ã•ES S.A.</v>
          </cell>
          <cell r="E22020" t="str">
            <v>CVENTURES EMPREENDIMENTOS INOVADORES E PARTICIPAÃ‡Ã•ES S.A.</v>
          </cell>
        </row>
        <row r="22021">
          <cell r="B22021" t="str">
            <v>M10240925000163</v>
          </cell>
          <cell r="C22021" t="str">
            <v>LEBLON EQUITIES GESTAO DE RECURSOS LTDA</v>
          </cell>
          <cell r="D22021" t="str">
            <v>LEBLON EQUITIES GESTAO DE RECURSOS LTDA</v>
          </cell>
          <cell r="E22021" t="str">
            <v>LEBLON EQUITIES GESTAO DE RECURSOS LTDA</v>
          </cell>
        </row>
        <row r="22022">
          <cell r="B22022" t="str">
            <v>M10140735000174</v>
          </cell>
          <cell r="C22022" t="str">
            <v>FIDUC GESTÃƒO FIDUCIÃRIA S.A.</v>
          </cell>
          <cell r="D22022" t="str">
            <v>FIDUC GESTÃƒO FIDUCIÃRIA S.A.</v>
          </cell>
          <cell r="E22022" t="str">
            <v>FIDUC GESTÃƒO FIDUCIÃRIA S.A.</v>
          </cell>
        </row>
        <row r="22023">
          <cell r="B22023" t="str">
            <v>M1</v>
          </cell>
          <cell r="D22023" t="str">
            <v>RIZA</v>
          </cell>
        </row>
        <row r="22024">
          <cell r="B22024" t="str">
            <v>M09722735000101</v>
          </cell>
          <cell r="C22024" t="str">
            <v>BLUEMETRIX GESTAO DE ATIVOS S.A.</v>
          </cell>
          <cell r="D22024" t="str">
            <v>BLUEMETRIX GESTAO DE ATIVOS S.A.</v>
          </cell>
          <cell r="E22024" t="str">
            <v>BLUEMETRIX GESTAO DE ATIVOS S.A.</v>
          </cell>
        </row>
        <row r="22025">
          <cell r="B22025" t="str">
            <v>M09631542000137</v>
          </cell>
          <cell r="C22025" t="str">
            <v>BTG PACTUAL GESTORA DE RECURSOS LTDA</v>
          </cell>
          <cell r="D22025" t="str">
            <v>BTG PACTUAL GESTORA DE RECURSOS LTDA</v>
          </cell>
          <cell r="E22025" t="str">
            <v>BTG PACTUAL ASSET MANAGEMENT SA DTVM</v>
          </cell>
        </row>
        <row r="22026">
          <cell r="B22026" t="str">
            <v>M09614455721</v>
          </cell>
          <cell r="C22026" t="str">
            <v>JOÃƒO PAULO JABOUR BRUNET</v>
          </cell>
          <cell r="D22026" t="str">
            <v>JOÃƒO PAULO JABOUR BRUNET</v>
          </cell>
          <cell r="E22026" t="str">
            <v>JOÃƒO PAULO JABOUR BRUNET</v>
          </cell>
        </row>
        <row r="22027">
          <cell r="B22027" t="str">
            <v>M09594756000180</v>
          </cell>
          <cell r="C22027" t="str">
            <v>SP VENTURES GESTORA DE RECURSOS LTDA</v>
          </cell>
          <cell r="D22027" t="str">
            <v>SP VENTURES GESTORA DE RECURSOS LTDA</v>
          </cell>
          <cell r="E22027" t="str">
            <v>SP VENTURES GESTORA DE RECURSOS LTDA</v>
          </cell>
        </row>
        <row r="22028">
          <cell r="B22028" t="str">
            <v>M09583516000180</v>
          </cell>
          <cell r="C22028" t="str">
            <v>E2M INVESTIMENTOS LTDA.</v>
          </cell>
          <cell r="D22028" t="str">
            <v>E2M INVESTIMENTOS LTDA.</v>
          </cell>
          <cell r="E22028" t="str">
            <v>E2M INVESTIMENTOS LTDA.</v>
          </cell>
        </row>
        <row r="22029">
          <cell r="B22029" t="str">
            <v>M09576295000113</v>
          </cell>
          <cell r="C22029" t="str">
            <v>SPRINGS CAPITAL LTDA</v>
          </cell>
          <cell r="D22029" t="str">
            <v>SPRINGS CAPITAL LTDA</v>
          </cell>
          <cell r="E22029" t="str">
            <v>SPRINGS CAPITAL LTDA</v>
          </cell>
        </row>
        <row r="22030">
          <cell r="B22030" t="str">
            <v>M09551766000139</v>
          </cell>
          <cell r="C22030" t="str">
            <v>DAHLIA CAPITAL GESTÃƒO DE RECURSOS LTDA.</v>
          </cell>
          <cell r="D22030" t="str">
            <v>DAHLIA CAPITAL GESTÃƒO DE RECURSOS LTDA.</v>
          </cell>
          <cell r="E22030" t="str">
            <v>DAHLIA CAPITAL GESTAO DE RECURSOS LTDA</v>
          </cell>
        </row>
        <row r="22031">
          <cell r="B22031" t="str">
            <v>M09544103000197</v>
          </cell>
          <cell r="C22031" t="str">
            <v>INVESTIMAGE ADMINISTRADORA DE RECURSOS LTDA.</v>
          </cell>
          <cell r="D22031" t="str">
            <v>INVESTIMAGE ADMINISTRADORA DE RECURSOS LTDA.</v>
          </cell>
          <cell r="E22031" t="str">
            <v>INVESTIMAGE ADMINISTRADORA DE RECURSOS LTDA.</v>
          </cell>
        </row>
        <row r="22032">
          <cell r="B22032" t="str">
            <v>M09483581000134</v>
          </cell>
          <cell r="C22032" t="str">
            <v>23S CAPITAL LTDA.</v>
          </cell>
          <cell r="D22032" t="str">
            <v>23S CAPITAL LTDA.</v>
          </cell>
          <cell r="E22032" t="str">
            <v>23S CAPITAL LTDA.</v>
          </cell>
        </row>
        <row r="22033">
          <cell r="B22033" t="str">
            <v>M09481178000176</v>
          </cell>
          <cell r="C22033" t="str">
            <v>ICATU GESTÃƒO PATRIMONIAL LTDA</v>
          </cell>
          <cell r="D22033" t="str">
            <v>ICATU GESTÃƒO PATRIMONIAL LTDA</v>
          </cell>
          <cell r="E22033" t="str">
            <v>ICATU VANGUARDA GESTAO DE RECURSOS LTDA</v>
          </cell>
        </row>
        <row r="22034">
          <cell r="B22034" t="str">
            <v>M09470575000142</v>
          </cell>
          <cell r="C22034" t="str">
            <v>COPACABANA GESTÃƒO DE RECURSOS FINANCEIROS LTDA.</v>
          </cell>
          <cell r="D22034" t="str">
            <v>COPACABANA GESTÃƒO DE RECURSOS FINANCEIROS LTDA.</v>
          </cell>
          <cell r="E22034" t="str">
            <v>COPACABANA GESTÃƒO DE RECURSOS FINANCEIROS LTDA.</v>
          </cell>
        </row>
        <row r="22035">
          <cell r="B22035" t="str">
            <v>M09463122000199</v>
          </cell>
          <cell r="C22035" t="str">
            <v>BRAVA GESTORA DE RECURSOS, CONSULTORIA E PARTICIPAÃ‡Ã•ES LTDA.</v>
          </cell>
          <cell r="D22035" t="str">
            <v>BRAVA GESTORA DE RECURSOS, CONSULTORIA E PARTICIPAÃ‡Ã•ES LTDA.</v>
          </cell>
          <cell r="E22035" t="str">
            <v>BRAVA GESTORA DE RECURSOS, CONSULTORIA E PARTICIPAÃ‡Ã•ES LTDA.</v>
          </cell>
        </row>
        <row r="22036">
          <cell r="B22036" t="str">
            <v>M09437736000104</v>
          </cell>
          <cell r="C22036" t="str">
            <v>LORINVEST GESTAO DE RECURSOS LTDA</v>
          </cell>
          <cell r="D22036" t="str">
            <v>LORINVEST GESTAO DE RECURSOS LTDA</v>
          </cell>
          <cell r="E22036" t="str">
            <v>LORINVEST GESTAO DE RECURSOS LTDA</v>
          </cell>
        </row>
        <row r="22037">
          <cell r="B22037" t="str">
            <v>M09401450000160</v>
          </cell>
          <cell r="C22037" t="str">
            <v>JPP GESTAO DE RECURSOS LTDA</v>
          </cell>
          <cell r="D22037" t="str">
            <v>JPP GESTAO DE RECURSOS LTDA</v>
          </cell>
          <cell r="E22037" t="str">
            <v>JPP GESTAO DE RECURSOS LTDA</v>
          </cell>
        </row>
        <row r="22038">
          <cell r="B22038" t="str">
            <v>M09400968000180</v>
          </cell>
          <cell r="C22038" t="str">
            <v>CRESCERA GROWTH CAPITAL LTDA.</v>
          </cell>
          <cell r="D22038" t="str">
            <v>CRESCERA GROWTH CAPITAL LTDA.</v>
          </cell>
          <cell r="E22038" t="str">
            <v>CRESCERA GROWTH CAPITAL LTDA.</v>
          </cell>
        </row>
        <row r="22039">
          <cell r="B22039" t="str">
            <v>M09375360000142</v>
          </cell>
          <cell r="C22039" t="str">
            <v>INVISTO GESTÃƒO DE INVESTIMENTOS S/A</v>
          </cell>
          <cell r="D22039" t="str">
            <v>INVISTO GESTÃƒO DE INVESTIMENTOS S/A</v>
          </cell>
          <cell r="E22039" t="str">
            <v>INVISTO GESTÃƒO DE INVESTIMENTOS S/A</v>
          </cell>
        </row>
        <row r="22040">
          <cell r="B22040" t="str">
            <v>M09360012000100</v>
          </cell>
          <cell r="C22040" t="str">
            <v>BLP CAPITAL GESTORA DE RECURSOS LTDA.</v>
          </cell>
          <cell r="D22040" t="str">
            <v>BLP CAPITAL GESTORA DE RECURSOS LTDA.</v>
          </cell>
          <cell r="E22040" t="str">
            <v>BLP CAPITAL GESTORA DE RECURSOS LTDA.</v>
          </cell>
        </row>
        <row r="22041">
          <cell r="B22041" t="str">
            <v>M09326542000123</v>
          </cell>
          <cell r="C22041" t="str">
            <v>OCEANA INVESTIMENTOS ADMINISTRADORA DE CARTEIRA DE VALORES MOBILIÃRIOS LTDA</v>
          </cell>
          <cell r="D22041" t="str">
            <v>OCEANA INVESTIMENTOS ADMINISTRADORA DE CARTEIRA DE VALORES MOBILIÃRIOS LTDA</v>
          </cell>
          <cell r="E22041" t="str">
            <v>OCEANA INVESTIMENTOS ADMINISTRADORA DE CARTEIRA DE VALORES MOBILIÃRIOS LTDA</v>
          </cell>
        </row>
        <row r="22042">
          <cell r="B22042" t="str">
            <v>M09268642000140</v>
          </cell>
          <cell r="C22042" t="str">
            <v>ASTELLA INVESTIMENTOS, ASSESSORIA, GESTÃƒO E PARTICIPAÃ‡Ã•ES LTDA</v>
          </cell>
          <cell r="D22042" t="str">
            <v>ASTELLA INVESTIMENTOS, ASSESSORIA, GESTÃƒO E PARTICIPAÃ‡Ã•ES LTDA</v>
          </cell>
          <cell r="E22042" t="str">
            <v>ASTELLA INVESTIMENTOS, ASSESSORIA, GESTÃƒO E PARTICIPAÃ‡Ã•ES LTDA</v>
          </cell>
        </row>
        <row r="22043">
          <cell r="B22043" t="str">
            <v>M09267871000140</v>
          </cell>
          <cell r="C22043" t="str">
            <v>SQUADRA INVESTIMENTOS - GESTÃƒO DE RECURSOS LTDA.</v>
          </cell>
          <cell r="D22043" t="str">
            <v>SQUADRA INVESTIMENTOS - GESTÃƒO DE RECURSOS LTDA.</v>
          </cell>
          <cell r="E22043" t="str">
            <v>SQUADRA INVESTIMENTOS GESTÃƒO DE RECURSOS LTDA</v>
          </cell>
        </row>
        <row r="22044">
          <cell r="B22044" t="str">
            <v>M09259317000111</v>
          </cell>
          <cell r="C22044" t="str">
            <v>BP VENTURE CAPITAL LTDA.</v>
          </cell>
          <cell r="D22044" t="str">
            <v>BP VENTURE CAPITAL LTDA.</v>
          </cell>
          <cell r="E22044" t="str">
            <v>BP VENTURE CAPITAL LTDA.</v>
          </cell>
        </row>
        <row r="22045">
          <cell r="B22045" t="str">
            <v>M09240891000128</v>
          </cell>
          <cell r="C22045" t="str">
            <v>TREK INVESTIMENTOS LTDA</v>
          </cell>
          <cell r="D22045" t="str">
            <v>TREK INVESTIMENTOS LTDA</v>
          </cell>
          <cell r="E22045" t="str">
            <v>TREK INVESTIMENTOS LTDA</v>
          </cell>
        </row>
        <row r="22046">
          <cell r="B22046" t="str">
            <v>M09238656000111</v>
          </cell>
          <cell r="C22046" t="str">
            <v>SGC ASSET LTDA.</v>
          </cell>
          <cell r="D22046" t="str">
            <v>SGC ASSET LTDA.</v>
          </cell>
          <cell r="E22046" t="str">
            <v>SGC ASSET LTDA.</v>
          </cell>
        </row>
        <row r="22047">
          <cell r="B22047" t="str">
            <v>M09204714000196</v>
          </cell>
          <cell r="C22047" t="str">
            <v>PETRA CAPITAL GESTÃƒO DE INVESTIMENTOS LTDA</v>
          </cell>
          <cell r="D22047" t="str">
            <v>PETRA CAPITAL GESTÃƒO DE INVESTIMENTOS LTDA</v>
          </cell>
          <cell r="E22047" t="str">
            <v>PETRA CAPITAL GESTÃƒO DE INVESTIMENTOS LTDA</v>
          </cell>
        </row>
        <row r="22048">
          <cell r="B22048" t="str">
            <v>M09188994000196</v>
          </cell>
          <cell r="C22048" t="str">
            <v>FABULA CAPITAL GESTÃƒO DE RECURSOS LTDA.</v>
          </cell>
          <cell r="D22048" t="str">
            <v>FABULA CAPITAL GESTÃƒO DE RECURSOS LTDA.</v>
          </cell>
          <cell r="E22048" t="str">
            <v>FABULA CAPITAL GESTÃƒO DE RECURSOS LTDA.</v>
          </cell>
        </row>
        <row r="22049">
          <cell r="B22049" t="str">
            <v>M09172045000118</v>
          </cell>
          <cell r="C22049" t="str">
            <v>GTIS PARTNERS BRASIL GESTÃƒO, CONSULTORIA EM INVESTIMENTOS E PARTICIPAÃ‡Ã•ES LTDA.</v>
          </cell>
          <cell r="D22049" t="str">
            <v>GTIS PARTNERS BRASIL GESTÃƒO, CONSULTORIA EM INVESTIMENTOS E PARTICIPAÃ‡Ã•ES LTDA.</v>
          </cell>
          <cell r="E22049" t="str">
            <v>GTIS PARTNERS BRASIL GESTÃƒO, CONSULTORIA EM INVESTIMENTOS E PARTICIPAÃ‡Ã•ES LTDA.</v>
          </cell>
        </row>
        <row r="22050">
          <cell r="B22050" t="str">
            <v>M09146756000118</v>
          </cell>
          <cell r="C22050" t="str">
            <v>JERA CAPITAL GESTAO DE RECURSOS LTDA</v>
          </cell>
          <cell r="D22050" t="str">
            <v>JERA CAPITAL GESTAO DE RECURSOS LTDA</v>
          </cell>
          <cell r="E22050" t="str">
            <v>JERA CAPITAL GESTAO DE RECURSOS LTDA</v>
          </cell>
        </row>
        <row r="22051">
          <cell r="B22051" t="str">
            <v>M09119406000162</v>
          </cell>
          <cell r="C22051" t="str">
            <v>SEIVAL INVESTIMENTOS LTDA.</v>
          </cell>
          <cell r="D22051" t="str">
            <v>SEIVAL INVESTIMENTOS LTDA.</v>
          </cell>
          <cell r="E22051" t="str">
            <v>SEIVAL INVESTIMENTOS LTDA.</v>
          </cell>
        </row>
        <row r="22052">
          <cell r="B22052" t="str">
            <v>M09095455000102</v>
          </cell>
          <cell r="C22052" t="str">
            <v>GLOBAL X BRASIL GESTORA DE INVESTIMENTOS LTDA.</v>
          </cell>
          <cell r="D22052" t="str">
            <v>GLOBAL X BRASIL GESTORA DE INVESTIMENTOS LTDA.</v>
          </cell>
          <cell r="E22052" t="str">
            <v>GLOBAL X BRASIL GESTORA DE INVESTIMENTOS LTDA.</v>
          </cell>
        </row>
        <row r="22053">
          <cell r="B22053" t="str">
            <v>M09060383000168</v>
          </cell>
          <cell r="C22053" t="str">
            <v>GTI ADMINISTRAÃ‡ÃƒO DE RECURSOS LTDA</v>
          </cell>
          <cell r="D22053" t="str">
            <v>GTI ADMINISTRAÃ‡ÃƒO DE RECURSOS LTDA</v>
          </cell>
          <cell r="E22053" t="str">
            <v>GTI ADMINISTRAÃ‡ÃƒO DE RECURSOS LTDA</v>
          </cell>
        </row>
        <row r="22054">
          <cell r="B22054" t="str">
            <v>M09043367000167</v>
          </cell>
          <cell r="C22054" t="str">
            <v>SET INVESTIMENTOS GESTÃƒO DE ATIVOS LTDA.</v>
          </cell>
          <cell r="D22054" t="str">
            <v>SET INVESTIMENTOS GESTÃƒO DE ATIVOS LTDA.</v>
          </cell>
          <cell r="E22054" t="str">
            <v>SET INVESTIMENTOS GESTÃƒO DE ATIVOS LTDA.</v>
          </cell>
        </row>
        <row r="22055">
          <cell r="B22055" t="str">
            <v>M09031993000133</v>
          </cell>
          <cell r="C22055" t="str">
            <v>GLOBAL ASSET GESTORA DE RECURSOS LTDA</v>
          </cell>
          <cell r="D22055" t="str">
            <v>GLOBAL ASSET GESTORA DE RECURSOS LTDA</v>
          </cell>
          <cell r="E22055" t="str">
            <v>GLOBAL ASSET GESTORA DE RECURSOS LTDA</v>
          </cell>
        </row>
        <row r="22056">
          <cell r="B22056" t="str">
            <v>M09015597000112</v>
          </cell>
          <cell r="C22056" t="str">
            <v>SPE CONFRAPAR ADMINISTRAÃ‡ÃƒO E GESTÃƒO DE RECURSOS S.A.</v>
          </cell>
          <cell r="D22056" t="str">
            <v>SPE CONFRAPAR ADMINISTRAÃ‡ÃƒO E GESTÃƒO DE RECURSOS S.A.</v>
          </cell>
          <cell r="E22056" t="str">
            <v>SPE CONFRAPAR ADMINISTRAÃ‡ÃƒO E GESTÃƒO DE RECURSOS S.A.</v>
          </cell>
        </row>
        <row r="22057">
          <cell r="B22057" t="str">
            <v>M08964545000120</v>
          </cell>
          <cell r="C22057" t="str">
            <v>REDITUS INVESTIMENTOS LTDA</v>
          </cell>
          <cell r="D22057" t="str">
            <v>REDITUS INVESTIMENTOS LTDA</v>
          </cell>
          <cell r="E22057" t="str">
            <v>REDITUS INVESTIMENTOS LTDA</v>
          </cell>
        </row>
        <row r="22058">
          <cell r="B22058" t="str">
            <v>M08957792000107</v>
          </cell>
          <cell r="C22058" t="str">
            <v>NEXTEP INVESTIMENTOS LTDA.</v>
          </cell>
          <cell r="D22058" t="str">
            <v>NEXTEP INVESTIMENTOS LTDA.</v>
          </cell>
          <cell r="E22058" t="str">
            <v>NEXTEP INVESTIMENTOS LTDA.</v>
          </cell>
        </row>
        <row r="22059">
          <cell r="B22059" t="str">
            <v>M08957783000108</v>
          </cell>
          <cell r="C22059" t="str">
            <v>ALKES CAPITAL ADMINISTRAÃ‡ÃƒO DE CARTEIRAS LTDA.</v>
          </cell>
          <cell r="D22059" t="str">
            <v>ALKES CAPITAL ADMINISTRAÃ‡ÃƒO DE CARTEIRAS LTDA.</v>
          </cell>
          <cell r="E22059" t="str">
            <v>ALKES CAPITAL ADMINISTRAÃ‡ÃƒO DE CARTEIRAS LTDA.</v>
          </cell>
        </row>
        <row r="22060">
          <cell r="B22060" t="str">
            <v>M08882311000133</v>
          </cell>
          <cell r="C22060" t="str">
            <v>ARENA CAPITAL ASSET ADMINISTRAÃ‡ÃƒO DE RECURSOS LTDA</v>
          </cell>
          <cell r="D22060" t="str">
            <v>ARENA CAPITAL ASSET ADMINISTRAÃ‡ÃƒO DE RECURSOS LTDA</v>
          </cell>
          <cell r="E22060" t="str">
            <v>ARENA CAPITAL ASSET ADMINISTRAÃ‡ÃƒO DE RECURSOS LTDA</v>
          </cell>
        </row>
        <row r="22061">
          <cell r="B22061" t="str">
            <v>M08852323000115</v>
          </cell>
          <cell r="C22061" t="str">
            <v>PONTA SUL INVESTIMENTOS LTDA.</v>
          </cell>
          <cell r="D22061" t="str">
            <v>PONTA SUL INVESTIMENTOS LTDA.</v>
          </cell>
          <cell r="E22061" t="str">
            <v>PONTA SUL INVESTIMENTOS LTDA.</v>
          </cell>
        </row>
        <row r="22062">
          <cell r="B22062" t="str">
            <v>M08806258000191</v>
          </cell>
          <cell r="C22062" t="str">
            <v>ARTON GESTÃƒO DE RECURSOS LTDA</v>
          </cell>
          <cell r="D22062" t="str">
            <v>ARTON GESTÃƒO DE RECURSOS LTDA</v>
          </cell>
          <cell r="E22062" t="str">
            <v>ARTON GESTÃƒO DE RECURSOS LTDA</v>
          </cell>
        </row>
        <row r="22063">
          <cell r="B22063" t="str">
            <v>M08792073000175</v>
          </cell>
          <cell r="C22063" t="str">
            <v>KADIMA GESTAO DE INVESTIMENTOS LTDA</v>
          </cell>
          <cell r="D22063" t="str">
            <v>KADIMA GESTAO DE INVESTIMENTOS LTDA</v>
          </cell>
          <cell r="E22063" t="str">
            <v>KADIMA GESTAO DE INVESTIMENTOS LTDA</v>
          </cell>
        </row>
        <row r="22064">
          <cell r="B22064" t="str">
            <v>M08752088000100</v>
          </cell>
          <cell r="C22064" t="str">
            <v>BC GESTÃƒO DE RECURSOS LTDA</v>
          </cell>
          <cell r="D22064" t="str">
            <v>BC GESTÃƒO DE RECURSOS LTDA</v>
          </cell>
          <cell r="E22064" t="str">
            <v>BC GESTÃƒO DE RECURSOS LTDA</v>
          </cell>
        </row>
        <row r="22065">
          <cell r="B22065" t="str">
            <v>M08647754000140</v>
          </cell>
          <cell r="C22065" t="str">
            <v>HIGH GESTÃƒO E INVESTIMENTOS LTDA</v>
          </cell>
          <cell r="D22065" t="str">
            <v>HIGH GESTÃƒO E INVESTIMENTOS LTDA</v>
          </cell>
          <cell r="E22065" t="str">
            <v>HIGH GESTÃƒO E INVESTIMENTOS LTDA</v>
          </cell>
        </row>
        <row r="22066">
          <cell r="B22066" t="str">
            <v>M08592877000120</v>
          </cell>
          <cell r="C22066" t="str">
            <v>DEL MONTE - GESTÃƒO DE INVESTIMENTOS LTDA</v>
          </cell>
          <cell r="D22066" t="str">
            <v>DEL MONTE - GESTÃƒO DE INVESTIMENTOS LTDA</v>
          </cell>
          <cell r="E22066" t="str">
            <v>DEL MONTE - GESTÃƒO DE INVESTIMENTOS LTDA</v>
          </cell>
        </row>
        <row r="22067">
          <cell r="B22067" t="str">
            <v>M08486313000103</v>
          </cell>
          <cell r="C22067" t="str">
            <v>KONDOR ADMINISTRADORA E GESTORA DE RECURSOS FINANCEIROS LTDA</v>
          </cell>
          <cell r="D22067" t="str">
            <v>KONDOR ADMINISTRADORA E GESTORA DE RECURSOS FINANCEIROS LTDA</v>
          </cell>
          <cell r="E22067" t="str">
            <v>KONDOR ADMINISTRADORA E GESTORA DE RECURSOS FINANCEIROS LTDA</v>
          </cell>
        </row>
        <row r="22068">
          <cell r="B22068" t="str">
            <v>M08452178794</v>
          </cell>
          <cell r="C22068" t="str">
            <v>ALEXANDRE DE ALMEIDA CANALINI</v>
          </cell>
          <cell r="D22068" t="str">
            <v>ALEXANDRE DE ALMEIDA CANALINI</v>
          </cell>
          <cell r="E22068" t="str">
            <v>ALEXANDRE DE ALMEIDA CANALINI</v>
          </cell>
        </row>
        <row r="22069">
          <cell r="B22069" t="str">
            <v>M08364775000158</v>
          </cell>
          <cell r="C22069" t="str">
            <v>COX GESTÃƒO DE RECURSOS LTDA</v>
          </cell>
          <cell r="D22069" t="str">
            <v>COX GESTÃƒO DE RECURSOS LTDA</v>
          </cell>
          <cell r="E22069" t="str">
            <v>COX GESTÃƒO DE RECURSOS LTDA</v>
          </cell>
        </row>
        <row r="22070">
          <cell r="B22070" t="str">
            <v>M08251477000151</v>
          </cell>
          <cell r="C22070" t="str">
            <v>JOULE - GESTAO DE RECURSOS E VALORES MOBILIARIOS LTDA</v>
          </cell>
          <cell r="D22070" t="str">
            <v>JOULE - GESTAO DE RECURSOS E VALORES MOBILIARIOS LTDA</v>
          </cell>
          <cell r="E22070" t="str">
            <v>JOULE - GESTAO DE RECURSOS E VALORES MOBILIARIOS LTDA</v>
          </cell>
        </row>
        <row r="22071">
          <cell r="B22071" t="str">
            <v>M08228243000193</v>
          </cell>
          <cell r="C22071" t="str">
            <v>ALOCC GESTÃƒO PATRIMONIAL LTDA.</v>
          </cell>
          <cell r="D22071" t="str">
            <v>ALOCC GESTÃƒO PATRIMONIAL LTDA.</v>
          </cell>
          <cell r="E22071" t="str">
            <v>ALOCC GESTÃƒO PATRIMONIAL LTDA.</v>
          </cell>
        </row>
        <row r="22072">
          <cell r="B22072" t="str">
            <v>M08195535000177</v>
          </cell>
          <cell r="C22072" t="str">
            <v>AGG INVESTIMENTOS LTDA.</v>
          </cell>
          <cell r="D22072" t="str">
            <v>AGG INVESTIMENTOS LTDA.</v>
          </cell>
          <cell r="E22072" t="str">
            <v>AGG INVESTIMENTOS LTDA.</v>
          </cell>
        </row>
        <row r="22073">
          <cell r="B22073" t="str">
            <v>M08157495000179</v>
          </cell>
          <cell r="C22073" t="str">
            <v>VALETEC CAPITAL INVESTIMENTOS LTDA</v>
          </cell>
          <cell r="D22073" t="str">
            <v>VALETEC CAPITAL INVESTIMENTOS LTDA</v>
          </cell>
          <cell r="E22073" t="str">
            <v>VALETEC CAPITAL INVESTIMENTOS LTDA</v>
          </cell>
        </row>
        <row r="22074">
          <cell r="B22074" t="str">
            <v>M08157028000149</v>
          </cell>
          <cell r="C22074" t="str">
            <v>FRAM CAPITAL GESTAO DE ATIVOS LTDA</v>
          </cell>
          <cell r="D22074" t="str">
            <v>FRAM CAPITAL GESTAO DE ATIVOS LTDA</v>
          </cell>
          <cell r="E22074" t="str">
            <v>FRAM CAPITAL GESTAO DE ATIVOS LTDA</v>
          </cell>
        </row>
        <row r="22075">
          <cell r="B22075" t="str">
            <v>M08096466000144</v>
          </cell>
          <cell r="C22075" t="str">
            <v>ANTERA GESTÃƒO DE RECURSOS LTDA</v>
          </cell>
          <cell r="D22075" t="str">
            <v>ANTERA GESTÃƒO DE RECURSOS LTDA</v>
          </cell>
          <cell r="E22075" t="str">
            <v>ANTERA GESTÃƒO DE RECURSOS LTDA</v>
          </cell>
        </row>
        <row r="22076">
          <cell r="B22076" t="str">
            <v>M07913960000191</v>
          </cell>
          <cell r="C22076" t="str">
            <v>PMFO ESPORTES E ENTRETENIMENTO GESTAO DE RECURSOS LTDA</v>
          </cell>
          <cell r="D22076" t="str">
            <v>PMFO ESPORTES E ENTRETENIMENTO GESTAO DE RECURSOS LTDA</v>
          </cell>
          <cell r="E22076" t="str">
            <v>PMFO ESPORTES E ENTRETENIMENTO GESTAO DE RECURSOS LTDA</v>
          </cell>
        </row>
        <row r="22077">
          <cell r="B22077" t="str">
            <v>M07885392000162</v>
          </cell>
          <cell r="C22077" t="str">
            <v>BROOKFIELD BRASIL ASSET MANAGEMENT INVESTIMENTOS LTDA</v>
          </cell>
          <cell r="D22077" t="str">
            <v>BROOKFIELD BRASIL ASSET MANAGEMENT INVESTIMENTOS LTDA</v>
          </cell>
          <cell r="E22077" t="str">
            <v>BROOKFIELD BRASIL ASSET MANAGEMENT INVESTIMENTOS LTDA</v>
          </cell>
        </row>
        <row r="22078">
          <cell r="B22078" t="str">
            <v>M07852196000191</v>
          </cell>
          <cell r="C22078" t="str">
            <v>KOBOLD GESTORA DE FUNDOS LTDA</v>
          </cell>
          <cell r="D22078" t="str">
            <v>KOBOLD GESTORA DE FUNDOS LTDA</v>
          </cell>
          <cell r="E22078" t="str">
            <v>KOBOLD GESTORA DE FUNDOS LTDA</v>
          </cell>
        </row>
        <row r="22079">
          <cell r="B22079" t="str">
            <v>M07850018000121</v>
          </cell>
          <cell r="C22079" t="str">
            <v>FUNDAMENTA ADMINISTRAÃ‡ÃƒO DE CARTEIRAS DE VALORES MOBILIARIOS LTDA</v>
          </cell>
          <cell r="D22079" t="str">
            <v>FUNDAMENTA ADMINISTRAÃ‡ÃƒO DE CARTEIRAS DE VALORES MOBILIARIOS LTDA</v>
          </cell>
          <cell r="E22079" t="str">
            <v>FUNDAMENTA ADMINISTRAÃ‡ÃƒO DE CARTEIRAS DE VALORES MOBILIARIOS LTDA</v>
          </cell>
        </row>
        <row r="22080">
          <cell r="B22080" t="str">
            <v>M07807954000150</v>
          </cell>
          <cell r="C22080" t="str">
            <v>RIO PERFORMANCE GESTÃƒO DE RECURSOS LTDA</v>
          </cell>
          <cell r="D22080" t="str">
            <v>RIO PERFORMANCE GESTÃƒO DE RECURSOS LTDA</v>
          </cell>
          <cell r="E22080" t="str">
            <v>RIO PERFORMANCE GESTAO DE RECURSOS LTDA</v>
          </cell>
        </row>
        <row r="22081">
          <cell r="B22081" t="str">
            <v>M07806377000181</v>
          </cell>
          <cell r="C22081" t="str">
            <v>VECTOR ADMINISTRAÃ‡ÃƒO DE RECURSOS FINANCEIROS LTDA</v>
          </cell>
          <cell r="D22081" t="str">
            <v>VECTOR ADMINISTRAÃ‡ÃƒO DE RECURSOS FINANCEIROS LTDA</v>
          </cell>
          <cell r="E22081" t="str">
            <v>VECTOR ADMINISTRAÃ‡ÃƒO DE RECURSOS FINANCEIROS LTDA</v>
          </cell>
        </row>
        <row r="22082">
          <cell r="B22082" t="str">
            <v>M07793323000129</v>
          </cell>
          <cell r="C22082" t="str">
            <v>VISION BRAZIL GESTÃƒO DE INVESTIMENTOS E PARTICIPAÃ‡Ã•ES LTDA</v>
          </cell>
          <cell r="D22082" t="str">
            <v>VISION BRAZIL GESTÃƒO DE INVESTIMENTOS E PARTICIPAÃ‡Ã•ES LTDA</v>
          </cell>
          <cell r="E22082" t="str">
            <v>VISION BRAZIL GESTÃƒO DE INVESTIMENTOS E PARTICIPAÃ‡Ã•ES LTDA</v>
          </cell>
        </row>
        <row r="22083">
          <cell r="B22083" t="str">
            <v>M07661610000185</v>
          </cell>
          <cell r="C22083" t="str">
            <v>PRISMAINVEST GESTÃƒO DE RECURSOS LTDA</v>
          </cell>
          <cell r="D22083" t="str">
            <v>PRISMAINVEST GESTÃƒO DE RECURSOS LTDA</v>
          </cell>
          <cell r="E22083" t="str">
            <v>PRISMAINVEST GESTÃƒO DE RECURSOS LTDA</v>
          </cell>
        </row>
        <row r="22084">
          <cell r="B22084" t="str">
            <v>M07637212000123</v>
          </cell>
          <cell r="C22084" t="str">
            <v>PLATINUM CAPITAL GESTÃƒO DE RECURSOS LTDA.</v>
          </cell>
          <cell r="D22084" t="str">
            <v>PLATINUM CAPITAL GESTÃƒO DE RECURSOS LTDA.</v>
          </cell>
          <cell r="E22084" t="str">
            <v>PLATINUM CAPITAL GESTÃƒO DE RECURSOS LTDA.</v>
          </cell>
        </row>
        <row r="22085">
          <cell r="B22085" t="str">
            <v>M07634378000196</v>
          </cell>
          <cell r="C22085" t="str">
            <v>BIGUÃ CAPITAL GESTÃƒO DE RECURSOS LTDA</v>
          </cell>
          <cell r="D22085" t="str">
            <v>BIGUÃ CAPITAL GESTÃƒO DE RECURSOS LTDA</v>
          </cell>
          <cell r="E22085" t="str">
            <v>BIGUÃ CAPITAL GESTÃƒO DE RECURSOS LTDA</v>
          </cell>
        </row>
        <row r="22086">
          <cell r="B22086" t="str">
            <v>M07625159000140</v>
          </cell>
          <cell r="C22086" t="str">
            <v>BTG PACTUAL GESTORA DE INVESTIMENTOS ALTERNATIVOS LTDA.</v>
          </cell>
          <cell r="D22086" t="str">
            <v>BTG PACTUAL GESTORA DE INVESTIMENTOS ALTERNATIVOS LTDA.</v>
          </cell>
          <cell r="E22086" t="str">
            <v>BTG PACTUAL ASSET MANAGEMENT SA DTVM</v>
          </cell>
        </row>
        <row r="22087">
          <cell r="B22087" t="str">
            <v>M07611259000118</v>
          </cell>
          <cell r="C22087" t="str">
            <v>RIVIERA GESTORA DE RECURSOS LTDA</v>
          </cell>
          <cell r="D22087" t="str">
            <v>RIVIERA GESTORA DE RECURSOS LTDA</v>
          </cell>
          <cell r="E22087" t="str">
            <v>RIVIERA GESTORA DE RECURSOS LTDA</v>
          </cell>
        </row>
        <row r="22088">
          <cell r="B22088" t="str">
            <v>M07492836000108</v>
          </cell>
          <cell r="C22088" t="str">
            <v>CONFRAPAR ADMINISTRAÃ‡ÃƒO E GESTÃƒO DE RECURSOS S/A</v>
          </cell>
          <cell r="D22088" t="str">
            <v>CONFRAPAR ADMINISTRAÃ‡ÃƒO E GESTÃƒO DE RECURSOS S/A</v>
          </cell>
          <cell r="E22088" t="str">
            <v>CONFRAPAR ADMINISTRAÃ‡ÃƒO E GESTÃƒO DE RECURSOS S/A</v>
          </cell>
        </row>
        <row r="22089">
          <cell r="B22089" t="str">
            <v>M07462720000118</v>
          </cell>
          <cell r="C22089" t="str">
            <v>FORS CAPITAL PARTNERS LTDA</v>
          </cell>
          <cell r="D22089" t="str">
            <v>FORS CAPITAL PARTNERS LTDA</v>
          </cell>
          <cell r="E22089" t="str">
            <v>FORS CAPITAL PARTNERS LTDA</v>
          </cell>
        </row>
        <row r="22090">
          <cell r="B22090" t="str">
            <v>M07424182000177</v>
          </cell>
          <cell r="C22090" t="str">
            <v>DOMO INVEST GESTORA DE ATIVOS FINANCEIROS E VALORES MOBILIÃRIOS LTDA.</v>
          </cell>
          <cell r="D22090" t="str">
            <v>DOMO INVEST GESTORA DE ATIVOS FINANCEIROS E VALORES MOBILIÃRIOS LTDA.</v>
          </cell>
          <cell r="E22090" t="str">
            <v>DOMO INVEST GESTORA DE ATIVOS FINANCEIROS E VALORES MOBILIÃRIOS LTDA.</v>
          </cell>
        </row>
        <row r="22091">
          <cell r="B22091" t="str">
            <v>M07407420000136</v>
          </cell>
          <cell r="C22091" t="str">
            <v>TRIO CAPITAL LTDA</v>
          </cell>
          <cell r="D22091" t="str">
            <v>TRIO CAPITAL LTDA</v>
          </cell>
          <cell r="E22091" t="str">
            <v>TRIO CAPITAL LTDA</v>
          </cell>
        </row>
        <row r="22092">
          <cell r="B22092" t="str">
            <v>M07396813000191</v>
          </cell>
          <cell r="C22092" t="str">
            <v>MATTERHORN IFRAESTRUTURA GESTÃƒO DE INVESTIMENTOS LTDA.</v>
          </cell>
          <cell r="D22092" t="str">
            <v>MATTERHORN IFRAESTRUTURA GESTÃƒO DE INVESTIMENTOS LTDA.</v>
          </cell>
          <cell r="E22092" t="str">
            <v>MATTERHORN IFRAESTRUTURA GESTÃƒO DE INVESTIMENTOS LTDA.</v>
          </cell>
        </row>
        <row r="22093">
          <cell r="B22093" t="str">
            <v>M07311643000103</v>
          </cell>
          <cell r="C22093" t="str">
            <v>JHSF CAPITAL LTDA.</v>
          </cell>
          <cell r="D22093" t="str">
            <v>JHSF CAPITAL LTDA.</v>
          </cell>
          <cell r="E22093" t="str">
            <v>JHSF CAPITAL LTDA.</v>
          </cell>
        </row>
        <row r="22094">
          <cell r="B22094" t="str">
            <v>M07262715000161</v>
          </cell>
          <cell r="C22094" t="str">
            <v>SITA GESTÃƒO DE RECURSOS LTDA</v>
          </cell>
          <cell r="D22094" t="str">
            <v>SITA GESTÃƒO DE RECURSOS LTDA</v>
          </cell>
          <cell r="E22094" t="str">
            <v>SITA GESTÃƒO DE RECURSOS LTDA</v>
          </cell>
        </row>
        <row r="22095">
          <cell r="B22095" t="str">
            <v>M07221832000187</v>
          </cell>
          <cell r="C22095" t="str">
            <v>ARGUCIA CAPITAL GESTÃƒO DE RECURSOS LTDA</v>
          </cell>
          <cell r="D22095" t="str">
            <v>ARGUCIA CAPITAL GESTÃƒO DE RECURSOS LTDA</v>
          </cell>
          <cell r="E22095" t="str">
            <v>ARGUCIA CAPITAL GESTAO DE RECURSOS LTDA</v>
          </cell>
        </row>
        <row r="22096">
          <cell r="B22096" t="str">
            <v>M07218853000143</v>
          </cell>
          <cell r="C22096" t="str">
            <v>BRASIF GESTÃƒO INTERNACIONAL LTDA</v>
          </cell>
          <cell r="D22096" t="str">
            <v>BRASIF GESTÃƒO INTERNACIONAL LTDA</v>
          </cell>
          <cell r="E22096" t="str">
            <v>BRASIF GESTÃƒO INTERNACIONAL LTDA</v>
          </cell>
        </row>
        <row r="22097">
          <cell r="B22097" t="str">
            <v>M07213252000148</v>
          </cell>
          <cell r="C22097" t="str">
            <v>U.V. GESTORA DE ATIVOS FINANCEIROS LTDA</v>
          </cell>
          <cell r="D22097" t="str">
            <v>U.V. GESTORA DE ATIVOS FINANCEIROS LTDA</v>
          </cell>
          <cell r="E22097" t="str">
            <v>U.V. GESTORA DE ATIVOS FINANCEIROS LTDA</v>
          </cell>
        </row>
        <row r="22098">
          <cell r="B22098" t="str">
            <v>M07205215000198</v>
          </cell>
          <cell r="C22098" t="str">
            <v>VISÃƒO PREV SOCIEDADE DE PREVIDENCIA COMPLEMENTAR</v>
          </cell>
          <cell r="D22098" t="str">
            <v>VISÃƒO PREV SOCIEDADE DE PREVIDENCIA COMPLEMENTAR</v>
          </cell>
          <cell r="E22098" t="str">
            <v>VISÃƒO PREV SOCIEDADE DE PREVIDENCIA COMPLEMENTAR</v>
          </cell>
        </row>
        <row r="22099">
          <cell r="B22099" t="str">
            <v>M07189550000140</v>
          </cell>
          <cell r="C22099" t="str">
            <v>INVEST TECH PARTICIPAÃ‡Ã•ES E INVESTIMENTOS S.A.</v>
          </cell>
          <cell r="D22099" t="str">
            <v>INVEST TECH PARTICIPAÃ‡Ã•ES E INVESTIMENTOS S.A.</v>
          </cell>
          <cell r="E22099" t="str">
            <v>INVEST TECH PARTICIPAÃ‡Ã•ES E INVESTIMENTOS S.A.</v>
          </cell>
        </row>
        <row r="22100">
          <cell r="B22100" t="str">
            <v>M07152171000185</v>
          </cell>
          <cell r="C22100" t="str">
            <v>A5 GESTÃƒO DE INVESTIMENTOS LTDA</v>
          </cell>
          <cell r="D22100" t="str">
            <v>A5 GESTÃƒO DE INVESTIMENTOS LTDA</v>
          </cell>
          <cell r="E22100" t="str">
            <v>A5 GESTÃƒO DE INVESTIMENTOS LTDA</v>
          </cell>
        </row>
        <row r="22101">
          <cell r="B22101" t="str">
            <v>M07110214000160</v>
          </cell>
          <cell r="C22101" t="str">
            <v>FUNDAÃ‡ÃƒO ATLÃ‚NTICO DE SEGURIDADE SOCIAL</v>
          </cell>
          <cell r="D22101" t="str">
            <v>FUNDAÃ‡ÃƒO ATLÃ‚NTICO DE SEGURIDADE SOCIAL</v>
          </cell>
          <cell r="E22101" t="str">
            <v>FUNDAÃ‡ÃƒO ATLÃ‚NTICO DE SEGURIDADE SOCIAL</v>
          </cell>
        </row>
        <row r="22102">
          <cell r="B22102" t="str">
            <v>M07078144000100</v>
          </cell>
          <cell r="C22102" t="str">
            <v>GUEPARDO INVESTIMENTOS LTDA</v>
          </cell>
          <cell r="D22102" t="str">
            <v>GUEPARDO INVESTIMENTOS LTDA</v>
          </cell>
          <cell r="E22102" t="str">
            <v>GUEPARDO INVESTIMENTOS LTDA</v>
          </cell>
        </row>
        <row r="22103">
          <cell r="B22103" t="str">
            <v>M07063675000129</v>
          </cell>
          <cell r="C22103" t="str">
            <v>2B CAPITAL S.A.</v>
          </cell>
          <cell r="D22103" t="str">
            <v>2B CAPITAL S.A.</v>
          </cell>
          <cell r="E22103" t="str">
            <v>2B CAPITAL S.A.</v>
          </cell>
        </row>
        <row r="22104">
          <cell r="B22104" t="str">
            <v>M06293756000152</v>
          </cell>
          <cell r="C22104" t="str">
            <v>KÃNITRO CAPITAL GESTÃƒO DE RECURSOS DE TERCEIROS LTDA.</v>
          </cell>
          <cell r="D22104" t="str">
            <v>KÃNITRO CAPITAL GESTÃƒO DE RECURSOS DE TERCEIROS LTDA.</v>
          </cell>
          <cell r="E22104" t="str">
            <v>KÃNITRO CAPITAL GESTÃƒO DE RECURSOS DE TERCEIROS LTDA.</v>
          </cell>
        </row>
        <row r="22105">
          <cell r="B22105" t="str">
            <v>M06278663000159</v>
          </cell>
          <cell r="C22105" t="str">
            <v>YGEIA CAPITAL GESTÃƒO DE RECURSOS LTDA</v>
          </cell>
          <cell r="D22105" t="str">
            <v>YGEIA CAPITAL GESTÃƒO DE RECURSOS LTDA</v>
          </cell>
          <cell r="E22105" t="str">
            <v>YGEIA CAPITAL GESTÃƒO DE RECURSOS LTDA</v>
          </cell>
        </row>
        <row r="22106">
          <cell r="B22106" t="str">
            <v>M06255571000153</v>
          </cell>
          <cell r="C22106" t="str">
            <v>SPE NASCENTI S/A</v>
          </cell>
          <cell r="D22106" t="str">
            <v>SPE NASCENTI S/A</v>
          </cell>
          <cell r="E22106" t="str">
            <v>SPE NASCENTI S/A</v>
          </cell>
        </row>
        <row r="22107">
          <cell r="B22107" t="str">
            <v>M06238550000120</v>
          </cell>
          <cell r="C22107" t="str">
            <v>MONETIZA INVESTIMENTOS LTDA.</v>
          </cell>
          <cell r="D22107" t="str">
            <v>MONETIZA INVESTIMENTOS LTDA.</v>
          </cell>
          <cell r="E22107" t="str">
            <v>MONETIZA INVESTIMENTOS LTDA.</v>
          </cell>
        </row>
        <row r="22108">
          <cell r="B22108" t="str">
            <v>M06182127000155</v>
          </cell>
          <cell r="C22108" t="str">
            <v>CONSTELLATION INVESTIMENTOS E PARTICIPAÃ‡Ã•ES LTDA</v>
          </cell>
          <cell r="D22108" t="str">
            <v>CONSTELLATION INVESTIMENTOS E PARTICIPAÃ‡Ã•ES LTDA</v>
          </cell>
          <cell r="E22108" t="str">
            <v>CONSTELLATION INVESTIMENTOS E PARTICIPAÃ‡Ã•ES LTDA</v>
          </cell>
        </row>
        <row r="22109">
          <cell r="B22109" t="str">
            <v>M06109681000107</v>
          </cell>
          <cell r="C22109" t="str">
            <v>HOGAN INVESTIMENTOS ADMINISTRAÃ‡ÃƒO DE RECURSOS LTDA</v>
          </cell>
          <cell r="D22109" t="str">
            <v>HOGAN INVESTIMENTOS ADMINISTRAÃ‡ÃƒO DE RECURSOS LTDA</v>
          </cell>
          <cell r="E22109" t="str">
            <v>HOGAN INVESTIMENTOS ADMINISTRAÃ‡ÃƒO DE RECURSOS LTDA</v>
          </cell>
        </row>
        <row r="22110">
          <cell r="B22110" t="str">
            <v>M06088907000130</v>
          </cell>
          <cell r="C22110" t="str">
            <v>META ASSET MANAGEMENT LTDA.</v>
          </cell>
          <cell r="D22110" t="str">
            <v>META ASSET MANAGEMENT LTDA.</v>
          </cell>
          <cell r="E22110" t="str">
            <v>META ASSET MANAGEMENT LTDA.</v>
          </cell>
        </row>
        <row r="22111">
          <cell r="B22111" t="str">
            <v>M06015560000104</v>
          </cell>
          <cell r="C22111" t="str">
            <v>UNITY CAPITAL GESTORA DE INVESTIMENTOS LTDA</v>
          </cell>
          <cell r="D22111" t="str">
            <v>UNITY CAPITAL GESTORA DE INVESTIMENTOS LTDA</v>
          </cell>
          <cell r="E22111" t="str">
            <v>UNITY CAPITAL GESTORA DE INVESTIMENTOS LTDA</v>
          </cell>
        </row>
        <row r="22112">
          <cell r="B22112" t="str">
            <v>M05977098000155</v>
          </cell>
          <cell r="C22112" t="str">
            <v>FRANKLIN TEMPLETON ALTERNATIVES BRASIL ADMINISTRAÃ‡ÃƒO DE INVESTIMENTOS LTDA.</v>
          </cell>
          <cell r="D22112" t="str">
            <v>FRANKLIN TEMPLETON ALTERNATIVES BRASIL ADMINISTRAÃ‡ÃƒO DE INVESTIMENTOS LTDA.</v>
          </cell>
          <cell r="E22112" t="str">
            <v>FRANKLIN TEMPLETON ALTERNATIVES BRASIL ADMINISTRAÃ‡ÃƒO DE INVESTIMENTOS LTDA.</v>
          </cell>
        </row>
        <row r="22113">
          <cell r="B22113" t="str">
            <v>M05969994000172</v>
          </cell>
          <cell r="C22113" t="str">
            <v>RIO VERDE ADMINISTRADORA DE VALORES MOBILIÃRIOS LTDA - EPP</v>
          </cell>
          <cell r="D22113" t="str">
            <v>RIO VERDE ADMINISTRADORA DE VALORES MOBILIÃRIOS LTDA - EPP</v>
          </cell>
          <cell r="E22113" t="str">
            <v>RIO VERDE ADMINISTRADORA DE VALORES MOBILIÃRIOS LTDA - EPP</v>
          </cell>
        </row>
        <row r="22114">
          <cell r="B22114" t="str">
            <v>M05946654000126</v>
          </cell>
          <cell r="C22114" t="str">
            <v>AGUILA CAPITAL ADM E GESTAO DE CAPITAIS LTDA</v>
          </cell>
          <cell r="D22114" t="str">
            <v>AGUILA CAPITAL ADM E GESTAO DE CAPITAIS LTDA</v>
          </cell>
          <cell r="E22114" t="str">
            <v>AGUILA CAPITAL ADM E GESTAO DE CAPITAIS LTDA</v>
          </cell>
        </row>
        <row r="22115">
          <cell r="B22115" t="str">
            <v>M05940778000102</v>
          </cell>
          <cell r="C22115" t="str">
            <v>SONAR SERVIÃ‡OS DE INVESTIMENTO LTDA.</v>
          </cell>
          <cell r="D22115" t="str">
            <v>SONAR SERVIÃ‡OS DE INVESTIMENTO LTDA.</v>
          </cell>
          <cell r="E22115" t="str">
            <v>SONAR SERVIÃ‡OS DE INVESTIMENTO LTDA.</v>
          </cell>
        </row>
        <row r="22116">
          <cell r="B22116" t="str">
            <v>M05917347000117</v>
          </cell>
          <cell r="C22116" t="str">
            <v>BCSUL VERAX SERVIÃ‡OS FINANCEIROS LTDA</v>
          </cell>
          <cell r="D22116" t="str">
            <v>BCSUL VERAX SERVIÃ‡OS FINANCEIROS LTDA</v>
          </cell>
          <cell r="E22116" t="str">
            <v>BCSUL VERAX SERVIÃ‡OS FINANCEIROS LTDA</v>
          </cell>
        </row>
        <row r="22117">
          <cell r="B22117" t="str">
            <v>M05875277000181</v>
          </cell>
          <cell r="C22117" t="str">
            <v>TRAVESSIA CAPITAL ASSET MANAGEMENT LTDA</v>
          </cell>
          <cell r="D22117" t="str">
            <v>TRAVESSIA CAPITAL ASSET MANAGEMENT LTDA</v>
          </cell>
          <cell r="E22117" t="str">
            <v>TRAVESSIA CAPITAL ASSET MANAGEMENT LTDA</v>
          </cell>
        </row>
        <row r="22118">
          <cell r="B22118" t="str">
            <v>M05850171000123</v>
          </cell>
          <cell r="C22118" t="str">
            <v>LANX CAPITAL INVESTIMENTOS LTDA</v>
          </cell>
          <cell r="D22118" t="str">
            <v>LANX CAPITAL INVESTIMENTOS LTDA</v>
          </cell>
          <cell r="E22118" t="str">
            <v>LANX CAPITAL INVESTIMENTOS LTDA</v>
          </cell>
        </row>
        <row r="22119">
          <cell r="B22119" t="str">
            <v>M05825277000177</v>
          </cell>
          <cell r="C22119" t="str">
            <v>SPN GESTÃƒO DE INVESTIMENTOS LTDA</v>
          </cell>
          <cell r="D22119" t="str">
            <v>SPN GESTÃƒO DE INVESTIMENTOS LTDA</v>
          </cell>
          <cell r="E22119" t="str">
            <v>SPN GESTÃƒO DE INVESTIMENTOS LTDA</v>
          </cell>
        </row>
        <row r="22120">
          <cell r="B22120" t="str">
            <v>M05823902000141</v>
          </cell>
          <cell r="C22120" t="str">
            <v>TABOACO, NIECKELE E ASSOCIADOS - GESTAO PATRIMONIAL LTDA</v>
          </cell>
          <cell r="D22120" t="str">
            <v>TABOACO, NIECKELE E ASSOCIADOS - GESTAO PATRIMONIAL LTDA</v>
          </cell>
          <cell r="E22120" t="str">
            <v>TABOACO, NIECKELE E ASSOCIADOS - GESTAO PATRIMONIAL LTDA</v>
          </cell>
        </row>
        <row r="22121">
          <cell r="B22121" t="str">
            <v>M05794902000160</v>
          </cell>
          <cell r="C22121" t="str">
            <v>TALER PLANEJAMENTOS FINANCEIROS LTDA</v>
          </cell>
          <cell r="D22121" t="str">
            <v>TALER PLANEJAMENTOS FINANCEIROS LTDA</v>
          </cell>
          <cell r="E22121" t="str">
            <v>TALER PLANEJAMENTOS FINANCEIROS LTDA</v>
          </cell>
        </row>
        <row r="22122">
          <cell r="B22122" t="str">
            <v>M05784884000136</v>
          </cell>
          <cell r="C22122" t="str">
            <v>INVESTPORT GESTÃƒO E CONSULTORIA DE INVESTIMENTOS LTDA</v>
          </cell>
          <cell r="D22122" t="str">
            <v>INVESTPORT GESTÃƒO E CONSULTORIA DE INVESTIMENTOS LTDA</v>
          </cell>
          <cell r="E22122" t="str">
            <v>INVESTPORT GESTÃƒO E CONSULTORIA DE INVESTIMENTOS LTDA</v>
          </cell>
        </row>
        <row r="22123">
          <cell r="B22123" t="str">
            <v>M05686923000162</v>
          </cell>
          <cell r="C22123" t="str">
            <v>JARDIM BOTANICO PARTNERS INVESTIMENTOS LTDA</v>
          </cell>
          <cell r="D22123" t="str">
            <v>JARDIM BOTANICO PARTNERS INVESTIMENTOS LTDA</v>
          </cell>
          <cell r="E22123" t="str">
            <v>JARDIM BOTANICO PARTNERS INVESTIMENTOS LTDA</v>
          </cell>
        </row>
        <row r="22124">
          <cell r="B22124" t="str">
            <v>M05677501000120</v>
          </cell>
          <cell r="C22124" t="str">
            <v>BS2 ASSET MANAGEMENT - ADMINISTRADORA DE RECURSOS LTDA</v>
          </cell>
          <cell r="D22124" t="str">
            <v>BS2 ASSET MANAGEMENT - ADMINISTRADORA DE RECURSOS LTDA</v>
          </cell>
          <cell r="E22124" t="str">
            <v>BS2 ASSET MANAGEMENT - ADMINISTRADORA DE RECURSOS LTDA</v>
          </cell>
        </row>
        <row r="22125">
          <cell r="B22125" t="str">
            <v>M05640380000142</v>
          </cell>
          <cell r="C22125" t="str">
            <v>NEO PRIVATE EQUITY GESTAO DE RECURSOS LTDA</v>
          </cell>
          <cell r="D22125" t="str">
            <v>NEO PRIVATE EQUITY GESTAO DE RECURSOS LTDA</v>
          </cell>
          <cell r="E22125" t="str">
            <v>NEO GESTÃO DE RECURSOS LTDA</v>
          </cell>
        </row>
        <row r="22126">
          <cell r="B22126" t="str">
            <v>M05599583000132</v>
          </cell>
          <cell r="C22126" t="str">
            <v>INFRA ASSET MANAGEMENT LTDA</v>
          </cell>
          <cell r="D22126" t="str">
            <v>INFRA ASSET MANAGEMENT LTDA</v>
          </cell>
          <cell r="E22126" t="str">
            <v>INFRA ASSET MANAGEMENT LTDA</v>
          </cell>
        </row>
        <row r="22127">
          <cell r="B22127" t="str">
            <v>M05597435000189</v>
          </cell>
          <cell r="C22127" t="str">
            <v>ANGRA PARTNERS GESTÃƒO DE RECURSOS LTDA.</v>
          </cell>
          <cell r="D22127" t="str">
            <v>ANGRA PARTNERS GESTÃƒO DE RECURSOS LTDA.</v>
          </cell>
          <cell r="E22127" t="str">
            <v>ANGRA PARTNERS GESTÃƒO DE RECURSOS LTDA.</v>
          </cell>
        </row>
        <row r="22128">
          <cell r="B22128" t="str">
            <v>M05449499000132</v>
          </cell>
          <cell r="C22128" t="str">
            <v>BI CAPITAL GESTAO DE RECURSOS LTDA</v>
          </cell>
          <cell r="D22128" t="str">
            <v>BI CAPITAL GESTAO DE RECURSOS LTDA</v>
          </cell>
          <cell r="E22128" t="str">
            <v>BI CAPITAL GESTAO DE RECURSOS LTDA</v>
          </cell>
        </row>
        <row r="22129">
          <cell r="B22129" t="str">
            <v>M05395883000108</v>
          </cell>
          <cell r="C22129" t="str">
            <v>OPPORTUNITY ASSET ADMINISTRADORA DE RECURSOS DE TERCEIROS LTDA</v>
          </cell>
          <cell r="D22129" t="str">
            <v>OPPORTUNITY ASSET ADMINISTRADORA DE RECURSOS DE TERCEIROS LTDA</v>
          </cell>
          <cell r="E22129" t="str">
            <v>OPPORTUNITY GESTAO DE INVESTIMENTOS E RECURSOS LTDA</v>
          </cell>
        </row>
        <row r="22130">
          <cell r="B22130" t="str">
            <v>M05389174000101</v>
          </cell>
          <cell r="C22130" t="str">
            <v>MODAL  D.T.V.M. LTDA</v>
          </cell>
          <cell r="D22130" t="str">
            <v>MODAL  D.T.V.M. LTDA</v>
          </cell>
          <cell r="E22130" t="str">
            <v>MODAL  D.T.V.M. LTDA</v>
          </cell>
        </row>
        <row r="22131">
          <cell r="B22131" t="str">
            <v>M05336089000185</v>
          </cell>
          <cell r="C22131" t="str">
            <v>UNA CAPITAL LTDA</v>
          </cell>
          <cell r="D22131" t="str">
            <v>UNA CAPITAL LTDA</v>
          </cell>
          <cell r="E22131" t="str">
            <v>UNA CAPITAL LTDA</v>
          </cell>
        </row>
        <row r="22132">
          <cell r="B22132" t="str">
            <v>M05287617000153</v>
          </cell>
          <cell r="D22132" t="str">
            <v>INST PREV SOCIAL DOS SERV PUBLICOS DO MUNI DE TAIOTAIOPREV</v>
          </cell>
          <cell r="E22132" t="str">
            <v>RPPS TAIOTAIOPREV</v>
          </cell>
        </row>
        <row r="22133">
          <cell r="B22133" t="str">
            <v>M05209844000160</v>
          </cell>
          <cell r="C22133" t="str">
            <v>PLANEJAR  SOCIEDADE DE PREVIDENCIA COMPLEMENTAR</v>
          </cell>
          <cell r="D22133" t="str">
            <v>PLANEJAR  SOCIEDADE DE PREVIDENCIA COMPLEMENTAR</v>
          </cell>
          <cell r="E22133" t="str">
            <v>PLANEJAR  SOCIEDADE DE PREVIDENCIA COMPLEMENTAR</v>
          </cell>
        </row>
        <row r="22134">
          <cell r="B22134" t="str">
            <v>M05196089000127</v>
          </cell>
          <cell r="C22134" t="str">
            <v>GERAL ASSET MANAGEMENT S/S LTDA</v>
          </cell>
          <cell r="D22134" t="str">
            <v>GERAL ASSET MANAGEMENT S/S LTDA</v>
          </cell>
          <cell r="E22134" t="str">
            <v>GERAL ASSET MANAGEMENT S/S LTDA</v>
          </cell>
        </row>
        <row r="22135">
          <cell r="B22135" t="str">
            <v>M05063437000198</v>
          </cell>
          <cell r="C22135" t="str">
            <v>GENÃˆVA ASSET MANAGEMENT</v>
          </cell>
          <cell r="D22135" t="str">
            <v>GENÃˆVA ASSET MANAGEMENT</v>
          </cell>
          <cell r="E22135" t="str">
            <v>GENÃˆVA ASSET MANAGEMENT</v>
          </cell>
        </row>
        <row r="22136">
          <cell r="B22136" t="str">
            <v>M05043746000104</v>
          </cell>
          <cell r="C22136" t="str">
            <v>ZERO CONFLICT WEALTH MANAGEMENT LTDA</v>
          </cell>
          <cell r="D22136" t="str">
            <v>ZERO CONFLICT WEALTH MANAGEMENT LTDA</v>
          </cell>
          <cell r="E22136" t="str">
            <v>ZERO CONFLICT WEALTH MANAGEMENT LTDA</v>
          </cell>
        </row>
        <row r="22137">
          <cell r="B22137" t="str">
            <v>M05019623601</v>
          </cell>
          <cell r="C22137" t="str">
            <v>CARLOS HENRIQUE GROSSI FERREIRA</v>
          </cell>
          <cell r="D22137" t="str">
            <v>CARLOS HENRIQUE GROSSI FERREIRA</v>
          </cell>
          <cell r="E22137" t="str">
            <v>CARLOS HENRIQUE GROSSI FERREIRA</v>
          </cell>
        </row>
        <row r="22138">
          <cell r="B22138" t="str">
            <v>M05002963000148</v>
          </cell>
          <cell r="D22138" t="str">
            <v>INST MUNICIPAL DE PREV SOCIAL DOS SERV DO MUNI DE MINEIROS</v>
          </cell>
        </row>
        <row r="22139">
          <cell r="B22139" t="str">
            <v>M04980745000115</v>
          </cell>
          <cell r="C22139" t="str">
            <v>TÃVOLA CAPITAL GESTÃƒO DE RECURSOS LTDA.</v>
          </cell>
          <cell r="D22139" t="str">
            <v>TÃVOLA CAPITAL GESTÃƒO DE RECURSOS LTDA.</v>
          </cell>
          <cell r="E22139" t="str">
            <v>TÃVOLA CAPITAL GESTÃƒO DE RECURSOS LTDA.</v>
          </cell>
        </row>
        <row r="22140">
          <cell r="B22140" t="str">
            <v>M04920763000101</v>
          </cell>
          <cell r="C22140" t="str">
            <v>PRAGMA GESTÃƒO DE PATRIMÃ”NIO LTDA</v>
          </cell>
          <cell r="D22140" t="str">
            <v>PRAGMA GESTÃƒO DE PATRIMÃ”NIO LTDA</v>
          </cell>
          <cell r="E22140" t="str">
            <v>PRAGMA GESTÃƒO DE PATRIMÃ”NIO LTDA</v>
          </cell>
        </row>
        <row r="22141">
          <cell r="B22141" t="str">
            <v>M04876927000140</v>
          </cell>
          <cell r="C22141" t="str">
            <v>EAGLE CAPITAL GESTÃƒO DE INVESTIMENTOS LTDA</v>
          </cell>
          <cell r="D22141" t="str">
            <v>EAGLE CAPITAL GESTÃƒO DE INVESTIMENTOS LTDA</v>
          </cell>
          <cell r="E22141" t="str">
            <v>EAGLE CAPITAL GESTÃƒO DE INVESTIMENTOS LTDA</v>
          </cell>
        </row>
        <row r="22142">
          <cell r="B22142" t="str">
            <v>M04870394000190</v>
          </cell>
          <cell r="C22142" t="str">
            <v>ZEITGEIST TECH INVESTIMENTOS LTDA</v>
          </cell>
          <cell r="D22142" t="str">
            <v>ZEITGEIST TECH INVESTIMENTOS LTDA</v>
          </cell>
          <cell r="E22142" t="str">
            <v>ZEITGEIST TECH INVESTIMENTOS LTDA</v>
          </cell>
        </row>
        <row r="22143">
          <cell r="B22143" t="str">
            <v>M04853132000117</v>
          </cell>
          <cell r="C22143" t="str">
            <v>INDICATOR INVESTIMENTOS E SERVIÃ‡OS DE GESTÃƒO EMPRESARIAL LTDA.</v>
          </cell>
          <cell r="D22143" t="str">
            <v>INDICATOR INVESTIMENTOS E SERVIÃ‡OS DE GESTÃƒO EMPRESARIAL LTDA.</v>
          </cell>
          <cell r="E22143" t="str">
            <v>INDICATOR INVESTIMENTOS E SERVIÃ‡OS DE GESTÃƒO EMPRESARIAL LTDA.</v>
          </cell>
        </row>
        <row r="22144">
          <cell r="B22144" t="str">
            <v>M04714159000129</v>
          </cell>
          <cell r="C22144" t="str">
            <v>IMPACTO INVESTIMENTOS LTDA</v>
          </cell>
          <cell r="D22144" t="str">
            <v>IMPACTO INVESTIMENTOS LTDA</v>
          </cell>
          <cell r="E22144" t="str">
            <v>IMPACTO INVESTIMENTOS LTDA</v>
          </cell>
        </row>
        <row r="22145">
          <cell r="B22145" t="str">
            <v>M04661817000161</v>
          </cell>
          <cell r="C22145" t="str">
            <v>KINEA PRIVATE EQUITY INVESTIMENTOS S/A</v>
          </cell>
          <cell r="D22145" t="str">
            <v>KINEA PRIVATE EQUITY INVESTIMENTOS S/A</v>
          </cell>
          <cell r="E22145" t="str">
            <v>KINEA INVESTIMENTOS LTDA</v>
          </cell>
        </row>
        <row r="22146">
          <cell r="B22146" t="str">
            <v>M04626084000124</v>
          </cell>
          <cell r="C22146" t="str">
            <v>PRINCIPAL GESTÃƒO DE INVESTIMENTOS LTDA</v>
          </cell>
          <cell r="D22146" t="str">
            <v>PRINCIPAL GESTÃƒO DE INVESTIMENTOS LTDA</v>
          </cell>
          <cell r="E22146" t="str">
            <v>PRINCIPAL GESTÃƒO DE INVESTIMENTOS LTDA</v>
          </cell>
        </row>
        <row r="22147">
          <cell r="B22147" t="str">
            <v>M04608171000159</v>
          </cell>
          <cell r="C22147" t="str">
            <v>MAUÃ CAPITAL REAL ESTATE LTDA</v>
          </cell>
          <cell r="D22147" t="str">
            <v>MAUÃ CAPITAL REAL ESTATE LTDA</v>
          </cell>
          <cell r="E22147" t="str">
            <v>MAUÃ CAPITAL REAL ESTATE LTDA</v>
          </cell>
        </row>
        <row r="22148">
          <cell r="B22148" t="str">
            <v>M04557602000103</v>
          </cell>
          <cell r="C22148" t="str">
            <v>DGF INVESTIMENTOS GESTÃƒO DE FUNDOS LTDA</v>
          </cell>
          <cell r="D22148" t="str">
            <v>DGF INVESTIMENTOS GESTÃƒO DE FUNDOS LTDA</v>
          </cell>
          <cell r="E22148" t="str">
            <v>DGF INVESTIMENTOS GESTÃƒO DE FUNDOS LTDA</v>
          </cell>
        </row>
        <row r="22149">
          <cell r="B22149" t="str">
            <v>M04531065000114</v>
          </cell>
          <cell r="C22149" t="str">
            <v>PRAVALER S/A</v>
          </cell>
          <cell r="D22149" t="str">
            <v>PRAVALER S/A</v>
          </cell>
          <cell r="E22149" t="str">
            <v>PRAVALER S/A</v>
          </cell>
        </row>
        <row r="22150">
          <cell r="B22150" t="str">
            <v>M04478468000147</v>
          </cell>
          <cell r="C22150" t="str">
            <v>ARQUIA DISTRIBUIDORA DE TÃTULOS E VALORES MOBILIÃRIOS S.A.</v>
          </cell>
          <cell r="D22150" t="str">
            <v>ARQUIA DISTRIBUIDORA DE TÃTULOS E VALORES MOBILIÃRIOS S.A.</v>
          </cell>
          <cell r="E22150" t="str">
            <v>ARQUIA DISTRIBUIDORA DE TÃTULOS E VALORES MOBILIÃRIOS S.A.</v>
          </cell>
        </row>
        <row r="22151">
          <cell r="B22151" t="str">
            <v>M04264390000168</v>
          </cell>
          <cell r="C22151" t="str">
            <v>LACAN INVESTIMENTOS E PARTICIPACOES LTDA</v>
          </cell>
          <cell r="D22151" t="str">
            <v>LACAN INVESTIMENTOS E PARTICIPACOES LTDA</v>
          </cell>
          <cell r="E22151" t="str">
            <v>LACAN INVESTIMENTOS E PARTICIPACOES LTDA</v>
          </cell>
        </row>
        <row r="22152">
          <cell r="B22152" t="str">
            <v>M04205311000148</v>
          </cell>
          <cell r="C22152" t="str">
            <v>FRANKLIN TEMPLETON INVESTIMENTOS (BRASIL) LTDA</v>
          </cell>
          <cell r="D22152" t="str">
            <v>FRANKLIN TEMPLETON INVESTIMENTOS (BRASIL) LTDA</v>
          </cell>
          <cell r="E22152" t="str">
            <v>FRANKLIN TEMPLETON INVESTIMENTOS (BRASIL) LTDA</v>
          </cell>
        </row>
        <row r="22153">
          <cell r="B22153" t="str">
            <v>M04054769659</v>
          </cell>
          <cell r="C22153" t="str">
            <v>JOSÃ‰ LUIZ MONTANS ANACLETO JUNIOR</v>
          </cell>
          <cell r="D22153" t="str">
            <v>JOSÃ‰ LUIZ MONTANS ANACLETO JUNIOR</v>
          </cell>
          <cell r="E22153" t="str">
            <v>JOSÃ‰ LUIZ MONTANS ANACLETO JUNIOR</v>
          </cell>
        </row>
        <row r="22154">
          <cell r="B22154" t="str">
            <v>M04046576000140</v>
          </cell>
          <cell r="C22154" t="str">
            <v>MAPFRE PREVIDÃŠNCIA S.A.</v>
          </cell>
          <cell r="D22154" t="str">
            <v>MAPFRE PREVIDÃŠNCIA S.A.</v>
          </cell>
          <cell r="E22154" t="str">
            <v>MAPFRE PREVIDÃŠNCIA S.A.</v>
          </cell>
        </row>
        <row r="22155">
          <cell r="B22155" t="str">
            <v>M03820397000156</v>
          </cell>
          <cell r="D22155" t="str">
            <v>INSTITUTO DE PREVIDENCIA E ASSISTENCIA DOS SERVIDORES MUNICIPAIS DE RIO VERDE  PREVIDENCIA</v>
          </cell>
        </row>
        <row r="22156">
          <cell r="B22156" t="str">
            <v>M03666323000107</v>
          </cell>
          <cell r="C22156" t="str">
            <v>SIMÃ‰TRICA CONSULTORIA EM INVESTIMENTOS E PARTICIPAÃ‡Ã•ES LTDA.</v>
          </cell>
          <cell r="D22156" t="str">
            <v>SIMÃ‰TRICA CONSULTORIA EM INVESTIMENTOS E PARTICIPAÃ‡Ã•ES LTDA.</v>
          </cell>
          <cell r="E22156" t="str">
            <v>SIMÃ‰TRICA CONSULTORIA EM INVESTIMENTOS E PARTICIPAÃ‡Ã•ES LTDA.</v>
          </cell>
        </row>
        <row r="22157">
          <cell r="B22157" t="str">
            <v>M03637154000187</v>
          </cell>
          <cell r="D22157" t="str">
            <v>PREVINORTE  FUNDACAO DE PREVIDENCIA COMPLEMENTAR</v>
          </cell>
        </row>
        <row r="22158">
          <cell r="B22158" t="str">
            <v>M03553662000187</v>
          </cell>
          <cell r="C22158" t="str">
            <v>TRIVELLA INVESTIMENTOS S.A.</v>
          </cell>
          <cell r="D22158" t="str">
            <v>TRIVELLA INVESTIMENTOS S.A.</v>
          </cell>
          <cell r="E22158" t="str">
            <v>TRIVELLA INVESTIMENTOS S.A.</v>
          </cell>
        </row>
        <row r="22159">
          <cell r="B22159" t="str">
            <v>M03406900000121</v>
          </cell>
          <cell r="C22159" t="str">
            <v>FIR CAPITAL PARTNERS - GESTÃƒO DE INVESTIMENTOS S/A</v>
          </cell>
          <cell r="D22159" t="str">
            <v>FIR CAPITAL PARTNERS - GESTÃƒO DE INVESTIMENTOS S/A</v>
          </cell>
          <cell r="E22159" t="str">
            <v>FIR CAPITAL PARTNERS - GESTÃƒO DE INVESTIMENTOS S/A</v>
          </cell>
        </row>
        <row r="22160">
          <cell r="B22160" t="str">
            <v>M03249938000138</v>
          </cell>
          <cell r="C22160" t="str">
            <v>INTER-AÃ‡ÃƒO ADMINISTRAÃ‡ÃƒO DE RECURSOS LTDA.</v>
          </cell>
          <cell r="D22160" t="str">
            <v>INTER-AÃ‡ÃƒO ADMINISTRAÃ‡ÃƒO DE RECURSOS LTDA.</v>
          </cell>
          <cell r="E22160" t="str">
            <v>INTER-AÃ‡ÃƒO ADMINISTRAÃ‡ÃƒO DE RECURSOS LTDA.</v>
          </cell>
        </row>
        <row r="22161">
          <cell r="B22161" t="str">
            <v>M03215562000140</v>
          </cell>
          <cell r="C22161" t="str">
            <v>DYNAMO V. C . ADMINISTRADORA DE RECURSOS LTDA</v>
          </cell>
          <cell r="D22161" t="str">
            <v>DYNAMO V. C . ADMINISTRADORA DE RECURSOS LTDA</v>
          </cell>
          <cell r="E22161" t="str">
            <v>DYNAMO ADMINISTRACAO DE RECURSOS LTDA</v>
          </cell>
        </row>
        <row r="22162">
          <cell r="B22162" t="str">
            <v>M03151030000197</v>
          </cell>
          <cell r="C22162" t="str">
            <v>OPPORTUNITY PRIVATE EQUITY GESTORA DE RECURSOS LTDA</v>
          </cell>
          <cell r="D22162" t="str">
            <v>OPPORTUNITY PRIVATE EQUITY GESTORA DE RECURSOS LTDA</v>
          </cell>
          <cell r="E22162" t="str">
            <v>OPPORTUNITY GESTAO DE INVESTIMENTOS E RECURSOS LTDA</v>
          </cell>
        </row>
        <row r="22163">
          <cell r="B22163" t="str">
            <v>M03014887000165</v>
          </cell>
          <cell r="C22163" t="str">
            <v>ARGUMENTO ADMINISTRAÃ‡ÃƒO DE CARTEIRA DE TITULOS E VALORES MOBILIÃRIOS LTDA</v>
          </cell>
          <cell r="D22163" t="str">
            <v>ARGUMENTO ADMINISTRAÃ‡ÃƒO DE CARTEIRA DE TITULOS E VALORES MOBILIÃRIOS LTDA</v>
          </cell>
          <cell r="E22163" t="str">
            <v>ARGUMENTO ADMINISTRAÃ‡ÃƒO DE CARTEIRA DE TITULOS E VALORES MOBILIÃRIOS LTDA</v>
          </cell>
        </row>
        <row r="22164">
          <cell r="B22164" t="str">
            <v>M02982157000195</v>
          </cell>
          <cell r="C22164" t="str">
            <v>POUPREV  FUNDACAO DE SEGURIDADE SOCIAL</v>
          </cell>
          <cell r="D22164" t="str">
            <v>POUPREV  FUNDACAO DE SEGURIDADE SOCIAL</v>
          </cell>
          <cell r="E22164" t="str">
            <v>POUPREV  FUNDACAO DE SEGURIDADE SOCIAL</v>
          </cell>
        </row>
        <row r="22165">
          <cell r="B22165" t="str">
            <v>M02835612000120</v>
          </cell>
          <cell r="C22165" t="str">
            <v>AMS CAPITAL LTDA ( ANTIGO EVEREST PARTICIPACOES LTDA</v>
          </cell>
          <cell r="D22165" t="str">
            <v>AMS CAPITAL LTDA ( ANTIGO EVEREST PARTICIPACOES LTDA</v>
          </cell>
          <cell r="E22165" t="str">
            <v>AMS CAPITAL LTDA</v>
          </cell>
        </row>
        <row r="22166">
          <cell r="B22166" t="str">
            <v>M02827940850</v>
          </cell>
          <cell r="C22166" t="str">
            <v>JOSE AUGUSTO DE LIMA</v>
          </cell>
          <cell r="D22166" t="str">
            <v>JOSE AUGUSTO DE LIMA</v>
          </cell>
          <cell r="E22166" t="str">
            <v>JOSE AUGUSTO DE LIMA</v>
          </cell>
        </row>
        <row r="22167">
          <cell r="B22167" t="str">
            <v>M02736210760</v>
          </cell>
          <cell r="C22167" t="str">
            <v>MARCELO MOREIRA LIMA SIMAS</v>
          </cell>
          <cell r="D22167" t="str">
            <v>MARCELO MOREIRA LIMA SIMAS</v>
          </cell>
          <cell r="E22167" t="str">
            <v>MARCELO MOREIRA LIMA SIMAS</v>
          </cell>
        </row>
        <row r="22168">
          <cell r="B22168" t="str">
            <v>M02725665868</v>
          </cell>
          <cell r="C22168" t="str">
            <v>LUÃS PAULO FRAGA DE MESQUITA</v>
          </cell>
          <cell r="D22168" t="str">
            <v>LUÃS PAULO FRAGA DE MESQUITA</v>
          </cell>
          <cell r="E22168" t="str">
            <v>LUÃS PAULO FRAGA DE MESQUITA</v>
          </cell>
        </row>
        <row r="22169">
          <cell r="B22169" t="str">
            <v>M02661339000164</v>
          </cell>
          <cell r="D22169" t="str">
            <v>FUNDO DE APOSENTADORIA PROGRAMADA INDIVIDUAL CONSERVATIVE IB</v>
          </cell>
        </row>
        <row r="22170">
          <cell r="B22170" t="str">
            <v>M02622448000172</v>
          </cell>
          <cell r="C22170" t="str">
            <v>M ASSET MANAGEMENT LTDA</v>
          </cell>
          <cell r="D22170" t="str">
            <v>M ASSET MANAGEMENT LTDA</v>
          </cell>
          <cell r="E22170" t="str">
            <v>M ASSET MANAGEMENT LTDA</v>
          </cell>
        </row>
        <row r="22171">
          <cell r="B22171" t="str">
            <v>M02604993000136</v>
          </cell>
          <cell r="C22171" t="str">
            <v>RENTA GESTAO DE RECURSOS LTDA</v>
          </cell>
          <cell r="D22171" t="str">
            <v>RENTA GESTAO DE RECURSOS LTDA</v>
          </cell>
          <cell r="E22171" t="str">
            <v>RENTA GESTAO DE RECURSOS LTDA</v>
          </cell>
        </row>
        <row r="22172">
          <cell r="B22172" t="str">
            <v>M02295841000107</v>
          </cell>
          <cell r="C22172" t="str">
            <v>SECURITY ADM. DE RECURSOS LTDA</v>
          </cell>
          <cell r="D22172" t="str">
            <v>SECURITY ADM. DE RECURSOS LTDA</v>
          </cell>
          <cell r="E22172" t="str">
            <v>SECURITY ADM. DE RECURSOS LTDA</v>
          </cell>
        </row>
        <row r="22173">
          <cell r="B22173" t="str">
            <v>M02228585000127</v>
          </cell>
          <cell r="C22173" t="str">
            <v>TATICA ASSET MANAGEMENT ADMINISTRACAO DE RECURSOS S/C LTDA</v>
          </cell>
          <cell r="D22173" t="str">
            <v>TATICA ASSET MANAGEMENT ADMINISTRACAO DE RECURSOS S/C LTDA</v>
          </cell>
          <cell r="E22173" t="str">
            <v>TATICA ASSET MANAGEMENT ADMINISTRACAO DE RECURSOS S/C LTDA</v>
          </cell>
        </row>
        <row r="22174">
          <cell r="B22174" t="str">
            <v>M02201501000161</v>
          </cell>
          <cell r="C22174" t="str">
            <v>BNY MELLON SERVICOS FINANCEIROS DTVM S.A.</v>
          </cell>
          <cell r="D22174" t="str">
            <v>BNY MELLON SERVICOS FINANCEIROS DTVM S.A.</v>
          </cell>
          <cell r="E22174" t="str">
            <v>BNY MELLON SERVICOS FINANCEIROS DTVM S.A.</v>
          </cell>
        </row>
        <row r="22175">
          <cell r="B22175" t="str">
            <v>M01608570000121</v>
          </cell>
          <cell r="C22175" t="str">
            <v>OPPORTUNITY GESTORA DE RECURSOS LTDA</v>
          </cell>
          <cell r="D22175" t="str">
            <v>OPPORTUNITY GESTORA DE RECURSOS LTDA</v>
          </cell>
          <cell r="E22175" t="str">
            <v>OPPORTUNITY GESTAO DE INVESTIMENTOS E RECURSOS LTDA</v>
          </cell>
        </row>
        <row r="22176">
          <cell r="B22176" t="str">
            <v>M01552368000182</v>
          </cell>
          <cell r="D22176" t="str">
            <v>BNP</v>
          </cell>
          <cell r="E22176" t="str">
            <v>BANCO BNP PARIBAS BRASIL S/A</v>
          </cell>
        </row>
        <row r="22177">
          <cell r="B22177" t="str">
            <v>M01483321614</v>
          </cell>
          <cell r="C22177" t="str">
            <v>PETER PAUL MISSINE</v>
          </cell>
          <cell r="D22177" t="str">
            <v>PETER PAUL MISSINE</v>
          </cell>
          <cell r="E22177" t="str">
            <v>PETER PAUL MISSINE</v>
          </cell>
        </row>
        <row r="22178">
          <cell r="B22178" t="str">
            <v>M01195927460</v>
          </cell>
          <cell r="C22178" t="str">
            <v>KAROL DINIZ FONTES</v>
          </cell>
          <cell r="D22178" t="str">
            <v>KAROL DINIZ FONTES</v>
          </cell>
          <cell r="E22178" t="str">
            <v>KAROL DINIZ FONTES</v>
          </cell>
        </row>
        <row r="22179">
          <cell r="B22179" t="str">
            <v>M01192145631</v>
          </cell>
          <cell r="C22179" t="str">
            <v>DANIEL FERRAZ CALONGE</v>
          </cell>
          <cell r="D22179" t="str">
            <v>DANIEL FERRAZ CALONGE</v>
          </cell>
          <cell r="E22179" t="str">
            <v>DANIEL FERRAZ CALONGE</v>
          </cell>
        </row>
        <row r="22180">
          <cell r="B22180" t="str">
            <v>M00954288000133</v>
          </cell>
          <cell r="C22180" t="str">
            <v>FUNDO GARANTIDOR DE CRÃ‰DITO - FGG</v>
          </cell>
          <cell r="D22180" t="str">
            <v>FUNDO GARANTIDOR DE CRÃ‰DITO - FGG</v>
          </cell>
          <cell r="E22180" t="str">
            <v>FUNDO GARANTIDOR DE CRÃ‰DITO - FGG</v>
          </cell>
        </row>
        <row r="22181">
          <cell r="B22181" t="str">
            <v>M00627911331</v>
          </cell>
          <cell r="C22181" t="str">
            <v>SAULO LOPES CARVALHO</v>
          </cell>
          <cell r="D22181" t="str">
            <v>SAULO LOPES CARVALHO</v>
          </cell>
          <cell r="E22181" t="str">
            <v>SAULO LOPES CARVALHO</v>
          </cell>
        </row>
        <row r="22182">
          <cell r="B22182" t="str">
            <v>M00424749000166</v>
          </cell>
          <cell r="C22182" t="str">
            <v>AAM GESTORA DE RECURSOS DE TERCEIROS LTDA.</v>
          </cell>
          <cell r="D22182" t="str">
            <v>AAM GESTORA DE RECURSOS DE TERCEIROS LTDA.</v>
          </cell>
          <cell r="E22182" t="str">
            <v>AAM GESTORA DE RECURSOS DE TERCEIROS LTDA.</v>
          </cell>
        </row>
        <row r="22183">
          <cell r="B22183" t="str">
            <v>M00347193773</v>
          </cell>
          <cell r="C22183" t="str">
            <v>ROBERTO BEZERRA DE MELLO BERARDO CARNEIRO DA CUNHA JR.</v>
          </cell>
          <cell r="D22183" t="str">
            <v>ROBERTO BEZERRA DE MELLO BERARDO CARNEIRO DA CUNHA JR.</v>
          </cell>
          <cell r="E22183" t="str">
            <v>ROBERTO BEZERRA DE MELLO BERARDO CARNEIRO DA CUNHA JR.</v>
          </cell>
        </row>
        <row r="22184">
          <cell r="B22184" t="str">
            <v>M00329598000167</v>
          </cell>
          <cell r="C22184" t="str">
            <v>SEFER INVESTIMENTOS DISTRIBUIDORA DE T-TULOS E VALORES MOBILI-RIOS LTDA.</v>
          </cell>
          <cell r="D22184" t="str">
            <v>SEFER INVESTIMENTOS DTVM LTDA.</v>
          </cell>
          <cell r="E22184" t="str">
            <v>SEFER INVESTIMENTOS DISTRIBUIDORA DE T-TULOS E VALORES MOBILI-RIOS LTDA.</v>
          </cell>
        </row>
        <row r="22185">
          <cell r="B22185" t="str">
            <v>M00293644853</v>
          </cell>
          <cell r="C22185" t="str">
            <v>FERNANDO DE ALMEIDA NOBRE NETO</v>
          </cell>
          <cell r="D22185" t="str">
            <v>FERNANDO DE ALMEIDA NOBRE NETO</v>
          </cell>
          <cell r="E22185" t="str">
            <v>FERNANDO DE ALMEIDA NOBRE NETO</v>
          </cell>
        </row>
        <row r="22186">
          <cell r="B22186" t="str">
            <v>M00156956000187</v>
          </cell>
          <cell r="C22186" t="str">
            <v>FAMA RE.CAPITAL LTDA</v>
          </cell>
          <cell r="D22186" t="str">
            <v>FAMA RE.CAPITAL LTDA</v>
          </cell>
          <cell r="E22186" t="str">
            <v>FAMA RE.CAPITAL LTDA</v>
          </cell>
        </row>
        <row r="22187">
          <cell r="B22187" t="str">
            <v>M00054130875</v>
          </cell>
          <cell r="C22187" t="str">
            <v>EDUARDO BRENNER</v>
          </cell>
          <cell r="D22187" t="str">
            <v>EDUARDO BRENNER</v>
          </cell>
          <cell r="E22187" t="str">
            <v>EDUARDO BRENNER</v>
          </cell>
        </row>
        <row r="22188">
          <cell r="B22188">
            <v>79604</v>
          </cell>
          <cell r="C22188" t="str">
            <v>LOUIS DREYFUS COMPANY SUCOS S/A (ANTIGO LDC AGROINDUSTRIAL</v>
          </cell>
          <cell r="D22188" t="str">
            <v>LOUIS DREYFUS COMPANY SUCOS S/A (ANTIGO LDC AGROINDUSTRIAL</v>
          </cell>
          <cell r="E22188" t="str">
            <v>LOUIS DREYFUS COMPANY BRASIL S/A</v>
          </cell>
        </row>
        <row r="22189">
          <cell r="B22189">
            <v>82640</v>
          </cell>
          <cell r="C22189" t="str">
            <v>GAP MAHALO FIM</v>
          </cell>
          <cell r="D22189" t="str">
            <v>GAP MAHALO FIM</v>
          </cell>
          <cell r="E22189" t="str">
            <v>GAP GESTORA DE RECURSOS LTDA</v>
          </cell>
        </row>
        <row r="22190">
          <cell r="B22190">
            <v>82640</v>
          </cell>
          <cell r="C22190" t="str">
            <v>GAP MAHALO FIM</v>
          </cell>
          <cell r="D22190" t="str">
            <v>GAP MAHALO FIM</v>
          </cell>
          <cell r="E22190" t="str">
            <v>GAP GESTORA DE RECURSOS LTDA</v>
          </cell>
        </row>
        <row r="22191">
          <cell r="B22191">
            <v>82641</v>
          </cell>
          <cell r="C22191" t="str">
            <v>GAP ABSOLUTO MASTER FIM</v>
          </cell>
          <cell r="D22191" t="str">
            <v>GAP ABSOLUTO MASTER FIM</v>
          </cell>
          <cell r="E22191" t="str">
            <v>GAP GESTORA DE RECURSOS LTDA</v>
          </cell>
        </row>
        <row r="22192">
          <cell r="B22192">
            <v>82642</v>
          </cell>
          <cell r="C22192" t="str">
            <v>GAP ABSOLUTO FIFE 10 MULTIMERCADO FUNDO DE INVESTIMENTO</v>
          </cell>
          <cell r="D22192" t="str">
            <v>GAP ABSOLUTO FIFE 10 MULTIMERCADO FUNDO DE INVESTIMENTO</v>
          </cell>
          <cell r="E22192" t="str">
            <v>GAP GESTORA DE RECURSOS LTDA</v>
          </cell>
        </row>
        <row r="22193">
          <cell r="B22193">
            <v>82642</v>
          </cell>
          <cell r="C22193" t="str">
            <v>GAP ABSOLUTO FIFE 10 MULTIMERCADO FUNDO DE INVESTIMENTO</v>
          </cell>
          <cell r="D22193" t="str">
            <v>GAP ABSOLUTO FIFE 10 MULTIMERCADO FUNDO DE INVESTIMENTO</v>
          </cell>
          <cell r="E22193" t="str">
            <v>GAP GESTORA DE RECURSOS LTDA</v>
          </cell>
        </row>
        <row r="22194">
          <cell r="B22194">
            <v>82643</v>
          </cell>
          <cell r="C22194" t="str">
            <v>GAP ABSOLUTO FIFE FIM</v>
          </cell>
          <cell r="D22194" t="str">
            <v>GAP ABSOLUTO FIFE FIM</v>
          </cell>
          <cell r="E22194" t="str">
            <v>GAP GESTORA DE RECURSOS LTDA</v>
          </cell>
        </row>
        <row r="22195">
          <cell r="B22195">
            <v>82644</v>
          </cell>
          <cell r="C22195" t="str">
            <v>GAP ABSOLUTO 10B PREVIDENCIÃRIO FIFE FIM</v>
          </cell>
          <cell r="D22195" t="str">
            <v>GAP ABSOLUTO 10B PREVIDENCIÃRIO FIFE FIM</v>
          </cell>
          <cell r="E22195" t="str">
            <v>GAP GESTORA DE RECURSOS LTDA</v>
          </cell>
        </row>
        <row r="22196">
          <cell r="B22196">
            <v>82644</v>
          </cell>
          <cell r="C22196" t="str">
            <v>GAP ABSOLUTO 10B PREVIDENCIÃRIO FIFE FIM</v>
          </cell>
          <cell r="D22196" t="str">
            <v>GAP ABSOLUTO 10B PREVIDENCIÃRIO FIFE FIM</v>
          </cell>
          <cell r="E22196" t="str">
            <v>GAP GESTORA DE RECURSOS LTDA</v>
          </cell>
        </row>
        <row r="22197">
          <cell r="B22197">
            <v>82645</v>
          </cell>
          <cell r="C22197" t="str">
            <v>GAP ABSOLUTO IQ PREVIDENCIARIO FIFE FIM</v>
          </cell>
          <cell r="D22197" t="str">
            <v>GAP ABSOLUTO IQ PREVIDENCIARIO FIFE FIM</v>
          </cell>
          <cell r="E22197" t="str">
            <v>GAP GESTORA DE RECURSOS LTDA</v>
          </cell>
        </row>
        <row r="22198">
          <cell r="B22198">
            <v>82646</v>
          </cell>
          <cell r="C22198" t="str">
            <v>396 FUNDO DE INVESTIMENTO FINANCEIRO EM ACOES</v>
          </cell>
          <cell r="D22198" t="str">
            <v>396 FUNDO DE INVESTIMENTO FINANCEIRO EM ACOES</v>
          </cell>
          <cell r="E22198" t="str">
            <v>WNT GESTORA DE RECURSOS LTDA</v>
          </cell>
        </row>
        <row r="22199">
          <cell r="B22199">
            <v>82646</v>
          </cell>
          <cell r="C22199" t="str">
            <v>396 FUNDO DE INVESTIMENTO FINANCEIRO EM ACOES</v>
          </cell>
          <cell r="D22199" t="str">
            <v>396 FUNDO DE INVESTIMENTO FINANCEIRO EM ACOES</v>
          </cell>
          <cell r="E22199" t="str">
            <v>WNT GESTORA DE RECURSOS LTDA</v>
          </cell>
        </row>
        <row r="22200">
          <cell r="B22200">
            <v>82647</v>
          </cell>
          <cell r="C22200" t="str">
            <v>BAVARO FUNDO DE INVESTIMENTO EM ACOES</v>
          </cell>
          <cell r="D22200" t="str">
            <v>BAVARO FUNDO DE INVESTIMENTO EM ACOES</v>
          </cell>
          <cell r="E22200" t="str">
            <v>WNT GESTORA DE RECURSOS LTDA</v>
          </cell>
        </row>
        <row r="22201">
          <cell r="B22201">
            <v>82647</v>
          </cell>
          <cell r="C22201" t="str">
            <v>BAVARO FUNDO DE INVESTIMENTO EM ACOES</v>
          </cell>
          <cell r="D22201" t="str">
            <v>BAVARO FUNDO DE INVESTIMENTO EM ACOES</v>
          </cell>
          <cell r="E22201" t="str">
            <v>WNT GESTORA DE RECURSOS LTDA</v>
          </cell>
        </row>
        <row r="22202">
          <cell r="B22202">
            <v>82648</v>
          </cell>
          <cell r="C22202" t="str">
            <v>NAUTILUS FUNDO DE INVESTIMENTO FINANCEIRO EM ACOES</v>
          </cell>
          <cell r="D22202" t="str">
            <v>NAUTILUS FUNDO DE INVESTIMENTO FINANCEIRO EM ACOES</v>
          </cell>
          <cell r="E22202" t="str">
            <v>WNT GESTORA DE RECURSOS LTDA</v>
          </cell>
        </row>
        <row r="22203">
          <cell r="B22203">
            <v>82648</v>
          </cell>
          <cell r="C22203" t="str">
            <v>NAUTILUS FUNDO DE INVESTIMENTO FINANCEIRO EM ACOES</v>
          </cell>
          <cell r="D22203" t="str">
            <v>NAUTILUS FUNDO DE INVESTIMENTO FINANCEIRO EM ACOES</v>
          </cell>
          <cell r="E22203" t="str">
            <v>WNT GESTORA DE RECURSOS LTDA</v>
          </cell>
        </row>
        <row r="22204">
          <cell r="B22204">
            <v>82649</v>
          </cell>
          <cell r="C22204" t="str">
            <v>ZERMATT FUNDO DE INVESTIMENTO FINANCEIRO EM ACOES</v>
          </cell>
          <cell r="D22204" t="str">
            <v>ZERMATT FUNDO DE INVESTIMENTO FINANCEIRO EM ACOES</v>
          </cell>
          <cell r="E22204" t="str">
            <v>WNT GESTORA DE RECURSOS LTDA</v>
          </cell>
        </row>
        <row r="22205">
          <cell r="B22205">
            <v>82649</v>
          </cell>
          <cell r="C22205" t="str">
            <v>ZERMATT FUNDO DE INVESTIMENTO FINANCEIRO EM ACOES</v>
          </cell>
          <cell r="D22205" t="str">
            <v>ZERMATT FUNDO DE INVESTIMENTO FINANCEIRO EM ACOES</v>
          </cell>
          <cell r="E22205" t="str">
            <v>WNT GESTORA DE RECURSOS LTDA</v>
          </cell>
        </row>
        <row r="22206">
          <cell r="B22206" t="str">
            <v>M39764365000128</v>
          </cell>
          <cell r="C22206" t="str">
            <v>LEVANTE GESTORA DE RECURSOS LTDA.</v>
          </cell>
          <cell r="D22206" t="str">
            <v>LEVANTE GESTORA DE RECURSOS LTDA.</v>
          </cell>
          <cell r="E22206" t="str">
            <v>LEVANTE GESTORA DE RECURSOS LTDA.</v>
          </cell>
        </row>
        <row r="22207">
          <cell r="B22207">
            <v>82650</v>
          </cell>
          <cell r="C22207" t="str">
            <v>MAINA MASTER FUNDO DE INVESTIMENTO EM ACOES</v>
          </cell>
          <cell r="D22207" t="str">
            <v>MAINA MASTER FUNDO DE INVESTIMENTO EM ACOES</v>
          </cell>
          <cell r="E22207" t="str">
            <v>UNA CAPITAL LTDA</v>
          </cell>
        </row>
        <row r="22208">
          <cell r="B22208">
            <v>82651</v>
          </cell>
          <cell r="C22208" t="str">
            <v>ITAU VERTICE OMNI FIF MULTIMERCADO RESPONSABILIDADE LIMITADA</v>
          </cell>
          <cell r="D22208" t="str">
            <v>ITAU VERTICE OMNI FIF MULTIMERCADO RESPONSABILIDADE LIMITADA</v>
          </cell>
          <cell r="E22208" t="str">
            <v>ITAU UNIBANCO ASSET - TACO</v>
          </cell>
        </row>
        <row r="22209">
          <cell r="B22209" t="str">
            <v>M51919518000164</v>
          </cell>
          <cell r="C22209" t="str">
            <v>LEXIS CAPITAL GESTÃƒO DE RECURSOS LTDA.</v>
          </cell>
          <cell r="D22209" t="str">
            <v>LEXIS CAPITAL GESTÃƒO DE RECURSOS LTDA.</v>
          </cell>
          <cell r="E22209" t="str">
            <v>LEXIS CAPITAL GESTÃƒO DE RECURSOS LTDA.</v>
          </cell>
        </row>
        <row r="22210">
          <cell r="B22210" t="str">
            <v>M0926253300011601</v>
          </cell>
          <cell r="D22210" t="str">
            <v>JGP GESTAO PATRIMONIAL LTDA</v>
          </cell>
          <cell r="E22210" t="str">
            <v>JGP GESTAO PATRIMONIAL LTDA</v>
          </cell>
        </row>
        <row r="22211">
          <cell r="B22211" t="str">
            <v>M54641866000100</v>
          </cell>
          <cell r="C22211" t="str">
            <v>B.OND CAPITAL LTDA.</v>
          </cell>
          <cell r="D22211" t="str">
            <v>B.OND CAPITAL LTDA.</v>
          </cell>
          <cell r="E22211" t="str">
            <v>B.OND CAPITAL LTDA.</v>
          </cell>
        </row>
        <row r="22212">
          <cell r="B22212" t="str">
            <v>M53012603000170</v>
          </cell>
          <cell r="C22212" t="str">
            <v>GENUINAMENTE TECH GESTÃƒO DE RECURSOS LTDA.</v>
          </cell>
          <cell r="D22212" t="str">
            <v>GENUINAMENTE TECH GESTÃƒO DE RECURSOS LTDA.</v>
          </cell>
          <cell r="E22212" t="str">
            <v>GENUINAMENTE TECH GESTÃƒO DE RECURSOS LTDA.</v>
          </cell>
        </row>
        <row r="22213">
          <cell r="B22213">
            <v>82652</v>
          </cell>
          <cell r="C22213" t="str">
            <v>C6 CORRETORA DE TITULOS E VALORES MOBILIARIOS LTDA</v>
          </cell>
          <cell r="D22213" t="str">
            <v>C6 CORRETORA DE TITULOS E VALORES MOBILIARIOS LTDA</v>
          </cell>
          <cell r="E22213" t="str">
            <v>C6 CORRETORA DE TITULOS E VALORES MOBILIARIOS LTDA</v>
          </cell>
        </row>
        <row r="22214">
          <cell r="B22214">
            <v>82652</v>
          </cell>
          <cell r="C22214" t="str">
            <v>C6 CORRETORA DE TITULOS E VALORES MOBILIARIOS LTDA</v>
          </cell>
          <cell r="D22214" t="str">
            <v>C6 CORRETORA DE TITULOS E VALORES MOBILIARIOS LTDA</v>
          </cell>
          <cell r="E22214" t="str">
            <v>C6 CORRETORA DE TITULOS E VALORES MOBILIARIOS LTDA</v>
          </cell>
        </row>
        <row r="22215">
          <cell r="B22215">
            <v>6003</v>
          </cell>
          <cell r="C22215" t="str">
            <v>C6 CORRETORA DE TITULOS E VALORES MOBILIARIOS LTDA</v>
          </cell>
          <cell r="D22215" t="str">
            <v>C6 CORRETORA DE TITULOS E VALORES MOBILIARIOS LTDA</v>
          </cell>
          <cell r="E22215" t="str">
            <v>C6 CORRETORA DE TITULOS E VALORES MOBILIARIOS LTDA</v>
          </cell>
        </row>
        <row r="22216">
          <cell r="B22216">
            <v>6003</v>
          </cell>
          <cell r="C22216" t="str">
            <v>C6 CORRETORA DE TITULOS E VALORES MOBILIARIOS LTDA</v>
          </cell>
          <cell r="D22216" t="str">
            <v>C6 CORRETORA DE TITULOS E VALORES MOBILIARIOS LTDA</v>
          </cell>
          <cell r="E22216" t="str">
            <v>C6 CORRETORA DE TITULOS E VALORES MOBILIARIOS LTDA</v>
          </cell>
        </row>
        <row r="22217">
          <cell r="B22217">
            <v>82653</v>
          </cell>
          <cell r="C22217" t="str">
            <v>FUNDO DE INVESTIMENTO FINANCEIRO MULTIMERCADO MALFITANA CP</v>
          </cell>
          <cell r="D22217" t="str">
            <v>FUNDO DE INVESTIMENTO FINANCEIRO MULTIMERCADO MALFITANA CP</v>
          </cell>
          <cell r="E22217" t="str">
            <v>M ASSET MANAGEMENT LTDA</v>
          </cell>
        </row>
        <row r="22218">
          <cell r="B22218">
            <v>82653</v>
          </cell>
          <cell r="C22218" t="str">
            <v>FUNDO DE INVESTIMENTO FINANCEIRO MULTIMERCADO MALFITANA CP</v>
          </cell>
          <cell r="D22218" t="str">
            <v>FUNDO DE INVESTIMENTO FINANCEIRO MULTIMERCADO MALFITANA CP</v>
          </cell>
          <cell r="E22218" t="str">
            <v>M ASSET MANAGEMENT LTDA</v>
          </cell>
        </row>
        <row r="22219">
          <cell r="B22219">
            <v>82654</v>
          </cell>
          <cell r="C22219" t="str">
            <v>ATICO FIFA CP</v>
          </cell>
          <cell r="D22219" t="str">
            <v>ATICO FIFA CP</v>
          </cell>
          <cell r="E22219" t="str">
            <v>WNT GESTORA DE RECURSOS LTDA</v>
          </cell>
        </row>
        <row r="22220">
          <cell r="B22220">
            <v>82654</v>
          </cell>
          <cell r="C22220" t="str">
            <v>ATICO FIFA CP</v>
          </cell>
          <cell r="D22220" t="str">
            <v>ATICO FIFA CP</v>
          </cell>
          <cell r="E22220" t="str">
            <v>WNT GESTORA DE RECURSOS LTDA</v>
          </cell>
        </row>
        <row r="22221">
          <cell r="B22221">
            <v>82655</v>
          </cell>
          <cell r="C22221" t="str">
            <v>LEGACY FIF MULT CP IE</v>
          </cell>
          <cell r="D22221" t="str">
            <v>LEGACY FIF MULT CP IE</v>
          </cell>
          <cell r="E22221" t="str">
            <v>WNT GESTORA DE RECURSOS LTDA</v>
          </cell>
        </row>
        <row r="22222">
          <cell r="B22222">
            <v>82655</v>
          </cell>
          <cell r="C22222" t="str">
            <v>LEGACY FIF MULT CP IE</v>
          </cell>
          <cell r="D22222" t="str">
            <v>LEGACY FIF MULT CP IE</v>
          </cell>
          <cell r="E22222" t="str">
            <v>WNT GESTORA DE RECURSOS LTDA</v>
          </cell>
        </row>
        <row r="22223">
          <cell r="B22223">
            <v>82656</v>
          </cell>
          <cell r="C22223" t="str">
            <v>MARQUESA FUNDO DE INVESTIMENTO FINANCEIRO EM ACOES</v>
          </cell>
          <cell r="D22223" t="str">
            <v>MARQUESA FUNDO DE INVESTIMENTO FINANCEIRO EM ACOES</v>
          </cell>
          <cell r="E22223" t="str">
            <v>WNT GESTORA DE RECURSOS LTDA</v>
          </cell>
        </row>
        <row r="22224">
          <cell r="B22224">
            <v>82656</v>
          </cell>
          <cell r="C22224" t="str">
            <v>MARQUESA FUNDO DE INVESTIMENTO FINANCEIRO EM ACOES</v>
          </cell>
          <cell r="D22224" t="str">
            <v>MARQUESA FUNDO DE INVESTIMENTO FINANCEIRO EM ACOES</v>
          </cell>
          <cell r="E22224" t="str">
            <v>WNT GESTORA DE RECURSOS LTDA</v>
          </cell>
        </row>
        <row r="22225">
          <cell r="B22225" t="str">
            <v>M02671743000119</v>
          </cell>
          <cell r="E22225" t="str">
            <v>BANVOX DTVM LTDA</v>
          </cell>
        </row>
        <row r="22226">
          <cell r="B22226" t="str">
            <v>M52508695000110</v>
          </cell>
          <cell r="C22226" t="str">
            <v>GRIT GESTORA DE RECURSOS LTDA.</v>
          </cell>
          <cell r="D22226" t="str">
            <v>GRIT GESTORA DE RECURSOS LTDA.</v>
          </cell>
          <cell r="E22226" t="str">
            <v>GRIT GESTORA DE RECURSOS LTDA.</v>
          </cell>
        </row>
        <row r="22227">
          <cell r="B22227">
            <v>82657</v>
          </cell>
          <cell r="C22227" t="str">
            <v>IT NOW S&amp;P 500 FUTURES QUANTO BRL FUNDO DE INDICE RL</v>
          </cell>
          <cell r="D22227" t="str">
            <v>IT NOW S&amp;P 500 FUTURES QUANTO BRL FUNDO DE INDICE RL</v>
          </cell>
          <cell r="E22227" t="str">
            <v>ITAU UNIBANCO ASSET - TACO</v>
          </cell>
        </row>
        <row r="22228">
          <cell r="B22228" t="str">
            <v>M92863505000106</v>
          </cell>
          <cell r="C22228" t="str">
            <v>UNIMED SEGURADORA S/A</v>
          </cell>
          <cell r="D22228" t="str">
            <v>UNIMED SEGURADORA S/A</v>
          </cell>
          <cell r="E22228" t="str">
            <v>UNIMED SEGURADORA S/A</v>
          </cell>
        </row>
        <row r="22229">
          <cell r="B22229" t="str">
            <v>M43755691000146</v>
          </cell>
          <cell r="C22229" t="str">
            <v>REAG VENTURE CAPITAL &amp; GROWTH EQUITIES LTDA</v>
          </cell>
          <cell r="D22229" t="str">
            <v>REAG VENTURE CAPITAL &amp; GROWTH EQUITIES LTDA</v>
          </cell>
          <cell r="E22229" t="str">
            <v>REAG VENTURE CAPITAL &amp; GROWTH EQUITIES LTDA</v>
          </cell>
        </row>
        <row r="22230">
          <cell r="B22230">
            <v>82659</v>
          </cell>
          <cell r="C22230" t="str">
            <v>SQUAREPOINT MASTER TRADING LLC</v>
          </cell>
          <cell r="D22230" t="str">
            <v>SQUAREPOINT MASTER TRADING LLC</v>
          </cell>
          <cell r="E22230" t="str">
            <v>SQUAREPOINT TRADING LLC</v>
          </cell>
        </row>
        <row r="22231">
          <cell r="B22231">
            <v>82660</v>
          </cell>
          <cell r="C22231" t="str">
            <v>SQUAREPOINT MASTER TRADING LLC</v>
          </cell>
          <cell r="D22231" t="str">
            <v>SQUAREPOINT MASTER TRADING LLC</v>
          </cell>
          <cell r="E22231" t="str">
            <v>SQUAREPOINT TRADING LLC</v>
          </cell>
        </row>
        <row r="22232">
          <cell r="B22232">
            <v>82659</v>
          </cell>
          <cell r="C22232" t="str">
            <v>SQUAREPOINT MASTER TRADING LLC</v>
          </cell>
          <cell r="D22232" t="str">
            <v>SQUAREPOINT MASTER TRADING LLC</v>
          </cell>
          <cell r="E22232" t="str">
            <v>SQUAREPOINT TRADING LLC</v>
          </cell>
        </row>
        <row r="22233">
          <cell r="B22233">
            <v>82660</v>
          </cell>
          <cell r="C22233" t="str">
            <v>SQUAREPOINT MASTER TRADING LLC</v>
          </cell>
          <cell r="D22233" t="str">
            <v>SQUAREPOINT MASTER TRADING LLC</v>
          </cell>
          <cell r="E22233" t="str">
            <v>SQUAREPOINT TRADING LLC</v>
          </cell>
        </row>
        <row r="22234">
          <cell r="B22234">
            <v>82661</v>
          </cell>
          <cell r="C22234" t="str">
            <v>SAM SELECAO DINAMICO FIA BDR NIVEL 1</v>
          </cell>
          <cell r="D22234" t="str">
            <v>SAM SELECAO DINAMICO FIA BDR NIVEL 1</v>
          </cell>
          <cell r="E22234" t="str">
            <v>SANTANDER BRASIL GESTAO DE RECURSOS LTDA</v>
          </cell>
        </row>
        <row r="22235">
          <cell r="B22235">
            <v>82668</v>
          </cell>
          <cell r="C22235" t="str">
            <v>WNT GESTORA DE RECURSOS LTDA</v>
          </cell>
          <cell r="D22235" t="str">
            <v>WNT GESTORA DE RECURSOS LTDA</v>
          </cell>
          <cell r="E22235" t="str">
            <v>WNT GESTORA DE RECURSOS LTDA</v>
          </cell>
        </row>
        <row r="22236">
          <cell r="B22236">
            <v>82668</v>
          </cell>
          <cell r="C22236" t="str">
            <v>WNT GESTORA DE RECURSOS LTDA</v>
          </cell>
          <cell r="D22236" t="str">
            <v>WNT GESTORA DE RECURSOS LTDA</v>
          </cell>
          <cell r="E22236" t="str">
            <v>WNT GESTORA DE RECURSOS LTDA</v>
          </cell>
        </row>
        <row r="22237">
          <cell r="B22237">
            <v>82669</v>
          </cell>
          <cell r="C22237" t="str">
            <v>ZERMATT FUNDO DE INVESTIMENTO FINANCEIRO EM ACOES</v>
          </cell>
          <cell r="D22237" t="str">
            <v>ZERMATT FUNDO DE INVESTIMENTO FINANCEIRO EM ACOES</v>
          </cell>
          <cell r="E22237" t="str">
            <v>WNT GESTORA DE RECURSOS LTDA</v>
          </cell>
        </row>
        <row r="22238">
          <cell r="B22238">
            <v>82669</v>
          </cell>
          <cell r="C22238" t="str">
            <v>ZERMATT FUNDO DE INVESTIMENTO FINANCEIRO EM ACOES</v>
          </cell>
          <cell r="D22238" t="str">
            <v>ZERMATT FUNDO DE INVESTIMENTO FINANCEIRO EM ACOES</v>
          </cell>
          <cell r="E22238" t="str">
            <v>WNT GESTORA DE RECURSOS LTDA</v>
          </cell>
        </row>
        <row r="22239">
          <cell r="B22239">
            <v>82670</v>
          </cell>
          <cell r="C22239" t="str">
            <v>SIRACUSA FUNDO DE INVESTIMENTO MULTIMERCADO</v>
          </cell>
          <cell r="D22239" t="str">
            <v>SIRACUSA FUNDO DE INVESTIMENTO MULTIMERCADO</v>
          </cell>
          <cell r="E22239" t="str">
            <v>WNT GESTORA DE RECURSOS LTDA</v>
          </cell>
        </row>
        <row r="22240">
          <cell r="B22240">
            <v>82670</v>
          </cell>
          <cell r="C22240" t="str">
            <v>SIRACUSA FUNDO DE INVESTIMENTO MULTIMERCADO</v>
          </cell>
          <cell r="D22240" t="str">
            <v>SIRACUSA FUNDO DE INVESTIMENTO MULTIMERCADO</v>
          </cell>
          <cell r="E22240" t="str">
            <v>WNT GESTORA DE RECURSOS LTDA</v>
          </cell>
        </row>
        <row r="22241">
          <cell r="B22241">
            <v>82671</v>
          </cell>
          <cell r="C22241" t="str">
            <v>ATICO FIFA CP</v>
          </cell>
          <cell r="D22241" t="str">
            <v>ATICO FIFA CP</v>
          </cell>
          <cell r="E22241" t="str">
            <v>WNT GESTORA DE RECURSOS LTDA</v>
          </cell>
        </row>
        <row r="22242">
          <cell r="B22242">
            <v>82671</v>
          </cell>
          <cell r="C22242" t="str">
            <v>ATICO FIFA CP</v>
          </cell>
          <cell r="D22242" t="str">
            <v>ATICO FIFA CP</v>
          </cell>
          <cell r="E22242" t="str">
            <v>WNT GESTORA DE RECURSOS LTDA</v>
          </cell>
        </row>
        <row r="22243">
          <cell r="B22243">
            <v>82672</v>
          </cell>
          <cell r="C22243" t="str">
            <v>ASTRALO FUNDO DE INVESTIMENTO FINANCEIRO EM ACOES</v>
          </cell>
          <cell r="D22243" t="str">
            <v>ASTRALO FUNDO DE INVESTIMENTO FINANCEIRO EM ACOES</v>
          </cell>
          <cell r="E22243" t="str">
            <v>WNT GESTORA DE RECURSOS LTDA</v>
          </cell>
        </row>
        <row r="22244">
          <cell r="B22244">
            <v>82672</v>
          </cell>
          <cell r="C22244" t="str">
            <v>ASTRALO FUNDO DE INVESTIMENTO FINANCEIRO EM ACOES</v>
          </cell>
          <cell r="D22244" t="str">
            <v>ASTRALO FUNDO DE INVESTIMENTO FINANCEIRO EM ACOES</v>
          </cell>
          <cell r="E22244" t="str">
            <v>WNT GESTORA DE RECURSOS LTDA</v>
          </cell>
        </row>
        <row r="22245">
          <cell r="B22245">
            <v>82673</v>
          </cell>
          <cell r="C22245" t="str">
            <v>LEGACY FIF MULT CP IE</v>
          </cell>
          <cell r="D22245" t="str">
            <v>LEGACY FIF MULT CP IE</v>
          </cell>
          <cell r="E22245" t="str">
            <v>WNT GESTORA DE RECURSOS LTDA</v>
          </cell>
        </row>
        <row r="22246">
          <cell r="B22246">
            <v>82673</v>
          </cell>
          <cell r="C22246" t="str">
            <v>LEGACY FIF MULT CP IE</v>
          </cell>
          <cell r="D22246" t="str">
            <v>LEGACY FIF MULT CP IE</v>
          </cell>
          <cell r="E22246" t="str">
            <v>WNT GESTORA DE RECURSOS LTDA</v>
          </cell>
        </row>
        <row r="22247">
          <cell r="B22247">
            <v>81976</v>
          </cell>
          <cell r="C22247" t="str">
            <v>ES INVESTIMENTOS FUNDO DE INVESTIMENTO AÃ‡Ã•ES IE</v>
          </cell>
          <cell r="D22247" t="str">
            <v>ES INVESTIMENTOS FUNDO DE INVESTIMENTO AÃ‡Ã•ES IE</v>
          </cell>
          <cell r="E22247" t="str">
            <v>PERENNE INVESTIMENTOS LTDA</v>
          </cell>
        </row>
        <row r="22248">
          <cell r="B22248">
            <v>81579</v>
          </cell>
          <cell r="C22248" t="str">
            <v>PERENNE INVESTIMENTOS LTDA</v>
          </cell>
          <cell r="D22248" t="str">
            <v>PERENNE INVESTIMENTOS LTDA</v>
          </cell>
          <cell r="E22248" t="str">
            <v>PERENNE INVESTIMENTOS LTDA</v>
          </cell>
        </row>
        <row r="22249">
          <cell r="B22249">
            <v>81579</v>
          </cell>
          <cell r="C22249" t="str">
            <v>PERENNE INVESTIMENTOS LTDA</v>
          </cell>
          <cell r="D22249" t="str">
            <v>PERENNE INVESTIMENTOS LTDA</v>
          </cell>
          <cell r="E22249" t="str">
            <v>PERENNE INVESTIMENTOS LTDA</v>
          </cell>
        </row>
        <row r="22250">
          <cell r="B22250">
            <v>81976</v>
          </cell>
          <cell r="C22250" t="str">
            <v>ES INVESTIMENTOS FUNDO DE INVESTIMENTO AÃ‡Ã•ES IE</v>
          </cell>
          <cell r="D22250" t="str">
            <v>ES INVESTIMENTOS FUNDO DE INVESTIMENTO AÃ‡Ã•ES IE</v>
          </cell>
          <cell r="E22250" t="str">
            <v>PERENNE INVESTIMENTOS LTDA</v>
          </cell>
        </row>
        <row r="22251">
          <cell r="B22251" t="str">
            <v>M33890909000111</v>
          </cell>
          <cell r="C22251" t="str">
            <v>PERENNE INVESTIMENTOS LTDA.</v>
          </cell>
          <cell r="D22251" t="str">
            <v>PERENNE INVESTIMENTOS LTDA</v>
          </cell>
          <cell r="E22251" t="str">
            <v>PERENNE INVESTIMENTOS LTDA</v>
          </cell>
        </row>
        <row r="22252">
          <cell r="B22252">
            <v>82680</v>
          </cell>
          <cell r="C22252" t="str">
            <v>ITAU ARTAX ENDURANCE FI FINANCEIRO MULT RESP LIMITADA</v>
          </cell>
          <cell r="D22252" t="str">
            <v>ITAU ARTAX ENDURANCE FI FINANCEIRO MULT RESP LIMITADA</v>
          </cell>
          <cell r="E22252" t="str">
            <v>ITAU UNIBANCO ASSET - TACO</v>
          </cell>
        </row>
        <row r="22253">
          <cell r="B22253">
            <v>82681</v>
          </cell>
          <cell r="C22253" t="str">
            <v>ITAU DUAL ADVANCED OFF PREV FIF MULT CRED PRIV RESP LIMITADA</v>
          </cell>
          <cell r="D22253" t="str">
            <v>ITAU DUAL ADVANCED OFF PREV FIF MULT CRED PRIV RESP LIMITADA</v>
          </cell>
          <cell r="E22253" t="str">
            <v>ITAU UNIBANCO ASSET - TACO</v>
          </cell>
        </row>
        <row r="22254">
          <cell r="B22254">
            <v>82682</v>
          </cell>
          <cell r="C22254" t="str">
            <v>ITAU FLEXPREV DUAL ADVANCED FIF MULT CRED PRIV RESP LIMITADA</v>
          </cell>
          <cell r="D22254" t="str">
            <v>ITAU FLEXPREV DUAL ADVANCED FIF MULT CRED PRIV RESP LIMITADA</v>
          </cell>
          <cell r="E22254" t="str">
            <v>ITAU UNIBANCO ASSET - TACO</v>
          </cell>
        </row>
        <row r="22255">
          <cell r="B22255">
            <v>82683</v>
          </cell>
          <cell r="C22255" t="str">
            <v>VERTICE CASH ENHANCED FIF MULTIMERCADO RESP LIMITADA</v>
          </cell>
          <cell r="D22255" t="str">
            <v>VERTICE CASH ENHANCED FIF MULTIMERCADO RESP LIMITADA</v>
          </cell>
          <cell r="E22255" t="str">
            <v>ITAU UNIBANCO ASSET - TACO</v>
          </cell>
        </row>
        <row r="22256">
          <cell r="B22256">
            <v>1458</v>
          </cell>
          <cell r="C22256" t="str">
            <v>BGC LIQUIDEZ DTVM LTDA</v>
          </cell>
          <cell r="D22256" t="str">
            <v>BGC LIQUIDEZ DTVM LTDA</v>
          </cell>
          <cell r="E22256" t="str">
            <v>BGC LIQUIDEZ DTVM LTDA</v>
          </cell>
        </row>
        <row r="22257">
          <cell r="B22257">
            <v>82684</v>
          </cell>
          <cell r="C22257" t="str">
            <v>B3R ACOES FIA IE</v>
          </cell>
          <cell r="D22257" t="str">
            <v>B3R ACOES FIA IE</v>
          </cell>
          <cell r="E22257" t="str">
            <v>ITAU UNIBANCO ASSET - TACO</v>
          </cell>
        </row>
        <row r="22258">
          <cell r="B22258">
            <v>82685</v>
          </cell>
          <cell r="C22258" t="str">
            <v>FDO INV IMOB RIO BRAVO RENDA EDUCACIONAL - FII</v>
          </cell>
          <cell r="D22258" t="str">
            <v>FDO INV IMOB RIO BRAVO RENDA EDUCACIONAL - FII</v>
          </cell>
          <cell r="E22258" t="str">
            <v>RIO BRAVO INVESTIMENTOS LTDA</v>
          </cell>
        </row>
        <row r="22259">
          <cell r="B22259">
            <v>82685</v>
          </cell>
          <cell r="C22259" t="str">
            <v>FDO INV IMOB RIO BRAVO RENDA EDUCACIONAL - FII</v>
          </cell>
          <cell r="D22259" t="str">
            <v>FDO INV IMOB RIO BRAVO RENDA EDUCACIONAL - FII</v>
          </cell>
          <cell r="E22259" t="str">
            <v>FDO INV IMOB RIO BRAVO RENDA EDUCACIONAL - FII</v>
          </cell>
        </row>
        <row r="22260">
          <cell r="B22260">
            <v>82686</v>
          </cell>
          <cell r="C22260" t="str">
            <v>ITAU VERTICE OMNI FIF MULTIMERCADO RESPONSABILIDADE LIMITADA</v>
          </cell>
          <cell r="D22260" t="str">
            <v>ITAU VERTICE OMNI FIF MULTIMERCADO RESPONSABILIDADE LIMITADA</v>
          </cell>
          <cell r="E22260" t="str">
            <v>ITAU UNIBANCO ASSET - TACO</v>
          </cell>
        </row>
        <row r="22261">
          <cell r="B22261">
            <v>82687</v>
          </cell>
          <cell r="C22261" t="str">
            <v>ITAU ACOES PETROBRAS II FUNDO DE INVESTIMENTO</v>
          </cell>
          <cell r="D22261" t="str">
            <v>ITAU ACOES PETROBRAS II FUNDO DE INVESTIMENTO</v>
          </cell>
          <cell r="E22261" t="str">
            <v>ITAU UNIBANCO ASSET - TACO</v>
          </cell>
        </row>
        <row r="22262">
          <cell r="B22262" t="str">
            <v>M48730767000100</v>
          </cell>
          <cell r="C22262" t="str">
            <v>BGR ASSET MANAGEMENT LTDA</v>
          </cell>
          <cell r="D22262" t="str">
            <v>BGR ASSET MANAGEMENT LTDA</v>
          </cell>
          <cell r="E22262" t="str">
            <v>BGR ASSET MANAGEMENT LTDA</v>
          </cell>
        </row>
        <row r="22263">
          <cell r="B22263">
            <v>82688</v>
          </cell>
          <cell r="C22263" t="str">
            <v>KAPITALO TARKUS INSTITUCIONAL MASTER FIA</v>
          </cell>
          <cell r="D22263" t="str">
            <v>KAPITALO TARKUS INSTITUCIONAL MASTER FIA</v>
          </cell>
          <cell r="E22263" t="str">
            <v>KAPITALO INVESTIMENTOS LTDA</v>
          </cell>
        </row>
        <row r="22264">
          <cell r="B22264">
            <v>82689</v>
          </cell>
          <cell r="C22264" t="str">
            <v>MACQUARIE BANK LIMITED - BANCO CS</v>
          </cell>
          <cell r="D22264" t="str">
            <v>MACQUARIE BANK LIMITED - BANCO CS</v>
          </cell>
          <cell r="E22264" t="str">
            <v>MACQUARIE BANK LIMITED</v>
          </cell>
        </row>
        <row r="22265">
          <cell r="B22265">
            <v>82690</v>
          </cell>
          <cell r="C22265" t="str">
            <v>PICPAY BANK BANCO MULTIPLO S.A.</v>
          </cell>
          <cell r="D22265" t="str">
            <v>PICPAY BANK BANCO MULTIPLO S.A.</v>
          </cell>
          <cell r="E22265" t="str">
            <v>PICPAY BANK BANCO MULTIPLO S/A</v>
          </cell>
        </row>
        <row r="22266">
          <cell r="B22266">
            <v>82692</v>
          </cell>
          <cell r="C22266" t="str">
            <v>INST DE PREV SOC DOS SERV PUBLICOS DO MUNIC DE AGUAS MORNAS</v>
          </cell>
          <cell r="D22266" t="str">
            <v>INST DE PREV SOC DOS SERV PUBLICOS DO MUNIC DE AGUAS MORNAS</v>
          </cell>
          <cell r="E22266" t="str">
            <v>INST DE PREV SOC DOS SERV PUBLICOS DO MUNIC DE AGUAS MORNAS</v>
          </cell>
        </row>
        <row r="22267">
          <cell r="B22267">
            <v>82692</v>
          </cell>
          <cell r="C22267" t="str">
            <v>INST DE PREV SOC DOS SERV PUBLICOS DO MUNIC DE AGUAS MORNAS</v>
          </cell>
          <cell r="D22267" t="str">
            <v>INST DE PREV SOC DOS SERV PUBLICOS DO MUNIC DE AGUAS MORNAS</v>
          </cell>
          <cell r="E22267" t="str">
            <v>INST DE PREV SOC DOS SERV PUBLICOS DO MUNIC DE AGUAS MORNAS</v>
          </cell>
        </row>
        <row r="22268">
          <cell r="B22268">
            <v>82693</v>
          </cell>
          <cell r="C22268" t="str">
            <v>BTG PACTUAL SMLL B3 FUNDO DE INDICE</v>
          </cell>
          <cell r="D22268" t="str">
            <v>BTG PACTUAL SMLL B3 FUNDO DE INDICE</v>
          </cell>
          <cell r="E22268" t="str">
            <v>BTG PACTUAL ASSET MANAGEMENT SA DTVM</v>
          </cell>
        </row>
        <row r="22269">
          <cell r="B22269">
            <v>82694</v>
          </cell>
          <cell r="C22269" t="str">
            <v>ITAU VERTICE OMNI FIF MULTIMERCADO RESPONSABILIDADE LIMITADA</v>
          </cell>
          <cell r="D22269" t="str">
            <v>ITAU VERTICE OMNI FIF MULTIMERCADO RESPONSABILIDADE LIMITADA</v>
          </cell>
          <cell r="E22269" t="str">
            <v>ITAU UNIBANCO ASSET - TACO</v>
          </cell>
        </row>
        <row r="22270">
          <cell r="B22270">
            <v>82696</v>
          </cell>
          <cell r="C22270" t="str">
            <v>NORTE LONG ONLY MASTER FUNDO DE INVESTIMENTO EM ACOES</v>
          </cell>
          <cell r="D22270" t="str">
            <v>NORTE LONG ONLY MASTER FUNDO DE INVESTIMENTO EM ACOES</v>
          </cell>
          <cell r="E22270" t="str">
            <v>NORTE ASSET MANAGEMENT GESTAO DE RECURSOS S.A.</v>
          </cell>
        </row>
        <row r="22271">
          <cell r="B22271">
            <v>82697</v>
          </cell>
          <cell r="C22271" t="str">
            <v>NORTE LONG BIAS MASTER FUNDO DE INVESTIMENTO MULTIMERCADO</v>
          </cell>
          <cell r="D22271" t="str">
            <v>NORTE LONG BIAS MASTER FUNDO DE INVESTIMENTO MULTIMERCADO</v>
          </cell>
          <cell r="E22271" t="str">
            <v>NORTE ASSET MANAGEMENT GESTAO DE RECURSOS S.A.</v>
          </cell>
        </row>
        <row r="22272">
          <cell r="B22272">
            <v>82698</v>
          </cell>
          <cell r="C22272" t="str">
            <v>NORTE INSTITUCIONAL MASTER FUNDO DE INVESTIMENTO EM ACOES</v>
          </cell>
          <cell r="D22272" t="str">
            <v>NORTE INSTITUCIONAL MASTER FUNDO DE INVESTIMENTO EM ACOES</v>
          </cell>
          <cell r="E22272" t="str">
            <v>NORTE ASSET MANAGEMENT GESTAO DE RECURSOS S.A.</v>
          </cell>
        </row>
        <row r="22273">
          <cell r="B22273">
            <v>82700</v>
          </cell>
          <cell r="C22273" t="str">
            <v>NORTE LONG BIAS MASTER FIA</v>
          </cell>
          <cell r="D22273" t="str">
            <v>NORTE LONG BIAS MASTER FIA</v>
          </cell>
          <cell r="E22273" t="str">
            <v>NORTE ASSET MANAGEMENT GESTAO DE RECURSOS S.A.</v>
          </cell>
        </row>
        <row r="22274">
          <cell r="B22274">
            <v>82701</v>
          </cell>
          <cell r="C22274" t="str">
            <v>CLASSE I DAYCOVAL ARBITRAGEM JUROS FIF CRED PRIV RL</v>
          </cell>
          <cell r="D22274" t="str">
            <v>CLASSE I DAYCOVAL ARBITRAGEM JUROS FIF CRED PRIV RL</v>
          </cell>
          <cell r="E22274" t="str">
            <v>DAYCOVAL ASSET MANAGEMENT ADMINISTRACAO DE RECURSOS LTDA</v>
          </cell>
        </row>
        <row r="22275">
          <cell r="B22275">
            <v>82701</v>
          </cell>
          <cell r="C22275" t="str">
            <v>CLASSE I DAYCOVAL ARBITRAGEM JUROS FIF CRED PRIV RL</v>
          </cell>
          <cell r="D22275" t="str">
            <v>CLASSE I DAYCOVAL ARBITRAGEM JUROS FIF CRED PRIV RL</v>
          </cell>
          <cell r="E22275" t="str">
            <v>DAYCOVAL ASSET MANAGEMENT ADMINISTRACAO DE RECURSOS LTDA</v>
          </cell>
        </row>
        <row r="22276">
          <cell r="B22276">
            <v>82702</v>
          </cell>
          <cell r="C22276" t="str">
            <v>ESTRATEGIA DAHLIA TOTAL RETURN 70 FIFE PREV FIF RL</v>
          </cell>
          <cell r="D22276" t="str">
            <v>ESTRATEGIA DAHLIA TOTAL RETURN 70 FIFE PREV FIF RL</v>
          </cell>
          <cell r="E22276" t="str">
            <v>DAHLIA CAPITAL GESTAO DE RECURSOS LTDA</v>
          </cell>
        </row>
        <row r="22277">
          <cell r="B22277" t="str">
            <v>M76621457000185</v>
          </cell>
          <cell r="D22277" t="str">
            <v>4UM DISTRIBUIDORA DE TITULOS E VALORES M</v>
          </cell>
          <cell r="E22277" t="str">
            <v>4UM GESTÃO DE RECURSOS LTDA</v>
          </cell>
        </row>
        <row r="22278">
          <cell r="B22278">
            <v>82704</v>
          </cell>
          <cell r="C22278" t="str">
            <v>SANTANDER PREV ACOES DIVIDENDOS FIF RL</v>
          </cell>
          <cell r="D22278" t="str">
            <v>SANTANDER PREV ACOES DIVIDENDOS FIF RL</v>
          </cell>
          <cell r="E22278" t="str">
            <v>SANTANDER BRASIL GESTAO DE RECURSOS LTDA</v>
          </cell>
        </row>
        <row r="22279">
          <cell r="B22279">
            <v>79885</v>
          </cell>
          <cell r="C22279" t="str">
            <v>XP MULTIESTRATEGIA FIM</v>
          </cell>
          <cell r="D22279" t="str">
            <v>XP MULTIESTRATEGIA FIM</v>
          </cell>
          <cell r="E22279" t="str">
            <v>XP MULTIESTRATEGIA FIM</v>
          </cell>
        </row>
        <row r="22280">
          <cell r="B22280">
            <v>79885</v>
          </cell>
          <cell r="C22280" t="str">
            <v>XP MULTIESTRATEGIA FIM</v>
          </cell>
          <cell r="D22280" t="str">
            <v>XP MULTIESTRATEGIA FIM</v>
          </cell>
          <cell r="E22280" t="str">
            <v>XP MULTIESTRATEGIA FIM</v>
          </cell>
        </row>
        <row r="22281">
          <cell r="B22281">
            <v>123718</v>
          </cell>
          <cell r="C22281" t="str">
            <v>XP MULTIESTRATEGIA FIM</v>
          </cell>
          <cell r="D22281" t="str">
            <v>XP MULTIESTRATEGIA FIM</v>
          </cell>
          <cell r="E22281" t="str">
            <v>XP MULTIESTRATEGIA FIM</v>
          </cell>
        </row>
        <row r="22282">
          <cell r="B22282" t="str">
            <v>M18734175000198</v>
          </cell>
          <cell r="C22282" t="str">
            <v>PEAK WEALTH ADVISORY GESTORA DE RECURSOS LTDA.</v>
          </cell>
          <cell r="D22282" t="str">
            <v>PEAK WEALTH ADVISORY GESTORA DE RECURSOS LTDA.</v>
          </cell>
          <cell r="E22282" t="str">
            <v>PEAK WEALTH ADVISORY GESTORA DE RECURSOS LTDA.</v>
          </cell>
        </row>
        <row r="22283">
          <cell r="B22283">
            <v>82708</v>
          </cell>
          <cell r="C22283" t="str">
            <v>BANCO ALFA DE INVESTIMENTO S/A</v>
          </cell>
          <cell r="D22283" t="str">
            <v>BANCO ALFA DE INVESTIMENTO S/A</v>
          </cell>
          <cell r="E22283" t="str">
            <v>BANCO ALFA DE INVESTIMENTO S/A</v>
          </cell>
        </row>
        <row r="22284">
          <cell r="B22284">
            <v>82709</v>
          </cell>
          <cell r="C22284" t="str">
            <v>ITAU FLEXPREV FUSION EAGLE FIF MULT RL</v>
          </cell>
          <cell r="D22284" t="str">
            <v>ITAU FLEXPREV FUSION EAGLE FIF MULT RL</v>
          </cell>
          <cell r="E22284" t="str">
            <v>ITAU UNIBANCO ASSET - TACO</v>
          </cell>
        </row>
        <row r="22285">
          <cell r="B22285">
            <v>82710</v>
          </cell>
          <cell r="C22285" t="str">
            <v>RAIZEN CENTRO-SUL PAULISTA S.A</v>
          </cell>
          <cell r="D22285" t="str">
            <v>RAIZEN CENTRO-SUL PAULISTA S.A</v>
          </cell>
          <cell r="E22285" t="str">
            <v>RAIZEN CENTRO SUL SA</v>
          </cell>
        </row>
        <row r="22286">
          <cell r="B22286">
            <v>82710</v>
          </cell>
          <cell r="C22286" t="str">
            <v>RAIZEN CENTRO-SUL PAULISTA S.A</v>
          </cell>
          <cell r="D22286" t="str">
            <v>RAIZEN CENTRO-SUL PAULISTA S.A</v>
          </cell>
          <cell r="E22286" t="str">
            <v>RAIZEN CENTRO SUL SA</v>
          </cell>
        </row>
        <row r="22287">
          <cell r="B22287">
            <v>82713</v>
          </cell>
          <cell r="C22287" t="str">
            <v>ITAU FLEXPREV INDEX SP500 BRL FIF MULT RL</v>
          </cell>
          <cell r="D22287" t="str">
            <v>ITAU FLEXPREV INDEX SP500 BRL FIF MULT RL</v>
          </cell>
          <cell r="E22287" t="str">
            <v>ITAU UNIBANCO ASSET - TACO</v>
          </cell>
        </row>
        <row r="22288">
          <cell r="B22288">
            <v>82717</v>
          </cell>
          <cell r="C22288" t="str">
            <v>SQUAREPOINT ATLAS TRADING LLC</v>
          </cell>
          <cell r="D22288" t="str">
            <v>SQUAREPOINT ATLAS TRADING LLC</v>
          </cell>
          <cell r="E22288" t="str">
            <v>SQUAREPOINT TRADING LLC</v>
          </cell>
        </row>
        <row r="22289">
          <cell r="B22289">
            <v>82716</v>
          </cell>
          <cell r="C22289" t="str">
            <v>SQUAREPOINT CORE TRADING LLC</v>
          </cell>
          <cell r="D22289" t="str">
            <v>SQUAREPOINT CORE TRADING LLC</v>
          </cell>
          <cell r="E22289" t="str">
            <v>SQUAREPOINT TRADING LLC</v>
          </cell>
        </row>
        <row r="22290">
          <cell r="B22290" t="str">
            <v>M42155153000158</v>
          </cell>
          <cell r="C22290" t="str">
            <v>TRANSFERO GESTORA DE RECURSOS LTDA.</v>
          </cell>
          <cell r="D22290" t="str">
            <v>TRANSFERO GESTORA DE RECURSOS LTDA.</v>
          </cell>
          <cell r="E22290" t="str">
            <v>TRANSFERO GESTORA DE RECURSOS LTDA.</v>
          </cell>
        </row>
        <row r="22291">
          <cell r="B22291">
            <v>82718</v>
          </cell>
          <cell r="C22291" t="str">
            <v>FUNDO DE APOSENTADORIA E PENSOES DE POMERODE</v>
          </cell>
          <cell r="D22291" t="str">
            <v>FUNDO DE APOSENTADORIA E PENSOES DE POMERODE</v>
          </cell>
          <cell r="E22291" t="str">
            <v>RPPS POMERODE</v>
          </cell>
        </row>
        <row r="22292">
          <cell r="B22292">
            <v>82718</v>
          </cell>
          <cell r="C22292" t="str">
            <v>FUNDO DE APOSENTADORIA E PENSOES DE POMERODE</v>
          </cell>
          <cell r="D22292" t="str">
            <v>FUNDO DE APOSENTADORIA E PENSOES DE POMERODE</v>
          </cell>
          <cell r="E22292" t="str">
            <v>RPPS POMERODE</v>
          </cell>
        </row>
        <row r="22293">
          <cell r="B22293">
            <v>82719</v>
          </cell>
          <cell r="C22293" t="str">
            <v>QUANTITAS GESTAO DE RECURSOS LTDA</v>
          </cell>
          <cell r="D22293" t="str">
            <v>QUANTITAS GESTAO DE RECURSOS LTDA</v>
          </cell>
          <cell r="E22293" t="str">
            <v>QUANTITAS GESTAO DE RECURSOS LTDA</v>
          </cell>
        </row>
        <row r="22294">
          <cell r="B22294">
            <v>12353</v>
          </cell>
          <cell r="C22294" t="str">
            <v>REAG WM GESTORA DE PATRIMÃ”NIO LTDA</v>
          </cell>
          <cell r="D22294" t="str">
            <v>REAG WM GESTORA DE PATRIMÃ”NIO LTDA</v>
          </cell>
          <cell r="E22294" t="str">
            <v>REAG ASSET MANAGEMENT LTDA</v>
          </cell>
        </row>
        <row r="22295">
          <cell r="B22295">
            <v>123717</v>
          </cell>
          <cell r="C22295" t="str">
            <v>XP TOP DIVIDENDOS FIA</v>
          </cell>
          <cell r="D22295" t="str">
            <v>XP TOP DIVIDENDOS FIA</v>
          </cell>
          <cell r="E22295" t="str">
            <v>XP TOP DIVIDENDOS FIA</v>
          </cell>
        </row>
        <row r="22296">
          <cell r="B22296" t="str">
            <v>M09512542000118</v>
          </cell>
          <cell r="E22296" t="str">
            <v>CODEPE CORRETORA DE VALORES E CAMBIO S/A</v>
          </cell>
        </row>
        <row r="22297">
          <cell r="B22297">
            <v>82722</v>
          </cell>
          <cell r="C22297" t="str">
            <v>SANTANDER PREV CORDOBA BRASIL MACRO MULT FIF RESP</v>
          </cell>
          <cell r="D22297" t="str">
            <v>SANTANDER PREV CORDOBA BRASIL MACRO MULT FIF RESP</v>
          </cell>
          <cell r="E22297" t="str">
            <v>SANTANDER BRASIL GESTAO DE RECURSOS LTDA</v>
          </cell>
        </row>
        <row r="22298">
          <cell r="B22298">
            <v>82725</v>
          </cell>
          <cell r="C22298" t="str">
            <v>INTER HEDGE FIF INCENTIVADO DE INVESTIMENTO EM INFRA RF RL</v>
          </cell>
          <cell r="D22298" t="str">
            <v>INTER HEDGE FIF INCENTIVADO DE INVESTIMENTO EM INFRA RF RL</v>
          </cell>
          <cell r="E22298" t="str">
            <v>INTER ASSET GESTAO DE RECURSOS LTDA</v>
          </cell>
        </row>
        <row r="22299">
          <cell r="B22299">
            <v>82725</v>
          </cell>
          <cell r="C22299" t="str">
            <v>INTER HEDGE FIF INCENTIVADO DE INVESTIMENTO EM INFRA RF RL</v>
          </cell>
          <cell r="D22299" t="str">
            <v>INTER HEDGE FIF INCENTIVADO DE INVESTIMENTO EM INFRA RF RL</v>
          </cell>
          <cell r="E22299" t="str">
            <v>INTER ASSET GESTAO DE RECURSOS LTDA</v>
          </cell>
        </row>
        <row r="22300">
          <cell r="B22300" t="str">
            <v>M57088175000110</v>
          </cell>
          <cell r="C22300" t="str">
            <v>FORTIS GESTORA DE RECURSOS LTDA.</v>
          </cell>
          <cell r="D22300" t="str">
            <v>FORTIS GESTORA DE RECURSOS LTDA.</v>
          </cell>
          <cell r="E22300" t="str">
            <v>FORTIS GESTORA DE RECURSOS LTDA.</v>
          </cell>
        </row>
        <row r="22301">
          <cell r="B22301">
            <v>82726</v>
          </cell>
          <cell r="C22301" t="str">
            <v>GOW CAPITAL GESTAO DE RECURSOS E CONSULTORIA LTDA</v>
          </cell>
          <cell r="D22301" t="str">
            <v>GOW CAPITAL GESTAO DE RECURSOS E CONSULTORIA LTDA</v>
          </cell>
          <cell r="E22301" t="str">
            <v>GOW CAPITAL GESTAO DE RECURSOS E CONSULTORIA LTDA</v>
          </cell>
        </row>
        <row r="22302">
          <cell r="B22302">
            <v>82727</v>
          </cell>
          <cell r="C22302" t="str">
            <v>GOW PREVIDÃŠNCIA ICATU QUALIFICADO FI RF ATIVA RL</v>
          </cell>
          <cell r="D22302" t="str">
            <v>GOW PREVIDÃŠNCIA ICATU QUALIFICADO FI RF ATIVA RL</v>
          </cell>
          <cell r="E22302" t="str">
            <v>GOW CAPITAL GESTAO DE RECURSOS E CONSULTORIA LTDA</v>
          </cell>
        </row>
        <row r="22303">
          <cell r="B22303" t="str">
            <v>M27523762867</v>
          </cell>
          <cell r="C22303" t="str">
            <v>ENIO SHINOHARA</v>
          </cell>
          <cell r="D22303" t="str">
            <v>ENIO SHINOHARA</v>
          </cell>
          <cell r="E22303" t="str">
            <v>ENIO SHINOHARA</v>
          </cell>
        </row>
        <row r="22304">
          <cell r="B22304">
            <v>82728</v>
          </cell>
          <cell r="C22304" t="str">
            <v>ITAU VERTICE OMNI FIF MULTIMERCADO RESPONSABILIDADE LIMITADA</v>
          </cell>
          <cell r="D22304" t="str">
            <v>ITAU VERTICE OMNI FIF MULTIMERCADO RESPONSABILIDADE LIMITADA</v>
          </cell>
          <cell r="E22304" t="str">
            <v>ITAU UNIBANCO ASSET - TACO</v>
          </cell>
        </row>
        <row r="22305">
          <cell r="B22305">
            <v>82729</v>
          </cell>
          <cell r="C22305" t="str">
            <v>SCHRODER INVESTMENT MANAGEMENT BRASIL LTDA</v>
          </cell>
          <cell r="D22305" t="str">
            <v>SCHRODER INVESTMENT MANAGEMENT BRASIL LTDA</v>
          </cell>
          <cell r="E22305" t="str">
            <v>SCHRODER INVESTMENT MANAGEMENT BRASIL LTDA</v>
          </cell>
        </row>
        <row r="22306">
          <cell r="B22306">
            <v>82730</v>
          </cell>
          <cell r="C22306" t="str">
            <v>ITAU PIRINEUS III FIDC DE INFRAESTRUTURA RESPONSABILIDADE</v>
          </cell>
          <cell r="D22306" t="str">
            <v>ITAU PIRINEUS III FIDC DE INFRAESTRUTURA RESPONSABILIDADE</v>
          </cell>
          <cell r="E22306" t="str">
            <v>ITAU UNIBANCO ASSET - TACO</v>
          </cell>
        </row>
        <row r="22307">
          <cell r="B22307">
            <v>82731</v>
          </cell>
          <cell r="C22307" t="str">
            <v>ITAU VERTICE OMNI FIF MULTIMERCADO RESPONSABILIDADE LIMITADA</v>
          </cell>
          <cell r="D22307" t="str">
            <v>ITAU VERTICE OMNI FIF MULTIMERCADO RESPONSABILIDADE LIMITADA</v>
          </cell>
          <cell r="E22307" t="str">
            <v>ITAU UNIBANCO ASSET - TACO</v>
          </cell>
        </row>
        <row r="22308">
          <cell r="B22308">
            <v>82732</v>
          </cell>
          <cell r="C22308" t="str">
            <v>ITAU VERTICE OMNI FIF MULTIMERCADO RESPONSABILIDADE LIMITADA</v>
          </cell>
          <cell r="D22308" t="str">
            <v>ITAU VERTICE OMNI FIF MULTIMERCADO RESPONSABILIDADE LIMITADA</v>
          </cell>
          <cell r="E22308" t="str">
            <v>ITAU UNIBANCO ASSET - TACO</v>
          </cell>
        </row>
        <row r="22309">
          <cell r="B22309">
            <v>82733</v>
          </cell>
          <cell r="C22309" t="str">
            <v>ITAU VERTICE OMNI FIF MULTIMERCADO RESPONSABILIDADE LIMITADA</v>
          </cell>
          <cell r="D22309" t="str">
            <v>ITAU VERTICE OMNI FIF MULTIMERCADO RESPONSABILIDADE LIMITADA</v>
          </cell>
          <cell r="E22309" t="str">
            <v>ITAU UNIBANCO ASSET - TACO</v>
          </cell>
        </row>
        <row r="22310">
          <cell r="B22310">
            <v>82734</v>
          </cell>
          <cell r="C22310" t="str">
            <v>SKOPOS ASSET ALLOCATION PREVIDÃŠNCIA FIFE FIM RL</v>
          </cell>
          <cell r="D22310" t="str">
            <v>SKOPOS ASSET ALLOCATION PREVIDÃŠNCIA FIFE FIM RL</v>
          </cell>
          <cell r="E22310" t="str">
            <v>SKOPOS INVESTIMENTOS LTDA</v>
          </cell>
        </row>
        <row r="22311">
          <cell r="B22311">
            <v>82734</v>
          </cell>
          <cell r="C22311" t="str">
            <v>SKOPOS ASSET ALLOCATION PREVIDÃŠNCIA FIFE FIM RL</v>
          </cell>
          <cell r="D22311" t="str">
            <v>SKOPOS ASSET ALLOCATION PREVIDÃŠNCIA FIFE FIM RL</v>
          </cell>
          <cell r="E22311" t="str">
            <v>SKOPOS INVESTIMENTOS LTDA</v>
          </cell>
        </row>
        <row r="22312">
          <cell r="B22312">
            <v>82735</v>
          </cell>
          <cell r="C22312" t="str">
            <v>ITAU VERTICE OMNI FIF MULTIMERCADO RESPONSABILIDADE LIMITADA</v>
          </cell>
          <cell r="D22312" t="str">
            <v>ITAU VERTICE OMNI FIF MULTIMERCADO RESPONSABILIDADE LIMITADA</v>
          </cell>
          <cell r="E22312" t="str">
            <v>ITAU UNIBANCO ASSET - TACO</v>
          </cell>
        </row>
        <row r="22313">
          <cell r="B22313">
            <v>82736</v>
          </cell>
          <cell r="C22313" t="str">
            <v>ITAU VERTICE OMNI FIF MULTIMERCADO RESPONSABILIDADE LIMITADA</v>
          </cell>
          <cell r="D22313" t="str">
            <v>ITAU VERTICE OMNI FIF MULTIMERCADO RESPONSABILIDADE LIMITADA</v>
          </cell>
          <cell r="E22313" t="str">
            <v>ITAU UNIBANCO ASSET - TACO</v>
          </cell>
        </row>
        <row r="22314">
          <cell r="B22314">
            <v>82737</v>
          </cell>
          <cell r="C22314" t="str">
            <v>ITAU VERTICE OMNI FIF MULTIMERCADO RESPONSABILIDADE LIMITADA</v>
          </cell>
          <cell r="D22314" t="str">
            <v>ITAU VERTICE OMNI FIF MULTIMERCADO RESPONSABILIDADE LIMITADA</v>
          </cell>
          <cell r="E22314" t="str">
            <v>ITAU UNIBANCO ASSET - TACO</v>
          </cell>
        </row>
        <row r="22315">
          <cell r="B22315">
            <v>82738</v>
          </cell>
          <cell r="C22315" t="str">
            <v>IT NOW SP IMAB FUNDO DE INDICE RESP LIMITADA</v>
          </cell>
          <cell r="D22315" t="str">
            <v>IT NOW SP IMAB FUNDO DE INDICE RESP LIMITADA</v>
          </cell>
          <cell r="E22315" t="str">
            <v>ITAU UNIBANCO ASSET - TACO</v>
          </cell>
        </row>
        <row r="22316">
          <cell r="B22316">
            <v>82739</v>
          </cell>
          <cell r="C22316" t="str">
            <v>ITAU VERTICE OMNI FIF MULTIMERCADO RESPONSABILIDADE LIMITADA</v>
          </cell>
          <cell r="D22316" t="str">
            <v>ITAU VERTICE OMNI FIF MULTIMERCADO RESPONSABILIDADE LIMITADA</v>
          </cell>
          <cell r="E22316" t="str">
            <v>ITAU UNIBANCO ASSET - TACO</v>
          </cell>
        </row>
        <row r="22317">
          <cell r="B22317" t="str">
            <v>M38319771000119</v>
          </cell>
          <cell r="C22317" t="str">
            <v>SPERSS CAPITAL PARTNERS LTDA.</v>
          </cell>
          <cell r="D22317" t="str">
            <v>SPERSS CAPITAL PARTNERS LTDA.</v>
          </cell>
          <cell r="E22317" t="str">
            <v>SPERSS CAPITAL PARTNERS LTDA.</v>
          </cell>
        </row>
        <row r="22318">
          <cell r="B22318" t="str">
            <v>M15575770000130</v>
          </cell>
          <cell r="C22318" t="str">
            <v>ALPHA CAPITAL PARTNERS GESTAO DE INVESTIMENTOS S.A</v>
          </cell>
          <cell r="D22318" t="str">
            <v>ALPHA CAPITAL PARTNERS GESTAO DE INVESTIMENTOS S.A</v>
          </cell>
          <cell r="E22318" t="str">
            <v>ALPHA CAPITAL PARTNERS GESTAO DE INVESTIMENTOS S.A</v>
          </cell>
        </row>
        <row r="22319">
          <cell r="B22319">
            <v>82740</v>
          </cell>
          <cell r="C22319" t="str">
            <v>ZERO CINCO UM CAPITAL GESTAO DE RECURSOS LTDA</v>
          </cell>
          <cell r="D22319" t="str">
            <v>ZERO CINCO UM CAPITAL GESTAO DE RECURSOS LTDA</v>
          </cell>
          <cell r="E22319" t="str">
            <v>ZERO CINCO UM CAPITAL GESTAO DE RECURSOS LTDA</v>
          </cell>
        </row>
        <row r="22320">
          <cell r="B22320" t="str">
            <v>M20216301000164</v>
          </cell>
          <cell r="C22320" t="str">
            <v>FUNDO DE INVESTIMENTO MULTIMERCADO CRÃ‰DITO PRIVADO CH PREV</v>
          </cell>
          <cell r="D22320" t="str">
            <v>CH PREV FI FINANCEIRO - CI MULT CRED PRIV - RESP LIMITADA</v>
          </cell>
          <cell r="E22320" t="str">
            <v>BANCO BRADESCO S/A</v>
          </cell>
        </row>
        <row r="22321">
          <cell r="B22321">
            <v>82741</v>
          </cell>
          <cell r="C22321" t="str">
            <v>VIVERT FIF ACOES RL</v>
          </cell>
          <cell r="D22321" t="str">
            <v>VIVERT FIF ACOES RL</v>
          </cell>
          <cell r="E22321" t="str">
            <v>ZERO CINCO UM CAPITAL GESTAO DE RECURSOS LTDA</v>
          </cell>
        </row>
        <row r="22322">
          <cell r="B22322" t="str">
            <v>M57369679000108</v>
          </cell>
          <cell r="C22322" t="str">
            <v>VALORA RENDA FIXA ESTRUTURADOS LTDA.</v>
          </cell>
          <cell r="D22322" t="str">
            <v>VALORA RENDA FIXA ESTRUTURADOS LTDA.</v>
          </cell>
          <cell r="E22322" t="str">
            <v>VALORA GESTÃO DE INVESTIMENTOS LTDA</v>
          </cell>
        </row>
        <row r="22323">
          <cell r="B22323" t="str">
            <v>M00695304917</v>
          </cell>
          <cell r="C22323" t="str">
            <v>ANDERSON PATRICK ALVES PEREIRA</v>
          </cell>
          <cell r="D22323" t="str">
            <v>ANDERSON PATRICK ALVES PEREIRA</v>
          </cell>
          <cell r="E22323" t="str">
            <v>ANDERSON PATRICK ALVES PEREIRA</v>
          </cell>
        </row>
        <row r="22324">
          <cell r="B22324">
            <v>82746</v>
          </cell>
          <cell r="C22324" t="str">
            <v>BTG PACTUAL SYNERGY EQUITY HEDGE FIF MULTI</v>
          </cell>
          <cell r="D22324" t="str">
            <v>BTG PACTUAL SYNERGY EQUITY HEDGE FIF MULTI</v>
          </cell>
          <cell r="E22324" t="str">
            <v>BTG PACTUAL ASSET MANAGEMENT SA DTVM</v>
          </cell>
        </row>
        <row r="22325">
          <cell r="B22325">
            <v>82747</v>
          </cell>
          <cell r="C22325" t="str">
            <v>BTG PACTUAL SYNERGY LONG BIAS FIFA</v>
          </cell>
          <cell r="D22325" t="str">
            <v>BTG PACTUAL SYNERGY LONG BIAS FIFA</v>
          </cell>
          <cell r="E22325" t="str">
            <v>BTG PACTUAL ASSET MANAGEMENT SA DTVM</v>
          </cell>
        </row>
        <row r="22326">
          <cell r="B22326">
            <v>82749</v>
          </cell>
          <cell r="C22326" t="str">
            <v>PORTO SEGURO PREV PRIVADA ARROJADO FIF CIC MULT RESP LTDA</v>
          </cell>
          <cell r="D22326" t="str">
            <v>PORTO SEGURO PREV PRIVADA ARROJADO FIF CIC MULT RESP LTDA</v>
          </cell>
          <cell r="E22326" t="str">
            <v>PORTO SEGURO INVESTIMENTOS LTDA</v>
          </cell>
        </row>
        <row r="22327">
          <cell r="B22327">
            <v>82750</v>
          </cell>
          <cell r="C22327" t="str">
            <v>PORTO SEGURO PREV CONSERVADOR FIF CIC MULT RESP LTDA</v>
          </cell>
          <cell r="D22327" t="str">
            <v>PORTO SEGURO PREV CONSERVADOR FIF CIC MULT RESP LTDA</v>
          </cell>
          <cell r="E22327" t="str">
            <v>PORTO SEGURO INVESTIMENTOS LTDA</v>
          </cell>
        </row>
        <row r="22328">
          <cell r="B22328">
            <v>82751</v>
          </cell>
          <cell r="C22328" t="str">
            <v>PORTO SEGURO PREV PRIVADA MODERADO FIF CIC RESP LTDA</v>
          </cell>
          <cell r="D22328" t="str">
            <v>PORTO SEGURO PREV PRIVADA MODERADO FIF CIC RESP LTDA</v>
          </cell>
          <cell r="E22328" t="str">
            <v>PORTO SEGURO INVESTIMENTOS LTDA</v>
          </cell>
        </row>
        <row r="22329">
          <cell r="B22329">
            <v>82752</v>
          </cell>
          <cell r="C22329" t="str">
            <v>TRUXT LONG SHORT MASTER FIF EM ACOES RL</v>
          </cell>
          <cell r="D22329" t="str">
            <v>TRUXT LONG SHORT MASTER FIF EM ACOES RL</v>
          </cell>
          <cell r="E22329" t="str">
            <v>TRUXT INVESTIMENTOS LTDA</v>
          </cell>
        </row>
        <row r="22330">
          <cell r="B22330">
            <v>82754</v>
          </cell>
          <cell r="C22330" t="str">
            <v>ARIZONA FUNDO DE INVESTIMENTO EM ACOES</v>
          </cell>
          <cell r="D22330" t="str">
            <v>ARIZONA FUNDO DE INVESTIMENTO EM ACOES</v>
          </cell>
          <cell r="E22330" t="str">
            <v>ARIZONA FUNDO DE INVESTIMENTO EM ACOES</v>
          </cell>
        </row>
        <row r="22331">
          <cell r="B22331">
            <v>82754</v>
          </cell>
          <cell r="C22331" t="str">
            <v>ARIZONA FUNDO DE INVESTIMENTO EM ACOES</v>
          </cell>
          <cell r="D22331" t="str">
            <v>ARIZONA FUNDO DE INVESTIMENTO EM ACOES</v>
          </cell>
          <cell r="E22331" t="str">
            <v>ARIZONA FUNDO DE INVESTIMENTO EM ACOES</v>
          </cell>
        </row>
        <row r="22332">
          <cell r="B22332">
            <v>82755</v>
          </cell>
          <cell r="C22332" t="str">
            <v>ITAU MM INDEX SP500 FIF RL</v>
          </cell>
          <cell r="D22332" t="str">
            <v>ITAU MM INDEX SP500 FIF RL</v>
          </cell>
          <cell r="E22332" t="str">
            <v>ITAU UNIBANCO ASSET - TACO</v>
          </cell>
        </row>
        <row r="22333">
          <cell r="B22333">
            <v>82755</v>
          </cell>
          <cell r="C22333" t="str">
            <v>ITAU MM INDEX SP500 FIF RL</v>
          </cell>
          <cell r="D22333" t="str">
            <v>ITAU MM INDEX SP500 FIF RL</v>
          </cell>
          <cell r="E22333" t="str">
            <v>ITAU UNIBANCO ASSET - TACO</v>
          </cell>
        </row>
        <row r="22334">
          <cell r="B22334">
            <v>82758</v>
          </cell>
          <cell r="C22334" t="str">
            <v>MERITO DESENVOLVIMENTO IMOBILIARIO I FII</v>
          </cell>
          <cell r="D22334" t="str">
            <v>MERITO DESENVOLVIMENTO IMOBILIARIO I FII</v>
          </cell>
          <cell r="E22334" t="str">
            <v>MERITO INVESTIMENTOS S.A.</v>
          </cell>
        </row>
        <row r="22335">
          <cell r="B22335">
            <v>82760</v>
          </cell>
          <cell r="C22335" t="str">
            <v>CHAMPION FIM CREDITO PRIVADO INVESTIMENTO NO EXTERIOR</v>
          </cell>
          <cell r="D22335" t="str">
            <v>CHAMPION FIM CREDITO PRIVADO INVESTIMENTO NO EXTERIOR</v>
          </cell>
          <cell r="E22335" t="str">
            <v>TRACK CAPITAL GESTAO DE RECURSOS LTDA</v>
          </cell>
        </row>
        <row r="22336">
          <cell r="B22336">
            <v>82760</v>
          </cell>
          <cell r="C22336" t="str">
            <v>CHAMPION FIM CREDITO PRIVADO INVESTIMENTO NO EXTERIOR</v>
          </cell>
          <cell r="D22336" t="str">
            <v>CHAMPION FIM CREDITO PRIVADO INVESTIMENTO NO EXTERIOR</v>
          </cell>
          <cell r="E22336" t="str">
            <v>TRACK CAPITAL GESTAO DE RECURSOS LTDA</v>
          </cell>
        </row>
        <row r="22337">
          <cell r="B22337">
            <v>82761</v>
          </cell>
          <cell r="C22337" t="str">
            <v>HARPIA EAGLE FUNDO DE INVESTIMENTO FINANCEIRO MULTIMERCADO</v>
          </cell>
          <cell r="D22337" t="str">
            <v>HARPIA EAGLE FUNDO DE INVESTIMENTO FINANCEIRO MULTIMERCADO</v>
          </cell>
          <cell r="E22337" t="str">
            <v>TRACK CAPITAL GESTAO DE RECURSOS LTDA</v>
          </cell>
        </row>
        <row r="22338">
          <cell r="B22338">
            <v>82761</v>
          </cell>
          <cell r="C22338" t="str">
            <v>HARPIA EAGLE FUNDO DE INVESTIMENTO FINANCEIRO MULTIMERCADO</v>
          </cell>
          <cell r="D22338" t="str">
            <v>HARPIA EAGLE FUNDO DE INVESTIMENTO FINANCEIRO MULTIMERCADO</v>
          </cell>
          <cell r="E22338" t="str">
            <v>TRACK CAPITAL GESTAO DE RECURSOS LTDA</v>
          </cell>
        </row>
        <row r="22339">
          <cell r="B22339">
            <v>82762</v>
          </cell>
          <cell r="C22339" t="str">
            <v>NAVIGATOR PREVIDENCIA FUNDO DE INVESTIMENTO MULTIMERCADO</v>
          </cell>
          <cell r="D22339" t="str">
            <v>NAVIGATOR PREVIDENCIA FUNDO DE INVESTIMENTO MULTIMERCADO</v>
          </cell>
          <cell r="E22339" t="str">
            <v>TRACK CAPITAL GESTAO DE RECURSOS LTDA</v>
          </cell>
        </row>
        <row r="22340">
          <cell r="B22340">
            <v>82762</v>
          </cell>
          <cell r="C22340" t="str">
            <v>NAVIGATOR PREVIDENCIA FUNDO DE INVESTIMENTO MULTIMERCADO</v>
          </cell>
          <cell r="D22340" t="str">
            <v>NAVIGATOR PREVIDENCIA FUNDO DE INVESTIMENTO MULTIMERCADO</v>
          </cell>
          <cell r="E22340" t="str">
            <v>TRACK CAPITAL GESTAO DE RECURSOS LTDA</v>
          </cell>
        </row>
        <row r="22341">
          <cell r="B22341">
            <v>82763</v>
          </cell>
          <cell r="C22341" t="str">
            <v>MERITO INVESTIMENTOS S.A.</v>
          </cell>
          <cell r="D22341" t="str">
            <v>MERITO INVESTIMENTOS S.A.</v>
          </cell>
          <cell r="E22341" t="str">
            <v>MERITO INVESTIMENTOS S.A.</v>
          </cell>
        </row>
        <row r="22342">
          <cell r="B22342">
            <v>82766</v>
          </cell>
          <cell r="C22342" t="str">
            <v>STUKA FII FUNDO DE INVESTIMENTO IMOBILIARIO RL</v>
          </cell>
          <cell r="D22342" t="str">
            <v>STUKA FII FUNDO DE INVESTIMENTO IMOBILIARIO RL</v>
          </cell>
          <cell r="E22342" t="str">
            <v>MERITO INVESTIMENTOS S.A.</v>
          </cell>
        </row>
        <row r="22343">
          <cell r="B22343" t="str">
            <v>M60851271383</v>
          </cell>
          <cell r="C22343" t="str">
            <v>CELSO ANTONIO PAÃ‰ BECKMAN</v>
          </cell>
          <cell r="D22343" t="str">
            <v>CELSO ANTONIO PAÃ‰ BECKMAN</v>
          </cell>
          <cell r="E22343" t="str">
            <v>CELSO ANTONIO PAÃ‰ BECKMAN</v>
          </cell>
        </row>
        <row r="22344">
          <cell r="B22344" t="str">
            <v>M54112373000183</v>
          </cell>
          <cell r="C22344" t="str">
            <v>NUMBER ASSET BRASIL LTDA.</v>
          </cell>
          <cell r="D22344" t="str">
            <v>NUMBER ASSET BRASIL LTDA.</v>
          </cell>
          <cell r="E22344" t="str">
            <v>NUMBER ASSET BRASIL LTDA.</v>
          </cell>
        </row>
        <row r="22345">
          <cell r="B22345" t="str">
            <v>M53184854000131</v>
          </cell>
          <cell r="C22345" t="str">
            <v>PRISMA PRIVATE EQUITY LTDA.</v>
          </cell>
          <cell r="D22345" t="str">
            <v>PRISMA PRIVATE EQUITY LTDA.</v>
          </cell>
          <cell r="E22345" t="str">
            <v>PRISMA PRIVATE EQUITY LTDA.</v>
          </cell>
        </row>
        <row r="22346">
          <cell r="B22346" t="str">
            <v>M52213100000108</v>
          </cell>
          <cell r="C22346" t="str">
            <v>EXA CAPITAL ASSET LTDA.</v>
          </cell>
          <cell r="D22346" t="str">
            <v>EXA CAPITAL ASSET LTDA.</v>
          </cell>
          <cell r="E22346" t="str">
            <v>EXA CAPITAL ASSET LTDA.</v>
          </cell>
        </row>
        <row r="22347">
          <cell r="B22347">
            <v>82768</v>
          </cell>
          <cell r="C22347" t="str">
            <v>JP MORGAN SECURITIES PLC</v>
          </cell>
          <cell r="D22347" t="str">
            <v>JP MORGAN SECURITIES PLC</v>
          </cell>
          <cell r="E22347" t="str">
            <v>BANCO JP MORGAN S/A</v>
          </cell>
        </row>
        <row r="22348">
          <cell r="B22348" t="str">
            <v>M51014223000149</v>
          </cell>
          <cell r="D22348" t="str">
            <v>SANTANDER CCVM S.A.</v>
          </cell>
          <cell r="E22348" t="str">
            <v>SANTANDER S/A CCT</v>
          </cell>
        </row>
        <row r="22349">
          <cell r="B22349" t="str">
            <v>M4545789100148</v>
          </cell>
          <cell r="E22349" t="str">
            <v>LEV DISTRIBUIDORA DE TITULOS E VALORES MOBILIARIOS LTDA</v>
          </cell>
        </row>
        <row r="22350">
          <cell r="B22350">
            <v>82770</v>
          </cell>
          <cell r="C22350" t="str">
            <v>ITAU VISION ALOCACAO EXTERIOR OFF PREV FIF MULT RL</v>
          </cell>
          <cell r="D22350" t="str">
            <v>ITAU VISION ALOCACAO EXTERIOR OFF PREV FIF MULT RL</v>
          </cell>
          <cell r="E22350" t="str">
            <v>ITAU UNIBANCO ASSET - TACO</v>
          </cell>
        </row>
        <row r="22351">
          <cell r="B22351">
            <v>82771</v>
          </cell>
          <cell r="C22351" t="str">
            <v>ITAU ACOES GLOBAIS HEDGED FIF EM ACOES RL</v>
          </cell>
          <cell r="D22351" t="str">
            <v>ITAU ACOES GLOBAIS HEDGED FIF EM ACOES RL</v>
          </cell>
          <cell r="E22351" t="str">
            <v>ITAU UNIBANCO ASSET - TACO</v>
          </cell>
        </row>
        <row r="22352">
          <cell r="B22352">
            <v>82773</v>
          </cell>
          <cell r="C22352" t="str">
            <v>INSTITUTO DE PREVIDENCIA MUNICIPAL DE PONTALINDA</v>
          </cell>
          <cell r="D22352" t="str">
            <v>INSTITUTO DE PREVIDENCIA MUNICIPAL DE PONTALINDA</v>
          </cell>
          <cell r="E22352" t="str">
            <v>INSTITUTO DE PREVIDENCIA MUNICIPAL DE PONTALINDA</v>
          </cell>
        </row>
        <row r="22353">
          <cell r="B22353">
            <v>82773</v>
          </cell>
          <cell r="C22353" t="str">
            <v>INSTITUTO DE PREVIDENCIA MUNICIPAL DE PONTALINDA</v>
          </cell>
          <cell r="D22353" t="str">
            <v>INSTITUTO DE PREVIDENCIA MUNICIPAL DE PONTALINDA</v>
          </cell>
          <cell r="E22353" t="str">
            <v>INSTITUTO DE PREVIDENCIA MUNICIPAL DE PONTALINDA</v>
          </cell>
        </row>
        <row r="22354">
          <cell r="B22354" t="str">
            <v>M05448443000163</v>
          </cell>
          <cell r="D22354" t="str">
            <v>INST DE PREV DOS SERVIDORES MUNICIPAIS DE SAO VICENTE</v>
          </cell>
        </row>
        <row r="22355">
          <cell r="B22355">
            <v>82774</v>
          </cell>
          <cell r="C22355" t="str">
            <v>ITAU UNIBANCO S.A.</v>
          </cell>
          <cell r="D22355" t="str">
            <v>ITAU UNIBANCO S.A.</v>
          </cell>
          <cell r="E22355" t="str">
            <v>ITAU UNIBANCO S/A</v>
          </cell>
        </row>
        <row r="22356">
          <cell r="B22356">
            <v>82774</v>
          </cell>
          <cell r="C22356" t="str">
            <v>ITAU UNIBANCO S.A.</v>
          </cell>
          <cell r="D22356" t="str">
            <v>ITAU UNIBANCO S.A.</v>
          </cell>
          <cell r="E22356" t="str">
            <v>ITAU UNIBANCO S/A</v>
          </cell>
        </row>
        <row r="22357">
          <cell r="B22357">
            <v>82775</v>
          </cell>
          <cell r="C22357" t="str">
            <v>ITAU UNIBANCO S.A.</v>
          </cell>
          <cell r="D22357" t="str">
            <v>ITAU UNIBANCO S.A.</v>
          </cell>
          <cell r="E22357" t="str">
            <v>ITAU UNIBANCO S/A</v>
          </cell>
        </row>
        <row r="22358">
          <cell r="B22358">
            <v>82776</v>
          </cell>
          <cell r="C22358" t="str">
            <v>FUNDO DE PREVIDÃŠNCIA DOS SERVIDORES DE SALGUEIRO</v>
          </cell>
          <cell r="D22358" t="str">
            <v>FUNDO DE PREVIDÃŠNCIA DOS SERVIDORES DE SALGUEIRO</v>
          </cell>
          <cell r="E22358" t="str">
            <v>FUNDO DE PREVIDÃŠNCIA DOS SERVIDORES DE SALGUEIRO</v>
          </cell>
        </row>
        <row r="22359">
          <cell r="B22359">
            <v>82776</v>
          </cell>
          <cell r="C22359" t="str">
            <v>FUNDO DE PREVIDÃŠNCIA DOS SERVIDORES DE SALGUEIRO</v>
          </cell>
          <cell r="D22359" t="str">
            <v>FUNDO DE PREVIDÃŠNCIA DOS SERVIDORES DE SALGUEIRO</v>
          </cell>
          <cell r="E22359" t="str">
            <v>FUNDO DE PREVIDÃŠNCIA DOS SERVIDORES DE SALGUEIRO</v>
          </cell>
        </row>
        <row r="22360">
          <cell r="B22360" t="str">
            <v>M04533821000144</v>
          </cell>
          <cell r="D22360" t="str">
            <v>FUNDO DE APOSENTADORIA E PENSOES - POMERODE</v>
          </cell>
          <cell r="E22360" t="str">
            <v>RPPS POMERODE</v>
          </cell>
        </row>
        <row r="22361">
          <cell r="B22361" t="str">
            <v>M01705182000169</v>
          </cell>
          <cell r="C22361" t="str">
            <v>INSTITUTO MUNICIPAL DE PREVIDENCIA SOCIAL DE SIDROLANDI</v>
          </cell>
          <cell r="D22361" t="str">
            <v>Instituto Municipal de PrevidÃªncia Social de SidrolÃ¢ndia/MS</v>
          </cell>
          <cell r="E22361" t="str">
            <v>INSTITUTO MUNICIPAL DE PREVIDENCIA SOCIAL DE SIDROLANDI</v>
          </cell>
        </row>
        <row r="22362">
          <cell r="B22362" t="str">
            <v>M56029052000145</v>
          </cell>
          <cell r="D22362" t="str">
            <v>RIZA GESTORA DE RECURSOS LTDA.</v>
          </cell>
          <cell r="E22362" t="str">
            <v>RIZA GESTORA DE RECURSOS LTDA</v>
          </cell>
        </row>
        <row r="22363">
          <cell r="B22363" t="str">
            <v>M04286331000190</v>
          </cell>
          <cell r="C22363" t="str">
            <v>INSTITUTO DE PREVIDENCIA DOS SERVIDORES DO MUNICIPIO DE DIVI</v>
          </cell>
          <cell r="D22363" t="str">
            <v>INSTITUTO DE PREVIDENCIA DOS SERVIDORES DO MUNICIPIO DE DIVINOPOLIS</v>
          </cell>
          <cell r="E22363" t="str">
            <v>INSTITUTO DE PREVIDENCIA DOS SERVIDORES DO MUNICIPIO DE DIVI</v>
          </cell>
        </row>
        <row r="22364">
          <cell r="B22364" t="str">
            <v>M02866602000151</v>
          </cell>
          <cell r="D22364" t="str">
            <v>SUL AMERICA SERVICOS DE SAUDE S.A</v>
          </cell>
        </row>
        <row r="22365">
          <cell r="B22365" t="str">
            <v>M62178421000164</v>
          </cell>
          <cell r="D22365" t="str">
            <v>ALFA CCVM S/A</v>
          </cell>
        </row>
        <row r="22366">
          <cell r="B22366">
            <v>80050</v>
          </cell>
          <cell r="C22366" t="str">
            <v>IBIUNA LOCAL FIM</v>
          </cell>
          <cell r="D22366" t="str">
            <v>IBIUNA LOCAL FIM</v>
          </cell>
          <cell r="E22366" t="str">
            <v>IBIUNA GESTAO DE RECURSOS LTDA</v>
          </cell>
        </row>
        <row r="22367">
          <cell r="B22367" t="str">
            <v>M03752747000194</v>
          </cell>
          <cell r="D22367" t="str">
            <v>INST PREV SOC DOS SERV PUB DO MUNI DE STO AMARO IMPERATRIZ</v>
          </cell>
        </row>
        <row r="22368">
          <cell r="B22368" t="str">
            <v>M55230916000120</v>
          </cell>
          <cell r="D22368" t="str">
            <v>INTESA SANPAOLO BRASIL S/A - BANCO MULTIPLO</v>
          </cell>
        </row>
        <row r="22369">
          <cell r="B22369" t="str">
            <v>M48307673000115</v>
          </cell>
          <cell r="D22369" t="str">
            <v>PLANO DE BENEFICIOS LUNELLIPREV</v>
          </cell>
        </row>
        <row r="22370">
          <cell r="B22370">
            <v>82777</v>
          </cell>
          <cell r="C22370" t="str">
            <v>ITAU VERTICE PREV VAL FIF MULT RL</v>
          </cell>
          <cell r="D22370" t="str">
            <v>ITAU VERTICE PREV VAL FIF MULT RL</v>
          </cell>
          <cell r="E22370" t="str">
            <v>ITAU UNIBANCO ASSET - TACO</v>
          </cell>
        </row>
        <row r="22371">
          <cell r="B22371" t="str">
            <v>M34271171000177</v>
          </cell>
          <cell r="D22371" t="str">
            <v>ANBIMA - ASSOCIACAO BRASILEIRA DAS ENTID</v>
          </cell>
        </row>
        <row r="22372">
          <cell r="B22372" t="str">
            <v>M09516419000175</v>
          </cell>
          <cell r="E22372" t="str">
            <v>PICPAY BANK BANCO MULTIPLO S/A</v>
          </cell>
        </row>
        <row r="22373">
          <cell r="B22373" t="str">
            <v>M49223404000133</v>
          </cell>
          <cell r="C22373" t="str">
            <v>IBIUNA PREVIDÃŠNCIA GESTÃƒO DE RECURSOS LTDA.</v>
          </cell>
          <cell r="D22373" t="str">
            <v>IBIUNA PREVIDÃŠNCIA GESTÃƒO DE RECURSOS LTDA.</v>
          </cell>
          <cell r="E22373" t="str">
            <v>IBIUNA GESTAO DE RECURSOS LTDA</v>
          </cell>
        </row>
        <row r="22374">
          <cell r="B22374" t="str">
            <v>M65711285000114</v>
          </cell>
          <cell r="C22374" t="str">
            <v>INSTITUTO DE PREVIDENCIA MUNICIPAL IPREM - FERNANDOPOLIS</v>
          </cell>
          <cell r="D22374" t="str">
            <v>INSTITUTO DE PREVIDENCIA MUNICIPAL IPREM - FERNANDOPOLIS</v>
          </cell>
          <cell r="E22374" t="str">
            <v>INSTITUTO DE PREVIDENCIA MUNICIPAL IPREM - FERNANDOPOLIS</v>
          </cell>
        </row>
        <row r="22375">
          <cell r="B22375" t="str">
            <v>M03405084000131</v>
          </cell>
          <cell r="D22375" t="str">
            <v>INSTITUTO DE PREVIDENCIA DOS SERVIDORES DO MUNICIPIO DE CASIMIRO DE ABREU</v>
          </cell>
        </row>
        <row r="22376">
          <cell r="B22376">
            <v>82780</v>
          </cell>
          <cell r="C22376" t="str">
            <v>FUNDACAO DE SEGURIDADE SOCIAL BRASLIGHT</v>
          </cell>
          <cell r="D22376" t="str">
            <v>FUNDACAO DE SEGURIDADE SOCIAL BRASLIGHT</v>
          </cell>
          <cell r="E22376" t="str">
            <v>FUNDACAO DE SEGURIDADE SOCIAL BRASLIGHT</v>
          </cell>
        </row>
        <row r="22377">
          <cell r="B22377">
            <v>82783</v>
          </cell>
          <cell r="C22377" t="str">
            <v>PLANO DE BENEFICIOS AB</v>
          </cell>
          <cell r="D22377" t="str">
            <v>PLANO DE BENEFICIOS AB</v>
          </cell>
          <cell r="E22377" t="str">
            <v>FUNDACAO DE SEGURIDADE SOCIAL BRASLIGHT</v>
          </cell>
        </row>
        <row r="22378">
          <cell r="B22378">
            <v>82784</v>
          </cell>
          <cell r="C22378" t="str">
            <v>PLANO DE BENEFICIOS C</v>
          </cell>
          <cell r="D22378" t="str">
            <v>PLANO DE BENEFICIOS C</v>
          </cell>
          <cell r="E22378" t="str">
            <v>FUNDACAO DE SEGURIDADE SOCIAL BRASLIGHT</v>
          </cell>
        </row>
        <row r="22379">
          <cell r="B22379">
            <v>82785</v>
          </cell>
          <cell r="C22379" t="str">
            <v>PLANO DE BENEFICIOS C</v>
          </cell>
          <cell r="D22379" t="str">
            <v>PLANO DE BENEFICIOS C</v>
          </cell>
          <cell r="E22379" t="str">
            <v>FUNDACAO DE SEGURIDADE SOCIAL BRASLIGHT</v>
          </cell>
        </row>
        <row r="22380">
          <cell r="B22380">
            <v>82786</v>
          </cell>
          <cell r="C22380" t="str">
            <v>PLANO D DE BENEFICIOS PREVIDENCIARIOS</v>
          </cell>
          <cell r="D22380" t="str">
            <v>PLANO D DE BENEFICIOS PREVIDENCIARIOS</v>
          </cell>
          <cell r="E22380" t="str">
            <v>FUNDACAO DE SEGURIDADE SOCIAL BRASLIGHT</v>
          </cell>
        </row>
        <row r="22381">
          <cell r="B22381">
            <v>82791</v>
          </cell>
          <cell r="C22381" t="str">
            <v>MERITO REALTY LTDA</v>
          </cell>
          <cell r="D22381" t="str">
            <v>MERITO REALTY LTDA</v>
          </cell>
          <cell r="E22381" t="str">
            <v>MERITO REALTY LTDA</v>
          </cell>
        </row>
        <row r="22382">
          <cell r="B22382" t="str">
            <v>M49241570000162</v>
          </cell>
          <cell r="D22382" t="str">
            <v>DAYCOVAL CTVM LTDA</v>
          </cell>
          <cell r="E22382" t="str">
            <v>BANCO DAYCOVAL S/A</v>
          </cell>
        </row>
        <row r="22383">
          <cell r="B22383">
            <v>82795</v>
          </cell>
          <cell r="C22383" t="str">
            <v>PRINCIPAL CLASSE DE INVESTIMENTO EM DC RESP LIMITADA</v>
          </cell>
          <cell r="D22383" t="str">
            <v>PRINCIPAL CLASSE DE INVESTIMENTO EM DC RESP LIMITADA</v>
          </cell>
          <cell r="E22383" t="str">
            <v>V8 CAPITAL GESTAO DE INVESTIMENTOS LTDA</v>
          </cell>
        </row>
        <row r="22384">
          <cell r="B22384">
            <v>82795</v>
          </cell>
          <cell r="C22384" t="str">
            <v>PRINCIPAL CLASSE DE INVESTIMENTO EM DC RESP LIMITADA</v>
          </cell>
          <cell r="D22384" t="str">
            <v>PRINCIPAL CLASSE DE INVESTIMENTO EM DC RESP LIMITADA</v>
          </cell>
          <cell r="E22384" t="str">
            <v>V8 CAPITAL GESTAO DE INVESTIMENTOS LTDA</v>
          </cell>
        </row>
        <row r="22385">
          <cell r="B22385" t="str">
            <v>M48307640000175</v>
          </cell>
          <cell r="D22385" t="str">
            <v>BRB BANCO DE BRASILIA SA</v>
          </cell>
          <cell r="E22385" t="str">
            <v>BRB BANCO DE BRASILIA S/A</v>
          </cell>
        </row>
        <row r="22386">
          <cell r="B22386" t="str">
            <v>M26031485000105</v>
          </cell>
        </row>
        <row r="22387">
          <cell r="B22387" t="str">
            <v>M48307750000137</v>
          </cell>
          <cell r="E22387" t="str">
            <v>AL PREVCOMP</v>
          </cell>
        </row>
        <row r="22388">
          <cell r="B22388">
            <v>82798</v>
          </cell>
          <cell r="C22388" t="str">
            <v>JP MORGAN SECURITIES PLC</v>
          </cell>
          <cell r="D22388" t="str">
            <v>JP MORGAN SECURITIES PLC</v>
          </cell>
          <cell r="E22388" t="str">
            <v>BANCO JP MORGAN S/A</v>
          </cell>
        </row>
        <row r="22389">
          <cell r="B22389">
            <v>82797</v>
          </cell>
          <cell r="C22389" t="str">
            <v>JP MORGAN SECURITIES PLC</v>
          </cell>
          <cell r="D22389" t="str">
            <v>JP MORGAN SECURITIES PLC</v>
          </cell>
          <cell r="E22389" t="str">
            <v>BANCO JP MORGAN S/A</v>
          </cell>
        </row>
        <row r="22390">
          <cell r="B22390">
            <v>82799</v>
          </cell>
          <cell r="C22390" t="str">
            <v>ITAU VERTICE RENDA FIXA IMAB FI FINANCEIRO RL</v>
          </cell>
          <cell r="D22390" t="str">
            <v>ITAU VERTICE RENDA FIXA IMAB FI FINANCEIRO RL</v>
          </cell>
          <cell r="E22390" t="str">
            <v>ITAU UNIBANCO ASSET - TACO</v>
          </cell>
        </row>
        <row r="22391">
          <cell r="B22391">
            <v>82800</v>
          </cell>
          <cell r="C22391" t="str">
            <v>SOLANA EQUITY HEDGE FIF EM ACOES</v>
          </cell>
          <cell r="D22391" t="str">
            <v>SOLANA EQUITY HEDGE FIF EM ACOES</v>
          </cell>
          <cell r="E22391" t="str">
            <v>SOLANA GESTORA DE RECURSOS LTDA</v>
          </cell>
        </row>
        <row r="22392">
          <cell r="B22392" t="str">
            <v>M1084509000174</v>
          </cell>
          <cell r="E22392" t="str">
            <v>REAG ASSET MANAGEMENT LTDA</v>
          </cell>
        </row>
        <row r="22393">
          <cell r="B22393" t="str">
            <v>M24033033000104</v>
          </cell>
          <cell r="C22393" t="str">
            <v>VECTIS CAPITAL SOLUTIONS LTDA.</v>
          </cell>
          <cell r="D22393" t="str">
            <v>VECTIS CAPITAL SOLUTIONS LTDA.</v>
          </cell>
          <cell r="E22393" t="str">
            <v>VECTIS CAPITAL SOLUTIONS LTDA.</v>
          </cell>
        </row>
        <row r="22394">
          <cell r="B22394">
            <v>82802</v>
          </cell>
          <cell r="C22394" t="str">
            <v>PORTO SFA MASTER FUNDO DE INVESTIMENTO FINANCEIRO EM ACOES</v>
          </cell>
          <cell r="D22394" t="str">
            <v>PORTO SFA MASTER FUNDO DE INVESTIMENTO FINANCEIRO EM ACOES</v>
          </cell>
          <cell r="E22394" t="str">
            <v>SFA INVESTIMENTOS LTDA</v>
          </cell>
        </row>
        <row r="22395">
          <cell r="B22395" t="str">
            <v>M23020584000162</v>
          </cell>
        </row>
        <row r="22396">
          <cell r="B22396">
            <v>82804</v>
          </cell>
          <cell r="C22396" t="str">
            <v>CLAVE ALPHA MACRO MASTER FIM</v>
          </cell>
          <cell r="D22396" t="str">
            <v>CLAVE ALPHA MACRO MASTER FIM</v>
          </cell>
          <cell r="E22396" t="str">
            <v>CLAVE GESTORA DE RECURSOS LTDA</v>
          </cell>
        </row>
        <row r="22397">
          <cell r="B22397">
            <v>82805</v>
          </cell>
          <cell r="C22397" t="str">
            <v>CLV M2 MASTER FUNDO DE INVESTIMENTO MULTIMERCADO</v>
          </cell>
          <cell r="D22397" t="str">
            <v>CLV M2 MASTER FUNDO DE INVESTIMENTO MULTIMERCADO</v>
          </cell>
          <cell r="E22397" t="str">
            <v>CLAVE GESTORA DE RECURSOS LTDA</v>
          </cell>
        </row>
        <row r="22398">
          <cell r="B22398">
            <v>82806</v>
          </cell>
          <cell r="C22398" t="str">
            <v>CLAVE FLEX PREV FIFE I FIF MULTI - RESP LIMITADA</v>
          </cell>
          <cell r="D22398" t="str">
            <v>CLAVE FLEX PREV FIFE I FIF MULTI - RESP LIMITADA</v>
          </cell>
          <cell r="E22398" t="str">
            <v>CLAVE GESTORA DE RECURSOS LTDA</v>
          </cell>
        </row>
        <row r="22399">
          <cell r="B22399">
            <v>122308</v>
          </cell>
          <cell r="C22399" t="str">
            <v>PRINCIPAL CLARITAS LONG SHORT MASTER FIM</v>
          </cell>
          <cell r="D22399" t="str">
            <v>PRINCIPAL CLARITAS LONG SHORT MASTER FIM</v>
          </cell>
          <cell r="E22399" t="str">
            <v>PRINCIPAL CLARITAS LONG SHORT MASTER FIM</v>
          </cell>
        </row>
        <row r="22400">
          <cell r="B22400" t="str">
            <v>M05986945000148</v>
          </cell>
          <cell r="D22400" t="str">
            <v>CITIGROUP GLOBAL MARKETS INC. - CITIBANK DTVM SA</v>
          </cell>
        </row>
        <row r="22401">
          <cell r="B22401" t="str">
            <v>M08238272000136</v>
          </cell>
          <cell r="D22401" t="str">
            <v>GOLDMAN SACHS E CO - BANCO ITAU S/A</v>
          </cell>
        </row>
        <row r="22402">
          <cell r="B22402">
            <v>82809</v>
          </cell>
          <cell r="C22402" t="str">
            <v>NEO VITALE FIF MM RESP LIMITADA</v>
          </cell>
          <cell r="D22402" t="str">
            <v>NEO VITALE FIF MM RESP LIMITADA</v>
          </cell>
          <cell r="E22402" t="str">
            <v>NEO GESTÃO DE RECURSOS LTDA</v>
          </cell>
        </row>
        <row r="22403">
          <cell r="B22403" t="str">
            <v>M42085996000125</v>
          </cell>
          <cell r="C22403" t="str">
            <v>E3 CAPITAL PARTNERS GESTÃƒO DE INVESTIMENTOS LTDA.</v>
          </cell>
          <cell r="D22403" t="str">
            <v>E3 CAPITAL PARTNERS GESTÃƒO DE INVESTIMENTOS LTDA.</v>
          </cell>
          <cell r="E22403" t="str">
            <v>E3 CAPITAL PARTNERS GESTÃƒO DE INVESTIMENTOS LTDA.</v>
          </cell>
        </row>
        <row r="22404">
          <cell r="B22404" t="str">
            <v>M48306851000193</v>
          </cell>
          <cell r="D22404" t="str">
            <v>PLANO DE CONTRIBUICAO VARIAVEL DA PATROCINADORA RIOTRILHOS</v>
          </cell>
        </row>
        <row r="22405">
          <cell r="B22405" t="str">
            <v>M58267076000168</v>
          </cell>
          <cell r="C22405" t="str">
            <v>GIAA Investimentos Gestora de Recursos Ltda.</v>
          </cell>
          <cell r="D22405" t="str">
            <v>GIAA Investimentos Gestora de Recursos Ltda.</v>
          </cell>
          <cell r="E22405" t="str">
            <v>GIAA Investimentos Gestora de Recursos Ltda.</v>
          </cell>
        </row>
        <row r="22406">
          <cell r="B22406" t="str">
            <v>M54436686000197</v>
          </cell>
          <cell r="C22406" t="str">
            <v>VEREDAS CAPITAL GESTÃƒO DE RECURSOS LTDA.</v>
          </cell>
          <cell r="D22406" t="str">
            <v>VEREDAS CAPITAL GESTÃƒO DE RECURSOS LTDA.</v>
          </cell>
          <cell r="E22406" t="str">
            <v>VEREDAS CAPITAL GESTÃƒO DE RECURSOS LTDA.</v>
          </cell>
        </row>
        <row r="22407">
          <cell r="B22407">
            <v>82811</v>
          </cell>
          <cell r="C22407" t="str">
            <v>MORADA FIF EM ACOES RESPONSABILIDADE LIMITADA</v>
          </cell>
          <cell r="D22407" t="str">
            <v>MORADA FIF EM ACOES RESPONSABILIDADE LIMITADA</v>
          </cell>
          <cell r="E22407" t="str">
            <v>MORADA CAPITAL LTDA</v>
          </cell>
        </row>
        <row r="22408">
          <cell r="B22408" t="str">
            <v>M03532415000102</v>
          </cell>
          <cell r="D22408" t="str">
            <v>BANCO ABN AMRO SA</v>
          </cell>
          <cell r="E22408" t="str">
            <v>BANCO ABN AMRO S/A</v>
          </cell>
        </row>
        <row r="22409">
          <cell r="B22409" t="str">
            <v>M33245762000107</v>
          </cell>
          <cell r="D22409" t="str">
            <v>TOO SEGUROS S/A</v>
          </cell>
          <cell r="E22409" t="str">
            <v>TOO SEGUROS S/A</v>
          </cell>
        </row>
        <row r="22410">
          <cell r="B22410" t="str">
            <v>M57812441000105</v>
          </cell>
          <cell r="C22410" t="str">
            <v>RIZA REAL ESTATE GESTORA DE RECURSOS LTDA.</v>
          </cell>
          <cell r="D22410" t="str">
            <v>RIZA REAL ESTATE GESTORA DE RECURSOS LTDA.</v>
          </cell>
          <cell r="E22410" t="str">
            <v>RIZA GESTORA DE RECURSOS LTDA</v>
          </cell>
        </row>
        <row r="22411">
          <cell r="B22411">
            <v>82815</v>
          </cell>
          <cell r="C22411" t="str">
            <v>TRUXT MACRO BRASILPREV FIFE FIM RL</v>
          </cell>
          <cell r="D22411" t="str">
            <v>TRUXT MACRO BRASILPREV FIFE FIM RL</v>
          </cell>
          <cell r="E22411" t="str">
            <v>TRUXT INVESTIMENTOS LTDA</v>
          </cell>
        </row>
        <row r="22412">
          <cell r="B22412">
            <v>82816</v>
          </cell>
          <cell r="C22412" t="str">
            <v>TRUXT MACRO PREVIDENCIA FIFE MASTER FIF - CI MULT RL</v>
          </cell>
          <cell r="D22412" t="str">
            <v>TRUXT MACRO PREVIDENCIA FIFE MASTER FIF - CI MULT RL</v>
          </cell>
          <cell r="E22412" t="str">
            <v>TRUXT INVESTIMENTOS LTDA</v>
          </cell>
        </row>
        <row r="22413">
          <cell r="B22413" t="str">
            <v>M92816560000137</v>
          </cell>
          <cell r="C22413" t="str">
            <v>BANCO REGIONAL DE DESENVOLVIMENTO DO EXTREMO SUL</v>
          </cell>
          <cell r="D22413" t="str">
            <v>BANCO REGIONAL DE DESENVOLVIMENTO DO EXTREMO SUL</v>
          </cell>
          <cell r="E22413" t="str">
            <v>BANCO REGIONAL DE DESENVOLVIMENTO DO EXTREMO SUL</v>
          </cell>
        </row>
        <row r="22414">
          <cell r="B22414" t="str">
            <v>M0745060400018901</v>
          </cell>
          <cell r="D22414" t="str">
            <v>CCB TES</v>
          </cell>
        </row>
        <row r="22415">
          <cell r="B22415">
            <v>82817</v>
          </cell>
          <cell r="C22415" t="str">
            <v>MONTE AZUL GESTAO DE RECURSOS LTDA</v>
          </cell>
          <cell r="D22415" t="str">
            <v>MONTE AZUL GESTAO DE RECURSOS LTDA</v>
          </cell>
          <cell r="E22415" t="str">
            <v>MONTE AZUL GESTAO DE RECURSOS LTDA</v>
          </cell>
        </row>
        <row r="22416">
          <cell r="B22416">
            <v>82817</v>
          </cell>
          <cell r="C22416" t="str">
            <v>MONTE AZUL GESTAO DE RECURSOS LTDA</v>
          </cell>
          <cell r="D22416" t="str">
            <v>MONTE AZUL GESTAO DE RECURSOS LTDA</v>
          </cell>
          <cell r="E22416" t="str">
            <v>MONTE AZUL GESTAO DE RECURSOS LTDA</v>
          </cell>
        </row>
        <row r="22417">
          <cell r="B22417">
            <v>82819</v>
          </cell>
          <cell r="C22417" t="str">
            <v>BANCO JP MORGAN S/A</v>
          </cell>
          <cell r="D22417" t="str">
            <v>BANCO JP MORGAN S/A</v>
          </cell>
          <cell r="E22417" t="str">
            <v>BANCO JP MORGAN S/A</v>
          </cell>
        </row>
        <row r="22418">
          <cell r="B22418">
            <v>82820</v>
          </cell>
          <cell r="C22418" t="str">
            <v>ATACAMA MULTIMERCADO FI</v>
          </cell>
          <cell r="D22418" t="str">
            <v>ATACAMA MULTIMERCADO FI</v>
          </cell>
          <cell r="E22418" t="str">
            <v>BANCO JP MORGAN S/A</v>
          </cell>
        </row>
        <row r="22419">
          <cell r="B22419">
            <v>82823</v>
          </cell>
          <cell r="C22419" t="str">
            <v>BANCO JP MORGAN S/A</v>
          </cell>
          <cell r="D22419" t="str">
            <v>BANCO JP MORGAN S/A</v>
          </cell>
          <cell r="E22419" t="str">
            <v>BANCO JP MORGAN S/A</v>
          </cell>
        </row>
        <row r="22420">
          <cell r="B22420">
            <v>82821</v>
          </cell>
          <cell r="C22420" t="str">
            <v>ATACAMA MULTIMERCADO FI</v>
          </cell>
          <cell r="D22420" t="str">
            <v>ATACAMA MULTIMERCADO FI</v>
          </cell>
          <cell r="E22420" t="str">
            <v>BANCO JP MORGAN S/A</v>
          </cell>
        </row>
        <row r="22421">
          <cell r="B22421">
            <v>82822</v>
          </cell>
          <cell r="C22421" t="str">
            <v>JP MORGAN SECURITIES PLC</v>
          </cell>
          <cell r="D22421" t="str">
            <v>JP MORGAN SECURITIES PLC</v>
          </cell>
          <cell r="E22421" t="str">
            <v>BANCO JP MORGAN S/A</v>
          </cell>
        </row>
        <row r="22422">
          <cell r="B22422">
            <v>122696</v>
          </cell>
          <cell r="C22422" t="str">
            <v>SPX APACHE FUNDO DE INVESTIMENTO FINANCEIRO DE AÃ‡Ã•ES RL</v>
          </cell>
          <cell r="D22422" t="str">
            <v>SPX APACHE FUNDO DE INVESTIMENTO FINANCEIRO DE AÃ‡Ã•ES RL</v>
          </cell>
          <cell r="E22422" t="str">
            <v>SPX APACHE FUNDO DE INVESTIMENTO FINANCEIRO DE AÃ‡Ã•ES RL</v>
          </cell>
        </row>
        <row r="22423">
          <cell r="B22423" t="str">
            <v>M48307620000102</v>
          </cell>
          <cell r="D22423" t="str">
            <v>Plano de BenefÃ­cios Prever</v>
          </cell>
        </row>
        <row r="22424">
          <cell r="B22424">
            <v>122697</v>
          </cell>
          <cell r="C22424" t="str">
            <v>SPX FALCON MASTER FIF EM AÃ‡Ã•ES RL</v>
          </cell>
          <cell r="D22424" t="str">
            <v>SPX FALCON MASTER FIF EM AÃ‡Ã•ES RL</v>
          </cell>
          <cell r="E22424" t="str">
            <v>SPX FALCON MASTER FIF EM AÃ‡Ã•ES RL</v>
          </cell>
        </row>
        <row r="22425">
          <cell r="B22425">
            <v>122695</v>
          </cell>
          <cell r="C22425" t="str">
            <v>SPX PATRIOT MASTER FI FIA RESPONSABILIDADE LIMITADA</v>
          </cell>
          <cell r="D22425" t="str">
            <v>SPX PATRIOT MASTER FI FIA RESPONSABILIDADE LIMITADA</v>
          </cell>
          <cell r="E22425" t="str">
            <v>SPX PATRIOT MASTER FI FIA RESPONSABILIDADE LIMITADA</v>
          </cell>
        </row>
        <row r="22426">
          <cell r="B22426">
            <v>82827</v>
          </cell>
          <cell r="C22426" t="str">
            <v>ITAU MASTER DURATION PRE 3X FIF MULTIMERCADO RL</v>
          </cell>
          <cell r="D22426" t="str">
            <v>ITAU MASTER DURATION PRE 3X FIF MULTIMERCADO RL</v>
          </cell>
          <cell r="E22426" t="str">
            <v>ITAU UNIBANCO ASSET - TACO</v>
          </cell>
        </row>
        <row r="22427">
          <cell r="B22427">
            <v>82830</v>
          </cell>
          <cell r="C22427" t="str">
            <v>GUEPARDO INVESTIMENTOS LTDA</v>
          </cell>
          <cell r="D22427" t="str">
            <v>GUEPARDO INVESTIMENTOS LTDA</v>
          </cell>
          <cell r="E22427" t="str">
            <v>GUEPARDO INVESTIMENTOS LTDA</v>
          </cell>
        </row>
        <row r="22428">
          <cell r="B22428">
            <v>82831</v>
          </cell>
          <cell r="C22428" t="str">
            <v>FEBE FUNDO DE INVESTIMENTO FINANCEIRO ACOES - RL</v>
          </cell>
          <cell r="D22428" t="str">
            <v>FEBE FUNDO DE INVESTIMENTO FINANCEIRO ACOES - RL</v>
          </cell>
          <cell r="E22428" t="str">
            <v>GUEPARDO INVESTIMENTOS LTDA</v>
          </cell>
        </row>
        <row r="22429">
          <cell r="B22429">
            <v>82832</v>
          </cell>
          <cell r="C22429" t="str">
            <v>BRASIL VAREJO FUNDO DE INVESTIMENTO IMOBILIARIO RL</v>
          </cell>
          <cell r="D22429" t="str">
            <v>BRASIL VAREJO FUNDO DE INVESTIMENTO IMOBILIARIO RL</v>
          </cell>
          <cell r="E22429" t="str">
            <v>BRASIL VAREJO FUNDO DE INVESTIMENTO IMOBILIARIO RL</v>
          </cell>
        </row>
        <row r="22430">
          <cell r="B22430">
            <v>82833</v>
          </cell>
          <cell r="C22430" t="str">
            <v>ITAU FLEXPREV IDKA 3 FIF RF RESP LIMITADA</v>
          </cell>
          <cell r="D22430" t="str">
            <v>ITAU FLEXPREV IDKA 3 FIF RF RESP LIMITADA</v>
          </cell>
          <cell r="E22430" t="str">
            <v>ITAU UNIBANCO ASSET - TACO</v>
          </cell>
        </row>
        <row r="22431">
          <cell r="B22431">
            <v>82835</v>
          </cell>
          <cell r="C22431" t="str">
            <v>SAFRA MULTI I MASTER FIF CIM RL</v>
          </cell>
          <cell r="D22431" t="str">
            <v>SAFRA MULTI I MASTER FIF CIM RL</v>
          </cell>
          <cell r="E22431" t="str">
            <v>EMERALD GESTAO DE INVESTIMENTOS LTDA</v>
          </cell>
        </row>
        <row r="22432">
          <cell r="B22432">
            <v>82836</v>
          </cell>
          <cell r="C22432" t="str">
            <v>SAFRA MULTI PLUS MASTER FIF CIM RL</v>
          </cell>
          <cell r="D22432" t="str">
            <v>SAFRA MULTI PLUS MASTER FIF CIM RL</v>
          </cell>
          <cell r="E22432" t="str">
            <v>EMERALD GESTAO DE INVESTIMENTOS LTDA</v>
          </cell>
        </row>
        <row r="22433">
          <cell r="B22433">
            <v>82837</v>
          </cell>
          <cell r="C22433" t="str">
            <v>ITAU VERTICE RENDA FIXA PRE IDKA 3 FIF RL</v>
          </cell>
          <cell r="D22433" t="str">
            <v>ITAU VERTICE RENDA FIXA PRE IDKA 3 FIF RL</v>
          </cell>
          <cell r="E22433" t="str">
            <v>ITAU UNIBANCO ASSET - TACO</v>
          </cell>
        </row>
        <row r="22434">
          <cell r="B22434">
            <v>82838</v>
          </cell>
          <cell r="C22434" t="str">
            <v>INSTITUTO DE PREVIDENCIA DE OTACILIO COSTA - IPAM</v>
          </cell>
          <cell r="D22434" t="str">
            <v>INSTITUTO DE PREVIDENCIA DE OTACILIO COSTA - IPAM</v>
          </cell>
          <cell r="E22434" t="str">
            <v>INSTITUTO DE PREVIDENCIA DE OTACILIO COSTA - IPAM</v>
          </cell>
        </row>
        <row r="22435">
          <cell r="B22435">
            <v>82838</v>
          </cell>
          <cell r="C22435" t="str">
            <v>INSTITUTO DE PREVIDENCIA DE OTACILIO COSTA - IPAM</v>
          </cell>
          <cell r="D22435" t="str">
            <v>INSTITUTO DE PREVIDENCIA DE OTACILIO COSTA - IPAM</v>
          </cell>
          <cell r="E22435" t="str">
            <v>INSTITUTO DE PREVIDENCIA DE OTACILIO COSTA - IPAM</v>
          </cell>
        </row>
        <row r="22436">
          <cell r="B22436" t="str">
            <v>M00898427000159</v>
          </cell>
          <cell r="D22436" t="str">
            <v>INSTITUTO DE PREVIDENCIA DO MUNICIPIO DE OTACILIO COSTA - IPAM</v>
          </cell>
        </row>
        <row r="22437">
          <cell r="B22437">
            <v>82843</v>
          </cell>
          <cell r="C22437" t="str">
            <v>SPX SUMMIT MACRO LONG SHORT MASTER FIF MULTIMERCADO CP RL</v>
          </cell>
          <cell r="D22437" t="str">
            <v>SPX SUMMIT MACRO LONG SHORT MASTER FIF MULTIMERCADO CP RL</v>
          </cell>
          <cell r="E22437" t="str">
            <v>SPX GESTAO DE RECURSOS LTDA</v>
          </cell>
        </row>
        <row r="22438">
          <cell r="B22438">
            <v>82845</v>
          </cell>
          <cell r="C22438" t="str">
            <v>SONATA GESTORA DE RECURSOS LTDA.</v>
          </cell>
          <cell r="D22438" t="str">
            <v>SONATA GESTORA DE RECURSOS LTDA.</v>
          </cell>
          <cell r="E22438" t="str">
            <v>SONATA GESTORA DE RECURSOS LTDA</v>
          </cell>
        </row>
        <row r="22439">
          <cell r="B22439">
            <v>82845</v>
          </cell>
          <cell r="C22439" t="str">
            <v>SONATA GESTORA DE RECURSOS LTDA.</v>
          </cell>
          <cell r="D22439" t="str">
            <v>SONATA GESTORA DE RECURSOS LTDA.</v>
          </cell>
          <cell r="E22439" t="str">
            <v>SONATA GESTORA DE RECURSOS LTDA</v>
          </cell>
        </row>
        <row r="22440">
          <cell r="B22440">
            <v>82849</v>
          </cell>
          <cell r="C22440" t="str">
            <v>SANTANDER IAJA ACOES DIVIDENDOS - FIF RESP LIMITADA</v>
          </cell>
          <cell r="D22440" t="str">
            <v>SANTANDER IAJA ACOES DIVIDENDOS - FIF RESP LIMITADA</v>
          </cell>
          <cell r="E22440" t="str">
            <v>SANTANDER BRASIL GESTAO DE RECURSOS LTDA</v>
          </cell>
        </row>
        <row r="22441">
          <cell r="B22441">
            <v>82850</v>
          </cell>
          <cell r="C22441" t="str">
            <v>ITAMARATY FIC DE CLASSE DE FIF MULTIMERCADO CP RL</v>
          </cell>
          <cell r="D22441" t="str">
            <v>ITAMARATY FIC DE CLASSE DE FIF MULTIMERCADO CP RL</v>
          </cell>
          <cell r="E22441" t="str">
            <v>FUNDACAO DOS ECONOMIARIOS FEDERAIS - FUNCEF</v>
          </cell>
        </row>
        <row r="22442">
          <cell r="B22442" t="str">
            <v>M13189882/000127</v>
          </cell>
          <cell r="E22442" t="str">
            <v>JGP GESTAO PATRIMONIAL LTDA</v>
          </cell>
        </row>
        <row r="22443">
          <cell r="B22443" t="str">
            <v>M13189.882/000127</v>
          </cell>
          <cell r="E22443" t="str">
            <v>JGP GESTAO PATRIMONIAL LTDA</v>
          </cell>
        </row>
        <row r="22444">
          <cell r="B22444">
            <v>82852</v>
          </cell>
          <cell r="C22444" t="str">
            <v>CSHG JIVE DISTRESSED ALLOCATION II PVT FIF MM CP RL</v>
          </cell>
          <cell r="D22444" t="str">
            <v>CSHG JIVE DISTRESSED ALLOCATION II PVT FIF MM CP RL</v>
          </cell>
          <cell r="E22444" t="str">
            <v>ITAU UNIBANCO ASSET - TACO</v>
          </cell>
        </row>
        <row r="22445">
          <cell r="B22445">
            <v>82853</v>
          </cell>
          <cell r="C22445" t="str">
            <v>CSHG JIVE DISTRESSED ALLOCATION III PVT FIF MULT CP RL</v>
          </cell>
          <cell r="D22445" t="str">
            <v>CSHG JIVE DISTRESSED ALLOCATION III PVT FIF MULT CP RL</v>
          </cell>
          <cell r="E22445" t="str">
            <v>ITAU UNIBANCO ASSET - TACO</v>
          </cell>
        </row>
        <row r="22446">
          <cell r="B22446">
            <v>82853</v>
          </cell>
          <cell r="C22446" t="str">
            <v>CSHG JIVE DISTRESSED ALLOCATION III PVT FIF MULT CP RL</v>
          </cell>
          <cell r="D22446" t="str">
            <v>CSHG JIVE DISTRESSED ALLOCATION III PVT FIF MULT CP RL</v>
          </cell>
          <cell r="E22446" t="str">
            <v>ITAU UNIBANCO ASSET - TACO</v>
          </cell>
        </row>
        <row r="22447">
          <cell r="B22447">
            <v>82854</v>
          </cell>
          <cell r="C22447" t="str">
            <v>ITAU FLEXPREV VERTICE IRF-M P3 FIF RF RL</v>
          </cell>
          <cell r="D22447" t="str">
            <v>ITAU FLEXPREV VERTICE IRF-M P3 FIF RF RL</v>
          </cell>
          <cell r="E22447" t="str">
            <v>ITAU UNIBANCO ASSET - TACO</v>
          </cell>
        </row>
        <row r="22448">
          <cell r="B22448">
            <v>82855</v>
          </cell>
          <cell r="C22448" t="str">
            <v>SHARE STUDENT LIVING PVT FIF MULT RL</v>
          </cell>
          <cell r="D22448" t="str">
            <v>SHARE STUDENT LIVING PVT FIF MULT RL</v>
          </cell>
          <cell r="E22448" t="str">
            <v>ITAU UNIBANCO ASSET - TACO</v>
          </cell>
        </row>
        <row r="22449">
          <cell r="B22449">
            <v>82914</v>
          </cell>
          <cell r="C22449" t="str">
            <v>GOLDMAN SACHS INTERNATIONAL - CITI</v>
          </cell>
          <cell r="D22449" t="str">
            <v>GOLDMAN SACHS INTERNATIONAL - CITI</v>
          </cell>
          <cell r="E22449" t="str">
            <v>GOLDMAN SACHS DO BRASIL BANCO MULTIPLO S/A</v>
          </cell>
        </row>
        <row r="22450">
          <cell r="B22450">
            <v>82860</v>
          </cell>
          <cell r="C22450" t="str">
            <v>ITAU FLEXPREV MASTER GD MULTIMERCADO FUNDO DE INVESTIMENTO</v>
          </cell>
          <cell r="D22450" t="str">
            <v>ITAU FLEXPREV MASTER GD MULTIMERCADO FUNDO DE INVESTIMENTO</v>
          </cell>
          <cell r="E22450" t="str">
            <v>ITAU UNIBANCO ASSET - TACO</v>
          </cell>
        </row>
        <row r="22451">
          <cell r="B22451">
            <v>82861</v>
          </cell>
          <cell r="C22451" t="str">
            <v>ITAU MASTER GLOBAL DINAMICO MULTIMERCADO FI</v>
          </cell>
          <cell r="D22451" t="str">
            <v>ITAU MASTER GLOBAL DINAMICO MULTIMERCADO FI</v>
          </cell>
          <cell r="E22451" t="str">
            <v>ITAU UNIBANCO ASSET - TACO</v>
          </cell>
        </row>
        <row r="22452">
          <cell r="B22452">
            <v>82862</v>
          </cell>
          <cell r="C22452" t="str">
            <v>ITAU MASTER GLOBAL DINAMICO ULTRA MULTIMERCADO FUNDO DE INVE</v>
          </cell>
          <cell r="D22452" t="str">
            <v>ITAU MASTER GLOBAL DINAMICO ULTRA MULTIMERCADO FUNDO DE INVE</v>
          </cell>
          <cell r="E22452" t="str">
            <v>ITAU UNIBANCO ASSET - TACO</v>
          </cell>
        </row>
        <row r="22453">
          <cell r="B22453">
            <v>82863</v>
          </cell>
          <cell r="C22453" t="str">
            <v>ITAU FLEXPREV MASTER GD MULTIMERCADO FUNDO DE INVESTIMENTO</v>
          </cell>
          <cell r="D22453" t="str">
            <v>ITAU FLEXPREV MASTER GD MULTIMERCADO FUNDO DE INVESTIMENTO</v>
          </cell>
          <cell r="E22453" t="str">
            <v>ITAU UNIBANCO ASSET - TACO</v>
          </cell>
        </row>
        <row r="22454">
          <cell r="B22454">
            <v>82864</v>
          </cell>
          <cell r="C22454" t="str">
            <v>EBURY BANCO DE CAMBIO S/A</v>
          </cell>
          <cell r="D22454" t="str">
            <v>EBURY BANCO DE CAMBIO S/A</v>
          </cell>
          <cell r="E22454" t="str">
            <v>EBURY BANCO DE CAMBIO S/A</v>
          </cell>
        </row>
        <row r="22455">
          <cell r="B22455">
            <v>82864</v>
          </cell>
          <cell r="C22455" t="str">
            <v>EBURY BANCO DE CAMBIO S/A</v>
          </cell>
          <cell r="D22455" t="str">
            <v>EBURY BANCO DE CAMBIO S/A</v>
          </cell>
          <cell r="E22455" t="str">
            <v>EBURY BANCO DE CAMBIO S/A</v>
          </cell>
        </row>
        <row r="22456">
          <cell r="B22456">
            <v>82865</v>
          </cell>
          <cell r="C22456" t="str">
            <v>EBURY BANCO DE CAMBIO S/A</v>
          </cell>
          <cell r="D22456" t="str">
            <v>EBURY BANCO DE CAMBIO S/A</v>
          </cell>
          <cell r="E22456" t="str">
            <v>EBURY BANCO DE CAMBIO S/A</v>
          </cell>
        </row>
        <row r="22457">
          <cell r="B22457">
            <v>82867</v>
          </cell>
          <cell r="C22457" t="str">
            <v>BRASÃLIA FUNDO DE INVESTIMENTO FINANCEIRO EM AÃ‡Ã•ES - RL</v>
          </cell>
          <cell r="D22457" t="str">
            <v>BRASÃLIA FUNDO DE INVESTIMENTO FINANCEIRO EM AÃ‡Ã•ES - RL</v>
          </cell>
          <cell r="E22457" t="str">
            <v>FUNDACAO DOS ECONOMIARIOS FEDERAIS - FUNCEF</v>
          </cell>
        </row>
        <row r="22458">
          <cell r="B22458">
            <v>82869</v>
          </cell>
          <cell r="C22458" t="str">
            <v>CITIGROUP GLOBAL MARKETS LIMITED</v>
          </cell>
          <cell r="D22458" t="str">
            <v>CITIGROUP GLOBAL MARKETS LIMITED</v>
          </cell>
          <cell r="E22458" t="str">
            <v>BANCO CITIBANK S/A</v>
          </cell>
        </row>
        <row r="22459">
          <cell r="B22459">
            <v>82870</v>
          </cell>
          <cell r="C22459" t="str">
            <v>ITAU FLEXPREV SMART ACOES BRASIL FIF RL</v>
          </cell>
          <cell r="D22459" t="str">
            <v>ITAU FLEXPREV SMART ACOES BRASIL FIF RL</v>
          </cell>
          <cell r="E22459" t="str">
            <v>ITAU UNIBANCO ASSET - TACO</v>
          </cell>
        </row>
        <row r="22460">
          <cell r="B22460" t="str">
            <v>M27706810000114</v>
          </cell>
          <cell r="E22460" t="str">
            <v>ARMOR GESTORA DE RECURSOS LTDA</v>
          </cell>
        </row>
        <row r="22461">
          <cell r="B22461" t="str">
            <v>M14351454/000111</v>
          </cell>
          <cell r="D22461" t="str">
            <v>ABSOLUTE DHAMA GESTAO DE INVESTIMENTOS LTDA</v>
          </cell>
          <cell r="E22461" t="str">
            <v>ABSOLUTE GESTAO DE INVESTIMENTOS LTDA</v>
          </cell>
        </row>
        <row r="22462">
          <cell r="B22462" t="str">
            <v>M14351.454/000111</v>
          </cell>
          <cell r="D22462" t="str">
            <v>ABSOLUTE DHAMA GESTAO DE INVESTIMENTOS LTDA</v>
          </cell>
          <cell r="E22462" t="str">
            <v>ABSOLUTE GESTAO DE INVESTIMENTOS LTDA</v>
          </cell>
        </row>
        <row r="22463">
          <cell r="B22463">
            <v>82872</v>
          </cell>
          <cell r="C22463" t="str">
            <v>SUSQUEHANNA FINANCIAL GROUP LLLP</v>
          </cell>
          <cell r="D22463" t="str">
            <v>SUSQUEHANNA FINANCIAL GROUP LLLP</v>
          </cell>
          <cell r="E22463" t="str">
            <v>SUSQUEHANNA FINANCIAL GROUP LLP</v>
          </cell>
        </row>
        <row r="22464">
          <cell r="B22464" t="str">
            <v>M12209.584000199</v>
          </cell>
          <cell r="E22464" t="str">
            <v>RIZA GESTORA DE RECURSOS LTDA</v>
          </cell>
        </row>
        <row r="22465">
          <cell r="B22465">
            <v>82874</v>
          </cell>
          <cell r="C22465" t="str">
            <v>SANTANDER PREV VALENCIA GLOBAL MULTIMERCADO FIF RL</v>
          </cell>
          <cell r="D22465" t="str">
            <v>SANTANDER PREV VALENCIA GLOBAL MULTIMERCADO FIF RL</v>
          </cell>
          <cell r="E22465" t="str">
            <v>SANTANDER BRASIL GESTAO DE RECURSOS LTDA</v>
          </cell>
        </row>
        <row r="22466">
          <cell r="B22466">
            <v>82875</v>
          </cell>
          <cell r="C22466" t="str">
            <v>INVESTO GESTAO DE RECURSOS LTDA</v>
          </cell>
          <cell r="D22466" t="str">
            <v>INVESTO GESTAO DE RECURSOS LTDA</v>
          </cell>
          <cell r="E22466" t="str">
            <v>INVESTO GESTAO DE RECURSOS LTDA</v>
          </cell>
        </row>
        <row r="22467">
          <cell r="B22467">
            <v>82876</v>
          </cell>
          <cell r="C22467" t="str">
            <v>INVESTO MARKETVECTOR BRAZIL DOMESTIC EXPOSURE ETF CDI RL</v>
          </cell>
          <cell r="D22467" t="str">
            <v>INVESTO MARKETVECTOR BRAZIL DOMESTIC EXPOSURE ETF CDI RL</v>
          </cell>
          <cell r="E22467" t="str">
            <v>INVESTO GESTAO DE RECURSOS LTDA</v>
          </cell>
        </row>
        <row r="22468">
          <cell r="B22468">
            <v>82877</v>
          </cell>
          <cell r="C22468" t="str">
            <v>INVESTO MARKETVECTOR BRAZIL GLOBAL EXPOSURE ETF CDI RL</v>
          </cell>
          <cell r="D22468" t="str">
            <v>INVESTO MARKETVECTOR BRAZIL GLOBAL EXPOSURE ETF CDI RL</v>
          </cell>
          <cell r="E22468" t="str">
            <v>INVESTO GESTAO DE RECURSOS LTDA</v>
          </cell>
        </row>
        <row r="22469">
          <cell r="B22469">
            <v>82878</v>
          </cell>
          <cell r="C22469" t="str">
            <v>INVESTO MARKETVECTOR BRAZIL SMALL CAP VALUE ETF CID RL</v>
          </cell>
          <cell r="D22469" t="str">
            <v>INVESTO MARKETVECTOR BRAZIL SMALL CAP VALUE ETF CID RL</v>
          </cell>
          <cell r="E22469" t="str">
            <v>INVESTO GESTAO DE RECURSOS LTDA</v>
          </cell>
        </row>
        <row r="22470">
          <cell r="B22470">
            <v>82881</v>
          </cell>
          <cell r="C22470" t="str">
            <v>BRASIL CAPITAL CMPS I A PVT FIF ACOES RL</v>
          </cell>
          <cell r="D22470" t="str">
            <v>BRASIL CAPITAL CMPS I A PVT FIF ACOES RL</v>
          </cell>
          <cell r="E22470" t="str">
            <v>ITAU UNIBANCO ASSET - TACO</v>
          </cell>
        </row>
        <row r="22471">
          <cell r="B22471">
            <v>82882</v>
          </cell>
          <cell r="C22471" t="str">
            <v>CRESCERA GROWTH CAPITAL V COINV II PVT FIF MULT IE RL</v>
          </cell>
          <cell r="D22471" t="str">
            <v>CRESCERA GROWTH CAPITAL V COINV II PVT FIF MULT IE RL</v>
          </cell>
          <cell r="E22471" t="str">
            <v>ITAU UNIBANCO ASSET - TACO</v>
          </cell>
        </row>
        <row r="22472">
          <cell r="B22472">
            <v>82883</v>
          </cell>
          <cell r="C22472" t="str">
            <v>CRESCERA GROWTH CAPITAL V COINV III PVT FIF MULT RL</v>
          </cell>
          <cell r="D22472" t="str">
            <v>CRESCERA GROWTH CAPITAL V COINV III PVT FIF MULT RL</v>
          </cell>
          <cell r="E22472" t="str">
            <v>ITAU UNIBANCO ASSET - TACO</v>
          </cell>
        </row>
        <row r="22473">
          <cell r="B22473">
            <v>82883</v>
          </cell>
          <cell r="C22473" t="str">
            <v>CRESCERA GROWTH CAPITAL V COINV III PVT FIF MULT RL</v>
          </cell>
          <cell r="D22473" t="str">
            <v>CRESCERA GROWTH CAPITAL V COINV III PVT FIF MULT RL</v>
          </cell>
          <cell r="E22473" t="str">
            <v>ITAU UNIBANCO ASSET - TACO</v>
          </cell>
        </row>
        <row r="22474">
          <cell r="B22474">
            <v>82884</v>
          </cell>
          <cell r="C22474" t="str">
            <v>SPS III FEEDER C PVT FIF MULT CP RL</v>
          </cell>
          <cell r="D22474" t="str">
            <v>SPS III FEEDER C PVT FIF MULT CP RL</v>
          </cell>
          <cell r="E22474" t="str">
            <v>ITAU UNIBANCO ASSET - TACO</v>
          </cell>
        </row>
        <row r="22475">
          <cell r="B22475">
            <v>82885</v>
          </cell>
          <cell r="C22475" t="str">
            <v>SPX DISTRESSED REAL ESTATE OPPOR PORTUGAL PVT FIF MULT RL</v>
          </cell>
          <cell r="D22475" t="str">
            <v>SPX DISTRESSED REAL ESTATE OPPOR PORTUGAL PVT FIF MULT RL</v>
          </cell>
          <cell r="E22475" t="str">
            <v>ITAU UNIBANCO ASSET - TACO</v>
          </cell>
        </row>
        <row r="22476">
          <cell r="B22476">
            <v>82886</v>
          </cell>
          <cell r="C22476" t="str">
            <v>VINCI CAPITAL PARTNERS COINV TELEC PVT FIF MULT RL</v>
          </cell>
          <cell r="D22476" t="str">
            <v>VINCI CAPITAL PARTNERS COINV TELEC PVT FIF MULT RL</v>
          </cell>
          <cell r="E22476" t="str">
            <v>ITAU UNIBANCO ASSET - TACO</v>
          </cell>
        </row>
        <row r="22477">
          <cell r="B22477">
            <v>82887</v>
          </cell>
          <cell r="C22477" t="str">
            <v>VINCI CAPITAL PARTNERS III MASTER P PVT FIF MULT RL</v>
          </cell>
          <cell r="D22477" t="str">
            <v>VINCI CAPITAL PARTNERS III MASTER P PVT FIF MULT RL</v>
          </cell>
          <cell r="E22477" t="str">
            <v>ITAU UNIBANCO ASSET - TACO</v>
          </cell>
        </row>
        <row r="22478">
          <cell r="B22478">
            <v>82889</v>
          </cell>
          <cell r="C22478" t="str">
            <v>SANTANDER 20 II MULTIMERCADO CREDITO PRIVADO CIC FIF RL</v>
          </cell>
          <cell r="D22478" t="str">
            <v>SANTANDER 20 II MULTIMERCADO CREDITO PRIVADO CIC FIF RL</v>
          </cell>
          <cell r="E22478" t="str">
            <v>SANTANDER BRASIL GESTAO DE RECURSOS LTDA</v>
          </cell>
        </row>
        <row r="22479">
          <cell r="B22479">
            <v>82890</v>
          </cell>
          <cell r="C22479" t="str">
            <v>SANTANDER PREV AGRESSIVO SUPERIOR MM CP CIC FIF RL</v>
          </cell>
          <cell r="D22479" t="str">
            <v>SANTANDER PREV AGRESSIVO SUPERIOR MM CP CIC FIF RL</v>
          </cell>
          <cell r="E22479" t="str">
            <v>SANTANDER BRASIL GESTAO DE RECURSOS LTDA</v>
          </cell>
        </row>
        <row r="22480">
          <cell r="B22480">
            <v>82891</v>
          </cell>
          <cell r="C22480" t="str">
            <v>SANTANDER 20 III MULTIMERCADO CREDITO PRIVADO - CIC FIF RL</v>
          </cell>
          <cell r="D22480" t="str">
            <v>SANTANDER 20 III MULTIMERCADO CREDITO PRIVADO - CIC FIF RL</v>
          </cell>
          <cell r="E22480" t="str">
            <v>SANTANDER BRASIL GESTAO DE RECURSOS LTDA</v>
          </cell>
        </row>
        <row r="22481">
          <cell r="B22481">
            <v>82892</v>
          </cell>
          <cell r="C22481" t="str">
            <v>SANTANDER 49 I MULTIMERCADO CREDITO PRIVADO - CIC FIF RL</v>
          </cell>
          <cell r="D22481" t="str">
            <v>SANTANDER 49 I MULTIMERCADO CREDITO PRIVADO - CIC FIF RL</v>
          </cell>
          <cell r="E22481" t="str">
            <v>SANTANDER BRASIL GESTAO DE RECURSOS LTDA</v>
          </cell>
        </row>
        <row r="22482">
          <cell r="B22482">
            <v>82893</v>
          </cell>
          <cell r="C22482" t="str">
            <v>SANTANDER 49 II MULTIMERCADO CREDITO PRIVADO - CIC FIF RL</v>
          </cell>
          <cell r="D22482" t="str">
            <v>SANTANDER 49 II MULTIMERCADO CREDITO PRIVADO - CIC FIF RL</v>
          </cell>
          <cell r="E22482" t="str">
            <v>SANTANDER BRASIL GESTAO DE RECURSOS LTDA</v>
          </cell>
        </row>
        <row r="22483">
          <cell r="B22483">
            <v>82894</v>
          </cell>
          <cell r="C22483" t="str">
            <v>SANTANDER 49 III MULTIMERCADO CREDITO PRIVADO - CIC FIF RL</v>
          </cell>
          <cell r="D22483" t="str">
            <v>SANTANDER 49 III MULTIMERCADO CREDITO PRIVADO - CIC FIF RL</v>
          </cell>
          <cell r="E22483" t="str">
            <v>SANTANDER BRASIL GESTAO DE RECURSOS LTDA</v>
          </cell>
        </row>
        <row r="22484">
          <cell r="B22484">
            <v>82895</v>
          </cell>
          <cell r="C22484" t="str">
            <v>SANTANDER 49 MULTIMERCADO CREDITO PRIVADO - CIC FIF RL</v>
          </cell>
          <cell r="D22484" t="str">
            <v>SANTANDER 49 MULTIMERCADO CREDITO PRIVADO - CIC FIF RL</v>
          </cell>
          <cell r="E22484" t="str">
            <v>SANTANDER BRASIL GESTAO DE RECURSOS LTDA</v>
          </cell>
        </row>
        <row r="22485">
          <cell r="B22485">
            <v>82896</v>
          </cell>
          <cell r="C22485" t="str">
            <v>SANTANDER PREV CMA MULTIMERCADO CREDITO PRIVADO - CIC FIF RL</v>
          </cell>
          <cell r="D22485" t="str">
            <v>SANTANDER PREV CMA MULTIMERCADO CREDITO PRIVADO - CIC FIF RL</v>
          </cell>
          <cell r="E22485" t="str">
            <v>SANTANDER BRASIL GESTAO DE RECURSOS LTDA</v>
          </cell>
        </row>
        <row r="22486">
          <cell r="B22486">
            <v>82897</v>
          </cell>
          <cell r="C22486" t="str">
            <v>SANTANDER PREV MODERADO SUPERIOR MULT CP - CIC FIF RL</v>
          </cell>
          <cell r="D22486" t="str">
            <v>SANTANDER PREV MODERADO SUPERIOR MULT CP - CIC FIF RL</v>
          </cell>
          <cell r="E22486" t="str">
            <v>SANTANDER BRASIL GESTAO DE RECURSOS LTDA</v>
          </cell>
        </row>
        <row r="22487">
          <cell r="B22487">
            <v>82898</v>
          </cell>
          <cell r="C22487" t="str">
            <v>SUMAUMA TOP5 MASTER FIA</v>
          </cell>
          <cell r="D22487" t="str">
            <v>SUMAUMA TOP5 MASTER FIA</v>
          </cell>
          <cell r="E22487" t="str">
            <v>LIFETIME GESTORA DE RECURSOS LTDA</v>
          </cell>
        </row>
        <row r="22488">
          <cell r="B22488">
            <v>82899</v>
          </cell>
          <cell r="C22488" t="str">
            <v>SANTANDER PREV MODERADO MULTIMERCADO CP - CIC FIF RL</v>
          </cell>
          <cell r="D22488" t="str">
            <v>SANTANDER PREV MODERADO MULTIMERCADO CP - CIC FIF RL</v>
          </cell>
          <cell r="E22488" t="str">
            <v>SANTANDER BRASIL GESTAO DE RECURSOS LTDA</v>
          </cell>
        </row>
        <row r="22489">
          <cell r="B22489">
            <v>82900</v>
          </cell>
          <cell r="C22489" t="str">
            <v>UMA FUNDO DE INVESTIMENTO MULTIMERCADO</v>
          </cell>
          <cell r="D22489" t="str">
            <v>UMA FUNDO DE INVESTIMENTO MULTIMERCADO</v>
          </cell>
          <cell r="E22489" t="str">
            <v>LIFETIME GESTORA DE RECURSOS LTDA</v>
          </cell>
        </row>
        <row r="22490">
          <cell r="B22490">
            <v>82902</v>
          </cell>
          <cell r="C22490" t="str">
            <v>ITAU HUNTER LONG SHORT PLUS FIF MULTMERCADO RL</v>
          </cell>
          <cell r="D22490" t="str">
            <v>ITAU HUNTER LONG SHORT PLUS FIF MULTMERCADO RL</v>
          </cell>
          <cell r="E22490" t="str">
            <v>ITAU UNIBANCO ASSET - TACO</v>
          </cell>
        </row>
        <row r="22491">
          <cell r="B22491">
            <v>82903</v>
          </cell>
          <cell r="C22491" t="str">
            <v>ITAU GOLD US MULTIMERCADO IE FIF RL</v>
          </cell>
          <cell r="D22491" t="str">
            <v>ITAU GOLD US MULTIMERCADO IE FIF RL</v>
          </cell>
          <cell r="E22491" t="str">
            <v>ITAU UNIBANCO ASSET - TACO</v>
          </cell>
        </row>
        <row r="22492">
          <cell r="B22492">
            <v>82904</v>
          </cell>
          <cell r="C22492" t="str">
            <v>ITAU DUAL ADVANCED VÃ‰RTICE OFF PREV FIF MULTIMERCADO CP RL</v>
          </cell>
          <cell r="D22492" t="str">
            <v>ITAU DUAL ADVANCED VÃ‰RTICE OFF PREV FIF MULTIMERCADO CP RL</v>
          </cell>
          <cell r="E22492" t="str">
            <v>ITAU UNIBANCO ASSET - TACO</v>
          </cell>
        </row>
        <row r="22493">
          <cell r="B22493" t="str">
            <v>M47243.769000102</v>
          </cell>
          <cell r="E22493" t="str">
            <v>ABSOLUTE GESTAO DE INVESTIMENTOS LTDA</v>
          </cell>
        </row>
        <row r="22494">
          <cell r="B22494" t="str">
            <v>M14351.454000111</v>
          </cell>
          <cell r="D22494" t="str">
            <v>ABSOLUTE DHAMA GESTAO DE INVESTIMENTOS LTDA</v>
          </cell>
          <cell r="E22494" t="str">
            <v>ABSOLUTE GESTAO DE INVESTIMENTOS LTDA</v>
          </cell>
        </row>
        <row r="22495">
          <cell r="B22495">
            <v>82905</v>
          </cell>
          <cell r="C22495" t="str">
            <v>FP RE FUNDO DE INVESTIMENTO FINANCEIRO MULTIMERCADO RL</v>
          </cell>
          <cell r="D22495" t="str">
            <v>FP RE FUNDO DE INVESTIMENTO FINANCEIRO MULTIMERCADO RL</v>
          </cell>
          <cell r="E22495" t="str">
            <v>FUNDACAO PETROBRAS DE SEGURIDADE SOCIAL PETROS</v>
          </cell>
        </row>
        <row r="22496">
          <cell r="B22496">
            <v>82906</v>
          </cell>
          <cell r="C22496" t="str">
            <v>PETROS SELECAO RETORNO REAL FIF - CI EM ACOES RL</v>
          </cell>
          <cell r="D22496" t="str">
            <v>PETROS SELECAO RETORNO REAL FIF - CI EM ACOES RL</v>
          </cell>
          <cell r="E22496" t="str">
            <v>FUNDACAO PETROBRAS DE SEGURIDADE SOCIAL PETROS</v>
          </cell>
        </row>
        <row r="22497">
          <cell r="B22497">
            <v>82907</v>
          </cell>
          <cell r="C22497" t="str">
            <v>ITAU OPTIMUS LONG SHORT FIF MULT RESP LIMITADA</v>
          </cell>
          <cell r="D22497" t="str">
            <v>ITAU OPTIMUS LONG SHORT FIF MULT RESP LIMITADA</v>
          </cell>
          <cell r="E22497" t="str">
            <v>ITAU UNIBANCO ASSET - TACO</v>
          </cell>
        </row>
        <row r="22498">
          <cell r="B22498" t="str">
            <v>M48307065000100</v>
          </cell>
        </row>
        <row r="22499">
          <cell r="B22499" t="str">
            <v>M48307.065000100</v>
          </cell>
        </row>
        <row r="22500">
          <cell r="B22500">
            <v>82909</v>
          </cell>
          <cell r="C22500" t="str">
            <v>SCOTIABANK BRASIL S.A. CTVM</v>
          </cell>
          <cell r="D22500" t="str">
            <v>SCOTIABANK BRASIL S.A. CTVM</v>
          </cell>
          <cell r="E22500" t="str">
            <v>SCOTIABANK BRASIL S/A</v>
          </cell>
        </row>
        <row r="22501">
          <cell r="B22501">
            <v>82909</v>
          </cell>
          <cell r="C22501" t="str">
            <v>SCOTIABANK BRASIL S.A. CTVM</v>
          </cell>
          <cell r="D22501" t="str">
            <v>SCOTIABANK BRASIL S.A. CTVM</v>
          </cell>
          <cell r="E22501" t="str">
            <v>SCOTIABANK BRASIL S/A</v>
          </cell>
        </row>
        <row r="22502">
          <cell r="B22502">
            <v>82910</v>
          </cell>
          <cell r="C22502" t="str">
            <v>JNJ IBRX PASSIVO FIF CLASSE DE INVESTIMENTO EM ACOES RL</v>
          </cell>
          <cell r="D22502" t="str">
            <v>JNJ IBRX PASSIVO FIF CLASSE DE INVESTIMENTO EM ACOES RL</v>
          </cell>
          <cell r="E22502" t="str">
            <v>SANTANDER BRASIL GESTAO DE RECURSOS LTDA</v>
          </cell>
        </row>
        <row r="22503">
          <cell r="B22503">
            <v>82911</v>
          </cell>
          <cell r="C22503" t="str">
            <v>MORADA PREV FUNDO DE INVESTIMENTO FINANCEIRO EM AÃ‡Ã•ES</v>
          </cell>
          <cell r="D22503" t="str">
            <v>MORADA PREV FUNDO DE INVESTIMENTO FINANCEIRO EM AÃ‡Ã•ES</v>
          </cell>
          <cell r="E22503" t="str">
            <v>MORADA CAPITAL LTDA</v>
          </cell>
        </row>
        <row r="22504">
          <cell r="B22504">
            <v>82912</v>
          </cell>
          <cell r="C22504" t="str">
            <v>SCOTIABANK BRASIL S.A. CTVM</v>
          </cell>
          <cell r="D22504" t="str">
            <v>SCOTIABANK BRASIL S.A. CTVM</v>
          </cell>
          <cell r="E22504" t="str">
            <v>SCOTIABANK BRASIL S/A</v>
          </cell>
        </row>
        <row r="22505">
          <cell r="B22505">
            <v>82913</v>
          </cell>
          <cell r="C22505" t="str">
            <v>SCOTIABANK BRASIL S.A. CTVM</v>
          </cell>
          <cell r="D22505" t="str">
            <v>SCOTIABANK BRASIL S.A. CTVM</v>
          </cell>
          <cell r="E22505" t="str">
            <v>SCOTIABANK BRASIL S/A</v>
          </cell>
        </row>
        <row r="22506">
          <cell r="B22506" t="str">
            <v>M 00532804000131</v>
          </cell>
          <cell r="C22506" t="str">
            <v>CERES FUNDACAO DE SEGURIDADE SOCIAL</v>
          </cell>
          <cell r="D22506" t="str">
            <v>CERES FUNDACAO DE SEGURIDADE SOCIAL</v>
          </cell>
          <cell r="E22506" t="str">
            <v>CERES FUNDACAO DE SEGURIDADE SOCIAL</v>
          </cell>
        </row>
        <row r="22507">
          <cell r="B22507">
            <v>82914</v>
          </cell>
          <cell r="C22507" t="str">
            <v>GOLDMAN SACHS INTERNATIONAL - CITI</v>
          </cell>
          <cell r="D22507" t="str">
            <v>GOLDMAN SACHS INTERNATIONAL - CITI</v>
          </cell>
          <cell r="E22507" t="str">
            <v>GOLDMAN SACHS DO BRASIL BANCO MULTIPLO S/A</v>
          </cell>
        </row>
        <row r="22508">
          <cell r="B22508">
            <v>123717</v>
          </cell>
          <cell r="C22508" t="str">
            <v>XP TOP DIVIDENDOS FIA</v>
          </cell>
          <cell r="D22508" t="str">
            <v>XP TOP DIVIDENDOS FIA</v>
          </cell>
          <cell r="E22508" t="str">
            <v>XP TOP DIVIDENDOS FIA</v>
          </cell>
        </row>
        <row r="22509">
          <cell r="B22509">
            <v>82917</v>
          </cell>
          <cell r="C22509" t="str">
            <v>LIBANUS FUNDO INCENTIVADO DE IF EM INFRAESTRUTURA RENDA FIXA</v>
          </cell>
          <cell r="D22509" t="str">
            <v>LIBANUS FUNDO INCENTIVADO DE IF EM INFRAESTRUTURA RENDA FIXA</v>
          </cell>
          <cell r="E22509" t="str">
            <v>SONATA GESTORA DE RECURSOS LTDA</v>
          </cell>
        </row>
        <row r="22510">
          <cell r="B22510">
            <v>82918</v>
          </cell>
          <cell r="C22510" t="str">
            <v>ZONDA FIM - CREDITO PRIVADO RESP LTDA</v>
          </cell>
          <cell r="D22510" t="str">
            <v>ZONDA FIM - CREDITO PRIVADO RESP LTDA</v>
          </cell>
          <cell r="E22510" t="str">
            <v>SONATA GESTORA DE RECURSOS LTDA</v>
          </cell>
        </row>
        <row r="22511">
          <cell r="B22511">
            <v>82918</v>
          </cell>
          <cell r="C22511" t="str">
            <v>ZONDA FIM - CREDITO PRIVADO RESP LTDA</v>
          </cell>
          <cell r="D22511" t="str">
            <v>ZONDA FIM - CREDITO PRIVADO RESP LTDA</v>
          </cell>
          <cell r="E22511" t="str">
            <v>SONATA GESTORA DE RECURSOS LTDA</v>
          </cell>
        </row>
        <row r="22512">
          <cell r="B22512">
            <v>82923</v>
          </cell>
          <cell r="C22512" t="str">
            <v>BNP PARIBAS FINANCIAL MARKETS</v>
          </cell>
          <cell r="D22512" t="str">
            <v>BNP PARIBAS FINANCIAL MARKETS</v>
          </cell>
          <cell r="E22512" t="str">
            <v>BNP PARIBAS ASSET MANAGEMENT BRASIL LTDA</v>
          </cell>
        </row>
        <row r="22513">
          <cell r="B22513">
            <v>82922</v>
          </cell>
          <cell r="C22513" t="str">
            <v>BNP PARIBAS FINANCIAL MARKETS</v>
          </cell>
          <cell r="D22513" t="str">
            <v>BNP PARIBAS FINANCIAL MARKETS</v>
          </cell>
          <cell r="E22513" t="str">
            <v>BNP PARIBAS ASSET MANAGEMENT BRASIL LTDA</v>
          </cell>
        </row>
        <row r="22514">
          <cell r="B22514">
            <v>82924</v>
          </cell>
          <cell r="C22514" t="str">
            <v>FUNDACAO MATO GROSSO PREVIDENCIA - MTPREV</v>
          </cell>
          <cell r="D22514" t="str">
            <v>FUNDACAO MATO GROSSO PREVIDENCIA - MTPREV</v>
          </cell>
          <cell r="E22514" t="str">
            <v>RPPS MATO GROSSO</v>
          </cell>
        </row>
        <row r="22515">
          <cell r="B22515">
            <v>82924</v>
          </cell>
          <cell r="C22515" t="str">
            <v>FUNDACAO MATO GROSSO PREVIDENCIA - MTPREV</v>
          </cell>
          <cell r="D22515" t="str">
            <v>FUNDACAO MATO GROSSO PREVIDENCIA - MTPREV</v>
          </cell>
          <cell r="E22515" t="str">
            <v>RPPS MATO GROSSO</v>
          </cell>
        </row>
        <row r="22516">
          <cell r="B22516">
            <v>82925</v>
          </cell>
          <cell r="C22516" t="str">
            <v>INSTITUTO DE PREV SOCIAL DOS SERV MUNICIPAIS DE ITUPEVA</v>
          </cell>
          <cell r="D22516" t="str">
            <v>INSTITUTO DE PREV SOCIAL DOS SERV MUNICIPAIS DE ITUPEVA</v>
          </cell>
          <cell r="E22516" t="str">
            <v>INSTITUTO DE PREV SOCIAL DOS SERV MUNICIPAIS DE ITUPEVA</v>
          </cell>
        </row>
        <row r="22517">
          <cell r="B22517">
            <v>82925</v>
          </cell>
          <cell r="C22517" t="str">
            <v>INSTITUTO DE PREV SOCIAL DOS SERV MUNICIPAIS DE ITUPEVA</v>
          </cell>
          <cell r="D22517" t="str">
            <v>INSTITUTO DE PREV SOCIAL DOS SERV MUNICIPAIS DE ITUPEVA</v>
          </cell>
          <cell r="E22517" t="str">
            <v>INSTITUTO DE PREV SOCIAL DOS SERV MUNICIPAIS DE ITUPEVA</v>
          </cell>
        </row>
        <row r="22518">
          <cell r="B22518">
            <v>82926</v>
          </cell>
          <cell r="C22518" t="str">
            <v>INSTITUTO DE PREVIDENCIA DO ESTADO DO RIO GRANDE DO SUL</v>
          </cell>
          <cell r="D22518" t="str">
            <v>INSTITUTO DE PREVIDENCIA DO ESTADO DO RIO GRANDE DO SUL</v>
          </cell>
          <cell r="E22518" t="str">
            <v>RPPS RIO GRANDE DO SUL IPERGS</v>
          </cell>
        </row>
        <row r="22519">
          <cell r="B22519">
            <v>82926</v>
          </cell>
          <cell r="C22519" t="str">
            <v>INSTITUTO DE PREVIDENCIA DO ESTADO DO RIO GRANDE DO SUL</v>
          </cell>
          <cell r="D22519" t="str">
            <v>INSTITUTO DE PREVIDENCIA DO ESTADO DO RIO GRANDE DO SUL</v>
          </cell>
          <cell r="E22519" t="str">
            <v>RPPS RIO GRANDE DO SUL IPERGS</v>
          </cell>
        </row>
        <row r="22520">
          <cell r="B22520">
            <v>82927</v>
          </cell>
          <cell r="C22520" t="str">
            <v>FUNDACAO INST DE PREV SOC DOS SERV DE SAO FRANCISCO DO SUL</v>
          </cell>
          <cell r="D22520" t="str">
            <v>FUNDACAO INST DE PREV SOC DOS SERV DE SAO FRANCISCO DO SUL</v>
          </cell>
          <cell r="E22520" t="str">
            <v>RPPS SAO FRANCISCO DO SUL</v>
          </cell>
        </row>
        <row r="22521">
          <cell r="B22521">
            <v>82927</v>
          </cell>
          <cell r="C22521" t="str">
            <v>FUNDACAO INST DE PREV SOC DOS SERV DE SAO FRANCISCO DO SUL</v>
          </cell>
          <cell r="D22521" t="str">
            <v>FUNDACAO INST DE PREV SOC DOS SERV DE SAO FRANCISCO DO SUL</v>
          </cell>
          <cell r="E22521" t="str">
            <v>RPPS SAO FRANCISCO DO SUL</v>
          </cell>
        </row>
        <row r="22522">
          <cell r="B22522">
            <v>82928</v>
          </cell>
          <cell r="C22522" t="str">
            <v>INSTITUTO DE PREVIDENCIA DO SERVIDOR MUNICIPAL</v>
          </cell>
          <cell r="D22522" t="str">
            <v>INSTITUTO DE PREVIDENCIA DO SERVIDOR MUNICIPAL</v>
          </cell>
          <cell r="E22522" t="str">
            <v>INSTITUTO DE PREVIDENCIA DO SERVIDOR MUNICIPAL</v>
          </cell>
        </row>
        <row r="22523">
          <cell r="B22523">
            <v>82928</v>
          </cell>
          <cell r="C22523" t="str">
            <v>INSTITUTO DE PREVIDENCIA DO SERVIDOR MUNICIPAL</v>
          </cell>
          <cell r="D22523" t="str">
            <v>INSTITUTO DE PREVIDENCIA DO SERVIDOR MUNICIPAL</v>
          </cell>
          <cell r="E22523" t="str">
            <v>INSTITUTO DE PREVIDENCIA DO SERVIDOR MUNICIPAL</v>
          </cell>
        </row>
        <row r="22524">
          <cell r="B22524">
            <v>82929</v>
          </cell>
          <cell r="C22524" t="str">
            <v>INSTITUTO DE PREV DOS SERVIDORES DO MUNICIPIO DE CURITIBA</v>
          </cell>
          <cell r="D22524" t="str">
            <v>INSTITUTO DE PREV DOS SERVIDORES DO MUNICIPIO DE CURITIBA</v>
          </cell>
          <cell r="E22524" t="str">
            <v>RPPS CURITIBA</v>
          </cell>
        </row>
        <row r="22525">
          <cell r="B22525">
            <v>82929</v>
          </cell>
          <cell r="C22525" t="str">
            <v>INSTITUTO DE PREV DOS SERVIDORES DO MUNICIPIO DE CURITIBA</v>
          </cell>
          <cell r="D22525" t="str">
            <v>INSTITUTO DE PREV DOS SERVIDORES DO MUNICIPIO DE CURITIBA</v>
          </cell>
          <cell r="E22525" t="str">
            <v>RPPS CURITIBA</v>
          </cell>
        </row>
        <row r="22526">
          <cell r="B22526">
            <v>82933</v>
          </cell>
          <cell r="C22526" t="str">
            <v>NOVO PLANO DE BENEFICIOS DA FUNCEF</v>
          </cell>
          <cell r="D22526" t="str">
            <v>NOVO PLANO DE BENEFICIOS DA FUNCEF</v>
          </cell>
          <cell r="E22526" t="str">
            <v>FUNDACAO DOS ECONOMIARIOS FEDERAIS - FUNCEF</v>
          </cell>
        </row>
        <row r="22527">
          <cell r="B22527">
            <v>82934</v>
          </cell>
          <cell r="C22527" t="str">
            <v>REGULAMENTO DO PLANO DE BENEFICIOS REG REPLAN</v>
          </cell>
          <cell r="D22527" t="str">
            <v>REGULAMENTO DO PLANO DE BENEFICIOS REG REPLAN</v>
          </cell>
          <cell r="E22527" t="str">
            <v>FUNDACAO DOS ECONOMIARIOS FEDERAIS - FUNCEF</v>
          </cell>
        </row>
        <row r="22528">
          <cell r="B22528">
            <v>82930</v>
          </cell>
          <cell r="C22528" t="str">
            <v>INSTITUTO DE GESTAO PREVIDENCIARIA DO ESTADO DO TOCANTINS</v>
          </cell>
          <cell r="D22528" t="str">
            <v>INSTITUTO DE GESTAO PREVIDENCIARIA DO ESTADO DO TOCANTINS</v>
          </cell>
          <cell r="E22528" t="str">
            <v>INSTITUTO DE GESTAO PREVIDENCIARIA DO ESTADO DO TOCANTINS</v>
          </cell>
        </row>
        <row r="22529">
          <cell r="B22529">
            <v>82930</v>
          </cell>
          <cell r="C22529" t="str">
            <v>INSTITUTO DE GESTAO PREVIDENCIARIA DO ESTADO DO TOCANTINS</v>
          </cell>
          <cell r="D22529" t="str">
            <v>INSTITUTO DE GESTAO PREVIDENCIARIA DO ESTADO DO TOCANTINS</v>
          </cell>
          <cell r="E22529" t="str">
            <v>INSTITUTO DE GESTAO PREVIDENCIARIA DO ESTADO DO TOCANTINS</v>
          </cell>
        </row>
        <row r="22530">
          <cell r="B22530">
            <v>82931</v>
          </cell>
          <cell r="C22530" t="str">
            <v>PLANO DE PREV COMPLEMENTAR DOS SERVIDORES DO ESTADO DO CEARA</v>
          </cell>
          <cell r="D22530" t="str">
            <v>PLANO DE PREV COMPLEMENTAR DOS SERVIDORES DO ESTADO DO CEARA</v>
          </cell>
          <cell r="E22530" t="str">
            <v>PLANO DE PREV COMPLEMENTAR DOS SERVIDORES DO ESTADO DO CEARA</v>
          </cell>
        </row>
        <row r="22531">
          <cell r="B22531">
            <v>82931</v>
          </cell>
          <cell r="C22531" t="str">
            <v>PLANO DE PREV COMPLEMENTAR DOS SERVIDORES DO ESTADO DO CEARA</v>
          </cell>
          <cell r="D22531" t="str">
            <v>PLANO DE PREV COMPLEMENTAR DOS SERVIDORES DO ESTADO DO CEARA</v>
          </cell>
          <cell r="E22531" t="str">
            <v>PLANO DE PREV COMPLEMENTAR DOS SERVIDORES DO ESTADO DO CEARA</v>
          </cell>
        </row>
        <row r="22532">
          <cell r="B22532">
            <v>82932</v>
          </cell>
          <cell r="C22532" t="str">
            <v>FUNDACAO DA SEGURIDADE SOCIAL DOS SERV PUB MUN SOROCABA</v>
          </cell>
          <cell r="D22532" t="str">
            <v>FUNDACAO DA SEGURIDADE SOCIAL DOS SERV PUB MUN SOROCABA</v>
          </cell>
          <cell r="E22532" t="str">
            <v>RPPS SOROCABA</v>
          </cell>
        </row>
        <row r="22533">
          <cell r="B22533">
            <v>82932</v>
          </cell>
          <cell r="C22533" t="str">
            <v>FUNDACAO DA SEGURIDADE SOCIAL DOS SERV PUB MUN SOROCABA</v>
          </cell>
          <cell r="D22533" t="str">
            <v>FUNDACAO DA SEGURIDADE SOCIAL DOS SERV PUB MUN SOROCABA</v>
          </cell>
          <cell r="E22533" t="str">
            <v>RPPS SOROCABA</v>
          </cell>
        </row>
        <row r="22534">
          <cell r="B22534">
            <v>82936</v>
          </cell>
          <cell r="C22534" t="str">
            <v>PLANO DE BENEFICIOS LUNELLIPREV</v>
          </cell>
          <cell r="D22534" t="str">
            <v>PLANO DE BENEFICIOS LUNELLIPREV</v>
          </cell>
          <cell r="E22534" t="str">
            <v>PLANO DE BENEFICIOS LUNELLIPREV</v>
          </cell>
        </row>
        <row r="22535">
          <cell r="B22535">
            <v>82936</v>
          </cell>
          <cell r="C22535" t="str">
            <v>PLANO DE BENEFICIOS LUNELLIPREV</v>
          </cell>
          <cell r="D22535" t="str">
            <v>PLANO DE BENEFICIOS LUNELLIPREV</v>
          </cell>
          <cell r="E22535" t="str">
            <v>PLANO DE BENEFICIOS LUNELLIPREV</v>
          </cell>
        </row>
        <row r="22536">
          <cell r="B22536">
            <v>82937</v>
          </cell>
          <cell r="C22536" t="str">
            <v>INSTITUTO DE PREV SOCIAL DOS SERV PUBLICOS DO MUN BERTIOGA</v>
          </cell>
          <cell r="D22536" t="str">
            <v>INSTITUTO DE PREV SOCIAL DOS SERV PUBLICOS DO MUN BERTIOGA</v>
          </cell>
          <cell r="E22536" t="str">
            <v>INSTITUTO DE PREV SOCIAL DOS SERV PUBLICOS DO MUN BERTIOGA</v>
          </cell>
        </row>
        <row r="22537">
          <cell r="B22537">
            <v>82937</v>
          </cell>
          <cell r="C22537" t="str">
            <v>INSTITUTO DE PREV SOCIAL DOS SERV PUBLICOS DO MUN BERTIOGA</v>
          </cell>
          <cell r="D22537" t="str">
            <v>INSTITUTO DE PREV SOCIAL DOS SERV PUBLICOS DO MUN BERTIOGA</v>
          </cell>
          <cell r="E22537" t="str">
            <v>INSTITUTO DE PREV SOCIAL DOS SERV PUBLICOS DO MUN BERTIOGA</v>
          </cell>
        </row>
        <row r="22538">
          <cell r="B22538">
            <v>82938</v>
          </cell>
          <cell r="C22538" t="str">
            <v>INSTITUTO DE PREVIDENCIA SOCIAL DO MUNICIPIO DE MACAE</v>
          </cell>
          <cell r="D22538" t="str">
            <v>INSTITUTO DE PREVIDENCIA SOCIAL DO MUNICIPIO DE MACAE</v>
          </cell>
          <cell r="E22538" t="str">
            <v>RPPS MACAE</v>
          </cell>
        </row>
        <row r="22539">
          <cell r="B22539">
            <v>82938</v>
          </cell>
          <cell r="C22539" t="str">
            <v>INSTITUTO DE PREVIDENCIA SOCIAL DO MUNICIPIO DE MACAE</v>
          </cell>
          <cell r="D22539" t="str">
            <v>INSTITUTO DE PREVIDENCIA SOCIAL DO MUNICIPIO DE MACAE</v>
          </cell>
          <cell r="E22539" t="str">
            <v>RPPS MACAE</v>
          </cell>
        </row>
        <row r="22540">
          <cell r="B22540">
            <v>82939</v>
          </cell>
          <cell r="C22540" t="str">
            <v>INST PREV SOCIAL DO SERV PUBLICO DO MUNICIPIO PORTO FERREIRA</v>
          </cell>
          <cell r="D22540" t="str">
            <v>INST PREV SOCIAL DO SERV PUBLICO DO MUNICIPIO PORTO FERREIRA</v>
          </cell>
          <cell r="E22540" t="str">
            <v>INST PREV SOCIAL DO SERV PUBLICO DO MUNICIPIO PORTO FERREIRA</v>
          </cell>
        </row>
        <row r="22541">
          <cell r="B22541">
            <v>82939</v>
          </cell>
          <cell r="C22541" t="str">
            <v>INST PREV SOCIAL DO SERV PUBLICO DO MUNICIPIO PORTO FERREIRA</v>
          </cell>
          <cell r="D22541" t="str">
            <v>INST PREV SOCIAL DO SERV PUBLICO DO MUNICIPIO PORTO FERREIRA</v>
          </cell>
          <cell r="E22541" t="str">
            <v>INST PREV SOCIAL DO SERV PUBLICO DO MUNICIPIO PORTO FERREIRA</v>
          </cell>
        </row>
        <row r="22542">
          <cell r="B22542">
            <v>82944</v>
          </cell>
          <cell r="C22542" t="str">
            <v>INSTITUTO DE PREVIDENCIA DE APARECIDA DE GOIANIA</v>
          </cell>
          <cell r="D22542" t="str">
            <v>INSTITUTO DE PREVIDENCIA DE APARECIDA DE GOIANIA</v>
          </cell>
          <cell r="E22542" t="str">
            <v>INSTITUTO DE PREVIDENCIA DE APARECIDA DE GOIANIA</v>
          </cell>
        </row>
        <row r="22543">
          <cell r="B22543">
            <v>82944</v>
          </cell>
          <cell r="C22543" t="str">
            <v>INSTITUTO DE PREVIDENCIA DE APARECIDA DE GOIANIA</v>
          </cell>
          <cell r="D22543" t="str">
            <v>INSTITUTO DE PREVIDENCIA DE APARECIDA DE GOIANIA</v>
          </cell>
          <cell r="E22543" t="str">
            <v>INSTITUTO DE PREVIDENCIA DE APARECIDA DE GOIANIA</v>
          </cell>
        </row>
        <row r="22544">
          <cell r="B22544">
            <v>82945</v>
          </cell>
          <cell r="C22544" t="str">
            <v>INSTITUTO DE PREVIDENCIA MUNICIPAL DE MOGI DAS CRUZES IPREM</v>
          </cell>
          <cell r="D22544" t="str">
            <v>INSTITUTO DE PREVIDENCIA MUNICIPAL DE MOGI DAS CRUZES IPREM</v>
          </cell>
          <cell r="E22544" t="str">
            <v>RPPS MOGI DAS CRUZES</v>
          </cell>
        </row>
        <row r="22545">
          <cell r="B22545">
            <v>82945</v>
          </cell>
          <cell r="C22545" t="str">
            <v>INSTITUTO DE PREVIDENCIA MUNICIPAL DE MOGI DAS CRUZES IPREM</v>
          </cell>
          <cell r="D22545" t="str">
            <v>INSTITUTO DE PREVIDENCIA MUNICIPAL DE MOGI DAS CRUZES IPREM</v>
          </cell>
          <cell r="E22545" t="str">
            <v>RPPS MOGI DAS CRUZES</v>
          </cell>
        </row>
        <row r="22546">
          <cell r="B22546">
            <v>82940</v>
          </cell>
          <cell r="C22546" t="str">
            <v>INSTITUTO DE PREVIDENCIA DO MUNCIPIO DE CARAGUATATUBA</v>
          </cell>
          <cell r="D22546" t="str">
            <v>INSTITUTO DE PREVIDENCIA DO MUNCIPIO DE CARAGUATATUBA</v>
          </cell>
          <cell r="E22546" t="str">
            <v>RPPS CARAGUAPREV</v>
          </cell>
        </row>
        <row r="22547">
          <cell r="B22547">
            <v>82946</v>
          </cell>
          <cell r="C22547" t="str">
            <v>INST DE PREVIDÃŠNCIA DOS SERV PÃšBLICOS DO MUN. DE VARGINHA</v>
          </cell>
          <cell r="D22547" t="str">
            <v>INST DE PREVIDÃŠNCIA DOS SERV PÃšBLICOS DO MUN. DE VARGINHA</v>
          </cell>
          <cell r="E22547" t="str">
            <v>RPPS VARGINHA</v>
          </cell>
        </row>
        <row r="22548">
          <cell r="B22548">
            <v>82940</v>
          </cell>
          <cell r="C22548" t="str">
            <v>INSTITUTO DE PREVIDENCIA DO MUNCIPIO DE CARAGUATATUBA</v>
          </cell>
          <cell r="D22548" t="str">
            <v>INSTITUTO DE PREVIDENCIA DO MUNCIPIO DE CARAGUATATUBA</v>
          </cell>
          <cell r="E22548" t="str">
            <v>RPPS CARAGUAPREV</v>
          </cell>
        </row>
        <row r="22549">
          <cell r="B22549">
            <v>82946</v>
          </cell>
          <cell r="C22549" t="str">
            <v>INST DE PREVIDÃŠNCIA DOS SERV PÃšBLICOS DO MUN. DE VARGINHA</v>
          </cell>
          <cell r="D22549" t="str">
            <v>INST DE PREVIDÃŠNCIA DOS SERV PÃšBLICOS DO MUN. DE VARGINHA</v>
          </cell>
          <cell r="E22549" t="str">
            <v>RPPS VARGINHA</v>
          </cell>
        </row>
        <row r="22550">
          <cell r="B22550">
            <v>82947</v>
          </cell>
          <cell r="C22550" t="str">
            <v>GUARUJA PREVIDENCIA</v>
          </cell>
          <cell r="D22550" t="str">
            <v>GUARUJA PREVIDENCIA</v>
          </cell>
          <cell r="E22550" t="str">
            <v>RPPS GUARUJAPREV</v>
          </cell>
        </row>
        <row r="22551">
          <cell r="B22551">
            <v>82947</v>
          </cell>
          <cell r="C22551" t="str">
            <v>GUARUJA PREVIDENCIA</v>
          </cell>
          <cell r="D22551" t="str">
            <v>GUARUJA PREVIDENCIA</v>
          </cell>
          <cell r="E22551" t="str">
            <v>RPPS GUARUJAPREV</v>
          </cell>
        </row>
        <row r="22552">
          <cell r="B22552">
            <v>82948</v>
          </cell>
          <cell r="C22552" t="str">
            <v>FUNDO DE PREVIDENCIA DO MUNICIPIO DE LOUVEIRA</v>
          </cell>
          <cell r="D22552" t="str">
            <v>FUNDO DE PREVIDENCIA DO MUNICIPIO DE LOUVEIRA</v>
          </cell>
          <cell r="E22552" t="str">
            <v>RPPS LOUVEIRA</v>
          </cell>
        </row>
        <row r="22553">
          <cell r="B22553">
            <v>82948</v>
          </cell>
          <cell r="C22553" t="str">
            <v>FUNDO DE PREVIDENCIA DO MUNICIPIO DE LOUVEIRA</v>
          </cell>
          <cell r="D22553" t="str">
            <v>FUNDO DE PREVIDENCIA DO MUNICIPIO DE LOUVEIRA</v>
          </cell>
          <cell r="E22553" t="str">
            <v>RPPS LOUVEIRA</v>
          </cell>
        </row>
        <row r="22554">
          <cell r="B22554">
            <v>82949</v>
          </cell>
          <cell r="C22554" t="str">
            <v>INSTITUTO BRUSQUENSE DE PREVIDENCIA - IBPREV</v>
          </cell>
          <cell r="D22554" t="str">
            <v>INSTITUTO BRUSQUENSE DE PREVIDENCIA - IBPREV</v>
          </cell>
          <cell r="E22554" t="str">
            <v>INSTITUTO BRUSQUENSE DE PREVIDENCIA - IBPREV</v>
          </cell>
        </row>
        <row r="22555">
          <cell r="B22555">
            <v>82949</v>
          </cell>
          <cell r="C22555" t="str">
            <v>INSTITUTO BRUSQUENSE DE PREVIDENCIA - IBPREV</v>
          </cell>
          <cell r="D22555" t="str">
            <v>INSTITUTO BRUSQUENSE DE PREVIDENCIA - IBPREV</v>
          </cell>
          <cell r="E22555" t="str">
            <v>INSTITUTO BRUSQUENSE DE PREVIDENCIA - IBPREV</v>
          </cell>
        </row>
        <row r="22556">
          <cell r="B22556">
            <v>82941</v>
          </cell>
          <cell r="C22556" t="str">
            <v>INSTITUTO MUNICIPAL DE PREVIDENCIA SOCIAL DE SIDROLANDI</v>
          </cell>
          <cell r="D22556" t="str">
            <v>INSTITUTO MUNICIPAL DE PREVIDENCIA SOCIAL DE SIDROLANDI</v>
          </cell>
          <cell r="E22556" t="str">
            <v>INSTITUTO MUNICIPAL DE PREVIDENCIA SOCIAL DE SIDROLANDI</v>
          </cell>
        </row>
        <row r="22557">
          <cell r="B22557">
            <v>82941</v>
          </cell>
          <cell r="C22557" t="str">
            <v>INSTITUTO MUNICIPAL DE PREVIDENCIA SOCIAL DE SIDROLANDI</v>
          </cell>
          <cell r="D22557" t="str">
            <v>INSTITUTO MUNICIPAL DE PREVIDENCIA SOCIAL DE SIDROLANDI</v>
          </cell>
          <cell r="E22557" t="str">
            <v>INSTITUTO MUNICIPAL DE PREVIDENCIA SOCIAL DE SIDROLANDI</v>
          </cell>
        </row>
        <row r="22558">
          <cell r="B22558">
            <v>82942</v>
          </cell>
          <cell r="C22558" t="str">
            <v>INST DE PREV SOCIAL DOS SERV PUBLICOS DO MUNICIPIO BALNEARIO</v>
          </cell>
          <cell r="D22558" t="str">
            <v>INST DE PREV SOCIAL DOS SERV PUBLICOS DO MUNICIPIO BALNEARIO</v>
          </cell>
          <cell r="E22558" t="str">
            <v>INST DE PREV SOCIAL DOS SERV PUBLICOS DO MUNICIPIO BALNEARIO</v>
          </cell>
        </row>
        <row r="22559">
          <cell r="B22559">
            <v>82942</v>
          </cell>
          <cell r="C22559" t="str">
            <v>INST DE PREV SOCIAL DOS SERV PUBLICOS DO MUNICIPIO BALNEARIO</v>
          </cell>
          <cell r="D22559" t="str">
            <v>INST DE PREV SOCIAL DOS SERV PUBLICOS DO MUNICIPIO BALNEARIO</v>
          </cell>
          <cell r="E22559" t="str">
            <v>INST DE PREV SOCIAL DOS SERV PUBLICOS DO MUNICIPIO BALNEARIO</v>
          </cell>
        </row>
        <row r="22560">
          <cell r="B22560">
            <v>82950</v>
          </cell>
          <cell r="C22560" t="str">
            <v>REGIME PROPRIO DE PREVIDENCIA DO MUNICIPIO DE AGUDO</v>
          </cell>
          <cell r="D22560" t="str">
            <v>REGIME PROPRIO DE PREVIDENCIA DO MUNICIPIO DE AGUDO</v>
          </cell>
          <cell r="E22560" t="str">
            <v>RPPS AGUDO</v>
          </cell>
        </row>
        <row r="22561">
          <cell r="B22561">
            <v>82950</v>
          </cell>
          <cell r="C22561" t="str">
            <v>REGIME PROPRIO DE PREVIDENCIA DO MUNICIPIO DE AGUDO</v>
          </cell>
          <cell r="D22561" t="str">
            <v>REGIME PROPRIO DE PREVIDENCIA DO MUNICIPIO DE AGUDO</v>
          </cell>
          <cell r="E22561" t="str">
            <v>RPPS AGUDO</v>
          </cell>
        </row>
        <row r="22562">
          <cell r="B22562">
            <v>122821</v>
          </cell>
          <cell r="C22562" t="str">
            <v>BANCO VOTORANTIM S/A</v>
          </cell>
          <cell r="D22562" t="str">
            <v>BANCO VOTORANTIM S/A</v>
          </cell>
          <cell r="E22562" t="str">
            <v>BANCO VOTORANTIM S/A</v>
          </cell>
        </row>
        <row r="22563">
          <cell r="B22563">
            <v>122204</v>
          </cell>
          <cell r="C22563" t="str">
            <v>BANCO VOTORANTIM S/A</v>
          </cell>
          <cell r="D22563" t="str">
            <v>BANCO VOTORANTIM S/A</v>
          </cell>
          <cell r="E22563" t="str">
            <v>BANCO VOTORANTIM S/A</v>
          </cell>
        </row>
        <row r="22564">
          <cell r="B22564">
            <v>82951</v>
          </cell>
          <cell r="C22564" t="str">
            <v>INSTITUTO DE PREVIDENCIA DOS SERVIDORES DO MUNICIPIO DE DIVI</v>
          </cell>
          <cell r="D22564" t="str">
            <v>INSTITUTO DE PREVIDENCIA DOS SERVIDORES DO MUNICIPIO DE DIVI</v>
          </cell>
          <cell r="E22564" t="str">
            <v>INSTITUTO DE PREVIDENCIA DOS SERVIDORES DO MUNICIPIO DE DIVI</v>
          </cell>
        </row>
        <row r="22565">
          <cell r="B22565">
            <v>82951</v>
          </cell>
          <cell r="C22565" t="str">
            <v>INSTITUTO DE PREVIDENCIA DOS SERVIDORES DO MUNICIPIO DE DIVI</v>
          </cell>
          <cell r="D22565" t="str">
            <v>INSTITUTO DE PREVIDENCIA DOS SERVIDORES DO MUNICIPIO DE DIVI</v>
          </cell>
          <cell r="E22565" t="str">
            <v>INSTITUTO DE PREVIDENCIA DOS SERVIDORES DO MUNICIPIO DE DIVI</v>
          </cell>
        </row>
        <row r="22566">
          <cell r="B22566">
            <v>82952</v>
          </cell>
          <cell r="C22566" t="str">
            <v>FUNDO DE PREVIDENCIA SOCIAL DO MUNICIPIO</v>
          </cell>
          <cell r="D22566" t="str">
            <v>FUNDO DE PREVIDENCIA SOCIAL DO MUNICIPIO</v>
          </cell>
          <cell r="E22566" t="str">
            <v>FUNDO DE PREVIDENCIA SOCIAL DO MUNICIPIO</v>
          </cell>
        </row>
        <row r="22567">
          <cell r="B22567">
            <v>82952</v>
          </cell>
          <cell r="C22567" t="str">
            <v>FUNDO DE PREVIDENCIA SOCIAL DO MUNICIPIO</v>
          </cell>
          <cell r="D22567" t="str">
            <v>FUNDO DE PREVIDENCIA SOCIAL DO MUNICIPIO</v>
          </cell>
          <cell r="E22567" t="str">
            <v>FUNDO DE PREVIDENCIA SOCIAL DO MUNICIPIO</v>
          </cell>
        </row>
        <row r="22568">
          <cell r="B22568">
            <v>82953</v>
          </cell>
          <cell r="C22568" t="str">
            <v>PLANO DE BENEFICIOS PREVER</v>
          </cell>
          <cell r="D22568" t="str">
            <v>PLANO DE BENEFICIOS PREVER</v>
          </cell>
          <cell r="E22568" t="str">
            <v>PLANO DE BENEFICIOS PREVER</v>
          </cell>
        </row>
        <row r="22569">
          <cell r="B22569">
            <v>82953</v>
          </cell>
          <cell r="C22569" t="str">
            <v>PLANO DE BENEFICIOS PREVER</v>
          </cell>
          <cell r="D22569" t="str">
            <v>PLANO DE BENEFICIOS PREVER</v>
          </cell>
          <cell r="E22569" t="str">
            <v>PLANO DE BENEFICIOS PREVER</v>
          </cell>
        </row>
        <row r="22570">
          <cell r="B22570">
            <v>82954</v>
          </cell>
          <cell r="C22570" t="str">
            <v>FUNDO DE PREV APOSENTADORIA E PENSAO DO SERVIDOR FUNPRES</v>
          </cell>
          <cell r="D22570" t="str">
            <v>FUNDO DE PREV APOSENTADORIA E PENSAO DO SERVIDOR FUNPRES</v>
          </cell>
          <cell r="E22570" t="str">
            <v>FUNDO DE PREV APOSENTADORIA E PENSAO DO SERVIDOR FUNPRES</v>
          </cell>
        </row>
        <row r="22571">
          <cell r="B22571">
            <v>82954</v>
          </cell>
          <cell r="C22571" t="str">
            <v>FUNDO DE PREV APOSENTADORIA E PENSAO DO SERVIDOR FUNPRES</v>
          </cell>
          <cell r="D22571" t="str">
            <v>FUNDO DE PREV APOSENTADORIA E PENSAO DO SERVIDOR FUNPRES</v>
          </cell>
          <cell r="E22571" t="str">
            <v>FUNDO DE PREV APOSENTADORIA E PENSAO DO SERVIDOR FUNPRES</v>
          </cell>
        </row>
        <row r="22572">
          <cell r="B22572">
            <v>82955</v>
          </cell>
          <cell r="C22572" t="str">
            <v>FUNDO NITEROI PREV - PREVIDENCIARIO</v>
          </cell>
          <cell r="D22572" t="str">
            <v>FUNDO NITEROI PREV - PREVIDENCIARIO</v>
          </cell>
          <cell r="E22572" t="str">
            <v>FUNDO NITEROI PREV - PREVIDENCIARIO</v>
          </cell>
        </row>
        <row r="22573">
          <cell r="B22573">
            <v>82955</v>
          </cell>
          <cell r="C22573" t="str">
            <v>FUNDO NITEROI PREV - PREVIDENCIARIO</v>
          </cell>
          <cell r="D22573" t="str">
            <v>FUNDO NITEROI PREV - PREVIDENCIARIO</v>
          </cell>
          <cell r="E22573" t="str">
            <v>FUNDO NITEROI PREV - PREVIDENCIARIO</v>
          </cell>
        </row>
        <row r="22574">
          <cell r="B22574">
            <v>82956</v>
          </cell>
          <cell r="C22574" t="str">
            <v>INST DE PREV SOCIAL DOS SERV PUBLICOS MUN NOVO HORIZONTE</v>
          </cell>
          <cell r="D22574" t="str">
            <v>INST DE PREV SOCIAL DOS SERV PUBLICOS MUN NOVO HORIZONTE</v>
          </cell>
          <cell r="E22574" t="str">
            <v>INST DE PREV SOCIAL DOS SERV PUBLICOS MUN NOVO HORIZONTE</v>
          </cell>
        </row>
        <row r="22575">
          <cell r="B22575">
            <v>82956</v>
          </cell>
          <cell r="C22575" t="str">
            <v>INST DE PREV SOCIAL DOS SERV PUBLICOS MUN NOVO HORIZONTE</v>
          </cell>
          <cell r="D22575" t="str">
            <v>INST DE PREV SOCIAL DOS SERV PUBLICOS MUN NOVO HORIZONTE</v>
          </cell>
          <cell r="E22575" t="str">
            <v>INST DE PREV SOCIAL DOS SERV PUBLICOS MUN NOVO HORIZONTE</v>
          </cell>
        </row>
        <row r="22576">
          <cell r="B22576">
            <v>82957</v>
          </cell>
          <cell r="C22576" t="str">
            <v>INST DE PREV SOCIAL DOS SERV PUBLICOS DO MUNICIPIO GAROPABA</v>
          </cell>
          <cell r="D22576" t="str">
            <v>INST DE PREV SOCIAL DOS SERV PUBLICOS DO MUNICIPIO GAROPABA</v>
          </cell>
          <cell r="E22576" t="str">
            <v>INST DE PREV SOCIAL DOS SERV PUBLICOS DO MUNICIPIO GAROPABA</v>
          </cell>
        </row>
        <row r="22577">
          <cell r="B22577">
            <v>82957</v>
          </cell>
          <cell r="C22577" t="str">
            <v>INST DE PREV SOCIAL DOS SERV PUBLICOS DO MUNICIPIO GAROPABA</v>
          </cell>
          <cell r="D22577" t="str">
            <v>INST DE PREV SOCIAL DOS SERV PUBLICOS DO MUNICIPIO GAROPABA</v>
          </cell>
          <cell r="E22577" t="str">
            <v>INST DE PREV SOCIAL DOS SERV PUBLICOS DO MUNICIPIO GAROPABA</v>
          </cell>
        </row>
        <row r="22578">
          <cell r="B22578">
            <v>82958</v>
          </cell>
          <cell r="C22578" t="str">
            <v>INST DE PREV SOCIAL DOS SERV DO MUNICIPIO DE PAPANDUVA</v>
          </cell>
          <cell r="D22578" t="str">
            <v>INST DE PREV SOCIAL DOS SERV DO MUNICIPIO DE PAPANDUVA</v>
          </cell>
          <cell r="E22578" t="str">
            <v>RPPS PAPANDUVA</v>
          </cell>
        </row>
        <row r="22579">
          <cell r="B22579">
            <v>82958</v>
          </cell>
          <cell r="C22579" t="str">
            <v>INST DE PREV SOCIAL DOS SERV DO MUNICIPIO DE PAPANDUVA</v>
          </cell>
          <cell r="D22579" t="str">
            <v>INST DE PREV SOCIAL DOS SERV DO MUNICIPIO DE PAPANDUVA</v>
          </cell>
          <cell r="E22579" t="str">
            <v>RPPS PAPANDUVA</v>
          </cell>
        </row>
        <row r="22580">
          <cell r="B22580">
            <v>82959</v>
          </cell>
          <cell r="C22580" t="str">
            <v>FUNDO DE APOSENTADORIA E PENSAO DO SERV DE CORONEL PILAR</v>
          </cell>
          <cell r="D22580" t="str">
            <v>FUNDO DE APOSENTADORIA E PENSAO DO SERV DE CORONEL PILAR</v>
          </cell>
          <cell r="E22580" t="str">
            <v>FUNDO DE APOSENTADORIA E PENSAO DO SERV DE CORONEL PILAR</v>
          </cell>
        </row>
        <row r="22581">
          <cell r="B22581">
            <v>82959</v>
          </cell>
          <cell r="C22581" t="str">
            <v>FUNDO DE APOSENTADORIA E PENSAO DO SERV DE CORONEL PILAR</v>
          </cell>
          <cell r="D22581" t="str">
            <v>FUNDO DE APOSENTADORIA E PENSAO DO SERV DE CORONEL PILAR</v>
          </cell>
          <cell r="E22581" t="str">
            <v>FUNDO DE APOSENTADORIA E PENSAO DO SERV DE CORONEL PILAR</v>
          </cell>
        </row>
        <row r="22582">
          <cell r="B22582">
            <v>82960</v>
          </cell>
          <cell r="C22582" t="str">
            <v>FUNDO DE PREVIDENCIA SOCIAL DO MUNICIPIO DE PASSO DO SOBRADO</v>
          </cell>
          <cell r="D22582" t="str">
            <v>FUNDO DE PREVIDENCIA SOCIAL DO MUNICIPIO DE PASSO DO SOBRADO</v>
          </cell>
          <cell r="E22582" t="str">
            <v>FUNDO DE PREVIDENCIA SOCIAL DO MUNICIPIO DE PASSO DO SOBRADO</v>
          </cell>
        </row>
        <row r="22583">
          <cell r="B22583">
            <v>82960</v>
          </cell>
          <cell r="C22583" t="str">
            <v>FUNDO DE PREVIDENCIA SOCIAL DO MUNICIPIO DE PASSO DO SOBRADO</v>
          </cell>
          <cell r="D22583" t="str">
            <v>FUNDO DE PREVIDENCIA SOCIAL DO MUNICIPIO DE PASSO DO SOBRADO</v>
          </cell>
          <cell r="E22583" t="str">
            <v>FUNDO DE PREVIDENCIA SOCIAL DO MUNICIPIO DE PASSO DO SOBRADO</v>
          </cell>
        </row>
        <row r="22584">
          <cell r="B22584">
            <v>82961</v>
          </cell>
          <cell r="C22584" t="str">
            <v>FUNDO EM CAPITALIZACAO - FCAP</v>
          </cell>
          <cell r="D22584" t="str">
            <v>FUNDO EM CAPITALIZACAO - FCAP</v>
          </cell>
          <cell r="E22584" t="str">
            <v>FUNDO EM CAPITALIZACAO - FCAP</v>
          </cell>
        </row>
        <row r="22585">
          <cell r="B22585">
            <v>82961</v>
          </cell>
          <cell r="C22585" t="str">
            <v>FUNDO EM CAPITALIZACAO - FCAP</v>
          </cell>
          <cell r="D22585" t="str">
            <v>FUNDO EM CAPITALIZACAO - FCAP</v>
          </cell>
          <cell r="E22585" t="str">
            <v>FUNDO EM CAPITALIZACAO - FCAP</v>
          </cell>
        </row>
        <row r="22586">
          <cell r="B22586">
            <v>82962</v>
          </cell>
          <cell r="C22586" t="str">
            <v>INST DE PREV DOS SERV PUBLICOS DO MUNICIPIO DE TIJUCAS DO SU</v>
          </cell>
          <cell r="D22586" t="str">
            <v>INST DE PREV DOS SERV PUBLICOS DO MUNICIPIO DE TIJUCAS DO SU</v>
          </cell>
          <cell r="E22586" t="str">
            <v>RPPS TIJUCAS DO SUL</v>
          </cell>
        </row>
        <row r="22587">
          <cell r="B22587">
            <v>82962</v>
          </cell>
          <cell r="C22587" t="str">
            <v>INST DE PREV DOS SERV PUBLICOS DO MUNICIPIO DE TIJUCAS DO SU</v>
          </cell>
          <cell r="D22587" t="str">
            <v>INST DE PREV DOS SERV PUBLICOS DO MUNICIPIO DE TIJUCAS DO SU</v>
          </cell>
          <cell r="E22587" t="str">
            <v>RPPS TIJUCAS DO SUL</v>
          </cell>
        </row>
        <row r="22588">
          <cell r="B22588">
            <v>82964</v>
          </cell>
          <cell r="C22588" t="str">
            <v>BTG PACTUAL US CAPITAL LLC</v>
          </cell>
          <cell r="D22588" t="str">
            <v>BTG PACTUAL US CAPITAL LLC</v>
          </cell>
          <cell r="E22588" t="str">
            <v>BANCO BTG PACTUAL S/A</v>
          </cell>
        </row>
        <row r="22589">
          <cell r="B22589">
            <v>82969</v>
          </cell>
          <cell r="C22589" t="str">
            <v>GENOA CAPITAL VESTAS MASTER CLASSE DE INVESTIMENTO MULTI RL</v>
          </cell>
          <cell r="D22589" t="str">
            <v>GENOA CAPITAL VESTAS MASTER CLASSE DE INVESTIMENTO MULTI RL</v>
          </cell>
        </row>
        <row r="22590">
          <cell r="B22590">
            <v>82973</v>
          </cell>
          <cell r="C22590" t="str">
            <v>GENOA CAPITAL RADAR MASTER CLASSE DE INVESTIMENTO MULTI RL</v>
          </cell>
          <cell r="D22590" t="str">
            <v>GENOA CAPITAL RADAR MASTER CLASSE DE INVESTIMENTO MULTI RL</v>
          </cell>
        </row>
        <row r="22591">
          <cell r="B22591">
            <v>82974</v>
          </cell>
          <cell r="C22591" t="str">
            <v>GENOA CAPITAL PULSE PREV C FIFE FIF MULT RL</v>
          </cell>
          <cell r="D22591" t="str">
            <v>GENOA CAPITAL PULSE PREV C FIFE FIF MULT RL</v>
          </cell>
        </row>
        <row r="22592">
          <cell r="B22592">
            <v>82975</v>
          </cell>
          <cell r="C22592" t="str">
            <v>GENOA CAPITAL PULSE PREV A FIFE FIF MULT RL</v>
          </cell>
          <cell r="D22592" t="str">
            <v>GENOA CAPITAL PULSE PREV A FIFE FIF MULT RL</v>
          </cell>
        </row>
        <row r="22593">
          <cell r="B22593">
            <v>82976</v>
          </cell>
          <cell r="C22593" t="str">
            <v>TRUXT LONG SHORT PLUS MASTER FIF MULT RESP LTDA</v>
          </cell>
          <cell r="D22593" t="str">
            <v>TRUXT LONG SHORT PLUS MASTER FIF MULT RESP LTDA</v>
          </cell>
          <cell r="E22593" t="str">
            <v>TRUXT INVESTIMENTOS LTDA</v>
          </cell>
        </row>
        <row r="22594">
          <cell r="B22594">
            <v>82977</v>
          </cell>
          <cell r="C22594" t="str">
            <v>SPHERE CLASSE DE INVESTIMENTO MULTIMERCADO CP IE</v>
          </cell>
          <cell r="D22594" t="str">
            <v>SPHERE CLASSE DE INVESTIMENTO MULTIMERCADO CP IE</v>
          </cell>
          <cell r="E22594" t="str">
            <v>SPHERE CLASSE DE INVESTIMENTO MULTIMERCADO CP IE</v>
          </cell>
        </row>
        <row r="22595">
          <cell r="B22595">
            <v>82978</v>
          </cell>
          <cell r="C22595" t="str">
            <v>SPHERE CLASSE DE INVESTIMENTO MULTIMERCADO CP IE</v>
          </cell>
          <cell r="D22595" t="str">
            <v>SPHERE CLASSE DE INVESTIMENTO MULTIMERCADO CP IE</v>
          </cell>
          <cell r="E22595" t="str">
            <v>SPHERE CLASSE DE INVESTIMENTO MULTIMERCADO CP IE</v>
          </cell>
        </row>
        <row r="22596">
          <cell r="B22596">
            <v>82979</v>
          </cell>
          <cell r="C22596" t="str">
            <v>ITAÃš VÃ‰RTICE OMNI EQ FUNDO DE IF MULTIMERCADO RL</v>
          </cell>
          <cell r="D22596" t="str">
            <v>ITAÃš VÃ‰RTICE OMNI EQ FUNDO DE IF MULTIMERCADO RL</v>
          </cell>
        </row>
        <row r="22597">
          <cell r="B22597">
            <v>82981</v>
          </cell>
          <cell r="C22597" t="str">
            <v>AF 21 MASTER FUNDO DE INVESTIMENTO FINANCEIRO MULTIMERCADO</v>
          </cell>
          <cell r="D22597" t="str">
            <v>AF 21 MASTER FUNDO DE INVESTIMENTO FINANCEIRO MULTIMERCADO</v>
          </cell>
        </row>
        <row r="22598">
          <cell r="B22598">
            <v>82982</v>
          </cell>
          <cell r="C22598" t="str">
            <v>HORTO 23 FUNDO DE INVESTIMENTO FINANCEIRO MULTIMERCADO</v>
          </cell>
          <cell r="D22598" t="str">
            <v>HORTO 23 FUNDO DE INVESTIMENTO FINANCEIRO MULTIMERCADO</v>
          </cell>
        </row>
        <row r="22599">
          <cell r="B22599">
            <v>82983</v>
          </cell>
          <cell r="C22599" t="str">
            <v>VISTA ALPHA DINÃ‚MICO MASTER FIF MULTIMERCADO</v>
          </cell>
          <cell r="D22599" t="str">
            <v>VISTA ALPHA DINÃ‚MICO MASTER FIF MULTIMERCADO</v>
          </cell>
        </row>
        <row r="22600">
          <cell r="B22600">
            <v>82984</v>
          </cell>
          <cell r="C22600" t="str">
            <v>VISTA OFF ACCESS FUNDO DE INVESTIMENTO FINANCEIRO MM</v>
          </cell>
          <cell r="D22600" t="str">
            <v>VISTA OFF ACCESS FUNDO DE INVESTIMENTO FINANCEIRO MM</v>
          </cell>
        </row>
        <row r="22601">
          <cell r="B22601">
            <v>82985</v>
          </cell>
          <cell r="C22601" t="str">
            <v>VISTA ON ACCESS FUNDO DE INVESTIMENTO FINANCEIRO MM</v>
          </cell>
          <cell r="D22601" t="str">
            <v>VISTA ON ACCESS FUNDO DE INVESTIMENTO FINANCEIRO MM</v>
          </cell>
        </row>
        <row r="22602">
          <cell r="B22602">
            <v>82986</v>
          </cell>
          <cell r="C22602" t="str">
            <v>VISTA PREV PLUS MASTER FIFE FIF MULTIMERCADO</v>
          </cell>
          <cell r="D22602" t="str">
            <v>VISTA PREV PLUS MASTER FIFE FIF MULTIMERCADO</v>
          </cell>
        </row>
        <row r="22603">
          <cell r="B22603" t="str">
            <v>M40633726000186</v>
          </cell>
          <cell r="C22603" t="str">
            <v>NEWFOUNDLAND IRON GESTORA DE RECURSOS LTDA.</v>
          </cell>
          <cell r="D22603" t="str">
            <v>NEWFOUNDLAND IRON GESTORA DE RECURSOS LTDA.</v>
          </cell>
          <cell r="E22603" t="str">
            <v>NEWFOUNDLAND CAPITAL MANAGEMENT US LLC</v>
          </cell>
        </row>
        <row r="22604">
          <cell r="B22604" t="str">
            <v>M39601591000198</v>
          </cell>
          <cell r="C22604" t="str">
            <v>NEWFOUNDLAND MALIBU GESTORA DE RECURSOS LTDA.</v>
          </cell>
          <cell r="D22604" t="str">
            <v>NEWFOUNDLAND MALIBU GESTORA DE RECURSOS LTDA.</v>
          </cell>
          <cell r="E22604" t="str">
            <v>NEWFOUNDLAND CAPITAL MANAGEMENT US LLC</v>
          </cell>
        </row>
        <row r="22605">
          <cell r="B22605" t="str">
            <v>M51565213000100</v>
          </cell>
          <cell r="C22605" t="str">
            <v>ZSYS ASSET MANAGEMENT LTDA</v>
          </cell>
          <cell r="D22605" t="str">
            <v>ZSYS ASSET MANAGEMENT LTDA</v>
          </cell>
          <cell r="E22605" t="str">
            <v>ZSYS ASSET MANAGEMENT LTDA</v>
          </cell>
        </row>
        <row r="22606">
          <cell r="B22606" t="str">
            <v>M38318963000100</v>
          </cell>
          <cell r="C22606" t="str">
            <v>BRM CARBYNE GESTAO DE RECURSOS SA</v>
          </cell>
          <cell r="D22606" t="str">
            <v>BRM CARBYNE GESTAO DE RECURSOS SA</v>
          </cell>
          <cell r="E22606" t="str">
            <v>BRM CARBYNE GESTAO DE RECURSOS S/A</v>
          </cell>
        </row>
        <row r="22607">
          <cell r="B22607">
            <v>83007</v>
          </cell>
          <cell r="C22607" t="str">
            <v>UBS PROPRIO FIF MULTIMERCADO CREDITO PRIVADO</v>
          </cell>
          <cell r="D22607" t="str">
            <v>UBS PROPRIO FIF MULTIMERCADO CREDITO PRIVADO</v>
          </cell>
          <cell r="E22607" t="str">
            <v>BANCO DE INVESTIMENTO CREDIT SUISSE (BRASIL) S/A</v>
          </cell>
        </row>
        <row r="22608">
          <cell r="B22608">
            <v>83007</v>
          </cell>
          <cell r="C22608" t="str">
            <v>UBS PROPRIO FIF MULTIMERCADO CREDITO PRIVADO</v>
          </cell>
          <cell r="D22608" t="str">
            <v>UBS PROPRIO FIF MULTIMERCADO CREDITO PRIVADO</v>
          </cell>
          <cell r="E22608" t="str">
            <v>BANCO DE INVESTIMENTO CREDIT SUISSE (BRASIL) S/A</v>
          </cell>
        </row>
        <row r="22609">
          <cell r="B22609">
            <v>83023</v>
          </cell>
          <cell r="C22609" t="str">
            <v>FUTURE LEGACY FUNDO DE INVESTIMENTO FINANCEIRO</v>
          </cell>
          <cell r="D22609" t="str">
            <v>FUTURE LEGACY FUNDO DE INVESTIMENTO FINANCEIRO</v>
          </cell>
          <cell r="E22609" t="str">
            <v>GARIN INVESTIMENTOS LTDA</v>
          </cell>
        </row>
        <row r="22610">
          <cell r="B22610">
            <v>83023</v>
          </cell>
          <cell r="C22610" t="str">
            <v>FUTURE LEGACY FUNDO DE INVESTIMENTO FINANCEIRO</v>
          </cell>
          <cell r="D22610" t="str">
            <v>FUTURE LEGACY FUNDO DE INVESTIMENTO FINANCEIRO</v>
          </cell>
          <cell r="E22610" t="str">
            <v>GARIN INVESTIMENTOS LTDA</v>
          </cell>
        </row>
        <row r="22611">
          <cell r="B22611">
            <v>83000</v>
          </cell>
          <cell r="C22611" t="str">
            <v>BRM CARBYNE GESTAO DE RECURSOS SA</v>
          </cell>
          <cell r="D22611" t="str">
            <v>BRM CARBYNE GESTAO DE RECURSOS SA</v>
          </cell>
          <cell r="E22611" t="str">
            <v>BRM CARBYNE GESTAO DE RECURSOS S/A</v>
          </cell>
        </row>
        <row r="22612">
          <cell r="B22612">
            <v>83000</v>
          </cell>
          <cell r="C22612" t="str">
            <v>BRM CARBYNE GESTAO DE RECURSOS SA</v>
          </cell>
          <cell r="D22612" t="str">
            <v>BRM CARBYNE GESTAO DE RECURSOS SA</v>
          </cell>
          <cell r="E22612" t="str">
            <v>BRM CARBYNE GESTAO DE RECURSOS S/A</v>
          </cell>
        </row>
        <row r="22613">
          <cell r="B22613">
            <v>83006</v>
          </cell>
          <cell r="C22613" t="str">
            <v>TIBURON FIF CLASSE DE INVESTIMENTO MULTIMERCADO CP RL</v>
          </cell>
          <cell r="D22613" t="str">
            <v>TIBURON FIF CLASSE DE INVESTIMENTO MULTIMERCADO CP RL</v>
          </cell>
          <cell r="E22613" t="str">
            <v>GARIN INVESTIMENTOS LTDA</v>
          </cell>
        </row>
        <row r="22614">
          <cell r="B22614">
            <v>83006</v>
          </cell>
          <cell r="C22614" t="str">
            <v>TIBURON FIF CLASSE DE INVESTIMENTO MULTIMERCADO CP RL</v>
          </cell>
          <cell r="D22614" t="str">
            <v>TIBURON FIF CLASSE DE INVESTIMENTO MULTIMERCADO CP RL</v>
          </cell>
          <cell r="E22614" t="str">
            <v>GARIN INVESTIMENTOS LTDA</v>
          </cell>
        </row>
        <row r="22615">
          <cell r="B22615">
            <v>83029</v>
          </cell>
          <cell r="C22615" t="str">
            <v>ACE CAPITAL GESTORA DE RECURSOS LTDA</v>
          </cell>
          <cell r="D22615" t="str">
            <v>ACE CAPITAL GESTORA DE RECURSOS LTDA</v>
          </cell>
          <cell r="E22615" t="str">
            <v>ACE CAPITAL GESTORA DE RECURSOS LTDA</v>
          </cell>
        </row>
        <row r="22616">
          <cell r="B22616">
            <v>83029</v>
          </cell>
          <cell r="C22616" t="str">
            <v>ACE CAPITAL GESTORA DE RECURSOS LTDA</v>
          </cell>
          <cell r="D22616" t="str">
            <v>ACE CAPITAL GESTORA DE RECURSOS LTDA</v>
          </cell>
          <cell r="E22616" t="str">
            <v>ACE CAPITAL GESTORA DE RECURSOS LTDA</v>
          </cell>
        </row>
        <row r="22617">
          <cell r="B22617">
            <v>83031</v>
          </cell>
          <cell r="C22617" t="str">
            <v>MORE LEVERAGE FUNDO DE INVESTIMENTO FINANCEIRO EM AÇÕES</v>
          </cell>
          <cell r="D22617" t="str">
            <v>MORE LEVERAGE FUNDO DE INVESTIMENTO FINANCEIRO EM AÇÕES</v>
          </cell>
          <cell r="E22617" t="str">
            <v>MORE INVEST GESTORA DE RECURSOS LTDA</v>
          </cell>
        </row>
        <row r="22618">
          <cell r="B22618">
            <v>83031</v>
          </cell>
          <cell r="C22618" t="str">
            <v>MORE LEVERAGE FUNDO DE INVESTIMENTO FINANCEIRO EM AÇÕES</v>
          </cell>
          <cell r="D22618" t="str">
            <v>MORE LEVERAGE FUNDO DE INVESTIMENTO FINANCEIRO EM AÇÕES</v>
          </cell>
          <cell r="E22618" t="str">
            <v>MORE INVEST GESTORA DE RECURSOS LTDA</v>
          </cell>
        </row>
        <row r="22619">
          <cell r="B22619">
            <v>83013</v>
          </cell>
          <cell r="C22619" t="str">
            <v>MIRNO CLASSE DE INVESTIMENTO MULTIMERCADO CRÉDITO PRIVADO -</v>
          </cell>
          <cell r="D22619" t="str">
            <v>MIRNO CLASSE DE INVESTIMENTO MULTIMERCADO CRÉDITO PRIVADO -</v>
          </cell>
          <cell r="E22619" t="str">
            <v>SONATA GESTORA DE RECURSOS LTDA</v>
          </cell>
        </row>
        <row r="22620">
          <cell r="B22620">
            <v>83001</v>
          </cell>
          <cell r="C22620" t="str">
            <v>APEX VESSEL FUNDO DE INVESTIMENTO MULTIMERCADO</v>
          </cell>
          <cell r="D22620" t="str">
            <v>APEX VESSEL FUNDO DE INVESTIMENTO MULTIMERCADO</v>
          </cell>
          <cell r="E22620" t="str">
            <v>BRM CARBYNE GESTAO DE RECURSOS S/A</v>
          </cell>
        </row>
        <row r="22621">
          <cell r="B22621">
            <v>83001</v>
          </cell>
          <cell r="C22621" t="str">
            <v>APEX VESSEL FUNDO DE INVESTIMENTO MULTIMERCADO</v>
          </cell>
          <cell r="D22621" t="str">
            <v>APEX VESSEL FUNDO DE INVESTIMENTO MULTIMERCADO</v>
          </cell>
          <cell r="E22621" t="str">
            <v>BRM CARBYNE GESTAO DE RECURSOS S/A</v>
          </cell>
        </row>
        <row r="22622">
          <cell r="B22622" t="str">
            <v>M05987437000184</v>
          </cell>
          <cell r="C22622" t="str">
            <v>MERRILL LYNCH INTERNATIONAL - CITIBANK DTVM SA</v>
          </cell>
          <cell r="D22622" t="str">
            <v>MERRILL LYNCH INTERNATIONAL - CITIBANK DTVM SA</v>
          </cell>
          <cell r="E22622" t="str">
            <v>BANK OF AMERICA MERRILL LYNCH BANCO MULTIPLO S/A</v>
          </cell>
        </row>
        <row r="22623">
          <cell r="B22623">
            <v>83004</v>
          </cell>
          <cell r="C22623" t="str">
            <v>TRANSMARKET SINGULAR LLC</v>
          </cell>
          <cell r="D22623" t="str">
            <v>TRANSMARKET SINGULAR LLC</v>
          </cell>
          <cell r="E22623" t="str">
            <v>TRANSMARKET SINGULAR LLC</v>
          </cell>
        </row>
        <row r="22624">
          <cell r="B22624">
            <v>83036</v>
          </cell>
          <cell r="C22624" t="str">
            <v>YARDS JUROS E MOEDAS FIF MM - RL</v>
          </cell>
          <cell r="D22624" t="str">
            <v>YARDS JUROS E MOEDAS FIF MM - RL</v>
          </cell>
          <cell r="E22624" t="str">
            <v>YARDS ASSET GESTAO DE RECURSOS LTDA</v>
          </cell>
        </row>
        <row r="22625">
          <cell r="B22625">
            <v>83036</v>
          </cell>
          <cell r="C22625" t="str">
            <v>YARDS JUROS E MOEDAS FIF MM - RL</v>
          </cell>
          <cell r="D22625" t="str">
            <v>YARDS JUROS E MOEDAS FIF MM - RL</v>
          </cell>
          <cell r="E22625" t="str">
            <v>YARDS ASSET GESTAO DE RECURSOS LTDA</v>
          </cell>
        </row>
        <row r="22626">
          <cell r="B22626">
            <v>83063</v>
          </cell>
          <cell r="C22626" t="str">
            <v>SCHONFELD IR MASTER FUND PTE. LTD.</v>
          </cell>
          <cell r="D22626" t="str">
            <v>SCHONFELD IR MASTER FUND PTE. LTD.</v>
          </cell>
          <cell r="E22626" t="str">
            <v>SCHONFELD STRATEGIC ADVISORS BRAZIL LTDA</v>
          </cell>
        </row>
        <row r="22627">
          <cell r="B22627" t="str">
            <v>M11703662000144</v>
          </cell>
          <cell r="D22627" t="str">
            <v>BANCO TRAVELEX</v>
          </cell>
          <cell r="E22627" t="str">
            <v>TRAVELEX BANCO DE CAMBIO S/A</v>
          </cell>
        </row>
        <row r="22628">
          <cell r="B22628" t="str">
            <v>M5156521300010001</v>
          </cell>
          <cell r="C22628" t="str">
            <v>ZSYS KREUTZER FUNDO DE INVESTIMENTO MULTIMERCADO</v>
          </cell>
          <cell r="D22628" t="str">
            <v>ZSYS KREUTZER FUNDO DE INVESTIMENTO MULTIMERCADO</v>
          </cell>
          <cell r="E22628" t="str">
            <v>ZSYS ASSET MANAGEMENT LTDA</v>
          </cell>
        </row>
        <row r="22629">
          <cell r="B22629" t="str">
            <v>M60527451000103</v>
          </cell>
          <cell r="C22629" t="str">
            <v>SCHONFELD IR MASTER FUND PTE. LTD. - CITIBANK DTVM SA</v>
          </cell>
          <cell r="D22629" t="str">
            <v>SCHONFELD IR MASTER FUND PTE. LTD. - CITIBANK DTVM SA</v>
          </cell>
          <cell r="E22629" t="str">
            <v>SCHONFELD STRATEGIC ADVISORS BRAZIL LTDA</v>
          </cell>
        </row>
        <row r="22630">
          <cell r="B22630">
            <v>83012</v>
          </cell>
          <cell r="C22630" t="str">
            <v>333 CLASSE DE INVESTIMENTO EM AÇÕES - RESP LIMITADA</v>
          </cell>
          <cell r="D22630" t="str">
            <v>333 CLASSE DE INVESTIMENTO EM AÇÕES - RESP LIMITADA</v>
          </cell>
          <cell r="E22630" t="str">
            <v>SONATA GESTORA DE RECURSOS LTDA</v>
          </cell>
        </row>
        <row r="22631">
          <cell r="B22631">
            <v>83012</v>
          </cell>
          <cell r="C22631" t="str">
            <v>333 CLASSE DE INVESTIMENTO EM AÇÕES - RESP LIMITADA</v>
          </cell>
          <cell r="D22631" t="str">
            <v>333 CLASSE DE INVESTIMENTO EM AÇÕES - RESP LIMITADA</v>
          </cell>
          <cell r="E22631" t="str">
            <v>SONATA GESTORA DE RECURSOS LTDA</v>
          </cell>
        </row>
        <row r="22632">
          <cell r="B22632">
            <v>83013</v>
          </cell>
          <cell r="C22632" t="str">
            <v>MIRNO CLASSE DE INVESTIMENTO MULTIMERCADO CRÉDITO PRIVADO -</v>
          </cell>
          <cell r="D22632" t="str">
            <v>MIRNO CLASSE DE INVESTIMENTO MULTIMERCADO CRÉDITO PRIVADO -</v>
          </cell>
          <cell r="E22632" t="str">
            <v>SONATA GESTORA DE RECURSOS LTDA</v>
          </cell>
        </row>
        <row r="22633">
          <cell r="B22633">
            <v>83013</v>
          </cell>
          <cell r="C22633" t="str">
            <v>MIRNO CLASSE DE INVESTIMENTO MULTIMERCADO CRÉDITO PRIVADO -</v>
          </cell>
          <cell r="D22633" t="str">
            <v>MIRNO CLASSE DE INVESTIMENTO MULTIMERCADO CRÉDITO PRIVADO -</v>
          </cell>
          <cell r="E22633" t="str">
            <v>SONATA GESTORA DE RECURSOS LTDA</v>
          </cell>
        </row>
        <row r="22634">
          <cell r="B22634">
            <v>83014</v>
          </cell>
          <cell r="C22634" t="str">
            <v>GIRASSOL CLASSE DE INVESTIMENTO MULTIMERCADO CRÉDITO PRIVADO</v>
          </cell>
          <cell r="D22634" t="str">
            <v>GIRASSOL CLASSE DE INVESTIMENTO MULTIMERCADO CRÉDITO PRIVADO</v>
          </cell>
          <cell r="E22634" t="str">
            <v>SONATA GESTORA DE RECURSOS LTDA</v>
          </cell>
        </row>
        <row r="22635">
          <cell r="B22635">
            <v>83014</v>
          </cell>
          <cell r="C22635" t="str">
            <v>GIRASSOL CLASSE DE INVESTIMENTO MULTIMERCADO CRÉDITO PRIVADO</v>
          </cell>
          <cell r="D22635" t="str">
            <v>GIRASSOL CLASSE DE INVESTIMENTO MULTIMERCADO CRÉDITO PRIVADO</v>
          </cell>
          <cell r="E22635" t="str">
            <v>SONATA GESTORA DE RECURSOS LTDA</v>
          </cell>
        </row>
        <row r="22636">
          <cell r="B22636">
            <v>83011</v>
          </cell>
          <cell r="C22636" t="str">
            <v>SONATA GESTORA DE RECURSOS LTDA</v>
          </cell>
          <cell r="D22636" t="str">
            <v>SONATA GESTORA DE RECURSOS LTDA</v>
          </cell>
          <cell r="E22636" t="str">
            <v>SONATA GESTORA DE RECURSOS LTDA</v>
          </cell>
        </row>
        <row r="22637">
          <cell r="B22637" t="str">
            <v>M59109165000149</v>
          </cell>
          <cell r="D22637" t="str">
            <v>BCO VOLKSWAGEN S/A</v>
          </cell>
          <cell r="E22637" t="str">
            <v>BANCO VOLKSWAGEN S/A</v>
          </cell>
        </row>
        <row r="22638">
          <cell r="B22638" t="str">
            <v>M42823087000147</v>
          </cell>
          <cell r="C22638" t="str">
            <v>NEWAVE ENERGIA S/A</v>
          </cell>
          <cell r="D22638" t="str">
            <v>NEWAVE ENERGIA S/A</v>
          </cell>
          <cell r="E22638" t="str">
            <v>NEWAVE GESTÃO DE RECURSOS LTDA</v>
          </cell>
        </row>
        <row r="22639">
          <cell r="B22639" t="str">
            <v>M45912605000197</v>
          </cell>
          <cell r="D22639" t="str">
            <v>TERA CAPITAL ADMINISTRACAO DE RECURSOS LTDA SCP 3</v>
          </cell>
          <cell r="E22639" t="str">
            <v>TERA CAPITAL GESTAO DE RECURSOS LTDA</v>
          </cell>
        </row>
        <row r="22640">
          <cell r="B22640" t="str">
            <v>M26228525000172</v>
          </cell>
          <cell r="C22640" t="str">
            <v>SUNO S.A.</v>
          </cell>
          <cell r="D22640" t="str">
            <v>SUNO S.A.</v>
          </cell>
          <cell r="E22640" t="str">
            <v>SUNO GESTORA DE RECURSOS LTDA</v>
          </cell>
        </row>
        <row r="22641">
          <cell r="B22641">
            <v>83066</v>
          </cell>
          <cell r="C22641" t="str">
            <v>BANCOSEGURO S.A.</v>
          </cell>
          <cell r="D22641" t="str">
            <v>BANCOSEGURO S.A.</v>
          </cell>
          <cell r="E22641" t="str">
            <v>BANCOSEGURO S/A</v>
          </cell>
        </row>
        <row r="22642">
          <cell r="B22642">
            <v>90126</v>
          </cell>
          <cell r="C22642" t="str">
            <v>UBS BRASIL CCTVM S/A (ANTIGA LINK S/A CCTVM)</v>
          </cell>
          <cell r="D22642">
            <v>246</v>
          </cell>
          <cell r="E22642" t="str">
            <v>UBS AG, LONDON BRANCH NOVO</v>
          </cell>
        </row>
        <row r="22643">
          <cell r="B22643" t="str">
            <v>M02819125000173</v>
          </cell>
          <cell r="D22643" t="str">
            <v>UBS BRASIL CORRETORA DE CAMBIO, TITULOS E VALORES MOBILIARIOS S.A.</v>
          </cell>
          <cell r="E22643" t="str">
            <v>UBS BRASIL ADMINISTRADORA DE VALORES MOBILIARIOS LTDA</v>
          </cell>
        </row>
        <row r="22644">
          <cell r="B22644">
            <v>83067</v>
          </cell>
          <cell r="C22644" t="str">
            <v>SCHONFELD IR MASTER FUND PTE. LTD.</v>
          </cell>
          <cell r="D22644" t="str">
            <v>SCHONFELD IR MASTER FUND PTE. LTD.</v>
          </cell>
          <cell r="E22644" t="str">
            <v>SCHONFELD STRATEGIC ADVISORS BRAZIL LTDA</v>
          </cell>
        </row>
        <row r="22645">
          <cell r="B22645">
            <v>83061</v>
          </cell>
          <cell r="C22645" t="str">
            <v>SCHONFELD IR MASTER FUND PTE. LTD.</v>
          </cell>
          <cell r="D22645" t="str">
            <v>SCHONFELD IR MASTER FUND PTE. LTD.</v>
          </cell>
          <cell r="E22645" t="str">
            <v>SCHONFELD STRATEGIC ADVISORS BRAZIL LTDA</v>
          </cell>
        </row>
        <row r="22646">
          <cell r="B22646">
            <v>83073</v>
          </cell>
          <cell r="C22646" t="str">
            <v>UBS BRASIL ADMINISTRADORA DE VALORES MOBILIARIOS LTDA</v>
          </cell>
          <cell r="D22646" t="str">
            <v>UBS BRASIL ADMINISTRADORA DE VALORES MOBILIARIOS LTDA</v>
          </cell>
          <cell r="E22646" t="str">
            <v>CREDIT SUISSE HEDGING-GRIFFO WEALTH MANAGEMENT S/A</v>
          </cell>
        </row>
        <row r="22647">
          <cell r="B22647">
            <v>83073</v>
          </cell>
          <cell r="C22647" t="str">
            <v>UBS BRASIL ADMINISTRADORA DE VALORES MOBILIARIOS LTDA</v>
          </cell>
          <cell r="D22647" t="str">
            <v>UBS BRASIL ADMINISTRADORA DE VALORES MOBILIARIOS LTDA</v>
          </cell>
          <cell r="E22647" t="str">
            <v>CREDIT SUISSE HEDGING-GRIFFO WEALTH MANAGEMENT S/A</v>
          </cell>
        </row>
        <row r="22648">
          <cell r="B22648">
            <v>83079</v>
          </cell>
          <cell r="C22648" t="str">
            <v>VISTA CAPITAL GESTORA DE RECURSOS LTDA.</v>
          </cell>
          <cell r="D22648" t="str">
            <v>VISTA CAPITAL GESTORA DE RECURSOS LTDA.</v>
          </cell>
          <cell r="E22648" t="str">
            <v>VISTA CAPITAL GESTORA DE RECURSOS LTDA</v>
          </cell>
        </row>
        <row r="22649">
          <cell r="B22649">
            <v>83079</v>
          </cell>
          <cell r="C22649" t="str">
            <v>VISTA CAPITAL GESTORA DE RECURSOS LTDA.</v>
          </cell>
          <cell r="D22649" t="str">
            <v>VISTA CAPITAL GESTORA DE RECURSOS LTDA.</v>
          </cell>
          <cell r="E22649" t="str">
            <v>VISTA CAPITAL GESTORA DE RECURSOS LTDA</v>
          </cell>
        </row>
        <row r="22650">
          <cell r="B22650">
            <v>83062</v>
          </cell>
          <cell r="C22650" t="str">
            <v>ITAU UNIBANCO ASSET MANAGEMENT LTDA</v>
          </cell>
          <cell r="D22650" t="str">
            <v>ITAU UNIBANCO ASSET MANAGEMENT LTDA</v>
          </cell>
          <cell r="E22650" t="str">
            <v>ITAU UNIBANCO ASSET - ABUDHA</v>
          </cell>
        </row>
        <row r="22651">
          <cell r="B22651">
            <v>83062</v>
          </cell>
          <cell r="C22651" t="str">
            <v>ITAU UNIBANCO ASSET MANAGEMENT LTDA</v>
          </cell>
          <cell r="D22651" t="str">
            <v>ITAU UNIBANCO ASSET MANAGEMENT LTDA</v>
          </cell>
          <cell r="E22651" t="str">
            <v>ITAU UNIBANCO ASSET - ABUDHA</v>
          </cell>
        </row>
        <row r="22652">
          <cell r="B22652">
            <v>83024</v>
          </cell>
          <cell r="C22652" t="str">
            <v>ITAU UNIBANCO ASSET MANAGEMENT LTDA</v>
          </cell>
          <cell r="D22652" t="str">
            <v>ITAU UNIBANCO ASSET MANAGEMENT LTDA</v>
          </cell>
          <cell r="E22652" t="str">
            <v>ITAU UNIBANCO ASSET - IAM_BZ</v>
          </cell>
        </row>
        <row r="22653">
          <cell r="B22653">
            <v>83024</v>
          </cell>
          <cell r="C22653" t="str">
            <v>ITAU UNIBANCO ASSET MANAGEMENT LTDA</v>
          </cell>
          <cell r="D22653" t="str">
            <v>ITAU UNIBANCO ASSET MANAGEMENT LTDA</v>
          </cell>
          <cell r="E22653" t="str">
            <v>ITAU UNIBANCO ASSET - IAM_BZ</v>
          </cell>
        </row>
        <row r="22654">
          <cell r="B22654">
            <v>83043</v>
          </cell>
          <cell r="C22654" t="str">
            <v>MORGAN STANLEY LATAM LLC - CITIBANK</v>
          </cell>
          <cell r="D22654" t="str">
            <v>MORGAN STANLEY LATAM LLC - CITIBANK</v>
          </cell>
          <cell r="E22654" t="str">
            <v>BANCO MORGAN STANLEY S/A</v>
          </cell>
        </row>
        <row r="22655">
          <cell r="B22655">
            <v>83043</v>
          </cell>
          <cell r="C22655" t="str">
            <v>MORGAN STANLEY LATAM LLC - CITIBANK</v>
          </cell>
          <cell r="D22655" t="str">
            <v>MORGAN STANLEY LATAM LLC - CITIBANK</v>
          </cell>
          <cell r="E22655" t="str">
            <v>BANCO MORGAN STANLEY S/A</v>
          </cell>
        </row>
        <row r="22656">
          <cell r="B22656">
            <v>82995</v>
          </cell>
          <cell r="C22656" t="str">
            <v>GOLDMAN SACHS DO BRASIL BANCO MULTIPLO S/A</v>
          </cell>
          <cell r="D22656" t="str">
            <v>GOLDMAN SACHS DO BRASIL BANCO MULTIPLO S/A</v>
          </cell>
          <cell r="E22656" t="str">
            <v>GOLDMAN SACHS DO BRASIL BANCO MULTIPLO S/A</v>
          </cell>
        </row>
        <row r="22657">
          <cell r="B22657" t="str">
            <v>M20387785000104</v>
          </cell>
          <cell r="C22657" t="str">
            <v>ANDBANK ASSET MANAGEMENT</v>
          </cell>
          <cell r="D22657" t="str">
            <v>ANDBANK ASSET MANAGEMENT</v>
          </cell>
          <cell r="E22657" t="str">
            <v>ANDBANK GESTAO DE PATRIMONIO FINANCEIRO LTDA</v>
          </cell>
        </row>
        <row r="22658">
          <cell r="B22658">
            <v>83103</v>
          </cell>
          <cell r="C22658" t="str">
            <v>CONNEX GESTORA DE RECURSOS LTDA</v>
          </cell>
          <cell r="D22658" t="str">
            <v>CONNEX GESTORA DE RECURSOS LTDA</v>
          </cell>
          <cell r="E22658" t="str">
            <v>CONNEX GESTORA DE RECURSOS LTDA</v>
          </cell>
        </row>
        <row r="22659">
          <cell r="B22659" t="str">
            <v>M17021922000188</v>
          </cell>
          <cell r="C22659" t="str">
            <v>GIANT STEPS CAPITAL INVESTIMENTOS</v>
          </cell>
          <cell r="D22659" t="str">
            <v>GIANT</v>
          </cell>
          <cell r="E22659" t="str">
            <v>GIANT STEPS CAPITAL INVESTIMENTOS</v>
          </cell>
        </row>
        <row r="22660">
          <cell r="B22660">
            <v>144548</v>
          </cell>
          <cell r="C22660" t="str">
            <v>ABSOLUTE GESTAO DE INVESTIMENTOS LTDA</v>
          </cell>
          <cell r="D22660" t="str">
            <v>ABSOLUTE GESTAO DE INVESTIMENTOS LTDA</v>
          </cell>
          <cell r="E22660" t="str">
            <v>ABSOLUTE GESTAO DE INVESTIMENTOS LTDA</v>
          </cell>
        </row>
        <row r="22661">
          <cell r="B22661">
            <v>80834</v>
          </cell>
          <cell r="C22661" t="str">
            <v>ASSET1 INVESTIMENTOS S.A.</v>
          </cell>
          <cell r="D22661" t="str">
            <v>ASSET1 INVESTIMENTOS S.A.</v>
          </cell>
          <cell r="E22661" t="str">
            <v>ASSET1 INVESTIMENTOS S.A.</v>
          </cell>
        </row>
        <row r="22662">
          <cell r="B22662">
            <v>2081</v>
          </cell>
          <cell r="C22662" t="str">
            <v>BANCA IMI SECURITIES CORP</v>
          </cell>
          <cell r="D22662" t="str">
            <v>BANCA IMI SECURITIES CORP</v>
          </cell>
          <cell r="E22662" t="str">
            <v>BANCA IMI SECURITIES CORP</v>
          </cell>
        </row>
        <row r="22663">
          <cell r="B22663">
            <v>36208</v>
          </cell>
          <cell r="C22663" t="str">
            <v>BANCO BICE</v>
          </cell>
          <cell r="D22663" t="str">
            <v>BANCO BICE</v>
          </cell>
          <cell r="E22663" t="str">
            <v>BANCO BICE</v>
          </cell>
        </row>
        <row r="22664">
          <cell r="B22664">
            <v>1170</v>
          </cell>
          <cell r="C22664" t="str">
            <v>BGC LIQUIDEZ DTVM LTDA</v>
          </cell>
          <cell r="D22664" t="str">
            <v>BGC LIQUIDEZ DTVM LTDA</v>
          </cell>
          <cell r="E22664" t="str">
            <v>BGC LIQUIDEZ DTVM LTDA</v>
          </cell>
        </row>
        <row r="22665">
          <cell r="B22665">
            <v>16705</v>
          </cell>
          <cell r="C22665" t="str">
            <v>BANCO BRADESCO S/A</v>
          </cell>
          <cell r="D22665" t="str">
            <v>BANCO BRADESCO S/A</v>
          </cell>
          <cell r="E22665" t="str">
            <v>BANCO BRADESCO S/A</v>
          </cell>
        </row>
        <row r="22666">
          <cell r="B22666">
            <v>81503</v>
          </cell>
          <cell r="C22666" t="str">
            <v>BANCO BRADESCO S/A</v>
          </cell>
          <cell r="D22666" t="str">
            <v>BANCO BRADESCO S/A</v>
          </cell>
          <cell r="E22666" t="str">
            <v>BANCO BRADESCO S/A</v>
          </cell>
        </row>
        <row r="22667">
          <cell r="B22667">
            <v>15501</v>
          </cell>
          <cell r="C22667" t="str">
            <v>BANCO BTG PACTUAL S/A</v>
          </cell>
          <cell r="D22667" t="str">
            <v>BANCO BTG PACTUAL S/A</v>
          </cell>
          <cell r="E22667" t="str">
            <v>BANCO BTG PACTUAL S/A</v>
          </cell>
        </row>
        <row r="22668">
          <cell r="B22668">
            <v>18857</v>
          </cell>
          <cell r="C22668" t="str">
            <v>BANCO DO BRASIL S/A</v>
          </cell>
          <cell r="D22668" t="str">
            <v>BANCO DO BRASIL S/A</v>
          </cell>
          <cell r="E22668" t="str">
            <v>BANCO DO BRASIL S/A</v>
          </cell>
        </row>
        <row r="22669">
          <cell r="B22669">
            <v>14416</v>
          </cell>
          <cell r="C22669" t="str">
            <v>BANCO JP MORGAN S/A</v>
          </cell>
          <cell r="D22669" t="str">
            <v>BANCO JP MORGAN S/A</v>
          </cell>
          <cell r="E22669" t="str">
            <v>BANCO JP MORGAN S/A</v>
          </cell>
        </row>
        <row r="22670">
          <cell r="B22670">
            <v>83577</v>
          </cell>
          <cell r="C22670" t="str">
            <v>BANCO MIZUHO DO BRASIL S/A (ANTIGO WESTLB)</v>
          </cell>
          <cell r="D22670" t="str">
            <v>BANCO MIZUHO DO BRASIL S/A</v>
          </cell>
          <cell r="E22670" t="str">
            <v>BANCO MIZUHO DO BRASIL S/A</v>
          </cell>
        </row>
        <row r="22671">
          <cell r="B22671">
            <v>79329</v>
          </cell>
          <cell r="C22671" t="str">
            <v>BANCO MUFG BRASIL S.A.</v>
          </cell>
          <cell r="D22671" t="str">
            <v>BANCO MUFG BRASIL S/A</v>
          </cell>
          <cell r="E22671" t="str">
            <v>BANCO MUFG BRASIL S/A</v>
          </cell>
        </row>
        <row r="22672">
          <cell r="B22672">
            <v>15781</v>
          </cell>
          <cell r="C22672" t="str">
            <v>BANCO SAFRA S/A</v>
          </cell>
          <cell r="D22672" t="str">
            <v>BANCO SAFRA S/A</v>
          </cell>
          <cell r="E22672" t="str">
            <v>BANCO SAFRA S/A</v>
          </cell>
        </row>
        <row r="22673">
          <cell r="B22673">
            <v>14479</v>
          </cell>
          <cell r="C22673" t="str">
            <v>BANCO SANTANDER (BRASIL) S/A</v>
          </cell>
          <cell r="D22673" t="str">
            <v>BANCO SANTANDER (BRASIL) S/A</v>
          </cell>
          <cell r="E22673" t="str">
            <v>BANCO SANTANDER (BRASIL) S/A</v>
          </cell>
        </row>
        <row r="22674">
          <cell r="B22674">
            <v>81989</v>
          </cell>
          <cell r="C22674" t="str">
            <v>BANCO VOTORANTIM S/A</v>
          </cell>
          <cell r="D22674" t="str">
            <v>BANCO VOTORANTIM S/A</v>
          </cell>
          <cell r="E22674" t="str">
            <v>BANCO VOTORANTIM S/A</v>
          </cell>
        </row>
        <row r="22675">
          <cell r="B22675">
            <v>80769</v>
          </cell>
          <cell r="C22675" t="str">
            <v>BANCO XP S.A</v>
          </cell>
          <cell r="D22675" t="str">
            <v>BANCO XP S/A</v>
          </cell>
          <cell r="E22675" t="str">
            <v>BANCO XP S/A</v>
          </cell>
        </row>
        <row r="22676">
          <cell r="B22676">
            <v>36615</v>
          </cell>
          <cell r="C22676" t="str">
            <v>BANCTRUST INVESTMENT BANK LIMITED</v>
          </cell>
          <cell r="D22676" t="str">
            <v>BANCTRUST INVESTMENT BANK LIMITED</v>
          </cell>
          <cell r="E22676" t="str">
            <v>BANCTRUST INVESTMENT BANK LIMITED</v>
          </cell>
        </row>
        <row r="22677">
          <cell r="B22677">
            <v>75777</v>
          </cell>
          <cell r="C22677" t="str">
            <v>BANK OF AMERICA MERRILL LYNCH BANCO MULTIPLO S/A</v>
          </cell>
          <cell r="D22677" t="str">
            <v>BANK OF AMERICA MERRILL LYNCH BANCO MULTIPLO S/A</v>
          </cell>
          <cell r="E22677" t="str">
            <v>BANK OF AMERICA MERRILL LYNCH BANCO MULTIPLO S/A</v>
          </cell>
        </row>
        <row r="22678">
          <cell r="B22678">
            <v>25318</v>
          </cell>
          <cell r="C22678" t="str">
            <v>BANK OF MONTREAL</v>
          </cell>
          <cell r="D22678" t="str">
            <v>BANK OF MONTREAL</v>
          </cell>
          <cell r="E22678" t="str">
            <v>BANK OF MONTREAL</v>
          </cell>
        </row>
        <row r="22679">
          <cell r="B22679">
            <v>80026</v>
          </cell>
          <cell r="C22679" t="str">
            <v>BARCLAYS BANK PLC (NOVO)</v>
          </cell>
          <cell r="D22679" t="str">
            <v>BARCLAYS BANK PLC</v>
          </cell>
          <cell r="E22679" t="str">
            <v>BARCLAYS BANK PLC</v>
          </cell>
        </row>
        <row r="22680">
          <cell r="B22680">
            <v>1171</v>
          </cell>
          <cell r="C22680" t="str">
            <v>BANCO BILBAO VIZCAYA ARGENTARIA SA</v>
          </cell>
          <cell r="D22680" t="str">
            <v>BANCO BILBAO VIZCAYA ARGENTARIA SA</v>
          </cell>
          <cell r="E22680" t="str">
            <v>BANCO BILBAO VIZCAYA ARGENTARIA SA</v>
          </cell>
        </row>
        <row r="22681">
          <cell r="B22681">
            <v>12035</v>
          </cell>
          <cell r="C22681" t="str">
            <v>BCP SECURITIES, INC</v>
          </cell>
          <cell r="D22681" t="str">
            <v>BCP SECURITIES, INC</v>
          </cell>
          <cell r="E22681" t="str">
            <v>BCP SECURITIES, INC</v>
          </cell>
        </row>
        <row r="22682">
          <cell r="B22682">
            <v>1172</v>
          </cell>
          <cell r="C22682" t="str">
            <v>BBVA SECURITIES INC</v>
          </cell>
          <cell r="D22682" t="str">
            <v>BBVA SECURITIES INC</v>
          </cell>
          <cell r="E22682" t="str">
            <v>BBVA SECURITIES INC</v>
          </cell>
        </row>
        <row r="22683">
          <cell r="B22683">
            <v>95005</v>
          </cell>
          <cell r="C22683" t="str">
            <v>BNP PARIBAS</v>
          </cell>
          <cell r="D22683" t="str">
            <v>BANCO BNP PARIBAS BRASIL S/A</v>
          </cell>
          <cell r="E22683" t="str">
            <v>BANCO BNP PARIBAS BRASIL S/A</v>
          </cell>
        </row>
        <row r="22684">
          <cell r="B22684">
            <v>285</v>
          </cell>
          <cell r="C22684" t="str">
            <v>BNY MELLON, NA</v>
          </cell>
          <cell r="D22684" t="str">
            <v>BNY MELLON, NA</v>
          </cell>
          <cell r="E22684" t="str">
            <v>BNY MELLON, NA</v>
          </cell>
        </row>
        <row r="22685">
          <cell r="B22685">
            <v>2783</v>
          </cell>
          <cell r="C22685" t="str">
            <v>BRACEBRIDGE CAPITAL LLC</v>
          </cell>
          <cell r="D22685" t="str">
            <v>BRACEBRIDGE CAPITAL LLC</v>
          </cell>
          <cell r="E22685" t="str">
            <v>BRACEBRIDGE CAPITAL LLC</v>
          </cell>
        </row>
        <row r="22686">
          <cell r="B22686">
            <v>43013</v>
          </cell>
          <cell r="C22686" t="str">
            <v>BULL MARKET SECURITIES INC</v>
          </cell>
          <cell r="D22686" t="str">
            <v>BULL MARKET SECURITIES INC</v>
          </cell>
          <cell r="E22686" t="str">
            <v>BULL MARKET SECURITIES INC</v>
          </cell>
        </row>
        <row r="22687">
          <cell r="B22687">
            <v>80828</v>
          </cell>
          <cell r="C22687" t="str">
            <v>CAPSTONE PARTNERS GESTAO DE RECURSOS LTDA</v>
          </cell>
          <cell r="D22687" t="str">
            <v>CAPSTONE PARTNERS GESTAO DE RECURSOS LTDA</v>
          </cell>
          <cell r="E22687" t="str">
            <v>CAPSTONE PARTNERS GESTAO DE RECURSOS LTDA</v>
          </cell>
        </row>
        <row r="22688">
          <cell r="B22688">
            <v>1173</v>
          </cell>
          <cell r="C22688" t="str">
            <v>ROYAL BANK OF CANADA</v>
          </cell>
          <cell r="D22688" t="str">
            <v>ROYAL BANK OF CANADA</v>
          </cell>
          <cell r="E22688" t="str">
            <v>ROYAL BANK OF CANADA</v>
          </cell>
        </row>
        <row r="22689">
          <cell r="B22689">
            <v>1174</v>
          </cell>
          <cell r="C22689" t="str">
            <v>TORONTO DOMINION BANK</v>
          </cell>
          <cell r="D22689" t="str">
            <v>TORONTO DOMINION BANK</v>
          </cell>
          <cell r="E22689" t="str">
            <v>TORONTO DOMINION BANK</v>
          </cell>
        </row>
        <row r="22690">
          <cell r="B22690">
            <v>1175</v>
          </cell>
          <cell r="C22690" t="str">
            <v>ING BANK NV</v>
          </cell>
          <cell r="D22690" t="str">
            <v>ING BANK NV</v>
          </cell>
          <cell r="E22690" t="str">
            <v>ING BANK NV</v>
          </cell>
        </row>
        <row r="22691">
          <cell r="B22691">
            <v>12728</v>
          </cell>
          <cell r="C22691" t="str">
            <v>CITADEL SECURITIES LLC</v>
          </cell>
          <cell r="D22691" t="str">
            <v>CITADEL SECURITIES LLC</v>
          </cell>
          <cell r="E22691" t="str">
            <v>CITADEL SECURITIES LLC</v>
          </cell>
        </row>
        <row r="22692">
          <cell r="B22692">
            <v>80005</v>
          </cell>
          <cell r="C22692" t="str">
            <v>DEUTSCHE BANK AG LONDON GLOBAL MARKETS</v>
          </cell>
          <cell r="D22692" t="str">
            <v>DEUTSCHE BANK S/A</v>
          </cell>
          <cell r="E22692" t="str">
            <v>DEUTSCHE BANK S/A</v>
          </cell>
        </row>
        <row r="22693">
          <cell r="B22693">
            <v>125520</v>
          </cell>
          <cell r="C22693" t="str">
            <v>DYNAMO COUGAR MASTER FIA</v>
          </cell>
          <cell r="D22693" t="str">
            <v>DYNAMO ADMINISTRACAO DE RECURSOS LTDA</v>
          </cell>
          <cell r="E22693" t="str">
            <v>DYNAMO ADMINISTRACAO DE RECURSOS LTDA</v>
          </cell>
        </row>
        <row r="22694">
          <cell r="B22694">
            <v>34083</v>
          </cell>
          <cell r="C22694" t="str">
            <v>FINANTIA USA INC</v>
          </cell>
          <cell r="D22694" t="str">
            <v>FINANTIA USA INC</v>
          </cell>
          <cell r="E22694" t="str">
            <v>FINANTIA USA INC</v>
          </cell>
        </row>
        <row r="22695">
          <cell r="B22695">
            <v>26334</v>
          </cell>
          <cell r="C22695" t="str">
            <v>FIRST GLOBAL TRADE LLP</v>
          </cell>
          <cell r="D22695" t="str">
            <v>FIRST GLOBAL TRADE LLP</v>
          </cell>
          <cell r="E22695" t="str">
            <v>FIRST GLOBAL TRADE LLP</v>
          </cell>
        </row>
        <row r="22696">
          <cell r="B22696">
            <v>80313</v>
          </cell>
          <cell r="C22696" t="str">
            <v>FOX VALUE LONG BIASED FIA</v>
          </cell>
          <cell r="D22696" t="str">
            <v>FOX VALUE LONG BIASED FIA</v>
          </cell>
          <cell r="E22696" t="str">
            <v>FOX INVESTIMENTOS LTDA</v>
          </cell>
        </row>
        <row r="22697">
          <cell r="B22697">
            <v>80883</v>
          </cell>
          <cell r="C22697" t="str">
            <v>GENOA CAPITAL GESTORA DE RECURSOS LTDA</v>
          </cell>
          <cell r="D22697" t="str">
            <v>GENOA CAPITAL GESTORA DE RECURSOS LTDA</v>
          </cell>
          <cell r="E22697" t="str">
            <v>GENOA CAPITAL GESTORA DE RECURSOS LTDA</v>
          </cell>
        </row>
        <row r="22698">
          <cell r="B22698">
            <v>82705</v>
          </cell>
          <cell r="C22698" t="str">
            <v>GLADIUS FIF MULTIMERCADO CREDITO PRIVADO IE</v>
          </cell>
          <cell r="D22698" t="str">
            <v>BANCO XP S/A</v>
          </cell>
          <cell r="E22698" t="str">
            <v>BANCO XP S/A</v>
          </cell>
        </row>
        <row r="22699">
          <cell r="B22699">
            <v>81259</v>
          </cell>
          <cell r="C22699" t="str">
            <v>GOLDMAN SACHS BANK USA</v>
          </cell>
          <cell r="D22699" t="str">
            <v>GOLDMAN SACHS DO BRASIL BANCO MULTIPLO S/A</v>
          </cell>
          <cell r="E22699" t="str">
            <v>GOLDMAN SACHS DO BRASIL BANCO MULTIPLO S/A</v>
          </cell>
        </row>
        <row r="22700">
          <cell r="B22700">
            <v>79791</v>
          </cell>
          <cell r="C22700" t="str">
            <v>GOLDMAN SACHS INTERNATIONAL - CITI</v>
          </cell>
          <cell r="D22700" t="str">
            <v>GOLDMAN SACHS DO BRASIL BANCO MULTIPLO S/A</v>
          </cell>
          <cell r="E22700" t="str">
            <v>GOLDMAN SACHS DO BRASIL BANCO MULTIPLO S/A</v>
          </cell>
        </row>
        <row r="22701">
          <cell r="B22701">
            <v>1175</v>
          </cell>
          <cell r="C22701" t="str">
            <v>ING CAPITAL MARKETS LLC</v>
          </cell>
          <cell r="D22701" t="str">
            <v>ING BANK NV</v>
          </cell>
          <cell r="E22701" t="str">
            <v>ING BANK NV</v>
          </cell>
        </row>
        <row r="22702">
          <cell r="B22702">
            <v>14509</v>
          </cell>
          <cell r="C22702" t="str">
            <v>HRT FINANCIAL LP</v>
          </cell>
          <cell r="D22702" t="str">
            <v>HRT FINANCIAL LP</v>
          </cell>
          <cell r="E22702" t="str">
            <v>HRT FINANCIAL LP</v>
          </cell>
        </row>
        <row r="22703">
          <cell r="B22703">
            <v>81249</v>
          </cell>
          <cell r="C22703" t="str">
            <v>HSBC BANK USA, NATIONAL ASSOCIATION (HBUS) - BNP</v>
          </cell>
          <cell r="D22703" t="str">
            <v>BANCO HSBC S/A</v>
          </cell>
          <cell r="E22703" t="str">
            <v>BANCO HSBC S/A</v>
          </cell>
        </row>
        <row r="22704">
          <cell r="B22704">
            <v>80111</v>
          </cell>
          <cell r="C22704" t="str">
            <v>IBIUNA MACRO GESTÃO DE RECURSOS LTDA</v>
          </cell>
          <cell r="D22704" t="str">
            <v>IBIUNA GESTAO DE RECURSOS LTDA</v>
          </cell>
          <cell r="E22704" t="str">
            <v>IBIUNA GESTAO DE RECURSOS LTDA</v>
          </cell>
        </row>
        <row r="22705">
          <cell r="B22705">
            <v>80565</v>
          </cell>
          <cell r="C22705" t="str">
            <v>IMC TRADING B.V</v>
          </cell>
          <cell r="D22705" t="str">
            <v>IMC TRADING B.V</v>
          </cell>
          <cell r="E22705" t="str">
            <v>IMC TRADING B.V</v>
          </cell>
        </row>
        <row r="22706">
          <cell r="B22706">
            <v>1176</v>
          </cell>
          <cell r="C22706" t="str">
            <v>PARALLAX VOLATILITY ADVISERS,  - PB ACCT</v>
          </cell>
          <cell r="D22706" t="str">
            <v>PARALLAX VOLATILITY ADVISERS,  - PB ACCT</v>
          </cell>
          <cell r="E22706" t="str">
            <v>PARALLAX VOLATILITY ADVISERS,  - PB ACCT</v>
          </cell>
        </row>
        <row r="22707">
          <cell r="B22707">
            <v>1177</v>
          </cell>
          <cell r="C22707" t="str">
            <v>INVEX LLC</v>
          </cell>
          <cell r="D22707" t="str">
            <v>INVEX LLC</v>
          </cell>
          <cell r="E22707" t="str">
            <v>INVEX LLC</v>
          </cell>
        </row>
        <row r="22708">
          <cell r="B22708">
            <v>1178</v>
          </cell>
          <cell r="C22708" t="str">
            <v>NATIONAL BANK OF CANADA</v>
          </cell>
          <cell r="D22708" t="str">
            <v>NATIONAL BANK OF CANADA</v>
          </cell>
          <cell r="E22708" t="str">
            <v>NATIONAL BANK OF CANADA</v>
          </cell>
        </row>
        <row r="22709">
          <cell r="B22709">
            <v>80958</v>
          </cell>
          <cell r="C22709" t="str">
            <v>ITAU UNIBANCO ASSET MANAGEMENT LTDA</v>
          </cell>
          <cell r="D22709" t="str">
            <v>ITAU UNIBANCO ASSET - OPTIMUS</v>
          </cell>
          <cell r="E22709" t="str">
            <v>ITAU UNIBANCO ASSET - OPTIMUS</v>
          </cell>
        </row>
        <row r="22710">
          <cell r="B22710">
            <v>79460</v>
          </cell>
          <cell r="C22710" t="str">
            <v>ITAU UNIBANCO S.A.</v>
          </cell>
          <cell r="D22710" t="str">
            <v>ITAU UNIBANCO S/A</v>
          </cell>
          <cell r="E22710" t="str">
            <v>ITAU UNIBANCO S/A</v>
          </cell>
        </row>
        <row r="22711">
          <cell r="B22711">
            <v>81110</v>
          </cell>
          <cell r="C22711" t="str">
            <v>ITAU UNIBANCO S.A.</v>
          </cell>
          <cell r="D22711" t="str">
            <v>ITAU UNIBANCO S/A</v>
          </cell>
          <cell r="E22711" t="str">
            <v>ITAU UNIBANCO S/A</v>
          </cell>
        </row>
        <row r="22712">
          <cell r="B22712">
            <v>5598</v>
          </cell>
          <cell r="C22712" t="str">
            <v>JANE STREET CAPITAL LLC</v>
          </cell>
          <cell r="D22712" t="str">
            <v>JANE STREET CAPITAL LLC</v>
          </cell>
          <cell r="E22712" t="str">
            <v>JANE STREET CAPITAL LLC</v>
          </cell>
        </row>
        <row r="22713">
          <cell r="B22713">
            <v>6556</v>
          </cell>
          <cell r="C22713" t="str">
            <v>JEFFERIES LLC FKA JEFFERIES &amp; CO INC</v>
          </cell>
          <cell r="D22713" t="str">
            <v>JEFFERIES LLC FKA JEFFERIES &amp; CO INC</v>
          </cell>
          <cell r="E22713" t="str">
            <v>JEFFERIES LLC FKA JEFFERIES &amp; CO INC</v>
          </cell>
        </row>
        <row r="22714">
          <cell r="B22714">
            <v>12413</v>
          </cell>
          <cell r="C22714" t="str">
            <v>KAPITALO INVESTIMENTOS LTDA</v>
          </cell>
          <cell r="D22714" t="str">
            <v>KAPITALO INVESTIMENTOS LTDA</v>
          </cell>
          <cell r="E22714" t="str">
            <v>KAPITALO INVESTIMENTOS LTDA</v>
          </cell>
        </row>
        <row r="22715">
          <cell r="B22715">
            <v>13909</v>
          </cell>
          <cell r="C22715" t="str">
            <v>LARRAIN VIAL SA CORREDORA DE BOLSA</v>
          </cell>
          <cell r="D22715" t="str">
            <v>LARRAIN VIAL SA CORREDORA DE BOLSA</v>
          </cell>
          <cell r="E22715" t="str">
            <v>LARRAIN VIAL SA CORREDORA DE BOLSA</v>
          </cell>
        </row>
        <row r="22716">
          <cell r="B22716">
            <v>26991</v>
          </cell>
          <cell r="C22716" t="str">
            <v>LATIN AMERICAN EQUITY, S.A.</v>
          </cell>
          <cell r="D22716" t="str">
            <v>LATIN AMERICAN EQUITY, S.A.</v>
          </cell>
          <cell r="E22716" t="str">
            <v>LATIN AMERICAN EQUITY, S.A.</v>
          </cell>
        </row>
        <row r="22717">
          <cell r="B22717">
            <v>80386</v>
          </cell>
          <cell r="C22717" t="str">
            <v>LEGACY CAPITAL GESTORA DE RECURSOS LTDA</v>
          </cell>
          <cell r="D22717" t="str">
            <v>LEGACY CAPITAL GESTORA DE RECURSOS LTDA</v>
          </cell>
          <cell r="E22717" t="str">
            <v>LEGACY CAPITAL GESTORA DE RECURSOS LTDA</v>
          </cell>
        </row>
        <row r="22718">
          <cell r="B22718">
            <v>43418</v>
          </cell>
          <cell r="C22718" t="str">
            <v>LTS LIQUID INVESTMENTS LLC</v>
          </cell>
          <cell r="D22718" t="str">
            <v>LTS LIQUID INVESTMENTS LLC</v>
          </cell>
          <cell r="E22718" t="str">
            <v>LTS LIQUID INVESTMENTS LLC</v>
          </cell>
        </row>
        <row r="22719">
          <cell r="B22719">
            <v>81847</v>
          </cell>
          <cell r="C22719" t="str">
            <v>MACQUARIE BANK LIMITED - SANTANDER</v>
          </cell>
          <cell r="D22719" t="str">
            <v>MACQUARIE BANK LIMITED</v>
          </cell>
          <cell r="E22719" t="str">
            <v>MACQUARIE BANK LIMITED</v>
          </cell>
        </row>
        <row r="22720">
          <cell r="B22720">
            <v>81819</v>
          </cell>
          <cell r="C22720" t="str">
            <v>MAR ASSET MANAGEMENT GESTORA DE RECURSOS LTDA</v>
          </cell>
          <cell r="D22720" t="str">
            <v>MAR ASSET MANAGEMENT GESTORA DE RECURSOS LTDA</v>
          </cell>
          <cell r="E22720" t="str">
            <v>MAR ASSET MANAGEMENT GESTORA DE RECURSOS LTDA</v>
          </cell>
        </row>
        <row r="22721">
          <cell r="B22721">
            <v>19154</v>
          </cell>
          <cell r="C22721" t="str">
            <v>MAREX CAPITAL MARKETS, INC</v>
          </cell>
          <cell r="D22721" t="str">
            <v>MAREX CAPITAL MARKETS, INC</v>
          </cell>
          <cell r="E22721" t="str">
            <v>MAREX CAPITAL MARKETS, INC</v>
          </cell>
        </row>
        <row r="22722">
          <cell r="B22722">
            <v>1179</v>
          </cell>
          <cell r="C22722" t="str">
            <v>SEAPORT GLOBAL SECURITIES LLC</v>
          </cell>
          <cell r="D22722" t="str">
            <v>SEAPORT GLOBAL SECURITIES LLC</v>
          </cell>
          <cell r="E22722" t="str">
            <v>SEAPORT GLOBAL SECURITIES LLC</v>
          </cell>
        </row>
        <row r="22723">
          <cell r="B22723">
            <v>1180</v>
          </cell>
          <cell r="C22723" t="str">
            <v>CHICAGO TRADING COMPANY LLC</v>
          </cell>
          <cell r="D22723" t="str">
            <v>CHICAGO TRADING COMPANY LLC</v>
          </cell>
          <cell r="E22723" t="str">
            <v>CHICAGO TRADING COMPANY LLC</v>
          </cell>
        </row>
        <row r="22724">
          <cell r="B22724">
            <v>79241</v>
          </cell>
          <cell r="C22724" t="str">
            <v>MERRILL LYNCH CAPITAL SERVICES INC</v>
          </cell>
          <cell r="D22724" t="str">
            <v>BANK OF AMERICA MERRILL LYNCH BANCO MULTIPLO S/A</v>
          </cell>
          <cell r="E22724" t="str">
            <v>BANK OF AMERICA MERRILL LYNCH BANCO MULTIPLO S/A</v>
          </cell>
        </row>
        <row r="22725">
          <cell r="B22725">
            <v>25646</v>
          </cell>
          <cell r="C22725" t="str">
            <v>MILLENNIUM INTERNATIONAL MANAGEMENT LP</v>
          </cell>
          <cell r="D22725" t="str">
            <v>MILLENNIUM INTERNATIONAL MANAGEMENT LP</v>
          </cell>
          <cell r="E22725" t="str">
            <v>MILLENNIUM INTERNATIONAL MANAGEMENT LP</v>
          </cell>
        </row>
        <row r="22726">
          <cell r="B22726">
            <v>80754</v>
          </cell>
          <cell r="C22726" t="str">
            <v>MORGAN STANLEY LATAM LLC - CITIBANK</v>
          </cell>
          <cell r="D22726" t="str">
            <v>BANCO MORGAN STANLEY S/A</v>
          </cell>
          <cell r="E22726" t="str">
            <v>BANCO MORGAN STANLEY S/A</v>
          </cell>
        </row>
        <row r="22727">
          <cell r="B22727">
            <v>488</v>
          </cell>
          <cell r="C22727" t="str">
            <v>NATIONAL AUSTRALIA BANK LIMITED</v>
          </cell>
          <cell r="D22727" t="str">
            <v>NATIONAL AUSTRALIA BANK LIMITED</v>
          </cell>
          <cell r="E22727" t="str">
            <v>NATIONAL AUSTRALIA BANK LIMITED</v>
          </cell>
        </row>
        <row r="22728">
          <cell r="B22728">
            <v>1181</v>
          </cell>
          <cell r="C22728" t="str">
            <v>OPPENHEIMER &amp; CO. INC</v>
          </cell>
          <cell r="D22728" t="str">
            <v>OPPENHEIMER &amp; CO. INC</v>
          </cell>
          <cell r="E22728" t="str">
            <v>OPPENHEIMER &amp; CO. INC</v>
          </cell>
        </row>
        <row r="22729">
          <cell r="B22729">
            <v>873</v>
          </cell>
          <cell r="C22729" t="str">
            <v>NATIXIS, SA</v>
          </cell>
          <cell r="D22729" t="str">
            <v>NATIXIS, SA</v>
          </cell>
          <cell r="E22729" t="str">
            <v>NATIXIS, SA</v>
          </cell>
        </row>
        <row r="22730">
          <cell r="B22730">
            <v>81070</v>
          </cell>
          <cell r="C22730" t="str">
            <v>NATWEST MARKETS PLC _ BANCO BNP PARIBAS BRASIL SA</v>
          </cell>
          <cell r="D22730" t="str">
            <v>NATWEST MARKETS PLC _ BANCO BNP PARIBAS BRASIL SA</v>
          </cell>
          <cell r="E22730" t="str">
            <v>NATWEST MARKETS PLC _ BANCO BNP PARIBAS BRASIL SA</v>
          </cell>
        </row>
        <row r="22731">
          <cell r="B22731">
            <v>80389</v>
          </cell>
          <cell r="C22731" t="str">
            <v>NAVI CAPITAL ADMINISTRADORA E GESTORA DE RECURSOS FINANCEIRO</v>
          </cell>
          <cell r="D22731" t="str">
            <v>NAVI CAPITAL ADMINISTRADORA E GESTORA DE RECURSOS FINANCEIRO</v>
          </cell>
          <cell r="E22731" t="str">
            <v>NAVI CAPITAL ADMINISTRADORA E GESTORA DE RECURSOS FINANCEIRO</v>
          </cell>
        </row>
        <row r="22732">
          <cell r="B22732">
            <v>41432</v>
          </cell>
          <cell r="C22732" t="str">
            <v>NEWFOUNDLAND CAPITAL MANAGEMENT US LLC</v>
          </cell>
          <cell r="D22732" t="str">
            <v>NEWFOUNDLAND CAPITAL MANAGEMENT US LLC</v>
          </cell>
          <cell r="E22732" t="str">
            <v>NEWFOUNDLAND CAPITAL MANAGEMENT US LLC</v>
          </cell>
        </row>
        <row r="22733">
          <cell r="B22733">
            <v>79726</v>
          </cell>
          <cell r="C22733" t="str">
            <v>NOMURA GLOBAL FINANCIAL PRODUCTS INC.</v>
          </cell>
          <cell r="D22733" t="str">
            <v>NOMURA GLOBAL FINANCIAL PRODUCTS INC.</v>
          </cell>
          <cell r="E22733" t="str">
            <v>NOMURA GLOBAL FINANCIAL PRODUCTS INC.</v>
          </cell>
        </row>
        <row r="22734">
          <cell r="B22734">
            <v>82695</v>
          </cell>
          <cell r="C22734" t="str">
            <v>NORTE ASSET MANAGEMENT GESTAO DE RECURSOS S.A.</v>
          </cell>
          <cell r="D22734" t="str">
            <v>NORTE ASSET MANAGEMENT GESTAO DE RECURSOS S.A.</v>
          </cell>
          <cell r="E22734" t="str">
            <v>NORTE ASSET MANAGEMENT GESTAO DE RECURSOS S.A.</v>
          </cell>
        </row>
        <row r="22735">
          <cell r="B22735">
            <v>81756</v>
          </cell>
          <cell r="C22735" t="str">
            <v>OCCAM BRASIL GESTAO DE RECURSOS LTDA</v>
          </cell>
          <cell r="D22735" t="str">
            <v>OCCAM BRASIL GESTAO DE RECURSOS LTDA</v>
          </cell>
          <cell r="E22735" t="str">
            <v>OCCAM BRASIL GESTAO DE RECURSOS LTDA</v>
          </cell>
        </row>
        <row r="22736">
          <cell r="B22736">
            <v>37965</v>
          </cell>
          <cell r="C22736" t="str">
            <v>OLD MISSION EUROPE LLP</v>
          </cell>
          <cell r="D22736" t="str">
            <v>OLD MISSION EUROPE LLP</v>
          </cell>
          <cell r="E22736" t="str">
            <v>OLD MISSION EUROPE LLP</v>
          </cell>
        </row>
        <row r="22737">
          <cell r="B22737">
            <v>1182</v>
          </cell>
          <cell r="C22737" t="str">
            <v>WALLEYE TRADING LLC</v>
          </cell>
          <cell r="D22737" t="str">
            <v>WALLEYE TRADING LLC</v>
          </cell>
          <cell r="E22737" t="str">
            <v>WALLEYE TRADING LLC</v>
          </cell>
        </row>
        <row r="22738">
          <cell r="B22738">
            <v>80708</v>
          </cell>
          <cell r="C22738" t="str">
            <v>OPTIVER V.O.F.</v>
          </cell>
          <cell r="D22738" t="str">
            <v>OPTIVER V.O.F.</v>
          </cell>
          <cell r="E22738" t="str">
            <v>OPTIVER V.O.F.</v>
          </cell>
        </row>
        <row r="22739">
          <cell r="B22739">
            <v>43437</v>
          </cell>
          <cell r="C22739" t="str">
            <v>PAR5 CAPITAL &amp; CO LLC</v>
          </cell>
          <cell r="D22739" t="str">
            <v>PAR5 CAPITAL &amp; CO LLC</v>
          </cell>
          <cell r="E22739" t="str">
            <v>PAR5 CAPITAL &amp; CO LLC</v>
          </cell>
        </row>
        <row r="22740">
          <cell r="B22740">
            <v>1183</v>
          </cell>
          <cell r="C22740" t="str">
            <v>CENTIVA CAPITAL, LP</v>
          </cell>
          <cell r="D22740" t="str">
            <v>CENTIVA CAPITAL, LP</v>
          </cell>
          <cell r="E22740" t="str">
            <v>CENTIVA CAPITAL, LP</v>
          </cell>
        </row>
        <row r="22741">
          <cell r="B22741">
            <v>81501</v>
          </cell>
          <cell r="C22741" t="str">
            <v>PORTO SEGURO INVESTIMENTOS LTDA</v>
          </cell>
          <cell r="D22741" t="str">
            <v>PORTO SEGURO INVESTIMENTOS LTDA</v>
          </cell>
          <cell r="E22741" t="str">
            <v>PORTO SEGURO INVESTIMENTOS LTDA</v>
          </cell>
        </row>
        <row r="22742">
          <cell r="B22742">
            <v>1184</v>
          </cell>
          <cell r="C22742" t="str">
            <v>CAPTION PARTNERS LP</v>
          </cell>
          <cell r="D22742" t="str">
            <v>CAPTION PARTNERS LP</v>
          </cell>
          <cell r="E22742" t="str">
            <v>CAPTION PARTNERS LP</v>
          </cell>
        </row>
        <row r="22743">
          <cell r="B22743">
            <v>1185</v>
          </cell>
          <cell r="C22743" t="str">
            <v>MATRIX EXECUTIONS LLC</v>
          </cell>
          <cell r="D22743" t="str">
            <v>MATRIX EXECUTIONS LLC</v>
          </cell>
          <cell r="E22743" t="str">
            <v>MATRIX EXECUTIONS LLC</v>
          </cell>
        </row>
        <row r="22744">
          <cell r="B22744">
            <v>1186</v>
          </cell>
          <cell r="C22744" t="str">
            <v>TUDOR INVESTMENT CORP</v>
          </cell>
          <cell r="D22744" t="str">
            <v>TUDOR INVESTMENT CORP</v>
          </cell>
          <cell r="E22744" t="str">
            <v>TUDOR INVESTMENT CORP</v>
          </cell>
        </row>
        <row r="22745">
          <cell r="B22745">
            <v>12339</v>
          </cell>
          <cell r="C22745" t="str">
            <v>RPS CAPITAL ADMINISTRADORA DE RECURSOS LTDA</v>
          </cell>
          <cell r="D22745" t="str">
            <v>RPS CAPITAL ADMINISTRADORA DE RECURSOS LTDA</v>
          </cell>
          <cell r="E22745" t="str">
            <v>RPS CAPITAL ADMINISTRADORA DE RECURSOS LTDA</v>
          </cell>
        </row>
        <row r="22746">
          <cell r="B22746">
            <v>79852</v>
          </cell>
          <cell r="C22746" t="str">
            <v>SANTANDER BRASIL GESTAO DE RECURSOS LTDA</v>
          </cell>
          <cell r="D22746" t="str">
            <v>SANTANDER BRASIL GESTAO DE RECURSOS LTDA</v>
          </cell>
          <cell r="E22746" t="str">
            <v>SANTANDER BRASIL GESTAO DE RECURSOS LTDA</v>
          </cell>
        </row>
        <row r="22747">
          <cell r="B22747">
            <v>1187</v>
          </cell>
          <cell r="C22747" t="str">
            <v>MARIVA CAPITAL MARKETS, LLC</v>
          </cell>
          <cell r="D22747" t="str">
            <v>MARIVA CAPITAL MARKETS, LLC</v>
          </cell>
          <cell r="E22747" t="str">
            <v>MARIVA CAPITAL MARKETS, LLC</v>
          </cell>
        </row>
        <row r="22748">
          <cell r="B22748">
            <v>18658</v>
          </cell>
          <cell r="C22748" t="str">
            <v>SCOTIABANK BRASILS/A BANCO MULTIPLO(ANTIGO DRESDNER BANK BR)</v>
          </cell>
          <cell r="D22748" t="str">
            <v>SCOTIABANK BRASILS/A BANCO MULTIPLO(ANTIGO DRESDNER BANK BR)</v>
          </cell>
          <cell r="E22748" t="str">
            <v>SCOTIABANK BRASILS/A BANCO MULTIPLO(ANTIGO DRESDNER BANK BR)</v>
          </cell>
        </row>
        <row r="22749">
          <cell r="B22749">
            <v>1188</v>
          </cell>
          <cell r="C22749" t="str">
            <v>PUENTE HNOS. CORREDOR DE BOLSA</v>
          </cell>
          <cell r="D22749" t="str">
            <v>PUENTE HNOS. CORREDOR DE BOLSA</v>
          </cell>
          <cell r="E22749" t="str">
            <v>PUENTE HNOS. CORREDOR DE BOLSA</v>
          </cell>
        </row>
        <row r="22750">
          <cell r="B22750">
            <v>80515</v>
          </cell>
          <cell r="C22750" t="str">
            <v>SHARP CAPITAL GESTORA DE RECURSOS LTDA</v>
          </cell>
          <cell r="D22750" t="str">
            <v>SHARP CAPITAL GESTORA DE RECURSOS LTDA</v>
          </cell>
          <cell r="E22750" t="str">
            <v>SHARP CAPITAL GESTORA DE RECURSOS LTDA</v>
          </cell>
        </row>
        <row r="22751">
          <cell r="B22751">
            <v>80981</v>
          </cell>
          <cell r="C22751" t="str">
            <v>SMBCB ONSHORE FIM IE LONGO PRAZO</v>
          </cell>
          <cell r="D22751" t="str">
            <v>SMBCB ONSHORE FIM IE LONGO PRAZO</v>
          </cell>
          <cell r="E22751" t="str">
            <v>SMBCB ONSHORE FIM IE LONGO PRAZO</v>
          </cell>
        </row>
        <row r="22752">
          <cell r="B22752">
            <v>79157</v>
          </cell>
          <cell r="C22752" t="str">
            <v>SOCIETE GENERALE (PARIS)</v>
          </cell>
          <cell r="D22752" t="str">
            <v>BANCO SOCIETE GENERALE BRASIL S/A</v>
          </cell>
          <cell r="E22752" t="str">
            <v>BANCO SOCIETE GENERALE BRASIL S/A</v>
          </cell>
        </row>
        <row r="22753">
          <cell r="B22753">
            <v>80056</v>
          </cell>
          <cell r="C22753" t="str">
            <v>SOLANA LONG AND SHORT FIM</v>
          </cell>
          <cell r="D22753" t="str">
            <v>SOLANA GESTORA DE RECURSOS LTDA</v>
          </cell>
          <cell r="E22753" t="str">
            <v>SOLANA GESTORA DE RECURSOS LTDA</v>
          </cell>
        </row>
        <row r="22754">
          <cell r="B22754">
            <v>82748</v>
          </cell>
          <cell r="C22754" t="str">
            <v>SPRINGS CAPITAL LTDA</v>
          </cell>
          <cell r="D22754" t="str">
            <v>SPRINGS CAPITAL LTDA</v>
          </cell>
          <cell r="E22754" t="str">
            <v>SPRINGS CAPITAL LTDA</v>
          </cell>
        </row>
        <row r="22755">
          <cell r="B22755">
            <v>81564</v>
          </cell>
          <cell r="C22755" t="str">
            <v>SPX GESTAO DE RECURSOS LTDA</v>
          </cell>
          <cell r="D22755" t="str">
            <v>SPX GESTAO DE RECURSOS LTDA</v>
          </cell>
          <cell r="E22755" t="str">
            <v>SPX GESTAO DE RECURSOS LTDA</v>
          </cell>
        </row>
        <row r="22756">
          <cell r="B22756">
            <v>82480</v>
          </cell>
          <cell r="C22756" t="str">
            <v>SPX GESTAO DE RECURSOS LTDA</v>
          </cell>
          <cell r="D22756" t="str">
            <v>SPX GESTAO DE RECURSOS LTDA</v>
          </cell>
          <cell r="E22756" t="str">
            <v>SPX GESTAO DE RECURSOS LTDA</v>
          </cell>
        </row>
        <row r="22757">
          <cell r="B22757">
            <v>82717</v>
          </cell>
          <cell r="C22757" t="str">
            <v>SQUAREPOINT ATLAS TRADING LLC</v>
          </cell>
          <cell r="D22757" t="str">
            <v>SQUAREPOINT ATLAS TRADING LLC</v>
          </cell>
          <cell r="E22757" t="str">
            <v>SQUAREPOINT ATLAS TRADING LLC</v>
          </cell>
        </row>
        <row r="22758">
          <cell r="B22758">
            <v>79924</v>
          </cell>
          <cell r="C22758" t="str">
            <v>STANDARD CHARTERED BANK (LONDRES)</v>
          </cell>
          <cell r="D22758" t="str">
            <v>STANDARD CHARTERED BANK (LONDRES)</v>
          </cell>
          <cell r="E22758" t="str">
            <v>STANDARD CHARTERED BANK (LONDRES)</v>
          </cell>
        </row>
        <row r="22759">
          <cell r="B22759">
            <v>80654</v>
          </cell>
          <cell r="C22759" t="str">
            <v>STATE STREET BANK AND TRUST COMPANY</v>
          </cell>
          <cell r="D22759" t="str">
            <v>STATE STREET BANK AND TRUST COMPANY</v>
          </cell>
          <cell r="E22759" t="str">
            <v>STATE STREET BANK AND TRUST COMPANY</v>
          </cell>
        </row>
        <row r="22760">
          <cell r="B22760">
            <v>80770</v>
          </cell>
          <cell r="C22760" t="str">
            <v>STONEX INVESTIMENTOS LTDA</v>
          </cell>
          <cell r="D22760" t="str">
            <v>STONEX INVESTIMENTOS LTDA</v>
          </cell>
          <cell r="E22760" t="str">
            <v>STONEX INVESTIMENTOS LTDA</v>
          </cell>
        </row>
        <row r="22761">
          <cell r="B22761">
            <v>15703</v>
          </cell>
          <cell r="C22761" t="str">
            <v>SUMRIDGE PARTNERS LLC</v>
          </cell>
          <cell r="D22761" t="str">
            <v>SUMRIDGE PARTNERS LLC</v>
          </cell>
          <cell r="E22761" t="str">
            <v>SUMRIDGE PARTNERS LLC</v>
          </cell>
        </row>
        <row r="22762">
          <cell r="B22762">
            <v>13228</v>
          </cell>
          <cell r="C22762" t="str">
            <v>SUSQUEHANNA FINANCIAL GROUP LLP</v>
          </cell>
          <cell r="D22762" t="str">
            <v>SUSQUEHANNA FINANCIAL GROUP LLP</v>
          </cell>
          <cell r="E22762" t="str">
            <v>SUSQUEHANNA FINANCIAL GROUP LLP</v>
          </cell>
        </row>
        <row r="22763">
          <cell r="B22763">
            <v>1189</v>
          </cell>
          <cell r="C22763" t="str">
            <v>SCHONFELD STRATEGIC ADVISORS LLC</v>
          </cell>
          <cell r="D22763" t="str">
            <v>SCHONFELD STRATEGIC ADVISORS LLC</v>
          </cell>
          <cell r="E22763" t="str">
            <v>SCHONFELD STRATEGIC ADVISORS BRAZIL LTDA</v>
          </cell>
        </row>
        <row r="22764">
          <cell r="B22764">
            <v>12402</v>
          </cell>
          <cell r="C22764" t="str">
            <v>TRUXT INVESTIMENTOS LTDA</v>
          </cell>
          <cell r="D22764" t="str">
            <v>TRUXT INVESTIMENTOS LTDA</v>
          </cell>
          <cell r="E22764" t="str">
            <v>TRUXT INVESTIMENTOS LTDA</v>
          </cell>
        </row>
        <row r="22765">
          <cell r="B22765">
            <v>1190</v>
          </cell>
          <cell r="C22765" t="str">
            <v>HAP TRADING LLC</v>
          </cell>
          <cell r="D22765" t="str">
            <v>HAP TRADING LLC</v>
          </cell>
          <cell r="E22765" t="str">
            <v>HAP TRADING LLC</v>
          </cell>
        </row>
        <row r="22766">
          <cell r="B22766">
            <v>79313</v>
          </cell>
          <cell r="C22766" t="str">
            <v>UBS AG, LONDON BRANCH NOVO</v>
          </cell>
          <cell r="D22766" t="str">
            <v>UBS AG, LONDON BRANCH NOVO</v>
          </cell>
          <cell r="E22766" t="str">
            <v>UBS AG, LONDON BRANCH NOVO</v>
          </cell>
        </row>
        <row r="22767">
          <cell r="B22767">
            <v>80359</v>
          </cell>
          <cell r="C22767" t="str">
            <v>VINLAND CAPITAL MANAGEMENT GESTORA DE RECURSOS LTDA</v>
          </cell>
          <cell r="D22767" t="str">
            <v>VINLAND CAPITAL MANAGEMENT GESTORA DE RECURSOS LTDA</v>
          </cell>
          <cell r="E22767" t="str">
            <v>VINLAND CAPITAL MANAGEMENT GESTORA DE RECURSOS LTDA</v>
          </cell>
        </row>
        <row r="22768">
          <cell r="B22768">
            <v>80360</v>
          </cell>
          <cell r="C22768" t="str">
            <v>VISTA CAPITAL GESTORA DE RECURSOS LTDA</v>
          </cell>
          <cell r="D22768" t="str">
            <v>VISTA CAPITAL GESTORA DE RECURSOS LTDA</v>
          </cell>
          <cell r="E22768" t="str">
            <v>VISTA CAPITAL GESTORA DE RECURSOS LTDA</v>
          </cell>
        </row>
        <row r="22769">
          <cell r="B22769">
            <v>1191</v>
          </cell>
          <cell r="C22769" t="str">
            <v>RIO DE LA PLATA AGENTE DE VALORES SA</v>
          </cell>
          <cell r="D22769" t="str">
            <v>RIO DE LA PLATA AGENTE DE VALORES SA</v>
          </cell>
          <cell r="E22769" t="str">
            <v>RIO DE LA PLATA AGENTE DE VALORES SA</v>
          </cell>
        </row>
        <row r="22770">
          <cell r="B22770">
            <v>2007</v>
          </cell>
          <cell r="C22770" t="str">
            <v>WELLS FARGO BANK, N.A.</v>
          </cell>
          <cell r="D22770" t="str">
            <v>WELLS FARGO BANK, N.A.</v>
          </cell>
          <cell r="E22770" t="str">
            <v>WELLS FARGO BANK, N.A.</v>
          </cell>
        </row>
        <row r="22771">
          <cell r="B22771">
            <v>1192</v>
          </cell>
          <cell r="C22771" t="str">
            <v>WOLVERINE TRADING LLC</v>
          </cell>
          <cell r="D22771" t="str">
            <v>WOLVERINE TRADING LLC</v>
          </cell>
          <cell r="E22771" t="str">
            <v>WOLVERINE TRADING LLC</v>
          </cell>
        </row>
        <row r="22772">
          <cell r="B22772">
            <v>80648</v>
          </cell>
          <cell r="C22772" t="str">
            <v>XP GESTAO DE RECURSOS LTDA</v>
          </cell>
          <cell r="D22772" t="str">
            <v>XP GESTAO DE RECURSOS LTDA</v>
          </cell>
          <cell r="E22772" t="str">
            <v>XP GESTAO DE RECURSOS LTDA</v>
          </cell>
        </row>
        <row r="22773">
          <cell r="B22773">
            <v>1193</v>
          </cell>
          <cell r="C22773" t="str">
            <v>INVICTUS TECHNOLOGY LLC</v>
          </cell>
          <cell r="D22773" t="str">
            <v>INVICTUS TECHNOLOGY LLC</v>
          </cell>
          <cell r="E22773" t="str">
            <v>INVICTUS TECHNOLOGY LLC</v>
          </cell>
        </row>
        <row r="22774">
          <cell r="B22774">
            <v>2706</v>
          </cell>
          <cell r="C22774" t="str">
            <v>TD SECURITIES, INC</v>
          </cell>
          <cell r="D22774" t="str">
            <v>TD SECURITIES, INC</v>
          </cell>
          <cell r="E22774" t="str">
            <v>TD SECURITIES, INC</v>
          </cell>
        </row>
        <row r="22775">
          <cell r="B22775">
            <v>6557</v>
          </cell>
          <cell r="C22775" t="str">
            <v>GFI SECURITIES LTD</v>
          </cell>
          <cell r="D22775" t="str">
            <v>GFI SECURITIES LTD</v>
          </cell>
          <cell r="E22775" t="str">
            <v>GFI SECURITIES LTD</v>
          </cell>
        </row>
        <row r="22776">
          <cell r="B22776">
            <v>9325</v>
          </cell>
          <cell r="C22776" t="str">
            <v>BANCO COMERCIAL PORTUGUÊS, S.A</v>
          </cell>
          <cell r="D22776" t="str">
            <v>BANCO COMERCIAL PORTUGUÊS, S.A</v>
          </cell>
          <cell r="E22776" t="str">
            <v>BANCO COMERCIAL PORTUGUÊS, S.A</v>
          </cell>
        </row>
        <row r="22777">
          <cell r="B22777">
            <v>10175</v>
          </cell>
          <cell r="C22777" t="str">
            <v>FIRST OVERSEAS BANK LTD</v>
          </cell>
          <cell r="D22777" t="str">
            <v>FIRST OVERSEAS BANK LTD</v>
          </cell>
          <cell r="E22777" t="str">
            <v>FIRST OVERSEAS BANK LTD</v>
          </cell>
        </row>
        <row r="22778">
          <cell r="B22778">
            <v>11169</v>
          </cell>
          <cell r="C22778" t="str">
            <v>TPCG FINANCIAL SERVICES AGENTE DE VAL AS</v>
          </cell>
          <cell r="D22778" t="str">
            <v>TPCG FINANCIAL SERVICES AGENTE DE VAL AS</v>
          </cell>
          <cell r="E22778" t="str">
            <v>TPCG FINANCIAL SERVICES AGENTE DE VAL AS</v>
          </cell>
        </row>
        <row r="22779">
          <cell r="B22779">
            <v>22740</v>
          </cell>
          <cell r="C22779" t="str">
            <v>MARATHON ASSET MANAGEMENT</v>
          </cell>
          <cell r="D22779" t="str">
            <v>MARATHON ASSET MANAGEMENT</v>
          </cell>
          <cell r="E22779" t="str">
            <v>MARATHON ASSET MANAGEMENT</v>
          </cell>
        </row>
        <row r="22780">
          <cell r="B22780">
            <v>22740</v>
          </cell>
          <cell r="C22780" t="str">
            <v>MARATHON ASSET MANAGEMENT LP</v>
          </cell>
          <cell r="D22780" t="str">
            <v>MARATHON ASSET MANAGEMENT</v>
          </cell>
          <cell r="E22780" t="str">
            <v>MARATHON ASSET MANAGEMENT</v>
          </cell>
        </row>
        <row r="22781">
          <cell r="B22781">
            <v>24814</v>
          </cell>
          <cell r="C22781" t="str">
            <v>HUDSON BAY CAPITAL MANAGEMENT LP</v>
          </cell>
          <cell r="D22781" t="str">
            <v>HUDSON BAY CAPITAL MANAGEMENT LP</v>
          </cell>
          <cell r="E22781" t="str">
            <v>HUDSON BAY CAPITAL MANAGEMENT LP</v>
          </cell>
        </row>
        <row r="22782">
          <cell r="B22782">
            <v>28748</v>
          </cell>
          <cell r="C22782" t="str">
            <v>ALTERNA SECURITIES, INC</v>
          </cell>
          <cell r="D22782" t="str">
            <v>ALTERNA SECURITIES, INC</v>
          </cell>
          <cell r="E22782" t="str">
            <v>ALTERNA SECURITIES, INC</v>
          </cell>
        </row>
        <row r="22783">
          <cell r="B22783">
            <v>36694</v>
          </cell>
          <cell r="C22783" t="str">
            <v>MAX AGENTE DE VALORES AS</v>
          </cell>
          <cell r="D22783" t="str">
            <v>MAX AGENTE DE VALORES AS</v>
          </cell>
          <cell r="E22783" t="str">
            <v>MAX AGENTE DE VALORES AS</v>
          </cell>
        </row>
        <row r="22784">
          <cell r="B22784">
            <v>37475</v>
          </cell>
          <cell r="C22784" t="str">
            <v>MAVERICK DERIVATIVES COOPERATIEF U.A.</v>
          </cell>
          <cell r="D22784" t="str">
            <v>MAVERICK DERIVATIVES COOPERATIEF U.A.</v>
          </cell>
          <cell r="E22784" t="str">
            <v>MAVERICK DERIVATIVES COOPERATIEF U.A.</v>
          </cell>
        </row>
        <row r="22785">
          <cell r="B22785">
            <v>38130</v>
          </cell>
          <cell r="C22785" t="str">
            <v>MACRO BANK LTD</v>
          </cell>
          <cell r="D22785" t="str">
            <v>MACRO BANK LTD</v>
          </cell>
          <cell r="E22785" t="str">
            <v>MACRO BANK LTD</v>
          </cell>
        </row>
        <row r="22786">
          <cell r="B22786" t="str">
            <v>M10663610000129</v>
          </cell>
          <cell r="C22786" t="str">
            <v>DESENVOLVE SP - AF DO ESTADO DE SÃO PAULO S.A.</v>
          </cell>
          <cell r="D22786" t="str">
            <v>DESENVOLVE SP - AF DO ESTADO DE SÃO PAULO S.A.</v>
          </cell>
          <cell r="E22786" t="str">
            <v>DESENVOLVE SP - AF DO ESTADO DE SÃO PAULO S/A</v>
          </cell>
        </row>
        <row r="22787">
          <cell r="B22787" t="str">
            <v>M58006471000197</v>
          </cell>
          <cell r="C22787" t="str">
            <v>BARU DTVM LTDA</v>
          </cell>
          <cell r="D22787" t="str">
            <v>BARU DTVM LTDA</v>
          </cell>
          <cell r="E22787" t="str">
            <v>BARU DTVM LTDA</v>
          </cell>
        </row>
        <row r="22788">
          <cell r="B22788" t="str">
            <v>M9040088800014201</v>
          </cell>
          <cell r="C22788" t="str">
            <v>BANCO SANTANDER (BRASIL) S/A</v>
          </cell>
          <cell r="D22788" t="str">
            <v>SANTANDER FUNDOS</v>
          </cell>
          <cell r="E22788" t="str">
            <v>BANCO SANTANDER (BRASIL) S/A</v>
          </cell>
        </row>
        <row r="22789">
          <cell r="B22789">
            <v>1194</v>
          </cell>
          <cell r="C22789" t="str">
            <v>CIBC WORLD MARKETS, INC</v>
          </cell>
          <cell r="D22789" t="str">
            <v>CIBC WORLD MARKETS, INC</v>
          </cell>
          <cell r="E22789" t="str">
            <v>CIBC WORLD MARKETS, INC</v>
          </cell>
        </row>
        <row r="22790">
          <cell r="B22790">
            <v>1195</v>
          </cell>
          <cell r="C22790" t="str">
            <v xml:space="preserve">SIMPLEX TRADING , LLC </v>
          </cell>
          <cell r="D22790" t="str">
            <v xml:space="preserve">SIMPLEX TRADING , LLC </v>
          </cell>
          <cell r="E22790" t="str">
            <v>SIMPLEX TRADING , LLC</v>
          </cell>
        </row>
        <row r="22791">
          <cell r="B22791">
            <v>82999</v>
          </cell>
          <cell r="C22791" t="str">
            <v>ITAÚ MASTER GLOBAL DINÂMICO MULTIMERCADO FIF RL</v>
          </cell>
          <cell r="D22791" t="str">
            <v>ITAÚ MASTER GLOBAL DINÂMICO MULTIMERCADO FIF RL</v>
          </cell>
          <cell r="E22791" t="str">
            <v>ITAU UNIBANCO ASSET - MOMENTO</v>
          </cell>
        </row>
        <row r="22792">
          <cell r="B22792">
            <v>82999</v>
          </cell>
          <cell r="C22792" t="str">
            <v>ITAÚ MASTER GLOBAL DINÂMICO MULTIMERCADO FIF RL</v>
          </cell>
          <cell r="D22792" t="str">
            <v>ITAÚ MASTER GLOBAL DINÂMICO MULTIMERCADO FIF RL</v>
          </cell>
          <cell r="E22792" t="str">
            <v>ITAU UNIBANCO ASSET - MOMENTO</v>
          </cell>
        </row>
        <row r="22793">
          <cell r="B22793">
            <v>83019</v>
          </cell>
          <cell r="C22793" t="str">
            <v>CONSILIUM FIF EM ACOES RL</v>
          </cell>
          <cell r="D22793" t="str">
            <v>CONSILIUM FIF EM ACOES RL</v>
          </cell>
          <cell r="E22793" t="str">
            <v>ITAU UNIBANCO ASSET - TACO</v>
          </cell>
        </row>
        <row r="22794">
          <cell r="B22794">
            <v>83019</v>
          </cell>
          <cell r="C22794" t="str">
            <v>CONSILIUM FIF EM ACOES RL</v>
          </cell>
          <cell r="D22794" t="str">
            <v>CONSILIUM FIF EM ACOES RL</v>
          </cell>
          <cell r="E22794" t="str">
            <v>ITAU UNIBANCO ASSET - TACO</v>
          </cell>
        </row>
        <row r="22795">
          <cell r="B22795">
            <v>83026</v>
          </cell>
          <cell r="C22795" t="str">
            <v>ITAU JANEIRO II MULT FIF RL</v>
          </cell>
          <cell r="D22795" t="str">
            <v>ITAU JANEIRO II MULT FIF RL</v>
          </cell>
          <cell r="E22795" t="str">
            <v>ITAU UNIBANCO ASSET - TACO</v>
          </cell>
        </row>
        <row r="22796">
          <cell r="B22796">
            <v>83026</v>
          </cell>
          <cell r="C22796" t="str">
            <v>ITAU JANEIRO II MULT FIF RL</v>
          </cell>
          <cell r="D22796" t="str">
            <v>ITAU JANEIRO II MULT FIF RL</v>
          </cell>
          <cell r="E22796" t="str">
            <v>ITAU UNIBANCO ASSET - TACO</v>
          </cell>
        </row>
        <row r="22797">
          <cell r="B22797">
            <v>83032</v>
          </cell>
          <cell r="C22797" t="str">
            <v>KAPITALO K10 MASTER FIF MULTI</v>
          </cell>
          <cell r="D22797" t="str">
            <v>KAPITALO K10 MASTER FIF MULTI</v>
          </cell>
          <cell r="E22797" t="str">
            <v>KAPITALO INVESTIMENTOS LTDA</v>
          </cell>
        </row>
        <row r="22798">
          <cell r="B22798">
            <v>83032</v>
          </cell>
          <cell r="C22798" t="str">
            <v>KAPITALO K10 MASTER FIF MULTI</v>
          </cell>
          <cell r="D22798" t="str">
            <v>KAPITALO K10 MASTER FIF MULTI</v>
          </cell>
          <cell r="E22798" t="str">
            <v>KAPITALO INVESTIMENTOS LTDA</v>
          </cell>
        </row>
        <row r="22799">
          <cell r="B22799">
            <v>83044</v>
          </cell>
          <cell r="C22799" t="str">
            <v>BTG PACTUAL E2 FIF MULT</v>
          </cell>
          <cell r="D22799" t="str">
            <v>BTG PACTUAL E2 FIF MULT</v>
          </cell>
          <cell r="E22799" t="str">
            <v>BTG PACTUAL ASSET MANAGEMENT SA DTVM</v>
          </cell>
        </row>
        <row r="22800">
          <cell r="B22800">
            <v>83044</v>
          </cell>
          <cell r="C22800" t="str">
            <v>BTG PACTUAL E2 FIF MULT</v>
          </cell>
          <cell r="D22800" t="str">
            <v>BTG PACTUAL E2 FIF MULT</v>
          </cell>
          <cell r="E22800" t="str">
            <v>BTG PACTUAL ASSET MANAGEMENT SA DTVM</v>
          </cell>
        </row>
        <row r="22801">
          <cell r="B22801">
            <v>83046</v>
          </cell>
          <cell r="C22801" t="str">
            <v>BTG PACTUAL SYNERGY EQUITY HEDGE FIFE PREVIDÊNCIA FIF MULT</v>
          </cell>
          <cell r="D22801" t="str">
            <v>BTG PACTUAL SYNERGY EQUITY HEDGE FIFE PREVIDÊNCIA FIF MULT</v>
          </cell>
          <cell r="E22801" t="str">
            <v>BTG PACTUAL ASSET MANAGEMENT SA DTVM</v>
          </cell>
        </row>
        <row r="22802">
          <cell r="B22802">
            <v>83046</v>
          </cell>
          <cell r="C22802" t="str">
            <v>BTG PACTUAL SYNERGY EQUITY HEDGE FIFE PREVIDÊNCIA FIF MULT</v>
          </cell>
          <cell r="D22802" t="str">
            <v>BTG PACTUAL SYNERGY EQUITY HEDGE FIFE PREVIDÊNCIA FIF MULT</v>
          </cell>
          <cell r="E22802" t="str">
            <v>BTG PACTUAL ASSET MANAGEMENT SA DTVM</v>
          </cell>
        </row>
        <row r="22803">
          <cell r="B22803">
            <v>83068</v>
          </cell>
          <cell r="C22803" t="str">
            <v>STUDIO LONG BIAS FIF MULT RL</v>
          </cell>
          <cell r="D22803" t="str">
            <v>STUDIO LONG BIAS FIF MULT RL</v>
          </cell>
          <cell r="E22803" t="str">
            <v>STUDIO INVESTIMENTOS ADMINISTRADORA DE RECURSOS LTDA</v>
          </cell>
        </row>
        <row r="22804">
          <cell r="B22804">
            <v>83068</v>
          </cell>
          <cell r="C22804" t="str">
            <v>STUDIO LONG BIAS FIF MULT RL</v>
          </cell>
          <cell r="D22804" t="str">
            <v>STUDIO LONG BIAS FIF MULT RL</v>
          </cell>
          <cell r="E22804" t="str">
            <v>STUDIO INVESTIMENTOS ADMINISTRADORA DE RECURSOS LTDA</v>
          </cell>
        </row>
        <row r="22805">
          <cell r="B22805">
            <v>83069</v>
          </cell>
          <cell r="C22805" t="str">
            <v>STUDIO 70 RED PREVIDENCIÁRIO FIF MULT RL</v>
          </cell>
          <cell r="D22805" t="str">
            <v>STUDIO 70 RED PREVIDENCIÁRIO FIF MULT RL</v>
          </cell>
          <cell r="E22805" t="str">
            <v>STUDIO INVESTIMENTOS ADMINISTRADORA DE RECURSOS LTDA</v>
          </cell>
        </row>
        <row r="22806">
          <cell r="B22806">
            <v>83069</v>
          </cell>
          <cell r="C22806" t="str">
            <v>STUDIO 70 RED PREVIDENCIÁRIO FIF MULT RL</v>
          </cell>
          <cell r="D22806" t="str">
            <v>STUDIO 70 RED PREVIDENCIÁRIO FIF MULT RL</v>
          </cell>
          <cell r="E22806" t="str">
            <v>STUDIO INVESTIMENTOS ADMINISTRADORA DE RECURSOS LTDA</v>
          </cell>
        </row>
        <row r="22807">
          <cell r="B22807">
            <v>83081</v>
          </cell>
          <cell r="C22807" t="str">
            <v>ITAU FLEXPREV MASTER GD MULTIMERCADO FUNDO DE INVESTIMENTO</v>
          </cell>
          <cell r="D22807" t="str">
            <v>ITAU FLEXPREV MASTER GD MULTIMERCADO FUNDO DE INVESTIMENTO</v>
          </cell>
          <cell r="E22807" t="str">
            <v>ITAU UNIBANCO ASSET - TACO</v>
          </cell>
        </row>
        <row r="22808">
          <cell r="B22808">
            <v>83081</v>
          </cell>
          <cell r="C22808" t="str">
            <v>ITAU FLEXPREV MASTER GD MULTIMERCADO FUNDO DE INVESTIMENTO</v>
          </cell>
          <cell r="D22808" t="str">
            <v>ITAU FLEXPREV MASTER GD MULTIMERCADO FUNDO DE INVESTIMENTO</v>
          </cell>
          <cell r="E22808" t="str">
            <v>ITAU UNIBANCO ASSET - TACO</v>
          </cell>
        </row>
        <row r="22809">
          <cell r="B22809">
            <v>83087</v>
          </cell>
          <cell r="C22809" t="str">
            <v>ITAU MASTER GLOBAL DINAMICO ULTRA MULTIMERCADO FUNDO DE INVE</v>
          </cell>
          <cell r="D22809" t="str">
            <v>ITAU MASTER GLOBAL DINAMICO ULTRA MULTIMERCADO FUNDO DE INVE</v>
          </cell>
          <cell r="E22809" t="str">
            <v>ITAU UNIBANCO ASSET - TACO</v>
          </cell>
        </row>
        <row r="22810">
          <cell r="B22810">
            <v>83087</v>
          </cell>
          <cell r="C22810" t="str">
            <v>ITAU MASTER GLOBAL DINAMICO ULTRA MULTIMERCADO FUNDO DE INVE</v>
          </cell>
          <cell r="D22810" t="str">
            <v>ITAU MASTER GLOBAL DINAMICO ULTRA MULTIMERCADO FUNDO DE INVE</v>
          </cell>
          <cell r="E22810" t="str">
            <v>ITAU UNIBANCO ASSET - TACO</v>
          </cell>
        </row>
        <row r="22811">
          <cell r="B22811">
            <v>83092</v>
          </cell>
          <cell r="C22811" t="str">
            <v>SENS FIF CLASSE DE INVESTIMENTO BDR-ACOES</v>
          </cell>
          <cell r="D22811" t="str">
            <v>SENS FIF CLASSE DE INVESTIMENTO BDR-ACOES</v>
          </cell>
          <cell r="E22811" t="str">
            <v>SAFRA ASSET MANAGEMENT LTDA</v>
          </cell>
        </row>
        <row r="22812">
          <cell r="B22812">
            <v>83092</v>
          </cell>
          <cell r="C22812" t="str">
            <v>SENS FIF CLASSE DE INVESTIMENTO BDR-ACOES</v>
          </cell>
          <cell r="D22812" t="str">
            <v>SENS FIF CLASSE DE INVESTIMENTO BDR-ACOES</v>
          </cell>
          <cell r="E22812" t="str">
            <v>SAFRA ASSET MANAGEMENT LTDA</v>
          </cell>
        </row>
        <row r="22813">
          <cell r="B22813">
            <v>83094</v>
          </cell>
          <cell r="C22813" t="str">
            <v>SCHONFELD IR MASTER FUND PTE. LTD.</v>
          </cell>
          <cell r="D22813" t="str">
            <v>SCHONFELD IR MASTER FUND PTE. LTD.</v>
          </cell>
          <cell r="E22813" t="str">
            <v>SCHONFELD STRATEGIC ADVISORS BRAZIL LTDA</v>
          </cell>
        </row>
        <row r="22814">
          <cell r="B22814">
            <v>83094</v>
          </cell>
          <cell r="C22814" t="str">
            <v>SCHONFELD IR MASTER FUND PTE. LTD.</v>
          </cell>
          <cell r="D22814" t="str">
            <v>SCHONFELD IR MASTER FUND PTE. LTD.</v>
          </cell>
          <cell r="E22814" t="str">
            <v>SCHONFELD STRATEGIC ADVISORS BRAZIL LTDA</v>
          </cell>
        </row>
        <row r="22815">
          <cell r="B22815">
            <v>83095</v>
          </cell>
          <cell r="C22815" t="str">
            <v>SCHONFELD IR MASTER FUND PTE. LTD.</v>
          </cell>
          <cell r="D22815" t="str">
            <v>SCHONFELD IR MASTER FUND PTE. LTD.</v>
          </cell>
          <cell r="E22815" t="str">
            <v>SCHONFELD STRATEGIC ADVISORS BRAZIL LTDA</v>
          </cell>
        </row>
        <row r="22816">
          <cell r="B22816">
            <v>83095</v>
          </cell>
          <cell r="C22816" t="str">
            <v>SCHONFELD IR MASTER FUND PTE. LTD.</v>
          </cell>
          <cell r="D22816" t="str">
            <v>SCHONFELD IR MASTER FUND PTE. LTD.</v>
          </cell>
          <cell r="E22816" t="str">
            <v>SCHONFELD STRATEGIC ADVISORS BRAZIL LTDA</v>
          </cell>
        </row>
        <row r="22817">
          <cell r="B22817">
            <v>83100</v>
          </cell>
          <cell r="C22817" t="str">
            <v>YARDS MULTIESTRATÉGIA FIF MULT RL</v>
          </cell>
          <cell r="D22817" t="str">
            <v>YARDS MULTIESTRATÉGIA FIF MULT RL</v>
          </cell>
          <cell r="E22817" t="str">
            <v>YARDS ASSET GESTAO DE RECURSOS LTDA</v>
          </cell>
        </row>
        <row r="22818">
          <cell r="B22818">
            <v>83100</v>
          </cell>
          <cell r="C22818" t="str">
            <v>YARDS MULTIESTRATÉGIA FIF MULT RL</v>
          </cell>
          <cell r="D22818" t="str">
            <v>YARDS MULTIESTRATÉGIA FIF MULT RL</v>
          </cell>
          <cell r="E22818" t="str">
            <v>YARDS ASSET GESTAO DE RECURSOS LTDA</v>
          </cell>
        </row>
        <row r="22819">
          <cell r="B22819">
            <v>83106</v>
          </cell>
          <cell r="C22819" t="str">
            <v>SAFRA PITAGORAS MASTER FIF CLASSE DE INV MULTIMERCADO RL</v>
          </cell>
          <cell r="D22819" t="str">
            <v>SAFRA PITAGORAS MASTER FIF CLASSE DE INV MULTIMERCADO RL</v>
          </cell>
          <cell r="E22819" t="str">
            <v>SAFRA ASSET MANAGEMENT LTDA</v>
          </cell>
        </row>
        <row r="22820">
          <cell r="B22820">
            <v>83106</v>
          </cell>
          <cell r="C22820" t="str">
            <v>SAFRA PITAGORAS MASTER FIF CLASSE DE INV MULTIMERCADO RL</v>
          </cell>
          <cell r="D22820" t="str">
            <v>SAFRA PITAGORAS MASTER FIF CLASSE DE INV MULTIMERCADO RL</v>
          </cell>
          <cell r="E22820" t="str">
            <v>SAFRA ASSET MANAGEMENT LTDA</v>
          </cell>
        </row>
        <row r="22821">
          <cell r="B22821">
            <v>83108</v>
          </cell>
          <cell r="C22821" t="str">
            <v>EBURY BANCO DE CAMBIO S/A</v>
          </cell>
          <cell r="D22821" t="str">
            <v>EBURY BANCO DE CAMBIO S/A</v>
          </cell>
          <cell r="E22821" t="str">
            <v>EBURY BANCO DE CAMBIO S/A</v>
          </cell>
        </row>
        <row r="22822">
          <cell r="B22822">
            <v>83108</v>
          </cell>
          <cell r="C22822" t="str">
            <v>EBURY BANCO DE CAMBIO S/A</v>
          </cell>
          <cell r="D22822" t="str">
            <v>EBURY BANCO DE CAMBIO S/A</v>
          </cell>
          <cell r="E22822" t="str">
            <v>EBURY BANCO DE CAMBIO S/A</v>
          </cell>
        </row>
        <row r="22823">
          <cell r="B22823">
            <v>83114</v>
          </cell>
          <cell r="C22823" t="str">
            <v>SICREDI ASSET MANAGEMENT LTDA</v>
          </cell>
          <cell r="D22823" t="str">
            <v>SICREDI ASSET MANAGEMENT LTDA</v>
          </cell>
          <cell r="E22823" t="str">
            <v>SICREDI ASSET MANAGEMENT LTDA</v>
          </cell>
        </row>
        <row r="22824">
          <cell r="B22824">
            <v>83114</v>
          </cell>
          <cell r="C22824" t="str">
            <v>SICREDI ASSET MANAGEMENT LTDA</v>
          </cell>
          <cell r="D22824" t="str">
            <v>SICREDI ASSET MANAGEMENT LTDA</v>
          </cell>
          <cell r="E22824" t="str">
            <v>SICREDI ASSET MANAGEMENT LTDA</v>
          </cell>
        </row>
        <row r="22825">
          <cell r="B22825">
            <v>83118</v>
          </cell>
          <cell r="C22825" t="str">
            <v>UBS BRASIL ADMINISTRADORA DE VALORES MOBILIARIOS LTDA</v>
          </cell>
          <cell r="D22825" t="str">
            <v>UBS BRASIL ADMINISTRADORA DE VALORES MOBILIARIOS LTDA</v>
          </cell>
          <cell r="E22825" t="str">
            <v>UBS BRASIL ADMINISTRADORA DE VALORES MOBILIARIOS LTDA</v>
          </cell>
        </row>
        <row r="22826">
          <cell r="B22826">
            <v>83118</v>
          </cell>
          <cell r="C22826" t="str">
            <v>UBS BRASIL ADMINISTRADORA DE VALORES MOBILIARIOS LTDA</v>
          </cell>
          <cell r="D22826" t="str">
            <v>UBS BRASIL ADMINISTRADORA DE VALORES MOBILIARIOS LTDA</v>
          </cell>
          <cell r="E22826" t="str">
            <v>UBS BRASIL ADMINISTRADORA DE VALORES MOBILIARIOS LTDA</v>
          </cell>
        </row>
        <row r="22827">
          <cell r="B22827">
            <v>83119</v>
          </cell>
          <cell r="C22827" t="str">
            <v>UBS BRASIL ADMINISTRADORA DE VALORES MOBILIARIOS LTDA</v>
          </cell>
          <cell r="D22827" t="str">
            <v>UBS BRASIL ADMINISTRADORA DE VALORES MOBILIARIOS LTDA</v>
          </cell>
          <cell r="E22827" t="str">
            <v>UBS BRASIL ADMINISTRADORA DE VALORES MOBILIARIOS LTDA</v>
          </cell>
        </row>
        <row r="22828">
          <cell r="B22828">
            <v>83119</v>
          </cell>
          <cell r="C22828" t="str">
            <v>UBS BRASIL ADMINISTRADORA DE VALORES MOBILIARIOS LTDA</v>
          </cell>
          <cell r="D22828" t="str">
            <v>UBS BRASIL ADMINISTRADORA DE VALORES MOBILIARIOS LTDA</v>
          </cell>
          <cell r="E22828" t="str">
            <v>UBS BRASIL ADMINISTRADORA DE VALORES MOBILIARIOS LTDA</v>
          </cell>
        </row>
        <row r="22829">
          <cell r="B22829">
            <v>83105</v>
          </cell>
          <cell r="C22829" t="str">
            <v>FUNDO DE INVESTIMENTO FINANCEIRO MULTIMERCADO LS</v>
          </cell>
          <cell r="D22829" t="str">
            <v>FUNDO DE INVESTIMENTO FINANCEIRO MULTIMERCADO LS</v>
          </cell>
          <cell r="E22829" t="str">
            <v>BANCO BTG PACTUAL S/A</v>
          </cell>
        </row>
        <row r="22830">
          <cell r="B22830">
            <v>83105</v>
          </cell>
          <cell r="C22830" t="str">
            <v>FUNDO DE INVESTIMENTO FINANCEIRO MULTIMERCADO LS</v>
          </cell>
          <cell r="D22830" t="str">
            <v>FUNDO DE INVESTIMENTO FINANCEIRO MULTIMERCADO LS</v>
          </cell>
          <cell r="E22830" t="str">
            <v>BANCO BTG PACTUAL S/A</v>
          </cell>
        </row>
        <row r="22831">
          <cell r="B22831" t="str">
            <v>M64786921000104</v>
          </cell>
          <cell r="C22831" t="str">
            <v>SICREDI ASSET MANAGEMENT LTDA</v>
          </cell>
          <cell r="D22831" t="str">
            <v>SICREDI ASSET MANAGEMENT LTDA</v>
          </cell>
          <cell r="E22831" t="str">
            <v>SICREDI ASSET MANAGEMENT LTDA</v>
          </cell>
        </row>
        <row r="22832">
          <cell r="B22832" t="str">
            <v>M51565213000101</v>
          </cell>
          <cell r="C22832" t="str">
            <v>ZSYS ASSET MANAGEMENT LTDA</v>
          </cell>
          <cell r="D22832" t="str">
            <v>ZSYS ASSET MANAGEMENT LTDA</v>
          </cell>
          <cell r="E22832" t="str">
            <v>ZSYS ASSET MANAGEMENT LTDA</v>
          </cell>
        </row>
        <row r="22833">
          <cell r="B22833" t="str">
            <v>M09251848000168</v>
          </cell>
          <cell r="C22833" t="str">
            <v>FUNDO DE PREVIDENCIA DE NOVA AURORA PREVINOVA</v>
          </cell>
          <cell r="D22833" t="str">
            <v>FUNDO DE PREVIDENCIA DE NOVA AURORA PREVINOVA</v>
          </cell>
          <cell r="E22833" t="str">
            <v>FUNDO DE PREVIDENCIA DE NOVA AURORA PREVINOVA</v>
          </cell>
        </row>
        <row r="22834">
          <cell r="B22834" t="str">
            <v>M46670931000106</v>
          </cell>
          <cell r="C22834" t="str">
            <v>MUNICIPIO DE QUELUZ</v>
          </cell>
          <cell r="D22834" t="str">
            <v>MUNICIPIO DE QUELUZ</v>
          </cell>
          <cell r="E22834" t="str">
            <v>MUNICIPIO DE QUELUZ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T"/>
    </sheetNames>
    <sheetDataSet>
      <sheetData sheetId="0">
        <row r="1">
          <cell r="F1" t="str">
            <v>média</v>
          </cell>
        </row>
        <row r="2">
          <cell r="A2" t="str">
            <v>Traders</v>
          </cell>
          <cell r="F2" t="str">
            <v>mai</v>
          </cell>
          <cell r="G2" t="str">
            <v>jun</v>
          </cell>
        </row>
        <row r="3">
          <cell r="A3" t="str">
            <v>ALEXANDRE NEVES</v>
          </cell>
          <cell r="F3">
            <v>-90.638000000000005</v>
          </cell>
          <cell r="G3">
            <v>-90.638000000000005</v>
          </cell>
        </row>
        <row r="4">
          <cell r="A4" t="str">
            <v>ALEXANDRE RODRIGUES</v>
          </cell>
          <cell r="F4">
            <v>-4940.2539999999999</v>
          </cell>
          <cell r="G4">
            <v>-4940.2539999999999</v>
          </cell>
        </row>
        <row r="5">
          <cell r="A5" t="str">
            <v>ALISSON COSTA ARRAIS</v>
          </cell>
          <cell r="F5">
            <v>-1399.66</v>
          </cell>
          <cell r="G5">
            <v>-1399.66</v>
          </cell>
        </row>
        <row r="6">
          <cell r="A6" t="str">
            <v>CAETANO RUFINO RAMOS</v>
          </cell>
          <cell r="F6">
            <v>-1462.6305</v>
          </cell>
          <cell r="G6">
            <v>-1462.6305</v>
          </cell>
        </row>
        <row r="7">
          <cell r="A7" t="str">
            <v>CAIO SATO</v>
          </cell>
          <cell r="F7">
            <v>0</v>
          </cell>
          <cell r="G7">
            <v>0</v>
          </cell>
        </row>
        <row r="8">
          <cell r="A8" t="str">
            <v>CARLOS MENEZES</v>
          </cell>
          <cell r="F8">
            <v>-56.655000000000001</v>
          </cell>
          <cell r="G8">
            <v>-56.655000000000001</v>
          </cell>
        </row>
        <row r="9">
          <cell r="A9" t="str">
            <v>DANIEL NAMAN CARDOSO</v>
          </cell>
          <cell r="F9">
            <v>-90.638000000000005</v>
          </cell>
          <cell r="G9">
            <v>-90.638000000000005</v>
          </cell>
        </row>
        <row r="10">
          <cell r="A10" t="str">
            <v>DANIEL POMPIANI</v>
          </cell>
          <cell r="F10">
            <v>-1811.9720000000002</v>
          </cell>
          <cell r="G10">
            <v>-1811.9720000000002</v>
          </cell>
        </row>
        <row r="11">
          <cell r="A11" t="str">
            <v>ELIAS RAYES</v>
          </cell>
          <cell r="F11">
            <v>-1735.5474999999999</v>
          </cell>
          <cell r="G11">
            <v>-1735.5474999999999</v>
          </cell>
        </row>
        <row r="12">
          <cell r="A12" t="str">
            <v>FELIPE DIEDRICH</v>
          </cell>
          <cell r="F12">
            <v>0</v>
          </cell>
          <cell r="G12">
            <v>0</v>
          </cell>
        </row>
        <row r="13">
          <cell r="A13" t="str">
            <v>FELIPE UNGER</v>
          </cell>
          <cell r="F13">
            <v>-9401.6705000000002</v>
          </cell>
          <cell r="G13">
            <v>-9401.6705000000002</v>
          </cell>
        </row>
        <row r="14">
          <cell r="A14" t="str">
            <v>FREDERIC BROWN</v>
          </cell>
          <cell r="F14">
            <v>-6291.5374999999995</v>
          </cell>
          <cell r="G14">
            <v>-6291.5374999999995</v>
          </cell>
        </row>
        <row r="15">
          <cell r="A15" t="str">
            <v>GABRIEL BAPTISTELA</v>
          </cell>
          <cell r="F15">
            <v>-4653.9607500000002</v>
          </cell>
          <cell r="G15">
            <v>-4653.9607500000002</v>
          </cell>
        </row>
        <row r="16">
          <cell r="A16" t="str">
            <v>GUILHERME NASCIMENTO</v>
          </cell>
          <cell r="F16">
            <v>-8979.8080000000009</v>
          </cell>
          <cell r="G16">
            <v>-8979.8080000000009</v>
          </cell>
        </row>
        <row r="17">
          <cell r="A17" t="str">
            <v>ISABELLA ATAIDE</v>
          </cell>
          <cell r="F17">
            <v>-1518.8209999999999</v>
          </cell>
          <cell r="G17">
            <v>-1518.8209999999999</v>
          </cell>
        </row>
        <row r="18">
          <cell r="A18" t="str">
            <v>JOAO BESSA</v>
          </cell>
          <cell r="F18">
            <v>-8979.8080000000009</v>
          </cell>
          <cell r="G18">
            <v>-8979.8080000000009</v>
          </cell>
        </row>
        <row r="19">
          <cell r="A19" t="str">
            <v>JOAO RAMALHO</v>
          </cell>
          <cell r="F19">
            <v>-9945.6005000000005</v>
          </cell>
          <cell r="G19">
            <v>-9945.6005000000005</v>
          </cell>
        </row>
        <row r="20">
          <cell r="A20" t="str">
            <v>LUIZ BASQUEIRA</v>
          </cell>
          <cell r="F20">
            <v>-4653.9607500000002</v>
          </cell>
          <cell r="G20">
            <v>-4653.9607500000002</v>
          </cell>
        </row>
        <row r="21">
          <cell r="A21" t="str">
            <v>PAULO GUEDES</v>
          </cell>
          <cell r="F21">
            <v>-9453.8014999999996</v>
          </cell>
          <cell r="G21">
            <v>-9453.8014999999996</v>
          </cell>
        </row>
        <row r="22">
          <cell r="A22" t="str">
            <v>PAULO SAMPAIO</v>
          </cell>
          <cell r="F22">
            <v>0</v>
          </cell>
          <cell r="G22">
            <v>0</v>
          </cell>
        </row>
        <row r="23">
          <cell r="A23" t="str">
            <v>RAFAEL HESSE</v>
          </cell>
          <cell r="F23">
            <v>-1735.5474999999999</v>
          </cell>
          <cell r="G23">
            <v>-1735.5474999999999</v>
          </cell>
        </row>
        <row r="24">
          <cell r="A24" t="str">
            <v>RAFAEL MADI</v>
          </cell>
          <cell r="F24">
            <v>-6307.7842499999997</v>
          </cell>
          <cell r="G24">
            <v>-6307.7842499999997</v>
          </cell>
        </row>
        <row r="25">
          <cell r="A25" t="str">
            <v>RAFAEL POPPE</v>
          </cell>
          <cell r="F25">
            <v>-224.89400000000001</v>
          </cell>
          <cell r="G25">
            <v>-224.89400000000001</v>
          </cell>
        </row>
        <row r="26">
          <cell r="A26" t="str">
            <v>RAUL LESSA</v>
          </cell>
          <cell r="F26">
            <v>-2399.0017499999999</v>
          </cell>
          <cell r="G26">
            <v>-2399.0017499999999</v>
          </cell>
        </row>
        <row r="27">
          <cell r="A27" t="str">
            <v>REGINALDO LIMA</v>
          </cell>
          <cell r="F27">
            <v>0</v>
          </cell>
          <cell r="G27">
            <v>0</v>
          </cell>
        </row>
        <row r="28">
          <cell r="A28" t="str">
            <v>RODOLFO FERRARI</v>
          </cell>
          <cell r="F28">
            <v>-2581.366</v>
          </cell>
          <cell r="G28">
            <v>-2581.366</v>
          </cell>
        </row>
        <row r="29">
          <cell r="A29" t="str">
            <v>RUY BALIEIRO</v>
          </cell>
          <cell r="F29">
            <v>-9401.6705000000002</v>
          </cell>
          <cell r="G29">
            <v>-9401.6705000000002</v>
          </cell>
        </row>
        <row r="30">
          <cell r="A30" t="str">
            <v>SAMUEL SOARES</v>
          </cell>
          <cell r="F30">
            <v>-9809.6179999999986</v>
          </cell>
          <cell r="G30">
            <v>-9809.6179999999986</v>
          </cell>
        </row>
        <row r="31">
          <cell r="A31" t="str">
            <v>TAMARA WAJNBERG</v>
          </cell>
          <cell r="F31">
            <v>-1246.319</v>
          </cell>
          <cell r="G31">
            <v>-1246.319</v>
          </cell>
        </row>
        <row r="32">
          <cell r="A32" t="str">
            <v>VICENTE MELLO</v>
          </cell>
          <cell r="F32">
            <v>-11786.511500000001</v>
          </cell>
          <cell r="G32">
            <v>-11786.511500000001</v>
          </cell>
        </row>
        <row r="33">
          <cell r="A33" t="str">
            <v>YURI VERGES</v>
          </cell>
          <cell r="F33">
            <v>-1644.8835000000001</v>
          </cell>
          <cell r="G33">
            <v>-1644.8835000000001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B403-3E20-4C41-B135-189A5F450077}">
  <sheetPr codeName="Sheet1"/>
  <dimension ref="A1:T199"/>
  <sheetViews>
    <sheetView workbookViewId="0">
      <pane ySplit="1" topLeftCell="A2" activePane="bottomLeft" state="frozen"/>
      <selection pane="bottomLeft" activeCell="K21" sqref="K21"/>
    </sheetView>
  </sheetViews>
  <sheetFormatPr defaultRowHeight="11.25" x14ac:dyDescent="0.25"/>
  <cols>
    <col min="1" max="1" width="37.5703125" style="3" customWidth="1"/>
    <col min="2" max="2" width="10.5703125" style="3" customWidth="1"/>
    <col min="3" max="3" width="10.7109375" style="3" bestFit="1" customWidth="1"/>
    <col min="4" max="4" width="30.140625" style="3" customWidth="1"/>
    <col min="5" max="5" width="15.7109375" style="14" customWidth="1"/>
    <col min="6" max="6" width="12.7109375" style="3" customWidth="1"/>
    <col min="7" max="7" width="11" style="3" customWidth="1"/>
    <col min="8" max="8" width="12.28515625" style="3" customWidth="1"/>
    <col min="9" max="9" width="2.7109375" style="3" customWidth="1"/>
    <col min="10" max="10" width="9.140625" style="3" customWidth="1"/>
    <col min="11" max="11" width="22.5703125" style="3" customWidth="1"/>
    <col min="12" max="12" width="13.85546875" style="4" customWidth="1"/>
    <col min="13" max="13" width="9.140625" style="12" customWidth="1"/>
    <col min="14" max="14" width="10.85546875" style="3" customWidth="1"/>
    <col min="15" max="15" width="9.140625" style="8"/>
    <col min="16" max="16" width="30.7109375" style="4" customWidth="1"/>
    <col min="17" max="17" width="27.5703125" style="3" customWidth="1"/>
    <col min="18" max="18" width="30.140625" style="3" customWidth="1"/>
    <col min="19" max="20" width="9.140625" style="3" customWidth="1"/>
    <col min="21" max="16384" width="9.140625" style="3"/>
  </cols>
  <sheetData>
    <row r="1" spans="1:20" x14ac:dyDescent="0.25">
      <c r="A1" s="2" t="s">
        <v>1</v>
      </c>
      <c r="B1" s="1" t="s">
        <v>2</v>
      </c>
      <c r="C1" s="2" t="s">
        <v>6</v>
      </c>
      <c r="D1" s="22" t="s">
        <v>0</v>
      </c>
      <c r="E1" s="15" t="s">
        <v>3</v>
      </c>
      <c r="F1" s="17" t="s">
        <v>4</v>
      </c>
      <c r="G1" s="1" t="s">
        <v>5</v>
      </c>
      <c r="H1" s="22" t="s">
        <v>14</v>
      </c>
      <c r="I1" s="3" t="s">
        <v>7</v>
      </c>
      <c r="J1" s="6" t="s">
        <v>9</v>
      </c>
      <c r="K1" s="21" t="s">
        <v>10</v>
      </c>
      <c r="L1" s="20" t="s">
        <v>3</v>
      </c>
      <c r="M1" s="10" t="s">
        <v>11</v>
      </c>
      <c r="N1" s="6" t="s">
        <v>12</v>
      </c>
      <c r="O1" s="23" t="s">
        <v>13</v>
      </c>
      <c r="P1" s="20" t="s">
        <v>530</v>
      </c>
      <c r="R1" s="2" t="s">
        <v>0</v>
      </c>
      <c r="S1" s="2" t="s">
        <v>14</v>
      </c>
      <c r="T1" s="7" t="s">
        <v>13</v>
      </c>
    </row>
    <row r="2" spans="1:20" x14ac:dyDescent="0.25">
      <c r="A2" s="16" t="str">
        <f t="shared" ref="A2:A150" si="0">CONCATENATE(J2,M2,K2,M2,N2)</f>
        <v>CUSTO DMA -ALEXANDRE PALMAS- JANEIRO 26</v>
      </c>
      <c r="B2" s="18">
        <v>46023</v>
      </c>
      <c r="C2" s="3">
        <v>817391</v>
      </c>
      <c r="D2" s="3" t="s">
        <v>487</v>
      </c>
      <c r="E2" s="14">
        <f t="shared" ref="E2:E90" si="1">-L2*O2</f>
        <v>-140.27614512040901</v>
      </c>
      <c r="F2" s="3" t="s">
        <v>366</v>
      </c>
      <c r="G2" s="18">
        <v>46023</v>
      </c>
      <c r="H2" s="19">
        <v>81031</v>
      </c>
      <c r="I2" s="3" t="str">
        <f>VLOOKUP(H2,'[1]Base de Clientes'!$B:$E,4,0)</f>
        <v>ACE CAPITAL GESTORA DE RECURSOS LTDA</v>
      </c>
      <c r="J2" s="5" t="s">
        <v>8</v>
      </c>
      <c r="K2" s="5" t="s">
        <v>125</v>
      </c>
      <c r="L2" s="9">
        <v>140.27614512040901</v>
      </c>
      <c r="M2" s="11" t="s">
        <v>7</v>
      </c>
      <c r="N2" s="13" t="s">
        <v>16</v>
      </c>
      <c r="O2" s="7">
        <v>1</v>
      </c>
      <c r="P2" s="16" t="s">
        <v>294</v>
      </c>
      <c r="T2" s="7"/>
    </row>
    <row r="3" spans="1:20" x14ac:dyDescent="0.25">
      <c r="A3" s="16" t="str">
        <f t="shared" si="0"/>
        <v>CUSTO DMA -DANIEL TATSUMI- JANEIRO 26</v>
      </c>
      <c r="B3" s="18">
        <v>46023</v>
      </c>
      <c r="C3" s="3">
        <v>817391</v>
      </c>
      <c r="D3" s="3" t="s">
        <v>487</v>
      </c>
      <c r="E3" s="14">
        <f t="shared" si="1"/>
        <v>-986.67614512040893</v>
      </c>
      <c r="F3" s="3" t="s">
        <v>366</v>
      </c>
      <c r="G3" s="18">
        <v>46023</v>
      </c>
      <c r="H3" s="19">
        <v>80667</v>
      </c>
      <c r="I3" s="3" t="str">
        <f>VLOOKUP(H3,'[1]Base de Clientes'!$B:$E,4,0)</f>
        <v>ACE CAPITAL GESTORA DE RECURSOS LTDA</v>
      </c>
      <c r="J3" s="5" t="s">
        <v>8</v>
      </c>
      <c r="K3" s="5" t="s">
        <v>133</v>
      </c>
      <c r="L3" s="9">
        <v>986.67614512040893</v>
      </c>
      <c r="M3" s="11" t="s">
        <v>7</v>
      </c>
      <c r="N3" s="13" t="s">
        <v>16</v>
      </c>
      <c r="O3" s="7">
        <v>1</v>
      </c>
      <c r="P3" s="16" t="s">
        <v>302</v>
      </c>
      <c r="T3" s="7"/>
    </row>
    <row r="4" spans="1:20" x14ac:dyDescent="0.25">
      <c r="A4" s="16" t="str">
        <f t="shared" ref="A4" si="2">CONCATENATE(J4,M4,K4,M4,N4)</f>
        <v>CUSTO DMA -FABRICIO TASCHETTO- JANEIRO 26</v>
      </c>
      <c r="B4" s="18">
        <v>46023</v>
      </c>
      <c r="C4" s="3">
        <v>817391</v>
      </c>
      <c r="D4" s="3" t="s">
        <v>487</v>
      </c>
      <c r="E4" s="14">
        <f t="shared" si="1"/>
        <v>-5418.0502163697447</v>
      </c>
      <c r="F4" s="3" t="s">
        <v>366</v>
      </c>
      <c r="G4" s="18">
        <v>46023</v>
      </c>
      <c r="H4" s="19">
        <v>80667</v>
      </c>
      <c r="I4" s="3" t="str">
        <f>VLOOKUP(H4,'[1]Base de Clientes'!$B:$E,4,0)</f>
        <v>ACE CAPITAL GESTORA DE RECURSOS LTDA</v>
      </c>
      <c r="J4" s="5" t="s">
        <v>8</v>
      </c>
      <c r="K4" s="5" t="s">
        <v>141</v>
      </c>
      <c r="L4" s="9">
        <v>5418.0502163697447</v>
      </c>
      <c r="M4" s="11" t="s">
        <v>7</v>
      </c>
      <c r="N4" s="13" t="s">
        <v>16</v>
      </c>
      <c r="O4" s="7">
        <v>1</v>
      </c>
      <c r="P4" s="16" t="s">
        <v>310</v>
      </c>
      <c r="T4" s="7"/>
    </row>
    <row r="5" spans="1:20" x14ac:dyDescent="0.25">
      <c r="A5" s="16" t="str">
        <f t="shared" si="0"/>
        <v>CUSTO DMA -MAIKO CARVALHO BARRETO- JANEIRO 26</v>
      </c>
      <c r="B5" s="18">
        <v>46023</v>
      </c>
      <c r="C5" s="3">
        <v>817391</v>
      </c>
      <c r="D5" s="3" t="s">
        <v>487</v>
      </c>
      <c r="E5" s="14">
        <f t="shared" si="1"/>
        <v>-1011.776145120409</v>
      </c>
      <c r="F5" s="3" t="s">
        <v>366</v>
      </c>
      <c r="G5" s="18">
        <v>46023</v>
      </c>
      <c r="H5" s="19">
        <v>80667</v>
      </c>
      <c r="I5" s="3" t="str">
        <f>VLOOKUP(H5,'[1]Base de Clientes'!$B:$E,4,0)</f>
        <v>ACE CAPITAL GESTORA DE RECURSOS LTDA</v>
      </c>
      <c r="J5" s="5" t="s">
        <v>8</v>
      </c>
      <c r="K5" s="5" t="s">
        <v>156</v>
      </c>
      <c r="L5" s="9">
        <v>1011.776145120409</v>
      </c>
      <c r="M5" s="11" t="s">
        <v>7</v>
      </c>
      <c r="N5" s="13" t="s">
        <v>16</v>
      </c>
      <c r="O5" s="7">
        <v>1</v>
      </c>
      <c r="P5" s="16" t="s">
        <v>326</v>
      </c>
      <c r="T5" s="7"/>
    </row>
    <row r="6" spans="1:20" x14ac:dyDescent="0.25">
      <c r="A6" s="16" t="str">
        <f t="shared" si="0"/>
        <v>CUSTO DMA -PEDRO NUNES- JANEIRO 26</v>
      </c>
      <c r="B6" s="18">
        <v>46023</v>
      </c>
      <c r="C6" s="3">
        <v>817391</v>
      </c>
      <c r="D6" s="3" t="s">
        <v>487</v>
      </c>
      <c r="E6" s="14">
        <f t="shared" si="1"/>
        <v>-4016.4661084497452</v>
      </c>
      <c r="F6" s="3" t="s">
        <v>366</v>
      </c>
      <c r="G6" s="18">
        <v>46023</v>
      </c>
      <c r="H6" s="19">
        <v>80667</v>
      </c>
      <c r="I6" s="3" t="str">
        <f>VLOOKUP(H6,'[1]Base de Clientes'!$B:$E,4,0)</f>
        <v>ACE CAPITAL GESTORA DE RECURSOS LTDA</v>
      </c>
      <c r="J6" s="5" t="s">
        <v>8</v>
      </c>
      <c r="K6" s="5" t="s">
        <v>161</v>
      </c>
      <c r="L6" s="9">
        <v>4016.4661084497452</v>
      </c>
      <c r="M6" s="11" t="s">
        <v>7</v>
      </c>
      <c r="N6" s="13" t="s">
        <v>16</v>
      </c>
      <c r="O6" s="7">
        <v>1</v>
      </c>
      <c r="P6" s="16" t="s">
        <v>331</v>
      </c>
      <c r="T6" s="7"/>
    </row>
    <row r="7" spans="1:20" x14ac:dyDescent="0.25">
      <c r="A7" s="16" t="str">
        <f t="shared" si="0"/>
        <v>CUSTO DMA -RICARDO CATTARUZZI- JANEIRO 26</v>
      </c>
      <c r="B7" s="18">
        <v>46023</v>
      </c>
      <c r="C7" s="3">
        <v>817391</v>
      </c>
      <c r="D7" s="3" t="s">
        <v>404</v>
      </c>
      <c r="E7" s="14">
        <f t="shared" si="1"/>
        <v>-429.58807256020447</v>
      </c>
      <c r="F7" s="3" t="s">
        <v>366</v>
      </c>
      <c r="G7" s="18">
        <v>46023</v>
      </c>
      <c r="H7" s="19">
        <v>80667</v>
      </c>
      <c r="I7" s="3" t="str">
        <f>VLOOKUP(H7,'[1]Base de Clientes'!$B:$E,4,0)</f>
        <v>ACE CAPITAL GESTORA DE RECURSOS LTDA</v>
      </c>
      <c r="J7" s="5" t="s">
        <v>8</v>
      </c>
      <c r="K7" s="5" t="s">
        <v>163</v>
      </c>
      <c r="L7" s="9">
        <v>859.17614512040893</v>
      </c>
      <c r="M7" s="11" t="s">
        <v>7</v>
      </c>
      <c r="N7" s="13" t="s">
        <v>16</v>
      </c>
      <c r="O7" s="7">
        <v>0.5</v>
      </c>
      <c r="P7" s="16" t="s">
        <v>334</v>
      </c>
      <c r="T7" s="7"/>
    </row>
    <row r="8" spans="1:20" x14ac:dyDescent="0.25">
      <c r="A8" s="16" t="str">
        <f t="shared" ref="A8" si="3">CONCATENATE(J8,M8,K8,M8,N8)</f>
        <v>CUSTO DMA -RICARDO CATTARUZZI- JANEIRO 26</v>
      </c>
      <c r="B8" s="18">
        <v>46023</v>
      </c>
      <c r="C8" s="3">
        <v>817391</v>
      </c>
      <c r="D8" s="3" t="s">
        <v>474</v>
      </c>
      <c r="E8" s="14">
        <f t="shared" ref="E8" si="4">-L8*O8</f>
        <v>-429.58807256020447</v>
      </c>
      <c r="F8" s="3" t="s">
        <v>366</v>
      </c>
      <c r="G8" s="18">
        <v>46023</v>
      </c>
      <c r="H8" s="19">
        <v>80667</v>
      </c>
      <c r="I8" s="3" t="str">
        <f>VLOOKUP(H8,'[1]Base de Clientes'!$B:$E,4,0)</f>
        <v>ACE CAPITAL GESTORA DE RECURSOS LTDA</v>
      </c>
      <c r="J8" s="5" t="s">
        <v>8</v>
      </c>
      <c r="K8" s="5" t="s">
        <v>163</v>
      </c>
      <c r="L8" s="9">
        <v>859.17614512040893</v>
      </c>
      <c r="M8" s="11" t="s">
        <v>7</v>
      </c>
      <c r="N8" s="13" t="s">
        <v>16</v>
      </c>
      <c r="O8" s="7">
        <v>0.5</v>
      </c>
      <c r="P8" s="16" t="s">
        <v>334</v>
      </c>
      <c r="T8" s="7"/>
    </row>
    <row r="9" spans="1:20" x14ac:dyDescent="0.25">
      <c r="A9" s="16" t="str">
        <f t="shared" si="0"/>
        <v>CUSTO DMA -RODRIGO COELHO NETTO GAZE- JANEIRO 26</v>
      </c>
      <c r="B9" s="18">
        <v>46023</v>
      </c>
      <c r="C9" s="3">
        <v>817391</v>
      </c>
      <c r="D9" s="3" t="s">
        <v>487</v>
      </c>
      <c r="E9" s="14">
        <f t="shared" si="1"/>
        <v>-140.27614512040901</v>
      </c>
      <c r="F9" s="3" t="s">
        <v>366</v>
      </c>
      <c r="G9" s="18">
        <v>46023</v>
      </c>
      <c r="H9" s="19">
        <v>80667</v>
      </c>
      <c r="I9" s="3" t="str">
        <f>VLOOKUP(H9,'[1]Base de Clientes'!$B:$E,4,0)</f>
        <v>ACE CAPITAL GESTORA DE RECURSOS LTDA</v>
      </c>
      <c r="J9" s="5" t="s">
        <v>8</v>
      </c>
      <c r="K9" s="5" t="s">
        <v>164</v>
      </c>
      <c r="L9" s="9">
        <v>140.27614512040901</v>
      </c>
      <c r="M9" s="11" t="s">
        <v>7</v>
      </c>
      <c r="N9" s="13" t="s">
        <v>16</v>
      </c>
      <c r="O9" s="7">
        <v>1</v>
      </c>
      <c r="P9" s="16" t="s">
        <v>335</v>
      </c>
      <c r="T9" s="7"/>
    </row>
    <row r="10" spans="1:20" x14ac:dyDescent="0.25">
      <c r="A10" s="16" t="str">
        <f t="shared" si="0"/>
        <v>CUSTO DMA -TALES FREIRE- JANEIRO 26</v>
      </c>
      <c r="B10" s="18">
        <v>46023</v>
      </c>
      <c r="C10" s="3">
        <v>817391</v>
      </c>
      <c r="D10" s="3" t="s">
        <v>487</v>
      </c>
      <c r="E10" s="14">
        <f t="shared" si="1"/>
        <v>-140.27614512040901</v>
      </c>
      <c r="F10" s="3" t="s">
        <v>366</v>
      </c>
      <c r="G10" s="18">
        <v>46023</v>
      </c>
      <c r="H10" s="19">
        <v>80667</v>
      </c>
      <c r="I10" s="3" t="str">
        <f>VLOOKUP(H10,'[1]Base de Clientes'!$B:$E,4,0)</f>
        <v>ACE CAPITAL GESTORA DE RECURSOS LTDA</v>
      </c>
      <c r="J10" s="5" t="s">
        <v>8</v>
      </c>
      <c r="K10" s="5" t="s">
        <v>174</v>
      </c>
      <c r="L10" s="9">
        <v>140.27614512040901</v>
      </c>
      <c r="M10" s="11" t="s">
        <v>7</v>
      </c>
      <c r="N10" s="13" t="s">
        <v>16</v>
      </c>
      <c r="O10" s="7">
        <v>1</v>
      </c>
      <c r="P10" s="16" t="s">
        <v>346</v>
      </c>
      <c r="T10" s="7"/>
    </row>
    <row r="11" spans="1:20" x14ac:dyDescent="0.25">
      <c r="A11" s="16" t="str">
        <f t="shared" si="0"/>
        <v>CUSTO DMA -VICTOR VELOSO- JANEIRO 26</v>
      </c>
      <c r="B11" s="18">
        <v>46023</v>
      </c>
      <c r="C11" s="3">
        <v>817391</v>
      </c>
      <c r="D11" s="3" t="s">
        <v>487</v>
      </c>
      <c r="E11" s="14">
        <f t="shared" si="1"/>
        <v>-140.27614512040901</v>
      </c>
      <c r="F11" s="3" t="s">
        <v>366</v>
      </c>
      <c r="G11" s="18">
        <v>46023</v>
      </c>
      <c r="H11" s="19">
        <v>81031</v>
      </c>
      <c r="I11" s="3" t="str">
        <f>VLOOKUP(H11,'[1]Base de Clientes'!$B:$E,4,0)</f>
        <v>ACE CAPITAL GESTORA DE RECURSOS LTDA</v>
      </c>
      <c r="J11" s="5" t="s">
        <v>8</v>
      </c>
      <c r="K11" s="5" t="s">
        <v>183</v>
      </c>
      <c r="L11" s="9">
        <v>140.27614512040901</v>
      </c>
      <c r="M11" s="11" t="s">
        <v>7</v>
      </c>
      <c r="N11" s="13" t="s">
        <v>16</v>
      </c>
      <c r="O11" s="7">
        <v>1</v>
      </c>
      <c r="P11" s="16" t="s">
        <v>357</v>
      </c>
      <c r="T11" s="7"/>
    </row>
    <row r="12" spans="1:20" x14ac:dyDescent="0.25">
      <c r="A12" s="16" t="str">
        <f t="shared" si="0"/>
        <v>CUSTO DMA -ANDRE PINHEIRO- JANEIRO 26</v>
      </c>
      <c r="B12" s="18">
        <v>46023</v>
      </c>
      <c r="C12" s="3">
        <v>817391</v>
      </c>
      <c r="D12" s="3" t="s">
        <v>401</v>
      </c>
      <c r="E12" s="14">
        <f t="shared" si="1"/>
        <v>-140.27614512040901</v>
      </c>
      <c r="F12" s="3" t="s">
        <v>366</v>
      </c>
      <c r="G12" s="18">
        <v>46023</v>
      </c>
      <c r="H12" s="19">
        <v>79354</v>
      </c>
      <c r="I12" s="3" t="str">
        <f>VLOOKUP(H12,'[1]Base de Clientes'!$B:$E,4,0)</f>
        <v>BANCO BTG PACTUAL S/A</v>
      </c>
      <c r="J12" s="5" t="s">
        <v>8</v>
      </c>
      <c r="K12" s="5" t="s">
        <v>126</v>
      </c>
      <c r="L12" s="9">
        <v>140.27614512040901</v>
      </c>
      <c r="M12" s="11" t="s">
        <v>7</v>
      </c>
      <c r="N12" s="13" t="s">
        <v>16</v>
      </c>
      <c r="O12" s="7">
        <v>1</v>
      </c>
      <c r="P12" s="16" t="s">
        <v>295</v>
      </c>
      <c r="T12" s="7"/>
    </row>
    <row r="13" spans="1:20" x14ac:dyDescent="0.25">
      <c r="A13" s="16" t="str">
        <f t="shared" si="0"/>
        <v>CUSTO DMA -JOAO L F BENADUCCI- JANEIRO 26</v>
      </c>
      <c r="B13" s="18">
        <v>46023</v>
      </c>
      <c r="C13" s="3">
        <v>817391</v>
      </c>
      <c r="D13" s="3" t="s">
        <v>401</v>
      </c>
      <c r="E13" s="14">
        <f t="shared" si="1"/>
        <v>-140.27614512040901</v>
      </c>
      <c r="F13" s="3" t="s">
        <v>366</v>
      </c>
      <c r="G13" s="18">
        <v>46023</v>
      </c>
      <c r="H13" s="19">
        <v>79354</v>
      </c>
      <c r="I13" s="3" t="str">
        <f>VLOOKUP(H13,'[1]Base de Clientes'!$B:$E,4,0)</f>
        <v>BANCO BTG PACTUAL S/A</v>
      </c>
      <c r="J13" s="5" t="s">
        <v>8</v>
      </c>
      <c r="K13" s="5" t="s">
        <v>146</v>
      </c>
      <c r="L13" s="9">
        <v>140.27614512040901</v>
      </c>
      <c r="M13" s="11" t="s">
        <v>7</v>
      </c>
      <c r="N13" s="13" t="s">
        <v>16</v>
      </c>
      <c r="O13" s="7">
        <v>1</v>
      </c>
      <c r="P13" s="16" t="s">
        <v>315</v>
      </c>
      <c r="T13" s="7"/>
    </row>
    <row r="14" spans="1:20" x14ac:dyDescent="0.25">
      <c r="A14" s="16" t="str">
        <f t="shared" si="0"/>
        <v>CUSTO DMA -ENRICO ZEITUNE PASCUCCI- JANEIRO 26</v>
      </c>
      <c r="B14" s="18">
        <v>46023</v>
      </c>
      <c r="C14" s="3">
        <v>817391</v>
      </c>
      <c r="D14" s="3" t="s">
        <v>401</v>
      </c>
      <c r="E14" s="14">
        <f t="shared" si="1"/>
        <v>-140.27614512040901</v>
      </c>
      <c r="F14" s="3" t="s">
        <v>366</v>
      </c>
      <c r="G14" s="18">
        <v>46023</v>
      </c>
      <c r="H14" s="19">
        <v>80516</v>
      </c>
      <c r="I14" s="3" t="str">
        <f>VLOOKUP(H14,'[1]Base de Clientes'!$B:$E,4,0)</f>
        <v>BANCO J SAFRA S/A</v>
      </c>
      <c r="J14" s="5" t="s">
        <v>8</v>
      </c>
      <c r="K14" s="5" t="s">
        <v>139</v>
      </c>
      <c r="L14" s="9">
        <v>140.27614512040901</v>
      </c>
      <c r="M14" s="11" t="s">
        <v>7</v>
      </c>
      <c r="N14" s="13" t="s">
        <v>16</v>
      </c>
      <c r="O14" s="7">
        <v>1</v>
      </c>
      <c r="P14" s="16" t="s">
        <v>308</v>
      </c>
      <c r="T14" s="7"/>
    </row>
    <row r="15" spans="1:20" x14ac:dyDescent="0.25">
      <c r="A15" s="16" t="str">
        <f t="shared" ref="A15" si="5">CONCATENATE(J15,M15,K15,M15,N15)</f>
        <v>CUSTO DMA -DANIEL VITOR SALOMÃO- JANEIRO 26</v>
      </c>
      <c r="B15" s="18">
        <v>46023</v>
      </c>
      <c r="C15" s="3">
        <v>817391</v>
      </c>
      <c r="D15" s="3" t="s">
        <v>487</v>
      </c>
      <c r="E15" s="14">
        <f t="shared" si="1"/>
        <v>-426.77614512040913</v>
      </c>
      <c r="F15" s="3" t="s">
        <v>366</v>
      </c>
      <c r="G15" s="18">
        <v>46023</v>
      </c>
      <c r="H15" s="19">
        <v>79581</v>
      </c>
      <c r="I15" s="3" t="str">
        <f>VLOOKUP(H15,'[1]Base de Clientes'!$B:$E,4,0)</f>
        <v>OURIBANK S.A. BANCO MULTIPLO</v>
      </c>
      <c r="J15" s="5" t="s">
        <v>8</v>
      </c>
      <c r="K15" s="5" t="s">
        <v>135</v>
      </c>
      <c r="L15" s="9">
        <v>426.77614512040913</v>
      </c>
      <c r="M15" s="11" t="s">
        <v>7</v>
      </c>
      <c r="N15" s="13" t="s">
        <v>16</v>
      </c>
      <c r="O15" s="7">
        <v>1</v>
      </c>
      <c r="P15" s="16" t="s">
        <v>304</v>
      </c>
      <c r="T15" s="7"/>
    </row>
    <row r="16" spans="1:20" x14ac:dyDescent="0.25">
      <c r="A16" s="16" t="str">
        <f t="shared" si="0"/>
        <v>CUSTO DMA -IGOR PERRUPATO MATTAR - JANEIRO 26</v>
      </c>
      <c r="B16" s="18">
        <v>46023</v>
      </c>
      <c r="C16" s="3">
        <v>817391</v>
      </c>
      <c r="D16" s="3" t="s">
        <v>487</v>
      </c>
      <c r="E16" s="14">
        <f t="shared" si="1"/>
        <v>-518.77614512040907</v>
      </c>
      <c r="F16" s="3" t="s">
        <v>366</v>
      </c>
      <c r="G16" s="18">
        <v>46023</v>
      </c>
      <c r="H16" s="19">
        <v>79581</v>
      </c>
      <c r="I16" s="3" t="str">
        <f>VLOOKUP(H16,'[1]Base de Clientes'!$B:$E,4,0)</f>
        <v>OURIBANK S.A. BANCO MULTIPLO</v>
      </c>
      <c r="J16" s="5" t="s">
        <v>8</v>
      </c>
      <c r="K16" s="5" t="s">
        <v>144</v>
      </c>
      <c r="L16" s="9">
        <v>518.77614512040907</v>
      </c>
      <c r="M16" s="11" t="s">
        <v>7</v>
      </c>
      <c r="N16" s="13" t="s">
        <v>16</v>
      </c>
      <c r="O16" s="7">
        <v>1</v>
      </c>
      <c r="P16" s="16" t="s">
        <v>313</v>
      </c>
      <c r="T16" s="7"/>
    </row>
    <row r="17" spans="1:20" x14ac:dyDescent="0.25">
      <c r="A17" s="16" t="str">
        <f t="shared" ref="A17" si="6">CONCATENATE(J17,M17,K17,M17,N17)</f>
        <v>CUSTO DMA -SADI TOMAZONI JUNIOR- JANEIRO 26</v>
      </c>
      <c r="B17" s="18">
        <v>46023</v>
      </c>
      <c r="C17" s="3">
        <v>817391</v>
      </c>
      <c r="D17" s="3" t="s">
        <v>487</v>
      </c>
      <c r="E17" s="14">
        <f t="shared" si="1"/>
        <v>-140.27614512040901</v>
      </c>
      <c r="F17" s="3" t="s">
        <v>366</v>
      </c>
      <c r="G17" s="18">
        <v>46023</v>
      </c>
      <c r="H17" s="19">
        <v>79581</v>
      </c>
      <c r="I17" s="3" t="str">
        <f>VLOOKUP(H17,'[1]Base de Clientes'!$B:$E,4,0)</f>
        <v>OURIBANK S.A. BANCO MULTIPLO</v>
      </c>
      <c r="J17" s="5" t="s">
        <v>8</v>
      </c>
      <c r="K17" s="5" t="s">
        <v>171</v>
      </c>
      <c r="L17" s="9">
        <v>140.27614512040901</v>
      </c>
      <c r="M17" s="11" t="s">
        <v>7</v>
      </c>
      <c r="N17" s="13" t="s">
        <v>16</v>
      </c>
      <c r="O17" s="7">
        <v>1</v>
      </c>
      <c r="P17" s="16" t="s">
        <v>343</v>
      </c>
      <c r="T17" s="7"/>
    </row>
    <row r="18" spans="1:20" x14ac:dyDescent="0.25">
      <c r="A18" s="16" t="str">
        <f t="shared" si="0"/>
        <v>CUSTO DMA -YGOR QUINHONI FONTES- JANEIRO 26</v>
      </c>
      <c r="B18" s="18">
        <v>46023</v>
      </c>
      <c r="C18" s="3">
        <v>817391</v>
      </c>
      <c r="D18" s="3" t="s">
        <v>487</v>
      </c>
      <c r="E18" s="14">
        <f t="shared" si="1"/>
        <v>-562.27614512040907</v>
      </c>
      <c r="F18" s="3" t="s">
        <v>366</v>
      </c>
      <c r="G18" s="18">
        <v>46023</v>
      </c>
      <c r="H18" s="19">
        <v>79581</v>
      </c>
      <c r="I18" s="3" t="str">
        <f>VLOOKUP(H18,'[1]Base de Clientes'!$B:$E,4,0)</f>
        <v>OURIBANK S.A. BANCO MULTIPLO</v>
      </c>
      <c r="J18" s="5" t="s">
        <v>8</v>
      </c>
      <c r="K18" s="5" t="s">
        <v>185</v>
      </c>
      <c r="L18" s="9">
        <v>562.27614512040907</v>
      </c>
      <c r="M18" s="11" t="s">
        <v>7</v>
      </c>
      <c r="N18" s="13" t="s">
        <v>16</v>
      </c>
      <c r="O18" s="7">
        <v>1</v>
      </c>
      <c r="P18" s="16" t="s">
        <v>360</v>
      </c>
      <c r="T18" s="7"/>
    </row>
    <row r="19" spans="1:20" x14ac:dyDescent="0.25">
      <c r="A19" s="16" t="str">
        <f t="shared" si="0"/>
        <v>CUSTO DMA -DANIEL STRUZBERG- JANEIRO 26</v>
      </c>
      <c r="B19" s="18">
        <v>46023</v>
      </c>
      <c r="C19" s="3">
        <v>817391</v>
      </c>
      <c r="D19" s="3" t="s">
        <v>470</v>
      </c>
      <c r="E19" s="14">
        <f t="shared" si="1"/>
        <v>-140.27614512040901</v>
      </c>
      <c r="F19" s="3" t="s">
        <v>366</v>
      </c>
      <c r="G19" s="18">
        <v>46023</v>
      </c>
      <c r="H19" s="19">
        <v>81647</v>
      </c>
      <c r="I19" s="3" t="str">
        <f>VLOOKUP(H19,'[1]Base de Clientes'!$B:$E,4,0)</f>
        <v>BOGARI GESTAO DE INVESTIMENTOS LTDA</v>
      </c>
      <c r="J19" s="5" t="s">
        <v>8</v>
      </c>
      <c r="K19" s="5" t="s">
        <v>136</v>
      </c>
      <c r="L19" s="9">
        <v>140.27614512040901</v>
      </c>
      <c r="M19" s="11" t="s">
        <v>7</v>
      </c>
      <c r="N19" s="13" t="s">
        <v>16</v>
      </c>
      <c r="O19" s="7">
        <v>1</v>
      </c>
      <c r="P19" s="16" t="s">
        <v>305</v>
      </c>
      <c r="T19" s="7"/>
    </row>
    <row r="20" spans="1:20" x14ac:dyDescent="0.25">
      <c r="A20" s="16" t="str">
        <f t="shared" si="0"/>
        <v>CUSTO DMA -ANDRE SOARES- JANEIRO 26</v>
      </c>
      <c r="B20" s="18">
        <v>46023</v>
      </c>
      <c r="C20" s="3">
        <v>817391</v>
      </c>
      <c r="D20" s="3" t="s">
        <v>488</v>
      </c>
      <c r="E20" s="14">
        <f t="shared" si="1"/>
        <v>-1567.025455120408</v>
      </c>
      <c r="F20" s="3" t="s">
        <v>366</v>
      </c>
      <c r="G20" s="18">
        <v>46023</v>
      </c>
      <c r="H20" s="19">
        <v>80397</v>
      </c>
      <c r="I20" s="3" t="str">
        <f>VLOOKUP(H20,'[1]Base de Clientes'!$B:$E,4,0)</f>
        <v>DYNAMO ADMINISTRACAO DE RECURSOS LTDA</v>
      </c>
      <c r="J20" s="5" t="s">
        <v>8</v>
      </c>
      <c r="K20" s="5" t="s">
        <v>127</v>
      </c>
      <c r="L20" s="9">
        <v>1567.025455120408</v>
      </c>
      <c r="M20" s="11" t="s">
        <v>7</v>
      </c>
      <c r="N20" s="13" t="s">
        <v>16</v>
      </c>
      <c r="O20" s="7">
        <v>1</v>
      </c>
      <c r="P20" s="16" t="s">
        <v>296</v>
      </c>
      <c r="T20" s="7"/>
    </row>
    <row r="21" spans="1:20" x14ac:dyDescent="0.25">
      <c r="A21" s="16" t="str">
        <f t="shared" si="0"/>
        <v>CUSTO DMA -BERNARDO COSTA- JANEIRO 26</v>
      </c>
      <c r="B21" s="18">
        <v>46023</v>
      </c>
      <c r="C21" s="3">
        <v>817391</v>
      </c>
      <c r="D21" s="3" t="s">
        <v>398</v>
      </c>
      <c r="E21" s="14">
        <f t="shared" si="1"/>
        <v>-140.27614512040901</v>
      </c>
      <c r="F21" s="3" t="s">
        <v>366</v>
      </c>
      <c r="G21" s="18">
        <v>46023</v>
      </c>
      <c r="H21" s="19">
        <v>80397</v>
      </c>
      <c r="I21" s="3" t="str">
        <f>VLOOKUP(H21,'[1]Base de Clientes'!$B:$E,4,0)</f>
        <v>DYNAMO ADMINISTRACAO DE RECURSOS LTDA</v>
      </c>
      <c r="J21" s="5" t="s">
        <v>8</v>
      </c>
      <c r="K21" s="5" t="s">
        <v>128</v>
      </c>
      <c r="L21" s="9">
        <v>140.27614512040901</v>
      </c>
      <c r="M21" s="11" t="s">
        <v>7</v>
      </c>
      <c r="N21" s="13" t="s">
        <v>16</v>
      </c>
      <c r="O21" s="7">
        <v>1</v>
      </c>
      <c r="P21" s="16" t="s">
        <v>297</v>
      </c>
      <c r="T21" s="7"/>
    </row>
    <row r="22" spans="1:20" x14ac:dyDescent="0.25">
      <c r="A22" s="16" t="str">
        <f t="shared" ref="A22" si="7">CONCATENATE(J22,M22,K22,M22,N22)</f>
        <v>CUSTO DMA -THIAGO DI BLASI- JANEIRO 26</v>
      </c>
      <c r="B22" s="18">
        <v>46023</v>
      </c>
      <c r="C22" s="3">
        <v>817391</v>
      </c>
      <c r="D22" s="3" t="s">
        <v>488</v>
      </c>
      <c r="E22" s="14">
        <f t="shared" si="1"/>
        <v>-4851.6413951204086</v>
      </c>
      <c r="F22" s="3" t="s">
        <v>366</v>
      </c>
      <c r="G22" s="18">
        <v>46023</v>
      </c>
      <c r="H22" s="19">
        <v>80397</v>
      </c>
      <c r="I22" s="3" t="str">
        <f>VLOOKUP(H22,'[1]Base de Clientes'!$B:$E,4,0)</f>
        <v>DYNAMO ADMINISTRACAO DE RECURSOS LTDA</v>
      </c>
      <c r="J22" s="5" t="s">
        <v>8</v>
      </c>
      <c r="K22" s="5" t="s">
        <v>173</v>
      </c>
      <c r="L22" s="9">
        <v>4851.6413951204086</v>
      </c>
      <c r="M22" s="11" t="s">
        <v>7</v>
      </c>
      <c r="N22" s="13" t="s">
        <v>16</v>
      </c>
      <c r="O22" s="7">
        <v>1</v>
      </c>
      <c r="P22" s="16" t="s">
        <v>345</v>
      </c>
      <c r="T22" s="7"/>
    </row>
    <row r="23" spans="1:20" x14ac:dyDescent="0.25">
      <c r="A23" s="16" t="str">
        <f t="shared" si="0"/>
        <v>CUSTO DMA -ANDRÉ MAMED- JANEIRO 26</v>
      </c>
      <c r="B23" s="18">
        <v>46023</v>
      </c>
      <c r="C23" s="3">
        <v>817391</v>
      </c>
      <c r="D23" s="3" t="s">
        <v>484</v>
      </c>
      <c r="E23" s="14">
        <f t="shared" si="1"/>
        <v>-168.59399012040899</v>
      </c>
      <c r="F23" s="3" t="s">
        <v>366</v>
      </c>
      <c r="G23" s="18">
        <v>46023</v>
      </c>
      <c r="H23" s="19">
        <v>82980</v>
      </c>
      <c r="I23" s="3" t="str">
        <f>VLOOKUP(H23,'[1]Base de Clientes'!$B:$E,4,0)</f>
        <v>GARIN INVESTIMENTOS LTDA</v>
      </c>
      <c r="J23" s="5" t="s">
        <v>8</v>
      </c>
      <c r="K23" s="5" t="s">
        <v>122</v>
      </c>
      <c r="L23" s="9">
        <v>168.59399012040899</v>
      </c>
      <c r="M23" s="11" t="s">
        <v>7</v>
      </c>
      <c r="N23" s="13" t="s">
        <v>16</v>
      </c>
      <c r="O23" s="7">
        <v>1</v>
      </c>
      <c r="P23" s="16" t="s">
        <v>291</v>
      </c>
      <c r="T23" s="7"/>
    </row>
    <row r="24" spans="1:20" x14ac:dyDescent="0.25">
      <c r="A24" s="16" t="str">
        <f t="shared" si="0"/>
        <v>CUSTO DMA -ANDRÉ VIEIRA- JANEIRO 26</v>
      </c>
      <c r="B24" s="18">
        <v>46023</v>
      </c>
      <c r="C24" s="3">
        <v>817391</v>
      </c>
      <c r="D24" s="3" t="s">
        <v>484</v>
      </c>
      <c r="E24" s="14">
        <f t="shared" si="1"/>
        <v>-751.98811212040903</v>
      </c>
      <c r="F24" s="3" t="s">
        <v>366</v>
      </c>
      <c r="G24" s="18">
        <v>46023</v>
      </c>
      <c r="H24" s="19">
        <v>82753</v>
      </c>
      <c r="I24" s="3" t="str">
        <f>VLOOKUP(H24,'[1]Base de Clientes'!$B:$E,4,0)</f>
        <v>GARIN INVESTIMENTOS LTDA</v>
      </c>
      <c r="J24" s="5" t="s">
        <v>8</v>
      </c>
      <c r="K24" s="5" t="s">
        <v>124</v>
      </c>
      <c r="L24" s="9">
        <v>751.98811212040903</v>
      </c>
      <c r="M24" s="11" t="s">
        <v>7</v>
      </c>
      <c r="N24" s="13" t="s">
        <v>16</v>
      </c>
      <c r="O24" s="7">
        <v>1</v>
      </c>
      <c r="P24" s="16" t="s">
        <v>293</v>
      </c>
      <c r="T24" s="7"/>
    </row>
    <row r="25" spans="1:20" x14ac:dyDescent="0.25">
      <c r="A25" s="16" t="str">
        <f t="shared" si="0"/>
        <v>CUSTO DMA -MATHEUS HENRIQUE DUARTE DOS SANTOS- JANEIRO 26</v>
      </c>
      <c r="B25" s="18">
        <v>46023</v>
      </c>
      <c r="C25" s="3">
        <v>817391</v>
      </c>
      <c r="D25" s="3" t="s">
        <v>484</v>
      </c>
      <c r="E25" s="14">
        <f t="shared" si="1"/>
        <v>-368.95003712040898</v>
      </c>
      <c r="F25" s="3" t="s">
        <v>366</v>
      </c>
      <c r="G25" s="18">
        <v>46023</v>
      </c>
      <c r="H25" s="19">
        <v>82753</v>
      </c>
      <c r="I25" s="3" t="str">
        <f>VLOOKUP(H25,'[1]Base de Clientes'!$B:$E,4,0)</f>
        <v>GARIN INVESTIMENTOS LTDA</v>
      </c>
      <c r="J25" s="5" t="s">
        <v>8</v>
      </c>
      <c r="K25" s="5" t="s">
        <v>158</v>
      </c>
      <c r="L25" s="9">
        <v>368.95003712040898</v>
      </c>
      <c r="M25" s="11" t="s">
        <v>7</v>
      </c>
      <c r="N25" s="13" t="s">
        <v>16</v>
      </c>
      <c r="O25" s="7">
        <v>1</v>
      </c>
      <c r="P25" s="16" t="s">
        <v>328</v>
      </c>
      <c r="T25" s="7"/>
    </row>
    <row r="26" spans="1:20" x14ac:dyDescent="0.25">
      <c r="A26" s="16" t="str">
        <f t="shared" si="0"/>
        <v>CUSTO DMA -ERICO FAUSTINO- JANEIRO 26</v>
      </c>
      <c r="B26" s="18">
        <v>46023</v>
      </c>
      <c r="C26" s="3">
        <v>817391</v>
      </c>
      <c r="D26" s="3" t="s">
        <v>401</v>
      </c>
      <c r="E26" s="14">
        <f>-L26*O26</f>
        <v>-140.27614512040901</v>
      </c>
      <c r="F26" s="3" t="s">
        <v>366</v>
      </c>
      <c r="G26" s="18">
        <v>46023</v>
      </c>
      <c r="H26" s="19">
        <v>79791</v>
      </c>
      <c r="I26" s="3" t="str">
        <f>VLOOKUP(H26,'[1]Base de Clientes'!$B:$E,4,0)</f>
        <v>GOLDMAN SACHS DO BRASIL BANCO MULTIPLO S/A</v>
      </c>
      <c r="J26" s="5" t="s">
        <v>8</v>
      </c>
      <c r="K26" s="5" t="s">
        <v>138</v>
      </c>
      <c r="L26" s="9">
        <v>140.27614512040901</v>
      </c>
      <c r="M26" s="11" t="s">
        <v>7</v>
      </c>
      <c r="N26" s="13" t="s">
        <v>16</v>
      </c>
      <c r="O26" s="7">
        <v>1</v>
      </c>
      <c r="P26" s="16" t="s">
        <v>307</v>
      </c>
      <c r="T26" s="7"/>
    </row>
    <row r="27" spans="1:20" x14ac:dyDescent="0.25">
      <c r="A27" s="16" t="str">
        <f t="shared" si="0"/>
        <v>CUSTO DMA -ISABELA TAKARA- JANEIRO 26</v>
      </c>
      <c r="B27" s="18">
        <v>46023</v>
      </c>
      <c r="C27" s="3">
        <v>817391</v>
      </c>
      <c r="D27" s="3" t="s">
        <v>401</v>
      </c>
      <c r="E27" s="14">
        <f t="shared" si="1"/>
        <v>-4241.4108811204087</v>
      </c>
      <c r="F27" s="3" t="s">
        <v>366</v>
      </c>
      <c r="G27" s="18">
        <v>46023</v>
      </c>
      <c r="H27" s="19">
        <v>123491</v>
      </c>
      <c r="I27" s="3" t="str">
        <f>VLOOKUP(H27,'[1]Base de Clientes'!$B:$E,4,0)</f>
        <v>GOLDMAN SACHS DO BRASIL BANCO MULTIPLO S/A</v>
      </c>
      <c r="J27" s="5" t="s">
        <v>8</v>
      </c>
      <c r="K27" s="5" t="s">
        <v>145</v>
      </c>
      <c r="L27" s="9">
        <v>4241.4108811204087</v>
      </c>
      <c r="M27" s="11" t="s">
        <v>7</v>
      </c>
      <c r="N27" s="13" t="s">
        <v>16</v>
      </c>
      <c r="O27" s="7">
        <v>1</v>
      </c>
      <c r="P27" s="16" t="s">
        <v>314</v>
      </c>
      <c r="T27" s="7"/>
    </row>
    <row r="28" spans="1:20" x14ac:dyDescent="0.25">
      <c r="A28" s="16" t="str">
        <f t="shared" si="0"/>
        <v>CUSTO DMA -JOSEPH HOROVITZ- JANEIRO 26</v>
      </c>
      <c r="B28" s="18">
        <v>46023</v>
      </c>
      <c r="C28" s="3">
        <v>817391</v>
      </c>
      <c r="D28" s="3" t="s">
        <v>401</v>
      </c>
      <c r="E28" s="14">
        <f t="shared" si="1"/>
        <v>-140.27614512040901</v>
      </c>
      <c r="F28" s="3" t="s">
        <v>366</v>
      </c>
      <c r="G28" s="18">
        <v>46023</v>
      </c>
      <c r="H28" s="19">
        <v>123491</v>
      </c>
      <c r="I28" s="3" t="str">
        <f>VLOOKUP(H28,'[1]Base de Clientes'!$B:$E,4,0)</f>
        <v>GOLDMAN SACHS DO BRASIL BANCO MULTIPLO S/A</v>
      </c>
      <c r="J28" s="5" t="s">
        <v>8</v>
      </c>
      <c r="K28" s="5" t="s">
        <v>148</v>
      </c>
      <c r="L28" s="9">
        <v>140.27614512040901</v>
      </c>
      <c r="M28" s="11" t="s">
        <v>7</v>
      </c>
      <c r="N28" s="13" t="s">
        <v>16</v>
      </c>
      <c r="O28" s="7">
        <v>1</v>
      </c>
      <c r="P28" s="16" t="s">
        <v>317</v>
      </c>
      <c r="T28" s="7"/>
    </row>
    <row r="29" spans="1:20" x14ac:dyDescent="0.25">
      <c r="A29" s="16" t="str">
        <f t="shared" si="0"/>
        <v>CUSTO DMA -JOÃO PAULO MINGO- JANEIRO 26</v>
      </c>
      <c r="B29" s="18">
        <v>46023</v>
      </c>
      <c r="C29" s="3">
        <v>817391</v>
      </c>
      <c r="D29" s="3" t="s">
        <v>401</v>
      </c>
      <c r="E29" s="14">
        <f t="shared" si="1"/>
        <v>-140.27614512040901</v>
      </c>
      <c r="F29" s="3" t="s">
        <v>366</v>
      </c>
      <c r="G29" s="18">
        <v>46023</v>
      </c>
      <c r="H29" s="19">
        <v>123491</v>
      </c>
      <c r="I29" s="3" t="str">
        <f>VLOOKUP(H29,'[1]Base de Clientes'!$B:$E,4,0)</f>
        <v>GOLDMAN SACHS DO BRASIL BANCO MULTIPLO S/A</v>
      </c>
      <c r="J29" s="5" t="s">
        <v>8</v>
      </c>
      <c r="K29" s="5" t="s">
        <v>149</v>
      </c>
      <c r="L29" s="9">
        <v>140.27614512040901</v>
      </c>
      <c r="M29" s="11" t="s">
        <v>7</v>
      </c>
      <c r="N29" s="13" t="s">
        <v>16</v>
      </c>
      <c r="O29" s="7">
        <v>1</v>
      </c>
      <c r="P29" s="16" t="s">
        <v>319</v>
      </c>
      <c r="T29" s="7"/>
    </row>
    <row r="30" spans="1:20" x14ac:dyDescent="0.25">
      <c r="A30" s="16" t="str">
        <f t="shared" si="0"/>
        <v>CUSTO DMA -LUIZ LOUREIRO- JANEIRO 26</v>
      </c>
      <c r="B30" s="18">
        <v>46023</v>
      </c>
      <c r="C30" s="3">
        <v>817391</v>
      </c>
      <c r="D30" s="3" t="s">
        <v>401</v>
      </c>
      <c r="E30" s="14">
        <f t="shared" si="1"/>
        <v>-140.27614512040901</v>
      </c>
      <c r="F30" s="3" t="s">
        <v>366</v>
      </c>
      <c r="G30" s="18">
        <v>46023</v>
      </c>
      <c r="H30" s="19">
        <v>123491</v>
      </c>
      <c r="I30" s="3" t="str">
        <f>VLOOKUP(H30,'[1]Base de Clientes'!$B:$E,4,0)</f>
        <v>GOLDMAN SACHS DO BRASIL BANCO MULTIPLO S/A</v>
      </c>
      <c r="J30" s="5" t="s">
        <v>8</v>
      </c>
      <c r="K30" s="5" t="s">
        <v>154</v>
      </c>
      <c r="L30" s="9">
        <v>140.27614512040901</v>
      </c>
      <c r="M30" s="11" t="s">
        <v>7</v>
      </c>
      <c r="N30" s="13" t="s">
        <v>16</v>
      </c>
      <c r="O30" s="7">
        <v>1</v>
      </c>
      <c r="P30" s="16" t="s">
        <v>324</v>
      </c>
      <c r="T30" s="7"/>
    </row>
    <row r="31" spans="1:20" x14ac:dyDescent="0.25">
      <c r="A31" s="16" t="str">
        <f t="shared" si="0"/>
        <v>CUSTO DMA -ERNESTO MELLO- JANEIRO 26</v>
      </c>
      <c r="B31" s="18">
        <v>46023</v>
      </c>
      <c r="C31" s="3">
        <v>817391</v>
      </c>
      <c r="D31" s="3" t="s">
        <v>401</v>
      </c>
      <c r="E31" s="14">
        <f t="shared" si="1"/>
        <v>-140.27614512040901</v>
      </c>
      <c r="F31" s="3" t="s">
        <v>366</v>
      </c>
      <c r="G31" s="18">
        <v>46023</v>
      </c>
      <c r="H31" s="19">
        <v>123491</v>
      </c>
      <c r="I31" s="3" t="str">
        <f>VLOOKUP(H31,'[1]Base de Clientes'!$B:$E,4,0)</f>
        <v>GOLDMAN SACHS DO BRASIL BANCO MULTIPLO S/A</v>
      </c>
      <c r="J31" s="5" t="s">
        <v>8</v>
      </c>
      <c r="K31" s="5" t="s">
        <v>157</v>
      </c>
      <c r="L31" s="9">
        <v>140.27614512040901</v>
      </c>
      <c r="M31" s="11" t="s">
        <v>7</v>
      </c>
      <c r="N31" s="13" t="s">
        <v>16</v>
      </c>
      <c r="O31" s="7">
        <v>1</v>
      </c>
      <c r="P31" s="16" t="s">
        <v>327</v>
      </c>
      <c r="T31" s="7"/>
    </row>
    <row r="32" spans="1:20" x14ac:dyDescent="0.25">
      <c r="A32" s="16" t="str">
        <f t="shared" si="0"/>
        <v>CUSTO DMA -GUSTAVO BASSICHETTO- JANEIRO 26</v>
      </c>
      <c r="B32" s="18">
        <v>46023</v>
      </c>
      <c r="C32" s="3">
        <v>817391</v>
      </c>
      <c r="D32" s="3" t="s">
        <v>401</v>
      </c>
      <c r="E32" s="14">
        <f t="shared" si="1"/>
        <v>-140.27614512040901</v>
      </c>
      <c r="F32" s="3" t="s">
        <v>366</v>
      </c>
      <c r="G32" s="18">
        <v>46023</v>
      </c>
      <c r="H32" s="19">
        <v>123491</v>
      </c>
      <c r="I32" s="3" t="str">
        <f>VLOOKUP(H32,'[1]Base de Clientes'!$B:$E,4,0)</f>
        <v>GOLDMAN SACHS DO BRASIL BANCO MULTIPLO S/A</v>
      </c>
      <c r="J32" s="5" t="s">
        <v>8</v>
      </c>
      <c r="K32" s="5" t="s">
        <v>178</v>
      </c>
      <c r="L32" s="9">
        <v>140.27614512040901</v>
      </c>
      <c r="M32" s="11" t="s">
        <v>7</v>
      </c>
      <c r="N32" s="13" t="s">
        <v>16</v>
      </c>
      <c r="O32" s="7">
        <v>1</v>
      </c>
      <c r="P32" s="16" t="s">
        <v>351</v>
      </c>
      <c r="T32" s="7"/>
    </row>
    <row r="33" spans="1:20" x14ac:dyDescent="0.25">
      <c r="A33" s="16" t="str">
        <f t="shared" si="0"/>
        <v>CUSTO DMA -HENRIQUE GARCIA- JANEIRO 26</v>
      </c>
      <c r="B33" s="18">
        <v>46023</v>
      </c>
      <c r="C33" s="3">
        <v>817391</v>
      </c>
      <c r="D33" s="3" t="s">
        <v>398</v>
      </c>
      <c r="E33" s="14">
        <f t="shared" si="1"/>
        <v>-140.27614512040901</v>
      </c>
      <c r="F33" s="3" t="s">
        <v>366</v>
      </c>
      <c r="G33" s="18">
        <v>46023</v>
      </c>
      <c r="H33" s="19">
        <v>81849</v>
      </c>
      <c r="I33" s="3" t="str">
        <f>VLOOKUP(H33,'[1]Base de Clientes'!$B:$E,4,0)</f>
        <v>IBIUNA GESTAO DE RECURSOS LTDA</v>
      </c>
      <c r="J33" s="5" t="s">
        <v>8</v>
      </c>
      <c r="K33" s="5" t="s">
        <v>143</v>
      </c>
      <c r="L33" s="9">
        <v>140.27614512040901</v>
      </c>
      <c r="M33" s="11" t="s">
        <v>7</v>
      </c>
      <c r="N33" s="13" t="s">
        <v>16</v>
      </c>
      <c r="O33" s="7">
        <v>1</v>
      </c>
      <c r="P33" s="16" t="s">
        <v>312</v>
      </c>
      <c r="T33" s="7"/>
    </row>
    <row r="34" spans="1:20" x14ac:dyDescent="0.25">
      <c r="A34" s="16" t="str">
        <f t="shared" si="0"/>
        <v>CUSTO DMA -LEONARDO PAULO MACHADO- JANEIRO 26</v>
      </c>
      <c r="B34" s="18">
        <v>46023</v>
      </c>
      <c r="C34" s="3">
        <v>817391</v>
      </c>
      <c r="D34" s="3" t="s">
        <v>398</v>
      </c>
      <c r="E34" s="14">
        <f t="shared" si="1"/>
        <v>-140.27614512040901</v>
      </c>
      <c r="F34" s="3" t="s">
        <v>366</v>
      </c>
      <c r="G34" s="18">
        <v>46023</v>
      </c>
      <c r="H34" s="19">
        <v>81849</v>
      </c>
      <c r="I34" s="3" t="str">
        <f>VLOOKUP(H34,'[1]Base de Clientes'!$B:$E,4,0)</f>
        <v>IBIUNA GESTAO DE RECURSOS LTDA</v>
      </c>
      <c r="J34" s="5" t="s">
        <v>8</v>
      </c>
      <c r="K34" s="5" t="s">
        <v>153</v>
      </c>
      <c r="L34" s="9">
        <v>140.27614512040901</v>
      </c>
      <c r="M34" s="11" t="s">
        <v>7</v>
      </c>
      <c r="N34" s="13" t="s">
        <v>16</v>
      </c>
      <c r="O34" s="7">
        <v>1</v>
      </c>
      <c r="P34" s="16" t="s">
        <v>323</v>
      </c>
      <c r="T34" s="7"/>
    </row>
    <row r="35" spans="1:20" x14ac:dyDescent="0.25">
      <c r="A35" s="16" t="str">
        <f t="shared" si="0"/>
        <v>CUSTO DMA -ANTONIO GUIMARAES- JANEIRO 26</v>
      </c>
      <c r="B35" s="18">
        <v>46023</v>
      </c>
      <c r="C35" s="3">
        <v>817391</v>
      </c>
      <c r="D35" s="3" t="s">
        <v>397</v>
      </c>
      <c r="E35" s="14">
        <f t="shared" si="1"/>
        <v>-70.138072560204506</v>
      </c>
      <c r="F35" s="3" t="s">
        <v>366</v>
      </c>
      <c r="G35" s="18">
        <v>46023</v>
      </c>
      <c r="H35" s="19">
        <v>82010</v>
      </c>
      <c r="I35" s="3" t="str">
        <f>VLOOKUP(H35,'[1]Base de Clientes'!$B:$E,4,0)</f>
        <v>ITAU UNIBANCO ASSET - JANEIRO</v>
      </c>
      <c r="J35" s="5" t="s">
        <v>8</v>
      </c>
      <c r="K35" s="5" t="s">
        <v>123</v>
      </c>
      <c r="L35" s="9">
        <v>140.27614512040901</v>
      </c>
      <c r="M35" s="11" t="s">
        <v>7</v>
      </c>
      <c r="N35" s="13" t="s">
        <v>16</v>
      </c>
      <c r="O35" s="7">
        <v>0.5</v>
      </c>
      <c r="P35" s="16" t="s">
        <v>292</v>
      </c>
      <c r="T35" s="7"/>
    </row>
    <row r="36" spans="1:20" x14ac:dyDescent="0.25">
      <c r="A36" s="16" t="str">
        <f t="shared" si="0"/>
        <v>CUSTO DMA -ANTONIO GUIMARAES- JANEIRO 26</v>
      </c>
      <c r="B36" s="18">
        <v>46023</v>
      </c>
      <c r="C36" s="3">
        <v>817391</v>
      </c>
      <c r="D36" s="3" t="s">
        <v>401</v>
      </c>
      <c r="E36" s="14">
        <f t="shared" si="1"/>
        <v>-70.138072560204506</v>
      </c>
      <c r="F36" s="3" t="s">
        <v>366</v>
      </c>
      <c r="G36" s="18">
        <v>46023</v>
      </c>
      <c r="H36" s="19">
        <v>82010</v>
      </c>
      <c r="I36" s="3" t="str">
        <f>VLOOKUP(H36,'[1]Base de Clientes'!$B:$E,4,0)</f>
        <v>ITAU UNIBANCO ASSET - JANEIRO</v>
      </c>
      <c r="J36" s="5" t="s">
        <v>8</v>
      </c>
      <c r="K36" s="5" t="s">
        <v>123</v>
      </c>
      <c r="L36" s="9">
        <v>140.27614512040901</v>
      </c>
      <c r="M36" s="11" t="s">
        <v>7</v>
      </c>
      <c r="N36" s="13" t="s">
        <v>16</v>
      </c>
      <c r="O36" s="7">
        <v>0.5</v>
      </c>
      <c r="P36" s="16" t="s">
        <v>292</v>
      </c>
      <c r="T36" s="7"/>
    </row>
    <row r="37" spans="1:20" x14ac:dyDescent="0.25">
      <c r="A37" s="16" t="str">
        <f t="shared" si="0"/>
        <v>CUSTO DMA -JOÃO PAULO GOIS SPECK- JANEIRO 26</v>
      </c>
      <c r="B37" s="18">
        <v>46023</v>
      </c>
      <c r="C37" s="3">
        <v>817391</v>
      </c>
      <c r="D37" s="3" t="s">
        <v>401</v>
      </c>
      <c r="E37" s="14">
        <f t="shared" si="1"/>
        <v>-140.27614512040901</v>
      </c>
      <c r="F37" s="3" t="s">
        <v>366</v>
      </c>
      <c r="G37" s="18">
        <v>46023</v>
      </c>
      <c r="H37" s="19">
        <v>82258</v>
      </c>
      <c r="I37" s="3" t="str">
        <f>VLOOKUP(H37,'[1]Base de Clientes'!$B:$E,4,0)</f>
        <v>BANCO JP MORGAN S/A</v>
      </c>
      <c r="J37" s="5" t="s">
        <v>8</v>
      </c>
      <c r="K37" s="5" t="s">
        <v>150</v>
      </c>
      <c r="L37" s="9">
        <v>140.27614512040901</v>
      </c>
      <c r="M37" s="11" t="s">
        <v>7</v>
      </c>
      <c r="N37" s="13" t="s">
        <v>16</v>
      </c>
      <c r="O37" s="7">
        <v>1</v>
      </c>
      <c r="P37" s="16" t="s">
        <v>320</v>
      </c>
      <c r="T37" s="7"/>
    </row>
    <row r="38" spans="1:20" x14ac:dyDescent="0.25">
      <c r="A38" s="16" t="str">
        <f t="shared" si="0"/>
        <v>CUSTO DMA -VITOR KASSAB- JANEIRO 26</v>
      </c>
      <c r="B38" s="18">
        <v>46023</v>
      </c>
      <c r="C38" s="3">
        <v>817391</v>
      </c>
      <c r="D38" s="3" t="s">
        <v>401</v>
      </c>
      <c r="E38" s="14">
        <f t="shared" si="1"/>
        <v>-140.27614512040901</v>
      </c>
      <c r="F38" s="3" t="s">
        <v>366</v>
      </c>
      <c r="G38" s="18">
        <v>46023</v>
      </c>
      <c r="H38" s="19">
        <v>82258</v>
      </c>
      <c r="I38" s="3" t="str">
        <f>VLOOKUP(H38,'[1]Base de Clientes'!$B:$E,4,0)</f>
        <v>BANCO JP MORGAN S/A</v>
      </c>
      <c r="J38" s="5" t="s">
        <v>8</v>
      </c>
      <c r="K38" s="5" t="s">
        <v>182</v>
      </c>
      <c r="L38" s="9">
        <v>140.27614512040901</v>
      </c>
      <c r="M38" s="11" t="s">
        <v>7</v>
      </c>
      <c r="N38" s="13" t="s">
        <v>16</v>
      </c>
      <c r="O38" s="7">
        <v>1</v>
      </c>
      <c r="P38" s="16" t="s">
        <v>356</v>
      </c>
      <c r="T38" s="7"/>
    </row>
    <row r="39" spans="1:20" x14ac:dyDescent="0.25">
      <c r="A39" s="16" t="str">
        <f t="shared" si="0"/>
        <v>CUSTO DMA -WILLIAM M LEE- JANEIRO 26</v>
      </c>
      <c r="B39" s="18">
        <v>46023</v>
      </c>
      <c r="C39" s="3">
        <v>817391</v>
      </c>
      <c r="D39" s="3" t="s">
        <v>401</v>
      </c>
      <c r="E39" s="14">
        <f t="shared" si="1"/>
        <v>-140.27614512040901</v>
      </c>
      <c r="F39" s="3" t="s">
        <v>366</v>
      </c>
      <c r="G39" s="18">
        <v>46023</v>
      </c>
      <c r="H39" s="19">
        <v>82258</v>
      </c>
      <c r="I39" s="3" t="str">
        <f>VLOOKUP(H39,'[1]Base de Clientes'!$B:$E,4,0)</f>
        <v>BANCO JP MORGAN S/A</v>
      </c>
      <c r="J39" s="5" t="s">
        <v>8</v>
      </c>
      <c r="K39" s="5" t="s">
        <v>184</v>
      </c>
      <c r="L39" s="9">
        <v>140.27614512040901</v>
      </c>
      <c r="M39" s="11" t="s">
        <v>7</v>
      </c>
      <c r="N39" s="13" t="s">
        <v>16</v>
      </c>
      <c r="O39" s="7">
        <v>1</v>
      </c>
      <c r="P39" s="16" t="s">
        <v>359</v>
      </c>
      <c r="T39" s="7"/>
    </row>
    <row r="40" spans="1:20" x14ac:dyDescent="0.25">
      <c r="A40" s="16" t="str">
        <f t="shared" si="0"/>
        <v>CUSTO DMA -GABRIEL LIMA - JANEIRO 26</v>
      </c>
      <c r="B40" s="18">
        <v>46023</v>
      </c>
      <c r="C40" s="3">
        <v>817391</v>
      </c>
      <c r="D40" s="3" t="s">
        <v>401</v>
      </c>
      <c r="E40" s="14">
        <f t="shared" si="1"/>
        <v>-247.60614512040911</v>
      </c>
      <c r="F40" s="3" t="s">
        <v>366</v>
      </c>
      <c r="G40" s="18">
        <v>46023</v>
      </c>
      <c r="H40" s="19">
        <v>12413</v>
      </c>
      <c r="I40" s="3" t="str">
        <f>VLOOKUP(H40,'[1]Base de Clientes'!$B:$E,4,0)</f>
        <v>KAPITALO INVESTIMENTOS LTDA</v>
      </c>
      <c r="J40" s="5" t="s">
        <v>8</v>
      </c>
      <c r="K40" s="5" t="s">
        <v>142</v>
      </c>
      <c r="L40" s="9">
        <v>247.60614512040911</v>
      </c>
      <c r="M40" s="11" t="s">
        <v>7</v>
      </c>
      <c r="N40" s="13" t="s">
        <v>16</v>
      </c>
      <c r="O40" s="7">
        <v>1</v>
      </c>
      <c r="P40" s="16" t="s">
        <v>311</v>
      </c>
      <c r="T40" s="7"/>
    </row>
    <row r="41" spans="1:20" x14ac:dyDescent="0.25">
      <c r="A41" s="16" t="str">
        <f t="shared" si="0"/>
        <v>CUSTO DMA -MATHEUS KWON- JANEIRO 26</v>
      </c>
      <c r="B41" s="18">
        <v>46023</v>
      </c>
      <c r="C41" s="3">
        <v>817391</v>
      </c>
      <c r="D41" s="3" t="s">
        <v>401</v>
      </c>
      <c r="E41" s="14">
        <f t="shared" si="1"/>
        <v>-467.90645462040902</v>
      </c>
      <c r="F41" s="3" t="s">
        <v>366</v>
      </c>
      <c r="G41" s="18">
        <v>46023</v>
      </c>
      <c r="H41" s="19">
        <v>12413</v>
      </c>
      <c r="I41" s="3" t="str">
        <f>VLOOKUP(H41,'[1]Base de Clientes'!$B:$E,4,0)</f>
        <v>KAPITALO INVESTIMENTOS LTDA</v>
      </c>
      <c r="J41" s="5" t="s">
        <v>8</v>
      </c>
      <c r="K41" s="5" t="s">
        <v>155</v>
      </c>
      <c r="L41" s="9">
        <v>467.90645462040902</v>
      </c>
      <c r="M41" s="11" t="s">
        <v>7</v>
      </c>
      <c r="N41" s="13" t="s">
        <v>16</v>
      </c>
      <c r="O41" s="7">
        <v>1</v>
      </c>
      <c r="P41" s="16" t="s">
        <v>325</v>
      </c>
      <c r="T41" s="7"/>
    </row>
    <row r="42" spans="1:20" x14ac:dyDescent="0.25">
      <c r="A42" s="16" t="str">
        <f t="shared" si="0"/>
        <v>CUSTO DMA. -RAFAEL POPPE- JANEIRO 26</v>
      </c>
      <c r="B42" s="18">
        <v>46023</v>
      </c>
      <c r="C42" s="3">
        <v>817391</v>
      </c>
      <c r="D42" s="3" t="s">
        <v>401</v>
      </c>
      <c r="E42" s="14">
        <f t="shared" si="1"/>
        <v>-140.27614512040901</v>
      </c>
      <c r="F42" s="3" t="s">
        <v>366</v>
      </c>
      <c r="G42" s="18">
        <v>46023</v>
      </c>
      <c r="H42" s="19">
        <v>80492</v>
      </c>
      <c r="I42" s="3" t="str">
        <f>VLOOKUP(H42,'[1]Base de Clientes'!$B:$E,4,0)</f>
        <v>KAPITALO INVESTIMENTOS LTDA</v>
      </c>
      <c r="J42" s="5" t="s">
        <v>15</v>
      </c>
      <c r="K42" s="5" t="s">
        <v>80</v>
      </c>
      <c r="L42" s="9">
        <v>140.27614512040901</v>
      </c>
      <c r="M42" s="11" t="s">
        <v>7</v>
      </c>
      <c r="N42" s="13" t="s">
        <v>16</v>
      </c>
      <c r="O42" s="7">
        <v>1</v>
      </c>
      <c r="P42" s="16" t="s">
        <v>333</v>
      </c>
      <c r="T42" s="7"/>
    </row>
    <row r="43" spans="1:20" x14ac:dyDescent="0.25">
      <c r="A43" s="16" t="str">
        <f t="shared" si="0"/>
        <v>CUSTO DMA -RODRIGO LIVIANU- JANEIRO 26</v>
      </c>
      <c r="B43" s="18">
        <v>46023</v>
      </c>
      <c r="C43" s="3">
        <v>817391</v>
      </c>
      <c r="D43" s="3" t="s">
        <v>401</v>
      </c>
      <c r="E43" s="14">
        <f t="shared" si="1"/>
        <v>-1322.1441451204089</v>
      </c>
      <c r="F43" s="3" t="s">
        <v>366</v>
      </c>
      <c r="G43" s="18">
        <v>46023</v>
      </c>
      <c r="H43" s="19">
        <v>12413</v>
      </c>
      <c r="I43" s="3" t="str">
        <f>VLOOKUP(H43,'[1]Base de Clientes'!$B:$E,4,0)</f>
        <v>KAPITALO INVESTIMENTOS LTDA</v>
      </c>
      <c r="J43" s="5" t="s">
        <v>8</v>
      </c>
      <c r="K43" s="5" t="s">
        <v>165</v>
      </c>
      <c r="L43" s="9">
        <v>1322.1441451204089</v>
      </c>
      <c r="M43" s="11" t="s">
        <v>7</v>
      </c>
      <c r="N43" s="13" t="s">
        <v>16</v>
      </c>
      <c r="O43" s="7">
        <v>1</v>
      </c>
      <c r="P43" s="16" t="s">
        <v>337</v>
      </c>
      <c r="T43" s="7"/>
    </row>
    <row r="44" spans="1:20" x14ac:dyDescent="0.25">
      <c r="A44" s="16" t="str">
        <f t="shared" si="0"/>
        <v>CUSTO DMA -CARLO MORATELLI- JANEIRO 26</v>
      </c>
      <c r="B44" s="18">
        <v>46023</v>
      </c>
      <c r="C44" s="3">
        <v>817391</v>
      </c>
      <c r="D44" s="3" t="s">
        <v>486</v>
      </c>
      <c r="E44" s="14">
        <f t="shared" si="1"/>
        <v>-13088.11841762041</v>
      </c>
      <c r="F44" s="3" t="s">
        <v>366</v>
      </c>
      <c r="G44" s="18">
        <v>46023</v>
      </c>
      <c r="H44" s="19">
        <v>82248</v>
      </c>
      <c r="I44" s="3" t="str">
        <f>VLOOKUP(H44,'[1]Base de Clientes'!$B:$E,4,0)</f>
        <v>MORE INVEST GESTORA DE RECURSOS LTDA</v>
      </c>
      <c r="J44" s="5" t="s">
        <v>8</v>
      </c>
      <c r="K44" s="5" t="s">
        <v>131</v>
      </c>
      <c r="L44" s="9">
        <v>13088.11841762041</v>
      </c>
      <c r="M44" s="11" t="s">
        <v>7</v>
      </c>
      <c r="N44" s="13" t="s">
        <v>16</v>
      </c>
      <c r="O44" s="7">
        <v>1</v>
      </c>
      <c r="P44" s="16" t="s">
        <v>300</v>
      </c>
      <c r="T44" s="7"/>
    </row>
    <row r="45" spans="1:20" x14ac:dyDescent="0.25">
      <c r="A45" s="16" t="str">
        <f t="shared" si="0"/>
        <v>CUSTO DMA -JOSÉ PEDRO BORGES- JANEIRO 26</v>
      </c>
      <c r="B45" s="18">
        <v>46023</v>
      </c>
      <c r="C45" s="3">
        <v>817391</v>
      </c>
      <c r="D45" s="3" t="s">
        <v>486</v>
      </c>
      <c r="E45" s="14">
        <f t="shared" si="1"/>
        <v>-257.56286712040901</v>
      </c>
      <c r="F45" s="3" t="s">
        <v>366</v>
      </c>
      <c r="G45" s="18">
        <v>46023</v>
      </c>
      <c r="H45" s="19">
        <v>82901</v>
      </c>
      <c r="I45" s="3" t="str">
        <f>VLOOKUP(H45,'[1]Base de Clientes'!$B:$E,4,0)</f>
        <v>MORE INVEST GESTORA DE RECURSOS LTDA</v>
      </c>
      <c r="J45" s="5" t="s">
        <v>8</v>
      </c>
      <c r="K45" s="5" t="s">
        <v>147</v>
      </c>
      <c r="L45" s="9">
        <v>257.56286712040901</v>
      </c>
      <c r="M45" s="11" t="s">
        <v>7</v>
      </c>
      <c r="N45" s="13" t="s">
        <v>16</v>
      </c>
      <c r="O45" s="7">
        <v>1</v>
      </c>
      <c r="P45" s="16" t="s">
        <v>316</v>
      </c>
      <c r="T45" s="7"/>
    </row>
    <row r="46" spans="1:20" x14ac:dyDescent="0.25">
      <c r="A46" s="16" t="str">
        <f t="shared" si="0"/>
        <v>CUSTO DMA -MARCELO MARQUES- JANEIRO 26</v>
      </c>
      <c r="B46" s="18">
        <v>46023</v>
      </c>
      <c r="C46" s="3">
        <v>817391</v>
      </c>
      <c r="D46" s="3" t="s">
        <v>486</v>
      </c>
      <c r="E46" s="14">
        <f t="shared" si="1"/>
        <v>-600.06518912040906</v>
      </c>
      <c r="F46" s="3" t="s">
        <v>366</v>
      </c>
      <c r="G46" s="18">
        <v>46023</v>
      </c>
      <c r="H46" s="19">
        <v>82248</v>
      </c>
      <c r="I46" s="3" t="str">
        <f>VLOOKUP(H46,'[1]Base de Clientes'!$B:$E,4,0)</f>
        <v>MORE INVEST GESTORA DE RECURSOS LTDA</v>
      </c>
      <c r="J46" s="5" t="s">
        <v>8</v>
      </c>
      <c r="K46" s="5" t="s">
        <v>160</v>
      </c>
      <c r="L46" s="9">
        <v>600.06518912040906</v>
      </c>
      <c r="M46" s="11" t="s">
        <v>7</v>
      </c>
      <c r="N46" s="13" t="s">
        <v>16</v>
      </c>
      <c r="O46" s="7">
        <v>1</v>
      </c>
      <c r="P46" s="16" t="s">
        <v>330</v>
      </c>
      <c r="T46" s="7"/>
    </row>
    <row r="47" spans="1:20" x14ac:dyDescent="0.25">
      <c r="A47" s="16" t="str">
        <f t="shared" si="0"/>
        <v>CUSTO DMA -RODRIGO ALVES BRAGA- JANEIRO 26</v>
      </c>
      <c r="B47" s="18">
        <v>46023</v>
      </c>
      <c r="C47" s="3">
        <v>817391</v>
      </c>
      <c r="D47" s="3" t="s">
        <v>486</v>
      </c>
      <c r="E47" s="14">
        <f t="shared" si="1"/>
        <v>-140.27614512040901</v>
      </c>
      <c r="F47" s="3" t="s">
        <v>366</v>
      </c>
      <c r="G47" s="18">
        <v>46023</v>
      </c>
      <c r="H47" s="19">
        <v>12404</v>
      </c>
      <c r="I47" s="3" t="str">
        <f>VLOOKUP(H47,'[1]Base de Clientes'!$B:$E,4,0)</f>
        <v>MORE INVEST GESTORA DE RECURSOS LTDA</v>
      </c>
      <c r="J47" s="5" t="s">
        <v>8</v>
      </c>
      <c r="K47" s="5" t="s">
        <v>167</v>
      </c>
      <c r="L47" s="9">
        <v>140.27614512040901</v>
      </c>
      <c r="M47" s="11" t="s">
        <v>7</v>
      </c>
      <c r="N47" s="13" t="s">
        <v>16</v>
      </c>
      <c r="O47" s="7">
        <v>1</v>
      </c>
      <c r="P47" s="16" t="s">
        <v>339</v>
      </c>
      <c r="T47" s="7"/>
    </row>
    <row r="48" spans="1:20" x14ac:dyDescent="0.25">
      <c r="A48" s="16" t="str">
        <f t="shared" si="0"/>
        <v>CUSTO DMA -YURI DE OLIVEIRA BIALOSKORSKI - JANEIRO 26</v>
      </c>
      <c r="B48" s="18">
        <v>46023</v>
      </c>
      <c r="C48" s="3">
        <v>817391</v>
      </c>
      <c r="D48" s="3" t="s">
        <v>486</v>
      </c>
      <c r="E48" s="14">
        <f t="shared" si="1"/>
        <v>-250.79614512040911</v>
      </c>
      <c r="F48" s="3" t="s">
        <v>366</v>
      </c>
      <c r="G48" s="18">
        <v>46023</v>
      </c>
      <c r="H48" s="19">
        <v>82901</v>
      </c>
      <c r="I48" s="3" t="str">
        <f>VLOOKUP(H48,'[1]Base de Clientes'!$B:$E,4,0)</f>
        <v>MORE INVEST GESTORA DE RECURSOS LTDA</v>
      </c>
      <c r="J48" s="5" t="s">
        <v>8</v>
      </c>
      <c r="K48" s="5" t="s">
        <v>186</v>
      </c>
      <c r="L48" s="9">
        <v>250.79614512040911</v>
      </c>
      <c r="M48" s="11" t="s">
        <v>7</v>
      </c>
      <c r="N48" s="13" t="s">
        <v>16</v>
      </c>
      <c r="O48" s="7">
        <v>1</v>
      </c>
      <c r="P48" s="16" t="s">
        <v>361</v>
      </c>
      <c r="T48" s="7"/>
    </row>
    <row r="49" spans="1:20" x14ac:dyDescent="0.25">
      <c r="A49" s="16" t="str">
        <f t="shared" si="0"/>
        <v>CUSTO DMA. -THIAGO SANTOS- JANEIRO 26</v>
      </c>
      <c r="B49" s="18">
        <v>46023</v>
      </c>
      <c r="C49" s="3">
        <v>817391</v>
      </c>
      <c r="D49" s="3" t="s">
        <v>397</v>
      </c>
      <c r="E49" s="14">
        <f t="shared" si="1"/>
        <v>-140.27614512040901</v>
      </c>
      <c r="F49" s="3" t="s">
        <v>366</v>
      </c>
      <c r="G49" s="18">
        <v>46023</v>
      </c>
      <c r="H49" s="19">
        <v>80389</v>
      </c>
      <c r="I49" s="3" t="str">
        <f>VLOOKUP(H49,'[1]Base de Clientes'!$B:$E,4,0)</f>
        <v>NAVI CAPITAL ADMINISTRADORA E GESTORA DE RECURSOS FINANCEIRO</v>
      </c>
      <c r="J49" s="5" t="s">
        <v>15</v>
      </c>
      <c r="K49" s="5" t="s">
        <v>179</v>
      </c>
      <c r="L49" s="9">
        <v>140.27614512040901</v>
      </c>
      <c r="M49" s="11" t="s">
        <v>7</v>
      </c>
      <c r="N49" s="13" t="s">
        <v>16</v>
      </c>
      <c r="O49" s="7">
        <v>1</v>
      </c>
      <c r="P49" s="16" t="s">
        <v>352</v>
      </c>
      <c r="T49" s="7"/>
    </row>
    <row r="50" spans="1:20" x14ac:dyDescent="0.25">
      <c r="A50" s="16" t="str">
        <f t="shared" si="0"/>
        <v>CUSTO DMA -RICARDO BERNSTEIN- JANEIRO 26</v>
      </c>
      <c r="B50" s="18">
        <v>46023</v>
      </c>
      <c r="C50" s="3">
        <v>817391</v>
      </c>
      <c r="D50" s="3" t="s">
        <v>398</v>
      </c>
      <c r="E50" s="14">
        <f t="shared" si="1"/>
        <v>-140.27614512040901</v>
      </c>
      <c r="F50" s="3" t="s">
        <v>366</v>
      </c>
      <c r="G50" s="18">
        <v>46023</v>
      </c>
      <c r="H50" s="19">
        <v>12296</v>
      </c>
      <c r="I50" s="3" t="str">
        <f>VLOOKUP(H50,'[1]Base de Clientes'!$B:$E,4,0)</f>
        <v>PATRIA INVESTIMENTOS LTDA</v>
      </c>
      <c r="J50" s="5" t="s">
        <v>8</v>
      </c>
      <c r="K50" s="5" t="s">
        <v>83</v>
      </c>
      <c r="L50" s="9">
        <v>140.27614512040901</v>
      </c>
      <c r="M50" s="11" t="s">
        <v>7</v>
      </c>
      <c r="N50" s="13" t="s">
        <v>16</v>
      </c>
      <c r="O50" s="7">
        <v>1</v>
      </c>
      <c r="P50" s="16" t="s">
        <v>336</v>
      </c>
      <c r="T50" s="7"/>
    </row>
    <row r="51" spans="1:20" x14ac:dyDescent="0.25">
      <c r="A51" s="16" t="str">
        <f t="shared" si="0"/>
        <v>CUSTO DMA. -WILLIAM LEITE- JANEIRO 26</v>
      </c>
      <c r="B51" s="18">
        <v>46023</v>
      </c>
      <c r="C51" s="3">
        <v>817391</v>
      </c>
      <c r="D51" s="3" t="s">
        <v>398</v>
      </c>
      <c r="E51" s="14">
        <f t="shared" si="1"/>
        <v>-248.88114512040909</v>
      </c>
      <c r="F51" s="3" t="s">
        <v>366</v>
      </c>
      <c r="G51" s="18">
        <v>46023</v>
      </c>
      <c r="H51" s="19">
        <v>12296</v>
      </c>
      <c r="I51" s="3" t="str">
        <f>VLOOKUP(H51,'[1]Base de Clientes'!$B:$E,4,0)</f>
        <v>PATRIA INVESTIMENTOS LTDA</v>
      </c>
      <c r="J51" s="5" t="s">
        <v>15</v>
      </c>
      <c r="K51" s="5" t="s">
        <v>111</v>
      </c>
      <c r="L51" s="9">
        <v>248.88114512040909</v>
      </c>
      <c r="M51" s="11" t="s">
        <v>7</v>
      </c>
      <c r="N51" s="13" t="s">
        <v>16</v>
      </c>
      <c r="O51" s="7">
        <v>1</v>
      </c>
      <c r="P51" s="16" t="s">
        <v>358</v>
      </c>
      <c r="T51" s="7"/>
    </row>
    <row r="52" spans="1:20" x14ac:dyDescent="0.25">
      <c r="A52" s="16" t="str">
        <f t="shared" si="0"/>
        <v>CUSTO DMA -ANDERSON LUEDERS- JANEIRO 26</v>
      </c>
      <c r="B52" s="18">
        <v>46023</v>
      </c>
      <c r="C52" s="3">
        <v>817391</v>
      </c>
      <c r="D52" s="3" t="s">
        <v>411</v>
      </c>
      <c r="E52" s="14">
        <f t="shared" si="1"/>
        <v>-307.39577912040897</v>
      </c>
      <c r="F52" s="3" t="s">
        <v>366</v>
      </c>
      <c r="G52" s="18">
        <v>46023</v>
      </c>
      <c r="H52" s="19">
        <v>80783</v>
      </c>
      <c r="I52" s="3" t="str">
        <f>VLOOKUP(H52,'[1]Base de Clientes'!$B:$E,4,0)</f>
        <v>REAL INVESTOR ASSET MANAGEMENT LTDA</v>
      </c>
      <c r="J52" s="5" t="s">
        <v>8</v>
      </c>
      <c r="K52" s="5" t="s">
        <v>121</v>
      </c>
      <c r="L52" s="9">
        <v>307.39577912040897</v>
      </c>
      <c r="M52" s="11" t="s">
        <v>7</v>
      </c>
      <c r="N52" s="13" t="s">
        <v>16</v>
      </c>
      <c r="O52" s="7">
        <v>1</v>
      </c>
      <c r="P52" s="16" t="s">
        <v>290</v>
      </c>
      <c r="T52" s="7"/>
    </row>
    <row r="53" spans="1:20" x14ac:dyDescent="0.25">
      <c r="A53" s="16" t="str">
        <f t="shared" si="0"/>
        <v>CUSTO DMA -CESAR PAIVA- JANEIRO 26</v>
      </c>
      <c r="B53" s="18">
        <v>46023</v>
      </c>
      <c r="C53" s="3">
        <v>817391</v>
      </c>
      <c r="D53" s="3" t="s">
        <v>411</v>
      </c>
      <c r="E53" s="14">
        <f t="shared" si="1"/>
        <v>-140.27614512040901</v>
      </c>
      <c r="F53" s="3" t="s">
        <v>366</v>
      </c>
      <c r="G53" s="18">
        <v>46023</v>
      </c>
      <c r="H53" s="19">
        <v>81035</v>
      </c>
      <c r="I53" s="3" t="str">
        <f>VLOOKUP(H53,'[1]Base de Clientes'!$B:$E,4,0)</f>
        <v>REAL INVESTOR ASSET MANAGEMENT LTDA</v>
      </c>
      <c r="J53" s="5" t="s">
        <v>8</v>
      </c>
      <c r="K53" s="5" t="s">
        <v>132</v>
      </c>
      <c r="L53" s="9">
        <v>140.27614512040901</v>
      </c>
      <c r="M53" s="11" t="s">
        <v>7</v>
      </c>
      <c r="N53" s="13" t="s">
        <v>16</v>
      </c>
      <c r="O53" s="7">
        <v>1</v>
      </c>
      <c r="P53" s="16" t="s">
        <v>301</v>
      </c>
      <c r="T53" s="7"/>
    </row>
    <row r="54" spans="1:20" x14ac:dyDescent="0.25">
      <c r="A54" s="16" t="str">
        <f t="shared" si="0"/>
        <v>CUSTO DMA -LEANDRO FIUZA- JANEIRO 26</v>
      </c>
      <c r="B54" s="18">
        <v>46023</v>
      </c>
      <c r="C54" s="3">
        <v>817391</v>
      </c>
      <c r="D54" s="3" t="s">
        <v>411</v>
      </c>
      <c r="E54" s="14">
        <f t="shared" si="1"/>
        <v>-146.272301120409</v>
      </c>
      <c r="F54" s="3" t="s">
        <v>366</v>
      </c>
      <c r="G54" s="18">
        <v>46023</v>
      </c>
      <c r="H54" s="19">
        <v>80783</v>
      </c>
      <c r="I54" s="3" t="str">
        <f>VLOOKUP(H54,'[1]Base de Clientes'!$B:$E,4,0)</f>
        <v>REAL INVESTOR ASSET MANAGEMENT LTDA</v>
      </c>
      <c r="J54" s="5" t="s">
        <v>8</v>
      </c>
      <c r="K54" s="5" t="s">
        <v>152</v>
      </c>
      <c r="L54" s="9">
        <v>146.272301120409</v>
      </c>
      <c r="M54" s="11" t="s">
        <v>7</v>
      </c>
      <c r="N54" s="13" t="s">
        <v>16</v>
      </c>
      <c r="O54" s="7">
        <v>1</v>
      </c>
      <c r="P54" s="16" t="s">
        <v>322</v>
      </c>
      <c r="T54" s="7"/>
    </row>
    <row r="55" spans="1:20" x14ac:dyDescent="0.25">
      <c r="A55" s="16" t="str">
        <f t="shared" ref="A55" si="8">CONCATENATE(J55,M55,K55,M55,N55)</f>
        <v>CUSTO DMA -MATEUS LANDIM- JANEIRO 26</v>
      </c>
      <c r="B55" s="18">
        <v>46023</v>
      </c>
      <c r="C55" s="3">
        <v>817391</v>
      </c>
      <c r="D55" s="3" t="s">
        <v>411</v>
      </c>
      <c r="E55" s="14">
        <f t="shared" si="1"/>
        <v>-140.27614512040901</v>
      </c>
      <c r="F55" s="3" t="s">
        <v>366</v>
      </c>
      <c r="G55" s="18">
        <v>46023</v>
      </c>
      <c r="H55" s="19">
        <v>125571</v>
      </c>
      <c r="I55" s="3" t="str">
        <f>VLOOKUP(H55,'[1]Base de Clientes'!$B:$E,4,0)</f>
        <v>REAL INVESTOR ASSET MANAGEMENT LTDA</v>
      </c>
      <c r="J55" s="5" t="s">
        <v>8</v>
      </c>
      <c r="K55" s="5" t="s">
        <v>159</v>
      </c>
      <c r="L55" s="9">
        <v>140.27614512040901</v>
      </c>
      <c r="M55" s="11" t="s">
        <v>7</v>
      </c>
      <c r="N55" s="13" t="s">
        <v>16</v>
      </c>
      <c r="O55" s="7">
        <v>1</v>
      </c>
      <c r="P55" s="16" t="s">
        <v>329</v>
      </c>
      <c r="T55" s="7"/>
    </row>
    <row r="56" spans="1:20" x14ac:dyDescent="0.25">
      <c r="A56" s="16" t="str">
        <f t="shared" si="0"/>
        <v>CUSTO DMA -RODRIGO SANTOS- JANEIRO 26</v>
      </c>
      <c r="B56" s="18">
        <v>46023</v>
      </c>
      <c r="C56" s="3">
        <v>817391</v>
      </c>
      <c r="D56" s="3" t="s">
        <v>411</v>
      </c>
      <c r="E56" s="14">
        <f t="shared" si="1"/>
        <v>-251.06913512040899</v>
      </c>
      <c r="F56" s="3" t="s">
        <v>366</v>
      </c>
      <c r="G56" s="18">
        <v>46023</v>
      </c>
      <c r="H56" s="19">
        <v>80783</v>
      </c>
      <c r="I56" s="3" t="str">
        <f>VLOOKUP(H56,'[1]Base de Clientes'!$B:$E,4,0)</f>
        <v>REAL INVESTOR ASSET MANAGEMENT LTDA</v>
      </c>
      <c r="J56" s="5" t="s">
        <v>8</v>
      </c>
      <c r="K56" s="5" t="s">
        <v>168</v>
      </c>
      <c r="L56" s="9">
        <v>251.06913512040899</v>
      </c>
      <c r="M56" s="11" t="s">
        <v>7</v>
      </c>
      <c r="N56" s="13" t="s">
        <v>16</v>
      </c>
      <c r="O56" s="7">
        <v>1</v>
      </c>
      <c r="P56" s="16" t="s">
        <v>340</v>
      </c>
      <c r="T56" s="7"/>
    </row>
    <row r="57" spans="1:20" x14ac:dyDescent="0.25">
      <c r="A57" s="16" t="str">
        <f t="shared" si="0"/>
        <v>CUSTO DMA -RODRIGO PILEGGI- JANEIRO 26</v>
      </c>
      <c r="B57" s="18">
        <v>46023</v>
      </c>
      <c r="C57" s="3">
        <v>817391</v>
      </c>
      <c r="D57" s="3" t="s">
        <v>411</v>
      </c>
      <c r="E57" s="14">
        <f t="shared" si="1"/>
        <v>-140.27614512040901</v>
      </c>
      <c r="F57" s="3" t="s">
        <v>366</v>
      </c>
      <c r="G57" s="18">
        <v>46023</v>
      </c>
      <c r="H57" s="19">
        <v>125571</v>
      </c>
      <c r="I57" s="3" t="str">
        <f>VLOOKUP(H57,'[1]Base de Clientes'!$B:$E,4,0)</f>
        <v>REAL INVESTOR ASSET MANAGEMENT LTDA</v>
      </c>
      <c r="J57" s="5" t="s">
        <v>8</v>
      </c>
      <c r="K57" s="5" t="s">
        <v>169</v>
      </c>
      <c r="L57" s="9">
        <v>140.27614512040901</v>
      </c>
      <c r="M57" s="11" t="s">
        <v>7</v>
      </c>
      <c r="N57" s="13" t="s">
        <v>16</v>
      </c>
      <c r="O57" s="7">
        <v>1</v>
      </c>
      <c r="P57" s="16" t="s">
        <v>341</v>
      </c>
      <c r="T57" s="7"/>
    </row>
    <row r="58" spans="1:20" x14ac:dyDescent="0.25">
      <c r="A58" s="16" t="str">
        <f t="shared" si="0"/>
        <v>CUSTO DMA -ANDRÉ BLANCO- JANEIRO 26</v>
      </c>
      <c r="B58" s="18">
        <v>46023</v>
      </c>
      <c r="C58" s="3">
        <v>817391</v>
      </c>
      <c r="D58" s="3" t="s">
        <v>486</v>
      </c>
      <c r="E58" s="14">
        <f t="shared" si="1"/>
        <v>-192.98684742040899</v>
      </c>
      <c r="F58" s="3" t="s">
        <v>366</v>
      </c>
      <c r="G58" s="18">
        <v>46023</v>
      </c>
      <c r="H58" s="19">
        <v>80217</v>
      </c>
      <c r="I58" s="3" t="str">
        <f>VLOOKUP(H58,'[1]Base de Clientes'!$B:$E,4,0)</f>
        <v>RIO BRAVO INVESTIMENTOS LTDA</v>
      </c>
      <c r="J58" s="5" t="s">
        <v>8</v>
      </c>
      <c r="K58" s="5" t="s">
        <v>118</v>
      </c>
      <c r="L58" s="9">
        <v>192.98684742040899</v>
      </c>
      <c r="M58" s="11" t="s">
        <v>7</v>
      </c>
      <c r="N58" s="13" t="s">
        <v>16</v>
      </c>
      <c r="O58" s="7">
        <v>1</v>
      </c>
      <c r="P58" s="16" t="s">
        <v>287</v>
      </c>
      <c r="T58" s="7"/>
    </row>
    <row r="59" spans="1:20" x14ac:dyDescent="0.25">
      <c r="A59" s="16" t="str">
        <f t="shared" si="0"/>
        <v>CUSTO DMA -ALEXANDRE SALFATIS- JANEIRO 26</v>
      </c>
      <c r="B59" s="18">
        <v>46023</v>
      </c>
      <c r="C59" s="3">
        <v>817391</v>
      </c>
      <c r="D59" s="3" t="s">
        <v>405</v>
      </c>
      <c r="E59" s="14">
        <f t="shared" si="1"/>
        <v>-140.27614512040901</v>
      </c>
      <c r="F59" s="3" t="s">
        <v>366</v>
      </c>
      <c r="G59" s="18">
        <v>46023</v>
      </c>
      <c r="H59" s="19">
        <v>79760</v>
      </c>
      <c r="I59" s="3" t="str">
        <f>VLOOKUP(H59,'[1]Base de Clientes'!$B:$E,4,0)</f>
        <v>TAVOLA CAPITAL GESTAO DE RECURSOS LTDA</v>
      </c>
      <c r="J59" s="5" t="s">
        <v>8</v>
      </c>
      <c r="K59" s="5" t="s">
        <v>120</v>
      </c>
      <c r="L59" s="9">
        <v>140.27614512040901</v>
      </c>
      <c r="M59" s="11" t="s">
        <v>7</v>
      </c>
      <c r="N59" s="13" t="s">
        <v>16</v>
      </c>
      <c r="O59" s="7">
        <v>1</v>
      </c>
      <c r="P59" s="16" t="s">
        <v>289</v>
      </c>
      <c r="T59" s="7"/>
    </row>
    <row r="60" spans="1:20" x14ac:dyDescent="0.25">
      <c r="A60" s="16" t="str">
        <f t="shared" si="0"/>
        <v>CUSTO DMA -ALEJANDRO CHAVEZ- JANEIRO 26</v>
      </c>
      <c r="B60" s="18">
        <v>46023</v>
      </c>
      <c r="C60" s="3">
        <v>817391</v>
      </c>
      <c r="D60" s="3" t="s">
        <v>475</v>
      </c>
      <c r="E60" s="14">
        <f t="shared" si="1"/>
        <v>-131.9</v>
      </c>
      <c r="F60" s="3" t="s">
        <v>366</v>
      </c>
      <c r="G60" s="18">
        <v>46023</v>
      </c>
      <c r="H60" s="19">
        <v>82241</v>
      </c>
      <c r="I60" s="3" t="str">
        <f>VLOOKUP(H60,'[1]Base de Clientes'!$B:$E,4,0)</f>
        <v>SANTANDER DISTRIBUIDORA DE TITULOS E VALORES MOBILIARIOS S/A</v>
      </c>
      <c r="J60" s="5" t="s">
        <v>8</v>
      </c>
      <c r="K60" s="5" t="s">
        <v>119</v>
      </c>
      <c r="L60" s="9">
        <v>131.9</v>
      </c>
      <c r="M60" s="11" t="s">
        <v>7</v>
      </c>
      <c r="N60" s="13" t="s">
        <v>16</v>
      </c>
      <c r="O60" s="7">
        <v>1</v>
      </c>
      <c r="P60" s="16" t="s">
        <v>288</v>
      </c>
      <c r="T60" s="7"/>
    </row>
    <row r="61" spans="1:20" x14ac:dyDescent="0.25">
      <c r="A61" s="16" t="str">
        <f t="shared" ref="A61" si="9">CONCATENATE(J61,M61,K61,M61,N61)</f>
        <v>CUSTO DMA -THIAGO OORTMAN- JANEIRO 26</v>
      </c>
      <c r="B61" s="18">
        <v>46023</v>
      </c>
      <c r="C61" s="3">
        <v>817391</v>
      </c>
      <c r="D61" s="3" t="s">
        <v>475</v>
      </c>
      <c r="E61" s="14">
        <f t="shared" si="1"/>
        <v>-933.2434999999997</v>
      </c>
      <c r="F61" s="3" t="s">
        <v>366</v>
      </c>
      <c r="G61" s="18">
        <v>46023</v>
      </c>
      <c r="H61" s="19">
        <v>82241</v>
      </c>
      <c r="I61" s="3" t="str">
        <f>VLOOKUP(H61,'[1]Base de Clientes'!$B:$E,4,0)</f>
        <v>SANTANDER DISTRIBUIDORA DE TITULOS E VALORES MOBILIARIOS S/A</v>
      </c>
      <c r="J61" s="5" t="s">
        <v>8</v>
      </c>
      <c r="K61" s="5" t="s">
        <v>177</v>
      </c>
      <c r="L61" s="9">
        <v>933.2434999999997</v>
      </c>
      <c r="M61" s="11" t="s">
        <v>7</v>
      </c>
      <c r="N61" s="13" t="s">
        <v>16</v>
      </c>
      <c r="O61" s="7">
        <v>1</v>
      </c>
      <c r="P61" s="16" t="s">
        <v>349</v>
      </c>
      <c r="T61" s="7"/>
    </row>
    <row r="62" spans="1:20" x14ac:dyDescent="0.25">
      <c r="A62" s="16" t="str">
        <f t="shared" ref="A62" si="10">CONCATENATE(J62,M62,K62,M62,N62)</f>
        <v>CUSTO DMA -ENRIQUE BALBINO- JANEIRO 26</v>
      </c>
      <c r="B62" s="18">
        <v>46023</v>
      </c>
      <c r="C62" s="3">
        <v>817391</v>
      </c>
      <c r="D62" s="3" t="s">
        <v>401</v>
      </c>
      <c r="E62" s="14">
        <f t="shared" si="1"/>
        <v>-387.58080856806117</v>
      </c>
      <c r="F62" s="3" t="s">
        <v>366</v>
      </c>
      <c r="G62" s="18">
        <v>46023</v>
      </c>
      <c r="H62" s="19">
        <v>80515</v>
      </c>
      <c r="I62" s="3" t="str">
        <f>VLOOKUP(H62,'[1]Base de Clientes'!$B:$E,4,0)</f>
        <v>SHARP CAPITAL GESTORA DE RECURSOS LTDA</v>
      </c>
      <c r="J62" s="5" t="s">
        <v>8</v>
      </c>
      <c r="K62" s="5" t="s">
        <v>137</v>
      </c>
      <c r="L62" s="9">
        <v>2583.872057120408</v>
      </c>
      <c r="M62" s="11" t="s">
        <v>7</v>
      </c>
      <c r="N62" s="13" t="s">
        <v>16</v>
      </c>
      <c r="O62" s="7">
        <v>0.15</v>
      </c>
      <c r="P62" s="16" t="s">
        <v>306</v>
      </c>
      <c r="T62" s="7"/>
    </row>
    <row r="63" spans="1:20" x14ac:dyDescent="0.25">
      <c r="A63" s="16" t="str">
        <f t="shared" ref="A63" si="11">CONCATENATE(J63,M63,K63,M63,N63)</f>
        <v>CUSTO DMA -ENRIQUE BALBINO- JANEIRO 26</v>
      </c>
      <c r="B63" s="18">
        <v>46023</v>
      </c>
      <c r="C63" s="3">
        <v>817391</v>
      </c>
      <c r="D63" s="3" t="s">
        <v>571</v>
      </c>
      <c r="E63" s="14">
        <f t="shared" ref="E63" si="12">-L63*O63</f>
        <v>-904.35521999214279</v>
      </c>
      <c r="F63" s="3" t="s">
        <v>366</v>
      </c>
      <c r="G63" s="18">
        <v>46023</v>
      </c>
      <c r="H63" s="19">
        <v>80515</v>
      </c>
      <c r="I63" s="3" t="str">
        <f>VLOOKUP(H63,'[1]Base de Clientes'!$B:$E,4,0)</f>
        <v>SHARP CAPITAL GESTORA DE RECURSOS LTDA</v>
      </c>
      <c r="J63" s="5" t="s">
        <v>8</v>
      </c>
      <c r="K63" s="5" t="s">
        <v>137</v>
      </c>
      <c r="L63" s="9">
        <v>2583.872057120408</v>
      </c>
      <c r="M63" s="11" t="s">
        <v>7</v>
      </c>
      <c r="N63" s="13" t="s">
        <v>16</v>
      </c>
      <c r="O63" s="7">
        <v>0.35</v>
      </c>
      <c r="P63" s="16" t="s">
        <v>306</v>
      </c>
      <c r="T63" s="7"/>
    </row>
    <row r="64" spans="1:20" x14ac:dyDescent="0.25">
      <c r="A64" s="16" t="str">
        <f t="shared" ref="A64" si="13">CONCATENATE(J64,M64,K64,M64,N64)</f>
        <v>CUSTO DMA -ENRIQUE BALBINO- JANEIRO 26</v>
      </c>
      <c r="B64" s="18">
        <v>46023</v>
      </c>
      <c r="C64" s="3">
        <v>817391</v>
      </c>
      <c r="D64" s="3" t="s">
        <v>488</v>
      </c>
      <c r="E64" s="14">
        <f t="shared" ref="E64" si="14">-L64*O64</f>
        <v>-1291.936028560204</v>
      </c>
      <c r="F64" s="3" t="s">
        <v>366</v>
      </c>
      <c r="G64" s="18">
        <v>46023</v>
      </c>
      <c r="H64" s="19">
        <v>80515</v>
      </c>
      <c r="I64" s="3" t="str">
        <f>VLOOKUP(H64,'[1]Base de Clientes'!$B:$E,4,0)</f>
        <v>SHARP CAPITAL GESTORA DE RECURSOS LTDA</v>
      </c>
      <c r="J64" s="5" t="s">
        <v>8</v>
      </c>
      <c r="K64" s="5" t="s">
        <v>137</v>
      </c>
      <c r="L64" s="9">
        <v>2583.872057120408</v>
      </c>
      <c r="M64" s="11" t="s">
        <v>7</v>
      </c>
      <c r="N64" s="13" t="s">
        <v>16</v>
      </c>
      <c r="O64" s="7">
        <v>0.5</v>
      </c>
      <c r="P64" s="16" t="s">
        <v>306</v>
      </c>
      <c r="T64" s="7"/>
    </row>
    <row r="65" spans="1:20" x14ac:dyDescent="0.25">
      <c r="A65" s="16" t="str">
        <f t="shared" si="0"/>
        <v>CUSTO DMA -THEOFILO NETO- JANEIRO 26</v>
      </c>
      <c r="B65" s="18">
        <v>46023</v>
      </c>
      <c r="C65" s="3">
        <v>817391</v>
      </c>
      <c r="D65" s="3" t="s">
        <v>401</v>
      </c>
      <c r="E65" s="14">
        <f t="shared" si="1"/>
        <v>-60.241149656020447</v>
      </c>
      <c r="F65" s="3" t="s">
        <v>366</v>
      </c>
      <c r="G65" s="18">
        <v>46023</v>
      </c>
      <c r="H65" s="19">
        <v>80515</v>
      </c>
      <c r="I65" s="3" t="str">
        <f>VLOOKUP(H65,'[1]Base de Clientes'!$B:$E,4,0)</f>
        <v>SHARP CAPITAL GESTORA DE RECURSOS LTDA</v>
      </c>
      <c r="J65" s="5" t="s">
        <v>8</v>
      </c>
      <c r="K65" s="5" t="s">
        <v>176</v>
      </c>
      <c r="L65" s="9">
        <v>1204.8229931204089</v>
      </c>
      <c r="M65" s="11" t="s">
        <v>7</v>
      </c>
      <c r="N65" s="13" t="s">
        <v>16</v>
      </c>
      <c r="O65" s="7">
        <v>0.05</v>
      </c>
      <c r="P65" s="16" t="s">
        <v>348</v>
      </c>
      <c r="T65" s="7"/>
    </row>
    <row r="66" spans="1:20" x14ac:dyDescent="0.25">
      <c r="A66" s="16" t="str">
        <f t="shared" ref="A66:A67" si="15">CONCATENATE(J66,M66,K66,M66,N66)</f>
        <v>CUSTO DMA -THEOFILO NETO- JANEIRO 26</v>
      </c>
      <c r="B66" s="18">
        <v>46023</v>
      </c>
      <c r="C66" s="3">
        <v>817391</v>
      </c>
      <c r="D66" s="3" t="s">
        <v>571</v>
      </c>
      <c r="E66" s="14">
        <f t="shared" ref="E66:E67" si="16">-L66*O66</f>
        <v>-144.57875917444906</v>
      </c>
      <c r="F66" s="3" t="s">
        <v>366</v>
      </c>
      <c r="G66" s="18">
        <v>46023</v>
      </c>
      <c r="H66" s="19">
        <v>80515</v>
      </c>
      <c r="I66" s="3" t="str">
        <f>VLOOKUP(H66,'[1]Base de Clientes'!$B:$E,4,0)</f>
        <v>SHARP CAPITAL GESTORA DE RECURSOS LTDA</v>
      </c>
      <c r="J66" s="5" t="s">
        <v>8</v>
      </c>
      <c r="K66" s="5" t="s">
        <v>176</v>
      </c>
      <c r="L66" s="9">
        <v>1204.8229931204089</v>
      </c>
      <c r="M66" s="11" t="s">
        <v>7</v>
      </c>
      <c r="N66" s="13" t="s">
        <v>16</v>
      </c>
      <c r="O66" s="7">
        <v>0.12</v>
      </c>
      <c r="P66" s="16" t="s">
        <v>348</v>
      </c>
      <c r="T66" s="7"/>
    </row>
    <row r="67" spans="1:20" x14ac:dyDescent="0.25">
      <c r="A67" s="16" t="str">
        <f t="shared" si="15"/>
        <v>CUSTO DMA -THEOFILO NETO- JANEIRO 26</v>
      </c>
      <c r="B67" s="18">
        <v>46023</v>
      </c>
      <c r="C67" s="3">
        <v>817391</v>
      </c>
      <c r="D67" s="3" t="s">
        <v>488</v>
      </c>
      <c r="E67" s="14">
        <f t="shared" si="16"/>
        <v>-1000.0030842899394</v>
      </c>
      <c r="F67" s="3" t="s">
        <v>366</v>
      </c>
      <c r="G67" s="18">
        <v>46023</v>
      </c>
      <c r="H67" s="19">
        <v>80515</v>
      </c>
      <c r="I67" s="3" t="str">
        <f>VLOOKUP(H67,'[1]Base de Clientes'!$B:$E,4,0)</f>
        <v>SHARP CAPITAL GESTORA DE RECURSOS LTDA</v>
      </c>
      <c r="J67" s="5" t="s">
        <v>8</v>
      </c>
      <c r="K67" s="5" t="s">
        <v>176</v>
      </c>
      <c r="L67" s="9">
        <v>1204.8229931204089</v>
      </c>
      <c r="M67" s="11" t="s">
        <v>7</v>
      </c>
      <c r="N67" s="13" t="s">
        <v>16</v>
      </c>
      <c r="O67" s="7">
        <v>0.83</v>
      </c>
      <c r="P67" s="16" t="s">
        <v>348</v>
      </c>
      <c r="T67" s="7"/>
    </row>
    <row r="68" spans="1:20" x14ac:dyDescent="0.25">
      <c r="A68" s="16" t="str">
        <f t="shared" si="0"/>
        <v>CUSTO DMA -BRUNO MARTINS- JANEIRO 26</v>
      </c>
      <c r="B68" s="18">
        <v>46023</v>
      </c>
      <c r="C68" s="3">
        <v>817391</v>
      </c>
      <c r="D68" s="3" t="s">
        <v>471</v>
      </c>
      <c r="E68" s="14">
        <f t="shared" si="1"/>
        <v>-140.27614512040901</v>
      </c>
      <c r="F68" s="3" t="s">
        <v>366</v>
      </c>
      <c r="G68" s="18">
        <v>46023</v>
      </c>
      <c r="H68" s="19">
        <v>80047</v>
      </c>
      <c r="I68" s="3" t="str">
        <f>VLOOKUP(H68,'[1]Base de Clientes'!$B:$E,4,0)</f>
        <v>SICREDI ASSET MANAGEMENT LTDA</v>
      </c>
      <c r="J68" s="5" t="s">
        <v>8</v>
      </c>
      <c r="K68" s="5" t="s">
        <v>129</v>
      </c>
      <c r="L68" s="9">
        <v>140.27614512040901</v>
      </c>
      <c r="M68" s="11" t="s">
        <v>7</v>
      </c>
      <c r="N68" s="13" t="s">
        <v>16</v>
      </c>
      <c r="O68" s="7">
        <v>1</v>
      </c>
      <c r="P68" s="16" t="s">
        <v>298</v>
      </c>
      <c r="T68" s="7"/>
    </row>
    <row r="69" spans="1:20" x14ac:dyDescent="0.25">
      <c r="A69" s="16" t="str">
        <f t="shared" si="0"/>
        <v>CUSTO DMA -PIETRO TORTORELI- JANEIRO 26</v>
      </c>
      <c r="B69" s="18">
        <v>46023</v>
      </c>
      <c r="C69" s="3">
        <v>817391</v>
      </c>
      <c r="D69" s="3" t="s">
        <v>405</v>
      </c>
      <c r="E69" s="14">
        <f t="shared" si="1"/>
        <v>-4631.5758941204094</v>
      </c>
      <c r="F69" s="3" t="s">
        <v>366</v>
      </c>
      <c r="G69" s="18">
        <v>46023</v>
      </c>
      <c r="H69" s="19">
        <v>82551</v>
      </c>
      <c r="I69" s="3" t="str">
        <f>VLOOKUP(H69,'[1]Base de Clientes'!$B:$E,4,0)</f>
        <v>SKOPOS INVESTIMENTOS LTDA</v>
      </c>
      <c r="J69" s="5" t="s">
        <v>8</v>
      </c>
      <c r="K69" s="5" t="s">
        <v>162</v>
      </c>
      <c r="L69" s="9">
        <v>4631.5758941204094</v>
      </c>
      <c r="M69" s="11" t="s">
        <v>7</v>
      </c>
      <c r="N69" s="13" t="s">
        <v>16</v>
      </c>
      <c r="O69" s="7">
        <v>1</v>
      </c>
      <c r="P69" s="16" t="s">
        <v>332</v>
      </c>
      <c r="T69" s="7"/>
    </row>
    <row r="70" spans="1:20" x14ac:dyDescent="0.25">
      <c r="A70" s="16" t="str">
        <f t="shared" si="0"/>
        <v>CUSTO DMA -RODRIGO NATALI- JANEIRO 26</v>
      </c>
      <c r="B70" s="18">
        <v>46023</v>
      </c>
      <c r="C70" s="3">
        <v>817391</v>
      </c>
      <c r="D70" s="3" t="s">
        <v>405</v>
      </c>
      <c r="E70" s="14">
        <f t="shared" si="1"/>
        <v>-3920.7992331204091</v>
      </c>
      <c r="F70" s="3" t="s">
        <v>366</v>
      </c>
      <c r="G70" s="18">
        <v>46023</v>
      </c>
      <c r="H70" s="19">
        <v>82551</v>
      </c>
      <c r="I70" s="3" t="str">
        <f>VLOOKUP(H70,'[1]Base de Clientes'!$B:$E,4,0)</f>
        <v>SKOPOS INVESTIMENTOS LTDA</v>
      </c>
      <c r="J70" s="5" t="s">
        <v>8</v>
      </c>
      <c r="K70" s="5" t="s">
        <v>166</v>
      </c>
      <c r="L70" s="9">
        <v>3920.7992331204091</v>
      </c>
      <c r="M70" s="11" t="s">
        <v>7</v>
      </c>
      <c r="N70" s="13" t="s">
        <v>16</v>
      </c>
      <c r="O70" s="7">
        <v>1</v>
      </c>
      <c r="P70" s="16" t="s">
        <v>338</v>
      </c>
      <c r="T70" s="7"/>
    </row>
    <row r="71" spans="1:20" x14ac:dyDescent="0.2">
      <c r="A71" s="16" t="str">
        <f t="shared" si="0"/>
        <v>CUSTO DMA -THIAGO RICCIOLI BORK- JANEIRO 26</v>
      </c>
      <c r="B71" s="18">
        <v>46023</v>
      </c>
      <c r="C71" s="3">
        <v>817391</v>
      </c>
      <c r="D71" s="24" t="s">
        <v>405</v>
      </c>
      <c r="E71" s="14">
        <f t="shared" si="1"/>
        <v>-140.27614512040901</v>
      </c>
      <c r="F71" s="3" t="s">
        <v>366</v>
      </c>
      <c r="G71" s="18">
        <v>46023</v>
      </c>
      <c r="H71" s="19">
        <v>82551</v>
      </c>
      <c r="I71" s="3" t="str">
        <f>VLOOKUP(H71,'[1]Base de Clientes'!$B:$E,4,0)</f>
        <v>SKOPOS INVESTIMENTOS LTDA</v>
      </c>
      <c r="J71" s="5" t="s">
        <v>8</v>
      </c>
      <c r="K71" s="5" t="s">
        <v>175</v>
      </c>
      <c r="L71" s="9">
        <v>140.27614512040901</v>
      </c>
      <c r="M71" s="11" t="s">
        <v>7</v>
      </c>
      <c r="N71" s="13" t="s">
        <v>16</v>
      </c>
      <c r="O71" s="7">
        <v>1</v>
      </c>
      <c r="P71" s="16" t="s">
        <v>347</v>
      </c>
      <c r="T71" s="7"/>
    </row>
    <row r="72" spans="1:20" x14ac:dyDescent="0.25">
      <c r="A72" s="16" t="str">
        <f t="shared" si="0"/>
        <v>CUSTO DMA -VICTOR RUSSO- JANEIRO 26</v>
      </c>
      <c r="B72" s="18">
        <v>46023</v>
      </c>
      <c r="C72" s="3">
        <v>817391</v>
      </c>
      <c r="D72" s="3" t="s">
        <v>480</v>
      </c>
      <c r="E72" s="14">
        <f t="shared" si="1"/>
        <v>-2754.761145920409</v>
      </c>
      <c r="F72" s="3" t="s">
        <v>366</v>
      </c>
      <c r="G72" s="18">
        <v>46023</v>
      </c>
      <c r="H72" s="19">
        <v>81565</v>
      </c>
      <c r="I72" s="3" t="str">
        <f>VLOOKUP(H72,'[1]Base de Clientes'!$B:$E,4,0)</f>
        <v>SPX GESTAO DE RECURSOS LTDA</v>
      </c>
      <c r="J72" s="5" t="s">
        <v>8</v>
      </c>
      <c r="K72" s="5" t="s">
        <v>170</v>
      </c>
      <c r="L72" s="9">
        <v>2754.761145920409</v>
      </c>
      <c r="M72" s="11" t="s">
        <v>7</v>
      </c>
      <c r="N72" s="13" t="s">
        <v>16</v>
      </c>
      <c r="O72" s="7">
        <v>1</v>
      </c>
      <c r="P72" s="16" t="s">
        <v>342</v>
      </c>
      <c r="T72" s="7"/>
    </row>
    <row r="73" spans="1:20" x14ac:dyDescent="0.25">
      <c r="A73" s="16" t="str">
        <f t="shared" si="0"/>
        <v>CUSTO DMA -VITOR BELMIRO- JANEIRO 26</v>
      </c>
      <c r="B73" s="18">
        <v>46023</v>
      </c>
      <c r="C73" s="3">
        <v>817391</v>
      </c>
      <c r="D73" s="3" t="s">
        <v>470</v>
      </c>
      <c r="E73" s="14">
        <f t="shared" si="1"/>
        <v>-150.45820056040901</v>
      </c>
      <c r="F73" s="3" t="s">
        <v>366</v>
      </c>
      <c r="G73" s="18">
        <v>46023</v>
      </c>
      <c r="H73" s="19">
        <v>81876</v>
      </c>
      <c r="I73" s="3" t="str">
        <f>VLOOKUP(H73,'[1]Base de Clientes'!$B:$E,4,0)</f>
        <v>STK CAPITAL GESTORA DE RECURSOS LTDA</v>
      </c>
      <c r="J73" s="5" t="s">
        <v>8</v>
      </c>
      <c r="K73" s="5" t="s">
        <v>181</v>
      </c>
      <c r="L73" s="9">
        <v>150.45820056040901</v>
      </c>
      <c r="M73" s="11" t="s">
        <v>7</v>
      </c>
      <c r="N73" s="13" t="s">
        <v>16</v>
      </c>
      <c r="O73" s="7">
        <v>1</v>
      </c>
      <c r="P73" s="16" t="s">
        <v>354</v>
      </c>
      <c r="T73" s="7"/>
    </row>
    <row r="74" spans="1:20" x14ac:dyDescent="0.25">
      <c r="A74" s="16" t="str">
        <f t="shared" si="0"/>
        <v>CUSTO DMA -CARLOS EDUARDO MAIA - JANEIRO 26</v>
      </c>
      <c r="B74" s="18">
        <v>46023</v>
      </c>
      <c r="C74" s="3">
        <v>817391</v>
      </c>
      <c r="D74" s="3" t="s">
        <v>408</v>
      </c>
      <c r="E74" s="14">
        <f t="shared" si="1"/>
        <v>-234.08824542040901</v>
      </c>
      <c r="F74" s="3" t="s">
        <v>366</v>
      </c>
      <c r="G74" s="18">
        <v>46023</v>
      </c>
      <c r="H74" s="19">
        <v>122394</v>
      </c>
      <c r="I74" s="3" t="str">
        <f>VLOOKUP(H74,'[1]Base de Clientes'!$B:$E,4,0)</f>
        <v>TEMPO CAPITAL GESTAO DE RECURSOS LTDA</v>
      </c>
      <c r="J74" s="5" t="s">
        <v>8</v>
      </c>
      <c r="K74" s="5" t="s">
        <v>130</v>
      </c>
      <c r="L74" s="9">
        <v>234.08824542040901</v>
      </c>
      <c r="M74" s="11" t="s">
        <v>7</v>
      </c>
      <c r="N74" s="13" t="s">
        <v>16</v>
      </c>
      <c r="O74" s="7">
        <v>1</v>
      </c>
      <c r="P74" s="16" t="s">
        <v>299</v>
      </c>
      <c r="T74" s="7"/>
    </row>
    <row r="75" spans="1:20" x14ac:dyDescent="0.25">
      <c r="A75" s="16" t="str">
        <f t="shared" si="0"/>
        <v>CUSTO DMA -JULIO SAMPAIO- JANEIRO 26</v>
      </c>
      <c r="B75" s="18">
        <v>46023</v>
      </c>
      <c r="C75" s="3">
        <v>817391</v>
      </c>
      <c r="D75" s="3" t="s">
        <v>490</v>
      </c>
      <c r="E75" s="14">
        <f t="shared" si="1"/>
        <v>-231.10192512040899</v>
      </c>
      <c r="F75" s="3" t="s">
        <v>366</v>
      </c>
      <c r="G75" s="18">
        <v>46023</v>
      </c>
      <c r="H75" s="19">
        <v>82759</v>
      </c>
      <c r="I75" s="3" t="str">
        <f>VLOOKUP(H75,'[1]Base de Clientes'!$B:$E,4,0)</f>
        <v>TRACK CAPITAL GESTAO DE RECURSOS LTDA</v>
      </c>
      <c r="J75" s="5" t="s">
        <v>8</v>
      </c>
      <c r="K75" s="5" t="s">
        <v>151</v>
      </c>
      <c r="L75" s="9">
        <v>231.10192512040899</v>
      </c>
      <c r="M75" s="11" t="s">
        <v>7</v>
      </c>
      <c r="N75" s="13" t="s">
        <v>16</v>
      </c>
      <c r="O75" s="7">
        <v>1</v>
      </c>
      <c r="P75" s="16" t="s">
        <v>321</v>
      </c>
      <c r="T75" s="7"/>
    </row>
    <row r="76" spans="1:20" x14ac:dyDescent="0.25">
      <c r="A76" s="16" t="str">
        <f t="shared" si="0"/>
        <v>CUSTO DMA -DANILO GALVAO- JANEIRO 26</v>
      </c>
      <c r="B76" s="18">
        <v>46023</v>
      </c>
      <c r="C76" s="3">
        <v>817391</v>
      </c>
      <c r="D76" s="3" t="s">
        <v>480</v>
      </c>
      <c r="E76" s="14">
        <f t="shared" si="1"/>
        <v>-1195.6339272704081</v>
      </c>
      <c r="F76" s="3" t="s">
        <v>366</v>
      </c>
      <c r="G76" s="18">
        <v>46023</v>
      </c>
      <c r="H76" s="19">
        <v>12402</v>
      </c>
      <c r="I76" s="3" t="str">
        <f>VLOOKUP(H76,'[1]Base de Clientes'!$B:$E,4,0)</f>
        <v>TRUXT INVESTIMENTOS LTDA</v>
      </c>
      <c r="J76" s="5" t="s">
        <v>8</v>
      </c>
      <c r="K76" s="5" t="s">
        <v>134</v>
      </c>
      <c r="L76" s="9">
        <v>1195.6339272704081</v>
      </c>
      <c r="M76" s="11" t="s">
        <v>7</v>
      </c>
      <c r="N76" s="13" t="s">
        <v>16</v>
      </c>
      <c r="O76" s="7">
        <v>1</v>
      </c>
      <c r="P76" s="16" t="s">
        <v>303</v>
      </c>
      <c r="T76" s="7"/>
    </row>
    <row r="77" spans="1:20" x14ac:dyDescent="0.25">
      <c r="A77" s="16" t="str">
        <f t="shared" si="0"/>
        <v>CUSTO DMA -ULISSES GORITO- JANEIRO 26</v>
      </c>
      <c r="B77" s="18">
        <v>46023</v>
      </c>
      <c r="C77" s="3">
        <v>817391</v>
      </c>
      <c r="D77" s="3" t="s">
        <v>488</v>
      </c>
      <c r="E77" s="14">
        <f t="shared" si="1"/>
        <v>-140.27614512040901</v>
      </c>
      <c r="F77" s="3" t="s">
        <v>366</v>
      </c>
      <c r="G77" s="18">
        <v>46023</v>
      </c>
      <c r="H77" s="19">
        <v>12402</v>
      </c>
      <c r="I77" s="3" t="str">
        <f>VLOOKUP(H77,'[1]Base de Clientes'!$B:$E,4,0)</f>
        <v>TRUXT INVESTIMENTOS LTDA</v>
      </c>
      <c r="J77" s="5" t="s">
        <v>8</v>
      </c>
      <c r="K77" s="5" t="s">
        <v>180</v>
      </c>
      <c r="L77" s="9">
        <v>140.27614512040901</v>
      </c>
      <c r="M77" s="11" t="s">
        <v>7</v>
      </c>
      <c r="N77" s="13" t="s">
        <v>16</v>
      </c>
      <c r="O77" s="7">
        <v>1</v>
      </c>
      <c r="P77" s="16" t="s">
        <v>353</v>
      </c>
      <c r="T77" s="7"/>
    </row>
    <row r="78" spans="1:20" x14ac:dyDescent="0.25">
      <c r="A78" s="16" t="str">
        <f t="shared" si="0"/>
        <v>CUSTO DMA -FABIO DANTAS- JANEIRO 26</v>
      </c>
      <c r="B78" s="18">
        <v>46023</v>
      </c>
      <c r="C78" s="3">
        <v>817391</v>
      </c>
      <c r="D78" s="3" t="s">
        <v>489</v>
      </c>
      <c r="E78" s="14">
        <f t="shared" si="1"/>
        <v>-275.81050568040911</v>
      </c>
      <c r="F78" s="3" t="s">
        <v>366</v>
      </c>
      <c r="G78" s="18">
        <v>46023</v>
      </c>
      <c r="H78" s="19">
        <v>125565</v>
      </c>
      <c r="I78" s="3" t="str">
        <f>VLOOKUP(H78,'[1]Base de Clientes'!$B:$E,4,0)</f>
        <v>V8 CAPITAL GESTAO DE INVESTIMENTOS LTDA</v>
      </c>
      <c r="J78" s="5" t="s">
        <v>8</v>
      </c>
      <c r="K78" s="5" t="s">
        <v>140</v>
      </c>
      <c r="L78" s="9">
        <v>275.81050568040911</v>
      </c>
      <c r="M78" s="11" t="s">
        <v>7</v>
      </c>
      <c r="N78" s="13" t="s">
        <v>16</v>
      </c>
      <c r="O78" s="7">
        <v>1</v>
      </c>
      <c r="P78" s="16" t="s">
        <v>309</v>
      </c>
      <c r="T78" s="7"/>
    </row>
    <row r="79" spans="1:20" x14ac:dyDescent="0.25">
      <c r="A79" s="16" t="str">
        <f t="shared" si="0"/>
        <v>CUSTO DMA -SERGIO CORDONI- JANEIRO 26</v>
      </c>
      <c r="B79" s="18">
        <v>46023</v>
      </c>
      <c r="C79" s="3">
        <v>817391</v>
      </c>
      <c r="D79" s="3" t="s">
        <v>489</v>
      </c>
      <c r="E79" s="14">
        <f t="shared" si="1"/>
        <v>-140.27614512040901</v>
      </c>
      <c r="F79" s="3" t="s">
        <v>366</v>
      </c>
      <c r="G79" s="18">
        <v>46023</v>
      </c>
      <c r="H79" s="19">
        <v>125565</v>
      </c>
      <c r="I79" s="3" t="str">
        <f>VLOOKUP(H79,'[1]Base de Clientes'!$B:$E,4,0)</f>
        <v>V8 CAPITAL GESTAO DE INVESTIMENTOS LTDA</v>
      </c>
      <c r="J79" s="5" t="s">
        <v>8</v>
      </c>
      <c r="K79" s="5" t="s">
        <v>172</v>
      </c>
      <c r="L79" s="9">
        <v>140.27614512040901</v>
      </c>
      <c r="M79" s="11" t="s">
        <v>7</v>
      </c>
      <c r="N79" s="13" t="s">
        <v>16</v>
      </c>
      <c r="O79" s="7">
        <v>1</v>
      </c>
      <c r="P79" s="16" t="s">
        <v>344</v>
      </c>
      <c r="T79" s="7"/>
    </row>
    <row r="80" spans="1:20" x14ac:dyDescent="0.25">
      <c r="A80" s="16" t="str">
        <f t="shared" si="0"/>
        <v>CUSTO DMA. -JOÃO CARUSO- JANEIRO 26</v>
      </c>
      <c r="B80" s="18">
        <v>46023</v>
      </c>
      <c r="C80" s="3">
        <v>817391</v>
      </c>
      <c r="D80" s="3" t="s">
        <v>470</v>
      </c>
      <c r="E80" s="14">
        <f t="shared" si="1"/>
        <v>-140.27614512040901</v>
      </c>
      <c r="F80" s="3" t="s">
        <v>366</v>
      </c>
      <c r="G80" s="18">
        <v>46023</v>
      </c>
      <c r="H80" s="19">
        <v>80359</v>
      </c>
      <c r="I80" s="3" t="str">
        <f>VLOOKUP(H80,'[1]Base de Clientes'!$B:$E,4,0)</f>
        <v>VINLAND CAPITAL MANAGEMENT GESTORA DE RECURSOS LTDA</v>
      </c>
      <c r="J80" s="5" t="s">
        <v>15</v>
      </c>
      <c r="K80" s="5" t="s">
        <v>92</v>
      </c>
      <c r="L80" s="9">
        <v>140.27614512040901</v>
      </c>
      <c r="M80" s="11" t="s">
        <v>7</v>
      </c>
      <c r="N80" s="13" t="s">
        <v>16</v>
      </c>
      <c r="O80" s="7">
        <v>1</v>
      </c>
      <c r="P80" s="16" t="s">
        <v>318</v>
      </c>
      <c r="T80" s="7"/>
    </row>
    <row r="81" spans="1:20" x14ac:dyDescent="0.25">
      <c r="A81" s="16" t="str">
        <f t="shared" si="0"/>
        <v>CUSTO DMA. -THIAGO ROLO- JANEIRO 26</v>
      </c>
      <c r="B81" s="18">
        <v>46023</v>
      </c>
      <c r="C81" s="3">
        <v>817391</v>
      </c>
      <c r="D81" s="3" t="s">
        <v>470</v>
      </c>
      <c r="E81" s="14">
        <f t="shared" si="1"/>
        <v>-140.27614512040901</v>
      </c>
      <c r="F81" s="3" t="s">
        <v>366</v>
      </c>
      <c r="G81" s="18">
        <v>46023</v>
      </c>
      <c r="H81" s="19">
        <v>80359</v>
      </c>
      <c r="I81" s="3" t="str">
        <f>VLOOKUP(H81,'[1]Base de Clientes'!$B:$E,4,0)</f>
        <v>VINLAND CAPITAL MANAGEMENT GESTORA DE RECURSOS LTDA</v>
      </c>
      <c r="J81" s="5" t="s">
        <v>15</v>
      </c>
      <c r="K81" s="5" t="s">
        <v>105</v>
      </c>
      <c r="L81" s="9">
        <v>140.27614512040901</v>
      </c>
      <c r="M81" s="11" t="s">
        <v>7</v>
      </c>
      <c r="N81" s="13" t="s">
        <v>16</v>
      </c>
      <c r="O81" s="7">
        <v>1</v>
      </c>
      <c r="P81" s="16" t="s">
        <v>350</v>
      </c>
      <c r="T81" s="7"/>
    </row>
    <row r="82" spans="1:20" x14ac:dyDescent="0.25">
      <c r="A82" s="16" t="str">
        <f t="shared" si="0"/>
        <v>CUSTO DMA. -VINICIO HUANG- JANEIRO 26</v>
      </c>
      <c r="B82" s="18">
        <v>46023</v>
      </c>
      <c r="C82" s="3">
        <v>817391</v>
      </c>
      <c r="D82" s="3" t="s">
        <v>470</v>
      </c>
      <c r="E82" s="14">
        <f t="shared" si="1"/>
        <v>-894.27243312040889</v>
      </c>
      <c r="F82" s="3" t="s">
        <v>366</v>
      </c>
      <c r="G82" s="18">
        <v>46023</v>
      </c>
      <c r="H82" s="19">
        <v>80359</v>
      </c>
      <c r="I82" s="3" t="str">
        <f>VLOOKUP(H82,'[1]Base de Clientes'!$B:$E,4,0)</f>
        <v>VINLAND CAPITAL MANAGEMENT GESTORA DE RECURSOS LTDA</v>
      </c>
      <c r="J82" s="5" t="s">
        <v>15</v>
      </c>
      <c r="K82" s="5" t="s">
        <v>107</v>
      </c>
      <c r="L82" s="9">
        <v>894.27243312040889</v>
      </c>
      <c r="M82" s="11" t="s">
        <v>7</v>
      </c>
      <c r="N82" s="13" t="s">
        <v>16</v>
      </c>
      <c r="O82" s="7">
        <v>1</v>
      </c>
      <c r="P82" s="16" t="s">
        <v>355</v>
      </c>
      <c r="T82" s="7"/>
    </row>
    <row r="83" spans="1:20" x14ac:dyDescent="0.25">
      <c r="A83" s="16" t="str">
        <f t="shared" si="0"/>
        <v>CUSTO DMA -BRUNO GUEDES- JANEIRO 26</v>
      </c>
      <c r="B83" s="18">
        <v>46023</v>
      </c>
      <c r="C83" s="3">
        <v>817391</v>
      </c>
      <c r="D83" s="3" t="s">
        <v>407</v>
      </c>
      <c r="E83" s="14">
        <f t="shared" si="1"/>
        <v>-325.41741000000002</v>
      </c>
      <c r="F83" s="3" t="s">
        <v>364</v>
      </c>
      <c r="G83" s="18">
        <v>46023</v>
      </c>
      <c r="H83" s="19">
        <v>15501</v>
      </c>
      <c r="I83" s="3" t="str">
        <f>VLOOKUP(H83,'[1]Base de Clientes'!$B:$E,4,0)</f>
        <v>BANCO BTG PACTUAL S/A</v>
      </c>
      <c r="J83" s="5" t="s">
        <v>8</v>
      </c>
      <c r="K83" s="5" t="s">
        <v>86</v>
      </c>
      <c r="L83" s="9">
        <v>325.41741000000002</v>
      </c>
      <c r="M83" s="11" t="s">
        <v>7</v>
      </c>
      <c r="N83" s="13" t="s">
        <v>16</v>
      </c>
      <c r="O83" s="7">
        <v>1</v>
      </c>
      <c r="P83" s="16" t="s">
        <v>255</v>
      </c>
      <c r="T83" s="7"/>
    </row>
    <row r="84" spans="1:20" x14ac:dyDescent="0.25">
      <c r="A84" s="16" t="str">
        <f t="shared" si="0"/>
        <v>CUSTO DMA -EDUARDO BRESSAN- JANEIRO 26</v>
      </c>
      <c r="B84" s="18">
        <v>46023</v>
      </c>
      <c r="C84" s="3">
        <v>817391</v>
      </c>
      <c r="D84" s="3" t="s">
        <v>471</v>
      </c>
      <c r="E84" s="14">
        <f t="shared" si="1"/>
        <v>-111.82545</v>
      </c>
      <c r="F84" s="3" t="s">
        <v>364</v>
      </c>
      <c r="G84" s="18">
        <v>46023</v>
      </c>
      <c r="H84" s="19">
        <v>15501</v>
      </c>
      <c r="I84" s="3" t="str">
        <f>VLOOKUP(H84,'[1]Base de Clientes'!$B:$E,4,0)</f>
        <v>BANCO BTG PACTUAL S/A</v>
      </c>
      <c r="J84" s="5" t="s">
        <v>8</v>
      </c>
      <c r="K84" s="5" t="s">
        <v>88</v>
      </c>
      <c r="L84" s="9">
        <v>111.82545</v>
      </c>
      <c r="M84" s="11" t="s">
        <v>7</v>
      </c>
      <c r="N84" s="13" t="s">
        <v>16</v>
      </c>
      <c r="O84" s="7">
        <v>1</v>
      </c>
      <c r="P84" s="16" t="s">
        <v>257</v>
      </c>
      <c r="T84" s="7"/>
    </row>
    <row r="85" spans="1:20" x14ac:dyDescent="0.25">
      <c r="A85" s="16" t="str">
        <f t="shared" si="0"/>
        <v>CUSTO DMA -FELIPE BEDIAGA- JANEIRO 26</v>
      </c>
      <c r="B85" s="18">
        <v>46023</v>
      </c>
      <c r="C85" s="3">
        <v>817391</v>
      </c>
      <c r="D85" s="3" t="s">
        <v>400</v>
      </c>
      <c r="E85" s="14">
        <f t="shared" si="1"/>
        <v>-1483.8006599999999</v>
      </c>
      <c r="F85" s="3" t="s">
        <v>364</v>
      </c>
      <c r="G85" s="18">
        <v>46023</v>
      </c>
      <c r="H85" s="19">
        <v>15501</v>
      </c>
      <c r="I85" s="3" t="str">
        <f>VLOOKUP(H85,'[1]Base de Clientes'!$B:$E,4,0)</f>
        <v>BANCO BTG PACTUAL S/A</v>
      </c>
      <c r="J85" s="5" t="s">
        <v>8</v>
      </c>
      <c r="K85" s="5" t="s">
        <v>89</v>
      </c>
      <c r="L85" s="9">
        <v>1483.8006599999999</v>
      </c>
      <c r="M85" s="11" t="s">
        <v>7</v>
      </c>
      <c r="N85" s="13" t="s">
        <v>16</v>
      </c>
      <c r="O85" s="7">
        <v>1</v>
      </c>
      <c r="P85" s="16" t="s">
        <v>258</v>
      </c>
      <c r="T85" s="7"/>
    </row>
    <row r="86" spans="1:20" x14ac:dyDescent="0.25">
      <c r="A86" s="16" t="str">
        <f t="shared" si="0"/>
        <v>CUSTO DMA -RICARDO CAIXETA- JANEIRO 26</v>
      </c>
      <c r="B86" s="18">
        <v>46023</v>
      </c>
      <c r="C86" s="3">
        <v>817391</v>
      </c>
      <c r="D86" s="3" t="s">
        <v>400</v>
      </c>
      <c r="E86" s="14">
        <f t="shared" si="1"/>
        <v>-503.781678</v>
      </c>
      <c r="F86" s="3" t="s">
        <v>364</v>
      </c>
      <c r="G86" s="18">
        <v>46023</v>
      </c>
      <c r="H86" s="19">
        <v>15501</v>
      </c>
      <c r="I86" s="3" t="str">
        <f>VLOOKUP(H86,'[1]Base de Clientes'!$B:$E,4,0)</f>
        <v>BANCO BTG PACTUAL S/A</v>
      </c>
      <c r="J86" s="5" t="s">
        <v>8</v>
      </c>
      <c r="K86" s="5" t="s">
        <v>102</v>
      </c>
      <c r="L86" s="9">
        <v>503.781678</v>
      </c>
      <c r="M86" s="11" t="s">
        <v>7</v>
      </c>
      <c r="N86" s="13" t="s">
        <v>16</v>
      </c>
      <c r="O86" s="7">
        <v>1</v>
      </c>
      <c r="P86" s="16" t="s">
        <v>271</v>
      </c>
      <c r="T86" s="7"/>
    </row>
    <row r="87" spans="1:20" x14ac:dyDescent="0.25">
      <c r="A87" s="16" t="str">
        <f t="shared" si="0"/>
        <v>CUSTO DMA -SERGIO ALMEIDA- JANEIRO 26</v>
      </c>
      <c r="B87" s="18">
        <v>46023</v>
      </c>
      <c r="C87" s="3">
        <v>817391</v>
      </c>
      <c r="D87" s="3" t="s">
        <v>406</v>
      </c>
      <c r="E87" s="14">
        <f t="shared" si="1"/>
        <v>-286.65303750000004</v>
      </c>
      <c r="F87" s="3" t="s">
        <v>364</v>
      </c>
      <c r="G87" s="18">
        <v>46023</v>
      </c>
      <c r="H87" s="19">
        <v>15501</v>
      </c>
      <c r="I87" s="3" t="str">
        <f>VLOOKUP(H87,'[1]Base de Clientes'!$B:$E,4,0)</f>
        <v>BANCO BTG PACTUAL S/A</v>
      </c>
      <c r="J87" s="5" t="s">
        <v>8</v>
      </c>
      <c r="K87" s="5" t="s">
        <v>103</v>
      </c>
      <c r="L87" s="9">
        <v>573.30607500000008</v>
      </c>
      <c r="M87" s="11" t="s">
        <v>7</v>
      </c>
      <c r="N87" s="13" t="s">
        <v>16</v>
      </c>
      <c r="O87" s="7">
        <v>0.5</v>
      </c>
      <c r="P87" s="16" t="s">
        <v>272</v>
      </c>
      <c r="T87" s="7"/>
    </row>
    <row r="88" spans="1:20" x14ac:dyDescent="0.25">
      <c r="A88" s="16" t="str">
        <f t="shared" ref="A88" si="17">CONCATENATE(J88,M88,K88,M88,N88)</f>
        <v>CUSTO DMA -SERGIO ALMEIDA- JANEIRO 26</v>
      </c>
      <c r="B88" s="18">
        <v>46023</v>
      </c>
      <c r="C88" s="3">
        <v>817391</v>
      </c>
      <c r="D88" s="3" t="s">
        <v>407</v>
      </c>
      <c r="E88" s="14">
        <f t="shared" ref="E88" si="18">-L88*O88</f>
        <v>-286.65303750000004</v>
      </c>
      <c r="F88" s="3" t="s">
        <v>364</v>
      </c>
      <c r="G88" s="18">
        <v>46023</v>
      </c>
      <c r="H88" s="19">
        <v>15501</v>
      </c>
      <c r="I88" s="3" t="str">
        <f>VLOOKUP(H88,'[1]Base de Clientes'!$B:$E,4,0)</f>
        <v>BANCO BTG PACTUAL S/A</v>
      </c>
      <c r="J88" s="5" t="s">
        <v>8</v>
      </c>
      <c r="K88" s="5" t="s">
        <v>103</v>
      </c>
      <c r="L88" s="9">
        <v>573.30607500000008</v>
      </c>
      <c r="M88" s="11" t="s">
        <v>7</v>
      </c>
      <c r="N88" s="13" t="s">
        <v>16</v>
      </c>
      <c r="O88" s="7">
        <v>0.5</v>
      </c>
      <c r="P88" s="16" t="s">
        <v>272</v>
      </c>
      <c r="T88" s="7"/>
    </row>
    <row r="89" spans="1:20" x14ac:dyDescent="0.25">
      <c r="A89" s="16" t="str">
        <f t="shared" si="0"/>
        <v>CUSTO DMA -VINICIUS CARVALHO- JANEIRO 26</v>
      </c>
      <c r="B89" s="18">
        <v>46023</v>
      </c>
      <c r="C89" s="3">
        <v>817391</v>
      </c>
      <c r="D89" s="3" t="s">
        <v>406</v>
      </c>
      <c r="E89" s="14">
        <f t="shared" si="1"/>
        <v>-111.82545</v>
      </c>
      <c r="F89" s="3" t="s">
        <v>364</v>
      </c>
      <c r="G89" s="18">
        <v>46023</v>
      </c>
      <c r="H89" s="19">
        <v>15501</v>
      </c>
      <c r="I89" s="3" t="str">
        <f>VLOOKUP(H89,'[1]Base de Clientes'!$B:$E,4,0)</f>
        <v>BANCO BTG PACTUAL S/A</v>
      </c>
      <c r="J89" s="5" t="s">
        <v>8</v>
      </c>
      <c r="K89" s="5" t="s">
        <v>108</v>
      </c>
      <c r="L89" s="9">
        <v>111.82545</v>
      </c>
      <c r="M89" s="11" t="s">
        <v>7</v>
      </c>
      <c r="N89" s="13" t="s">
        <v>16</v>
      </c>
      <c r="O89" s="7">
        <v>1</v>
      </c>
      <c r="P89" s="16" t="s">
        <v>277</v>
      </c>
      <c r="T89" s="7"/>
    </row>
    <row r="90" spans="1:20" x14ac:dyDescent="0.25">
      <c r="A90" s="16" t="str">
        <f t="shared" si="0"/>
        <v>CUSTO DMA -WELLINGTON DIAS PEREIRA- JANEIRO 26</v>
      </c>
      <c r="B90" s="18">
        <v>46023</v>
      </c>
      <c r="C90" s="3">
        <v>817391</v>
      </c>
      <c r="D90" s="3" t="s">
        <v>471</v>
      </c>
      <c r="E90" s="14">
        <f t="shared" si="1"/>
        <v>-111.82545</v>
      </c>
      <c r="F90" s="3" t="s">
        <v>364</v>
      </c>
      <c r="G90" s="18">
        <v>46023</v>
      </c>
      <c r="H90" s="19">
        <v>15501</v>
      </c>
      <c r="I90" s="3" t="str">
        <f>VLOOKUP(H90,'[1]Base de Clientes'!$B:$E,4,0)</f>
        <v>BANCO BTG PACTUAL S/A</v>
      </c>
      <c r="J90" s="5" t="s">
        <v>8</v>
      </c>
      <c r="K90" s="5" t="s">
        <v>110</v>
      </c>
      <c r="L90" s="9">
        <v>111.82545</v>
      </c>
      <c r="M90" s="11" t="s">
        <v>7</v>
      </c>
      <c r="N90" s="13" t="s">
        <v>16</v>
      </c>
      <c r="O90" s="7">
        <v>1</v>
      </c>
      <c r="P90" s="16" t="s">
        <v>279</v>
      </c>
      <c r="T90" s="7"/>
    </row>
    <row r="91" spans="1:20" x14ac:dyDescent="0.25">
      <c r="A91" s="16" t="str">
        <f t="shared" ref="A91" si="19">CONCATENATE(J91,M91,K91,M91,N91)</f>
        <v>CUSTO DMA -RONAN BOTELHO- JANEIRO 26</v>
      </c>
      <c r="B91" s="18">
        <v>46023</v>
      </c>
      <c r="C91" s="3">
        <v>817391</v>
      </c>
      <c r="D91" s="3" t="s">
        <v>481</v>
      </c>
      <c r="E91" s="14">
        <f t="shared" ref="E91" si="20">-L91*O91</f>
        <v>-111.82545</v>
      </c>
      <c r="F91" s="3" t="s">
        <v>364</v>
      </c>
      <c r="G91" s="18">
        <v>46023</v>
      </c>
      <c r="H91" s="19">
        <v>83000</v>
      </c>
      <c r="I91" s="3" t="str">
        <f>VLOOKUP(H91,'[1]Base de Clientes'!$B:$E,4,0)</f>
        <v>BRM CARBYNE GESTAO DE RECURSOS S/A</v>
      </c>
      <c r="J91" s="5" t="s">
        <v>8</v>
      </c>
      <c r="K91" s="5" t="s">
        <v>85</v>
      </c>
      <c r="L91" s="9">
        <v>111.82545</v>
      </c>
      <c r="M91" s="11" t="s">
        <v>7</v>
      </c>
      <c r="N91" s="13" t="s">
        <v>16</v>
      </c>
      <c r="O91" s="7">
        <v>1</v>
      </c>
      <c r="P91" s="3" t="s">
        <v>254</v>
      </c>
      <c r="T91" s="7"/>
    </row>
    <row r="92" spans="1:20" x14ac:dyDescent="0.25">
      <c r="A92" s="16" t="str">
        <f t="shared" ref="A92" si="21">CONCATENATE(J92,M92,K92,M92,N92)</f>
        <v>CUSTO DMA -BARNEY SILVA- JANEIRO 26</v>
      </c>
      <c r="B92" s="18">
        <v>46023</v>
      </c>
      <c r="C92" s="3">
        <v>817391</v>
      </c>
      <c r="D92" s="3" t="s">
        <v>405</v>
      </c>
      <c r="E92" s="14">
        <f t="shared" ref="E92" si="22">-L92*O92</f>
        <v>-2194.2882045000001</v>
      </c>
      <c r="F92" s="3" t="s">
        <v>364</v>
      </c>
      <c r="G92" s="18">
        <v>46023</v>
      </c>
      <c r="H92" s="19">
        <v>83000</v>
      </c>
      <c r="I92" s="3" t="str">
        <f>VLOOKUP(H92,'[1]Base de Clientes'!$B:$E,4,0)</f>
        <v>BRM CARBYNE GESTAO DE RECURSOS S/A</v>
      </c>
      <c r="J92" s="5" t="s">
        <v>8</v>
      </c>
      <c r="K92" s="5" t="s">
        <v>104</v>
      </c>
      <c r="L92" s="9">
        <v>4388.5764090000002</v>
      </c>
      <c r="M92" s="11" t="s">
        <v>7</v>
      </c>
      <c r="N92" s="13" t="s">
        <v>16</v>
      </c>
      <c r="O92" s="7">
        <v>0.5</v>
      </c>
      <c r="P92" s="3" t="s">
        <v>273</v>
      </c>
      <c r="T92" s="7"/>
    </row>
    <row r="93" spans="1:20" x14ac:dyDescent="0.25">
      <c r="A93" s="16" t="str">
        <f t="shared" si="0"/>
        <v>CUSTO DMA -BARNEY SILVA- JANEIRO 26</v>
      </c>
      <c r="B93" s="18">
        <v>46023</v>
      </c>
      <c r="C93" s="3">
        <v>817391</v>
      </c>
      <c r="D93" s="3" t="s">
        <v>481</v>
      </c>
      <c r="E93" s="14">
        <f t="shared" ref="E93:E158" si="23">-L93*O93</f>
        <v>-2194.2882045000001</v>
      </c>
      <c r="F93" s="3" t="s">
        <v>364</v>
      </c>
      <c r="G93" s="18">
        <v>46023</v>
      </c>
      <c r="H93" s="19">
        <v>83000</v>
      </c>
      <c r="I93" s="3" t="str">
        <f>VLOOKUP(H93,'[1]Base de Clientes'!$B:$E,4,0)</f>
        <v>BRM CARBYNE GESTAO DE RECURSOS S/A</v>
      </c>
      <c r="J93" s="5" t="s">
        <v>8</v>
      </c>
      <c r="K93" s="5" t="s">
        <v>104</v>
      </c>
      <c r="L93" s="9">
        <v>4388.5764090000002</v>
      </c>
      <c r="M93" s="11" t="s">
        <v>7</v>
      </c>
      <c r="N93" s="13" t="s">
        <v>16</v>
      </c>
      <c r="O93" s="7">
        <v>0.5</v>
      </c>
      <c r="P93" s="3" t="s">
        <v>273</v>
      </c>
      <c r="T93" s="7"/>
    </row>
    <row r="94" spans="1:20" x14ac:dyDescent="0.25">
      <c r="A94" s="16" t="str">
        <f t="shared" ref="A94" si="24">CONCATENATE(J94,M94,K94,M94,N94)</f>
        <v>CUSTO DMA -LEO VAINZOF- JANEIRO 26</v>
      </c>
      <c r="B94" s="18">
        <v>46023</v>
      </c>
      <c r="C94" s="3">
        <v>817391</v>
      </c>
      <c r="D94" s="3" t="s">
        <v>406</v>
      </c>
      <c r="E94" s="14">
        <f t="shared" si="23"/>
        <v>-55.912725000000002</v>
      </c>
      <c r="F94" s="3" t="s">
        <v>364</v>
      </c>
      <c r="G94" s="18">
        <v>46023</v>
      </c>
      <c r="H94" s="19">
        <v>15501</v>
      </c>
      <c r="I94" s="3" t="str">
        <f>VLOOKUP(H94,'[1]Base de Clientes'!$B:$E,4,0)</f>
        <v>BANCO BTG PACTUAL S/A</v>
      </c>
      <c r="J94" s="5" t="s">
        <v>8</v>
      </c>
      <c r="K94" s="5" t="s">
        <v>93</v>
      </c>
      <c r="L94" s="9">
        <v>111.82545</v>
      </c>
      <c r="M94" s="11" t="s">
        <v>7</v>
      </c>
      <c r="N94" s="13" t="s">
        <v>16</v>
      </c>
      <c r="O94" s="7">
        <v>0.5</v>
      </c>
      <c r="P94" s="3" t="s">
        <v>262</v>
      </c>
      <c r="T94" s="7"/>
    </row>
    <row r="95" spans="1:20" x14ac:dyDescent="0.25">
      <c r="A95" s="16" t="str">
        <f t="shared" ref="A95" si="25">CONCATENATE(J95,M95,K95,M95,N95)</f>
        <v>CUSTO DMA -LEO VAINZOF- JANEIRO 26</v>
      </c>
      <c r="B95" s="18">
        <v>46023</v>
      </c>
      <c r="C95" s="3">
        <v>817391</v>
      </c>
      <c r="D95" s="3" t="s">
        <v>407</v>
      </c>
      <c r="E95" s="14">
        <f t="shared" ref="E95" si="26">-L95*O95</f>
        <v>-55.912725000000002</v>
      </c>
      <c r="F95" s="3" t="s">
        <v>364</v>
      </c>
      <c r="G95" s="18">
        <v>46023</v>
      </c>
      <c r="H95" s="19">
        <v>15501</v>
      </c>
      <c r="I95" s="3" t="str">
        <f>VLOOKUP(H95,'[1]Base de Clientes'!$B:$E,4,0)</f>
        <v>BANCO BTG PACTUAL S/A</v>
      </c>
      <c r="J95" s="5" t="s">
        <v>8</v>
      </c>
      <c r="K95" s="5" t="s">
        <v>93</v>
      </c>
      <c r="L95" s="9">
        <v>111.82545</v>
      </c>
      <c r="M95" s="11" t="s">
        <v>7</v>
      </c>
      <c r="N95" s="13" t="s">
        <v>16</v>
      </c>
      <c r="O95" s="7">
        <v>0.5</v>
      </c>
      <c r="P95" s="3" t="s">
        <v>262</v>
      </c>
      <c r="T95" s="7"/>
    </row>
    <row r="96" spans="1:20" x14ac:dyDescent="0.25">
      <c r="A96" s="16" t="str">
        <f t="shared" si="0"/>
        <v>CUSTO DMA -DANIEL MOTTA CAMARGO- JANEIRO 26</v>
      </c>
      <c r="B96" s="18">
        <v>46023</v>
      </c>
      <c r="C96" s="3">
        <v>817391</v>
      </c>
      <c r="D96" s="3" t="s">
        <v>402</v>
      </c>
      <c r="E96" s="14">
        <f t="shared" si="23"/>
        <v>-4518.9252900000001</v>
      </c>
      <c r="F96" s="3" t="s">
        <v>364</v>
      </c>
      <c r="G96" s="18">
        <v>46023</v>
      </c>
      <c r="H96" s="19">
        <v>15501</v>
      </c>
      <c r="I96" s="3" t="str">
        <f>VLOOKUP(H96,'[1]Base de Clientes'!$B:$E,4,0)</f>
        <v>BANCO BTG PACTUAL S/A</v>
      </c>
      <c r="J96" s="5" t="s">
        <v>8</v>
      </c>
      <c r="K96" s="5" t="s">
        <v>87</v>
      </c>
      <c r="L96" s="9">
        <v>4518.9252900000001</v>
      </c>
      <c r="M96" s="11" t="s">
        <v>7</v>
      </c>
      <c r="N96" s="13" t="s">
        <v>16</v>
      </c>
      <c r="O96" s="7">
        <v>1</v>
      </c>
      <c r="P96" s="3" t="s">
        <v>256</v>
      </c>
      <c r="T96" s="7"/>
    </row>
    <row r="97" spans="1:20" x14ac:dyDescent="0.25">
      <c r="A97" s="16" t="str">
        <f t="shared" si="0"/>
        <v>CUSTO DMA -IVAN KRAISER- JANEIRO 26</v>
      </c>
      <c r="B97" s="18">
        <v>46023</v>
      </c>
      <c r="C97" s="3">
        <v>817391</v>
      </c>
      <c r="D97" s="3" t="s">
        <v>484</v>
      </c>
      <c r="E97" s="14">
        <f t="shared" si="23"/>
        <v>-181.681578</v>
      </c>
      <c r="F97" s="3" t="s">
        <v>364</v>
      </c>
      <c r="G97" s="18">
        <v>46023</v>
      </c>
      <c r="H97" s="19">
        <v>82812</v>
      </c>
      <c r="I97" s="3" t="str">
        <f>VLOOKUP(H97,'[1]Base de Clientes'!$B:$E,4,0)</f>
        <v>GARIN INVESTIMENTOS LTDA</v>
      </c>
      <c r="J97" s="5" t="s">
        <v>8</v>
      </c>
      <c r="K97" s="5" t="s">
        <v>90</v>
      </c>
      <c r="L97" s="9">
        <v>181.681578</v>
      </c>
      <c r="M97" s="11" t="s">
        <v>7</v>
      </c>
      <c r="N97" s="13" t="s">
        <v>16</v>
      </c>
      <c r="O97" s="7">
        <v>1</v>
      </c>
      <c r="P97" s="3" t="s">
        <v>259</v>
      </c>
      <c r="T97" s="7"/>
    </row>
    <row r="98" spans="1:20" x14ac:dyDescent="0.25">
      <c r="A98" s="16" t="str">
        <f t="shared" si="0"/>
        <v>CUSTO DMA -WILLIAM LEITE- JANEIRO 26</v>
      </c>
      <c r="B98" s="18">
        <v>46023</v>
      </c>
      <c r="C98" s="3">
        <v>817391</v>
      </c>
      <c r="D98" s="3" t="s">
        <v>398</v>
      </c>
      <c r="E98" s="14">
        <f t="shared" si="23"/>
        <v>-2315.3753699999997</v>
      </c>
      <c r="F98" s="3" t="s">
        <v>364</v>
      </c>
      <c r="G98" s="18">
        <v>46023</v>
      </c>
      <c r="H98" s="19">
        <v>12296</v>
      </c>
      <c r="I98" s="3" t="str">
        <f>VLOOKUP(H98,'[1]Base de Clientes'!$B:$E,4,0)</f>
        <v>PATRIA INVESTIMENTOS LTDA</v>
      </c>
      <c r="J98" s="5" t="s">
        <v>8</v>
      </c>
      <c r="K98" s="5" t="s">
        <v>111</v>
      </c>
      <c r="L98" s="9">
        <v>2315.3753699999997</v>
      </c>
      <c r="M98" s="11" t="s">
        <v>7</v>
      </c>
      <c r="N98" s="13" t="s">
        <v>16</v>
      </c>
      <c r="O98" s="7">
        <v>1</v>
      </c>
      <c r="P98" s="3" t="s">
        <v>280</v>
      </c>
      <c r="T98" s="7"/>
    </row>
    <row r="99" spans="1:20" x14ac:dyDescent="0.25">
      <c r="A99" s="16" t="str">
        <f t="shared" si="0"/>
        <v>CUSTO DMA -LEONARDO GARROUX- JANEIRO 26</v>
      </c>
      <c r="B99" s="18">
        <v>46023</v>
      </c>
      <c r="C99" s="3">
        <v>817391</v>
      </c>
      <c r="D99" s="3" t="s">
        <v>472</v>
      </c>
      <c r="E99" s="14">
        <f t="shared" si="23"/>
        <v>-111.82545</v>
      </c>
      <c r="F99" s="3" t="s">
        <v>364</v>
      </c>
      <c r="G99" s="18">
        <v>46023</v>
      </c>
      <c r="H99" s="19">
        <v>81438</v>
      </c>
      <c r="I99" s="3" t="str">
        <f>VLOOKUP(H99,'[1]Base de Clientes'!$B:$E,4,0)</f>
        <v>PORTO SEGURO INVESTIMENTOS LTDA</v>
      </c>
      <c r="J99" s="5" t="s">
        <v>8</v>
      </c>
      <c r="K99" s="5" t="s">
        <v>94</v>
      </c>
      <c r="L99" s="9">
        <v>111.82545</v>
      </c>
      <c r="M99" s="11" t="s">
        <v>7</v>
      </c>
      <c r="N99" s="13" t="s">
        <v>16</v>
      </c>
      <c r="O99" s="7">
        <v>1</v>
      </c>
      <c r="P99" s="3" t="s">
        <v>263</v>
      </c>
      <c r="T99" s="7"/>
    </row>
    <row r="100" spans="1:20" x14ac:dyDescent="0.25">
      <c r="A100" s="16" t="str">
        <f t="shared" si="0"/>
        <v>CUSTO DMA -LEONARDO NAKAJIMA- JANEIRO 26</v>
      </c>
      <c r="B100" s="18">
        <v>46023</v>
      </c>
      <c r="C100" s="3">
        <v>817391</v>
      </c>
      <c r="D100" s="3" t="s">
        <v>472</v>
      </c>
      <c r="E100" s="14">
        <f t="shared" si="23"/>
        <v>-111.82545</v>
      </c>
      <c r="F100" s="3" t="s">
        <v>364</v>
      </c>
      <c r="G100" s="18">
        <v>46023</v>
      </c>
      <c r="H100" s="19">
        <v>81438</v>
      </c>
      <c r="I100" s="3" t="str">
        <f>VLOOKUP(H100,'[1]Base de Clientes'!$B:$E,4,0)</f>
        <v>PORTO SEGURO INVESTIMENTOS LTDA</v>
      </c>
      <c r="J100" s="5" t="s">
        <v>8</v>
      </c>
      <c r="K100" s="5" t="s">
        <v>95</v>
      </c>
      <c r="L100" s="9">
        <v>111.82545</v>
      </c>
      <c r="M100" s="11" t="s">
        <v>7</v>
      </c>
      <c r="N100" s="13" t="s">
        <v>16</v>
      </c>
      <c r="O100" s="7">
        <v>1</v>
      </c>
      <c r="P100" s="3" t="s">
        <v>264</v>
      </c>
      <c r="T100" s="7"/>
    </row>
    <row r="101" spans="1:20" x14ac:dyDescent="0.25">
      <c r="A101" s="16" t="str">
        <f t="shared" si="0"/>
        <v>CUSTO DMA -REINALDO URBANO- JANEIRO 26</v>
      </c>
      <c r="B101" s="18">
        <v>46023</v>
      </c>
      <c r="C101" s="3">
        <v>817391</v>
      </c>
      <c r="D101" s="3" t="s">
        <v>472</v>
      </c>
      <c r="E101" s="14">
        <f t="shared" si="23"/>
        <v>-111.82545</v>
      </c>
      <c r="F101" s="3" t="s">
        <v>364</v>
      </c>
      <c r="G101" s="18">
        <v>46023</v>
      </c>
      <c r="H101" s="19">
        <v>81438</v>
      </c>
      <c r="I101" s="3" t="str">
        <f>VLOOKUP(H101,'[1]Base de Clientes'!$B:$E,4,0)</f>
        <v>PORTO SEGURO INVESTIMENTOS LTDA</v>
      </c>
      <c r="J101" s="5" t="s">
        <v>8</v>
      </c>
      <c r="K101" s="5" t="s">
        <v>101</v>
      </c>
      <c r="L101" s="9">
        <v>111.82545</v>
      </c>
      <c r="M101" s="11" t="s">
        <v>7</v>
      </c>
      <c r="N101" s="13" t="s">
        <v>16</v>
      </c>
      <c r="O101" s="7">
        <v>1</v>
      </c>
      <c r="P101" s="3" t="s">
        <v>270</v>
      </c>
      <c r="T101" s="7"/>
    </row>
    <row r="102" spans="1:20" x14ac:dyDescent="0.25">
      <c r="A102" s="16" t="str">
        <f t="shared" si="0"/>
        <v>CUSTO DMA -TOMAS PEREIRA- JANEIRO 26</v>
      </c>
      <c r="B102" s="18">
        <v>46023</v>
      </c>
      <c r="C102" s="3">
        <v>817391</v>
      </c>
      <c r="D102" s="3" t="s">
        <v>472</v>
      </c>
      <c r="E102" s="14">
        <f t="shared" si="23"/>
        <v>-111.82545</v>
      </c>
      <c r="F102" s="3" t="s">
        <v>364</v>
      </c>
      <c r="G102" s="18">
        <v>46023</v>
      </c>
      <c r="H102" s="19">
        <v>81438</v>
      </c>
      <c r="I102" s="3" t="str">
        <f>VLOOKUP(H102,'[1]Base de Clientes'!$B:$E,4,0)</f>
        <v>PORTO SEGURO INVESTIMENTOS LTDA</v>
      </c>
      <c r="J102" s="5" t="s">
        <v>8</v>
      </c>
      <c r="K102" s="5" t="s">
        <v>106</v>
      </c>
      <c r="L102" s="9">
        <v>111.82545</v>
      </c>
      <c r="M102" s="11" t="s">
        <v>7</v>
      </c>
      <c r="N102" s="13" t="s">
        <v>16</v>
      </c>
      <c r="O102" s="7">
        <v>1</v>
      </c>
      <c r="P102" s="3" t="s">
        <v>275</v>
      </c>
      <c r="T102" s="7"/>
    </row>
    <row r="103" spans="1:20" x14ac:dyDescent="0.25">
      <c r="A103" s="16" t="str">
        <f t="shared" si="0"/>
        <v>CUSTO DMA -MATHEUS SOUZA- JANEIRO 26</v>
      </c>
      <c r="B103" s="18">
        <v>46023</v>
      </c>
      <c r="C103" s="3">
        <v>817391</v>
      </c>
      <c r="D103" s="3" t="s">
        <v>470</v>
      </c>
      <c r="E103" s="14">
        <f t="shared" si="23"/>
        <v>-111.82545</v>
      </c>
      <c r="F103" s="3" t="s">
        <v>364</v>
      </c>
      <c r="G103" s="18">
        <v>46023</v>
      </c>
      <c r="H103" s="19">
        <v>81710</v>
      </c>
      <c r="I103" s="3" t="str">
        <f>VLOOKUP(H103,'[1]Base de Clientes'!$B:$E,4,0)</f>
        <v>RYO GESTAO DE RECURSOS LTDA</v>
      </c>
      <c r="J103" s="5" t="s">
        <v>8</v>
      </c>
      <c r="K103" s="5" t="s">
        <v>100</v>
      </c>
      <c r="L103" s="9">
        <v>111.82545</v>
      </c>
      <c r="M103" s="11" t="s">
        <v>7</v>
      </c>
      <c r="N103" s="13" t="s">
        <v>16</v>
      </c>
      <c r="O103" s="7">
        <v>1</v>
      </c>
      <c r="P103" s="3" t="s">
        <v>269</v>
      </c>
      <c r="T103" s="7"/>
    </row>
    <row r="104" spans="1:20" x14ac:dyDescent="0.25">
      <c r="A104" s="16" t="str">
        <f t="shared" ref="A104" si="27">CONCATENATE(J104,M104,K104,M104,N104)</f>
        <v>CUSTO DMA -MARCEL YAGUI- JANEIRO 26</v>
      </c>
      <c r="B104" s="18">
        <v>46023</v>
      </c>
      <c r="C104" s="3">
        <v>817391</v>
      </c>
      <c r="D104" s="3" t="s">
        <v>404</v>
      </c>
      <c r="E104" s="14">
        <f t="shared" si="23"/>
        <v>-111.82545</v>
      </c>
      <c r="F104" s="3" t="s">
        <v>364</v>
      </c>
      <c r="G104" s="18">
        <v>46023</v>
      </c>
      <c r="H104" s="19">
        <v>82639</v>
      </c>
      <c r="I104" s="3" t="str">
        <f>VLOOKUP(H104,'[1]Base de Clientes'!$B:$E,4,0)</f>
        <v>SAFRA ASSET MANAGEMENT LTDA</v>
      </c>
      <c r="J104" s="5" t="s">
        <v>8</v>
      </c>
      <c r="K104" s="5" t="s">
        <v>97</v>
      </c>
      <c r="L104" s="9">
        <v>111.82545</v>
      </c>
      <c r="M104" s="11" t="s">
        <v>7</v>
      </c>
      <c r="N104" s="13" t="s">
        <v>16</v>
      </c>
      <c r="O104" s="7">
        <v>1</v>
      </c>
      <c r="P104" s="3" t="s">
        <v>266</v>
      </c>
      <c r="T104" s="7"/>
    </row>
    <row r="105" spans="1:20" x14ac:dyDescent="0.25">
      <c r="A105" s="16" t="str">
        <f t="shared" si="0"/>
        <v>CUSTO DMA -VITOR ANGELIS- JANEIRO 26</v>
      </c>
      <c r="B105" s="18">
        <v>46023</v>
      </c>
      <c r="C105" s="3">
        <v>817391</v>
      </c>
      <c r="D105" s="3" t="s">
        <v>404</v>
      </c>
      <c r="E105" s="14">
        <f t="shared" si="23"/>
        <v>-111.82545</v>
      </c>
      <c r="F105" s="3" t="s">
        <v>364</v>
      </c>
      <c r="G105" s="18">
        <v>46023</v>
      </c>
      <c r="H105" s="19">
        <v>82639</v>
      </c>
      <c r="I105" s="3" t="str">
        <f>VLOOKUP(H105,'[1]Base de Clientes'!$B:$E,4,0)</f>
        <v>SAFRA ASSET MANAGEMENT LTDA</v>
      </c>
      <c r="J105" s="5" t="s">
        <v>8</v>
      </c>
      <c r="K105" s="5" t="s">
        <v>109</v>
      </c>
      <c r="L105" s="9">
        <v>111.82545</v>
      </c>
      <c r="M105" s="11" t="s">
        <v>7</v>
      </c>
      <c r="N105" s="13" t="s">
        <v>16</v>
      </c>
      <c r="O105" s="7">
        <v>1</v>
      </c>
      <c r="P105" s="3" t="s">
        <v>278</v>
      </c>
      <c r="T105" s="7"/>
    </row>
    <row r="106" spans="1:20" x14ac:dyDescent="0.25">
      <c r="A106" s="16" t="str">
        <f t="shared" si="0"/>
        <v>CUSTO DMA -MARCELO IDE- JANEIRO 26</v>
      </c>
      <c r="B106" s="18">
        <v>46023</v>
      </c>
      <c r="C106" s="3">
        <v>817391</v>
      </c>
      <c r="D106" s="3" t="s">
        <v>411</v>
      </c>
      <c r="E106" s="14">
        <f t="shared" si="23"/>
        <v>-111.82545</v>
      </c>
      <c r="F106" s="3" t="s">
        <v>364</v>
      </c>
      <c r="G106" s="18">
        <v>46023</v>
      </c>
      <c r="H106" s="19">
        <v>80856</v>
      </c>
      <c r="I106" s="3" t="str">
        <f>VLOOKUP(H106,'[1]Base de Clientes'!$B:$E,4,0)</f>
        <v>SCHRODER INVESTMENT MANAGEMENT BRASIL LTDA</v>
      </c>
      <c r="J106" s="5" t="s">
        <v>8</v>
      </c>
      <c r="K106" s="5" t="s">
        <v>98</v>
      </c>
      <c r="L106" s="9">
        <v>111.82545</v>
      </c>
      <c r="M106" s="11" t="s">
        <v>7</v>
      </c>
      <c r="N106" s="13" t="s">
        <v>16</v>
      </c>
      <c r="O106" s="7">
        <v>1</v>
      </c>
      <c r="P106" s="3" t="s">
        <v>267</v>
      </c>
      <c r="T106" s="7"/>
    </row>
    <row r="107" spans="1:20" x14ac:dyDescent="0.25">
      <c r="A107" s="16" t="str">
        <f t="shared" si="0"/>
        <v>CUSTO DMA -ANDRÉ CALDAS- JANEIRO 26</v>
      </c>
      <c r="B107" s="18">
        <v>46023</v>
      </c>
      <c r="C107" s="3">
        <v>817391</v>
      </c>
      <c r="D107" s="3" t="s">
        <v>397</v>
      </c>
      <c r="E107" s="14">
        <f t="shared" si="23"/>
        <v>-111.82545</v>
      </c>
      <c r="F107" s="3" t="s">
        <v>364</v>
      </c>
      <c r="G107" s="18">
        <v>46023</v>
      </c>
      <c r="H107" s="19">
        <v>82748</v>
      </c>
      <c r="I107" s="3" t="str">
        <f>VLOOKUP(H107,'[1]Base de Clientes'!$B:$E,4,0)</f>
        <v>SPRINGS CAPITAL LTDA</v>
      </c>
      <c r="J107" s="5" t="s">
        <v>8</v>
      </c>
      <c r="K107" s="5" t="s">
        <v>84</v>
      </c>
      <c r="L107" s="9">
        <v>111.82545</v>
      </c>
      <c r="M107" s="11" t="s">
        <v>7</v>
      </c>
      <c r="N107" s="13" t="s">
        <v>16</v>
      </c>
      <c r="O107" s="7">
        <v>1</v>
      </c>
      <c r="P107" s="3" t="s">
        <v>253</v>
      </c>
      <c r="T107" s="7"/>
    </row>
    <row r="108" spans="1:20" x14ac:dyDescent="0.25">
      <c r="A108" s="16" t="str">
        <f t="shared" si="0"/>
        <v>CUSTO DMA -MATHEUS EFRAIN- JANEIRO 26</v>
      </c>
      <c r="B108" s="18">
        <v>46023</v>
      </c>
      <c r="C108" s="3">
        <v>817391</v>
      </c>
      <c r="D108" s="3" t="s">
        <v>397</v>
      </c>
      <c r="E108" s="14">
        <f t="shared" si="23"/>
        <v>-419.220610335</v>
      </c>
      <c r="F108" s="3" t="s">
        <v>364</v>
      </c>
      <c r="G108" s="18">
        <v>46023</v>
      </c>
      <c r="H108" s="19">
        <v>82748</v>
      </c>
      <c r="I108" s="3" t="str">
        <f>VLOOKUP(H108,'[1]Base de Clientes'!$B:$E,4,0)</f>
        <v>SPRINGS CAPITAL LTDA</v>
      </c>
      <c r="J108" s="5" t="s">
        <v>8</v>
      </c>
      <c r="K108" s="5" t="s">
        <v>99</v>
      </c>
      <c r="L108" s="9">
        <v>419.220610335</v>
      </c>
      <c r="M108" s="11" t="s">
        <v>7</v>
      </c>
      <c r="N108" s="13" t="s">
        <v>16</v>
      </c>
      <c r="O108" s="7">
        <v>1</v>
      </c>
      <c r="P108" s="3" t="s">
        <v>268</v>
      </c>
      <c r="T108" s="7"/>
    </row>
    <row r="109" spans="1:20" x14ac:dyDescent="0.25">
      <c r="A109" s="16" t="str">
        <f t="shared" si="0"/>
        <v>CUSTO DMA -JAMES OLIVEIRA- JANEIRO 26</v>
      </c>
      <c r="B109" s="18">
        <v>46023</v>
      </c>
      <c r="C109" s="3">
        <v>817391</v>
      </c>
      <c r="D109" s="3" t="s">
        <v>400</v>
      </c>
      <c r="E109" s="14">
        <f t="shared" si="23"/>
        <v>-111.82545</v>
      </c>
      <c r="F109" s="3" t="s">
        <v>364</v>
      </c>
      <c r="G109" s="18">
        <v>46023</v>
      </c>
      <c r="H109" s="19">
        <v>80359</v>
      </c>
      <c r="I109" s="3" t="str">
        <f>VLOOKUP(H109,'[1]Base de Clientes'!$B:$E,4,0)</f>
        <v>VINLAND CAPITAL MANAGEMENT GESTORA DE RECURSOS LTDA</v>
      </c>
      <c r="J109" s="5" t="s">
        <v>8</v>
      </c>
      <c r="K109" s="5" t="s">
        <v>91</v>
      </c>
      <c r="L109" s="9">
        <v>111.82545</v>
      </c>
      <c r="M109" s="11" t="s">
        <v>7</v>
      </c>
      <c r="N109" s="13" t="s">
        <v>16</v>
      </c>
      <c r="O109" s="7">
        <v>1</v>
      </c>
      <c r="P109" s="3" t="s">
        <v>260</v>
      </c>
      <c r="T109" s="7"/>
    </row>
    <row r="110" spans="1:20" x14ac:dyDescent="0.25">
      <c r="A110" s="16" t="str">
        <f t="shared" si="0"/>
        <v>CUSTO DMA -JOÃO CARUSO- JANEIRO 26</v>
      </c>
      <c r="B110" s="18">
        <v>46023</v>
      </c>
      <c r="C110" s="3">
        <v>817391</v>
      </c>
      <c r="D110" s="3" t="s">
        <v>470</v>
      </c>
      <c r="E110" s="14">
        <f t="shared" si="23"/>
        <v>-111.82545</v>
      </c>
      <c r="F110" s="3" t="s">
        <v>364</v>
      </c>
      <c r="G110" s="18">
        <v>46023</v>
      </c>
      <c r="H110" s="19">
        <v>80359</v>
      </c>
      <c r="I110" s="3" t="str">
        <f>VLOOKUP(H110,'[1]Base de Clientes'!$B:$E,4,0)</f>
        <v>VINLAND CAPITAL MANAGEMENT GESTORA DE RECURSOS LTDA</v>
      </c>
      <c r="J110" s="5" t="s">
        <v>8</v>
      </c>
      <c r="K110" s="5" t="s">
        <v>92</v>
      </c>
      <c r="L110" s="9">
        <v>111.82545</v>
      </c>
      <c r="M110" s="11" t="s">
        <v>7</v>
      </c>
      <c r="N110" s="13" t="s">
        <v>16</v>
      </c>
      <c r="O110" s="7">
        <v>1</v>
      </c>
      <c r="P110" s="3" t="s">
        <v>261</v>
      </c>
      <c r="T110" s="7"/>
    </row>
    <row r="111" spans="1:20" x14ac:dyDescent="0.25">
      <c r="A111" s="16" t="str">
        <f t="shared" si="0"/>
        <v>CUSTO DMA -LUCAS PACCOLA- JANEIRO 26</v>
      </c>
      <c r="B111" s="18">
        <v>46023</v>
      </c>
      <c r="C111" s="3">
        <v>817391</v>
      </c>
      <c r="D111" s="3" t="s">
        <v>470</v>
      </c>
      <c r="E111" s="14">
        <f t="shared" si="23"/>
        <v>-111.82545</v>
      </c>
      <c r="F111" s="3" t="s">
        <v>364</v>
      </c>
      <c r="G111" s="18">
        <v>46023</v>
      </c>
      <c r="H111" s="19">
        <v>80359</v>
      </c>
      <c r="I111" s="3" t="str">
        <f>VLOOKUP(H111,'[1]Base de Clientes'!$B:$E,4,0)</f>
        <v>VINLAND CAPITAL MANAGEMENT GESTORA DE RECURSOS LTDA</v>
      </c>
      <c r="J111" s="5" t="s">
        <v>8</v>
      </c>
      <c r="K111" s="5" t="s">
        <v>96</v>
      </c>
      <c r="L111" s="9">
        <v>111.82545</v>
      </c>
      <c r="M111" s="11" t="s">
        <v>7</v>
      </c>
      <c r="N111" s="13" t="s">
        <v>16</v>
      </c>
      <c r="O111" s="7">
        <v>1</v>
      </c>
      <c r="P111" s="3" t="s">
        <v>265</v>
      </c>
      <c r="T111" s="7"/>
    </row>
    <row r="112" spans="1:20" x14ac:dyDescent="0.25">
      <c r="A112" s="16" t="str">
        <f t="shared" si="0"/>
        <v>CUSTO DMA -THIAGO ROLO- JANEIRO 26</v>
      </c>
      <c r="B112" s="18">
        <v>46023</v>
      </c>
      <c r="C112" s="3">
        <v>817391</v>
      </c>
      <c r="D112" s="3" t="s">
        <v>470</v>
      </c>
      <c r="E112" s="14">
        <f t="shared" si="23"/>
        <v>-111.82545</v>
      </c>
      <c r="F112" s="3" t="s">
        <v>364</v>
      </c>
      <c r="G112" s="18">
        <v>46023</v>
      </c>
      <c r="H112" s="19">
        <v>80359</v>
      </c>
      <c r="I112" s="3" t="str">
        <f>VLOOKUP(H112,'[1]Base de Clientes'!$B:$E,4,0)</f>
        <v>VINLAND CAPITAL MANAGEMENT GESTORA DE RECURSOS LTDA</v>
      </c>
      <c r="J112" s="5" t="s">
        <v>8</v>
      </c>
      <c r="K112" s="5" t="s">
        <v>105</v>
      </c>
      <c r="L112" s="9">
        <v>111.82545</v>
      </c>
      <c r="M112" s="11" t="s">
        <v>7</v>
      </c>
      <c r="N112" s="13" t="s">
        <v>16</v>
      </c>
      <c r="O112" s="7">
        <v>1</v>
      </c>
      <c r="P112" s="3" t="s">
        <v>274</v>
      </c>
      <c r="T112" s="7"/>
    </row>
    <row r="113" spans="1:20" x14ac:dyDescent="0.25">
      <c r="A113" s="16" t="str">
        <f t="shared" si="0"/>
        <v>CUSTO DMA -VINICIO HUANG- JANEIRO 26</v>
      </c>
      <c r="B113" s="18">
        <v>46023</v>
      </c>
      <c r="C113" s="3">
        <v>817391</v>
      </c>
      <c r="D113" s="3" t="s">
        <v>470</v>
      </c>
      <c r="E113" s="14">
        <f t="shared" si="23"/>
        <v>-111.82545</v>
      </c>
      <c r="F113" s="3" t="s">
        <v>364</v>
      </c>
      <c r="G113" s="18">
        <v>46023</v>
      </c>
      <c r="H113" s="19">
        <v>80359</v>
      </c>
      <c r="I113" s="3" t="str">
        <f>VLOOKUP(H113,'[1]Base de Clientes'!$B:$E,4,0)</f>
        <v>VINLAND CAPITAL MANAGEMENT GESTORA DE RECURSOS LTDA</v>
      </c>
      <c r="J113" s="5" t="s">
        <v>8</v>
      </c>
      <c r="K113" s="5" t="s">
        <v>107</v>
      </c>
      <c r="L113" s="9">
        <v>111.82545</v>
      </c>
      <c r="M113" s="11" t="s">
        <v>7</v>
      </c>
      <c r="N113" s="13" t="s">
        <v>16</v>
      </c>
      <c r="O113" s="7">
        <v>1</v>
      </c>
      <c r="P113" s="3" t="s">
        <v>276</v>
      </c>
      <c r="T113" s="7"/>
    </row>
    <row r="114" spans="1:20" x14ac:dyDescent="0.25">
      <c r="A114" s="16" t="str">
        <f t="shared" si="0"/>
        <v>CUSTO DMA -HENRIQUE PEINADO- JANEIRO 26</v>
      </c>
      <c r="B114" s="18">
        <v>46023</v>
      </c>
      <c r="C114" s="3">
        <v>817391</v>
      </c>
      <c r="D114" s="3" t="s">
        <v>477</v>
      </c>
      <c r="E114" s="14">
        <f t="shared" si="23"/>
        <v>-1839.0525</v>
      </c>
      <c r="F114" s="3" t="s">
        <v>365</v>
      </c>
      <c r="G114" s="18">
        <v>46023</v>
      </c>
      <c r="H114" s="19">
        <v>80958</v>
      </c>
      <c r="I114" s="3" t="str">
        <f>VLOOKUP(H114,'[1]Base de Clientes'!$B:$E,4,0)</f>
        <v>ITAU UNIBANCO ASSET - OPTIMUS</v>
      </c>
      <c r="J114" s="5" t="s">
        <v>8</v>
      </c>
      <c r="K114" s="5" t="s">
        <v>188</v>
      </c>
      <c r="L114" s="9">
        <v>1839.0525</v>
      </c>
      <c r="M114" s="11" t="s">
        <v>7</v>
      </c>
      <c r="N114" s="13" t="s">
        <v>16</v>
      </c>
      <c r="O114" s="7">
        <v>1</v>
      </c>
      <c r="P114" s="3">
        <v>525</v>
      </c>
      <c r="T114" s="7"/>
    </row>
    <row r="115" spans="1:20" x14ac:dyDescent="0.25">
      <c r="A115" s="16" t="str">
        <f t="shared" ref="A115" si="28">CONCATENATE(J115,M115,K115,M115,N115)</f>
        <v>CUSTO DMA -MARCIO UEJIMA- JANEIRO 26</v>
      </c>
      <c r="B115" s="18">
        <v>46023</v>
      </c>
      <c r="C115" s="3">
        <v>817391</v>
      </c>
      <c r="D115" s="3" t="s">
        <v>477</v>
      </c>
      <c r="E115" s="14">
        <f t="shared" si="23"/>
        <v>-1839.0525</v>
      </c>
      <c r="F115" s="3" t="s">
        <v>365</v>
      </c>
      <c r="G115" s="18">
        <v>46023</v>
      </c>
      <c r="H115" s="19">
        <v>80958</v>
      </c>
      <c r="I115" s="3" t="str">
        <f>VLOOKUP(H115,'[1]Base de Clientes'!$B:$E,4,0)</f>
        <v>ITAU UNIBANCO ASSET - OPTIMUS</v>
      </c>
      <c r="J115" s="5" t="s">
        <v>8</v>
      </c>
      <c r="K115" s="5" t="s">
        <v>189</v>
      </c>
      <c r="L115" s="9">
        <v>1839.0525</v>
      </c>
      <c r="M115" s="11" t="s">
        <v>7</v>
      </c>
      <c r="N115" s="13" t="s">
        <v>16</v>
      </c>
      <c r="O115" s="7">
        <v>1</v>
      </c>
      <c r="P115" s="3">
        <v>541</v>
      </c>
      <c r="T115" s="7"/>
    </row>
    <row r="116" spans="1:20" x14ac:dyDescent="0.25">
      <c r="A116" s="16" t="str">
        <f t="shared" si="0"/>
        <v>CUSTO DMA -LUCAS ROSSI- JANEIRO 26</v>
      </c>
      <c r="B116" s="18">
        <v>46023</v>
      </c>
      <c r="C116" s="3">
        <v>817391</v>
      </c>
      <c r="D116" s="3" t="s">
        <v>401</v>
      </c>
      <c r="E116" s="14">
        <f t="shared" si="23"/>
        <v>-1103.4314999999999</v>
      </c>
      <c r="F116" s="3" t="s">
        <v>365</v>
      </c>
      <c r="G116" s="18">
        <v>46023</v>
      </c>
      <c r="H116" s="19">
        <v>81565</v>
      </c>
      <c r="I116" s="3" t="str">
        <f>VLOOKUP(H116,'[1]Base de Clientes'!$B:$E,4,0)</f>
        <v>SPX GESTAO DE RECURSOS LTDA</v>
      </c>
      <c r="J116" s="5" t="s">
        <v>8</v>
      </c>
      <c r="K116" s="5" t="s">
        <v>187</v>
      </c>
      <c r="L116" s="9">
        <v>1839.0525</v>
      </c>
      <c r="M116" s="11" t="s">
        <v>7</v>
      </c>
      <c r="N116" s="13" t="s">
        <v>16</v>
      </c>
      <c r="O116" s="7">
        <v>0.6</v>
      </c>
      <c r="P116" s="3">
        <v>516</v>
      </c>
      <c r="T116" s="7"/>
    </row>
    <row r="117" spans="1:20" x14ac:dyDescent="0.25">
      <c r="A117" s="16" t="str">
        <f t="shared" ref="A117" si="29">CONCATENATE(J117,M117,K117,M117,N117)</f>
        <v>CUSTO DMA -LUCAS ROSSI- JANEIRO 26</v>
      </c>
      <c r="B117" s="18">
        <v>46023</v>
      </c>
      <c r="C117" s="3">
        <v>817391</v>
      </c>
      <c r="D117" s="3" t="s">
        <v>397</v>
      </c>
      <c r="E117" s="14">
        <f t="shared" ref="E117" si="30">-L117*O117</f>
        <v>-735.62100000000009</v>
      </c>
      <c r="F117" s="3" t="s">
        <v>365</v>
      </c>
      <c r="G117" s="18">
        <v>46023</v>
      </c>
      <c r="H117" s="19">
        <v>81565</v>
      </c>
      <c r="I117" s="3" t="str">
        <f>VLOOKUP(H117,'[1]Base de Clientes'!$B:$E,4,0)</f>
        <v>SPX GESTAO DE RECURSOS LTDA</v>
      </c>
      <c r="J117" s="5" t="s">
        <v>8</v>
      </c>
      <c r="K117" s="5" t="s">
        <v>187</v>
      </c>
      <c r="L117" s="9">
        <v>1839.0525</v>
      </c>
      <c r="M117" s="11" t="s">
        <v>7</v>
      </c>
      <c r="N117" s="13" t="s">
        <v>16</v>
      </c>
      <c r="O117" s="7">
        <v>0.4</v>
      </c>
      <c r="P117" s="3">
        <v>516</v>
      </c>
      <c r="T117" s="7"/>
    </row>
    <row r="118" spans="1:20" x14ac:dyDescent="0.25">
      <c r="A118" s="16" t="str">
        <f t="shared" ref="A118" si="31">CONCATENATE(J118,M118,K118,M118,N118)</f>
        <v>CUSTO DMA -THIAGO SANTOS- JANEIRO 26</v>
      </c>
      <c r="B118" s="18">
        <v>46023</v>
      </c>
      <c r="C118" s="3">
        <v>817391</v>
      </c>
      <c r="D118" s="3" t="s">
        <v>401</v>
      </c>
      <c r="E118" s="14">
        <f t="shared" si="23"/>
        <v>-1103.4314999999999</v>
      </c>
      <c r="F118" s="3" t="s">
        <v>365</v>
      </c>
      <c r="G118" s="18">
        <v>46023</v>
      </c>
      <c r="H118" s="19">
        <v>81564</v>
      </c>
      <c r="I118" s="3" t="str">
        <f>VLOOKUP(H118,'[1]Base de Clientes'!$B:$E,4,0)</f>
        <v>SPX GESTAO DE RECURSOS LTDA</v>
      </c>
      <c r="J118" s="5" t="s">
        <v>8</v>
      </c>
      <c r="K118" s="5" t="s">
        <v>179</v>
      </c>
      <c r="L118" s="9">
        <v>1839.0525</v>
      </c>
      <c r="M118" s="11" t="s">
        <v>7</v>
      </c>
      <c r="N118" s="13" t="s">
        <v>16</v>
      </c>
      <c r="O118" s="7">
        <v>0.6</v>
      </c>
      <c r="P118" s="3">
        <v>540</v>
      </c>
      <c r="T118" s="7"/>
    </row>
    <row r="119" spans="1:20" x14ac:dyDescent="0.25">
      <c r="A119" s="16" t="str">
        <f t="shared" ref="A119" si="32">CONCATENATE(J119,M119,K119,M119,N119)</f>
        <v>CUSTO DMA -THIAGO SANTOS- JANEIRO 26</v>
      </c>
      <c r="B119" s="18">
        <v>46023</v>
      </c>
      <c r="C119" s="3">
        <v>817391</v>
      </c>
      <c r="D119" s="3" t="s">
        <v>397</v>
      </c>
      <c r="E119" s="14">
        <f t="shared" ref="E119" si="33">-L119*O119</f>
        <v>-735.62100000000009</v>
      </c>
      <c r="F119" s="3" t="s">
        <v>365</v>
      </c>
      <c r="G119" s="18">
        <v>46023</v>
      </c>
      <c r="H119" s="19">
        <v>81564</v>
      </c>
      <c r="I119" s="3" t="str">
        <f>VLOOKUP(H119,'[1]Base de Clientes'!$B:$E,4,0)</f>
        <v>SPX GESTAO DE RECURSOS LTDA</v>
      </c>
      <c r="J119" s="5" t="s">
        <v>8</v>
      </c>
      <c r="K119" s="5" t="s">
        <v>179</v>
      </c>
      <c r="L119" s="9">
        <v>1839.0525</v>
      </c>
      <c r="M119" s="11" t="s">
        <v>7</v>
      </c>
      <c r="N119" s="13" t="s">
        <v>16</v>
      </c>
      <c r="O119" s="7">
        <v>0.4</v>
      </c>
      <c r="P119" s="3">
        <v>540</v>
      </c>
      <c r="T119" s="7"/>
    </row>
    <row r="120" spans="1:20" x14ac:dyDescent="0.25">
      <c r="A120" s="16" t="str">
        <f t="shared" si="0"/>
        <v>CUSTO DMA -BRUNO HERZOG GARCIA- JANEIRO 26</v>
      </c>
      <c r="B120" s="18">
        <v>46023</v>
      </c>
      <c r="C120" s="3">
        <v>817391</v>
      </c>
      <c r="D120" s="3" t="s">
        <v>408</v>
      </c>
      <c r="E120" s="14">
        <f t="shared" si="23"/>
        <v>-74.3</v>
      </c>
      <c r="F120" s="3" t="s">
        <v>367</v>
      </c>
      <c r="G120" s="18">
        <v>46023</v>
      </c>
      <c r="H120" s="19">
        <v>14432</v>
      </c>
      <c r="I120" s="3" t="str">
        <f>VLOOKUP(H120,'[1]Base de Clientes'!$B:$E,4,0)</f>
        <v>BB GESTAO DE RECURSOS DTVM LTDA</v>
      </c>
      <c r="J120" s="5" t="s">
        <v>8</v>
      </c>
      <c r="K120" s="5" t="s">
        <v>112</v>
      </c>
      <c r="L120" s="9">
        <v>74.3</v>
      </c>
      <c r="M120" s="11" t="s">
        <v>7</v>
      </c>
      <c r="N120" s="13" t="s">
        <v>16</v>
      </c>
      <c r="O120" s="7">
        <v>1</v>
      </c>
      <c r="P120" s="3" t="s">
        <v>281</v>
      </c>
      <c r="T120" s="7"/>
    </row>
    <row r="121" spans="1:20" x14ac:dyDescent="0.25">
      <c r="A121" s="16" t="str">
        <f t="shared" si="0"/>
        <v>CUSTO DMA -DERISVALDO SANTANA DA CRUZ- JANEIRO 26</v>
      </c>
      <c r="B121" s="18">
        <v>46023</v>
      </c>
      <c r="C121" s="3">
        <v>817391</v>
      </c>
      <c r="D121" s="3" t="s">
        <v>408</v>
      </c>
      <c r="E121" s="14">
        <f t="shared" si="23"/>
        <v>-4802.9399999999996</v>
      </c>
      <c r="F121" s="3" t="s">
        <v>367</v>
      </c>
      <c r="G121" s="18">
        <v>46023</v>
      </c>
      <c r="H121" s="19">
        <v>14432</v>
      </c>
      <c r="I121" s="3" t="str">
        <f>VLOOKUP(H121,'[1]Base de Clientes'!$B:$E,4,0)</f>
        <v>BB GESTAO DE RECURSOS DTVM LTDA</v>
      </c>
      <c r="J121" s="5" t="s">
        <v>8</v>
      </c>
      <c r="K121" s="5" t="s">
        <v>113</v>
      </c>
      <c r="L121" s="9">
        <v>4802.9399999999996</v>
      </c>
      <c r="M121" s="11" t="s">
        <v>7</v>
      </c>
      <c r="N121" s="13" t="s">
        <v>16</v>
      </c>
      <c r="O121" s="7">
        <v>1</v>
      </c>
      <c r="P121" s="3" t="s">
        <v>282</v>
      </c>
      <c r="T121" s="7"/>
    </row>
    <row r="122" spans="1:20" x14ac:dyDescent="0.25">
      <c r="A122" s="16" t="str">
        <f t="shared" ref="A122" si="34">CONCATENATE(J122,M122,K122,M122,N122)</f>
        <v>CUSTO DMA -GUILHERME SILVA BRENNAND- JANEIRO 26</v>
      </c>
      <c r="B122" s="18">
        <v>46023</v>
      </c>
      <c r="C122" s="3">
        <v>817391</v>
      </c>
      <c r="D122" s="3" t="s">
        <v>408</v>
      </c>
      <c r="E122" s="14">
        <f t="shared" si="23"/>
        <v>-4802.9399999999996</v>
      </c>
      <c r="F122" s="3" t="s">
        <v>367</v>
      </c>
      <c r="G122" s="18">
        <v>46023</v>
      </c>
      <c r="H122" s="19">
        <v>14432</v>
      </c>
      <c r="I122" s="3" t="str">
        <f>VLOOKUP(H122,'[1]Base de Clientes'!$B:$E,4,0)</f>
        <v>BB GESTAO DE RECURSOS DTVM LTDA</v>
      </c>
      <c r="J122" s="5" t="s">
        <v>8</v>
      </c>
      <c r="K122" s="5" t="s">
        <v>114</v>
      </c>
      <c r="L122" s="9">
        <v>4802.9399999999996</v>
      </c>
      <c r="M122" s="11" t="s">
        <v>7</v>
      </c>
      <c r="N122" s="13" t="s">
        <v>16</v>
      </c>
      <c r="O122" s="7">
        <v>1</v>
      </c>
      <c r="P122" s="3" t="s">
        <v>283</v>
      </c>
      <c r="T122" s="7"/>
    </row>
    <row r="123" spans="1:20" x14ac:dyDescent="0.25">
      <c r="A123" s="16" t="str">
        <f t="shared" si="0"/>
        <v>CUSTO DMA -LUIS FREDERICO BARRETO RODRIGUES- JANEIRO 26</v>
      </c>
      <c r="B123" s="18">
        <v>46023</v>
      </c>
      <c r="C123" s="3">
        <v>817391</v>
      </c>
      <c r="D123" s="3" t="s">
        <v>408</v>
      </c>
      <c r="E123" s="14">
        <f t="shared" si="23"/>
        <v>-64.599999999999994</v>
      </c>
      <c r="F123" s="3" t="s">
        <v>367</v>
      </c>
      <c r="G123" s="18">
        <v>46023</v>
      </c>
      <c r="H123" s="19">
        <v>14432</v>
      </c>
      <c r="I123" s="3" t="str">
        <f>VLOOKUP(H123,'[1]Base de Clientes'!$B:$E,4,0)</f>
        <v>BB GESTAO DE RECURSOS DTVM LTDA</v>
      </c>
      <c r="J123" s="5" t="s">
        <v>8</v>
      </c>
      <c r="K123" s="5" t="s">
        <v>115</v>
      </c>
      <c r="L123" s="9">
        <v>64.599999999999994</v>
      </c>
      <c r="M123" s="11" t="s">
        <v>7</v>
      </c>
      <c r="N123" s="13" t="s">
        <v>16</v>
      </c>
      <c r="O123" s="7">
        <v>1</v>
      </c>
      <c r="P123" s="3" t="s">
        <v>284</v>
      </c>
      <c r="T123" s="7"/>
    </row>
    <row r="124" spans="1:20" x14ac:dyDescent="0.25">
      <c r="A124" s="16" t="str">
        <f t="shared" si="0"/>
        <v>CUSTO DMA -RODRIGO MAGALHAES MACEDO PAIM- JANEIRO 26</v>
      </c>
      <c r="B124" s="18">
        <v>46023</v>
      </c>
      <c r="C124" s="3">
        <v>817391</v>
      </c>
      <c r="D124" s="3" t="s">
        <v>408</v>
      </c>
      <c r="E124" s="14">
        <f t="shared" si="23"/>
        <v>-2784.24</v>
      </c>
      <c r="F124" s="3" t="s">
        <v>367</v>
      </c>
      <c r="G124" s="18">
        <v>46023</v>
      </c>
      <c r="H124" s="19">
        <v>14432</v>
      </c>
      <c r="I124" s="3" t="str">
        <f>VLOOKUP(H124,'[1]Base de Clientes'!$B:$E,4,0)</f>
        <v>BB GESTAO DE RECURSOS DTVM LTDA</v>
      </c>
      <c r="J124" s="5" t="s">
        <v>8</v>
      </c>
      <c r="K124" s="5" t="s">
        <v>116</v>
      </c>
      <c r="L124" s="9">
        <v>2784.24</v>
      </c>
      <c r="M124" s="11" t="s">
        <v>7</v>
      </c>
      <c r="N124" s="13" t="s">
        <v>16</v>
      </c>
      <c r="O124" s="7">
        <v>1</v>
      </c>
      <c r="P124" s="3" t="s">
        <v>285</v>
      </c>
      <c r="T124" s="7"/>
    </row>
    <row r="125" spans="1:20" x14ac:dyDescent="0.25">
      <c r="A125" s="16" t="str">
        <f t="shared" si="0"/>
        <v>CUSTO DMA -ANDERSON KAM (RED HILL TRADING)- JANEIRO 26</v>
      </c>
      <c r="B125" s="18">
        <v>46023</v>
      </c>
      <c r="C125" s="3">
        <v>817391</v>
      </c>
      <c r="D125" s="3" t="s">
        <v>485</v>
      </c>
      <c r="E125" s="14">
        <f t="shared" si="23"/>
        <v>-107.08</v>
      </c>
      <c r="F125" s="3" t="s">
        <v>367</v>
      </c>
      <c r="G125" s="18">
        <v>46023</v>
      </c>
      <c r="H125" s="19">
        <v>82808</v>
      </c>
      <c r="I125" s="3" t="str">
        <f>VLOOKUP(H125,'[1]Base de Clientes'!$B:$E,4,0)</f>
        <v>AGUILA CAPITAL ADM E GESTAO DE CAPITAIS LTDA</v>
      </c>
      <c r="J125" s="5" t="s">
        <v>8</v>
      </c>
      <c r="K125" s="5" t="s">
        <v>117</v>
      </c>
      <c r="L125" s="9">
        <v>107.08</v>
      </c>
      <c r="M125" s="11" t="s">
        <v>7</v>
      </c>
      <c r="N125" s="13" t="s">
        <v>16</v>
      </c>
      <c r="O125" s="7">
        <v>1</v>
      </c>
      <c r="P125" s="3" t="s">
        <v>286</v>
      </c>
      <c r="T125" s="7"/>
    </row>
    <row r="126" spans="1:20" x14ac:dyDescent="0.25">
      <c r="A126" s="16" t="str">
        <f t="shared" si="0"/>
        <v>CUSTO DMA -TIAGO RING- JANEIRO 26</v>
      </c>
      <c r="B126" s="18">
        <v>46023</v>
      </c>
      <c r="C126" s="3">
        <v>817391</v>
      </c>
      <c r="D126" s="3" t="s">
        <v>398</v>
      </c>
      <c r="E126" s="14">
        <f t="shared" si="23"/>
        <v>-43.836100000000002</v>
      </c>
      <c r="F126" s="3" t="s">
        <v>362</v>
      </c>
      <c r="G126" s="18">
        <v>46023</v>
      </c>
      <c r="H126" s="19">
        <v>144548</v>
      </c>
      <c r="I126" s="3" t="str">
        <f>VLOOKUP(H126,'[1]Base de Clientes'!$B:$E,4,0)</f>
        <v>ABSOLUTE GESTAO DE INVESTIMENTOS LTDA</v>
      </c>
      <c r="J126" s="5" t="s">
        <v>8</v>
      </c>
      <c r="K126" s="5" t="s">
        <v>62</v>
      </c>
      <c r="L126" s="9">
        <v>43.836100000000002</v>
      </c>
      <c r="M126" s="11" t="s">
        <v>7</v>
      </c>
      <c r="N126" s="13" t="s">
        <v>16</v>
      </c>
      <c r="O126" s="7">
        <v>1</v>
      </c>
      <c r="P126" s="3" t="s">
        <v>233</v>
      </c>
      <c r="T126" s="7"/>
    </row>
    <row r="127" spans="1:20" x14ac:dyDescent="0.25">
      <c r="A127" s="16" t="str">
        <f t="shared" si="0"/>
        <v>CUSTO DMA -ANTONIO MOURA ANDRADE- JANEIRO 26</v>
      </c>
      <c r="B127" s="18">
        <v>46023</v>
      </c>
      <c r="C127" s="3">
        <v>817391</v>
      </c>
      <c r="D127" s="3" t="s">
        <v>479</v>
      </c>
      <c r="E127" s="14">
        <f t="shared" si="23"/>
        <v>-5332.03</v>
      </c>
      <c r="F127" s="3" t="s">
        <v>362</v>
      </c>
      <c r="G127" s="18">
        <v>46023</v>
      </c>
      <c r="H127" s="19">
        <v>15501</v>
      </c>
      <c r="I127" s="3" t="str">
        <f>VLOOKUP(H127,'[1]Base de Clientes'!$B:$E,4,0)</f>
        <v>BANCO BTG PACTUAL S/A</v>
      </c>
      <c r="J127" s="5" t="s">
        <v>8</v>
      </c>
      <c r="K127" s="5" t="s">
        <v>19</v>
      </c>
      <c r="L127" s="9">
        <v>5332.03</v>
      </c>
      <c r="M127" s="11" t="s">
        <v>7</v>
      </c>
      <c r="N127" s="13" t="s">
        <v>16</v>
      </c>
      <c r="O127" s="7">
        <v>1</v>
      </c>
      <c r="P127" s="3" t="s">
        <v>190</v>
      </c>
      <c r="T127" s="7"/>
    </row>
    <row r="128" spans="1:20" x14ac:dyDescent="0.25">
      <c r="A128" s="16" t="str">
        <f t="shared" si="0"/>
        <v>CUSTO DMA -PAULO VASCONCELLOS- JANEIRO 26</v>
      </c>
      <c r="B128" s="18">
        <v>46023</v>
      </c>
      <c r="C128" s="3">
        <v>817391</v>
      </c>
      <c r="D128" s="3" t="s">
        <v>474</v>
      </c>
      <c r="E128" s="14">
        <f t="shared" si="23"/>
        <v>-522.73</v>
      </c>
      <c r="F128" s="3" t="s">
        <v>362</v>
      </c>
      <c r="G128" s="18">
        <v>46023</v>
      </c>
      <c r="H128" s="19">
        <v>81693</v>
      </c>
      <c r="I128" s="3" t="str">
        <f>VLOOKUP(H128,'[1]Base de Clientes'!$B:$E,4,0)</f>
        <v>CREDIT SUISSE HEDGING-GRIFFO WEALTH MANAGEMENT S/A</v>
      </c>
      <c r="J128" s="5" t="s">
        <v>8</v>
      </c>
      <c r="K128" s="5" t="s">
        <v>54</v>
      </c>
      <c r="L128" s="9">
        <v>522.73</v>
      </c>
      <c r="M128" s="11" t="s">
        <v>7</v>
      </c>
      <c r="N128" s="13" t="s">
        <v>16</v>
      </c>
      <c r="O128" s="7">
        <v>1</v>
      </c>
      <c r="P128" s="3" t="s">
        <v>225</v>
      </c>
      <c r="T128" s="7"/>
    </row>
    <row r="129" spans="1:20" x14ac:dyDescent="0.25">
      <c r="A129" s="16" t="str">
        <f t="shared" si="0"/>
        <v>CUSTO DMA -PEDRO PEREIRA- JANEIRO 26</v>
      </c>
      <c r="B129" s="18">
        <v>46023</v>
      </c>
      <c r="C129" s="3">
        <v>817391</v>
      </c>
      <c r="D129" s="3" t="s">
        <v>400</v>
      </c>
      <c r="E129" s="14">
        <f t="shared" si="23"/>
        <v>-5332.03</v>
      </c>
      <c r="F129" s="3" t="s">
        <v>362</v>
      </c>
      <c r="G129" s="18">
        <v>46023</v>
      </c>
      <c r="H129" s="19">
        <v>79241</v>
      </c>
      <c r="I129" s="3" t="str">
        <f>VLOOKUP(H129,'[1]Base de Clientes'!$B:$E,4,0)</f>
        <v>BANK OF AMERICA MERRILL LYNCH BANCO MULTIPLO S/A</v>
      </c>
      <c r="J129" s="5" t="s">
        <v>8</v>
      </c>
      <c r="K129" s="5" t="s">
        <v>53</v>
      </c>
      <c r="L129" s="9">
        <v>5332.03</v>
      </c>
      <c r="M129" s="11" t="s">
        <v>7</v>
      </c>
      <c r="N129" s="13" t="s">
        <v>16</v>
      </c>
      <c r="O129" s="7">
        <v>1</v>
      </c>
      <c r="P129" s="3" t="s">
        <v>224</v>
      </c>
      <c r="T129" s="7"/>
    </row>
    <row r="130" spans="1:20" x14ac:dyDescent="0.25">
      <c r="A130" s="16" t="str">
        <f t="shared" ref="A130" si="35">CONCATENATE(J130,M130,K130,M130,N130)</f>
        <v>CUSTO DMA -GUILHERME PACHECO- JANEIRO 26</v>
      </c>
      <c r="B130" s="18">
        <v>46023</v>
      </c>
      <c r="C130" s="3">
        <v>817391</v>
      </c>
      <c r="D130" s="3" t="s">
        <v>411</v>
      </c>
      <c r="E130" s="14">
        <f t="shared" si="23"/>
        <v>-5332.03</v>
      </c>
      <c r="F130" s="3" t="s">
        <v>362</v>
      </c>
      <c r="G130" s="18">
        <v>46023</v>
      </c>
      <c r="H130" s="19">
        <v>15781</v>
      </c>
      <c r="I130" s="3" t="str">
        <f>VLOOKUP(H130,'[1]Base de Clientes'!$B:$E,4,0)</f>
        <v>BANCO SAFRA S/A</v>
      </c>
      <c r="J130" s="5" t="s">
        <v>8</v>
      </c>
      <c r="K130" s="5" t="s">
        <v>38</v>
      </c>
      <c r="L130" s="9">
        <v>5332.03</v>
      </c>
      <c r="M130" s="11" t="s">
        <v>7</v>
      </c>
      <c r="N130" s="13" t="s">
        <v>16</v>
      </c>
      <c r="O130" s="7">
        <v>1</v>
      </c>
      <c r="P130" s="3" t="s">
        <v>209</v>
      </c>
      <c r="T130" s="7"/>
    </row>
    <row r="131" spans="1:20" x14ac:dyDescent="0.25">
      <c r="A131" s="16" t="str">
        <f t="shared" si="0"/>
        <v>CUSTO DMA -ALESSANDRO EZEQUIEL- JANEIRO 26</v>
      </c>
      <c r="B131" s="18">
        <v>46023</v>
      </c>
      <c r="C131" s="3">
        <v>817391</v>
      </c>
      <c r="D131" s="3" t="s">
        <v>410</v>
      </c>
      <c r="E131" s="14">
        <f t="shared" si="23"/>
        <v>-5332.03</v>
      </c>
      <c r="F131" s="3" t="s">
        <v>362</v>
      </c>
      <c r="G131" s="18">
        <v>46023</v>
      </c>
      <c r="H131" s="19">
        <v>14479</v>
      </c>
      <c r="I131" s="3" t="str">
        <f>VLOOKUP(H131,'[1]Base de Clientes'!$B:$E,4,0)</f>
        <v>BANCO SANTANDER (BRASIL) S/A</v>
      </c>
      <c r="J131" s="5" t="s">
        <v>8</v>
      </c>
      <c r="K131" s="5" t="s">
        <v>21</v>
      </c>
      <c r="L131" s="9">
        <v>5332.03</v>
      </c>
      <c r="M131" s="11" t="s">
        <v>7</v>
      </c>
      <c r="N131" s="13" t="s">
        <v>16</v>
      </c>
      <c r="O131" s="7">
        <v>1</v>
      </c>
      <c r="P131" s="3" t="s">
        <v>192</v>
      </c>
      <c r="T131" s="7"/>
    </row>
    <row r="132" spans="1:20" x14ac:dyDescent="0.25">
      <c r="A132" s="16" t="str">
        <f t="shared" si="0"/>
        <v>CUSTO DMA -BRUNO SCHIAVINATO- JANEIRO 26</v>
      </c>
      <c r="B132" s="18">
        <v>46023</v>
      </c>
      <c r="C132" s="3">
        <v>817391</v>
      </c>
      <c r="D132" s="3" t="s">
        <v>411</v>
      </c>
      <c r="E132" s="14">
        <f t="shared" si="23"/>
        <v>-470.22</v>
      </c>
      <c r="F132" s="3" t="s">
        <v>362</v>
      </c>
      <c r="G132" s="18">
        <v>46023</v>
      </c>
      <c r="H132" s="19">
        <v>14479</v>
      </c>
      <c r="I132" s="3" t="str">
        <f>VLOOKUP(H132,'[1]Base de Clientes'!$B:$E,4,0)</f>
        <v>BANCO SANTANDER (BRASIL) S/A</v>
      </c>
      <c r="J132" s="5" t="s">
        <v>8</v>
      </c>
      <c r="K132" s="5" t="s">
        <v>28</v>
      </c>
      <c r="L132" s="9">
        <v>470.22</v>
      </c>
      <c r="M132" s="11" t="s">
        <v>7</v>
      </c>
      <c r="N132" s="13" t="s">
        <v>16</v>
      </c>
      <c r="O132" s="7">
        <v>1</v>
      </c>
      <c r="P132" s="3" t="s">
        <v>199</v>
      </c>
      <c r="T132" s="7"/>
    </row>
    <row r="133" spans="1:20" x14ac:dyDescent="0.25">
      <c r="A133" s="16" t="str">
        <f t="shared" si="0"/>
        <v>CUSTO DMA -GIOVANNE TELES- JANEIRO 26</v>
      </c>
      <c r="B133" s="18">
        <v>46023</v>
      </c>
      <c r="C133" s="3">
        <v>817391</v>
      </c>
      <c r="D133" s="3" t="s">
        <v>477</v>
      </c>
      <c r="E133" s="14">
        <f t="shared" si="23"/>
        <v>-868.11</v>
      </c>
      <c r="F133" s="3" t="s">
        <v>362</v>
      </c>
      <c r="G133" s="18">
        <v>46023</v>
      </c>
      <c r="H133" s="19">
        <v>14479</v>
      </c>
      <c r="I133" s="3" t="str">
        <f>VLOOKUP(H133,'[1]Base de Clientes'!$B:$E,4,0)</f>
        <v>BANCO SANTANDER (BRASIL) S/A</v>
      </c>
      <c r="J133" s="5" t="s">
        <v>8</v>
      </c>
      <c r="K133" s="5" t="s">
        <v>39</v>
      </c>
      <c r="L133" s="9">
        <v>868.11</v>
      </c>
      <c r="M133" s="11" t="s">
        <v>7</v>
      </c>
      <c r="N133" s="13" t="s">
        <v>16</v>
      </c>
      <c r="O133" s="7">
        <v>1</v>
      </c>
      <c r="P133" s="3" t="s">
        <v>210</v>
      </c>
      <c r="T133" s="7"/>
    </row>
    <row r="134" spans="1:20" x14ac:dyDescent="0.25">
      <c r="A134" s="16" t="str">
        <f t="shared" si="0"/>
        <v>CUSTO DMA -MARCELO DREYER- JANEIRO 26</v>
      </c>
      <c r="B134" s="18">
        <v>46023</v>
      </c>
      <c r="C134" s="3">
        <v>817391</v>
      </c>
      <c r="D134" s="3" t="s">
        <v>411</v>
      </c>
      <c r="E134" s="14">
        <f t="shared" si="23"/>
        <v>-5332.0300000000007</v>
      </c>
      <c r="F134" s="3" t="s">
        <v>362</v>
      </c>
      <c r="G134" s="18">
        <v>46023</v>
      </c>
      <c r="H134" s="19">
        <v>14479</v>
      </c>
      <c r="I134" s="3" t="str">
        <f>VLOOKUP(H134,'[1]Base de Clientes'!$B:$E,4,0)</f>
        <v>BANCO SANTANDER (BRASIL) S/A</v>
      </c>
      <c r="J134" s="5" t="s">
        <v>8</v>
      </c>
      <c r="K134" s="5" t="s">
        <v>48</v>
      </c>
      <c r="L134" s="9">
        <v>5332.0300000000007</v>
      </c>
      <c r="M134" s="11" t="s">
        <v>7</v>
      </c>
      <c r="N134" s="13" t="s">
        <v>16</v>
      </c>
      <c r="O134" s="7">
        <v>1</v>
      </c>
      <c r="P134" s="3" t="s">
        <v>219</v>
      </c>
      <c r="T134" s="7"/>
    </row>
    <row r="135" spans="1:20" x14ac:dyDescent="0.25">
      <c r="A135" s="16" t="str">
        <f t="shared" si="0"/>
        <v>CUSTO DMA -RAFAEL ANDRADE- JANEIRO 26</v>
      </c>
      <c r="B135" s="18">
        <v>46023</v>
      </c>
      <c r="C135" s="3">
        <v>817391</v>
      </c>
      <c r="D135" s="3" t="s">
        <v>411</v>
      </c>
      <c r="E135" s="14">
        <f t="shared" si="23"/>
        <v>-5332.0300000000007</v>
      </c>
      <c r="F135" s="3" t="s">
        <v>362</v>
      </c>
      <c r="G135" s="18">
        <v>46023</v>
      </c>
      <c r="H135" s="19">
        <v>14479</v>
      </c>
      <c r="I135" s="3" t="str">
        <f>VLOOKUP(H135,'[1]Base de Clientes'!$B:$E,4,0)</f>
        <v>BANCO SANTANDER (BRASIL) S/A</v>
      </c>
      <c r="J135" s="5" t="s">
        <v>8</v>
      </c>
      <c r="K135" s="5" t="s">
        <v>55</v>
      </c>
      <c r="L135" s="9">
        <v>5332.0300000000007</v>
      </c>
      <c r="M135" s="11" t="s">
        <v>7</v>
      </c>
      <c r="N135" s="13" t="s">
        <v>16</v>
      </c>
      <c r="O135" s="7">
        <v>1</v>
      </c>
      <c r="P135" s="3" t="s">
        <v>226</v>
      </c>
      <c r="T135" s="7"/>
    </row>
    <row r="136" spans="1:20" x14ac:dyDescent="0.25">
      <c r="A136" s="16" t="str">
        <f t="shared" si="0"/>
        <v>CUSTO DMA -RAFAEL PISTELLI- JANEIRO 26</v>
      </c>
      <c r="B136" s="18">
        <v>46023</v>
      </c>
      <c r="C136" s="3">
        <v>817391</v>
      </c>
      <c r="D136" s="3" t="s">
        <v>411</v>
      </c>
      <c r="E136" s="14">
        <f t="shared" si="23"/>
        <v>-537.08000000000004</v>
      </c>
      <c r="F136" s="3" t="s">
        <v>362</v>
      </c>
      <c r="G136" s="18">
        <v>46023</v>
      </c>
      <c r="H136" s="19">
        <v>14479</v>
      </c>
      <c r="I136" s="3" t="str">
        <f>VLOOKUP(H136,'[1]Base de Clientes'!$B:$E,4,0)</f>
        <v>BANCO SANTANDER (BRASIL) S/A</v>
      </c>
      <c r="J136" s="5" t="s">
        <v>8</v>
      </c>
      <c r="K136" s="5" t="s">
        <v>58</v>
      </c>
      <c r="L136" s="9">
        <v>537.08000000000004</v>
      </c>
      <c r="M136" s="11" t="s">
        <v>7</v>
      </c>
      <c r="N136" s="13" t="s">
        <v>16</v>
      </c>
      <c r="O136" s="7">
        <v>1</v>
      </c>
      <c r="P136" s="3" t="s">
        <v>229</v>
      </c>
      <c r="T136" s="7"/>
    </row>
    <row r="137" spans="1:20" x14ac:dyDescent="0.25">
      <c r="A137" s="16" t="str">
        <f t="shared" si="0"/>
        <v>CUSTO DMA -RICARDO R ROSA- JANEIRO 26</v>
      </c>
      <c r="B137" s="18">
        <v>46023</v>
      </c>
      <c r="C137" s="3">
        <v>817391</v>
      </c>
      <c r="D137" s="3" t="s">
        <v>411</v>
      </c>
      <c r="E137" s="14">
        <f t="shared" si="23"/>
        <v>-440.65</v>
      </c>
      <c r="F137" s="3" t="s">
        <v>362</v>
      </c>
      <c r="G137" s="18">
        <v>46023</v>
      </c>
      <c r="H137" s="19">
        <v>14479</v>
      </c>
      <c r="I137" s="3" t="str">
        <f>VLOOKUP(H137,'[1]Base de Clientes'!$B:$E,4,0)</f>
        <v>BANCO SANTANDER (BRASIL) S/A</v>
      </c>
      <c r="J137" s="5" t="s">
        <v>8</v>
      </c>
      <c r="K137" s="5" t="s">
        <v>59</v>
      </c>
      <c r="L137" s="9">
        <v>440.65</v>
      </c>
      <c r="M137" s="11" t="s">
        <v>7</v>
      </c>
      <c r="N137" s="13" t="s">
        <v>16</v>
      </c>
      <c r="O137" s="7">
        <v>1</v>
      </c>
      <c r="P137" s="3" t="s">
        <v>230</v>
      </c>
      <c r="T137" s="7"/>
    </row>
    <row r="138" spans="1:20" x14ac:dyDescent="0.25">
      <c r="A138" s="16" t="str">
        <f t="shared" si="0"/>
        <v>CUSTO DMA -KAUE CHINELLATO- JANEIRO 26</v>
      </c>
      <c r="B138" s="18">
        <v>46023</v>
      </c>
      <c r="C138" s="3">
        <v>817391</v>
      </c>
      <c r="D138" s="3" t="s">
        <v>407</v>
      </c>
      <c r="E138" s="14">
        <f t="shared" si="23"/>
        <v>-5332.03</v>
      </c>
      <c r="F138" s="3" t="s">
        <v>362</v>
      </c>
      <c r="G138" s="18">
        <v>46023</v>
      </c>
      <c r="H138" s="19">
        <v>14334</v>
      </c>
      <c r="I138" s="3" t="str">
        <f>VLOOKUP(H138,'[1]Base de Clientes'!$B:$E,4,0)</f>
        <v>BANCO SOCIETE GENERALE BRASIL S/A</v>
      </c>
      <c r="J138" s="5" t="s">
        <v>8</v>
      </c>
      <c r="K138" s="5" t="s">
        <v>42</v>
      </c>
      <c r="L138" s="9">
        <v>5332.03</v>
      </c>
      <c r="M138" s="11" t="s">
        <v>7</v>
      </c>
      <c r="N138" s="13" t="s">
        <v>16</v>
      </c>
      <c r="O138" s="7">
        <v>1</v>
      </c>
      <c r="P138" s="3" t="s">
        <v>213</v>
      </c>
      <c r="T138" s="7"/>
    </row>
    <row r="139" spans="1:20" x14ac:dyDescent="0.25">
      <c r="A139" s="16" t="str">
        <f t="shared" si="0"/>
        <v>CUSTO DMA -MARCO RIGO- JANEIRO 26</v>
      </c>
      <c r="B139" s="18">
        <v>46023</v>
      </c>
      <c r="C139" s="3">
        <v>817391</v>
      </c>
      <c r="D139" s="3" t="s">
        <v>474</v>
      </c>
      <c r="E139" s="14">
        <f t="shared" si="23"/>
        <v>-2593</v>
      </c>
      <c r="F139" s="3" t="s">
        <v>362</v>
      </c>
      <c r="G139" s="18">
        <v>46023</v>
      </c>
      <c r="H139" s="19">
        <v>81643</v>
      </c>
      <c r="I139" s="3" t="str">
        <f>VLOOKUP(H139,'[1]Base de Clientes'!$B:$E,4,0)</f>
        <v>BANCO SUMITOMO MITSUI BRASILEIRO S/A</v>
      </c>
      <c r="J139" s="5" t="s">
        <v>8</v>
      </c>
      <c r="K139" s="5" t="s">
        <v>50</v>
      </c>
      <c r="L139" s="9">
        <v>2593</v>
      </c>
      <c r="M139" s="11" t="s">
        <v>7</v>
      </c>
      <c r="N139" s="13" t="s">
        <v>16</v>
      </c>
      <c r="O139" s="7">
        <v>1</v>
      </c>
      <c r="P139" s="3" t="s">
        <v>221</v>
      </c>
      <c r="T139" s="7"/>
    </row>
    <row r="140" spans="1:20" x14ac:dyDescent="0.25">
      <c r="A140" s="16" t="str">
        <f t="shared" si="0"/>
        <v>CUSTO DMA -RENANN DAVID- JANEIRO 26</v>
      </c>
      <c r="B140" s="18">
        <v>46023</v>
      </c>
      <c r="C140" s="3">
        <v>817391</v>
      </c>
      <c r="D140" s="3" t="s">
        <v>474</v>
      </c>
      <c r="E140" s="14">
        <f t="shared" si="23"/>
        <v>-5019.22</v>
      </c>
      <c r="F140" s="3" t="s">
        <v>362</v>
      </c>
      <c r="G140" s="18">
        <v>46023</v>
      </c>
      <c r="H140" s="19">
        <v>81643</v>
      </c>
      <c r="I140" s="3" t="str">
        <f>VLOOKUP(H140,'[1]Base de Clientes'!$B:$E,4,0)</f>
        <v>BANCO SUMITOMO MITSUI BRASILEIRO S/A</v>
      </c>
      <c r="J140" s="5" t="s">
        <v>8</v>
      </c>
      <c r="K140" s="5" t="s">
        <v>56</v>
      </c>
      <c r="L140" s="9">
        <v>5019.22</v>
      </c>
      <c r="M140" s="11" t="s">
        <v>7</v>
      </c>
      <c r="N140" s="13" t="s">
        <v>16</v>
      </c>
      <c r="O140" s="7">
        <v>1</v>
      </c>
      <c r="P140" s="3" t="s">
        <v>227</v>
      </c>
      <c r="T140" s="7"/>
    </row>
    <row r="141" spans="1:20" x14ac:dyDescent="0.25">
      <c r="A141" s="16" t="str">
        <f t="shared" si="0"/>
        <v>CUSTO DMA -DANIEL SARAIVA- JANEIRO 26</v>
      </c>
      <c r="B141" s="18">
        <v>46023</v>
      </c>
      <c r="C141" s="3">
        <v>817391</v>
      </c>
      <c r="D141" s="3" t="s">
        <v>481</v>
      </c>
      <c r="E141" s="14">
        <f t="shared" si="23"/>
        <v>-441.63</v>
      </c>
      <c r="F141" s="3" t="s">
        <v>362</v>
      </c>
      <c r="G141" s="18">
        <v>46023</v>
      </c>
      <c r="H141" s="19">
        <v>144310</v>
      </c>
      <c r="I141" s="3" t="str">
        <f>VLOOKUP(H141,'[1]Base de Clientes'!$B:$E,4,0)</f>
        <v>BW GESTAO DE INVESTIMENTOS LTDA</v>
      </c>
      <c r="J141" s="5" t="s">
        <v>8</v>
      </c>
      <c r="K141" s="5" t="s">
        <v>31</v>
      </c>
      <c r="L141" s="9">
        <v>441.63</v>
      </c>
      <c r="M141" s="11" t="s">
        <v>7</v>
      </c>
      <c r="N141" s="13" t="s">
        <v>16</v>
      </c>
      <c r="O141" s="7">
        <v>1</v>
      </c>
      <c r="P141" s="3" t="s">
        <v>202</v>
      </c>
      <c r="T141" s="7"/>
    </row>
    <row r="142" spans="1:20" x14ac:dyDescent="0.25">
      <c r="A142" s="16" t="str">
        <f t="shared" si="0"/>
        <v>CUSTO DMA -FABIO NASSAR- JANEIRO 26</v>
      </c>
      <c r="B142" s="18">
        <v>46023</v>
      </c>
      <c r="C142" s="3">
        <v>817391</v>
      </c>
      <c r="D142" s="3" t="s">
        <v>411</v>
      </c>
      <c r="E142" s="14">
        <f t="shared" si="23"/>
        <v>-739.45</v>
      </c>
      <c r="F142" s="3" t="s">
        <v>362</v>
      </c>
      <c r="G142" s="18">
        <v>46023</v>
      </c>
      <c r="H142" s="19">
        <v>144310</v>
      </c>
      <c r="I142" s="3" t="str">
        <f>VLOOKUP(H142,'[1]Base de Clientes'!$B:$E,4,0)</f>
        <v>BW GESTAO DE INVESTIMENTOS LTDA</v>
      </c>
      <c r="J142" s="5" t="s">
        <v>8</v>
      </c>
      <c r="K142" s="5" t="s">
        <v>35</v>
      </c>
      <c r="L142" s="9">
        <v>739.45</v>
      </c>
      <c r="M142" s="11" t="s">
        <v>7</v>
      </c>
      <c r="N142" s="13" t="s">
        <v>16</v>
      </c>
      <c r="O142" s="7">
        <v>1</v>
      </c>
      <c r="P142" s="3" t="s">
        <v>206</v>
      </c>
      <c r="T142" s="7"/>
    </row>
    <row r="143" spans="1:20" x14ac:dyDescent="0.25">
      <c r="A143" s="16" t="str">
        <f t="shared" si="0"/>
        <v>CUSTO DMA -ANA FLAVIA SOARES- JANEIRO 26</v>
      </c>
      <c r="B143" s="18">
        <v>46023</v>
      </c>
      <c r="C143" s="3">
        <v>817391</v>
      </c>
      <c r="D143" s="3" t="s">
        <v>480</v>
      </c>
      <c r="E143" s="14">
        <f t="shared" si="23"/>
        <v>-536.58000000000004</v>
      </c>
      <c r="F143" s="3" t="s">
        <v>362</v>
      </c>
      <c r="G143" s="18">
        <v>46023</v>
      </c>
      <c r="H143" s="19">
        <v>80828</v>
      </c>
      <c r="I143" s="3" t="str">
        <f>VLOOKUP(H143,'[1]Base de Clientes'!$B:$E,4,0)</f>
        <v>CAPSTONE PARTNERS GESTAO DE RECURSOS LTDA</v>
      </c>
      <c r="J143" s="5" t="s">
        <v>8</v>
      </c>
      <c r="K143" s="5" t="s">
        <v>22</v>
      </c>
      <c r="L143" s="9">
        <v>536.58000000000004</v>
      </c>
      <c r="M143" s="11" t="s">
        <v>7</v>
      </c>
      <c r="N143" s="13" t="s">
        <v>16</v>
      </c>
      <c r="O143" s="7">
        <v>1</v>
      </c>
      <c r="P143" s="3" t="s">
        <v>193</v>
      </c>
      <c r="T143" s="7"/>
    </row>
    <row r="144" spans="1:20" x14ac:dyDescent="0.25">
      <c r="A144" s="16" t="str">
        <f t="shared" si="0"/>
        <v>CUSTO DMA -MARCIO ALBUQUERQUE- JANEIRO 26</v>
      </c>
      <c r="B144" s="18">
        <v>46023</v>
      </c>
      <c r="C144" s="3">
        <v>817391</v>
      </c>
      <c r="D144" s="3" t="s">
        <v>480</v>
      </c>
      <c r="E144" s="14">
        <f t="shared" si="23"/>
        <v>-5332.0300000000007</v>
      </c>
      <c r="F144" s="3" t="s">
        <v>362</v>
      </c>
      <c r="G144" s="18">
        <v>46023</v>
      </c>
      <c r="H144" s="19">
        <v>80828</v>
      </c>
      <c r="I144" s="3" t="str">
        <f>VLOOKUP(H144,'[1]Base de Clientes'!$B:$E,4,0)</f>
        <v>CAPSTONE PARTNERS GESTAO DE RECURSOS LTDA</v>
      </c>
      <c r="J144" s="5" t="s">
        <v>8</v>
      </c>
      <c r="K144" s="5" t="s">
        <v>46</v>
      </c>
      <c r="L144" s="9">
        <v>5332.0300000000007</v>
      </c>
      <c r="M144" s="11" t="s">
        <v>7</v>
      </c>
      <c r="N144" s="13" t="s">
        <v>16</v>
      </c>
      <c r="O144" s="7">
        <v>1</v>
      </c>
      <c r="P144" s="3" t="s">
        <v>217</v>
      </c>
      <c r="T144" s="7"/>
    </row>
    <row r="145" spans="1:20" x14ac:dyDescent="0.25">
      <c r="A145" s="16" t="str">
        <f t="shared" si="0"/>
        <v>CUSTO DMA -MARIANA NEVES- JANEIRO 26</v>
      </c>
      <c r="B145" s="18">
        <v>46023</v>
      </c>
      <c r="C145" s="3">
        <v>817391</v>
      </c>
      <c r="D145" s="3" t="s">
        <v>480</v>
      </c>
      <c r="E145" s="14">
        <f t="shared" si="23"/>
        <v>-5332.03</v>
      </c>
      <c r="F145" s="3" t="s">
        <v>362</v>
      </c>
      <c r="G145" s="18">
        <v>46023</v>
      </c>
      <c r="H145" s="19">
        <v>80828</v>
      </c>
      <c r="I145" s="3" t="str">
        <f>VLOOKUP(H145,'[1]Base de Clientes'!$B:$E,4,0)</f>
        <v>CAPSTONE PARTNERS GESTAO DE RECURSOS LTDA</v>
      </c>
      <c r="J145" s="5" t="s">
        <v>8</v>
      </c>
      <c r="K145" s="5" t="s">
        <v>49</v>
      </c>
      <c r="L145" s="9">
        <v>5332.03</v>
      </c>
      <c r="M145" s="11" t="s">
        <v>7</v>
      </c>
      <c r="N145" s="13" t="s">
        <v>16</v>
      </c>
      <c r="O145" s="7">
        <v>1</v>
      </c>
      <c r="P145" s="3" t="s">
        <v>220</v>
      </c>
      <c r="T145" s="7"/>
    </row>
    <row r="146" spans="1:20" x14ac:dyDescent="0.25">
      <c r="A146" s="16" t="str">
        <f t="shared" si="0"/>
        <v>CUSTO DMA -KARINE VICENTE- JANEIRO 26</v>
      </c>
      <c r="B146" s="18">
        <v>46023</v>
      </c>
      <c r="C146" s="3">
        <v>817391</v>
      </c>
      <c r="D146" s="3" t="s">
        <v>411</v>
      </c>
      <c r="E146" s="14">
        <f t="shared" si="23"/>
        <v>-5332.03</v>
      </c>
      <c r="F146" s="3" t="s">
        <v>362</v>
      </c>
      <c r="G146" s="18">
        <v>46023</v>
      </c>
      <c r="H146" s="19">
        <v>80961</v>
      </c>
      <c r="I146" s="3" t="str">
        <f>VLOOKUP(H146,'[1]Base de Clientes'!$B:$E,4,0)</f>
        <v>BANCO CITIBANK S/A</v>
      </c>
      <c r="J146" s="5" t="s">
        <v>8</v>
      </c>
      <c r="K146" s="5" t="s">
        <v>43</v>
      </c>
      <c r="L146" s="9">
        <v>5332.03</v>
      </c>
      <c r="M146" s="11" t="s">
        <v>7</v>
      </c>
      <c r="N146" s="13" t="s">
        <v>16</v>
      </c>
      <c r="O146" s="7">
        <v>1</v>
      </c>
      <c r="P146" s="3" t="s">
        <v>214</v>
      </c>
      <c r="T146" s="7"/>
    </row>
    <row r="147" spans="1:20" x14ac:dyDescent="0.25">
      <c r="A147" s="16" t="str">
        <f t="shared" si="0"/>
        <v>CUSTO DMA -LEONARDO MACEDO- JANEIRO 26</v>
      </c>
      <c r="B147" s="18">
        <v>46023</v>
      </c>
      <c r="C147" s="3">
        <v>817391</v>
      </c>
      <c r="D147" s="3" t="s">
        <v>403</v>
      </c>
      <c r="E147" s="14">
        <f t="shared" si="23"/>
        <v>-5332.03</v>
      </c>
      <c r="F147" s="3" t="s">
        <v>362</v>
      </c>
      <c r="G147" s="18">
        <v>46023</v>
      </c>
      <c r="H147" s="19">
        <v>80883</v>
      </c>
      <c r="I147" s="3" t="str">
        <f>VLOOKUP(H147,'[1]Base de Clientes'!$B:$E,4,0)</f>
        <v>GENOA CAPITAL GESTORA DE RECURSOS LTDA</v>
      </c>
      <c r="J147" s="5" t="s">
        <v>8</v>
      </c>
      <c r="K147" s="5" t="s">
        <v>45</v>
      </c>
      <c r="L147" s="9">
        <v>5332.03</v>
      </c>
      <c r="M147" s="11" t="s">
        <v>7</v>
      </c>
      <c r="N147" s="13" t="s">
        <v>16</v>
      </c>
      <c r="O147" s="7">
        <v>1</v>
      </c>
      <c r="P147" s="3" t="s">
        <v>216</v>
      </c>
      <c r="T147" s="7"/>
    </row>
    <row r="148" spans="1:20" x14ac:dyDescent="0.25">
      <c r="A148" s="16" t="str">
        <f t="shared" si="0"/>
        <v>CUSTO DMA -MARIO RUOCO- JANEIRO 26</v>
      </c>
      <c r="B148" s="18">
        <v>46023</v>
      </c>
      <c r="C148" s="3">
        <v>817391</v>
      </c>
      <c r="D148" s="3" t="s">
        <v>483</v>
      </c>
      <c r="E148" s="14">
        <f t="shared" si="23"/>
        <v>-447.8</v>
      </c>
      <c r="F148" s="3" t="s">
        <v>362</v>
      </c>
      <c r="G148" s="18">
        <v>46023</v>
      </c>
      <c r="H148" s="19">
        <v>81259</v>
      </c>
      <c r="I148" s="3" t="str">
        <f>VLOOKUP(H148,'[1]Base de Clientes'!$B:$E,4,0)</f>
        <v>GOLDMAN SACHS DO BRASIL BANCO MULTIPLO S/A</v>
      </c>
      <c r="J148" s="5" t="s">
        <v>8</v>
      </c>
      <c r="K148" s="5" t="s">
        <v>51</v>
      </c>
      <c r="L148" s="9">
        <v>447.8</v>
      </c>
      <c r="M148" s="11" t="s">
        <v>7</v>
      </c>
      <c r="N148" s="13" t="s">
        <v>16</v>
      </c>
      <c r="O148" s="7">
        <v>1</v>
      </c>
      <c r="P148" s="3" t="s">
        <v>222</v>
      </c>
      <c r="T148" s="7"/>
    </row>
    <row r="149" spans="1:20" x14ac:dyDescent="0.25">
      <c r="A149" s="16" t="str">
        <f t="shared" si="0"/>
        <v>CUSTO DMA -RAFAEL FONSECA- JANEIRO 26</v>
      </c>
      <c r="B149" s="18">
        <v>46023</v>
      </c>
      <c r="C149" s="3">
        <v>817391</v>
      </c>
      <c r="D149" s="3" t="s">
        <v>402</v>
      </c>
      <c r="E149" s="14">
        <f t="shared" si="23"/>
        <v>-445.55</v>
      </c>
      <c r="F149" s="3" t="s">
        <v>362</v>
      </c>
      <c r="G149" s="18">
        <v>46023</v>
      </c>
      <c r="H149" s="19">
        <v>81259</v>
      </c>
      <c r="I149" s="3" t="str">
        <f>VLOOKUP(H149,'[1]Base de Clientes'!$B:$E,4,0)</f>
        <v>GOLDMAN SACHS DO BRASIL BANCO MULTIPLO S/A</v>
      </c>
      <c r="J149" s="5" t="s">
        <v>8</v>
      </c>
      <c r="K149" s="5" t="s">
        <v>57</v>
      </c>
      <c r="L149" s="9">
        <v>445.55</v>
      </c>
      <c r="M149" s="11" t="s">
        <v>7</v>
      </c>
      <c r="N149" s="13" t="s">
        <v>16</v>
      </c>
      <c r="O149" s="7">
        <v>1</v>
      </c>
      <c r="P149" s="3" t="s">
        <v>228</v>
      </c>
      <c r="T149" s="7"/>
    </row>
    <row r="150" spans="1:20" x14ac:dyDescent="0.25">
      <c r="A150" s="16" t="str">
        <f t="shared" si="0"/>
        <v>CUSTO DMA -PEDRO CURY- JANEIRO 26</v>
      </c>
      <c r="B150" s="18">
        <v>46023</v>
      </c>
      <c r="C150" s="3">
        <v>817391</v>
      </c>
      <c r="D150" s="3" t="s">
        <v>402</v>
      </c>
      <c r="E150" s="14">
        <f t="shared" si="23"/>
        <v>-5332.0300000000007</v>
      </c>
      <c r="F150" s="3" t="s">
        <v>362</v>
      </c>
      <c r="G150" s="18">
        <v>46023</v>
      </c>
      <c r="H150" s="19">
        <v>81348</v>
      </c>
      <c r="I150" s="3" t="str">
        <f>VLOOKUP(H150,'[1]Base de Clientes'!$B:$E,4,0)</f>
        <v>BANCO HSBC S/A</v>
      </c>
      <c r="J150" s="5" t="s">
        <v>8</v>
      </c>
      <c r="K150" s="5" t="s">
        <v>52</v>
      </c>
      <c r="L150" s="9">
        <v>5332.0300000000007</v>
      </c>
      <c r="M150" s="11" t="s">
        <v>7</v>
      </c>
      <c r="N150" s="13" t="s">
        <v>16</v>
      </c>
      <c r="O150" s="7">
        <v>1</v>
      </c>
      <c r="P150" s="3" t="s">
        <v>223</v>
      </c>
      <c r="T150" s="7"/>
    </row>
    <row r="151" spans="1:20" x14ac:dyDescent="0.25">
      <c r="A151" s="16" t="str">
        <f t="shared" ref="A151:A196" si="36">CONCATENATE(J151,M151,K151,M151,N151)</f>
        <v>CUSTO DMA -BEATRIZ BIDUTTE- JANEIRO 26</v>
      </c>
      <c r="B151" s="18">
        <v>46023</v>
      </c>
      <c r="C151" s="3">
        <v>817391</v>
      </c>
      <c r="D151" s="3" t="s">
        <v>474</v>
      </c>
      <c r="E151" s="14">
        <f t="shared" si="23"/>
        <v>-5332.03</v>
      </c>
      <c r="F151" s="3" t="s">
        <v>362</v>
      </c>
      <c r="G151" s="18">
        <v>46023</v>
      </c>
      <c r="H151" s="19">
        <v>79965</v>
      </c>
      <c r="I151" s="3" t="str">
        <f>VLOOKUP(H151,'[1]Base de Clientes'!$B:$E,4,0)</f>
        <v>BANCO HSBC S/A</v>
      </c>
      <c r="J151" s="5" t="s">
        <v>8</v>
      </c>
      <c r="K151" s="5" t="s">
        <v>24</v>
      </c>
      <c r="L151" s="9">
        <v>5332.03</v>
      </c>
      <c r="M151" s="11" t="s">
        <v>7</v>
      </c>
      <c r="N151" s="13" t="s">
        <v>16</v>
      </c>
      <c r="O151" s="7">
        <v>1</v>
      </c>
      <c r="P151" s="3" t="s">
        <v>195</v>
      </c>
      <c r="Q151" s="4"/>
      <c r="T151" s="7"/>
    </row>
    <row r="152" spans="1:20" x14ac:dyDescent="0.25">
      <c r="A152" s="16" t="str">
        <f t="shared" si="36"/>
        <v>CUSTO DMA -GABRIEL NASCIMENTO- JANEIRO 26</v>
      </c>
      <c r="B152" s="18">
        <v>46023</v>
      </c>
      <c r="C152" s="3">
        <v>817391</v>
      </c>
      <c r="D152" s="3" t="s">
        <v>474</v>
      </c>
      <c r="E152" s="14">
        <f t="shared" si="23"/>
        <v>-5332.03</v>
      </c>
      <c r="F152" s="3" t="s">
        <v>362</v>
      </c>
      <c r="G152" s="18">
        <v>46023</v>
      </c>
      <c r="H152" s="19">
        <v>81348</v>
      </c>
      <c r="I152" s="3" t="str">
        <f>VLOOKUP(H152,'[1]Base de Clientes'!$B:$E,4,0)</f>
        <v>BANCO HSBC S/A</v>
      </c>
      <c r="J152" s="5" t="s">
        <v>8</v>
      </c>
      <c r="K152" s="5" t="s">
        <v>37</v>
      </c>
      <c r="L152" s="9">
        <v>5332.03</v>
      </c>
      <c r="M152" s="11" t="s">
        <v>7</v>
      </c>
      <c r="N152" s="13" t="s">
        <v>16</v>
      </c>
      <c r="O152" s="7">
        <v>1</v>
      </c>
      <c r="P152" s="3" t="s">
        <v>208</v>
      </c>
      <c r="Q152" s="4"/>
      <c r="T152" s="7"/>
    </row>
    <row r="153" spans="1:20" x14ac:dyDescent="0.25">
      <c r="A153" s="16" t="str">
        <f t="shared" si="36"/>
        <v>CUSTO DMA -FELIPE GRIGOROVSKI- JANEIRO 26</v>
      </c>
      <c r="B153" s="18">
        <v>46023</v>
      </c>
      <c r="C153" s="3">
        <v>817391</v>
      </c>
      <c r="D153" s="3" t="s">
        <v>398</v>
      </c>
      <c r="E153" s="14">
        <f t="shared" si="23"/>
        <v>-27.89</v>
      </c>
      <c r="F153" s="3" t="s">
        <v>362</v>
      </c>
      <c r="G153" s="18">
        <v>46023</v>
      </c>
      <c r="H153" s="19">
        <v>80958</v>
      </c>
      <c r="I153" s="3" t="str">
        <f>VLOOKUP(H153,'[1]Base de Clientes'!$B:$E,4,0)</f>
        <v>ITAU UNIBANCO ASSET - OPTIMUS</v>
      </c>
      <c r="J153" s="5" t="s">
        <v>8</v>
      </c>
      <c r="K153" s="5" t="s">
        <v>33</v>
      </c>
      <c r="L153" s="9">
        <v>27.89</v>
      </c>
      <c r="M153" s="11" t="s">
        <v>7</v>
      </c>
      <c r="N153" s="13" t="s">
        <v>16</v>
      </c>
      <c r="O153" s="7">
        <v>1</v>
      </c>
      <c r="P153" s="3" t="s">
        <v>204</v>
      </c>
      <c r="Q153" s="4"/>
      <c r="T153" s="7"/>
    </row>
    <row r="154" spans="1:20" x14ac:dyDescent="0.25">
      <c r="A154" s="16" t="str">
        <f t="shared" si="36"/>
        <v>CUSTO DMA -FERNANDO SCARPA- JANEIRO 26</v>
      </c>
      <c r="B154" s="18">
        <v>46023</v>
      </c>
      <c r="C154" s="3">
        <v>817391</v>
      </c>
      <c r="D154" s="3" t="s">
        <v>400</v>
      </c>
      <c r="E154" s="14">
        <f t="shared" si="23"/>
        <v>-5332.0300000000007</v>
      </c>
      <c r="F154" s="3" t="s">
        <v>362</v>
      </c>
      <c r="G154" s="18">
        <v>46023</v>
      </c>
      <c r="H154" s="19">
        <v>80375</v>
      </c>
      <c r="I154" s="3" t="str">
        <f>VLOOKUP(H154,'[1]Base de Clientes'!$B:$E,4,0)</f>
        <v>ITAU UNIBANCO S/A</v>
      </c>
      <c r="J154" s="5" t="s">
        <v>8</v>
      </c>
      <c r="K154" s="5" t="s">
        <v>36</v>
      </c>
      <c r="L154" s="9">
        <v>5332.0300000000007</v>
      </c>
      <c r="M154" s="11" t="s">
        <v>7</v>
      </c>
      <c r="N154" s="13" t="s">
        <v>16</v>
      </c>
      <c r="O154" s="7">
        <v>1</v>
      </c>
      <c r="P154" s="3" t="s">
        <v>207</v>
      </c>
      <c r="Q154" s="4"/>
      <c r="T154" s="7"/>
    </row>
    <row r="155" spans="1:20" x14ac:dyDescent="0.25">
      <c r="A155" s="16" t="str">
        <f t="shared" si="36"/>
        <v>CUSTO DMA -ALFIO SILVA- JANEIRO 26</v>
      </c>
      <c r="B155" s="18">
        <v>46023</v>
      </c>
      <c r="C155" s="3">
        <v>817391</v>
      </c>
      <c r="D155" s="3" t="s">
        <v>401</v>
      </c>
      <c r="E155" s="14">
        <f t="shared" si="23"/>
        <v>-381.04</v>
      </c>
      <c r="F155" s="3" t="s">
        <v>362</v>
      </c>
      <c r="G155" s="18">
        <v>46023</v>
      </c>
      <c r="H155" s="19">
        <v>80227</v>
      </c>
      <c r="I155" s="3" t="str">
        <f>VLOOKUP(H155,'[1]Base de Clientes'!$B:$E,4,0)</f>
        <v>ITAU UNIBANCO S/A</v>
      </c>
      <c r="J155" s="5" t="s">
        <v>8</v>
      </c>
      <c r="K155" s="5" t="s">
        <v>23</v>
      </c>
      <c r="L155" s="9">
        <v>381.04</v>
      </c>
      <c r="M155" s="11" t="s">
        <v>7</v>
      </c>
      <c r="N155" s="13" t="s">
        <v>16</v>
      </c>
      <c r="O155" s="7">
        <v>1</v>
      </c>
      <c r="P155" s="3" t="s">
        <v>194</v>
      </c>
      <c r="Q155" s="4"/>
      <c r="T155" s="7"/>
    </row>
    <row r="156" spans="1:20" x14ac:dyDescent="0.25">
      <c r="A156" s="16" t="str">
        <f t="shared" si="36"/>
        <v>CUSTO DMA -DANIEL COSTA- JANEIRO 26</v>
      </c>
      <c r="B156" s="18">
        <v>46023</v>
      </c>
      <c r="C156" s="3">
        <v>817391</v>
      </c>
      <c r="D156" s="3" t="s">
        <v>403</v>
      </c>
      <c r="E156" s="14">
        <f t="shared" si="23"/>
        <v>-538.86</v>
      </c>
      <c r="F156" s="3" t="s">
        <v>362</v>
      </c>
      <c r="G156" s="18">
        <v>46023</v>
      </c>
      <c r="H156" s="19">
        <v>82010</v>
      </c>
      <c r="I156" s="3" t="str">
        <f>VLOOKUP(H156,'[1]Base de Clientes'!$B:$E,4,0)</f>
        <v>ITAU UNIBANCO ASSET - JANEIRO</v>
      </c>
      <c r="J156" s="5" t="s">
        <v>8</v>
      </c>
      <c r="K156" s="5" t="s">
        <v>29</v>
      </c>
      <c r="L156" s="9">
        <v>1077.72</v>
      </c>
      <c r="M156" s="11" t="s">
        <v>7</v>
      </c>
      <c r="N156" s="13" t="s">
        <v>16</v>
      </c>
      <c r="O156" s="7">
        <v>0.5</v>
      </c>
      <c r="P156" s="3" t="s">
        <v>200</v>
      </c>
      <c r="Q156" s="4"/>
      <c r="T156" s="7"/>
    </row>
    <row r="157" spans="1:20" x14ac:dyDescent="0.25">
      <c r="A157" s="16" t="str">
        <f t="shared" ref="A157" si="37">CONCATENATE(J157,M157,K157,M157,N157)</f>
        <v>CUSTO DMA -DANIEL COSTA- JANEIRO 26</v>
      </c>
      <c r="B157" s="18">
        <v>46023</v>
      </c>
      <c r="C157" s="3">
        <v>817391</v>
      </c>
      <c r="D157" s="3" t="s">
        <v>402</v>
      </c>
      <c r="E157" s="14">
        <f t="shared" ref="E157" si="38">-L157*O157</f>
        <v>-538.86</v>
      </c>
      <c r="F157" s="3" t="s">
        <v>362</v>
      </c>
      <c r="G157" s="18">
        <v>46023</v>
      </c>
      <c r="H157" s="19">
        <v>82010</v>
      </c>
      <c r="I157" s="3" t="str">
        <f>VLOOKUP(H157,'[1]Base de Clientes'!$B:$E,4,0)</f>
        <v>ITAU UNIBANCO ASSET - JANEIRO</v>
      </c>
      <c r="J157" s="5" t="s">
        <v>8</v>
      </c>
      <c r="K157" s="5" t="s">
        <v>29</v>
      </c>
      <c r="L157" s="9">
        <v>1077.72</v>
      </c>
      <c r="M157" s="11" t="s">
        <v>7</v>
      </c>
      <c r="N157" s="13" t="s">
        <v>16</v>
      </c>
      <c r="O157" s="7">
        <v>0.5</v>
      </c>
      <c r="P157" s="3" t="s">
        <v>200</v>
      </c>
      <c r="Q157" s="4"/>
      <c r="T157" s="7"/>
    </row>
    <row r="158" spans="1:20" x14ac:dyDescent="0.25">
      <c r="A158" s="16" t="str">
        <f t="shared" si="36"/>
        <v>CUSTO DMA -DANILO MACARI- JANEIRO 26</v>
      </c>
      <c r="B158" s="18">
        <v>46023</v>
      </c>
      <c r="C158" s="3">
        <v>817391</v>
      </c>
      <c r="D158" s="3" t="s">
        <v>403</v>
      </c>
      <c r="E158" s="14">
        <f t="shared" si="23"/>
        <v>-2666.0149999999999</v>
      </c>
      <c r="F158" s="3" t="s">
        <v>362</v>
      </c>
      <c r="G158" s="18">
        <v>46023</v>
      </c>
      <c r="H158" s="19">
        <v>82010</v>
      </c>
      <c r="I158" s="3" t="str">
        <f>VLOOKUP(H158,'[1]Base de Clientes'!$B:$E,4,0)</f>
        <v>ITAU UNIBANCO ASSET - JANEIRO</v>
      </c>
      <c r="J158" s="5" t="s">
        <v>8</v>
      </c>
      <c r="K158" s="5" t="s">
        <v>30</v>
      </c>
      <c r="L158" s="9">
        <v>5332.03</v>
      </c>
      <c r="M158" s="11" t="s">
        <v>7</v>
      </c>
      <c r="N158" s="13" t="s">
        <v>16</v>
      </c>
      <c r="O158" s="7">
        <v>0.5</v>
      </c>
      <c r="P158" s="3" t="s">
        <v>201</v>
      </c>
      <c r="Q158" s="4"/>
      <c r="T158" s="7"/>
    </row>
    <row r="159" spans="1:20" x14ac:dyDescent="0.25">
      <c r="A159" s="16" t="str">
        <f t="shared" ref="A159" si="39">CONCATENATE(J159,M159,K159,M159,N159)</f>
        <v>CUSTO DMA -DANILO MACARI- JANEIRO 26</v>
      </c>
      <c r="B159" s="18">
        <v>46023</v>
      </c>
      <c r="C159" s="3">
        <v>817391</v>
      </c>
      <c r="D159" s="3" t="s">
        <v>402</v>
      </c>
      <c r="E159" s="14">
        <f t="shared" ref="E159" si="40">-L159*O159</f>
        <v>-2666.0149999999999</v>
      </c>
      <c r="F159" s="3" t="s">
        <v>362</v>
      </c>
      <c r="G159" s="18">
        <v>46023</v>
      </c>
      <c r="H159" s="19">
        <v>82010</v>
      </c>
      <c r="I159" s="3" t="str">
        <f>VLOOKUP(H159,'[1]Base de Clientes'!$B:$E,4,0)</f>
        <v>ITAU UNIBANCO ASSET - JANEIRO</v>
      </c>
      <c r="J159" s="5" t="s">
        <v>8</v>
      </c>
      <c r="K159" s="5" t="s">
        <v>30</v>
      </c>
      <c r="L159" s="9">
        <v>5332.03</v>
      </c>
      <c r="M159" s="11" t="s">
        <v>7</v>
      </c>
      <c r="N159" s="13" t="s">
        <v>16</v>
      </c>
      <c r="O159" s="7">
        <v>0.5</v>
      </c>
      <c r="P159" s="3" t="s">
        <v>201</v>
      </c>
      <c r="Q159" s="4"/>
      <c r="T159" s="7"/>
    </row>
    <row r="160" spans="1:20" x14ac:dyDescent="0.25">
      <c r="A160" s="16" t="str">
        <f t="shared" si="36"/>
        <v>CUSTO DMA -FILIPE CAVALCANTI- JANEIRO 26</v>
      </c>
      <c r="B160" s="18">
        <v>46023</v>
      </c>
      <c r="C160" s="3">
        <v>817391</v>
      </c>
      <c r="D160" s="3" t="s">
        <v>401</v>
      </c>
      <c r="E160" s="14">
        <f t="shared" ref="E160:E196" si="41">-L160*O160</f>
        <v>-4653.01</v>
      </c>
      <c r="F160" s="3" t="s">
        <v>362</v>
      </c>
      <c r="G160" s="18">
        <v>46023</v>
      </c>
      <c r="H160" s="19">
        <v>80227</v>
      </c>
      <c r="I160" s="3" t="str">
        <f>VLOOKUP(H160,'[1]Base de Clientes'!$B:$E,4,0)</f>
        <v>ITAU UNIBANCO S/A</v>
      </c>
      <c r="J160" s="5" t="s">
        <v>8</v>
      </c>
      <c r="K160" s="5" t="s">
        <v>32</v>
      </c>
      <c r="L160" s="9">
        <v>4653.01</v>
      </c>
      <c r="M160" s="11" t="s">
        <v>7</v>
      </c>
      <c r="N160" s="13" t="s">
        <v>16</v>
      </c>
      <c r="O160" s="7">
        <v>1</v>
      </c>
      <c r="P160" s="3" t="s">
        <v>203</v>
      </c>
      <c r="Q160" s="4"/>
      <c r="T160" s="7"/>
    </row>
    <row r="161" spans="1:20" x14ac:dyDescent="0.25">
      <c r="A161" s="16" t="str">
        <f t="shared" si="36"/>
        <v>CUSTO DMA -SAMIR CHELALA- JANEIRO 26</v>
      </c>
      <c r="B161" s="18">
        <v>46023</v>
      </c>
      <c r="C161" s="3">
        <v>817391</v>
      </c>
      <c r="D161" s="3" t="s">
        <v>401</v>
      </c>
      <c r="E161" s="14">
        <f t="shared" si="41"/>
        <v>-3326.87</v>
      </c>
      <c r="F161" s="3" t="s">
        <v>362</v>
      </c>
      <c r="G161" s="18">
        <v>46023</v>
      </c>
      <c r="H161" s="19">
        <v>79985</v>
      </c>
      <c r="I161" s="3" t="str">
        <f>VLOOKUP(H161,'[1]Base de Clientes'!$B:$E,4,0)</f>
        <v>ITAU UNIBANCO S/A</v>
      </c>
      <c r="J161" s="5" t="s">
        <v>8</v>
      </c>
      <c r="K161" s="5" t="s">
        <v>61</v>
      </c>
      <c r="L161" s="9">
        <v>3326.87</v>
      </c>
      <c r="M161" s="11" t="s">
        <v>7</v>
      </c>
      <c r="N161" s="13" t="s">
        <v>16</v>
      </c>
      <c r="O161" s="7">
        <v>1</v>
      </c>
      <c r="P161" s="3" t="s">
        <v>232</v>
      </c>
      <c r="Q161" s="4"/>
      <c r="T161" s="7"/>
    </row>
    <row r="162" spans="1:20" x14ac:dyDescent="0.25">
      <c r="A162" s="16" t="str">
        <f t="shared" si="36"/>
        <v>CUSTO DMA -JOAO PEDRO LEON- JANEIRO 26</v>
      </c>
      <c r="B162" s="18">
        <v>46023</v>
      </c>
      <c r="C162" s="3">
        <v>817391</v>
      </c>
      <c r="D162" s="3" t="s">
        <v>402</v>
      </c>
      <c r="E162" s="14">
        <f t="shared" si="41"/>
        <v>-3009.9700000000003</v>
      </c>
      <c r="F162" s="3" t="s">
        <v>362</v>
      </c>
      <c r="G162" s="18">
        <v>46023</v>
      </c>
      <c r="H162" s="19">
        <v>79452</v>
      </c>
      <c r="I162" s="3" t="str">
        <f>VLOOKUP(H162,'[1]Base de Clientes'!$B:$E,4,0)</f>
        <v>JGP GESTAO PATRIMONIAL LTDA</v>
      </c>
      <c r="J162" s="5" t="s">
        <v>8</v>
      </c>
      <c r="K162" s="5" t="s">
        <v>41</v>
      </c>
      <c r="L162" s="9">
        <v>3009.9700000000003</v>
      </c>
      <c r="M162" s="11" t="s">
        <v>7</v>
      </c>
      <c r="N162" s="13" t="s">
        <v>16</v>
      </c>
      <c r="O162" s="7">
        <v>1</v>
      </c>
      <c r="P162" s="3" t="s">
        <v>212</v>
      </c>
      <c r="Q162" s="4"/>
      <c r="T162" s="7"/>
    </row>
    <row r="163" spans="1:20" x14ac:dyDescent="0.25">
      <c r="A163" s="16" t="str">
        <f t="shared" si="36"/>
        <v>CUSTO DMA -ANDRE BAUM- JANEIRO 26</v>
      </c>
      <c r="B163" s="18">
        <v>46023</v>
      </c>
      <c r="C163" s="3">
        <v>817391</v>
      </c>
      <c r="D163" s="3" t="s">
        <v>400</v>
      </c>
      <c r="E163" s="14">
        <f t="shared" si="41"/>
        <v>-2666.0149999999999</v>
      </c>
      <c r="F163" s="3" t="s">
        <v>362</v>
      </c>
      <c r="G163" s="18">
        <v>46023</v>
      </c>
      <c r="H163" s="19">
        <v>12413</v>
      </c>
      <c r="I163" s="3" t="str">
        <f>VLOOKUP(H163,'[1]Base de Clientes'!$B:$E,4,0)</f>
        <v>KAPITALO INVESTIMENTOS LTDA</v>
      </c>
      <c r="J163" s="5" t="s">
        <v>8</v>
      </c>
      <c r="K163" s="5" t="s">
        <v>20</v>
      </c>
      <c r="L163" s="9">
        <v>5332.03</v>
      </c>
      <c r="M163" s="11" t="s">
        <v>7</v>
      </c>
      <c r="N163" s="13" t="s">
        <v>16</v>
      </c>
      <c r="O163" s="7">
        <v>0.5</v>
      </c>
      <c r="P163" s="3" t="s">
        <v>191</v>
      </c>
      <c r="Q163" s="4"/>
      <c r="T163" s="7"/>
    </row>
    <row r="164" spans="1:20" x14ac:dyDescent="0.25">
      <c r="A164" s="16" t="str">
        <f t="shared" ref="A164" si="42">CONCATENATE(J164,M164,K164,M164,N164)</f>
        <v>CUSTO DMA -ANDRE BAUM- JANEIRO 26</v>
      </c>
      <c r="B164" s="18">
        <v>46023</v>
      </c>
      <c r="C164" s="3">
        <v>817391</v>
      </c>
      <c r="D164" s="3" t="s">
        <v>399</v>
      </c>
      <c r="E164" s="14">
        <f t="shared" ref="E164" si="43">-L164*O164</f>
        <v>-2666.0149999999999</v>
      </c>
      <c r="F164" s="3" t="s">
        <v>362</v>
      </c>
      <c r="G164" s="18">
        <v>46023</v>
      </c>
      <c r="H164" s="19">
        <v>12413</v>
      </c>
      <c r="I164" s="3" t="str">
        <f>VLOOKUP(H164,'[1]Base de Clientes'!$B:$E,4,0)</f>
        <v>KAPITALO INVESTIMENTOS LTDA</v>
      </c>
      <c r="J164" s="5" t="s">
        <v>8</v>
      </c>
      <c r="K164" s="5" t="s">
        <v>20</v>
      </c>
      <c r="L164" s="9">
        <v>5332.03</v>
      </c>
      <c r="M164" s="11" t="s">
        <v>7</v>
      </c>
      <c r="N164" s="13" t="s">
        <v>16</v>
      </c>
      <c r="O164" s="7">
        <v>0.5</v>
      </c>
      <c r="P164" s="3" t="s">
        <v>191</v>
      </c>
      <c r="Q164" s="4"/>
      <c r="T164" s="7"/>
    </row>
    <row r="165" spans="1:20" x14ac:dyDescent="0.25">
      <c r="A165" s="16" t="str">
        <f t="shared" si="36"/>
        <v>CUSTO DMA -BERNARDO GOMES- JANEIRO 26</v>
      </c>
      <c r="B165" s="18">
        <v>46023</v>
      </c>
      <c r="C165" s="3">
        <v>817391</v>
      </c>
      <c r="D165" s="3" t="s">
        <v>480</v>
      </c>
      <c r="E165" s="14">
        <f t="shared" si="41"/>
        <v>-5332.03</v>
      </c>
      <c r="F165" s="3" t="s">
        <v>362</v>
      </c>
      <c r="G165" s="18">
        <v>46023</v>
      </c>
      <c r="H165" s="19">
        <v>81936</v>
      </c>
      <c r="I165" s="3" t="str">
        <f>VLOOKUP(H165,'[1]Base de Clientes'!$B:$E,4,0)</f>
        <v>KAPITALO INVESTIMENTOS LTDA</v>
      </c>
      <c r="J165" s="5" t="s">
        <v>8</v>
      </c>
      <c r="K165" s="5" t="s">
        <v>26</v>
      </c>
      <c r="L165" s="9">
        <v>5332.03</v>
      </c>
      <c r="M165" s="11" t="s">
        <v>7</v>
      </c>
      <c r="N165" s="13" t="s">
        <v>16</v>
      </c>
      <c r="O165" s="7">
        <v>1</v>
      </c>
      <c r="P165" s="3" t="s">
        <v>197</v>
      </c>
      <c r="Q165" s="4"/>
      <c r="T165" s="7"/>
    </row>
    <row r="166" spans="1:20" x14ac:dyDescent="0.25">
      <c r="A166" s="16" t="str">
        <f t="shared" si="36"/>
        <v>CUSTO DMA -FELIPE GUERRA- JANEIRO 26</v>
      </c>
      <c r="B166" s="18">
        <v>46023</v>
      </c>
      <c r="C166" s="3">
        <v>817391</v>
      </c>
      <c r="D166" s="3" t="s">
        <v>404</v>
      </c>
      <c r="E166" s="14">
        <f t="shared" si="41"/>
        <v>-836.68000000000006</v>
      </c>
      <c r="F166" s="3" t="s">
        <v>362</v>
      </c>
      <c r="G166" s="18">
        <v>46023</v>
      </c>
      <c r="H166" s="19">
        <v>80386</v>
      </c>
      <c r="I166" s="3" t="str">
        <f>VLOOKUP(H166,'[1]Base de Clientes'!$B:$E,4,0)</f>
        <v>LEGACY CAPITAL GESTORA DE RECURSOS LTDA</v>
      </c>
      <c r="J166" s="5" t="s">
        <v>8</v>
      </c>
      <c r="K166" s="5" t="s">
        <v>34</v>
      </c>
      <c r="L166" s="9">
        <v>1673.3600000000001</v>
      </c>
      <c r="M166" s="11" t="s">
        <v>7</v>
      </c>
      <c r="N166" s="13" t="s">
        <v>16</v>
      </c>
      <c r="O166" s="7">
        <v>0.5</v>
      </c>
      <c r="P166" s="3" t="s">
        <v>205</v>
      </c>
      <c r="Q166" s="4"/>
      <c r="T166" s="7"/>
    </row>
    <row r="167" spans="1:20" x14ac:dyDescent="0.25">
      <c r="A167" s="16" t="str">
        <f t="shared" ref="A167" si="44">CONCATENATE(J167,M167,K167,M167,N167)</f>
        <v>CUSTO DMA -FELIPE GUERRA- JANEIRO 26</v>
      </c>
      <c r="B167" s="18">
        <v>46023</v>
      </c>
      <c r="C167" s="3">
        <v>817391</v>
      </c>
      <c r="D167" s="3" t="s">
        <v>405</v>
      </c>
      <c r="E167" s="14">
        <f t="shared" ref="E167" si="45">-L167*O167</f>
        <v>-836.68000000000006</v>
      </c>
      <c r="F167" s="3" t="s">
        <v>362</v>
      </c>
      <c r="G167" s="18">
        <v>46023</v>
      </c>
      <c r="H167" s="19">
        <v>80386</v>
      </c>
      <c r="I167" s="3" t="str">
        <f>VLOOKUP(H167,'[1]Base de Clientes'!$B:$E,4,0)</f>
        <v>LEGACY CAPITAL GESTORA DE RECURSOS LTDA</v>
      </c>
      <c r="J167" s="5" t="s">
        <v>8</v>
      </c>
      <c r="K167" s="5" t="s">
        <v>34</v>
      </c>
      <c r="L167" s="9">
        <v>1673.3600000000001</v>
      </c>
      <c r="M167" s="11" t="s">
        <v>7</v>
      </c>
      <c r="N167" s="13" t="s">
        <v>16</v>
      </c>
      <c r="O167" s="7">
        <v>0.5</v>
      </c>
      <c r="P167" s="3" t="s">
        <v>205</v>
      </c>
      <c r="Q167" s="4"/>
      <c r="T167" s="7"/>
    </row>
    <row r="168" spans="1:20" x14ac:dyDescent="0.25">
      <c r="A168" s="16" t="str">
        <f t="shared" si="36"/>
        <v>CUSTO DMA -JOAO GABRIEL LOBO- JANEIRO 26</v>
      </c>
      <c r="B168" s="18">
        <v>46023</v>
      </c>
      <c r="C168" s="3">
        <v>817391</v>
      </c>
      <c r="D168" s="3" t="s">
        <v>401</v>
      </c>
      <c r="E168" s="14">
        <f t="shared" si="41"/>
        <v>-1075.0999999999999</v>
      </c>
      <c r="F168" s="3" t="s">
        <v>362</v>
      </c>
      <c r="G168" s="18">
        <v>46023</v>
      </c>
      <c r="H168" s="19">
        <v>81819</v>
      </c>
      <c r="I168" s="3" t="str">
        <f>VLOOKUP(H168,'[1]Base de Clientes'!$B:$E,4,0)</f>
        <v>MAR ASSET MANAGEMENT GESTORA DE RECURSOS LTDA</v>
      </c>
      <c r="J168" s="5" t="s">
        <v>8</v>
      </c>
      <c r="K168" s="5" t="s">
        <v>40</v>
      </c>
      <c r="L168" s="9">
        <v>1075.0999999999999</v>
      </c>
      <c r="M168" s="11" t="s">
        <v>7</v>
      </c>
      <c r="N168" s="13" t="s">
        <v>16</v>
      </c>
      <c r="O168" s="7">
        <v>1</v>
      </c>
      <c r="P168" s="3" t="s">
        <v>211</v>
      </c>
      <c r="Q168" s="4"/>
      <c r="T168" s="7"/>
    </row>
    <row r="169" spans="1:20" x14ac:dyDescent="0.25">
      <c r="A169" s="16" t="str">
        <f t="shared" si="36"/>
        <v>CUSTO DMA -MATEUS CRUZ- JANEIRO 26</v>
      </c>
      <c r="B169" s="18">
        <v>46023</v>
      </c>
      <c r="C169" s="3">
        <v>817391</v>
      </c>
      <c r="D169" s="3" t="s">
        <v>482</v>
      </c>
      <c r="E169" s="14">
        <f t="shared" si="41"/>
        <v>-129.74</v>
      </c>
      <c r="F169" s="3" t="s">
        <v>362</v>
      </c>
      <c r="G169" s="18">
        <v>46023</v>
      </c>
      <c r="H169" s="19">
        <v>18658</v>
      </c>
      <c r="I169" s="3" t="str">
        <f>VLOOKUP(H169,'[1]Base de Clientes'!$B:$E,4,0)</f>
        <v>SCOTIABANK BRASIL S/A</v>
      </c>
      <c r="J169" s="5" t="s">
        <v>8</v>
      </c>
      <c r="K169" s="5" t="s">
        <v>47</v>
      </c>
      <c r="L169" s="9">
        <v>129.74</v>
      </c>
      <c r="M169" s="11" t="s">
        <v>7</v>
      </c>
      <c r="N169" s="13" t="s">
        <v>16</v>
      </c>
      <c r="O169" s="7">
        <v>1</v>
      </c>
      <c r="P169" s="3" t="s">
        <v>218</v>
      </c>
      <c r="Q169" s="4"/>
      <c r="T169" s="7"/>
    </row>
    <row r="170" spans="1:20" x14ac:dyDescent="0.25">
      <c r="A170" s="16" t="str">
        <f t="shared" si="36"/>
        <v>CUSTO DMA -BRUNO FISCHER- JANEIRO 26</v>
      </c>
      <c r="B170" s="18">
        <v>46023</v>
      </c>
      <c r="C170" s="3">
        <v>817391</v>
      </c>
      <c r="D170" s="3" t="s">
        <v>410</v>
      </c>
      <c r="E170" s="14">
        <f t="shared" si="41"/>
        <v>-2021.2399999999998</v>
      </c>
      <c r="F170" s="3" t="s">
        <v>362</v>
      </c>
      <c r="G170" s="18">
        <v>46023</v>
      </c>
      <c r="H170" s="19">
        <v>79931</v>
      </c>
      <c r="I170" s="3" t="str">
        <f>VLOOKUP(H170,'[1]Base de Clientes'!$B:$E,4,0)</f>
        <v>SPX GESTAO DE RECURSOS LTDA</v>
      </c>
      <c r="J170" s="5" t="s">
        <v>8</v>
      </c>
      <c r="K170" s="5" t="s">
        <v>25</v>
      </c>
      <c r="L170" s="9">
        <v>2021.2399999999998</v>
      </c>
      <c r="M170" s="11" t="s">
        <v>7</v>
      </c>
      <c r="N170" s="13" t="s">
        <v>16</v>
      </c>
      <c r="O170" s="7">
        <v>1</v>
      </c>
      <c r="P170" s="3" t="s">
        <v>196</v>
      </c>
      <c r="Q170" s="4"/>
      <c r="T170" s="7"/>
    </row>
    <row r="171" spans="1:20" x14ac:dyDescent="0.25">
      <c r="A171" s="16" t="str">
        <f t="shared" si="36"/>
        <v>CUSTO DMA -LUIZ CALOBA- JANEIRO 26</v>
      </c>
      <c r="B171" s="18">
        <v>46023</v>
      </c>
      <c r="C171" s="3">
        <v>817391</v>
      </c>
      <c r="D171" s="3" t="s">
        <v>402</v>
      </c>
      <c r="E171" s="14">
        <f t="shared" si="41"/>
        <v>-1963.42</v>
      </c>
      <c r="F171" s="3" t="s">
        <v>362</v>
      </c>
      <c r="G171" s="18">
        <v>46023</v>
      </c>
      <c r="H171" s="19">
        <v>79931</v>
      </c>
      <c r="I171" s="3" t="str">
        <f>VLOOKUP(H171,'[1]Base de Clientes'!$B:$E,4,0)</f>
        <v>SPX GESTAO DE RECURSOS LTDA</v>
      </c>
      <c r="J171" s="5" t="s">
        <v>8</v>
      </c>
      <c r="K171" s="5" t="s">
        <v>44</v>
      </c>
      <c r="L171" s="9">
        <v>1963.42</v>
      </c>
      <c r="M171" s="11" t="s">
        <v>7</v>
      </c>
      <c r="N171" s="13" t="s">
        <v>16</v>
      </c>
      <c r="O171" s="7">
        <v>1</v>
      </c>
      <c r="P171" s="3" t="s">
        <v>215</v>
      </c>
      <c r="Q171" s="4"/>
      <c r="T171" s="7"/>
    </row>
    <row r="172" spans="1:20" x14ac:dyDescent="0.25">
      <c r="A172" s="16" t="str">
        <f t="shared" si="36"/>
        <v>CUSTO DMA -RAPHAELA SPILBERG- JANEIRO 26</v>
      </c>
      <c r="B172" s="18">
        <v>46023</v>
      </c>
      <c r="C172" s="3">
        <v>817391</v>
      </c>
      <c r="D172" s="3" t="s">
        <v>400</v>
      </c>
      <c r="E172" s="14">
        <f t="shared" si="41"/>
        <v>-51.9</v>
      </c>
      <c r="F172" s="3" t="s">
        <v>362</v>
      </c>
      <c r="G172" s="18">
        <v>46023</v>
      </c>
      <c r="H172" s="19">
        <v>80359</v>
      </c>
      <c r="I172" s="3" t="str">
        <f>VLOOKUP(H172,'[1]Base de Clientes'!$B:$E,4,0)</f>
        <v>VINLAND CAPITAL MANAGEMENT GESTORA DE RECURSOS LTDA</v>
      </c>
      <c r="J172" s="5" t="s">
        <v>8</v>
      </c>
      <c r="K172" s="5" t="s">
        <v>60</v>
      </c>
      <c r="L172" s="9">
        <v>51.9</v>
      </c>
      <c r="M172" s="11" t="s">
        <v>7</v>
      </c>
      <c r="N172" s="13" t="s">
        <v>16</v>
      </c>
      <c r="O172" s="7">
        <v>1</v>
      </c>
      <c r="P172" s="3" t="s">
        <v>231</v>
      </c>
      <c r="Q172" s="4"/>
      <c r="T172" s="7"/>
    </row>
    <row r="173" spans="1:20" x14ac:dyDescent="0.25">
      <c r="A173" s="16" t="str">
        <f t="shared" si="36"/>
        <v>CUSTO DMA -BRUNO MARQUES- JANEIRO 26</v>
      </c>
      <c r="B173" s="18">
        <v>46023</v>
      </c>
      <c r="C173" s="3">
        <v>817391</v>
      </c>
      <c r="D173" s="3" t="s">
        <v>411</v>
      </c>
      <c r="E173" s="14">
        <f t="shared" si="41"/>
        <v>-5332.0300000000007</v>
      </c>
      <c r="F173" s="3" t="s">
        <v>362</v>
      </c>
      <c r="G173" s="18">
        <v>46023</v>
      </c>
      <c r="H173" s="19">
        <v>80648</v>
      </c>
      <c r="I173" s="3" t="str">
        <f>VLOOKUP(H173,'[1]Base de Clientes'!$B:$E,4,0)</f>
        <v>XP GESTAO DE RECURSOS LTDA</v>
      </c>
      <c r="J173" s="5" t="s">
        <v>8</v>
      </c>
      <c r="K173" s="5" t="s">
        <v>27</v>
      </c>
      <c r="L173" s="9">
        <v>5332.0300000000007</v>
      </c>
      <c r="M173" s="11" t="s">
        <v>7</v>
      </c>
      <c r="N173" s="13" t="s">
        <v>16</v>
      </c>
      <c r="O173" s="7">
        <v>1</v>
      </c>
      <c r="P173" s="3" t="s">
        <v>198</v>
      </c>
      <c r="Q173" s="4"/>
      <c r="T173" s="7"/>
    </row>
    <row r="174" spans="1:20" x14ac:dyDescent="0.25">
      <c r="A174" s="16" t="str">
        <f t="shared" si="36"/>
        <v>CUSTO DMA -ALEXANDRE NEVES- JANEIRO 26</v>
      </c>
      <c r="B174" s="18">
        <v>46023</v>
      </c>
      <c r="C174" s="3">
        <v>817391</v>
      </c>
      <c r="D174" s="3" t="s">
        <v>400</v>
      </c>
      <c r="E174" s="14">
        <f t="shared" si="41"/>
        <v>-90.637632999999994</v>
      </c>
      <c r="F174" s="3" t="s">
        <v>363</v>
      </c>
      <c r="G174" s="18">
        <v>46023</v>
      </c>
      <c r="H174" s="19">
        <v>95005</v>
      </c>
      <c r="I174" s="3" t="str">
        <f>VLOOKUP(H174,'[1]Base de Clientes'!$B:$E,4,0)</f>
        <v>BANCO BNP PARIBAS BRASIL S/A</v>
      </c>
      <c r="J174" s="5" t="s">
        <v>8</v>
      </c>
      <c r="K174" s="5" t="s">
        <v>64</v>
      </c>
      <c r="L174" s="9">
        <v>90.637632999999994</v>
      </c>
      <c r="M174" s="11" t="s">
        <v>7</v>
      </c>
      <c r="N174" s="13" t="s">
        <v>16</v>
      </c>
      <c r="O174" s="7">
        <v>1</v>
      </c>
      <c r="P174" s="3" t="s">
        <v>504</v>
      </c>
      <c r="Q174" s="4"/>
      <c r="T174" s="7"/>
    </row>
    <row r="175" spans="1:20" x14ac:dyDescent="0.25">
      <c r="A175" s="16" t="str">
        <f t="shared" si="36"/>
        <v>CUSTO DMA -GABRIEL BAPTISTELA- JANEIRO 26</v>
      </c>
      <c r="B175" s="18">
        <v>46023</v>
      </c>
      <c r="C175" s="3">
        <v>817391</v>
      </c>
      <c r="D175" s="3" t="s">
        <v>475</v>
      </c>
      <c r="E175" s="14">
        <f t="shared" si="41"/>
        <v>-4782.2021964415708</v>
      </c>
      <c r="F175" s="3" t="s">
        <v>363</v>
      </c>
      <c r="G175" s="18">
        <v>46023</v>
      </c>
      <c r="H175" s="19">
        <v>95014</v>
      </c>
      <c r="I175" s="3" t="str">
        <f>VLOOKUP(H175,'[1]Base de Clientes'!$B:$E,4,0)</f>
        <v>BANCO BNP PARIBAS BRASIL S/A</v>
      </c>
      <c r="J175" s="5" t="s">
        <v>8</v>
      </c>
      <c r="K175" s="5" t="s">
        <v>71</v>
      </c>
      <c r="L175" s="9">
        <v>4782.2021964415708</v>
      </c>
      <c r="M175" s="11" t="s">
        <v>7</v>
      </c>
      <c r="N175" s="13" t="s">
        <v>16</v>
      </c>
      <c r="O175" s="7">
        <v>1</v>
      </c>
      <c r="P175" s="3" t="s">
        <v>505</v>
      </c>
      <c r="Q175" s="4"/>
      <c r="T175" s="7"/>
    </row>
    <row r="176" spans="1:20" x14ac:dyDescent="0.25">
      <c r="A176" s="16" t="str">
        <f t="shared" si="36"/>
        <v>CUSTO DMA -ISABELLA ATAIDE- JANEIRO 26</v>
      </c>
      <c r="B176" s="18">
        <v>46023</v>
      </c>
      <c r="C176" s="3">
        <v>817391</v>
      </c>
      <c r="D176" s="3" t="s">
        <v>478</v>
      </c>
      <c r="E176" s="14">
        <f t="shared" si="41"/>
        <v>-271.96519999999998</v>
      </c>
      <c r="F176" s="3" t="s">
        <v>363</v>
      </c>
      <c r="G176" s="18">
        <v>46023</v>
      </c>
      <c r="H176" s="19">
        <v>95005</v>
      </c>
      <c r="I176" s="3" t="str">
        <f>VLOOKUP(H176,'[1]Base de Clientes'!$B:$E,4,0)</f>
        <v>BANCO BNP PARIBAS BRASIL S/A</v>
      </c>
      <c r="J176" s="5" t="s">
        <v>8</v>
      </c>
      <c r="K176" s="5" t="s">
        <v>72</v>
      </c>
      <c r="L176" s="9">
        <v>271.96519999999998</v>
      </c>
      <c r="M176" s="11" t="s">
        <v>7</v>
      </c>
      <c r="N176" s="13" t="s">
        <v>16</v>
      </c>
      <c r="O176" s="7">
        <v>1</v>
      </c>
      <c r="P176" s="3" t="s">
        <v>506</v>
      </c>
      <c r="Q176" s="4"/>
      <c r="T176" s="7"/>
    </row>
    <row r="177" spans="1:20" x14ac:dyDescent="0.25">
      <c r="A177" s="16" t="str">
        <f t="shared" ref="A177" si="46">CONCATENATE(J177,M177,K177,M177,N177)</f>
        <v>CUSTO DMA -PAULO GUEDES- JANEIRO 26</v>
      </c>
      <c r="B177" s="18">
        <v>46023</v>
      </c>
      <c r="C177" s="3">
        <v>817391</v>
      </c>
      <c r="D177" s="3" t="s">
        <v>478</v>
      </c>
      <c r="E177" s="14">
        <f t="shared" si="41"/>
        <v>-9383.4957090304561</v>
      </c>
      <c r="F177" s="3" t="s">
        <v>363</v>
      </c>
      <c r="G177" s="18">
        <v>46023</v>
      </c>
      <c r="H177" s="19">
        <v>95005</v>
      </c>
      <c r="I177" s="3" t="str">
        <f>VLOOKUP(H177,'[1]Base de Clientes'!$B:$E,4,0)</f>
        <v>BANCO BNP PARIBAS BRASIL S/A</v>
      </c>
      <c r="J177" s="5" t="s">
        <v>8</v>
      </c>
      <c r="K177" s="5" t="s">
        <v>75</v>
      </c>
      <c r="L177" s="9">
        <v>9383.4957090304561</v>
      </c>
      <c r="M177" s="11" t="s">
        <v>7</v>
      </c>
      <c r="N177" s="13" t="s">
        <v>16</v>
      </c>
      <c r="O177" s="7">
        <v>1</v>
      </c>
      <c r="P177" s="3" t="s">
        <v>507</v>
      </c>
      <c r="Q177" s="4"/>
      <c r="T177" s="7"/>
    </row>
    <row r="178" spans="1:20" x14ac:dyDescent="0.25">
      <c r="A178" s="16" t="str">
        <f t="shared" si="36"/>
        <v>CUSTO DMA -RAFAEL HESSE- JANEIRO 26</v>
      </c>
      <c r="B178" s="18">
        <v>46023</v>
      </c>
      <c r="C178" s="3">
        <v>817391</v>
      </c>
      <c r="D178" s="3" t="s">
        <v>475</v>
      </c>
      <c r="E178" s="14">
        <f t="shared" si="41"/>
        <v>-1492.4839553988099</v>
      </c>
      <c r="F178" s="3" t="s">
        <v>363</v>
      </c>
      <c r="G178" s="18">
        <v>46023</v>
      </c>
      <c r="H178" s="19">
        <v>95005</v>
      </c>
      <c r="I178" s="3" t="str">
        <f>VLOOKUP(H178,'[1]Base de Clientes'!$B:$E,4,0)</f>
        <v>BANCO BNP PARIBAS BRASIL S/A</v>
      </c>
      <c r="J178" s="5" t="s">
        <v>8</v>
      </c>
      <c r="K178" s="5" t="s">
        <v>498</v>
      </c>
      <c r="L178" s="9">
        <v>1492.4839553988099</v>
      </c>
      <c r="M178" s="11" t="s">
        <v>7</v>
      </c>
      <c r="N178" s="13" t="s">
        <v>16</v>
      </c>
      <c r="O178" s="7">
        <v>1</v>
      </c>
      <c r="P178" s="3" t="s">
        <v>508</v>
      </c>
      <c r="Q178" s="4"/>
      <c r="T178" s="7"/>
    </row>
    <row r="179" spans="1:20" x14ac:dyDescent="0.25">
      <c r="A179" s="16" t="str">
        <f t="shared" si="36"/>
        <v>CUSTO DMA -RAFAEL MADI- JANEIRO 26</v>
      </c>
      <c r="B179" s="18">
        <v>46023</v>
      </c>
      <c r="C179" s="3">
        <v>817391</v>
      </c>
      <c r="D179" s="3" t="s">
        <v>478</v>
      </c>
      <c r="E179" s="14">
        <f t="shared" si="41"/>
        <v>-4992.9372660383451</v>
      </c>
      <c r="F179" s="3" t="s">
        <v>363</v>
      </c>
      <c r="G179" s="18">
        <v>46023</v>
      </c>
      <c r="H179" s="19">
        <v>95005</v>
      </c>
      <c r="I179" s="3" t="str">
        <f>VLOOKUP(H179,'[1]Base de Clientes'!$B:$E,4,0)</f>
        <v>BANCO BNP PARIBAS BRASIL S/A</v>
      </c>
      <c r="J179" s="5" t="s">
        <v>8</v>
      </c>
      <c r="K179" s="5" t="s">
        <v>79</v>
      </c>
      <c r="L179" s="9">
        <v>4992.9372660383451</v>
      </c>
      <c r="M179" s="11" t="s">
        <v>7</v>
      </c>
      <c r="N179" s="13" t="s">
        <v>16</v>
      </c>
      <c r="O179" s="7">
        <v>1</v>
      </c>
      <c r="P179" s="3" t="s">
        <v>509</v>
      </c>
      <c r="Q179" s="4"/>
      <c r="T179" s="7"/>
    </row>
    <row r="180" spans="1:20" x14ac:dyDescent="0.25">
      <c r="A180" s="16" t="str">
        <f t="shared" si="36"/>
        <v>CUSTO DMA -CAETANO RUFINO RAMOS- JANEIRO 26</v>
      </c>
      <c r="B180" s="18">
        <v>46023</v>
      </c>
      <c r="C180" s="3">
        <v>817391</v>
      </c>
      <c r="D180" s="3" t="s">
        <v>402</v>
      </c>
      <c r="E180" s="14">
        <f t="shared" si="41"/>
        <v>-1464.81672639881</v>
      </c>
      <c r="F180" s="3" t="s">
        <v>363</v>
      </c>
      <c r="G180" s="18">
        <v>46023</v>
      </c>
      <c r="H180" s="19">
        <v>80026</v>
      </c>
      <c r="I180" s="3" t="str">
        <f>VLOOKUP(H180,'[1]Base de Clientes'!$B:$E,4,0)</f>
        <v>BARCLAYS BANK PLC</v>
      </c>
      <c r="J180" s="5" t="s">
        <v>8</v>
      </c>
      <c r="K180" s="5" t="s">
        <v>66</v>
      </c>
      <c r="L180" s="9">
        <v>1464.81672639881</v>
      </c>
      <c r="M180" s="11" t="s">
        <v>7</v>
      </c>
      <c r="N180" s="13" t="s">
        <v>16</v>
      </c>
      <c r="O180" s="7">
        <v>1</v>
      </c>
      <c r="P180" s="3" t="s">
        <v>510</v>
      </c>
      <c r="Q180" s="4"/>
      <c r="T180" s="7"/>
    </row>
    <row r="181" spans="1:20" x14ac:dyDescent="0.25">
      <c r="A181" s="16" t="str">
        <f t="shared" si="36"/>
        <v>CUSTO DMA -VICENTE MELLO- JANEIRO 26</v>
      </c>
      <c r="B181" s="18">
        <v>46023</v>
      </c>
      <c r="C181" s="3">
        <v>817391</v>
      </c>
      <c r="D181" s="3" t="s">
        <v>402</v>
      </c>
      <c r="E181" s="14">
        <f t="shared" si="41"/>
        <v>-9401.6517865186561</v>
      </c>
      <c r="F181" s="3" t="s">
        <v>363</v>
      </c>
      <c r="G181" s="18">
        <v>46023</v>
      </c>
      <c r="H181" s="19">
        <v>80026</v>
      </c>
      <c r="I181" s="3" t="str">
        <f>VLOOKUP(H181,'[1]Base de Clientes'!$B:$E,4,0)</f>
        <v>BARCLAYS BANK PLC</v>
      </c>
      <c r="J181" s="5" t="s">
        <v>8</v>
      </c>
      <c r="K181" s="5" t="s">
        <v>82</v>
      </c>
      <c r="L181" s="9">
        <v>9401.6517865186561</v>
      </c>
      <c r="M181" s="11" t="s">
        <v>7</v>
      </c>
      <c r="N181" s="13" t="s">
        <v>16</v>
      </c>
      <c r="O181" s="7">
        <v>1</v>
      </c>
      <c r="P181" s="3" t="s">
        <v>511</v>
      </c>
      <c r="Q181" s="4"/>
      <c r="T181" s="7"/>
    </row>
    <row r="182" spans="1:20" x14ac:dyDescent="0.25">
      <c r="A182" s="16" t="str">
        <f t="shared" si="36"/>
        <v>CUSTO DMA -ELIAS RAYES- JANEIRO 26</v>
      </c>
      <c r="B182" s="18">
        <v>46023</v>
      </c>
      <c r="C182" s="3">
        <v>817391</v>
      </c>
      <c r="D182" s="3" t="s">
        <v>475</v>
      </c>
      <c r="E182" s="14">
        <f t="shared" si="41"/>
        <v>-1492.4839553988099</v>
      </c>
      <c r="F182" s="3" t="s">
        <v>363</v>
      </c>
      <c r="G182" s="18">
        <v>46023</v>
      </c>
      <c r="H182" s="19">
        <v>95005</v>
      </c>
      <c r="I182" s="3" t="str">
        <f>VLOOKUP(H182,'[1]Base de Clientes'!$B:$E,4,0)</f>
        <v>BANCO BNP PARIBAS BRASIL S/A</v>
      </c>
      <c r="J182" s="5" t="s">
        <v>8</v>
      </c>
      <c r="K182" s="5" t="s">
        <v>68</v>
      </c>
      <c r="L182" s="9">
        <v>1492.4839553988099</v>
      </c>
      <c r="M182" s="11" t="s">
        <v>7</v>
      </c>
      <c r="N182" s="13" t="s">
        <v>16</v>
      </c>
      <c r="O182" s="7">
        <v>1</v>
      </c>
      <c r="P182" s="3" t="s">
        <v>512</v>
      </c>
      <c r="Q182" s="4"/>
      <c r="T182" s="7"/>
    </row>
    <row r="183" spans="1:20" x14ac:dyDescent="0.25">
      <c r="A183" s="16" t="str">
        <f t="shared" si="36"/>
        <v>CUSTO DMA -ALISSON COSTA ARRAIS- JANEIRO 26</v>
      </c>
      <c r="B183" s="18">
        <v>46023</v>
      </c>
      <c r="C183" s="3">
        <v>817391</v>
      </c>
      <c r="D183" s="3" t="s">
        <v>474</v>
      </c>
      <c r="E183" s="14">
        <f t="shared" si="41"/>
        <v>-1401.8463223988099</v>
      </c>
      <c r="F183" s="3" t="s">
        <v>363</v>
      </c>
      <c r="G183" s="18">
        <v>46023</v>
      </c>
      <c r="H183" s="19">
        <v>144310</v>
      </c>
      <c r="I183" s="3" t="str">
        <f>VLOOKUP(H183,'[1]Base de Clientes'!$B:$E,4,0)</f>
        <v>BW GESTAO DE INVESTIMENTOS LTDA</v>
      </c>
      <c r="J183" s="5" t="s">
        <v>8</v>
      </c>
      <c r="K183" s="5" t="s">
        <v>63</v>
      </c>
      <c r="L183" s="9">
        <v>1401.8463223988099</v>
      </c>
      <c r="M183" s="11" t="s">
        <v>7</v>
      </c>
      <c r="N183" s="13" t="s">
        <v>16</v>
      </c>
      <c r="O183" s="7">
        <v>1</v>
      </c>
      <c r="P183" s="3" t="s">
        <v>513</v>
      </c>
      <c r="Q183" s="4"/>
      <c r="T183" s="7"/>
    </row>
    <row r="184" spans="1:20" x14ac:dyDescent="0.25">
      <c r="A184" s="16" t="str">
        <f t="shared" si="36"/>
        <v>CUSTO DMA -FELIPE UNGER- JANEIRO 26</v>
      </c>
      <c r="B184" s="18">
        <v>46023</v>
      </c>
      <c r="C184" s="3">
        <v>817391</v>
      </c>
      <c r="D184" s="3" t="s">
        <v>405</v>
      </c>
      <c r="E184" s="14">
        <f t="shared" si="41"/>
        <v>-9329.1026690304552</v>
      </c>
      <c r="F184" s="3" t="s">
        <v>363</v>
      </c>
      <c r="G184" s="18">
        <v>46023</v>
      </c>
      <c r="H184" s="19">
        <v>144310</v>
      </c>
      <c r="I184" s="3" t="str">
        <f>VLOOKUP(H184,'[1]Base de Clientes'!$B:$E,4,0)</f>
        <v>BW GESTAO DE INVESTIMENTOS LTDA</v>
      </c>
      <c r="J184" s="5" t="s">
        <v>8</v>
      </c>
      <c r="K184" s="5" t="s">
        <v>70</v>
      </c>
      <c r="L184" s="9">
        <v>9329.1026690304552</v>
      </c>
      <c r="M184" s="11" t="s">
        <v>7</v>
      </c>
      <c r="N184" s="13" t="s">
        <v>16</v>
      </c>
      <c r="O184" s="7">
        <v>1</v>
      </c>
      <c r="P184" s="3" t="s">
        <v>514</v>
      </c>
      <c r="Q184" s="4"/>
      <c r="T184" s="7"/>
    </row>
    <row r="185" spans="1:20" x14ac:dyDescent="0.25">
      <c r="A185" s="16" t="str">
        <f t="shared" si="36"/>
        <v>CUSTO DMA -RUY BALIEIRO- JANEIRO 26</v>
      </c>
      <c r="B185" s="18">
        <v>46023</v>
      </c>
      <c r="C185" s="3">
        <v>817391</v>
      </c>
      <c r="D185" s="3" t="s">
        <v>405</v>
      </c>
      <c r="E185" s="14">
        <f t="shared" si="41"/>
        <v>-9329.1026690304552</v>
      </c>
      <c r="F185" s="3" t="s">
        <v>363</v>
      </c>
      <c r="G185" s="18">
        <v>46023</v>
      </c>
      <c r="H185" s="19">
        <v>144310</v>
      </c>
      <c r="I185" s="3" t="str">
        <f>VLOOKUP(H185,'[1]Base de Clientes'!$B:$E,4,0)</f>
        <v>BW GESTAO DE INVESTIMENTOS LTDA</v>
      </c>
      <c r="J185" s="5" t="s">
        <v>8</v>
      </c>
      <c r="K185" s="5" t="s">
        <v>76</v>
      </c>
      <c r="L185" s="9">
        <v>9329.1026690304552</v>
      </c>
      <c r="M185" s="11" t="s">
        <v>7</v>
      </c>
      <c r="N185" s="13" t="s">
        <v>16</v>
      </c>
      <c r="O185" s="7">
        <v>1</v>
      </c>
      <c r="P185" s="3" t="s">
        <v>515</v>
      </c>
      <c r="Q185" s="4"/>
      <c r="T185" s="7"/>
    </row>
    <row r="186" spans="1:20" x14ac:dyDescent="0.25">
      <c r="A186" s="16" t="str">
        <f t="shared" si="36"/>
        <v>CUSTO DMA -DANIEL POMPIANI- JANEIRO 26</v>
      </c>
      <c r="B186" s="18">
        <v>46023</v>
      </c>
      <c r="C186" s="3">
        <v>817391</v>
      </c>
      <c r="D186" s="3" t="s">
        <v>411</v>
      </c>
      <c r="E186" s="14">
        <f t="shared" si="41"/>
        <v>-1562.933402398811</v>
      </c>
      <c r="F186" s="3" t="s">
        <v>363</v>
      </c>
      <c r="G186" s="18">
        <v>46023</v>
      </c>
      <c r="H186" s="19">
        <v>80005</v>
      </c>
      <c r="I186" s="3" t="str">
        <f>VLOOKUP(H186,'[1]Base de Clientes'!$B:$E,4,0)</f>
        <v>DEUTSCHE BANK S/A</v>
      </c>
      <c r="J186" s="5" t="s">
        <v>8</v>
      </c>
      <c r="K186" s="5" t="s">
        <v>499</v>
      </c>
      <c r="L186" s="9">
        <v>1562.933402398811</v>
      </c>
      <c r="M186" s="11" t="s">
        <v>7</v>
      </c>
      <c r="N186" s="13" t="s">
        <v>16</v>
      </c>
      <c r="O186" s="7">
        <v>1</v>
      </c>
      <c r="P186" s="3" t="s">
        <v>516</v>
      </c>
      <c r="Q186" s="4"/>
      <c r="T186" s="7"/>
    </row>
    <row r="187" spans="1:20" x14ac:dyDescent="0.25">
      <c r="A187" s="16" t="str">
        <f t="shared" si="36"/>
        <v>CUSTO DMA -RAUL LESSA- JANEIRO 26</v>
      </c>
      <c r="B187" s="18">
        <v>46023</v>
      </c>
      <c r="C187" s="3">
        <v>817391</v>
      </c>
      <c r="D187" s="3" t="s">
        <v>476</v>
      </c>
      <c r="E187" s="14">
        <f t="shared" si="41"/>
        <v>-9596.0069902745108</v>
      </c>
      <c r="F187" s="3" t="s">
        <v>363</v>
      </c>
      <c r="G187" s="18">
        <v>46023</v>
      </c>
      <c r="H187" s="19">
        <v>80111</v>
      </c>
      <c r="I187" s="3" t="str">
        <f>VLOOKUP(H187,'[1]Base de Clientes'!$B:$E,4,0)</f>
        <v>IBIUNA GESTAO DE RECURSOS LTDA</v>
      </c>
      <c r="J187" s="5" t="s">
        <v>8</v>
      </c>
      <c r="K187" s="5" t="s">
        <v>78</v>
      </c>
      <c r="L187" s="9">
        <v>9596.0069902745108</v>
      </c>
      <c r="M187" s="11" t="s">
        <v>7</v>
      </c>
      <c r="N187" s="13" t="s">
        <v>16</v>
      </c>
      <c r="O187" s="7">
        <v>1</v>
      </c>
      <c r="P187" s="3" t="s">
        <v>517</v>
      </c>
      <c r="Q187" s="4"/>
      <c r="T187" s="7"/>
    </row>
    <row r="188" spans="1:20" x14ac:dyDescent="0.25">
      <c r="A188" s="16" t="str">
        <f t="shared" si="36"/>
        <v>CUSTO DMA -DANIEL NAMAN CARDOSO- JANEIRO 26</v>
      </c>
      <c r="B188" s="18">
        <v>46023</v>
      </c>
      <c r="C188" s="3">
        <v>817391</v>
      </c>
      <c r="D188" s="3" t="s">
        <v>403</v>
      </c>
      <c r="E188" s="14">
        <f t="shared" si="41"/>
        <v>-90.637632999999994</v>
      </c>
      <c r="F188" s="3" t="s">
        <v>363</v>
      </c>
      <c r="G188" s="18">
        <v>46023</v>
      </c>
      <c r="H188" s="19">
        <v>80375</v>
      </c>
      <c r="I188" s="3" t="str">
        <f>VLOOKUP(H188,'[1]Base de Clientes'!$B:$E,4,0)</f>
        <v>ITAU UNIBANCO S/A</v>
      </c>
      <c r="J188" s="5" t="s">
        <v>8</v>
      </c>
      <c r="K188" s="5" t="s">
        <v>67</v>
      </c>
      <c r="L188" s="9">
        <v>90.637632999999994</v>
      </c>
      <c r="M188" s="11" t="s">
        <v>7</v>
      </c>
      <c r="N188" s="13" t="s">
        <v>16</v>
      </c>
      <c r="O188" s="7">
        <v>1</v>
      </c>
      <c r="P188" s="3" t="s">
        <v>518</v>
      </c>
      <c r="Q188" s="4"/>
      <c r="T188" s="7"/>
    </row>
    <row r="189" spans="1:20" x14ac:dyDescent="0.25">
      <c r="A189" s="16" t="str">
        <f t="shared" si="36"/>
        <v>CUSTO DMA -SAMUEL SOARES- JANEIRO 26</v>
      </c>
      <c r="B189" s="18">
        <v>46023</v>
      </c>
      <c r="C189" s="3">
        <v>817391</v>
      </c>
      <c r="D189" s="3" t="s">
        <v>401</v>
      </c>
      <c r="E189" s="14">
        <f t="shared" si="41"/>
        <v>-9737.0504690304551</v>
      </c>
      <c r="F189" s="3" t="s">
        <v>363</v>
      </c>
      <c r="G189" s="18">
        <v>46023</v>
      </c>
      <c r="H189" s="19">
        <v>79806</v>
      </c>
      <c r="I189" s="3" t="str">
        <f>VLOOKUP(H189,'[1]Base de Clientes'!$B:$E,4,0)</f>
        <v>ITAU UNIBANCO S/A</v>
      </c>
      <c r="J189" s="5" t="s">
        <v>8</v>
      </c>
      <c r="K189" s="5" t="s">
        <v>81</v>
      </c>
      <c r="L189" s="9">
        <v>9737.0504690304551</v>
      </c>
      <c r="M189" s="11" t="s">
        <v>7</v>
      </c>
      <c r="N189" s="13" t="s">
        <v>16</v>
      </c>
      <c r="O189" s="7">
        <v>1</v>
      </c>
      <c r="P189" s="3" t="s">
        <v>519</v>
      </c>
      <c r="Q189" s="4"/>
      <c r="T189" s="7"/>
    </row>
    <row r="190" spans="1:20" x14ac:dyDescent="0.25">
      <c r="A190" s="16" t="str">
        <f t="shared" si="36"/>
        <v>CUSTO DMA -GUILHERME NASCIMENTO- JANEIRO 26</v>
      </c>
      <c r="B190" s="18">
        <v>46023</v>
      </c>
      <c r="C190" s="3">
        <v>817391</v>
      </c>
      <c r="D190" s="3" t="s">
        <v>479</v>
      </c>
      <c r="E190" s="14">
        <f t="shared" si="41"/>
        <v>-8979.8078767559455</v>
      </c>
      <c r="F190" s="3" t="s">
        <v>363</v>
      </c>
      <c r="G190" s="18">
        <v>46023</v>
      </c>
      <c r="H190" s="19">
        <v>81771</v>
      </c>
      <c r="I190" s="3" t="str">
        <f>VLOOKUP(H190,'[1]Base de Clientes'!$B:$E,4,0)</f>
        <v>BANCO JP MORGAN S/A</v>
      </c>
      <c r="J190" s="5" t="s">
        <v>8</v>
      </c>
      <c r="K190" s="5" t="s">
        <v>500</v>
      </c>
      <c r="L190" s="9">
        <v>8979.8078767559455</v>
      </c>
      <c r="M190" s="11" t="s">
        <v>7</v>
      </c>
      <c r="N190" s="13" t="s">
        <v>16</v>
      </c>
      <c r="O190" s="7">
        <v>1</v>
      </c>
      <c r="P190" s="3" t="s">
        <v>520</v>
      </c>
      <c r="Q190" s="4"/>
      <c r="T190" s="7"/>
    </row>
    <row r="191" spans="1:20" x14ac:dyDescent="0.25">
      <c r="A191" s="16" t="str">
        <f t="shared" si="36"/>
        <v>CUSTO DMA -JOAO BESSA- JANEIRO 26</v>
      </c>
      <c r="B191" s="18">
        <v>46023</v>
      </c>
      <c r="C191" s="3">
        <v>817391</v>
      </c>
      <c r="D191" s="3" t="s">
        <v>479</v>
      </c>
      <c r="E191" s="14">
        <f t="shared" si="41"/>
        <v>-8979.8078767559455</v>
      </c>
      <c r="F191" s="3" t="s">
        <v>363</v>
      </c>
      <c r="G191" s="18">
        <v>46023</v>
      </c>
      <c r="H191" s="19">
        <v>81771</v>
      </c>
      <c r="I191" s="3" t="str">
        <f>VLOOKUP(H191,'[1]Base de Clientes'!$B:$E,4,0)</f>
        <v>BANCO JP MORGAN S/A</v>
      </c>
      <c r="J191" s="5" t="s">
        <v>8</v>
      </c>
      <c r="K191" s="5" t="s">
        <v>501</v>
      </c>
      <c r="L191" s="9">
        <v>8979.8078767559455</v>
      </c>
      <c r="M191" s="11" t="s">
        <v>7</v>
      </c>
      <c r="N191" s="13" t="s">
        <v>16</v>
      </c>
      <c r="O191" s="7">
        <v>1</v>
      </c>
      <c r="P191" s="3" t="s">
        <v>521</v>
      </c>
      <c r="Q191" s="4"/>
      <c r="T191" s="7"/>
    </row>
    <row r="192" spans="1:20" x14ac:dyDescent="0.25">
      <c r="A192" s="16" t="str">
        <f t="shared" si="36"/>
        <v>CUSTO DMA -TAMARA WAJNBERG- JANEIRO 26</v>
      </c>
      <c r="B192" s="18">
        <v>46023</v>
      </c>
      <c r="C192" s="3">
        <v>817391</v>
      </c>
      <c r="D192" s="3" t="s">
        <v>580</v>
      </c>
      <c r="E192" s="14">
        <f t="shared" si="41"/>
        <v>-1246.319104636098</v>
      </c>
      <c r="F192" s="3" t="s">
        <v>363</v>
      </c>
      <c r="G192" s="18">
        <v>46023</v>
      </c>
      <c r="H192" s="19">
        <v>79578</v>
      </c>
      <c r="I192" s="3" t="str">
        <f>VLOOKUP(H192,'[1]Base de Clientes'!$B:$E,4,0)</f>
        <v>BANCO JP MORGAN S/A</v>
      </c>
      <c r="J192" s="5" t="s">
        <v>8</v>
      </c>
      <c r="K192" s="5" t="s">
        <v>502</v>
      </c>
      <c r="L192" s="9">
        <v>1246.319104636098</v>
      </c>
      <c r="M192" s="11" t="s">
        <v>7</v>
      </c>
      <c r="N192" s="13" t="s">
        <v>16</v>
      </c>
      <c r="O192" s="7">
        <v>1</v>
      </c>
      <c r="P192" s="3" t="s">
        <v>522</v>
      </c>
      <c r="Q192" s="4"/>
      <c r="T192" s="7"/>
    </row>
    <row r="193" spans="1:20" x14ac:dyDescent="0.25">
      <c r="A193" s="16" t="str">
        <f t="shared" si="36"/>
        <v>CUSTO DMA -FREDERIC BROWN- JANEIRO 26</v>
      </c>
      <c r="B193" s="18">
        <v>46023</v>
      </c>
      <c r="C193" s="3">
        <v>817391</v>
      </c>
      <c r="D193" s="3" t="s">
        <v>401</v>
      </c>
      <c r="E193" s="14">
        <f t="shared" si="41"/>
        <v>-10842.32609491061</v>
      </c>
      <c r="F193" s="3" t="s">
        <v>363</v>
      </c>
      <c r="G193" s="18">
        <v>46023</v>
      </c>
      <c r="H193" s="19">
        <v>80392</v>
      </c>
      <c r="I193" s="3" t="str">
        <f>VLOOKUP(H193,'[1]Base de Clientes'!$B:$E,4,0)</f>
        <v>KAPITALO INVESTIMENTOS LTDA</v>
      </c>
      <c r="J193" s="5" t="s">
        <v>8</v>
      </c>
      <c r="K193" s="5" t="s">
        <v>69</v>
      </c>
      <c r="L193" s="9">
        <v>10842.32609491061</v>
      </c>
      <c r="M193" s="11" t="s">
        <v>7</v>
      </c>
      <c r="N193" s="13" t="s">
        <v>16</v>
      </c>
      <c r="O193" s="7">
        <v>1</v>
      </c>
      <c r="P193" s="3" t="s">
        <v>523</v>
      </c>
      <c r="Q193" s="4"/>
      <c r="T193" s="7"/>
    </row>
    <row r="194" spans="1:20" x14ac:dyDescent="0.25">
      <c r="A194" s="16" t="str">
        <f t="shared" si="36"/>
        <v>CUSTO DMA -JOAO RAMALHO- JANEIRO 26</v>
      </c>
      <c r="B194" s="18">
        <v>46023</v>
      </c>
      <c r="C194" s="3">
        <v>817391</v>
      </c>
      <c r="D194" s="3" t="s">
        <v>401</v>
      </c>
      <c r="E194" s="14">
        <f t="shared" si="41"/>
        <v>-9873.0330690304545</v>
      </c>
      <c r="F194" s="3" t="s">
        <v>363</v>
      </c>
      <c r="G194" s="18">
        <v>46023</v>
      </c>
      <c r="H194" s="19">
        <v>12413</v>
      </c>
      <c r="I194" s="3" t="str">
        <f>VLOOKUP(H194,'[1]Base de Clientes'!$B:$E,4,0)</f>
        <v>KAPITALO INVESTIMENTOS LTDA</v>
      </c>
      <c r="J194" s="5" t="s">
        <v>8</v>
      </c>
      <c r="K194" s="5" t="s">
        <v>73</v>
      </c>
      <c r="L194" s="9">
        <v>9873.0330690304545</v>
      </c>
      <c r="M194" s="11" t="s">
        <v>7</v>
      </c>
      <c r="N194" s="13" t="s">
        <v>16</v>
      </c>
      <c r="O194" s="7">
        <v>1</v>
      </c>
      <c r="P194" s="3" t="s">
        <v>524</v>
      </c>
      <c r="Q194" s="4"/>
      <c r="T194" s="7"/>
    </row>
    <row r="195" spans="1:20" x14ac:dyDescent="0.25">
      <c r="A195" s="16" t="str">
        <f t="shared" si="36"/>
        <v>CUSTO DMA -RAFAEL POPPE- JANEIRO 26</v>
      </c>
      <c r="B195" s="18">
        <v>46023</v>
      </c>
      <c r="C195" s="3">
        <v>817391</v>
      </c>
      <c r="D195" s="3" t="s">
        <v>401</v>
      </c>
      <c r="E195" s="14">
        <f t="shared" si="41"/>
        <v>-224.89429999999999</v>
      </c>
      <c r="F195" s="3" t="s">
        <v>363</v>
      </c>
      <c r="G195" s="18">
        <v>46023</v>
      </c>
      <c r="H195" s="19">
        <v>81778</v>
      </c>
      <c r="I195" s="3" t="str">
        <f>VLOOKUP(H195,'[1]Base de Clientes'!$B:$E,4,0)</f>
        <v>KAPITALO INVESTIMENTOS LTDA</v>
      </c>
      <c r="J195" s="5" t="s">
        <v>8</v>
      </c>
      <c r="K195" s="5" t="s">
        <v>80</v>
      </c>
      <c r="L195" s="9">
        <v>224.89429999999999</v>
      </c>
      <c r="M195" s="11" t="s">
        <v>7</v>
      </c>
      <c r="N195" s="13" t="s">
        <v>16</v>
      </c>
      <c r="O195" s="7">
        <v>1</v>
      </c>
      <c r="P195" s="3" t="s">
        <v>525</v>
      </c>
      <c r="Q195" s="4"/>
      <c r="T195" s="7"/>
    </row>
    <row r="196" spans="1:20" x14ac:dyDescent="0.2">
      <c r="A196" s="16" t="str">
        <f t="shared" si="36"/>
        <v>CUSTO DMA -YURI VERGES- JANEIRO 26</v>
      </c>
      <c r="B196" s="18">
        <v>46023</v>
      </c>
      <c r="C196" s="3">
        <v>817391</v>
      </c>
      <c r="D196" s="24" t="s">
        <v>401</v>
      </c>
      <c r="E196" s="14">
        <f t="shared" si="41"/>
        <v>-1356.5013553988099</v>
      </c>
      <c r="F196" s="3" t="s">
        <v>363</v>
      </c>
      <c r="G196" s="18">
        <v>46023</v>
      </c>
      <c r="H196" s="19">
        <v>80492</v>
      </c>
      <c r="I196" s="3" t="str">
        <f>VLOOKUP(H196,'[1]Base de Clientes'!$B:$E,4,0)</f>
        <v>KAPITALO INVESTIMENTOS LTDA</v>
      </c>
      <c r="J196" s="5" t="s">
        <v>8</v>
      </c>
      <c r="K196" s="5" t="s">
        <v>503</v>
      </c>
      <c r="L196" s="9">
        <v>1356.5013553988099</v>
      </c>
      <c r="M196" s="11" t="s">
        <v>7</v>
      </c>
      <c r="N196" s="13" t="s">
        <v>16</v>
      </c>
      <c r="O196" s="7">
        <v>1</v>
      </c>
      <c r="P196" s="3" t="s">
        <v>526</v>
      </c>
      <c r="Q196" s="4"/>
      <c r="T196" s="7"/>
    </row>
    <row r="197" spans="1:20" x14ac:dyDescent="0.25">
      <c r="A197" s="16" t="str">
        <f t="shared" ref="A197:A199" si="47">CONCATENATE(J197,M197,K197,M197,N197)</f>
        <v>CUSTO DMA -ALEXANDRE RODRIGUES- JANEIRO 26</v>
      </c>
      <c r="B197" s="18">
        <v>46023</v>
      </c>
      <c r="C197" s="3">
        <v>817391</v>
      </c>
      <c r="D197" s="3" t="s">
        <v>400</v>
      </c>
      <c r="E197" s="14">
        <f t="shared" ref="E197:E199" si="48">-L197*O197</f>
        <v>-2391.1010982207854</v>
      </c>
      <c r="F197" s="3" t="s">
        <v>363</v>
      </c>
      <c r="G197" s="18">
        <v>46023</v>
      </c>
      <c r="H197" s="19">
        <v>79931</v>
      </c>
      <c r="I197" s="3" t="str">
        <f>VLOOKUP(H197,'[1]Base de Clientes'!$B:$E,4,0)</f>
        <v>SPX GESTAO DE RECURSOS LTDA</v>
      </c>
      <c r="J197" s="5" t="s">
        <v>8</v>
      </c>
      <c r="K197" s="5" t="s">
        <v>65</v>
      </c>
      <c r="L197" s="9">
        <v>4782.2021964415708</v>
      </c>
      <c r="M197" s="11" t="s">
        <v>7</v>
      </c>
      <c r="N197" s="13" t="s">
        <v>16</v>
      </c>
      <c r="O197" s="7">
        <v>0.5</v>
      </c>
      <c r="P197" s="16" t="s">
        <v>527</v>
      </c>
    </row>
    <row r="198" spans="1:20" x14ac:dyDescent="0.25">
      <c r="A198" s="16" t="str">
        <f t="shared" ref="A198" si="49">CONCATENATE(J198,M198,K198,M198,N198)</f>
        <v>CUSTO DMA -ALEXANDRE RODRIGUES- JANEIRO 26</v>
      </c>
      <c r="B198" s="18">
        <v>46023</v>
      </c>
      <c r="C198" s="3">
        <v>817391</v>
      </c>
      <c r="D198" s="3" t="s">
        <v>410</v>
      </c>
      <c r="E198" s="14">
        <f t="shared" ref="E198" si="50">-L198*O198</f>
        <v>-2391.1010982207854</v>
      </c>
      <c r="F198" s="3" t="s">
        <v>363</v>
      </c>
      <c r="G198" s="18">
        <v>46023</v>
      </c>
      <c r="H198" s="19">
        <v>79931</v>
      </c>
      <c r="I198" s="3" t="str">
        <f>VLOOKUP(H198,'[1]Base de Clientes'!$B:$E,4,0)</f>
        <v>SPX GESTAO DE RECURSOS LTDA</v>
      </c>
      <c r="J198" s="5" t="s">
        <v>8</v>
      </c>
      <c r="K198" s="5" t="s">
        <v>65</v>
      </c>
      <c r="L198" s="9">
        <v>4782.2021964415708</v>
      </c>
      <c r="M198" s="11" t="s">
        <v>7</v>
      </c>
      <c r="N198" s="13" t="s">
        <v>16</v>
      </c>
      <c r="O198" s="7">
        <v>0.5</v>
      </c>
      <c r="P198" s="16" t="s">
        <v>527</v>
      </c>
    </row>
    <row r="199" spans="1:20" x14ac:dyDescent="0.25">
      <c r="A199" s="16" t="str">
        <f t="shared" si="47"/>
        <v>CUSTO DMA -LUIZ BASQUEIRA- JANEIRO 26</v>
      </c>
      <c r="B199" s="18">
        <v>46023</v>
      </c>
      <c r="C199" s="3">
        <v>817391</v>
      </c>
      <c r="D199" s="3" t="s">
        <v>402</v>
      </c>
      <c r="E199" s="14">
        <f t="shared" si="48"/>
        <v>-4782.2021964415708</v>
      </c>
      <c r="F199" s="3" t="s">
        <v>363</v>
      </c>
      <c r="G199" s="18">
        <v>46023</v>
      </c>
      <c r="H199" s="19">
        <v>79931</v>
      </c>
      <c r="I199" s="3" t="str">
        <f>VLOOKUP(H199,'[1]Base de Clientes'!$B:$E,4,0)</f>
        <v>SPX GESTAO DE RECURSOS LTDA</v>
      </c>
      <c r="J199" s="5" t="s">
        <v>8</v>
      </c>
      <c r="K199" s="5" t="s">
        <v>74</v>
      </c>
      <c r="L199" s="9">
        <v>4782.2021964415708</v>
      </c>
      <c r="M199" s="11" t="s">
        <v>7</v>
      </c>
      <c r="N199" s="13" t="s">
        <v>16</v>
      </c>
      <c r="O199" s="7">
        <v>1</v>
      </c>
      <c r="P199" s="16" t="s">
        <v>528</v>
      </c>
    </row>
  </sheetData>
  <autoFilter ref="A1:P199" xr:uid="{0ECC02B7-9E07-45EE-879F-B936EE5A0F96}"/>
  <phoneticPr fontId="7" type="noConversion"/>
  <conditionalFormatting sqref="A2:A199">
    <cfRule type="duplicateValues" dxfId="5" priority="64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C5A3-8A85-4CF6-830D-1CCD2401BAE3}">
  <sheetPr codeName="Sheet2"/>
  <dimension ref="A1:T193"/>
  <sheetViews>
    <sheetView workbookViewId="0">
      <pane ySplit="1" topLeftCell="A2" activePane="bottomLeft" state="frozen"/>
      <selection pane="bottomLeft" activeCell="O10" sqref="O10"/>
    </sheetView>
  </sheetViews>
  <sheetFormatPr defaultRowHeight="11.25" x14ac:dyDescent="0.25"/>
  <cols>
    <col min="1" max="1" width="37.5703125" style="3" customWidth="1"/>
    <col min="2" max="2" width="10.5703125" style="3" customWidth="1"/>
    <col min="3" max="3" width="10.7109375" style="3" bestFit="1" customWidth="1"/>
    <col min="4" max="4" width="30.140625" style="3" customWidth="1"/>
    <col min="5" max="5" width="15.42578125" style="14" customWidth="1"/>
    <col min="6" max="6" width="12.7109375" style="3" customWidth="1"/>
    <col min="7" max="7" width="11" style="3" customWidth="1"/>
    <col min="8" max="8" width="12.28515625" style="3" customWidth="1"/>
    <col min="9" max="9" width="2.7109375" style="3" customWidth="1"/>
    <col min="10" max="10" width="9.140625" style="3" customWidth="1"/>
    <col min="11" max="11" width="22.5703125" style="3" customWidth="1"/>
    <col min="12" max="12" width="13.85546875" style="4" customWidth="1"/>
    <col min="13" max="13" width="9.140625" style="12" customWidth="1"/>
    <col min="14" max="14" width="10.85546875" style="3" customWidth="1"/>
    <col min="15" max="15" width="9.140625" style="8"/>
    <col min="16" max="16" width="30.7109375" style="14" customWidth="1"/>
    <col min="17" max="17" width="27.5703125" style="3" customWidth="1"/>
    <col min="18" max="18" width="30.140625" style="3" customWidth="1"/>
    <col min="19" max="20" width="9.140625" style="3" customWidth="1"/>
    <col min="21" max="16384" width="9.140625" style="3"/>
  </cols>
  <sheetData>
    <row r="1" spans="1:20" x14ac:dyDescent="0.25">
      <c r="A1" s="2" t="s">
        <v>1</v>
      </c>
      <c r="B1" s="1" t="s">
        <v>2</v>
      </c>
      <c r="C1" s="2" t="s">
        <v>6</v>
      </c>
      <c r="D1" s="22" t="s">
        <v>0</v>
      </c>
      <c r="E1" s="15" t="s">
        <v>3</v>
      </c>
      <c r="F1" s="17" t="s">
        <v>4</v>
      </c>
      <c r="G1" s="1" t="s">
        <v>5</v>
      </c>
      <c r="H1" s="22" t="s">
        <v>14</v>
      </c>
      <c r="I1" s="3" t="s">
        <v>7</v>
      </c>
      <c r="J1" s="6" t="s">
        <v>9</v>
      </c>
      <c r="K1" s="21" t="s">
        <v>10</v>
      </c>
      <c r="L1" s="20" t="s">
        <v>3</v>
      </c>
      <c r="M1" s="10" t="s">
        <v>11</v>
      </c>
      <c r="N1" s="6" t="s">
        <v>12</v>
      </c>
      <c r="O1" s="23" t="s">
        <v>13</v>
      </c>
      <c r="P1" s="20" t="s">
        <v>530</v>
      </c>
      <c r="R1" s="2" t="s">
        <v>0</v>
      </c>
      <c r="S1" s="2" t="s">
        <v>14</v>
      </c>
      <c r="T1" s="7" t="s">
        <v>13</v>
      </c>
    </row>
    <row r="2" spans="1:20" x14ac:dyDescent="0.25">
      <c r="A2" s="16" t="str">
        <f t="shared" ref="A2:A128" si="0">CONCATENATE(J2,M2,K2,M2,N2)</f>
        <v>CUSTO DMA -ALEXANDRE PALMAS- FEVEREIRO 26</v>
      </c>
      <c r="B2" s="18">
        <v>46054</v>
      </c>
      <c r="C2" s="3">
        <v>817391</v>
      </c>
      <c r="D2" s="3" t="s">
        <v>487</v>
      </c>
      <c r="E2" s="14">
        <f t="shared" ref="E2:E67" si="1">-L2*O2</f>
        <v>-665.37614512040898</v>
      </c>
      <c r="F2" s="3" t="s">
        <v>366</v>
      </c>
      <c r="G2" s="18">
        <v>46054</v>
      </c>
      <c r="H2" s="19">
        <v>80667</v>
      </c>
      <c r="I2" s="3" t="str">
        <f>VLOOKUP(H2,'[1]Base de Clientes'!$B:$E,4,0)</f>
        <v>ACE CAPITAL GESTORA DE RECURSOS LTDA</v>
      </c>
      <c r="J2" s="5" t="s">
        <v>8</v>
      </c>
      <c r="K2" s="5" t="s">
        <v>125</v>
      </c>
      <c r="L2" s="9">
        <v>665.37614512040898</v>
      </c>
      <c r="M2" s="11" t="s">
        <v>7</v>
      </c>
      <c r="N2" s="13" t="s">
        <v>17</v>
      </c>
      <c r="O2" s="7">
        <v>1</v>
      </c>
      <c r="P2" s="16" t="s">
        <v>294</v>
      </c>
      <c r="T2" s="7"/>
    </row>
    <row r="3" spans="1:20" x14ac:dyDescent="0.25">
      <c r="A3" s="16" t="str">
        <f t="shared" ref="A3" si="2">CONCATENATE(J3,M3,K3,M3,N3)</f>
        <v>CUSTO DMA -DANIEL TATSUMI- FEVEREIRO 26</v>
      </c>
      <c r="B3" s="18">
        <v>46054</v>
      </c>
      <c r="C3" s="3">
        <v>817391</v>
      </c>
      <c r="D3" s="3" t="s">
        <v>487</v>
      </c>
      <c r="E3" s="14">
        <f t="shared" si="1"/>
        <v>-591.32614512040902</v>
      </c>
      <c r="F3" s="3" t="s">
        <v>366</v>
      </c>
      <c r="G3" s="18">
        <v>46054</v>
      </c>
      <c r="H3" s="19">
        <v>80667</v>
      </c>
      <c r="I3" s="3" t="str">
        <f>VLOOKUP(H3,'[1]Base de Clientes'!$B:$E,4,0)</f>
        <v>ACE CAPITAL GESTORA DE RECURSOS LTDA</v>
      </c>
      <c r="J3" s="5" t="s">
        <v>8</v>
      </c>
      <c r="K3" s="5" t="s">
        <v>133</v>
      </c>
      <c r="L3" s="9">
        <v>591.32614512040902</v>
      </c>
      <c r="M3" s="11" t="s">
        <v>7</v>
      </c>
      <c r="N3" s="13" t="s">
        <v>17</v>
      </c>
      <c r="O3" s="7">
        <v>1</v>
      </c>
      <c r="P3" s="16" t="s">
        <v>302</v>
      </c>
      <c r="T3" s="7"/>
    </row>
    <row r="4" spans="1:20" x14ac:dyDescent="0.25">
      <c r="A4" s="16" t="str">
        <f t="shared" si="0"/>
        <v>CUSTO DMA -FABRICIO TASCHETTO- FEVEREIRO 26</v>
      </c>
      <c r="B4" s="18">
        <v>46054</v>
      </c>
      <c r="C4" s="3">
        <v>817391</v>
      </c>
      <c r="D4" s="3" t="s">
        <v>487</v>
      </c>
      <c r="E4" s="14">
        <f t="shared" si="1"/>
        <v>-5963.3073115697443</v>
      </c>
      <c r="F4" s="3" t="s">
        <v>366</v>
      </c>
      <c r="G4" s="18">
        <v>46054</v>
      </c>
      <c r="H4" s="19">
        <v>80667</v>
      </c>
      <c r="I4" s="3" t="str">
        <f>VLOOKUP(H4,'[1]Base de Clientes'!$B:$E,4,0)</f>
        <v>ACE CAPITAL GESTORA DE RECURSOS LTDA</v>
      </c>
      <c r="J4" s="5" t="s">
        <v>8</v>
      </c>
      <c r="K4" s="5" t="s">
        <v>141</v>
      </c>
      <c r="L4" s="9">
        <v>5963.3073115697443</v>
      </c>
      <c r="M4" s="11" t="s">
        <v>7</v>
      </c>
      <c r="N4" s="13" t="s">
        <v>17</v>
      </c>
      <c r="O4" s="7">
        <v>1</v>
      </c>
      <c r="P4" s="16" t="s">
        <v>310</v>
      </c>
      <c r="T4" s="7"/>
    </row>
    <row r="5" spans="1:20" x14ac:dyDescent="0.25">
      <c r="A5" s="16" t="str">
        <f t="shared" si="0"/>
        <v>CUSTO DMA -MAIKO CARVALHO BARRETO- FEVEREIRO 26</v>
      </c>
      <c r="B5" s="18">
        <v>46054</v>
      </c>
      <c r="C5" s="3">
        <v>817391</v>
      </c>
      <c r="D5" s="3" t="s">
        <v>487</v>
      </c>
      <c r="E5" s="14">
        <f t="shared" si="1"/>
        <v>-545.14614512040907</v>
      </c>
      <c r="F5" s="3" t="s">
        <v>366</v>
      </c>
      <c r="G5" s="18">
        <v>46054</v>
      </c>
      <c r="H5" s="19">
        <v>80667</v>
      </c>
      <c r="I5" s="3" t="str">
        <f>VLOOKUP(H5,'[1]Base de Clientes'!$B:$E,4,0)</f>
        <v>ACE CAPITAL GESTORA DE RECURSOS LTDA</v>
      </c>
      <c r="J5" s="5" t="s">
        <v>8</v>
      </c>
      <c r="K5" s="5" t="s">
        <v>156</v>
      </c>
      <c r="L5" s="9">
        <v>545.14614512040907</v>
      </c>
      <c r="M5" s="11" t="s">
        <v>7</v>
      </c>
      <c r="N5" s="13" t="s">
        <v>17</v>
      </c>
      <c r="O5" s="7">
        <v>1</v>
      </c>
      <c r="P5" s="16" t="s">
        <v>326</v>
      </c>
      <c r="T5" s="7"/>
    </row>
    <row r="6" spans="1:20" x14ac:dyDescent="0.25">
      <c r="A6" s="16" t="str">
        <f t="shared" si="0"/>
        <v>CUSTO DMA -MATEUS SCHMIDT MATTOS LOPES PEREIRA- FEVEREIRO 26</v>
      </c>
      <c r="B6" s="18">
        <v>46054</v>
      </c>
      <c r="C6" s="3">
        <v>817391</v>
      </c>
      <c r="D6" s="3" t="s">
        <v>487</v>
      </c>
      <c r="E6" s="14">
        <f t="shared" si="1"/>
        <v>-2263.980841120409</v>
      </c>
      <c r="F6" s="3" t="s">
        <v>366</v>
      </c>
      <c r="G6" s="18">
        <v>46054</v>
      </c>
      <c r="H6" s="19">
        <v>80667</v>
      </c>
      <c r="I6" s="3" t="str">
        <f>VLOOKUP(H6,'[1]Base de Clientes'!$B:$E,4,0)</f>
        <v>ACE CAPITAL GESTORA DE RECURSOS LTDA</v>
      </c>
      <c r="J6" s="5" t="s">
        <v>8</v>
      </c>
      <c r="K6" s="5" t="s">
        <v>378</v>
      </c>
      <c r="L6" s="9">
        <v>2263.980841120409</v>
      </c>
      <c r="M6" s="11" t="s">
        <v>7</v>
      </c>
      <c r="N6" s="13" t="s">
        <v>17</v>
      </c>
      <c r="O6" s="7">
        <v>1</v>
      </c>
      <c r="P6" s="16" t="s">
        <v>393</v>
      </c>
      <c r="T6" s="7"/>
    </row>
    <row r="7" spans="1:20" x14ac:dyDescent="0.25">
      <c r="A7" s="16" t="str">
        <f t="shared" si="0"/>
        <v>CUSTO DMA -PEDRO NUNES- FEVEREIRO 26</v>
      </c>
      <c r="B7" s="18">
        <v>46054</v>
      </c>
      <c r="C7" s="3">
        <v>817391</v>
      </c>
      <c r="D7" s="3" t="s">
        <v>487</v>
      </c>
      <c r="E7" s="14">
        <f t="shared" si="1"/>
        <v>-2716.8361451204091</v>
      </c>
      <c r="F7" s="3" t="s">
        <v>366</v>
      </c>
      <c r="G7" s="18">
        <v>46054</v>
      </c>
      <c r="H7" s="19">
        <v>80667</v>
      </c>
      <c r="I7" s="3" t="str">
        <f>VLOOKUP(H7,'[1]Base de Clientes'!$B:$E,4,0)</f>
        <v>ACE CAPITAL GESTORA DE RECURSOS LTDA</v>
      </c>
      <c r="J7" s="5" t="s">
        <v>8</v>
      </c>
      <c r="K7" s="5" t="s">
        <v>161</v>
      </c>
      <c r="L7" s="9">
        <v>2716.8361451204091</v>
      </c>
      <c r="M7" s="11" t="s">
        <v>7</v>
      </c>
      <c r="N7" s="13" t="s">
        <v>17</v>
      </c>
      <c r="O7" s="7">
        <v>1</v>
      </c>
      <c r="P7" s="16" t="s">
        <v>331</v>
      </c>
      <c r="T7" s="7"/>
    </row>
    <row r="8" spans="1:20" x14ac:dyDescent="0.25">
      <c r="A8" s="16" t="str">
        <f t="shared" si="0"/>
        <v>CUSTO DMA -RICARDO CATTARUZZI- FEVEREIRO 26</v>
      </c>
      <c r="B8" s="18">
        <v>46054</v>
      </c>
      <c r="C8" s="3">
        <v>817391</v>
      </c>
      <c r="D8" s="3" t="s">
        <v>404</v>
      </c>
      <c r="E8" s="14">
        <f t="shared" si="1"/>
        <v>-568.8630725602045</v>
      </c>
      <c r="F8" s="3" t="s">
        <v>366</v>
      </c>
      <c r="G8" s="18">
        <v>46054</v>
      </c>
      <c r="H8" s="19">
        <v>80667</v>
      </c>
      <c r="I8" s="3" t="str">
        <f>VLOOKUP(H8,'[1]Base de Clientes'!$B:$E,4,0)</f>
        <v>ACE CAPITAL GESTORA DE RECURSOS LTDA</v>
      </c>
      <c r="J8" s="5" t="s">
        <v>8</v>
      </c>
      <c r="K8" s="5" t="s">
        <v>163</v>
      </c>
      <c r="L8" s="9">
        <v>1137.726145120409</v>
      </c>
      <c r="M8" s="11" t="s">
        <v>7</v>
      </c>
      <c r="N8" s="13" t="s">
        <v>17</v>
      </c>
      <c r="O8" s="7">
        <v>0.5</v>
      </c>
      <c r="P8" s="16" t="s">
        <v>334</v>
      </c>
      <c r="T8" s="7"/>
    </row>
    <row r="9" spans="1:20" x14ac:dyDescent="0.25">
      <c r="A9" s="16" t="str">
        <f t="shared" ref="A9" si="3">CONCATENATE(J9,M9,K9,M9,N9)</f>
        <v>CUSTO DMA -RICARDO CATTARUZZI- FEVEREIRO 26</v>
      </c>
      <c r="B9" s="18">
        <v>46054</v>
      </c>
      <c r="C9" s="3">
        <v>817391</v>
      </c>
      <c r="D9" s="3" t="s">
        <v>474</v>
      </c>
      <c r="E9" s="14">
        <f t="shared" ref="E9" si="4">-L9*O9</f>
        <v>-568.8630725602045</v>
      </c>
      <c r="F9" s="3" t="s">
        <v>366</v>
      </c>
      <c r="G9" s="18">
        <v>46054</v>
      </c>
      <c r="H9" s="19">
        <v>80667</v>
      </c>
      <c r="I9" s="3" t="str">
        <f>VLOOKUP(H9,'[1]Base de Clientes'!$B:$E,4,0)</f>
        <v>ACE CAPITAL GESTORA DE RECURSOS LTDA</v>
      </c>
      <c r="J9" s="5" t="s">
        <v>8</v>
      </c>
      <c r="K9" s="5" t="s">
        <v>163</v>
      </c>
      <c r="L9" s="9">
        <v>1137.726145120409</v>
      </c>
      <c r="M9" s="11" t="s">
        <v>7</v>
      </c>
      <c r="N9" s="13" t="s">
        <v>17</v>
      </c>
      <c r="O9" s="7">
        <v>0.5</v>
      </c>
      <c r="P9" s="16" t="s">
        <v>334</v>
      </c>
      <c r="T9" s="7"/>
    </row>
    <row r="10" spans="1:20" x14ac:dyDescent="0.25">
      <c r="A10" s="16" t="str">
        <f t="shared" si="0"/>
        <v>CUSTO DMA -RODRIGO COELHO NETTO GAZE- FEVEREIRO 26</v>
      </c>
      <c r="B10" s="18">
        <v>46054</v>
      </c>
      <c r="C10" s="3">
        <v>817391</v>
      </c>
      <c r="D10" s="3" t="s">
        <v>487</v>
      </c>
      <c r="E10" s="14">
        <f t="shared" si="1"/>
        <v>-140.27614512040901</v>
      </c>
      <c r="F10" s="3" t="s">
        <v>366</v>
      </c>
      <c r="G10" s="18">
        <v>46054</v>
      </c>
      <c r="H10" s="19">
        <v>80667</v>
      </c>
      <c r="I10" s="3" t="str">
        <f>VLOOKUP(H10,'[1]Base de Clientes'!$B:$E,4,0)</f>
        <v>ACE CAPITAL GESTORA DE RECURSOS LTDA</v>
      </c>
      <c r="J10" s="5" t="s">
        <v>8</v>
      </c>
      <c r="K10" s="5" t="s">
        <v>164</v>
      </c>
      <c r="L10" s="9">
        <v>140.27614512040901</v>
      </c>
      <c r="M10" s="11" t="s">
        <v>7</v>
      </c>
      <c r="N10" s="13" t="s">
        <v>17</v>
      </c>
      <c r="O10" s="7">
        <v>1</v>
      </c>
      <c r="P10" s="16" t="s">
        <v>335</v>
      </c>
      <c r="T10" s="7"/>
    </row>
    <row r="11" spans="1:20" x14ac:dyDescent="0.25">
      <c r="A11" s="16" t="str">
        <f t="shared" si="0"/>
        <v>CUSTO DMA -TALES FREIRE- FEVEREIRO 26</v>
      </c>
      <c r="B11" s="18">
        <v>46054</v>
      </c>
      <c r="C11" s="3">
        <v>817391</v>
      </c>
      <c r="D11" s="3" t="s">
        <v>487</v>
      </c>
      <c r="E11" s="14">
        <f t="shared" si="1"/>
        <v>-479.168057120409</v>
      </c>
      <c r="F11" s="3" t="s">
        <v>366</v>
      </c>
      <c r="G11" s="18">
        <v>46054</v>
      </c>
      <c r="H11" s="19">
        <v>80667</v>
      </c>
      <c r="I11" s="3" t="str">
        <f>VLOOKUP(H11,'[1]Base de Clientes'!$B:$E,4,0)</f>
        <v>ACE CAPITAL GESTORA DE RECURSOS LTDA</v>
      </c>
      <c r="J11" s="5" t="s">
        <v>8</v>
      </c>
      <c r="K11" s="5" t="s">
        <v>174</v>
      </c>
      <c r="L11" s="9">
        <v>479.168057120409</v>
      </c>
      <c r="M11" s="11" t="s">
        <v>7</v>
      </c>
      <c r="N11" s="13" t="s">
        <v>17</v>
      </c>
      <c r="O11" s="7">
        <v>1</v>
      </c>
      <c r="P11" s="16" t="s">
        <v>346</v>
      </c>
      <c r="T11" s="7"/>
    </row>
    <row r="12" spans="1:20" x14ac:dyDescent="0.25">
      <c r="A12" s="16" t="str">
        <f t="shared" si="0"/>
        <v>CUSTO DMA -THOMAZ FURUKAWA- FEVEREIRO 26</v>
      </c>
      <c r="B12" s="18">
        <v>46054</v>
      </c>
      <c r="C12" s="3">
        <v>817391</v>
      </c>
      <c r="D12" s="3" t="s">
        <v>487</v>
      </c>
      <c r="E12" s="14">
        <f t="shared" si="1"/>
        <v>-823.87214512040896</v>
      </c>
      <c r="F12" s="3" t="s">
        <v>366</v>
      </c>
      <c r="G12" s="18">
        <v>46054</v>
      </c>
      <c r="H12" s="19">
        <v>80667</v>
      </c>
      <c r="I12" s="3" t="str">
        <f>VLOOKUP(H12,'[1]Base de Clientes'!$B:$E,4,0)</f>
        <v>ACE CAPITAL GESTORA DE RECURSOS LTDA</v>
      </c>
      <c r="J12" s="5" t="s">
        <v>8</v>
      </c>
      <c r="K12" s="5" t="s">
        <v>379</v>
      </c>
      <c r="L12" s="9">
        <v>823.87214512040896</v>
      </c>
      <c r="M12" s="11" t="s">
        <v>7</v>
      </c>
      <c r="N12" s="13" t="s">
        <v>17</v>
      </c>
      <c r="O12" s="7">
        <v>1</v>
      </c>
      <c r="P12" s="16" t="s">
        <v>394</v>
      </c>
      <c r="T12" s="7"/>
    </row>
    <row r="13" spans="1:20" x14ac:dyDescent="0.25">
      <c r="A13" s="16" t="str">
        <f t="shared" si="0"/>
        <v>CUSTO DMA -THIAGO KADOBAYASHI- FEVEREIRO 26</v>
      </c>
      <c r="B13" s="18">
        <v>46054</v>
      </c>
      <c r="C13" s="3">
        <v>817391</v>
      </c>
      <c r="D13" s="3" t="s">
        <v>487</v>
      </c>
      <c r="E13" s="14">
        <f t="shared" si="1"/>
        <v>-2855.6261451204091</v>
      </c>
      <c r="F13" s="3" t="s">
        <v>366</v>
      </c>
      <c r="G13" s="18">
        <v>46054</v>
      </c>
      <c r="H13" s="19">
        <v>80667</v>
      </c>
      <c r="I13" s="3" t="str">
        <f>VLOOKUP(H13,'[1]Base de Clientes'!$B:$E,4,0)</f>
        <v>ACE CAPITAL GESTORA DE RECURSOS LTDA</v>
      </c>
      <c r="J13" s="5" t="s">
        <v>8</v>
      </c>
      <c r="K13" s="5" t="s">
        <v>380</v>
      </c>
      <c r="L13" s="9">
        <v>2855.6261451204091</v>
      </c>
      <c r="M13" s="11" t="s">
        <v>7</v>
      </c>
      <c r="N13" s="13" t="s">
        <v>17</v>
      </c>
      <c r="O13" s="7">
        <v>1</v>
      </c>
      <c r="P13" s="16" t="s">
        <v>395</v>
      </c>
      <c r="T13" s="7"/>
    </row>
    <row r="14" spans="1:20" x14ac:dyDescent="0.25">
      <c r="A14" s="16" t="str">
        <f t="shared" ref="A14" si="5">CONCATENATE(J14,M14,K14,M14,N14)</f>
        <v>CUSTO DMA -VICTOR VELOSO- FEVEREIRO 26</v>
      </c>
      <c r="B14" s="18">
        <v>46054</v>
      </c>
      <c r="C14" s="3">
        <v>817391</v>
      </c>
      <c r="D14" s="3" t="s">
        <v>487</v>
      </c>
      <c r="E14" s="14">
        <f t="shared" si="1"/>
        <v>-140.27614512040901</v>
      </c>
      <c r="F14" s="3" t="s">
        <v>366</v>
      </c>
      <c r="G14" s="18">
        <v>46054</v>
      </c>
      <c r="H14" s="19">
        <v>81031</v>
      </c>
      <c r="I14" s="3" t="str">
        <f>VLOOKUP(H14,'[1]Base de Clientes'!$B:$E,4,0)</f>
        <v>ACE CAPITAL GESTORA DE RECURSOS LTDA</v>
      </c>
      <c r="J14" s="5" t="s">
        <v>8</v>
      </c>
      <c r="K14" s="5" t="s">
        <v>183</v>
      </c>
      <c r="L14" s="9">
        <v>140.27614512040901</v>
      </c>
      <c r="M14" s="11" t="s">
        <v>7</v>
      </c>
      <c r="N14" s="13" t="s">
        <v>17</v>
      </c>
      <c r="O14" s="7">
        <v>1</v>
      </c>
      <c r="P14" s="16" t="s">
        <v>357</v>
      </c>
      <c r="T14" s="7"/>
    </row>
    <row r="15" spans="1:20" x14ac:dyDescent="0.25">
      <c r="A15" s="16" t="str">
        <f t="shared" si="0"/>
        <v>CUSTO DMA. -ANDRE PINHEIRO- FEVEREIRO 26</v>
      </c>
      <c r="B15" s="18">
        <v>46054</v>
      </c>
      <c r="C15" s="3">
        <v>817391</v>
      </c>
      <c r="D15" s="3" t="s">
        <v>401</v>
      </c>
      <c r="E15" s="14">
        <f t="shared" si="1"/>
        <v>-140.27614512040901</v>
      </c>
      <c r="F15" s="3" t="s">
        <v>366</v>
      </c>
      <c r="G15" s="18">
        <v>46054</v>
      </c>
      <c r="H15" s="19">
        <v>79354</v>
      </c>
      <c r="I15" s="3" t="str">
        <f>VLOOKUP(H15,'[1]Base de Clientes'!$B:$E,4,0)</f>
        <v>BANCO BTG PACTUAL S/A</v>
      </c>
      <c r="J15" s="5" t="s">
        <v>15</v>
      </c>
      <c r="K15" s="5" t="s">
        <v>126</v>
      </c>
      <c r="L15" s="9">
        <v>140.27614512040901</v>
      </c>
      <c r="M15" s="11" t="s">
        <v>7</v>
      </c>
      <c r="N15" s="13" t="s">
        <v>17</v>
      </c>
      <c r="O15" s="7">
        <v>1</v>
      </c>
      <c r="P15" s="16" t="s">
        <v>295</v>
      </c>
      <c r="T15" s="7"/>
    </row>
    <row r="16" spans="1:20" x14ac:dyDescent="0.25">
      <c r="A16" s="16" t="str">
        <f t="shared" si="0"/>
        <v>CUSTO DMA -JOAO L F BENADUCCI- FEVEREIRO 26</v>
      </c>
      <c r="B16" s="18">
        <v>46054</v>
      </c>
      <c r="C16" s="3">
        <v>817391</v>
      </c>
      <c r="D16" s="3" t="s">
        <v>401</v>
      </c>
      <c r="E16" s="14">
        <f t="shared" si="1"/>
        <v>-140.27614512040901</v>
      </c>
      <c r="F16" s="3" t="s">
        <v>366</v>
      </c>
      <c r="G16" s="18">
        <v>46054</v>
      </c>
      <c r="H16" s="19">
        <v>79354</v>
      </c>
      <c r="I16" s="3" t="str">
        <f>VLOOKUP(H16,'[1]Base de Clientes'!$B:$E,4,0)</f>
        <v>BANCO BTG PACTUAL S/A</v>
      </c>
      <c r="J16" s="5" t="s">
        <v>8</v>
      </c>
      <c r="K16" s="5" t="s">
        <v>146</v>
      </c>
      <c r="L16" s="9">
        <v>140.27614512040901</v>
      </c>
      <c r="M16" s="11" t="s">
        <v>7</v>
      </c>
      <c r="N16" s="13" t="s">
        <v>17</v>
      </c>
      <c r="O16" s="7">
        <v>1</v>
      </c>
      <c r="P16" s="16" t="s">
        <v>315</v>
      </c>
      <c r="T16" s="7"/>
    </row>
    <row r="17" spans="1:20" x14ac:dyDescent="0.25">
      <c r="A17" s="16" t="str">
        <f t="shared" ref="A17" si="6">CONCATENATE(J17,M17,K17,M17,N17)</f>
        <v>CUSTO DMA -ENRICO ZEITUNE PASCUCCI- FEVEREIRO 26</v>
      </c>
      <c r="B17" s="18">
        <v>46054</v>
      </c>
      <c r="C17" s="3">
        <v>817391</v>
      </c>
      <c r="D17" s="3" t="s">
        <v>401</v>
      </c>
      <c r="E17" s="14">
        <f t="shared" si="1"/>
        <v>-140.27614512040901</v>
      </c>
      <c r="F17" s="3" t="s">
        <v>366</v>
      </c>
      <c r="G17" s="18">
        <v>46054</v>
      </c>
      <c r="H17" s="19">
        <v>80516</v>
      </c>
      <c r="I17" s="3" t="str">
        <f>VLOOKUP(H17,'[1]Base de Clientes'!$B:$E,4,0)</f>
        <v>BANCO J SAFRA S/A</v>
      </c>
      <c r="J17" s="5" t="s">
        <v>8</v>
      </c>
      <c r="K17" s="5" t="s">
        <v>139</v>
      </c>
      <c r="L17" s="9">
        <v>140.27614512040901</v>
      </c>
      <c r="M17" s="11" t="s">
        <v>7</v>
      </c>
      <c r="N17" s="13" t="s">
        <v>17</v>
      </c>
      <c r="O17" s="7">
        <v>1</v>
      </c>
      <c r="P17" s="16" t="s">
        <v>308</v>
      </c>
      <c r="T17" s="7"/>
    </row>
    <row r="18" spans="1:20" x14ac:dyDescent="0.25">
      <c r="A18" s="16" t="str">
        <f t="shared" si="0"/>
        <v>CUSTO DMA -DANIEL VITOR SALOMÃO- FEVEREIRO 26</v>
      </c>
      <c r="B18" s="18">
        <v>46054</v>
      </c>
      <c r="C18" s="3">
        <v>817391</v>
      </c>
      <c r="D18" s="3" t="s">
        <v>487</v>
      </c>
      <c r="E18" s="14">
        <f t="shared" si="1"/>
        <v>-427.77614512040901</v>
      </c>
      <c r="F18" s="3" t="s">
        <v>366</v>
      </c>
      <c r="G18" s="18">
        <v>46054</v>
      </c>
      <c r="H18" s="19">
        <v>79581</v>
      </c>
      <c r="I18" s="3" t="str">
        <f>VLOOKUP(H18,'[1]Base de Clientes'!$B:$E,4,0)</f>
        <v>OURIBANK S.A. BANCO MULTIPLO</v>
      </c>
      <c r="J18" s="5" t="s">
        <v>8</v>
      </c>
      <c r="K18" s="5" t="s">
        <v>135</v>
      </c>
      <c r="L18" s="9">
        <v>427.77614512040901</v>
      </c>
      <c r="M18" s="11" t="s">
        <v>7</v>
      </c>
      <c r="N18" s="13" t="s">
        <v>17</v>
      </c>
      <c r="O18" s="7">
        <v>1</v>
      </c>
      <c r="P18" s="16" t="s">
        <v>304</v>
      </c>
      <c r="T18" s="7"/>
    </row>
    <row r="19" spans="1:20" x14ac:dyDescent="0.25">
      <c r="A19" s="16" t="str">
        <f t="shared" si="0"/>
        <v>CUSTO DMA -IGOR PERRUPATO MATTAR - FEVEREIRO 26</v>
      </c>
      <c r="B19" s="18">
        <v>46054</v>
      </c>
      <c r="C19" s="3">
        <v>817391</v>
      </c>
      <c r="D19" s="3" t="s">
        <v>487</v>
      </c>
      <c r="E19" s="14">
        <f t="shared" si="1"/>
        <v>-412.77614512040901</v>
      </c>
      <c r="F19" s="3" t="s">
        <v>366</v>
      </c>
      <c r="G19" s="18">
        <v>46054</v>
      </c>
      <c r="H19" s="19">
        <v>79581</v>
      </c>
      <c r="I19" s="3" t="str">
        <f>VLOOKUP(H19,'[1]Base de Clientes'!$B:$E,4,0)</f>
        <v>OURIBANK S.A. BANCO MULTIPLO</v>
      </c>
      <c r="J19" s="5" t="s">
        <v>8</v>
      </c>
      <c r="K19" s="5" t="s">
        <v>144</v>
      </c>
      <c r="L19" s="9">
        <v>412.77614512040901</v>
      </c>
      <c r="M19" s="11" t="s">
        <v>7</v>
      </c>
      <c r="N19" s="13" t="s">
        <v>17</v>
      </c>
      <c r="O19" s="7">
        <v>1</v>
      </c>
      <c r="P19" s="16" t="s">
        <v>313</v>
      </c>
      <c r="T19" s="7"/>
    </row>
    <row r="20" spans="1:20" x14ac:dyDescent="0.25">
      <c r="A20" s="16" t="str">
        <f t="shared" si="0"/>
        <v>CUSTO DMA -SADI TOMAZONI JUNIOR- FEVEREIRO 26</v>
      </c>
      <c r="B20" s="18">
        <v>46054</v>
      </c>
      <c r="C20" s="3">
        <v>817391</v>
      </c>
      <c r="D20" s="3" t="s">
        <v>487</v>
      </c>
      <c r="E20" s="14">
        <f t="shared" si="1"/>
        <v>-140.27614512040901</v>
      </c>
      <c r="F20" s="3" t="s">
        <v>366</v>
      </c>
      <c r="G20" s="18">
        <v>46054</v>
      </c>
      <c r="H20" s="19">
        <v>79581</v>
      </c>
      <c r="I20" s="3" t="str">
        <f>VLOOKUP(H20,'[1]Base de Clientes'!$B:$E,4,0)</f>
        <v>OURIBANK S.A. BANCO MULTIPLO</v>
      </c>
      <c r="J20" s="5" t="s">
        <v>8</v>
      </c>
      <c r="K20" s="5" t="s">
        <v>171</v>
      </c>
      <c r="L20" s="9">
        <v>140.27614512040901</v>
      </c>
      <c r="M20" s="11" t="s">
        <v>7</v>
      </c>
      <c r="N20" s="13" t="s">
        <v>17</v>
      </c>
      <c r="O20" s="7">
        <v>1</v>
      </c>
      <c r="P20" s="16" t="s">
        <v>343</v>
      </c>
      <c r="T20" s="7"/>
    </row>
    <row r="21" spans="1:20" x14ac:dyDescent="0.25">
      <c r="A21" s="16" t="str">
        <f t="shared" si="0"/>
        <v>CUSTO DMA -YGOR QUINHONI FONTES- FEVEREIRO 26</v>
      </c>
      <c r="B21" s="18">
        <v>46054</v>
      </c>
      <c r="C21" s="3">
        <v>817391</v>
      </c>
      <c r="D21" s="3" t="s">
        <v>487</v>
      </c>
      <c r="E21" s="14">
        <f t="shared" si="1"/>
        <v>-251.27614512040901</v>
      </c>
      <c r="F21" s="3" t="s">
        <v>366</v>
      </c>
      <c r="G21" s="18">
        <v>46054</v>
      </c>
      <c r="H21" s="19">
        <v>79581</v>
      </c>
      <c r="I21" s="3" t="str">
        <f>VLOOKUP(H21,'[1]Base de Clientes'!$B:$E,4,0)</f>
        <v>OURIBANK S.A. BANCO MULTIPLO</v>
      </c>
      <c r="J21" s="5" t="s">
        <v>8</v>
      </c>
      <c r="K21" s="5" t="s">
        <v>185</v>
      </c>
      <c r="L21" s="9">
        <v>251.27614512040901</v>
      </c>
      <c r="M21" s="11" t="s">
        <v>7</v>
      </c>
      <c r="N21" s="13" t="s">
        <v>17</v>
      </c>
      <c r="O21" s="7">
        <v>1</v>
      </c>
      <c r="P21" s="16" t="s">
        <v>360</v>
      </c>
      <c r="T21" s="7"/>
    </row>
    <row r="22" spans="1:20" x14ac:dyDescent="0.25">
      <c r="A22" s="16" t="str">
        <f t="shared" si="0"/>
        <v>CUSTO DMA -DANIEL STRUZBERG- FEVEREIRO 26</v>
      </c>
      <c r="B22" s="18">
        <v>46054</v>
      </c>
      <c r="C22" s="3">
        <v>817391</v>
      </c>
      <c r="D22" s="3" t="s">
        <v>470</v>
      </c>
      <c r="E22" s="14">
        <f t="shared" si="1"/>
        <v>-159.43238512040909</v>
      </c>
      <c r="F22" s="3" t="s">
        <v>366</v>
      </c>
      <c r="G22" s="18">
        <v>46054</v>
      </c>
      <c r="H22" s="19">
        <v>81647</v>
      </c>
      <c r="I22" s="3" t="str">
        <f>VLOOKUP(H22,'[1]Base de Clientes'!$B:$E,4,0)</f>
        <v>BOGARI GESTAO DE INVESTIMENTOS LTDA</v>
      </c>
      <c r="J22" s="5" t="s">
        <v>8</v>
      </c>
      <c r="K22" s="5" t="s">
        <v>136</v>
      </c>
      <c r="L22" s="9">
        <v>159.43238512040909</v>
      </c>
      <c r="M22" s="11" t="s">
        <v>7</v>
      </c>
      <c r="N22" s="13" t="s">
        <v>17</v>
      </c>
      <c r="O22" s="7">
        <v>1</v>
      </c>
      <c r="P22" s="16" t="s">
        <v>305</v>
      </c>
      <c r="T22" s="7"/>
    </row>
    <row r="23" spans="1:20" x14ac:dyDescent="0.25">
      <c r="A23" s="16" t="str">
        <f t="shared" ref="A23" si="7">CONCATENATE(J23,M23,K23,M23,N23)</f>
        <v>CUSTO DMA -CAOE MARTINS SILVA- FEVEREIRO 26</v>
      </c>
      <c r="B23" s="18">
        <v>46054</v>
      </c>
      <c r="C23" s="3">
        <v>817391</v>
      </c>
      <c r="D23" s="3" t="s">
        <v>401</v>
      </c>
      <c r="E23" s="14">
        <f t="shared" si="1"/>
        <v>-140.27614512040901</v>
      </c>
      <c r="F23" s="3" t="s">
        <v>366</v>
      </c>
      <c r="G23" s="18">
        <v>46054</v>
      </c>
      <c r="H23" s="19">
        <v>16703</v>
      </c>
      <c r="I23" s="3" t="str">
        <f>VLOOKUP(H23,'[1]Base de Clientes'!$B:$E,4,0)</f>
        <v>BANCO BRADESCO S/A</v>
      </c>
      <c r="J23" s="5" t="s">
        <v>8</v>
      </c>
      <c r="K23" s="5" t="s">
        <v>381</v>
      </c>
      <c r="L23" s="9">
        <v>140.27614512040901</v>
      </c>
      <c r="M23" s="11" t="s">
        <v>7</v>
      </c>
      <c r="N23" s="13" t="s">
        <v>17</v>
      </c>
      <c r="O23" s="7">
        <v>1</v>
      </c>
      <c r="P23" s="16" t="s">
        <v>396</v>
      </c>
      <c r="T23" s="7"/>
    </row>
    <row r="24" spans="1:20" x14ac:dyDescent="0.25">
      <c r="A24" s="16" t="str">
        <f t="shared" si="0"/>
        <v>CUSTO DMA -ANDRE SOARES- FEVEREIRO 26</v>
      </c>
      <c r="B24" s="18">
        <v>46054</v>
      </c>
      <c r="C24" s="3">
        <v>817391</v>
      </c>
      <c r="D24" s="3" t="s">
        <v>488</v>
      </c>
      <c r="E24" s="14">
        <f t="shared" si="1"/>
        <v>-265.26443512040908</v>
      </c>
      <c r="F24" s="3" t="s">
        <v>366</v>
      </c>
      <c r="G24" s="18">
        <v>46054</v>
      </c>
      <c r="H24" s="19">
        <v>80397</v>
      </c>
      <c r="I24" s="3" t="str">
        <f>VLOOKUP(H24,'[1]Base de Clientes'!$B:$E,4,0)</f>
        <v>DYNAMO ADMINISTRACAO DE RECURSOS LTDA</v>
      </c>
      <c r="J24" s="5" t="s">
        <v>8</v>
      </c>
      <c r="K24" s="5" t="s">
        <v>127</v>
      </c>
      <c r="L24" s="9">
        <v>265.26443512040908</v>
      </c>
      <c r="M24" s="11" t="s">
        <v>7</v>
      </c>
      <c r="N24" s="13" t="s">
        <v>17</v>
      </c>
      <c r="O24" s="7">
        <v>1</v>
      </c>
      <c r="P24" s="16" t="s">
        <v>296</v>
      </c>
      <c r="T24" s="7"/>
    </row>
    <row r="25" spans="1:20" x14ac:dyDescent="0.25">
      <c r="A25" s="16" t="str">
        <f t="shared" si="0"/>
        <v>CUSTO DMA -THIAGO DI BLASI- FEVEREIRO 26</v>
      </c>
      <c r="B25" s="18">
        <v>46054</v>
      </c>
      <c r="C25" s="3">
        <v>817391</v>
      </c>
      <c r="D25" s="3" t="s">
        <v>488</v>
      </c>
      <c r="E25" s="14">
        <f t="shared" si="1"/>
        <v>-1114.6631251204089</v>
      </c>
      <c r="F25" s="3" t="s">
        <v>366</v>
      </c>
      <c r="G25" s="18">
        <v>46054</v>
      </c>
      <c r="H25" s="19">
        <v>80397</v>
      </c>
      <c r="I25" s="3" t="str">
        <f>VLOOKUP(H25,'[1]Base de Clientes'!$B:$E,4,0)</f>
        <v>DYNAMO ADMINISTRACAO DE RECURSOS LTDA</v>
      </c>
      <c r="J25" s="5" t="s">
        <v>8</v>
      </c>
      <c r="K25" s="5" t="s">
        <v>173</v>
      </c>
      <c r="L25" s="9">
        <v>1114.6631251204089</v>
      </c>
      <c r="M25" s="11" t="s">
        <v>7</v>
      </c>
      <c r="N25" s="13" t="s">
        <v>17</v>
      </c>
      <c r="O25" s="7">
        <v>1</v>
      </c>
      <c r="P25" s="16" t="s">
        <v>345</v>
      </c>
      <c r="T25" s="7"/>
    </row>
    <row r="26" spans="1:20" x14ac:dyDescent="0.25">
      <c r="A26" s="16" t="str">
        <f t="shared" si="0"/>
        <v>CUSTO DMA -ANDRÉ MAMED- FEVEREIRO 26</v>
      </c>
      <c r="B26" s="18">
        <v>46054</v>
      </c>
      <c r="C26" s="3">
        <v>817391</v>
      </c>
      <c r="D26" s="3" t="s">
        <v>484</v>
      </c>
      <c r="E26" s="14">
        <f t="shared" si="1"/>
        <v>-723.49785032040904</v>
      </c>
      <c r="F26" s="3" t="s">
        <v>366</v>
      </c>
      <c r="G26" s="18">
        <v>46054</v>
      </c>
      <c r="H26" s="19">
        <v>83023</v>
      </c>
      <c r="I26" s="3" t="str">
        <f>VLOOKUP(H26,'[1]Base de Clientes'!$B:$E,4,0)</f>
        <v>GARIN INVESTIMENTOS LTDA</v>
      </c>
      <c r="J26" s="5" t="s">
        <v>8</v>
      </c>
      <c r="K26" s="5" t="s">
        <v>122</v>
      </c>
      <c r="L26" s="9">
        <v>723.49785032040904</v>
      </c>
      <c r="M26" s="11" t="s">
        <v>7</v>
      </c>
      <c r="N26" s="13" t="s">
        <v>17</v>
      </c>
      <c r="O26" s="7">
        <v>1</v>
      </c>
      <c r="P26" s="16" t="s">
        <v>291</v>
      </c>
      <c r="T26" s="7"/>
    </row>
    <row r="27" spans="1:20" x14ac:dyDescent="0.25">
      <c r="A27" s="16" t="str">
        <f t="shared" si="0"/>
        <v>CUSTO DMA -ANDRÉ VIEIRA- FEVEREIRO 26</v>
      </c>
      <c r="B27" s="18">
        <v>46054</v>
      </c>
      <c r="C27" s="3">
        <v>817391</v>
      </c>
      <c r="D27" s="3" t="s">
        <v>484</v>
      </c>
      <c r="E27" s="14">
        <f t="shared" si="1"/>
        <v>-1735.3201265609091</v>
      </c>
      <c r="F27" s="3" t="s">
        <v>366</v>
      </c>
      <c r="G27" s="18">
        <v>46054</v>
      </c>
      <c r="H27" s="19">
        <v>82753</v>
      </c>
      <c r="I27" s="3" t="str">
        <f>VLOOKUP(H27,'[1]Base de Clientes'!$B:$E,4,0)</f>
        <v>GARIN INVESTIMENTOS LTDA</v>
      </c>
      <c r="J27" s="5" t="s">
        <v>8</v>
      </c>
      <c r="K27" s="5" t="s">
        <v>124</v>
      </c>
      <c r="L27" s="9">
        <v>1735.3201265609091</v>
      </c>
      <c r="M27" s="11" t="s">
        <v>7</v>
      </c>
      <c r="N27" s="13" t="s">
        <v>17</v>
      </c>
      <c r="O27" s="7">
        <v>1</v>
      </c>
      <c r="P27" s="16" t="s">
        <v>293</v>
      </c>
      <c r="T27" s="7"/>
    </row>
    <row r="28" spans="1:20" x14ac:dyDescent="0.25">
      <c r="A28" s="16" t="str">
        <f t="shared" si="0"/>
        <v>CUSTO DMA -MATHEUS HENRIQUE DUARTE DOS SANTOS- FEVEREIRO 26</v>
      </c>
      <c r="B28" s="18">
        <v>46054</v>
      </c>
      <c r="C28" s="3">
        <v>817391</v>
      </c>
      <c r="D28" s="3" t="s">
        <v>484</v>
      </c>
      <c r="E28" s="14">
        <f t="shared" si="1"/>
        <v>-474.721735920409</v>
      </c>
      <c r="F28" s="3" t="s">
        <v>366</v>
      </c>
      <c r="G28" s="18">
        <v>46054</v>
      </c>
      <c r="H28" s="19">
        <v>82753</v>
      </c>
      <c r="I28" s="3" t="str">
        <f>VLOOKUP(H28,'[1]Base de Clientes'!$B:$E,4,0)</f>
        <v>GARIN INVESTIMENTOS LTDA</v>
      </c>
      <c r="J28" s="5" t="s">
        <v>8</v>
      </c>
      <c r="K28" s="5" t="s">
        <v>158</v>
      </c>
      <c r="L28" s="9">
        <v>474.721735920409</v>
      </c>
      <c r="M28" s="11" t="s">
        <v>7</v>
      </c>
      <c r="N28" s="13" t="s">
        <v>17</v>
      </c>
      <c r="O28" s="7">
        <v>1</v>
      </c>
      <c r="P28" s="16" t="s">
        <v>328</v>
      </c>
      <c r="T28" s="7"/>
    </row>
    <row r="29" spans="1:20" x14ac:dyDescent="0.2">
      <c r="A29" s="16" t="str">
        <f t="shared" si="0"/>
        <v>CUSTO DMA -ERICO FAUSTINO- FEVEREIRO 26</v>
      </c>
      <c r="B29" s="18">
        <v>46054</v>
      </c>
      <c r="C29" s="3">
        <v>817391</v>
      </c>
      <c r="D29" s="24" t="s">
        <v>401</v>
      </c>
      <c r="E29" s="14">
        <f t="shared" si="1"/>
        <v>-140.27614512040901</v>
      </c>
      <c r="F29" s="3" t="s">
        <v>366</v>
      </c>
      <c r="G29" s="18">
        <v>46054</v>
      </c>
      <c r="H29" s="19">
        <v>79791</v>
      </c>
      <c r="I29" s="3" t="str">
        <f>VLOOKUP(H29,'[1]Base de Clientes'!$B:$E,4,0)</f>
        <v>GOLDMAN SACHS DO BRASIL BANCO MULTIPLO S/A</v>
      </c>
      <c r="J29" s="5" t="s">
        <v>8</v>
      </c>
      <c r="K29" s="5" t="s">
        <v>138</v>
      </c>
      <c r="L29" s="9">
        <v>140.27614512040901</v>
      </c>
      <c r="M29" s="11" t="s">
        <v>7</v>
      </c>
      <c r="N29" s="13" t="s">
        <v>17</v>
      </c>
      <c r="O29" s="7">
        <v>1</v>
      </c>
      <c r="P29" s="16" t="s">
        <v>307</v>
      </c>
      <c r="T29" s="7"/>
    </row>
    <row r="30" spans="1:20" x14ac:dyDescent="0.25">
      <c r="A30" s="16" t="str">
        <f t="shared" si="0"/>
        <v>CUSTO DMA -ISABELA TAKARA- FEVEREIRO 26</v>
      </c>
      <c r="B30" s="18">
        <v>46054</v>
      </c>
      <c r="C30" s="3">
        <v>817391</v>
      </c>
      <c r="D30" s="3" t="s">
        <v>401</v>
      </c>
      <c r="E30" s="14">
        <f t="shared" si="1"/>
        <v>-2183.8461931204092</v>
      </c>
      <c r="F30" s="3" t="s">
        <v>366</v>
      </c>
      <c r="G30" s="18">
        <v>46054</v>
      </c>
      <c r="H30" s="19">
        <v>123491</v>
      </c>
      <c r="I30" s="3" t="str">
        <f>VLOOKUP(H30,'[1]Base de Clientes'!$B:$E,4,0)</f>
        <v>GOLDMAN SACHS DO BRASIL BANCO MULTIPLO S/A</v>
      </c>
      <c r="J30" s="5" t="s">
        <v>8</v>
      </c>
      <c r="K30" s="5" t="s">
        <v>145</v>
      </c>
      <c r="L30" s="9">
        <v>2183.8461931204092</v>
      </c>
      <c r="M30" s="11" t="s">
        <v>7</v>
      </c>
      <c r="N30" s="13" t="s">
        <v>17</v>
      </c>
      <c r="O30" s="7">
        <v>1</v>
      </c>
      <c r="P30" s="16" t="s">
        <v>314</v>
      </c>
      <c r="T30" s="7"/>
    </row>
    <row r="31" spans="1:20" x14ac:dyDescent="0.25">
      <c r="A31" s="16" t="str">
        <f t="shared" si="0"/>
        <v>CUSTO DMA -JOSEPH HOROVITZ- FEVEREIRO 26</v>
      </c>
      <c r="B31" s="18">
        <v>46054</v>
      </c>
      <c r="C31" s="3">
        <v>817391</v>
      </c>
      <c r="D31" s="3" t="s">
        <v>401</v>
      </c>
      <c r="E31" s="14">
        <f t="shared" si="1"/>
        <v>-246.55337736040909</v>
      </c>
      <c r="F31" s="3" t="s">
        <v>366</v>
      </c>
      <c r="G31" s="18">
        <v>46054</v>
      </c>
      <c r="H31" s="19">
        <v>79791</v>
      </c>
      <c r="I31" s="3" t="str">
        <f>VLOOKUP(H31,'[1]Base de Clientes'!$B:$E,4,0)</f>
        <v>GOLDMAN SACHS DO BRASIL BANCO MULTIPLO S/A</v>
      </c>
      <c r="J31" s="5" t="s">
        <v>8</v>
      </c>
      <c r="K31" s="5" t="s">
        <v>148</v>
      </c>
      <c r="L31" s="9">
        <v>246.55337736040909</v>
      </c>
      <c r="M31" s="11" t="s">
        <v>7</v>
      </c>
      <c r="N31" s="13" t="s">
        <v>17</v>
      </c>
      <c r="O31" s="7">
        <v>1</v>
      </c>
      <c r="P31" s="16" t="s">
        <v>317</v>
      </c>
      <c r="T31" s="7"/>
    </row>
    <row r="32" spans="1:20" x14ac:dyDescent="0.25">
      <c r="A32" s="16" t="str">
        <f t="shared" si="0"/>
        <v>CUSTO DMA -LUIZ LOUREIRO- FEVEREIRO 26</v>
      </c>
      <c r="B32" s="18">
        <v>46054</v>
      </c>
      <c r="C32" s="3">
        <v>817391</v>
      </c>
      <c r="D32" s="3" t="s">
        <v>401</v>
      </c>
      <c r="E32" s="14">
        <f t="shared" si="1"/>
        <v>-140.27614512040901</v>
      </c>
      <c r="F32" s="3" t="s">
        <v>366</v>
      </c>
      <c r="G32" s="18">
        <v>46054</v>
      </c>
      <c r="H32" s="19">
        <v>79791</v>
      </c>
      <c r="I32" s="3" t="str">
        <f>VLOOKUP(H32,'[1]Base de Clientes'!$B:$E,4,0)</f>
        <v>GOLDMAN SACHS DO BRASIL BANCO MULTIPLO S/A</v>
      </c>
      <c r="J32" s="5" t="s">
        <v>8</v>
      </c>
      <c r="K32" s="5" t="s">
        <v>154</v>
      </c>
      <c r="L32" s="9">
        <v>140.27614512040901</v>
      </c>
      <c r="M32" s="11" t="s">
        <v>7</v>
      </c>
      <c r="N32" s="13" t="s">
        <v>17</v>
      </c>
      <c r="O32" s="7">
        <v>1</v>
      </c>
      <c r="P32" s="16" t="s">
        <v>324</v>
      </c>
      <c r="T32" s="7"/>
    </row>
    <row r="33" spans="1:20" x14ac:dyDescent="0.25">
      <c r="A33" s="16" t="str">
        <f t="shared" si="0"/>
        <v>CUSTO DMA -GUSTAVO BASSICHETTO- FEVEREIRO 26</v>
      </c>
      <c r="B33" s="18">
        <v>46054</v>
      </c>
      <c r="C33" s="3">
        <v>817391</v>
      </c>
      <c r="D33" s="3" t="s">
        <v>401</v>
      </c>
      <c r="E33" s="14">
        <f t="shared" si="1"/>
        <v>-140.27614512040901</v>
      </c>
      <c r="F33" s="3" t="s">
        <v>366</v>
      </c>
      <c r="G33" s="18">
        <v>46054</v>
      </c>
      <c r="H33" s="19">
        <v>123491</v>
      </c>
      <c r="I33" s="3" t="str">
        <f>VLOOKUP(H33,'[1]Base de Clientes'!$B:$E,4,0)</f>
        <v>GOLDMAN SACHS DO BRASIL BANCO MULTIPLO S/A</v>
      </c>
      <c r="J33" s="5" t="s">
        <v>8</v>
      </c>
      <c r="K33" s="5" t="s">
        <v>178</v>
      </c>
      <c r="L33" s="9">
        <v>140.27614512040901</v>
      </c>
      <c r="M33" s="11" t="s">
        <v>7</v>
      </c>
      <c r="N33" s="13" t="s">
        <v>17</v>
      </c>
      <c r="O33" s="7">
        <v>1</v>
      </c>
      <c r="P33" s="16" t="s">
        <v>351</v>
      </c>
      <c r="T33" s="7"/>
    </row>
    <row r="34" spans="1:20" x14ac:dyDescent="0.25">
      <c r="A34" s="16" t="str">
        <f t="shared" si="0"/>
        <v>CUSTO DMA -HENRIQUE GARCIA- FEVEREIRO 26</v>
      </c>
      <c r="B34" s="18">
        <v>46054</v>
      </c>
      <c r="C34" s="3">
        <v>817391</v>
      </c>
      <c r="D34" s="3" t="s">
        <v>398</v>
      </c>
      <c r="E34" s="14">
        <f t="shared" si="1"/>
        <v>-140.27614512040901</v>
      </c>
      <c r="F34" s="3" t="s">
        <v>366</v>
      </c>
      <c r="G34" s="18">
        <v>46054</v>
      </c>
      <c r="H34" s="19">
        <v>81849</v>
      </c>
      <c r="I34" s="3" t="str">
        <f>VLOOKUP(H34,'[1]Base de Clientes'!$B:$E,4,0)</f>
        <v>IBIUNA GESTAO DE RECURSOS LTDA</v>
      </c>
      <c r="J34" s="5" t="s">
        <v>8</v>
      </c>
      <c r="K34" s="5" t="s">
        <v>143</v>
      </c>
      <c r="L34" s="9">
        <v>140.27614512040901</v>
      </c>
      <c r="M34" s="11" t="s">
        <v>7</v>
      </c>
      <c r="N34" s="13" t="s">
        <v>17</v>
      </c>
      <c r="O34" s="7">
        <v>1</v>
      </c>
      <c r="P34" s="16" t="s">
        <v>312</v>
      </c>
      <c r="T34" s="7"/>
    </row>
    <row r="35" spans="1:20" x14ac:dyDescent="0.25">
      <c r="A35" s="16" t="str">
        <f t="shared" si="0"/>
        <v>CUSTO DMA -LEONARDO PAULO MACHADO- FEVEREIRO 26</v>
      </c>
      <c r="B35" s="18">
        <v>46054</v>
      </c>
      <c r="C35" s="3">
        <v>817391</v>
      </c>
      <c r="D35" s="3" t="s">
        <v>398</v>
      </c>
      <c r="E35" s="14">
        <f t="shared" si="1"/>
        <v>-140.27614512040901</v>
      </c>
      <c r="F35" s="3" t="s">
        <v>366</v>
      </c>
      <c r="G35" s="18">
        <v>46054</v>
      </c>
      <c r="H35" s="19">
        <v>81849</v>
      </c>
      <c r="I35" s="3" t="str">
        <f>VLOOKUP(H35,'[1]Base de Clientes'!$B:$E,4,0)</f>
        <v>IBIUNA GESTAO DE RECURSOS LTDA</v>
      </c>
      <c r="J35" s="5" t="s">
        <v>8</v>
      </c>
      <c r="K35" s="5" t="s">
        <v>153</v>
      </c>
      <c r="L35" s="9">
        <v>140.27614512040901</v>
      </c>
      <c r="M35" s="11" t="s">
        <v>7</v>
      </c>
      <c r="N35" s="13" t="s">
        <v>17</v>
      </c>
      <c r="O35" s="7">
        <v>1</v>
      </c>
      <c r="P35" s="16" t="s">
        <v>323</v>
      </c>
      <c r="T35" s="7"/>
    </row>
    <row r="36" spans="1:20" x14ac:dyDescent="0.25">
      <c r="A36" s="16" t="str">
        <f t="shared" si="0"/>
        <v>CUSTO DMA -ANTONIO GUIMARAES- FEVEREIRO 26</v>
      </c>
      <c r="B36" s="18">
        <v>46054</v>
      </c>
      <c r="C36" s="3">
        <v>817391</v>
      </c>
      <c r="D36" s="3" t="s">
        <v>397</v>
      </c>
      <c r="E36" s="14">
        <f t="shared" si="1"/>
        <v>-70.138072560204506</v>
      </c>
      <c r="F36" s="3" t="s">
        <v>366</v>
      </c>
      <c r="G36" s="18">
        <v>46054</v>
      </c>
      <c r="H36" s="19">
        <v>82010</v>
      </c>
      <c r="I36" s="3" t="str">
        <f>VLOOKUP(H36,'[1]Base de Clientes'!$B:$E,4,0)</f>
        <v>ITAU UNIBANCO ASSET - JANEIRO</v>
      </c>
      <c r="J36" s="5" t="s">
        <v>8</v>
      </c>
      <c r="K36" s="5" t="s">
        <v>123</v>
      </c>
      <c r="L36" s="9">
        <v>140.27614512040901</v>
      </c>
      <c r="M36" s="11" t="s">
        <v>7</v>
      </c>
      <c r="N36" s="13" t="s">
        <v>17</v>
      </c>
      <c r="O36" s="7">
        <v>0.5</v>
      </c>
      <c r="P36" s="16" t="s">
        <v>292</v>
      </c>
      <c r="T36" s="7"/>
    </row>
    <row r="37" spans="1:20" x14ac:dyDescent="0.25">
      <c r="A37" s="16" t="str">
        <f t="shared" ref="A37" si="8">CONCATENATE(J37,M37,K37,M37,N37)</f>
        <v>CUSTO DMA -ANTONIO GUIMARAES- FEVEREIRO 26</v>
      </c>
      <c r="B37" s="18">
        <v>46054</v>
      </c>
      <c r="C37" s="3">
        <v>817391</v>
      </c>
      <c r="D37" s="3" t="s">
        <v>401</v>
      </c>
      <c r="E37" s="14">
        <f t="shared" ref="E37" si="9">-L37*O37</f>
        <v>-70.138072560204506</v>
      </c>
      <c r="F37" s="3" t="s">
        <v>366</v>
      </c>
      <c r="G37" s="18">
        <v>46054</v>
      </c>
      <c r="H37" s="19">
        <v>82010</v>
      </c>
      <c r="I37" s="3" t="str">
        <f>VLOOKUP(H37,'[1]Base de Clientes'!$B:$E,4,0)</f>
        <v>ITAU UNIBANCO ASSET - JANEIRO</v>
      </c>
      <c r="J37" s="5" t="s">
        <v>8</v>
      </c>
      <c r="K37" s="5" t="s">
        <v>123</v>
      </c>
      <c r="L37" s="9">
        <v>140.27614512040901</v>
      </c>
      <c r="M37" s="11" t="s">
        <v>7</v>
      </c>
      <c r="N37" s="13" t="s">
        <v>17</v>
      </c>
      <c r="O37" s="7">
        <v>0.5</v>
      </c>
      <c r="P37" s="16" t="s">
        <v>292</v>
      </c>
      <c r="T37" s="7"/>
    </row>
    <row r="38" spans="1:20" x14ac:dyDescent="0.25">
      <c r="A38" s="16" t="str">
        <f t="shared" si="0"/>
        <v>CUSTO DMA -JOÃO PAULO GOIS SPECK- FEVEREIRO 26</v>
      </c>
      <c r="B38" s="18">
        <v>46054</v>
      </c>
      <c r="C38" s="3">
        <v>817391</v>
      </c>
      <c r="D38" s="3" t="s">
        <v>401</v>
      </c>
      <c r="E38" s="14">
        <f t="shared" si="1"/>
        <v>-140.27614512040901</v>
      </c>
      <c r="F38" s="3" t="s">
        <v>366</v>
      </c>
      <c r="G38" s="18">
        <v>46054</v>
      </c>
      <c r="H38" s="19">
        <v>82258</v>
      </c>
      <c r="I38" s="3" t="str">
        <f>VLOOKUP(H38,'[1]Base de Clientes'!$B:$E,4,0)</f>
        <v>BANCO JP MORGAN S/A</v>
      </c>
      <c r="J38" s="5" t="s">
        <v>8</v>
      </c>
      <c r="K38" s="5" t="s">
        <v>150</v>
      </c>
      <c r="L38" s="9">
        <v>140.27614512040901</v>
      </c>
      <c r="M38" s="11" t="s">
        <v>7</v>
      </c>
      <c r="N38" s="13" t="s">
        <v>17</v>
      </c>
      <c r="O38" s="7">
        <v>1</v>
      </c>
      <c r="P38" s="16" t="s">
        <v>320</v>
      </c>
      <c r="T38" s="7"/>
    </row>
    <row r="39" spans="1:20" x14ac:dyDescent="0.25">
      <c r="A39" s="16" t="str">
        <f t="shared" si="0"/>
        <v>CUSTO DMA -VITOR KASSAB- FEVEREIRO 26</v>
      </c>
      <c r="B39" s="18">
        <v>46054</v>
      </c>
      <c r="C39" s="3">
        <v>817391</v>
      </c>
      <c r="D39" s="3" t="s">
        <v>401</v>
      </c>
      <c r="E39" s="14">
        <f t="shared" si="1"/>
        <v>-140.27614512040901</v>
      </c>
      <c r="F39" s="3" t="s">
        <v>366</v>
      </c>
      <c r="G39" s="18">
        <v>46054</v>
      </c>
      <c r="H39" s="19">
        <v>82255</v>
      </c>
      <c r="I39" s="3" t="str">
        <f>VLOOKUP(H39,'[1]Base de Clientes'!$B:$E,4,0)</f>
        <v>BANCO JP MORGAN S/A</v>
      </c>
      <c r="J39" s="5" t="s">
        <v>8</v>
      </c>
      <c r="K39" s="5" t="s">
        <v>182</v>
      </c>
      <c r="L39" s="9">
        <v>140.27614512040901</v>
      </c>
      <c r="M39" s="11" t="s">
        <v>7</v>
      </c>
      <c r="N39" s="13" t="s">
        <v>17</v>
      </c>
      <c r="O39" s="7">
        <v>1</v>
      </c>
      <c r="P39" s="16" t="s">
        <v>356</v>
      </c>
      <c r="T39" s="7"/>
    </row>
    <row r="40" spans="1:20" x14ac:dyDescent="0.25">
      <c r="A40" s="16" t="str">
        <f t="shared" si="0"/>
        <v>CUSTO DMA -WILLIAM M LEE- FEVEREIRO 26</v>
      </c>
      <c r="B40" s="18">
        <v>46054</v>
      </c>
      <c r="C40" s="3">
        <v>817391</v>
      </c>
      <c r="D40" s="3" t="s">
        <v>401</v>
      </c>
      <c r="E40" s="14">
        <f t="shared" si="1"/>
        <v>-140.27614512040901</v>
      </c>
      <c r="F40" s="3" t="s">
        <v>366</v>
      </c>
      <c r="G40" s="18">
        <v>46054</v>
      </c>
      <c r="H40" s="19">
        <v>82258</v>
      </c>
      <c r="I40" s="3" t="str">
        <f>VLOOKUP(H40,'[1]Base de Clientes'!$B:$E,4,0)</f>
        <v>BANCO JP MORGAN S/A</v>
      </c>
      <c r="J40" s="5" t="s">
        <v>8</v>
      </c>
      <c r="K40" s="5" t="s">
        <v>184</v>
      </c>
      <c r="L40" s="9">
        <v>140.27614512040901</v>
      </c>
      <c r="M40" s="11" t="s">
        <v>7</v>
      </c>
      <c r="N40" s="13" t="s">
        <v>17</v>
      </c>
      <c r="O40" s="7">
        <v>1</v>
      </c>
      <c r="P40" s="16" t="s">
        <v>359</v>
      </c>
      <c r="T40" s="7"/>
    </row>
    <row r="41" spans="1:20" x14ac:dyDescent="0.25">
      <c r="A41" s="16" t="str">
        <f t="shared" si="0"/>
        <v>CUSTO DMA -GABRIEL LIMA - FEVEREIRO 26</v>
      </c>
      <c r="B41" s="18">
        <v>46054</v>
      </c>
      <c r="C41" s="3">
        <v>817391</v>
      </c>
      <c r="D41" s="3" t="s">
        <v>401</v>
      </c>
      <c r="E41" s="14">
        <f t="shared" si="1"/>
        <v>-203.09614512040909</v>
      </c>
      <c r="F41" s="3" t="s">
        <v>366</v>
      </c>
      <c r="G41" s="18">
        <v>46054</v>
      </c>
      <c r="H41" s="19">
        <v>12413</v>
      </c>
      <c r="I41" s="3" t="str">
        <f>VLOOKUP(H41,'[1]Base de Clientes'!$B:$E,4,0)</f>
        <v>KAPITALO INVESTIMENTOS LTDA</v>
      </c>
      <c r="J41" s="5" t="s">
        <v>8</v>
      </c>
      <c r="K41" s="5" t="s">
        <v>142</v>
      </c>
      <c r="L41" s="9">
        <v>203.09614512040909</v>
      </c>
      <c r="M41" s="11" t="s">
        <v>7</v>
      </c>
      <c r="N41" s="13" t="s">
        <v>17</v>
      </c>
      <c r="O41" s="7">
        <v>1</v>
      </c>
      <c r="P41" s="16" t="s">
        <v>311</v>
      </c>
      <c r="T41" s="7"/>
    </row>
    <row r="42" spans="1:20" x14ac:dyDescent="0.25">
      <c r="A42" s="16" t="str">
        <f t="shared" si="0"/>
        <v>CUSTO DMA -MATHEUS KWON- FEVEREIRO 26</v>
      </c>
      <c r="B42" s="18">
        <v>46054</v>
      </c>
      <c r="C42" s="3">
        <v>817391</v>
      </c>
      <c r="D42" s="3" t="s">
        <v>401</v>
      </c>
      <c r="E42" s="14">
        <f t="shared" si="1"/>
        <v>-523.976145120409</v>
      </c>
      <c r="F42" s="3" t="s">
        <v>366</v>
      </c>
      <c r="G42" s="18">
        <v>46054</v>
      </c>
      <c r="H42" s="19">
        <v>12413</v>
      </c>
      <c r="I42" s="3" t="str">
        <f>VLOOKUP(H42,'[1]Base de Clientes'!$B:$E,4,0)</f>
        <v>KAPITALO INVESTIMENTOS LTDA</v>
      </c>
      <c r="J42" s="5" t="s">
        <v>8</v>
      </c>
      <c r="K42" s="5" t="s">
        <v>155</v>
      </c>
      <c r="L42" s="9">
        <v>523.976145120409</v>
      </c>
      <c r="M42" s="11" t="s">
        <v>7</v>
      </c>
      <c r="N42" s="13" t="s">
        <v>17</v>
      </c>
      <c r="O42" s="7">
        <v>1</v>
      </c>
      <c r="P42" s="16" t="s">
        <v>325</v>
      </c>
      <c r="T42" s="7"/>
    </row>
    <row r="43" spans="1:20" x14ac:dyDescent="0.25">
      <c r="A43" s="16" t="str">
        <f t="shared" si="0"/>
        <v>CUSTO DMA. -RAFAEL POPPE- FEVEREIRO 26</v>
      </c>
      <c r="B43" s="18">
        <v>46054</v>
      </c>
      <c r="C43" s="3">
        <v>817391</v>
      </c>
      <c r="D43" s="3" t="s">
        <v>401</v>
      </c>
      <c r="E43" s="14">
        <f t="shared" si="1"/>
        <v>-140.27614512040901</v>
      </c>
      <c r="F43" s="3" t="s">
        <v>366</v>
      </c>
      <c r="G43" s="18">
        <v>46054</v>
      </c>
      <c r="H43" s="19">
        <v>80492</v>
      </c>
      <c r="I43" s="3" t="str">
        <f>VLOOKUP(H43,'[1]Base de Clientes'!$B:$E,4,0)</f>
        <v>KAPITALO INVESTIMENTOS LTDA</v>
      </c>
      <c r="J43" s="5" t="s">
        <v>15</v>
      </c>
      <c r="K43" s="5" t="s">
        <v>80</v>
      </c>
      <c r="L43" s="9">
        <v>140.27614512040901</v>
      </c>
      <c r="M43" s="11" t="s">
        <v>7</v>
      </c>
      <c r="N43" s="13" t="s">
        <v>17</v>
      </c>
      <c r="O43" s="7">
        <v>1</v>
      </c>
      <c r="P43" s="16" t="s">
        <v>333</v>
      </c>
      <c r="T43" s="7"/>
    </row>
    <row r="44" spans="1:20" x14ac:dyDescent="0.25">
      <c r="A44" s="16" t="str">
        <f t="shared" si="0"/>
        <v>CUSTO DMA -RODRIGO LIVIANU- FEVEREIRO 26</v>
      </c>
      <c r="B44" s="18">
        <v>46054</v>
      </c>
      <c r="C44" s="3">
        <v>817391</v>
      </c>
      <c r="D44" s="3" t="s">
        <v>401</v>
      </c>
      <c r="E44" s="14">
        <f t="shared" si="1"/>
        <v>-1612.2269043204089</v>
      </c>
      <c r="F44" s="3" t="s">
        <v>366</v>
      </c>
      <c r="G44" s="18">
        <v>46054</v>
      </c>
      <c r="H44" s="19">
        <v>12413</v>
      </c>
      <c r="I44" s="3" t="str">
        <f>VLOOKUP(H44,'[1]Base de Clientes'!$B:$E,4,0)</f>
        <v>KAPITALO INVESTIMENTOS LTDA</v>
      </c>
      <c r="J44" s="5" t="s">
        <v>8</v>
      </c>
      <c r="K44" s="5" t="s">
        <v>165</v>
      </c>
      <c r="L44" s="9">
        <v>1612.2269043204089</v>
      </c>
      <c r="M44" s="11" t="s">
        <v>7</v>
      </c>
      <c r="N44" s="13" t="s">
        <v>17</v>
      </c>
      <c r="O44" s="7">
        <v>1</v>
      </c>
      <c r="P44" s="16" t="s">
        <v>337</v>
      </c>
      <c r="T44" s="7"/>
    </row>
    <row r="45" spans="1:20" x14ac:dyDescent="0.25">
      <c r="A45" s="16" t="str">
        <f t="shared" si="0"/>
        <v>CUSTO DMA -CARLO MORATELLI- FEVEREIRO 26</v>
      </c>
      <c r="B45" s="18">
        <v>46054</v>
      </c>
      <c r="C45" s="3">
        <v>817391</v>
      </c>
      <c r="D45" s="3" t="s">
        <v>486</v>
      </c>
      <c r="E45" s="14">
        <f t="shared" si="1"/>
        <v>-4998.7355521204081</v>
      </c>
      <c r="F45" s="3" t="s">
        <v>366</v>
      </c>
      <c r="G45" s="18">
        <v>46054</v>
      </c>
      <c r="H45" s="19">
        <v>82248</v>
      </c>
      <c r="I45" s="3" t="str">
        <f>VLOOKUP(H45,'[1]Base de Clientes'!$B:$E,4,0)</f>
        <v>MORE INVEST GESTORA DE RECURSOS LTDA</v>
      </c>
      <c r="J45" s="5" t="s">
        <v>8</v>
      </c>
      <c r="K45" s="5" t="s">
        <v>131</v>
      </c>
      <c r="L45" s="9">
        <v>4998.7355521204081</v>
      </c>
      <c r="M45" s="11" t="s">
        <v>7</v>
      </c>
      <c r="N45" s="13" t="s">
        <v>17</v>
      </c>
      <c r="O45" s="7">
        <v>1</v>
      </c>
      <c r="P45" s="16" t="s">
        <v>300</v>
      </c>
      <c r="T45" s="7"/>
    </row>
    <row r="46" spans="1:20" x14ac:dyDescent="0.25">
      <c r="A46" s="16" t="str">
        <f t="shared" si="0"/>
        <v>CUSTO DMA -JOSÉ PEDRO BORGES- FEVEREIRO 26</v>
      </c>
      <c r="B46" s="18">
        <v>46054</v>
      </c>
      <c r="C46" s="3">
        <v>817391</v>
      </c>
      <c r="D46" s="3" t="s">
        <v>486</v>
      </c>
      <c r="E46" s="14">
        <f t="shared" si="1"/>
        <v>-451.80736104042512</v>
      </c>
      <c r="F46" s="3" t="s">
        <v>366</v>
      </c>
      <c r="G46" s="18">
        <v>46054</v>
      </c>
      <c r="H46" s="19">
        <v>82901</v>
      </c>
      <c r="I46" s="3" t="str">
        <f>VLOOKUP(H46,'[1]Base de Clientes'!$B:$E,4,0)</f>
        <v>MORE INVEST GESTORA DE RECURSOS LTDA</v>
      </c>
      <c r="J46" s="5" t="s">
        <v>8</v>
      </c>
      <c r="K46" s="5" t="s">
        <v>147</v>
      </c>
      <c r="L46" s="9">
        <v>451.80736104042512</v>
      </c>
      <c r="M46" s="11" t="s">
        <v>7</v>
      </c>
      <c r="N46" s="13" t="s">
        <v>17</v>
      </c>
      <c r="O46" s="7">
        <v>1</v>
      </c>
      <c r="P46" s="16" t="s">
        <v>316</v>
      </c>
      <c r="T46" s="7"/>
    </row>
    <row r="47" spans="1:20" x14ac:dyDescent="0.25">
      <c r="A47" s="16" t="str">
        <f t="shared" si="0"/>
        <v>CUSTO DMA -MARCELO MARQUES- FEVEREIRO 26</v>
      </c>
      <c r="B47" s="18">
        <v>46054</v>
      </c>
      <c r="C47" s="3">
        <v>817391</v>
      </c>
      <c r="D47" s="3" t="s">
        <v>486</v>
      </c>
      <c r="E47" s="14">
        <f t="shared" si="1"/>
        <v>-623.966239120409</v>
      </c>
      <c r="F47" s="3" t="s">
        <v>366</v>
      </c>
      <c r="G47" s="18">
        <v>46054</v>
      </c>
      <c r="H47" s="19">
        <v>82901</v>
      </c>
      <c r="I47" s="3" t="str">
        <f>VLOOKUP(H47,'[1]Base de Clientes'!$B:$E,4,0)</f>
        <v>MORE INVEST GESTORA DE RECURSOS LTDA</v>
      </c>
      <c r="J47" s="5" t="s">
        <v>8</v>
      </c>
      <c r="K47" s="5" t="s">
        <v>160</v>
      </c>
      <c r="L47" s="9">
        <v>623.966239120409</v>
      </c>
      <c r="M47" s="11" t="s">
        <v>7</v>
      </c>
      <c r="N47" s="13" t="s">
        <v>17</v>
      </c>
      <c r="O47" s="7">
        <v>1</v>
      </c>
      <c r="P47" s="16" t="s">
        <v>330</v>
      </c>
      <c r="T47" s="7"/>
    </row>
    <row r="48" spans="1:20" x14ac:dyDescent="0.25">
      <c r="A48" s="16" t="str">
        <f t="shared" si="0"/>
        <v>CUSTO DMA -RODRIGO ALVES BRAGA- FEVEREIRO 26</v>
      </c>
      <c r="B48" s="18">
        <v>46054</v>
      </c>
      <c r="C48" s="3">
        <v>817391</v>
      </c>
      <c r="D48" s="3" t="s">
        <v>486</v>
      </c>
      <c r="E48" s="14">
        <f t="shared" si="1"/>
        <v>-140.27614512040901</v>
      </c>
      <c r="F48" s="3" t="s">
        <v>366</v>
      </c>
      <c r="G48" s="18">
        <v>46054</v>
      </c>
      <c r="H48" s="19">
        <v>12404</v>
      </c>
      <c r="I48" s="3" t="str">
        <f>VLOOKUP(H48,'[1]Base de Clientes'!$B:$E,4,0)</f>
        <v>MORE INVEST GESTORA DE RECURSOS LTDA</v>
      </c>
      <c r="J48" s="5" t="s">
        <v>8</v>
      </c>
      <c r="K48" s="5" t="s">
        <v>167</v>
      </c>
      <c r="L48" s="9">
        <v>140.27614512040901</v>
      </c>
      <c r="M48" s="11" t="s">
        <v>7</v>
      </c>
      <c r="N48" s="13" t="s">
        <v>17</v>
      </c>
      <c r="O48" s="7">
        <v>1</v>
      </c>
      <c r="P48" s="16" t="s">
        <v>339</v>
      </c>
      <c r="T48" s="7"/>
    </row>
    <row r="49" spans="1:20" x14ac:dyDescent="0.25">
      <c r="A49" s="16" t="str">
        <f t="shared" si="0"/>
        <v>CUSTO DMA -YURI DE OLIVEIRA BIALOSKORSKI - FEVEREIRO 26</v>
      </c>
      <c r="B49" s="18">
        <v>46054</v>
      </c>
      <c r="C49" s="3">
        <v>817391</v>
      </c>
      <c r="D49" s="3" t="s">
        <v>486</v>
      </c>
      <c r="E49" s="14">
        <f t="shared" si="1"/>
        <v>-377.21614512040901</v>
      </c>
      <c r="F49" s="3" t="s">
        <v>366</v>
      </c>
      <c r="G49" s="18">
        <v>46054</v>
      </c>
      <c r="H49" s="19">
        <v>82967</v>
      </c>
      <c r="I49" s="3" t="str">
        <f>VLOOKUP(H49,'[1]Base de Clientes'!$B:$E,4,0)</f>
        <v>MORE INVEST GESTORA DE RECURSOS LTDA</v>
      </c>
      <c r="J49" s="5" t="s">
        <v>8</v>
      </c>
      <c r="K49" s="5" t="s">
        <v>186</v>
      </c>
      <c r="L49" s="9">
        <v>377.21614512040901</v>
      </c>
      <c r="M49" s="11" t="s">
        <v>7</v>
      </c>
      <c r="N49" s="13" t="s">
        <v>17</v>
      </c>
      <c r="O49" s="7">
        <v>1</v>
      </c>
      <c r="P49" s="16" t="s">
        <v>361</v>
      </c>
      <c r="T49" s="7"/>
    </row>
    <row r="50" spans="1:20" x14ac:dyDescent="0.25">
      <c r="A50" s="16" t="str">
        <f t="shared" si="0"/>
        <v>CUSTO DMA. -THIAGO SANTOS- FEVEREIRO 26</v>
      </c>
      <c r="B50" s="18">
        <v>46054</v>
      </c>
      <c r="C50" s="3">
        <v>817391</v>
      </c>
      <c r="D50" s="3" t="s">
        <v>397</v>
      </c>
      <c r="E50" s="14">
        <f t="shared" si="1"/>
        <v>-370.33024512040902</v>
      </c>
      <c r="F50" s="3" t="s">
        <v>366</v>
      </c>
      <c r="G50" s="18">
        <v>46054</v>
      </c>
      <c r="H50" s="19">
        <v>80389</v>
      </c>
      <c r="I50" s="3" t="str">
        <f>VLOOKUP(H50,'[1]Base de Clientes'!$B:$E,4,0)</f>
        <v>NAVI CAPITAL ADMINISTRADORA E GESTORA DE RECURSOS FINANCEIRO</v>
      </c>
      <c r="J50" s="5" t="s">
        <v>15</v>
      </c>
      <c r="K50" s="5" t="s">
        <v>179</v>
      </c>
      <c r="L50" s="9">
        <v>370.33024512040902</v>
      </c>
      <c r="M50" s="11" t="s">
        <v>7</v>
      </c>
      <c r="N50" s="13" t="s">
        <v>17</v>
      </c>
      <c r="O50" s="7">
        <v>1</v>
      </c>
      <c r="P50" s="16" t="s">
        <v>352</v>
      </c>
      <c r="T50" s="7"/>
    </row>
    <row r="51" spans="1:20" x14ac:dyDescent="0.25">
      <c r="A51" s="16" t="str">
        <f t="shared" si="0"/>
        <v>CUSTO DMA. -RICARDO BERNSTEIN- FEVEREIRO 26</v>
      </c>
      <c r="B51" s="18">
        <v>46054</v>
      </c>
      <c r="C51" s="3">
        <v>817391</v>
      </c>
      <c r="D51" s="3" t="s">
        <v>398</v>
      </c>
      <c r="E51" s="14">
        <f t="shared" si="1"/>
        <v>-140.27614512040901</v>
      </c>
      <c r="F51" s="3" t="s">
        <v>366</v>
      </c>
      <c r="G51" s="18">
        <v>46054</v>
      </c>
      <c r="H51" s="19">
        <v>12296</v>
      </c>
      <c r="I51" s="3" t="str">
        <f>VLOOKUP(H51,'[1]Base de Clientes'!$B:$E,4,0)</f>
        <v>PATRIA INVESTIMENTOS LTDA</v>
      </c>
      <c r="J51" s="5" t="s">
        <v>15</v>
      </c>
      <c r="K51" s="5" t="s">
        <v>83</v>
      </c>
      <c r="L51" s="9">
        <v>140.27614512040901</v>
      </c>
      <c r="M51" s="11" t="s">
        <v>7</v>
      </c>
      <c r="N51" s="13" t="s">
        <v>17</v>
      </c>
      <c r="O51" s="7">
        <v>1</v>
      </c>
      <c r="P51" s="16" t="s">
        <v>336</v>
      </c>
      <c r="T51" s="7"/>
    </row>
    <row r="52" spans="1:20" x14ac:dyDescent="0.25">
      <c r="A52" s="16" t="str">
        <f t="shared" si="0"/>
        <v>CUSTO DMA. -WILLIAM LEITE- FEVEREIRO 26</v>
      </c>
      <c r="B52" s="18">
        <v>46054</v>
      </c>
      <c r="C52" s="3">
        <v>817391</v>
      </c>
      <c r="D52" s="3" t="s">
        <v>398</v>
      </c>
      <c r="E52" s="14">
        <f t="shared" si="1"/>
        <v>-1690.523983120409</v>
      </c>
      <c r="F52" s="3" t="s">
        <v>366</v>
      </c>
      <c r="G52" s="18">
        <v>46054</v>
      </c>
      <c r="H52" s="19">
        <v>12296</v>
      </c>
      <c r="I52" s="3" t="str">
        <f>VLOOKUP(H52,'[1]Base de Clientes'!$B:$E,4,0)</f>
        <v>PATRIA INVESTIMENTOS LTDA</v>
      </c>
      <c r="J52" s="5" t="s">
        <v>15</v>
      </c>
      <c r="K52" s="5" t="s">
        <v>111</v>
      </c>
      <c r="L52" s="9">
        <v>1690.523983120409</v>
      </c>
      <c r="M52" s="11" t="s">
        <v>7</v>
      </c>
      <c r="N52" s="13" t="s">
        <v>17</v>
      </c>
      <c r="O52" s="7">
        <v>1</v>
      </c>
      <c r="P52" s="16" t="s">
        <v>358</v>
      </c>
      <c r="T52" s="7"/>
    </row>
    <row r="53" spans="1:20" x14ac:dyDescent="0.25">
      <c r="A53" s="16" t="str">
        <f t="shared" ref="A53" si="10">CONCATENATE(J53,M53,K53,M53,N53)</f>
        <v>CUSTO DMA -ANDERSON LUEDERS- FEVEREIRO 26</v>
      </c>
      <c r="B53" s="18">
        <v>46054</v>
      </c>
      <c r="C53" s="3">
        <v>817391</v>
      </c>
      <c r="D53" s="3" t="s">
        <v>411</v>
      </c>
      <c r="E53" s="14">
        <f t="shared" si="1"/>
        <v>-389.18591810040903</v>
      </c>
      <c r="F53" s="3" t="s">
        <v>366</v>
      </c>
      <c r="G53" s="18">
        <v>46054</v>
      </c>
      <c r="H53" s="19">
        <v>80783</v>
      </c>
      <c r="I53" s="3" t="str">
        <f>VLOOKUP(H53,'[1]Base de Clientes'!$B:$E,4,0)</f>
        <v>REAL INVESTOR ASSET MANAGEMENT LTDA</v>
      </c>
      <c r="J53" s="5" t="s">
        <v>8</v>
      </c>
      <c r="K53" s="5" t="s">
        <v>121</v>
      </c>
      <c r="L53" s="9">
        <v>389.18591810040903</v>
      </c>
      <c r="M53" s="11" t="s">
        <v>7</v>
      </c>
      <c r="N53" s="13" t="s">
        <v>17</v>
      </c>
      <c r="O53" s="7">
        <v>1</v>
      </c>
      <c r="P53" s="16" t="s">
        <v>290</v>
      </c>
      <c r="T53" s="7"/>
    </row>
    <row r="54" spans="1:20" x14ac:dyDescent="0.25">
      <c r="A54" s="16" t="str">
        <f t="shared" si="0"/>
        <v>CUSTO DMA -LEANDRO FIUZA- FEVEREIRO 26</v>
      </c>
      <c r="B54" s="18">
        <v>46054</v>
      </c>
      <c r="C54" s="3">
        <v>817391</v>
      </c>
      <c r="D54" s="3" t="s">
        <v>411</v>
      </c>
      <c r="E54" s="14">
        <f t="shared" si="1"/>
        <v>-140.27614512040901</v>
      </c>
      <c r="F54" s="3" t="s">
        <v>366</v>
      </c>
      <c r="G54" s="18">
        <v>46054</v>
      </c>
      <c r="H54" s="19">
        <v>81035</v>
      </c>
      <c r="I54" s="3" t="str">
        <f>VLOOKUP(H54,'[1]Base de Clientes'!$B:$E,4,0)</f>
        <v>REAL INVESTOR ASSET MANAGEMENT LTDA</v>
      </c>
      <c r="J54" s="5" t="s">
        <v>8</v>
      </c>
      <c r="K54" s="5" t="s">
        <v>152</v>
      </c>
      <c r="L54" s="9">
        <v>140.27614512040901</v>
      </c>
      <c r="M54" s="11" t="s">
        <v>7</v>
      </c>
      <c r="N54" s="13" t="s">
        <v>17</v>
      </c>
      <c r="O54" s="7">
        <v>1</v>
      </c>
      <c r="P54" s="16" t="s">
        <v>322</v>
      </c>
      <c r="T54" s="7"/>
    </row>
    <row r="55" spans="1:20" x14ac:dyDescent="0.25">
      <c r="A55" s="16" t="str">
        <f t="shared" si="0"/>
        <v>CUSTO DMA -MATEUS LANDIM- FEVEREIRO 26</v>
      </c>
      <c r="B55" s="18">
        <v>46054</v>
      </c>
      <c r="C55" s="3">
        <v>817391</v>
      </c>
      <c r="D55" s="3" t="s">
        <v>411</v>
      </c>
      <c r="E55" s="14">
        <f t="shared" si="1"/>
        <v>-140.27614512040901</v>
      </c>
      <c r="F55" s="3" t="s">
        <v>366</v>
      </c>
      <c r="G55" s="18">
        <v>46054</v>
      </c>
      <c r="H55" s="19">
        <v>125571</v>
      </c>
      <c r="I55" s="3" t="str">
        <f>VLOOKUP(H55,'[1]Base de Clientes'!$B:$E,4,0)</f>
        <v>REAL INVESTOR ASSET MANAGEMENT LTDA</v>
      </c>
      <c r="J55" s="5" t="s">
        <v>8</v>
      </c>
      <c r="K55" s="5" t="s">
        <v>159</v>
      </c>
      <c r="L55" s="9">
        <v>140.27614512040901</v>
      </c>
      <c r="M55" s="11" t="s">
        <v>7</v>
      </c>
      <c r="N55" s="13" t="s">
        <v>17</v>
      </c>
      <c r="O55" s="7">
        <v>1</v>
      </c>
      <c r="P55" s="16" t="s">
        <v>329</v>
      </c>
      <c r="T55" s="7"/>
    </row>
    <row r="56" spans="1:20" x14ac:dyDescent="0.25">
      <c r="A56" s="16" t="str">
        <f t="shared" si="0"/>
        <v>CUSTO DMA -RODRIGO SANTOS- FEVEREIRO 26</v>
      </c>
      <c r="B56" s="18">
        <v>46054</v>
      </c>
      <c r="C56" s="3">
        <v>817391</v>
      </c>
      <c r="D56" s="3" t="s">
        <v>411</v>
      </c>
      <c r="E56" s="14">
        <f t="shared" si="1"/>
        <v>-147.83080642040909</v>
      </c>
      <c r="F56" s="3" t="s">
        <v>366</v>
      </c>
      <c r="G56" s="18">
        <v>46054</v>
      </c>
      <c r="H56" s="19">
        <v>80783</v>
      </c>
      <c r="I56" s="3" t="str">
        <f>VLOOKUP(H56,'[1]Base de Clientes'!$B:$E,4,0)</f>
        <v>REAL INVESTOR ASSET MANAGEMENT LTDA</v>
      </c>
      <c r="J56" s="5" t="s">
        <v>8</v>
      </c>
      <c r="K56" s="5" t="s">
        <v>168</v>
      </c>
      <c r="L56" s="9">
        <v>147.83080642040909</v>
      </c>
      <c r="M56" s="11" t="s">
        <v>7</v>
      </c>
      <c r="N56" s="13" t="s">
        <v>17</v>
      </c>
      <c r="O56" s="7">
        <v>1</v>
      </c>
      <c r="P56" s="16" t="s">
        <v>340</v>
      </c>
      <c r="T56" s="7"/>
    </row>
    <row r="57" spans="1:20" x14ac:dyDescent="0.25">
      <c r="A57" s="16" t="str">
        <f t="shared" si="0"/>
        <v>CUSTO DMA -RODRIGO PILEGGI- FEVEREIRO 26</v>
      </c>
      <c r="B57" s="18">
        <v>46054</v>
      </c>
      <c r="C57" s="3">
        <v>817391</v>
      </c>
      <c r="D57" s="3" t="s">
        <v>411</v>
      </c>
      <c r="E57" s="14">
        <f t="shared" si="1"/>
        <v>-140.27614512040901</v>
      </c>
      <c r="F57" s="3" t="s">
        <v>366</v>
      </c>
      <c r="G57" s="18">
        <v>46054</v>
      </c>
      <c r="H57" s="19">
        <v>81374</v>
      </c>
      <c r="I57" s="3" t="str">
        <f>VLOOKUP(H57,'[1]Base de Clientes'!$B:$E,4,0)</f>
        <v>REAL INVESTOR ASSET MANAGEMENT LTDA</v>
      </c>
      <c r="J57" s="5" t="s">
        <v>8</v>
      </c>
      <c r="K57" s="5" t="s">
        <v>169</v>
      </c>
      <c r="L57" s="9">
        <v>140.27614512040901</v>
      </c>
      <c r="M57" s="11" t="s">
        <v>7</v>
      </c>
      <c r="N57" s="13" t="s">
        <v>17</v>
      </c>
      <c r="O57" s="7">
        <v>1</v>
      </c>
      <c r="P57" s="16" t="s">
        <v>341</v>
      </c>
      <c r="T57" s="7"/>
    </row>
    <row r="58" spans="1:20" x14ac:dyDescent="0.25">
      <c r="A58" s="16" t="str">
        <f t="shared" si="0"/>
        <v>CUSTO DMA -ANDRÉ BLANCO- FEVEREIRO 26</v>
      </c>
      <c r="B58" s="18">
        <v>46054</v>
      </c>
      <c r="C58" s="3">
        <v>817391</v>
      </c>
      <c r="D58" s="3" t="s">
        <v>486</v>
      </c>
      <c r="E58" s="14">
        <f t="shared" si="1"/>
        <v>-251.592913320409</v>
      </c>
      <c r="F58" s="3" t="s">
        <v>366</v>
      </c>
      <c r="G58" s="18">
        <v>46054</v>
      </c>
      <c r="H58" s="19">
        <v>80217</v>
      </c>
      <c r="I58" s="3" t="str">
        <f>VLOOKUP(H58,'[1]Base de Clientes'!$B:$E,4,0)</f>
        <v>RIO BRAVO INVESTIMENTOS LTDA</v>
      </c>
      <c r="J58" s="5" t="s">
        <v>8</v>
      </c>
      <c r="K58" s="5" t="s">
        <v>118</v>
      </c>
      <c r="L58" s="9">
        <v>251.592913320409</v>
      </c>
      <c r="M58" s="11" t="s">
        <v>7</v>
      </c>
      <c r="N58" s="13" t="s">
        <v>17</v>
      </c>
      <c r="O58" s="7">
        <v>1</v>
      </c>
      <c r="P58" s="16" t="s">
        <v>287</v>
      </c>
      <c r="T58" s="7"/>
    </row>
    <row r="59" spans="1:20" x14ac:dyDescent="0.25">
      <c r="A59" s="16" t="str">
        <f t="shared" si="0"/>
        <v>CUSTO DMA -ALEXANDRE SALFATIS- FEVEREIRO 26</v>
      </c>
      <c r="B59" s="18">
        <v>46054</v>
      </c>
      <c r="C59" s="3">
        <v>817391</v>
      </c>
      <c r="D59" s="3" t="s">
        <v>405</v>
      </c>
      <c r="E59" s="14">
        <f t="shared" si="1"/>
        <v>-140.27614512040901</v>
      </c>
      <c r="F59" s="3" t="s">
        <v>366</v>
      </c>
      <c r="G59" s="18">
        <v>46054</v>
      </c>
      <c r="H59" s="19">
        <v>79760</v>
      </c>
      <c r="I59" s="3" t="str">
        <f>VLOOKUP(H59,'[1]Base de Clientes'!$B:$E,4,0)</f>
        <v>TAVOLA CAPITAL GESTAO DE RECURSOS LTDA</v>
      </c>
      <c r="J59" s="5" t="s">
        <v>8</v>
      </c>
      <c r="K59" s="5" t="s">
        <v>120</v>
      </c>
      <c r="L59" s="9">
        <v>140.27614512040901</v>
      </c>
      <c r="M59" s="11" t="s">
        <v>7</v>
      </c>
      <c r="N59" s="13" t="s">
        <v>17</v>
      </c>
      <c r="O59" s="7">
        <v>1</v>
      </c>
      <c r="P59" s="16" t="s">
        <v>289</v>
      </c>
      <c r="T59" s="7"/>
    </row>
    <row r="60" spans="1:20" x14ac:dyDescent="0.25">
      <c r="A60" s="16" t="str">
        <f t="shared" ref="A60" si="11">CONCATENATE(J60,M60,K60,M60,N60)</f>
        <v>CUSTO DMA -THIAGO OORTMAN- FEVEREIRO 26</v>
      </c>
      <c r="B60" s="18">
        <v>46054</v>
      </c>
      <c r="C60" s="3">
        <v>817391</v>
      </c>
      <c r="D60" s="3" t="s">
        <v>475</v>
      </c>
      <c r="E60" s="14">
        <f t="shared" si="1"/>
        <v>-1016.06685</v>
      </c>
      <c r="F60" s="3" t="s">
        <v>366</v>
      </c>
      <c r="G60" s="18">
        <v>46054</v>
      </c>
      <c r="H60" s="19">
        <v>82241</v>
      </c>
      <c r="I60" s="3" t="str">
        <f>VLOOKUP(H60,'[1]Base de Clientes'!$B:$E,4,0)</f>
        <v>SANTANDER DISTRIBUIDORA DE TITULOS E VALORES MOBILIARIOS S/A</v>
      </c>
      <c r="J60" s="5" t="s">
        <v>8</v>
      </c>
      <c r="K60" s="5" t="s">
        <v>177</v>
      </c>
      <c r="L60" s="9">
        <v>1016.06685</v>
      </c>
      <c r="M60" s="11" t="s">
        <v>7</v>
      </c>
      <c r="N60" s="13" t="s">
        <v>17</v>
      </c>
      <c r="O60" s="7">
        <v>1</v>
      </c>
      <c r="P60" s="16" t="s">
        <v>349</v>
      </c>
      <c r="T60" s="7"/>
    </row>
    <row r="61" spans="1:20" x14ac:dyDescent="0.25">
      <c r="A61" s="16" t="str">
        <f t="shared" ref="A61" si="12">CONCATENATE(J61,M61,K61,M61,N61)</f>
        <v>CUSTO DMA -ENRIQUE BALBINO- FEVEREIRO 26</v>
      </c>
      <c r="B61" s="18">
        <v>46054</v>
      </c>
      <c r="C61" s="3">
        <v>817391</v>
      </c>
      <c r="D61" s="3" t="s">
        <v>488</v>
      </c>
      <c r="E61" s="14">
        <f t="shared" si="1"/>
        <v>-140.27614512040901</v>
      </c>
      <c r="F61" s="3" t="s">
        <v>366</v>
      </c>
      <c r="G61" s="18">
        <v>46054</v>
      </c>
      <c r="H61" s="19">
        <v>80515</v>
      </c>
      <c r="I61" s="3" t="str">
        <f>VLOOKUP(H61,'[1]Base de Clientes'!$B:$E,4,0)</f>
        <v>SHARP CAPITAL GESTORA DE RECURSOS LTDA</v>
      </c>
      <c r="J61" s="5" t="s">
        <v>8</v>
      </c>
      <c r="K61" s="5" t="s">
        <v>137</v>
      </c>
      <c r="L61" s="9">
        <v>140.27614512040901</v>
      </c>
      <c r="M61" s="11" t="s">
        <v>7</v>
      </c>
      <c r="N61" s="13" t="s">
        <v>17</v>
      </c>
      <c r="O61" s="7">
        <v>1</v>
      </c>
      <c r="P61" s="16" t="s">
        <v>306</v>
      </c>
      <c r="T61" s="7"/>
    </row>
    <row r="62" spans="1:20" x14ac:dyDescent="0.25">
      <c r="A62" s="16" t="str">
        <f t="shared" si="0"/>
        <v>CUSTO DMA -THEOFILO NETO- FEVEREIRO 26</v>
      </c>
      <c r="B62" s="18">
        <v>46054</v>
      </c>
      <c r="C62" s="3">
        <v>817391</v>
      </c>
      <c r="D62" s="3" t="s">
        <v>488</v>
      </c>
      <c r="E62" s="14">
        <f t="shared" si="1"/>
        <v>-815.88375692040893</v>
      </c>
      <c r="F62" s="3" t="s">
        <v>366</v>
      </c>
      <c r="G62" s="18">
        <v>46054</v>
      </c>
      <c r="H62" s="19">
        <v>80515</v>
      </c>
      <c r="I62" s="3" t="str">
        <f>VLOOKUP(H62,'[1]Base de Clientes'!$B:$E,4,0)</f>
        <v>SHARP CAPITAL GESTORA DE RECURSOS LTDA</v>
      </c>
      <c r="J62" s="5" t="s">
        <v>8</v>
      </c>
      <c r="K62" s="5" t="s">
        <v>176</v>
      </c>
      <c r="L62" s="9">
        <v>815.88375692040893</v>
      </c>
      <c r="M62" s="11" t="s">
        <v>7</v>
      </c>
      <c r="N62" s="13" t="s">
        <v>17</v>
      </c>
      <c r="O62" s="7">
        <v>1</v>
      </c>
      <c r="P62" s="16" t="s">
        <v>348</v>
      </c>
      <c r="T62" s="7"/>
    </row>
    <row r="63" spans="1:20" x14ac:dyDescent="0.25">
      <c r="A63" s="16" t="str">
        <f t="shared" si="0"/>
        <v>CUSTO DMA -BRUNO MARTINS- FEVEREIRO 26</v>
      </c>
      <c r="B63" s="18">
        <v>46054</v>
      </c>
      <c r="C63" s="3">
        <v>817391</v>
      </c>
      <c r="D63" s="3" t="s">
        <v>471</v>
      </c>
      <c r="E63" s="14">
        <f t="shared" si="1"/>
        <v>-140.27614512040901</v>
      </c>
      <c r="F63" s="3" t="s">
        <v>366</v>
      </c>
      <c r="G63" s="18">
        <v>46054</v>
      </c>
      <c r="H63" s="19">
        <v>80047</v>
      </c>
      <c r="I63" s="3" t="str">
        <f>VLOOKUP(H63,'[1]Base de Clientes'!$B:$E,4,0)</f>
        <v>SICREDI ASSET MANAGEMENT LTDA</v>
      </c>
      <c r="J63" s="5" t="s">
        <v>8</v>
      </c>
      <c r="K63" s="5" t="s">
        <v>129</v>
      </c>
      <c r="L63" s="9">
        <v>140.27614512040901</v>
      </c>
      <c r="M63" s="11" t="s">
        <v>7</v>
      </c>
      <c r="N63" s="13" t="s">
        <v>17</v>
      </c>
      <c r="O63" s="7">
        <v>1</v>
      </c>
      <c r="P63" s="16" t="s">
        <v>298</v>
      </c>
      <c r="T63" s="7"/>
    </row>
    <row r="64" spans="1:20" x14ac:dyDescent="0.25">
      <c r="A64" s="16" t="str">
        <f t="shared" si="0"/>
        <v>CUSTO DMA -PIETRO TORTORELI- FEVEREIRO 26</v>
      </c>
      <c r="B64" s="18">
        <v>46054</v>
      </c>
      <c r="C64" s="3">
        <v>817391</v>
      </c>
      <c r="D64" s="3" t="s">
        <v>405</v>
      </c>
      <c r="E64" s="14">
        <f t="shared" si="1"/>
        <v>-3297.052638120409</v>
      </c>
      <c r="F64" s="3" t="s">
        <v>366</v>
      </c>
      <c r="G64" s="18">
        <v>46054</v>
      </c>
      <c r="H64" s="19">
        <v>82551</v>
      </c>
      <c r="I64" s="3" t="str">
        <f>VLOOKUP(H64,'[1]Base de Clientes'!$B:$E,4,0)</f>
        <v>SKOPOS INVESTIMENTOS LTDA</v>
      </c>
      <c r="J64" s="5" t="s">
        <v>8</v>
      </c>
      <c r="K64" s="5" t="s">
        <v>162</v>
      </c>
      <c r="L64" s="9">
        <v>3297.052638120409</v>
      </c>
      <c r="M64" s="11" t="s">
        <v>7</v>
      </c>
      <c r="N64" s="13" t="s">
        <v>17</v>
      </c>
      <c r="O64" s="7">
        <v>1</v>
      </c>
      <c r="P64" s="16" t="s">
        <v>332</v>
      </c>
      <c r="T64" s="7"/>
    </row>
    <row r="65" spans="1:20" x14ac:dyDescent="0.25">
      <c r="A65" s="16" t="str">
        <f t="shared" si="0"/>
        <v>CUSTO DMA -RODRIGO NATALI- FEVEREIRO 26</v>
      </c>
      <c r="B65" s="18">
        <v>46054</v>
      </c>
      <c r="C65" s="3">
        <v>817391</v>
      </c>
      <c r="D65" s="3" t="s">
        <v>405</v>
      </c>
      <c r="E65" s="14">
        <f t="shared" si="1"/>
        <v>-876.18748362040901</v>
      </c>
      <c r="F65" s="3" t="s">
        <v>366</v>
      </c>
      <c r="G65" s="18">
        <v>46054</v>
      </c>
      <c r="H65" s="19">
        <v>82551</v>
      </c>
      <c r="I65" s="3" t="str">
        <f>VLOOKUP(H65,'[1]Base de Clientes'!$B:$E,4,0)</f>
        <v>SKOPOS INVESTIMENTOS LTDA</v>
      </c>
      <c r="J65" s="5" t="s">
        <v>8</v>
      </c>
      <c r="K65" s="5" t="s">
        <v>166</v>
      </c>
      <c r="L65" s="9">
        <v>876.18748362040901</v>
      </c>
      <c r="M65" s="11" t="s">
        <v>7</v>
      </c>
      <c r="N65" s="13" t="s">
        <v>17</v>
      </c>
      <c r="O65" s="7">
        <v>1</v>
      </c>
      <c r="P65" s="16" t="s">
        <v>338</v>
      </c>
      <c r="T65" s="7"/>
    </row>
    <row r="66" spans="1:20" x14ac:dyDescent="0.25">
      <c r="A66" s="16" t="str">
        <f t="shared" si="0"/>
        <v>CUSTO DMA -THIAGO RICCIOLI BORK- FEVEREIRO 26</v>
      </c>
      <c r="B66" s="18">
        <v>46054</v>
      </c>
      <c r="C66" s="3">
        <v>817391</v>
      </c>
      <c r="D66" s="3" t="s">
        <v>405</v>
      </c>
      <c r="E66" s="14">
        <f t="shared" si="1"/>
        <v>-140.27614512040901</v>
      </c>
      <c r="F66" s="3" t="s">
        <v>366</v>
      </c>
      <c r="G66" s="18">
        <v>46054</v>
      </c>
      <c r="H66" s="19">
        <v>82551</v>
      </c>
      <c r="I66" s="3" t="str">
        <f>VLOOKUP(H66,'[1]Base de Clientes'!$B:$E,4,0)</f>
        <v>SKOPOS INVESTIMENTOS LTDA</v>
      </c>
      <c r="J66" s="5" t="s">
        <v>8</v>
      </c>
      <c r="K66" s="5" t="s">
        <v>175</v>
      </c>
      <c r="L66" s="9">
        <v>140.27614512040901</v>
      </c>
      <c r="M66" s="11" t="s">
        <v>7</v>
      </c>
      <c r="N66" s="13" t="s">
        <v>17</v>
      </c>
      <c r="O66" s="7">
        <v>1</v>
      </c>
      <c r="P66" s="16" t="s">
        <v>347</v>
      </c>
      <c r="T66" s="7"/>
    </row>
    <row r="67" spans="1:20" x14ac:dyDescent="0.25">
      <c r="A67" s="16" t="str">
        <f t="shared" si="0"/>
        <v>CUSTO DMA -VICTOR RUSSO- FEVEREIRO 26</v>
      </c>
      <c r="B67" s="18">
        <v>46054</v>
      </c>
      <c r="C67" s="3">
        <v>817391</v>
      </c>
      <c r="D67" s="3" t="s">
        <v>480</v>
      </c>
      <c r="E67" s="14">
        <f t="shared" si="1"/>
        <v>-2325.9606803204092</v>
      </c>
      <c r="F67" s="3" t="s">
        <v>366</v>
      </c>
      <c r="G67" s="18">
        <v>46054</v>
      </c>
      <c r="H67" s="19">
        <v>81565</v>
      </c>
      <c r="I67" s="3" t="str">
        <f>VLOOKUP(H67,'[1]Base de Clientes'!$B:$E,4,0)</f>
        <v>SPX GESTAO DE RECURSOS LTDA</v>
      </c>
      <c r="J67" s="5" t="s">
        <v>8</v>
      </c>
      <c r="K67" s="5" t="s">
        <v>170</v>
      </c>
      <c r="L67" s="9">
        <v>2325.9606803204092</v>
      </c>
      <c r="M67" s="11" t="s">
        <v>7</v>
      </c>
      <c r="N67" s="13" t="s">
        <v>17</v>
      </c>
      <c r="O67" s="7">
        <v>1</v>
      </c>
      <c r="P67" s="16" t="s">
        <v>342</v>
      </c>
      <c r="T67" s="7"/>
    </row>
    <row r="68" spans="1:20" x14ac:dyDescent="0.25">
      <c r="A68" s="16" t="str">
        <f t="shared" si="0"/>
        <v>CUSTO DMA -VITOR BELMIRO- FEVEREIRO 26</v>
      </c>
      <c r="B68" s="18">
        <v>46054</v>
      </c>
      <c r="C68" s="3">
        <v>817391</v>
      </c>
      <c r="D68" s="3" t="s">
        <v>470</v>
      </c>
      <c r="E68" s="14">
        <f t="shared" ref="E68:E138" si="13">-L68*O68</f>
        <v>-140.27614512040901</v>
      </c>
      <c r="F68" s="3" t="s">
        <v>366</v>
      </c>
      <c r="G68" s="18">
        <v>46054</v>
      </c>
      <c r="H68" s="19">
        <v>81876</v>
      </c>
      <c r="I68" s="3" t="str">
        <f>VLOOKUP(H68,'[1]Base de Clientes'!$B:$E,4,0)</f>
        <v>STK CAPITAL GESTORA DE RECURSOS LTDA</v>
      </c>
      <c r="J68" s="5" t="s">
        <v>8</v>
      </c>
      <c r="K68" s="5" t="s">
        <v>181</v>
      </c>
      <c r="L68" s="9">
        <v>140.27614512040901</v>
      </c>
      <c r="M68" s="11" t="s">
        <v>7</v>
      </c>
      <c r="N68" s="13" t="s">
        <v>17</v>
      </c>
      <c r="O68" s="7">
        <v>1</v>
      </c>
      <c r="P68" s="16" t="s">
        <v>354</v>
      </c>
      <c r="T68" s="7"/>
    </row>
    <row r="69" spans="1:20" x14ac:dyDescent="0.25">
      <c r="A69" s="16" t="str">
        <f t="shared" si="0"/>
        <v>CUSTO DMA -CARLOS EDUARDO MAIA - FEVEREIRO 26</v>
      </c>
      <c r="B69" s="18">
        <v>46054</v>
      </c>
      <c r="C69" s="3">
        <v>817391</v>
      </c>
      <c r="D69" s="3" t="s">
        <v>408</v>
      </c>
      <c r="E69" s="14">
        <f t="shared" si="13"/>
        <v>-141.23779512040909</v>
      </c>
      <c r="F69" s="3" t="s">
        <v>366</v>
      </c>
      <c r="G69" s="18">
        <v>46054</v>
      </c>
      <c r="H69" s="19">
        <v>12262</v>
      </c>
      <c r="I69" s="3" t="str">
        <f>VLOOKUP(H69,'[1]Base de Clientes'!$B:$E,4,0)</f>
        <v>TEMPO CAPITAL GESTAO DE RECURSOS LTDA</v>
      </c>
      <c r="J69" s="5" t="s">
        <v>8</v>
      </c>
      <c r="K69" s="5" t="s">
        <v>130</v>
      </c>
      <c r="L69" s="9">
        <v>141.23779512040909</v>
      </c>
      <c r="M69" s="11" t="s">
        <v>7</v>
      </c>
      <c r="N69" s="13" t="s">
        <v>17</v>
      </c>
      <c r="O69" s="7">
        <v>1</v>
      </c>
      <c r="P69" s="16" t="s">
        <v>299</v>
      </c>
      <c r="T69" s="7"/>
    </row>
    <row r="70" spans="1:20" x14ac:dyDescent="0.25">
      <c r="A70" s="16" t="str">
        <f t="shared" si="0"/>
        <v>CUSTO DMA -JULIO SAMPAIO- FEVEREIRO 26</v>
      </c>
      <c r="B70" s="18">
        <v>46054</v>
      </c>
      <c r="C70" s="3">
        <v>817391</v>
      </c>
      <c r="D70" s="3" t="s">
        <v>490</v>
      </c>
      <c r="E70" s="14">
        <f t="shared" si="13"/>
        <v>-267.36328312040911</v>
      </c>
      <c r="F70" s="3" t="s">
        <v>366</v>
      </c>
      <c r="G70" s="18">
        <v>46054</v>
      </c>
      <c r="H70" s="19">
        <v>82759</v>
      </c>
      <c r="I70" s="3" t="str">
        <f>VLOOKUP(H70,'[1]Base de Clientes'!$B:$E,4,0)</f>
        <v>TRACK CAPITAL GESTAO DE RECURSOS LTDA</v>
      </c>
      <c r="J70" s="5" t="s">
        <v>8</v>
      </c>
      <c r="K70" s="5" t="s">
        <v>151</v>
      </c>
      <c r="L70" s="9">
        <v>267.36328312040911</v>
      </c>
      <c r="M70" s="11" t="s">
        <v>7</v>
      </c>
      <c r="N70" s="13" t="s">
        <v>17</v>
      </c>
      <c r="O70" s="7">
        <v>1</v>
      </c>
      <c r="P70" s="16" t="s">
        <v>321</v>
      </c>
      <c r="T70" s="7"/>
    </row>
    <row r="71" spans="1:20" x14ac:dyDescent="0.25">
      <c r="A71" s="16" t="str">
        <f t="shared" si="0"/>
        <v>CUSTO DMA -DANILO GALVAO- FEVEREIRO 26</v>
      </c>
      <c r="B71" s="18">
        <v>46054</v>
      </c>
      <c r="C71" s="3">
        <v>817391</v>
      </c>
      <c r="D71" s="3" t="s">
        <v>480</v>
      </c>
      <c r="E71" s="14">
        <f t="shared" si="13"/>
        <v>-1141.305170120409</v>
      </c>
      <c r="F71" s="3" t="s">
        <v>366</v>
      </c>
      <c r="G71" s="18">
        <v>46054</v>
      </c>
      <c r="H71" s="19">
        <v>12402</v>
      </c>
      <c r="I71" s="3" t="str">
        <f>VLOOKUP(H71,'[1]Base de Clientes'!$B:$E,4,0)</f>
        <v>TRUXT INVESTIMENTOS LTDA</v>
      </c>
      <c r="J71" s="5" t="s">
        <v>8</v>
      </c>
      <c r="K71" s="5" t="s">
        <v>134</v>
      </c>
      <c r="L71" s="9">
        <v>1141.305170120409</v>
      </c>
      <c r="M71" s="11" t="s">
        <v>7</v>
      </c>
      <c r="N71" s="13" t="s">
        <v>17</v>
      </c>
      <c r="O71" s="7">
        <v>1</v>
      </c>
      <c r="P71" s="16" t="s">
        <v>303</v>
      </c>
      <c r="T71" s="7"/>
    </row>
    <row r="72" spans="1:20" x14ac:dyDescent="0.25">
      <c r="A72" s="16" t="str">
        <f t="shared" si="0"/>
        <v>CUSTO DMA -ULISSES GORITO- FEVEREIRO 26</v>
      </c>
      <c r="B72" s="18">
        <v>46054</v>
      </c>
      <c r="C72" s="3">
        <v>817391</v>
      </c>
      <c r="D72" s="3" t="s">
        <v>488</v>
      </c>
      <c r="E72" s="14">
        <f t="shared" si="13"/>
        <v>-140.27614512040901</v>
      </c>
      <c r="F72" s="3" t="s">
        <v>366</v>
      </c>
      <c r="G72" s="18">
        <v>46054</v>
      </c>
      <c r="H72" s="19">
        <v>12402</v>
      </c>
      <c r="I72" s="3" t="str">
        <f>VLOOKUP(H72,'[1]Base de Clientes'!$B:$E,4,0)</f>
        <v>TRUXT INVESTIMENTOS LTDA</v>
      </c>
      <c r="J72" s="5" t="s">
        <v>8</v>
      </c>
      <c r="K72" s="5" t="s">
        <v>180</v>
      </c>
      <c r="L72" s="9">
        <v>140.27614512040901</v>
      </c>
      <c r="M72" s="11" t="s">
        <v>7</v>
      </c>
      <c r="N72" s="13" t="s">
        <v>17</v>
      </c>
      <c r="O72" s="7">
        <v>1</v>
      </c>
      <c r="P72" s="16" t="s">
        <v>353</v>
      </c>
      <c r="T72" s="7"/>
    </row>
    <row r="73" spans="1:20" x14ac:dyDescent="0.25">
      <c r="A73" s="16" t="str">
        <f t="shared" si="0"/>
        <v>CUSTO DMA -FABIO DANTAS- FEVEREIRO 26</v>
      </c>
      <c r="B73" s="18">
        <v>46054</v>
      </c>
      <c r="C73" s="3">
        <v>817391</v>
      </c>
      <c r="D73" s="3" t="s">
        <v>489</v>
      </c>
      <c r="E73" s="14">
        <f t="shared" si="13"/>
        <v>-234.4599369604091</v>
      </c>
      <c r="F73" s="3" t="s">
        <v>366</v>
      </c>
      <c r="G73" s="18">
        <v>46054</v>
      </c>
      <c r="H73" s="19">
        <v>125565</v>
      </c>
      <c r="I73" s="3" t="str">
        <f>VLOOKUP(H73,'[1]Base de Clientes'!$B:$E,4,0)</f>
        <v>V8 CAPITAL GESTAO DE INVESTIMENTOS LTDA</v>
      </c>
      <c r="J73" s="5" t="s">
        <v>8</v>
      </c>
      <c r="K73" s="5" t="s">
        <v>140</v>
      </c>
      <c r="L73" s="9">
        <v>234.4599369604091</v>
      </c>
      <c r="M73" s="11" t="s">
        <v>7</v>
      </c>
      <c r="N73" s="13" t="s">
        <v>17</v>
      </c>
      <c r="O73" s="7">
        <v>1</v>
      </c>
      <c r="P73" s="16" t="s">
        <v>309</v>
      </c>
      <c r="T73" s="7"/>
    </row>
    <row r="74" spans="1:20" x14ac:dyDescent="0.25">
      <c r="A74" s="16" t="str">
        <f t="shared" si="0"/>
        <v>CUSTO DMA -SERGIO CORDONI- FEVEREIRO 26</v>
      </c>
      <c r="B74" s="18">
        <v>46054</v>
      </c>
      <c r="C74" s="3">
        <v>817391</v>
      </c>
      <c r="D74" s="3" t="s">
        <v>489</v>
      </c>
      <c r="E74" s="14">
        <f t="shared" si="13"/>
        <v>-140.27614512040901</v>
      </c>
      <c r="F74" s="3" t="s">
        <v>366</v>
      </c>
      <c r="G74" s="18">
        <v>46054</v>
      </c>
      <c r="H74" s="19">
        <v>125565</v>
      </c>
      <c r="I74" s="3" t="str">
        <f>VLOOKUP(H74,'[1]Base de Clientes'!$B:$E,4,0)</f>
        <v>V8 CAPITAL GESTAO DE INVESTIMENTOS LTDA</v>
      </c>
      <c r="J74" s="5" t="s">
        <v>8</v>
      </c>
      <c r="K74" s="5" t="s">
        <v>172</v>
      </c>
      <c r="L74" s="9">
        <v>140.27614512040901</v>
      </c>
      <c r="M74" s="11" t="s">
        <v>7</v>
      </c>
      <c r="N74" s="13" t="s">
        <v>17</v>
      </c>
      <c r="O74" s="7">
        <v>1</v>
      </c>
      <c r="P74" s="16" t="s">
        <v>344</v>
      </c>
      <c r="T74" s="7"/>
    </row>
    <row r="75" spans="1:20" x14ac:dyDescent="0.25">
      <c r="A75" s="16" t="str">
        <f t="shared" si="0"/>
        <v>CUSTO DMA. -JOÃO CARUSO- FEVEREIRO 26</v>
      </c>
      <c r="B75" s="18">
        <v>46054</v>
      </c>
      <c r="C75" s="3">
        <v>817391</v>
      </c>
      <c r="D75" s="3" t="s">
        <v>470</v>
      </c>
      <c r="E75" s="14">
        <f t="shared" si="13"/>
        <v>-140.27614512040901</v>
      </c>
      <c r="F75" s="3" t="s">
        <v>366</v>
      </c>
      <c r="G75" s="18">
        <v>46054</v>
      </c>
      <c r="H75" s="19">
        <v>80359</v>
      </c>
      <c r="I75" s="3" t="str">
        <f>VLOOKUP(H75,'[1]Base de Clientes'!$B:$E,4,0)</f>
        <v>VINLAND CAPITAL MANAGEMENT GESTORA DE RECURSOS LTDA</v>
      </c>
      <c r="J75" s="5" t="s">
        <v>15</v>
      </c>
      <c r="K75" s="5" t="s">
        <v>92</v>
      </c>
      <c r="L75" s="9">
        <v>140.27614512040901</v>
      </c>
      <c r="M75" s="11" t="s">
        <v>7</v>
      </c>
      <c r="N75" s="13" t="s">
        <v>17</v>
      </c>
      <c r="O75" s="7">
        <v>1</v>
      </c>
      <c r="P75" s="16" t="s">
        <v>318</v>
      </c>
      <c r="T75" s="7"/>
    </row>
    <row r="76" spans="1:20" x14ac:dyDescent="0.25">
      <c r="A76" s="16" t="str">
        <f t="shared" si="0"/>
        <v>CUSTO DMA. -VINICIO HUANG- FEVEREIRO 26</v>
      </c>
      <c r="B76" s="18">
        <v>46054</v>
      </c>
      <c r="C76" s="3">
        <v>817391</v>
      </c>
      <c r="D76" s="3" t="s">
        <v>470</v>
      </c>
      <c r="E76" s="14">
        <f t="shared" si="13"/>
        <v>-140.27614512040901</v>
      </c>
      <c r="F76" s="3" t="s">
        <v>366</v>
      </c>
      <c r="G76" s="18">
        <v>46054</v>
      </c>
      <c r="H76" s="19">
        <v>80359</v>
      </c>
      <c r="I76" s="3" t="str">
        <f>VLOOKUP(H76,'[1]Base de Clientes'!$B:$E,4,0)</f>
        <v>VINLAND CAPITAL MANAGEMENT GESTORA DE RECURSOS LTDA</v>
      </c>
      <c r="J76" s="5" t="s">
        <v>15</v>
      </c>
      <c r="K76" s="5" t="s">
        <v>107</v>
      </c>
      <c r="L76" s="9">
        <v>140.27614512040901</v>
      </c>
      <c r="M76" s="11" t="s">
        <v>7</v>
      </c>
      <c r="N76" s="13" t="s">
        <v>17</v>
      </c>
      <c r="O76" s="7">
        <v>1</v>
      </c>
      <c r="P76" s="16" t="s">
        <v>355</v>
      </c>
      <c r="T76" s="7"/>
    </row>
    <row r="77" spans="1:20" x14ac:dyDescent="0.25">
      <c r="A77" s="16" t="str">
        <f t="shared" si="0"/>
        <v>CUSTO DMA -BRUNO GUEDES- FEVEREIRO 26</v>
      </c>
      <c r="B77" s="18">
        <v>46054</v>
      </c>
      <c r="C77" s="3">
        <v>817391</v>
      </c>
      <c r="D77" s="3" t="s">
        <v>407</v>
      </c>
      <c r="E77" s="14">
        <f t="shared" si="13"/>
        <v>-1436.898177</v>
      </c>
      <c r="F77" s="3" t="s">
        <v>364</v>
      </c>
      <c r="G77" s="18">
        <v>46054</v>
      </c>
      <c r="H77" s="19">
        <v>15501</v>
      </c>
      <c r="I77" s="3" t="str">
        <f>VLOOKUP(H77,'[1]Base de Clientes'!$B:$E,4,0)</f>
        <v>BANCO BTG PACTUAL S/A</v>
      </c>
      <c r="J77" s="5" t="s">
        <v>8</v>
      </c>
      <c r="K77" s="5" t="s">
        <v>86</v>
      </c>
      <c r="L77" s="9">
        <v>1436.898177</v>
      </c>
      <c r="M77" s="11" t="s">
        <v>7</v>
      </c>
      <c r="N77" s="13" t="s">
        <v>17</v>
      </c>
      <c r="O77" s="7">
        <v>1</v>
      </c>
      <c r="P77" s="16" t="s">
        <v>255</v>
      </c>
      <c r="T77" s="7"/>
    </row>
    <row r="78" spans="1:20" x14ac:dyDescent="0.25">
      <c r="A78" s="16" t="str">
        <f t="shared" si="0"/>
        <v>CUSTO DMA -EDUARDO BRESSAN- FEVEREIRO 26</v>
      </c>
      <c r="B78" s="18">
        <v>46054</v>
      </c>
      <c r="C78" s="3">
        <v>817391</v>
      </c>
      <c r="D78" s="3" t="s">
        <v>471</v>
      </c>
      <c r="E78" s="14">
        <f t="shared" si="13"/>
        <v>-111.82545</v>
      </c>
      <c r="F78" s="3" t="s">
        <v>364</v>
      </c>
      <c r="G78" s="18">
        <v>46054</v>
      </c>
      <c r="H78" s="19">
        <v>15501</v>
      </c>
      <c r="I78" s="3" t="str">
        <f>VLOOKUP(H78,'[1]Base de Clientes'!$B:$E,4,0)</f>
        <v>BANCO BTG PACTUAL S/A</v>
      </c>
      <c r="J78" s="5" t="s">
        <v>8</v>
      </c>
      <c r="K78" s="5" t="s">
        <v>88</v>
      </c>
      <c r="L78" s="9">
        <v>111.82545</v>
      </c>
      <c r="M78" s="11" t="s">
        <v>7</v>
      </c>
      <c r="N78" s="13" t="s">
        <v>17</v>
      </c>
      <c r="O78" s="7">
        <v>1</v>
      </c>
      <c r="P78" s="16" t="s">
        <v>257</v>
      </c>
      <c r="T78" s="7"/>
    </row>
    <row r="79" spans="1:20" x14ac:dyDescent="0.25">
      <c r="A79" s="16" t="str">
        <f t="shared" si="0"/>
        <v>CUSTO DMA -FELIPE BEDIAGA- FEVEREIRO 26</v>
      </c>
      <c r="B79" s="18">
        <v>46054</v>
      </c>
      <c r="C79" s="3">
        <v>817391</v>
      </c>
      <c r="D79" s="3" t="s">
        <v>400</v>
      </c>
      <c r="E79" s="14">
        <f>-L79*O79</f>
        <v>-3285.0143819999998</v>
      </c>
      <c r="F79" s="3" t="s">
        <v>364</v>
      </c>
      <c r="G79" s="18">
        <v>46054</v>
      </c>
      <c r="H79" s="19">
        <v>15501</v>
      </c>
      <c r="I79" s="3" t="str">
        <f>VLOOKUP(H79,'[1]Base de Clientes'!$B:$E,4,0)</f>
        <v>BANCO BTG PACTUAL S/A</v>
      </c>
      <c r="J79" s="5" t="s">
        <v>8</v>
      </c>
      <c r="K79" s="5" t="s">
        <v>89</v>
      </c>
      <c r="L79" s="9">
        <v>3285.0143819999998</v>
      </c>
      <c r="M79" s="11" t="s">
        <v>7</v>
      </c>
      <c r="N79" s="13" t="s">
        <v>17</v>
      </c>
      <c r="O79" s="7">
        <v>1</v>
      </c>
      <c r="P79" s="16" t="s">
        <v>258</v>
      </c>
      <c r="T79" s="7"/>
    </row>
    <row r="80" spans="1:20" x14ac:dyDescent="0.25">
      <c r="A80" s="16" t="str">
        <f t="shared" si="0"/>
        <v>CUSTO DMA -RICARDO CAIXETA- FEVEREIRO 26</v>
      </c>
      <c r="B80" s="18">
        <v>46054</v>
      </c>
      <c r="C80" s="3">
        <v>817391</v>
      </c>
      <c r="D80" s="3" t="s">
        <v>400</v>
      </c>
      <c r="E80" s="14">
        <f t="shared" si="13"/>
        <v>-111.82545</v>
      </c>
      <c r="F80" s="3" t="s">
        <v>364</v>
      </c>
      <c r="G80" s="18">
        <v>46054</v>
      </c>
      <c r="H80" s="19">
        <v>15501</v>
      </c>
      <c r="I80" s="3" t="str">
        <f>VLOOKUP(H80,'[1]Base de Clientes'!$B:$E,4,0)</f>
        <v>BANCO BTG PACTUAL S/A</v>
      </c>
      <c r="J80" s="5" t="s">
        <v>8</v>
      </c>
      <c r="K80" s="5" t="s">
        <v>102</v>
      </c>
      <c r="L80" s="9">
        <v>111.82545</v>
      </c>
      <c r="M80" s="11" t="s">
        <v>7</v>
      </c>
      <c r="N80" s="13" t="s">
        <v>17</v>
      </c>
      <c r="O80" s="7">
        <v>1</v>
      </c>
      <c r="P80" s="16" t="s">
        <v>271</v>
      </c>
      <c r="T80" s="7"/>
    </row>
    <row r="81" spans="1:20" x14ac:dyDescent="0.25">
      <c r="A81" s="16" t="str">
        <f t="shared" si="0"/>
        <v>CUSTO DMA -SERGIO ALMEIDA- FEVEREIRO 26</v>
      </c>
      <c r="B81" s="18">
        <v>46054</v>
      </c>
      <c r="C81" s="3">
        <v>817391</v>
      </c>
      <c r="D81" s="3" t="s">
        <v>406</v>
      </c>
      <c r="E81" s="14">
        <f t="shared" si="13"/>
        <v>-108.0801</v>
      </c>
      <c r="F81" s="3" t="s">
        <v>364</v>
      </c>
      <c r="G81" s="18">
        <v>46054</v>
      </c>
      <c r="H81" s="19">
        <v>15501</v>
      </c>
      <c r="I81" s="3" t="str">
        <f>VLOOKUP(H81,'[1]Base de Clientes'!$B:$E,4,0)</f>
        <v>BANCO BTG PACTUAL S/A</v>
      </c>
      <c r="J81" s="5" t="s">
        <v>8</v>
      </c>
      <c r="K81" s="5" t="s">
        <v>103</v>
      </c>
      <c r="L81" s="9">
        <v>216.1602</v>
      </c>
      <c r="M81" s="11" t="s">
        <v>7</v>
      </c>
      <c r="N81" s="13" t="s">
        <v>17</v>
      </c>
      <c r="O81" s="7">
        <v>0.5</v>
      </c>
      <c r="P81" s="16" t="s">
        <v>272</v>
      </c>
      <c r="T81" s="7"/>
    </row>
    <row r="82" spans="1:20" x14ac:dyDescent="0.25">
      <c r="A82" s="16" t="str">
        <f t="shared" ref="A82" si="14">CONCATENATE(J82,M82,K82,M82,N82)</f>
        <v>CUSTO DMA -SERGIO ALMEIDA- FEVEREIRO 26</v>
      </c>
      <c r="B82" s="18">
        <v>46054</v>
      </c>
      <c r="C82" s="3">
        <v>817391</v>
      </c>
      <c r="D82" s="3" t="s">
        <v>407</v>
      </c>
      <c r="E82" s="14">
        <f t="shared" ref="E82" si="15">-L82*O82</f>
        <v>-108.0801</v>
      </c>
      <c r="F82" s="3" t="s">
        <v>364</v>
      </c>
      <c r="G82" s="18">
        <v>46054</v>
      </c>
      <c r="H82" s="19">
        <v>15501</v>
      </c>
      <c r="I82" s="3" t="str">
        <f>VLOOKUP(H82,'[1]Base de Clientes'!$B:$E,4,0)</f>
        <v>BANCO BTG PACTUAL S/A</v>
      </c>
      <c r="J82" s="5" t="s">
        <v>8</v>
      </c>
      <c r="K82" s="5" t="s">
        <v>103</v>
      </c>
      <c r="L82" s="9">
        <v>216.1602</v>
      </c>
      <c r="M82" s="11" t="s">
        <v>7</v>
      </c>
      <c r="N82" s="13" t="s">
        <v>17</v>
      </c>
      <c r="O82" s="7">
        <v>0.5</v>
      </c>
      <c r="P82" s="16" t="s">
        <v>272</v>
      </c>
      <c r="T82" s="7"/>
    </row>
    <row r="83" spans="1:20" x14ac:dyDescent="0.25">
      <c r="A83" s="16" t="str">
        <f t="shared" si="0"/>
        <v>CUSTO DMA -VINICIUS CARVALHO- FEVEREIRO 26</v>
      </c>
      <c r="B83" s="18">
        <v>46054</v>
      </c>
      <c r="C83" s="3">
        <v>817391</v>
      </c>
      <c r="D83" s="3" t="s">
        <v>406</v>
      </c>
      <c r="E83" s="14">
        <f t="shared" si="13"/>
        <v>-111.82545</v>
      </c>
      <c r="F83" s="3" t="s">
        <v>364</v>
      </c>
      <c r="G83" s="18">
        <v>46054</v>
      </c>
      <c r="H83" s="19">
        <v>15501</v>
      </c>
      <c r="I83" s="3" t="str">
        <f>VLOOKUP(H83,'[1]Base de Clientes'!$B:$E,4,0)</f>
        <v>BANCO BTG PACTUAL S/A</v>
      </c>
      <c r="J83" s="5" t="s">
        <v>8</v>
      </c>
      <c r="K83" s="5" t="s">
        <v>108</v>
      </c>
      <c r="L83" s="9">
        <v>111.82545</v>
      </c>
      <c r="M83" s="11" t="s">
        <v>7</v>
      </c>
      <c r="N83" s="13" t="s">
        <v>17</v>
      </c>
      <c r="O83" s="7">
        <v>1</v>
      </c>
      <c r="P83" s="16" t="s">
        <v>277</v>
      </c>
      <c r="T83" s="7"/>
    </row>
    <row r="84" spans="1:20" x14ac:dyDescent="0.25">
      <c r="A84" s="16" t="str">
        <f t="shared" si="0"/>
        <v>CUSTO DMA -WELLINGTON DIAS PEREIRA- FEVEREIRO 26</v>
      </c>
      <c r="B84" s="18">
        <v>46054</v>
      </c>
      <c r="C84" s="3">
        <v>817391</v>
      </c>
      <c r="D84" s="3" t="s">
        <v>471</v>
      </c>
      <c r="E84" s="14">
        <f t="shared" si="13"/>
        <v>-111.82545</v>
      </c>
      <c r="F84" s="3" t="s">
        <v>364</v>
      </c>
      <c r="G84" s="18">
        <v>46054</v>
      </c>
      <c r="H84" s="19">
        <v>15501</v>
      </c>
      <c r="I84" s="3" t="str">
        <f>VLOOKUP(H84,'[1]Base de Clientes'!$B:$E,4,0)</f>
        <v>BANCO BTG PACTUAL S/A</v>
      </c>
      <c r="J84" s="5" t="s">
        <v>8</v>
      </c>
      <c r="K84" s="5" t="s">
        <v>110</v>
      </c>
      <c r="L84" s="9">
        <v>111.82545</v>
      </c>
      <c r="M84" s="11" t="s">
        <v>7</v>
      </c>
      <c r="N84" s="13" t="s">
        <v>17</v>
      </c>
      <c r="O84" s="7">
        <v>1</v>
      </c>
      <c r="P84" s="16" t="s">
        <v>279</v>
      </c>
      <c r="T84" s="7"/>
    </row>
    <row r="85" spans="1:20" x14ac:dyDescent="0.25">
      <c r="A85" s="16" t="str">
        <f t="shared" si="0"/>
        <v>CUSTO DMA -RONAN BOTELHO- FEVEREIRO 26</v>
      </c>
      <c r="B85" s="18">
        <v>46054</v>
      </c>
      <c r="C85" s="3">
        <v>817391</v>
      </c>
      <c r="D85" s="3" t="s">
        <v>405</v>
      </c>
      <c r="E85" s="14">
        <f t="shared" si="13"/>
        <v>-57.884357497499998</v>
      </c>
      <c r="F85" s="3" t="s">
        <v>364</v>
      </c>
      <c r="G85" s="18">
        <v>46054</v>
      </c>
      <c r="H85" s="19">
        <v>83000</v>
      </c>
      <c r="I85" s="3" t="str">
        <f>VLOOKUP(H85,'[1]Base de Clientes'!$B:$E,4,0)</f>
        <v>BRM CARBYNE GESTAO DE RECURSOS S/A</v>
      </c>
      <c r="J85" s="5" t="s">
        <v>8</v>
      </c>
      <c r="K85" s="5" t="s">
        <v>85</v>
      </c>
      <c r="L85" s="9">
        <v>115.768714995</v>
      </c>
      <c r="M85" s="11" t="s">
        <v>7</v>
      </c>
      <c r="N85" s="13" t="s">
        <v>17</v>
      </c>
      <c r="O85" s="7">
        <v>0.5</v>
      </c>
      <c r="P85" s="16" t="s">
        <v>254</v>
      </c>
      <c r="T85" s="7"/>
    </row>
    <row r="86" spans="1:20" x14ac:dyDescent="0.25">
      <c r="A86" s="16" t="str">
        <f t="shared" ref="A86" si="16">CONCATENATE(J86,M86,K86,M86,N86)</f>
        <v>CUSTO DMA -RONAN BOTELHO- FEVEREIRO 26</v>
      </c>
      <c r="B86" s="18">
        <v>46054</v>
      </c>
      <c r="C86" s="3">
        <v>817391</v>
      </c>
      <c r="D86" s="3" t="s">
        <v>481</v>
      </c>
      <c r="E86" s="14">
        <f t="shared" ref="E86" si="17">-L86*O86</f>
        <v>-57.884357497499998</v>
      </c>
      <c r="F86" s="3" t="s">
        <v>364</v>
      </c>
      <c r="G86" s="18">
        <v>46054</v>
      </c>
      <c r="H86" s="19">
        <v>83000</v>
      </c>
      <c r="I86" s="3" t="str">
        <f>VLOOKUP(H86,'[1]Base de Clientes'!$B:$E,4,0)</f>
        <v>BRM CARBYNE GESTAO DE RECURSOS S/A</v>
      </c>
      <c r="J86" s="5" t="s">
        <v>8</v>
      </c>
      <c r="K86" s="5" t="s">
        <v>85</v>
      </c>
      <c r="L86" s="9">
        <v>115.768714995</v>
      </c>
      <c r="M86" s="11" t="s">
        <v>7</v>
      </c>
      <c r="N86" s="13" t="s">
        <v>17</v>
      </c>
      <c r="O86" s="7">
        <v>0.5</v>
      </c>
      <c r="P86" s="16" t="s">
        <v>254</v>
      </c>
      <c r="T86" s="7"/>
    </row>
    <row r="87" spans="1:20" x14ac:dyDescent="0.25">
      <c r="A87" s="16" t="str">
        <f t="shared" si="0"/>
        <v>CUSTO DMA -BARNEY SILVA- FEVEREIRO 26</v>
      </c>
      <c r="B87" s="18">
        <v>46054</v>
      </c>
      <c r="C87" s="3">
        <v>817391</v>
      </c>
      <c r="D87" s="3" t="s">
        <v>405</v>
      </c>
      <c r="E87" s="14">
        <f t="shared" si="13"/>
        <v>-2529.384669</v>
      </c>
      <c r="F87" s="3" t="s">
        <v>364</v>
      </c>
      <c r="G87" s="18">
        <v>46054</v>
      </c>
      <c r="H87" s="19">
        <v>83000</v>
      </c>
      <c r="I87" s="3" t="str">
        <f>VLOOKUP(H87,'[1]Base de Clientes'!$B:$E,4,0)</f>
        <v>BRM CARBYNE GESTAO DE RECURSOS S/A</v>
      </c>
      <c r="J87" s="5" t="s">
        <v>8</v>
      </c>
      <c r="K87" s="5" t="s">
        <v>104</v>
      </c>
      <c r="L87" s="9">
        <v>5058.7693380000001</v>
      </c>
      <c r="M87" s="11" t="s">
        <v>7</v>
      </c>
      <c r="N87" s="13" t="s">
        <v>17</v>
      </c>
      <c r="O87" s="7">
        <v>0.5</v>
      </c>
      <c r="P87" s="16" t="s">
        <v>273</v>
      </c>
      <c r="T87" s="7"/>
    </row>
    <row r="88" spans="1:20" x14ac:dyDescent="0.25">
      <c r="A88" s="16" t="str">
        <f t="shared" ref="A88" si="18">CONCATENATE(J88,M88,K88,M88,N88)</f>
        <v>CUSTO DMA -BARNEY SILVA- FEVEREIRO 26</v>
      </c>
      <c r="B88" s="18">
        <v>46054</v>
      </c>
      <c r="C88" s="3">
        <v>817391</v>
      </c>
      <c r="D88" s="3" t="s">
        <v>481</v>
      </c>
      <c r="E88" s="14">
        <f t="shared" ref="E88" si="19">-L88*O88</f>
        <v>-2529.384669</v>
      </c>
      <c r="F88" s="3" t="s">
        <v>364</v>
      </c>
      <c r="G88" s="18">
        <v>46054</v>
      </c>
      <c r="H88" s="19">
        <v>83000</v>
      </c>
      <c r="I88" s="3" t="str">
        <f>VLOOKUP(H88,'[1]Base de Clientes'!$B:$E,4,0)</f>
        <v>BRM CARBYNE GESTAO DE RECURSOS S/A</v>
      </c>
      <c r="J88" s="5" t="s">
        <v>8</v>
      </c>
      <c r="K88" s="5" t="s">
        <v>104</v>
      </c>
      <c r="L88" s="9">
        <v>5058.7693380000001</v>
      </c>
      <c r="M88" s="11" t="s">
        <v>7</v>
      </c>
      <c r="N88" s="13" t="s">
        <v>17</v>
      </c>
      <c r="O88" s="7">
        <v>0.5</v>
      </c>
      <c r="P88" s="16" t="s">
        <v>273</v>
      </c>
      <c r="T88" s="7"/>
    </row>
    <row r="89" spans="1:20" x14ac:dyDescent="0.25">
      <c r="A89" s="16" t="str">
        <f t="shared" ref="A89" si="20">CONCATENATE(J89,M89,K89,M89,N89)</f>
        <v>CUSTO DMA -LEO VAINZOF- FEVEREIRO 26</v>
      </c>
      <c r="B89" s="18">
        <v>46054</v>
      </c>
      <c r="C89" s="3">
        <v>817391</v>
      </c>
      <c r="D89" s="3" t="s">
        <v>406</v>
      </c>
      <c r="E89" s="14">
        <f t="shared" si="13"/>
        <v>-55.912725000000002</v>
      </c>
      <c r="F89" s="3" t="s">
        <v>364</v>
      </c>
      <c r="G89" s="18">
        <v>46054</v>
      </c>
      <c r="H89" s="19">
        <v>12402</v>
      </c>
      <c r="I89" s="3" t="str">
        <f>VLOOKUP(H89,'[1]Base de Clientes'!$B:$E,4,0)</f>
        <v>TRUXT INVESTIMENTOS LTDA</v>
      </c>
      <c r="J89" s="5" t="s">
        <v>8</v>
      </c>
      <c r="K89" s="5" t="s">
        <v>93</v>
      </c>
      <c r="L89" s="9">
        <v>111.82545</v>
      </c>
      <c r="M89" s="11" t="s">
        <v>7</v>
      </c>
      <c r="N89" s="13" t="s">
        <v>17</v>
      </c>
      <c r="O89" s="7">
        <v>0.5</v>
      </c>
      <c r="P89" s="16" t="s">
        <v>262</v>
      </c>
      <c r="T89" s="7"/>
    </row>
    <row r="90" spans="1:20" x14ac:dyDescent="0.25">
      <c r="A90" s="16" t="str">
        <f t="shared" ref="A90" si="21">CONCATENATE(J90,M90,K90,M90,N90)</f>
        <v>CUSTO DMA -LEO VAINZOF- FEVEREIRO 26</v>
      </c>
      <c r="B90" s="18">
        <v>46054</v>
      </c>
      <c r="C90" s="3">
        <v>817391</v>
      </c>
      <c r="D90" s="3" t="s">
        <v>407</v>
      </c>
      <c r="E90" s="14">
        <f t="shared" ref="E90" si="22">-L90*O90</f>
        <v>-55.912725000000002</v>
      </c>
      <c r="F90" s="3" t="s">
        <v>364</v>
      </c>
      <c r="G90" s="18">
        <v>46054</v>
      </c>
      <c r="H90" s="19">
        <v>12402</v>
      </c>
      <c r="I90" s="3" t="str">
        <f>VLOOKUP(H90,'[1]Base de Clientes'!$B:$E,4,0)</f>
        <v>TRUXT INVESTIMENTOS LTDA</v>
      </c>
      <c r="J90" s="5" t="s">
        <v>8</v>
      </c>
      <c r="K90" s="5" t="s">
        <v>93</v>
      </c>
      <c r="L90" s="9">
        <v>111.82545</v>
      </c>
      <c r="M90" s="11" t="s">
        <v>7</v>
      </c>
      <c r="N90" s="13" t="s">
        <v>17</v>
      </c>
      <c r="O90" s="7">
        <v>0.5</v>
      </c>
      <c r="P90" s="16" t="s">
        <v>262</v>
      </c>
      <c r="T90" s="7"/>
    </row>
    <row r="91" spans="1:20" x14ac:dyDescent="0.25">
      <c r="A91" s="16" t="str">
        <f t="shared" si="0"/>
        <v>CUSTO DMA -DANIEL MOTTA CAMARGO- FEVEREIRO 26</v>
      </c>
      <c r="B91" s="18">
        <v>46054</v>
      </c>
      <c r="C91" s="3">
        <v>817391</v>
      </c>
      <c r="D91" s="3" t="s">
        <v>402</v>
      </c>
      <c r="E91" s="14">
        <f t="shared" si="13"/>
        <v>-4518.9252900000001</v>
      </c>
      <c r="F91" s="3" t="s">
        <v>364</v>
      </c>
      <c r="G91" s="18">
        <v>46054</v>
      </c>
      <c r="H91" s="19">
        <v>15501</v>
      </c>
      <c r="I91" s="3" t="str">
        <f>VLOOKUP(H91,'[1]Base de Clientes'!$B:$E,4,0)</f>
        <v>BANCO BTG PACTUAL S/A</v>
      </c>
      <c r="J91" s="5" t="s">
        <v>8</v>
      </c>
      <c r="K91" s="5" t="s">
        <v>87</v>
      </c>
      <c r="L91" s="9">
        <v>4518.9252900000001</v>
      </c>
      <c r="M91" s="11" t="s">
        <v>7</v>
      </c>
      <c r="N91" s="13" t="s">
        <v>17</v>
      </c>
      <c r="O91" s="7">
        <v>1</v>
      </c>
      <c r="P91" s="16" t="s">
        <v>256</v>
      </c>
      <c r="T91" s="7"/>
    </row>
    <row r="92" spans="1:20" x14ac:dyDescent="0.25">
      <c r="A92" s="16" t="str">
        <f t="shared" si="0"/>
        <v>CUSTO DMA -DECIO PEREIRA- FEVEREIRO 26</v>
      </c>
      <c r="B92" s="18">
        <v>46054</v>
      </c>
      <c r="C92" s="3">
        <v>817391</v>
      </c>
      <c r="D92" s="3" t="s">
        <v>488</v>
      </c>
      <c r="E92" s="14">
        <f t="shared" si="13"/>
        <v>-1252.5092460000001</v>
      </c>
      <c r="F92" s="3" t="s">
        <v>364</v>
      </c>
      <c r="G92" s="18">
        <v>46054</v>
      </c>
      <c r="H92" s="19">
        <v>82964</v>
      </c>
      <c r="I92" s="3" t="str">
        <f>VLOOKUP(H92,'[1]Base de Clientes'!$B:$E,4,0)</f>
        <v>BANCO BTG PACTUAL S/A</v>
      </c>
      <c r="J92" s="5" t="s">
        <v>8</v>
      </c>
      <c r="K92" s="5" t="s">
        <v>377</v>
      </c>
      <c r="L92" s="9">
        <v>1252.5092460000001</v>
      </c>
      <c r="M92" s="11" t="s">
        <v>7</v>
      </c>
      <c r="N92" s="13" t="s">
        <v>17</v>
      </c>
      <c r="O92" s="7">
        <v>1</v>
      </c>
      <c r="P92" s="16" t="s">
        <v>391</v>
      </c>
      <c r="T92" s="7"/>
    </row>
    <row r="93" spans="1:20" x14ac:dyDescent="0.25">
      <c r="A93" s="16" t="str">
        <f t="shared" si="0"/>
        <v>CUSTO DMA -IVAN KRAISER- FEVEREIRO 26</v>
      </c>
      <c r="B93" s="18">
        <v>46054</v>
      </c>
      <c r="C93" s="3">
        <v>817391</v>
      </c>
      <c r="D93" s="3" t="s">
        <v>484</v>
      </c>
      <c r="E93" s="14">
        <f t="shared" si="13"/>
        <v>-111.82545</v>
      </c>
      <c r="F93" s="3" t="s">
        <v>364</v>
      </c>
      <c r="G93" s="18">
        <v>46054</v>
      </c>
      <c r="H93" s="19">
        <v>82812</v>
      </c>
      <c r="I93" s="3" t="str">
        <f>VLOOKUP(H93,'[1]Base de Clientes'!$B:$E,4,0)</f>
        <v>GARIN INVESTIMENTOS LTDA</v>
      </c>
      <c r="J93" s="5" t="s">
        <v>8</v>
      </c>
      <c r="K93" s="5" t="s">
        <v>90</v>
      </c>
      <c r="L93" s="9">
        <v>111.82545</v>
      </c>
      <c r="M93" s="11" t="s">
        <v>7</v>
      </c>
      <c r="N93" s="13" t="s">
        <v>17</v>
      </c>
      <c r="O93" s="7">
        <v>1</v>
      </c>
      <c r="P93" s="16" t="s">
        <v>259</v>
      </c>
      <c r="T93" s="7"/>
    </row>
    <row r="94" spans="1:20" x14ac:dyDescent="0.25">
      <c r="A94" s="16" t="str">
        <f t="shared" si="0"/>
        <v>CUSTO DMA -RICARDO BERNSTEIN- FEVEREIRO 26</v>
      </c>
      <c r="B94" s="18">
        <v>46054</v>
      </c>
      <c r="C94" s="3">
        <v>817391</v>
      </c>
      <c r="D94" s="3" t="s">
        <v>398</v>
      </c>
      <c r="E94" s="14">
        <f t="shared" si="13"/>
        <v>-404.68458595499999</v>
      </c>
      <c r="F94" s="3" t="s">
        <v>364</v>
      </c>
      <c r="G94" s="18">
        <v>46054</v>
      </c>
      <c r="H94" s="19">
        <v>12296</v>
      </c>
      <c r="I94" s="3" t="str">
        <f>VLOOKUP(H94,'[1]Base de Clientes'!$B:$E,4,0)</f>
        <v>PATRIA INVESTIMENTOS LTDA</v>
      </c>
      <c r="J94" s="5" t="s">
        <v>8</v>
      </c>
      <c r="K94" s="5" t="s">
        <v>83</v>
      </c>
      <c r="L94" s="9">
        <v>404.68458595499999</v>
      </c>
      <c r="M94" s="11" t="s">
        <v>7</v>
      </c>
      <c r="N94" s="13" t="s">
        <v>17</v>
      </c>
      <c r="O94" s="7">
        <v>1</v>
      </c>
      <c r="P94" s="16" t="s">
        <v>392</v>
      </c>
      <c r="T94" s="7"/>
    </row>
    <row r="95" spans="1:20" x14ac:dyDescent="0.25">
      <c r="A95" s="16" t="str">
        <f t="shared" si="0"/>
        <v>CUSTO DMA -WILLIAM LEITE- FEVEREIRO 26</v>
      </c>
      <c r="B95" s="18">
        <v>46054</v>
      </c>
      <c r="C95" s="3">
        <v>817391</v>
      </c>
      <c r="D95" s="3" t="s">
        <v>398</v>
      </c>
      <c r="E95" s="14">
        <f t="shared" si="13"/>
        <v>-1273.1942790000001</v>
      </c>
      <c r="F95" s="3" t="s">
        <v>364</v>
      </c>
      <c r="G95" s="18">
        <v>46054</v>
      </c>
      <c r="H95" s="19">
        <v>12296</v>
      </c>
      <c r="I95" s="3" t="str">
        <f>VLOOKUP(H95,'[1]Base de Clientes'!$B:$E,4,0)</f>
        <v>PATRIA INVESTIMENTOS LTDA</v>
      </c>
      <c r="J95" s="5" t="s">
        <v>8</v>
      </c>
      <c r="K95" s="5" t="s">
        <v>111</v>
      </c>
      <c r="L95" s="9">
        <v>1273.1942790000001</v>
      </c>
      <c r="M95" s="11" t="s">
        <v>7</v>
      </c>
      <c r="N95" s="13" t="s">
        <v>17</v>
      </c>
      <c r="O95" s="7">
        <v>1</v>
      </c>
      <c r="P95" s="16" t="s">
        <v>280</v>
      </c>
      <c r="T95" s="7"/>
    </row>
    <row r="96" spans="1:20" x14ac:dyDescent="0.25">
      <c r="A96" s="16" t="str">
        <f t="shared" si="0"/>
        <v>CUSTO DMA -LEONARDO GARROUX- FEVEREIRO 26</v>
      </c>
      <c r="B96" s="18">
        <v>46054</v>
      </c>
      <c r="C96" s="3">
        <v>817391</v>
      </c>
      <c r="D96" s="3" t="s">
        <v>472</v>
      </c>
      <c r="E96" s="14">
        <f t="shared" si="13"/>
        <v>-111.82545</v>
      </c>
      <c r="F96" s="3" t="s">
        <v>364</v>
      </c>
      <c r="G96" s="18">
        <v>46054</v>
      </c>
      <c r="H96" s="19">
        <v>81438</v>
      </c>
      <c r="I96" s="3" t="str">
        <f>VLOOKUP(H96,'[1]Base de Clientes'!$B:$E,4,0)</f>
        <v>PORTO SEGURO INVESTIMENTOS LTDA</v>
      </c>
      <c r="J96" s="5" t="s">
        <v>8</v>
      </c>
      <c r="K96" s="5" t="s">
        <v>94</v>
      </c>
      <c r="L96" s="9">
        <v>111.82545</v>
      </c>
      <c r="M96" s="11" t="s">
        <v>7</v>
      </c>
      <c r="N96" s="13" t="s">
        <v>17</v>
      </c>
      <c r="O96" s="7">
        <v>1</v>
      </c>
      <c r="P96" s="16" t="s">
        <v>263</v>
      </c>
      <c r="T96" s="7"/>
    </row>
    <row r="97" spans="1:20" x14ac:dyDescent="0.25">
      <c r="A97" s="16" t="str">
        <f t="shared" si="0"/>
        <v>CUSTO DMA -LEONARDO NAKAJIMA- FEVEREIRO 26</v>
      </c>
      <c r="B97" s="18">
        <v>46054</v>
      </c>
      <c r="C97" s="3">
        <v>817391</v>
      </c>
      <c r="D97" s="3" t="s">
        <v>472</v>
      </c>
      <c r="E97" s="14">
        <f t="shared" si="13"/>
        <v>-111.82545</v>
      </c>
      <c r="F97" s="3" t="s">
        <v>364</v>
      </c>
      <c r="G97" s="18">
        <v>46054</v>
      </c>
      <c r="H97" s="19">
        <v>81438</v>
      </c>
      <c r="I97" s="3" t="str">
        <f>VLOOKUP(H97,'[1]Base de Clientes'!$B:$E,4,0)</f>
        <v>PORTO SEGURO INVESTIMENTOS LTDA</v>
      </c>
      <c r="J97" s="5" t="s">
        <v>8</v>
      </c>
      <c r="K97" s="5" t="s">
        <v>95</v>
      </c>
      <c r="L97" s="9">
        <v>111.82545</v>
      </c>
      <c r="M97" s="11" t="s">
        <v>7</v>
      </c>
      <c r="N97" s="13" t="s">
        <v>17</v>
      </c>
      <c r="O97" s="7">
        <v>1</v>
      </c>
      <c r="P97" s="16" t="s">
        <v>264</v>
      </c>
      <c r="T97" s="7"/>
    </row>
    <row r="98" spans="1:20" x14ac:dyDescent="0.2">
      <c r="A98" s="16" t="str">
        <f t="shared" si="0"/>
        <v>CUSTO DMA -TOMAS PEREIRA- FEVEREIRO 26</v>
      </c>
      <c r="B98" s="18">
        <v>46054</v>
      </c>
      <c r="C98" s="3">
        <v>817391</v>
      </c>
      <c r="D98" s="3" t="s">
        <v>472</v>
      </c>
      <c r="E98" s="14">
        <f t="shared" si="13"/>
        <v>-111.82545</v>
      </c>
      <c r="F98" s="3" t="s">
        <v>364</v>
      </c>
      <c r="G98" s="18">
        <v>46054</v>
      </c>
      <c r="H98" s="26">
        <v>81438</v>
      </c>
      <c r="I98" s="3" t="str">
        <f>VLOOKUP(H98,'[1]Base de Clientes'!$B:$E,4,0)</f>
        <v>PORTO SEGURO INVESTIMENTOS LTDA</v>
      </c>
      <c r="J98" s="5" t="s">
        <v>8</v>
      </c>
      <c r="K98" s="5" t="s">
        <v>106</v>
      </c>
      <c r="L98" s="9">
        <v>111.82545</v>
      </c>
      <c r="M98" s="11" t="s">
        <v>7</v>
      </c>
      <c r="N98" s="13" t="s">
        <v>17</v>
      </c>
      <c r="O98" s="7">
        <v>1</v>
      </c>
      <c r="P98" s="16" t="s">
        <v>275</v>
      </c>
      <c r="T98" s="7"/>
    </row>
    <row r="99" spans="1:20" x14ac:dyDescent="0.25">
      <c r="A99" s="16" t="str">
        <f t="shared" si="0"/>
        <v>CUSTO DMA -MATHEUS SOUZA- FEVEREIRO 26</v>
      </c>
      <c r="B99" s="18">
        <v>46054</v>
      </c>
      <c r="C99" s="3">
        <v>817391</v>
      </c>
      <c r="D99" s="3" t="s">
        <v>470</v>
      </c>
      <c r="E99" s="14">
        <f t="shared" si="13"/>
        <v>-111.82545</v>
      </c>
      <c r="F99" s="3" t="s">
        <v>364</v>
      </c>
      <c r="G99" s="18">
        <v>46054</v>
      </c>
      <c r="H99" s="19">
        <v>81710</v>
      </c>
      <c r="I99" s="3" t="str">
        <f>VLOOKUP(H99,'[1]Base de Clientes'!$B:$E,4,0)</f>
        <v>RYO GESTAO DE RECURSOS LTDA</v>
      </c>
      <c r="J99" s="5" t="s">
        <v>8</v>
      </c>
      <c r="K99" s="5" t="s">
        <v>100</v>
      </c>
      <c r="L99" s="9">
        <v>111.82545</v>
      </c>
      <c r="M99" s="11" t="s">
        <v>7</v>
      </c>
      <c r="N99" s="13" t="s">
        <v>17</v>
      </c>
      <c r="O99" s="7">
        <v>1</v>
      </c>
      <c r="P99" s="16" t="s">
        <v>269</v>
      </c>
      <c r="T99" s="7"/>
    </row>
    <row r="100" spans="1:20" x14ac:dyDescent="0.25">
      <c r="A100" s="16" t="str">
        <f t="shared" si="0"/>
        <v>CUSTO DMA -MARCEL YAGUI- FEVEREIRO 26</v>
      </c>
      <c r="B100" s="18">
        <v>46054</v>
      </c>
      <c r="C100" s="3">
        <v>817391</v>
      </c>
      <c r="D100" s="3" t="s">
        <v>404</v>
      </c>
      <c r="E100" s="14">
        <f t="shared" si="13"/>
        <v>-111.82545</v>
      </c>
      <c r="F100" s="3" t="s">
        <v>364</v>
      </c>
      <c r="G100" s="18">
        <v>46054</v>
      </c>
      <c r="H100" s="19">
        <v>82639</v>
      </c>
      <c r="I100" s="3" t="str">
        <f>VLOOKUP(H100,'[1]Base de Clientes'!$B:$E,4,0)</f>
        <v>SAFRA ASSET MANAGEMENT LTDA</v>
      </c>
      <c r="J100" s="5" t="s">
        <v>8</v>
      </c>
      <c r="K100" s="5" t="s">
        <v>97</v>
      </c>
      <c r="L100" s="9">
        <v>111.82545</v>
      </c>
      <c r="M100" s="11" t="s">
        <v>7</v>
      </c>
      <c r="N100" s="13" t="s">
        <v>17</v>
      </c>
      <c r="O100" s="7">
        <v>1</v>
      </c>
      <c r="P100" s="16" t="s">
        <v>266</v>
      </c>
      <c r="T100" s="7"/>
    </row>
    <row r="101" spans="1:20" x14ac:dyDescent="0.25">
      <c r="A101" s="16" t="str">
        <f t="shared" si="0"/>
        <v>CUSTO DMA -VITOR ANGELIS- FEVEREIRO 26</v>
      </c>
      <c r="B101" s="18">
        <v>46054</v>
      </c>
      <c r="C101" s="3">
        <v>817391</v>
      </c>
      <c r="D101" s="3" t="s">
        <v>404</v>
      </c>
      <c r="E101" s="14">
        <f t="shared" si="13"/>
        <v>-111.82545</v>
      </c>
      <c r="F101" s="3" t="s">
        <v>364</v>
      </c>
      <c r="G101" s="18">
        <v>46054</v>
      </c>
      <c r="H101" s="19">
        <v>82639</v>
      </c>
      <c r="I101" s="3" t="str">
        <f>VLOOKUP(H101,'[1]Base de Clientes'!$B:$E,4,0)</f>
        <v>SAFRA ASSET MANAGEMENT LTDA</v>
      </c>
      <c r="J101" s="5" t="s">
        <v>8</v>
      </c>
      <c r="K101" s="5" t="s">
        <v>109</v>
      </c>
      <c r="L101" s="9">
        <v>111.82545</v>
      </c>
      <c r="M101" s="11" t="s">
        <v>7</v>
      </c>
      <c r="N101" s="13" t="s">
        <v>17</v>
      </c>
      <c r="O101" s="7">
        <v>1</v>
      </c>
      <c r="P101" s="16" t="s">
        <v>278</v>
      </c>
      <c r="T101" s="7"/>
    </row>
    <row r="102" spans="1:20" x14ac:dyDescent="0.25">
      <c r="A102" s="16" t="str">
        <f t="shared" ref="A102" si="23">CONCATENATE(J102,M102,K102,M102,N102)</f>
        <v>CUSTO DMA -MARCELO IDE- FEVEREIRO 26</v>
      </c>
      <c r="B102" s="18">
        <v>46054</v>
      </c>
      <c r="C102" s="3">
        <v>817391</v>
      </c>
      <c r="D102" s="3" t="s">
        <v>411</v>
      </c>
      <c r="E102" s="14">
        <f t="shared" si="13"/>
        <v>-111.82545</v>
      </c>
      <c r="F102" s="3" t="s">
        <v>364</v>
      </c>
      <c r="G102" s="18">
        <v>46054</v>
      </c>
      <c r="H102" s="19">
        <v>80856</v>
      </c>
      <c r="I102" s="3" t="str">
        <f>VLOOKUP(H102,'[1]Base de Clientes'!$B:$E,4,0)</f>
        <v>SCHRODER INVESTMENT MANAGEMENT BRASIL LTDA</v>
      </c>
      <c r="J102" s="5" t="s">
        <v>8</v>
      </c>
      <c r="K102" s="5" t="s">
        <v>98</v>
      </c>
      <c r="L102" s="9">
        <v>111.82545</v>
      </c>
      <c r="M102" s="11" t="s">
        <v>7</v>
      </c>
      <c r="N102" s="13" t="s">
        <v>17</v>
      </c>
      <c r="O102" s="7">
        <v>1</v>
      </c>
      <c r="P102" s="16" t="s">
        <v>267</v>
      </c>
      <c r="T102" s="7"/>
    </row>
    <row r="103" spans="1:20" x14ac:dyDescent="0.25">
      <c r="A103" s="16" t="str">
        <f t="shared" si="0"/>
        <v>CUSTO DMA -ANDRÉ CALDAS- FEVEREIRO 26</v>
      </c>
      <c r="B103" s="18">
        <v>46054</v>
      </c>
      <c r="C103" s="3">
        <v>817391</v>
      </c>
      <c r="D103" s="3" t="s">
        <v>397</v>
      </c>
      <c r="E103" s="14">
        <f t="shared" si="13"/>
        <v>-111.82545</v>
      </c>
      <c r="F103" s="3" t="s">
        <v>364</v>
      </c>
      <c r="G103" s="18">
        <v>46054</v>
      </c>
      <c r="H103" s="19">
        <v>82748</v>
      </c>
      <c r="I103" s="3" t="str">
        <f>VLOOKUP(H103,'[1]Base de Clientes'!$B:$E,4,0)</f>
        <v>SPRINGS CAPITAL LTDA</v>
      </c>
      <c r="J103" s="5" t="s">
        <v>8</v>
      </c>
      <c r="K103" s="5" t="s">
        <v>84</v>
      </c>
      <c r="L103" s="9">
        <v>111.82545</v>
      </c>
      <c r="M103" s="11" t="s">
        <v>7</v>
      </c>
      <c r="N103" s="13" t="s">
        <v>17</v>
      </c>
      <c r="O103" s="7">
        <v>1</v>
      </c>
      <c r="P103" s="16" t="s">
        <v>253</v>
      </c>
      <c r="T103" s="7"/>
    </row>
    <row r="104" spans="1:20" x14ac:dyDescent="0.25">
      <c r="A104" s="16" t="str">
        <f t="shared" si="0"/>
        <v>CUSTO DMA -MATHEUS EFRAIN- FEVEREIRO 26</v>
      </c>
      <c r="B104" s="18">
        <v>46054</v>
      </c>
      <c r="C104" s="3">
        <v>817391</v>
      </c>
      <c r="D104" s="3" t="s">
        <v>397</v>
      </c>
      <c r="E104" s="14">
        <f t="shared" si="13"/>
        <v>-211.35052854</v>
      </c>
      <c r="F104" s="3" t="s">
        <v>364</v>
      </c>
      <c r="G104" s="18">
        <v>46054</v>
      </c>
      <c r="H104" s="19">
        <v>82748</v>
      </c>
      <c r="I104" s="3" t="str">
        <f>VLOOKUP(H104,'[1]Base de Clientes'!$B:$E,4,0)</f>
        <v>SPRINGS CAPITAL LTDA</v>
      </c>
      <c r="J104" s="5" t="s">
        <v>8</v>
      </c>
      <c r="K104" s="5" t="s">
        <v>99</v>
      </c>
      <c r="L104" s="9">
        <v>211.35052854</v>
      </c>
      <c r="M104" s="11" t="s">
        <v>7</v>
      </c>
      <c r="N104" s="13" t="s">
        <v>17</v>
      </c>
      <c r="O104" s="7">
        <v>1</v>
      </c>
      <c r="P104" s="16" t="s">
        <v>268</v>
      </c>
      <c r="T104" s="7"/>
    </row>
    <row r="105" spans="1:20" x14ac:dyDescent="0.25">
      <c r="A105" s="16" t="str">
        <f t="shared" si="0"/>
        <v>CUSTO DMA -JAMES OLIVEIRA- FEVEREIRO 26</v>
      </c>
      <c r="B105" s="18">
        <v>46054</v>
      </c>
      <c r="C105" s="3">
        <v>817391</v>
      </c>
      <c r="D105" s="3" t="s">
        <v>400</v>
      </c>
      <c r="E105" s="14">
        <f t="shared" si="13"/>
        <v>-111.82545</v>
      </c>
      <c r="F105" s="3" t="s">
        <v>364</v>
      </c>
      <c r="G105" s="18">
        <v>46054</v>
      </c>
      <c r="H105" s="19">
        <v>80359</v>
      </c>
      <c r="I105" s="3" t="str">
        <f>VLOOKUP(H105,'[1]Base de Clientes'!$B:$E,4,0)</f>
        <v>VINLAND CAPITAL MANAGEMENT GESTORA DE RECURSOS LTDA</v>
      </c>
      <c r="J105" s="5" t="s">
        <v>8</v>
      </c>
      <c r="K105" s="5" t="s">
        <v>91</v>
      </c>
      <c r="L105" s="9">
        <v>111.82545</v>
      </c>
      <c r="M105" s="11" t="s">
        <v>7</v>
      </c>
      <c r="N105" s="13" t="s">
        <v>17</v>
      </c>
      <c r="O105" s="7">
        <v>1</v>
      </c>
      <c r="P105" s="16" t="s">
        <v>260</v>
      </c>
      <c r="T105" s="7"/>
    </row>
    <row r="106" spans="1:20" x14ac:dyDescent="0.25">
      <c r="A106" s="16" t="str">
        <f t="shared" si="0"/>
        <v>CUSTO DMA -JOÃO CARUSO- FEVEREIRO 26</v>
      </c>
      <c r="B106" s="18">
        <v>46054</v>
      </c>
      <c r="C106" s="3">
        <v>817391</v>
      </c>
      <c r="D106" s="3" t="s">
        <v>470</v>
      </c>
      <c r="E106" s="14">
        <f t="shared" si="13"/>
        <v>-111.82545</v>
      </c>
      <c r="F106" s="3" t="s">
        <v>364</v>
      </c>
      <c r="G106" s="18">
        <v>46054</v>
      </c>
      <c r="H106" s="19">
        <v>80359</v>
      </c>
      <c r="I106" s="3" t="str">
        <f>VLOOKUP(H106,'[1]Base de Clientes'!$B:$E,4,0)</f>
        <v>VINLAND CAPITAL MANAGEMENT GESTORA DE RECURSOS LTDA</v>
      </c>
      <c r="J106" s="5" t="s">
        <v>8</v>
      </c>
      <c r="K106" s="5" t="s">
        <v>92</v>
      </c>
      <c r="L106" s="9">
        <v>111.82545</v>
      </c>
      <c r="M106" s="11" t="s">
        <v>7</v>
      </c>
      <c r="N106" s="13" t="s">
        <v>17</v>
      </c>
      <c r="O106" s="7">
        <v>1</v>
      </c>
      <c r="P106" s="16" t="s">
        <v>261</v>
      </c>
      <c r="T106" s="7"/>
    </row>
    <row r="107" spans="1:20" x14ac:dyDescent="0.25">
      <c r="A107" s="16" t="str">
        <f t="shared" si="0"/>
        <v>CUSTO DMA -LUCAS PACCOLA- FEVEREIRO 26</v>
      </c>
      <c r="B107" s="18">
        <v>46054</v>
      </c>
      <c r="C107" s="3">
        <v>817391</v>
      </c>
      <c r="D107" s="3" t="s">
        <v>470</v>
      </c>
      <c r="E107" s="14">
        <f t="shared" si="13"/>
        <v>-111.82545</v>
      </c>
      <c r="F107" s="3" t="s">
        <v>364</v>
      </c>
      <c r="G107" s="18">
        <v>46054</v>
      </c>
      <c r="H107" s="19">
        <v>80359</v>
      </c>
      <c r="I107" s="3" t="str">
        <f>VLOOKUP(H107,'[1]Base de Clientes'!$B:$E,4,0)</f>
        <v>VINLAND CAPITAL MANAGEMENT GESTORA DE RECURSOS LTDA</v>
      </c>
      <c r="J107" s="5" t="s">
        <v>8</v>
      </c>
      <c r="K107" s="5" t="s">
        <v>96</v>
      </c>
      <c r="L107" s="9">
        <v>111.82545</v>
      </c>
      <c r="M107" s="11" t="s">
        <v>7</v>
      </c>
      <c r="N107" s="13" t="s">
        <v>17</v>
      </c>
      <c r="O107" s="7">
        <v>1</v>
      </c>
      <c r="P107" s="16" t="s">
        <v>265</v>
      </c>
      <c r="T107" s="7"/>
    </row>
    <row r="108" spans="1:20" x14ac:dyDescent="0.25">
      <c r="A108" s="16" t="str">
        <f t="shared" si="0"/>
        <v>CUSTO DMA -THIAGO ROLO- FEVEREIRO 26</v>
      </c>
      <c r="B108" s="18">
        <v>46054</v>
      </c>
      <c r="C108" s="3">
        <v>817391</v>
      </c>
      <c r="D108" s="3" t="s">
        <v>470</v>
      </c>
      <c r="E108" s="14">
        <f t="shared" si="13"/>
        <v>-111.82545</v>
      </c>
      <c r="F108" s="3" t="s">
        <v>364</v>
      </c>
      <c r="G108" s="18">
        <v>46054</v>
      </c>
      <c r="H108" s="19">
        <v>80359</v>
      </c>
      <c r="I108" s="3" t="str">
        <f>VLOOKUP(H108,'[1]Base de Clientes'!$B:$E,4,0)</f>
        <v>VINLAND CAPITAL MANAGEMENT GESTORA DE RECURSOS LTDA</v>
      </c>
      <c r="J108" s="5" t="s">
        <v>8</v>
      </c>
      <c r="K108" s="5" t="s">
        <v>105</v>
      </c>
      <c r="L108" s="9">
        <v>111.82545</v>
      </c>
      <c r="M108" s="11" t="s">
        <v>7</v>
      </c>
      <c r="N108" s="13" t="s">
        <v>17</v>
      </c>
      <c r="O108" s="7">
        <v>1</v>
      </c>
      <c r="P108" s="16" t="s">
        <v>274</v>
      </c>
      <c r="T108" s="7"/>
    </row>
    <row r="109" spans="1:20" x14ac:dyDescent="0.25">
      <c r="A109" s="16" t="str">
        <f t="shared" si="0"/>
        <v>CUSTO DMA -VINICIO HUANG- FEVEREIRO 26</v>
      </c>
      <c r="B109" s="18">
        <v>46054</v>
      </c>
      <c r="C109" s="3">
        <v>817391</v>
      </c>
      <c r="D109" s="3" t="s">
        <v>470</v>
      </c>
      <c r="E109" s="14">
        <f t="shared" si="13"/>
        <v>-111.82545</v>
      </c>
      <c r="F109" s="3" t="s">
        <v>364</v>
      </c>
      <c r="G109" s="18">
        <v>46054</v>
      </c>
      <c r="H109" s="19">
        <v>80359</v>
      </c>
      <c r="I109" s="3" t="str">
        <f>VLOOKUP(H109,'[1]Base de Clientes'!$B:$E,4,0)</f>
        <v>VINLAND CAPITAL MANAGEMENT GESTORA DE RECURSOS LTDA</v>
      </c>
      <c r="J109" s="5" t="s">
        <v>8</v>
      </c>
      <c r="K109" s="5" t="s">
        <v>107</v>
      </c>
      <c r="L109" s="9">
        <v>111.82545</v>
      </c>
      <c r="M109" s="11" t="s">
        <v>7</v>
      </c>
      <c r="N109" s="13" t="s">
        <v>17</v>
      </c>
      <c r="O109" s="7">
        <v>1</v>
      </c>
      <c r="P109" s="16" t="s">
        <v>276</v>
      </c>
      <c r="T109" s="7"/>
    </row>
    <row r="110" spans="1:20" x14ac:dyDescent="0.25">
      <c r="A110" s="16" t="str">
        <f t="shared" si="0"/>
        <v>CUSTO DMA -HENRIQUE PEINADO- FEVEREIRO 26</v>
      </c>
      <c r="B110" s="18">
        <v>46054</v>
      </c>
      <c r="C110" s="3">
        <v>817391</v>
      </c>
      <c r="D110" s="3" t="s">
        <v>477</v>
      </c>
      <c r="E110" s="14">
        <f t="shared" si="13"/>
        <v>-1839.0525</v>
      </c>
      <c r="F110" s="3" t="s">
        <v>365</v>
      </c>
      <c r="G110" s="18">
        <v>46054</v>
      </c>
      <c r="H110" s="19">
        <v>80958</v>
      </c>
      <c r="I110" s="3" t="str">
        <f>VLOOKUP(H110,'[1]Base de Clientes'!$B:$E,4,0)</f>
        <v>ITAU UNIBANCO ASSET - OPTIMUS</v>
      </c>
      <c r="J110" s="5" t="s">
        <v>8</v>
      </c>
      <c r="K110" s="5" t="s">
        <v>188</v>
      </c>
      <c r="L110" s="9">
        <v>1839.0525</v>
      </c>
      <c r="M110" s="11" t="s">
        <v>7</v>
      </c>
      <c r="N110" s="13" t="s">
        <v>17</v>
      </c>
      <c r="O110" s="7">
        <v>1</v>
      </c>
      <c r="P110" s="16">
        <v>525</v>
      </c>
      <c r="T110" s="7"/>
    </row>
    <row r="111" spans="1:20" x14ac:dyDescent="0.25">
      <c r="A111" s="16" t="str">
        <f t="shared" si="0"/>
        <v>CUSTO DMA -MARCIO UEJIMA- FEVEREIRO 26</v>
      </c>
      <c r="B111" s="18">
        <v>46054</v>
      </c>
      <c r="C111" s="3">
        <v>817391</v>
      </c>
      <c r="D111" s="3" t="s">
        <v>477</v>
      </c>
      <c r="E111" s="14">
        <f t="shared" si="13"/>
        <v>-1839.0525</v>
      </c>
      <c r="F111" s="3" t="s">
        <v>365</v>
      </c>
      <c r="G111" s="18">
        <v>46054</v>
      </c>
      <c r="H111" s="19">
        <v>80958</v>
      </c>
      <c r="I111" s="3" t="str">
        <f>VLOOKUP(H111,'[1]Base de Clientes'!$B:$E,4,0)</f>
        <v>ITAU UNIBANCO ASSET - OPTIMUS</v>
      </c>
      <c r="J111" s="5" t="s">
        <v>8</v>
      </c>
      <c r="K111" s="5" t="s">
        <v>189</v>
      </c>
      <c r="L111" s="9">
        <v>1839.0525</v>
      </c>
      <c r="M111" s="11" t="s">
        <v>7</v>
      </c>
      <c r="N111" s="13" t="s">
        <v>17</v>
      </c>
      <c r="O111" s="7">
        <v>1</v>
      </c>
      <c r="P111" s="16">
        <v>541</v>
      </c>
      <c r="T111" s="7"/>
    </row>
    <row r="112" spans="1:20" x14ac:dyDescent="0.25">
      <c r="A112" s="16" t="str">
        <f t="shared" ref="A112" si="24">CONCATENATE(J112,M112,K112,M112,N112)</f>
        <v>CUSTO DMA -LUCAS ROSSI- FEVEREIRO 26</v>
      </c>
      <c r="B112" s="18">
        <v>46054</v>
      </c>
      <c r="C112" s="3">
        <v>817391</v>
      </c>
      <c r="D112" s="3" t="s">
        <v>401</v>
      </c>
      <c r="E112" s="14">
        <f t="shared" ref="E112" si="25">-L112*O112</f>
        <v>-1103.4314999999999</v>
      </c>
      <c r="F112" s="3" t="s">
        <v>365</v>
      </c>
      <c r="G112" s="18">
        <v>46054</v>
      </c>
      <c r="H112" s="19">
        <v>81565</v>
      </c>
      <c r="I112" s="3" t="str">
        <f>VLOOKUP(H112,'[1]Base de Clientes'!$B:$E,4,0)</f>
        <v>SPX GESTAO DE RECURSOS LTDA</v>
      </c>
      <c r="J112" s="5" t="s">
        <v>8</v>
      </c>
      <c r="K112" s="5" t="s">
        <v>187</v>
      </c>
      <c r="L112" s="9">
        <v>1839.0525</v>
      </c>
      <c r="M112" s="11" t="s">
        <v>7</v>
      </c>
      <c r="N112" s="13" t="s">
        <v>17</v>
      </c>
      <c r="O112" s="7">
        <v>0.6</v>
      </c>
      <c r="P112" s="16">
        <v>516</v>
      </c>
      <c r="T112" s="7"/>
    </row>
    <row r="113" spans="1:20" x14ac:dyDescent="0.25">
      <c r="A113" s="16" t="str">
        <f t="shared" si="0"/>
        <v>CUSTO DMA -LUCAS ROSSI- FEVEREIRO 26</v>
      </c>
      <c r="B113" s="18">
        <v>46054</v>
      </c>
      <c r="C113" s="3">
        <v>817391</v>
      </c>
      <c r="D113" s="3" t="s">
        <v>397</v>
      </c>
      <c r="E113" s="14">
        <f t="shared" si="13"/>
        <v>-735.62100000000009</v>
      </c>
      <c r="F113" s="3" t="s">
        <v>365</v>
      </c>
      <c r="G113" s="18">
        <v>46054</v>
      </c>
      <c r="H113" s="19">
        <v>81565</v>
      </c>
      <c r="I113" s="3" t="str">
        <f>VLOOKUP(H113,'[1]Base de Clientes'!$B:$E,4,0)</f>
        <v>SPX GESTAO DE RECURSOS LTDA</v>
      </c>
      <c r="J113" s="5" t="s">
        <v>8</v>
      </c>
      <c r="K113" s="5" t="s">
        <v>187</v>
      </c>
      <c r="L113" s="9">
        <v>1839.0525</v>
      </c>
      <c r="M113" s="11" t="s">
        <v>7</v>
      </c>
      <c r="N113" s="13" t="s">
        <v>17</v>
      </c>
      <c r="O113" s="7">
        <v>0.4</v>
      </c>
      <c r="P113" s="16">
        <v>516</v>
      </c>
      <c r="T113" s="7"/>
    </row>
    <row r="114" spans="1:20" x14ac:dyDescent="0.25">
      <c r="A114" s="16" t="str">
        <f t="shared" ref="A114" si="26">CONCATENATE(J114,M114,K114,M114,N114)</f>
        <v>CUSTO DMA -THIAGO SANTOS- FEVEREIRO 26</v>
      </c>
      <c r="B114" s="18">
        <v>46054</v>
      </c>
      <c r="C114" s="3">
        <v>817391</v>
      </c>
      <c r="D114" s="3" t="s">
        <v>397</v>
      </c>
      <c r="E114" s="14">
        <f t="shared" si="13"/>
        <v>-1839.0525</v>
      </c>
      <c r="F114" s="3" t="s">
        <v>365</v>
      </c>
      <c r="G114" s="18">
        <v>46054</v>
      </c>
      <c r="H114" s="19">
        <v>80389</v>
      </c>
      <c r="I114" s="3" t="str">
        <f>VLOOKUP(H114,'[1]Base de Clientes'!$B:$E,4,0)</f>
        <v>NAVI CAPITAL ADMINISTRADORA E GESTORA DE RECURSOS FINANCEIRO</v>
      </c>
      <c r="J114" s="5" t="s">
        <v>8</v>
      </c>
      <c r="K114" s="5" t="s">
        <v>179</v>
      </c>
      <c r="L114" s="9">
        <v>1839.0525</v>
      </c>
      <c r="M114" s="11" t="s">
        <v>7</v>
      </c>
      <c r="N114" s="13" t="s">
        <v>17</v>
      </c>
      <c r="O114" s="7">
        <v>1</v>
      </c>
      <c r="P114" s="16">
        <v>540</v>
      </c>
      <c r="T114" s="7"/>
    </row>
    <row r="115" spans="1:20" x14ac:dyDescent="0.25">
      <c r="A115" s="16" t="str">
        <f t="shared" si="0"/>
        <v>CUSTO DMA -BRUNO HERZOG GARCIA- FEVEREIRO 26</v>
      </c>
      <c r="B115" s="18">
        <v>46054</v>
      </c>
      <c r="C115" s="3">
        <v>817391</v>
      </c>
      <c r="D115" s="3" t="s">
        <v>408</v>
      </c>
      <c r="E115" s="14">
        <f t="shared" si="13"/>
        <v>-613.48360000000002</v>
      </c>
      <c r="F115" s="3" t="s">
        <v>367</v>
      </c>
      <c r="G115" s="18">
        <v>46054</v>
      </c>
      <c r="H115" s="19">
        <v>81291</v>
      </c>
      <c r="I115" s="3" t="str">
        <f>VLOOKUP(H115,'[1]Base de Clientes'!$B:$E,4,0)</f>
        <v>BB GESTAO DE RECURSOS DTVM LTDA</v>
      </c>
      <c r="J115" s="5" t="s">
        <v>8</v>
      </c>
      <c r="K115" s="5" t="s">
        <v>112</v>
      </c>
      <c r="L115" s="9">
        <v>666.83</v>
      </c>
      <c r="M115" s="11" t="s">
        <v>7</v>
      </c>
      <c r="N115" s="13" t="s">
        <v>17</v>
      </c>
      <c r="O115" s="7">
        <v>0.92</v>
      </c>
      <c r="P115" s="16" t="s">
        <v>281</v>
      </c>
      <c r="T115" s="7"/>
    </row>
    <row r="116" spans="1:20" x14ac:dyDescent="0.25">
      <c r="A116" s="16" t="str">
        <f t="shared" ref="A116" si="27">CONCATENATE(J116,M116,K116,M116,N116)</f>
        <v>CUSTO DMA -BRUNO HERZOG GARCIA- FEVEREIRO 26</v>
      </c>
      <c r="B116" s="18">
        <v>46054</v>
      </c>
      <c r="C116" s="3">
        <v>817391</v>
      </c>
      <c r="D116" s="3" t="s">
        <v>409</v>
      </c>
      <c r="E116" s="14">
        <f t="shared" ref="E116" si="28">-L116*O116</f>
        <v>-53.346400000000003</v>
      </c>
      <c r="F116" s="3" t="s">
        <v>367</v>
      </c>
      <c r="G116" s="18">
        <v>46054</v>
      </c>
      <c r="H116" s="19">
        <v>81291</v>
      </c>
      <c r="I116" s="3" t="str">
        <f>VLOOKUP(H116,'[1]Base de Clientes'!$B:$E,4,0)</f>
        <v>BB GESTAO DE RECURSOS DTVM LTDA</v>
      </c>
      <c r="J116" s="5" t="s">
        <v>8</v>
      </c>
      <c r="K116" s="5" t="s">
        <v>112</v>
      </c>
      <c r="L116" s="9">
        <v>666.83</v>
      </c>
      <c r="M116" s="11" t="s">
        <v>7</v>
      </c>
      <c r="N116" s="13" t="s">
        <v>17</v>
      </c>
      <c r="O116" s="7">
        <v>0.08</v>
      </c>
      <c r="P116" s="16" t="s">
        <v>281</v>
      </c>
      <c r="T116" s="7"/>
    </row>
    <row r="117" spans="1:20" x14ac:dyDescent="0.25">
      <c r="A117" s="16" t="str">
        <f t="shared" si="0"/>
        <v>CUSTO DMA -GUILHERME SILVA BRENNAND- FEVEREIRO 26</v>
      </c>
      <c r="B117" s="18">
        <v>46054</v>
      </c>
      <c r="C117" s="3">
        <v>817391</v>
      </c>
      <c r="D117" s="3" t="s">
        <v>408</v>
      </c>
      <c r="E117" s="14">
        <f t="shared" si="13"/>
        <v>-1761.7356000000002</v>
      </c>
      <c r="F117" s="3" t="s">
        <v>367</v>
      </c>
      <c r="G117" s="18">
        <v>46054</v>
      </c>
      <c r="H117" s="19">
        <v>81291</v>
      </c>
      <c r="I117" s="3" t="str">
        <f>VLOOKUP(H117,'[1]Base de Clientes'!$B:$E,4,0)</f>
        <v>BB GESTAO DE RECURSOS DTVM LTDA</v>
      </c>
      <c r="J117" s="5" t="s">
        <v>8</v>
      </c>
      <c r="K117" s="5" t="s">
        <v>114</v>
      </c>
      <c r="L117" s="9">
        <v>1914.93</v>
      </c>
      <c r="M117" s="11" t="s">
        <v>7</v>
      </c>
      <c r="N117" s="13" t="s">
        <v>17</v>
      </c>
      <c r="O117" s="7">
        <v>0.92</v>
      </c>
      <c r="P117" s="16" t="s">
        <v>283</v>
      </c>
      <c r="T117" s="7"/>
    </row>
    <row r="118" spans="1:20" x14ac:dyDescent="0.25">
      <c r="A118" s="16" t="str">
        <f t="shared" ref="A118" si="29">CONCATENATE(J118,M118,K118,M118,N118)</f>
        <v>CUSTO DMA -GUILHERME SILVA BRENNAND- FEVEREIRO 26</v>
      </c>
      <c r="B118" s="18">
        <v>46054</v>
      </c>
      <c r="C118" s="3">
        <v>817391</v>
      </c>
      <c r="D118" s="3" t="s">
        <v>409</v>
      </c>
      <c r="E118" s="14">
        <f t="shared" ref="E118" si="30">-L118*O118</f>
        <v>-153.1944</v>
      </c>
      <c r="F118" s="3" t="s">
        <v>367</v>
      </c>
      <c r="G118" s="18">
        <v>46054</v>
      </c>
      <c r="H118" s="19">
        <v>81291</v>
      </c>
      <c r="I118" s="3" t="str">
        <f>VLOOKUP(H118,'[1]Base de Clientes'!$B:$E,4,0)</f>
        <v>BB GESTAO DE RECURSOS DTVM LTDA</v>
      </c>
      <c r="J118" s="5" t="s">
        <v>8</v>
      </c>
      <c r="K118" s="5" t="s">
        <v>114</v>
      </c>
      <c r="L118" s="9">
        <v>1914.93</v>
      </c>
      <c r="M118" s="11" t="s">
        <v>7</v>
      </c>
      <c r="N118" s="13" t="s">
        <v>17</v>
      </c>
      <c r="O118" s="7">
        <v>0.08</v>
      </c>
      <c r="P118" s="16" t="s">
        <v>283</v>
      </c>
      <c r="T118" s="7"/>
    </row>
    <row r="119" spans="1:20" x14ac:dyDescent="0.25">
      <c r="A119" s="16" t="str">
        <f t="shared" si="0"/>
        <v>CUSTO DMA -RODRIGO MAGALHAES MACEDO PAIM- FEVEREIRO 26</v>
      </c>
      <c r="B119" s="18">
        <v>46054</v>
      </c>
      <c r="C119" s="3">
        <v>817391</v>
      </c>
      <c r="D119" s="3" t="s">
        <v>408</v>
      </c>
      <c r="E119" s="14">
        <f t="shared" si="13"/>
        <v>-4884.6399999999994</v>
      </c>
      <c r="F119" s="3" t="s">
        <v>367</v>
      </c>
      <c r="G119" s="18">
        <v>46054</v>
      </c>
      <c r="H119" s="19">
        <v>14432</v>
      </c>
      <c r="I119" s="3" t="str">
        <f>VLOOKUP(H119,'[1]Base de Clientes'!$B:$E,4,0)</f>
        <v>BB GESTAO DE RECURSOS DTVM LTDA</v>
      </c>
      <c r="J119" s="5" t="s">
        <v>8</v>
      </c>
      <c r="K119" s="5" t="s">
        <v>116</v>
      </c>
      <c r="L119" s="9">
        <v>4884.6399999999994</v>
      </c>
      <c r="M119" s="11" t="s">
        <v>7</v>
      </c>
      <c r="N119" s="13" t="s">
        <v>17</v>
      </c>
      <c r="O119" s="7">
        <v>1</v>
      </c>
      <c r="P119" s="16" t="s">
        <v>285</v>
      </c>
      <c r="T119" s="7"/>
    </row>
    <row r="120" spans="1:20" x14ac:dyDescent="0.25">
      <c r="A120" s="16" t="str">
        <f t="shared" si="0"/>
        <v>CUSTO DMA -ANDERSON KAM (RED HILL TRADING)- FEVEREIRO 26</v>
      </c>
      <c r="B120" s="18">
        <v>46054</v>
      </c>
      <c r="C120" s="3">
        <v>817391</v>
      </c>
      <c r="D120" s="3" t="s">
        <v>485</v>
      </c>
      <c r="E120" s="14">
        <f t="shared" si="13"/>
        <v>-442.36</v>
      </c>
      <c r="F120" s="3" t="s">
        <v>367</v>
      </c>
      <c r="G120" s="18">
        <v>46054</v>
      </c>
      <c r="H120" s="19">
        <v>82808</v>
      </c>
      <c r="I120" s="3" t="str">
        <f>VLOOKUP(H120,'[1]Base de Clientes'!$B:$E,4,0)</f>
        <v>AGUILA CAPITAL ADM E GESTAO DE CAPITAIS LTDA</v>
      </c>
      <c r="J120" s="5" t="s">
        <v>8</v>
      </c>
      <c r="K120" s="5" t="s">
        <v>117</v>
      </c>
      <c r="L120" s="9">
        <v>442.36</v>
      </c>
      <c r="M120" s="11" t="s">
        <v>7</v>
      </c>
      <c r="N120" s="13" t="s">
        <v>17</v>
      </c>
      <c r="O120" s="7">
        <v>1</v>
      </c>
      <c r="P120" s="16" t="s">
        <v>286</v>
      </c>
      <c r="T120" s="7"/>
    </row>
    <row r="121" spans="1:20" x14ac:dyDescent="0.25">
      <c r="A121" s="16" t="str">
        <f t="shared" si="0"/>
        <v>CUSTO DMA -ANDRE PINHEIRO- FEVEREIRO 26</v>
      </c>
      <c r="B121" s="18">
        <v>46054</v>
      </c>
      <c r="C121" s="3">
        <v>817391</v>
      </c>
      <c r="D121" s="3" t="s">
        <v>401</v>
      </c>
      <c r="E121" s="14">
        <f t="shared" si="13"/>
        <v>-1384.31</v>
      </c>
      <c r="F121" s="3" t="s">
        <v>362</v>
      </c>
      <c r="G121" s="18">
        <v>46054</v>
      </c>
      <c r="H121" s="19">
        <v>79354</v>
      </c>
      <c r="I121" s="3" t="str">
        <f>VLOOKUP(H121,'[1]Base de Clientes'!$B:$E,4,0)</f>
        <v>BANCO BTG PACTUAL S/A</v>
      </c>
      <c r="J121" s="5" t="s">
        <v>8</v>
      </c>
      <c r="K121" s="5" t="s">
        <v>126</v>
      </c>
      <c r="L121" s="9">
        <v>1384.31</v>
      </c>
      <c r="M121" s="11" t="s">
        <v>7</v>
      </c>
      <c r="N121" s="13" t="s">
        <v>17</v>
      </c>
      <c r="O121" s="7">
        <v>1</v>
      </c>
      <c r="P121" s="16" t="s">
        <v>295</v>
      </c>
      <c r="T121" s="7"/>
    </row>
    <row r="122" spans="1:20" x14ac:dyDescent="0.25">
      <c r="A122" s="16" t="str">
        <f t="shared" si="0"/>
        <v>CUSTO DMA -FELIPE LOPES- FEVEREIRO 26</v>
      </c>
      <c r="B122" s="18">
        <v>46054</v>
      </c>
      <c r="C122" s="3">
        <v>817391</v>
      </c>
      <c r="D122" s="3" t="s">
        <v>479</v>
      </c>
      <c r="E122" s="14">
        <f t="shared" si="13"/>
        <v>-1.04</v>
      </c>
      <c r="F122" s="3" t="s">
        <v>362</v>
      </c>
      <c r="G122" s="18">
        <v>46054</v>
      </c>
      <c r="H122" s="19">
        <v>15501</v>
      </c>
      <c r="I122" s="3" t="str">
        <f>VLOOKUP(H122,'[1]Base de Clientes'!$B:$E,4,0)</f>
        <v>BANCO BTG PACTUAL S/A</v>
      </c>
      <c r="J122" s="5" t="s">
        <v>8</v>
      </c>
      <c r="K122" s="5" t="s">
        <v>371</v>
      </c>
      <c r="L122" s="9">
        <v>1.04</v>
      </c>
      <c r="M122" s="11" t="s">
        <v>7</v>
      </c>
      <c r="N122" s="13" t="s">
        <v>17</v>
      </c>
      <c r="O122" s="7">
        <v>1</v>
      </c>
      <c r="P122" s="16" t="s">
        <v>385</v>
      </c>
      <c r="T122" s="7"/>
    </row>
    <row r="123" spans="1:20" x14ac:dyDescent="0.25">
      <c r="A123" s="16" t="str">
        <f t="shared" si="0"/>
        <v>CUSTO DMA -PAULO VASCONCELLOS- FEVEREIRO 26</v>
      </c>
      <c r="B123" s="18">
        <v>46054</v>
      </c>
      <c r="C123" s="3">
        <v>817391</v>
      </c>
      <c r="D123" s="3" t="s">
        <v>474</v>
      </c>
      <c r="E123" s="14">
        <f t="shared" si="13"/>
        <v>-464.83</v>
      </c>
      <c r="F123" s="3" t="s">
        <v>362</v>
      </c>
      <c r="G123" s="18">
        <v>46054</v>
      </c>
      <c r="H123" s="19">
        <v>81693</v>
      </c>
      <c r="I123" s="3" t="str">
        <f>VLOOKUP(H123,'[1]Base de Clientes'!$B:$E,4,0)</f>
        <v>CREDIT SUISSE HEDGING-GRIFFO WEALTH MANAGEMENT S/A</v>
      </c>
      <c r="J123" s="5" t="s">
        <v>8</v>
      </c>
      <c r="K123" s="5" t="s">
        <v>54</v>
      </c>
      <c r="L123" s="9">
        <v>464.83</v>
      </c>
      <c r="M123" s="11" t="s">
        <v>7</v>
      </c>
      <c r="N123" s="13" t="s">
        <v>17</v>
      </c>
      <c r="O123" s="7">
        <v>1</v>
      </c>
      <c r="P123" s="16" t="s">
        <v>225</v>
      </c>
      <c r="T123" s="7"/>
    </row>
    <row r="124" spans="1:20" x14ac:dyDescent="0.25">
      <c r="A124" s="16" t="str">
        <f t="shared" si="0"/>
        <v>CUSTO DMA -BERNARDO SALGADO- FEVEREIRO 26</v>
      </c>
      <c r="B124" s="18">
        <v>46054</v>
      </c>
      <c r="C124" s="3">
        <v>817391</v>
      </c>
      <c r="D124" s="3" t="s">
        <v>472</v>
      </c>
      <c r="E124" s="14">
        <f t="shared" si="13"/>
        <v>-2915.11</v>
      </c>
      <c r="F124" s="3" t="s">
        <v>362</v>
      </c>
      <c r="G124" s="18">
        <v>46054</v>
      </c>
      <c r="H124" s="19">
        <v>80441</v>
      </c>
      <c r="I124" s="3" t="str">
        <f>VLOOKUP(H124,'[1]Base de Clientes'!$B:$E,4,0)</f>
        <v>BANCO J SAFRA S/A</v>
      </c>
      <c r="J124" s="5" t="s">
        <v>8</v>
      </c>
      <c r="K124" s="5" t="s">
        <v>368</v>
      </c>
      <c r="L124" s="9">
        <v>2915.11</v>
      </c>
      <c r="M124" s="11" t="s">
        <v>7</v>
      </c>
      <c r="N124" s="13" t="s">
        <v>17</v>
      </c>
      <c r="O124" s="7">
        <v>1</v>
      </c>
      <c r="P124" s="16" t="s">
        <v>382</v>
      </c>
      <c r="T124" s="7"/>
    </row>
    <row r="125" spans="1:20" x14ac:dyDescent="0.25">
      <c r="A125" s="16" t="str">
        <f t="shared" si="0"/>
        <v>CUSTO DMA -GUILHERME PACHECO- FEVEREIRO 26</v>
      </c>
      <c r="B125" s="18">
        <v>46054</v>
      </c>
      <c r="C125" s="3">
        <v>817391</v>
      </c>
      <c r="D125" s="3" t="s">
        <v>411</v>
      </c>
      <c r="E125" s="14">
        <f t="shared" si="13"/>
        <v>-5200.8900000000003</v>
      </c>
      <c r="F125" s="3" t="s">
        <v>362</v>
      </c>
      <c r="G125" s="18">
        <v>46054</v>
      </c>
      <c r="H125" s="19">
        <v>15781</v>
      </c>
      <c r="I125" s="3" t="str">
        <f>VLOOKUP(H125,'[1]Base de Clientes'!$B:$E,4,0)</f>
        <v>BANCO SAFRA S/A</v>
      </c>
      <c r="J125" s="5" t="s">
        <v>8</v>
      </c>
      <c r="K125" s="5" t="s">
        <v>38</v>
      </c>
      <c r="L125" s="9">
        <v>5200.8900000000003</v>
      </c>
      <c r="M125" s="11" t="s">
        <v>7</v>
      </c>
      <c r="N125" s="13" t="s">
        <v>17</v>
      </c>
      <c r="O125" s="7">
        <v>1</v>
      </c>
      <c r="P125" s="16" t="s">
        <v>209</v>
      </c>
      <c r="T125" s="7"/>
    </row>
    <row r="126" spans="1:20" x14ac:dyDescent="0.25">
      <c r="A126" s="16" t="str">
        <f t="shared" ref="A126" si="31">CONCATENATE(J126,M126,K126,M126,N126)</f>
        <v>CUSTO DMA -ALESSANDRO EZEQUIEL- FEVEREIRO 26</v>
      </c>
      <c r="B126" s="18">
        <v>46054</v>
      </c>
      <c r="C126" s="3">
        <v>817391</v>
      </c>
      <c r="D126" s="3" t="s">
        <v>410</v>
      </c>
      <c r="E126" s="14">
        <f t="shared" si="13"/>
        <v>-5200.8900000000003</v>
      </c>
      <c r="F126" s="3" t="s">
        <v>362</v>
      </c>
      <c r="G126" s="18">
        <v>46054</v>
      </c>
      <c r="H126" s="19">
        <v>14479</v>
      </c>
      <c r="I126" s="3" t="str">
        <f>VLOOKUP(H126,'[1]Base de Clientes'!$B:$E,4,0)</f>
        <v>BANCO SANTANDER (BRASIL) S/A</v>
      </c>
      <c r="J126" s="5" t="s">
        <v>8</v>
      </c>
      <c r="K126" s="5" t="s">
        <v>21</v>
      </c>
      <c r="L126" s="9">
        <v>5200.8900000000003</v>
      </c>
      <c r="M126" s="11" t="s">
        <v>7</v>
      </c>
      <c r="N126" s="13" t="s">
        <v>17</v>
      </c>
      <c r="O126" s="7">
        <v>1</v>
      </c>
      <c r="P126" s="16" t="s">
        <v>192</v>
      </c>
      <c r="T126" s="7"/>
    </row>
    <row r="127" spans="1:20" x14ac:dyDescent="0.25">
      <c r="A127" s="16" t="str">
        <f t="shared" si="0"/>
        <v>CUSTO DMA -BRUNO SCHIAVINATO- FEVEREIRO 26</v>
      </c>
      <c r="B127" s="18">
        <v>46054</v>
      </c>
      <c r="C127" s="3">
        <v>817391</v>
      </c>
      <c r="D127" s="3" t="s">
        <v>411</v>
      </c>
      <c r="E127" s="14">
        <f t="shared" si="13"/>
        <v>-730.25</v>
      </c>
      <c r="F127" s="3" t="s">
        <v>362</v>
      </c>
      <c r="G127" s="18">
        <v>46054</v>
      </c>
      <c r="H127" s="19">
        <v>14479</v>
      </c>
      <c r="I127" s="3" t="str">
        <f>VLOOKUP(H127,'[1]Base de Clientes'!$B:$E,4,0)</f>
        <v>BANCO SANTANDER (BRASIL) S/A</v>
      </c>
      <c r="J127" s="5" t="s">
        <v>8</v>
      </c>
      <c r="K127" s="5" t="s">
        <v>28</v>
      </c>
      <c r="L127" s="9">
        <v>730.25</v>
      </c>
      <c r="M127" s="11" t="s">
        <v>7</v>
      </c>
      <c r="N127" s="13" t="s">
        <v>17</v>
      </c>
      <c r="O127" s="7">
        <v>1</v>
      </c>
      <c r="P127" s="16" t="s">
        <v>199</v>
      </c>
      <c r="T127" s="7"/>
    </row>
    <row r="128" spans="1:20" x14ac:dyDescent="0.25">
      <c r="A128" s="16" t="str">
        <f t="shared" si="0"/>
        <v>CUSTO DMA -MARCELO DREYER- FEVEREIRO 26</v>
      </c>
      <c r="B128" s="18">
        <v>46054</v>
      </c>
      <c r="C128" s="3">
        <v>817391</v>
      </c>
      <c r="D128" s="3" t="s">
        <v>411</v>
      </c>
      <c r="E128" s="14">
        <f t="shared" si="13"/>
        <v>-5200.8900000000003</v>
      </c>
      <c r="F128" s="3" t="s">
        <v>362</v>
      </c>
      <c r="G128" s="18">
        <v>46054</v>
      </c>
      <c r="H128" s="19">
        <v>14479</v>
      </c>
      <c r="I128" s="3" t="str">
        <f>VLOOKUP(H128,'[1]Base de Clientes'!$B:$E,4,0)</f>
        <v>BANCO SANTANDER (BRASIL) S/A</v>
      </c>
      <c r="J128" s="5" t="s">
        <v>8</v>
      </c>
      <c r="K128" s="5" t="s">
        <v>48</v>
      </c>
      <c r="L128" s="9">
        <v>5200.8900000000003</v>
      </c>
      <c r="M128" s="11" t="s">
        <v>7</v>
      </c>
      <c r="N128" s="13" t="s">
        <v>17</v>
      </c>
      <c r="O128" s="7">
        <v>1</v>
      </c>
      <c r="P128" s="16" t="s">
        <v>219</v>
      </c>
      <c r="T128" s="7"/>
    </row>
    <row r="129" spans="1:20" x14ac:dyDescent="0.25">
      <c r="A129" s="16" t="str">
        <f t="shared" ref="A129:A166" si="32">CONCATENATE(J129,M129,K129,M129,N129)</f>
        <v>CUSTO DMA -RAFAEL ANDRADE- FEVEREIRO 26</v>
      </c>
      <c r="B129" s="18">
        <v>46054</v>
      </c>
      <c r="C129" s="3">
        <v>817391</v>
      </c>
      <c r="D129" s="3" t="s">
        <v>411</v>
      </c>
      <c r="E129" s="14">
        <f t="shared" si="13"/>
        <v>-5200.8899999999994</v>
      </c>
      <c r="F129" s="3" t="s">
        <v>362</v>
      </c>
      <c r="G129" s="18">
        <v>46054</v>
      </c>
      <c r="H129" s="19">
        <v>14479</v>
      </c>
      <c r="I129" s="3" t="str">
        <f>VLOOKUP(H129,'[1]Base de Clientes'!$B:$E,4,0)</f>
        <v>BANCO SANTANDER (BRASIL) S/A</v>
      </c>
      <c r="J129" s="5" t="s">
        <v>8</v>
      </c>
      <c r="K129" s="5" t="s">
        <v>55</v>
      </c>
      <c r="L129" s="9">
        <v>5200.8899999999994</v>
      </c>
      <c r="M129" s="11" t="s">
        <v>7</v>
      </c>
      <c r="N129" s="13" t="s">
        <v>17</v>
      </c>
      <c r="O129" s="7">
        <v>1</v>
      </c>
      <c r="P129" s="16" t="s">
        <v>226</v>
      </c>
      <c r="T129" s="7"/>
    </row>
    <row r="130" spans="1:20" x14ac:dyDescent="0.25">
      <c r="A130" s="16" t="str">
        <f t="shared" si="32"/>
        <v>CUSTO DMA -RICARDO R ROSA- FEVEREIRO 26</v>
      </c>
      <c r="B130" s="18">
        <v>46054</v>
      </c>
      <c r="C130" s="3">
        <v>817391</v>
      </c>
      <c r="D130" s="3" t="s">
        <v>411</v>
      </c>
      <c r="E130" s="14">
        <f t="shared" si="13"/>
        <v>-72.44</v>
      </c>
      <c r="F130" s="3" t="s">
        <v>362</v>
      </c>
      <c r="G130" s="18">
        <v>46054</v>
      </c>
      <c r="H130" s="19">
        <v>14479</v>
      </c>
      <c r="I130" s="3" t="str">
        <f>VLOOKUP(H130,'[1]Base de Clientes'!$B:$E,4,0)</f>
        <v>BANCO SANTANDER (BRASIL) S/A</v>
      </c>
      <c r="J130" s="5" t="s">
        <v>8</v>
      </c>
      <c r="K130" s="5" t="s">
        <v>59</v>
      </c>
      <c r="L130" s="9">
        <v>72.44</v>
      </c>
      <c r="M130" s="11" t="s">
        <v>7</v>
      </c>
      <c r="N130" s="13" t="s">
        <v>17</v>
      </c>
      <c r="O130" s="7">
        <v>1</v>
      </c>
      <c r="P130" s="16" t="s">
        <v>230</v>
      </c>
      <c r="T130" s="7"/>
    </row>
    <row r="131" spans="1:20" x14ac:dyDescent="0.25">
      <c r="A131" s="16" t="str">
        <f t="shared" si="32"/>
        <v>CUSTO DMA -KAUE CHINELLATO- FEVEREIRO 26</v>
      </c>
      <c r="B131" s="18">
        <v>46054</v>
      </c>
      <c r="C131" s="3">
        <v>817391</v>
      </c>
      <c r="D131" s="3" t="s">
        <v>407</v>
      </c>
      <c r="E131" s="14">
        <f t="shared" si="13"/>
        <v>-5200.8899999999994</v>
      </c>
      <c r="F131" s="3" t="s">
        <v>362</v>
      </c>
      <c r="G131" s="18">
        <v>46054</v>
      </c>
      <c r="H131" s="19">
        <v>14334</v>
      </c>
      <c r="I131" s="3" t="str">
        <f>VLOOKUP(H131,'[1]Base de Clientes'!$B:$E,4,0)</f>
        <v>BANCO SOCIETE GENERALE BRASIL S/A</v>
      </c>
      <c r="J131" s="5" t="s">
        <v>8</v>
      </c>
      <c r="K131" s="5" t="s">
        <v>42</v>
      </c>
      <c r="L131" s="9">
        <v>5200.8899999999994</v>
      </c>
      <c r="M131" s="11" t="s">
        <v>7</v>
      </c>
      <c r="N131" s="13" t="s">
        <v>17</v>
      </c>
      <c r="O131" s="7">
        <v>1</v>
      </c>
      <c r="P131" s="16" t="s">
        <v>213</v>
      </c>
      <c r="T131" s="7"/>
    </row>
    <row r="132" spans="1:20" x14ac:dyDescent="0.25">
      <c r="A132" s="16" t="str">
        <f t="shared" si="32"/>
        <v>CUSTO DMA -MARCO RIGO- FEVEREIRO 26</v>
      </c>
      <c r="B132" s="18">
        <v>46054</v>
      </c>
      <c r="C132" s="3">
        <v>817391</v>
      </c>
      <c r="D132" s="3" t="s">
        <v>474</v>
      </c>
      <c r="E132" s="14">
        <f t="shared" si="13"/>
        <v>-5200.8900000000003</v>
      </c>
      <c r="F132" s="3" t="s">
        <v>362</v>
      </c>
      <c r="G132" s="18">
        <v>46054</v>
      </c>
      <c r="H132" s="19">
        <v>81643</v>
      </c>
      <c r="I132" s="3" t="str">
        <f>VLOOKUP(H132,'[1]Base de Clientes'!$B:$E,4,0)</f>
        <v>BANCO SUMITOMO MITSUI BRASILEIRO S/A</v>
      </c>
      <c r="J132" s="5" t="s">
        <v>8</v>
      </c>
      <c r="K132" s="5" t="s">
        <v>50</v>
      </c>
      <c r="L132" s="9">
        <v>5200.8900000000003</v>
      </c>
      <c r="M132" s="11" t="s">
        <v>7</v>
      </c>
      <c r="N132" s="13" t="s">
        <v>17</v>
      </c>
      <c r="O132" s="7">
        <v>1</v>
      </c>
      <c r="P132" s="16" t="s">
        <v>221</v>
      </c>
      <c r="T132" s="7"/>
    </row>
    <row r="133" spans="1:20" x14ac:dyDescent="0.25">
      <c r="A133" s="16" t="str">
        <f t="shared" si="32"/>
        <v>CUSTO DMA -RENANN DAVID- FEVEREIRO 26</v>
      </c>
      <c r="B133" s="18">
        <v>46054</v>
      </c>
      <c r="C133" s="3">
        <v>817391</v>
      </c>
      <c r="D133" s="3" t="s">
        <v>474</v>
      </c>
      <c r="E133" s="14">
        <f t="shared" si="13"/>
        <v>-5200.8900000000003</v>
      </c>
      <c r="F133" s="3" t="s">
        <v>362</v>
      </c>
      <c r="G133" s="18">
        <v>46054</v>
      </c>
      <c r="H133" s="19">
        <v>81643</v>
      </c>
      <c r="I133" s="3" t="str">
        <f>VLOOKUP(H133,'[1]Base de Clientes'!$B:$E,4,0)</f>
        <v>BANCO SUMITOMO MITSUI BRASILEIRO S/A</v>
      </c>
      <c r="J133" s="5" t="s">
        <v>8</v>
      </c>
      <c r="K133" s="5" t="s">
        <v>56</v>
      </c>
      <c r="L133" s="9">
        <v>5200.8900000000003</v>
      </c>
      <c r="M133" s="11" t="s">
        <v>7</v>
      </c>
      <c r="N133" s="13" t="s">
        <v>17</v>
      </c>
      <c r="O133" s="7">
        <v>1</v>
      </c>
      <c r="P133" s="16" t="s">
        <v>227</v>
      </c>
      <c r="T133" s="7"/>
    </row>
    <row r="134" spans="1:20" x14ac:dyDescent="0.25">
      <c r="A134" s="16" t="str">
        <f t="shared" si="32"/>
        <v>CUSTO DMA -DANIEL SARAIVA- FEVEREIRO 26</v>
      </c>
      <c r="B134" s="18">
        <v>46054</v>
      </c>
      <c r="C134" s="3">
        <v>817391</v>
      </c>
      <c r="D134" s="3" t="s">
        <v>481</v>
      </c>
      <c r="E134" s="14">
        <f t="shared" si="13"/>
        <v>-2259.52</v>
      </c>
      <c r="F134" s="3" t="s">
        <v>362</v>
      </c>
      <c r="G134" s="18">
        <v>46054</v>
      </c>
      <c r="H134" s="19">
        <v>144310</v>
      </c>
      <c r="I134" s="3" t="str">
        <f>VLOOKUP(H134,'[1]Base de Clientes'!$B:$E,4,0)</f>
        <v>BW GESTAO DE INVESTIMENTOS LTDA</v>
      </c>
      <c r="J134" s="5" t="s">
        <v>8</v>
      </c>
      <c r="K134" s="5" t="s">
        <v>31</v>
      </c>
      <c r="L134" s="9">
        <v>2259.52</v>
      </c>
      <c r="M134" s="11" t="s">
        <v>7</v>
      </c>
      <c r="N134" s="13" t="s">
        <v>17</v>
      </c>
      <c r="O134" s="7">
        <v>1</v>
      </c>
      <c r="P134" s="16" t="s">
        <v>202</v>
      </c>
      <c r="T134" s="7"/>
    </row>
    <row r="135" spans="1:20" x14ac:dyDescent="0.25">
      <c r="A135" s="16" t="str">
        <f t="shared" si="32"/>
        <v>CUSTO DMA -MARCIO ALBUQUERQUE- FEVEREIRO 26</v>
      </c>
      <c r="B135" s="18">
        <v>46054</v>
      </c>
      <c r="C135" s="3">
        <v>817391</v>
      </c>
      <c r="D135" s="3" t="s">
        <v>480</v>
      </c>
      <c r="E135" s="14">
        <f t="shared" si="13"/>
        <v>-5200.8900000000003</v>
      </c>
      <c r="F135" s="3" t="s">
        <v>362</v>
      </c>
      <c r="G135" s="18">
        <v>46054</v>
      </c>
      <c r="H135" s="19">
        <v>80828</v>
      </c>
      <c r="I135" s="3" t="str">
        <f>VLOOKUP(H135,'[1]Base de Clientes'!$B:$E,4,0)</f>
        <v>CAPSTONE PARTNERS GESTAO DE RECURSOS LTDA</v>
      </c>
      <c r="J135" s="5" t="s">
        <v>8</v>
      </c>
      <c r="K135" s="5" t="s">
        <v>46</v>
      </c>
      <c r="L135" s="9">
        <v>5200.8900000000003</v>
      </c>
      <c r="M135" s="11" t="s">
        <v>7</v>
      </c>
      <c r="N135" s="13" t="s">
        <v>17</v>
      </c>
      <c r="O135" s="7">
        <v>1</v>
      </c>
      <c r="P135" s="16" t="s">
        <v>217</v>
      </c>
      <c r="T135" s="7"/>
    </row>
    <row r="136" spans="1:20" x14ac:dyDescent="0.25">
      <c r="A136" s="16" t="str">
        <f t="shared" si="32"/>
        <v>CUSTO DMA -MARIANA NEVES- FEVEREIRO 26</v>
      </c>
      <c r="B136" s="18">
        <v>46054</v>
      </c>
      <c r="C136" s="3">
        <v>817391</v>
      </c>
      <c r="D136" s="3" t="s">
        <v>480</v>
      </c>
      <c r="E136" s="14">
        <f t="shared" si="13"/>
        <v>-52.09</v>
      </c>
      <c r="F136" s="3" t="s">
        <v>362</v>
      </c>
      <c r="G136" s="18">
        <v>46054</v>
      </c>
      <c r="H136" s="19">
        <v>80828</v>
      </c>
      <c r="I136" s="3" t="str">
        <f>VLOOKUP(H136,'[1]Base de Clientes'!$B:$E,4,0)</f>
        <v>CAPSTONE PARTNERS GESTAO DE RECURSOS LTDA</v>
      </c>
      <c r="J136" s="5" t="s">
        <v>8</v>
      </c>
      <c r="K136" s="5" t="s">
        <v>49</v>
      </c>
      <c r="L136" s="9">
        <v>52.09</v>
      </c>
      <c r="M136" s="11" t="s">
        <v>7</v>
      </c>
      <c r="N136" s="13" t="s">
        <v>17</v>
      </c>
      <c r="O136" s="7">
        <v>1</v>
      </c>
      <c r="P136" s="16" t="s">
        <v>220</v>
      </c>
      <c r="T136" s="7"/>
    </row>
    <row r="137" spans="1:20" x14ac:dyDescent="0.25">
      <c r="A137" s="16" t="str">
        <f t="shared" si="32"/>
        <v>CUSTO DMA -KARINE VICENTE- FEVEREIRO 26</v>
      </c>
      <c r="B137" s="18">
        <v>46054</v>
      </c>
      <c r="C137" s="3">
        <v>817391</v>
      </c>
      <c r="D137" s="3" t="s">
        <v>411</v>
      </c>
      <c r="E137" s="14">
        <f t="shared" si="13"/>
        <v>-5200.8899999999994</v>
      </c>
      <c r="F137" s="3" t="s">
        <v>362</v>
      </c>
      <c r="G137" s="18">
        <v>46054</v>
      </c>
      <c r="H137" s="19">
        <v>80961</v>
      </c>
      <c r="I137" s="3" t="str">
        <f>VLOOKUP(H137,'[1]Base de Clientes'!$B:$E,4,0)</f>
        <v>BANCO CITIBANK S/A</v>
      </c>
      <c r="J137" s="5" t="s">
        <v>8</v>
      </c>
      <c r="K137" s="5" t="s">
        <v>43</v>
      </c>
      <c r="L137" s="9">
        <v>5200.8899999999994</v>
      </c>
      <c r="M137" s="11" t="s">
        <v>7</v>
      </c>
      <c r="N137" s="13" t="s">
        <v>17</v>
      </c>
      <c r="O137" s="7">
        <v>1</v>
      </c>
      <c r="P137" s="16" t="s">
        <v>214</v>
      </c>
      <c r="T137" s="7"/>
    </row>
    <row r="138" spans="1:20" x14ac:dyDescent="0.25">
      <c r="A138" s="16" t="str">
        <f t="shared" si="32"/>
        <v>CUSTO DMA -GABRIEL SROUR- FEVEREIRO 26</v>
      </c>
      <c r="B138" s="18">
        <v>46054</v>
      </c>
      <c r="C138" s="3">
        <v>817391</v>
      </c>
      <c r="D138" s="3" t="s">
        <v>411</v>
      </c>
      <c r="E138" s="14">
        <f t="shared" si="13"/>
        <v>-1951.7399999999998</v>
      </c>
      <c r="F138" s="3" t="s">
        <v>362</v>
      </c>
      <c r="G138" s="18">
        <v>46054</v>
      </c>
      <c r="H138" s="19">
        <v>79375</v>
      </c>
      <c r="I138" s="3" t="str">
        <f>VLOOKUP(H138,'[1]Base de Clientes'!$B:$E,4,0)</f>
        <v>GAVEA INVESTIMENTOS LTDA</v>
      </c>
      <c r="J138" s="5" t="s">
        <v>8</v>
      </c>
      <c r="K138" s="5" t="s">
        <v>372</v>
      </c>
      <c r="L138" s="9">
        <v>1951.7399999999998</v>
      </c>
      <c r="M138" s="11" t="s">
        <v>7</v>
      </c>
      <c r="N138" s="13" t="s">
        <v>17</v>
      </c>
      <c r="O138" s="7">
        <v>1</v>
      </c>
      <c r="P138" s="16" t="s">
        <v>386</v>
      </c>
      <c r="T138" s="7"/>
    </row>
    <row r="139" spans="1:20" x14ac:dyDescent="0.25">
      <c r="A139" s="16" t="str">
        <f t="shared" si="32"/>
        <v>CUSTO DMA -LEONARDO MACEDO- FEVEREIRO 26</v>
      </c>
      <c r="B139" s="18">
        <v>46054</v>
      </c>
      <c r="C139" s="3">
        <v>817391</v>
      </c>
      <c r="D139" s="3" t="s">
        <v>403</v>
      </c>
      <c r="E139" s="14">
        <f t="shared" ref="E139:E166" si="33">-L139*O139</f>
        <v>-5200.8900000000003</v>
      </c>
      <c r="F139" s="3" t="s">
        <v>362</v>
      </c>
      <c r="G139" s="18">
        <v>46054</v>
      </c>
      <c r="H139" s="19">
        <v>80883</v>
      </c>
      <c r="I139" s="3" t="str">
        <f>VLOOKUP(H139,'[1]Base de Clientes'!$B:$E,4,0)</f>
        <v>GENOA CAPITAL GESTORA DE RECURSOS LTDA</v>
      </c>
      <c r="J139" s="5" t="s">
        <v>8</v>
      </c>
      <c r="K139" s="5" t="s">
        <v>45</v>
      </c>
      <c r="L139" s="9">
        <v>5200.8900000000003</v>
      </c>
      <c r="M139" s="11" t="s">
        <v>7</v>
      </c>
      <c r="N139" s="13" t="s">
        <v>17</v>
      </c>
      <c r="O139" s="7">
        <v>1</v>
      </c>
      <c r="P139" s="16" t="s">
        <v>216</v>
      </c>
      <c r="T139" s="7"/>
    </row>
    <row r="140" spans="1:20" x14ac:dyDescent="0.25">
      <c r="A140" s="16" t="str">
        <f t="shared" si="32"/>
        <v>CUSTO DMA -MARIO RUOCO- FEVEREIRO 26</v>
      </c>
      <c r="B140" s="18">
        <v>46054</v>
      </c>
      <c r="C140" s="3">
        <v>817391</v>
      </c>
      <c r="D140" s="3" t="s">
        <v>483</v>
      </c>
      <c r="E140" s="14">
        <f t="shared" si="33"/>
        <v>-31.15</v>
      </c>
      <c r="F140" s="3" t="s">
        <v>362</v>
      </c>
      <c r="G140" s="18">
        <v>46054</v>
      </c>
      <c r="H140" s="19">
        <v>81259</v>
      </c>
      <c r="I140" s="3" t="str">
        <f>VLOOKUP(H140,'[1]Base de Clientes'!$B:$E,4,0)</f>
        <v>GOLDMAN SACHS DO BRASIL BANCO MULTIPLO S/A</v>
      </c>
      <c r="J140" s="5" t="s">
        <v>8</v>
      </c>
      <c r="K140" s="5" t="s">
        <v>51</v>
      </c>
      <c r="L140" s="9">
        <v>31.15</v>
      </c>
      <c r="M140" s="11" t="s">
        <v>7</v>
      </c>
      <c r="N140" s="13" t="s">
        <v>17</v>
      </c>
      <c r="O140" s="7">
        <v>1</v>
      </c>
      <c r="P140" s="16" t="s">
        <v>222</v>
      </c>
      <c r="T140" s="7"/>
    </row>
    <row r="141" spans="1:20" x14ac:dyDescent="0.25">
      <c r="A141" s="16" t="str">
        <f t="shared" si="32"/>
        <v>CUSTO DMA -PEDRO CURY- FEVEREIRO 26</v>
      </c>
      <c r="B141" s="18">
        <v>46054</v>
      </c>
      <c r="C141" s="3">
        <v>817391</v>
      </c>
      <c r="D141" s="3" t="s">
        <v>402</v>
      </c>
      <c r="E141" s="14">
        <f t="shared" si="33"/>
        <v>-5200.8899999999994</v>
      </c>
      <c r="F141" s="3" t="s">
        <v>362</v>
      </c>
      <c r="G141" s="18">
        <v>46054</v>
      </c>
      <c r="H141" s="19">
        <v>81348</v>
      </c>
      <c r="I141" s="3" t="str">
        <f>VLOOKUP(H141,'[1]Base de Clientes'!$B:$E,4,0)</f>
        <v>BANCO HSBC S/A</v>
      </c>
      <c r="J141" s="5" t="s">
        <v>8</v>
      </c>
      <c r="K141" s="5" t="s">
        <v>52</v>
      </c>
      <c r="L141" s="9">
        <v>5200.8899999999994</v>
      </c>
      <c r="M141" s="11" t="s">
        <v>7</v>
      </c>
      <c r="N141" s="13" t="s">
        <v>17</v>
      </c>
      <c r="O141" s="7">
        <v>1</v>
      </c>
      <c r="P141" s="16" t="s">
        <v>223</v>
      </c>
      <c r="T141" s="7"/>
    </row>
    <row r="142" spans="1:20" x14ac:dyDescent="0.25">
      <c r="A142" s="16" t="str">
        <f t="shared" si="32"/>
        <v>CUSTO DMA -BEATRIZ BIDUTTE- FEVEREIRO 26</v>
      </c>
      <c r="B142" s="18">
        <v>46054</v>
      </c>
      <c r="C142" s="3">
        <v>817391</v>
      </c>
      <c r="D142" s="3" t="s">
        <v>474</v>
      </c>
      <c r="E142" s="14">
        <f t="shared" si="33"/>
        <v>-5200.8900000000003</v>
      </c>
      <c r="F142" s="3" t="s">
        <v>362</v>
      </c>
      <c r="G142" s="18">
        <v>46054</v>
      </c>
      <c r="H142" s="19">
        <v>79965</v>
      </c>
      <c r="I142" s="3" t="str">
        <f>VLOOKUP(H142,'[1]Base de Clientes'!$B:$E,4,0)</f>
        <v>BANCO HSBC S/A</v>
      </c>
      <c r="J142" s="5" t="s">
        <v>8</v>
      </c>
      <c r="K142" s="5" t="s">
        <v>24</v>
      </c>
      <c r="L142" s="9">
        <v>5200.8900000000003</v>
      </c>
      <c r="M142" s="11" t="s">
        <v>7</v>
      </c>
      <c r="N142" s="13" t="s">
        <v>17</v>
      </c>
      <c r="O142" s="7">
        <v>1</v>
      </c>
      <c r="P142" s="16" t="s">
        <v>195</v>
      </c>
      <c r="T142" s="7"/>
    </row>
    <row r="143" spans="1:20" x14ac:dyDescent="0.25">
      <c r="A143" s="16" t="str">
        <f t="shared" si="32"/>
        <v>CUSTO DMA -GABRIEL NASCIMENTO- FEVEREIRO 26</v>
      </c>
      <c r="B143" s="18">
        <v>46054</v>
      </c>
      <c r="C143" s="3">
        <v>817391</v>
      </c>
      <c r="D143" s="3" t="s">
        <v>474</v>
      </c>
      <c r="E143" s="14">
        <f t="shared" si="33"/>
        <v>-5200.8899999999994</v>
      </c>
      <c r="F143" s="3" t="s">
        <v>362</v>
      </c>
      <c r="G143" s="18">
        <v>46054</v>
      </c>
      <c r="H143" s="19">
        <v>81348</v>
      </c>
      <c r="I143" s="3" t="str">
        <f>VLOOKUP(H143,'[1]Base de Clientes'!$B:$E,4,0)</f>
        <v>BANCO HSBC S/A</v>
      </c>
      <c r="J143" s="5" t="s">
        <v>8</v>
      </c>
      <c r="K143" s="5" t="s">
        <v>37</v>
      </c>
      <c r="L143" s="9">
        <v>5200.8899999999994</v>
      </c>
      <c r="M143" s="11" t="s">
        <v>7</v>
      </c>
      <c r="N143" s="13" t="s">
        <v>17</v>
      </c>
      <c r="O143" s="7">
        <v>1</v>
      </c>
      <c r="P143" s="16" t="s">
        <v>208</v>
      </c>
      <c r="T143" s="7"/>
    </row>
    <row r="144" spans="1:20" x14ac:dyDescent="0.25">
      <c r="A144" s="16" t="str">
        <f t="shared" si="32"/>
        <v>CUSTO DMA -FELIPE GRIGOROVSKI- FEVEREIRO 26</v>
      </c>
      <c r="B144" s="18">
        <v>46054</v>
      </c>
      <c r="C144" s="3">
        <v>817391</v>
      </c>
      <c r="D144" s="3" t="s">
        <v>398</v>
      </c>
      <c r="E144" s="14">
        <f t="shared" si="33"/>
        <v>-68.150000000000006</v>
      </c>
      <c r="F144" s="3" t="s">
        <v>362</v>
      </c>
      <c r="G144" s="18">
        <v>46054</v>
      </c>
      <c r="H144" s="19">
        <v>80958</v>
      </c>
      <c r="I144" s="3" t="str">
        <f>VLOOKUP(H144,'[1]Base de Clientes'!$B:$E,4,0)</f>
        <v>ITAU UNIBANCO ASSET - OPTIMUS</v>
      </c>
      <c r="J144" s="5" t="s">
        <v>8</v>
      </c>
      <c r="K144" s="5" t="s">
        <v>33</v>
      </c>
      <c r="L144" s="9">
        <v>68.150000000000006</v>
      </c>
      <c r="M144" s="11" t="s">
        <v>7</v>
      </c>
      <c r="N144" s="13" t="s">
        <v>17</v>
      </c>
      <c r="O144" s="7">
        <v>1</v>
      </c>
      <c r="P144" s="16" t="s">
        <v>204</v>
      </c>
      <c r="T144" s="7"/>
    </row>
    <row r="145" spans="1:20" x14ac:dyDescent="0.25">
      <c r="A145" s="16" t="str">
        <f t="shared" si="32"/>
        <v>CUSTO DMA -JOAO VITOR LUCENA- FEVEREIRO 26</v>
      </c>
      <c r="B145" s="18">
        <v>46054</v>
      </c>
      <c r="C145" s="3">
        <v>817391</v>
      </c>
      <c r="D145" s="3" t="s">
        <v>474</v>
      </c>
      <c r="E145" s="14">
        <f t="shared" si="33"/>
        <v>-99.16</v>
      </c>
      <c r="F145" s="3" t="s">
        <v>362</v>
      </c>
      <c r="G145" s="18">
        <v>46054</v>
      </c>
      <c r="H145" s="19">
        <v>80958</v>
      </c>
      <c r="I145" s="3" t="str">
        <f>VLOOKUP(H145,'[1]Base de Clientes'!$B:$E,4,0)</f>
        <v>ITAU UNIBANCO ASSET - OPTIMUS</v>
      </c>
      <c r="J145" s="5" t="s">
        <v>8</v>
      </c>
      <c r="K145" s="5" t="s">
        <v>373</v>
      </c>
      <c r="L145" s="9">
        <v>99.16</v>
      </c>
      <c r="M145" s="11" t="s">
        <v>7</v>
      </c>
      <c r="N145" s="13" t="s">
        <v>17</v>
      </c>
      <c r="O145" s="7">
        <v>1</v>
      </c>
      <c r="P145" s="16" t="s">
        <v>387</v>
      </c>
      <c r="T145" s="7"/>
    </row>
    <row r="146" spans="1:20" x14ac:dyDescent="0.25">
      <c r="A146" s="16" t="str">
        <f t="shared" si="32"/>
        <v>CUSTO DMA -PABLO SALGADO- FEVEREIRO 26</v>
      </c>
      <c r="B146" s="18">
        <v>46054</v>
      </c>
      <c r="C146" s="3">
        <v>817391</v>
      </c>
      <c r="D146" s="3" t="s">
        <v>411</v>
      </c>
      <c r="E146" s="14">
        <f t="shared" si="33"/>
        <v>-882.21</v>
      </c>
      <c r="F146" s="3" t="s">
        <v>362</v>
      </c>
      <c r="G146" s="18">
        <v>46054</v>
      </c>
      <c r="H146" s="19">
        <v>80958</v>
      </c>
      <c r="I146" s="3" t="str">
        <f>VLOOKUP(H146,'[1]Base de Clientes'!$B:$E,4,0)</f>
        <v>ITAU UNIBANCO ASSET - OPTIMUS</v>
      </c>
      <c r="J146" s="5" t="s">
        <v>8</v>
      </c>
      <c r="K146" s="5" t="s">
        <v>374</v>
      </c>
      <c r="L146" s="9">
        <v>882.21</v>
      </c>
      <c r="M146" s="11" t="s">
        <v>7</v>
      </c>
      <c r="N146" s="13" t="s">
        <v>17</v>
      </c>
      <c r="O146" s="7">
        <v>1</v>
      </c>
      <c r="P146" s="16" t="s">
        <v>388</v>
      </c>
      <c r="T146" s="7"/>
    </row>
    <row r="147" spans="1:20" x14ac:dyDescent="0.25">
      <c r="A147" s="16" t="str">
        <f t="shared" si="32"/>
        <v>CUSTO DMA -RAFAEL GAMA- FEVEREIRO 26</v>
      </c>
      <c r="B147" s="18">
        <v>46054</v>
      </c>
      <c r="C147" s="3">
        <v>817391</v>
      </c>
      <c r="D147" s="3" t="s">
        <v>411</v>
      </c>
      <c r="E147" s="14">
        <f t="shared" si="33"/>
        <v>-2143.6799999999998</v>
      </c>
      <c r="F147" s="3" t="s">
        <v>362</v>
      </c>
      <c r="G147" s="18">
        <v>46054</v>
      </c>
      <c r="H147" s="19">
        <v>80958</v>
      </c>
      <c r="I147" s="3" t="str">
        <f>VLOOKUP(H147,'[1]Base de Clientes'!$B:$E,4,0)</f>
        <v>ITAU UNIBANCO ASSET - OPTIMUS</v>
      </c>
      <c r="J147" s="5" t="s">
        <v>8</v>
      </c>
      <c r="K147" s="5" t="s">
        <v>375</v>
      </c>
      <c r="L147" s="9">
        <v>2143.6799999999998</v>
      </c>
      <c r="M147" s="11" t="s">
        <v>7</v>
      </c>
      <c r="N147" s="13" t="s">
        <v>17</v>
      </c>
      <c r="O147" s="7">
        <v>1</v>
      </c>
      <c r="P147" s="16" t="s">
        <v>389</v>
      </c>
      <c r="T147" s="7"/>
    </row>
    <row r="148" spans="1:20" x14ac:dyDescent="0.25">
      <c r="A148" s="16" t="str">
        <f t="shared" si="32"/>
        <v>CUSTO DMA -FERNANDO SCARPA- FEVEREIRO 26</v>
      </c>
      <c r="B148" s="18">
        <v>46054</v>
      </c>
      <c r="C148" s="3">
        <v>817391</v>
      </c>
      <c r="D148" s="3" t="s">
        <v>400</v>
      </c>
      <c r="E148" s="14">
        <f t="shared" si="33"/>
        <v>-5200.8900000000003</v>
      </c>
      <c r="F148" s="3" t="s">
        <v>362</v>
      </c>
      <c r="G148" s="18">
        <v>46054</v>
      </c>
      <c r="H148" s="19">
        <v>80375</v>
      </c>
      <c r="I148" s="3" t="str">
        <f>VLOOKUP(H148,'[1]Base de Clientes'!$B:$E,4,0)</f>
        <v>ITAU UNIBANCO S/A</v>
      </c>
      <c r="J148" s="5" t="s">
        <v>8</v>
      </c>
      <c r="K148" s="5" t="s">
        <v>36</v>
      </c>
      <c r="L148" s="9">
        <v>5200.8900000000003</v>
      </c>
      <c r="M148" s="11" t="s">
        <v>7</v>
      </c>
      <c r="N148" s="13" t="s">
        <v>17</v>
      </c>
      <c r="O148" s="7">
        <v>1</v>
      </c>
      <c r="P148" s="16" t="s">
        <v>207</v>
      </c>
      <c r="T148" s="7"/>
    </row>
    <row r="149" spans="1:20" x14ac:dyDescent="0.25">
      <c r="A149" s="16" t="str">
        <f t="shared" si="32"/>
        <v>CUSTO DMA -ALFIO SILVA- FEVEREIRO 26</v>
      </c>
      <c r="B149" s="18">
        <v>46054</v>
      </c>
      <c r="C149" s="3">
        <v>817391</v>
      </c>
      <c r="D149" s="3" t="s">
        <v>401</v>
      </c>
      <c r="E149" s="14">
        <f t="shared" si="33"/>
        <v>-112.89</v>
      </c>
      <c r="F149" s="3" t="s">
        <v>362</v>
      </c>
      <c r="G149" s="18">
        <v>46054</v>
      </c>
      <c r="H149" s="19">
        <v>79806</v>
      </c>
      <c r="I149" s="3" t="str">
        <f>VLOOKUP(H149,'[1]Base de Clientes'!$B:$E,4,0)</f>
        <v>ITAU UNIBANCO S/A</v>
      </c>
      <c r="J149" s="5" t="s">
        <v>8</v>
      </c>
      <c r="K149" s="5" t="s">
        <v>23</v>
      </c>
      <c r="L149" s="9">
        <v>112.89</v>
      </c>
      <c r="M149" s="11" t="s">
        <v>7</v>
      </c>
      <c r="N149" s="13" t="s">
        <v>17</v>
      </c>
      <c r="O149" s="7">
        <v>1</v>
      </c>
      <c r="P149" s="16" t="s">
        <v>194</v>
      </c>
      <c r="T149" s="7"/>
    </row>
    <row r="150" spans="1:20" x14ac:dyDescent="0.25">
      <c r="A150" s="16" t="str">
        <f t="shared" si="32"/>
        <v>CUSTO DMA -BRUNO SERRA FERNANDES- FEVEREIRO 26</v>
      </c>
      <c r="B150" s="18">
        <v>46054</v>
      </c>
      <c r="C150" s="3">
        <v>817391</v>
      </c>
      <c r="D150" s="3" t="s">
        <v>397</v>
      </c>
      <c r="E150" s="14">
        <f t="shared" si="33"/>
        <v>-2413.13</v>
      </c>
      <c r="F150" s="3" t="s">
        <v>362</v>
      </c>
      <c r="G150" s="18">
        <v>46054</v>
      </c>
      <c r="H150" s="19">
        <v>82010</v>
      </c>
      <c r="I150" s="3" t="str">
        <f>VLOOKUP(H150,'[1]Base de Clientes'!$B:$E,4,0)</f>
        <v>ITAU UNIBANCO ASSET - JANEIRO</v>
      </c>
      <c r="J150" s="5" t="s">
        <v>8</v>
      </c>
      <c r="K150" s="5" t="s">
        <v>369</v>
      </c>
      <c r="L150" s="9">
        <v>4826.26</v>
      </c>
      <c r="M150" s="11" t="s">
        <v>7</v>
      </c>
      <c r="N150" s="13" t="s">
        <v>17</v>
      </c>
      <c r="O150" s="7">
        <v>0.5</v>
      </c>
      <c r="P150" s="16" t="s">
        <v>383</v>
      </c>
      <c r="T150" s="7"/>
    </row>
    <row r="151" spans="1:20" x14ac:dyDescent="0.25">
      <c r="A151" s="16" t="str">
        <f t="shared" ref="A151" si="34">CONCATENATE(J151,M151,K151,M151,N151)</f>
        <v>CUSTO DMA -BRUNO SERRA FERNANDES- FEVEREIRO 26</v>
      </c>
      <c r="B151" s="18">
        <v>46054</v>
      </c>
      <c r="C151" s="3">
        <v>817391</v>
      </c>
      <c r="D151" s="3" t="s">
        <v>401</v>
      </c>
      <c r="E151" s="14">
        <f t="shared" ref="E151" si="35">-L151*O151</f>
        <v>-2413.13</v>
      </c>
      <c r="F151" s="3" t="s">
        <v>362</v>
      </c>
      <c r="G151" s="18">
        <v>46054</v>
      </c>
      <c r="H151" s="19">
        <v>82010</v>
      </c>
      <c r="I151" s="3" t="str">
        <f>VLOOKUP(H151,'[1]Base de Clientes'!$B:$E,4,0)</f>
        <v>ITAU UNIBANCO ASSET - JANEIRO</v>
      </c>
      <c r="J151" s="5" t="s">
        <v>8</v>
      </c>
      <c r="K151" s="5" t="s">
        <v>369</v>
      </c>
      <c r="L151" s="9">
        <v>4826.26</v>
      </c>
      <c r="M151" s="11" t="s">
        <v>7</v>
      </c>
      <c r="N151" s="13" t="s">
        <v>17</v>
      </c>
      <c r="O151" s="7">
        <v>0.5</v>
      </c>
      <c r="P151" s="16" t="s">
        <v>383</v>
      </c>
      <c r="T151" s="7"/>
    </row>
    <row r="152" spans="1:20" x14ac:dyDescent="0.25">
      <c r="A152" s="16" t="str">
        <f t="shared" si="32"/>
        <v>CUSTO DMA -DANILO MACARI- FEVEREIRO 26</v>
      </c>
      <c r="B152" s="18">
        <v>46054</v>
      </c>
      <c r="C152" s="3">
        <v>817391</v>
      </c>
      <c r="D152" s="3" t="s">
        <v>403</v>
      </c>
      <c r="E152" s="14">
        <f t="shared" si="33"/>
        <v>-2600.4449999999997</v>
      </c>
      <c r="F152" s="3" t="s">
        <v>362</v>
      </c>
      <c r="G152" s="18">
        <v>46054</v>
      </c>
      <c r="H152" s="19">
        <v>82010</v>
      </c>
      <c r="I152" s="3" t="str">
        <f>VLOOKUP(H152,'[1]Base de Clientes'!$B:$E,4,0)</f>
        <v>ITAU UNIBANCO ASSET - JANEIRO</v>
      </c>
      <c r="J152" s="5" t="s">
        <v>8</v>
      </c>
      <c r="K152" s="5" t="s">
        <v>30</v>
      </c>
      <c r="L152" s="9">
        <v>5200.8899999999994</v>
      </c>
      <c r="M152" s="11" t="s">
        <v>7</v>
      </c>
      <c r="N152" s="13" t="s">
        <v>17</v>
      </c>
      <c r="O152" s="7">
        <v>0.5</v>
      </c>
      <c r="P152" s="16" t="s">
        <v>201</v>
      </c>
      <c r="T152" s="7"/>
    </row>
    <row r="153" spans="1:20" x14ac:dyDescent="0.25">
      <c r="A153" s="16" t="str">
        <f t="shared" ref="A153" si="36">CONCATENATE(J153,M153,K153,M153,N153)</f>
        <v>CUSTO DMA -DANILO MACARI- FEVEREIRO 26</v>
      </c>
      <c r="B153" s="18">
        <v>46054</v>
      </c>
      <c r="C153" s="3">
        <v>817391</v>
      </c>
      <c r="D153" s="3" t="s">
        <v>402</v>
      </c>
      <c r="E153" s="14">
        <f t="shared" ref="E153" si="37">-L153*O153</f>
        <v>-2600.4449999999997</v>
      </c>
      <c r="F153" s="3" t="s">
        <v>362</v>
      </c>
      <c r="G153" s="18">
        <v>46054</v>
      </c>
      <c r="H153" s="19">
        <v>82010</v>
      </c>
      <c r="I153" s="3" t="str">
        <f>VLOOKUP(H153,'[1]Base de Clientes'!$B:$E,4,0)</f>
        <v>ITAU UNIBANCO ASSET - JANEIRO</v>
      </c>
      <c r="J153" s="5" t="s">
        <v>8</v>
      </c>
      <c r="K153" s="5" t="s">
        <v>30</v>
      </c>
      <c r="L153" s="9">
        <v>5200.8899999999994</v>
      </c>
      <c r="M153" s="11" t="s">
        <v>7</v>
      </c>
      <c r="N153" s="13" t="s">
        <v>17</v>
      </c>
      <c r="O153" s="7">
        <v>0.5</v>
      </c>
      <c r="P153" s="16" t="s">
        <v>201</v>
      </c>
      <c r="T153" s="7"/>
    </row>
    <row r="154" spans="1:20" x14ac:dyDescent="0.25">
      <c r="A154" s="16" t="str">
        <f t="shared" ref="A154" si="38">CONCATENATE(J154,M154,K154,M154,N154)</f>
        <v>CUSTO DMA -FILIPE CAVALCANTI- FEVEREIRO 26</v>
      </c>
      <c r="B154" s="18">
        <v>46054</v>
      </c>
      <c r="C154" s="3">
        <v>817391</v>
      </c>
      <c r="D154" s="3" t="s">
        <v>401</v>
      </c>
      <c r="E154" s="14">
        <f t="shared" si="33"/>
        <v>-5200.8900000000003</v>
      </c>
      <c r="F154" s="3" t="s">
        <v>362</v>
      </c>
      <c r="G154" s="18">
        <v>46054</v>
      </c>
      <c r="H154" s="19">
        <v>80227</v>
      </c>
      <c r="I154" s="3" t="str">
        <f>VLOOKUP(H154,'[1]Base de Clientes'!$B:$E,4,0)</f>
        <v>ITAU UNIBANCO S/A</v>
      </c>
      <c r="J154" s="5" t="s">
        <v>8</v>
      </c>
      <c r="K154" s="5" t="s">
        <v>32</v>
      </c>
      <c r="L154" s="9">
        <v>5200.8900000000003</v>
      </c>
      <c r="M154" s="11" t="s">
        <v>7</v>
      </c>
      <c r="N154" s="13" t="s">
        <v>17</v>
      </c>
      <c r="O154" s="7">
        <v>1</v>
      </c>
      <c r="P154" s="16" t="s">
        <v>203</v>
      </c>
      <c r="T154" s="7"/>
    </row>
    <row r="155" spans="1:20" x14ac:dyDescent="0.25">
      <c r="A155" s="16" t="str">
        <f t="shared" si="32"/>
        <v>CUSTO DMA -SAMIR CHELALA- FEVEREIRO 26</v>
      </c>
      <c r="B155" s="18">
        <v>46054</v>
      </c>
      <c r="C155" s="3">
        <v>817391</v>
      </c>
      <c r="D155" s="3" t="s">
        <v>401</v>
      </c>
      <c r="E155" s="14">
        <f t="shared" si="33"/>
        <v>-2849.94</v>
      </c>
      <c r="F155" s="3" t="s">
        <v>362</v>
      </c>
      <c r="G155" s="18">
        <v>46054</v>
      </c>
      <c r="H155" s="19">
        <v>80227</v>
      </c>
      <c r="I155" s="3" t="str">
        <f>VLOOKUP(H155,'[1]Base de Clientes'!$B:$E,4,0)</f>
        <v>ITAU UNIBANCO S/A</v>
      </c>
      <c r="J155" s="5" t="s">
        <v>8</v>
      </c>
      <c r="K155" s="5" t="s">
        <v>61</v>
      </c>
      <c r="L155" s="9">
        <v>2849.94</v>
      </c>
      <c r="M155" s="11" t="s">
        <v>7</v>
      </c>
      <c r="N155" s="13" t="s">
        <v>17</v>
      </c>
      <c r="O155" s="7">
        <v>1</v>
      </c>
      <c r="P155" s="16" t="s">
        <v>232</v>
      </c>
      <c r="T155" s="7"/>
    </row>
    <row r="156" spans="1:20" x14ac:dyDescent="0.25">
      <c r="A156" s="16" t="str">
        <f t="shared" si="32"/>
        <v>CUSTO DMA -JOAO PEDRO LEON- FEVEREIRO 26</v>
      </c>
      <c r="B156" s="18">
        <v>46054</v>
      </c>
      <c r="C156" s="3">
        <v>817391</v>
      </c>
      <c r="D156" s="3" t="s">
        <v>402</v>
      </c>
      <c r="E156" s="14">
        <f t="shared" si="33"/>
        <v>-394.25</v>
      </c>
      <c r="F156" s="3" t="s">
        <v>362</v>
      </c>
      <c r="G156" s="18">
        <v>46054</v>
      </c>
      <c r="H156" s="19">
        <v>79452</v>
      </c>
      <c r="I156" s="3" t="str">
        <f>VLOOKUP(H156,'[1]Base de Clientes'!$B:$E,4,0)</f>
        <v>JGP GESTAO PATRIMONIAL LTDA</v>
      </c>
      <c r="J156" s="5" t="s">
        <v>8</v>
      </c>
      <c r="K156" s="5" t="s">
        <v>41</v>
      </c>
      <c r="L156" s="9">
        <v>394.25</v>
      </c>
      <c r="M156" s="11" t="s">
        <v>7</v>
      </c>
      <c r="N156" s="13" t="s">
        <v>17</v>
      </c>
      <c r="O156" s="7">
        <v>1</v>
      </c>
      <c r="P156" s="16" t="s">
        <v>212</v>
      </c>
      <c r="T156" s="7"/>
    </row>
    <row r="157" spans="1:20" x14ac:dyDescent="0.25">
      <c r="A157" s="16" t="str">
        <f t="shared" si="32"/>
        <v>CUSTO DMA -ANDRE BAUM- FEVEREIRO 26</v>
      </c>
      <c r="B157" s="18">
        <v>46054</v>
      </c>
      <c r="C157" s="3">
        <v>817391</v>
      </c>
      <c r="D157" s="3" t="s">
        <v>399</v>
      </c>
      <c r="E157" s="14">
        <f t="shared" si="33"/>
        <v>-2600.4450000000002</v>
      </c>
      <c r="F157" s="3" t="s">
        <v>362</v>
      </c>
      <c r="G157" s="18">
        <v>46054</v>
      </c>
      <c r="H157" s="19">
        <v>12413</v>
      </c>
      <c r="I157" s="3" t="str">
        <f>VLOOKUP(H157,'[1]Base de Clientes'!$B:$E,4,0)</f>
        <v>KAPITALO INVESTIMENTOS LTDA</v>
      </c>
      <c r="J157" s="5" t="s">
        <v>8</v>
      </c>
      <c r="K157" s="5" t="s">
        <v>20</v>
      </c>
      <c r="L157" s="9">
        <v>5200.8900000000003</v>
      </c>
      <c r="M157" s="11" t="s">
        <v>7</v>
      </c>
      <c r="N157" s="13" t="s">
        <v>17</v>
      </c>
      <c r="O157" s="7">
        <v>0.5</v>
      </c>
      <c r="P157" s="16" t="s">
        <v>191</v>
      </c>
      <c r="T157" s="7"/>
    </row>
    <row r="158" spans="1:20" x14ac:dyDescent="0.25">
      <c r="A158" s="16" t="str">
        <f t="shared" ref="A158" si="39">CONCATENATE(J158,M158,K158,M158,N158)</f>
        <v>CUSTO DMA -ANDRE BAUM- FEVEREIRO 26</v>
      </c>
      <c r="B158" s="18">
        <v>46054</v>
      </c>
      <c r="C158" s="3">
        <v>817391</v>
      </c>
      <c r="D158" s="3" t="s">
        <v>400</v>
      </c>
      <c r="E158" s="14">
        <f t="shared" ref="E158" si="40">-L158*O158</f>
        <v>-2600.4450000000002</v>
      </c>
      <c r="F158" s="3" t="s">
        <v>362</v>
      </c>
      <c r="G158" s="18">
        <v>46054</v>
      </c>
      <c r="H158" s="19">
        <v>12413</v>
      </c>
      <c r="I158" s="3" t="str">
        <f>VLOOKUP(H158,'[1]Base de Clientes'!$B:$E,4,0)</f>
        <v>KAPITALO INVESTIMENTOS LTDA</v>
      </c>
      <c r="J158" s="5" t="s">
        <v>8</v>
      </c>
      <c r="K158" s="5" t="s">
        <v>20</v>
      </c>
      <c r="L158" s="9">
        <v>5200.8900000000003</v>
      </c>
      <c r="M158" s="11" t="s">
        <v>7</v>
      </c>
      <c r="N158" s="13" t="s">
        <v>17</v>
      </c>
      <c r="O158" s="7">
        <v>0.5</v>
      </c>
      <c r="P158" s="16" t="s">
        <v>191</v>
      </c>
      <c r="T158" s="7"/>
    </row>
    <row r="159" spans="1:20" x14ac:dyDescent="0.25">
      <c r="A159" s="16" t="str">
        <f t="shared" si="32"/>
        <v>CUSTO DMA -BERNARDO GOMES- FEVEREIRO 26</v>
      </c>
      <c r="B159" s="18">
        <v>46054</v>
      </c>
      <c r="C159" s="3">
        <v>817391</v>
      </c>
      <c r="D159" s="3" t="s">
        <v>480</v>
      </c>
      <c r="E159" s="14">
        <f t="shared" si="33"/>
        <v>-5200.8900000000003</v>
      </c>
      <c r="F159" s="3" t="s">
        <v>362</v>
      </c>
      <c r="G159" s="18">
        <v>46054</v>
      </c>
      <c r="H159" s="19">
        <v>81936</v>
      </c>
      <c r="I159" s="3" t="str">
        <f>VLOOKUP(H159,'[1]Base de Clientes'!$B:$E,4,0)</f>
        <v>KAPITALO INVESTIMENTOS LTDA</v>
      </c>
      <c r="J159" s="5" t="s">
        <v>8</v>
      </c>
      <c r="K159" s="5" t="s">
        <v>26</v>
      </c>
      <c r="L159" s="9">
        <v>5200.8900000000003</v>
      </c>
      <c r="M159" s="11" t="s">
        <v>7</v>
      </c>
      <c r="N159" s="13" t="s">
        <v>17</v>
      </c>
      <c r="O159" s="7">
        <v>1</v>
      </c>
      <c r="P159" s="16" t="s">
        <v>197</v>
      </c>
      <c r="T159" s="7"/>
    </row>
    <row r="160" spans="1:20" x14ac:dyDescent="0.25">
      <c r="A160" s="16" t="str">
        <f t="shared" si="32"/>
        <v>CUSTO DMA -FELIPE GUERRA- FEVEREIRO 26</v>
      </c>
      <c r="B160" s="18">
        <v>46054</v>
      </c>
      <c r="C160" s="3">
        <v>817391</v>
      </c>
      <c r="D160" s="3" t="s">
        <v>404</v>
      </c>
      <c r="E160" s="14">
        <f t="shared" si="33"/>
        <v>-1224.395</v>
      </c>
      <c r="F160" s="3" t="s">
        <v>362</v>
      </c>
      <c r="G160" s="18">
        <v>46054</v>
      </c>
      <c r="H160" s="19">
        <v>80386</v>
      </c>
      <c r="I160" s="3" t="str">
        <f>VLOOKUP(H160,'[1]Base de Clientes'!$B:$E,4,0)</f>
        <v>LEGACY CAPITAL GESTORA DE RECURSOS LTDA</v>
      </c>
      <c r="J160" s="5" t="s">
        <v>8</v>
      </c>
      <c r="K160" s="5" t="s">
        <v>34</v>
      </c>
      <c r="L160" s="9">
        <v>2448.79</v>
      </c>
      <c r="M160" s="11" t="s">
        <v>7</v>
      </c>
      <c r="N160" s="13" t="s">
        <v>17</v>
      </c>
      <c r="O160" s="7">
        <v>0.5</v>
      </c>
      <c r="P160" s="16" t="s">
        <v>205</v>
      </c>
      <c r="T160" s="7"/>
    </row>
    <row r="161" spans="1:20" x14ac:dyDescent="0.25">
      <c r="A161" s="16" t="str">
        <f t="shared" ref="A161" si="41">CONCATENATE(J161,M161,K161,M161,N161)</f>
        <v>CUSTO DMA -FELIPE GUERRA- FEVEREIRO 26</v>
      </c>
      <c r="B161" s="18">
        <v>46054</v>
      </c>
      <c r="C161" s="3">
        <v>817391</v>
      </c>
      <c r="D161" s="3" t="s">
        <v>405</v>
      </c>
      <c r="E161" s="14">
        <f t="shared" ref="E161" si="42">-L161*O161</f>
        <v>-1224.395</v>
      </c>
      <c r="F161" s="3" t="s">
        <v>362</v>
      </c>
      <c r="G161" s="18">
        <v>46054</v>
      </c>
      <c r="H161" s="19">
        <v>80386</v>
      </c>
      <c r="I161" s="3" t="str">
        <f>VLOOKUP(H161,'[1]Base de Clientes'!$B:$E,4,0)</f>
        <v>LEGACY CAPITAL GESTORA DE RECURSOS LTDA</v>
      </c>
      <c r="J161" s="5" t="s">
        <v>8</v>
      </c>
      <c r="K161" s="5" t="s">
        <v>34</v>
      </c>
      <c r="L161" s="9">
        <v>2448.79</v>
      </c>
      <c r="M161" s="11" t="s">
        <v>7</v>
      </c>
      <c r="N161" s="13" t="s">
        <v>17</v>
      </c>
      <c r="O161" s="7">
        <v>0.5</v>
      </c>
      <c r="P161" s="16" t="s">
        <v>205</v>
      </c>
      <c r="T161" s="7"/>
    </row>
    <row r="162" spans="1:20" x14ac:dyDescent="0.25">
      <c r="A162" s="16" t="str">
        <f t="shared" si="32"/>
        <v>CUSTO DMA -MATEUS CRUZ- FEVEREIRO 26</v>
      </c>
      <c r="B162" s="18">
        <v>46054</v>
      </c>
      <c r="C162" s="3">
        <v>817391</v>
      </c>
      <c r="D162" s="3" t="s">
        <v>482</v>
      </c>
      <c r="E162" s="14">
        <f t="shared" si="33"/>
        <v>-2628.3</v>
      </c>
      <c r="F162" s="3" t="s">
        <v>362</v>
      </c>
      <c r="G162" s="18">
        <v>46054</v>
      </c>
      <c r="H162" s="19">
        <v>18658</v>
      </c>
      <c r="I162" s="3" t="str">
        <f>VLOOKUP(H162,'[1]Base de Clientes'!$B:$E,4,0)</f>
        <v>SCOTIABANK BRASIL S/A</v>
      </c>
      <c r="J162" s="5" t="s">
        <v>8</v>
      </c>
      <c r="K162" s="5" t="s">
        <v>47</v>
      </c>
      <c r="L162" s="9">
        <v>2628.3</v>
      </c>
      <c r="M162" s="11" t="s">
        <v>7</v>
      </c>
      <c r="N162" s="13" t="s">
        <v>17</v>
      </c>
      <c r="O162" s="7">
        <v>1</v>
      </c>
      <c r="P162" s="16" t="s">
        <v>218</v>
      </c>
      <c r="T162" s="7"/>
    </row>
    <row r="163" spans="1:20" x14ac:dyDescent="0.25">
      <c r="A163" s="16" t="str">
        <f t="shared" si="32"/>
        <v>CUSTO DMA -CAIO DANTAS- FEVEREIRO 26</v>
      </c>
      <c r="B163" s="18">
        <v>46054</v>
      </c>
      <c r="C163" s="3">
        <v>817391</v>
      </c>
      <c r="D163" s="3" t="s">
        <v>402</v>
      </c>
      <c r="E163" s="14">
        <f t="shared" si="33"/>
        <v>-509.53999999999996</v>
      </c>
      <c r="F163" s="3" t="s">
        <v>362</v>
      </c>
      <c r="G163" s="18">
        <v>46054</v>
      </c>
      <c r="H163" s="19">
        <v>79931</v>
      </c>
      <c r="I163" s="3" t="str">
        <f>VLOOKUP(H163,'[1]Base de Clientes'!$B:$E,4,0)</f>
        <v>SPX GESTAO DE RECURSOS LTDA</v>
      </c>
      <c r="J163" s="5" t="s">
        <v>8</v>
      </c>
      <c r="K163" s="5" t="s">
        <v>370</v>
      </c>
      <c r="L163" s="9">
        <v>509.53999999999996</v>
      </c>
      <c r="M163" s="11" t="s">
        <v>7</v>
      </c>
      <c r="N163" s="13" t="s">
        <v>17</v>
      </c>
      <c r="O163" s="7">
        <v>1</v>
      </c>
      <c r="P163" s="16" t="s">
        <v>384</v>
      </c>
      <c r="T163" s="7"/>
    </row>
    <row r="164" spans="1:20" x14ac:dyDescent="0.25">
      <c r="A164" s="16" t="str">
        <f t="shared" si="32"/>
        <v>CUSTO DMA -LUIZ CALOBA- FEVEREIRO 26</v>
      </c>
      <c r="B164" s="18">
        <v>46054</v>
      </c>
      <c r="C164" s="3">
        <v>817391</v>
      </c>
      <c r="D164" s="3" t="s">
        <v>402</v>
      </c>
      <c r="E164" s="14">
        <f t="shared" si="33"/>
        <v>-946</v>
      </c>
      <c r="F164" s="3" t="s">
        <v>362</v>
      </c>
      <c r="G164" s="18">
        <v>46054</v>
      </c>
      <c r="H164" s="19">
        <v>79931</v>
      </c>
      <c r="I164" s="3" t="str">
        <f>VLOOKUP(H164,'[1]Base de Clientes'!$B:$E,4,0)</f>
        <v>SPX GESTAO DE RECURSOS LTDA</v>
      </c>
      <c r="J164" s="5" t="s">
        <v>8</v>
      </c>
      <c r="K164" s="5" t="s">
        <v>44</v>
      </c>
      <c r="L164" s="9">
        <v>946</v>
      </c>
      <c r="M164" s="11" t="s">
        <v>7</v>
      </c>
      <c r="N164" s="13" t="s">
        <v>17</v>
      </c>
      <c r="O164" s="7">
        <v>1</v>
      </c>
      <c r="P164" s="16" t="s">
        <v>215</v>
      </c>
      <c r="T164" s="7"/>
    </row>
    <row r="165" spans="1:20" x14ac:dyDescent="0.25">
      <c r="A165" s="16" t="str">
        <f t="shared" si="32"/>
        <v>CUSTO DMA -RAPHAELA SPILBERG- FEVEREIRO 26</v>
      </c>
      <c r="B165" s="18">
        <v>46054</v>
      </c>
      <c r="C165" s="3">
        <v>817391</v>
      </c>
      <c r="D165" s="3" t="s">
        <v>400</v>
      </c>
      <c r="E165" s="14">
        <f t="shared" si="33"/>
        <v>-5200.8900000000003</v>
      </c>
      <c r="F165" s="3" t="s">
        <v>362</v>
      </c>
      <c r="G165" s="18">
        <v>46054</v>
      </c>
      <c r="H165" s="19">
        <v>80359</v>
      </c>
      <c r="I165" s="3" t="str">
        <f>VLOOKUP(H165,'[1]Base de Clientes'!$B:$E,4,0)</f>
        <v>VINLAND CAPITAL MANAGEMENT GESTORA DE RECURSOS LTDA</v>
      </c>
      <c r="J165" s="5" t="s">
        <v>8</v>
      </c>
      <c r="K165" s="5" t="s">
        <v>60</v>
      </c>
      <c r="L165" s="9">
        <v>5200.8900000000003</v>
      </c>
      <c r="M165" s="11" t="s">
        <v>7</v>
      </c>
      <c r="N165" s="13" t="s">
        <v>17</v>
      </c>
      <c r="O165" s="7">
        <v>1</v>
      </c>
      <c r="P165" s="16" t="s">
        <v>231</v>
      </c>
      <c r="T165" s="7"/>
    </row>
    <row r="166" spans="1:20" x14ac:dyDescent="0.25">
      <c r="A166" s="16" t="str">
        <f t="shared" si="32"/>
        <v>CUSTO DMA -BRUNO MARQUES- FEVEREIRO 26</v>
      </c>
      <c r="B166" s="18">
        <v>46054</v>
      </c>
      <c r="C166" s="3">
        <v>817391</v>
      </c>
      <c r="D166" s="3" t="s">
        <v>411</v>
      </c>
      <c r="E166" s="14">
        <f t="shared" si="33"/>
        <v>-5200.8899999999994</v>
      </c>
      <c r="F166" s="3" t="s">
        <v>362</v>
      </c>
      <c r="G166" s="18">
        <v>46054</v>
      </c>
      <c r="H166" s="19">
        <v>80648</v>
      </c>
      <c r="I166" s="3" t="str">
        <f>VLOOKUP(H166,'[1]Base de Clientes'!$B:$E,4,0)</f>
        <v>XP GESTAO DE RECURSOS LTDA</v>
      </c>
      <c r="J166" s="5" t="s">
        <v>8</v>
      </c>
      <c r="K166" s="5" t="s">
        <v>27</v>
      </c>
      <c r="L166" s="9">
        <v>5200.8899999999994</v>
      </c>
      <c r="M166" s="11" t="s">
        <v>7</v>
      </c>
      <c r="N166" s="13" t="s">
        <v>17</v>
      </c>
      <c r="O166" s="7">
        <v>1</v>
      </c>
      <c r="P166" s="16" t="s">
        <v>198</v>
      </c>
      <c r="T166" s="7"/>
    </row>
    <row r="167" spans="1:20" x14ac:dyDescent="0.25">
      <c r="A167" s="16" t="str">
        <f t="shared" ref="A167:A193" si="43">CONCATENATE(J167,M167,K167,M167,N167)</f>
        <v>CUSTO DMA -ALEXANDRE NEVES- FEVEREIRO 26</v>
      </c>
      <c r="B167" s="18">
        <v>46054</v>
      </c>
      <c r="C167" s="3">
        <v>817391</v>
      </c>
      <c r="D167" s="3" t="s">
        <v>400</v>
      </c>
      <c r="E167" s="14">
        <f t="shared" ref="E167:E193" si="44">-L167*O167</f>
        <v>-90.637633000000051</v>
      </c>
      <c r="F167" s="3" t="s">
        <v>363</v>
      </c>
      <c r="G167" s="18">
        <v>46054</v>
      </c>
      <c r="H167" s="19">
        <v>95005</v>
      </c>
      <c r="I167" s="3" t="str">
        <f>VLOOKUP(H167,'[1]Base de Clientes'!$B:$E,4,0)</f>
        <v>BANCO BNP PARIBAS BRASIL S/A</v>
      </c>
      <c r="J167" s="5" t="s">
        <v>8</v>
      </c>
      <c r="K167" s="5" t="s">
        <v>64</v>
      </c>
      <c r="L167" s="9">
        <v>90.637633000000051</v>
      </c>
      <c r="M167" s="11" t="s">
        <v>7</v>
      </c>
      <c r="N167" s="13" t="s">
        <v>17</v>
      </c>
      <c r="O167" s="7">
        <v>1</v>
      </c>
      <c r="P167" s="16" t="s">
        <v>235</v>
      </c>
      <c r="T167" s="7"/>
    </row>
    <row r="168" spans="1:20" x14ac:dyDescent="0.25">
      <c r="A168" s="16" t="str">
        <f t="shared" si="43"/>
        <v>CUSTO DMA -GABRIEL BAPTISTELA- FEVEREIRO 26</v>
      </c>
      <c r="B168" s="18">
        <v>46054</v>
      </c>
      <c r="C168" s="3">
        <v>817391</v>
      </c>
      <c r="D168" s="3" t="s">
        <v>475</v>
      </c>
      <c r="E168" s="14">
        <f t="shared" si="44"/>
        <v>-4799.6233387104758</v>
      </c>
      <c r="F168" s="3" t="s">
        <v>363</v>
      </c>
      <c r="G168" s="18">
        <v>46054</v>
      </c>
      <c r="H168" s="19">
        <v>95005</v>
      </c>
      <c r="I168" s="3" t="str">
        <f>VLOOKUP(H168,'[1]Base de Clientes'!$B:$E,4,0)</f>
        <v>BANCO BNP PARIBAS BRASIL S/A</v>
      </c>
      <c r="J168" s="5" t="s">
        <v>8</v>
      </c>
      <c r="K168" s="5" t="s">
        <v>71</v>
      </c>
      <c r="L168" s="9">
        <v>4799.6233387104758</v>
      </c>
      <c r="M168" s="11" t="s">
        <v>7</v>
      </c>
      <c r="N168" s="13" t="s">
        <v>17</v>
      </c>
      <c r="O168" s="7">
        <v>1</v>
      </c>
      <c r="P168" s="16" t="s">
        <v>242</v>
      </c>
      <c r="T168" s="7"/>
    </row>
    <row r="169" spans="1:20" x14ac:dyDescent="0.25">
      <c r="A169" s="16" t="str">
        <f t="shared" si="43"/>
        <v>CUSTO DMA -ISABELLA ATAIDE- FEVEREIRO 26</v>
      </c>
      <c r="B169" s="18">
        <v>46054</v>
      </c>
      <c r="C169" s="3">
        <v>817391</v>
      </c>
      <c r="D169" s="3" t="s">
        <v>478</v>
      </c>
      <c r="E169" s="14">
        <f t="shared" si="44"/>
        <v>-271.96519999999992</v>
      </c>
      <c r="F169" s="3" t="s">
        <v>363</v>
      </c>
      <c r="G169" s="18">
        <v>46054</v>
      </c>
      <c r="H169" s="19">
        <v>95005</v>
      </c>
      <c r="I169" s="3" t="str">
        <f>VLOOKUP(H169,'[1]Base de Clientes'!$B:$E,4,0)</f>
        <v>BANCO BNP PARIBAS BRASIL S/A</v>
      </c>
      <c r="J169" s="5" t="s">
        <v>8</v>
      </c>
      <c r="K169" s="5" t="s">
        <v>72</v>
      </c>
      <c r="L169" s="9">
        <v>271.96519999999992</v>
      </c>
      <c r="M169" s="11" t="s">
        <v>7</v>
      </c>
      <c r="N169" s="13" t="s">
        <v>17</v>
      </c>
      <c r="O169" s="7">
        <v>1</v>
      </c>
      <c r="P169" s="16" t="s">
        <v>243</v>
      </c>
      <c r="T169" s="7"/>
    </row>
    <row r="170" spans="1:20" x14ac:dyDescent="0.25">
      <c r="A170" s="16" t="str">
        <f t="shared" si="43"/>
        <v>CUSTO DMA -PAULO GUEDES- FEVEREIRO 26</v>
      </c>
      <c r="B170" s="18">
        <v>46054</v>
      </c>
      <c r="C170" s="3">
        <v>817391</v>
      </c>
      <c r="D170" s="3" t="s">
        <v>478</v>
      </c>
      <c r="E170" s="14">
        <f t="shared" si="44"/>
        <v>-9551.9868514867158</v>
      </c>
      <c r="F170" s="3" t="s">
        <v>363</v>
      </c>
      <c r="G170" s="18">
        <v>46054</v>
      </c>
      <c r="H170" s="19">
        <v>95005</v>
      </c>
      <c r="I170" s="3" t="str">
        <f>VLOOKUP(H170,'[1]Base de Clientes'!$B:$E,4,0)</f>
        <v>BANCO BNP PARIBAS BRASIL S/A</v>
      </c>
      <c r="J170" s="5" t="s">
        <v>8</v>
      </c>
      <c r="K170" s="5" t="s">
        <v>75</v>
      </c>
      <c r="L170" s="9">
        <v>9551.9868514867158</v>
      </c>
      <c r="M170" s="11" t="s">
        <v>7</v>
      </c>
      <c r="N170" s="13" t="s">
        <v>17</v>
      </c>
      <c r="O170" s="7">
        <v>1</v>
      </c>
      <c r="P170" s="16" t="s">
        <v>246</v>
      </c>
      <c r="T170" s="7"/>
    </row>
    <row r="171" spans="1:20" x14ac:dyDescent="0.25">
      <c r="A171" s="16" t="str">
        <f t="shared" si="43"/>
        <v>CUSTO DMA -RAFAEL HESSE- FEVEREIRO 26</v>
      </c>
      <c r="B171" s="18">
        <v>46054</v>
      </c>
      <c r="C171" s="3">
        <v>817391</v>
      </c>
      <c r="D171" s="3" t="s">
        <v>475</v>
      </c>
      <c r="E171" s="14">
        <f t="shared" si="44"/>
        <v>-2040.549015386099</v>
      </c>
      <c r="F171" s="3" t="s">
        <v>363</v>
      </c>
      <c r="G171" s="18">
        <v>46054</v>
      </c>
      <c r="H171" s="19">
        <v>95005</v>
      </c>
      <c r="I171" s="3" t="str">
        <f>VLOOKUP(H171,'[1]Base de Clientes'!$B:$E,4,0)</f>
        <v>BANCO BNP PARIBAS BRASIL S/A</v>
      </c>
      <c r="J171" s="5" t="s">
        <v>8</v>
      </c>
      <c r="K171" s="5" t="s">
        <v>498</v>
      </c>
      <c r="L171" s="9">
        <v>2040.549015386099</v>
      </c>
      <c r="M171" s="11" t="s">
        <v>7</v>
      </c>
      <c r="N171" s="13" t="s">
        <v>17</v>
      </c>
      <c r="O171" s="7">
        <v>1</v>
      </c>
      <c r="P171" s="16" t="s">
        <v>508</v>
      </c>
      <c r="T171" s="7"/>
    </row>
    <row r="172" spans="1:20" x14ac:dyDescent="0.25">
      <c r="A172" s="16" t="str">
        <f t="shared" si="43"/>
        <v>CUSTO DMA -RAFAEL MADI- FEVEREIRO 26</v>
      </c>
      <c r="B172" s="18">
        <v>46054</v>
      </c>
      <c r="C172" s="3">
        <v>817391</v>
      </c>
      <c r="D172" s="3" t="s">
        <v>478</v>
      </c>
      <c r="E172" s="14">
        <f t="shared" si="44"/>
        <v>-4992.9372660383451</v>
      </c>
      <c r="F172" s="3" t="s">
        <v>363</v>
      </c>
      <c r="G172" s="18">
        <v>46054</v>
      </c>
      <c r="H172" s="19">
        <v>95005</v>
      </c>
      <c r="I172" s="3" t="str">
        <f>VLOOKUP(H172,'[1]Base de Clientes'!$B:$E,4,0)</f>
        <v>BANCO BNP PARIBAS BRASIL S/A</v>
      </c>
      <c r="J172" s="5" t="s">
        <v>8</v>
      </c>
      <c r="K172" s="5" t="s">
        <v>79</v>
      </c>
      <c r="L172" s="9">
        <v>4992.9372660383451</v>
      </c>
      <c r="M172" s="11" t="s">
        <v>7</v>
      </c>
      <c r="N172" s="13" t="s">
        <v>17</v>
      </c>
      <c r="O172" s="7">
        <v>1</v>
      </c>
      <c r="P172" s="16" t="s">
        <v>249</v>
      </c>
      <c r="T172" s="7"/>
    </row>
    <row r="173" spans="1:20" x14ac:dyDescent="0.25">
      <c r="A173" s="16" t="str">
        <f t="shared" si="43"/>
        <v>CUSTO DMA -CAETANO RUFINO RAMOS- FEVEREIRO 26</v>
      </c>
      <c r="B173" s="18">
        <v>46054</v>
      </c>
      <c r="C173" s="3">
        <v>817391</v>
      </c>
      <c r="D173" s="3" t="s">
        <v>402</v>
      </c>
      <c r="E173" s="14">
        <f t="shared" si="44"/>
        <v>-1489.8717863860979</v>
      </c>
      <c r="F173" s="3" t="s">
        <v>363</v>
      </c>
      <c r="G173" s="18">
        <v>46054</v>
      </c>
      <c r="H173" s="19">
        <v>80026</v>
      </c>
      <c r="I173" s="3" t="str">
        <f>VLOOKUP(H173,'[1]Base de Clientes'!$B:$E,4,0)</f>
        <v>BARCLAYS BANK PLC</v>
      </c>
      <c r="J173" s="5" t="s">
        <v>8</v>
      </c>
      <c r="K173" s="5" t="s">
        <v>66</v>
      </c>
      <c r="L173" s="9">
        <v>1489.8717863860979</v>
      </c>
      <c r="M173" s="11" t="s">
        <v>7</v>
      </c>
      <c r="N173" s="13" t="s">
        <v>17</v>
      </c>
      <c r="O173" s="7">
        <v>1</v>
      </c>
      <c r="P173" s="16" t="s">
        <v>237</v>
      </c>
      <c r="T173" s="7"/>
    </row>
    <row r="174" spans="1:20" x14ac:dyDescent="0.25">
      <c r="A174" s="16" t="str">
        <f t="shared" si="43"/>
        <v>CUSTO DMA -VICENTE MELLO- FEVEREIRO 26</v>
      </c>
      <c r="B174" s="18">
        <v>46054</v>
      </c>
      <c r="C174" s="3">
        <v>817391</v>
      </c>
      <c r="D174" s="3" t="s">
        <v>402</v>
      </c>
      <c r="E174" s="14">
        <f t="shared" si="44"/>
        <v>-9252.7014195059455</v>
      </c>
      <c r="F174" s="3" t="s">
        <v>363</v>
      </c>
      <c r="G174" s="18">
        <v>46054</v>
      </c>
      <c r="H174" s="19">
        <v>80026</v>
      </c>
      <c r="I174" s="3" t="str">
        <f>VLOOKUP(H174,'[1]Base de Clientes'!$B:$E,4,0)</f>
        <v>BARCLAYS BANK PLC</v>
      </c>
      <c r="J174" s="5" t="s">
        <v>8</v>
      </c>
      <c r="K174" s="5" t="s">
        <v>82</v>
      </c>
      <c r="L174" s="9">
        <v>9252.7014195059455</v>
      </c>
      <c r="M174" s="11" t="s">
        <v>7</v>
      </c>
      <c r="N174" s="13" t="s">
        <v>17</v>
      </c>
      <c r="O174" s="7">
        <v>1</v>
      </c>
      <c r="P174" s="16" t="s">
        <v>252</v>
      </c>
      <c r="T174" s="7"/>
    </row>
    <row r="175" spans="1:20" x14ac:dyDescent="0.25">
      <c r="A175" s="16" t="str">
        <f t="shared" si="43"/>
        <v>CUSTO DMA -ELIAS RAYES- FEVEREIRO 26</v>
      </c>
      <c r="B175" s="18">
        <v>46054</v>
      </c>
      <c r="C175" s="3">
        <v>817391</v>
      </c>
      <c r="D175" s="3" t="s">
        <v>475</v>
      </c>
      <c r="E175" s="14">
        <f t="shared" si="44"/>
        <v>-2040.549015386099</v>
      </c>
      <c r="F175" s="3" t="s">
        <v>363</v>
      </c>
      <c r="G175" s="18">
        <v>46054</v>
      </c>
      <c r="H175" s="19">
        <v>95005</v>
      </c>
      <c r="I175" s="3" t="str">
        <f>VLOOKUP(H175,'[1]Base de Clientes'!$B:$E,4,0)</f>
        <v>BANCO BNP PARIBAS BRASIL S/A</v>
      </c>
      <c r="J175" s="5" t="s">
        <v>8</v>
      </c>
      <c r="K175" s="5" t="s">
        <v>68</v>
      </c>
      <c r="L175" s="9">
        <v>2040.549015386099</v>
      </c>
      <c r="M175" s="11" t="s">
        <v>7</v>
      </c>
      <c r="N175" s="13" t="s">
        <v>17</v>
      </c>
      <c r="O175" s="7">
        <v>1</v>
      </c>
      <c r="P175" s="16" t="s">
        <v>239</v>
      </c>
      <c r="T175" s="7"/>
    </row>
    <row r="176" spans="1:20" x14ac:dyDescent="0.25">
      <c r="A176" s="16" t="str">
        <f t="shared" si="43"/>
        <v>CUSTO DMA -ALISSON COSTA ARRAIS- FEVEREIRO 26</v>
      </c>
      <c r="B176" s="18">
        <v>46054</v>
      </c>
      <c r="C176" s="3">
        <v>817391</v>
      </c>
      <c r="D176" s="3" t="s">
        <v>474</v>
      </c>
      <c r="E176" s="14">
        <f t="shared" si="44"/>
        <v>-1426.901382386098</v>
      </c>
      <c r="F176" s="3" t="s">
        <v>363</v>
      </c>
      <c r="G176" s="18">
        <v>46054</v>
      </c>
      <c r="H176" s="19">
        <v>144310</v>
      </c>
      <c r="I176" s="3" t="str">
        <f>VLOOKUP(H176,'[1]Base de Clientes'!$B:$E,4,0)</f>
        <v>BW GESTAO DE INVESTIMENTOS LTDA</v>
      </c>
      <c r="J176" s="5" t="s">
        <v>8</v>
      </c>
      <c r="K176" s="5" t="s">
        <v>63</v>
      </c>
      <c r="L176" s="9">
        <v>1426.901382386098</v>
      </c>
      <c r="M176" s="11" t="s">
        <v>7</v>
      </c>
      <c r="N176" s="13" t="s">
        <v>17</v>
      </c>
      <c r="O176" s="7">
        <v>1</v>
      </c>
      <c r="P176" s="16" t="s">
        <v>234</v>
      </c>
      <c r="T176" s="7"/>
    </row>
    <row r="177" spans="1:20" x14ac:dyDescent="0.25">
      <c r="A177" s="16" t="str">
        <f t="shared" si="43"/>
        <v>CUSTO DMA -FELIPE UNGER- FEVEREIRO 26</v>
      </c>
      <c r="B177" s="18">
        <v>46054</v>
      </c>
      <c r="C177" s="3">
        <v>817391</v>
      </c>
      <c r="D177" s="3" t="s">
        <v>405</v>
      </c>
      <c r="E177" s="14">
        <f t="shared" si="44"/>
        <v>-9497.5938114867149</v>
      </c>
      <c r="F177" s="3" t="s">
        <v>363</v>
      </c>
      <c r="G177" s="18">
        <v>46054</v>
      </c>
      <c r="H177" s="19">
        <v>144310</v>
      </c>
      <c r="I177" s="3" t="str">
        <f>VLOOKUP(H177,'[1]Base de Clientes'!$B:$E,4,0)</f>
        <v>BW GESTAO DE INVESTIMENTOS LTDA</v>
      </c>
      <c r="J177" s="5" t="s">
        <v>8</v>
      </c>
      <c r="K177" s="5" t="s">
        <v>70</v>
      </c>
      <c r="L177" s="9">
        <v>9497.5938114867149</v>
      </c>
      <c r="M177" s="11" t="s">
        <v>7</v>
      </c>
      <c r="N177" s="13" t="s">
        <v>17</v>
      </c>
      <c r="O177" s="7">
        <v>1</v>
      </c>
      <c r="P177" s="16" t="s">
        <v>241</v>
      </c>
      <c r="T177" s="7"/>
    </row>
    <row r="178" spans="1:20" x14ac:dyDescent="0.25">
      <c r="A178" s="16" t="str">
        <f t="shared" si="43"/>
        <v>CUSTO DMA -RUY BALIEIRO- FEVEREIRO 26</v>
      </c>
      <c r="B178" s="18">
        <v>46054</v>
      </c>
      <c r="C178" s="3">
        <v>817391</v>
      </c>
      <c r="D178" s="3" t="s">
        <v>405</v>
      </c>
      <c r="E178" s="14">
        <f t="shared" si="44"/>
        <v>-9497.5938114867149</v>
      </c>
      <c r="F178" s="3" t="s">
        <v>363</v>
      </c>
      <c r="G178" s="18">
        <v>46054</v>
      </c>
      <c r="H178" s="19">
        <v>144310</v>
      </c>
      <c r="I178" s="3" t="str">
        <f>VLOOKUP(H178,'[1]Base de Clientes'!$B:$E,4,0)</f>
        <v>BW GESTAO DE INVESTIMENTOS LTDA</v>
      </c>
      <c r="J178" s="5" t="s">
        <v>8</v>
      </c>
      <c r="K178" s="5" t="s">
        <v>76</v>
      </c>
      <c r="L178" s="9">
        <v>9497.5938114867149</v>
      </c>
      <c r="M178" s="11" t="s">
        <v>7</v>
      </c>
      <c r="N178" s="13" t="s">
        <v>17</v>
      </c>
      <c r="O178" s="7">
        <v>1</v>
      </c>
      <c r="P178" s="16" t="s">
        <v>247</v>
      </c>
      <c r="T178" s="7"/>
    </row>
    <row r="179" spans="1:20" x14ac:dyDescent="0.25">
      <c r="A179" s="16" t="str">
        <f t="shared" si="43"/>
        <v>CUSTO DMA -DANIEL POMPIANI- FEVEREIRO 26</v>
      </c>
      <c r="B179" s="18">
        <v>46054</v>
      </c>
      <c r="C179" s="3">
        <v>817391</v>
      </c>
      <c r="D179" s="3" t="s">
        <v>411</v>
      </c>
      <c r="E179" s="14">
        <f t="shared" si="44"/>
        <v>-2226.1652643860989</v>
      </c>
      <c r="F179" s="3" t="s">
        <v>363</v>
      </c>
      <c r="G179" s="18">
        <v>46054</v>
      </c>
      <c r="H179" s="19">
        <v>80005</v>
      </c>
      <c r="I179" s="3" t="str">
        <f>VLOOKUP(H179,'[1]Base de Clientes'!$B:$E,4,0)</f>
        <v>DEUTSCHE BANK S/A</v>
      </c>
      <c r="J179" s="5" t="s">
        <v>8</v>
      </c>
      <c r="K179" s="5" t="s">
        <v>499</v>
      </c>
      <c r="L179" s="9">
        <v>2226.1652643860989</v>
      </c>
      <c r="M179" s="11" t="s">
        <v>7</v>
      </c>
      <c r="N179" s="13" t="s">
        <v>17</v>
      </c>
      <c r="O179" s="7">
        <v>1</v>
      </c>
      <c r="P179" s="16" t="s">
        <v>516</v>
      </c>
      <c r="T179" s="7"/>
    </row>
    <row r="180" spans="1:20" x14ac:dyDescent="0.25">
      <c r="A180" s="16" t="str">
        <f t="shared" si="43"/>
        <v>CUSTO DMA -CARLOS MENEZES- FEVEREIRO 26</v>
      </c>
      <c r="B180" s="18">
        <v>46054</v>
      </c>
      <c r="C180" s="3">
        <v>817391</v>
      </c>
      <c r="D180" s="3" t="s">
        <v>400</v>
      </c>
      <c r="E180" s="14">
        <f t="shared" si="44"/>
        <v>-90.637633000000051</v>
      </c>
      <c r="F180" s="3" t="s">
        <v>363</v>
      </c>
      <c r="G180" s="18">
        <v>46054</v>
      </c>
      <c r="H180" s="19">
        <v>79258</v>
      </c>
      <c r="I180" s="3" t="str">
        <f>VLOOKUP(H180,'[1]Base de Clientes'!$B:$E,4,0)</f>
        <v>ITAU UNIBANCO S/A</v>
      </c>
      <c r="J180" s="5" t="s">
        <v>8</v>
      </c>
      <c r="K180" s="5" t="s">
        <v>376</v>
      </c>
      <c r="L180" s="9">
        <v>90.637633000000051</v>
      </c>
      <c r="M180" s="11" t="s">
        <v>7</v>
      </c>
      <c r="N180" s="13" t="s">
        <v>17</v>
      </c>
      <c r="O180" s="7">
        <v>1</v>
      </c>
      <c r="P180" s="16" t="s">
        <v>390</v>
      </c>
      <c r="T180" s="7"/>
    </row>
    <row r="181" spans="1:20" x14ac:dyDescent="0.25">
      <c r="A181" s="16" t="str">
        <f t="shared" si="43"/>
        <v>CUSTO DMA -DANIEL NAMAN CARDOSO- FEVEREIRO 26</v>
      </c>
      <c r="B181" s="18">
        <v>46054</v>
      </c>
      <c r="C181" s="3">
        <v>817391</v>
      </c>
      <c r="D181" s="3" t="s">
        <v>403</v>
      </c>
      <c r="E181" s="14">
        <f t="shared" si="44"/>
        <v>-90.637633000000051</v>
      </c>
      <c r="F181" s="3" t="s">
        <v>363</v>
      </c>
      <c r="G181" s="18">
        <v>46054</v>
      </c>
      <c r="H181" s="19">
        <v>80375</v>
      </c>
      <c r="I181" s="3" t="str">
        <f>VLOOKUP(H181,'[1]Base de Clientes'!$B:$E,4,0)</f>
        <v>ITAU UNIBANCO S/A</v>
      </c>
      <c r="J181" s="5" t="s">
        <v>8</v>
      </c>
      <c r="K181" s="5" t="s">
        <v>67</v>
      </c>
      <c r="L181" s="9">
        <v>90.637633000000051</v>
      </c>
      <c r="M181" s="11" t="s">
        <v>7</v>
      </c>
      <c r="N181" s="13" t="s">
        <v>17</v>
      </c>
      <c r="O181" s="7">
        <v>1</v>
      </c>
      <c r="P181" s="16" t="s">
        <v>238</v>
      </c>
      <c r="T181" s="7"/>
    </row>
    <row r="182" spans="1:20" x14ac:dyDescent="0.25">
      <c r="A182" s="16" t="str">
        <f t="shared" si="43"/>
        <v>CUSTO DMA -SAMUEL SOARES- FEVEREIRO 26</v>
      </c>
      <c r="B182" s="18">
        <v>46054</v>
      </c>
      <c r="C182" s="3">
        <v>817391</v>
      </c>
      <c r="D182" s="3" t="s">
        <v>401</v>
      </c>
      <c r="E182" s="14">
        <f t="shared" si="44"/>
        <v>-9905.5416114867148</v>
      </c>
      <c r="F182" s="3" t="s">
        <v>363</v>
      </c>
      <c r="G182" s="18">
        <v>46054</v>
      </c>
      <c r="H182" s="19">
        <v>79806</v>
      </c>
      <c r="I182" s="3" t="str">
        <f>VLOOKUP(H182,'[1]Base de Clientes'!$B:$E,4,0)</f>
        <v>ITAU UNIBANCO S/A</v>
      </c>
      <c r="J182" s="5" t="s">
        <v>8</v>
      </c>
      <c r="K182" s="5" t="s">
        <v>81</v>
      </c>
      <c r="L182" s="9">
        <v>9905.5416114867148</v>
      </c>
      <c r="M182" s="11" t="s">
        <v>7</v>
      </c>
      <c r="N182" s="13" t="s">
        <v>17</v>
      </c>
      <c r="O182" s="7">
        <v>1</v>
      </c>
      <c r="P182" s="16" t="s">
        <v>251</v>
      </c>
      <c r="T182" s="7"/>
    </row>
    <row r="183" spans="1:20" x14ac:dyDescent="0.25">
      <c r="A183" s="16" t="str">
        <f t="shared" si="43"/>
        <v>CUSTO DMA -GUILHERME NASCIMENTO- FEVEREIRO 26</v>
      </c>
      <c r="B183" s="18">
        <v>46054</v>
      </c>
      <c r="C183" s="3">
        <v>817391</v>
      </c>
      <c r="D183" s="3" t="s">
        <v>479</v>
      </c>
      <c r="E183" s="14">
        <f t="shared" si="44"/>
        <v>-8979.8078767559455</v>
      </c>
      <c r="F183" s="3" t="s">
        <v>363</v>
      </c>
      <c r="G183" s="18">
        <v>46054</v>
      </c>
      <c r="H183" s="19">
        <v>81771</v>
      </c>
      <c r="I183" s="3" t="str">
        <f>VLOOKUP(H183,'[1]Base de Clientes'!$B:$E,4,0)</f>
        <v>BANCO JP MORGAN S/A</v>
      </c>
      <c r="J183" s="5" t="s">
        <v>8</v>
      </c>
      <c r="K183" s="5" t="s">
        <v>500</v>
      </c>
      <c r="L183" s="9">
        <v>8979.8078767559455</v>
      </c>
      <c r="M183" s="11" t="s">
        <v>7</v>
      </c>
      <c r="N183" s="13" t="s">
        <v>17</v>
      </c>
      <c r="O183" s="7">
        <v>1</v>
      </c>
      <c r="P183" s="16" t="s">
        <v>520</v>
      </c>
      <c r="T183" s="7"/>
    </row>
    <row r="184" spans="1:20" x14ac:dyDescent="0.25">
      <c r="A184" s="16" t="str">
        <f t="shared" si="43"/>
        <v>CUSTO DMA -JOAO BESSA- FEVEREIRO 26</v>
      </c>
      <c r="B184" s="18">
        <v>46054</v>
      </c>
      <c r="C184" s="3">
        <v>817391</v>
      </c>
      <c r="D184" s="3" t="s">
        <v>479</v>
      </c>
      <c r="E184" s="14">
        <f t="shared" si="44"/>
        <v>-8979.8078767559455</v>
      </c>
      <c r="F184" s="3" t="s">
        <v>363</v>
      </c>
      <c r="G184" s="18">
        <v>46054</v>
      </c>
      <c r="H184" s="19">
        <v>14416</v>
      </c>
      <c r="I184" s="3" t="str">
        <f>VLOOKUP(H184,'[1]Base de Clientes'!$B:$E,4,0)</f>
        <v>BANCO JP MORGAN S/A</v>
      </c>
      <c r="J184" s="5" t="s">
        <v>8</v>
      </c>
      <c r="K184" s="5" t="s">
        <v>501</v>
      </c>
      <c r="L184" s="9">
        <v>8979.8078767559455</v>
      </c>
      <c r="M184" s="11" t="s">
        <v>7</v>
      </c>
      <c r="N184" s="13" t="s">
        <v>17</v>
      </c>
      <c r="O184" s="7">
        <v>1</v>
      </c>
      <c r="P184" s="16" t="s">
        <v>521</v>
      </c>
      <c r="T184" s="7"/>
    </row>
    <row r="185" spans="1:20" x14ac:dyDescent="0.25">
      <c r="A185" s="16" t="str">
        <f t="shared" si="43"/>
        <v>CUSTO DMA -TAMARA WAJNBERG- FEVEREIRO 26</v>
      </c>
      <c r="B185" s="18">
        <v>46054</v>
      </c>
      <c r="C185" s="3">
        <v>817391</v>
      </c>
      <c r="D185" s="3" t="s">
        <v>580</v>
      </c>
      <c r="E185" s="14">
        <f t="shared" si="44"/>
        <v>-1246.319104636098</v>
      </c>
      <c r="F185" s="3" t="s">
        <v>363</v>
      </c>
      <c r="G185" s="18">
        <v>46054</v>
      </c>
      <c r="H185" s="19">
        <v>79578</v>
      </c>
      <c r="I185" s="3" t="str">
        <f>VLOOKUP(H185,'[1]Base de Clientes'!$B:$E,4,0)</f>
        <v>BANCO JP MORGAN S/A</v>
      </c>
      <c r="J185" s="5" t="s">
        <v>8</v>
      </c>
      <c r="K185" s="5" t="s">
        <v>502</v>
      </c>
      <c r="L185" s="9">
        <v>1246.319104636098</v>
      </c>
      <c r="M185" s="11" t="s">
        <v>7</v>
      </c>
      <c r="N185" s="13" t="s">
        <v>17</v>
      </c>
      <c r="O185" s="7">
        <v>1</v>
      </c>
      <c r="P185" s="16" t="s">
        <v>522</v>
      </c>
      <c r="T185" s="7"/>
    </row>
    <row r="186" spans="1:20" x14ac:dyDescent="0.25">
      <c r="A186" s="16" t="str">
        <f t="shared" si="43"/>
        <v>CUSTO DMA -FREDERIC BROWN- FEVEREIRO 26</v>
      </c>
      <c r="B186" s="18">
        <v>46054</v>
      </c>
      <c r="C186" s="3">
        <v>817391</v>
      </c>
      <c r="D186" s="3" t="s">
        <v>401</v>
      </c>
      <c r="E186" s="14">
        <f t="shared" si="44"/>
        <v>-1764.1050393668675</v>
      </c>
      <c r="F186" s="3" t="s">
        <v>363</v>
      </c>
      <c r="G186" s="18">
        <v>46054</v>
      </c>
      <c r="H186" s="19">
        <v>80392</v>
      </c>
      <c r="I186" s="3" t="str">
        <f>VLOOKUP(H186,'[1]Base de Clientes'!$B:$E,4,0)</f>
        <v>KAPITALO INVESTIMENTOS LTDA</v>
      </c>
      <c r="J186" s="5" t="s">
        <v>8</v>
      </c>
      <c r="K186" s="5" t="s">
        <v>69</v>
      </c>
      <c r="L186" s="9">
        <v>1764.1050393668675</v>
      </c>
      <c r="M186" s="11" t="s">
        <v>7</v>
      </c>
      <c r="N186" s="13" t="s">
        <v>17</v>
      </c>
      <c r="O186" s="7">
        <v>1</v>
      </c>
      <c r="P186" s="16" t="s">
        <v>240</v>
      </c>
      <c r="T186" s="7"/>
    </row>
    <row r="187" spans="1:20" x14ac:dyDescent="0.25">
      <c r="A187" s="16" t="str">
        <f t="shared" si="43"/>
        <v>CUSTO DMA -JOAO RAMALHO- FEVEREIRO 26</v>
      </c>
      <c r="B187" s="18">
        <v>46054</v>
      </c>
      <c r="C187" s="3">
        <v>817391</v>
      </c>
      <c r="D187" s="3" t="s">
        <v>401</v>
      </c>
      <c r="E187" s="14">
        <f t="shared" si="44"/>
        <v>-10041.524211486711</v>
      </c>
      <c r="F187" s="3" t="s">
        <v>363</v>
      </c>
      <c r="G187" s="18">
        <v>46054</v>
      </c>
      <c r="H187" s="19">
        <v>12413</v>
      </c>
      <c r="I187" s="3" t="str">
        <f>VLOOKUP(H187,'[1]Base de Clientes'!$B:$E,4,0)</f>
        <v>KAPITALO INVESTIMENTOS LTDA</v>
      </c>
      <c r="J187" s="5" t="s">
        <v>8</v>
      </c>
      <c r="K187" s="5" t="s">
        <v>73</v>
      </c>
      <c r="L187" s="9">
        <v>10041.524211486711</v>
      </c>
      <c r="M187" s="11" t="s">
        <v>7</v>
      </c>
      <c r="N187" s="13" t="s">
        <v>17</v>
      </c>
      <c r="O187" s="7">
        <v>1</v>
      </c>
      <c r="P187" s="16" t="s">
        <v>244</v>
      </c>
      <c r="T187" s="7"/>
    </row>
    <row r="188" spans="1:20" x14ac:dyDescent="0.25">
      <c r="A188" s="16" t="str">
        <f t="shared" si="43"/>
        <v>CUSTO DMA -RAFAEL POPPE- FEVEREIRO 26</v>
      </c>
      <c r="B188" s="18">
        <v>46054</v>
      </c>
      <c r="C188" s="3">
        <v>817391</v>
      </c>
      <c r="D188" s="3" t="s">
        <v>401</v>
      </c>
      <c r="E188" s="14">
        <f t="shared" si="44"/>
        <v>-224.89430000000004</v>
      </c>
      <c r="F188" s="3" t="s">
        <v>363</v>
      </c>
      <c r="G188" s="18">
        <v>46054</v>
      </c>
      <c r="H188" s="19">
        <v>81778</v>
      </c>
      <c r="I188" s="3" t="str">
        <f>VLOOKUP(H188,'[1]Base de Clientes'!$B:$E,4,0)</f>
        <v>KAPITALO INVESTIMENTOS LTDA</v>
      </c>
      <c r="J188" s="5" t="s">
        <v>8</v>
      </c>
      <c r="K188" s="5" t="s">
        <v>80</v>
      </c>
      <c r="L188" s="9">
        <v>224.89430000000004</v>
      </c>
      <c r="M188" s="11" t="s">
        <v>7</v>
      </c>
      <c r="N188" s="13" t="s">
        <v>17</v>
      </c>
      <c r="O188" s="7">
        <v>1</v>
      </c>
      <c r="P188" s="16" t="s">
        <v>250</v>
      </c>
      <c r="T188" s="7"/>
    </row>
    <row r="189" spans="1:20" x14ac:dyDescent="0.25">
      <c r="A189" s="16" t="str">
        <f t="shared" si="43"/>
        <v>CUSTO DMA -YURI VERGES- FEVEREIRO 26</v>
      </c>
      <c r="B189" s="18">
        <v>46054</v>
      </c>
      <c r="C189" s="3">
        <v>817391</v>
      </c>
      <c r="D189" s="3" t="s">
        <v>401</v>
      </c>
      <c r="E189" s="14">
        <f t="shared" si="44"/>
        <v>-1904.566415386098</v>
      </c>
      <c r="F189" s="3" t="s">
        <v>363</v>
      </c>
      <c r="G189" s="18">
        <v>46054</v>
      </c>
      <c r="H189" s="19">
        <v>80492</v>
      </c>
      <c r="I189" s="3" t="str">
        <f>VLOOKUP(H189,'[1]Base de Clientes'!$B:$E,4,0)</f>
        <v>KAPITALO INVESTIMENTOS LTDA</v>
      </c>
      <c r="J189" s="5" t="s">
        <v>8</v>
      </c>
      <c r="K189" s="5" t="s">
        <v>503</v>
      </c>
      <c r="L189" s="9">
        <v>1904.566415386098</v>
      </c>
      <c r="M189" s="11" t="s">
        <v>7</v>
      </c>
      <c r="N189" s="13" t="s">
        <v>17</v>
      </c>
      <c r="O189" s="7">
        <v>1</v>
      </c>
      <c r="P189" s="16" t="s">
        <v>526</v>
      </c>
      <c r="T189" s="7"/>
    </row>
    <row r="190" spans="1:20" x14ac:dyDescent="0.25">
      <c r="A190" s="16" t="str">
        <f t="shared" si="43"/>
        <v>CUSTO DMA -ALEXANDRE RODRIGUES- FEVEREIRO 26</v>
      </c>
      <c r="B190" s="18">
        <v>46054</v>
      </c>
      <c r="C190" s="3">
        <v>817391</v>
      </c>
      <c r="D190" s="3" t="s">
        <v>410</v>
      </c>
      <c r="E190" s="14">
        <f t="shared" si="44"/>
        <v>-2496.4686330191726</v>
      </c>
      <c r="F190" s="3" t="s">
        <v>363</v>
      </c>
      <c r="G190" s="18">
        <v>46054</v>
      </c>
      <c r="H190" s="19">
        <v>79931</v>
      </c>
      <c r="I190" s="3" t="str">
        <f>VLOOKUP(H190,'[1]Base de Clientes'!$B:$E,4,0)</f>
        <v>SPX GESTAO DE RECURSOS LTDA</v>
      </c>
      <c r="J190" s="5" t="s">
        <v>8</v>
      </c>
      <c r="K190" s="5" t="s">
        <v>65</v>
      </c>
      <c r="L190" s="9">
        <v>4992.9372660383451</v>
      </c>
      <c r="M190" s="11" t="s">
        <v>7</v>
      </c>
      <c r="N190" s="13" t="s">
        <v>17</v>
      </c>
      <c r="O190" s="7">
        <v>0.5</v>
      </c>
      <c r="P190" s="16" t="s">
        <v>236</v>
      </c>
      <c r="T190" s="7"/>
    </row>
    <row r="191" spans="1:20" x14ac:dyDescent="0.25">
      <c r="A191" s="16" t="str">
        <f t="shared" ref="A191" si="45">CONCATENATE(J191,M191,K191,M191,N191)</f>
        <v>CUSTO DMA -ALEXANDRE RODRIGUES- FEVEREIRO 26</v>
      </c>
      <c r="B191" s="18">
        <v>46054</v>
      </c>
      <c r="C191" s="3">
        <v>817391</v>
      </c>
      <c r="D191" s="3" t="s">
        <v>400</v>
      </c>
      <c r="E191" s="14">
        <f t="shared" ref="E191" si="46">-L191*O191</f>
        <v>-2496.4686330191726</v>
      </c>
      <c r="F191" s="3" t="s">
        <v>363</v>
      </c>
      <c r="G191" s="18">
        <v>46054</v>
      </c>
      <c r="H191" s="19">
        <v>79931</v>
      </c>
      <c r="I191" s="3" t="str">
        <f>VLOOKUP(H191,'[1]Base de Clientes'!$B:$E,4,0)</f>
        <v>SPX GESTAO DE RECURSOS LTDA</v>
      </c>
      <c r="J191" s="5" t="s">
        <v>8</v>
      </c>
      <c r="K191" s="5" t="s">
        <v>65</v>
      </c>
      <c r="L191" s="9">
        <v>4992.9372660383451</v>
      </c>
      <c r="M191" s="11" t="s">
        <v>7</v>
      </c>
      <c r="N191" s="13" t="s">
        <v>17</v>
      </c>
      <c r="O191" s="7">
        <v>0.5</v>
      </c>
      <c r="P191" s="16" t="s">
        <v>236</v>
      </c>
      <c r="T191" s="7"/>
    </row>
    <row r="192" spans="1:20" x14ac:dyDescent="0.25">
      <c r="A192" s="16" t="str">
        <f t="shared" si="43"/>
        <v>CUSTO DMA -LUIZ BASQUEIRA- FEVEREIRO 26</v>
      </c>
      <c r="B192" s="18">
        <v>46054</v>
      </c>
      <c r="C192" s="3">
        <v>817391</v>
      </c>
      <c r="D192" s="3" t="s">
        <v>402</v>
      </c>
      <c r="E192" s="14">
        <f t="shared" si="44"/>
        <v>-4799.6233387104758</v>
      </c>
      <c r="F192" s="3" t="s">
        <v>363</v>
      </c>
      <c r="G192" s="18">
        <v>46054</v>
      </c>
      <c r="H192" s="19">
        <v>79931</v>
      </c>
      <c r="I192" s="3" t="str">
        <f>VLOOKUP(H192,'[1]Base de Clientes'!$B:$E,4,0)</f>
        <v>SPX GESTAO DE RECURSOS LTDA</v>
      </c>
      <c r="J192" s="5" t="s">
        <v>8</v>
      </c>
      <c r="K192" s="5" t="s">
        <v>74</v>
      </c>
      <c r="L192" s="9">
        <v>4799.6233387104758</v>
      </c>
      <c r="M192" s="11" t="s">
        <v>7</v>
      </c>
      <c r="N192" s="13" t="s">
        <v>17</v>
      </c>
      <c r="O192" s="7">
        <v>1</v>
      </c>
      <c r="P192" s="16" t="s">
        <v>245</v>
      </c>
      <c r="T192" s="7"/>
    </row>
    <row r="193" spans="1:20" x14ac:dyDescent="0.25">
      <c r="A193" s="16" t="str">
        <f t="shared" si="43"/>
        <v>CUSTO DMA -RODOLFO FERRARI- FEVEREIRO 26</v>
      </c>
      <c r="B193" s="18">
        <v>46054</v>
      </c>
      <c r="C193" s="3">
        <v>817391</v>
      </c>
      <c r="D193" s="3" t="s">
        <v>400</v>
      </c>
      <c r="E193" s="14">
        <f t="shared" si="44"/>
        <v>-5066.074632672131</v>
      </c>
      <c r="F193" s="3" t="s">
        <v>363</v>
      </c>
      <c r="G193" s="18">
        <v>46054</v>
      </c>
      <c r="H193" s="19">
        <v>82707</v>
      </c>
      <c r="I193" s="3" t="str">
        <f>VLOOKUP(H193,'[1]Base de Clientes'!$B:$E,4,0)</f>
        <v>BANCO XP S/A</v>
      </c>
      <c r="J193" s="5" t="s">
        <v>8</v>
      </c>
      <c r="K193" s="5" t="s">
        <v>77</v>
      </c>
      <c r="L193" s="9">
        <v>5066.074632672131</v>
      </c>
      <c r="M193" s="11" t="s">
        <v>7</v>
      </c>
      <c r="N193" s="13" t="s">
        <v>17</v>
      </c>
      <c r="O193" s="7">
        <v>1</v>
      </c>
      <c r="P193" s="16" t="s">
        <v>248</v>
      </c>
      <c r="T193" s="7"/>
    </row>
  </sheetData>
  <autoFilter ref="A1:P193" xr:uid="{E8ECC5A3-8A85-4CF6-830D-1CCD2401BAE3}"/>
  <conditionalFormatting sqref="A2:A193">
    <cfRule type="duplicateValues" dxfId="4" priority="48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0EED-4009-4063-9704-175555F5D000}">
  <sheetPr codeName="Sheet3"/>
  <dimension ref="A1:T189"/>
  <sheetViews>
    <sheetView workbookViewId="0">
      <pane ySplit="1" topLeftCell="A2" activePane="bottomLeft" state="frozen"/>
      <selection pane="bottomLeft" activeCell="L8" sqref="L8"/>
    </sheetView>
  </sheetViews>
  <sheetFormatPr defaultRowHeight="11.25" x14ac:dyDescent="0.25"/>
  <cols>
    <col min="1" max="1" width="37.5703125" style="3" customWidth="1"/>
    <col min="2" max="2" width="10.5703125" style="3" customWidth="1"/>
    <col min="3" max="3" width="10.7109375" style="3" bestFit="1" customWidth="1"/>
    <col min="4" max="4" width="30.140625" style="3" customWidth="1"/>
    <col min="5" max="5" width="15.42578125" style="14" customWidth="1"/>
    <col min="6" max="6" width="12.7109375" style="3" customWidth="1"/>
    <col min="7" max="7" width="11" style="3" customWidth="1"/>
    <col min="8" max="8" width="12.28515625" style="3" customWidth="1"/>
    <col min="9" max="9" width="2.7109375" style="3" customWidth="1"/>
    <col min="10" max="10" width="9.140625" style="3" customWidth="1"/>
    <col min="11" max="11" width="22.5703125" style="3" customWidth="1"/>
    <col min="12" max="12" width="13.85546875" style="4" customWidth="1"/>
    <col min="13" max="13" width="9.140625" style="12" customWidth="1"/>
    <col min="14" max="14" width="10.85546875" style="3" customWidth="1"/>
    <col min="15" max="15" width="9.140625" style="8"/>
    <col min="16" max="16" width="30.7109375" style="14" customWidth="1"/>
    <col min="17" max="17" width="27.5703125" style="3" customWidth="1"/>
    <col min="18" max="18" width="12.28515625" style="4" bestFit="1" customWidth="1"/>
    <col min="19" max="20" width="9.140625" style="3" customWidth="1"/>
    <col min="21" max="16384" width="9.140625" style="3"/>
  </cols>
  <sheetData>
    <row r="1" spans="1:20" x14ac:dyDescent="0.25">
      <c r="A1" s="2" t="s">
        <v>1</v>
      </c>
      <c r="B1" s="1" t="s">
        <v>2</v>
      </c>
      <c r="C1" s="2" t="s">
        <v>6</v>
      </c>
      <c r="D1" s="22" t="s">
        <v>0</v>
      </c>
      <c r="E1" s="15" t="s">
        <v>3</v>
      </c>
      <c r="F1" s="17" t="s">
        <v>4</v>
      </c>
      <c r="G1" s="1" t="s">
        <v>5</v>
      </c>
      <c r="H1" s="22" t="s">
        <v>14</v>
      </c>
      <c r="I1" s="3" t="s">
        <v>7</v>
      </c>
      <c r="J1" s="6" t="s">
        <v>9</v>
      </c>
      <c r="K1" s="21" t="s">
        <v>10</v>
      </c>
      <c r="L1" s="20" t="s">
        <v>3</v>
      </c>
      <c r="M1" s="10" t="s">
        <v>11</v>
      </c>
      <c r="N1" s="6" t="s">
        <v>12</v>
      </c>
      <c r="O1" s="23" t="s">
        <v>13</v>
      </c>
      <c r="P1" s="20" t="s">
        <v>530</v>
      </c>
      <c r="R1" s="2" t="s">
        <v>0</v>
      </c>
      <c r="S1" s="2" t="s">
        <v>14</v>
      </c>
      <c r="T1" s="7" t="s">
        <v>13</v>
      </c>
    </row>
    <row r="2" spans="1:20" x14ac:dyDescent="0.25">
      <c r="A2" s="16" t="str">
        <f t="shared" ref="A2:A144" si="0">CONCATENATE(J2,M2,K2,M2,N2)</f>
        <v>CUSTO DMA -ALEXANDRE PALMAS- MARÇO 26</v>
      </c>
      <c r="B2" s="18">
        <v>46082</v>
      </c>
      <c r="C2" s="3">
        <v>817391</v>
      </c>
      <c r="D2" s="3" t="s">
        <v>487</v>
      </c>
      <c r="E2" s="14">
        <f t="shared" ref="E2:E78" si="1">-L2*O2</f>
        <v>-148.52614512040904</v>
      </c>
      <c r="F2" s="3" t="s">
        <v>366</v>
      </c>
      <c r="G2" s="18">
        <v>46082</v>
      </c>
      <c r="H2" s="19">
        <v>80667</v>
      </c>
      <c r="I2" s="3" t="str">
        <f>VLOOKUP(H2,'[1]Base de Clientes'!$B:$E,4,0)</f>
        <v>ACE CAPITAL GESTORA DE RECURSOS LTDA</v>
      </c>
      <c r="J2" s="5" t="s">
        <v>8</v>
      </c>
      <c r="K2" s="5" t="s">
        <v>125</v>
      </c>
      <c r="L2" s="9">
        <v>148.52614512040904</v>
      </c>
      <c r="M2" s="11" t="s">
        <v>7</v>
      </c>
      <c r="N2" s="13" t="s">
        <v>18</v>
      </c>
      <c r="O2" s="7">
        <v>1</v>
      </c>
      <c r="P2" s="16" t="s">
        <v>294</v>
      </c>
      <c r="R2" s="3"/>
      <c r="T2" s="7"/>
    </row>
    <row r="3" spans="1:20" x14ac:dyDescent="0.25">
      <c r="A3" s="16" t="str">
        <f t="shared" si="0"/>
        <v>CUSTO DMA -DANIEL TATSUMI- MARÇO 26</v>
      </c>
      <c r="B3" s="18">
        <v>46082</v>
      </c>
      <c r="C3" s="3">
        <v>817391</v>
      </c>
      <c r="D3" s="3" t="s">
        <v>487</v>
      </c>
      <c r="E3" s="14">
        <f t="shared" si="1"/>
        <v>-919.57614512040891</v>
      </c>
      <c r="F3" s="3" t="s">
        <v>366</v>
      </c>
      <c r="G3" s="18">
        <v>46082</v>
      </c>
      <c r="H3" s="19">
        <v>80667</v>
      </c>
      <c r="I3" s="3" t="str">
        <f>VLOOKUP(H3,'[1]Base de Clientes'!$B:$E,4,0)</f>
        <v>ACE CAPITAL GESTORA DE RECURSOS LTDA</v>
      </c>
      <c r="J3" s="5" t="s">
        <v>8</v>
      </c>
      <c r="K3" s="5" t="s">
        <v>133</v>
      </c>
      <c r="L3" s="9">
        <v>919.57614512040891</v>
      </c>
      <c r="M3" s="11" t="s">
        <v>7</v>
      </c>
      <c r="N3" s="13" t="s">
        <v>18</v>
      </c>
      <c r="O3" s="7">
        <v>1</v>
      </c>
      <c r="P3" s="16" t="s">
        <v>302</v>
      </c>
      <c r="R3" s="3"/>
      <c r="T3" s="7"/>
    </row>
    <row r="4" spans="1:20" x14ac:dyDescent="0.25">
      <c r="A4" s="16" t="str">
        <f t="shared" ref="A4" si="2">CONCATENATE(J4,M4,K4,M4,N4)</f>
        <v>CUSTO DMA -FABRICIO TASCHETTO- MARÇO 26</v>
      </c>
      <c r="B4" s="18">
        <v>46082</v>
      </c>
      <c r="C4" s="3">
        <v>817391</v>
      </c>
      <c r="D4" s="3" t="s">
        <v>487</v>
      </c>
      <c r="E4" s="14">
        <f t="shared" si="1"/>
        <v>-4016.4661084497448</v>
      </c>
      <c r="F4" s="3" t="s">
        <v>366</v>
      </c>
      <c r="G4" s="18">
        <v>46082</v>
      </c>
      <c r="H4" s="19">
        <v>80667</v>
      </c>
      <c r="I4" s="3" t="str">
        <f>VLOOKUP(H4,'[1]Base de Clientes'!$B:$E,4,0)</f>
        <v>ACE CAPITAL GESTORA DE RECURSOS LTDA</v>
      </c>
      <c r="J4" s="5" t="s">
        <v>8</v>
      </c>
      <c r="K4" s="5" t="s">
        <v>141</v>
      </c>
      <c r="L4" s="9">
        <v>4016.4661084497448</v>
      </c>
      <c r="M4" s="11" t="s">
        <v>7</v>
      </c>
      <c r="N4" s="13" t="s">
        <v>18</v>
      </c>
      <c r="O4" s="7">
        <v>1</v>
      </c>
      <c r="P4" s="16" t="s">
        <v>310</v>
      </c>
      <c r="R4" s="3"/>
      <c r="T4" s="7"/>
    </row>
    <row r="5" spans="1:20" x14ac:dyDescent="0.25">
      <c r="A5" s="16" t="str">
        <f t="shared" si="0"/>
        <v>CUSTO DMA -MAIKO CARVALHO BARRETO- MARÇO 26</v>
      </c>
      <c r="B5" s="18">
        <v>46082</v>
      </c>
      <c r="C5" s="3">
        <v>817391</v>
      </c>
      <c r="D5" s="3" t="s">
        <v>487</v>
      </c>
      <c r="E5" s="14">
        <f t="shared" si="1"/>
        <v>-4016.4661084497448</v>
      </c>
      <c r="F5" s="3" t="s">
        <v>366</v>
      </c>
      <c r="G5" s="18">
        <v>46082</v>
      </c>
      <c r="H5" s="19">
        <v>80667</v>
      </c>
      <c r="I5" s="3" t="str">
        <f>VLOOKUP(H5,'[1]Base de Clientes'!$B:$E,4,0)</f>
        <v>ACE CAPITAL GESTORA DE RECURSOS LTDA</v>
      </c>
      <c r="J5" s="5" t="s">
        <v>8</v>
      </c>
      <c r="K5" s="5" t="s">
        <v>156</v>
      </c>
      <c r="L5" s="9">
        <v>4016.4661084497448</v>
      </c>
      <c r="M5" s="11" t="s">
        <v>7</v>
      </c>
      <c r="N5" s="13" t="s">
        <v>18</v>
      </c>
      <c r="O5" s="7">
        <v>1</v>
      </c>
      <c r="P5" s="16" t="s">
        <v>326</v>
      </c>
      <c r="R5" s="3"/>
      <c r="T5" s="7"/>
    </row>
    <row r="6" spans="1:20" x14ac:dyDescent="0.25">
      <c r="A6" s="16" t="str">
        <f t="shared" si="0"/>
        <v>CUSTO DMA -MATEUS SCHMIDT MATTOS LOPES PEREIRA- MARÇO 26</v>
      </c>
      <c r="B6" s="18">
        <v>46082</v>
      </c>
      <c r="C6" s="3">
        <v>817391</v>
      </c>
      <c r="D6" s="3" t="s">
        <v>487</v>
      </c>
      <c r="E6" s="14">
        <f t="shared" si="1"/>
        <v>-608.10503872040908</v>
      </c>
      <c r="F6" s="3" t="s">
        <v>366</v>
      </c>
      <c r="G6" s="18">
        <v>46082</v>
      </c>
      <c r="H6" s="19">
        <v>80667</v>
      </c>
      <c r="I6" s="3" t="str">
        <f>VLOOKUP(H6,'[1]Base de Clientes'!$B:$E,4,0)</f>
        <v>ACE CAPITAL GESTORA DE RECURSOS LTDA</v>
      </c>
      <c r="J6" s="5" t="s">
        <v>8</v>
      </c>
      <c r="K6" s="5" t="s">
        <v>378</v>
      </c>
      <c r="L6" s="9">
        <v>608.10503872040908</v>
      </c>
      <c r="M6" s="11" t="s">
        <v>7</v>
      </c>
      <c r="N6" s="13" t="s">
        <v>18</v>
      </c>
      <c r="O6" s="7">
        <v>1</v>
      </c>
      <c r="P6" s="16" t="s">
        <v>393</v>
      </c>
      <c r="R6" s="3"/>
      <c r="T6" s="7"/>
    </row>
    <row r="7" spans="1:20" x14ac:dyDescent="0.25">
      <c r="A7" s="16" t="str">
        <f t="shared" si="0"/>
        <v>CUSTO DMA -PEDRO NUNES- MARÇO 26</v>
      </c>
      <c r="B7" s="18">
        <v>46082</v>
      </c>
      <c r="C7" s="3">
        <v>817391</v>
      </c>
      <c r="D7" s="3" t="s">
        <v>487</v>
      </c>
      <c r="E7" s="14">
        <f t="shared" si="1"/>
        <v>-4016.4661084497511</v>
      </c>
      <c r="F7" s="3" t="s">
        <v>366</v>
      </c>
      <c r="G7" s="18">
        <v>46082</v>
      </c>
      <c r="H7" s="19">
        <v>80667</v>
      </c>
      <c r="I7" s="3" t="str">
        <f>VLOOKUP(H7,'[1]Base de Clientes'!$B:$E,4,0)</f>
        <v>ACE CAPITAL GESTORA DE RECURSOS LTDA</v>
      </c>
      <c r="J7" s="5" t="s">
        <v>8</v>
      </c>
      <c r="K7" s="5" t="s">
        <v>161</v>
      </c>
      <c r="L7" s="9">
        <v>4016.4661084497511</v>
      </c>
      <c r="M7" s="11" t="s">
        <v>7</v>
      </c>
      <c r="N7" s="13" t="s">
        <v>18</v>
      </c>
      <c r="O7" s="7">
        <v>1</v>
      </c>
      <c r="P7" s="16" t="s">
        <v>331</v>
      </c>
      <c r="R7" s="3"/>
      <c r="T7" s="7"/>
    </row>
    <row r="8" spans="1:20" x14ac:dyDescent="0.2">
      <c r="A8" s="16" t="str">
        <f t="shared" si="0"/>
        <v>CUSTO DMA -RICARDO CATTARUZZI- MARÇO 26</v>
      </c>
      <c r="B8" s="18">
        <v>46082</v>
      </c>
      <c r="C8" s="3">
        <v>817391</v>
      </c>
      <c r="D8" s="24" t="s">
        <v>404</v>
      </c>
      <c r="E8" s="14">
        <f t="shared" si="1"/>
        <v>-1507.1761451204088</v>
      </c>
      <c r="F8" s="3" t="s">
        <v>366</v>
      </c>
      <c r="G8" s="18">
        <v>46082</v>
      </c>
      <c r="H8" s="19">
        <v>80667</v>
      </c>
      <c r="I8" s="3" t="str">
        <f>VLOOKUP(H8,'[1]Base de Clientes'!$B:$E,4,0)</f>
        <v>ACE CAPITAL GESTORA DE RECURSOS LTDA</v>
      </c>
      <c r="J8" s="5" t="s">
        <v>8</v>
      </c>
      <c r="K8" s="5" t="s">
        <v>163</v>
      </c>
      <c r="L8" s="9">
        <v>1507.1761451204088</v>
      </c>
      <c r="M8" s="11" t="s">
        <v>7</v>
      </c>
      <c r="N8" s="13" t="s">
        <v>18</v>
      </c>
      <c r="O8" s="7">
        <v>1</v>
      </c>
      <c r="P8" s="16" t="s">
        <v>334</v>
      </c>
      <c r="R8" s="3"/>
      <c r="T8" s="7"/>
    </row>
    <row r="9" spans="1:20" x14ac:dyDescent="0.2">
      <c r="A9" s="16" t="str">
        <f t="shared" ref="A9" si="3">CONCATENATE(J9,M9,K9,M9,N9)</f>
        <v>CUSTO DMA -RICARDO CATTARUZZI- MARÇO 26</v>
      </c>
      <c r="B9" s="18">
        <v>46082</v>
      </c>
      <c r="C9" s="3">
        <v>817391</v>
      </c>
      <c r="D9" s="24" t="s">
        <v>474</v>
      </c>
      <c r="E9" s="14">
        <f t="shared" ref="E9" si="4">-L9*O9</f>
        <v>-1507.1761451204088</v>
      </c>
      <c r="F9" s="3" t="s">
        <v>366</v>
      </c>
      <c r="G9" s="18">
        <v>46082</v>
      </c>
      <c r="H9" s="19">
        <v>80667</v>
      </c>
      <c r="I9" s="3" t="str">
        <f>VLOOKUP(H9,'[1]Base de Clientes'!$B:$E,4,0)</f>
        <v>ACE CAPITAL GESTORA DE RECURSOS LTDA</v>
      </c>
      <c r="J9" s="5" t="s">
        <v>8</v>
      </c>
      <c r="K9" s="5" t="s">
        <v>163</v>
      </c>
      <c r="L9" s="9">
        <v>1507.1761451204088</v>
      </c>
      <c r="M9" s="11" t="s">
        <v>7</v>
      </c>
      <c r="N9" s="13" t="s">
        <v>18</v>
      </c>
      <c r="O9" s="7">
        <v>1</v>
      </c>
      <c r="P9" s="16" t="s">
        <v>334</v>
      </c>
      <c r="R9" s="3"/>
      <c r="T9" s="7"/>
    </row>
    <row r="10" spans="1:20" x14ac:dyDescent="0.25">
      <c r="A10" s="16" t="str">
        <f t="shared" si="0"/>
        <v>CUSTO DMA -RODRIGO COELHO NETTO GAZE- MARÇO 26</v>
      </c>
      <c r="B10" s="18">
        <v>46082</v>
      </c>
      <c r="C10" s="3">
        <v>817391</v>
      </c>
      <c r="D10" s="3" t="s">
        <v>487</v>
      </c>
      <c r="E10" s="14">
        <f t="shared" si="1"/>
        <v>-147.53614512040906</v>
      </c>
      <c r="F10" s="3" t="s">
        <v>366</v>
      </c>
      <c r="G10" s="18">
        <v>46082</v>
      </c>
      <c r="H10" s="19">
        <v>80667</v>
      </c>
      <c r="I10" s="3" t="str">
        <f>VLOOKUP(H10,'[1]Base de Clientes'!$B:$E,4,0)</f>
        <v>ACE CAPITAL GESTORA DE RECURSOS LTDA</v>
      </c>
      <c r="J10" s="5" t="s">
        <v>8</v>
      </c>
      <c r="K10" s="5" t="s">
        <v>164</v>
      </c>
      <c r="L10" s="9">
        <v>147.53614512040906</v>
      </c>
      <c r="M10" s="11" t="s">
        <v>7</v>
      </c>
      <c r="N10" s="13" t="s">
        <v>18</v>
      </c>
      <c r="O10" s="7">
        <v>1</v>
      </c>
      <c r="P10" s="16" t="s">
        <v>335</v>
      </c>
      <c r="R10" s="3"/>
      <c r="T10" s="7"/>
    </row>
    <row r="11" spans="1:20" x14ac:dyDescent="0.25">
      <c r="A11" s="16" t="str">
        <f t="shared" si="0"/>
        <v>CUSTO DMA -TALES FREIRE- MARÇO 26</v>
      </c>
      <c r="B11" s="18">
        <v>46082</v>
      </c>
      <c r="C11" s="3">
        <v>817391</v>
      </c>
      <c r="D11" s="3" t="s">
        <v>487</v>
      </c>
      <c r="E11" s="14">
        <f t="shared" si="1"/>
        <v>-1457.2318304804089</v>
      </c>
      <c r="F11" s="3" t="s">
        <v>366</v>
      </c>
      <c r="G11" s="18">
        <v>46082</v>
      </c>
      <c r="H11" s="19">
        <v>80667</v>
      </c>
      <c r="I11" s="3" t="str">
        <f>VLOOKUP(H11,'[1]Base de Clientes'!$B:$E,4,0)</f>
        <v>ACE CAPITAL GESTORA DE RECURSOS LTDA</v>
      </c>
      <c r="J11" s="5" t="s">
        <v>8</v>
      </c>
      <c r="K11" s="5" t="s">
        <v>174</v>
      </c>
      <c r="L11" s="9">
        <v>1457.2318304804089</v>
      </c>
      <c r="M11" s="11" t="s">
        <v>7</v>
      </c>
      <c r="N11" s="13" t="s">
        <v>18</v>
      </c>
      <c r="O11" s="7">
        <v>1</v>
      </c>
      <c r="P11" s="16" t="s">
        <v>346</v>
      </c>
      <c r="R11" s="3"/>
      <c r="T11" s="7"/>
    </row>
    <row r="12" spans="1:20" x14ac:dyDescent="0.25">
      <c r="A12" s="16" t="str">
        <f t="shared" si="0"/>
        <v>CUSTO DMA -THOMAZ FURUKAWA- MARÇO 26</v>
      </c>
      <c r="B12" s="18">
        <v>46082</v>
      </c>
      <c r="C12" s="3">
        <v>817391</v>
      </c>
      <c r="D12" s="3" t="s">
        <v>487</v>
      </c>
      <c r="E12" s="14">
        <f t="shared" si="1"/>
        <v>-1426.114925940409</v>
      </c>
      <c r="F12" s="3" t="s">
        <v>366</v>
      </c>
      <c r="G12" s="18">
        <v>46082</v>
      </c>
      <c r="H12" s="19">
        <v>80667</v>
      </c>
      <c r="I12" s="3" t="str">
        <f>VLOOKUP(H12,'[1]Base de Clientes'!$B:$E,4,0)</f>
        <v>ACE CAPITAL GESTORA DE RECURSOS LTDA</v>
      </c>
      <c r="J12" s="5" t="s">
        <v>8</v>
      </c>
      <c r="K12" s="5" t="s">
        <v>379</v>
      </c>
      <c r="L12" s="9">
        <v>1426.114925940409</v>
      </c>
      <c r="M12" s="11" t="s">
        <v>7</v>
      </c>
      <c r="N12" s="13" t="s">
        <v>18</v>
      </c>
      <c r="O12" s="7">
        <v>1</v>
      </c>
      <c r="P12" s="16" t="s">
        <v>394</v>
      </c>
      <c r="R12" s="3"/>
      <c r="T12" s="7"/>
    </row>
    <row r="13" spans="1:20" x14ac:dyDescent="0.2">
      <c r="A13" s="16" t="str">
        <f t="shared" ref="A13" si="5">CONCATENATE(J13,M13,K13,M13,N13)</f>
        <v>CUSTO DMA -THIAGO KADOBAYASHI- MARÇO 26</v>
      </c>
      <c r="B13" s="18">
        <v>46082</v>
      </c>
      <c r="C13" s="3">
        <v>817391</v>
      </c>
      <c r="D13" s="3" t="s">
        <v>487</v>
      </c>
      <c r="E13" s="14">
        <f t="shared" si="1"/>
        <v>-140.27614512040901</v>
      </c>
      <c r="F13" s="3" t="s">
        <v>366</v>
      </c>
      <c r="G13" s="18">
        <v>46082</v>
      </c>
      <c r="H13" s="26">
        <v>80667</v>
      </c>
      <c r="I13" s="3" t="str">
        <f>VLOOKUP(H13,'[1]Base de Clientes'!$B:$E,4,0)</f>
        <v>ACE CAPITAL GESTORA DE RECURSOS LTDA</v>
      </c>
      <c r="J13" s="5" t="s">
        <v>8</v>
      </c>
      <c r="K13" s="5" t="s">
        <v>380</v>
      </c>
      <c r="L13" s="9">
        <v>140.27614512040901</v>
      </c>
      <c r="M13" s="11" t="s">
        <v>7</v>
      </c>
      <c r="N13" s="13" t="s">
        <v>18</v>
      </c>
      <c r="O13" s="7">
        <v>1</v>
      </c>
      <c r="P13" s="16" t="s">
        <v>533</v>
      </c>
      <c r="R13" s="3"/>
      <c r="T13" s="7"/>
    </row>
    <row r="14" spans="1:20" x14ac:dyDescent="0.25">
      <c r="A14" s="16" t="str">
        <f t="shared" si="0"/>
        <v>CUSTO DMA -VICTOR VELOSO- MARÇO 26</v>
      </c>
      <c r="B14" s="18">
        <v>46082</v>
      </c>
      <c r="C14" s="3">
        <v>817391</v>
      </c>
      <c r="D14" s="3" t="s">
        <v>487</v>
      </c>
      <c r="E14" s="14">
        <f t="shared" si="1"/>
        <v>-140.27614512040901</v>
      </c>
      <c r="F14" s="3" t="s">
        <v>366</v>
      </c>
      <c r="G14" s="18">
        <v>46082</v>
      </c>
      <c r="H14" s="19">
        <v>81031</v>
      </c>
      <c r="I14" s="3" t="str">
        <f>VLOOKUP(H14,'[1]Base de Clientes'!$B:$E,4,0)</f>
        <v>ACE CAPITAL GESTORA DE RECURSOS LTDA</v>
      </c>
      <c r="J14" s="5" t="s">
        <v>8</v>
      </c>
      <c r="K14" s="5" t="s">
        <v>183</v>
      </c>
      <c r="L14" s="9">
        <v>140.27614512040901</v>
      </c>
      <c r="M14" s="11" t="s">
        <v>7</v>
      </c>
      <c r="N14" s="13" t="s">
        <v>18</v>
      </c>
      <c r="O14" s="7">
        <v>1</v>
      </c>
      <c r="P14" s="16" t="s">
        <v>534</v>
      </c>
      <c r="R14" s="3"/>
      <c r="T14" s="7"/>
    </row>
    <row r="15" spans="1:20" x14ac:dyDescent="0.25">
      <c r="A15" s="16" t="str">
        <f t="shared" ref="A15" si="6">CONCATENATE(J15,M15,K15,M15,N15)</f>
        <v>CUSTO DMA -ANDRE PINHEIRO- MARÇO 26</v>
      </c>
      <c r="B15" s="18">
        <v>46082</v>
      </c>
      <c r="C15" s="3">
        <v>817391</v>
      </c>
      <c r="D15" s="3" t="s">
        <v>401</v>
      </c>
      <c r="E15" s="14">
        <f t="shared" si="1"/>
        <v>-140.27614512040901</v>
      </c>
      <c r="F15" s="3" t="s">
        <v>366</v>
      </c>
      <c r="G15" s="18">
        <v>46082</v>
      </c>
      <c r="H15" s="19">
        <v>79354</v>
      </c>
      <c r="I15" s="3" t="str">
        <f>VLOOKUP(H15,'[1]Base de Clientes'!$B:$E,4,0)</f>
        <v>BANCO BTG PACTUAL S/A</v>
      </c>
      <c r="J15" s="5" t="s">
        <v>8</v>
      </c>
      <c r="K15" s="5" t="s">
        <v>126</v>
      </c>
      <c r="L15" s="9">
        <v>140.27614512040901</v>
      </c>
      <c r="M15" s="11" t="s">
        <v>7</v>
      </c>
      <c r="N15" s="13" t="s">
        <v>18</v>
      </c>
      <c r="O15" s="7">
        <v>1</v>
      </c>
      <c r="P15" s="16" t="s">
        <v>535</v>
      </c>
      <c r="R15" s="3"/>
      <c r="T15" s="7"/>
    </row>
    <row r="16" spans="1:20" x14ac:dyDescent="0.25">
      <c r="A16" s="16" t="str">
        <f t="shared" si="0"/>
        <v>CUSTO DMA -JOAO L F BENADUCCI- MARÇO 26</v>
      </c>
      <c r="B16" s="18">
        <v>46082</v>
      </c>
      <c r="C16" s="3">
        <v>817391</v>
      </c>
      <c r="D16" s="3" t="s">
        <v>401</v>
      </c>
      <c r="E16" s="14">
        <f t="shared" si="1"/>
        <v>-140.27614512040901</v>
      </c>
      <c r="F16" s="3" t="s">
        <v>366</v>
      </c>
      <c r="G16" s="18">
        <v>46082</v>
      </c>
      <c r="H16" s="19">
        <v>79354</v>
      </c>
      <c r="I16" s="3" t="str">
        <f>VLOOKUP(H16,'[1]Base de Clientes'!$B:$E,4,0)</f>
        <v>BANCO BTG PACTUAL S/A</v>
      </c>
      <c r="J16" s="5" t="s">
        <v>8</v>
      </c>
      <c r="K16" s="5" t="s">
        <v>146</v>
      </c>
      <c r="L16" s="9">
        <v>140.27614512040901</v>
      </c>
      <c r="M16" s="11" t="s">
        <v>7</v>
      </c>
      <c r="N16" s="13" t="s">
        <v>18</v>
      </c>
      <c r="O16" s="7">
        <v>1</v>
      </c>
      <c r="P16" s="16" t="s">
        <v>536</v>
      </c>
      <c r="R16" s="3"/>
      <c r="T16" s="7"/>
    </row>
    <row r="17" spans="1:20" x14ac:dyDescent="0.25">
      <c r="A17" s="16" t="str">
        <f t="shared" si="0"/>
        <v>CUSTO DMA -ENRICO ZEITUNE PASCUCCI- MARÇO 26</v>
      </c>
      <c r="B17" s="18">
        <v>46082</v>
      </c>
      <c r="C17" s="3">
        <v>817391</v>
      </c>
      <c r="D17" s="3" t="s">
        <v>401</v>
      </c>
      <c r="E17" s="14">
        <f t="shared" si="1"/>
        <v>-140.27614512040901</v>
      </c>
      <c r="F17" s="3" t="s">
        <v>366</v>
      </c>
      <c r="G17" s="18">
        <v>46082</v>
      </c>
      <c r="H17" s="19">
        <v>80516</v>
      </c>
      <c r="I17" s="3" t="str">
        <f>VLOOKUP(H17,'[1]Base de Clientes'!$B:$E,4,0)</f>
        <v>BANCO J SAFRA S/A</v>
      </c>
      <c r="J17" s="5" t="s">
        <v>8</v>
      </c>
      <c r="K17" s="5" t="s">
        <v>139</v>
      </c>
      <c r="L17" s="9">
        <v>140.27614512040901</v>
      </c>
      <c r="M17" s="11" t="s">
        <v>7</v>
      </c>
      <c r="N17" s="13" t="s">
        <v>18</v>
      </c>
      <c r="O17" s="7">
        <v>1</v>
      </c>
      <c r="P17" s="16" t="s">
        <v>537</v>
      </c>
      <c r="R17" s="3"/>
      <c r="T17" s="7"/>
    </row>
    <row r="18" spans="1:20" x14ac:dyDescent="0.25">
      <c r="A18" s="16" t="str">
        <f t="shared" si="0"/>
        <v>CUSTO DMA -BRUNO FORESTI- MARÇO 26</v>
      </c>
      <c r="B18" s="18">
        <v>46082</v>
      </c>
      <c r="C18" s="3">
        <v>817391</v>
      </c>
      <c r="D18" s="3" t="s">
        <v>487</v>
      </c>
      <c r="E18" s="14">
        <f t="shared" si="1"/>
        <v>-159.27614512040907</v>
      </c>
      <c r="F18" s="3" t="s">
        <v>366</v>
      </c>
      <c r="G18" s="18">
        <v>46082</v>
      </c>
      <c r="H18" s="19">
        <v>79581</v>
      </c>
      <c r="I18" s="3" t="str">
        <f>VLOOKUP(H18,'[1]Base de Clientes'!$B:$E,4,0)</f>
        <v>OURIBANK S.A. BANCO MULTIPLO</v>
      </c>
      <c r="J18" s="5" t="s">
        <v>8</v>
      </c>
      <c r="K18" s="5" t="s">
        <v>418</v>
      </c>
      <c r="L18" s="9">
        <v>159.27614512040907</v>
      </c>
      <c r="M18" s="11" t="s">
        <v>7</v>
      </c>
      <c r="N18" s="13" t="s">
        <v>18</v>
      </c>
      <c r="O18" s="7">
        <v>1</v>
      </c>
      <c r="P18" s="16" t="s">
        <v>427</v>
      </c>
      <c r="R18" s="3"/>
      <c r="T18" s="7"/>
    </row>
    <row r="19" spans="1:20" x14ac:dyDescent="0.25">
      <c r="A19" s="16" t="str">
        <f t="shared" si="0"/>
        <v>CUSTO DMA -DANIEL VITOR SALOMÃO- MARÇO 26</v>
      </c>
      <c r="B19" s="18">
        <v>46082</v>
      </c>
      <c r="C19" s="3">
        <v>817391</v>
      </c>
      <c r="D19" s="3" t="s">
        <v>487</v>
      </c>
      <c r="E19" s="14">
        <f t="shared" si="1"/>
        <v>-583.27614512040907</v>
      </c>
      <c r="F19" s="3" t="s">
        <v>366</v>
      </c>
      <c r="G19" s="18">
        <v>46082</v>
      </c>
      <c r="H19" s="19">
        <v>79581</v>
      </c>
      <c r="I19" s="3" t="str">
        <f>VLOOKUP(H19,'[1]Base de Clientes'!$B:$E,4,0)</f>
        <v>OURIBANK S.A. BANCO MULTIPLO</v>
      </c>
      <c r="J19" s="5" t="s">
        <v>8</v>
      </c>
      <c r="K19" s="5" t="s">
        <v>135</v>
      </c>
      <c r="L19" s="9">
        <v>583.27614512040907</v>
      </c>
      <c r="M19" s="11" t="s">
        <v>7</v>
      </c>
      <c r="N19" s="13" t="s">
        <v>18</v>
      </c>
      <c r="O19" s="7">
        <v>1</v>
      </c>
      <c r="P19" s="16" t="s">
        <v>304</v>
      </c>
      <c r="R19" s="3"/>
      <c r="T19" s="7"/>
    </row>
    <row r="20" spans="1:20" x14ac:dyDescent="0.25">
      <c r="A20" s="16" t="str">
        <f t="shared" ref="A20" si="7">CONCATENATE(J20,M20,K20,M20,N20)</f>
        <v>CUSTO DMA -IGOR PERRUPATO MATTAR - MARÇO 26</v>
      </c>
      <c r="B20" s="18">
        <v>46082</v>
      </c>
      <c r="C20" s="3">
        <v>817391</v>
      </c>
      <c r="D20" s="3" t="s">
        <v>487</v>
      </c>
      <c r="E20" s="14">
        <f t="shared" si="1"/>
        <v>-299.27614512040907</v>
      </c>
      <c r="F20" s="3" t="s">
        <v>366</v>
      </c>
      <c r="G20" s="18">
        <v>46082</v>
      </c>
      <c r="H20" s="19">
        <v>79581</v>
      </c>
      <c r="I20" s="3" t="str">
        <f>VLOOKUP(H20,'[1]Base de Clientes'!$B:$E,4,0)</f>
        <v>OURIBANK S.A. BANCO MULTIPLO</v>
      </c>
      <c r="J20" s="5" t="s">
        <v>8</v>
      </c>
      <c r="K20" s="5" t="s">
        <v>144</v>
      </c>
      <c r="L20" s="9">
        <v>299.27614512040907</v>
      </c>
      <c r="M20" s="11" t="s">
        <v>7</v>
      </c>
      <c r="N20" s="13" t="s">
        <v>18</v>
      </c>
      <c r="O20" s="7">
        <v>1</v>
      </c>
      <c r="P20" s="16" t="s">
        <v>313</v>
      </c>
      <c r="R20" s="3"/>
      <c r="T20" s="7"/>
    </row>
    <row r="21" spans="1:20" x14ac:dyDescent="0.25">
      <c r="A21" s="16" t="str">
        <f t="shared" si="0"/>
        <v>CUSTO DMA -YGOR QUINHONI FONTES- MARÇO 26</v>
      </c>
      <c r="B21" s="18">
        <v>46082</v>
      </c>
      <c r="C21" s="3">
        <v>817391</v>
      </c>
      <c r="D21" s="3" t="s">
        <v>487</v>
      </c>
      <c r="E21" s="14">
        <f t="shared" si="1"/>
        <v>-638.606145120409</v>
      </c>
      <c r="F21" s="3" t="s">
        <v>366</v>
      </c>
      <c r="G21" s="18">
        <v>46082</v>
      </c>
      <c r="H21" s="19">
        <v>79581</v>
      </c>
      <c r="I21" s="3" t="str">
        <f>VLOOKUP(H21,'[1]Base de Clientes'!$B:$E,4,0)</f>
        <v>OURIBANK S.A. BANCO MULTIPLO</v>
      </c>
      <c r="J21" s="5" t="s">
        <v>8</v>
      </c>
      <c r="K21" s="5" t="s">
        <v>185</v>
      </c>
      <c r="L21" s="9">
        <v>638.606145120409</v>
      </c>
      <c r="M21" s="11" t="s">
        <v>7</v>
      </c>
      <c r="N21" s="13" t="s">
        <v>18</v>
      </c>
      <c r="O21" s="7">
        <v>1</v>
      </c>
      <c r="P21" s="16" t="s">
        <v>360</v>
      </c>
      <c r="R21" s="3"/>
      <c r="T21" s="7"/>
    </row>
    <row r="22" spans="1:20" x14ac:dyDescent="0.25">
      <c r="A22" s="16" t="str">
        <f t="shared" si="0"/>
        <v>CUSTO DMA -DANIEL STRUZBERG- MARÇO 26</v>
      </c>
      <c r="B22" s="18">
        <v>46082</v>
      </c>
      <c r="C22" s="3">
        <v>817391</v>
      </c>
      <c r="D22" s="3" t="s">
        <v>470</v>
      </c>
      <c r="E22" s="14">
        <f t="shared" si="1"/>
        <v>-142.78232512040907</v>
      </c>
      <c r="F22" s="3" t="s">
        <v>366</v>
      </c>
      <c r="G22" s="18">
        <v>46082</v>
      </c>
      <c r="H22" s="19">
        <v>81647</v>
      </c>
      <c r="I22" s="3" t="str">
        <f>VLOOKUP(H22,'[1]Base de Clientes'!$B:$E,4,0)</f>
        <v>BOGARI GESTAO DE INVESTIMENTOS LTDA</v>
      </c>
      <c r="J22" s="5" t="s">
        <v>8</v>
      </c>
      <c r="K22" s="5" t="s">
        <v>136</v>
      </c>
      <c r="L22" s="9">
        <v>142.78232512040907</v>
      </c>
      <c r="M22" s="11" t="s">
        <v>7</v>
      </c>
      <c r="N22" s="13" t="s">
        <v>18</v>
      </c>
      <c r="O22" s="7">
        <v>1</v>
      </c>
      <c r="P22" s="16" t="s">
        <v>305</v>
      </c>
      <c r="R22" s="3"/>
      <c r="T22" s="7"/>
    </row>
    <row r="23" spans="1:20" x14ac:dyDescent="0.25">
      <c r="A23" s="16" t="str">
        <f t="shared" si="0"/>
        <v>CUSTO DMA -CAOE MARTINS SILVA- MARÇO 26</v>
      </c>
      <c r="B23" s="18">
        <v>46082</v>
      </c>
      <c r="C23" s="3">
        <v>817391</v>
      </c>
      <c r="D23" s="3" t="s">
        <v>401</v>
      </c>
      <c r="E23" s="14">
        <f t="shared" si="1"/>
        <v>-140.27614512040901</v>
      </c>
      <c r="F23" s="3" t="s">
        <v>366</v>
      </c>
      <c r="G23" s="18">
        <v>46082</v>
      </c>
      <c r="H23" s="19">
        <v>16703</v>
      </c>
      <c r="I23" s="3" t="str">
        <f>VLOOKUP(H23,'[1]Base de Clientes'!$B:$E,4,0)</f>
        <v>BANCO BRADESCO S/A</v>
      </c>
      <c r="J23" s="5" t="s">
        <v>8</v>
      </c>
      <c r="K23" s="5" t="s">
        <v>381</v>
      </c>
      <c r="L23" s="9">
        <v>140.27614512040901</v>
      </c>
      <c r="M23" s="11" t="s">
        <v>7</v>
      </c>
      <c r="N23" s="13" t="s">
        <v>18</v>
      </c>
      <c r="O23" s="7">
        <v>1</v>
      </c>
      <c r="P23" s="16" t="s">
        <v>538</v>
      </c>
      <c r="R23" s="3"/>
      <c r="T23" s="7"/>
    </row>
    <row r="24" spans="1:20" x14ac:dyDescent="0.25">
      <c r="A24" s="16" t="str">
        <f t="shared" si="0"/>
        <v>CUSTO DMA -ANDRE SOARES- MARÇO 26</v>
      </c>
      <c r="B24" s="18">
        <v>46082</v>
      </c>
      <c r="C24" s="3">
        <v>817391</v>
      </c>
      <c r="D24" s="3" t="s">
        <v>488</v>
      </c>
      <c r="E24" s="14">
        <f t="shared" si="1"/>
        <v>-140.27614512040901</v>
      </c>
      <c r="F24" s="3" t="s">
        <v>366</v>
      </c>
      <c r="G24" s="18">
        <v>46082</v>
      </c>
      <c r="H24" s="19">
        <v>80397</v>
      </c>
      <c r="I24" s="3" t="str">
        <f>VLOOKUP(H24,'[1]Base de Clientes'!$B:$E,4,0)</f>
        <v>DYNAMO ADMINISTRACAO DE RECURSOS LTDA</v>
      </c>
      <c r="J24" s="5" t="s">
        <v>8</v>
      </c>
      <c r="K24" s="5" t="s">
        <v>127</v>
      </c>
      <c r="L24" s="9">
        <v>140.27614512040901</v>
      </c>
      <c r="M24" s="11" t="s">
        <v>7</v>
      </c>
      <c r="N24" s="13" t="s">
        <v>18</v>
      </c>
      <c r="O24" s="7">
        <v>1</v>
      </c>
      <c r="P24" s="16" t="s">
        <v>539</v>
      </c>
      <c r="R24" s="3"/>
      <c r="T24" s="7"/>
    </row>
    <row r="25" spans="1:20" x14ac:dyDescent="0.25">
      <c r="A25" s="16" t="str">
        <f t="shared" si="0"/>
        <v>CUSTO DMA -THIAGO DI BLASI- MARÇO 26</v>
      </c>
      <c r="B25" s="18">
        <v>46082</v>
      </c>
      <c r="C25" s="3">
        <v>817391</v>
      </c>
      <c r="D25" s="3" t="s">
        <v>488</v>
      </c>
      <c r="E25" s="14">
        <f t="shared" si="1"/>
        <v>-2046.6832451204095</v>
      </c>
      <c r="F25" s="3" t="s">
        <v>366</v>
      </c>
      <c r="G25" s="18">
        <v>46082</v>
      </c>
      <c r="H25" s="19">
        <v>80397</v>
      </c>
      <c r="I25" s="3" t="str">
        <f>VLOOKUP(H25,'[1]Base de Clientes'!$B:$E,4,0)</f>
        <v>DYNAMO ADMINISTRACAO DE RECURSOS LTDA</v>
      </c>
      <c r="J25" s="5" t="s">
        <v>8</v>
      </c>
      <c r="K25" s="5" t="s">
        <v>173</v>
      </c>
      <c r="L25" s="9">
        <v>2046.6832451204095</v>
      </c>
      <c r="M25" s="11" t="s">
        <v>7</v>
      </c>
      <c r="N25" s="13" t="s">
        <v>18</v>
      </c>
      <c r="O25" s="7">
        <v>1</v>
      </c>
      <c r="P25" s="16" t="s">
        <v>345</v>
      </c>
      <c r="R25" s="3"/>
      <c r="T25" s="7"/>
    </row>
    <row r="26" spans="1:20" x14ac:dyDescent="0.25">
      <c r="A26" s="16" t="str">
        <f t="shared" si="0"/>
        <v>CUSTO DMA -ANDRÉ MAMED- MARÇO 26</v>
      </c>
      <c r="B26" s="18">
        <v>46082</v>
      </c>
      <c r="C26" s="3">
        <v>817391</v>
      </c>
      <c r="D26" s="3" t="s">
        <v>484</v>
      </c>
      <c r="E26" s="14">
        <f t="shared" si="1"/>
        <v>-1185.9946915204089</v>
      </c>
      <c r="F26" s="3" t="s">
        <v>366</v>
      </c>
      <c r="G26" s="18">
        <v>46082</v>
      </c>
      <c r="H26" s="19">
        <v>83023</v>
      </c>
      <c r="I26" s="3" t="str">
        <f>VLOOKUP(H26,'[1]Base de Clientes'!$B:$E,4,0)</f>
        <v>GARIN INVESTIMENTOS LTDA</v>
      </c>
      <c r="J26" s="5" t="s">
        <v>8</v>
      </c>
      <c r="K26" s="5" t="s">
        <v>122</v>
      </c>
      <c r="L26" s="9">
        <v>1185.9946915204089</v>
      </c>
      <c r="M26" s="11" t="s">
        <v>7</v>
      </c>
      <c r="N26" s="13" t="s">
        <v>18</v>
      </c>
      <c r="O26" s="7">
        <v>1</v>
      </c>
      <c r="P26" s="16" t="s">
        <v>291</v>
      </c>
      <c r="R26" s="3"/>
      <c r="T26" s="7"/>
    </row>
    <row r="27" spans="1:20" x14ac:dyDescent="0.25">
      <c r="A27" s="16" t="str">
        <f t="shared" si="0"/>
        <v>CUSTO DMA -ANDRÉ VIEIRA- MARÇO 26</v>
      </c>
      <c r="B27" s="18">
        <v>46082</v>
      </c>
      <c r="C27" s="3">
        <v>817391</v>
      </c>
      <c r="D27" s="3" t="s">
        <v>484</v>
      </c>
      <c r="E27" s="14">
        <f t="shared" si="1"/>
        <v>-1785.0694429204088</v>
      </c>
      <c r="F27" s="3" t="s">
        <v>366</v>
      </c>
      <c r="G27" s="18">
        <v>46082</v>
      </c>
      <c r="H27" s="19">
        <v>82753</v>
      </c>
      <c r="I27" s="3" t="str">
        <f>VLOOKUP(H27,'[1]Base de Clientes'!$B:$E,4,0)</f>
        <v>GARIN INVESTIMENTOS LTDA</v>
      </c>
      <c r="J27" s="5" t="s">
        <v>8</v>
      </c>
      <c r="K27" s="5" t="s">
        <v>124</v>
      </c>
      <c r="L27" s="9">
        <v>1785.0694429204088</v>
      </c>
      <c r="M27" s="11" t="s">
        <v>7</v>
      </c>
      <c r="N27" s="13" t="s">
        <v>18</v>
      </c>
      <c r="O27" s="7">
        <v>1</v>
      </c>
      <c r="P27" s="16" t="s">
        <v>293</v>
      </c>
      <c r="R27" s="3"/>
      <c r="T27" s="7"/>
    </row>
    <row r="28" spans="1:20" x14ac:dyDescent="0.25">
      <c r="A28" s="16" t="str">
        <f t="shared" si="0"/>
        <v>CUSTO DMA -MATHEUS HENRIQUE DUARTE DOS SANTOS- MARÇO 26</v>
      </c>
      <c r="B28" s="18">
        <v>46082</v>
      </c>
      <c r="C28" s="3">
        <v>817391</v>
      </c>
      <c r="D28" s="3" t="s">
        <v>484</v>
      </c>
      <c r="E28" s="14">
        <f t="shared" si="1"/>
        <v>-430.92556432040897</v>
      </c>
      <c r="F28" s="3" t="s">
        <v>366</v>
      </c>
      <c r="G28" s="18">
        <v>46082</v>
      </c>
      <c r="H28" s="19">
        <v>82753</v>
      </c>
      <c r="I28" s="3" t="str">
        <f>VLOOKUP(H28,'[1]Base de Clientes'!$B:$E,4,0)</f>
        <v>GARIN INVESTIMENTOS LTDA</v>
      </c>
      <c r="J28" s="5" t="s">
        <v>8</v>
      </c>
      <c r="K28" s="5" t="s">
        <v>158</v>
      </c>
      <c r="L28" s="9">
        <v>430.92556432040897</v>
      </c>
      <c r="M28" s="11" t="s">
        <v>7</v>
      </c>
      <c r="N28" s="13" t="s">
        <v>18</v>
      </c>
      <c r="O28" s="7">
        <v>1</v>
      </c>
      <c r="P28" s="16" t="s">
        <v>328</v>
      </c>
      <c r="R28" s="3"/>
      <c r="T28" s="7"/>
    </row>
    <row r="29" spans="1:20" x14ac:dyDescent="0.25">
      <c r="A29" s="16" t="str">
        <f t="shared" si="0"/>
        <v>CUSTO DMA -ERICO FAUSTINO- MARÇO 26</v>
      </c>
      <c r="B29" s="18">
        <v>46082</v>
      </c>
      <c r="C29" s="3">
        <v>817391</v>
      </c>
      <c r="D29" s="3" t="s">
        <v>401</v>
      </c>
      <c r="E29" s="14">
        <f t="shared" si="1"/>
        <v>-140.27614512040901</v>
      </c>
      <c r="F29" s="3" t="s">
        <v>366</v>
      </c>
      <c r="G29" s="18">
        <v>46082</v>
      </c>
      <c r="H29" s="19">
        <v>79791</v>
      </c>
      <c r="I29" s="3" t="str">
        <f>VLOOKUP(H29,'[1]Base de Clientes'!$B:$E,4,0)</f>
        <v>GOLDMAN SACHS DO BRASIL BANCO MULTIPLO S/A</v>
      </c>
      <c r="J29" s="5" t="s">
        <v>8</v>
      </c>
      <c r="K29" s="5" t="s">
        <v>138</v>
      </c>
      <c r="L29" s="9">
        <v>140.27614512040901</v>
      </c>
      <c r="M29" s="11" t="s">
        <v>7</v>
      </c>
      <c r="N29" s="13" t="s">
        <v>18</v>
      </c>
      <c r="O29" s="7">
        <v>1</v>
      </c>
      <c r="P29" s="16" t="s">
        <v>540</v>
      </c>
      <c r="R29" s="3"/>
      <c r="T29" s="7"/>
    </row>
    <row r="30" spans="1:20" x14ac:dyDescent="0.25">
      <c r="A30" s="16" t="str">
        <f t="shared" si="0"/>
        <v>CUSTO DMA -ISABELA TAKARA- MARÇO 26</v>
      </c>
      <c r="B30" s="18">
        <v>46082</v>
      </c>
      <c r="C30" s="3">
        <v>817391</v>
      </c>
      <c r="D30" s="3" t="s">
        <v>401</v>
      </c>
      <c r="E30" s="14">
        <f t="shared" si="1"/>
        <v>-12295.732785120408</v>
      </c>
      <c r="F30" s="3" t="s">
        <v>366</v>
      </c>
      <c r="G30" s="18">
        <v>46082</v>
      </c>
      <c r="H30" s="19">
        <v>123491</v>
      </c>
      <c r="I30" s="3" t="str">
        <f>VLOOKUP(H30,'[1]Base de Clientes'!$B:$E,4,0)</f>
        <v>GOLDMAN SACHS DO BRASIL BANCO MULTIPLO S/A</v>
      </c>
      <c r="J30" s="5" t="s">
        <v>8</v>
      </c>
      <c r="K30" s="5" t="s">
        <v>145</v>
      </c>
      <c r="L30" s="9">
        <v>12295.732785120408</v>
      </c>
      <c r="M30" s="11" t="s">
        <v>7</v>
      </c>
      <c r="N30" s="13" t="s">
        <v>18</v>
      </c>
      <c r="O30" s="7">
        <v>1</v>
      </c>
      <c r="P30" s="16" t="s">
        <v>314</v>
      </c>
      <c r="R30" s="3"/>
      <c r="T30" s="7"/>
    </row>
    <row r="31" spans="1:20" x14ac:dyDescent="0.25">
      <c r="A31" s="16" t="str">
        <f t="shared" si="0"/>
        <v>CUSTO DMA -JOSEPH HOROVITZ- MARÇO 26</v>
      </c>
      <c r="B31" s="18">
        <v>46082</v>
      </c>
      <c r="C31" s="3">
        <v>817391</v>
      </c>
      <c r="D31" s="3" t="s">
        <v>401</v>
      </c>
      <c r="E31" s="14">
        <f t="shared" si="1"/>
        <v>-140.27614512040901</v>
      </c>
      <c r="F31" s="3" t="s">
        <v>366</v>
      </c>
      <c r="G31" s="18">
        <v>46082</v>
      </c>
      <c r="H31" s="19">
        <v>123491</v>
      </c>
      <c r="I31" s="3" t="str">
        <f>VLOOKUP(H31,'[1]Base de Clientes'!$B:$E,4,0)</f>
        <v>GOLDMAN SACHS DO BRASIL BANCO MULTIPLO S/A</v>
      </c>
      <c r="J31" s="5" t="s">
        <v>8</v>
      </c>
      <c r="K31" s="5" t="s">
        <v>148</v>
      </c>
      <c r="L31" s="9">
        <v>140.27614512040901</v>
      </c>
      <c r="M31" s="11" t="s">
        <v>7</v>
      </c>
      <c r="N31" s="13" t="s">
        <v>18</v>
      </c>
      <c r="O31" s="7">
        <v>1</v>
      </c>
      <c r="P31" s="16" t="s">
        <v>541</v>
      </c>
      <c r="R31" s="3"/>
      <c r="T31" s="7"/>
    </row>
    <row r="32" spans="1:20" x14ac:dyDescent="0.25">
      <c r="A32" s="16" t="str">
        <f t="shared" si="0"/>
        <v>CUSTO DMA -LUIZ LOUREIRO- MARÇO 26</v>
      </c>
      <c r="B32" s="18">
        <v>46082</v>
      </c>
      <c r="C32" s="3">
        <v>817391</v>
      </c>
      <c r="D32" s="3" t="s">
        <v>401</v>
      </c>
      <c r="E32" s="14">
        <f t="shared" si="1"/>
        <v>-140.27614512040901</v>
      </c>
      <c r="F32" s="3" t="s">
        <v>366</v>
      </c>
      <c r="G32" s="18">
        <v>46082</v>
      </c>
      <c r="H32" s="19">
        <v>79791</v>
      </c>
      <c r="I32" s="3" t="str">
        <f>VLOOKUP(H32,'[1]Base de Clientes'!$B:$E,4,0)</f>
        <v>GOLDMAN SACHS DO BRASIL BANCO MULTIPLO S/A</v>
      </c>
      <c r="J32" s="5" t="s">
        <v>8</v>
      </c>
      <c r="K32" s="5" t="s">
        <v>154</v>
      </c>
      <c r="L32" s="9">
        <v>140.27614512040901</v>
      </c>
      <c r="M32" s="11" t="s">
        <v>7</v>
      </c>
      <c r="N32" s="13" t="s">
        <v>18</v>
      </c>
      <c r="O32" s="7">
        <v>1</v>
      </c>
      <c r="P32" s="16" t="s">
        <v>542</v>
      </c>
      <c r="R32" s="3"/>
      <c r="T32" s="7"/>
    </row>
    <row r="33" spans="1:20" x14ac:dyDescent="0.25">
      <c r="A33" s="16" t="str">
        <f t="shared" si="0"/>
        <v>CUSTO DMA -GUSTAVO BASSICHETTO- MARÇO 26</v>
      </c>
      <c r="B33" s="18">
        <v>46082</v>
      </c>
      <c r="C33" s="3">
        <v>817391</v>
      </c>
      <c r="D33" s="3" t="s">
        <v>401</v>
      </c>
      <c r="E33" s="14">
        <f t="shared" si="1"/>
        <v>-140.27614512040901</v>
      </c>
      <c r="F33" s="3" t="s">
        <v>366</v>
      </c>
      <c r="G33" s="18">
        <v>46082</v>
      </c>
      <c r="H33" s="19">
        <v>123491</v>
      </c>
      <c r="I33" s="3" t="str">
        <f>VLOOKUP(H33,'[1]Base de Clientes'!$B:$E,4,0)</f>
        <v>GOLDMAN SACHS DO BRASIL BANCO MULTIPLO S/A</v>
      </c>
      <c r="J33" s="5" t="s">
        <v>8</v>
      </c>
      <c r="K33" s="5" t="s">
        <v>178</v>
      </c>
      <c r="L33" s="9">
        <v>140.27614512040901</v>
      </c>
      <c r="M33" s="11" t="s">
        <v>7</v>
      </c>
      <c r="N33" s="13" t="s">
        <v>18</v>
      </c>
      <c r="O33" s="7">
        <v>1</v>
      </c>
      <c r="P33" s="16" t="s">
        <v>543</v>
      </c>
      <c r="R33" s="3"/>
      <c r="T33" s="7"/>
    </row>
    <row r="34" spans="1:20" x14ac:dyDescent="0.25">
      <c r="A34" s="16" t="str">
        <f t="shared" si="0"/>
        <v>CUSTO DMA -HENRIQUE GARCIA- MARÇO 26</v>
      </c>
      <c r="B34" s="18">
        <v>46082</v>
      </c>
      <c r="C34" s="3">
        <v>817391</v>
      </c>
      <c r="D34" s="3" t="s">
        <v>398</v>
      </c>
      <c r="E34" s="14">
        <f t="shared" si="1"/>
        <v>-140.27614512040901</v>
      </c>
      <c r="F34" s="3" t="s">
        <v>366</v>
      </c>
      <c r="G34" s="18">
        <v>46082</v>
      </c>
      <c r="H34" s="19">
        <v>81849</v>
      </c>
      <c r="I34" s="3" t="str">
        <f>VLOOKUP(H34,'[1]Base de Clientes'!$B:$E,4,0)</f>
        <v>IBIUNA GESTAO DE RECURSOS LTDA</v>
      </c>
      <c r="J34" s="5" t="s">
        <v>8</v>
      </c>
      <c r="K34" s="5" t="s">
        <v>143</v>
      </c>
      <c r="L34" s="9">
        <v>140.27614512040901</v>
      </c>
      <c r="M34" s="11" t="s">
        <v>7</v>
      </c>
      <c r="N34" s="13" t="s">
        <v>18</v>
      </c>
      <c r="O34" s="7">
        <v>1</v>
      </c>
      <c r="P34" s="16" t="s">
        <v>544</v>
      </c>
      <c r="R34" s="3"/>
      <c r="T34" s="7"/>
    </row>
    <row r="35" spans="1:20" x14ac:dyDescent="0.25">
      <c r="A35" s="16" t="str">
        <f t="shared" si="0"/>
        <v>CUSTO DMA -LEONARDO PAULO MACHADO- MARÇO 26</v>
      </c>
      <c r="B35" s="18">
        <v>46082</v>
      </c>
      <c r="C35" s="3">
        <v>817391</v>
      </c>
      <c r="D35" s="3" t="s">
        <v>398</v>
      </c>
      <c r="E35" s="14">
        <f t="shared" si="1"/>
        <v>-140.27614512040901</v>
      </c>
      <c r="F35" s="3" t="s">
        <v>366</v>
      </c>
      <c r="G35" s="18">
        <v>46082</v>
      </c>
      <c r="H35" s="19">
        <v>81849</v>
      </c>
      <c r="I35" s="3" t="str">
        <f>VLOOKUP(H35,'[1]Base de Clientes'!$B:$E,4,0)</f>
        <v>IBIUNA GESTAO DE RECURSOS LTDA</v>
      </c>
      <c r="J35" s="5" t="s">
        <v>8</v>
      </c>
      <c r="K35" s="5" t="s">
        <v>153</v>
      </c>
      <c r="L35" s="9">
        <v>140.27614512040901</v>
      </c>
      <c r="M35" s="11" t="s">
        <v>7</v>
      </c>
      <c r="N35" s="13" t="s">
        <v>18</v>
      </c>
      <c r="O35" s="7">
        <v>1</v>
      </c>
      <c r="P35" s="16" t="s">
        <v>545</v>
      </c>
      <c r="R35" s="3"/>
      <c r="T35" s="7"/>
    </row>
    <row r="36" spans="1:20" x14ac:dyDescent="0.25">
      <c r="A36" s="16" t="str">
        <f t="shared" si="0"/>
        <v>CUSTO DMA -ANTONIO GUIMARAES- MARÇO 26</v>
      </c>
      <c r="B36" s="18">
        <v>46082</v>
      </c>
      <c r="C36" s="3">
        <v>817391</v>
      </c>
      <c r="D36" s="3" t="s">
        <v>397</v>
      </c>
      <c r="E36" s="14">
        <f t="shared" si="1"/>
        <v>-70.138072560204506</v>
      </c>
      <c r="F36" s="3" t="s">
        <v>366</v>
      </c>
      <c r="G36" s="18">
        <v>46082</v>
      </c>
      <c r="H36" s="19">
        <v>82010</v>
      </c>
      <c r="I36" s="3" t="str">
        <f>VLOOKUP(H36,'[1]Base de Clientes'!$B:$E,4,0)</f>
        <v>ITAU UNIBANCO ASSET - JANEIRO</v>
      </c>
      <c r="J36" s="5" t="s">
        <v>8</v>
      </c>
      <c r="K36" s="5" t="s">
        <v>123</v>
      </c>
      <c r="L36" s="9">
        <v>140.27614512040901</v>
      </c>
      <c r="M36" s="11" t="s">
        <v>7</v>
      </c>
      <c r="N36" s="13" t="s">
        <v>18</v>
      </c>
      <c r="O36" s="7">
        <v>0.5</v>
      </c>
      <c r="P36" s="16" t="s">
        <v>546</v>
      </c>
      <c r="R36" s="3"/>
      <c r="T36" s="7"/>
    </row>
    <row r="37" spans="1:20" x14ac:dyDescent="0.25">
      <c r="A37" s="16" t="str">
        <f t="shared" ref="A37" si="8">CONCATENATE(J37,M37,K37,M37,N37)</f>
        <v>CUSTO DMA -ANTONIO GUIMARAES- MARÇO 26</v>
      </c>
      <c r="B37" s="18">
        <v>46082</v>
      </c>
      <c r="C37" s="3">
        <v>817391</v>
      </c>
      <c r="D37" s="3" t="s">
        <v>401</v>
      </c>
      <c r="E37" s="14">
        <f t="shared" ref="E37" si="9">-L37*O37</f>
        <v>-70.138072560204506</v>
      </c>
      <c r="F37" s="3" t="s">
        <v>366</v>
      </c>
      <c r="G37" s="18">
        <v>46082</v>
      </c>
      <c r="H37" s="19">
        <v>82010</v>
      </c>
      <c r="I37" s="3" t="str">
        <f>VLOOKUP(H37,'[1]Base de Clientes'!$B:$E,4,0)</f>
        <v>ITAU UNIBANCO ASSET - JANEIRO</v>
      </c>
      <c r="J37" s="5" t="s">
        <v>8</v>
      </c>
      <c r="K37" s="5" t="s">
        <v>123</v>
      </c>
      <c r="L37" s="9">
        <v>140.27614512040901</v>
      </c>
      <c r="M37" s="11" t="s">
        <v>7</v>
      </c>
      <c r="N37" s="13" t="s">
        <v>18</v>
      </c>
      <c r="O37" s="7">
        <v>0.5</v>
      </c>
      <c r="P37" s="16" t="s">
        <v>546</v>
      </c>
      <c r="R37" s="3"/>
      <c r="T37" s="7"/>
    </row>
    <row r="38" spans="1:20" x14ac:dyDescent="0.25">
      <c r="A38" s="16" t="str">
        <f t="shared" si="0"/>
        <v>CUSTO DMA -JOÃO PAULO GOIS SPECK- MARÇO 26</v>
      </c>
      <c r="B38" s="18">
        <v>46082</v>
      </c>
      <c r="C38" s="3">
        <v>817391</v>
      </c>
      <c r="D38" s="3" t="s">
        <v>401</v>
      </c>
      <c r="E38" s="14">
        <f t="shared" si="1"/>
        <v>-140.27614512040901</v>
      </c>
      <c r="F38" s="3" t="s">
        <v>366</v>
      </c>
      <c r="G38" s="18">
        <v>46082</v>
      </c>
      <c r="H38" s="19">
        <v>82258</v>
      </c>
      <c r="I38" s="3" t="str">
        <f>VLOOKUP(H38,'[1]Base de Clientes'!$B:$E,4,0)</f>
        <v>BANCO JP MORGAN S/A</v>
      </c>
      <c r="J38" s="5" t="s">
        <v>8</v>
      </c>
      <c r="K38" s="5" t="s">
        <v>150</v>
      </c>
      <c r="L38" s="9">
        <v>140.27614512040901</v>
      </c>
      <c r="M38" s="11" t="s">
        <v>7</v>
      </c>
      <c r="N38" s="13" t="s">
        <v>18</v>
      </c>
      <c r="O38" s="7">
        <v>1</v>
      </c>
      <c r="P38" s="16" t="s">
        <v>547</v>
      </c>
      <c r="R38" s="3"/>
      <c r="T38" s="7"/>
    </row>
    <row r="39" spans="1:20" x14ac:dyDescent="0.25">
      <c r="A39" s="16" t="str">
        <f t="shared" si="0"/>
        <v>CUSTO DMA -VITOR KASSAB- MARÇO 26</v>
      </c>
      <c r="B39" s="18">
        <v>46082</v>
      </c>
      <c r="C39" s="3">
        <v>817391</v>
      </c>
      <c r="D39" s="3" t="s">
        <v>401</v>
      </c>
      <c r="E39" s="14">
        <f t="shared" si="1"/>
        <v>-140.27614512040901</v>
      </c>
      <c r="F39" s="3" t="s">
        <v>366</v>
      </c>
      <c r="G39" s="18">
        <v>46082</v>
      </c>
      <c r="H39" s="19">
        <v>82255</v>
      </c>
      <c r="I39" s="3" t="str">
        <f>VLOOKUP(H39,'[1]Base de Clientes'!$B:$E,4,0)</f>
        <v>BANCO JP MORGAN S/A</v>
      </c>
      <c r="J39" s="5" t="s">
        <v>8</v>
      </c>
      <c r="K39" s="5" t="s">
        <v>182</v>
      </c>
      <c r="L39" s="9">
        <v>140.27614512040901</v>
      </c>
      <c r="M39" s="11" t="s">
        <v>7</v>
      </c>
      <c r="N39" s="13" t="s">
        <v>18</v>
      </c>
      <c r="O39" s="7">
        <v>1</v>
      </c>
      <c r="P39" s="16" t="s">
        <v>548</v>
      </c>
      <c r="R39" s="3"/>
      <c r="T39" s="7"/>
    </row>
    <row r="40" spans="1:20" x14ac:dyDescent="0.25">
      <c r="A40" s="16" t="str">
        <f t="shared" si="0"/>
        <v>CUSTO DMA -GABRIEL LIMA - MARÇO 26</v>
      </c>
      <c r="B40" s="18">
        <v>46082</v>
      </c>
      <c r="C40" s="3">
        <v>817391</v>
      </c>
      <c r="D40" s="3" t="s">
        <v>401</v>
      </c>
      <c r="E40" s="14">
        <f t="shared" si="1"/>
        <v>-297.16614512040906</v>
      </c>
      <c r="F40" s="3" t="s">
        <v>366</v>
      </c>
      <c r="G40" s="18">
        <v>46082</v>
      </c>
      <c r="H40" s="19">
        <v>12413</v>
      </c>
      <c r="I40" s="3" t="str">
        <f>VLOOKUP(H40,'[1]Base de Clientes'!$B:$E,4,0)</f>
        <v>KAPITALO INVESTIMENTOS LTDA</v>
      </c>
      <c r="J40" s="5" t="s">
        <v>8</v>
      </c>
      <c r="K40" s="5" t="s">
        <v>142</v>
      </c>
      <c r="L40" s="9">
        <v>297.16614512040906</v>
      </c>
      <c r="M40" s="11" t="s">
        <v>7</v>
      </c>
      <c r="N40" s="13" t="s">
        <v>18</v>
      </c>
      <c r="O40" s="7">
        <v>1</v>
      </c>
      <c r="P40" s="16" t="s">
        <v>311</v>
      </c>
      <c r="R40" s="3"/>
      <c r="T40" s="7"/>
    </row>
    <row r="41" spans="1:20" x14ac:dyDescent="0.25">
      <c r="A41" s="16" t="str">
        <f t="shared" si="0"/>
        <v>CUSTO DMA -MATHEUS KWON- MARÇO 26</v>
      </c>
      <c r="B41" s="18">
        <v>46082</v>
      </c>
      <c r="C41" s="3">
        <v>817391</v>
      </c>
      <c r="D41" s="3" t="s">
        <v>401</v>
      </c>
      <c r="E41" s="14">
        <f t="shared" si="1"/>
        <v>-871.12614512040898</v>
      </c>
      <c r="F41" s="3" t="s">
        <v>366</v>
      </c>
      <c r="G41" s="18">
        <v>46082</v>
      </c>
      <c r="H41" s="19">
        <v>12413</v>
      </c>
      <c r="I41" s="3" t="str">
        <f>VLOOKUP(H41,'[1]Base de Clientes'!$B:$E,4,0)</f>
        <v>KAPITALO INVESTIMENTOS LTDA</v>
      </c>
      <c r="J41" s="5" t="s">
        <v>8</v>
      </c>
      <c r="K41" s="5" t="s">
        <v>155</v>
      </c>
      <c r="L41" s="9">
        <v>871.12614512040898</v>
      </c>
      <c r="M41" s="11" t="s">
        <v>7</v>
      </c>
      <c r="N41" s="13" t="s">
        <v>18</v>
      </c>
      <c r="O41" s="7">
        <v>1</v>
      </c>
      <c r="P41" s="16" t="s">
        <v>325</v>
      </c>
      <c r="R41" s="3"/>
      <c r="T41" s="7"/>
    </row>
    <row r="42" spans="1:20" x14ac:dyDescent="0.25">
      <c r="A42" s="16" t="str">
        <f t="shared" si="0"/>
        <v>CUSTO DMA. -RAFAEL POPPE- MARÇO 26</v>
      </c>
      <c r="B42" s="18">
        <v>46082</v>
      </c>
      <c r="C42" s="3">
        <v>817391</v>
      </c>
      <c r="D42" s="3" t="s">
        <v>401</v>
      </c>
      <c r="E42" s="14">
        <f t="shared" si="1"/>
        <v>-140.27614512040901</v>
      </c>
      <c r="F42" s="3" t="s">
        <v>366</v>
      </c>
      <c r="G42" s="18">
        <v>46082</v>
      </c>
      <c r="H42" s="19">
        <v>80492</v>
      </c>
      <c r="I42" s="3" t="str">
        <f>VLOOKUP(H42,'[1]Base de Clientes'!$B:$E,4,0)</f>
        <v>KAPITALO INVESTIMENTOS LTDA</v>
      </c>
      <c r="J42" s="5" t="s">
        <v>15</v>
      </c>
      <c r="K42" s="5" t="s">
        <v>80</v>
      </c>
      <c r="L42" s="9">
        <v>140.27614512040901</v>
      </c>
      <c r="M42" s="11" t="s">
        <v>7</v>
      </c>
      <c r="N42" s="13" t="s">
        <v>18</v>
      </c>
      <c r="O42" s="7">
        <v>1</v>
      </c>
      <c r="P42" s="16" t="s">
        <v>549</v>
      </c>
      <c r="R42" s="3"/>
      <c r="T42" s="7"/>
    </row>
    <row r="43" spans="1:20" x14ac:dyDescent="0.25">
      <c r="A43" s="16" t="str">
        <f t="shared" si="0"/>
        <v>CUSTO DMA -RODRIGO LIVIANU- MARÇO 26</v>
      </c>
      <c r="B43" s="18">
        <v>46082</v>
      </c>
      <c r="C43" s="3">
        <v>817391</v>
      </c>
      <c r="D43" s="3" t="s">
        <v>401</v>
      </c>
      <c r="E43" s="14">
        <f t="shared" si="1"/>
        <v>-2985.8187351204087</v>
      </c>
      <c r="F43" s="3" t="s">
        <v>366</v>
      </c>
      <c r="G43" s="18">
        <v>46082</v>
      </c>
      <c r="H43" s="19">
        <v>12413</v>
      </c>
      <c r="I43" s="3" t="str">
        <f>VLOOKUP(H43,'[1]Base de Clientes'!$B:$E,4,0)</f>
        <v>KAPITALO INVESTIMENTOS LTDA</v>
      </c>
      <c r="J43" s="5" t="s">
        <v>8</v>
      </c>
      <c r="K43" s="5" t="s">
        <v>165</v>
      </c>
      <c r="L43" s="9">
        <v>2985.8187351204087</v>
      </c>
      <c r="M43" s="11" t="s">
        <v>7</v>
      </c>
      <c r="N43" s="13" t="s">
        <v>18</v>
      </c>
      <c r="O43" s="7">
        <v>1</v>
      </c>
      <c r="P43" s="16" t="s">
        <v>337</v>
      </c>
      <c r="R43" s="3"/>
      <c r="T43" s="7"/>
    </row>
    <row r="44" spans="1:20" x14ac:dyDescent="0.25">
      <c r="A44" s="16" t="str">
        <f t="shared" si="0"/>
        <v>CUSTO DMA -CARLO MORATELLI- MARÇO 26</v>
      </c>
      <c r="B44" s="18">
        <v>46082</v>
      </c>
      <c r="C44" s="3">
        <v>817391</v>
      </c>
      <c r="D44" s="3" t="s">
        <v>486</v>
      </c>
      <c r="E44" s="14">
        <f t="shared" si="1"/>
        <v>-8708.5706411204101</v>
      </c>
      <c r="F44" s="3" t="s">
        <v>366</v>
      </c>
      <c r="G44" s="18">
        <v>46082</v>
      </c>
      <c r="H44" s="19">
        <v>82248</v>
      </c>
      <c r="I44" s="3" t="str">
        <f>VLOOKUP(H44,'[1]Base de Clientes'!$B:$E,4,0)</f>
        <v>MORE INVEST GESTORA DE RECURSOS LTDA</v>
      </c>
      <c r="J44" s="5" t="s">
        <v>8</v>
      </c>
      <c r="K44" s="5" t="s">
        <v>131</v>
      </c>
      <c r="L44" s="9">
        <v>8708.5706411204101</v>
      </c>
      <c r="M44" s="11" t="s">
        <v>7</v>
      </c>
      <c r="N44" s="13" t="s">
        <v>18</v>
      </c>
      <c r="O44" s="7">
        <v>1</v>
      </c>
      <c r="P44" s="16" t="s">
        <v>300</v>
      </c>
      <c r="R44" s="3"/>
      <c r="T44" s="7"/>
    </row>
    <row r="45" spans="1:20" x14ac:dyDescent="0.25">
      <c r="A45" s="16" t="str">
        <f t="shared" si="0"/>
        <v>CUSTO DMA. -JOSÉ PEDRO BORGES- MARÇO 26</v>
      </c>
      <c r="B45" s="18">
        <v>46082</v>
      </c>
      <c r="C45" s="3">
        <v>817391</v>
      </c>
      <c r="D45" s="3" t="s">
        <v>486</v>
      </c>
      <c r="E45" s="14">
        <f t="shared" si="1"/>
        <v>-350.25558783540907</v>
      </c>
      <c r="F45" s="3" t="s">
        <v>366</v>
      </c>
      <c r="G45" s="18">
        <v>46082</v>
      </c>
      <c r="H45" s="19">
        <v>82778</v>
      </c>
      <c r="I45" s="3" t="str">
        <f>VLOOKUP(H45,'[1]Base de Clientes'!$B:$E,4,0)</f>
        <v>MORE INVEST GESTORA DE RECURSOS LTDA</v>
      </c>
      <c r="J45" s="5" t="s">
        <v>15</v>
      </c>
      <c r="K45" s="5" t="s">
        <v>147</v>
      </c>
      <c r="L45" s="9">
        <v>350.25558783540907</v>
      </c>
      <c r="M45" s="11" t="s">
        <v>7</v>
      </c>
      <c r="N45" s="13" t="s">
        <v>18</v>
      </c>
      <c r="O45" s="7">
        <v>1</v>
      </c>
      <c r="P45" s="16" t="s">
        <v>316</v>
      </c>
      <c r="R45" s="3"/>
      <c r="T45" s="7"/>
    </row>
    <row r="46" spans="1:20" x14ac:dyDescent="0.25">
      <c r="A46" s="16" t="str">
        <f t="shared" si="0"/>
        <v>CUSTO DMA -MARCELO MARQUES- MARÇO 26</v>
      </c>
      <c r="B46" s="18">
        <v>46082</v>
      </c>
      <c r="C46" s="3">
        <v>817391</v>
      </c>
      <c r="D46" s="3" t="s">
        <v>486</v>
      </c>
      <c r="E46" s="14">
        <f t="shared" si="1"/>
        <v>-312.76543862040904</v>
      </c>
      <c r="F46" s="3" t="s">
        <v>366</v>
      </c>
      <c r="G46" s="18">
        <v>46082</v>
      </c>
      <c r="H46" s="19">
        <v>82901</v>
      </c>
      <c r="I46" s="3" t="str">
        <f>VLOOKUP(H46,'[1]Base de Clientes'!$B:$E,4,0)</f>
        <v>MORE INVEST GESTORA DE RECURSOS LTDA</v>
      </c>
      <c r="J46" s="5" t="s">
        <v>8</v>
      </c>
      <c r="K46" s="5" t="s">
        <v>160</v>
      </c>
      <c r="L46" s="9">
        <v>312.76543862040904</v>
      </c>
      <c r="M46" s="11" t="s">
        <v>7</v>
      </c>
      <c r="N46" s="13" t="s">
        <v>18</v>
      </c>
      <c r="O46" s="7">
        <v>1</v>
      </c>
      <c r="P46" s="16" t="s">
        <v>330</v>
      </c>
      <c r="R46" s="3"/>
      <c r="T46" s="7"/>
    </row>
    <row r="47" spans="1:20" x14ac:dyDescent="0.25">
      <c r="A47" s="16" t="str">
        <f t="shared" ref="A47" si="10">CONCATENATE(J47,M47,K47,M47,N47)</f>
        <v>CUSTO DMA -RODRIGO ALVES BRAGA- MARÇO 26</v>
      </c>
      <c r="B47" s="18">
        <v>46082</v>
      </c>
      <c r="C47" s="3">
        <v>817391</v>
      </c>
      <c r="D47" s="3" t="s">
        <v>486</v>
      </c>
      <c r="E47" s="14">
        <f t="shared" si="1"/>
        <v>-140.27614512040901</v>
      </c>
      <c r="F47" s="3" t="s">
        <v>366</v>
      </c>
      <c r="G47" s="18">
        <v>46082</v>
      </c>
      <c r="H47" s="19">
        <v>12404</v>
      </c>
      <c r="I47" s="3" t="str">
        <f>VLOOKUP(H47,'[1]Base de Clientes'!$B:$E,4,0)</f>
        <v>MORE INVEST GESTORA DE RECURSOS LTDA</v>
      </c>
      <c r="J47" s="5" t="s">
        <v>8</v>
      </c>
      <c r="K47" s="5" t="s">
        <v>167</v>
      </c>
      <c r="L47" s="9">
        <v>140.27614512040901</v>
      </c>
      <c r="M47" s="11" t="s">
        <v>7</v>
      </c>
      <c r="N47" s="13" t="s">
        <v>18</v>
      </c>
      <c r="O47" s="7">
        <v>1</v>
      </c>
      <c r="P47" s="16" t="s">
        <v>550</v>
      </c>
      <c r="R47" s="3"/>
      <c r="T47" s="7"/>
    </row>
    <row r="48" spans="1:20" x14ac:dyDescent="0.25">
      <c r="A48" s="16" t="str">
        <f t="shared" si="0"/>
        <v>CUSTO DMA -YURI DE OLIVEIRA BIALOSKORSKI - MARÇO 26</v>
      </c>
      <c r="B48" s="18">
        <v>46082</v>
      </c>
      <c r="C48" s="3">
        <v>817391</v>
      </c>
      <c r="D48" s="3" t="s">
        <v>486</v>
      </c>
      <c r="E48" s="14">
        <f t="shared" si="1"/>
        <v>-465.54614512040905</v>
      </c>
      <c r="F48" s="3" t="s">
        <v>366</v>
      </c>
      <c r="G48" s="18">
        <v>46082</v>
      </c>
      <c r="H48" s="19">
        <v>82967</v>
      </c>
      <c r="I48" s="3" t="str">
        <f>VLOOKUP(H48,'[1]Base de Clientes'!$B:$E,4,0)</f>
        <v>MORE INVEST GESTORA DE RECURSOS LTDA</v>
      </c>
      <c r="J48" s="5" t="s">
        <v>8</v>
      </c>
      <c r="K48" s="5" t="s">
        <v>186</v>
      </c>
      <c r="L48" s="9">
        <v>465.54614512040905</v>
      </c>
      <c r="M48" s="11" t="s">
        <v>7</v>
      </c>
      <c r="N48" s="13" t="s">
        <v>18</v>
      </c>
      <c r="O48" s="7">
        <v>1</v>
      </c>
      <c r="P48" s="16" t="s">
        <v>361</v>
      </c>
      <c r="R48" s="3"/>
      <c r="T48" s="7"/>
    </row>
    <row r="49" spans="1:20" x14ac:dyDescent="0.25">
      <c r="A49" s="16" t="str">
        <f t="shared" si="0"/>
        <v>CUSTO DMA -THIAGO SANTOS- MARÇO 26</v>
      </c>
      <c r="B49" s="18">
        <v>46082</v>
      </c>
      <c r="C49" s="3">
        <v>817391</v>
      </c>
      <c r="D49" s="3" t="s">
        <v>397</v>
      </c>
      <c r="E49" s="14">
        <f t="shared" si="1"/>
        <v>-141.27614512040904</v>
      </c>
      <c r="F49" s="3" t="s">
        <v>366</v>
      </c>
      <c r="G49" s="18">
        <v>46082</v>
      </c>
      <c r="H49" s="19">
        <v>80389</v>
      </c>
      <c r="I49" s="3" t="str">
        <f>VLOOKUP(H49,'[1]Base de Clientes'!$B:$E,4,0)</f>
        <v>NAVI CAPITAL ADMINISTRADORA E GESTORA DE RECURSOS FINANCEIRO</v>
      </c>
      <c r="J49" s="5" t="s">
        <v>8</v>
      </c>
      <c r="K49" s="5" t="s">
        <v>179</v>
      </c>
      <c r="L49" s="9">
        <v>141.27614512040904</v>
      </c>
      <c r="M49" s="11" t="s">
        <v>7</v>
      </c>
      <c r="N49" s="13" t="s">
        <v>18</v>
      </c>
      <c r="O49" s="7">
        <v>1</v>
      </c>
      <c r="P49" s="16" t="s">
        <v>352</v>
      </c>
      <c r="R49" s="3"/>
      <c r="T49" s="7"/>
    </row>
    <row r="50" spans="1:20" x14ac:dyDescent="0.25">
      <c r="A50" s="16" t="str">
        <f t="shared" si="0"/>
        <v>CUSTO DMA. -RICARDO BERNSTEIN- MARÇO 26</v>
      </c>
      <c r="B50" s="18">
        <v>46082</v>
      </c>
      <c r="C50" s="3">
        <v>817391</v>
      </c>
      <c r="D50" s="3" t="s">
        <v>398</v>
      </c>
      <c r="E50" s="14">
        <f t="shared" si="1"/>
        <v>-140.27614512040901</v>
      </c>
      <c r="F50" s="3" t="s">
        <v>366</v>
      </c>
      <c r="G50" s="18">
        <v>46082</v>
      </c>
      <c r="H50" s="19">
        <v>12296</v>
      </c>
      <c r="I50" s="3" t="str">
        <f>VLOOKUP(H50,'[1]Base de Clientes'!$B:$E,4,0)</f>
        <v>PATRIA INVESTIMENTOS LTDA</v>
      </c>
      <c r="J50" s="5" t="s">
        <v>15</v>
      </c>
      <c r="K50" s="5" t="s">
        <v>83</v>
      </c>
      <c r="L50" s="9">
        <v>140.27614512040901</v>
      </c>
      <c r="M50" s="11" t="s">
        <v>7</v>
      </c>
      <c r="N50" s="13" t="s">
        <v>18</v>
      </c>
      <c r="O50" s="7">
        <v>1</v>
      </c>
      <c r="P50" s="16" t="s">
        <v>551</v>
      </c>
      <c r="R50" s="3"/>
      <c r="T50" s="7"/>
    </row>
    <row r="51" spans="1:20" x14ac:dyDescent="0.25">
      <c r="A51" s="16" t="str">
        <f t="shared" si="0"/>
        <v>CUSTO DMA. -WILLIAM LEITE- MARÇO 26</v>
      </c>
      <c r="B51" s="18">
        <v>46082</v>
      </c>
      <c r="C51" s="3">
        <v>817391</v>
      </c>
      <c r="D51" s="3" t="s">
        <v>398</v>
      </c>
      <c r="E51" s="14">
        <f t="shared" si="1"/>
        <v>-686.43059312040964</v>
      </c>
      <c r="F51" s="3" t="s">
        <v>366</v>
      </c>
      <c r="G51" s="18">
        <v>46082</v>
      </c>
      <c r="H51" s="19">
        <v>12296</v>
      </c>
      <c r="I51" s="3" t="str">
        <f>VLOOKUP(H51,'[1]Base de Clientes'!$B:$E,4,0)</f>
        <v>PATRIA INVESTIMENTOS LTDA</v>
      </c>
      <c r="J51" s="5" t="s">
        <v>15</v>
      </c>
      <c r="K51" s="5" t="s">
        <v>111</v>
      </c>
      <c r="L51" s="9">
        <v>686.43059312040964</v>
      </c>
      <c r="M51" s="11" t="s">
        <v>7</v>
      </c>
      <c r="N51" s="13" t="s">
        <v>18</v>
      </c>
      <c r="O51" s="7">
        <v>1</v>
      </c>
      <c r="P51" s="16" t="s">
        <v>358</v>
      </c>
      <c r="R51" s="3"/>
      <c r="T51" s="7"/>
    </row>
    <row r="52" spans="1:20" x14ac:dyDescent="0.25">
      <c r="A52" s="16" t="str">
        <f t="shared" si="0"/>
        <v>CUSTO DMA -ANDERSON LUEDERS- MARÇO 26</v>
      </c>
      <c r="B52" s="18">
        <v>46082</v>
      </c>
      <c r="C52" s="3">
        <v>817391</v>
      </c>
      <c r="D52" s="3" t="s">
        <v>411</v>
      </c>
      <c r="E52" s="14">
        <f t="shared" si="1"/>
        <v>-3320.9858379404091</v>
      </c>
      <c r="F52" s="3" t="s">
        <v>366</v>
      </c>
      <c r="G52" s="18">
        <v>46082</v>
      </c>
      <c r="H52" s="19">
        <v>80783</v>
      </c>
      <c r="I52" s="3" t="str">
        <f>VLOOKUP(H52,'[1]Base de Clientes'!$B:$E,4,0)</f>
        <v>REAL INVESTOR ASSET MANAGEMENT LTDA</v>
      </c>
      <c r="J52" s="5" t="s">
        <v>8</v>
      </c>
      <c r="K52" s="5" t="s">
        <v>121</v>
      </c>
      <c r="L52" s="9">
        <v>3320.9858379404091</v>
      </c>
      <c r="M52" s="11" t="s">
        <v>7</v>
      </c>
      <c r="N52" s="13" t="s">
        <v>18</v>
      </c>
      <c r="O52" s="7">
        <v>1</v>
      </c>
      <c r="P52" s="16" t="s">
        <v>290</v>
      </c>
      <c r="R52" s="3"/>
      <c r="T52" s="7"/>
    </row>
    <row r="53" spans="1:20" x14ac:dyDescent="0.25">
      <c r="A53" s="16" t="str">
        <f t="shared" si="0"/>
        <v>CUSTO DMA -CESAR PAIVA- MARÇO 26</v>
      </c>
      <c r="B53" s="18">
        <v>46082</v>
      </c>
      <c r="C53" s="3">
        <v>817391</v>
      </c>
      <c r="D53" s="3" t="s">
        <v>411</v>
      </c>
      <c r="E53" s="14">
        <f t="shared" si="1"/>
        <v>-140.27614512040901</v>
      </c>
      <c r="F53" s="3" t="s">
        <v>366</v>
      </c>
      <c r="G53" s="18">
        <v>46082</v>
      </c>
      <c r="H53" s="19">
        <v>81035</v>
      </c>
      <c r="I53" s="3" t="str">
        <f>VLOOKUP(H53,'[1]Base de Clientes'!$B:$E,4,0)</f>
        <v>REAL INVESTOR ASSET MANAGEMENT LTDA</v>
      </c>
      <c r="J53" s="5" t="s">
        <v>8</v>
      </c>
      <c r="K53" s="5" t="s">
        <v>132</v>
      </c>
      <c r="L53" s="9">
        <v>140.27614512040901</v>
      </c>
      <c r="M53" s="11" t="s">
        <v>7</v>
      </c>
      <c r="N53" s="13" t="s">
        <v>18</v>
      </c>
      <c r="O53" s="7">
        <v>1</v>
      </c>
      <c r="P53" s="16" t="s">
        <v>552</v>
      </c>
      <c r="R53" s="3"/>
      <c r="T53" s="7"/>
    </row>
    <row r="54" spans="1:20" x14ac:dyDescent="0.25">
      <c r="A54" s="16" t="str">
        <f t="shared" si="0"/>
        <v>CUSTO DMA -LEANDRO FIUZA- MARÇO 26</v>
      </c>
      <c r="B54" s="18">
        <v>46082</v>
      </c>
      <c r="C54" s="3">
        <v>817391</v>
      </c>
      <c r="D54" s="3" t="s">
        <v>411</v>
      </c>
      <c r="E54" s="14">
        <f t="shared" si="1"/>
        <v>-140.27614512040901</v>
      </c>
      <c r="F54" s="3" t="s">
        <v>366</v>
      </c>
      <c r="G54" s="18">
        <v>46082</v>
      </c>
      <c r="H54" s="19">
        <v>81035</v>
      </c>
      <c r="I54" s="3" t="str">
        <f>VLOOKUP(H54,'[1]Base de Clientes'!$B:$E,4,0)</f>
        <v>REAL INVESTOR ASSET MANAGEMENT LTDA</v>
      </c>
      <c r="J54" s="5" t="s">
        <v>8</v>
      </c>
      <c r="K54" s="5" t="s">
        <v>152</v>
      </c>
      <c r="L54" s="9">
        <v>140.27614512040901</v>
      </c>
      <c r="M54" s="11" t="s">
        <v>7</v>
      </c>
      <c r="N54" s="13" t="s">
        <v>18</v>
      </c>
      <c r="O54" s="7">
        <v>1</v>
      </c>
      <c r="P54" s="16" t="s">
        <v>553</v>
      </c>
      <c r="R54" s="3"/>
      <c r="T54" s="7"/>
    </row>
    <row r="55" spans="1:20" x14ac:dyDescent="0.25">
      <c r="A55" s="16" t="str">
        <f t="shared" si="0"/>
        <v>CUSTO DMA -MATEUS LANDIM- MARÇO 26</v>
      </c>
      <c r="B55" s="18">
        <v>46082</v>
      </c>
      <c r="C55" s="3">
        <v>817391</v>
      </c>
      <c r="D55" s="3" t="s">
        <v>411</v>
      </c>
      <c r="E55" s="14">
        <f t="shared" si="1"/>
        <v>-140.27614512040901</v>
      </c>
      <c r="F55" s="3" t="s">
        <v>366</v>
      </c>
      <c r="G55" s="18">
        <v>46082</v>
      </c>
      <c r="H55" s="19">
        <v>125571</v>
      </c>
      <c r="I55" s="3" t="str">
        <f>VLOOKUP(H55,'[1]Base de Clientes'!$B:$E,4,0)</f>
        <v>REAL INVESTOR ASSET MANAGEMENT LTDA</v>
      </c>
      <c r="J55" s="5" t="s">
        <v>8</v>
      </c>
      <c r="K55" s="5" t="s">
        <v>159</v>
      </c>
      <c r="L55" s="9">
        <v>140.27614512040901</v>
      </c>
      <c r="M55" s="11" t="s">
        <v>7</v>
      </c>
      <c r="N55" s="13" t="s">
        <v>18</v>
      </c>
      <c r="O55" s="7">
        <v>1</v>
      </c>
      <c r="P55" s="16" t="s">
        <v>554</v>
      </c>
      <c r="R55" s="3"/>
      <c r="T55" s="7"/>
    </row>
    <row r="56" spans="1:20" x14ac:dyDescent="0.25">
      <c r="A56" s="16" t="str">
        <f t="shared" si="0"/>
        <v>CUSTO DMA -RODRIGO SANTOS- MARÇO 26</v>
      </c>
      <c r="B56" s="18">
        <v>46082</v>
      </c>
      <c r="C56" s="3">
        <v>817391</v>
      </c>
      <c r="D56" s="3" t="s">
        <v>411</v>
      </c>
      <c r="E56" s="14">
        <f t="shared" si="1"/>
        <v>-252.93700272040903</v>
      </c>
      <c r="F56" s="3" t="s">
        <v>366</v>
      </c>
      <c r="G56" s="18">
        <v>46082</v>
      </c>
      <c r="H56" s="19">
        <v>80783</v>
      </c>
      <c r="I56" s="3" t="str">
        <f>VLOOKUP(H56,'[1]Base de Clientes'!$B:$E,4,0)</f>
        <v>REAL INVESTOR ASSET MANAGEMENT LTDA</v>
      </c>
      <c r="J56" s="5" t="s">
        <v>8</v>
      </c>
      <c r="K56" s="5" t="s">
        <v>168</v>
      </c>
      <c r="L56" s="9">
        <v>252.93700272040903</v>
      </c>
      <c r="M56" s="11" t="s">
        <v>7</v>
      </c>
      <c r="N56" s="13" t="s">
        <v>18</v>
      </c>
      <c r="O56" s="7">
        <v>1</v>
      </c>
      <c r="P56" s="16" t="s">
        <v>340</v>
      </c>
      <c r="R56" s="3"/>
      <c r="T56" s="7"/>
    </row>
    <row r="57" spans="1:20" x14ac:dyDescent="0.25">
      <c r="A57" s="16" t="str">
        <f t="shared" si="0"/>
        <v>CUSTO DMA -RODRIGO PILEGGI- MARÇO 26</v>
      </c>
      <c r="B57" s="18">
        <v>46082</v>
      </c>
      <c r="C57" s="3">
        <v>817391</v>
      </c>
      <c r="D57" s="3" t="s">
        <v>411</v>
      </c>
      <c r="E57" s="14">
        <f t="shared" si="1"/>
        <v>-140.27614512040901</v>
      </c>
      <c r="F57" s="3" t="s">
        <v>366</v>
      </c>
      <c r="G57" s="18">
        <v>46082</v>
      </c>
      <c r="H57" s="19">
        <v>81374</v>
      </c>
      <c r="I57" s="3" t="str">
        <f>VLOOKUP(H57,'[1]Base de Clientes'!$B:$E,4,0)</f>
        <v>REAL INVESTOR ASSET MANAGEMENT LTDA</v>
      </c>
      <c r="J57" s="5" t="s">
        <v>8</v>
      </c>
      <c r="K57" s="5" t="s">
        <v>169</v>
      </c>
      <c r="L57" s="9">
        <v>140.27614512040901</v>
      </c>
      <c r="M57" s="11" t="s">
        <v>7</v>
      </c>
      <c r="N57" s="13" t="s">
        <v>18</v>
      </c>
      <c r="O57" s="7">
        <v>1</v>
      </c>
      <c r="P57" s="16" t="s">
        <v>555</v>
      </c>
      <c r="R57" s="3"/>
      <c r="T57" s="7"/>
    </row>
    <row r="58" spans="1:20" x14ac:dyDescent="0.25">
      <c r="A58" s="16" t="str">
        <f t="shared" ref="A58" si="11">CONCATENATE(J58,M58,K58,M58,N58)</f>
        <v>CUSTO DMA -ANDRÉ BLANCO- MARÇO 26</v>
      </c>
      <c r="B58" s="18">
        <v>46082</v>
      </c>
      <c r="C58" s="3">
        <v>817391</v>
      </c>
      <c r="D58" s="3" t="s">
        <v>486</v>
      </c>
      <c r="E58" s="14">
        <f t="shared" si="1"/>
        <v>-171.01255812040904</v>
      </c>
      <c r="F58" s="3" t="s">
        <v>366</v>
      </c>
      <c r="G58" s="18">
        <v>46082</v>
      </c>
      <c r="H58" s="19">
        <v>80217</v>
      </c>
      <c r="I58" s="3" t="str">
        <f>VLOOKUP(H58,'[1]Base de Clientes'!$B:$E,4,0)</f>
        <v>RIO BRAVO INVESTIMENTOS LTDA</v>
      </c>
      <c r="J58" s="5" t="s">
        <v>8</v>
      </c>
      <c r="K58" s="5" t="s">
        <v>118</v>
      </c>
      <c r="L58" s="9">
        <v>171.01255812040904</v>
      </c>
      <c r="M58" s="11" t="s">
        <v>7</v>
      </c>
      <c r="N58" s="13" t="s">
        <v>18</v>
      </c>
      <c r="O58" s="7">
        <v>1</v>
      </c>
      <c r="P58" s="16" t="s">
        <v>287</v>
      </c>
      <c r="R58" s="3"/>
      <c r="T58" s="7"/>
    </row>
    <row r="59" spans="1:20" x14ac:dyDescent="0.25">
      <c r="A59" s="16" t="str">
        <f t="shared" si="0"/>
        <v>CUSTO DMA -ALEXANDRE SALFATIS- MARÇO 26</v>
      </c>
      <c r="B59" s="18">
        <v>46082</v>
      </c>
      <c r="C59" s="3">
        <v>817391</v>
      </c>
      <c r="D59" s="3" t="s">
        <v>405</v>
      </c>
      <c r="E59" s="14">
        <f t="shared" si="1"/>
        <v>-140.27614512040901</v>
      </c>
      <c r="F59" s="3" t="s">
        <v>366</v>
      </c>
      <c r="G59" s="18">
        <v>46082</v>
      </c>
      <c r="H59" s="19">
        <v>79760</v>
      </c>
      <c r="I59" s="3" t="str">
        <f>VLOOKUP(H59,'[1]Base de Clientes'!$B:$E,4,0)</f>
        <v>TAVOLA CAPITAL GESTAO DE RECURSOS LTDA</v>
      </c>
      <c r="J59" s="5" t="s">
        <v>8</v>
      </c>
      <c r="K59" s="5" t="s">
        <v>120</v>
      </c>
      <c r="L59" s="9">
        <v>140.27614512040901</v>
      </c>
      <c r="M59" s="11" t="s">
        <v>7</v>
      </c>
      <c r="N59" s="13" t="s">
        <v>18</v>
      </c>
      <c r="O59" s="7">
        <v>1</v>
      </c>
      <c r="P59" s="16" t="s">
        <v>556</v>
      </c>
      <c r="R59" s="3"/>
      <c r="T59" s="7"/>
    </row>
    <row r="60" spans="1:20" x14ac:dyDescent="0.25">
      <c r="A60" s="16" t="str">
        <f t="shared" si="0"/>
        <v>CUSTO DMA -ALEJANDRO CHAVEZ- MARÇO 26</v>
      </c>
      <c r="B60" s="18">
        <v>46082</v>
      </c>
      <c r="C60" s="3">
        <v>817391</v>
      </c>
      <c r="D60" s="3" t="s">
        <v>475</v>
      </c>
      <c r="E60" s="14">
        <f t="shared" si="1"/>
        <v>-80.114100000000008</v>
      </c>
      <c r="F60" s="3" t="s">
        <v>366</v>
      </c>
      <c r="G60" s="18">
        <v>46082</v>
      </c>
      <c r="H60" s="19">
        <v>82241</v>
      </c>
      <c r="I60" s="3" t="str">
        <f>VLOOKUP(H60,'[1]Base de Clientes'!$B:$E,4,0)</f>
        <v>SANTANDER DISTRIBUIDORA DE TITULOS E VALORES MOBILIARIOS S/A</v>
      </c>
      <c r="J60" s="5" t="s">
        <v>8</v>
      </c>
      <c r="K60" s="5" t="s">
        <v>119</v>
      </c>
      <c r="L60" s="9">
        <v>80.114100000000008</v>
      </c>
      <c r="M60" s="11" t="s">
        <v>7</v>
      </c>
      <c r="N60" s="13" t="s">
        <v>18</v>
      </c>
      <c r="O60" s="7">
        <v>1</v>
      </c>
      <c r="P60" s="16" t="s">
        <v>288</v>
      </c>
      <c r="R60" s="3"/>
      <c r="T60" s="7"/>
    </row>
    <row r="61" spans="1:20" x14ac:dyDescent="0.25">
      <c r="A61" s="16" t="str">
        <f t="shared" si="0"/>
        <v>CUSTO DMA -THIAGO OORTMAN- MARÇO 26</v>
      </c>
      <c r="B61" s="18">
        <v>46082</v>
      </c>
      <c r="C61" s="3">
        <v>817391</v>
      </c>
      <c r="D61" s="3" t="s">
        <v>475</v>
      </c>
      <c r="E61" s="14">
        <f t="shared" si="1"/>
        <v>-2881.6820499999999</v>
      </c>
      <c r="F61" s="3" t="s">
        <v>366</v>
      </c>
      <c r="G61" s="18">
        <v>46082</v>
      </c>
      <c r="H61" s="19">
        <v>82241</v>
      </c>
      <c r="I61" s="3" t="str">
        <f>VLOOKUP(H61,'[1]Base de Clientes'!$B:$E,4,0)</f>
        <v>SANTANDER DISTRIBUIDORA DE TITULOS E VALORES MOBILIARIOS S/A</v>
      </c>
      <c r="J61" s="5" t="s">
        <v>8</v>
      </c>
      <c r="K61" s="5" t="s">
        <v>177</v>
      </c>
      <c r="L61" s="9">
        <v>2881.6820499999999</v>
      </c>
      <c r="M61" s="11" t="s">
        <v>7</v>
      </c>
      <c r="N61" s="13" t="s">
        <v>18</v>
      </c>
      <c r="O61" s="7">
        <v>1</v>
      </c>
      <c r="P61" s="16" t="s">
        <v>349</v>
      </c>
      <c r="R61" s="3"/>
      <c r="T61" s="7"/>
    </row>
    <row r="62" spans="1:20" x14ac:dyDescent="0.25">
      <c r="A62" s="16" t="str">
        <f t="shared" si="0"/>
        <v>CUSTO DMA -ENRIQUE BALBINO- MARÇO 26</v>
      </c>
      <c r="B62" s="18">
        <v>46082</v>
      </c>
      <c r="C62" s="3">
        <v>817391</v>
      </c>
      <c r="D62" s="3" t="s">
        <v>488</v>
      </c>
      <c r="E62" s="14">
        <f t="shared" si="1"/>
        <v>-440.28879512040902</v>
      </c>
      <c r="F62" s="3" t="s">
        <v>366</v>
      </c>
      <c r="G62" s="18">
        <v>46082</v>
      </c>
      <c r="H62" s="19">
        <v>80515</v>
      </c>
      <c r="I62" s="3" t="str">
        <f>VLOOKUP(H62,'[1]Base de Clientes'!$B:$E,4,0)</f>
        <v>SHARP CAPITAL GESTORA DE RECURSOS LTDA</v>
      </c>
      <c r="J62" s="5" t="s">
        <v>8</v>
      </c>
      <c r="K62" s="5" t="s">
        <v>137</v>
      </c>
      <c r="L62" s="9">
        <v>440.28879512040902</v>
      </c>
      <c r="M62" s="11" t="s">
        <v>7</v>
      </c>
      <c r="N62" s="13" t="s">
        <v>18</v>
      </c>
      <c r="O62" s="7">
        <v>1</v>
      </c>
      <c r="P62" s="16" t="s">
        <v>306</v>
      </c>
      <c r="R62" s="3"/>
      <c r="T62" s="7"/>
    </row>
    <row r="63" spans="1:20" x14ac:dyDescent="0.25">
      <c r="A63" s="16" t="str">
        <f t="shared" si="0"/>
        <v>CUSTO DMA -THEOFILO NETO- MARÇO 26</v>
      </c>
      <c r="B63" s="18">
        <v>46082</v>
      </c>
      <c r="C63" s="3">
        <v>817391</v>
      </c>
      <c r="D63" s="3" t="s">
        <v>488</v>
      </c>
      <c r="E63" s="14">
        <f t="shared" si="1"/>
        <v>-1194.325395120409</v>
      </c>
      <c r="F63" s="3" t="s">
        <v>366</v>
      </c>
      <c r="G63" s="18">
        <v>46082</v>
      </c>
      <c r="H63" s="19">
        <v>80515</v>
      </c>
      <c r="I63" s="3" t="str">
        <f>VLOOKUP(H63,'[1]Base de Clientes'!$B:$E,4,0)</f>
        <v>SHARP CAPITAL GESTORA DE RECURSOS LTDA</v>
      </c>
      <c r="J63" s="5" t="s">
        <v>8</v>
      </c>
      <c r="K63" s="5" t="s">
        <v>176</v>
      </c>
      <c r="L63" s="9">
        <v>1194.325395120409</v>
      </c>
      <c r="M63" s="11" t="s">
        <v>7</v>
      </c>
      <c r="N63" s="13" t="s">
        <v>18</v>
      </c>
      <c r="O63" s="7">
        <v>1</v>
      </c>
      <c r="P63" s="16" t="s">
        <v>348</v>
      </c>
      <c r="R63" s="3"/>
      <c r="T63" s="7"/>
    </row>
    <row r="64" spans="1:20" x14ac:dyDescent="0.25">
      <c r="A64" s="16" t="str">
        <f t="shared" si="0"/>
        <v>CUSTO DMA -BRUNO MARTINS- MARÇO 26</v>
      </c>
      <c r="B64" s="18">
        <v>46082</v>
      </c>
      <c r="C64" s="3">
        <v>817391</v>
      </c>
      <c r="D64" s="3" t="s">
        <v>471</v>
      </c>
      <c r="E64" s="14">
        <f t="shared" si="1"/>
        <v>-140.27614512040901</v>
      </c>
      <c r="F64" s="3" t="s">
        <v>366</v>
      </c>
      <c r="G64" s="18">
        <v>46082</v>
      </c>
      <c r="H64" s="19">
        <v>80047</v>
      </c>
      <c r="I64" s="3" t="str">
        <f>VLOOKUP(H64,'[1]Base de Clientes'!$B:$E,4,0)</f>
        <v>SICREDI ASSET MANAGEMENT LTDA</v>
      </c>
      <c r="J64" s="5" t="s">
        <v>8</v>
      </c>
      <c r="K64" s="5" t="s">
        <v>129</v>
      </c>
      <c r="L64" s="9">
        <v>140.27614512040901</v>
      </c>
      <c r="M64" s="11" t="s">
        <v>7</v>
      </c>
      <c r="N64" s="13" t="s">
        <v>18</v>
      </c>
      <c r="O64" s="7">
        <v>1</v>
      </c>
      <c r="P64" s="16" t="s">
        <v>557</v>
      </c>
      <c r="R64" s="3"/>
      <c r="T64" s="7"/>
    </row>
    <row r="65" spans="1:20" x14ac:dyDescent="0.25">
      <c r="A65" s="16" t="str">
        <f t="shared" si="0"/>
        <v>CUSTO DMA -PIETRO TORTORELI- MARÇO 26</v>
      </c>
      <c r="B65" s="18">
        <v>46082</v>
      </c>
      <c r="C65" s="3">
        <v>817391</v>
      </c>
      <c r="D65" s="3" t="s">
        <v>405</v>
      </c>
      <c r="E65" s="14">
        <f t="shared" si="1"/>
        <v>-1900.7786016204095</v>
      </c>
      <c r="F65" s="3" t="s">
        <v>366</v>
      </c>
      <c r="G65" s="18">
        <v>46082</v>
      </c>
      <c r="H65" s="19">
        <v>82551</v>
      </c>
      <c r="I65" s="3" t="str">
        <f>VLOOKUP(H65,'[1]Base de Clientes'!$B:$E,4,0)</f>
        <v>SKOPOS INVESTIMENTOS LTDA</v>
      </c>
      <c r="J65" s="5" t="s">
        <v>8</v>
      </c>
      <c r="K65" s="5" t="s">
        <v>162</v>
      </c>
      <c r="L65" s="9">
        <v>1900.7786016204095</v>
      </c>
      <c r="M65" s="11" t="s">
        <v>7</v>
      </c>
      <c r="N65" s="13" t="s">
        <v>18</v>
      </c>
      <c r="O65" s="7">
        <v>1</v>
      </c>
      <c r="P65" s="16" t="s">
        <v>332</v>
      </c>
      <c r="R65" s="3"/>
      <c r="T65" s="7"/>
    </row>
    <row r="66" spans="1:20" x14ac:dyDescent="0.25">
      <c r="A66" s="16" t="str">
        <f t="shared" si="0"/>
        <v>CUSTO DMA -RODRIGO NATALI- MARÇO 26</v>
      </c>
      <c r="B66" s="18">
        <v>46082</v>
      </c>
      <c r="C66" s="3">
        <v>817391</v>
      </c>
      <c r="D66" s="3" t="s">
        <v>405</v>
      </c>
      <c r="E66" s="14">
        <f t="shared" si="1"/>
        <v>-303.68614512040904</v>
      </c>
      <c r="F66" s="3" t="s">
        <v>366</v>
      </c>
      <c r="G66" s="18">
        <v>46082</v>
      </c>
      <c r="H66" s="19">
        <v>82551</v>
      </c>
      <c r="I66" s="3" t="str">
        <f>VLOOKUP(H66,'[1]Base de Clientes'!$B:$E,4,0)</f>
        <v>SKOPOS INVESTIMENTOS LTDA</v>
      </c>
      <c r="J66" s="5" t="s">
        <v>8</v>
      </c>
      <c r="K66" s="5" t="s">
        <v>166</v>
      </c>
      <c r="L66" s="9">
        <v>303.68614512040904</v>
      </c>
      <c r="M66" s="11" t="s">
        <v>7</v>
      </c>
      <c r="N66" s="13" t="s">
        <v>18</v>
      </c>
      <c r="O66" s="7">
        <v>1</v>
      </c>
      <c r="P66" s="16" t="s">
        <v>338</v>
      </c>
      <c r="R66" s="3"/>
      <c r="T66" s="7"/>
    </row>
    <row r="67" spans="1:20" x14ac:dyDescent="0.25">
      <c r="A67" s="16" t="str">
        <f t="shared" si="0"/>
        <v>CUSTO DMA -DANIEL PORTES- MARÇO 26</v>
      </c>
      <c r="B67" s="18">
        <v>46082</v>
      </c>
      <c r="C67" s="3">
        <v>817391</v>
      </c>
      <c r="D67" s="3" t="s">
        <v>480</v>
      </c>
      <c r="E67" s="14">
        <f t="shared" si="1"/>
        <v>-520.23016512040897</v>
      </c>
      <c r="F67" s="3" t="s">
        <v>366</v>
      </c>
      <c r="G67" s="18">
        <v>46082</v>
      </c>
      <c r="H67" s="19">
        <v>81565</v>
      </c>
      <c r="I67" s="3" t="str">
        <f>VLOOKUP(H67,'[1]Base de Clientes'!$B:$E,4,0)</f>
        <v>SPX GESTAO DE RECURSOS LTDA</v>
      </c>
      <c r="J67" s="5" t="s">
        <v>8</v>
      </c>
      <c r="K67" s="5" t="s">
        <v>419</v>
      </c>
      <c r="L67" s="9">
        <v>520.23016512040897</v>
      </c>
      <c r="M67" s="11" t="s">
        <v>7</v>
      </c>
      <c r="N67" s="13" t="s">
        <v>18</v>
      </c>
      <c r="O67" s="7">
        <v>1</v>
      </c>
      <c r="P67" s="16" t="s">
        <v>428</v>
      </c>
      <c r="R67" s="3"/>
      <c r="T67" s="7"/>
    </row>
    <row r="68" spans="1:20" x14ac:dyDescent="0.25">
      <c r="A68" s="16" t="str">
        <f t="shared" si="0"/>
        <v>CUSTO DMA -VICTOR RUSSO- MARÇO 26</v>
      </c>
      <c r="B68" s="18">
        <v>46082</v>
      </c>
      <c r="C68" s="3">
        <v>817391</v>
      </c>
      <c r="D68" s="3" t="s">
        <v>480</v>
      </c>
      <c r="E68" s="14">
        <f t="shared" si="1"/>
        <v>-4603.3992883204082</v>
      </c>
      <c r="F68" s="3" t="s">
        <v>366</v>
      </c>
      <c r="G68" s="18">
        <v>46082</v>
      </c>
      <c r="H68" s="19">
        <v>81565</v>
      </c>
      <c r="I68" s="3" t="str">
        <f>VLOOKUP(H68,'[1]Base de Clientes'!$B:$E,4,0)</f>
        <v>SPX GESTAO DE RECURSOS LTDA</v>
      </c>
      <c r="J68" s="5" t="s">
        <v>8</v>
      </c>
      <c r="K68" s="5" t="s">
        <v>170</v>
      </c>
      <c r="L68" s="9">
        <v>4603.3992883204082</v>
      </c>
      <c r="M68" s="11" t="s">
        <v>7</v>
      </c>
      <c r="N68" s="13" t="s">
        <v>18</v>
      </c>
      <c r="O68" s="7">
        <v>1</v>
      </c>
      <c r="P68" s="16" t="s">
        <v>342</v>
      </c>
      <c r="R68" s="3"/>
      <c r="T68" s="7"/>
    </row>
    <row r="69" spans="1:20" x14ac:dyDescent="0.25">
      <c r="A69" s="16" t="str">
        <f t="shared" si="0"/>
        <v>CUSTO DMA -VITOR BELMIRO- MARÇO 26</v>
      </c>
      <c r="B69" s="18">
        <v>46082</v>
      </c>
      <c r="C69" s="3">
        <v>817391</v>
      </c>
      <c r="D69" s="3" t="s">
        <v>470</v>
      </c>
      <c r="E69" s="14">
        <f t="shared" si="1"/>
        <v>-204.40210512040909</v>
      </c>
      <c r="F69" s="3" t="s">
        <v>366</v>
      </c>
      <c r="G69" s="18">
        <v>46082</v>
      </c>
      <c r="H69" s="19">
        <v>81876</v>
      </c>
      <c r="I69" s="3" t="str">
        <f>VLOOKUP(H69,'[1]Base de Clientes'!$B:$E,4,0)</f>
        <v>STK CAPITAL GESTORA DE RECURSOS LTDA</v>
      </c>
      <c r="J69" s="5" t="s">
        <v>8</v>
      </c>
      <c r="K69" s="5" t="s">
        <v>181</v>
      </c>
      <c r="L69" s="9">
        <v>204.40210512040909</v>
      </c>
      <c r="M69" s="11" t="s">
        <v>7</v>
      </c>
      <c r="N69" s="13" t="s">
        <v>18</v>
      </c>
      <c r="O69" s="7">
        <v>1</v>
      </c>
      <c r="P69" s="16" t="s">
        <v>354</v>
      </c>
      <c r="R69" s="3"/>
      <c r="T69" s="7"/>
    </row>
    <row r="70" spans="1:20" x14ac:dyDescent="0.25">
      <c r="A70" s="16" t="str">
        <f t="shared" si="0"/>
        <v>CUSTO DMA -CARLOS EDUARDO MAIA - MARÇO 26</v>
      </c>
      <c r="B70" s="18">
        <v>46082</v>
      </c>
      <c r="C70" s="3">
        <v>817391</v>
      </c>
      <c r="D70" s="3" t="s">
        <v>408</v>
      </c>
      <c r="E70" s="14">
        <f t="shared" si="1"/>
        <v>-140.27614512040901</v>
      </c>
      <c r="F70" s="3" t="s">
        <v>366</v>
      </c>
      <c r="G70" s="18">
        <v>46082</v>
      </c>
      <c r="H70" s="19">
        <v>12262</v>
      </c>
      <c r="I70" s="3" t="str">
        <f>VLOOKUP(H70,'[1]Base de Clientes'!$B:$E,4,0)</f>
        <v>TEMPO CAPITAL GESTAO DE RECURSOS LTDA</v>
      </c>
      <c r="J70" s="5" t="s">
        <v>8</v>
      </c>
      <c r="K70" s="5" t="s">
        <v>130</v>
      </c>
      <c r="L70" s="9">
        <v>140.27614512040901</v>
      </c>
      <c r="M70" s="11" t="s">
        <v>7</v>
      </c>
      <c r="N70" s="13" t="s">
        <v>18</v>
      </c>
      <c r="O70" s="7">
        <v>1</v>
      </c>
      <c r="P70" s="16" t="s">
        <v>558</v>
      </c>
      <c r="R70" s="3"/>
      <c r="T70" s="7"/>
    </row>
    <row r="71" spans="1:20" x14ac:dyDescent="0.25">
      <c r="A71" s="16" t="str">
        <f t="shared" si="0"/>
        <v>CUSTO DMA -JULIO SAMPAIO- MARÇO 26</v>
      </c>
      <c r="B71" s="18">
        <v>46082</v>
      </c>
      <c r="C71" s="3">
        <v>817391</v>
      </c>
      <c r="D71" s="3" t="s">
        <v>490</v>
      </c>
      <c r="E71" s="14">
        <f t="shared" si="1"/>
        <v>-194.12626512040904</v>
      </c>
      <c r="F71" s="3" t="s">
        <v>366</v>
      </c>
      <c r="G71" s="18">
        <v>46082</v>
      </c>
      <c r="H71" s="19">
        <v>82759</v>
      </c>
      <c r="I71" s="3" t="str">
        <f>VLOOKUP(H71,'[1]Base de Clientes'!$B:$E,4,0)</f>
        <v>TRACK CAPITAL GESTAO DE RECURSOS LTDA</v>
      </c>
      <c r="J71" s="5" t="s">
        <v>8</v>
      </c>
      <c r="K71" s="5" t="s">
        <v>151</v>
      </c>
      <c r="L71" s="9">
        <v>194.12626512040904</v>
      </c>
      <c r="M71" s="11" t="s">
        <v>7</v>
      </c>
      <c r="N71" s="13" t="s">
        <v>18</v>
      </c>
      <c r="O71" s="7">
        <v>1</v>
      </c>
      <c r="P71" s="16" t="s">
        <v>321</v>
      </c>
      <c r="R71" s="3"/>
      <c r="T71" s="7"/>
    </row>
    <row r="72" spans="1:20" x14ac:dyDescent="0.25">
      <c r="A72" s="16" t="str">
        <f t="shared" ref="A72" si="12">CONCATENATE(J72,M72,K72,M72,N72)</f>
        <v>CUSTO DMA -DANILO GALVAO- MARÇO 26</v>
      </c>
      <c r="B72" s="18">
        <v>46082</v>
      </c>
      <c r="C72" s="3">
        <v>817391</v>
      </c>
      <c r="D72" s="3" t="s">
        <v>480</v>
      </c>
      <c r="E72" s="14">
        <f t="shared" si="1"/>
        <v>-849.62212512040992</v>
      </c>
      <c r="F72" s="3" t="s">
        <v>366</v>
      </c>
      <c r="G72" s="18">
        <v>46082</v>
      </c>
      <c r="H72" s="19">
        <v>12402</v>
      </c>
      <c r="I72" s="3" t="str">
        <f>VLOOKUP(H72,'[1]Base de Clientes'!$B:$E,4,0)</f>
        <v>TRUXT INVESTIMENTOS LTDA</v>
      </c>
      <c r="J72" s="5" t="s">
        <v>8</v>
      </c>
      <c r="K72" s="5" t="s">
        <v>134</v>
      </c>
      <c r="L72" s="9">
        <v>849.62212512040992</v>
      </c>
      <c r="M72" s="11" t="s">
        <v>7</v>
      </c>
      <c r="N72" s="13" t="s">
        <v>18</v>
      </c>
      <c r="O72" s="7">
        <v>1</v>
      </c>
      <c r="P72" s="16" t="s">
        <v>303</v>
      </c>
      <c r="R72" s="3"/>
      <c r="T72" s="7"/>
    </row>
    <row r="73" spans="1:20" x14ac:dyDescent="0.25">
      <c r="A73" s="16" t="str">
        <f t="shared" si="0"/>
        <v>CUSTO DMA -ULISSES GORITO- MARÇO 26</v>
      </c>
      <c r="B73" s="18">
        <v>46082</v>
      </c>
      <c r="C73" s="3">
        <v>817391</v>
      </c>
      <c r="D73" s="3" t="s">
        <v>488</v>
      </c>
      <c r="E73" s="14">
        <f t="shared" si="1"/>
        <v>-140.27614512040901</v>
      </c>
      <c r="F73" s="3" t="s">
        <v>366</v>
      </c>
      <c r="G73" s="18">
        <v>46082</v>
      </c>
      <c r="H73" s="19">
        <v>12402</v>
      </c>
      <c r="I73" s="3" t="str">
        <f>VLOOKUP(H73,'[1]Base de Clientes'!$B:$E,4,0)</f>
        <v>TRUXT INVESTIMENTOS LTDA</v>
      </c>
      <c r="J73" s="5" t="s">
        <v>8</v>
      </c>
      <c r="K73" s="5" t="s">
        <v>180</v>
      </c>
      <c r="L73" s="9">
        <v>140.27614512040901</v>
      </c>
      <c r="M73" s="11" t="s">
        <v>7</v>
      </c>
      <c r="N73" s="13" t="s">
        <v>18</v>
      </c>
      <c r="O73" s="7">
        <v>1</v>
      </c>
      <c r="P73" s="16" t="s">
        <v>559</v>
      </c>
      <c r="R73" s="3"/>
      <c r="T73" s="7"/>
    </row>
    <row r="74" spans="1:20" x14ac:dyDescent="0.25">
      <c r="A74" s="16" t="str">
        <f t="shared" ref="A74" si="13">CONCATENATE(J74,M74,K74,M74,N74)</f>
        <v>CUSTO DMA -FABIO DANTAS- MARÇO 26</v>
      </c>
      <c r="B74" s="18">
        <v>46082</v>
      </c>
      <c r="C74" s="3">
        <v>817391</v>
      </c>
      <c r="D74" s="3" t="s">
        <v>489</v>
      </c>
      <c r="E74" s="14">
        <f t="shared" si="1"/>
        <v>-223.08171410040899</v>
      </c>
      <c r="F74" s="3" t="s">
        <v>366</v>
      </c>
      <c r="G74" s="18">
        <v>46082</v>
      </c>
      <c r="H74" s="19">
        <v>125565</v>
      </c>
      <c r="I74" s="3" t="str">
        <f>VLOOKUP(H74,'[1]Base de Clientes'!$B:$E,4,0)</f>
        <v>V8 CAPITAL GESTAO DE INVESTIMENTOS LTDA</v>
      </c>
      <c r="J74" s="5" t="s">
        <v>8</v>
      </c>
      <c r="K74" s="5" t="s">
        <v>140</v>
      </c>
      <c r="L74" s="9">
        <v>223.08171410040899</v>
      </c>
      <c r="M74" s="11" t="s">
        <v>7</v>
      </c>
      <c r="N74" s="13" t="s">
        <v>18</v>
      </c>
      <c r="O74" s="7">
        <v>1</v>
      </c>
      <c r="P74" s="16" t="s">
        <v>309</v>
      </c>
      <c r="R74" s="3"/>
      <c r="T74" s="7"/>
    </row>
    <row r="75" spans="1:20" x14ac:dyDescent="0.25">
      <c r="A75" s="16" t="str">
        <f t="shared" si="0"/>
        <v>CUSTO DMA -SERGIO CORDONI- MARÇO 26</v>
      </c>
      <c r="B75" s="18">
        <v>46082</v>
      </c>
      <c r="C75" s="3">
        <v>817391</v>
      </c>
      <c r="D75" s="3" t="s">
        <v>489</v>
      </c>
      <c r="E75" s="14">
        <f t="shared" si="1"/>
        <v>-140.27614512040901</v>
      </c>
      <c r="F75" s="3" t="s">
        <v>366</v>
      </c>
      <c r="G75" s="18">
        <v>46082</v>
      </c>
      <c r="H75" s="19">
        <v>125565</v>
      </c>
      <c r="I75" s="3" t="str">
        <f>VLOOKUP(H75,'[1]Base de Clientes'!$B:$E,4,0)</f>
        <v>V8 CAPITAL GESTAO DE INVESTIMENTOS LTDA</v>
      </c>
      <c r="J75" s="5" t="s">
        <v>8</v>
      </c>
      <c r="K75" s="5" t="s">
        <v>172</v>
      </c>
      <c r="L75" s="9">
        <v>140.27614512040901</v>
      </c>
      <c r="M75" s="11" t="s">
        <v>7</v>
      </c>
      <c r="N75" s="13" t="s">
        <v>18</v>
      </c>
      <c r="O75" s="7">
        <v>1</v>
      </c>
      <c r="P75" s="16" t="s">
        <v>560</v>
      </c>
      <c r="R75" s="3"/>
      <c r="T75" s="7"/>
    </row>
    <row r="76" spans="1:20" x14ac:dyDescent="0.25">
      <c r="A76" s="16" t="str">
        <f t="shared" si="0"/>
        <v>CUSTO DMA. -JOÃO CARUSO- MARÇO 26</v>
      </c>
      <c r="B76" s="18">
        <v>46082</v>
      </c>
      <c r="C76" s="3">
        <v>817391</v>
      </c>
      <c r="D76" s="3" t="s">
        <v>470</v>
      </c>
      <c r="E76" s="14">
        <f t="shared" si="1"/>
        <v>-140.27614512040901</v>
      </c>
      <c r="F76" s="3" t="s">
        <v>366</v>
      </c>
      <c r="G76" s="18">
        <v>46082</v>
      </c>
      <c r="H76" s="19">
        <v>80359</v>
      </c>
      <c r="I76" s="3" t="str">
        <f>VLOOKUP(H76,'[1]Base de Clientes'!$B:$E,4,0)</f>
        <v>VINLAND CAPITAL MANAGEMENT GESTORA DE RECURSOS LTDA</v>
      </c>
      <c r="J76" s="5" t="s">
        <v>15</v>
      </c>
      <c r="K76" s="5" t="s">
        <v>92</v>
      </c>
      <c r="L76" s="9">
        <v>140.27614512040901</v>
      </c>
      <c r="M76" s="11" t="s">
        <v>7</v>
      </c>
      <c r="N76" s="13" t="s">
        <v>18</v>
      </c>
      <c r="O76" s="7">
        <v>1</v>
      </c>
      <c r="P76" s="16" t="s">
        <v>561</v>
      </c>
      <c r="R76" s="3"/>
      <c r="T76" s="7"/>
    </row>
    <row r="77" spans="1:20" x14ac:dyDescent="0.25">
      <c r="A77" s="16" t="str">
        <f t="shared" si="0"/>
        <v>CUSTO DMA. -VINICIO HUANG- MARÇO 26</v>
      </c>
      <c r="B77" s="18">
        <v>46082</v>
      </c>
      <c r="C77" s="3">
        <v>817391</v>
      </c>
      <c r="D77" s="3" t="s">
        <v>470</v>
      </c>
      <c r="E77" s="14">
        <f t="shared" si="1"/>
        <v>-873.39172112040887</v>
      </c>
      <c r="F77" s="3" t="s">
        <v>366</v>
      </c>
      <c r="G77" s="18">
        <v>46082</v>
      </c>
      <c r="H77" s="19">
        <v>80359</v>
      </c>
      <c r="I77" s="3" t="str">
        <f>VLOOKUP(H77,'[1]Base de Clientes'!$B:$E,4,0)</f>
        <v>VINLAND CAPITAL MANAGEMENT GESTORA DE RECURSOS LTDA</v>
      </c>
      <c r="J77" s="5" t="s">
        <v>15</v>
      </c>
      <c r="K77" s="5" t="s">
        <v>107</v>
      </c>
      <c r="L77" s="9">
        <v>873.39172112040887</v>
      </c>
      <c r="M77" s="11" t="s">
        <v>7</v>
      </c>
      <c r="N77" s="13" t="s">
        <v>18</v>
      </c>
      <c r="O77" s="7">
        <v>1</v>
      </c>
      <c r="P77" s="16" t="s">
        <v>355</v>
      </c>
      <c r="R77" s="3"/>
      <c r="T77" s="7"/>
    </row>
    <row r="78" spans="1:20" x14ac:dyDescent="0.25">
      <c r="A78" s="16" t="str">
        <f t="shared" si="0"/>
        <v>CUSTO DMA -BRUNO GUEDES- MARÇO 26</v>
      </c>
      <c r="B78" s="18">
        <v>46082</v>
      </c>
      <c r="C78" s="3">
        <v>817391</v>
      </c>
      <c r="D78" s="3" t="s">
        <v>407</v>
      </c>
      <c r="E78" s="14">
        <f t="shared" si="1"/>
        <v>-950.94436500000006</v>
      </c>
      <c r="F78" s="3" t="s">
        <v>364</v>
      </c>
      <c r="G78" s="18">
        <v>46082</v>
      </c>
      <c r="H78" s="19">
        <v>15501</v>
      </c>
      <c r="I78" s="3" t="str">
        <f>VLOOKUP(H78,'[1]Base de Clientes'!$B:$E,4,0)</f>
        <v>BANCO BTG PACTUAL S/A</v>
      </c>
      <c r="J78" s="5" t="s">
        <v>8</v>
      </c>
      <c r="K78" s="5" t="s">
        <v>86</v>
      </c>
      <c r="L78" s="9">
        <v>950.94436500000006</v>
      </c>
      <c r="M78" s="11" t="s">
        <v>7</v>
      </c>
      <c r="N78" s="13" t="s">
        <v>18</v>
      </c>
      <c r="O78" s="7">
        <v>1</v>
      </c>
      <c r="P78" s="16" t="s">
        <v>255</v>
      </c>
      <c r="R78" s="3"/>
      <c r="T78" s="7"/>
    </row>
    <row r="79" spans="1:20" x14ac:dyDescent="0.25">
      <c r="A79" s="16" t="str">
        <f t="shared" si="0"/>
        <v>CUSTO DMA -EDUARDO BRESSAN- MARÇO 26</v>
      </c>
      <c r="B79" s="18">
        <v>46082</v>
      </c>
      <c r="C79" s="3">
        <v>817391</v>
      </c>
      <c r="D79" s="3" t="s">
        <v>471</v>
      </c>
      <c r="E79" s="14">
        <f t="shared" ref="E79:E144" si="14">-L79*O79</f>
        <v>-111.82545</v>
      </c>
      <c r="F79" s="3" t="s">
        <v>364</v>
      </c>
      <c r="G79" s="18">
        <v>46082</v>
      </c>
      <c r="H79" s="19">
        <v>15501</v>
      </c>
      <c r="I79" s="3" t="str">
        <f>VLOOKUP(H79,'[1]Base de Clientes'!$B:$E,4,0)</f>
        <v>BANCO BTG PACTUAL S/A</v>
      </c>
      <c r="J79" s="5" t="s">
        <v>8</v>
      </c>
      <c r="K79" s="5" t="s">
        <v>88</v>
      </c>
      <c r="L79" s="9">
        <v>111.82545</v>
      </c>
      <c r="M79" s="11" t="s">
        <v>7</v>
      </c>
      <c r="N79" s="13" t="s">
        <v>18</v>
      </c>
      <c r="O79" s="7">
        <v>1</v>
      </c>
      <c r="P79" s="16" t="s">
        <v>257</v>
      </c>
      <c r="R79" s="3"/>
      <c r="T79" s="7"/>
    </row>
    <row r="80" spans="1:20" x14ac:dyDescent="0.25">
      <c r="A80" s="16" t="str">
        <f t="shared" si="0"/>
        <v>CUSTO DMA -FELIPE BEDIAGA- MARÇO 26</v>
      </c>
      <c r="B80" s="18">
        <v>46082</v>
      </c>
      <c r="C80" s="3">
        <v>817391</v>
      </c>
      <c r="D80" s="3" t="s">
        <v>400</v>
      </c>
      <c r="E80" s="14">
        <f t="shared" si="14"/>
        <v>-2412.326430000001</v>
      </c>
      <c r="F80" s="3" t="s">
        <v>364</v>
      </c>
      <c r="G80" s="18">
        <v>46082</v>
      </c>
      <c r="H80" s="19">
        <v>15501</v>
      </c>
      <c r="I80" s="3" t="str">
        <f>VLOOKUP(H80,'[1]Base de Clientes'!$B:$E,4,0)</f>
        <v>BANCO BTG PACTUAL S/A</v>
      </c>
      <c r="J80" s="5" t="s">
        <v>8</v>
      </c>
      <c r="K80" s="5" t="s">
        <v>89</v>
      </c>
      <c r="L80" s="9">
        <v>2412.326430000001</v>
      </c>
      <c r="M80" s="11" t="s">
        <v>7</v>
      </c>
      <c r="N80" s="13" t="s">
        <v>18</v>
      </c>
      <c r="O80" s="7">
        <v>1</v>
      </c>
      <c r="P80" s="16" t="s">
        <v>258</v>
      </c>
      <c r="R80" s="3"/>
      <c r="T80" s="7"/>
    </row>
    <row r="81" spans="1:20" x14ac:dyDescent="0.25">
      <c r="A81" s="16" t="str">
        <f t="shared" si="0"/>
        <v>CUSTO DMA -RICARDO CAIXETA- MARÇO 26</v>
      </c>
      <c r="B81" s="18">
        <v>46082</v>
      </c>
      <c r="C81" s="3">
        <v>817391</v>
      </c>
      <c r="D81" s="3" t="s">
        <v>400</v>
      </c>
      <c r="E81" s="14">
        <f t="shared" si="14"/>
        <v>-111.82545</v>
      </c>
      <c r="F81" s="3" t="s">
        <v>364</v>
      </c>
      <c r="G81" s="18">
        <v>46082</v>
      </c>
      <c r="H81" s="19">
        <v>15501</v>
      </c>
      <c r="I81" s="3" t="str">
        <f>VLOOKUP(H81,'[1]Base de Clientes'!$B:$E,4,0)</f>
        <v>BANCO BTG PACTUAL S/A</v>
      </c>
      <c r="J81" s="5" t="s">
        <v>8</v>
      </c>
      <c r="K81" s="5" t="s">
        <v>102</v>
      </c>
      <c r="L81" s="9">
        <v>111.82545</v>
      </c>
      <c r="M81" s="11" t="s">
        <v>7</v>
      </c>
      <c r="N81" s="13" t="s">
        <v>18</v>
      </c>
      <c r="O81" s="7">
        <v>1</v>
      </c>
      <c r="P81" s="16" t="s">
        <v>271</v>
      </c>
      <c r="R81" s="3"/>
      <c r="T81" s="7"/>
    </row>
    <row r="82" spans="1:20" x14ac:dyDescent="0.25">
      <c r="A82" s="16" t="str">
        <f t="shared" si="0"/>
        <v>CUSTO DMA -SERGIO ALMEIDA- MARÇO 26</v>
      </c>
      <c r="B82" s="18">
        <v>46082</v>
      </c>
      <c r="C82" s="3">
        <v>817391</v>
      </c>
      <c r="D82" s="3" t="s">
        <v>406</v>
      </c>
      <c r="E82" s="14">
        <f t="shared" si="14"/>
        <v>-1086.8203125</v>
      </c>
      <c r="F82" s="3" t="s">
        <v>364</v>
      </c>
      <c r="G82" s="18">
        <v>46082</v>
      </c>
      <c r="H82" s="19">
        <v>15501</v>
      </c>
      <c r="I82" s="3" t="str">
        <f>VLOOKUP(H82,'[1]Base de Clientes'!$B:$E,4,0)</f>
        <v>BANCO BTG PACTUAL S/A</v>
      </c>
      <c r="J82" s="5" t="s">
        <v>8</v>
      </c>
      <c r="K82" s="5" t="s">
        <v>103</v>
      </c>
      <c r="L82" s="9">
        <v>2173.640625</v>
      </c>
      <c r="M82" s="11" t="s">
        <v>7</v>
      </c>
      <c r="N82" s="13" t="s">
        <v>18</v>
      </c>
      <c r="O82" s="7">
        <v>0.5</v>
      </c>
      <c r="P82" s="16" t="s">
        <v>272</v>
      </c>
      <c r="R82" s="3"/>
      <c r="T82" s="7"/>
    </row>
    <row r="83" spans="1:20" x14ac:dyDescent="0.25">
      <c r="A83" s="16" t="str">
        <f t="shared" ref="A83" si="15">CONCATENATE(J83,M83,K83,M83,N83)</f>
        <v>CUSTO DMA -SERGIO ALMEIDA- MARÇO 26</v>
      </c>
      <c r="B83" s="18">
        <v>46082</v>
      </c>
      <c r="C83" s="3">
        <v>817391</v>
      </c>
      <c r="D83" s="3" t="s">
        <v>407</v>
      </c>
      <c r="E83" s="14">
        <f t="shared" ref="E83" si="16">-L83*O83</f>
        <v>-1086.8203125</v>
      </c>
      <c r="F83" s="3" t="s">
        <v>364</v>
      </c>
      <c r="G83" s="18">
        <v>46082</v>
      </c>
      <c r="H83" s="19">
        <v>15501</v>
      </c>
      <c r="I83" s="3" t="str">
        <f>VLOOKUP(H83,'[1]Base de Clientes'!$B:$E,4,0)</f>
        <v>BANCO BTG PACTUAL S/A</v>
      </c>
      <c r="J83" s="5" t="s">
        <v>8</v>
      </c>
      <c r="K83" s="5" t="s">
        <v>103</v>
      </c>
      <c r="L83" s="9">
        <v>2173.640625</v>
      </c>
      <c r="M83" s="11" t="s">
        <v>7</v>
      </c>
      <c r="N83" s="13" t="s">
        <v>18</v>
      </c>
      <c r="O83" s="7">
        <v>0.5</v>
      </c>
      <c r="P83" s="16" t="s">
        <v>272</v>
      </c>
      <c r="R83" s="3"/>
      <c r="T83" s="7"/>
    </row>
    <row r="84" spans="1:20" x14ac:dyDescent="0.25">
      <c r="A84" s="16" t="str">
        <f t="shared" si="0"/>
        <v>CUSTO DMA -VINICIUS CARVALHO- MARÇO 26</v>
      </c>
      <c r="B84" s="18">
        <v>46082</v>
      </c>
      <c r="C84" s="3">
        <v>817391</v>
      </c>
      <c r="D84" s="3" t="s">
        <v>406</v>
      </c>
      <c r="E84" s="14">
        <f t="shared" si="14"/>
        <v>-111.82545</v>
      </c>
      <c r="F84" s="3" t="s">
        <v>364</v>
      </c>
      <c r="G84" s="18">
        <v>46082</v>
      </c>
      <c r="H84" s="19">
        <v>15501</v>
      </c>
      <c r="I84" s="3" t="str">
        <f>VLOOKUP(H84,'[1]Base de Clientes'!$B:$E,4,0)</f>
        <v>BANCO BTG PACTUAL S/A</v>
      </c>
      <c r="J84" s="5" t="s">
        <v>8</v>
      </c>
      <c r="K84" s="5" t="s">
        <v>108</v>
      </c>
      <c r="L84" s="9">
        <v>111.82545</v>
      </c>
      <c r="M84" s="11" t="s">
        <v>7</v>
      </c>
      <c r="N84" s="13" t="s">
        <v>18</v>
      </c>
      <c r="O84" s="7">
        <v>1</v>
      </c>
      <c r="P84" s="16" t="s">
        <v>277</v>
      </c>
      <c r="R84" s="3"/>
      <c r="T84" s="7"/>
    </row>
    <row r="85" spans="1:20" x14ac:dyDescent="0.25">
      <c r="A85" s="16" t="str">
        <f t="shared" si="0"/>
        <v>CUSTO DMA -WELLINGTON DIAS PEREIRA- MARÇO 26</v>
      </c>
      <c r="B85" s="18">
        <v>46082</v>
      </c>
      <c r="C85" s="3">
        <v>817391</v>
      </c>
      <c r="D85" s="3" t="s">
        <v>471</v>
      </c>
      <c r="E85" s="14">
        <f t="shared" si="14"/>
        <v>-111.82545</v>
      </c>
      <c r="F85" s="3" t="s">
        <v>364</v>
      </c>
      <c r="G85" s="18">
        <v>46082</v>
      </c>
      <c r="H85" s="19">
        <v>15501</v>
      </c>
      <c r="I85" s="3" t="str">
        <f>VLOOKUP(H85,'[1]Base de Clientes'!$B:$E,4,0)</f>
        <v>BANCO BTG PACTUAL S/A</v>
      </c>
      <c r="J85" s="5" t="s">
        <v>8</v>
      </c>
      <c r="K85" s="5" t="s">
        <v>110</v>
      </c>
      <c r="L85" s="9">
        <v>111.82545</v>
      </c>
      <c r="M85" s="11" t="s">
        <v>7</v>
      </c>
      <c r="N85" s="13" t="s">
        <v>18</v>
      </c>
      <c r="O85" s="7">
        <v>1</v>
      </c>
      <c r="P85" s="16" t="s">
        <v>279</v>
      </c>
      <c r="R85" s="3"/>
      <c r="T85" s="7"/>
    </row>
    <row r="86" spans="1:20" x14ac:dyDescent="0.25">
      <c r="A86" s="16" t="str">
        <f t="shared" si="0"/>
        <v>CUSTO DMA. -BRUNO PEROTTONI- MARÇO 26</v>
      </c>
      <c r="B86" s="18">
        <v>46082</v>
      </c>
      <c r="C86" s="3">
        <v>817391</v>
      </c>
      <c r="D86" s="3" t="s">
        <v>487</v>
      </c>
      <c r="E86" s="14">
        <f t="shared" si="14"/>
        <v>-770.84653500000013</v>
      </c>
      <c r="F86" s="3" t="s">
        <v>364</v>
      </c>
      <c r="G86" s="18">
        <v>46082</v>
      </c>
      <c r="H86" s="19">
        <v>81794</v>
      </c>
      <c r="I86" s="3" t="str">
        <f>VLOOKUP(H86,'[1]Base de Clientes'!$B:$E,4,0)</f>
        <v>BRAZA BANK S/A BANCO DE CAMBIO</v>
      </c>
      <c r="J86" s="5" t="s">
        <v>15</v>
      </c>
      <c r="K86" s="5" t="s">
        <v>416</v>
      </c>
      <c r="L86" s="9">
        <v>770.84653500000013</v>
      </c>
      <c r="M86" s="11" t="s">
        <v>7</v>
      </c>
      <c r="N86" s="13" t="s">
        <v>18</v>
      </c>
      <c r="O86" s="7">
        <v>1</v>
      </c>
      <c r="P86" s="16" t="s">
        <v>425</v>
      </c>
      <c r="R86" s="3"/>
      <c r="T86" s="7"/>
    </row>
    <row r="87" spans="1:20" x14ac:dyDescent="0.25">
      <c r="A87" s="16" t="str">
        <f t="shared" si="0"/>
        <v>CUSTO DMA -GUSTAVO BEVILACQUA- MARÇO 26</v>
      </c>
      <c r="B87" s="18">
        <v>46082</v>
      </c>
      <c r="C87" s="3">
        <v>817391</v>
      </c>
      <c r="D87" s="3" t="s">
        <v>487</v>
      </c>
      <c r="E87" s="14">
        <f t="shared" si="14"/>
        <v>-2452.4444789999998</v>
      </c>
      <c r="F87" s="3" t="s">
        <v>364</v>
      </c>
      <c r="G87" s="18">
        <v>46082</v>
      </c>
      <c r="H87" s="19">
        <v>81794</v>
      </c>
      <c r="I87" s="3" t="str">
        <f>VLOOKUP(H87,'[1]Base de Clientes'!$B:$E,4,0)</f>
        <v>BRAZA BANK S/A BANCO DE CAMBIO</v>
      </c>
      <c r="J87" s="5" t="s">
        <v>8</v>
      </c>
      <c r="K87" s="5" t="s">
        <v>417</v>
      </c>
      <c r="L87" s="9">
        <v>2452.4444789999998</v>
      </c>
      <c r="M87" s="11" t="s">
        <v>7</v>
      </c>
      <c r="N87" s="13" t="s">
        <v>18</v>
      </c>
      <c r="O87" s="7">
        <v>1</v>
      </c>
      <c r="P87" s="16" t="s">
        <v>426</v>
      </c>
      <c r="R87" s="3"/>
      <c r="T87" s="7"/>
    </row>
    <row r="88" spans="1:20" x14ac:dyDescent="0.25">
      <c r="A88" s="16" t="str">
        <f t="shared" si="0"/>
        <v>CUSTO DMA -RONAN BOTELHO- MARÇO 26</v>
      </c>
      <c r="B88" s="18">
        <v>46082</v>
      </c>
      <c r="C88" s="3">
        <v>817391</v>
      </c>
      <c r="D88" s="3" t="s">
        <v>405</v>
      </c>
      <c r="E88" s="14">
        <f t="shared" si="14"/>
        <v>-128.08393409249999</v>
      </c>
      <c r="F88" s="3" t="s">
        <v>364</v>
      </c>
      <c r="G88" s="18">
        <v>46082</v>
      </c>
      <c r="H88" s="19">
        <v>83000</v>
      </c>
      <c r="I88" s="3" t="str">
        <f>VLOOKUP(H88,'[1]Base de Clientes'!$B:$E,4,0)</f>
        <v>BRM CARBYNE GESTAO DE RECURSOS S/A</v>
      </c>
      <c r="J88" s="5" t="s">
        <v>8</v>
      </c>
      <c r="K88" s="5" t="s">
        <v>85</v>
      </c>
      <c r="L88" s="9">
        <v>256.16786818499997</v>
      </c>
      <c r="M88" s="11" t="s">
        <v>7</v>
      </c>
      <c r="N88" s="13" t="s">
        <v>18</v>
      </c>
      <c r="O88" s="7">
        <v>0.5</v>
      </c>
      <c r="P88" s="16" t="s">
        <v>254</v>
      </c>
      <c r="R88" s="3"/>
      <c r="T88" s="7"/>
    </row>
    <row r="89" spans="1:20" x14ac:dyDescent="0.25">
      <c r="A89" s="16" t="str">
        <f t="shared" ref="A89:A90" si="17">CONCATENATE(J89,M89,K89,M89,N89)</f>
        <v>CUSTO DMA -RONAN BOTELHO- MARÇO 26</v>
      </c>
      <c r="B89" s="18">
        <v>46082</v>
      </c>
      <c r="C89" s="3">
        <v>817391</v>
      </c>
      <c r="D89" s="3" t="s">
        <v>481</v>
      </c>
      <c r="E89" s="14">
        <f t="shared" ref="E89:E90" si="18">-L89*O89</f>
        <v>-128.08393409249999</v>
      </c>
      <c r="F89" s="3" t="s">
        <v>364</v>
      </c>
      <c r="G89" s="18">
        <v>46082</v>
      </c>
      <c r="H89" s="19">
        <v>83000</v>
      </c>
      <c r="I89" s="3" t="str">
        <f>VLOOKUP(H89,'[1]Base de Clientes'!$B:$E,4,0)</f>
        <v>BRM CARBYNE GESTAO DE RECURSOS S/A</v>
      </c>
      <c r="J89" s="5" t="s">
        <v>8</v>
      </c>
      <c r="K89" s="5" t="s">
        <v>85</v>
      </c>
      <c r="L89" s="9">
        <v>256.16786818499997</v>
      </c>
      <c r="M89" s="11" t="s">
        <v>7</v>
      </c>
      <c r="N89" s="13" t="s">
        <v>18</v>
      </c>
      <c r="O89" s="7">
        <v>0.5</v>
      </c>
      <c r="P89" s="16" t="s">
        <v>254</v>
      </c>
      <c r="R89" s="3"/>
      <c r="T89" s="7"/>
    </row>
    <row r="90" spans="1:20" x14ac:dyDescent="0.25">
      <c r="A90" s="16" t="str">
        <f t="shared" si="17"/>
        <v>CUSTO DMA -BARNEY SILVA- MARÇO 26</v>
      </c>
      <c r="B90" s="18">
        <v>46082</v>
      </c>
      <c r="C90" s="3">
        <v>817391</v>
      </c>
      <c r="D90" s="3" t="s">
        <v>405</v>
      </c>
      <c r="E90" s="14">
        <f t="shared" si="18"/>
        <v>-1135.78982687745</v>
      </c>
      <c r="F90" s="3" t="s">
        <v>364</v>
      </c>
      <c r="G90" s="18">
        <v>46082</v>
      </c>
      <c r="H90" s="19">
        <v>83000</v>
      </c>
      <c r="I90" s="3" t="str">
        <f>VLOOKUP(H90,'[1]Base de Clientes'!$B:$E,4,0)</f>
        <v>BRM CARBYNE GESTAO DE RECURSOS S/A</v>
      </c>
      <c r="J90" s="5" t="s">
        <v>8</v>
      </c>
      <c r="K90" s="5" t="s">
        <v>104</v>
      </c>
      <c r="L90" s="9">
        <v>2271.5796537548999</v>
      </c>
      <c r="M90" s="11" t="s">
        <v>7</v>
      </c>
      <c r="N90" s="13" t="s">
        <v>18</v>
      </c>
      <c r="O90" s="7">
        <v>0.5</v>
      </c>
      <c r="P90" s="16" t="s">
        <v>273</v>
      </c>
      <c r="R90" s="3"/>
      <c r="T90" s="7"/>
    </row>
    <row r="91" spans="1:20" x14ac:dyDescent="0.25">
      <c r="A91" s="16" t="str">
        <f t="shared" si="0"/>
        <v>CUSTO DMA -BARNEY SILVA- MARÇO 26</v>
      </c>
      <c r="B91" s="18">
        <v>46082</v>
      </c>
      <c r="C91" s="3">
        <v>817391</v>
      </c>
      <c r="D91" s="3" t="s">
        <v>481</v>
      </c>
      <c r="E91" s="14">
        <f t="shared" si="14"/>
        <v>-1135.78982687745</v>
      </c>
      <c r="F91" s="3" t="s">
        <v>364</v>
      </c>
      <c r="G91" s="18">
        <v>46082</v>
      </c>
      <c r="H91" s="19">
        <v>83000</v>
      </c>
      <c r="I91" s="3" t="str">
        <f>VLOOKUP(H91,'[1]Base de Clientes'!$B:$E,4,0)</f>
        <v>BRM CARBYNE GESTAO DE RECURSOS S/A</v>
      </c>
      <c r="J91" s="5" t="s">
        <v>8</v>
      </c>
      <c r="K91" s="5" t="s">
        <v>104</v>
      </c>
      <c r="L91" s="9">
        <v>2271.5796537548999</v>
      </c>
      <c r="M91" s="11" t="s">
        <v>7</v>
      </c>
      <c r="N91" s="13" t="s">
        <v>18</v>
      </c>
      <c r="O91" s="7">
        <v>0.5</v>
      </c>
      <c r="P91" s="16" t="s">
        <v>273</v>
      </c>
      <c r="R91" s="3"/>
      <c r="T91" s="7"/>
    </row>
    <row r="92" spans="1:20" x14ac:dyDescent="0.25">
      <c r="A92" s="16" t="str">
        <f t="shared" si="0"/>
        <v>CUSTO DMA -LEO VAINZOF- MARÇO 26</v>
      </c>
      <c r="B92" s="18">
        <v>46082</v>
      </c>
      <c r="C92" s="3">
        <v>817391</v>
      </c>
      <c r="D92" s="3" t="s">
        <v>407</v>
      </c>
      <c r="E92" s="14">
        <f t="shared" si="14"/>
        <v>-530.63583749999998</v>
      </c>
      <c r="F92" s="3" t="s">
        <v>364</v>
      </c>
      <c r="G92" s="18">
        <v>46082</v>
      </c>
      <c r="H92" s="19">
        <v>15501</v>
      </c>
      <c r="I92" s="3" t="str">
        <f>VLOOKUP(H92,'[1]Base de Clientes'!$B:$E,4,0)</f>
        <v>BANCO BTG PACTUAL S/A</v>
      </c>
      <c r="J92" s="5" t="s">
        <v>8</v>
      </c>
      <c r="K92" s="5" t="s">
        <v>93</v>
      </c>
      <c r="L92" s="9">
        <v>1061.271675</v>
      </c>
      <c r="M92" s="11" t="s">
        <v>7</v>
      </c>
      <c r="N92" s="13" t="s">
        <v>18</v>
      </c>
      <c r="O92" s="7">
        <v>0.5</v>
      </c>
      <c r="P92" s="16" t="s">
        <v>262</v>
      </c>
      <c r="R92" s="3"/>
      <c r="T92" s="7"/>
    </row>
    <row r="93" spans="1:20" x14ac:dyDescent="0.25">
      <c r="A93" s="16" t="str">
        <f t="shared" ref="A93" si="19">CONCATENATE(J93,M93,K93,M93,N93)</f>
        <v>CUSTO DMA -LEO VAINZOF- MARÇO 26</v>
      </c>
      <c r="B93" s="18">
        <v>46082</v>
      </c>
      <c r="C93" s="3">
        <v>817391</v>
      </c>
      <c r="D93" s="3" t="s">
        <v>406</v>
      </c>
      <c r="E93" s="14">
        <f t="shared" ref="E93" si="20">-L93*O93</f>
        <v>-530.63583749999998</v>
      </c>
      <c r="F93" s="3" t="s">
        <v>364</v>
      </c>
      <c r="G93" s="18">
        <v>46082</v>
      </c>
      <c r="H93" s="19">
        <v>15501</v>
      </c>
      <c r="I93" s="3" t="str">
        <f>VLOOKUP(H93,'[1]Base de Clientes'!$B:$E,4,0)</f>
        <v>BANCO BTG PACTUAL S/A</v>
      </c>
      <c r="J93" s="5" t="s">
        <v>8</v>
      </c>
      <c r="K93" s="5" t="s">
        <v>93</v>
      </c>
      <c r="L93" s="9">
        <v>1061.271675</v>
      </c>
      <c r="M93" s="11" t="s">
        <v>7</v>
      </c>
      <c r="N93" s="13" t="s">
        <v>18</v>
      </c>
      <c r="O93" s="7">
        <v>0.5</v>
      </c>
      <c r="P93" s="16" t="s">
        <v>262</v>
      </c>
      <c r="R93" s="3"/>
      <c r="T93" s="7"/>
    </row>
    <row r="94" spans="1:20" x14ac:dyDescent="0.25">
      <c r="A94" s="16" t="str">
        <f t="shared" si="0"/>
        <v>CUSTO DMA -DANIEL MOTTA CAMARGO- MARÇO 26</v>
      </c>
      <c r="B94" s="18">
        <v>46082</v>
      </c>
      <c r="C94" s="3">
        <v>817391</v>
      </c>
      <c r="D94" s="3" t="s">
        <v>402</v>
      </c>
      <c r="E94" s="14">
        <f t="shared" si="14"/>
        <v>-4518.9252900000001</v>
      </c>
      <c r="F94" s="3" t="s">
        <v>364</v>
      </c>
      <c r="G94" s="18">
        <v>46082</v>
      </c>
      <c r="H94" s="19">
        <v>15501</v>
      </c>
      <c r="I94" s="3" t="str">
        <f>VLOOKUP(H94,'[1]Base de Clientes'!$B:$E,4,0)</f>
        <v>BANCO BTG PACTUAL S/A</v>
      </c>
      <c r="J94" s="5" t="s">
        <v>8</v>
      </c>
      <c r="K94" s="5" t="s">
        <v>87</v>
      </c>
      <c r="L94" s="9">
        <v>4518.9252900000001</v>
      </c>
      <c r="M94" s="11" t="s">
        <v>7</v>
      </c>
      <c r="N94" s="13" t="s">
        <v>18</v>
      </c>
      <c r="O94" s="7">
        <v>1</v>
      </c>
      <c r="P94" s="16" t="s">
        <v>256</v>
      </c>
      <c r="R94" s="3"/>
      <c r="T94" s="7"/>
    </row>
    <row r="95" spans="1:20" x14ac:dyDescent="0.25">
      <c r="A95" s="16" t="str">
        <f t="shared" si="0"/>
        <v>CUSTO DMA -DECIO PEREIRA- MARÇO 26</v>
      </c>
      <c r="B95" s="18">
        <v>46082</v>
      </c>
      <c r="C95" s="3">
        <v>817391</v>
      </c>
      <c r="D95" s="3" t="s">
        <v>488</v>
      </c>
      <c r="E95" s="14">
        <f t="shared" si="14"/>
        <v>-4610.2690260000008</v>
      </c>
      <c r="F95" s="3" t="s">
        <v>364</v>
      </c>
      <c r="G95" s="18">
        <v>46082</v>
      </c>
      <c r="H95" s="19">
        <v>82964</v>
      </c>
      <c r="I95" s="3" t="str">
        <f>VLOOKUP(H95,'[1]Base de Clientes'!$B:$E,4,0)</f>
        <v>BANCO BTG PACTUAL S/A</v>
      </c>
      <c r="J95" s="5" t="s">
        <v>8</v>
      </c>
      <c r="K95" s="5" t="s">
        <v>377</v>
      </c>
      <c r="L95" s="9">
        <v>4610.2690260000008</v>
      </c>
      <c r="M95" s="11" t="s">
        <v>7</v>
      </c>
      <c r="N95" s="13" t="s">
        <v>18</v>
      </c>
      <c r="O95" s="7">
        <v>1</v>
      </c>
      <c r="P95" s="16" t="s">
        <v>391</v>
      </c>
      <c r="R95" s="3"/>
      <c r="T95" s="7"/>
    </row>
    <row r="96" spans="1:20" x14ac:dyDescent="0.25">
      <c r="A96" s="16" t="str">
        <f t="shared" si="0"/>
        <v>CUSTO DMA -IVAN KRAISER- MARÇO 26</v>
      </c>
      <c r="B96" s="18">
        <v>46082</v>
      </c>
      <c r="C96" s="3">
        <v>817391</v>
      </c>
      <c r="D96" s="3" t="s">
        <v>484</v>
      </c>
      <c r="E96" s="14">
        <f t="shared" si="14"/>
        <v>-115.13205900000001</v>
      </c>
      <c r="F96" s="3" t="s">
        <v>364</v>
      </c>
      <c r="G96" s="18">
        <v>46082</v>
      </c>
      <c r="H96" s="19">
        <v>124384</v>
      </c>
      <c r="I96" s="3" t="str">
        <f>VLOOKUP(H96,'[1]Base de Clientes'!$B:$E,4,0)</f>
        <v>GARIN INVESTIMENTOS LTDA</v>
      </c>
      <c r="J96" s="5" t="s">
        <v>8</v>
      </c>
      <c r="K96" s="5" t="s">
        <v>90</v>
      </c>
      <c r="L96" s="9">
        <v>115.13205900000001</v>
      </c>
      <c r="M96" s="11" t="s">
        <v>7</v>
      </c>
      <c r="N96" s="13" t="s">
        <v>18</v>
      </c>
      <c r="O96" s="7">
        <v>1</v>
      </c>
      <c r="P96" s="16" t="s">
        <v>259</v>
      </c>
      <c r="R96" s="3"/>
      <c r="T96" s="7"/>
    </row>
    <row r="97" spans="1:20" x14ac:dyDescent="0.25">
      <c r="A97" s="16" t="str">
        <f t="shared" si="0"/>
        <v>CUSTO DMA -RICARDO BERNSTEIN- MARÇO 26</v>
      </c>
      <c r="B97" s="18">
        <v>46082</v>
      </c>
      <c r="C97" s="3">
        <v>817391</v>
      </c>
      <c r="D97" s="3" t="s">
        <v>398</v>
      </c>
      <c r="E97" s="14">
        <f t="shared" si="14"/>
        <v>-111.82545</v>
      </c>
      <c r="F97" s="3" t="s">
        <v>364</v>
      </c>
      <c r="G97" s="18">
        <v>46082</v>
      </c>
      <c r="H97" s="19">
        <v>12296</v>
      </c>
      <c r="I97" s="3" t="str">
        <f>VLOOKUP(H97,'[1]Base de Clientes'!$B:$E,4,0)</f>
        <v>PATRIA INVESTIMENTOS LTDA</v>
      </c>
      <c r="J97" s="5" t="s">
        <v>8</v>
      </c>
      <c r="K97" s="5" t="s">
        <v>83</v>
      </c>
      <c r="L97" s="9">
        <v>111.82545</v>
      </c>
      <c r="M97" s="11" t="s">
        <v>7</v>
      </c>
      <c r="N97" s="13" t="s">
        <v>18</v>
      </c>
      <c r="O97" s="7">
        <v>1</v>
      </c>
      <c r="P97" s="16" t="s">
        <v>392</v>
      </c>
      <c r="R97" s="3"/>
      <c r="T97" s="7"/>
    </row>
    <row r="98" spans="1:20" x14ac:dyDescent="0.25">
      <c r="A98" s="16" t="str">
        <f t="shared" si="0"/>
        <v>CUSTO DMA -WILLIAM LEITE- MARÇO 26</v>
      </c>
      <c r="B98" s="18">
        <v>46082</v>
      </c>
      <c r="C98" s="3">
        <v>817391</v>
      </c>
      <c r="D98" s="3" t="s">
        <v>398</v>
      </c>
      <c r="E98" s="14">
        <f t="shared" si="14"/>
        <v>-2139.3609880949998</v>
      </c>
      <c r="F98" s="3" t="s">
        <v>364</v>
      </c>
      <c r="G98" s="18">
        <v>46082</v>
      </c>
      <c r="H98" s="19">
        <v>12296</v>
      </c>
      <c r="I98" s="3" t="str">
        <f>VLOOKUP(H98,'[1]Base de Clientes'!$B:$E,4,0)</f>
        <v>PATRIA INVESTIMENTOS LTDA</v>
      </c>
      <c r="J98" s="5" t="s">
        <v>8</v>
      </c>
      <c r="K98" s="5" t="s">
        <v>111</v>
      </c>
      <c r="L98" s="9">
        <v>2139.3609880949998</v>
      </c>
      <c r="M98" s="11" t="s">
        <v>7</v>
      </c>
      <c r="N98" s="13" t="s">
        <v>18</v>
      </c>
      <c r="O98" s="7">
        <v>1</v>
      </c>
      <c r="P98" s="16" t="s">
        <v>280</v>
      </c>
      <c r="R98" s="3"/>
      <c r="T98" s="7"/>
    </row>
    <row r="99" spans="1:20" x14ac:dyDescent="0.2">
      <c r="A99" s="16" t="str">
        <f t="shared" si="0"/>
        <v>CUSTO DMA -LEONARDO GARROUX- MARÇO 26</v>
      </c>
      <c r="B99" s="18">
        <v>46082</v>
      </c>
      <c r="C99" s="3">
        <v>817391</v>
      </c>
      <c r="D99" s="24" t="s">
        <v>472</v>
      </c>
      <c r="E99" s="14">
        <f t="shared" si="14"/>
        <v>-111.82545</v>
      </c>
      <c r="F99" s="3" t="s">
        <v>364</v>
      </c>
      <c r="G99" s="18">
        <v>46082</v>
      </c>
      <c r="H99" s="19">
        <v>81438</v>
      </c>
      <c r="I99" s="3" t="str">
        <f>VLOOKUP(H99,'[1]Base de Clientes'!$B:$E,4,0)</f>
        <v>PORTO SEGURO INVESTIMENTOS LTDA</v>
      </c>
      <c r="J99" s="5" t="s">
        <v>8</v>
      </c>
      <c r="K99" s="5" t="s">
        <v>94</v>
      </c>
      <c r="L99" s="9">
        <v>111.82545</v>
      </c>
      <c r="M99" s="11" t="s">
        <v>7</v>
      </c>
      <c r="N99" s="13" t="s">
        <v>18</v>
      </c>
      <c r="O99" s="7">
        <v>1</v>
      </c>
      <c r="P99" s="16" t="s">
        <v>263</v>
      </c>
      <c r="R99" s="3"/>
      <c r="T99" s="7"/>
    </row>
    <row r="100" spans="1:20" x14ac:dyDescent="0.2">
      <c r="A100" s="16" t="str">
        <f t="shared" si="0"/>
        <v>CUSTO DMA -LEONARDO NAKAJIMA- MARÇO 26</v>
      </c>
      <c r="B100" s="18">
        <v>46082</v>
      </c>
      <c r="C100" s="3">
        <v>817391</v>
      </c>
      <c r="D100" s="24" t="s">
        <v>472</v>
      </c>
      <c r="E100" s="14">
        <f t="shared" si="14"/>
        <v>-111.82545</v>
      </c>
      <c r="F100" s="3" t="s">
        <v>364</v>
      </c>
      <c r="G100" s="18">
        <v>46082</v>
      </c>
      <c r="H100" s="19">
        <v>81438</v>
      </c>
      <c r="I100" s="3" t="str">
        <f>VLOOKUP(H100,'[1]Base de Clientes'!$B:$E,4,0)</f>
        <v>PORTO SEGURO INVESTIMENTOS LTDA</v>
      </c>
      <c r="J100" s="5" t="s">
        <v>8</v>
      </c>
      <c r="K100" s="5" t="s">
        <v>95</v>
      </c>
      <c r="L100" s="9">
        <v>111.82545</v>
      </c>
      <c r="M100" s="11" t="s">
        <v>7</v>
      </c>
      <c r="N100" s="13" t="s">
        <v>18</v>
      </c>
      <c r="O100" s="7">
        <v>1</v>
      </c>
      <c r="P100" s="16" t="s">
        <v>264</v>
      </c>
      <c r="R100" s="3"/>
      <c r="T100" s="7"/>
    </row>
    <row r="101" spans="1:20" x14ac:dyDescent="0.2">
      <c r="A101" s="16" t="str">
        <f t="shared" si="0"/>
        <v>CUSTO DMA -TOMAS PEREIRA- MARÇO 26</v>
      </c>
      <c r="B101" s="18">
        <v>46082</v>
      </c>
      <c r="C101" s="3">
        <v>817391</v>
      </c>
      <c r="D101" s="24" t="s">
        <v>472</v>
      </c>
      <c r="E101" s="14">
        <f t="shared" si="14"/>
        <v>-111.82545</v>
      </c>
      <c r="F101" s="3" t="s">
        <v>364</v>
      </c>
      <c r="G101" s="18">
        <v>46082</v>
      </c>
      <c r="H101" s="19">
        <v>81438</v>
      </c>
      <c r="I101" s="3" t="str">
        <f>VLOOKUP(H101,'[1]Base de Clientes'!$B:$E,4,0)</f>
        <v>PORTO SEGURO INVESTIMENTOS LTDA</v>
      </c>
      <c r="J101" s="5" t="s">
        <v>8</v>
      </c>
      <c r="K101" s="5" t="s">
        <v>106</v>
      </c>
      <c r="L101" s="9">
        <v>111.82545</v>
      </c>
      <c r="M101" s="11" t="s">
        <v>7</v>
      </c>
      <c r="N101" s="13" t="s">
        <v>18</v>
      </c>
      <c r="O101" s="7">
        <v>1</v>
      </c>
      <c r="P101" s="16" t="s">
        <v>275</v>
      </c>
      <c r="R101" s="3"/>
      <c r="T101" s="7"/>
    </row>
    <row r="102" spans="1:20" x14ac:dyDescent="0.25">
      <c r="A102" s="16" t="str">
        <f t="shared" si="0"/>
        <v>CUSTO DMA -MATHEUS SOUZA- MARÇO 26</v>
      </c>
      <c r="B102" s="18">
        <v>46082</v>
      </c>
      <c r="C102" s="3">
        <v>817391</v>
      </c>
      <c r="D102" s="3" t="s">
        <v>470</v>
      </c>
      <c r="E102" s="14">
        <f t="shared" si="14"/>
        <v>-111.82545</v>
      </c>
      <c r="F102" s="3" t="s">
        <v>364</v>
      </c>
      <c r="G102" s="18">
        <v>46082</v>
      </c>
      <c r="H102" s="19">
        <v>81710</v>
      </c>
      <c r="I102" s="3" t="str">
        <f>VLOOKUP(H102,'[1]Base de Clientes'!$B:$E,4,0)</f>
        <v>RYO GESTAO DE RECURSOS LTDA</v>
      </c>
      <c r="J102" s="5" t="s">
        <v>8</v>
      </c>
      <c r="K102" s="5" t="s">
        <v>100</v>
      </c>
      <c r="L102" s="9">
        <v>111.82545</v>
      </c>
      <c r="M102" s="11" t="s">
        <v>7</v>
      </c>
      <c r="N102" s="13" t="s">
        <v>18</v>
      </c>
      <c r="O102" s="7">
        <v>1</v>
      </c>
      <c r="P102" s="16" t="s">
        <v>269</v>
      </c>
      <c r="R102" s="3"/>
      <c r="T102" s="7"/>
    </row>
    <row r="103" spans="1:20" x14ac:dyDescent="0.25">
      <c r="A103" s="16" t="str">
        <f t="shared" si="0"/>
        <v>CUSTO DMA -MARCEL YAGUI- MARÇO 26</v>
      </c>
      <c r="B103" s="18">
        <v>46082</v>
      </c>
      <c r="C103" s="3">
        <v>817391</v>
      </c>
      <c r="D103" s="3" t="s">
        <v>404</v>
      </c>
      <c r="E103" s="14">
        <f t="shared" si="14"/>
        <v>-111.82545</v>
      </c>
      <c r="F103" s="3" t="s">
        <v>364</v>
      </c>
      <c r="G103" s="18">
        <v>46082</v>
      </c>
      <c r="H103" s="19">
        <v>82639</v>
      </c>
      <c r="I103" s="3" t="str">
        <f>VLOOKUP(H103,'[1]Base de Clientes'!$B:$E,4,0)</f>
        <v>SAFRA ASSET MANAGEMENT LTDA</v>
      </c>
      <c r="J103" s="5" t="s">
        <v>8</v>
      </c>
      <c r="K103" s="5" t="s">
        <v>97</v>
      </c>
      <c r="L103" s="9">
        <v>111.82545</v>
      </c>
      <c r="M103" s="11" t="s">
        <v>7</v>
      </c>
      <c r="N103" s="13" t="s">
        <v>18</v>
      </c>
      <c r="O103" s="7">
        <v>1</v>
      </c>
      <c r="P103" s="16" t="s">
        <v>266</v>
      </c>
      <c r="R103" s="3"/>
      <c r="T103" s="7"/>
    </row>
    <row r="104" spans="1:20" x14ac:dyDescent="0.25">
      <c r="A104" s="16" t="str">
        <f t="shared" si="0"/>
        <v>CUSTO DMA -VITOR ANGELIS- MARÇO 26</v>
      </c>
      <c r="B104" s="18">
        <v>46082</v>
      </c>
      <c r="C104" s="3">
        <v>817391</v>
      </c>
      <c r="D104" s="3" t="s">
        <v>404</v>
      </c>
      <c r="E104" s="14">
        <f t="shared" si="14"/>
        <v>-111.82545</v>
      </c>
      <c r="F104" s="3" t="s">
        <v>364</v>
      </c>
      <c r="G104" s="18">
        <v>46082</v>
      </c>
      <c r="H104" s="19">
        <v>82639</v>
      </c>
      <c r="I104" s="3" t="str">
        <f>VLOOKUP(H104,'[1]Base de Clientes'!$B:$E,4,0)</f>
        <v>SAFRA ASSET MANAGEMENT LTDA</v>
      </c>
      <c r="J104" s="5" t="s">
        <v>8</v>
      </c>
      <c r="K104" s="5" t="s">
        <v>109</v>
      </c>
      <c r="L104" s="9">
        <v>111.82545</v>
      </c>
      <c r="M104" s="11" t="s">
        <v>7</v>
      </c>
      <c r="N104" s="13" t="s">
        <v>18</v>
      </c>
      <c r="O104" s="7">
        <v>1</v>
      </c>
      <c r="P104" s="16" t="s">
        <v>278</v>
      </c>
      <c r="R104" s="3"/>
      <c r="T104" s="7"/>
    </row>
    <row r="105" spans="1:20" x14ac:dyDescent="0.25">
      <c r="A105" s="16" t="str">
        <f t="shared" si="0"/>
        <v>CUSTO DMA -MARCELO IDE- MARÇO 26</v>
      </c>
      <c r="B105" s="18">
        <v>46082</v>
      </c>
      <c r="C105" s="3">
        <v>817391</v>
      </c>
      <c r="D105" s="3" t="s">
        <v>411</v>
      </c>
      <c r="E105" s="14">
        <f t="shared" si="14"/>
        <v>-111.82545</v>
      </c>
      <c r="F105" s="3" t="s">
        <v>364</v>
      </c>
      <c r="G105" s="18">
        <v>46082</v>
      </c>
      <c r="H105" s="19">
        <v>80856</v>
      </c>
      <c r="I105" s="3" t="str">
        <f>VLOOKUP(H105,'[1]Base de Clientes'!$B:$E,4,0)</f>
        <v>SCHRODER INVESTMENT MANAGEMENT BRASIL LTDA</v>
      </c>
      <c r="J105" s="5" t="s">
        <v>8</v>
      </c>
      <c r="K105" s="5" t="s">
        <v>98</v>
      </c>
      <c r="L105" s="9">
        <v>111.82545</v>
      </c>
      <c r="M105" s="11" t="s">
        <v>7</v>
      </c>
      <c r="N105" s="13" t="s">
        <v>18</v>
      </c>
      <c r="O105" s="7">
        <v>1</v>
      </c>
      <c r="P105" s="16" t="s">
        <v>267</v>
      </c>
      <c r="R105" s="3"/>
      <c r="T105" s="7"/>
    </row>
    <row r="106" spans="1:20" x14ac:dyDescent="0.25">
      <c r="A106" s="16" t="str">
        <f t="shared" si="0"/>
        <v>CUSTO DMA -ANDRÉ CALDAS- MARÇO 26</v>
      </c>
      <c r="B106" s="18">
        <v>46082</v>
      </c>
      <c r="C106" s="3">
        <v>817391</v>
      </c>
      <c r="D106" s="3" t="s">
        <v>397</v>
      </c>
      <c r="E106" s="14">
        <f t="shared" si="14"/>
        <v>-111.82545</v>
      </c>
      <c r="F106" s="3" t="s">
        <v>364</v>
      </c>
      <c r="G106" s="18">
        <v>46082</v>
      </c>
      <c r="H106" s="19">
        <v>82748</v>
      </c>
      <c r="I106" s="3" t="str">
        <f>VLOOKUP(H106,'[1]Base de Clientes'!$B:$E,4,0)</f>
        <v>SPRINGS CAPITAL LTDA</v>
      </c>
      <c r="J106" s="5" t="s">
        <v>8</v>
      </c>
      <c r="K106" s="5" t="s">
        <v>84</v>
      </c>
      <c r="L106" s="9">
        <v>111.82545</v>
      </c>
      <c r="M106" s="11" t="s">
        <v>7</v>
      </c>
      <c r="N106" s="13" t="s">
        <v>18</v>
      </c>
      <c r="O106" s="7">
        <v>1</v>
      </c>
      <c r="P106" s="16" t="s">
        <v>253</v>
      </c>
      <c r="R106" s="3"/>
      <c r="T106" s="7"/>
    </row>
    <row r="107" spans="1:20" x14ac:dyDescent="0.25">
      <c r="A107" s="16" t="str">
        <f t="shared" si="0"/>
        <v>CUSTO DMA -MATHEUS EFRAIN- MARÇO 26</v>
      </c>
      <c r="B107" s="18">
        <v>46082</v>
      </c>
      <c r="C107" s="3">
        <v>817391</v>
      </c>
      <c r="D107" s="3" t="s">
        <v>397</v>
      </c>
      <c r="E107" s="14">
        <f t="shared" si="14"/>
        <v>-436.34793537000007</v>
      </c>
      <c r="F107" s="3" t="s">
        <v>364</v>
      </c>
      <c r="G107" s="18">
        <v>46082</v>
      </c>
      <c r="H107" s="19">
        <v>82748</v>
      </c>
      <c r="I107" s="3" t="str">
        <f>VLOOKUP(H107,'[1]Base de Clientes'!$B:$E,4,0)</f>
        <v>SPRINGS CAPITAL LTDA</v>
      </c>
      <c r="J107" s="5" t="s">
        <v>8</v>
      </c>
      <c r="K107" s="5" t="s">
        <v>99</v>
      </c>
      <c r="L107" s="9">
        <v>436.34793537000007</v>
      </c>
      <c r="M107" s="11" t="s">
        <v>7</v>
      </c>
      <c r="N107" s="13" t="s">
        <v>18</v>
      </c>
      <c r="O107" s="7">
        <v>1</v>
      </c>
      <c r="P107" s="16" t="s">
        <v>268</v>
      </c>
      <c r="R107" s="3"/>
      <c r="T107" s="7"/>
    </row>
    <row r="108" spans="1:20" x14ac:dyDescent="0.25">
      <c r="A108" s="16" t="str">
        <f t="shared" si="0"/>
        <v>CUSTO DMA -JAMES OLIVEIRA- MARÇO 26</v>
      </c>
      <c r="B108" s="18">
        <v>46082</v>
      </c>
      <c r="C108" s="3">
        <v>817391</v>
      </c>
      <c r="D108" s="3" t="s">
        <v>400</v>
      </c>
      <c r="E108" s="14">
        <f t="shared" si="14"/>
        <v>-111.82545</v>
      </c>
      <c r="F108" s="3" t="s">
        <v>364</v>
      </c>
      <c r="G108" s="18">
        <v>46082</v>
      </c>
      <c r="H108" s="19">
        <v>80359</v>
      </c>
      <c r="I108" s="3" t="str">
        <f>VLOOKUP(H108,'[1]Base de Clientes'!$B:$E,4,0)</f>
        <v>VINLAND CAPITAL MANAGEMENT GESTORA DE RECURSOS LTDA</v>
      </c>
      <c r="J108" s="5" t="s">
        <v>8</v>
      </c>
      <c r="K108" s="5" t="s">
        <v>91</v>
      </c>
      <c r="L108" s="9">
        <v>111.82545</v>
      </c>
      <c r="M108" s="11" t="s">
        <v>7</v>
      </c>
      <c r="N108" s="13" t="s">
        <v>18</v>
      </c>
      <c r="O108" s="7">
        <v>1</v>
      </c>
      <c r="P108" s="16" t="s">
        <v>260</v>
      </c>
      <c r="R108" s="3"/>
      <c r="T108" s="7"/>
    </row>
    <row r="109" spans="1:20" x14ac:dyDescent="0.25">
      <c r="A109" s="16" t="str">
        <f t="shared" si="0"/>
        <v>CUSTO DMA -JOÃO CARUSO- MARÇO 26</v>
      </c>
      <c r="B109" s="18">
        <v>46082</v>
      </c>
      <c r="C109" s="3">
        <v>817391</v>
      </c>
      <c r="D109" s="3" t="s">
        <v>470</v>
      </c>
      <c r="E109" s="14">
        <f t="shared" si="14"/>
        <v>-111.82545</v>
      </c>
      <c r="F109" s="3" t="s">
        <v>364</v>
      </c>
      <c r="G109" s="18">
        <v>46082</v>
      </c>
      <c r="H109" s="19">
        <v>80359</v>
      </c>
      <c r="I109" s="3" t="str">
        <f>VLOOKUP(H109,'[1]Base de Clientes'!$B:$E,4,0)</f>
        <v>VINLAND CAPITAL MANAGEMENT GESTORA DE RECURSOS LTDA</v>
      </c>
      <c r="J109" s="5" t="s">
        <v>8</v>
      </c>
      <c r="K109" s="5" t="s">
        <v>92</v>
      </c>
      <c r="L109" s="9">
        <v>111.82545</v>
      </c>
      <c r="M109" s="11" t="s">
        <v>7</v>
      </c>
      <c r="N109" s="13" t="s">
        <v>18</v>
      </c>
      <c r="O109" s="7">
        <v>1</v>
      </c>
      <c r="P109" s="16" t="s">
        <v>261</v>
      </c>
      <c r="R109" s="3"/>
      <c r="T109" s="7"/>
    </row>
    <row r="110" spans="1:20" x14ac:dyDescent="0.25">
      <c r="A110" s="16" t="str">
        <f t="shared" si="0"/>
        <v>CUSTO DMA -LUCAS PACCOLA- MARÇO 26</v>
      </c>
      <c r="B110" s="18">
        <v>46082</v>
      </c>
      <c r="C110" s="3">
        <v>817391</v>
      </c>
      <c r="D110" s="3" t="s">
        <v>470</v>
      </c>
      <c r="E110" s="14">
        <f t="shared" si="14"/>
        <v>-111.82545</v>
      </c>
      <c r="F110" s="3" t="s">
        <v>364</v>
      </c>
      <c r="G110" s="18">
        <v>46082</v>
      </c>
      <c r="H110" s="19">
        <v>80359</v>
      </c>
      <c r="I110" s="3" t="str">
        <f>VLOOKUP(H110,'[1]Base de Clientes'!$B:$E,4,0)</f>
        <v>VINLAND CAPITAL MANAGEMENT GESTORA DE RECURSOS LTDA</v>
      </c>
      <c r="J110" s="5" t="s">
        <v>8</v>
      </c>
      <c r="K110" s="5" t="s">
        <v>96</v>
      </c>
      <c r="L110" s="9">
        <v>111.82545</v>
      </c>
      <c r="M110" s="11" t="s">
        <v>7</v>
      </c>
      <c r="N110" s="13" t="s">
        <v>18</v>
      </c>
      <c r="O110" s="7">
        <v>1</v>
      </c>
      <c r="P110" s="16" t="s">
        <v>265</v>
      </c>
      <c r="R110" s="3"/>
      <c r="T110" s="7"/>
    </row>
    <row r="111" spans="1:20" x14ac:dyDescent="0.25">
      <c r="A111" s="16" t="str">
        <f t="shared" si="0"/>
        <v>CUSTO DMA -THIAGO ROLO- MARÇO 26</v>
      </c>
      <c r="B111" s="18">
        <v>46082</v>
      </c>
      <c r="C111" s="3">
        <v>817391</v>
      </c>
      <c r="D111" s="3" t="s">
        <v>470</v>
      </c>
      <c r="E111" s="14">
        <f t="shared" si="14"/>
        <v>-111.82545</v>
      </c>
      <c r="F111" s="3" t="s">
        <v>364</v>
      </c>
      <c r="G111" s="18">
        <v>46082</v>
      </c>
      <c r="H111" s="19">
        <v>80359</v>
      </c>
      <c r="I111" s="3" t="str">
        <f>VLOOKUP(H111,'[1]Base de Clientes'!$B:$E,4,0)</f>
        <v>VINLAND CAPITAL MANAGEMENT GESTORA DE RECURSOS LTDA</v>
      </c>
      <c r="J111" s="5" t="s">
        <v>8</v>
      </c>
      <c r="K111" s="5" t="s">
        <v>105</v>
      </c>
      <c r="L111" s="9">
        <v>111.82545</v>
      </c>
      <c r="M111" s="11" t="s">
        <v>7</v>
      </c>
      <c r="N111" s="13" t="s">
        <v>18</v>
      </c>
      <c r="O111" s="7">
        <v>1</v>
      </c>
      <c r="P111" s="16" t="s">
        <v>274</v>
      </c>
      <c r="R111" s="3"/>
      <c r="T111" s="7"/>
    </row>
    <row r="112" spans="1:20" x14ac:dyDescent="0.25">
      <c r="A112" s="16" t="str">
        <f t="shared" si="0"/>
        <v>CUSTO DMA -VINICIO HUANG- MARÇO 26</v>
      </c>
      <c r="B112" s="18">
        <v>46082</v>
      </c>
      <c r="C112" s="3">
        <v>817391</v>
      </c>
      <c r="D112" s="3" t="s">
        <v>470</v>
      </c>
      <c r="E112" s="14">
        <f t="shared" si="14"/>
        <v>-111.82545</v>
      </c>
      <c r="F112" s="3" t="s">
        <v>364</v>
      </c>
      <c r="G112" s="18">
        <v>46082</v>
      </c>
      <c r="H112" s="19">
        <v>80359</v>
      </c>
      <c r="I112" s="3" t="str">
        <f>VLOOKUP(H112,'[1]Base de Clientes'!$B:$E,4,0)</f>
        <v>VINLAND CAPITAL MANAGEMENT GESTORA DE RECURSOS LTDA</v>
      </c>
      <c r="J112" s="5" t="s">
        <v>8</v>
      </c>
      <c r="K112" s="5" t="s">
        <v>107</v>
      </c>
      <c r="L112" s="9">
        <v>111.82545</v>
      </c>
      <c r="M112" s="11" t="s">
        <v>7</v>
      </c>
      <c r="N112" s="13" t="s">
        <v>18</v>
      </c>
      <c r="O112" s="7">
        <v>1</v>
      </c>
      <c r="P112" s="16" t="s">
        <v>276</v>
      </c>
      <c r="R112" s="3"/>
      <c r="T112" s="7"/>
    </row>
    <row r="113" spans="1:20" x14ac:dyDescent="0.25">
      <c r="A113" s="16" t="str">
        <f t="shared" ref="A113" si="21">CONCATENATE(J113,M113,K113,M113,N113)</f>
        <v>CUSTO DMA -HENRIQUE PEINADO- MARÇO 26</v>
      </c>
      <c r="B113" s="18">
        <v>46082</v>
      </c>
      <c r="C113" s="3">
        <v>817391</v>
      </c>
      <c r="D113" s="3" t="s">
        <v>477</v>
      </c>
      <c r="E113" s="14">
        <f t="shared" si="14"/>
        <v>-3678.105</v>
      </c>
      <c r="F113" s="3" t="s">
        <v>365</v>
      </c>
      <c r="G113" s="18">
        <v>46082</v>
      </c>
      <c r="H113" s="19">
        <v>80958</v>
      </c>
      <c r="I113" s="3" t="str">
        <f>VLOOKUP(H113,'[1]Base de Clientes'!$B:$E,4,0)</f>
        <v>ITAU UNIBANCO ASSET - OPTIMUS</v>
      </c>
      <c r="J113" s="5" t="s">
        <v>8</v>
      </c>
      <c r="K113" s="5" t="s">
        <v>188</v>
      </c>
      <c r="L113" s="9">
        <v>3678.105</v>
      </c>
      <c r="M113" s="11" t="s">
        <v>7</v>
      </c>
      <c r="N113" s="13" t="s">
        <v>18</v>
      </c>
      <c r="O113" s="7">
        <v>1</v>
      </c>
      <c r="P113" s="16" t="s">
        <v>531</v>
      </c>
      <c r="R113" s="3"/>
      <c r="T113" s="7"/>
    </row>
    <row r="114" spans="1:20" x14ac:dyDescent="0.25">
      <c r="A114" s="16" t="str">
        <f t="shared" si="0"/>
        <v>CUSTO DMA -MARCIO UEJIMA- MARÇO 26</v>
      </c>
      <c r="B114" s="18">
        <v>46082</v>
      </c>
      <c r="C114" s="3">
        <v>817391</v>
      </c>
      <c r="D114" s="3" t="s">
        <v>477</v>
      </c>
      <c r="E114" s="14">
        <f t="shared" si="14"/>
        <v>-3678.105</v>
      </c>
      <c r="F114" s="3" t="s">
        <v>365</v>
      </c>
      <c r="G114" s="18">
        <v>46082</v>
      </c>
      <c r="H114" s="19">
        <v>80958</v>
      </c>
      <c r="I114" s="3" t="str">
        <f>VLOOKUP(H114,'[1]Base de Clientes'!$B:$E,4,0)</f>
        <v>ITAU UNIBANCO ASSET - OPTIMUS</v>
      </c>
      <c r="J114" s="5" t="s">
        <v>8</v>
      </c>
      <c r="K114" s="5" t="s">
        <v>189</v>
      </c>
      <c r="L114" s="9">
        <v>3678.105</v>
      </c>
      <c r="M114" s="11" t="s">
        <v>7</v>
      </c>
      <c r="N114" s="13" t="s">
        <v>18</v>
      </c>
      <c r="O114" s="7">
        <v>1</v>
      </c>
      <c r="P114" s="16" t="s">
        <v>532</v>
      </c>
      <c r="R114" s="3"/>
      <c r="T114" s="7"/>
    </row>
    <row r="115" spans="1:20" x14ac:dyDescent="0.25">
      <c r="A115" s="16" t="str">
        <f t="shared" si="0"/>
        <v>CUSTO DMA -BRUNO HERZOG GARCIA- MARÇO 26</v>
      </c>
      <c r="B115" s="18">
        <v>46082</v>
      </c>
      <c r="C115" s="3">
        <v>817391</v>
      </c>
      <c r="D115" s="3" t="s">
        <v>408</v>
      </c>
      <c r="E115" s="14">
        <f t="shared" si="14"/>
        <v>-92.05</v>
      </c>
      <c r="F115" s="3" t="s">
        <v>367</v>
      </c>
      <c r="G115" s="18">
        <v>46082</v>
      </c>
      <c r="H115" s="19">
        <v>14432</v>
      </c>
      <c r="I115" s="3" t="str">
        <f>VLOOKUP(H115,'[1]Base de Clientes'!$B:$E,4,0)</f>
        <v>BB GESTAO DE RECURSOS DTVM LTDA</v>
      </c>
      <c r="J115" s="5" t="s">
        <v>8</v>
      </c>
      <c r="K115" s="5" t="s">
        <v>112</v>
      </c>
      <c r="L115" s="9">
        <v>92.05</v>
      </c>
      <c r="M115" s="11" t="s">
        <v>7</v>
      </c>
      <c r="N115" s="13" t="s">
        <v>18</v>
      </c>
      <c r="O115" s="7">
        <v>1</v>
      </c>
      <c r="P115" s="16" t="s">
        <v>281</v>
      </c>
      <c r="R115" s="3"/>
      <c r="T115" s="7"/>
    </row>
    <row r="116" spans="1:20" x14ac:dyDescent="0.25">
      <c r="A116" s="16" t="str">
        <f t="shared" si="0"/>
        <v>CUSTO DMA -DERISVALDO SANTANA DA CRUZ- MARÇO 26</v>
      </c>
      <c r="B116" s="18">
        <v>46082</v>
      </c>
      <c r="C116" s="3">
        <v>817391</v>
      </c>
      <c r="D116" s="3" t="s">
        <v>408</v>
      </c>
      <c r="E116" s="14">
        <f t="shared" si="14"/>
        <v>-1764.88</v>
      </c>
      <c r="F116" s="3" t="s">
        <v>367</v>
      </c>
      <c r="G116" s="18">
        <v>46082</v>
      </c>
      <c r="H116" s="19">
        <v>14432</v>
      </c>
      <c r="I116" s="3" t="str">
        <f>VLOOKUP(H116,'[1]Base de Clientes'!$B:$E,4,0)</f>
        <v>BB GESTAO DE RECURSOS DTVM LTDA</v>
      </c>
      <c r="J116" s="5" t="s">
        <v>8</v>
      </c>
      <c r="K116" s="5" t="s">
        <v>113</v>
      </c>
      <c r="L116" s="9">
        <v>1764.88</v>
      </c>
      <c r="M116" s="11" t="s">
        <v>7</v>
      </c>
      <c r="N116" s="13" t="s">
        <v>18</v>
      </c>
      <c r="O116" s="7">
        <v>1</v>
      </c>
      <c r="P116" s="16" t="s">
        <v>282</v>
      </c>
      <c r="R116" s="3"/>
      <c r="T116" s="7"/>
    </row>
    <row r="117" spans="1:20" x14ac:dyDescent="0.25">
      <c r="A117" s="16" t="str">
        <f t="shared" si="0"/>
        <v>CUSTO DMA -GUILHERME SILVA BRENNAND- MARÇO 26</v>
      </c>
      <c r="B117" s="18">
        <v>46082</v>
      </c>
      <c r="C117" s="3">
        <v>817391</v>
      </c>
      <c r="D117" s="3" t="s">
        <v>408</v>
      </c>
      <c r="E117" s="14">
        <f t="shared" si="14"/>
        <v>-30.46</v>
      </c>
      <c r="F117" s="3" t="s">
        <v>367</v>
      </c>
      <c r="G117" s="18">
        <v>46082</v>
      </c>
      <c r="H117" s="19">
        <v>14432</v>
      </c>
      <c r="I117" s="3" t="str">
        <f>VLOOKUP(H117,'[1]Base de Clientes'!$B:$E,4,0)</f>
        <v>BB GESTAO DE RECURSOS DTVM LTDA</v>
      </c>
      <c r="J117" s="5" t="s">
        <v>8</v>
      </c>
      <c r="K117" s="5" t="s">
        <v>114</v>
      </c>
      <c r="L117" s="9">
        <v>30.46</v>
      </c>
      <c r="M117" s="11" t="s">
        <v>7</v>
      </c>
      <c r="N117" s="13" t="s">
        <v>18</v>
      </c>
      <c r="O117" s="7">
        <v>1</v>
      </c>
      <c r="P117" s="16" t="s">
        <v>283</v>
      </c>
      <c r="R117" s="3"/>
      <c r="T117" s="7"/>
    </row>
    <row r="118" spans="1:20" x14ac:dyDescent="0.25">
      <c r="A118" s="16" t="str">
        <f t="shared" si="0"/>
        <v>CUSTO DMA -IVAN RIBEIRO DE SOUSA JUNIOR- MARÇO 26</v>
      </c>
      <c r="B118" s="18">
        <v>46082</v>
      </c>
      <c r="C118" s="3">
        <v>817391</v>
      </c>
      <c r="D118" s="3" t="s">
        <v>408</v>
      </c>
      <c r="E118" s="14">
        <f t="shared" si="14"/>
        <v>-4732.34</v>
      </c>
      <c r="F118" s="3" t="s">
        <v>367</v>
      </c>
      <c r="G118" s="18">
        <v>46082</v>
      </c>
      <c r="H118" s="19">
        <v>14432</v>
      </c>
      <c r="I118" s="3" t="str">
        <f>VLOOKUP(H118,'[1]Base de Clientes'!$B:$E,4,0)</f>
        <v>BB GESTAO DE RECURSOS DTVM LTDA</v>
      </c>
      <c r="J118" s="5" t="s">
        <v>8</v>
      </c>
      <c r="K118" s="5" t="s">
        <v>420</v>
      </c>
      <c r="L118" s="9">
        <v>4732.34</v>
      </c>
      <c r="M118" s="11" t="s">
        <v>7</v>
      </c>
      <c r="N118" s="13" t="s">
        <v>18</v>
      </c>
      <c r="O118" s="7">
        <v>1</v>
      </c>
      <c r="P118" s="16" t="s">
        <v>448</v>
      </c>
      <c r="R118" s="3"/>
      <c r="T118" s="7"/>
    </row>
    <row r="119" spans="1:20" x14ac:dyDescent="0.25">
      <c r="A119" s="16" t="str">
        <f t="shared" si="0"/>
        <v>CUSTO DMA -RODRIGO MAGALHAES MACEDO PAIM- MARÇO 26</v>
      </c>
      <c r="B119" s="18">
        <v>46082</v>
      </c>
      <c r="C119" s="3">
        <v>817391</v>
      </c>
      <c r="D119" s="3" t="s">
        <v>408</v>
      </c>
      <c r="E119" s="14">
        <f t="shared" si="14"/>
        <v>-1816.89</v>
      </c>
      <c r="F119" s="3" t="s">
        <v>367</v>
      </c>
      <c r="G119" s="18">
        <v>46082</v>
      </c>
      <c r="H119" s="19">
        <v>14432</v>
      </c>
      <c r="I119" s="3" t="str">
        <f>VLOOKUP(H119,'[1]Base de Clientes'!$B:$E,4,0)</f>
        <v>BB GESTAO DE RECURSOS DTVM LTDA</v>
      </c>
      <c r="J119" s="5" t="s">
        <v>8</v>
      </c>
      <c r="K119" s="5" t="s">
        <v>116</v>
      </c>
      <c r="L119" s="9">
        <v>1816.89</v>
      </c>
      <c r="M119" s="11" t="s">
        <v>7</v>
      </c>
      <c r="N119" s="13" t="s">
        <v>18</v>
      </c>
      <c r="O119" s="7">
        <v>1</v>
      </c>
      <c r="P119" s="16" t="s">
        <v>285</v>
      </c>
      <c r="R119" s="3"/>
      <c r="T119" s="7"/>
    </row>
    <row r="120" spans="1:20" x14ac:dyDescent="0.25">
      <c r="A120" s="16" t="str">
        <f t="shared" si="0"/>
        <v>CUSTO DMA -BRUNO PEROTTONI- MARÇO 26</v>
      </c>
      <c r="B120" s="18">
        <v>46082</v>
      </c>
      <c r="C120" s="3">
        <v>817391</v>
      </c>
      <c r="D120" s="3" t="s">
        <v>487</v>
      </c>
      <c r="E120" s="14">
        <f t="shared" si="14"/>
        <v>-230.3</v>
      </c>
      <c r="F120" s="3" t="s">
        <v>367</v>
      </c>
      <c r="G120" s="18">
        <v>46082</v>
      </c>
      <c r="H120" s="19">
        <v>81794</v>
      </c>
      <c r="I120" s="3" t="str">
        <f>VLOOKUP(H120,'[1]Base de Clientes'!$B:$E,4,0)</f>
        <v>BRAZA BANK S/A BANCO DE CAMBIO</v>
      </c>
      <c r="J120" s="5" t="s">
        <v>8</v>
      </c>
      <c r="K120" s="5" t="s">
        <v>416</v>
      </c>
      <c r="L120" s="9">
        <v>230.3</v>
      </c>
      <c r="M120" s="11" t="s">
        <v>7</v>
      </c>
      <c r="N120" s="13" t="s">
        <v>18</v>
      </c>
      <c r="O120" s="7">
        <v>1</v>
      </c>
      <c r="P120" s="16" t="s">
        <v>449</v>
      </c>
      <c r="R120" s="3"/>
      <c r="T120" s="7"/>
    </row>
    <row r="121" spans="1:20" x14ac:dyDescent="0.25">
      <c r="A121" s="16" t="str">
        <f t="shared" si="0"/>
        <v>CUSTO DMA -ANDERSON KAM (RED HILL TRADING)- MARÇO 26</v>
      </c>
      <c r="B121" s="18">
        <v>46082</v>
      </c>
      <c r="C121" s="3">
        <v>817391</v>
      </c>
      <c r="D121" s="3" t="s">
        <v>485</v>
      </c>
      <c r="E121" s="14">
        <f t="shared" si="14"/>
        <v>-738.96</v>
      </c>
      <c r="F121" s="3" t="s">
        <v>367</v>
      </c>
      <c r="G121" s="18">
        <v>46082</v>
      </c>
      <c r="H121" s="19">
        <v>82808</v>
      </c>
      <c r="I121" s="3" t="str">
        <f>VLOOKUP(H121,'[1]Base de Clientes'!$B:$E,4,0)</f>
        <v>AGUILA CAPITAL ADM E GESTAO DE CAPITAIS LTDA</v>
      </c>
      <c r="J121" s="5" t="s">
        <v>8</v>
      </c>
      <c r="K121" s="5" t="s">
        <v>117</v>
      </c>
      <c r="L121" s="9">
        <v>738.96</v>
      </c>
      <c r="M121" s="11" t="s">
        <v>7</v>
      </c>
      <c r="N121" s="13" t="s">
        <v>18</v>
      </c>
      <c r="O121" s="7">
        <v>1</v>
      </c>
      <c r="P121" s="16" t="s">
        <v>286</v>
      </c>
      <c r="R121" s="3"/>
      <c r="T121" s="7"/>
    </row>
    <row r="122" spans="1:20" x14ac:dyDescent="0.25">
      <c r="A122" s="16" t="str">
        <f t="shared" si="0"/>
        <v>CUSTO DMA -JOSÉ PEDRO BORGES- MARÇO 26</v>
      </c>
      <c r="B122" s="18">
        <v>46082</v>
      </c>
      <c r="C122" s="3">
        <v>817391</v>
      </c>
      <c r="D122" s="3" t="s">
        <v>486</v>
      </c>
      <c r="E122" s="14">
        <f t="shared" si="14"/>
        <v>-0.02</v>
      </c>
      <c r="F122" s="3" t="s">
        <v>367</v>
      </c>
      <c r="G122" s="18">
        <v>46082</v>
      </c>
      <c r="H122" s="19">
        <v>12404</v>
      </c>
      <c r="I122" s="3" t="str">
        <f>VLOOKUP(H122,'[1]Base de Clientes'!$B:$E,4,0)</f>
        <v>MORE INVEST GESTORA DE RECURSOS LTDA</v>
      </c>
      <c r="J122" s="5" t="s">
        <v>8</v>
      </c>
      <c r="K122" s="5" t="s">
        <v>147</v>
      </c>
      <c r="L122" s="9">
        <v>0.02</v>
      </c>
      <c r="M122" s="11" t="s">
        <v>7</v>
      </c>
      <c r="N122" s="13" t="s">
        <v>18</v>
      </c>
      <c r="O122" s="7">
        <v>1</v>
      </c>
      <c r="P122" s="16" t="s">
        <v>450</v>
      </c>
      <c r="R122" s="3"/>
      <c r="T122" s="7"/>
    </row>
    <row r="123" spans="1:20" x14ac:dyDescent="0.25">
      <c r="A123" s="16" t="str">
        <f t="shared" si="0"/>
        <v>CUSTO DMA -ANTONIO MOURA ANDRADE- MARÇO 26</v>
      </c>
      <c r="B123" s="18">
        <v>46082</v>
      </c>
      <c r="C123" s="3">
        <v>817391</v>
      </c>
      <c r="D123" s="3" t="s">
        <v>479</v>
      </c>
      <c r="E123" s="14">
        <f t="shared" si="14"/>
        <v>-5219.4000000000005</v>
      </c>
      <c r="F123" s="3" t="s">
        <v>362</v>
      </c>
      <c r="G123" s="18">
        <v>46082</v>
      </c>
      <c r="H123" s="19">
        <v>15501</v>
      </c>
      <c r="I123" s="3" t="str">
        <f>VLOOKUP(H123,'[1]Base de Clientes'!$B:$E,4,0)</f>
        <v>BANCO BTG PACTUAL S/A</v>
      </c>
      <c r="J123" s="5" t="s">
        <v>8</v>
      </c>
      <c r="K123" s="5" t="s">
        <v>19</v>
      </c>
      <c r="L123" s="9">
        <v>5219.4000000000005</v>
      </c>
      <c r="M123" s="11" t="s">
        <v>7</v>
      </c>
      <c r="N123" s="13" t="s">
        <v>18</v>
      </c>
      <c r="O123" s="7">
        <v>1</v>
      </c>
      <c r="P123" s="16" t="s">
        <v>190</v>
      </c>
      <c r="R123" s="3"/>
      <c r="T123" s="7"/>
    </row>
    <row r="124" spans="1:20" x14ac:dyDescent="0.25">
      <c r="A124" s="16" t="str">
        <f t="shared" si="0"/>
        <v>CUSTO DMA -PAULO VASCONCELLOS- MARÇO 26</v>
      </c>
      <c r="B124" s="18">
        <v>46082</v>
      </c>
      <c r="C124" s="3">
        <v>817391</v>
      </c>
      <c r="D124" s="3" t="s">
        <v>474</v>
      </c>
      <c r="E124" s="14">
        <f t="shared" si="14"/>
        <v>-1035.00702</v>
      </c>
      <c r="F124" s="3" t="s">
        <v>362</v>
      </c>
      <c r="G124" s="18">
        <v>46082</v>
      </c>
      <c r="H124" s="19">
        <v>81693</v>
      </c>
      <c r="I124" s="3" t="str">
        <f>VLOOKUP(H124,'[1]Base de Clientes'!$B:$E,4,0)</f>
        <v>CREDIT SUISSE HEDGING-GRIFFO WEALTH MANAGEMENT S/A</v>
      </c>
      <c r="J124" s="5" t="s">
        <v>8</v>
      </c>
      <c r="K124" s="5" t="s">
        <v>54</v>
      </c>
      <c r="L124" s="9">
        <v>1035.00702</v>
      </c>
      <c r="M124" s="11" t="s">
        <v>7</v>
      </c>
      <c r="N124" s="13" t="s">
        <v>18</v>
      </c>
      <c r="O124" s="7">
        <v>1</v>
      </c>
      <c r="P124" s="16" t="s">
        <v>225</v>
      </c>
      <c r="R124" s="3"/>
      <c r="T124" s="7"/>
    </row>
    <row r="125" spans="1:20" x14ac:dyDescent="0.25">
      <c r="A125" s="16" t="str">
        <f t="shared" si="0"/>
        <v>CUSTO DMA -PEDRO PEREIRA- MARÇO 26</v>
      </c>
      <c r="B125" s="18">
        <v>46082</v>
      </c>
      <c r="C125" s="3">
        <v>817391</v>
      </c>
      <c r="D125" s="3" t="s">
        <v>400</v>
      </c>
      <c r="E125" s="14">
        <f t="shared" si="14"/>
        <v>-5219.4000000000005</v>
      </c>
      <c r="F125" s="3" t="s">
        <v>362</v>
      </c>
      <c r="G125" s="18">
        <v>46082</v>
      </c>
      <c r="H125" s="19">
        <v>79241</v>
      </c>
      <c r="I125" s="3" t="str">
        <f>VLOOKUP(H125,'[1]Base de Clientes'!$B:$E,4,0)</f>
        <v>BANK OF AMERICA MERRILL LYNCH BANCO MULTIPLO S/A</v>
      </c>
      <c r="J125" s="5" t="s">
        <v>8</v>
      </c>
      <c r="K125" s="5" t="s">
        <v>53</v>
      </c>
      <c r="L125" s="9">
        <v>5219.4000000000005</v>
      </c>
      <c r="M125" s="11" t="s">
        <v>7</v>
      </c>
      <c r="N125" s="13" t="s">
        <v>18</v>
      </c>
      <c r="O125" s="7">
        <v>1</v>
      </c>
      <c r="P125" s="16" t="s">
        <v>224</v>
      </c>
      <c r="R125" s="3"/>
      <c r="T125" s="7"/>
    </row>
    <row r="126" spans="1:20" x14ac:dyDescent="0.25">
      <c r="A126" s="16" t="str">
        <f t="shared" si="0"/>
        <v>CUSTO DMA -BERNARDO SALGADO- MARÇO 26</v>
      </c>
      <c r="B126" s="18">
        <v>46082</v>
      </c>
      <c r="C126" s="3">
        <v>817391</v>
      </c>
      <c r="D126" s="3" t="s">
        <v>473</v>
      </c>
      <c r="E126" s="14">
        <f t="shared" si="14"/>
        <v>-1565.82</v>
      </c>
      <c r="F126" s="3" t="s">
        <v>362</v>
      </c>
      <c r="G126" s="18">
        <v>46082</v>
      </c>
      <c r="H126" s="19">
        <v>15781</v>
      </c>
      <c r="I126" s="3" t="str">
        <f>VLOOKUP(H126,'[1]Base de Clientes'!$B:$E,4,0)</f>
        <v>BANCO SAFRA S/A</v>
      </c>
      <c r="J126" s="5" t="s">
        <v>8</v>
      </c>
      <c r="K126" s="5" t="s">
        <v>368</v>
      </c>
      <c r="L126" s="9">
        <v>1565.82</v>
      </c>
      <c r="M126" s="11" t="s">
        <v>7</v>
      </c>
      <c r="N126" s="13" t="s">
        <v>18</v>
      </c>
      <c r="O126" s="7">
        <v>1</v>
      </c>
      <c r="P126" s="16" t="s">
        <v>382</v>
      </c>
      <c r="R126" s="3"/>
      <c r="T126" s="7"/>
    </row>
    <row r="127" spans="1:20" x14ac:dyDescent="0.25">
      <c r="A127" s="16" t="str">
        <f t="shared" si="0"/>
        <v>CUSTO DMA -GUILHERME PACHECO- MARÇO 26</v>
      </c>
      <c r="B127" s="18">
        <v>46082</v>
      </c>
      <c r="C127" s="3">
        <v>817391</v>
      </c>
      <c r="D127" s="3" t="s">
        <v>411</v>
      </c>
      <c r="E127" s="14">
        <f t="shared" si="14"/>
        <v>-5219.4000000000005</v>
      </c>
      <c r="F127" s="3" t="s">
        <v>362</v>
      </c>
      <c r="G127" s="18">
        <v>46082</v>
      </c>
      <c r="H127" s="19">
        <v>80441</v>
      </c>
      <c r="I127" s="3" t="str">
        <f>VLOOKUP(H127,'[1]Base de Clientes'!$B:$E,4,0)</f>
        <v>BANCO J SAFRA S/A</v>
      </c>
      <c r="J127" s="5" t="s">
        <v>8</v>
      </c>
      <c r="K127" s="5" t="s">
        <v>38</v>
      </c>
      <c r="L127" s="9">
        <v>5219.4000000000005</v>
      </c>
      <c r="M127" s="11" t="s">
        <v>7</v>
      </c>
      <c r="N127" s="13" t="s">
        <v>18</v>
      </c>
      <c r="O127" s="7">
        <v>1</v>
      </c>
      <c r="P127" s="16" t="s">
        <v>209</v>
      </c>
      <c r="R127" s="3"/>
      <c r="T127" s="7"/>
    </row>
    <row r="128" spans="1:20" x14ac:dyDescent="0.25">
      <c r="A128" s="16" t="str">
        <f t="shared" si="0"/>
        <v>CUSTO DMA -BRUNO SCHIAVINATO- MARÇO 26</v>
      </c>
      <c r="B128" s="18">
        <v>46082</v>
      </c>
      <c r="C128" s="3">
        <v>817391</v>
      </c>
      <c r="D128" s="3" t="s">
        <v>411</v>
      </c>
      <c r="E128" s="14">
        <f t="shared" si="14"/>
        <v>-855.98160000000007</v>
      </c>
      <c r="F128" s="3" t="s">
        <v>362</v>
      </c>
      <c r="G128" s="18">
        <v>46082</v>
      </c>
      <c r="H128" s="19">
        <v>14479</v>
      </c>
      <c r="I128" s="3" t="str">
        <f>VLOOKUP(H128,'[1]Base de Clientes'!$B:$E,4,0)</f>
        <v>BANCO SANTANDER (BRASIL) S/A</v>
      </c>
      <c r="J128" s="5" t="s">
        <v>8</v>
      </c>
      <c r="K128" s="5" t="s">
        <v>28</v>
      </c>
      <c r="L128" s="9">
        <v>855.98160000000007</v>
      </c>
      <c r="M128" s="11" t="s">
        <v>7</v>
      </c>
      <c r="N128" s="13" t="s">
        <v>18</v>
      </c>
      <c r="O128" s="7">
        <v>1</v>
      </c>
      <c r="P128" s="16" t="s">
        <v>199</v>
      </c>
      <c r="R128" s="3"/>
      <c r="T128" s="7"/>
    </row>
    <row r="129" spans="1:20" x14ac:dyDescent="0.25">
      <c r="A129" s="16" t="str">
        <f t="shared" si="0"/>
        <v>CUSTO DMA -LUDMILA TRECHAU- MARÇO 26</v>
      </c>
      <c r="B129" s="18">
        <v>46082</v>
      </c>
      <c r="C129" s="3">
        <v>817391</v>
      </c>
      <c r="D129" s="3" t="s">
        <v>410</v>
      </c>
      <c r="E129" s="14">
        <f t="shared" si="14"/>
        <v>-5219.4000000000005</v>
      </c>
      <c r="F129" s="3" t="s">
        <v>362</v>
      </c>
      <c r="G129" s="18">
        <v>46082</v>
      </c>
      <c r="H129" s="19">
        <v>14479</v>
      </c>
      <c r="I129" s="3" t="str">
        <f>VLOOKUP(H129,'[1]Base de Clientes'!$B:$E,4,0)</f>
        <v>BANCO SANTANDER (BRASIL) S/A</v>
      </c>
      <c r="J129" s="5" t="s">
        <v>8</v>
      </c>
      <c r="K129" s="5" t="s">
        <v>414</v>
      </c>
      <c r="L129" s="9">
        <v>5219.4000000000005</v>
      </c>
      <c r="M129" s="11" t="s">
        <v>7</v>
      </c>
      <c r="N129" s="13" t="s">
        <v>18</v>
      </c>
      <c r="O129" s="7">
        <v>1</v>
      </c>
      <c r="P129" s="16" t="s">
        <v>423</v>
      </c>
      <c r="R129" s="3"/>
      <c r="T129" s="7"/>
    </row>
    <row r="130" spans="1:20" x14ac:dyDescent="0.25">
      <c r="A130" s="16" t="str">
        <f t="shared" si="0"/>
        <v>CUSTO DMA -MARCELO DREYER- MARÇO 26</v>
      </c>
      <c r="B130" s="18">
        <v>46082</v>
      </c>
      <c r="C130" s="3">
        <v>817391</v>
      </c>
      <c r="D130" s="3" t="s">
        <v>411</v>
      </c>
      <c r="E130" s="14">
        <f t="shared" si="14"/>
        <v>-5219.4000000000005</v>
      </c>
      <c r="F130" s="3" t="s">
        <v>362</v>
      </c>
      <c r="G130" s="18">
        <v>46082</v>
      </c>
      <c r="H130" s="19">
        <v>14479</v>
      </c>
      <c r="I130" s="3" t="str">
        <f>VLOOKUP(H130,'[1]Base de Clientes'!$B:$E,4,0)</f>
        <v>BANCO SANTANDER (BRASIL) S/A</v>
      </c>
      <c r="J130" s="5" t="s">
        <v>8</v>
      </c>
      <c r="K130" s="5" t="s">
        <v>48</v>
      </c>
      <c r="L130" s="9">
        <v>5219.4000000000005</v>
      </c>
      <c r="M130" s="11" t="s">
        <v>7</v>
      </c>
      <c r="N130" s="13" t="s">
        <v>18</v>
      </c>
      <c r="O130" s="7">
        <v>1</v>
      </c>
      <c r="P130" s="16" t="s">
        <v>219</v>
      </c>
      <c r="R130" s="3"/>
      <c r="T130" s="7"/>
    </row>
    <row r="131" spans="1:20" x14ac:dyDescent="0.25">
      <c r="A131" s="16" t="str">
        <f t="shared" si="0"/>
        <v>CUSTO DMA -RICARDO R ROSA- MARÇO 26</v>
      </c>
      <c r="B131" s="18">
        <v>46082</v>
      </c>
      <c r="C131" s="3">
        <v>817391</v>
      </c>
      <c r="D131" s="3" t="s">
        <v>411</v>
      </c>
      <c r="E131" s="14">
        <f t="shared" si="14"/>
        <v>-709.83840000000009</v>
      </c>
      <c r="F131" s="3" t="s">
        <v>362</v>
      </c>
      <c r="G131" s="18">
        <v>46082</v>
      </c>
      <c r="H131" s="19">
        <v>14479</v>
      </c>
      <c r="I131" s="3" t="str">
        <f>VLOOKUP(H131,'[1]Base de Clientes'!$B:$E,4,0)</f>
        <v>BANCO SANTANDER (BRASIL) S/A</v>
      </c>
      <c r="J131" s="5" t="s">
        <v>8</v>
      </c>
      <c r="K131" s="5" t="s">
        <v>59</v>
      </c>
      <c r="L131" s="9">
        <v>709.83840000000009</v>
      </c>
      <c r="M131" s="11" t="s">
        <v>7</v>
      </c>
      <c r="N131" s="13" t="s">
        <v>18</v>
      </c>
      <c r="O131" s="7">
        <v>1</v>
      </c>
      <c r="P131" s="16" t="s">
        <v>230</v>
      </c>
      <c r="R131" s="3"/>
      <c r="T131" s="7"/>
    </row>
    <row r="132" spans="1:20" x14ac:dyDescent="0.25">
      <c r="A132" s="16" t="str">
        <f t="shared" si="0"/>
        <v>CUSTO DMA -KAUE CHINELLATO- MARÇO 26</v>
      </c>
      <c r="B132" s="18">
        <v>46082</v>
      </c>
      <c r="C132" s="3">
        <v>817391</v>
      </c>
      <c r="D132" s="3" t="s">
        <v>407</v>
      </c>
      <c r="E132" s="14">
        <f t="shared" si="14"/>
        <v>-5219.4000000000005</v>
      </c>
      <c r="F132" s="3" t="s">
        <v>362</v>
      </c>
      <c r="G132" s="18">
        <v>46082</v>
      </c>
      <c r="H132" s="19">
        <v>14334</v>
      </c>
      <c r="I132" s="3" t="str">
        <f>VLOOKUP(H132,'[1]Base de Clientes'!$B:$E,4,0)</f>
        <v>BANCO SOCIETE GENERALE BRASIL S/A</v>
      </c>
      <c r="J132" s="5" t="s">
        <v>8</v>
      </c>
      <c r="K132" s="5" t="s">
        <v>42</v>
      </c>
      <c r="L132" s="9">
        <v>5219.4000000000005</v>
      </c>
      <c r="M132" s="11" t="s">
        <v>7</v>
      </c>
      <c r="N132" s="13" t="s">
        <v>18</v>
      </c>
      <c r="O132" s="7">
        <v>1</v>
      </c>
      <c r="P132" s="16" t="s">
        <v>213</v>
      </c>
      <c r="R132" s="3"/>
      <c r="T132" s="7"/>
    </row>
    <row r="133" spans="1:20" x14ac:dyDescent="0.25">
      <c r="A133" s="16" t="str">
        <f t="shared" ref="A133" si="22">CONCATENATE(J133,M133,K133,M133,N133)</f>
        <v>CUSTO DMA -MARCO RIGO- MARÇO 26</v>
      </c>
      <c r="B133" s="18">
        <v>46082</v>
      </c>
      <c r="C133" s="3">
        <v>817391</v>
      </c>
      <c r="D133" s="3" t="s">
        <v>474</v>
      </c>
      <c r="E133" s="14">
        <f t="shared" si="14"/>
        <v>-4736.08356</v>
      </c>
      <c r="F133" s="3" t="s">
        <v>362</v>
      </c>
      <c r="G133" s="18">
        <v>46082</v>
      </c>
      <c r="H133" s="19">
        <v>81643</v>
      </c>
      <c r="I133" s="3" t="str">
        <f>VLOOKUP(H133,'[1]Base de Clientes'!$B:$E,4,0)</f>
        <v>BANCO SUMITOMO MITSUI BRASILEIRO S/A</v>
      </c>
      <c r="J133" s="5" t="s">
        <v>8</v>
      </c>
      <c r="K133" s="5" t="s">
        <v>50</v>
      </c>
      <c r="L133" s="9">
        <v>4736.08356</v>
      </c>
      <c r="M133" s="11" t="s">
        <v>7</v>
      </c>
      <c r="N133" s="13" t="s">
        <v>18</v>
      </c>
      <c r="O133" s="7">
        <v>1</v>
      </c>
      <c r="P133" s="16" t="s">
        <v>221</v>
      </c>
      <c r="R133" s="3"/>
      <c r="T133" s="7"/>
    </row>
    <row r="134" spans="1:20" x14ac:dyDescent="0.25">
      <c r="A134" s="16" t="str">
        <f t="shared" si="0"/>
        <v>CUSTO DMA -RENANN DAVID- MARÇO 26</v>
      </c>
      <c r="B134" s="18">
        <v>46082</v>
      </c>
      <c r="C134" s="3">
        <v>817391</v>
      </c>
      <c r="D134" s="3" t="s">
        <v>474</v>
      </c>
      <c r="E134" s="14">
        <f t="shared" si="14"/>
        <v>-4092.0095999999999</v>
      </c>
      <c r="F134" s="3" t="s">
        <v>362</v>
      </c>
      <c r="G134" s="18">
        <v>46082</v>
      </c>
      <c r="H134" s="19">
        <v>81643</v>
      </c>
      <c r="I134" s="3" t="str">
        <f>VLOOKUP(H134,'[1]Base de Clientes'!$B:$E,4,0)</f>
        <v>BANCO SUMITOMO MITSUI BRASILEIRO S/A</v>
      </c>
      <c r="J134" s="5" t="s">
        <v>8</v>
      </c>
      <c r="K134" s="5" t="s">
        <v>56</v>
      </c>
      <c r="L134" s="9">
        <v>4092.0095999999999</v>
      </c>
      <c r="M134" s="11" t="s">
        <v>7</v>
      </c>
      <c r="N134" s="13" t="s">
        <v>18</v>
      </c>
      <c r="O134" s="7">
        <v>1</v>
      </c>
      <c r="P134" s="16" t="s">
        <v>227</v>
      </c>
      <c r="R134" s="3"/>
      <c r="T134" s="7"/>
    </row>
    <row r="135" spans="1:20" x14ac:dyDescent="0.25">
      <c r="A135" s="16" t="str">
        <f t="shared" si="0"/>
        <v>CUSTO DMA -DANIEL SARAIVA- MARÇO 26</v>
      </c>
      <c r="B135" s="18">
        <v>46082</v>
      </c>
      <c r="C135" s="3">
        <v>817391</v>
      </c>
      <c r="D135" s="3" t="s">
        <v>481</v>
      </c>
      <c r="E135" s="14">
        <f t="shared" si="14"/>
        <v>-756.81299999999999</v>
      </c>
      <c r="F135" s="3" t="s">
        <v>362</v>
      </c>
      <c r="G135" s="18">
        <v>46082</v>
      </c>
      <c r="H135" s="19">
        <v>144310</v>
      </c>
      <c r="I135" s="3" t="str">
        <f>VLOOKUP(H135,'[1]Base de Clientes'!$B:$E,4,0)</f>
        <v>BW GESTAO DE INVESTIMENTOS LTDA</v>
      </c>
      <c r="J135" s="5" t="s">
        <v>8</v>
      </c>
      <c r="K135" s="5" t="s">
        <v>31</v>
      </c>
      <c r="L135" s="9">
        <v>756.81299999999999</v>
      </c>
      <c r="M135" s="11" t="s">
        <v>7</v>
      </c>
      <c r="N135" s="13" t="s">
        <v>18</v>
      </c>
      <c r="O135" s="7">
        <v>1</v>
      </c>
      <c r="P135" s="16" t="s">
        <v>202</v>
      </c>
      <c r="R135" s="3"/>
      <c r="T135" s="7"/>
    </row>
    <row r="136" spans="1:20" x14ac:dyDescent="0.25">
      <c r="A136" s="16" t="str">
        <f t="shared" si="0"/>
        <v>CUSTO DMA -MARCIO ALBUQUERQUE- MARÇO 26</v>
      </c>
      <c r="B136" s="18">
        <v>46082</v>
      </c>
      <c r="C136" s="3">
        <v>817391</v>
      </c>
      <c r="D136" s="3" t="s">
        <v>480</v>
      </c>
      <c r="E136" s="14">
        <f t="shared" si="14"/>
        <v>-5219.4000000000005</v>
      </c>
      <c r="F136" s="3" t="s">
        <v>362</v>
      </c>
      <c r="G136" s="18">
        <v>46082</v>
      </c>
      <c r="H136" s="19">
        <v>80828</v>
      </c>
      <c r="I136" s="3" t="str">
        <f>VLOOKUP(H136,'[1]Base de Clientes'!$B:$E,4,0)</f>
        <v>CAPSTONE PARTNERS GESTAO DE RECURSOS LTDA</v>
      </c>
      <c r="J136" s="5" t="s">
        <v>8</v>
      </c>
      <c r="K136" s="5" t="s">
        <v>46</v>
      </c>
      <c r="L136" s="9">
        <v>5219.4000000000005</v>
      </c>
      <c r="M136" s="11" t="s">
        <v>7</v>
      </c>
      <c r="N136" s="13" t="s">
        <v>18</v>
      </c>
      <c r="O136" s="7">
        <v>1</v>
      </c>
      <c r="P136" s="16" t="s">
        <v>217</v>
      </c>
      <c r="R136" s="3"/>
      <c r="T136" s="7"/>
    </row>
    <row r="137" spans="1:20" x14ac:dyDescent="0.25">
      <c r="A137" s="16" t="str">
        <f t="shared" si="0"/>
        <v>CUSTO DMA -RODRIGO NASCIMENTO- MARÇO 26</v>
      </c>
      <c r="B137" s="18">
        <v>46082</v>
      </c>
      <c r="C137" s="3">
        <v>817391</v>
      </c>
      <c r="D137" s="3" t="s">
        <v>480</v>
      </c>
      <c r="E137" s="14">
        <f t="shared" si="14"/>
        <v>-4958.43</v>
      </c>
      <c r="F137" s="3" t="s">
        <v>362</v>
      </c>
      <c r="G137" s="18">
        <v>46082</v>
      </c>
      <c r="H137" s="19">
        <v>80828</v>
      </c>
      <c r="I137" s="3" t="str">
        <f>VLOOKUP(H137,'[1]Base de Clientes'!$B:$E,4,0)</f>
        <v>CAPSTONE PARTNERS GESTAO DE RECURSOS LTDA</v>
      </c>
      <c r="J137" s="5" t="s">
        <v>8</v>
      </c>
      <c r="K137" s="5" t="s">
        <v>415</v>
      </c>
      <c r="L137" s="9">
        <v>4958.43</v>
      </c>
      <c r="M137" s="11" t="s">
        <v>7</v>
      </c>
      <c r="N137" s="13" t="s">
        <v>18</v>
      </c>
      <c r="O137" s="7">
        <v>1</v>
      </c>
      <c r="P137" s="16" t="s">
        <v>424</v>
      </c>
      <c r="R137" s="3"/>
      <c r="T137" s="7"/>
    </row>
    <row r="138" spans="1:20" x14ac:dyDescent="0.25">
      <c r="A138" s="16" t="str">
        <f t="shared" si="0"/>
        <v>CUSTO DMA -KARINE VICENTE- MARÇO 26</v>
      </c>
      <c r="B138" s="18">
        <v>46082</v>
      </c>
      <c r="C138" s="3">
        <v>817391</v>
      </c>
      <c r="D138" s="3" t="s">
        <v>411</v>
      </c>
      <c r="E138" s="14">
        <f t="shared" si="14"/>
        <v>-5219.4000000000005</v>
      </c>
      <c r="F138" s="3" t="s">
        <v>362</v>
      </c>
      <c r="G138" s="18">
        <v>46082</v>
      </c>
      <c r="H138" s="19">
        <v>80961</v>
      </c>
      <c r="I138" s="3" t="str">
        <f>VLOOKUP(H138,'[1]Base de Clientes'!$B:$E,4,0)</f>
        <v>BANCO CITIBANK S/A</v>
      </c>
      <c r="J138" s="5" t="s">
        <v>8</v>
      </c>
      <c r="K138" s="5" t="s">
        <v>43</v>
      </c>
      <c r="L138" s="9">
        <v>5219.4000000000005</v>
      </c>
      <c r="M138" s="11" t="s">
        <v>7</v>
      </c>
      <c r="N138" s="13" t="s">
        <v>18</v>
      </c>
      <c r="O138" s="7">
        <v>1</v>
      </c>
      <c r="P138" s="16" t="s">
        <v>214</v>
      </c>
      <c r="R138" s="3"/>
      <c r="T138" s="7"/>
    </row>
    <row r="139" spans="1:20" x14ac:dyDescent="0.25">
      <c r="A139" s="16" t="str">
        <f t="shared" ref="A139:A140" si="23">CONCATENATE(J139,M139,K139,M139,N139)</f>
        <v>CUSTO DMA -LEONARDO MACEDO- MARÇO 26</v>
      </c>
      <c r="B139" s="18">
        <v>46082</v>
      </c>
      <c r="C139" s="3">
        <v>817391</v>
      </c>
      <c r="D139" s="3" t="s">
        <v>403</v>
      </c>
      <c r="E139" s="14">
        <f t="shared" si="14"/>
        <v>-5219.4000000000005</v>
      </c>
      <c r="F139" s="3" t="s">
        <v>362</v>
      </c>
      <c r="G139" s="18">
        <v>46082</v>
      </c>
      <c r="H139" s="19">
        <v>80883</v>
      </c>
      <c r="I139" s="3" t="str">
        <f>VLOOKUP(H139,'[1]Base de Clientes'!$B:$E,4,0)</f>
        <v>GENOA CAPITAL GESTORA DE RECURSOS LTDA</v>
      </c>
      <c r="J139" s="5" t="s">
        <v>8</v>
      </c>
      <c r="K139" s="5" t="s">
        <v>45</v>
      </c>
      <c r="L139" s="9">
        <v>5219.4000000000005</v>
      </c>
      <c r="M139" s="11" t="s">
        <v>7</v>
      </c>
      <c r="N139" s="13" t="s">
        <v>18</v>
      </c>
      <c r="O139" s="7">
        <v>1</v>
      </c>
      <c r="P139" s="16" t="s">
        <v>216</v>
      </c>
      <c r="R139" s="3"/>
      <c r="T139" s="7"/>
    </row>
    <row r="140" spans="1:20" x14ac:dyDescent="0.25">
      <c r="A140" s="16" t="str">
        <f t="shared" si="23"/>
        <v>CUSTO DMA -RAFAEL FONSECA- MARÇO 26</v>
      </c>
      <c r="B140" s="18">
        <v>46082</v>
      </c>
      <c r="C140" s="3">
        <v>817391</v>
      </c>
      <c r="D140" s="3" t="s">
        <v>402</v>
      </c>
      <c r="E140" s="14">
        <f t="shared" si="14"/>
        <v>-5219.4000000000005</v>
      </c>
      <c r="F140" s="3" t="s">
        <v>362</v>
      </c>
      <c r="G140" s="18">
        <v>46082</v>
      </c>
      <c r="H140" s="19">
        <v>81259</v>
      </c>
      <c r="I140" s="3" t="str">
        <f>VLOOKUP(H140,'[1]Base de Clientes'!$B:$E,4,0)</f>
        <v>GOLDMAN SACHS DO BRASIL BANCO MULTIPLO S/A</v>
      </c>
      <c r="J140" s="5" t="s">
        <v>8</v>
      </c>
      <c r="K140" s="5" t="s">
        <v>57</v>
      </c>
      <c r="L140" s="9">
        <v>5219.4000000000005</v>
      </c>
      <c r="M140" s="11" t="s">
        <v>7</v>
      </c>
      <c r="N140" s="13" t="s">
        <v>18</v>
      </c>
      <c r="O140" s="7">
        <v>1</v>
      </c>
      <c r="P140" s="16" t="s">
        <v>228</v>
      </c>
      <c r="R140" s="3"/>
      <c r="T140" s="7"/>
    </row>
    <row r="141" spans="1:20" x14ac:dyDescent="0.25">
      <c r="A141" s="16" t="str">
        <f t="shared" si="0"/>
        <v>CUSTO DMA -PEDRO CURY- MARÇO 26</v>
      </c>
      <c r="B141" s="18">
        <v>46082</v>
      </c>
      <c r="C141" s="3">
        <v>817391</v>
      </c>
      <c r="D141" s="3" t="s">
        <v>402</v>
      </c>
      <c r="E141" s="14">
        <f t="shared" si="14"/>
        <v>-5219.4000000000005</v>
      </c>
      <c r="F141" s="3" t="s">
        <v>362</v>
      </c>
      <c r="G141" s="18">
        <v>46082</v>
      </c>
      <c r="H141" s="19">
        <v>81348</v>
      </c>
      <c r="I141" s="3" t="str">
        <f>VLOOKUP(H141,'[1]Base de Clientes'!$B:$E,4,0)</f>
        <v>BANCO HSBC S/A</v>
      </c>
      <c r="J141" s="5" t="s">
        <v>8</v>
      </c>
      <c r="K141" s="5" t="s">
        <v>52</v>
      </c>
      <c r="L141" s="9">
        <v>5219.4000000000005</v>
      </c>
      <c r="M141" s="11" t="s">
        <v>7</v>
      </c>
      <c r="N141" s="13" t="s">
        <v>18</v>
      </c>
      <c r="O141" s="7">
        <v>1</v>
      </c>
      <c r="P141" s="16" t="s">
        <v>223</v>
      </c>
      <c r="R141" s="3"/>
      <c r="T141" s="7"/>
    </row>
    <row r="142" spans="1:20" x14ac:dyDescent="0.25">
      <c r="A142" s="16" t="str">
        <f t="shared" si="0"/>
        <v>CUSTO DMA -BEATRIZ BIDUTTE- MARÇO 26</v>
      </c>
      <c r="B142" s="18">
        <v>46082</v>
      </c>
      <c r="C142" s="3">
        <v>817391</v>
      </c>
      <c r="D142" s="3" t="s">
        <v>474</v>
      </c>
      <c r="E142" s="14">
        <f t="shared" si="14"/>
        <v>-5219.4000000000005</v>
      </c>
      <c r="F142" s="3" t="s">
        <v>362</v>
      </c>
      <c r="G142" s="18">
        <v>46082</v>
      </c>
      <c r="H142" s="19">
        <v>79965</v>
      </c>
      <c r="I142" s="3" t="str">
        <f>VLOOKUP(H142,'[1]Base de Clientes'!$B:$E,4,0)</f>
        <v>BANCO HSBC S/A</v>
      </c>
      <c r="J142" s="5" t="s">
        <v>8</v>
      </c>
      <c r="K142" s="5" t="s">
        <v>24</v>
      </c>
      <c r="L142" s="9">
        <v>5219.4000000000005</v>
      </c>
      <c r="M142" s="11" t="s">
        <v>7</v>
      </c>
      <c r="N142" s="13" t="s">
        <v>18</v>
      </c>
      <c r="O142" s="7">
        <v>1</v>
      </c>
      <c r="P142" s="16" t="s">
        <v>195</v>
      </c>
      <c r="R142" s="3"/>
      <c r="T142" s="7"/>
    </row>
    <row r="143" spans="1:20" x14ac:dyDescent="0.25">
      <c r="A143" s="16" t="str">
        <f t="shared" si="0"/>
        <v>CUSTO DMA -GABRIEL NASCIMENTO- MARÇO 26</v>
      </c>
      <c r="B143" s="18">
        <v>46082</v>
      </c>
      <c r="C143" s="3">
        <v>817391</v>
      </c>
      <c r="D143" s="3" t="s">
        <v>474</v>
      </c>
      <c r="E143" s="14">
        <f t="shared" si="14"/>
        <v>-5219.4000000000005</v>
      </c>
      <c r="F143" s="3" t="s">
        <v>362</v>
      </c>
      <c r="G143" s="18">
        <v>46082</v>
      </c>
      <c r="H143" s="19">
        <v>81348</v>
      </c>
      <c r="I143" s="3" t="str">
        <f>VLOOKUP(H143,'[1]Base de Clientes'!$B:$E,4,0)</f>
        <v>BANCO HSBC S/A</v>
      </c>
      <c r="J143" s="5" t="s">
        <v>8</v>
      </c>
      <c r="K143" s="5" t="s">
        <v>37</v>
      </c>
      <c r="L143" s="9">
        <v>5219.4000000000005</v>
      </c>
      <c r="M143" s="11" t="s">
        <v>7</v>
      </c>
      <c r="N143" s="13" t="s">
        <v>18</v>
      </c>
      <c r="O143" s="7">
        <v>1</v>
      </c>
      <c r="P143" s="16" t="s">
        <v>208</v>
      </c>
      <c r="R143" s="3"/>
      <c r="T143" s="7"/>
    </row>
    <row r="144" spans="1:20" x14ac:dyDescent="0.25">
      <c r="A144" s="16" t="str">
        <f t="shared" si="0"/>
        <v>CUSTO DMA -FELIPE GRIGOROVSKI- MARÇO 26</v>
      </c>
      <c r="B144" s="18">
        <v>46082</v>
      </c>
      <c r="C144" s="3">
        <v>817391</v>
      </c>
      <c r="D144" s="3" t="s">
        <v>398</v>
      </c>
      <c r="E144" s="14">
        <f t="shared" si="14"/>
        <v>-1217.16408</v>
      </c>
      <c r="F144" s="3" t="s">
        <v>362</v>
      </c>
      <c r="G144" s="18">
        <v>46082</v>
      </c>
      <c r="H144" s="19">
        <v>80958</v>
      </c>
      <c r="I144" s="3" t="str">
        <f>VLOOKUP(H144,'[1]Base de Clientes'!$B:$E,4,0)</f>
        <v>ITAU UNIBANCO ASSET - OPTIMUS</v>
      </c>
      <c r="J144" s="5" t="s">
        <v>8</v>
      </c>
      <c r="K144" s="5" t="s">
        <v>33</v>
      </c>
      <c r="L144" s="9">
        <v>1217.16408</v>
      </c>
      <c r="M144" s="11" t="s">
        <v>7</v>
      </c>
      <c r="N144" s="13" t="s">
        <v>18</v>
      </c>
      <c r="O144" s="7">
        <v>1</v>
      </c>
      <c r="P144" s="16" t="s">
        <v>204</v>
      </c>
      <c r="R144" s="3"/>
      <c r="T144" s="7"/>
    </row>
    <row r="145" spans="1:20" x14ac:dyDescent="0.25">
      <c r="A145" s="16" t="str">
        <f t="shared" ref="A145:A168" si="24">CONCATENATE(J145,M145,K145,M145,N145)</f>
        <v>CUSTO DMA -PABLO SALGADO- MARÇO 26</v>
      </c>
      <c r="B145" s="18">
        <v>46082</v>
      </c>
      <c r="C145" s="3">
        <v>817391</v>
      </c>
      <c r="D145" s="3" t="s">
        <v>411</v>
      </c>
      <c r="E145" s="14">
        <f t="shared" ref="E145:E189" si="25">-L145*O145</f>
        <v>-3398.3513400000002</v>
      </c>
      <c r="F145" s="3" t="s">
        <v>362</v>
      </c>
      <c r="G145" s="18">
        <v>46082</v>
      </c>
      <c r="H145" s="19">
        <v>80958</v>
      </c>
      <c r="I145" s="3" t="str">
        <f>VLOOKUP(H145,'[1]Base de Clientes'!$B:$E,4,0)</f>
        <v>ITAU UNIBANCO ASSET - OPTIMUS</v>
      </c>
      <c r="J145" s="5" t="s">
        <v>8</v>
      </c>
      <c r="K145" s="5" t="s">
        <v>374</v>
      </c>
      <c r="L145" s="9">
        <v>3398.3513400000002</v>
      </c>
      <c r="M145" s="11" t="s">
        <v>7</v>
      </c>
      <c r="N145" s="13" t="s">
        <v>18</v>
      </c>
      <c r="O145" s="7">
        <v>1</v>
      </c>
      <c r="P145" s="16" t="s">
        <v>388</v>
      </c>
      <c r="R145" s="3"/>
      <c r="T145" s="7"/>
    </row>
    <row r="146" spans="1:20" x14ac:dyDescent="0.25">
      <c r="A146" s="16" t="str">
        <f t="shared" si="24"/>
        <v>CUSTO DMA -FERNANDO SCARPA- MARÇO 26</v>
      </c>
      <c r="B146" s="18">
        <v>46082</v>
      </c>
      <c r="C146" s="3">
        <v>817391</v>
      </c>
      <c r="D146" s="3" t="s">
        <v>400</v>
      </c>
      <c r="E146" s="14">
        <f t="shared" si="25"/>
        <v>-5219.4000000000005</v>
      </c>
      <c r="F146" s="3" t="s">
        <v>362</v>
      </c>
      <c r="G146" s="18">
        <v>46082</v>
      </c>
      <c r="H146" s="19">
        <v>80375</v>
      </c>
      <c r="I146" s="3" t="str">
        <f>VLOOKUP(H146,'[1]Base de Clientes'!$B:$E,4,0)</f>
        <v>ITAU UNIBANCO S/A</v>
      </c>
      <c r="J146" s="5" t="s">
        <v>8</v>
      </c>
      <c r="K146" s="5" t="s">
        <v>36</v>
      </c>
      <c r="L146" s="9">
        <v>5219.4000000000005</v>
      </c>
      <c r="M146" s="11" t="s">
        <v>7</v>
      </c>
      <c r="N146" s="13" t="s">
        <v>18</v>
      </c>
      <c r="O146" s="7">
        <v>1</v>
      </c>
      <c r="P146" s="16" t="s">
        <v>207</v>
      </c>
      <c r="R146" s="3"/>
      <c r="T146" s="7"/>
    </row>
    <row r="147" spans="1:20" x14ac:dyDescent="0.25">
      <c r="A147" s="16" t="str">
        <f t="shared" si="24"/>
        <v>CUSTO DMA -ALFIO SILVA- MARÇO 26</v>
      </c>
      <c r="B147" s="18">
        <v>46082</v>
      </c>
      <c r="C147" s="3">
        <v>817391</v>
      </c>
      <c r="D147" s="3" t="s">
        <v>401</v>
      </c>
      <c r="E147" s="14">
        <f t="shared" si="25"/>
        <v>-328.30025999999998</v>
      </c>
      <c r="F147" s="3" t="s">
        <v>362</v>
      </c>
      <c r="G147" s="18">
        <v>46082</v>
      </c>
      <c r="H147" s="19">
        <v>79806</v>
      </c>
      <c r="I147" s="3" t="str">
        <f>VLOOKUP(H147,'[1]Base de Clientes'!$B:$E,4,0)</f>
        <v>ITAU UNIBANCO S/A</v>
      </c>
      <c r="J147" s="5" t="s">
        <v>8</v>
      </c>
      <c r="K147" s="5" t="s">
        <v>23</v>
      </c>
      <c r="L147" s="9">
        <v>328.30025999999998</v>
      </c>
      <c r="M147" s="11" t="s">
        <v>7</v>
      </c>
      <c r="N147" s="13" t="s">
        <v>18</v>
      </c>
      <c r="O147" s="7">
        <v>1</v>
      </c>
      <c r="P147" s="16" t="s">
        <v>194</v>
      </c>
      <c r="R147" s="3"/>
      <c r="T147" s="7"/>
    </row>
    <row r="148" spans="1:20" x14ac:dyDescent="0.25">
      <c r="A148" s="16" t="str">
        <f t="shared" si="24"/>
        <v>CUSTO DMA -BRUNO SERRA FERNANDES- MARÇO 26</v>
      </c>
      <c r="B148" s="18">
        <v>46082</v>
      </c>
      <c r="C148" s="3">
        <v>817391</v>
      </c>
      <c r="D148" s="3" t="s">
        <v>397</v>
      </c>
      <c r="E148" s="14">
        <f t="shared" si="25"/>
        <v>-290.45961000000005</v>
      </c>
      <c r="F148" s="3" t="s">
        <v>362</v>
      </c>
      <c r="G148" s="18">
        <v>46082</v>
      </c>
      <c r="H148" s="19">
        <v>82010</v>
      </c>
      <c r="I148" s="3" t="str">
        <f>VLOOKUP(H148,'[1]Base de Clientes'!$B:$E,4,0)</f>
        <v>ITAU UNIBANCO ASSET - JANEIRO</v>
      </c>
      <c r="J148" s="5" t="s">
        <v>8</v>
      </c>
      <c r="K148" s="5" t="s">
        <v>369</v>
      </c>
      <c r="L148" s="9">
        <v>580.91922000000011</v>
      </c>
      <c r="M148" s="11" t="s">
        <v>7</v>
      </c>
      <c r="N148" s="13" t="s">
        <v>18</v>
      </c>
      <c r="O148" s="7">
        <v>0.5</v>
      </c>
      <c r="P148" s="16" t="s">
        <v>383</v>
      </c>
      <c r="R148" s="3"/>
      <c r="T148" s="7"/>
    </row>
    <row r="149" spans="1:20" x14ac:dyDescent="0.25">
      <c r="A149" s="16" t="str">
        <f t="shared" ref="A149" si="26">CONCATENATE(J149,M149,K149,M149,N149)</f>
        <v>CUSTO DMA -BRUNO SERRA FERNANDES- MARÇO 26</v>
      </c>
      <c r="B149" s="18">
        <v>46082</v>
      </c>
      <c r="C149" s="3">
        <v>817391</v>
      </c>
      <c r="D149" s="3" t="s">
        <v>401</v>
      </c>
      <c r="E149" s="14">
        <f t="shared" ref="E149" si="27">-L149*O149</f>
        <v>-290.45961000000005</v>
      </c>
      <c r="F149" s="3" t="s">
        <v>362</v>
      </c>
      <c r="G149" s="18">
        <v>46082</v>
      </c>
      <c r="H149" s="19">
        <v>82010</v>
      </c>
      <c r="I149" s="3" t="str">
        <f>VLOOKUP(H149,'[1]Base de Clientes'!$B:$E,4,0)</f>
        <v>ITAU UNIBANCO ASSET - JANEIRO</v>
      </c>
      <c r="J149" s="5" t="s">
        <v>8</v>
      </c>
      <c r="K149" s="5" t="s">
        <v>369</v>
      </c>
      <c r="L149" s="9">
        <v>580.91922000000011</v>
      </c>
      <c r="M149" s="11" t="s">
        <v>7</v>
      </c>
      <c r="N149" s="13" t="s">
        <v>18</v>
      </c>
      <c r="O149" s="7">
        <v>0.5</v>
      </c>
      <c r="P149" s="16" t="s">
        <v>383</v>
      </c>
      <c r="R149" s="3"/>
      <c r="T149" s="7"/>
    </row>
    <row r="150" spans="1:20" x14ac:dyDescent="0.25">
      <c r="A150" s="16" t="str">
        <f t="shared" si="24"/>
        <v>CUSTO DMA -DANILO MACARI- MARÇO 26</v>
      </c>
      <c r="B150" s="18">
        <v>46082</v>
      </c>
      <c r="C150" s="3">
        <v>817391</v>
      </c>
      <c r="D150" s="3" t="s">
        <v>403</v>
      </c>
      <c r="E150" s="14">
        <f t="shared" si="25"/>
        <v>-2609.7000000000003</v>
      </c>
      <c r="F150" s="3" t="s">
        <v>362</v>
      </c>
      <c r="G150" s="18">
        <v>46082</v>
      </c>
      <c r="H150" s="19">
        <v>82010</v>
      </c>
      <c r="I150" s="3" t="str">
        <f>VLOOKUP(H150,'[1]Base de Clientes'!$B:$E,4,0)</f>
        <v>ITAU UNIBANCO ASSET - JANEIRO</v>
      </c>
      <c r="J150" s="5" t="s">
        <v>8</v>
      </c>
      <c r="K150" s="5" t="s">
        <v>30</v>
      </c>
      <c r="L150" s="9">
        <v>5219.4000000000005</v>
      </c>
      <c r="M150" s="11" t="s">
        <v>7</v>
      </c>
      <c r="N150" s="13" t="s">
        <v>18</v>
      </c>
      <c r="O150" s="7">
        <v>0.5</v>
      </c>
      <c r="P150" s="16" t="s">
        <v>201</v>
      </c>
      <c r="R150" s="3"/>
      <c r="T150" s="7"/>
    </row>
    <row r="151" spans="1:20" x14ac:dyDescent="0.25">
      <c r="A151" s="16" t="str">
        <f t="shared" ref="A151" si="28">CONCATENATE(J151,M151,K151,M151,N151)</f>
        <v>CUSTO DMA -DANILO MACARI- MARÇO 26</v>
      </c>
      <c r="B151" s="18">
        <v>46082</v>
      </c>
      <c r="C151" s="3">
        <v>817391</v>
      </c>
      <c r="D151" s="3" t="s">
        <v>402</v>
      </c>
      <c r="E151" s="14">
        <f t="shared" ref="E151" si="29">-L151*O151</f>
        <v>-2609.7000000000003</v>
      </c>
      <c r="F151" s="3" t="s">
        <v>362</v>
      </c>
      <c r="G151" s="18">
        <v>46082</v>
      </c>
      <c r="H151" s="19">
        <v>82010</v>
      </c>
      <c r="I151" s="3" t="str">
        <f>VLOOKUP(H151,'[1]Base de Clientes'!$B:$E,4,0)</f>
        <v>ITAU UNIBANCO ASSET - JANEIRO</v>
      </c>
      <c r="J151" s="5" t="s">
        <v>8</v>
      </c>
      <c r="K151" s="5" t="s">
        <v>30</v>
      </c>
      <c r="L151" s="9">
        <v>5219.4000000000005</v>
      </c>
      <c r="M151" s="11" t="s">
        <v>7</v>
      </c>
      <c r="N151" s="13" t="s">
        <v>18</v>
      </c>
      <c r="O151" s="7">
        <v>0.5</v>
      </c>
      <c r="P151" s="16" t="s">
        <v>201</v>
      </c>
      <c r="R151" s="3"/>
      <c r="T151" s="7"/>
    </row>
    <row r="152" spans="1:20" x14ac:dyDescent="0.25">
      <c r="A152" s="16" t="str">
        <f t="shared" si="24"/>
        <v>CUSTO DMA -FILIPE CAVALCANTI- MARÇO 26</v>
      </c>
      <c r="B152" s="18">
        <v>46082</v>
      </c>
      <c r="C152" s="3">
        <v>817391</v>
      </c>
      <c r="D152" s="3" t="s">
        <v>401</v>
      </c>
      <c r="E152" s="14">
        <f t="shared" si="25"/>
        <v>-5219.4000000000005</v>
      </c>
      <c r="F152" s="3" t="s">
        <v>362</v>
      </c>
      <c r="G152" s="18">
        <v>46082</v>
      </c>
      <c r="H152" s="19">
        <v>80227</v>
      </c>
      <c r="I152" s="3" t="str">
        <f>VLOOKUP(H152,'[1]Base de Clientes'!$B:$E,4,0)</f>
        <v>ITAU UNIBANCO S/A</v>
      </c>
      <c r="J152" s="5" t="s">
        <v>8</v>
      </c>
      <c r="K152" s="5" t="s">
        <v>32</v>
      </c>
      <c r="L152" s="9">
        <v>5219.4000000000005</v>
      </c>
      <c r="M152" s="11" t="s">
        <v>7</v>
      </c>
      <c r="N152" s="13" t="s">
        <v>18</v>
      </c>
      <c r="O152" s="7">
        <v>1</v>
      </c>
      <c r="P152" s="16" t="s">
        <v>203</v>
      </c>
      <c r="R152" s="3"/>
      <c r="T152" s="7"/>
    </row>
    <row r="153" spans="1:20" x14ac:dyDescent="0.25">
      <c r="A153" s="16" t="str">
        <f t="shared" si="24"/>
        <v>CUSTO DMA -FREDERICO QUEIROZ- MARÇO 26</v>
      </c>
      <c r="B153" s="18">
        <v>46082</v>
      </c>
      <c r="C153" s="3">
        <v>817391</v>
      </c>
      <c r="D153" s="3" t="s">
        <v>401</v>
      </c>
      <c r="E153" s="14">
        <f t="shared" si="25"/>
        <v>-2870.67</v>
      </c>
      <c r="F153" s="3" t="s">
        <v>362</v>
      </c>
      <c r="G153" s="18">
        <v>46082</v>
      </c>
      <c r="H153" s="19">
        <v>79806</v>
      </c>
      <c r="I153" s="3" t="str">
        <f>VLOOKUP(H153,'[1]Base de Clientes'!$B:$E,4,0)</f>
        <v>ITAU UNIBANCO S/A</v>
      </c>
      <c r="J153" s="5" t="s">
        <v>8</v>
      </c>
      <c r="K153" s="5" t="s">
        <v>412</v>
      </c>
      <c r="L153" s="9">
        <v>2870.67</v>
      </c>
      <c r="M153" s="11" t="s">
        <v>7</v>
      </c>
      <c r="N153" s="13" t="s">
        <v>18</v>
      </c>
      <c r="O153" s="7">
        <v>1</v>
      </c>
      <c r="P153" s="16" t="s">
        <v>421</v>
      </c>
      <c r="R153" s="3"/>
      <c r="T153" s="7"/>
    </row>
    <row r="154" spans="1:20" x14ac:dyDescent="0.25">
      <c r="A154" s="16" t="str">
        <f t="shared" si="24"/>
        <v>CUSTO DMA -SAMIR CHELALA- MARÇO 26</v>
      </c>
      <c r="B154" s="18">
        <v>46082</v>
      </c>
      <c r="C154" s="3">
        <v>817391</v>
      </c>
      <c r="D154" s="3" t="s">
        <v>401</v>
      </c>
      <c r="E154" s="14">
        <f t="shared" si="25"/>
        <v>-5219.4000000000005</v>
      </c>
      <c r="F154" s="3" t="s">
        <v>362</v>
      </c>
      <c r="G154" s="18">
        <v>46082</v>
      </c>
      <c r="H154" s="19">
        <v>79985</v>
      </c>
      <c r="I154" s="3" t="str">
        <f>VLOOKUP(H154,'[1]Base de Clientes'!$B:$E,4,0)</f>
        <v>ITAU UNIBANCO S/A</v>
      </c>
      <c r="J154" s="5" t="s">
        <v>8</v>
      </c>
      <c r="K154" s="5" t="s">
        <v>61</v>
      </c>
      <c r="L154" s="9">
        <v>5219.4000000000005</v>
      </c>
      <c r="M154" s="11" t="s">
        <v>7</v>
      </c>
      <c r="N154" s="13" t="s">
        <v>18</v>
      </c>
      <c r="O154" s="7">
        <v>1</v>
      </c>
      <c r="P154" s="16" t="s">
        <v>232</v>
      </c>
      <c r="R154" s="3"/>
      <c r="T154" s="7"/>
    </row>
    <row r="155" spans="1:20" x14ac:dyDescent="0.25">
      <c r="A155" s="16" t="str">
        <f t="shared" si="24"/>
        <v>CUSTO DMA -ANDRE BAUM- MARÇO 26</v>
      </c>
      <c r="B155" s="18">
        <v>46082</v>
      </c>
      <c r="C155" s="3">
        <v>817391</v>
      </c>
      <c r="D155" s="3" t="s">
        <v>399</v>
      </c>
      <c r="E155" s="14">
        <f t="shared" si="25"/>
        <v>-2609.7000000000003</v>
      </c>
      <c r="F155" s="3" t="s">
        <v>362</v>
      </c>
      <c r="G155" s="18">
        <v>46082</v>
      </c>
      <c r="H155" s="19">
        <v>12413</v>
      </c>
      <c r="I155" s="3" t="str">
        <f>VLOOKUP(H155,'[1]Base de Clientes'!$B:$E,4,0)</f>
        <v>KAPITALO INVESTIMENTOS LTDA</v>
      </c>
      <c r="J155" s="5" t="s">
        <v>8</v>
      </c>
      <c r="K155" s="5" t="s">
        <v>20</v>
      </c>
      <c r="L155" s="9">
        <v>5219.4000000000005</v>
      </c>
      <c r="M155" s="11" t="s">
        <v>7</v>
      </c>
      <c r="N155" s="13" t="s">
        <v>18</v>
      </c>
      <c r="O155" s="7">
        <v>0.5</v>
      </c>
      <c r="P155" s="16" t="s">
        <v>191</v>
      </c>
      <c r="R155" s="3"/>
      <c r="T155" s="7"/>
    </row>
    <row r="156" spans="1:20" x14ac:dyDescent="0.25">
      <c r="A156" s="16" t="str">
        <f t="shared" ref="A156" si="30">CONCATENATE(J156,M156,K156,M156,N156)</f>
        <v>CUSTO DMA -ANDRE BAUM- MARÇO 26</v>
      </c>
      <c r="B156" s="18">
        <v>46082</v>
      </c>
      <c r="C156" s="3">
        <v>817391</v>
      </c>
      <c r="D156" s="3" t="s">
        <v>400</v>
      </c>
      <c r="E156" s="14">
        <f t="shared" ref="E156" si="31">-L156*O156</f>
        <v>-2609.7000000000003</v>
      </c>
      <c r="F156" s="3" t="s">
        <v>362</v>
      </c>
      <c r="G156" s="18">
        <v>46082</v>
      </c>
      <c r="H156" s="19">
        <v>12413</v>
      </c>
      <c r="I156" s="3" t="str">
        <f>VLOOKUP(H156,'[1]Base de Clientes'!$B:$E,4,0)</f>
        <v>KAPITALO INVESTIMENTOS LTDA</v>
      </c>
      <c r="J156" s="5" t="s">
        <v>8</v>
      </c>
      <c r="K156" s="5" t="s">
        <v>20</v>
      </c>
      <c r="L156" s="9">
        <v>5219.4000000000005</v>
      </c>
      <c r="M156" s="11" t="s">
        <v>7</v>
      </c>
      <c r="N156" s="13" t="s">
        <v>18</v>
      </c>
      <c r="O156" s="7">
        <v>0.5</v>
      </c>
      <c r="P156" s="16" t="s">
        <v>191</v>
      </c>
      <c r="R156" s="3"/>
      <c r="T156" s="7"/>
    </row>
    <row r="157" spans="1:20" x14ac:dyDescent="0.25">
      <c r="A157" s="16" t="str">
        <f t="shared" si="24"/>
        <v>CUSTO DMA -BERNARDO GOMES- MARÇO 26</v>
      </c>
      <c r="B157" s="18">
        <v>46082</v>
      </c>
      <c r="C157" s="3">
        <v>817391</v>
      </c>
      <c r="D157" s="3" t="s">
        <v>480</v>
      </c>
      <c r="E157" s="14">
        <f t="shared" si="25"/>
        <v>-5219.4000000000005</v>
      </c>
      <c r="F157" s="3" t="s">
        <v>362</v>
      </c>
      <c r="G157" s="18">
        <v>46082</v>
      </c>
      <c r="H157" s="19">
        <v>81936</v>
      </c>
      <c r="I157" s="3" t="str">
        <f>VLOOKUP(H157,'[1]Base de Clientes'!$B:$E,4,0)</f>
        <v>KAPITALO INVESTIMENTOS LTDA</v>
      </c>
      <c r="J157" s="5" t="s">
        <v>8</v>
      </c>
      <c r="K157" s="5" t="s">
        <v>26</v>
      </c>
      <c r="L157" s="9">
        <v>5219.4000000000005</v>
      </c>
      <c r="M157" s="11" t="s">
        <v>7</v>
      </c>
      <c r="N157" s="13" t="s">
        <v>18</v>
      </c>
      <c r="O157" s="7">
        <v>1</v>
      </c>
      <c r="P157" s="16" t="s">
        <v>197</v>
      </c>
      <c r="R157" s="3"/>
      <c r="T157" s="7"/>
    </row>
    <row r="158" spans="1:20" x14ac:dyDescent="0.25">
      <c r="A158" s="16" t="str">
        <f t="shared" si="24"/>
        <v>CUSTO DMA -FELIPE GUERRA- MARÇO 26</v>
      </c>
      <c r="B158" s="18">
        <v>46082</v>
      </c>
      <c r="C158" s="3">
        <v>817391</v>
      </c>
      <c r="D158" s="3" t="s">
        <v>404</v>
      </c>
      <c r="E158" s="14">
        <f t="shared" si="25"/>
        <v>-2609.7000000000003</v>
      </c>
      <c r="F158" s="3" t="s">
        <v>362</v>
      </c>
      <c r="G158" s="18">
        <v>46082</v>
      </c>
      <c r="H158" s="19">
        <v>80386</v>
      </c>
      <c r="I158" s="3" t="str">
        <f>VLOOKUP(H158,'[1]Base de Clientes'!$B:$E,4,0)</f>
        <v>LEGACY CAPITAL GESTORA DE RECURSOS LTDA</v>
      </c>
      <c r="J158" s="5" t="s">
        <v>8</v>
      </c>
      <c r="K158" s="5" t="s">
        <v>34</v>
      </c>
      <c r="L158" s="9">
        <v>5219.4000000000005</v>
      </c>
      <c r="M158" s="11" t="s">
        <v>7</v>
      </c>
      <c r="N158" s="13" t="s">
        <v>18</v>
      </c>
      <c r="O158" s="7">
        <v>0.5</v>
      </c>
      <c r="P158" s="16" t="s">
        <v>205</v>
      </c>
      <c r="R158" s="3"/>
      <c r="T158" s="7"/>
    </row>
    <row r="159" spans="1:20" x14ac:dyDescent="0.25">
      <c r="A159" s="16" t="str">
        <f t="shared" ref="A159" si="32">CONCATENATE(J159,M159,K159,M159,N159)</f>
        <v>CUSTO DMA -FELIPE GUERRA- MARÇO 26</v>
      </c>
      <c r="B159" s="18">
        <v>46082</v>
      </c>
      <c r="C159" s="3">
        <v>817391</v>
      </c>
      <c r="D159" s="3" t="s">
        <v>405</v>
      </c>
      <c r="E159" s="14">
        <f t="shared" ref="E159" si="33">-L159*O159</f>
        <v>-2609.7000000000003</v>
      </c>
      <c r="F159" s="3" t="s">
        <v>362</v>
      </c>
      <c r="G159" s="18">
        <v>46082</v>
      </c>
      <c r="H159" s="19">
        <v>80386</v>
      </c>
      <c r="I159" s="3" t="str">
        <f>VLOOKUP(H159,'[1]Base de Clientes'!$B:$E,4,0)</f>
        <v>LEGACY CAPITAL GESTORA DE RECURSOS LTDA</v>
      </c>
      <c r="J159" s="5" t="s">
        <v>8</v>
      </c>
      <c r="K159" s="5" t="s">
        <v>34</v>
      </c>
      <c r="L159" s="9">
        <v>5219.4000000000005</v>
      </c>
      <c r="M159" s="11" t="s">
        <v>7</v>
      </c>
      <c r="N159" s="13" t="s">
        <v>18</v>
      </c>
      <c r="O159" s="7">
        <v>0.5</v>
      </c>
      <c r="P159" s="16" t="s">
        <v>205</v>
      </c>
      <c r="R159" s="3"/>
      <c r="T159" s="7"/>
    </row>
    <row r="160" spans="1:20" x14ac:dyDescent="0.25">
      <c r="A160" s="16" t="str">
        <f t="shared" si="24"/>
        <v>CUSTO DMA -LUIZ CALOBA- MARÇO 26</v>
      </c>
      <c r="B160" s="18">
        <v>46082</v>
      </c>
      <c r="C160" s="3">
        <v>817391</v>
      </c>
      <c r="D160" s="3" t="s">
        <v>402</v>
      </c>
      <c r="E160" s="14">
        <f t="shared" si="25"/>
        <v>-1965.1041</v>
      </c>
      <c r="F160" s="3" t="s">
        <v>362</v>
      </c>
      <c r="G160" s="18">
        <v>46082</v>
      </c>
      <c r="H160" s="19">
        <v>79931</v>
      </c>
      <c r="I160" s="3" t="str">
        <f>VLOOKUP(H160,'[1]Base de Clientes'!$B:$E,4,0)</f>
        <v>SPX GESTAO DE RECURSOS LTDA</v>
      </c>
      <c r="J160" s="5" t="s">
        <v>8</v>
      </c>
      <c r="K160" s="5" t="s">
        <v>44</v>
      </c>
      <c r="L160" s="9">
        <v>1965.1041</v>
      </c>
      <c r="M160" s="11" t="s">
        <v>7</v>
      </c>
      <c r="N160" s="13" t="s">
        <v>18</v>
      </c>
      <c r="O160" s="7">
        <v>1</v>
      </c>
      <c r="P160" s="16" t="s">
        <v>215</v>
      </c>
      <c r="R160" s="3"/>
      <c r="T160" s="7"/>
    </row>
    <row r="161" spans="1:20" x14ac:dyDescent="0.25">
      <c r="A161" s="16" t="str">
        <f t="shared" si="24"/>
        <v>CUSTO DMA -GEORGE MIYA WATANABE- MARÇO 26</v>
      </c>
      <c r="B161" s="18">
        <v>46082</v>
      </c>
      <c r="C161" s="3">
        <v>817391</v>
      </c>
      <c r="D161" s="3" t="s">
        <v>400</v>
      </c>
      <c r="E161" s="14">
        <f t="shared" si="25"/>
        <v>-5219.4000000000005</v>
      </c>
      <c r="F161" s="3" t="s">
        <v>362</v>
      </c>
      <c r="G161" s="18">
        <v>46082</v>
      </c>
      <c r="H161" s="19">
        <v>80359</v>
      </c>
      <c r="I161" s="3" t="str">
        <f>VLOOKUP(H161,'[1]Base de Clientes'!$B:$E,4,0)</f>
        <v>VINLAND CAPITAL MANAGEMENT GESTORA DE RECURSOS LTDA</v>
      </c>
      <c r="J161" s="5" t="s">
        <v>8</v>
      </c>
      <c r="K161" s="5" t="s">
        <v>413</v>
      </c>
      <c r="L161" s="9">
        <v>5219.4000000000005</v>
      </c>
      <c r="M161" s="11" t="s">
        <v>7</v>
      </c>
      <c r="N161" s="13" t="s">
        <v>18</v>
      </c>
      <c r="O161" s="7">
        <v>1</v>
      </c>
      <c r="P161" s="16" t="s">
        <v>422</v>
      </c>
      <c r="R161" s="3"/>
      <c r="T161" s="7"/>
    </row>
    <row r="162" spans="1:20" x14ac:dyDescent="0.25">
      <c r="A162" s="16" t="str">
        <f t="shared" si="24"/>
        <v>CUSTO DMA -RAPHAELA SPILBERG- MARÇO 26</v>
      </c>
      <c r="B162" s="18">
        <v>46082</v>
      </c>
      <c r="C162" s="3">
        <v>817391</v>
      </c>
      <c r="D162" s="3" t="s">
        <v>400</v>
      </c>
      <c r="E162" s="14">
        <f t="shared" si="25"/>
        <v>-156.58199999999999</v>
      </c>
      <c r="F162" s="3" t="s">
        <v>362</v>
      </c>
      <c r="G162" s="18">
        <v>46082</v>
      </c>
      <c r="H162" s="19">
        <v>80359</v>
      </c>
      <c r="I162" s="3" t="str">
        <f>VLOOKUP(H162,'[1]Base de Clientes'!$B:$E,4,0)</f>
        <v>VINLAND CAPITAL MANAGEMENT GESTORA DE RECURSOS LTDA</v>
      </c>
      <c r="J162" s="5" t="s">
        <v>8</v>
      </c>
      <c r="K162" s="5" t="s">
        <v>60</v>
      </c>
      <c r="L162" s="9">
        <v>156.58199999999999</v>
      </c>
      <c r="M162" s="11" t="s">
        <v>7</v>
      </c>
      <c r="N162" s="13" t="s">
        <v>18</v>
      </c>
      <c r="O162" s="7">
        <v>1</v>
      </c>
      <c r="P162" s="16" t="s">
        <v>231</v>
      </c>
      <c r="R162" s="3"/>
      <c r="T162" s="7"/>
    </row>
    <row r="163" spans="1:20" x14ac:dyDescent="0.25">
      <c r="A163" s="16" t="str">
        <f t="shared" si="24"/>
        <v>CUSTO DMA -BRUNO MARQUES- MARÇO 26</v>
      </c>
      <c r="B163" s="18">
        <v>46082</v>
      </c>
      <c r="C163" s="3">
        <v>817391</v>
      </c>
      <c r="D163" s="3" t="s">
        <v>411</v>
      </c>
      <c r="E163" s="14">
        <f t="shared" si="25"/>
        <v>-5219.4000000000005</v>
      </c>
      <c r="F163" s="3" t="s">
        <v>362</v>
      </c>
      <c r="G163" s="18">
        <v>46082</v>
      </c>
      <c r="H163" s="19">
        <v>80648</v>
      </c>
      <c r="I163" s="3" t="str">
        <f>VLOOKUP(H163,'[1]Base de Clientes'!$B:$E,4,0)</f>
        <v>XP GESTAO DE RECURSOS LTDA</v>
      </c>
      <c r="J163" s="5" t="s">
        <v>8</v>
      </c>
      <c r="K163" s="5" t="s">
        <v>27</v>
      </c>
      <c r="L163" s="9">
        <v>5219.4000000000005</v>
      </c>
      <c r="M163" s="11" t="s">
        <v>7</v>
      </c>
      <c r="N163" s="13" t="s">
        <v>18</v>
      </c>
      <c r="O163" s="7">
        <v>1</v>
      </c>
      <c r="P163" s="16" t="s">
        <v>198</v>
      </c>
      <c r="R163" s="3"/>
      <c r="T163" s="7"/>
    </row>
    <row r="164" spans="1:20" x14ac:dyDescent="0.25">
      <c r="A164" s="16" t="str">
        <f t="shared" si="24"/>
        <v>CUSTO DMA -ALEXANDRE NEVES- MARÇO 26</v>
      </c>
      <c r="B164" s="18">
        <v>46082</v>
      </c>
      <c r="C164" s="3">
        <v>817391</v>
      </c>
      <c r="D164" s="3" t="s">
        <v>400</v>
      </c>
      <c r="E164" s="14">
        <f t="shared" si="25"/>
        <v>-90.637632999999937</v>
      </c>
      <c r="F164" s="3" t="s">
        <v>363</v>
      </c>
      <c r="G164" s="18">
        <v>46082</v>
      </c>
      <c r="H164" s="19">
        <v>95005</v>
      </c>
      <c r="I164" s="3" t="str">
        <f>VLOOKUP(H164,'[1]Base de Clientes'!$B:$E,4,0)</f>
        <v>BANCO BNP PARIBAS BRASIL S/A</v>
      </c>
      <c r="J164" s="5" t="s">
        <v>8</v>
      </c>
      <c r="K164" s="5" t="s">
        <v>64</v>
      </c>
      <c r="L164" s="9">
        <v>90.637632999999937</v>
      </c>
      <c r="M164" s="11" t="s">
        <v>7</v>
      </c>
      <c r="N164" s="13" t="s">
        <v>18</v>
      </c>
      <c r="O164" s="7">
        <v>1</v>
      </c>
      <c r="P164" s="16" t="s">
        <v>504</v>
      </c>
      <c r="R164" s="3"/>
      <c r="T164" s="7"/>
    </row>
    <row r="165" spans="1:20" x14ac:dyDescent="0.25">
      <c r="A165" s="16" t="str">
        <f t="shared" si="24"/>
        <v>CUSTO DMA -GABRIEL BAPTISTELA- MARÇO 26</v>
      </c>
      <c r="B165" s="18">
        <v>46082</v>
      </c>
      <c r="C165" s="3">
        <v>817391</v>
      </c>
      <c r="D165" s="3" t="s">
        <v>475</v>
      </c>
      <c r="E165" s="14">
        <f t="shared" si="25"/>
        <v>-4748.9939611945947</v>
      </c>
      <c r="F165" s="3" t="s">
        <v>363</v>
      </c>
      <c r="G165" s="18">
        <v>46082</v>
      </c>
      <c r="H165" s="19">
        <v>95005</v>
      </c>
      <c r="I165" s="3" t="str">
        <f>VLOOKUP(H165,'[1]Base de Clientes'!$B:$E,4,0)</f>
        <v>BANCO BNP PARIBAS BRASIL S/A</v>
      </c>
      <c r="J165" s="5" t="s">
        <v>8</v>
      </c>
      <c r="K165" s="5" t="s">
        <v>71</v>
      </c>
      <c r="L165" s="9">
        <v>4748.9939611945947</v>
      </c>
      <c r="M165" s="11" t="s">
        <v>7</v>
      </c>
      <c r="N165" s="13" t="s">
        <v>18</v>
      </c>
      <c r="O165" s="7">
        <v>1</v>
      </c>
      <c r="P165" s="16" t="s">
        <v>505</v>
      </c>
      <c r="R165" s="3"/>
      <c r="T165" s="7"/>
    </row>
    <row r="166" spans="1:20" x14ac:dyDescent="0.25">
      <c r="A166" s="16" t="str">
        <f t="shared" si="24"/>
        <v>CUSTO DMA -ISABELLA ATAIDE- MARÇO 26</v>
      </c>
      <c r="B166" s="18">
        <v>46082</v>
      </c>
      <c r="C166" s="3">
        <v>817391</v>
      </c>
      <c r="D166" s="3" t="s">
        <v>478</v>
      </c>
      <c r="E166" s="14">
        <f t="shared" si="25"/>
        <v>-135.98259999999993</v>
      </c>
      <c r="F166" s="3" t="s">
        <v>363</v>
      </c>
      <c r="G166" s="18">
        <v>46082</v>
      </c>
      <c r="H166" s="19">
        <v>95005</v>
      </c>
      <c r="I166" s="3" t="str">
        <f>VLOOKUP(H166,'[1]Base de Clientes'!$B:$E,4,0)</f>
        <v>BANCO BNP PARIBAS BRASIL S/A</v>
      </c>
      <c r="J166" s="5" t="s">
        <v>8</v>
      </c>
      <c r="K166" s="5" t="s">
        <v>72</v>
      </c>
      <c r="L166" s="9">
        <v>135.98259999999993</v>
      </c>
      <c r="M166" s="11" t="s">
        <v>7</v>
      </c>
      <c r="N166" s="13" t="s">
        <v>18</v>
      </c>
      <c r="O166" s="7">
        <v>1</v>
      </c>
      <c r="P166" s="16" t="s">
        <v>506</v>
      </c>
      <c r="R166" s="3"/>
      <c r="T166" s="7"/>
    </row>
    <row r="167" spans="1:20" x14ac:dyDescent="0.25">
      <c r="A167" s="16" t="str">
        <f t="shared" si="24"/>
        <v>CUSTO DMA -PAULO GUEDES- MARÇO 26</v>
      </c>
      <c r="B167" s="18">
        <v>46082</v>
      </c>
      <c r="C167" s="3">
        <v>817391</v>
      </c>
      <c r="D167" s="3" t="s">
        <v>478</v>
      </c>
      <c r="E167" s="14">
        <f t="shared" si="25"/>
        <v>-9870.247898348538</v>
      </c>
      <c r="F167" s="3" t="s">
        <v>363</v>
      </c>
      <c r="G167" s="18">
        <v>46082</v>
      </c>
      <c r="H167" s="19">
        <v>95005</v>
      </c>
      <c r="I167" s="3" t="str">
        <f>VLOOKUP(H167,'[1]Base de Clientes'!$B:$E,4,0)</f>
        <v>BANCO BNP PARIBAS BRASIL S/A</v>
      </c>
      <c r="J167" s="5" t="s">
        <v>8</v>
      </c>
      <c r="K167" s="5" t="s">
        <v>75</v>
      </c>
      <c r="L167" s="9">
        <v>9870.247898348538</v>
      </c>
      <c r="M167" s="11" t="s">
        <v>7</v>
      </c>
      <c r="N167" s="13" t="s">
        <v>18</v>
      </c>
      <c r="O167" s="7">
        <v>1</v>
      </c>
      <c r="P167" s="16" t="s">
        <v>507</v>
      </c>
      <c r="R167" s="3"/>
      <c r="T167" s="7"/>
    </row>
    <row r="168" spans="1:20" x14ac:dyDescent="0.25">
      <c r="A168" s="16" t="str">
        <f t="shared" si="24"/>
        <v>CUSTO DMA -RAFAEL HESSE- MARÇO 26</v>
      </c>
      <c r="B168" s="18">
        <v>46082</v>
      </c>
      <c r="C168" s="3">
        <v>817391</v>
      </c>
      <c r="D168" s="3" t="s">
        <v>475</v>
      </c>
      <c r="E168" s="14">
        <f t="shared" si="25"/>
        <v>-2026.8546408290811</v>
      </c>
      <c r="F168" s="3" t="s">
        <v>363</v>
      </c>
      <c r="G168" s="18">
        <v>46082</v>
      </c>
      <c r="H168" s="19">
        <v>95005</v>
      </c>
      <c r="I168" s="3" t="str">
        <f>VLOOKUP(H168,'[1]Base de Clientes'!$B:$E,4,0)</f>
        <v>BANCO BNP PARIBAS BRASIL S/A</v>
      </c>
      <c r="J168" s="5" t="s">
        <v>8</v>
      </c>
      <c r="K168" s="5" t="s">
        <v>498</v>
      </c>
      <c r="L168" s="9">
        <v>2026.8546408290811</v>
      </c>
      <c r="M168" s="11" t="s">
        <v>7</v>
      </c>
      <c r="N168" s="13" t="s">
        <v>18</v>
      </c>
      <c r="O168" s="7">
        <v>1</v>
      </c>
      <c r="P168" s="25" t="s">
        <v>508</v>
      </c>
      <c r="R168" s="3"/>
      <c r="T168" s="7"/>
    </row>
    <row r="169" spans="1:20" x14ac:dyDescent="0.25">
      <c r="A169" s="16" t="str">
        <f t="shared" ref="A169:A189" si="34">CONCATENATE(J169,M169,K169,M169,N169)</f>
        <v>CUSTO DMA -RAFAEL MADI- MARÇO 26</v>
      </c>
      <c r="B169" s="18">
        <v>46082</v>
      </c>
      <c r="C169" s="3">
        <v>817391</v>
      </c>
      <c r="D169" s="3" t="s">
        <v>478</v>
      </c>
      <c r="E169" s="14">
        <f t="shared" si="25"/>
        <v>-4992.9372660383451</v>
      </c>
      <c r="F169" s="3" t="s">
        <v>363</v>
      </c>
      <c r="G169" s="18">
        <v>46082</v>
      </c>
      <c r="H169" s="19">
        <v>95005</v>
      </c>
      <c r="I169" s="3" t="str">
        <f>VLOOKUP(H169,'[1]Base de Clientes'!$B:$E,4,0)</f>
        <v>BANCO BNP PARIBAS BRASIL S/A</v>
      </c>
      <c r="J169" s="5" t="s">
        <v>8</v>
      </c>
      <c r="K169" s="5" t="s">
        <v>79</v>
      </c>
      <c r="L169" s="9">
        <v>4992.9372660383451</v>
      </c>
      <c r="M169" s="11" t="s">
        <v>7</v>
      </c>
      <c r="N169" s="13" t="s">
        <v>18</v>
      </c>
      <c r="O169" s="7">
        <v>1</v>
      </c>
      <c r="P169" s="16" t="s">
        <v>509</v>
      </c>
      <c r="R169" s="3"/>
      <c r="T169" s="7"/>
    </row>
    <row r="170" spans="1:20" x14ac:dyDescent="0.2">
      <c r="A170" s="16" t="str">
        <f t="shared" si="34"/>
        <v>CUSTO DMA -CAETANO RUFINO RAMOS- MARÇO 26</v>
      </c>
      <c r="B170" s="18">
        <v>46082</v>
      </c>
      <c r="C170" s="3">
        <v>817391</v>
      </c>
      <c r="D170" s="24" t="s">
        <v>402</v>
      </c>
      <c r="E170" s="14">
        <f t="shared" si="25"/>
        <v>-1476.1774118290809</v>
      </c>
      <c r="F170" s="3" t="s">
        <v>363</v>
      </c>
      <c r="G170" s="18">
        <v>46082</v>
      </c>
      <c r="H170" s="19">
        <v>80026</v>
      </c>
      <c r="I170" s="3" t="str">
        <f>VLOOKUP(H170,'[1]Base de Clientes'!$B:$E,4,0)</f>
        <v>BARCLAYS BANK PLC</v>
      </c>
      <c r="J170" s="5" t="s">
        <v>8</v>
      </c>
      <c r="K170" s="5" t="s">
        <v>66</v>
      </c>
      <c r="L170" s="9">
        <v>1476.1774118290809</v>
      </c>
      <c r="M170" s="11" t="s">
        <v>7</v>
      </c>
      <c r="N170" s="13" t="s">
        <v>18</v>
      </c>
      <c r="O170" s="7">
        <v>1</v>
      </c>
      <c r="P170" s="16" t="s">
        <v>510</v>
      </c>
      <c r="R170" s="3"/>
      <c r="T170" s="7"/>
    </row>
    <row r="171" spans="1:20" x14ac:dyDescent="0.25">
      <c r="A171" s="16" t="str">
        <f t="shared" si="34"/>
        <v>CUSTO DMA -VICENTE MELLO- MARÇO 26</v>
      </c>
      <c r="B171" s="18">
        <v>46082</v>
      </c>
      <c r="C171" s="3">
        <v>817391</v>
      </c>
      <c r="D171" s="3" t="s">
        <v>402</v>
      </c>
      <c r="E171" s="14">
        <f t="shared" si="25"/>
        <v>-19200.223288348541</v>
      </c>
      <c r="F171" s="3" t="s">
        <v>363</v>
      </c>
      <c r="G171" s="18">
        <v>46082</v>
      </c>
      <c r="H171" s="19">
        <v>80026</v>
      </c>
      <c r="I171" s="3" t="str">
        <f>VLOOKUP(H171,'[1]Base de Clientes'!$B:$E,4,0)</f>
        <v>BARCLAYS BANK PLC</v>
      </c>
      <c r="J171" s="5" t="s">
        <v>8</v>
      </c>
      <c r="K171" s="5" t="s">
        <v>82</v>
      </c>
      <c r="L171" s="9">
        <v>19200.223288348541</v>
      </c>
      <c r="M171" s="11" t="s">
        <v>7</v>
      </c>
      <c r="N171" s="13" t="s">
        <v>18</v>
      </c>
      <c r="O171" s="7">
        <v>1</v>
      </c>
      <c r="P171" s="16" t="s">
        <v>511</v>
      </c>
      <c r="R171" s="3"/>
      <c r="T171" s="7"/>
    </row>
    <row r="172" spans="1:20" x14ac:dyDescent="0.25">
      <c r="A172" s="16" t="str">
        <f t="shared" si="34"/>
        <v>CUSTO DMA -ELIAS RAYES- MARÇO 26</v>
      </c>
      <c r="B172" s="18">
        <v>46082</v>
      </c>
      <c r="C172" s="3">
        <v>817391</v>
      </c>
      <c r="D172" s="3" t="s">
        <v>475</v>
      </c>
      <c r="E172" s="14">
        <f t="shared" si="25"/>
        <v>-2026.8546408290811</v>
      </c>
      <c r="F172" s="3" t="s">
        <v>363</v>
      </c>
      <c r="G172" s="18">
        <v>46082</v>
      </c>
      <c r="H172" s="19">
        <v>95005</v>
      </c>
      <c r="I172" s="3" t="str">
        <f>VLOOKUP(H172,'[1]Base de Clientes'!$B:$E,4,0)</f>
        <v>BANCO BNP PARIBAS BRASIL S/A</v>
      </c>
      <c r="J172" s="5" t="s">
        <v>8</v>
      </c>
      <c r="K172" s="5" t="s">
        <v>68</v>
      </c>
      <c r="L172" s="9">
        <v>2026.8546408290811</v>
      </c>
      <c r="M172" s="11" t="s">
        <v>7</v>
      </c>
      <c r="N172" s="13" t="s">
        <v>18</v>
      </c>
      <c r="O172" s="7">
        <v>1</v>
      </c>
      <c r="P172" s="16" t="s">
        <v>512</v>
      </c>
      <c r="R172" s="3"/>
      <c r="T172" s="7"/>
    </row>
    <row r="173" spans="1:20" x14ac:dyDescent="0.25">
      <c r="A173" s="16" t="str">
        <f t="shared" si="34"/>
        <v>CUSTO DMA -ALISSON COSTA ARRAIS- MARÇO 26</v>
      </c>
      <c r="B173" s="18">
        <v>46082</v>
      </c>
      <c r="C173" s="3">
        <v>817391</v>
      </c>
      <c r="D173" s="3" t="s">
        <v>474</v>
      </c>
      <c r="E173" s="14">
        <f t="shared" si="25"/>
        <v>-1413.207007829081</v>
      </c>
      <c r="F173" s="3" t="s">
        <v>363</v>
      </c>
      <c r="G173" s="18">
        <v>46082</v>
      </c>
      <c r="H173" s="19">
        <v>144310</v>
      </c>
      <c r="I173" s="3" t="str">
        <f>VLOOKUP(H173,'[1]Base de Clientes'!$B:$E,4,0)</f>
        <v>BW GESTAO DE INVESTIMENTOS LTDA</v>
      </c>
      <c r="J173" s="5" t="s">
        <v>8</v>
      </c>
      <c r="K173" s="5" t="s">
        <v>63</v>
      </c>
      <c r="L173" s="9">
        <v>1413.207007829081</v>
      </c>
      <c r="M173" s="11" t="s">
        <v>7</v>
      </c>
      <c r="N173" s="13" t="s">
        <v>18</v>
      </c>
      <c r="O173" s="7">
        <v>1</v>
      </c>
      <c r="P173" s="16" t="s">
        <v>513</v>
      </c>
      <c r="R173" s="3"/>
      <c r="T173" s="7"/>
    </row>
    <row r="174" spans="1:20" x14ac:dyDescent="0.25">
      <c r="A174" s="16" t="str">
        <f t="shared" si="34"/>
        <v>CUSTO DMA -FELIPE UNGER- MARÇO 26</v>
      </c>
      <c r="B174" s="18">
        <v>46082</v>
      </c>
      <c r="C174" s="3">
        <v>817391</v>
      </c>
      <c r="D174" s="3" t="s">
        <v>405</v>
      </c>
      <c r="E174" s="14">
        <f t="shared" si="25"/>
        <v>-9815.8548583485372</v>
      </c>
      <c r="F174" s="3" t="s">
        <v>363</v>
      </c>
      <c r="G174" s="18">
        <v>46082</v>
      </c>
      <c r="H174" s="19">
        <v>144310</v>
      </c>
      <c r="I174" s="3" t="str">
        <f>VLOOKUP(H174,'[1]Base de Clientes'!$B:$E,4,0)</f>
        <v>BW GESTAO DE INVESTIMENTOS LTDA</v>
      </c>
      <c r="J174" s="5" t="s">
        <v>8</v>
      </c>
      <c r="K174" s="5" t="s">
        <v>70</v>
      </c>
      <c r="L174" s="9">
        <v>9815.8548583485372</v>
      </c>
      <c r="M174" s="11" t="s">
        <v>7</v>
      </c>
      <c r="N174" s="13" t="s">
        <v>18</v>
      </c>
      <c r="O174" s="7">
        <v>1</v>
      </c>
      <c r="P174" s="16" t="s">
        <v>514</v>
      </c>
      <c r="R174" s="3"/>
      <c r="T174" s="7"/>
    </row>
    <row r="175" spans="1:20" x14ac:dyDescent="0.25">
      <c r="A175" s="16" t="str">
        <f t="shared" si="34"/>
        <v>CUSTO DMA -RUY BALIEIRO- MARÇO 26</v>
      </c>
      <c r="B175" s="18">
        <v>46082</v>
      </c>
      <c r="C175" s="3">
        <v>817391</v>
      </c>
      <c r="D175" s="3" t="s">
        <v>405</v>
      </c>
      <c r="E175" s="14">
        <f t="shared" si="25"/>
        <v>-9815.8548583485372</v>
      </c>
      <c r="F175" s="3" t="s">
        <v>363</v>
      </c>
      <c r="G175" s="18">
        <v>46082</v>
      </c>
      <c r="H175" s="19">
        <v>144310</v>
      </c>
      <c r="I175" s="3" t="str">
        <f>VLOOKUP(H175,'[1]Base de Clientes'!$B:$E,4,0)</f>
        <v>BW GESTAO DE INVESTIMENTOS LTDA</v>
      </c>
      <c r="J175" s="5" t="s">
        <v>8</v>
      </c>
      <c r="K175" s="5" t="s">
        <v>76</v>
      </c>
      <c r="L175" s="9">
        <v>9815.8548583485372</v>
      </c>
      <c r="M175" s="11" t="s">
        <v>7</v>
      </c>
      <c r="N175" s="13" t="s">
        <v>18</v>
      </c>
      <c r="O175" s="7">
        <v>1</v>
      </c>
      <c r="P175" s="16" t="s">
        <v>515</v>
      </c>
      <c r="R175" s="3"/>
      <c r="T175" s="7"/>
    </row>
    <row r="176" spans="1:20" x14ac:dyDescent="0.25">
      <c r="A176" s="16" t="str">
        <f t="shared" si="34"/>
        <v>CUSTO DMA -DANIEL POMPIANI- MARÇO 26</v>
      </c>
      <c r="B176" s="18">
        <v>46082</v>
      </c>
      <c r="C176" s="3">
        <v>817391</v>
      </c>
      <c r="D176" s="3" t="s">
        <v>411</v>
      </c>
      <c r="E176" s="14">
        <f t="shared" si="25"/>
        <v>-1937.315328829081</v>
      </c>
      <c r="F176" s="3" t="s">
        <v>363</v>
      </c>
      <c r="G176" s="18">
        <v>46082</v>
      </c>
      <c r="H176" s="19">
        <v>80005</v>
      </c>
      <c r="I176" s="3" t="str">
        <f>VLOOKUP(H176,'[1]Base de Clientes'!$B:$E,4,0)</f>
        <v>DEUTSCHE BANK S/A</v>
      </c>
      <c r="J176" s="5" t="s">
        <v>8</v>
      </c>
      <c r="K176" s="5" t="s">
        <v>499</v>
      </c>
      <c r="L176" s="9">
        <v>1937.315328829081</v>
      </c>
      <c r="M176" s="11" t="s">
        <v>7</v>
      </c>
      <c r="N176" s="13" t="s">
        <v>18</v>
      </c>
      <c r="O176" s="7">
        <v>1</v>
      </c>
      <c r="P176" s="16" t="s">
        <v>516</v>
      </c>
      <c r="R176" s="3"/>
      <c r="T176" s="7"/>
    </row>
    <row r="177" spans="1:20" x14ac:dyDescent="0.25">
      <c r="A177" s="16" t="str">
        <f t="shared" si="34"/>
        <v>CUSTO DMA -CARLOS MENEZES- MARÇO 26</v>
      </c>
      <c r="B177" s="18">
        <v>46082</v>
      </c>
      <c r="C177" s="3">
        <v>817391</v>
      </c>
      <c r="D177" s="3" t="s">
        <v>400</v>
      </c>
      <c r="E177" s="14">
        <f t="shared" si="25"/>
        <v>-67.991299999999995</v>
      </c>
      <c r="F177" s="3" t="s">
        <v>363</v>
      </c>
      <c r="G177" s="18">
        <v>46082</v>
      </c>
      <c r="H177" s="19">
        <v>79258</v>
      </c>
      <c r="I177" s="3" t="str">
        <f>VLOOKUP(H177,'[1]Base de Clientes'!$B:$E,4,0)</f>
        <v>ITAU UNIBANCO S/A</v>
      </c>
      <c r="J177" s="5" t="s">
        <v>8</v>
      </c>
      <c r="K177" s="5" t="s">
        <v>376</v>
      </c>
      <c r="L177" s="9">
        <v>67.991299999999995</v>
      </c>
      <c r="M177" s="11" t="s">
        <v>7</v>
      </c>
      <c r="N177" s="13" t="s">
        <v>18</v>
      </c>
      <c r="O177" s="7">
        <v>1</v>
      </c>
      <c r="P177" s="16" t="s">
        <v>562</v>
      </c>
      <c r="R177" s="3"/>
      <c r="T177" s="7"/>
    </row>
    <row r="178" spans="1:20" x14ac:dyDescent="0.25">
      <c r="A178" s="16" t="str">
        <f t="shared" si="34"/>
        <v>CUSTO DMA -DANIEL NAMAN CARDOSO- MARÇO 26</v>
      </c>
      <c r="B178" s="18">
        <v>46082</v>
      </c>
      <c r="C178" s="3">
        <v>817391</v>
      </c>
      <c r="D178" s="3" t="s">
        <v>403</v>
      </c>
      <c r="E178" s="14">
        <f t="shared" si="25"/>
        <v>-90.637632999999937</v>
      </c>
      <c r="F178" s="3" t="s">
        <v>363</v>
      </c>
      <c r="G178" s="18">
        <v>46082</v>
      </c>
      <c r="H178" s="19">
        <v>80375</v>
      </c>
      <c r="I178" s="3" t="str">
        <f>VLOOKUP(H178,'[1]Base de Clientes'!$B:$E,4,0)</f>
        <v>ITAU UNIBANCO S/A</v>
      </c>
      <c r="J178" s="5" t="s">
        <v>8</v>
      </c>
      <c r="K178" s="5" t="s">
        <v>67</v>
      </c>
      <c r="L178" s="9">
        <v>90.637632999999937</v>
      </c>
      <c r="M178" s="11" t="s">
        <v>7</v>
      </c>
      <c r="N178" s="13" t="s">
        <v>18</v>
      </c>
      <c r="O178" s="7">
        <v>1</v>
      </c>
      <c r="P178" s="16" t="s">
        <v>518</v>
      </c>
      <c r="R178" s="3"/>
      <c r="T178" s="7"/>
    </row>
    <row r="179" spans="1:20" x14ac:dyDescent="0.25">
      <c r="A179" s="16" t="str">
        <f t="shared" si="34"/>
        <v>CUSTO DMA -SAMUEL SOARES- MARÇO 26</v>
      </c>
      <c r="B179" s="18">
        <v>46082</v>
      </c>
      <c r="C179" s="3">
        <v>817391</v>
      </c>
      <c r="D179" s="3" t="s">
        <v>401</v>
      </c>
      <c r="E179" s="14">
        <f t="shared" si="25"/>
        <v>-10223.802658348541</v>
      </c>
      <c r="F179" s="3" t="s">
        <v>363</v>
      </c>
      <c r="G179" s="18">
        <v>46082</v>
      </c>
      <c r="H179" s="19">
        <v>79806</v>
      </c>
      <c r="I179" s="3" t="str">
        <f>VLOOKUP(H179,'[1]Base de Clientes'!$B:$E,4,0)</f>
        <v>ITAU UNIBANCO S/A</v>
      </c>
      <c r="J179" s="5" t="s">
        <v>8</v>
      </c>
      <c r="K179" s="5" t="s">
        <v>81</v>
      </c>
      <c r="L179" s="9">
        <v>10223.802658348541</v>
      </c>
      <c r="M179" s="11" t="s">
        <v>7</v>
      </c>
      <c r="N179" s="13" t="s">
        <v>18</v>
      </c>
      <c r="O179" s="7">
        <v>1</v>
      </c>
      <c r="P179" s="16" t="s">
        <v>519</v>
      </c>
      <c r="R179" s="3"/>
      <c r="T179" s="7"/>
    </row>
    <row r="180" spans="1:20" x14ac:dyDescent="0.25">
      <c r="A180" s="16" t="str">
        <f t="shared" si="34"/>
        <v>CUSTO DMA -GUILHERME NASCIMENTO- MARÇO 26</v>
      </c>
      <c r="B180" s="18">
        <v>46082</v>
      </c>
      <c r="C180" s="3">
        <v>817391</v>
      </c>
      <c r="D180" s="3" t="s">
        <v>479</v>
      </c>
      <c r="E180" s="14">
        <f t="shared" si="25"/>
        <v>-8979.8078767559455</v>
      </c>
      <c r="F180" s="3" t="s">
        <v>363</v>
      </c>
      <c r="G180" s="18">
        <v>46082</v>
      </c>
      <c r="H180" s="19">
        <v>81771</v>
      </c>
      <c r="I180" s="3" t="str">
        <f>VLOOKUP(H180,'[1]Base de Clientes'!$B:$E,4,0)</f>
        <v>BANCO JP MORGAN S/A</v>
      </c>
      <c r="J180" s="5" t="s">
        <v>8</v>
      </c>
      <c r="K180" s="5" t="s">
        <v>500</v>
      </c>
      <c r="L180" s="9">
        <v>8979.8078767559455</v>
      </c>
      <c r="M180" s="11" t="s">
        <v>7</v>
      </c>
      <c r="N180" s="13" t="s">
        <v>18</v>
      </c>
      <c r="O180" s="7">
        <v>1</v>
      </c>
      <c r="P180" s="16" t="s">
        <v>520</v>
      </c>
      <c r="R180" s="3"/>
      <c r="T180" s="7"/>
    </row>
    <row r="181" spans="1:20" x14ac:dyDescent="0.25">
      <c r="A181" s="16" t="str">
        <f t="shared" si="34"/>
        <v>CUSTO DMA -JOAO BESSA- MARÇO 26</v>
      </c>
      <c r="B181" s="18">
        <v>46082</v>
      </c>
      <c r="C181" s="3">
        <v>817391</v>
      </c>
      <c r="D181" s="3" t="s">
        <v>479</v>
      </c>
      <c r="E181" s="14">
        <f t="shared" si="25"/>
        <v>-8979.8078767559455</v>
      </c>
      <c r="F181" s="3" t="s">
        <v>363</v>
      </c>
      <c r="G181" s="18">
        <v>46082</v>
      </c>
      <c r="H181" s="19">
        <v>81771</v>
      </c>
      <c r="I181" s="3" t="str">
        <f>VLOOKUP(H181,'[1]Base de Clientes'!$B:$E,4,0)</f>
        <v>BANCO JP MORGAN S/A</v>
      </c>
      <c r="J181" s="5" t="s">
        <v>8</v>
      </c>
      <c r="K181" s="5" t="s">
        <v>501</v>
      </c>
      <c r="L181" s="9">
        <v>8979.8078767559455</v>
      </c>
      <c r="M181" s="11" t="s">
        <v>7</v>
      </c>
      <c r="N181" s="13" t="s">
        <v>18</v>
      </c>
      <c r="O181" s="7">
        <v>1</v>
      </c>
      <c r="P181" s="16" t="s">
        <v>521</v>
      </c>
      <c r="R181" s="3"/>
      <c r="T181" s="7"/>
    </row>
    <row r="182" spans="1:20" x14ac:dyDescent="0.25">
      <c r="A182" s="16" t="str">
        <f t="shared" si="34"/>
        <v>CUSTO DMA -TAMARA WAJNBERG- MARÇO 26</v>
      </c>
      <c r="B182" s="18">
        <v>46082</v>
      </c>
      <c r="C182" s="3">
        <v>817391</v>
      </c>
      <c r="D182" s="3" t="s">
        <v>580</v>
      </c>
      <c r="E182" s="14">
        <f t="shared" si="25"/>
        <v>-1246.319104636098</v>
      </c>
      <c r="F182" s="3" t="s">
        <v>363</v>
      </c>
      <c r="G182" s="18">
        <v>46082</v>
      </c>
      <c r="H182" s="19">
        <v>79578</v>
      </c>
      <c r="I182" s="3" t="str">
        <f>VLOOKUP(H182,'[1]Base de Clientes'!$B:$E,4,0)</f>
        <v>BANCO JP MORGAN S/A</v>
      </c>
      <c r="J182" s="5" t="s">
        <v>8</v>
      </c>
      <c r="K182" s="5" t="s">
        <v>502</v>
      </c>
      <c r="L182" s="9">
        <v>1246.319104636098</v>
      </c>
      <c r="M182" s="11" t="s">
        <v>7</v>
      </c>
      <c r="N182" s="13" t="s">
        <v>18</v>
      </c>
      <c r="O182" s="7">
        <v>1</v>
      </c>
      <c r="P182" s="16" t="s">
        <v>522</v>
      </c>
      <c r="R182" s="3"/>
      <c r="T182" s="7"/>
    </row>
    <row r="183" spans="1:20" x14ac:dyDescent="0.25">
      <c r="A183" s="16" t="str">
        <f t="shared" si="34"/>
        <v>CUSTO DMA -FREDERIC BROWN- MARÇO 26</v>
      </c>
      <c r="B183" s="18">
        <v>46082</v>
      </c>
      <c r="C183" s="3">
        <v>817391</v>
      </c>
      <c r="D183" s="3" t="s">
        <v>401</v>
      </c>
      <c r="E183" s="14">
        <f t="shared" si="25"/>
        <v>-2082.3660862286906</v>
      </c>
      <c r="F183" s="3" t="s">
        <v>363</v>
      </c>
      <c r="G183" s="18">
        <v>46082</v>
      </c>
      <c r="H183" s="19">
        <v>80392</v>
      </c>
      <c r="I183" s="3" t="str">
        <f>VLOOKUP(H183,'[1]Base de Clientes'!$B:$E,4,0)</f>
        <v>KAPITALO INVESTIMENTOS LTDA</v>
      </c>
      <c r="J183" s="5" t="s">
        <v>8</v>
      </c>
      <c r="K183" s="5" t="s">
        <v>69</v>
      </c>
      <c r="L183" s="9">
        <v>2082.3660862286906</v>
      </c>
      <c r="M183" s="11" t="s">
        <v>7</v>
      </c>
      <c r="N183" s="13" t="s">
        <v>18</v>
      </c>
      <c r="O183" s="7">
        <v>1</v>
      </c>
      <c r="P183" s="16" t="s">
        <v>523</v>
      </c>
      <c r="R183" s="3"/>
      <c r="T183" s="7"/>
    </row>
    <row r="184" spans="1:20" x14ac:dyDescent="0.25">
      <c r="A184" s="16" t="str">
        <f t="shared" si="34"/>
        <v>CUSTO DMA -JOAO RAMALHO- MARÇO 26</v>
      </c>
      <c r="B184" s="18">
        <v>46082</v>
      </c>
      <c r="C184" s="3">
        <v>817391</v>
      </c>
      <c r="D184" s="3" t="s">
        <v>401</v>
      </c>
      <c r="E184" s="14">
        <f t="shared" si="25"/>
        <v>-10359.78525834854</v>
      </c>
      <c r="F184" s="3" t="s">
        <v>363</v>
      </c>
      <c r="G184" s="18">
        <v>46082</v>
      </c>
      <c r="H184" s="19">
        <v>12413</v>
      </c>
      <c r="I184" s="3" t="str">
        <f>VLOOKUP(H184,'[1]Base de Clientes'!$B:$E,4,0)</f>
        <v>KAPITALO INVESTIMENTOS LTDA</v>
      </c>
      <c r="J184" s="5" t="s">
        <v>8</v>
      </c>
      <c r="K184" s="5" t="s">
        <v>73</v>
      </c>
      <c r="L184" s="9">
        <v>10359.78525834854</v>
      </c>
      <c r="M184" s="11" t="s">
        <v>7</v>
      </c>
      <c r="N184" s="13" t="s">
        <v>18</v>
      </c>
      <c r="O184" s="7">
        <v>1</v>
      </c>
      <c r="P184" s="16" t="s">
        <v>524</v>
      </c>
      <c r="R184" s="3"/>
      <c r="T184" s="7"/>
    </row>
    <row r="185" spans="1:20" x14ac:dyDescent="0.25">
      <c r="A185" s="16" t="str">
        <f t="shared" si="34"/>
        <v>CUSTO DMA -RAFAEL POPPE- MARÇO 26</v>
      </c>
      <c r="B185" s="18">
        <v>46082</v>
      </c>
      <c r="C185" s="3">
        <v>817391</v>
      </c>
      <c r="D185" s="3" t="s">
        <v>401</v>
      </c>
      <c r="E185" s="14">
        <f t="shared" si="25"/>
        <v>-224.89429999999993</v>
      </c>
      <c r="F185" s="3" t="s">
        <v>363</v>
      </c>
      <c r="G185" s="18">
        <v>46082</v>
      </c>
      <c r="H185" s="19">
        <v>81778</v>
      </c>
      <c r="I185" s="3" t="str">
        <f>VLOOKUP(H185,'[1]Base de Clientes'!$B:$E,4,0)</f>
        <v>KAPITALO INVESTIMENTOS LTDA</v>
      </c>
      <c r="J185" s="5" t="s">
        <v>8</v>
      </c>
      <c r="K185" s="5" t="s">
        <v>80</v>
      </c>
      <c r="L185" s="9">
        <v>224.89429999999993</v>
      </c>
      <c r="M185" s="11" t="s">
        <v>7</v>
      </c>
      <c r="N185" s="13" t="s">
        <v>18</v>
      </c>
      <c r="O185" s="7">
        <v>1</v>
      </c>
      <c r="P185" s="16" t="s">
        <v>525</v>
      </c>
      <c r="R185" s="3"/>
      <c r="T185" s="7"/>
    </row>
    <row r="186" spans="1:20" x14ac:dyDescent="0.25">
      <c r="A186" s="16" t="str">
        <f t="shared" si="34"/>
        <v>CUSTO DMA -YURI VERGES- MARÇO 26</v>
      </c>
      <c r="B186" s="18">
        <v>46082</v>
      </c>
      <c r="C186" s="3">
        <v>817391</v>
      </c>
      <c r="D186" s="3" t="s">
        <v>401</v>
      </c>
      <c r="E186" s="14">
        <f t="shared" si="25"/>
        <v>-1981.5096738290811</v>
      </c>
      <c r="F186" s="3" t="s">
        <v>363</v>
      </c>
      <c r="G186" s="18">
        <v>46082</v>
      </c>
      <c r="H186" s="19">
        <v>80492</v>
      </c>
      <c r="I186" s="3" t="str">
        <f>VLOOKUP(H186,'[1]Base de Clientes'!$B:$E,4,0)</f>
        <v>KAPITALO INVESTIMENTOS LTDA</v>
      </c>
      <c r="J186" s="5" t="s">
        <v>8</v>
      </c>
      <c r="K186" s="5" t="s">
        <v>503</v>
      </c>
      <c r="L186" s="9">
        <v>1981.5096738290811</v>
      </c>
      <c r="M186" s="11" t="s">
        <v>7</v>
      </c>
      <c r="N186" s="13" t="s">
        <v>18</v>
      </c>
      <c r="O186" s="7">
        <v>1</v>
      </c>
      <c r="P186" s="16" t="s">
        <v>526</v>
      </c>
      <c r="R186" s="3"/>
      <c r="T186" s="7"/>
    </row>
    <row r="187" spans="1:20" x14ac:dyDescent="0.25">
      <c r="A187" s="16" t="str">
        <f t="shared" si="34"/>
        <v>CUSTO DMA -ALEXANDRE RODRIGUES- MARÇO 26</v>
      </c>
      <c r="B187" s="18">
        <v>46082</v>
      </c>
      <c r="C187" s="3">
        <v>817391</v>
      </c>
      <c r="D187" s="3" t="s">
        <v>410</v>
      </c>
      <c r="E187" s="14">
        <f t="shared" si="25"/>
        <v>-2496.4686330191726</v>
      </c>
      <c r="F187" s="3" t="s">
        <v>363</v>
      </c>
      <c r="G187" s="18">
        <v>46082</v>
      </c>
      <c r="H187" s="19">
        <v>79931</v>
      </c>
      <c r="I187" s="3" t="str">
        <f>VLOOKUP(H187,'[1]Base de Clientes'!$B:$E,4,0)</f>
        <v>SPX GESTAO DE RECURSOS LTDA</v>
      </c>
      <c r="J187" s="5" t="s">
        <v>8</v>
      </c>
      <c r="K187" s="5" t="s">
        <v>65</v>
      </c>
      <c r="L187" s="9">
        <v>4992.9372660383451</v>
      </c>
      <c r="M187" s="11" t="s">
        <v>7</v>
      </c>
      <c r="N187" s="13" t="s">
        <v>18</v>
      </c>
      <c r="O187" s="7">
        <v>0.5</v>
      </c>
      <c r="P187" s="16" t="s">
        <v>527</v>
      </c>
      <c r="R187" s="3"/>
      <c r="T187" s="7"/>
    </row>
    <row r="188" spans="1:20" x14ac:dyDescent="0.25">
      <c r="A188" s="16" t="str">
        <f t="shared" ref="A188" si="35">CONCATENATE(J188,M188,K188,M188,N188)</f>
        <v>CUSTO DMA -ALEXANDRE RODRIGUES- MARÇO 26</v>
      </c>
      <c r="B188" s="18">
        <v>46082</v>
      </c>
      <c r="C188" s="3">
        <v>817391</v>
      </c>
      <c r="D188" s="3" t="s">
        <v>400</v>
      </c>
      <c r="E188" s="14">
        <f t="shared" ref="E188" si="36">-L188*O188</f>
        <v>-2496.4686330191726</v>
      </c>
      <c r="F188" s="3" t="s">
        <v>363</v>
      </c>
      <c r="G188" s="18">
        <v>46082</v>
      </c>
      <c r="H188" s="19">
        <v>79931</v>
      </c>
      <c r="I188" s="3" t="str">
        <f>VLOOKUP(H188,'[1]Base de Clientes'!$B:$E,4,0)</f>
        <v>SPX GESTAO DE RECURSOS LTDA</v>
      </c>
      <c r="J188" s="5" t="s">
        <v>8</v>
      </c>
      <c r="K188" s="5" t="s">
        <v>65</v>
      </c>
      <c r="L188" s="9">
        <v>4992.9372660383451</v>
      </c>
      <c r="M188" s="11" t="s">
        <v>7</v>
      </c>
      <c r="N188" s="13" t="s">
        <v>18</v>
      </c>
      <c r="O188" s="7">
        <v>0.5</v>
      </c>
      <c r="P188" s="16" t="s">
        <v>527</v>
      </c>
      <c r="R188" s="3"/>
      <c r="T188" s="7"/>
    </row>
    <row r="189" spans="1:20" x14ac:dyDescent="0.25">
      <c r="A189" s="16" t="str">
        <f t="shared" si="34"/>
        <v>CUSTO DMA -LUIZ BASQUEIRA- MARÇO 26</v>
      </c>
      <c r="B189" s="18">
        <v>46082</v>
      </c>
      <c r="C189" s="3">
        <v>817391</v>
      </c>
      <c r="D189" s="3" t="s">
        <v>402</v>
      </c>
      <c r="E189" s="14">
        <f t="shared" si="25"/>
        <v>-4748.9939611945947</v>
      </c>
      <c r="F189" s="3" t="s">
        <v>363</v>
      </c>
      <c r="G189" s="18">
        <v>46082</v>
      </c>
      <c r="H189" s="19">
        <v>79931</v>
      </c>
      <c r="I189" s="3" t="str">
        <f>VLOOKUP(H189,'[1]Base de Clientes'!$B:$E,4,0)</f>
        <v>SPX GESTAO DE RECURSOS LTDA</v>
      </c>
      <c r="J189" s="5" t="s">
        <v>8</v>
      </c>
      <c r="K189" s="5" t="s">
        <v>74</v>
      </c>
      <c r="L189" s="9">
        <v>4748.9939611945947</v>
      </c>
      <c r="M189" s="11" t="s">
        <v>7</v>
      </c>
      <c r="N189" s="13" t="s">
        <v>18</v>
      </c>
      <c r="O189" s="7">
        <v>1</v>
      </c>
      <c r="P189" s="16" t="s">
        <v>528</v>
      </c>
      <c r="R189" s="3"/>
      <c r="T189" s="7"/>
    </row>
  </sheetData>
  <autoFilter ref="A1:P189" xr:uid="{0ECC02B7-9E07-45EE-879F-B936EE5A0F96}"/>
  <conditionalFormatting sqref="A2:A189">
    <cfRule type="duplicateValues" dxfId="3" priority="53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0BAEB-610A-42F9-8AEA-E05C5EDA2659}">
  <sheetPr codeName="Sheet4" filterMode="1"/>
  <dimension ref="A1:T192"/>
  <sheetViews>
    <sheetView workbookViewId="0">
      <pane ySplit="1" topLeftCell="A120" activePane="bottomLeft" state="frozen"/>
      <selection pane="bottomLeft" activeCell="F182" sqref="F182"/>
    </sheetView>
  </sheetViews>
  <sheetFormatPr defaultRowHeight="11.25" x14ac:dyDescent="0.25"/>
  <cols>
    <col min="1" max="1" width="37.5703125" style="3" customWidth="1"/>
    <col min="2" max="2" width="10.5703125" style="3" customWidth="1"/>
    <col min="3" max="3" width="10.7109375" style="3" bestFit="1" customWidth="1"/>
    <col min="4" max="4" width="30.140625" style="3" customWidth="1"/>
    <col min="5" max="5" width="15.42578125" style="14" customWidth="1"/>
    <col min="6" max="6" width="12.7109375" style="3" customWidth="1"/>
    <col min="7" max="7" width="11" style="3" customWidth="1"/>
    <col min="8" max="8" width="12.28515625" style="3" customWidth="1"/>
    <col min="9" max="9" width="2.7109375" style="3" customWidth="1"/>
    <col min="10" max="10" width="9.140625" style="3" customWidth="1"/>
    <col min="11" max="11" width="28.5703125" style="3" bestFit="1" customWidth="1"/>
    <col min="12" max="12" width="13.85546875" style="4" customWidth="1"/>
    <col min="13" max="13" width="9.140625" style="12" customWidth="1"/>
    <col min="14" max="14" width="10.85546875" style="3" customWidth="1"/>
    <col min="15" max="15" width="9.140625" style="8"/>
    <col min="16" max="16" width="30.7109375" style="14" customWidth="1"/>
    <col min="17" max="17" width="27.5703125" style="3" customWidth="1"/>
    <col min="18" max="18" width="12.28515625" style="4" bestFit="1" customWidth="1"/>
    <col min="19" max="20" width="9.140625" style="3" customWidth="1"/>
    <col min="21" max="16384" width="9.140625" style="3"/>
  </cols>
  <sheetData>
    <row r="1" spans="1:20" x14ac:dyDescent="0.25">
      <c r="A1" s="2" t="s">
        <v>1</v>
      </c>
      <c r="B1" s="1" t="s">
        <v>2</v>
      </c>
      <c r="C1" s="2" t="s">
        <v>6</v>
      </c>
      <c r="D1" s="22" t="s">
        <v>0</v>
      </c>
      <c r="E1" s="15" t="s">
        <v>3</v>
      </c>
      <c r="F1" s="17" t="s">
        <v>4</v>
      </c>
      <c r="G1" s="1" t="s">
        <v>5</v>
      </c>
      <c r="H1" s="22" t="s">
        <v>14</v>
      </c>
      <c r="I1" s="3" t="s">
        <v>7</v>
      </c>
      <c r="J1" s="6" t="s">
        <v>9</v>
      </c>
      <c r="K1" s="21" t="s">
        <v>10</v>
      </c>
      <c r="L1" s="20" t="s">
        <v>3</v>
      </c>
      <c r="M1" s="10" t="s">
        <v>11</v>
      </c>
      <c r="N1" s="6" t="s">
        <v>12</v>
      </c>
      <c r="O1" s="23" t="s">
        <v>13</v>
      </c>
      <c r="P1" s="20" t="s">
        <v>530</v>
      </c>
      <c r="R1" s="2" t="s">
        <v>0</v>
      </c>
      <c r="S1" s="2" t="s">
        <v>14</v>
      </c>
      <c r="T1" s="7" t="s">
        <v>13</v>
      </c>
    </row>
    <row r="2" spans="1:20" hidden="1" x14ac:dyDescent="0.25">
      <c r="A2" s="16" t="str">
        <f t="shared" ref="A2:A123" si="0">CONCATENATE(J2,M2,K2,M2,N2)</f>
        <v>CUSTO DMA -ALEXANDRE PALMAS- ABRIL 26</v>
      </c>
      <c r="B2" s="18">
        <v>46113</v>
      </c>
      <c r="C2" s="3">
        <v>817391</v>
      </c>
      <c r="D2" s="3" t="s">
        <v>487</v>
      </c>
      <c r="E2" s="14">
        <f t="shared" ref="E2:E78" si="1">-L2*O2</f>
        <v>-857.57614512040902</v>
      </c>
      <c r="F2" s="3" t="s">
        <v>366</v>
      </c>
      <c r="G2" s="18">
        <v>46113</v>
      </c>
      <c r="H2" s="19">
        <v>80667</v>
      </c>
      <c r="I2" s="3" t="str">
        <f>VLOOKUP(H2,'[1]Base de Clientes'!$B:$E,4,0)</f>
        <v>ACE CAPITAL GESTORA DE RECURSOS LTDA</v>
      </c>
      <c r="J2" s="5" t="s">
        <v>8</v>
      </c>
      <c r="K2" s="5" t="s">
        <v>125</v>
      </c>
      <c r="L2" s="9">
        <v>857.57614512040902</v>
      </c>
      <c r="M2" s="11" t="s">
        <v>7</v>
      </c>
      <c r="N2" s="13" t="s">
        <v>451</v>
      </c>
      <c r="O2" s="7">
        <v>1</v>
      </c>
      <c r="P2" s="16" t="s">
        <v>294</v>
      </c>
      <c r="R2" s="3"/>
      <c r="T2" s="7"/>
    </row>
    <row r="3" spans="1:20" hidden="1" x14ac:dyDescent="0.25">
      <c r="A3" s="16" t="str">
        <f t="shared" si="0"/>
        <v>CUSTO DMA -DANIEL TATSUMI- ABRIL 26</v>
      </c>
      <c r="B3" s="18">
        <v>46113</v>
      </c>
      <c r="C3" s="3">
        <v>817391</v>
      </c>
      <c r="D3" s="3" t="s">
        <v>487</v>
      </c>
      <c r="E3" s="14">
        <f t="shared" si="1"/>
        <v>-960.27614512040896</v>
      </c>
      <c r="F3" s="3" t="s">
        <v>366</v>
      </c>
      <c r="G3" s="18">
        <v>46113</v>
      </c>
      <c r="H3" s="19">
        <v>80667</v>
      </c>
      <c r="I3" s="3" t="str">
        <f>VLOOKUP(H3,'[1]Base de Clientes'!$B:$E,4,0)</f>
        <v>ACE CAPITAL GESTORA DE RECURSOS LTDA</v>
      </c>
      <c r="J3" s="5" t="s">
        <v>8</v>
      </c>
      <c r="K3" s="5" t="s">
        <v>133</v>
      </c>
      <c r="L3" s="9">
        <v>960.27614512040896</v>
      </c>
      <c r="M3" s="11" t="s">
        <v>7</v>
      </c>
      <c r="N3" s="13" t="s">
        <v>451</v>
      </c>
      <c r="O3" s="7">
        <v>1</v>
      </c>
      <c r="P3" s="16" t="s">
        <v>302</v>
      </c>
      <c r="R3" s="3"/>
      <c r="T3" s="7"/>
    </row>
    <row r="4" spans="1:20" hidden="1" x14ac:dyDescent="0.25">
      <c r="A4" s="16" t="str">
        <f t="shared" ref="A4" si="2">CONCATENATE(J4,M4,K4,M4,N4)</f>
        <v>CUSTO DMA -FABRICIO TASCHETTO- ABRIL 26</v>
      </c>
      <c r="B4" s="18">
        <v>46113</v>
      </c>
      <c r="C4" s="3">
        <v>817391</v>
      </c>
      <c r="D4" s="3" t="s">
        <v>487</v>
      </c>
      <c r="E4" s="14">
        <f t="shared" si="1"/>
        <v>-3298.9744931204086</v>
      </c>
      <c r="F4" s="3" t="s">
        <v>366</v>
      </c>
      <c r="G4" s="18">
        <v>46113</v>
      </c>
      <c r="H4" s="19">
        <v>80667</v>
      </c>
      <c r="I4" s="3" t="str">
        <f>VLOOKUP(H4,'[1]Base de Clientes'!$B:$E,4,0)</f>
        <v>ACE CAPITAL GESTORA DE RECURSOS LTDA</v>
      </c>
      <c r="J4" s="5" t="s">
        <v>8</v>
      </c>
      <c r="K4" s="5" t="s">
        <v>141</v>
      </c>
      <c r="L4" s="9">
        <v>3298.9744931204086</v>
      </c>
      <c r="M4" s="11" t="s">
        <v>7</v>
      </c>
      <c r="N4" s="13" t="s">
        <v>451</v>
      </c>
      <c r="O4" s="7">
        <v>1</v>
      </c>
      <c r="P4" s="16" t="s">
        <v>310</v>
      </c>
      <c r="R4" s="3"/>
      <c r="T4" s="7"/>
    </row>
    <row r="5" spans="1:20" hidden="1" x14ac:dyDescent="0.25">
      <c r="A5" s="16" t="str">
        <f t="shared" si="0"/>
        <v>CUSTO DMA -MAIKO CARVALHO BARRETO- ABRIL 26</v>
      </c>
      <c r="B5" s="18">
        <v>46113</v>
      </c>
      <c r="C5" s="3">
        <v>817391</v>
      </c>
      <c r="D5" s="3" t="s">
        <v>487</v>
      </c>
      <c r="E5" s="14">
        <f t="shared" si="1"/>
        <v>-140.27614512040901</v>
      </c>
      <c r="F5" s="3" t="s">
        <v>366</v>
      </c>
      <c r="G5" s="18">
        <v>46113</v>
      </c>
      <c r="H5" s="19">
        <v>81031</v>
      </c>
      <c r="I5" s="3" t="str">
        <f>VLOOKUP(H5,'[1]Base de Clientes'!$B:$E,4,0)</f>
        <v>ACE CAPITAL GESTORA DE RECURSOS LTDA</v>
      </c>
      <c r="J5" s="5" t="s">
        <v>8</v>
      </c>
      <c r="K5" s="5" t="s">
        <v>156</v>
      </c>
      <c r="L5" s="9">
        <v>140.27614512040901</v>
      </c>
      <c r="M5" s="11" t="s">
        <v>7</v>
      </c>
      <c r="N5" s="13" t="s">
        <v>451</v>
      </c>
      <c r="O5" s="7">
        <v>1</v>
      </c>
      <c r="P5" s="16" t="s">
        <v>563</v>
      </c>
      <c r="R5" s="3"/>
      <c r="T5" s="7"/>
    </row>
    <row r="6" spans="1:20" hidden="1" x14ac:dyDescent="0.2">
      <c r="A6" s="16" t="str">
        <f t="shared" si="0"/>
        <v>CUSTO DMA -MATEUS SCHMIDT MATTOS LOPES PEREIRA- ABRIL 26</v>
      </c>
      <c r="B6" s="18">
        <v>46113</v>
      </c>
      <c r="C6" s="3">
        <v>817391</v>
      </c>
      <c r="D6" s="3" t="s">
        <v>487</v>
      </c>
      <c r="E6" s="14">
        <f t="shared" si="1"/>
        <v>-140.27614512040901</v>
      </c>
      <c r="F6" s="3" t="s">
        <v>366</v>
      </c>
      <c r="G6" s="18">
        <v>46113</v>
      </c>
      <c r="H6" s="26">
        <v>80667</v>
      </c>
      <c r="I6" s="3" t="str">
        <f>VLOOKUP(H6,'[1]Base de Clientes'!$B:$E,4,0)</f>
        <v>ACE CAPITAL GESTORA DE RECURSOS LTDA</v>
      </c>
      <c r="J6" s="5" t="s">
        <v>8</v>
      </c>
      <c r="K6" s="5" t="s">
        <v>378</v>
      </c>
      <c r="L6" s="9">
        <v>140.27614512040901</v>
      </c>
      <c r="M6" s="11" t="s">
        <v>7</v>
      </c>
      <c r="N6" s="13" t="s">
        <v>451</v>
      </c>
      <c r="O6" s="7">
        <v>1</v>
      </c>
      <c r="P6" s="16" t="s">
        <v>564</v>
      </c>
      <c r="R6" s="3"/>
      <c r="T6" s="7"/>
    </row>
    <row r="7" spans="1:20" hidden="1" x14ac:dyDescent="0.25">
      <c r="A7" s="16" t="str">
        <f t="shared" si="0"/>
        <v>CUSTO DMA -PEDRO NUNES- ABRIL 26</v>
      </c>
      <c r="B7" s="18">
        <v>46113</v>
      </c>
      <c r="C7" s="3">
        <v>817391</v>
      </c>
      <c r="D7" s="3" t="s">
        <v>487</v>
      </c>
      <c r="E7" s="14">
        <f t="shared" si="1"/>
        <v>-4016.4661084497448</v>
      </c>
      <c r="F7" s="3" t="s">
        <v>366</v>
      </c>
      <c r="G7" s="18">
        <v>46113</v>
      </c>
      <c r="H7" s="19">
        <v>80667</v>
      </c>
      <c r="I7" s="3" t="str">
        <f>VLOOKUP(H7,'[1]Base de Clientes'!$B:$E,4,0)</f>
        <v>ACE CAPITAL GESTORA DE RECURSOS LTDA</v>
      </c>
      <c r="J7" s="5" t="s">
        <v>8</v>
      </c>
      <c r="K7" s="5" t="s">
        <v>161</v>
      </c>
      <c r="L7" s="9">
        <v>4016.4661084497448</v>
      </c>
      <c r="M7" s="11" t="s">
        <v>7</v>
      </c>
      <c r="N7" s="13" t="s">
        <v>451</v>
      </c>
      <c r="O7" s="7">
        <v>1</v>
      </c>
      <c r="P7" s="16" t="s">
        <v>331</v>
      </c>
      <c r="R7" s="3"/>
      <c r="T7" s="7"/>
    </row>
    <row r="8" spans="1:20" hidden="1" x14ac:dyDescent="0.2">
      <c r="A8" s="16" t="str">
        <f t="shared" si="0"/>
        <v>CUSTO DMA -RICARDO CATTARUZZI- ABRIL 26</v>
      </c>
      <c r="B8" s="18">
        <v>46113</v>
      </c>
      <c r="C8" s="3">
        <v>817391</v>
      </c>
      <c r="D8" s="24" t="s">
        <v>404</v>
      </c>
      <c r="E8" s="14">
        <f t="shared" si="1"/>
        <v>-70.138072560204506</v>
      </c>
      <c r="F8" s="3" t="s">
        <v>366</v>
      </c>
      <c r="G8" s="18">
        <v>46113</v>
      </c>
      <c r="H8" s="26">
        <v>80667</v>
      </c>
      <c r="I8" s="3" t="str">
        <f>VLOOKUP(H8,'[1]Base de Clientes'!$B:$E,4,0)</f>
        <v>ACE CAPITAL GESTORA DE RECURSOS LTDA</v>
      </c>
      <c r="J8" s="5" t="s">
        <v>8</v>
      </c>
      <c r="K8" s="5" t="s">
        <v>163</v>
      </c>
      <c r="L8" s="9">
        <v>140.27614512040901</v>
      </c>
      <c r="M8" s="11" t="s">
        <v>7</v>
      </c>
      <c r="N8" s="13" t="s">
        <v>451</v>
      </c>
      <c r="O8" s="7">
        <v>0.5</v>
      </c>
      <c r="P8" s="16" t="s">
        <v>565</v>
      </c>
      <c r="R8" s="3"/>
      <c r="T8" s="7"/>
    </row>
    <row r="9" spans="1:20" hidden="1" x14ac:dyDescent="0.2">
      <c r="A9" s="16" t="str">
        <f t="shared" ref="A9" si="3">CONCATENATE(J9,M9,K9,M9,N9)</f>
        <v>CUSTO DMA -RICARDO CATTARUZZI- ABRIL 26</v>
      </c>
      <c r="B9" s="18">
        <v>46113</v>
      </c>
      <c r="C9" s="3">
        <v>817391</v>
      </c>
      <c r="D9" s="24" t="s">
        <v>474</v>
      </c>
      <c r="E9" s="14">
        <f t="shared" ref="E9" si="4">-L9*O9</f>
        <v>-70.138072560204506</v>
      </c>
      <c r="F9" s="3" t="s">
        <v>366</v>
      </c>
      <c r="G9" s="18">
        <v>46113</v>
      </c>
      <c r="H9" s="26">
        <v>80667</v>
      </c>
      <c r="I9" s="3" t="str">
        <f>VLOOKUP(H9,'[1]Base de Clientes'!$B:$E,4,0)</f>
        <v>ACE CAPITAL GESTORA DE RECURSOS LTDA</v>
      </c>
      <c r="J9" s="5" t="s">
        <v>8</v>
      </c>
      <c r="K9" s="5" t="s">
        <v>163</v>
      </c>
      <c r="L9" s="9">
        <v>140.27614512040901</v>
      </c>
      <c r="M9" s="11" t="s">
        <v>7</v>
      </c>
      <c r="N9" s="13" t="s">
        <v>451</v>
      </c>
      <c r="O9" s="7">
        <v>0.5</v>
      </c>
      <c r="P9" s="16" t="s">
        <v>565</v>
      </c>
      <c r="R9" s="3"/>
      <c r="T9" s="7"/>
    </row>
    <row r="10" spans="1:20" hidden="1" x14ac:dyDescent="0.25">
      <c r="A10" s="16" t="str">
        <f t="shared" si="0"/>
        <v>CUSTO DMA -RODRIGO COELHO NETTO GAZE- ABRIL 26</v>
      </c>
      <c r="B10" s="18">
        <v>46113</v>
      </c>
      <c r="C10" s="3">
        <v>817391</v>
      </c>
      <c r="D10" s="3" t="s">
        <v>487</v>
      </c>
      <c r="E10" s="14">
        <f t="shared" si="1"/>
        <v>-140.27614512040901</v>
      </c>
      <c r="F10" s="3" t="s">
        <v>366</v>
      </c>
      <c r="G10" s="18">
        <v>46113</v>
      </c>
      <c r="H10" s="19">
        <v>80667</v>
      </c>
      <c r="I10" s="3" t="str">
        <f>VLOOKUP(H10,'[1]Base de Clientes'!$B:$E,4,0)</f>
        <v>ACE CAPITAL GESTORA DE RECURSOS LTDA</v>
      </c>
      <c r="J10" s="5" t="s">
        <v>8</v>
      </c>
      <c r="K10" s="5" t="s">
        <v>164</v>
      </c>
      <c r="L10" s="9">
        <v>140.27614512040901</v>
      </c>
      <c r="M10" s="11" t="s">
        <v>7</v>
      </c>
      <c r="N10" s="13" t="s">
        <v>451</v>
      </c>
      <c r="O10" s="7">
        <v>1</v>
      </c>
      <c r="P10" s="16" t="s">
        <v>566</v>
      </c>
      <c r="R10" s="3"/>
      <c r="T10" s="7"/>
    </row>
    <row r="11" spans="1:20" hidden="1" x14ac:dyDescent="0.25">
      <c r="A11" s="16" t="str">
        <f t="shared" si="0"/>
        <v>CUSTO DMA -TALES FREIRE- ABRIL 26</v>
      </c>
      <c r="B11" s="18">
        <v>46113</v>
      </c>
      <c r="C11" s="3">
        <v>817391</v>
      </c>
      <c r="D11" s="3" t="s">
        <v>487</v>
      </c>
      <c r="E11" s="14">
        <f t="shared" si="1"/>
        <v>-365.60683512040902</v>
      </c>
      <c r="F11" s="3" t="s">
        <v>366</v>
      </c>
      <c r="G11" s="18">
        <v>46113</v>
      </c>
      <c r="H11" s="19">
        <v>80667</v>
      </c>
      <c r="I11" s="3" t="str">
        <f>VLOOKUP(H11,'[1]Base de Clientes'!$B:$E,4,0)</f>
        <v>ACE CAPITAL GESTORA DE RECURSOS LTDA</v>
      </c>
      <c r="J11" s="5" t="s">
        <v>8</v>
      </c>
      <c r="K11" s="5" t="s">
        <v>174</v>
      </c>
      <c r="L11" s="9">
        <v>365.60683512040902</v>
      </c>
      <c r="M11" s="11" t="s">
        <v>7</v>
      </c>
      <c r="N11" s="13" t="s">
        <v>451</v>
      </c>
      <c r="O11" s="7">
        <v>1</v>
      </c>
      <c r="P11" s="16" t="s">
        <v>346</v>
      </c>
      <c r="R11" s="3"/>
      <c r="T11" s="7"/>
    </row>
    <row r="12" spans="1:20" hidden="1" x14ac:dyDescent="0.25">
      <c r="A12" s="16" t="str">
        <f t="shared" si="0"/>
        <v>CUSTO DMA -THOMAZ FURUKAWA- ABRIL 26</v>
      </c>
      <c r="B12" s="18">
        <v>46113</v>
      </c>
      <c r="C12" s="3">
        <v>817391</v>
      </c>
      <c r="D12" s="3" t="s">
        <v>487</v>
      </c>
      <c r="E12" s="14">
        <f t="shared" si="1"/>
        <v>-414.56082112040906</v>
      </c>
      <c r="F12" s="3" t="s">
        <v>366</v>
      </c>
      <c r="G12" s="18">
        <v>46113</v>
      </c>
      <c r="H12" s="19">
        <v>80667</v>
      </c>
      <c r="I12" s="3" t="str">
        <f>VLOOKUP(H12,'[1]Base de Clientes'!$B:$E,4,0)</f>
        <v>ACE CAPITAL GESTORA DE RECURSOS LTDA</v>
      </c>
      <c r="J12" s="5" t="s">
        <v>8</v>
      </c>
      <c r="K12" s="5" t="s">
        <v>379</v>
      </c>
      <c r="L12" s="9">
        <v>414.56082112040906</v>
      </c>
      <c r="M12" s="11" t="s">
        <v>7</v>
      </c>
      <c r="N12" s="13" t="s">
        <v>451</v>
      </c>
      <c r="O12" s="7">
        <v>1</v>
      </c>
      <c r="P12" s="16" t="s">
        <v>394</v>
      </c>
      <c r="R12" s="3"/>
      <c r="T12" s="7"/>
    </row>
    <row r="13" spans="1:20" hidden="1" x14ac:dyDescent="0.25">
      <c r="A13" s="16" t="str">
        <f t="shared" si="0"/>
        <v>CUSTO DMA -THIAGO KADOBAYASHI- ABRIL 26</v>
      </c>
      <c r="B13" s="18">
        <v>46113</v>
      </c>
      <c r="C13" s="3">
        <v>817391</v>
      </c>
      <c r="D13" s="3" t="s">
        <v>487</v>
      </c>
      <c r="E13" s="14">
        <f t="shared" si="1"/>
        <v>-140.27614512040901</v>
      </c>
      <c r="F13" s="3" t="s">
        <v>366</v>
      </c>
      <c r="G13" s="18">
        <v>46113</v>
      </c>
      <c r="H13" s="19">
        <v>80667</v>
      </c>
      <c r="I13" s="3" t="str">
        <f>VLOOKUP(H13,'[1]Base de Clientes'!$B:$E,4,0)</f>
        <v>ACE CAPITAL GESTORA DE RECURSOS LTDA</v>
      </c>
      <c r="J13" s="5" t="s">
        <v>8</v>
      </c>
      <c r="K13" s="5" t="s">
        <v>380</v>
      </c>
      <c r="L13" s="9">
        <v>140.27614512040901</v>
      </c>
      <c r="M13" s="11" t="s">
        <v>7</v>
      </c>
      <c r="N13" s="13" t="s">
        <v>451</v>
      </c>
      <c r="O13" s="7">
        <v>1</v>
      </c>
      <c r="P13" s="16" t="s">
        <v>533</v>
      </c>
      <c r="R13" s="3"/>
      <c r="T13" s="7"/>
    </row>
    <row r="14" spans="1:20" hidden="1" x14ac:dyDescent="0.25">
      <c r="A14" s="16" t="str">
        <f t="shared" ref="A14" si="5">CONCATENATE(J14,M14,K14,M14,N14)</f>
        <v>CUSTO DMA -VICTOR VELOSO- ABRIL 26</v>
      </c>
      <c r="B14" s="18">
        <v>46113</v>
      </c>
      <c r="C14" s="3">
        <v>817391</v>
      </c>
      <c r="D14" s="3" t="s">
        <v>487</v>
      </c>
      <c r="E14" s="14">
        <f t="shared" si="1"/>
        <v>-140.27614512040901</v>
      </c>
      <c r="F14" s="3" t="s">
        <v>366</v>
      </c>
      <c r="G14" s="18">
        <v>46113</v>
      </c>
      <c r="H14" s="19">
        <v>81031</v>
      </c>
      <c r="I14" s="3" t="str">
        <f>VLOOKUP(H14,'[1]Base de Clientes'!$B:$E,4,0)</f>
        <v>ACE CAPITAL GESTORA DE RECURSOS LTDA</v>
      </c>
      <c r="J14" s="5" t="s">
        <v>8</v>
      </c>
      <c r="K14" s="5" t="s">
        <v>183</v>
      </c>
      <c r="L14" s="9">
        <v>140.27614512040901</v>
      </c>
      <c r="M14" s="11" t="s">
        <v>7</v>
      </c>
      <c r="N14" s="13" t="s">
        <v>451</v>
      </c>
      <c r="O14" s="7">
        <v>1</v>
      </c>
      <c r="P14" s="16" t="s">
        <v>534</v>
      </c>
      <c r="R14" s="3"/>
      <c r="T14" s="7"/>
    </row>
    <row r="15" spans="1:20" hidden="1" x14ac:dyDescent="0.25">
      <c r="A15" s="16" t="str">
        <f t="shared" si="0"/>
        <v>CUSTO DMA. -ANDRE PINHEIRO- ABRIL 26</v>
      </c>
      <c r="B15" s="18">
        <v>46113</v>
      </c>
      <c r="C15" s="3">
        <v>817391</v>
      </c>
      <c r="D15" s="3" t="s">
        <v>401</v>
      </c>
      <c r="E15" s="14">
        <f t="shared" si="1"/>
        <v>-1337.4274651204089</v>
      </c>
      <c r="F15" s="3" t="s">
        <v>366</v>
      </c>
      <c r="G15" s="18">
        <v>46113</v>
      </c>
      <c r="H15" s="19">
        <v>79354</v>
      </c>
      <c r="I15" s="3" t="str">
        <f>VLOOKUP(H15,'[1]Base de Clientes'!$B:$E,4,0)</f>
        <v>BANCO BTG PACTUAL S/A</v>
      </c>
      <c r="J15" s="5" t="s">
        <v>15</v>
      </c>
      <c r="K15" s="5" t="s">
        <v>126</v>
      </c>
      <c r="L15" s="9">
        <v>1337.4274651204089</v>
      </c>
      <c r="M15" s="11" t="s">
        <v>7</v>
      </c>
      <c r="N15" s="13" t="s">
        <v>451</v>
      </c>
      <c r="O15" s="7">
        <v>1</v>
      </c>
      <c r="P15" s="16" t="s">
        <v>295</v>
      </c>
      <c r="R15" s="3"/>
      <c r="T15" s="7"/>
    </row>
    <row r="16" spans="1:20" hidden="1" x14ac:dyDescent="0.25">
      <c r="A16" s="16" t="str">
        <f t="shared" ref="A16" si="6">CONCATENATE(J16,M16,K16,M16,N16)</f>
        <v>CUSTO DMA -JOAO L F BENADUCCI- ABRIL 26</v>
      </c>
      <c r="B16" s="18">
        <v>46113</v>
      </c>
      <c r="C16" s="3">
        <v>817391</v>
      </c>
      <c r="D16" s="3" t="s">
        <v>401</v>
      </c>
      <c r="E16" s="14">
        <f t="shared" si="1"/>
        <v>-140.27614512040901</v>
      </c>
      <c r="F16" s="3" t="s">
        <v>366</v>
      </c>
      <c r="G16" s="18">
        <v>46113</v>
      </c>
      <c r="H16" s="19">
        <v>79354</v>
      </c>
      <c r="I16" s="3" t="str">
        <f>VLOOKUP(H16,'[1]Base de Clientes'!$B:$E,4,0)</f>
        <v>BANCO BTG PACTUAL S/A</v>
      </c>
      <c r="J16" s="5" t="s">
        <v>8</v>
      </c>
      <c r="K16" s="5" t="s">
        <v>146</v>
      </c>
      <c r="L16" s="9">
        <v>140.27614512040901</v>
      </c>
      <c r="M16" s="11" t="s">
        <v>7</v>
      </c>
      <c r="N16" s="13" t="s">
        <v>451</v>
      </c>
      <c r="O16" s="7">
        <v>1</v>
      </c>
      <c r="P16" s="16" t="s">
        <v>536</v>
      </c>
      <c r="R16" s="3"/>
      <c r="T16" s="7"/>
    </row>
    <row r="17" spans="1:20" hidden="1" x14ac:dyDescent="0.25">
      <c r="A17" s="16" t="str">
        <f t="shared" si="0"/>
        <v>CUSTO DMA -ENRICO ZEITUNE PASCUCCI- ABRIL 26</v>
      </c>
      <c r="B17" s="18">
        <v>46113</v>
      </c>
      <c r="C17" s="3">
        <v>817391</v>
      </c>
      <c r="D17" s="3" t="s">
        <v>401</v>
      </c>
      <c r="E17" s="14">
        <f t="shared" si="1"/>
        <v>-140.27614512040901</v>
      </c>
      <c r="F17" s="3" t="s">
        <v>366</v>
      </c>
      <c r="G17" s="18">
        <v>46113</v>
      </c>
      <c r="H17" s="19">
        <v>80516</v>
      </c>
      <c r="I17" s="3" t="str">
        <f>VLOOKUP(H17,'[1]Base de Clientes'!$B:$E,4,0)</f>
        <v>BANCO J SAFRA S/A</v>
      </c>
      <c r="J17" s="5" t="s">
        <v>8</v>
      </c>
      <c r="K17" s="5" t="s">
        <v>139</v>
      </c>
      <c r="L17" s="9">
        <v>140.27614512040901</v>
      </c>
      <c r="M17" s="11" t="s">
        <v>7</v>
      </c>
      <c r="N17" s="13" t="s">
        <v>451</v>
      </c>
      <c r="O17" s="7">
        <v>1</v>
      </c>
      <c r="P17" s="16" t="s">
        <v>537</v>
      </c>
      <c r="R17" s="3"/>
      <c r="T17" s="7"/>
    </row>
    <row r="18" spans="1:20" hidden="1" x14ac:dyDescent="0.25">
      <c r="A18" s="16" t="str">
        <f t="shared" ref="A18" si="7">CONCATENATE(J18,M18,K18,M18,N18)</f>
        <v>CUSTO DMA -BRUNO FORESTI- ABRIL 26</v>
      </c>
      <c r="B18" s="18">
        <v>46113</v>
      </c>
      <c r="C18" s="3">
        <v>817391</v>
      </c>
      <c r="D18" s="3" t="s">
        <v>487</v>
      </c>
      <c r="E18" s="14">
        <f t="shared" si="1"/>
        <v>-142.27614512040907</v>
      </c>
      <c r="F18" s="3" t="s">
        <v>366</v>
      </c>
      <c r="G18" s="18">
        <v>46113</v>
      </c>
      <c r="H18" s="19">
        <v>79581</v>
      </c>
      <c r="I18" s="3" t="str">
        <f>VLOOKUP(H18,'[1]Base de Clientes'!$B:$E,4,0)</f>
        <v>OURIBANK S.A. BANCO MULTIPLO</v>
      </c>
      <c r="J18" s="5" t="s">
        <v>8</v>
      </c>
      <c r="K18" s="5" t="s">
        <v>418</v>
      </c>
      <c r="L18" s="9">
        <v>142.27614512040907</v>
      </c>
      <c r="M18" s="11" t="s">
        <v>7</v>
      </c>
      <c r="N18" s="13" t="s">
        <v>451</v>
      </c>
      <c r="O18" s="7">
        <v>1</v>
      </c>
      <c r="P18" s="16" t="s">
        <v>427</v>
      </c>
      <c r="R18" s="3"/>
      <c r="T18" s="7"/>
    </row>
    <row r="19" spans="1:20" hidden="1" x14ac:dyDescent="0.25">
      <c r="A19" s="16" t="str">
        <f t="shared" si="0"/>
        <v>CUSTO DMA -DANIEL VITOR SALOMÃO- ABRIL 26</v>
      </c>
      <c r="B19" s="18">
        <v>46113</v>
      </c>
      <c r="C19" s="3">
        <v>817391</v>
      </c>
      <c r="D19" s="3" t="s">
        <v>487</v>
      </c>
      <c r="E19" s="14">
        <f t="shared" si="1"/>
        <v>-439.27614512040907</v>
      </c>
      <c r="F19" s="3" t="s">
        <v>366</v>
      </c>
      <c r="G19" s="18">
        <v>46113</v>
      </c>
      <c r="H19" s="19">
        <v>79581</v>
      </c>
      <c r="I19" s="3" t="str">
        <f>VLOOKUP(H19,'[1]Base de Clientes'!$B:$E,4,0)</f>
        <v>OURIBANK S.A. BANCO MULTIPLO</v>
      </c>
      <c r="J19" s="5" t="s">
        <v>8</v>
      </c>
      <c r="K19" s="5" t="s">
        <v>135</v>
      </c>
      <c r="L19" s="9">
        <v>439.27614512040907</v>
      </c>
      <c r="M19" s="11" t="s">
        <v>7</v>
      </c>
      <c r="N19" s="13" t="s">
        <v>451</v>
      </c>
      <c r="O19" s="7">
        <v>1</v>
      </c>
      <c r="P19" s="16" t="s">
        <v>304</v>
      </c>
      <c r="R19" s="3"/>
      <c r="T19" s="7"/>
    </row>
    <row r="20" spans="1:20" hidden="1" x14ac:dyDescent="0.25">
      <c r="A20" s="16" t="str">
        <f t="shared" si="0"/>
        <v>CUSTO DMA -IGOR PERRUPATO MATTAR - ABRIL 26</v>
      </c>
      <c r="B20" s="18">
        <v>46113</v>
      </c>
      <c r="C20" s="3">
        <v>817391</v>
      </c>
      <c r="D20" s="3" t="s">
        <v>487</v>
      </c>
      <c r="E20" s="14">
        <f t="shared" si="1"/>
        <v>-409.27614512040907</v>
      </c>
      <c r="F20" s="3" t="s">
        <v>366</v>
      </c>
      <c r="G20" s="18">
        <v>46113</v>
      </c>
      <c r="H20" s="19">
        <v>79581</v>
      </c>
      <c r="I20" s="3" t="str">
        <f>VLOOKUP(H20,'[1]Base de Clientes'!$B:$E,4,0)</f>
        <v>OURIBANK S.A. BANCO MULTIPLO</v>
      </c>
      <c r="J20" s="5" t="s">
        <v>8</v>
      </c>
      <c r="K20" s="5" t="s">
        <v>144</v>
      </c>
      <c r="L20" s="9">
        <v>409.27614512040907</v>
      </c>
      <c r="M20" s="11" t="s">
        <v>7</v>
      </c>
      <c r="N20" s="13" t="s">
        <v>451</v>
      </c>
      <c r="O20" s="7">
        <v>1</v>
      </c>
      <c r="P20" s="16" t="s">
        <v>313</v>
      </c>
      <c r="R20" s="3"/>
      <c r="T20" s="7"/>
    </row>
    <row r="21" spans="1:20" hidden="1" x14ac:dyDescent="0.25">
      <c r="A21" s="16" t="str">
        <f t="shared" si="0"/>
        <v>CUSTO DMA -YGOR QUINHONI FONTES- ABRIL 26</v>
      </c>
      <c r="B21" s="18">
        <v>46113</v>
      </c>
      <c r="C21" s="3">
        <v>817391</v>
      </c>
      <c r="D21" s="3" t="s">
        <v>487</v>
      </c>
      <c r="E21" s="14">
        <f t="shared" si="1"/>
        <v>-350.27614512040901</v>
      </c>
      <c r="F21" s="3" t="s">
        <v>366</v>
      </c>
      <c r="G21" s="18">
        <v>46113</v>
      </c>
      <c r="H21" s="19">
        <v>79581</v>
      </c>
      <c r="I21" s="3" t="str">
        <f>VLOOKUP(H21,'[1]Base de Clientes'!$B:$E,4,0)</f>
        <v>OURIBANK S.A. BANCO MULTIPLO</v>
      </c>
      <c r="J21" s="5" t="s">
        <v>8</v>
      </c>
      <c r="K21" s="5" t="s">
        <v>185</v>
      </c>
      <c r="L21" s="9">
        <v>350.27614512040901</v>
      </c>
      <c r="M21" s="11" t="s">
        <v>7</v>
      </c>
      <c r="N21" s="13" t="s">
        <v>451</v>
      </c>
      <c r="O21" s="7">
        <v>1</v>
      </c>
      <c r="P21" s="16" t="s">
        <v>360</v>
      </c>
      <c r="R21" s="3"/>
      <c r="T21" s="7"/>
    </row>
    <row r="22" spans="1:20" hidden="1" x14ac:dyDescent="0.25">
      <c r="A22" s="16" t="str">
        <f t="shared" si="0"/>
        <v>CUSTO DMA -DANIEL STRUZBERG- ABRIL 26</v>
      </c>
      <c r="B22" s="18">
        <v>46113</v>
      </c>
      <c r="C22" s="3">
        <v>817391</v>
      </c>
      <c r="D22" s="3" t="s">
        <v>470</v>
      </c>
      <c r="E22" s="14">
        <f t="shared" si="1"/>
        <v>-140.27614512040901</v>
      </c>
      <c r="F22" s="3" t="s">
        <v>366</v>
      </c>
      <c r="G22" s="18">
        <v>46113</v>
      </c>
      <c r="H22" s="19">
        <v>81647</v>
      </c>
      <c r="I22" s="3" t="str">
        <f>VLOOKUP(H22,'[1]Base de Clientes'!$B:$E,4,0)</f>
        <v>BOGARI GESTAO DE INVESTIMENTOS LTDA</v>
      </c>
      <c r="J22" s="5" t="s">
        <v>8</v>
      </c>
      <c r="K22" s="5" t="s">
        <v>136</v>
      </c>
      <c r="L22" s="9">
        <v>140.27614512040901</v>
      </c>
      <c r="M22" s="11" t="s">
        <v>7</v>
      </c>
      <c r="N22" s="13" t="s">
        <v>451</v>
      </c>
      <c r="O22" s="7">
        <v>1</v>
      </c>
      <c r="P22" s="16" t="s">
        <v>567</v>
      </c>
      <c r="R22" s="3"/>
      <c r="T22" s="7"/>
    </row>
    <row r="23" spans="1:20" hidden="1" x14ac:dyDescent="0.25">
      <c r="A23" s="16" t="str">
        <f t="shared" si="0"/>
        <v>CUSTO DMA -ANDRE SOARES- ABRIL 26</v>
      </c>
      <c r="B23" s="18">
        <v>46113</v>
      </c>
      <c r="C23" s="3">
        <v>817391</v>
      </c>
      <c r="D23" s="3" t="s">
        <v>488</v>
      </c>
      <c r="E23" s="14">
        <f t="shared" si="1"/>
        <v>-140.27614512040901</v>
      </c>
      <c r="F23" s="3" t="s">
        <v>366</v>
      </c>
      <c r="G23" s="18">
        <v>46113</v>
      </c>
      <c r="H23" s="19">
        <v>80397</v>
      </c>
      <c r="I23" s="3" t="str">
        <f>VLOOKUP(H23,'[1]Base de Clientes'!$B:$E,4,0)</f>
        <v>DYNAMO ADMINISTRACAO DE RECURSOS LTDA</v>
      </c>
      <c r="J23" s="5" t="s">
        <v>8</v>
      </c>
      <c r="K23" s="5" t="s">
        <v>127</v>
      </c>
      <c r="L23" s="9">
        <v>140.27614512040901</v>
      </c>
      <c r="M23" s="11" t="s">
        <v>7</v>
      </c>
      <c r="N23" s="13" t="s">
        <v>451</v>
      </c>
      <c r="O23" s="7">
        <v>1</v>
      </c>
      <c r="P23" s="16" t="s">
        <v>539</v>
      </c>
      <c r="R23" s="3"/>
      <c r="T23" s="7"/>
    </row>
    <row r="24" spans="1:20" hidden="1" x14ac:dyDescent="0.25">
      <c r="A24" s="16" t="str">
        <f t="shared" ref="A24" si="8">CONCATENATE(J24,M24,K24,M24,N24)</f>
        <v>CUSTO DMA -JULIA AZEREDO- ABRIL 26</v>
      </c>
      <c r="B24" s="18">
        <v>46113</v>
      </c>
      <c r="C24" s="3">
        <v>817391</v>
      </c>
      <c r="D24" s="3" t="s">
        <v>488</v>
      </c>
      <c r="E24" s="14">
        <f t="shared" si="1"/>
        <v>-224.22359512040904</v>
      </c>
      <c r="F24" s="3" t="s">
        <v>366</v>
      </c>
      <c r="G24" s="18">
        <v>46113</v>
      </c>
      <c r="H24" s="19">
        <v>80397</v>
      </c>
      <c r="I24" s="3" t="str">
        <f>VLOOKUP(H24,'[1]Base de Clientes'!$B:$E,4,0)</f>
        <v>DYNAMO ADMINISTRACAO DE RECURSOS LTDA</v>
      </c>
      <c r="J24" s="5" t="s">
        <v>8</v>
      </c>
      <c r="K24" s="5" t="s">
        <v>460</v>
      </c>
      <c r="L24" s="9">
        <v>224.22359512040904</v>
      </c>
      <c r="M24" s="11" t="s">
        <v>7</v>
      </c>
      <c r="N24" s="13" t="s">
        <v>451</v>
      </c>
      <c r="O24" s="7">
        <v>1</v>
      </c>
      <c r="P24" s="16" t="s">
        <v>469</v>
      </c>
      <c r="R24" s="3"/>
      <c r="T24" s="7"/>
    </row>
    <row r="25" spans="1:20" hidden="1" x14ac:dyDescent="0.25">
      <c r="A25" s="16" t="str">
        <f t="shared" si="0"/>
        <v>CUSTO DMA -THIAGO DI BLASI- ABRIL 26</v>
      </c>
      <c r="B25" s="18">
        <v>46113</v>
      </c>
      <c r="C25" s="3">
        <v>817391</v>
      </c>
      <c r="D25" s="3" t="s">
        <v>488</v>
      </c>
      <c r="E25" s="14">
        <f t="shared" si="1"/>
        <v>-694.85359512040895</v>
      </c>
      <c r="F25" s="3" t="s">
        <v>366</v>
      </c>
      <c r="G25" s="18">
        <v>46113</v>
      </c>
      <c r="H25" s="19">
        <v>80397</v>
      </c>
      <c r="I25" s="3" t="str">
        <f>VLOOKUP(H25,'[1]Base de Clientes'!$B:$E,4,0)</f>
        <v>DYNAMO ADMINISTRACAO DE RECURSOS LTDA</v>
      </c>
      <c r="J25" s="5" t="s">
        <v>8</v>
      </c>
      <c r="K25" s="5" t="s">
        <v>173</v>
      </c>
      <c r="L25" s="9">
        <v>694.85359512040895</v>
      </c>
      <c r="M25" s="11" t="s">
        <v>7</v>
      </c>
      <c r="N25" s="13" t="s">
        <v>451</v>
      </c>
      <c r="O25" s="7">
        <v>1</v>
      </c>
      <c r="P25" s="16" t="s">
        <v>345</v>
      </c>
      <c r="R25" s="3"/>
      <c r="T25" s="7"/>
    </row>
    <row r="26" spans="1:20" hidden="1" x14ac:dyDescent="0.25">
      <c r="A26" s="16" t="str">
        <f t="shared" si="0"/>
        <v>CUSTO DMA -ANDRÉ MAMED- ABRIL 26</v>
      </c>
      <c r="B26" s="18">
        <v>46113</v>
      </c>
      <c r="C26" s="3">
        <v>817391</v>
      </c>
      <c r="D26" s="3" t="s">
        <v>484</v>
      </c>
      <c r="E26" s="14">
        <f t="shared" si="1"/>
        <v>-667.08806692040901</v>
      </c>
      <c r="F26" s="3" t="s">
        <v>366</v>
      </c>
      <c r="G26" s="18">
        <v>46113</v>
      </c>
      <c r="H26" s="19">
        <v>83023</v>
      </c>
      <c r="I26" s="3" t="str">
        <f>VLOOKUP(H26,'[1]Base de Clientes'!$B:$E,4,0)</f>
        <v>GARIN INVESTIMENTOS LTDA</v>
      </c>
      <c r="J26" s="5" t="s">
        <v>8</v>
      </c>
      <c r="K26" s="5" t="s">
        <v>122</v>
      </c>
      <c r="L26" s="9">
        <v>667.08806692040901</v>
      </c>
      <c r="M26" s="11" t="s">
        <v>7</v>
      </c>
      <c r="N26" s="13" t="s">
        <v>451</v>
      </c>
      <c r="O26" s="7">
        <v>1</v>
      </c>
      <c r="P26" s="16" t="s">
        <v>291</v>
      </c>
      <c r="R26" s="3"/>
      <c r="T26" s="7"/>
    </row>
    <row r="27" spans="1:20" hidden="1" x14ac:dyDescent="0.25">
      <c r="A27" s="16" t="str">
        <f t="shared" si="0"/>
        <v>CUSTO DMA -ANDRÉ VIEIRA- ABRIL 26</v>
      </c>
      <c r="B27" s="18">
        <v>46113</v>
      </c>
      <c r="C27" s="3">
        <v>817391</v>
      </c>
      <c r="D27" s="3" t="s">
        <v>411</v>
      </c>
      <c r="E27" s="14">
        <f t="shared" si="1"/>
        <v>-180.54761032040906</v>
      </c>
      <c r="F27" s="3" t="s">
        <v>366</v>
      </c>
      <c r="G27" s="18">
        <v>46113</v>
      </c>
      <c r="H27" s="19">
        <v>82753</v>
      </c>
      <c r="I27" s="3" t="str">
        <f>VLOOKUP(H27,'[1]Base de Clientes'!$B:$E,4,0)</f>
        <v>GARIN INVESTIMENTOS LTDA</v>
      </c>
      <c r="J27" s="5" t="s">
        <v>8</v>
      </c>
      <c r="K27" s="5" t="s">
        <v>124</v>
      </c>
      <c r="L27" s="9">
        <v>180.54761032040906</v>
      </c>
      <c r="M27" s="11" t="s">
        <v>7</v>
      </c>
      <c r="N27" s="13" t="s">
        <v>451</v>
      </c>
      <c r="O27" s="7">
        <v>1</v>
      </c>
      <c r="P27" s="16" t="s">
        <v>293</v>
      </c>
      <c r="R27" s="3"/>
      <c r="T27" s="7"/>
    </row>
    <row r="28" spans="1:20" hidden="1" x14ac:dyDescent="0.25">
      <c r="A28" s="16" t="str">
        <f t="shared" si="0"/>
        <v>CUSTO DMA -MATHEUS HENRIQUE DUARTE DOS SANTOS- ABRIL 26</v>
      </c>
      <c r="B28" s="18">
        <v>46113</v>
      </c>
      <c r="C28" s="3">
        <v>817391</v>
      </c>
      <c r="D28" s="3" t="s">
        <v>411</v>
      </c>
      <c r="E28" s="14">
        <f t="shared" si="1"/>
        <v>-497.03344292040907</v>
      </c>
      <c r="F28" s="3" t="s">
        <v>366</v>
      </c>
      <c r="G28" s="18">
        <v>46113</v>
      </c>
      <c r="H28" s="19">
        <v>82753</v>
      </c>
      <c r="I28" s="3" t="str">
        <f>VLOOKUP(H28,'[1]Base de Clientes'!$B:$E,4,0)</f>
        <v>GARIN INVESTIMENTOS LTDA</v>
      </c>
      <c r="J28" s="5" t="s">
        <v>8</v>
      </c>
      <c r="K28" s="5" t="s">
        <v>158</v>
      </c>
      <c r="L28" s="9">
        <v>497.03344292040907</v>
      </c>
      <c r="M28" s="11" t="s">
        <v>7</v>
      </c>
      <c r="N28" s="13" t="s">
        <v>451</v>
      </c>
      <c r="O28" s="7">
        <v>1</v>
      </c>
      <c r="P28" s="16" t="s">
        <v>328</v>
      </c>
      <c r="R28" s="3"/>
      <c r="T28" s="7"/>
    </row>
    <row r="29" spans="1:20" hidden="1" x14ac:dyDescent="0.25">
      <c r="A29" s="16" t="str">
        <f t="shared" si="0"/>
        <v>CUSTO DMA -ERICO FAUSTINO- ABRIL 26</v>
      </c>
      <c r="B29" s="18">
        <v>46113</v>
      </c>
      <c r="C29" s="3">
        <v>817391</v>
      </c>
      <c r="D29" s="3" t="s">
        <v>401</v>
      </c>
      <c r="E29" s="14">
        <f t="shared" si="1"/>
        <v>-140.27614512040901</v>
      </c>
      <c r="F29" s="3" t="s">
        <v>366</v>
      </c>
      <c r="G29" s="18">
        <v>46113</v>
      </c>
      <c r="H29" s="19">
        <v>79791</v>
      </c>
      <c r="I29" s="3" t="str">
        <f>VLOOKUP(H29,'[1]Base de Clientes'!$B:$E,4,0)</f>
        <v>GOLDMAN SACHS DO BRASIL BANCO MULTIPLO S/A</v>
      </c>
      <c r="J29" s="5" t="s">
        <v>8</v>
      </c>
      <c r="K29" s="5" t="s">
        <v>138</v>
      </c>
      <c r="L29" s="9">
        <v>140.27614512040901</v>
      </c>
      <c r="M29" s="11" t="s">
        <v>7</v>
      </c>
      <c r="N29" s="13" t="s">
        <v>451</v>
      </c>
      <c r="O29" s="7">
        <v>1</v>
      </c>
      <c r="P29" s="16" t="s">
        <v>540</v>
      </c>
      <c r="R29" s="3"/>
      <c r="T29" s="7"/>
    </row>
    <row r="30" spans="1:20" hidden="1" x14ac:dyDescent="0.25">
      <c r="A30" s="16" t="str">
        <f t="shared" si="0"/>
        <v>CUSTO DMA -ISABELA TAKARA- ABRIL 26</v>
      </c>
      <c r="B30" s="18">
        <v>46113</v>
      </c>
      <c r="C30" s="3">
        <v>817391</v>
      </c>
      <c r="D30" s="3" t="s">
        <v>401</v>
      </c>
      <c r="E30" s="14">
        <f t="shared" si="1"/>
        <v>-327.55661712040904</v>
      </c>
      <c r="F30" s="3" t="s">
        <v>366</v>
      </c>
      <c r="G30" s="18">
        <v>46113</v>
      </c>
      <c r="H30" s="19">
        <v>123491</v>
      </c>
      <c r="I30" s="3" t="str">
        <f>VLOOKUP(H30,'[1]Base de Clientes'!$B:$E,4,0)</f>
        <v>GOLDMAN SACHS DO BRASIL BANCO MULTIPLO S/A</v>
      </c>
      <c r="J30" s="5" t="s">
        <v>8</v>
      </c>
      <c r="K30" s="5" t="s">
        <v>145</v>
      </c>
      <c r="L30" s="9">
        <v>327.55661712040904</v>
      </c>
      <c r="M30" s="11" t="s">
        <v>7</v>
      </c>
      <c r="N30" s="13" t="s">
        <v>451</v>
      </c>
      <c r="O30" s="7">
        <v>1</v>
      </c>
      <c r="P30" s="16" t="s">
        <v>314</v>
      </c>
      <c r="R30" s="3"/>
      <c r="T30" s="7"/>
    </row>
    <row r="31" spans="1:20" hidden="1" x14ac:dyDescent="0.25">
      <c r="A31" s="16" t="str">
        <f t="shared" si="0"/>
        <v>CUSTO DMA -JOSEPH HOROVITZ- ABRIL 26</v>
      </c>
      <c r="B31" s="18">
        <v>46113</v>
      </c>
      <c r="C31" s="3">
        <v>817391</v>
      </c>
      <c r="D31" s="3" t="s">
        <v>401</v>
      </c>
      <c r="E31" s="14">
        <f t="shared" si="1"/>
        <v>-174.27614512040904</v>
      </c>
      <c r="F31" s="3" t="s">
        <v>366</v>
      </c>
      <c r="G31" s="18">
        <v>46113</v>
      </c>
      <c r="H31" s="19">
        <v>79791</v>
      </c>
      <c r="I31" s="3" t="str">
        <f>VLOOKUP(H31,'[1]Base de Clientes'!$B:$E,4,0)</f>
        <v>GOLDMAN SACHS DO BRASIL BANCO MULTIPLO S/A</v>
      </c>
      <c r="J31" s="5" t="s">
        <v>8</v>
      </c>
      <c r="K31" s="5" t="s">
        <v>148</v>
      </c>
      <c r="L31" s="9">
        <v>174.27614512040904</v>
      </c>
      <c r="M31" s="11" t="s">
        <v>7</v>
      </c>
      <c r="N31" s="13" t="s">
        <v>451</v>
      </c>
      <c r="O31" s="7">
        <v>1</v>
      </c>
      <c r="P31" s="16" t="s">
        <v>317</v>
      </c>
      <c r="R31" s="3"/>
      <c r="T31" s="7"/>
    </row>
    <row r="32" spans="1:20" hidden="1" x14ac:dyDescent="0.25">
      <c r="A32" s="16" t="str">
        <f t="shared" si="0"/>
        <v>CUSTO DMA -GUSTAVO BASSICHETTO- ABRIL 26</v>
      </c>
      <c r="B32" s="18">
        <v>46113</v>
      </c>
      <c r="C32" s="3">
        <v>817391</v>
      </c>
      <c r="D32" s="3" t="s">
        <v>401</v>
      </c>
      <c r="E32" s="14">
        <f t="shared" si="1"/>
        <v>-140.27614512040901</v>
      </c>
      <c r="F32" s="3" t="s">
        <v>366</v>
      </c>
      <c r="G32" s="18">
        <v>46113</v>
      </c>
      <c r="H32" s="19">
        <v>123491</v>
      </c>
      <c r="I32" s="3" t="str">
        <f>VLOOKUP(H32,'[1]Base de Clientes'!$B:$E,4,0)</f>
        <v>GOLDMAN SACHS DO BRASIL BANCO MULTIPLO S/A</v>
      </c>
      <c r="J32" s="5" t="s">
        <v>8</v>
      </c>
      <c r="K32" s="5" t="s">
        <v>178</v>
      </c>
      <c r="L32" s="9">
        <v>140.27614512040901</v>
      </c>
      <c r="M32" s="11" t="s">
        <v>7</v>
      </c>
      <c r="N32" s="13" t="s">
        <v>451</v>
      </c>
      <c r="O32" s="7">
        <v>1</v>
      </c>
      <c r="P32" s="16" t="s">
        <v>543</v>
      </c>
      <c r="R32" s="3"/>
      <c r="T32" s="7"/>
    </row>
    <row r="33" spans="1:20" hidden="1" x14ac:dyDescent="0.25">
      <c r="A33" s="16" t="str">
        <f t="shared" si="0"/>
        <v>CUSTO DMA -HENRIQUE GARCIA- ABRIL 26</v>
      </c>
      <c r="B33" s="18">
        <v>46113</v>
      </c>
      <c r="C33" s="3">
        <v>817391</v>
      </c>
      <c r="D33" s="3" t="s">
        <v>398</v>
      </c>
      <c r="E33" s="14">
        <f t="shared" si="1"/>
        <v>-140.27614512040901</v>
      </c>
      <c r="F33" s="3" t="s">
        <v>366</v>
      </c>
      <c r="G33" s="18">
        <v>46113</v>
      </c>
      <c r="H33" s="19">
        <v>81849</v>
      </c>
      <c r="I33" s="3" t="str">
        <f>VLOOKUP(H33,'[1]Base de Clientes'!$B:$E,4,0)</f>
        <v>IBIUNA GESTAO DE RECURSOS LTDA</v>
      </c>
      <c r="J33" s="5" t="s">
        <v>8</v>
      </c>
      <c r="K33" s="5" t="s">
        <v>143</v>
      </c>
      <c r="L33" s="9">
        <v>140.27614512040901</v>
      </c>
      <c r="M33" s="11" t="s">
        <v>7</v>
      </c>
      <c r="N33" s="13" t="s">
        <v>451</v>
      </c>
      <c r="O33" s="7">
        <v>1</v>
      </c>
      <c r="P33" s="16" t="s">
        <v>544</v>
      </c>
      <c r="R33" s="3"/>
      <c r="T33" s="7"/>
    </row>
    <row r="34" spans="1:20" hidden="1" x14ac:dyDescent="0.25">
      <c r="A34" s="16" t="str">
        <f t="shared" si="0"/>
        <v>CUSTO DMA -LEONARDO PAULO MACHADO- ABRIL 26</v>
      </c>
      <c r="B34" s="18">
        <v>46113</v>
      </c>
      <c r="C34" s="3">
        <v>817391</v>
      </c>
      <c r="D34" s="3" t="s">
        <v>398</v>
      </c>
      <c r="E34" s="14">
        <f t="shared" si="1"/>
        <v>-140.27614512040901</v>
      </c>
      <c r="F34" s="3" t="s">
        <v>366</v>
      </c>
      <c r="G34" s="18">
        <v>46113</v>
      </c>
      <c r="H34" s="19">
        <v>81849</v>
      </c>
      <c r="I34" s="3" t="str">
        <f>VLOOKUP(H34,'[1]Base de Clientes'!$B:$E,4,0)</f>
        <v>IBIUNA GESTAO DE RECURSOS LTDA</v>
      </c>
      <c r="J34" s="5" t="s">
        <v>8</v>
      </c>
      <c r="K34" s="5" t="s">
        <v>153</v>
      </c>
      <c r="L34" s="9">
        <v>140.27614512040901</v>
      </c>
      <c r="M34" s="11" t="s">
        <v>7</v>
      </c>
      <c r="N34" s="13" t="s">
        <v>451</v>
      </c>
      <c r="O34" s="7">
        <v>1</v>
      </c>
      <c r="P34" s="16" t="s">
        <v>545</v>
      </c>
      <c r="R34" s="3"/>
      <c r="T34" s="7"/>
    </row>
    <row r="35" spans="1:20" hidden="1" x14ac:dyDescent="0.25">
      <c r="A35" s="16" t="str">
        <f t="shared" si="0"/>
        <v>CUSTO DMA -ANTONIO GUIMARAES- ABRIL 26</v>
      </c>
      <c r="B35" s="18">
        <v>46113</v>
      </c>
      <c r="C35" s="3">
        <v>817391</v>
      </c>
      <c r="D35" s="3" t="s">
        <v>397</v>
      </c>
      <c r="E35" s="14">
        <f t="shared" si="1"/>
        <v>-72.196985560204524</v>
      </c>
      <c r="F35" s="3" t="s">
        <v>366</v>
      </c>
      <c r="G35" s="18">
        <v>46113</v>
      </c>
      <c r="H35" s="19">
        <v>82010</v>
      </c>
      <c r="I35" s="3" t="str">
        <f>VLOOKUP(H35,'[1]Base de Clientes'!$B:$E,4,0)</f>
        <v>ITAU UNIBANCO ASSET - JANEIRO</v>
      </c>
      <c r="J35" s="5" t="s">
        <v>8</v>
      </c>
      <c r="K35" s="5" t="s">
        <v>123</v>
      </c>
      <c r="L35" s="9">
        <v>144.39397112040905</v>
      </c>
      <c r="M35" s="11" t="s">
        <v>7</v>
      </c>
      <c r="N35" s="13" t="s">
        <v>451</v>
      </c>
      <c r="O35" s="7">
        <v>0.5</v>
      </c>
      <c r="P35" s="16" t="s">
        <v>292</v>
      </c>
      <c r="R35" s="3"/>
      <c r="T35" s="7"/>
    </row>
    <row r="36" spans="1:20" hidden="1" x14ac:dyDescent="0.25">
      <c r="A36" s="16" t="str">
        <f t="shared" ref="A36" si="9">CONCATENATE(J36,M36,K36,M36,N36)</f>
        <v>CUSTO DMA -ANTONIO GUIMARAES- ABRIL 26</v>
      </c>
      <c r="B36" s="18">
        <v>46113</v>
      </c>
      <c r="C36" s="3">
        <v>817391</v>
      </c>
      <c r="D36" s="3" t="s">
        <v>401</v>
      </c>
      <c r="E36" s="14">
        <f t="shared" ref="E36" si="10">-L36*O36</f>
        <v>-72.196985560204524</v>
      </c>
      <c r="F36" s="3" t="s">
        <v>366</v>
      </c>
      <c r="G36" s="18">
        <v>46113</v>
      </c>
      <c r="H36" s="19">
        <v>82010</v>
      </c>
      <c r="I36" s="3" t="str">
        <f>VLOOKUP(H36,'[1]Base de Clientes'!$B:$E,4,0)</f>
        <v>ITAU UNIBANCO ASSET - JANEIRO</v>
      </c>
      <c r="J36" s="5" t="s">
        <v>8</v>
      </c>
      <c r="K36" s="5" t="s">
        <v>123</v>
      </c>
      <c r="L36" s="9">
        <v>144.39397112040905</v>
      </c>
      <c r="M36" s="11" t="s">
        <v>7</v>
      </c>
      <c r="N36" s="13" t="s">
        <v>451</v>
      </c>
      <c r="O36" s="7">
        <v>0.5</v>
      </c>
      <c r="P36" s="16" t="s">
        <v>292</v>
      </c>
      <c r="R36" s="3"/>
      <c r="T36" s="7"/>
    </row>
    <row r="37" spans="1:20" hidden="1" x14ac:dyDescent="0.25">
      <c r="A37" s="16" t="str">
        <f t="shared" si="0"/>
        <v>CUSTO DMA -VITOR KASSAB- ABRIL 26</v>
      </c>
      <c r="B37" s="18">
        <v>46113</v>
      </c>
      <c r="C37" s="3">
        <v>817391</v>
      </c>
      <c r="D37" s="3" t="s">
        <v>401</v>
      </c>
      <c r="E37" s="14">
        <f t="shared" si="1"/>
        <v>-140.27614512040901</v>
      </c>
      <c r="F37" s="3" t="s">
        <v>366</v>
      </c>
      <c r="G37" s="18">
        <v>46113</v>
      </c>
      <c r="H37" s="19">
        <v>82255</v>
      </c>
      <c r="I37" s="3" t="str">
        <f>VLOOKUP(H37,'[1]Base de Clientes'!$B:$E,4,0)</f>
        <v>BANCO JP MORGAN S/A</v>
      </c>
      <c r="J37" s="5" t="s">
        <v>8</v>
      </c>
      <c r="K37" s="5" t="s">
        <v>182</v>
      </c>
      <c r="L37" s="9">
        <v>140.27614512040901</v>
      </c>
      <c r="M37" s="11" t="s">
        <v>7</v>
      </c>
      <c r="N37" s="13" t="s">
        <v>451</v>
      </c>
      <c r="O37" s="7">
        <v>1</v>
      </c>
      <c r="P37" s="16" t="s">
        <v>548</v>
      </c>
      <c r="R37" s="3"/>
      <c r="T37" s="7"/>
    </row>
    <row r="38" spans="1:20" hidden="1" x14ac:dyDescent="0.25">
      <c r="A38" s="16" t="str">
        <f t="shared" si="0"/>
        <v>CUSTO DMA -GABRIEL LIMA - ABRIL 26</v>
      </c>
      <c r="B38" s="18">
        <v>46113</v>
      </c>
      <c r="C38" s="3">
        <v>817391</v>
      </c>
      <c r="D38" s="3" t="s">
        <v>401</v>
      </c>
      <c r="E38" s="14">
        <f t="shared" si="1"/>
        <v>-271.31614512040903</v>
      </c>
      <c r="F38" s="3" t="s">
        <v>366</v>
      </c>
      <c r="G38" s="18">
        <v>46113</v>
      </c>
      <c r="H38" s="19">
        <v>12413</v>
      </c>
      <c r="I38" s="3" t="str">
        <f>VLOOKUP(H38,'[1]Base de Clientes'!$B:$E,4,0)</f>
        <v>KAPITALO INVESTIMENTOS LTDA</v>
      </c>
      <c r="J38" s="5" t="s">
        <v>8</v>
      </c>
      <c r="K38" s="5" t="s">
        <v>142</v>
      </c>
      <c r="L38" s="9">
        <v>271.31614512040903</v>
      </c>
      <c r="M38" s="11" t="s">
        <v>7</v>
      </c>
      <c r="N38" s="13" t="s">
        <v>451</v>
      </c>
      <c r="O38" s="7">
        <v>1</v>
      </c>
      <c r="P38" s="16" t="s">
        <v>311</v>
      </c>
      <c r="R38" s="3"/>
      <c r="T38" s="7"/>
    </row>
    <row r="39" spans="1:20" hidden="1" x14ac:dyDescent="0.25">
      <c r="A39" s="16" t="str">
        <f t="shared" si="0"/>
        <v>CUSTO DMA -MATHEUS KWON- ABRIL 26</v>
      </c>
      <c r="B39" s="18">
        <v>46113</v>
      </c>
      <c r="C39" s="3">
        <v>817391</v>
      </c>
      <c r="D39" s="3" t="s">
        <v>401</v>
      </c>
      <c r="E39" s="14">
        <f t="shared" si="1"/>
        <v>-433.81614512040898</v>
      </c>
      <c r="F39" s="3" t="s">
        <v>366</v>
      </c>
      <c r="G39" s="18">
        <v>46113</v>
      </c>
      <c r="H39" s="19">
        <v>12413</v>
      </c>
      <c r="I39" s="3" t="str">
        <f>VLOOKUP(H39,'[1]Base de Clientes'!$B:$E,4,0)</f>
        <v>KAPITALO INVESTIMENTOS LTDA</v>
      </c>
      <c r="J39" s="5" t="s">
        <v>8</v>
      </c>
      <c r="K39" s="5" t="s">
        <v>155</v>
      </c>
      <c r="L39" s="9">
        <v>433.81614512040898</v>
      </c>
      <c r="M39" s="11" t="s">
        <v>7</v>
      </c>
      <c r="N39" s="13" t="s">
        <v>451</v>
      </c>
      <c r="O39" s="7">
        <v>1</v>
      </c>
      <c r="P39" s="16" t="s">
        <v>325</v>
      </c>
      <c r="R39" s="3"/>
      <c r="T39" s="7"/>
    </row>
    <row r="40" spans="1:20" hidden="1" x14ac:dyDescent="0.25">
      <c r="A40" s="16" t="str">
        <f t="shared" si="0"/>
        <v>CUSTO DMA -RODRIGO LIVIANU- ABRIL 26</v>
      </c>
      <c r="B40" s="18">
        <v>46113</v>
      </c>
      <c r="C40" s="3">
        <v>817391</v>
      </c>
      <c r="D40" s="3" t="s">
        <v>401</v>
      </c>
      <c r="E40" s="14">
        <f t="shared" si="1"/>
        <v>-1347.871145120409</v>
      </c>
      <c r="F40" s="3" t="s">
        <v>366</v>
      </c>
      <c r="G40" s="18">
        <v>46113</v>
      </c>
      <c r="H40" s="19">
        <v>12413</v>
      </c>
      <c r="I40" s="3" t="str">
        <f>VLOOKUP(H40,'[1]Base de Clientes'!$B:$E,4,0)</f>
        <v>KAPITALO INVESTIMENTOS LTDA</v>
      </c>
      <c r="J40" s="5" t="s">
        <v>8</v>
      </c>
      <c r="K40" s="5" t="s">
        <v>165</v>
      </c>
      <c r="L40" s="9">
        <v>1347.871145120409</v>
      </c>
      <c r="M40" s="11" t="s">
        <v>7</v>
      </c>
      <c r="N40" s="13" t="s">
        <v>451</v>
      </c>
      <c r="O40" s="7">
        <v>1</v>
      </c>
      <c r="P40" s="16" t="s">
        <v>337</v>
      </c>
      <c r="R40" s="3"/>
      <c r="T40" s="7"/>
    </row>
    <row r="41" spans="1:20" hidden="1" x14ac:dyDescent="0.25">
      <c r="A41" s="16" t="str">
        <f t="shared" si="0"/>
        <v>CUSTO DMA -CARLO MORATELLI- ABRIL 26</v>
      </c>
      <c r="B41" s="18">
        <v>46113</v>
      </c>
      <c r="C41" s="3">
        <v>817391</v>
      </c>
      <c r="D41" s="3" t="s">
        <v>486</v>
      </c>
      <c r="E41" s="14">
        <f t="shared" si="1"/>
        <v>-7594.9050186204086</v>
      </c>
      <c r="F41" s="3" t="s">
        <v>366</v>
      </c>
      <c r="G41" s="18">
        <v>46113</v>
      </c>
      <c r="H41" s="19">
        <v>82248</v>
      </c>
      <c r="I41" s="3" t="str">
        <f>VLOOKUP(H41,'[1]Base de Clientes'!$B:$E,4,0)</f>
        <v>MORE INVEST GESTORA DE RECURSOS LTDA</v>
      </c>
      <c r="J41" s="5" t="s">
        <v>8</v>
      </c>
      <c r="K41" s="5" t="s">
        <v>131</v>
      </c>
      <c r="L41" s="9">
        <v>7594.9050186204086</v>
      </c>
      <c r="M41" s="11" t="s">
        <v>7</v>
      </c>
      <c r="N41" s="13" t="s">
        <v>451</v>
      </c>
      <c r="O41" s="7">
        <v>1</v>
      </c>
      <c r="P41" s="16" t="s">
        <v>300</v>
      </c>
      <c r="R41" s="3"/>
      <c r="T41" s="7"/>
    </row>
    <row r="42" spans="1:20" hidden="1" x14ac:dyDescent="0.25">
      <c r="A42" s="16" t="str">
        <f t="shared" si="0"/>
        <v>CUSTO DMA -JOSÉ PEDRO BORGES- ABRIL 26</v>
      </c>
      <c r="B42" s="18">
        <v>46113</v>
      </c>
      <c r="C42" s="3">
        <v>817391</v>
      </c>
      <c r="D42" s="3" t="s">
        <v>486</v>
      </c>
      <c r="E42" s="14">
        <f t="shared" si="1"/>
        <v>-638.395409120409</v>
      </c>
      <c r="F42" s="3" t="s">
        <v>366</v>
      </c>
      <c r="G42" s="18">
        <v>46113</v>
      </c>
      <c r="H42" s="19">
        <v>82778</v>
      </c>
      <c r="I42" s="3" t="str">
        <f>VLOOKUP(H42,'[1]Base de Clientes'!$B:$E,4,0)</f>
        <v>MORE INVEST GESTORA DE RECURSOS LTDA</v>
      </c>
      <c r="J42" s="5" t="s">
        <v>8</v>
      </c>
      <c r="K42" s="5" t="s">
        <v>147</v>
      </c>
      <c r="L42" s="9">
        <v>638.395409120409</v>
      </c>
      <c r="M42" s="11" t="s">
        <v>7</v>
      </c>
      <c r="N42" s="13" t="s">
        <v>451</v>
      </c>
      <c r="O42" s="7">
        <v>1</v>
      </c>
      <c r="P42" s="16" t="s">
        <v>316</v>
      </c>
      <c r="R42" s="3"/>
      <c r="T42" s="7"/>
    </row>
    <row r="43" spans="1:20" hidden="1" x14ac:dyDescent="0.25">
      <c r="A43" s="16" t="str">
        <f t="shared" si="0"/>
        <v>CUSTO DMA -MARCELO MARQUES- ABRIL 26</v>
      </c>
      <c r="B43" s="18">
        <v>46113</v>
      </c>
      <c r="C43" s="3">
        <v>817391</v>
      </c>
      <c r="D43" s="3" t="s">
        <v>486</v>
      </c>
      <c r="E43" s="14">
        <f t="shared" si="1"/>
        <v>-333.94307462040905</v>
      </c>
      <c r="F43" s="3" t="s">
        <v>366</v>
      </c>
      <c r="G43" s="18">
        <v>46113</v>
      </c>
      <c r="H43" s="19">
        <v>82901</v>
      </c>
      <c r="I43" s="3" t="str">
        <f>VLOOKUP(H43,'[1]Base de Clientes'!$B:$E,4,0)</f>
        <v>MORE INVEST GESTORA DE RECURSOS LTDA</v>
      </c>
      <c r="J43" s="5" t="s">
        <v>8</v>
      </c>
      <c r="K43" s="5" t="s">
        <v>160</v>
      </c>
      <c r="L43" s="9">
        <v>333.94307462040905</v>
      </c>
      <c r="M43" s="11" t="s">
        <v>7</v>
      </c>
      <c r="N43" s="13" t="s">
        <v>451</v>
      </c>
      <c r="O43" s="7">
        <v>1</v>
      </c>
      <c r="P43" s="16" t="s">
        <v>330</v>
      </c>
      <c r="R43" s="3"/>
      <c r="T43" s="7"/>
    </row>
    <row r="44" spans="1:20" hidden="1" x14ac:dyDescent="0.25">
      <c r="A44" s="16" t="str">
        <f t="shared" si="0"/>
        <v>CUSTO DMA -RODRIGO ALVES BRAGA- ABRIL 26</v>
      </c>
      <c r="B44" s="18">
        <v>46113</v>
      </c>
      <c r="C44" s="3">
        <v>817391</v>
      </c>
      <c r="D44" s="3" t="s">
        <v>486</v>
      </c>
      <c r="E44" s="14">
        <f t="shared" si="1"/>
        <v>-140.27614512040901</v>
      </c>
      <c r="F44" s="3" t="s">
        <v>366</v>
      </c>
      <c r="G44" s="18">
        <v>46113</v>
      </c>
      <c r="H44" s="19">
        <v>12404</v>
      </c>
      <c r="I44" s="3" t="str">
        <f>VLOOKUP(H44,'[1]Base de Clientes'!$B:$E,4,0)</f>
        <v>MORE INVEST GESTORA DE RECURSOS LTDA</v>
      </c>
      <c r="J44" s="5" t="s">
        <v>8</v>
      </c>
      <c r="K44" s="5" t="s">
        <v>167</v>
      </c>
      <c r="L44" s="9">
        <v>140.27614512040901</v>
      </c>
      <c r="M44" s="11" t="s">
        <v>7</v>
      </c>
      <c r="N44" s="13" t="s">
        <v>451</v>
      </c>
      <c r="O44" s="7">
        <v>1</v>
      </c>
      <c r="P44" s="16" t="s">
        <v>550</v>
      </c>
      <c r="R44" s="3"/>
      <c r="T44" s="7"/>
    </row>
    <row r="45" spans="1:20" hidden="1" x14ac:dyDescent="0.25">
      <c r="A45" s="16" t="str">
        <f t="shared" si="0"/>
        <v>CUSTO DMA -YURI DE OLIVEIRA BIALOSKORSKI - ABRIL 26</v>
      </c>
      <c r="B45" s="18">
        <v>46113</v>
      </c>
      <c r="C45" s="3">
        <v>817391</v>
      </c>
      <c r="D45" s="3" t="s">
        <v>486</v>
      </c>
      <c r="E45" s="14">
        <f t="shared" si="1"/>
        <v>-156.77614512040907</v>
      </c>
      <c r="F45" s="3" t="s">
        <v>366</v>
      </c>
      <c r="G45" s="18">
        <v>46113</v>
      </c>
      <c r="H45" s="19">
        <v>82967</v>
      </c>
      <c r="I45" s="3" t="str">
        <f>VLOOKUP(H45,'[1]Base de Clientes'!$B:$E,4,0)</f>
        <v>MORE INVEST GESTORA DE RECURSOS LTDA</v>
      </c>
      <c r="J45" s="5" t="s">
        <v>8</v>
      </c>
      <c r="K45" s="5" t="s">
        <v>186</v>
      </c>
      <c r="L45" s="9">
        <v>156.77614512040907</v>
      </c>
      <c r="M45" s="11" t="s">
        <v>7</v>
      </c>
      <c r="N45" s="13" t="s">
        <v>451</v>
      </c>
      <c r="O45" s="7">
        <v>1</v>
      </c>
      <c r="P45" s="16" t="s">
        <v>361</v>
      </c>
      <c r="R45" s="3"/>
      <c r="T45" s="7"/>
    </row>
    <row r="46" spans="1:20" hidden="1" x14ac:dyDescent="0.25">
      <c r="A46" s="16" t="str">
        <f t="shared" si="0"/>
        <v>CUSTO DMA -THIAGO SANTOS- ABRIL 26</v>
      </c>
      <c r="B46" s="18">
        <v>46113</v>
      </c>
      <c r="C46" s="3">
        <v>817391</v>
      </c>
      <c r="D46" s="3" t="s">
        <v>397</v>
      </c>
      <c r="E46" s="14">
        <f t="shared" si="1"/>
        <v>-640.77001248040904</v>
      </c>
      <c r="F46" s="3" t="s">
        <v>366</v>
      </c>
      <c r="G46" s="18">
        <v>46113</v>
      </c>
      <c r="H46" s="19">
        <v>80389</v>
      </c>
      <c r="I46" s="3" t="str">
        <f>VLOOKUP(H46,'[1]Base de Clientes'!$B:$E,4,0)</f>
        <v>NAVI CAPITAL ADMINISTRADORA E GESTORA DE RECURSOS FINANCEIRO</v>
      </c>
      <c r="J46" s="5" t="s">
        <v>8</v>
      </c>
      <c r="K46" s="5" t="s">
        <v>179</v>
      </c>
      <c r="L46" s="9">
        <v>640.77001248040904</v>
      </c>
      <c r="M46" s="11" t="s">
        <v>7</v>
      </c>
      <c r="N46" s="13" t="s">
        <v>451</v>
      </c>
      <c r="O46" s="7">
        <v>1</v>
      </c>
      <c r="P46" s="16" t="s">
        <v>352</v>
      </c>
      <c r="R46" s="3"/>
      <c r="T46" s="7"/>
    </row>
    <row r="47" spans="1:20" hidden="1" x14ac:dyDescent="0.25">
      <c r="A47" s="16" t="str">
        <f t="shared" si="0"/>
        <v>CUSTO DMA. -RICARDO BERNSTEIN- ABRIL 26</v>
      </c>
      <c r="B47" s="18">
        <v>46113</v>
      </c>
      <c r="C47" s="3">
        <v>817391</v>
      </c>
      <c r="D47" s="3" t="s">
        <v>398</v>
      </c>
      <c r="E47" s="14">
        <f t="shared" si="1"/>
        <v>-140.27614512040901</v>
      </c>
      <c r="F47" s="3" t="s">
        <v>366</v>
      </c>
      <c r="G47" s="18">
        <v>46113</v>
      </c>
      <c r="H47" s="19">
        <v>12296</v>
      </c>
      <c r="I47" s="3" t="str">
        <f>VLOOKUP(H47,'[1]Base de Clientes'!$B:$E,4,0)</f>
        <v>PATRIA INVESTIMENTOS LTDA</v>
      </c>
      <c r="J47" s="5" t="s">
        <v>15</v>
      </c>
      <c r="K47" s="5" t="s">
        <v>83</v>
      </c>
      <c r="L47" s="9">
        <v>140.27614512040901</v>
      </c>
      <c r="M47" s="11" t="s">
        <v>7</v>
      </c>
      <c r="N47" s="13" t="s">
        <v>451</v>
      </c>
      <c r="O47" s="7">
        <v>1</v>
      </c>
      <c r="P47" s="16" t="s">
        <v>551</v>
      </c>
      <c r="R47" s="3"/>
      <c r="T47" s="7"/>
    </row>
    <row r="48" spans="1:20" hidden="1" x14ac:dyDescent="0.25">
      <c r="A48" s="16" t="str">
        <f t="shared" si="0"/>
        <v>CUSTO DMA. -WILLIAM LEITE- ABRIL 26</v>
      </c>
      <c r="B48" s="18">
        <v>46113</v>
      </c>
      <c r="C48" s="3">
        <v>817391</v>
      </c>
      <c r="D48" s="3" t="s">
        <v>398</v>
      </c>
      <c r="E48" s="14">
        <f t="shared" si="1"/>
        <v>-313.6353611204089</v>
      </c>
      <c r="F48" s="3" t="s">
        <v>366</v>
      </c>
      <c r="G48" s="18">
        <v>46113</v>
      </c>
      <c r="H48" s="19">
        <v>12296</v>
      </c>
      <c r="I48" s="3" t="str">
        <f>VLOOKUP(H48,'[1]Base de Clientes'!$B:$E,4,0)</f>
        <v>PATRIA INVESTIMENTOS LTDA</v>
      </c>
      <c r="J48" s="5" t="s">
        <v>15</v>
      </c>
      <c r="K48" s="5" t="s">
        <v>111</v>
      </c>
      <c r="L48" s="9">
        <v>313.6353611204089</v>
      </c>
      <c r="M48" s="11" t="s">
        <v>7</v>
      </c>
      <c r="N48" s="13" t="s">
        <v>451</v>
      </c>
      <c r="O48" s="7">
        <v>1</v>
      </c>
      <c r="P48" s="16" t="s">
        <v>358</v>
      </c>
      <c r="R48" s="3"/>
      <c r="T48" s="7"/>
    </row>
    <row r="49" spans="1:20" hidden="1" x14ac:dyDescent="0.25">
      <c r="A49" s="16" t="str">
        <f t="shared" si="0"/>
        <v>CUSTO DMA -ANDERSON LUEDERS- ABRIL 26</v>
      </c>
      <c r="B49" s="18">
        <v>46113</v>
      </c>
      <c r="C49" s="3">
        <v>817391</v>
      </c>
      <c r="D49" s="3" t="s">
        <v>411</v>
      </c>
      <c r="E49" s="14">
        <f t="shared" si="1"/>
        <v>-880.09738218040923</v>
      </c>
      <c r="F49" s="3" t="s">
        <v>366</v>
      </c>
      <c r="G49" s="18">
        <v>46113</v>
      </c>
      <c r="H49" s="19">
        <v>80783</v>
      </c>
      <c r="I49" s="3" t="str">
        <f>VLOOKUP(H49,'[1]Base de Clientes'!$B:$E,4,0)</f>
        <v>REAL INVESTOR ASSET MANAGEMENT LTDA</v>
      </c>
      <c r="J49" s="5" t="s">
        <v>8</v>
      </c>
      <c r="K49" s="5" t="s">
        <v>121</v>
      </c>
      <c r="L49" s="9">
        <v>880.09738218040923</v>
      </c>
      <c r="M49" s="11" t="s">
        <v>7</v>
      </c>
      <c r="N49" s="13" t="s">
        <v>451</v>
      </c>
      <c r="O49" s="7">
        <v>1</v>
      </c>
      <c r="P49" s="16" t="s">
        <v>290</v>
      </c>
      <c r="R49" s="3"/>
      <c r="T49" s="7"/>
    </row>
    <row r="50" spans="1:20" hidden="1" x14ac:dyDescent="0.25">
      <c r="A50" s="16" t="str">
        <f t="shared" si="0"/>
        <v>CUSTO DMA -CESAR PAIVA- ABRIL 26</v>
      </c>
      <c r="B50" s="18">
        <v>46113</v>
      </c>
      <c r="C50" s="3">
        <v>817391</v>
      </c>
      <c r="D50" s="3" t="s">
        <v>411</v>
      </c>
      <c r="E50" s="14">
        <f t="shared" si="1"/>
        <v>-140.27614512040901</v>
      </c>
      <c r="F50" s="3" t="s">
        <v>366</v>
      </c>
      <c r="G50" s="18">
        <v>46113</v>
      </c>
      <c r="H50" s="19">
        <v>81035</v>
      </c>
      <c r="I50" s="3" t="str">
        <f>VLOOKUP(H50,'[1]Base de Clientes'!$B:$E,4,0)</f>
        <v>REAL INVESTOR ASSET MANAGEMENT LTDA</v>
      </c>
      <c r="J50" s="5" t="s">
        <v>8</v>
      </c>
      <c r="K50" s="5" t="s">
        <v>132</v>
      </c>
      <c r="L50" s="9">
        <v>140.27614512040901</v>
      </c>
      <c r="M50" s="11" t="s">
        <v>7</v>
      </c>
      <c r="N50" s="13" t="s">
        <v>451</v>
      </c>
      <c r="O50" s="7">
        <v>1</v>
      </c>
      <c r="P50" s="16" t="s">
        <v>552</v>
      </c>
      <c r="R50" s="3"/>
      <c r="T50" s="7"/>
    </row>
    <row r="51" spans="1:20" hidden="1" x14ac:dyDescent="0.25">
      <c r="A51" s="16" t="str">
        <f t="shared" si="0"/>
        <v>CUSTO DMA -LEANDRO FIUZA- ABRIL 26</v>
      </c>
      <c r="B51" s="18">
        <v>46113</v>
      </c>
      <c r="C51" s="3">
        <v>817391</v>
      </c>
      <c r="D51" s="3" t="s">
        <v>411</v>
      </c>
      <c r="E51" s="14">
        <f t="shared" si="1"/>
        <v>-140.27614512040901</v>
      </c>
      <c r="F51" s="3" t="s">
        <v>366</v>
      </c>
      <c r="G51" s="18">
        <v>46113</v>
      </c>
      <c r="H51" s="19">
        <v>81035</v>
      </c>
      <c r="I51" s="3" t="str">
        <f>VLOOKUP(H51,'[1]Base de Clientes'!$B:$E,4,0)</f>
        <v>REAL INVESTOR ASSET MANAGEMENT LTDA</v>
      </c>
      <c r="J51" s="5" t="s">
        <v>8</v>
      </c>
      <c r="K51" s="5" t="s">
        <v>152</v>
      </c>
      <c r="L51" s="9">
        <v>140.27614512040901</v>
      </c>
      <c r="M51" s="11" t="s">
        <v>7</v>
      </c>
      <c r="N51" s="13" t="s">
        <v>451</v>
      </c>
      <c r="O51" s="7">
        <v>1</v>
      </c>
      <c r="P51" s="16" t="s">
        <v>553</v>
      </c>
      <c r="R51" s="3"/>
      <c r="T51" s="7"/>
    </row>
    <row r="52" spans="1:20" hidden="1" x14ac:dyDescent="0.25">
      <c r="A52" s="16" t="str">
        <f t="shared" si="0"/>
        <v>CUSTO DMA -RODRIGO SANTOS- ABRIL 26</v>
      </c>
      <c r="B52" s="18">
        <v>46113</v>
      </c>
      <c r="C52" s="3">
        <v>817391</v>
      </c>
      <c r="D52" s="3" t="s">
        <v>411</v>
      </c>
      <c r="E52" s="14">
        <f t="shared" si="1"/>
        <v>-395.63960312040911</v>
      </c>
      <c r="F52" s="3" t="s">
        <v>366</v>
      </c>
      <c r="G52" s="18">
        <v>46113</v>
      </c>
      <c r="H52" s="19">
        <v>80783</v>
      </c>
      <c r="I52" s="3" t="str">
        <f>VLOOKUP(H52,'[1]Base de Clientes'!$B:$E,4,0)</f>
        <v>REAL INVESTOR ASSET MANAGEMENT LTDA</v>
      </c>
      <c r="J52" s="5" t="s">
        <v>8</v>
      </c>
      <c r="K52" s="5" t="s">
        <v>168</v>
      </c>
      <c r="L52" s="9">
        <v>395.63960312040911</v>
      </c>
      <c r="M52" s="11" t="s">
        <v>7</v>
      </c>
      <c r="N52" s="13" t="s">
        <v>451</v>
      </c>
      <c r="O52" s="7">
        <v>1</v>
      </c>
      <c r="P52" s="16" t="s">
        <v>340</v>
      </c>
      <c r="R52" s="3"/>
      <c r="T52" s="7"/>
    </row>
    <row r="53" spans="1:20" hidden="1" x14ac:dyDescent="0.25">
      <c r="A53" s="16" t="str">
        <f t="shared" si="0"/>
        <v>CUSTO DMA -ANDRÉ BLANCO- ABRIL 26</v>
      </c>
      <c r="B53" s="18">
        <v>46113</v>
      </c>
      <c r="C53" s="3">
        <v>817391</v>
      </c>
      <c r="D53" s="3" t="s">
        <v>486</v>
      </c>
      <c r="E53" s="14">
        <f t="shared" si="1"/>
        <v>-250.89509202040904</v>
      </c>
      <c r="F53" s="3" t="s">
        <v>366</v>
      </c>
      <c r="G53" s="18">
        <v>46113</v>
      </c>
      <c r="H53" s="19">
        <v>80217</v>
      </c>
      <c r="I53" s="3" t="str">
        <f>VLOOKUP(H53,'[1]Base de Clientes'!$B:$E,4,0)</f>
        <v>RIO BRAVO INVESTIMENTOS LTDA</v>
      </c>
      <c r="J53" s="5" t="s">
        <v>8</v>
      </c>
      <c r="K53" s="5" t="s">
        <v>118</v>
      </c>
      <c r="L53" s="9">
        <v>250.89509202040904</v>
      </c>
      <c r="M53" s="11" t="s">
        <v>7</v>
      </c>
      <c r="N53" s="13" t="s">
        <v>451</v>
      </c>
      <c r="O53" s="7">
        <v>1</v>
      </c>
      <c r="P53" s="16" t="s">
        <v>287</v>
      </c>
      <c r="R53" s="3"/>
      <c r="T53" s="7"/>
    </row>
    <row r="54" spans="1:20" hidden="1" x14ac:dyDescent="0.25">
      <c r="A54" s="16" t="str">
        <f t="shared" si="0"/>
        <v>CUSTO DMA -ALEXANDRE SALFATIS- ABRIL 26</v>
      </c>
      <c r="B54" s="18">
        <v>46113</v>
      </c>
      <c r="C54" s="3">
        <v>817391</v>
      </c>
      <c r="D54" s="3" t="s">
        <v>405</v>
      </c>
      <c r="E54" s="14">
        <f t="shared" si="1"/>
        <v>-140.27614512040901</v>
      </c>
      <c r="F54" s="3" t="s">
        <v>366</v>
      </c>
      <c r="G54" s="18">
        <v>46113</v>
      </c>
      <c r="H54" s="19">
        <v>79760</v>
      </c>
      <c r="I54" s="3" t="str">
        <f>VLOOKUP(H54,'[1]Base de Clientes'!$B:$E,4,0)</f>
        <v>TAVOLA CAPITAL GESTAO DE RECURSOS LTDA</v>
      </c>
      <c r="J54" s="5" t="s">
        <v>8</v>
      </c>
      <c r="K54" s="5" t="s">
        <v>120</v>
      </c>
      <c r="L54" s="9">
        <v>140.27614512040901</v>
      </c>
      <c r="M54" s="11" t="s">
        <v>7</v>
      </c>
      <c r="N54" s="13" t="s">
        <v>451</v>
      </c>
      <c r="O54" s="7">
        <v>1</v>
      </c>
      <c r="P54" s="16" t="s">
        <v>556</v>
      </c>
      <c r="R54" s="3"/>
      <c r="T54" s="7"/>
    </row>
    <row r="55" spans="1:20" hidden="1" x14ac:dyDescent="0.25">
      <c r="A55" s="16" t="str">
        <f t="shared" si="0"/>
        <v>CUSTO DMA -THIAGO OORTMAN- ABRIL 26</v>
      </c>
      <c r="B55" s="18">
        <v>46113</v>
      </c>
      <c r="C55" s="3">
        <v>817391</v>
      </c>
      <c r="D55" s="3" t="s">
        <v>475</v>
      </c>
      <c r="E55" s="14">
        <f t="shared" si="1"/>
        <v>-728.53909999999996</v>
      </c>
      <c r="F55" s="3" t="s">
        <v>366</v>
      </c>
      <c r="G55" s="18">
        <v>46113</v>
      </c>
      <c r="H55" s="19">
        <v>82241</v>
      </c>
      <c r="I55" s="3" t="str">
        <f>VLOOKUP(H55,'[1]Base de Clientes'!$B:$E,4,0)</f>
        <v>SANTANDER DISTRIBUIDORA DE TITULOS E VALORES MOBILIARIOS S/A</v>
      </c>
      <c r="J55" s="5" t="s">
        <v>8</v>
      </c>
      <c r="K55" s="5" t="s">
        <v>177</v>
      </c>
      <c r="L55" s="9">
        <v>728.53909999999996</v>
      </c>
      <c r="M55" s="11" t="s">
        <v>7</v>
      </c>
      <c r="N55" s="13" t="s">
        <v>451</v>
      </c>
      <c r="O55" s="7">
        <v>1</v>
      </c>
      <c r="P55" s="16" t="s">
        <v>349</v>
      </c>
      <c r="R55" s="3"/>
      <c r="T55" s="7"/>
    </row>
    <row r="56" spans="1:20" hidden="1" x14ac:dyDescent="0.25">
      <c r="A56" s="16" t="str">
        <f t="shared" si="0"/>
        <v>CUSTO DMA -ENRIQUE BALBINO- ABRIL 26</v>
      </c>
      <c r="B56" s="18">
        <v>46113</v>
      </c>
      <c r="C56" s="3">
        <v>817391</v>
      </c>
      <c r="D56" s="3" t="s">
        <v>488</v>
      </c>
      <c r="E56" s="14">
        <f t="shared" si="1"/>
        <v>-198.69184512040906</v>
      </c>
      <c r="F56" s="3" t="s">
        <v>366</v>
      </c>
      <c r="G56" s="18">
        <v>46113</v>
      </c>
      <c r="H56" s="19">
        <v>80515</v>
      </c>
      <c r="I56" s="3" t="str">
        <f>VLOOKUP(H56,'[1]Base de Clientes'!$B:$E,4,0)</f>
        <v>SHARP CAPITAL GESTORA DE RECURSOS LTDA</v>
      </c>
      <c r="J56" s="5" t="s">
        <v>8</v>
      </c>
      <c r="K56" s="5" t="s">
        <v>137</v>
      </c>
      <c r="L56" s="9">
        <v>198.69184512040906</v>
      </c>
      <c r="M56" s="11" t="s">
        <v>7</v>
      </c>
      <c r="N56" s="13" t="s">
        <v>451</v>
      </c>
      <c r="O56" s="7">
        <v>1</v>
      </c>
      <c r="P56" s="16" t="s">
        <v>306</v>
      </c>
      <c r="R56" s="3"/>
      <c r="T56" s="7"/>
    </row>
    <row r="57" spans="1:20" hidden="1" x14ac:dyDescent="0.25">
      <c r="A57" s="16" t="str">
        <f t="shared" si="0"/>
        <v>CUSTO DMA -THEOFILO NETO- ABRIL 26</v>
      </c>
      <c r="B57" s="18">
        <v>46113</v>
      </c>
      <c r="C57" s="3">
        <v>817391</v>
      </c>
      <c r="D57" s="3" t="s">
        <v>488</v>
      </c>
      <c r="E57" s="14">
        <f t="shared" si="1"/>
        <v>-420.99386012040901</v>
      </c>
      <c r="F57" s="3" t="s">
        <v>366</v>
      </c>
      <c r="G57" s="18">
        <v>46113</v>
      </c>
      <c r="H57" s="19">
        <v>80515</v>
      </c>
      <c r="I57" s="3" t="str">
        <f>VLOOKUP(H57,'[1]Base de Clientes'!$B:$E,4,0)</f>
        <v>SHARP CAPITAL GESTORA DE RECURSOS LTDA</v>
      </c>
      <c r="J57" s="5" t="s">
        <v>8</v>
      </c>
      <c r="K57" s="5" t="s">
        <v>176</v>
      </c>
      <c r="L57" s="9">
        <v>420.99386012040901</v>
      </c>
      <c r="M57" s="11" t="s">
        <v>7</v>
      </c>
      <c r="N57" s="13" t="s">
        <v>451</v>
      </c>
      <c r="O57" s="7">
        <v>1</v>
      </c>
      <c r="P57" s="16" t="s">
        <v>348</v>
      </c>
      <c r="R57" s="3"/>
      <c r="T57" s="7"/>
    </row>
    <row r="58" spans="1:20" hidden="1" x14ac:dyDescent="0.25">
      <c r="A58" s="16" t="str">
        <f t="shared" si="0"/>
        <v>CUSTO DMA -BRUNO MARTINS- ABRIL 26</v>
      </c>
      <c r="B58" s="18">
        <v>46113</v>
      </c>
      <c r="C58" s="3">
        <v>817391</v>
      </c>
      <c r="D58" s="3" t="s">
        <v>471</v>
      </c>
      <c r="E58" s="14">
        <f t="shared" si="1"/>
        <v>-140.27614512040901</v>
      </c>
      <c r="F58" s="3" t="s">
        <v>366</v>
      </c>
      <c r="G58" s="18">
        <v>46113</v>
      </c>
      <c r="H58" s="19">
        <v>80047</v>
      </c>
      <c r="I58" s="3" t="str">
        <f>VLOOKUP(H58,'[1]Base de Clientes'!$B:$E,4,0)</f>
        <v>SICREDI ASSET MANAGEMENT LTDA</v>
      </c>
      <c r="J58" s="5" t="s">
        <v>8</v>
      </c>
      <c r="K58" s="5" t="s">
        <v>129</v>
      </c>
      <c r="L58" s="9">
        <v>140.27614512040901</v>
      </c>
      <c r="M58" s="11" t="s">
        <v>7</v>
      </c>
      <c r="N58" s="13" t="s">
        <v>451</v>
      </c>
      <c r="O58" s="7">
        <v>1</v>
      </c>
      <c r="P58" s="16" t="s">
        <v>557</v>
      </c>
      <c r="R58" s="3"/>
      <c r="T58" s="7"/>
    </row>
    <row r="59" spans="1:20" hidden="1" x14ac:dyDescent="0.25">
      <c r="A59" s="16" t="str">
        <f t="shared" si="0"/>
        <v>CUSTO DMA -PIETRO TORTORELI- ABRIL 26</v>
      </c>
      <c r="B59" s="18">
        <v>46113</v>
      </c>
      <c r="C59" s="3">
        <v>817391</v>
      </c>
      <c r="D59" s="3" t="s">
        <v>405</v>
      </c>
      <c r="E59" s="14">
        <f t="shared" si="1"/>
        <v>-756.10228212040909</v>
      </c>
      <c r="F59" s="3" t="s">
        <v>366</v>
      </c>
      <c r="G59" s="18">
        <v>46113</v>
      </c>
      <c r="H59" s="19">
        <v>82551</v>
      </c>
      <c r="I59" s="3" t="str">
        <f>VLOOKUP(H59,'[1]Base de Clientes'!$B:$E,4,0)</f>
        <v>SKOPOS INVESTIMENTOS LTDA</v>
      </c>
      <c r="J59" s="5" t="s">
        <v>8</v>
      </c>
      <c r="K59" s="5" t="s">
        <v>162</v>
      </c>
      <c r="L59" s="9">
        <v>756.10228212040909</v>
      </c>
      <c r="M59" s="11" t="s">
        <v>7</v>
      </c>
      <c r="N59" s="13" t="s">
        <v>451</v>
      </c>
      <c r="O59" s="7">
        <v>1</v>
      </c>
      <c r="P59" s="16" t="s">
        <v>332</v>
      </c>
      <c r="R59" s="3"/>
      <c r="T59" s="7"/>
    </row>
    <row r="60" spans="1:20" hidden="1" x14ac:dyDescent="0.25">
      <c r="A60" s="16" t="str">
        <f t="shared" si="0"/>
        <v>CUSTO DMA -RODRIGO NATALI- ABRIL 26</v>
      </c>
      <c r="B60" s="18">
        <v>46113</v>
      </c>
      <c r="C60" s="3">
        <v>817391</v>
      </c>
      <c r="D60" s="3" t="s">
        <v>405</v>
      </c>
      <c r="E60" s="14">
        <f t="shared" si="1"/>
        <v>-336.35542312040906</v>
      </c>
      <c r="F60" s="3" t="s">
        <v>366</v>
      </c>
      <c r="G60" s="18">
        <v>46113</v>
      </c>
      <c r="H60" s="19">
        <v>82551</v>
      </c>
      <c r="I60" s="3" t="str">
        <f>VLOOKUP(H60,'[1]Base de Clientes'!$B:$E,4,0)</f>
        <v>SKOPOS INVESTIMENTOS LTDA</v>
      </c>
      <c r="J60" s="5" t="s">
        <v>8</v>
      </c>
      <c r="K60" s="5" t="s">
        <v>166</v>
      </c>
      <c r="L60" s="9">
        <v>336.35542312040906</v>
      </c>
      <c r="M60" s="11" t="s">
        <v>7</v>
      </c>
      <c r="N60" s="13" t="s">
        <v>451</v>
      </c>
      <c r="O60" s="7">
        <v>1</v>
      </c>
      <c r="P60" s="16" t="s">
        <v>338</v>
      </c>
      <c r="R60" s="3"/>
      <c r="T60" s="7"/>
    </row>
    <row r="61" spans="1:20" hidden="1" x14ac:dyDescent="0.25">
      <c r="A61" s="16" t="str">
        <f t="shared" si="0"/>
        <v>CUSTO DMA -THIAGO RICCIOLI BORK- ABRIL 26</v>
      </c>
      <c r="B61" s="18">
        <v>46113</v>
      </c>
      <c r="C61" s="3">
        <v>817391</v>
      </c>
      <c r="D61" s="3" t="s">
        <v>405</v>
      </c>
      <c r="E61" s="14">
        <f t="shared" si="1"/>
        <v>-176.18089512040905</v>
      </c>
      <c r="F61" s="3" t="s">
        <v>366</v>
      </c>
      <c r="G61" s="18">
        <v>46113</v>
      </c>
      <c r="H61" s="19">
        <v>82554</v>
      </c>
      <c r="I61" s="3" t="str">
        <f>VLOOKUP(H61,'[1]Base de Clientes'!$B:$E,4,0)</f>
        <v>SKOPOS INVESTIMENTOS LTDA</v>
      </c>
      <c r="J61" s="5" t="s">
        <v>8</v>
      </c>
      <c r="K61" s="5" t="s">
        <v>175</v>
      </c>
      <c r="L61" s="9">
        <v>176.18089512040905</v>
      </c>
      <c r="M61" s="11" t="s">
        <v>7</v>
      </c>
      <c r="N61" s="13" t="s">
        <v>451</v>
      </c>
      <c r="O61" s="7">
        <v>1</v>
      </c>
      <c r="P61" s="16" t="s">
        <v>347</v>
      </c>
      <c r="R61" s="3"/>
      <c r="T61" s="7"/>
    </row>
    <row r="62" spans="1:20" hidden="1" x14ac:dyDescent="0.25">
      <c r="A62" s="16" t="str">
        <f t="shared" si="0"/>
        <v>CUSTO DMA -DANIEL PORTES- ABRIL 26</v>
      </c>
      <c r="B62" s="18">
        <v>46113</v>
      </c>
      <c r="C62" s="3">
        <v>817391</v>
      </c>
      <c r="D62" s="3" t="s">
        <v>480</v>
      </c>
      <c r="E62" s="14">
        <f t="shared" si="1"/>
        <v>-140.27614512040901</v>
      </c>
      <c r="F62" s="3" t="s">
        <v>366</v>
      </c>
      <c r="G62" s="18">
        <v>46113</v>
      </c>
      <c r="H62" s="19">
        <v>81565</v>
      </c>
      <c r="I62" s="3" t="str">
        <f>VLOOKUP(H62,'[1]Base de Clientes'!$B:$E,4,0)</f>
        <v>SPX GESTAO DE RECURSOS LTDA</v>
      </c>
      <c r="J62" s="5" t="s">
        <v>8</v>
      </c>
      <c r="K62" s="5" t="s">
        <v>419</v>
      </c>
      <c r="L62" s="9">
        <v>140.27614512040901</v>
      </c>
      <c r="M62" s="11" t="s">
        <v>7</v>
      </c>
      <c r="N62" s="13" t="s">
        <v>451</v>
      </c>
      <c r="O62" s="7">
        <v>1</v>
      </c>
      <c r="P62" s="16" t="s">
        <v>568</v>
      </c>
      <c r="R62" s="3"/>
      <c r="T62" s="7"/>
    </row>
    <row r="63" spans="1:20" hidden="1" x14ac:dyDescent="0.25">
      <c r="A63" s="16" t="str">
        <f t="shared" ref="A63" si="11">CONCATENATE(J63,M63,K63,M63,N63)</f>
        <v>CUSTO DMA -VITOR BELMIRO- ABRIL 26</v>
      </c>
      <c r="B63" s="18">
        <v>46113</v>
      </c>
      <c r="C63" s="3">
        <v>817391</v>
      </c>
      <c r="D63" s="3" t="s">
        <v>470</v>
      </c>
      <c r="E63" s="14">
        <f t="shared" si="1"/>
        <v>-140.27614512040901</v>
      </c>
      <c r="F63" s="3" t="s">
        <v>366</v>
      </c>
      <c r="G63" s="18">
        <v>46113</v>
      </c>
      <c r="H63" s="19">
        <v>81876</v>
      </c>
      <c r="I63" s="3" t="str">
        <f>VLOOKUP(H63,'[1]Base de Clientes'!$B:$E,4,0)</f>
        <v>STK CAPITAL GESTORA DE RECURSOS LTDA</v>
      </c>
      <c r="J63" s="5" t="s">
        <v>8</v>
      </c>
      <c r="K63" s="5" t="s">
        <v>181</v>
      </c>
      <c r="L63" s="9">
        <v>140.27614512040901</v>
      </c>
      <c r="M63" s="11" t="s">
        <v>7</v>
      </c>
      <c r="N63" s="13" t="s">
        <v>451</v>
      </c>
      <c r="O63" s="7">
        <v>1</v>
      </c>
      <c r="P63" s="16" t="s">
        <v>569</v>
      </c>
      <c r="R63" s="3"/>
      <c r="T63" s="7"/>
    </row>
    <row r="64" spans="1:20" hidden="1" x14ac:dyDescent="0.25">
      <c r="A64" s="16" t="str">
        <f t="shared" si="0"/>
        <v>CUSTO DMA -CARLOS EDUARDO MAIA - ABRIL 26</v>
      </c>
      <c r="B64" s="18">
        <v>46113</v>
      </c>
      <c r="C64" s="3">
        <v>817391</v>
      </c>
      <c r="D64" s="3" t="s">
        <v>408</v>
      </c>
      <c r="E64" s="14">
        <f t="shared" si="1"/>
        <v>-169.08235512040903</v>
      </c>
      <c r="F64" s="3" t="s">
        <v>366</v>
      </c>
      <c r="G64" s="18">
        <v>46113</v>
      </c>
      <c r="H64" s="19">
        <v>12262</v>
      </c>
      <c r="I64" s="3" t="str">
        <f>VLOOKUP(H64,'[1]Base de Clientes'!$B:$E,4,0)</f>
        <v>TEMPO CAPITAL GESTAO DE RECURSOS LTDA</v>
      </c>
      <c r="J64" s="5" t="s">
        <v>8</v>
      </c>
      <c r="K64" s="5" t="s">
        <v>130</v>
      </c>
      <c r="L64" s="9">
        <v>169.08235512040903</v>
      </c>
      <c r="M64" s="11" t="s">
        <v>7</v>
      </c>
      <c r="N64" s="13" t="s">
        <v>451</v>
      </c>
      <c r="O64" s="7">
        <v>1</v>
      </c>
      <c r="P64" s="16" t="s">
        <v>299</v>
      </c>
      <c r="R64" s="3"/>
      <c r="T64" s="7"/>
    </row>
    <row r="65" spans="1:20" hidden="1" x14ac:dyDescent="0.25">
      <c r="A65" s="16" t="str">
        <f t="shared" si="0"/>
        <v>CUSTO DMA -JULIO SAMPAIO- ABRIL 26</v>
      </c>
      <c r="B65" s="18">
        <v>46113</v>
      </c>
      <c r="C65" s="3">
        <v>817391</v>
      </c>
      <c r="D65" s="3" t="s">
        <v>490</v>
      </c>
      <c r="E65" s="14">
        <f t="shared" si="1"/>
        <v>-171.95614512040905</v>
      </c>
      <c r="F65" s="3" t="s">
        <v>366</v>
      </c>
      <c r="G65" s="18">
        <v>46113</v>
      </c>
      <c r="H65" s="19">
        <v>82759</v>
      </c>
      <c r="I65" s="3" t="str">
        <f>VLOOKUP(H65,'[1]Base de Clientes'!$B:$E,4,0)</f>
        <v>TRACK CAPITAL GESTAO DE RECURSOS LTDA</v>
      </c>
      <c r="J65" s="5" t="s">
        <v>8</v>
      </c>
      <c r="K65" s="5" t="s">
        <v>151</v>
      </c>
      <c r="L65" s="9">
        <v>171.95614512040905</v>
      </c>
      <c r="M65" s="11" t="s">
        <v>7</v>
      </c>
      <c r="N65" s="13" t="s">
        <v>451</v>
      </c>
      <c r="O65" s="7">
        <v>1</v>
      </c>
      <c r="P65" s="16" t="s">
        <v>321</v>
      </c>
      <c r="R65" s="3"/>
      <c r="T65" s="7"/>
    </row>
    <row r="66" spans="1:20" hidden="1" x14ac:dyDescent="0.25">
      <c r="A66" s="16" t="str">
        <f t="shared" si="0"/>
        <v>CUSTO DMA -DANILO GALVAO- ABRIL 26</v>
      </c>
      <c r="B66" s="18">
        <v>46113</v>
      </c>
      <c r="C66" s="3">
        <v>817391</v>
      </c>
      <c r="D66" s="3" t="s">
        <v>480</v>
      </c>
      <c r="E66" s="14">
        <f t="shared" si="1"/>
        <v>-965.3080751204086</v>
      </c>
      <c r="F66" s="3" t="s">
        <v>366</v>
      </c>
      <c r="G66" s="18">
        <v>46113</v>
      </c>
      <c r="H66" s="19">
        <v>12402</v>
      </c>
      <c r="I66" s="3" t="str">
        <f>VLOOKUP(H66,'[1]Base de Clientes'!$B:$E,4,0)</f>
        <v>TRUXT INVESTIMENTOS LTDA</v>
      </c>
      <c r="J66" s="5" t="s">
        <v>8</v>
      </c>
      <c r="K66" s="5" t="s">
        <v>134</v>
      </c>
      <c r="L66" s="9">
        <v>965.3080751204086</v>
      </c>
      <c r="M66" s="11" t="s">
        <v>7</v>
      </c>
      <c r="N66" s="13" t="s">
        <v>451</v>
      </c>
      <c r="O66" s="7">
        <v>1</v>
      </c>
      <c r="P66" s="16" t="s">
        <v>303</v>
      </c>
      <c r="R66" s="3"/>
      <c r="T66" s="7"/>
    </row>
    <row r="67" spans="1:20" hidden="1" x14ac:dyDescent="0.25">
      <c r="A67" s="16" t="str">
        <f t="shared" si="0"/>
        <v>CUSTO DMA -ULISSES GORITO- ABRIL 26</v>
      </c>
      <c r="B67" s="18">
        <v>46113</v>
      </c>
      <c r="C67" s="3">
        <v>817391</v>
      </c>
      <c r="D67" s="3" t="s">
        <v>488</v>
      </c>
      <c r="E67" s="14">
        <f t="shared" si="1"/>
        <v>-140.27614512040901</v>
      </c>
      <c r="F67" s="3" t="s">
        <v>366</v>
      </c>
      <c r="G67" s="18">
        <v>46113</v>
      </c>
      <c r="H67" s="19">
        <v>12402</v>
      </c>
      <c r="I67" s="3" t="str">
        <f>VLOOKUP(H67,'[1]Base de Clientes'!$B:$E,4,0)</f>
        <v>TRUXT INVESTIMENTOS LTDA</v>
      </c>
      <c r="J67" s="5" t="s">
        <v>8</v>
      </c>
      <c r="K67" s="5" t="s">
        <v>180</v>
      </c>
      <c r="L67" s="9">
        <v>140.27614512040901</v>
      </c>
      <c r="M67" s="11" t="s">
        <v>7</v>
      </c>
      <c r="N67" s="13" t="s">
        <v>451</v>
      </c>
      <c r="O67" s="7">
        <v>1</v>
      </c>
      <c r="P67" s="16" t="s">
        <v>559</v>
      </c>
      <c r="R67" s="3"/>
      <c r="T67" s="7"/>
    </row>
    <row r="68" spans="1:20" hidden="1" x14ac:dyDescent="0.25">
      <c r="A68" s="16" t="str">
        <f t="shared" si="0"/>
        <v>CUSTO DMA -FABIO DANTAS- ABRIL 26</v>
      </c>
      <c r="B68" s="18">
        <v>46113</v>
      </c>
      <c r="C68" s="3">
        <v>817391</v>
      </c>
      <c r="D68" s="3" t="s">
        <v>489</v>
      </c>
      <c r="E68" s="14">
        <f t="shared" si="1"/>
        <v>-140.75012112040903</v>
      </c>
      <c r="F68" s="3" t="s">
        <v>366</v>
      </c>
      <c r="G68" s="18">
        <v>46113</v>
      </c>
      <c r="H68" s="19">
        <v>125565</v>
      </c>
      <c r="I68" s="3" t="str">
        <f>VLOOKUP(H68,'[1]Base de Clientes'!$B:$E,4,0)</f>
        <v>V8 CAPITAL GESTAO DE INVESTIMENTOS LTDA</v>
      </c>
      <c r="J68" s="5" t="s">
        <v>8</v>
      </c>
      <c r="K68" s="5" t="s">
        <v>140</v>
      </c>
      <c r="L68" s="9">
        <v>140.75012112040903</v>
      </c>
      <c r="M68" s="11" t="s">
        <v>7</v>
      </c>
      <c r="N68" s="13" t="s">
        <v>451</v>
      </c>
      <c r="O68" s="7">
        <v>1</v>
      </c>
      <c r="P68" s="16" t="s">
        <v>309</v>
      </c>
      <c r="R68" s="3"/>
      <c r="T68" s="7"/>
    </row>
    <row r="69" spans="1:20" hidden="1" x14ac:dyDescent="0.25">
      <c r="A69" s="16" t="str">
        <f t="shared" si="0"/>
        <v>CUSTO DMA -SERGIO CORDONI- ABRIL 26</v>
      </c>
      <c r="B69" s="18">
        <v>46113</v>
      </c>
      <c r="C69" s="3">
        <v>817391</v>
      </c>
      <c r="D69" s="3" t="s">
        <v>489</v>
      </c>
      <c r="E69" s="14">
        <f t="shared" si="1"/>
        <v>-140.27614512040901</v>
      </c>
      <c r="F69" s="3" t="s">
        <v>366</v>
      </c>
      <c r="G69" s="18">
        <v>46113</v>
      </c>
      <c r="H69" s="19">
        <v>125565</v>
      </c>
      <c r="I69" s="3" t="str">
        <f>VLOOKUP(H69,'[1]Base de Clientes'!$B:$E,4,0)</f>
        <v>V8 CAPITAL GESTAO DE INVESTIMENTOS LTDA</v>
      </c>
      <c r="J69" s="5" t="s">
        <v>8</v>
      </c>
      <c r="K69" s="5" t="s">
        <v>172</v>
      </c>
      <c r="L69" s="9">
        <v>140.27614512040901</v>
      </c>
      <c r="M69" s="11" t="s">
        <v>7</v>
      </c>
      <c r="N69" s="13" t="s">
        <v>451</v>
      </c>
      <c r="O69" s="7">
        <v>1</v>
      </c>
      <c r="P69" s="16" t="s">
        <v>560</v>
      </c>
      <c r="R69" s="3"/>
      <c r="T69" s="7"/>
    </row>
    <row r="70" spans="1:20" hidden="1" x14ac:dyDescent="0.25">
      <c r="A70" s="16" t="str">
        <f t="shared" si="0"/>
        <v>CUSTO DMA. -JOÃO CARUSO- ABRIL 26</v>
      </c>
      <c r="B70" s="18">
        <v>46113</v>
      </c>
      <c r="C70" s="3">
        <v>817391</v>
      </c>
      <c r="D70" s="3" t="s">
        <v>470</v>
      </c>
      <c r="E70" s="14">
        <f t="shared" si="1"/>
        <v>-140.27614512040901</v>
      </c>
      <c r="F70" s="3" t="s">
        <v>366</v>
      </c>
      <c r="G70" s="18">
        <v>46113</v>
      </c>
      <c r="H70" s="19">
        <v>80359</v>
      </c>
      <c r="I70" s="3" t="str">
        <f>VLOOKUP(H70,'[1]Base de Clientes'!$B:$E,4,0)</f>
        <v>VINLAND CAPITAL MANAGEMENT GESTORA DE RECURSOS LTDA</v>
      </c>
      <c r="J70" s="5" t="s">
        <v>15</v>
      </c>
      <c r="K70" s="5" t="s">
        <v>92</v>
      </c>
      <c r="L70" s="9">
        <v>140.27614512040901</v>
      </c>
      <c r="M70" s="11" t="s">
        <v>7</v>
      </c>
      <c r="N70" s="13" t="s">
        <v>451</v>
      </c>
      <c r="O70" s="7">
        <v>1</v>
      </c>
      <c r="P70" s="16" t="s">
        <v>561</v>
      </c>
      <c r="R70" s="3"/>
      <c r="T70" s="7"/>
    </row>
    <row r="71" spans="1:20" hidden="1" x14ac:dyDescent="0.25">
      <c r="A71" s="16" t="str">
        <f t="shared" si="0"/>
        <v>CUSTO DMA. -VINICIO HUANG- ABRIL 26</v>
      </c>
      <c r="B71" s="18">
        <v>46113</v>
      </c>
      <c r="C71" s="3">
        <v>817391</v>
      </c>
      <c r="D71" s="3" t="s">
        <v>470</v>
      </c>
      <c r="E71" s="14">
        <f t="shared" si="1"/>
        <v>-140.27614512040901</v>
      </c>
      <c r="F71" s="3" t="s">
        <v>366</v>
      </c>
      <c r="G71" s="18">
        <v>46113</v>
      </c>
      <c r="H71" s="19">
        <v>80359</v>
      </c>
      <c r="I71" s="3" t="str">
        <f>VLOOKUP(H71,'[1]Base de Clientes'!$B:$E,4,0)</f>
        <v>VINLAND CAPITAL MANAGEMENT GESTORA DE RECURSOS LTDA</v>
      </c>
      <c r="J71" s="5" t="s">
        <v>15</v>
      </c>
      <c r="K71" s="5" t="s">
        <v>107</v>
      </c>
      <c r="L71" s="9">
        <v>140.27614512040901</v>
      </c>
      <c r="M71" s="11" t="s">
        <v>7</v>
      </c>
      <c r="N71" s="13" t="s">
        <v>451</v>
      </c>
      <c r="O71" s="7">
        <v>1</v>
      </c>
      <c r="P71" s="16" t="s">
        <v>570</v>
      </c>
      <c r="R71" s="3"/>
      <c r="T71" s="7"/>
    </row>
    <row r="72" spans="1:20" hidden="1" x14ac:dyDescent="0.25">
      <c r="A72" s="16" t="str">
        <f t="shared" si="0"/>
        <v>CUSTO DMA -BRUNO GUEDES- ABRIL 26</v>
      </c>
      <c r="B72" s="18">
        <v>46113</v>
      </c>
      <c r="C72" s="3">
        <v>817391</v>
      </c>
      <c r="D72" s="3" t="s">
        <v>407</v>
      </c>
      <c r="E72" s="14">
        <f t="shared" si="1"/>
        <v>-521.93057399999998</v>
      </c>
      <c r="F72" s="3" t="s">
        <v>364</v>
      </c>
      <c r="G72" s="18">
        <v>46113</v>
      </c>
      <c r="H72" s="19">
        <v>15501</v>
      </c>
      <c r="I72" s="3" t="str">
        <f>VLOOKUP(H72,'[1]Base de Clientes'!$B:$E,4,0)</f>
        <v>BANCO BTG PACTUAL S/A</v>
      </c>
      <c r="J72" s="5" t="s">
        <v>8</v>
      </c>
      <c r="K72" s="5" t="s">
        <v>86</v>
      </c>
      <c r="L72" s="9">
        <v>521.93057399999998</v>
      </c>
      <c r="M72" s="11" t="s">
        <v>7</v>
      </c>
      <c r="N72" s="13" t="s">
        <v>451</v>
      </c>
      <c r="O72" s="7">
        <v>1</v>
      </c>
      <c r="P72" s="16" t="s">
        <v>255</v>
      </c>
      <c r="R72" s="3"/>
      <c r="T72" s="7"/>
    </row>
    <row r="73" spans="1:20" hidden="1" x14ac:dyDescent="0.25">
      <c r="A73" s="16" t="str">
        <f t="shared" si="0"/>
        <v>CUSTO DMA -EDUARDO BRESSAN- ABRIL 26</v>
      </c>
      <c r="B73" s="18">
        <v>46113</v>
      </c>
      <c r="C73" s="3">
        <v>817391</v>
      </c>
      <c r="D73" s="3" t="s">
        <v>471</v>
      </c>
      <c r="E73" s="14">
        <f t="shared" si="1"/>
        <v>-111.82545</v>
      </c>
      <c r="F73" s="3" t="s">
        <v>364</v>
      </c>
      <c r="G73" s="18">
        <v>46113</v>
      </c>
      <c r="H73" s="19">
        <v>15501</v>
      </c>
      <c r="I73" s="3" t="str">
        <f>VLOOKUP(H73,'[1]Base de Clientes'!$B:$E,4,0)</f>
        <v>BANCO BTG PACTUAL S/A</v>
      </c>
      <c r="J73" s="5" t="s">
        <v>8</v>
      </c>
      <c r="K73" s="5" t="s">
        <v>88</v>
      </c>
      <c r="L73" s="9">
        <v>111.82545</v>
      </c>
      <c r="M73" s="11" t="s">
        <v>7</v>
      </c>
      <c r="N73" s="13" t="s">
        <v>451</v>
      </c>
      <c r="O73" s="7">
        <v>1</v>
      </c>
      <c r="P73" s="16" t="s">
        <v>257</v>
      </c>
      <c r="R73" s="3"/>
      <c r="T73" s="7"/>
    </row>
    <row r="74" spans="1:20" hidden="1" x14ac:dyDescent="0.25">
      <c r="A74" s="16" t="str">
        <f t="shared" ref="A74" si="12">CONCATENATE(J74,M74,K74,M74,N74)</f>
        <v>CUSTO DMA -FELIPE BEDIAGA- ABRIL 26</v>
      </c>
      <c r="B74" s="18">
        <v>46113</v>
      </c>
      <c r="C74" s="3">
        <v>817391</v>
      </c>
      <c r="D74" s="3" t="s">
        <v>400</v>
      </c>
      <c r="E74" s="14">
        <f t="shared" si="1"/>
        <v>-111.82545</v>
      </c>
      <c r="F74" s="3" t="s">
        <v>364</v>
      </c>
      <c r="G74" s="18">
        <v>46113</v>
      </c>
      <c r="H74" s="19">
        <v>15501</v>
      </c>
      <c r="I74" s="3" t="str">
        <f>VLOOKUP(H74,'[1]Base de Clientes'!$B:$E,4,0)</f>
        <v>BANCO BTG PACTUAL S/A</v>
      </c>
      <c r="J74" s="5" t="s">
        <v>8</v>
      </c>
      <c r="K74" s="5" t="s">
        <v>89</v>
      </c>
      <c r="L74" s="9">
        <v>111.82545</v>
      </c>
      <c r="M74" s="11" t="s">
        <v>7</v>
      </c>
      <c r="N74" s="13" t="s">
        <v>451</v>
      </c>
      <c r="O74" s="7">
        <v>1</v>
      </c>
      <c r="P74" s="16" t="s">
        <v>258</v>
      </c>
      <c r="R74" s="3"/>
      <c r="T74" s="7"/>
    </row>
    <row r="75" spans="1:20" hidden="1" x14ac:dyDescent="0.25">
      <c r="A75" s="16" t="str">
        <f t="shared" si="0"/>
        <v>CUSTO DMA -RICARDO CAIXETA- ABRIL 26</v>
      </c>
      <c r="B75" s="18">
        <v>46113</v>
      </c>
      <c r="C75" s="3">
        <v>817391</v>
      </c>
      <c r="D75" s="3" t="s">
        <v>400</v>
      </c>
      <c r="E75" s="14">
        <f t="shared" si="1"/>
        <v>-111.82545</v>
      </c>
      <c r="F75" s="3" t="s">
        <v>364</v>
      </c>
      <c r="G75" s="18">
        <v>46113</v>
      </c>
      <c r="H75" s="19">
        <v>15501</v>
      </c>
      <c r="I75" s="3" t="str">
        <f>VLOOKUP(H75,'[1]Base de Clientes'!$B:$E,4,0)</f>
        <v>BANCO BTG PACTUAL S/A</v>
      </c>
      <c r="J75" s="5" t="s">
        <v>8</v>
      </c>
      <c r="K75" s="5" t="s">
        <v>102</v>
      </c>
      <c r="L75" s="9">
        <v>111.82545</v>
      </c>
      <c r="M75" s="11" t="s">
        <v>7</v>
      </c>
      <c r="N75" s="13" t="s">
        <v>451</v>
      </c>
      <c r="O75" s="7">
        <v>1</v>
      </c>
      <c r="P75" s="16" t="s">
        <v>271</v>
      </c>
      <c r="R75" s="3"/>
      <c r="T75" s="7"/>
    </row>
    <row r="76" spans="1:20" hidden="1" x14ac:dyDescent="0.25">
      <c r="A76" s="16" t="str">
        <f t="shared" si="0"/>
        <v>CUSTO DMA -SERGIO ALMEIDA- ABRIL 26</v>
      </c>
      <c r="B76" s="18">
        <v>46113</v>
      </c>
      <c r="C76" s="3">
        <v>817391</v>
      </c>
      <c r="D76" s="3" t="s">
        <v>406</v>
      </c>
      <c r="E76" s="14">
        <f t="shared" si="1"/>
        <v>-888.18299999999999</v>
      </c>
      <c r="F76" s="3" t="s">
        <v>364</v>
      </c>
      <c r="G76" s="18">
        <v>46113</v>
      </c>
      <c r="H76" s="19">
        <v>15501</v>
      </c>
      <c r="I76" s="3" t="str">
        <f>VLOOKUP(H76,'[1]Base de Clientes'!$B:$E,4,0)</f>
        <v>BANCO BTG PACTUAL S/A</v>
      </c>
      <c r="J76" s="5" t="s">
        <v>8</v>
      </c>
      <c r="K76" s="5" t="s">
        <v>103</v>
      </c>
      <c r="L76" s="9">
        <v>1776.366</v>
      </c>
      <c r="M76" s="11" t="s">
        <v>7</v>
      </c>
      <c r="N76" s="13" t="s">
        <v>451</v>
      </c>
      <c r="O76" s="7">
        <v>0.5</v>
      </c>
      <c r="P76" s="16" t="s">
        <v>272</v>
      </c>
      <c r="R76" s="3"/>
      <c r="T76" s="7"/>
    </row>
    <row r="77" spans="1:20" hidden="1" x14ac:dyDescent="0.25">
      <c r="A77" s="16" t="str">
        <f t="shared" ref="A77" si="13">CONCATENATE(J77,M77,K77,M77,N77)</f>
        <v>CUSTO DMA -SERGIO ALMEIDA- ABRIL 26</v>
      </c>
      <c r="B77" s="18">
        <v>46113</v>
      </c>
      <c r="C77" s="3">
        <v>817391</v>
      </c>
      <c r="D77" s="3" t="s">
        <v>407</v>
      </c>
      <c r="E77" s="14">
        <f t="shared" ref="E77" si="14">-L77*O77</f>
        <v>-888.18299999999999</v>
      </c>
      <c r="F77" s="3" t="s">
        <v>364</v>
      </c>
      <c r="G77" s="18">
        <v>46113</v>
      </c>
      <c r="H77" s="19">
        <v>15501</v>
      </c>
      <c r="I77" s="3" t="str">
        <f>VLOOKUP(H77,'[1]Base de Clientes'!$B:$E,4,0)</f>
        <v>BANCO BTG PACTUAL S/A</v>
      </c>
      <c r="J77" s="5" t="s">
        <v>8</v>
      </c>
      <c r="K77" s="5" t="s">
        <v>103</v>
      </c>
      <c r="L77" s="9">
        <v>1776.366</v>
      </c>
      <c r="M77" s="11" t="s">
        <v>7</v>
      </c>
      <c r="N77" s="13" t="s">
        <v>451</v>
      </c>
      <c r="O77" s="7">
        <v>0.5</v>
      </c>
      <c r="P77" s="16" t="s">
        <v>272</v>
      </c>
      <c r="R77" s="3"/>
      <c r="T77" s="7"/>
    </row>
    <row r="78" spans="1:20" hidden="1" x14ac:dyDescent="0.25">
      <c r="A78" s="16" t="str">
        <f t="shared" si="0"/>
        <v>CUSTO DMA -VINICIUS CARVALHO- ABRIL 26</v>
      </c>
      <c r="B78" s="18">
        <v>46113</v>
      </c>
      <c r="C78" s="3">
        <v>817391</v>
      </c>
      <c r="D78" s="3" t="s">
        <v>406</v>
      </c>
      <c r="E78" s="14">
        <f t="shared" si="1"/>
        <v>-166.61456999999999</v>
      </c>
      <c r="F78" s="3" t="s">
        <v>364</v>
      </c>
      <c r="G78" s="18">
        <v>46113</v>
      </c>
      <c r="H78" s="19">
        <v>15501</v>
      </c>
      <c r="I78" s="3" t="str">
        <f>VLOOKUP(H78,'[1]Base de Clientes'!$B:$E,4,0)</f>
        <v>BANCO BTG PACTUAL S/A</v>
      </c>
      <c r="J78" s="5" t="s">
        <v>8</v>
      </c>
      <c r="K78" s="5" t="s">
        <v>108</v>
      </c>
      <c r="L78" s="9">
        <v>166.61456999999999</v>
      </c>
      <c r="M78" s="11" t="s">
        <v>7</v>
      </c>
      <c r="N78" s="13" t="s">
        <v>451</v>
      </c>
      <c r="O78" s="7">
        <v>1</v>
      </c>
      <c r="P78" s="16" t="s">
        <v>277</v>
      </c>
      <c r="R78" s="3"/>
      <c r="T78" s="7"/>
    </row>
    <row r="79" spans="1:20" hidden="1" x14ac:dyDescent="0.25">
      <c r="A79" s="16" t="str">
        <f t="shared" si="0"/>
        <v>CUSTO DMA -WELLINGTON DIAS PEREIRA- ABRIL 26</v>
      </c>
      <c r="B79" s="18">
        <v>46113</v>
      </c>
      <c r="C79" s="3">
        <v>817391</v>
      </c>
      <c r="D79" s="3" t="s">
        <v>471</v>
      </c>
      <c r="E79" s="14">
        <f t="shared" ref="E79:E142" si="15">-L79*O79</f>
        <v>-111.82545</v>
      </c>
      <c r="F79" s="3" t="s">
        <v>364</v>
      </c>
      <c r="G79" s="18">
        <v>46113</v>
      </c>
      <c r="H79" s="19">
        <v>15501</v>
      </c>
      <c r="I79" s="3" t="str">
        <f>VLOOKUP(H79,'[1]Base de Clientes'!$B:$E,4,0)</f>
        <v>BANCO BTG PACTUAL S/A</v>
      </c>
      <c r="J79" s="5" t="s">
        <v>8</v>
      </c>
      <c r="K79" s="5" t="s">
        <v>110</v>
      </c>
      <c r="L79" s="9">
        <v>111.82545</v>
      </c>
      <c r="M79" s="11" t="s">
        <v>7</v>
      </c>
      <c r="N79" s="13" t="s">
        <v>451</v>
      </c>
      <c r="O79" s="7">
        <v>1</v>
      </c>
      <c r="P79" s="16" t="s">
        <v>279</v>
      </c>
      <c r="R79" s="3"/>
      <c r="T79" s="7"/>
    </row>
    <row r="80" spans="1:20" hidden="1" x14ac:dyDescent="0.25">
      <c r="A80" s="16" t="str">
        <f t="shared" si="0"/>
        <v>CUSTO DMA. -BRUNO PEROTTONI- ABRIL 26</v>
      </c>
      <c r="B80" s="18">
        <v>46113</v>
      </c>
      <c r="C80" s="3">
        <v>817391</v>
      </c>
      <c r="D80" s="3" t="s">
        <v>487</v>
      </c>
      <c r="E80" s="14">
        <f t="shared" si="15"/>
        <v>-163.83231000000001</v>
      </c>
      <c r="F80" s="3" t="s">
        <v>364</v>
      </c>
      <c r="G80" s="18">
        <v>46113</v>
      </c>
      <c r="H80" s="19">
        <v>81794</v>
      </c>
      <c r="I80" s="3" t="str">
        <f>VLOOKUP(H80,'[1]Base de Clientes'!$B:$E,4,0)</f>
        <v>BRAZA BANK S/A BANCO DE CAMBIO</v>
      </c>
      <c r="J80" s="5" t="s">
        <v>15</v>
      </c>
      <c r="K80" s="5" t="s">
        <v>416</v>
      </c>
      <c r="L80" s="9">
        <v>163.83231000000001</v>
      </c>
      <c r="M80" s="11" t="s">
        <v>7</v>
      </c>
      <c r="N80" s="13" t="s">
        <v>451</v>
      </c>
      <c r="O80" s="7">
        <v>1</v>
      </c>
      <c r="P80" s="16" t="s">
        <v>425</v>
      </c>
      <c r="R80" s="3"/>
      <c r="T80" s="7"/>
    </row>
    <row r="81" spans="1:20" hidden="1" x14ac:dyDescent="0.25">
      <c r="A81" s="16" t="str">
        <f t="shared" si="0"/>
        <v>CUSTO DMA -GUSTAVO BEVILACQUA- ABRIL 26</v>
      </c>
      <c r="B81" s="18">
        <v>46113</v>
      </c>
      <c r="C81" s="3">
        <v>817391</v>
      </c>
      <c r="D81" s="3" t="s">
        <v>487</v>
      </c>
      <c r="E81" s="14">
        <f t="shared" si="15"/>
        <v>-565.60135500000001</v>
      </c>
      <c r="F81" s="3" t="s">
        <v>364</v>
      </c>
      <c r="G81" s="18">
        <v>46113</v>
      </c>
      <c r="H81" s="19">
        <v>81794</v>
      </c>
      <c r="I81" s="3" t="str">
        <f>VLOOKUP(H81,'[1]Base de Clientes'!$B:$E,4,0)</f>
        <v>BRAZA BANK S/A BANCO DE CAMBIO</v>
      </c>
      <c r="J81" s="5" t="s">
        <v>8</v>
      </c>
      <c r="K81" s="5" t="s">
        <v>417</v>
      </c>
      <c r="L81" s="9">
        <v>565.60135500000001</v>
      </c>
      <c r="M81" s="11" t="s">
        <v>7</v>
      </c>
      <c r="N81" s="13" t="s">
        <v>451</v>
      </c>
      <c r="O81" s="7">
        <v>1</v>
      </c>
      <c r="P81" s="16" t="s">
        <v>426</v>
      </c>
      <c r="R81" s="3"/>
      <c r="T81" s="7"/>
    </row>
    <row r="82" spans="1:20" hidden="1" x14ac:dyDescent="0.25">
      <c r="A82" s="16" t="str">
        <f t="shared" si="0"/>
        <v>CUSTO DMA -RONAN BOTELHO- ABRIL 26</v>
      </c>
      <c r="B82" s="18">
        <v>46113</v>
      </c>
      <c r="C82" s="3">
        <v>817391</v>
      </c>
      <c r="D82" s="3" t="s">
        <v>405</v>
      </c>
      <c r="E82" s="14">
        <f t="shared" si="15"/>
        <v>-159.57363303</v>
      </c>
      <c r="F82" s="3" t="s">
        <v>364</v>
      </c>
      <c r="G82" s="18">
        <v>46113</v>
      </c>
      <c r="H82" s="19">
        <v>83000</v>
      </c>
      <c r="I82" s="3" t="str">
        <f>VLOOKUP(H82,'[1]Base de Clientes'!$B:$E,4,0)</f>
        <v>BRM CARBYNE GESTAO DE RECURSOS S/A</v>
      </c>
      <c r="J82" s="5" t="s">
        <v>8</v>
      </c>
      <c r="K82" s="5" t="s">
        <v>85</v>
      </c>
      <c r="L82" s="9">
        <v>319.14726605999999</v>
      </c>
      <c r="M82" s="11" t="s">
        <v>7</v>
      </c>
      <c r="N82" s="13" t="s">
        <v>451</v>
      </c>
      <c r="O82" s="7">
        <v>0.5</v>
      </c>
      <c r="P82" s="16" t="s">
        <v>254</v>
      </c>
      <c r="R82" s="3"/>
      <c r="T82" s="7"/>
    </row>
    <row r="83" spans="1:20" hidden="1" x14ac:dyDescent="0.25">
      <c r="A83" s="16" t="str">
        <f t="shared" ref="A83:A84" si="16">CONCATENATE(J83,M83,K83,M83,N83)</f>
        <v>CUSTO DMA -RONAN BOTELHO- ABRIL 26</v>
      </c>
      <c r="B83" s="18">
        <v>46113</v>
      </c>
      <c r="C83" s="3">
        <v>817391</v>
      </c>
      <c r="D83" s="3" t="s">
        <v>481</v>
      </c>
      <c r="E83" s="14">
        <f t="shared" ref="E83:E84" si="17">-L83*O83</f>
        <v>-159.57363303</v>
      </c>
      <c r="F83" s="3" t="s">
        <v>364</v>
      </c>
      <c r="G83" s="18">
        <v>46113</v>
      </c>
      <c r="H83" s="19">
        <v>83000</v>
      </c>
      <c r="I83" s="3" t="str">
        <f>VLOOKUP(H83,'[1]Base de Clientes'!$B:$E,4,0)</f>
        <v>BRM CARBYNE GESTAO DE RECURSOS S/A</v>
      </c>
      <c r="J83" s="5" t="s">
        <v>8</v>
      </c>
      <c r="K83" s="5" t="s">
        <v>85</v>
      </c>
      <c r="L83" s="9">
        <v>319.14726605999999</v>
      </c>
      <c r="M83" s="11" t="s">
        <v>7</v>
      </c>
      <c r="N83" s="13" t="s">
        <v>451</v>
      </c>
      <c r="O83" s="7">
        <v>0.5</v>
      </c>
      <c r="P83" s="16" t="s">
        <v>254</v>
      </c>
      <c r="R83" s="3"/>
      <c r="T83" s="7"/>
    </row>
    <row r="84" spans="1:20" hidden="1" x14ac:dyDescent="0.25">
      <c r="A84" s="16" t="str">
        <f t="shared" si="16"/>
        <v>CUSTO DMA -BARNEY SILVA- ABRIL 26</v>
      </c>
      <c r="B84" s="18">
        <v>46113</v>
      </c>
      <c r="C84" s="3">
        <v>817391</v>
      </c>
      <c r="D84" s="3" t="s">
        <v>405</v>
      </c>
      <c r="E84" s="14">
        <f t="shared" si="17"/>
        <v>-834.77023459425004</v>
      </c>
      <c r="F84" s="3" t="s">
        <v>364</v>
      </c>
      <c r="G84" s="18">
        <v>46113</v>
      </c>
      <c r="H84" s="19">
        <v>83000</v>
      </c>
      <c r="I84" s="3" t="str">
        <f>VLOOKUP(H84,'[1]Base de Clientes'!$B:$E,4,0)</f>
        <v>BRM CARBYNE GESTAO DE RECURSOS S/A</v>
      </c>
      <c r="J84" s="5" t="s">
        <v>8</v>
      </c>
      <c r="K84" s="5" t="s">
        <v>104</v>
      </c>
      <c r="L84" s="9">
        <v>1669.5404691885001</v>
      </c>
      <c r="M84" s="11" t="s">
        <v>7</v>
      </c>
      <c r="N84" s="13" t="s">
        <v>451</v>
      </c>
      <c r="O84" s="7">
        <v>0.5</v>
      </c>
      <c r="P84" s="16" t="s">
        <v>273</v>
      </c>
      <c r="R84" s="3"/>
      <c r="T84" s="7"/>
    </row>
    <row r="85" spans="1:20" hidden="1" x14ac:dyDescent="0.25">
      <c r="A85" s="16" t="str">
        <f t="shared" si="0"/>
        <v>CUSTO DMA -BARNEY SILVA- ABRIL 26</v>
      </c>
      <c r="B85" s="18">
        <v>46113</v>
      </c>
      <c r="C85" s="3">
        <v>817391</v>
      </c>
      <c r="D85" s="3" t="s">
        <v>481</v>
      </c>
      <c r="E85" s="14">
        <f t="shared" si="15"/>
        <v>-834.77023459425004</v>
      </c>
      <c r="F85" s="3" t="s">
        <v>364</v>
      </c>
      <c r="G85" s="18">
        <v>46113</v>
      </c>
      <c r="H85" s="19">
        <v>83000</v>
      </c>
      <c r="I85" s="3" t="str">
        <f>VLOOKUP(H85,'[1]Base de Clientes'!$B:$E,4,0)</f>
        <v>BRM CARBYNE GESTAO DE RECURSOS S/A</v>
      </c>
      <c r="J85" s="5" t="s">
        <v>8</v>
      </c>
      <c r="K85" s="5" t="s">
        <v>104</v>
      </c>
      <c r="L85" s="9">
        <v>1669.5404691885001</v>
      </c>
      <c r="M85" s="11" t="s">
        <v>7</v>
      </c>
      <c r="N85" s="13" t="s">
        <v>451</v>
      </c>
      <c r="O85" s="7">
        <v>0.5</v>
      </c>
      <c r="P85" s="16" t="s">
        <v>273</v>
      </c>
      <c r="R85" s="3"/>
      <c r="T85" s="7"/>
    </row>
    <row r="86" spans="1:20" hidden="1" x14ac:dyDescent="0.25">
      <c r="A86" s="16" t="str">
        <f t="shared" si="0"/>
        <v>CUSTO DMA -LEO VAINZOF- ABRIL 26</v>
      </c>
      <c r="B86" s="18">
        <v>46113</v>
      </c>
      <c r="C86" s="3">
        <v>817391</v>
      </c>
      <c r="D86" s="3" t="s">
        <v>407</v>
      </c>
      <c r="E86" s="14">
        <f t="shared" si="15"/>
        <v>-55.912725000000002</v>
      </c>
      <c r="F86" s="3" t="s">
        <v>364</v>
      </c>
      <c r="G86" s="18">
        <v>46113</v>
      </c>
      <c r="H86" s="19">
        <v>15501</v>
      </c>
      <c r="I86" s="3" t="str">
        <f>VLOOKUP(H86,'[1]Base de Clientes'!$B:$E,4,0)</f>
        <v>BANCO BTG PACTUAL S/A</v>
      </c>
      <c r="J86" s="5" t="s">
        <v>8</v>
      </c>
      <c r="K86" s="5" t="s">
        <v>93</v>
      </c>
      <c r="L86" s="9">
        <v>111.82545</v>
      </c>
      <c r="M86" s="11" t="s">
        <v>7</v>
      </c>
      <c r="N86" s="13" t="s">
        <v>451</v>
      </c>
      <c r="O86" s="7">
        <v>0.5</v>
      </c>
      <c r="P86" s="16" t="s">
        <v>262</v>
      </c>
      <c r="R86" s="3"/>
      <c r="T86" s="7"/>
    </row>
    <row r="87" spans="1:20" hidden="1" x14ac:dyDescent="0.25">
      <c r="A87" s="16" t="str">
        <f t="shared" si="0"/>
        <v>CUSTO DMA -LEO VAINZOF- ABRIL 26</v>
      </c>
      <c r="B87" s="18">
        <v>46113</v>
      </c>
      <c r="C87" s="3">
        <v>817391</v>
      </c>
      <c r="D87" s="3" t="s">
        <v>406</v>
      </c>
      <c r="E87" s="14">
        <f t="shared" si="15"/>
        <v>-55.912725000000002</v>
      </c>
      <c r="F87" s="3" t="s">
        <v>364</v>
      </c>
      <c r="G87" s="18">
        <v>46113</v>
      </c>
      <c r="H87" s="19">
        <v>15501</v>
      </c>
      <c r="I87" s="3" t="str">
        <f>VLOOKUP(H87,'[1]Base de Clientes'!$B:$E,4,0)</f>
        <v>BANCO BTG PACTUAL S/A</v>
      </c>
      <c r="J87" s="5" t="s">
        <v>8</v>
      </c>
      <c r="K87" s="5" t="s">
        <v>93</v>
      </c>
      <c r="L87" s="9">
        <v>111.82545</v>
      </c>
      <c r="M87" s="11" t="s">
        <v>7</v>
      </c>
      <c r="N87" s="13" t="s">
        <v>451</v>
      </c>
      <c r="O87" s="7">
        <v>0.5</v>
      </c>
      <c r="P87" s="16" t="s">
        <v>262</v>
      </c>
      <c r="R87" s="3"/>
      <c r="T87" s="7"/>
    </row>
    <row r="88" spans="1:20" hidden="1" x14ac:dyDescent="0.25">
      <c r="A88" s="16" t="str">
        <f t="shared" si="0"/>
        <v>CUSTO DMA -DANIEL MOTTA CAMARGO- ABRIL 26</v>
      </c>
      <c r="B88" s="18">
        <v>46113</v>
      </c>
      <c r="C88" s="3">
        <v>817391</v>
      </c>
      <c r="D88" s="3" t="s">
        <v>402</v>
      </c>
      <c r="E88" s="14">
        <f t="shared" si="15"/>
        <v>-2006.7799319999999</v>
      </c>
      <c r="F88" s="3" t="s">
        <v>364</v>
      </c>
      <c r="G88" s="18">
        <v>46113</v>
      </c>
      <c r="H88" s="19">
        <v>15501</v>
      </c>
      <c r="I88" s="3" t="str">
        <f>VLOOKUP(H88,'[1]Base de Clientes'!$B:$E,4,0)</f>
        <v>BANCO BTG PACTUAL S/A</v>
      </c>
      <c r="J88" s="5" t="s">
        <v>8</v>
      </c>
      <c r="K88" s="5" t="s">
        <v>87</v>
      </c>
      <c r="L88" s="9">
        <v>2006.7799319999999</v>
      </c>
      <c r="M88" s="11" t="s">
        <v>7</v>
      </c>
      <c r="N88" s="13" t="s">
        <v>451</v>
      </c>
      <c r="O88" s="7">
        <v>1</v>
      </c>
      <c r="P88" s="16" t="s">
        <v>256</v>
      </c>
      <c r="R88" s="3"/>
      <c r="T88" s="7"/>
    </row>
    <row r="89" spans="1:20" hidden="1" x14ac:dyDescent="0.25">
      <c r="A89" s="16" t="str">
        <f t="shared" si="0"/>
        <v>CUSTO DMA -DECIO PEREIRA- ABRIL 26</v>
      </c>
      <c r="B89" s="18">
        <v>46113</v>
      </c>
      <c r="C89" s="3">
        <v>817391</v>
      </c>
      <c r="D89" s="3" t="s">
        <v>488</v>
      </c>
      <c r="E89" s="14">
        <f t="shared" si="15"/>
        <v>-1450.21792572</v>
      </c>
      <c r="F89" s="3" t="s">
        <v>364</v>
      </c>
      <c r="G89" s="18">
        <v>46113</v>
      </c>
      <c r="H89" s="19">
        <v>82964</v>
      </c>
      <c r="I89" s="3" t="str">
        <f>VLOOKUP(H89,'[1]Base de Clientes'!$B:$E,4,0)</f>
        <v>BANCO BTG PACTUAL S/A</v>
      </c>
      <c r="J89" s="5" t="s">
        <v>8</v>
      </c>
      <c r="K89" s="5" t="s">
        <v>377</v>
      </c>
      <c r="L89" s="9">
        <v>1450.21792572</v>
      </c>
      <c r="M89" s="11" t="s">
        <v>7</v>
      </c>
      <c r="N89" s="13" t="s">
        <v>451</v>
      </c>
      <c r="O89" s="7">
        <v>1</v>
      </c>
      <c r="P89" s="16" t="s">
        <v>391</v>
      </c>
      <c r="R89" s="3"/>
      <c r="T89" s="7"/>
    </row>
    <row r="90" spans="1:20" hidden="1" x14ac:dyDescent="0.25">
      <c r="A90" s="16" t="str">
        <f t="shared" si="0"/>
        <v>CUSTO DMA -IVAN KRAISER- ABRIL 26</v>
      </c>
      <c r="B90" s="18">
        <v>46113</v>
      </c>
      <c r="C90" s="3">
        <v>817391</v>
      </c>
      <c r="D90" s="3" t="s">
        <v>484</v>
      </c>
      <c r="E90" s="14">
        <f t="shared" si="15"/>
        <v>-117.44347500000001</v>
      </c>
      <c r="F90" s="3" t="s">
        <v>364</v>
      </c>
      <c r="G90" s="18">
        <v>46113</v>
      </c>
      <c r="H90" s="19">
        <v>124384</v>
      </c>
      <c r="I90" s="3" t="str">
        <f>VLOOKUP(H90,'[1]Base de Clientes'!$B:$E,4,0)</f>
        <v>GARIN INVESTIMENTOS LTDA</v>
      </c>
      <c r="J90" s="5" t="s">
        <v>8</v>
      </c>
      <c r="K90" s="5" t="s">
        <v>90</v>
      </c>
      <c r="L90" s="9">
        <v>117.44347500000001</v>
      </c>
      <c r="M90" s="11" t="s">
        <v>7</v>
      </c>
      <c r="N90" s="13" t="s">
        <v>451</v>
      </c>
      <c r="O90" s="7">
        <v>1</v>
      </c>
      <c r="P90" s="16" t="s">
        <v>259</v>
      </c>
      <c r="R90" s="3"/>
      <c r="T90" s="7"/>
    </row>
    <row r="91" spans="1:20" hidden="1" x14ac:dyDescent="0.2">
      <c r="A91" s="16" t="str">
        <f t="shared" si="0"/>
        <v>CUSTO DMA -BERNARDO ROQUE- ABRIL 26</v>
      </c>
      <c r="B91" s="18">
        <v>46113</v>
      </c>
      <c r="C91" s="3">
        <v>817391</v>
      </c>
      <c r="D91" s="24" t="s">
        <v>403</v>
      </c>
      <c r="E91" s="14">
        <f t="shared" si="15"/>
        <v>-111.82545</v>
      </c>
      <c r="F91" s="3" t="s">
        <v>364</v>
      </c>
      <c r="G91" s="18">
        <v>46113</v>
      </c>
      <c r="H91" s="26">
        <v>125119</v>
      </c>
      <c r="I91" s="3" t="str">
        <f>VLOOKUP(H91,'[1]Base de Clientes'!$B:$E,4,0)</f>
        <v>IRB ASSET MANAGEMENT S/A</v>
      </c>
      <c r="J91" s="5" t="s">
        <v>8</v>
      </c>
      <c r="K91" s="5" t="s">
        <v>458</v>
      </c>
      <c r="L91" s="9">
        <v>111.82545</v>
      </c>
      <c r="M91" s="11" t="s">
        <v>7</v>
      </c>
      <c r="N91" s="13" t="s">
        <v>451</v>
      </c>
      <c r="O91" s="7">
        <v>1</v>
      </c>
      <c r="P91" s="16" t="s">
        <v>467</v>
      </c>
      <c r="R91" s="3"/>
      <c r="T91" s="7"/>
    </row>
    <row r="92" spans="1:20" hidden="1" x14ac:dyDescent="0.2">
      <c r="A92" s="16" t="str">
        <f t="shared" si="0"/>
        <v>CUSTO DMA -LEONARDO YGREY VELMOVISKY- ABRIL 26</v>
      </c>
      <c r="B92" s="18">
        <v>46113</v>
      </c>
      <c r="C92" s="3">
        <v>817391</v>
      </c>
      <c r="D92" s="24" t="s">
        <v>403</v>
      </c>
      <c r="E92" s="14">
        <f t="shared" si="15"/>
        <v>-111.82545</v>
      </c>
      <c r="F92" s="3" t="s">
        <v>364</v>
      </c>
      <c r="G92" s="18">
        <v>46113</v>
      </c>
      <c r="H92" s="26">
        <v>125119</v>
      </c>
      <c r="I92" s="3" t="str">
        <f>VLOOKUP(H92,'[1]Base de Clientes'!$B:$E,4,0)</f>
        <v>IRB ASSET MANAGEMENT S/A</v>
      </c>
      <c r="J92" s="5" t="s">
        <v>8</v>
      </c>
      <c r="K92" s="5" t="s">
        <v>459</v>
      </c>
      <c r="L92" s="9">
        <v>111.82545</v>
      </c>
      <c r="M92" s="11" t="s">
        <v>7</v>
      </c>
      <c r="N92" s="13" t="s">
        <v>451</v>
      </c>
      <c r="O92" s="7">
        <v>1</v>
      </c>
      <c r="P92" s="16" t="s">
        <v>468</v>
      </c>
      <c r="R92" s="3"/>
      <c r="T92" s="7"/>
    </row>
    <row r="93" spans="1:20" hidden="1" x14ac:dyDescent="0.25">
      <c r="A93" s="16" t="str">
        <f t="shared" ref="A93" si="18">CONCATENATE(J93,M93,K93,M93,N93)</f>
        <v>CUSTO DMA -RICARDO BERNSTEIN- ABRIL 26</v>
      </c>
      <c r="B93" s="18">
        <v>46113</v>
      </c>
      <c r="C93" s="3">
        <v>817391</v>
      </c>
      <c r="D93" s="3" t="s">
        <v>398</v>
      </c>
      <c r="E93" s="14">
        <f t="shared" si="15"/>
        <v>-7753.9446000000007</v>
      </c>
      <c r="F93" s="3" t="s">
        <v>364</v>
      </c>
      <c r="G93" s="18">
        <v>46113</v>
      </c>
      <c r="H93" s="19">
        <v>12296</v>
      </c>
      <c r="I93" s="3" t="str">
        <f>VLOOKUP(H93,'[1]Base de Clientes'!$B:$E,4,0)</f>
        <v>PATRIA INVESTIMENTOS LTDA</v>
      </c>
      <c r="J93" s="5" t="s">
        <v>8</v>
      </c>
      <c r="K93" s="5" t="s">
        <v>83</v>
      </c>
      <c r="L93" s="9">
        <v>7753.9446000000007</v>
      </c>
      <c r="M93" s="11" t="s">
        <v>7</v>
      </c>
      <c r="N93" s="13" t="s">
        <v>451</v>
      </c>
      <c r="O93" s="7">
        <v>1</v>
      </c>
      <c r="P93" s="16" t="s">
        <v>392</v>
      </c>
      <c r="R93" s="3"/>
      <c r="T93" s="7"/>
    </row>
    <row r="94" spans="1:20" hidden="1" x14ac:dyDescent="0.25">
      <c r="A94" s="16" t="str">
        <f t="shared" si="0"/>
        <v>CUSTO DMA -WILLIAM LEITE- ABRIL 26</v>
      </c>
      <c r="B94" s="18">
        <v>46113</v>
      </c>
      <c r="C94" s="3">
        <v>817391</v>
      </c>
      <c r="D94" s="3" t="s">
        <v>398</v>
      </c>
      <c r="E94" s="14">
        <f t="shared" si="15"/>
        <v>-12594.606156</v>
      </c>
      <c r="F94" s="3" t="s">
        <v>364</v>
      </c>
      <c r="G94" s="18">
        <v>46113</v>
      </c>
      <c r="H94" s="19">
        <v>12296</v>
      </c>
      <c r="I94" s="3" t="str">
        <f>VLOOKUP(H94,'[1]Base de Clientes'!$B:$E,4,0)</f>
        <v>PATRIA INVESTIMENTOS LTDA</v>
      </c>
      <c r="J94" s="5" t="s">
        <v>8</v>
      </c>
      <c r="K94" s="5" t="s">
        <v>111</v>
      </c>
      <c r="L94" s="9">
        <v>12594.606156</v>
      </c>
      <c r="M94" s="11" t="s">
        <v>7</v>
      </c>
      <c r="N94" s="13" t="s">
        <v>451</v>
      </c>
      <c r="O94" s="7">
        <v>1</v>
      </c>
      <c r="P94" s="16" t="s">
        <v>280</v>
      </c>
      <c r="R94" s="3"/>
      <c r="T94" s="7"/>
    </row>
    <row r="95" spans="1:20" hidden="1" x14ac:dyDescent="0.25">
      <c r="A95" s="16" t="str">
        <f t="shared" ref="A95" si="19">CONCATENATE(J95,M95,K95,M95,N95)</f>
        <v>CUSTO DMA -LEONARDO GARROUX- ABRIL 26</v>
      </c>
      <c r="B95" s="18">
        <v>46113</v>
      </c>
      <c r="C95" s="3">
        <v>817391</v>
      </c>
      <c r="D95" s="3" t="s">
        <v>472</v>
      </c>
      <c r="E95" s="14">
        <f t="shared" si="15"/>
        <v>-111.82545</v>
      </c>
      <c r="F95" s="3" t="s">
        <v>364</v>
      </c>
      <c r="G95" s="18">
        <v>46113</v>
      </c>
      <c r="H95" s="19">
        <v>81438</v>
      </c>
      <c r="I95" s="3" t="str">
        <f>VLOOKUP(H95,'[1]Base de Clientes'!$B:$E,4,0)</f>
        <v>PORTO SEGURO INVESTIMENTOS LTDA</v>
      </c>
      <c r="J95" s="5" t="s">
        <v>8</v>
      </c>
      <c r="K95" s="5" t="s">
        <v>94</v>
      </c>
      <c r="L95" s="9">
        <v>111.82545</v>
      </c>
      <c r="M95" s="11" t="s">
        <v>7</v>
      </c>
      <c r="N95" s="13" t="s">
        <v>451</v>
      </c>
      <c r="O95" s="7">
        <v>1</v>
      </c>
      <c r="P95" s="16" t="s">
        <v>263</v>
      </c>
      <c r="R95" s="3"/>
      <c r="T95" s="7"/>
    </row>
    <row r="96" spans="1:20" hidden="1" x14ac:dyDescent="0.25">
      <c r="A96" s="16" t="str">
        <f t="shared" si="0"/>
        <v>CUSTO DMA -LEONARDO NAKAJIMA- ABRIL 26</v>
      </c>
      <c r="B96" s="18">
        <v>46113</v>
      </c>
      <c r="C96" s="3">
        <v>817391</v>
      </c>
      <c r="D96" s="3" t="s">
        <v>472</v>
      </c>
      <c r="E96" s="14">
        <f t="shared" si="15"/>
        <v>-111.82545</v>
      </c>
      <c r="F96" s="3" t="s">
        <v>364</v>
      </c>
      <c r="G96" s="18">
        <v>46113</v>
      </c>
      <c r="H96" s="19">
        <v>81438</v>
      </c>
      <c r="I96" s="3" t="str">
        <f>VLOOKUP(H96,'[1]Base de Clientes'!$B:$E,4,0)</f>
        <v>PORTO SEGURO INVESTIMENTOS LTDA</v>
      </c>
      <c r="J96" s="5" t="s">
        <v>8</v>
      </c>
      <c r="K96" s="5" t="s">
        <v>95</v>
      </c>
      <c r="L96" s="9">
        <v>111.82545</v>
      </c>
      <c r="M96" s="11" t="s">
        <v>7</v>
      </c>
      <c r="N96" s="13" t="s">
        <v>451</v>
      </c>
      <c r="O96" s="7">
        <v>1</v>
      </c>
      <c r="P96" s="16" t="s">
        <v>264</v>
      </c>
      <c r="R96" s="3"/>
      <c r="T96" s="7"/>
    </row>
    <row r="97" spans="1:20" hidden="1" x14ac:dyDescent="0.25">
      <c r="A97" s="16" t="str">
        <f t="shared" si="0"/>
        <v>CUSTO DMA -TOMAS PEREIRA- ABRIL 26</v>
      </c>
      <c r="B97" s="18">
        <v>46113</v>
      </c>
      <c r="C97" s="3">
        <v>817391</v>
      </c>
      <c r="D97" s="3" t="s">
        <v>472</v>
      </c>
      <c r="E97" s="14">
        <f t="shared" si="15"/>
        <v>-111.82545</v>
      </c>
      <c r="F97" s="3" t="s">
        <v>364</v>
      </c>
      <c r="G97" s="18">
        <v>46113</v>
      </c>
      <c r="H97" s="19">
        <v>81438</v>
      </c>
      <c r="I97" s="3" t="str">
        <f>VLOOKUP(H97,'[1]Base de Clientes'!$B:$E,4,0)</f>
        <v>PORTO SEGURO INVESTIMENTOS LTDA</v>
      </c>
      <c r="J97" s="5" t="s">
        <v>8</v>
      </c>
      <c r="K97" s="5" t="s">
        <v>106</v>
      </c>
      <c r="L97" s="9">
        <v>111.82545</v>
      </c>
      <c r="M97" s="11" t="s">
        <v>7</v>
      </c>
      <c r="N97" s="13" t="s">
        <v>451</v>
      </c>
      <c r="O97" s="7">
        <v>1</v>
      </c>
      <c r="P97" s="16" t="s">
        <v>275</v>
      </c>
      <c r="R97" s="3"/>
      <c r="T97" s="7"/>
    </row>
    <row r="98" spans="1:20" hidden="1" x14ac:dyDescent="0.25">
      <c r="A98" s="16" t="str">
        <f t="shared" si="0"/>
        <v>CUSTO DMA -MATHEUS SOUZA- ABRIL 26</v>
      </c>
      <c r="B98" s="18">
        <v>46113</v>
      </c>
      <c r="C98" s="3">
        <v>817391</v>
      </c>
      <c r="D98" s="3" t="s">
        <v>470</v>
      </c>
      <c r="E98" s="14">
        <f t="shared" si="15"/>
        <v>-111.82545</v>
      </c>
      <c r="F98" s="3" t="s">
        <v>364</v>
      </c>
      <c r="G98" s="18">
        <v>46113</v>
      </c>
      <c r="H98" s="19">
        <v>81710</v>
      </c>
      <c r="I98" s="3" t="str">
        <f>VLOOKUP(H98,'[1]Base de Clientes'!$B:$E,4,0)</f>
        <v>RYO GESTAO DE RECURSOS LTDA</v>
      </c>
      <c r="J98" s="5" t="s">
        <v>8</v>
      </c>
      <c r="K98" s="5" t="s">
        <v>100</v>
      </c>
      <c r="L98" s="9">
        <v>111.82545</v>
      </c>
      <c r="M98" s="11" t="s">
        <v>7</v>
      </c>
      <c r="N98" s="13" t="s">
        <v>451</v>
      </c>
      <c r="O98" s="7">
        <v>1</v>
      </c>
      <c r="P98" s="16" t="s">
        <v>269</v>
      </c>
      <c r="R98" s="3"/>
      <c r="T98" s="7"/>
    </row>
    <row r="99" spans="1:20" hidden="1" x14ac:dyDescent="0.25">
      <c r="A99" s="16" t="str">
        <f t="shared" si="0"/>
        <v>CUSTO DMA -MARCEL YAGUI- ABRIL 26</v>
      </c>
      <c r="B99" s="18">
        <v>46113</v>
      </c>
      <c r="C99" s="3">
        <v>817391</v>
      </c>
      <c r="D99" s="3" t="s">
        <v>404</v>
      </c>
      <c r="E99" s="14">
        <f t="shared" si="15"/>
        <v>-111.82545</v>
      </c>
      <c r="F99" s="3" t="s">
        <v>364</v>
      </c>
      <c r="G99" s="18">
        <v>46113</v>
      </c>
      <c r="H99" s="19">
        <v>82639</v>
      </c>
      <c r="I99" s="3" t="str">
        <f>VLOOKUP(H99,'[1]Base de Clientes'!$B:$E,4,0)</f>
        <v>SAFRA ASSET MANAGEMENT LTDA</v>
      </c>
      <c r="J99" s="5" t="s">
        <v>8</v>
      </c>
      <c r="K99" s="5" t="s">
        <v>97</v>
      </c>
      <c r="L99" s="9">
        <v>111.82545</v>
      </c>
      <c r="M99" s="11" t="s">
        <v>7</v>
      </c>
      <c r="N99" s="13" t="s">
        <v>451</v>
      </c>
      <c r="O99" s="7">
        <v>1</v>
      </c>
      <c r="P99" s="16" t="s">
        <v>266</v>
      </c>
      <c r="R99" s="3"/>
      <c r="T99" s="7"/>
    </row>
    <row r="100" spans="1:20" hidden="1" x14ac:dyDescent="0.25">
      <c r="A100" s="16" t="str">
        <f t="shared" si="0"/>
        <v>CUSTO DMA -VITOR ANGELIS- ABRIL 26</v>
      </c>
      <c r="B100" s="18">
        <v>46113</v>
      </c>
      <c r="C100" s="3">
        <v>817391</v>
      </c>
      <c r="D100" s="3" t="s">
        <v>404</v>
      </c>
      <c r="E100" s="14">
        <f t="shared" si="15"/>
        <v>-111.82545</v>
      </c>
      <c r="F100" s="3" t="s">
        <v>364</v>
      </c>
      <c r="G100" s="18">
        <v>46113</v>
      </c>
      <c r="H100" s="19">
        <v>82639</v>
      </c>
      <c r="I100" s="3" t="str">
        <f>VLOOKUP(H100,'[1]Base de Clientes'!$B:$E,4,0)</f>
        <v>SAFRA ASSET MANAGEMENT LTDA</v>
      </c>
      <c r="J100" s="5" t="s">
        <v>8</v>
      </c>
      <c r="K100" s="5" t="s">
        <v>109</v>
      </c>
      <c r="L100" s="9">
        <v>111.82545</v>
      </c>
      <c r="M100" s="11" t="s">
        <v>7</v>
      </c>
      <c r="N100" s="13" t="s">
        <v>451</v>
      </c>
      <c r="O100" s="7">
        <v>1</v>
      </c>
      <c r="P100" s="16" t="s">
        <v>278</v>
      </c>
      <c r="R100" s="3"/>
      <c r="T100" s="7"/>
    </row>
    <row r="101" spans="1:20" hidden="1" x14ac:dyDescent="0.25">
      <c r="A101" s="16" t="str">
        <f t="shared" si="0"/>
        <v>CUSTO DMA -ANDRÉ CALDAS- ABRIL 26</v>
      </c>
      <c r="B101" s="18">
        <v>46113</v>
      </c>
      <c r="C101" s="3">
        <v>817391</v>
      </c>
      <c r="D101" s="3" t="s">
        <v>397</v>
      </c>
      <c r="E101" s="14">
        <f t="shared" si="15"/>
        <v>-111.82545</v>
      </c>
      <c r="F101" s="3" t="s">
        <v>364</v>
      </c>
      <c r="G101" s="18">
        <v>46113</v>
      </c>
      <c r="H101" s="19">
        <v>82748</v>
      </c>
      <c r="I101" s="3" t="str">
        <f>VLOOKUP(H101,'[1]Base de Clientes'!$B:$E,4,0)</f>
        <v>SPRINGS CAPITAL LTDA</v>
      </c>
      <c r="J101" s="5" t="s">
        <v>8</v>
      </c>
      <c r="K101" s="5" t="s">
        <v>84</v>
      </c>
      <c r="L101" s="9">
        <v>111.82545</v>
      </c>
      <c r="M101" s="11" t="s">
        <v>7</v>
      </c>
      <c r="N101" s="13" t="s">
        <v>451</v>
      </c>
      <c r="O101" s="7">
        <v>1</v>
      </c>
      <c r="P101" s="16" t="s">
        <v>253</v>
      </c>
      <c r="R101" s="3"/>
      <c r="T101" s="7"/>
    </row>
    <row r="102" spans="1:20" hidden="1" x14ac:dyDescent="0.25">
      <c r="A102" s="16" t="str">
        <f t="shared" si="0"/>
        <v>CUSTO DMA -MATHEUS EFRAIN- ABRIL 26</v>
      </c>
      <c r="B102" s="18">
        <v>46113</v>
      </c>
      <c r="C102" s="3">
        <v>817391</v>
      </c>
      <c r="D102" s="3" t="s">
        <v>397</v>
      </c>
      <c r="E102" s="14">
        <f t="shared" si="15"/>
        <v>-457.26592914000003</v>
      </c>
      <c r="F102" s="3" t="s">
        <v>364</v>
      </c>
      <c r="G102" s="18">
        <v>46113</v>
      </c>
      <c r="H102" s="19">
        <v>82748</v>
      </c>
      <c r="I102" s="3" t="str">
        <f>VLOOKUP(H102,'[1]Base de Clientes'!$B:$E,4,0)</f>
        <v>SPRINGS CAPITAL LTDA</v>
      </c>
      <c r="J102" s="5" t="s">
        <v>8</v>
      </c>
      <c r="K102" s="5" t="s">
        <v>99</v>
      </c>
      <c r="L102" s="9">
        <v>457.26592914000003</v>
      </c>
      <c r="M102" s="11" t="s">
        <v>7</v>
      </c>
      <c r="N102" s="13" t="s">
        <v>451</v>
      </c>
      <c r="O102" s="7">
        <v>1</v>
      </c>
      <c r="P102" s="16" t="s">
        <v>268</v>
      </c>
      <c r="R102" s="3"/>
      <c r="T102" s="7"/>
    </row>
    <row r="103" spans="1:20" hidden="1" x14ac:dyDescent="0.25">
      <c r="A103" s="16" t="str">
        <f t="shared" si="0"/>
        <v>CUSTO DMA -JAMES OLIVEIRA- ABRIL 26</v>
      </c>
      <c r="B103" s="18">
        <v>46113</v>
      </c>
      <c r="C103" s="3">
        <v>817391</v>
      </c>
      <c r="D103" s="3" t="s">
        <v>400</v>
      </c>
      <c r="E103" s="14">
        <f t="shared" si="15"/>
        <v>-111.82545</v>
      </c>
      <c r="F103" s="3" t="s">
        <v>364</v>
      </c>
      <c r="G103" s="18">
        <v>46113</v>
      </c>
      <c r="H103" s="19">
        <v>80359</v>
      </c>
      <c r="I103" s="3" t="str">
        <f>VLOOKUP(H103,'[1]Base de Clientes'!$B:$E,4,0)</f>
        <v>VINLAND CAPITAL MANAGEMENT GESTORA DE RECURSOS LTDA</v>
      </c>
      <c r="J103" s="5" t="s">
        <v>8</v>
      </c>
      <c r="K103" s="5" t="s">
        <v>91</v>
      </c>
      <c r="L103" s="9">
        <v>111.82545</v>
      </c>
      <c r="M103" s="11" t="s">
        <v>7</v>
      </c>
      <c r="N103" s="13" t="s">
        <v>451</v>
      </c>
      <c r="O103" s="7">
        <v>1</v>
      </c>
      <c r="P103" s="16" t="s">
        <v>260</v>
      </c>
      <c r="R103" s="3"/>
      <c r="T103" s="7"/>
    </row>
    <row r="104" spans="1:20" hidden="1" x14ac:dyDescent="0.25">
      <c r="A104" s="16" t="str">
        <f t="shared" ref="A104" si="20">CONCATENATE(J104,M104,K104,M104,N104)</f>
        <v>CUSTO DMA -JOÃO CARUSO- ABRIL 26</v>
      </c>
      <c r="B104" s="18">
        <v>46113</v>
      </c>
      <c r="C104" s="3">
        <v>817391</v>
      </c>
      <c r="D104" s="3" t="s">
        <v>470</v>
      </c>
      <c r="E104" s="14">
        <f t="shared" si="15"/>
        <v>-111.82545</v>
      </c>
      <c r="F104" s="3" t="s">
        <v>364</v>
      </c>
      <c r="G104" s="18">
        <v>46113</v>
      </c>
      <c r="H104" s="19">
        <v>80359</v>
      </c>
      <c r="I104" s="3" t="str">
        <f>VLOOKUP(H104,'[1]Base de Clientes'!$B:$E,4,0)</f>
        <v>VINLAND CAPITAL MANAGEMENT GESTORA DE RECURSOS LTDA</v>
      </c>
      <c r="J104" s="5" t="s">
        <v>8</v>
      </c>
      <c r="K104" s="5" t="s">
        <v>92</v>
      </c>
      <c r="L104" s="9">
        <v>111.82545</v>
      </c>
      <c r="M104" s="11" t="s">
        <v>7</v>
      </c>
      <c r="N104" s="13" t="s">
        <v>451</v>
      </c>
      <c r="O104" s="7">
        <v>1</v>
      </c>
      <c r="P104" s="16" t="s">
        <v>261</v>
      </c>
      <c r="R104" s="3"/>
      <c r="T104" s="7"/>
    </row>
    <row r="105" spans="1:20" hidden="1" x14ac:dyDescent="0.25">
      <c r="A105" s="16" t="str">
        <f t="shared" si="0"/>
        <v>CUSTO DMA -LUCAS PACCOLA- ABRIL 26</v>
      </c>
      <c r="B105" s="18">
        <v>46113</v>
      </c>
      <c r="C105" s="3">
        <v>817391</v>
      </c>
      <c r="D105" s="3" t="s">
        <v>470</v>
      </c>
      <c r="E105" s="14">
        <f t="shared" si="15"/>
        <v>-111.82545</v>
      </c>
      <c r="F105" s="3" t="s">
        <v>364</v>
      </c>
      <c r="G105" s="18">
        <v>46113</v>
      </c>
      <c r="H105" s="19">
        <v>80359</v>
      </c>
      <c r="I105" s="3" t="str">
        <f>VLOOKUP(H105,'[1]Base de Clientes'!$B:$E,4,0)</f>
        <v>VINLAND CAPITAL MANAGEMENT GESTORA DE RECURSOS LTDA</v>
      </c>
      <c r="J105" s="5" t="s">
        <v>8</v>
      </c>
      <c r="K105" s="5" t="s">
        <v>96</v>
      </c>
      <c r="L105" s="9">
        <v>111.82545</v>
      </c>
      <c r="M105" s="11" t="s">
        <v>7</v>
      </c>
      <c r="N105" s="13" t="s">
        <v>451</v>
      </c>
      <c r="O105" s="7">
        <v>1</v>
      </c>
      <c r="P105" s="16" t="s">
        <v>265</v>
      </c>
      <c r="R105" s="3"/>
      <c r="T105" s="7"/>
    </row>
    <row r="106" spans="1:20" hidden="1" x14ac:dyDescent="0.25">
      <c r="A106" s="16" t="str">
        <f t="shared" si="0"/>
        <v>CUSTO DMA -THIAGO ROLO- ABRIL 26</v>
      </c>
      <c r="B106" s="18">
        <v>46113</v>
      </c>
      <c r="C106" s="3">
        <v>817391</v>
      </c>
      <c r="D106" s="3" t="s">
        <v>470</v>
      </c>
      <c r="E106" s="14">
        <f t="shared" si="15"/>
        <v>-111.82545</v>
      </c>
      <c r="F106" s="3" t="s">
        <v>364</v>
      </c>
      <c r="G106" s="18">
        <v>46113</v>
      </c>
      <c r="H106" s="19">
        <v>80359</v>
      </c>
      <c r="I106" s="3" t="str">
        <f>VLOOKUP(H106,'[1]Base de Clientes'!$B:$E,4,0)</f>
        <v>VINLAND CAPITAL MANAGEMENT GESTORA DE RECURSOS LTDA</v>
      </c>
      <c r="J106" s="5" t="s">
        <v>8</v>
      </c>
      <c r="K106" s="5" t="s">
        <v>105</v>
      </c>
      <c r="L106" s="9">
        <v>111.82545</v>
      </c>
      <c r="M106" s="11" t="s">
        <v>7</v>
      </c>
      <c r="N106" s="13" t="s">
        <v>451</v>
      </c>
      <c r="O106" s="7">
        <v>1</v>
      </c>
      <c r="P106" s="16" t="s">
        <v>274</v>
      </c>
      <c r="R106" s="3"/>
      <c r="T106" s="7"/>
    </row>
    <row r="107" spans="1:20" hidden="1" x14ac:dyDescent="0.25">
      <c r="A107" s="16" t="str">
        <f t="shared" si="0"/>
        <v>CUSTO DMA -VINICIO HUANG- ABRIL 26</v>
      </c>
      <c r="B107" s="18">
        <v>46113</v>
      </c>
      <c r="C107" s="3">
        <v>817391</v>
      </c>
      <c r="D107" s="3" t="s">
        <v>470</v>
      </c>
      <c r="E107" s="14">
        <f t="shared" si="15"/>
        <v>-111.82545</v>
      </c>
      <c r="F107" s="3" t="s">
        <v>364</v>
      </c>
      <c r="G107" s="18">
        <v>46113</v>
      </c>
      <c r="H107" s="19">
        <v>80359</v>
      </c>
      <c r="I107" s="3" t="str">
        <f>VLOOKUP(H107,'[1]Base de Clientes'!$B:$E,4,0)</f>
        <v>VINLAND CAPITAL MANAGEMENT GESTORA DE RECURSOS LTDA</v>
      </c>
      <c r="J107" s="5" t="s">
        <v>8</v>
      </c>
      <c r="K107" s="5" t="s">
        <v>107</v>
      </c>
      <c r="L107" s="9">
        <v>111.82545</v>
      </c>
      <c r="M107" s="11" t="s">
        <v>7</v>
      </c>
      <c r="N107" s="13" t="s">
        <v>451</v>
      </c>
      <c r="O107" s="7">
        <v>1</v>
      </c>
      <c r="P107" s="16" t="s">
        <v>276</v>
      </c>
      <c r="R107" s="3"/>
      <c r="T107" s="7"/>
    </row>
    <row r="108" spans="1:20" hidden="1" x14ac:dyDescent="0.25">
      <c r="A108" s="16" t="str">
        <f t="shared" si="0"/>
        <v>CUSTO DMA -HENRIQUE PEINADO- ABRIL 26</v>
      </c>
      <c r="B108" s="18">
        <v>46113</v>
      </c>
      <c r="C108" s="3">
        <v>817391</v>
      </c>
      <c r="D108" s="3" t="s">
        <v>477</v>
      </c>
      <c r="E108" s="14">
        <f t="shared" si="15"/>
        <v>-3678.105</v>
      </c>
      <c r="F108" s="3" t="s">
        <v>365</v>
      </c>
      <c r="G108" s="18">
        <v>46113</v>
      </c>
      <c r="H108" s="19">
        <v>80958</v>
      </c>
      <c r="I108" s="3" t="str">
        <f>VLOOKUP(H108,'[1]Base de Clientes'!$B:$E,4,0)</f>
        <v>ITAU UNIBANCO ASSET - OPTIMUS</v>
      </c>
      <c r="J108" s="5" t="s">
        <v>8</v>
      </c>
      <c r="K108" s="5" t="s">
        <v>188</v>
      </c>
      <c r="L108" s="9">
        <v>3678.105</v>
      </c>
      <c r="M108" s="11" t="s">
        <v>7</v>
      </c>
      <c r="N108" s="13" t="s">
        <v>451</v>
      </c>
      <c r="O108" s="7">
        <v>1</v>
      </c>
      <c r="P108" s="16" t="s">
        <v>531</v>
      </c>
      <c r="R108" s="3"/>
      <c r="T108" s="7"/>
    </row>
    <row r="109" spans="1:20" hidden="1" x14ac:dyDescent="0.25">
      <c r="A109" s="16" t="str">
        <f t="shared" si="0"/>
        <v>CUSTO DMA -MARCIO UEJIMA- ABRIL 26</v>
      </c>
      <c r="B109" s="18">
        <v>46113</v>
      </c>
      <c r="C109" s="3">
        <v>817391</v>
      </c>
      <c r="D109" s="3" t="s">
        <v>477</v>
      </c>
      <c r="E109" s="14">
        <f t="shared" si="15"/>
        <v>-3678.105</v>
      </c>
      <c r="F109" s="3" t="s">
        <v>365</v>
      </c>
      <c r="G109" s="18">
        <v>46113</v>
      </c>
      <c r="H109" s="19">
        <v>80958</v>
      </c>
      <c r="I109" s="3" t="str">
        <f>VLOOKUP(H109,'[1]Base de Clientes'!$B:$E,4,0)</f>
        <v>ITAU UNIBANCO ASSET - OPTIMUS</v>
      </c>
      <c r="J109" s="5" t="s">
        <v>8</v>
      </c>
      <c r="K109" s="5" t="s">
        <v>189</v>
      </c>
      <c r="L109" s="9">
        <v>3678.105</v>
      </c>
      <c r="M109" s="11" t="s">
        <v>7</v>
      </c>
      <c r="N109" s="13" t="s">
        <v>451</v>
      </c>
      <c r="O109" s="7">
        <v>1</v>
      </c>
      <c r="P109" s="16" t="s">
        <v>532</v>
      </c>
      <c r="R109" s="3"/>
      <c r="T109" s="7"/>
    </row>
    <row r="110" spans="1:20" hidden="1" x14ac:dyDescent="0.25">
      <c r="A110" s="16" t="str">
        <f t="shared" si="0"/>
        <v>CUSTO DMA -DERISVALDO SANTANA DA CRUZ- ABRIL 26</v>
      </c>
      <c r="B110" s="18">
        <v>46113</v>
      </c>
      <c r="C110" s="3">
        <v>817391</v>
      </c>
      <c r="D110" s="3" t="s">
        <v>408</v>
      </c>
      <c r="E110" s="14">
        <f t="shared" si="15"/>
        <v>-2098.91</v>
      </c>
      <c r="F110" s="3" t="s">
        <v>367</v>
      </c>
      <c r="G110" s="18">
        <v>46113</v>
      </c>
      <c r="H110" s="19">
        <v>14432</v>
      </c>
      <c r="I110" s="3" t="str">
        <f>VLOOKUP(H110,'[1]Base de Clientes'!$B:$E,4,0)</f>
        <v>BB GESTAO DE RECURSOS DTVM LTDA</v>
      </c>
      <c r="J110" s="5" t="s">
        <v>8</v>
      </c>
      <c r="K110" s="5" t="s">
        <v>113</v>
      </c>
      <c r="L110" s="9">
        <v>2098.91</v>
      </c>
      <c r="M110" s="11" t="s">
        <v>7</v>
      </c>
      <c r="N110" s="13" t="s">
        <v>451</v>
      </c>
      <c r="O110" s="7">
        <v>1</v>
      </c>
      <c r="P110" s="16" t="s">
        <v>282</v>
      </c>
      <c r="R110" s="3"/>
      <c r="T110" s="7"/>
    </row>
    <row r="111" spans="1:20" hidden="1" x14ac:dyDescent="0.25">
      <c r="A111" s="16" t="str">
        <f t="shared" si="0"/>
        <v>CUSTO DMA -FABIO NEVES DE CARVALHO- ABRIL 26</v>
      </c>
      <c r="B111" s="18">
        <v>46113</v>
      </c>
      <c r="C111" s="3">
        <v>817391</v>
      </c>
      <c r="D111" s="3" t="s">
        <v>408</v>
      </c>
      <c r="E111" s="14">
        <f t="shared" si="15"/>
        <v>-4090.12</v>
      </c>
      <c r="F111" s="3" t="s">
        <v>367</v>
      </c>
      <c r="G111" s="18">
        <v>46113</v>
      </c>
      <c r="H111" s="19">
        <v>81291</v>
      </c>
      <c r="I111" s="3" t="str">
        <f>VLOOKUP(H111,'[1]Base de Clientes'!$B:$E,4,0)</f>
        <v>BB GESTAO DE RECURSOS DTVM LTDA</v>
      </c>
      <c r="J111" s="5" t="s">
        <v>8</v>
      </c>
      <c r="K111" s="5" t="s">
        <v>457</v>
      </c>
      <c r="L111" s="9">
        <v>4090.12</v>
      </c>
      <c r="M111" s="11" t="s">
        <v>7</v>
      </c>
      <c r="N111" s="13" t="s">
        <v>451</v>
      </c>
      <c r="O111" s="7">
        <v>1</v>
      </c>
      <c r="P111" s="16" t="s">
        <v>466</v>
      </c>
      <c r="R111" s="3"/>
      <c r="T111" s="7"/>
    </row>
    <row r="112" spans="1:20" hidden="1" x14ac:dyDescent="0.25">
      <c r="A112" s="16" t="str">
        <f t="shared" si="0"/>
        <v>CUSTO DMA -GUILHERME SILVA BRENNAND- ABRIL 26</v>
      </c>
      <c r="B112" s="18">
        <v>46113</v>
      </c>
      <c r="C112" s="3">
        <v>817391</v>
      </c>
      <c r="D112" s="3" t="s">
        <v>408</v>
      </c>
      <c r="E112" s="14">
        <f t="shared" si="15"/>
        <v>-5290.86</v>
      </c>
      <c r="F112" s="3" t="s">
        <v>367</v>
      </c>
      <c r="G112" s="18">
        <v>46113</v>
      </c>
      <c r="H112" s="19">
        <v>14432</v>
      </c>
      <c r="I112" s="3" t="str">
        <f>VLOOKUP(H112,'[1]Base de Clientes'!$B:$E,4,0)</f>
        <v>BB GESTAO DE RECURSOS DTVM LTDA</v>
      </c>
      <c r="J112" s="5" t="s">
        <v>8</v>
      </c>
      <c r="K112" s="5" t="s">
        <v>114</v>
      </c>
      <c r="L112" s="9">
        <v>5290.86</v>
      </c>
      <c r="M112" s="11" t="s">
        <v>7</v>
      </c>
      <c r="N112" s="13" t="s">
        <v>451</v>
      </c>
      <c r="O112" s="7">
        <v>1</v>
      </c>
      <c r="P112" s="16" t="s">
        <v>283</v>
      </c>
      <c r="R112" s="3"/>
      <c r="T112" s="7"/>
    </row>
    <row r="113" spans="1:20" hidden="1" x14ac:dyDescent="0.25">
      <c r="A113" s="16" t="str">
        <f t="shared" si="0"/>
        <v>CUSTO DMA -IVAN RIBEIRO DE SOUSA JUNIOR- ABRIL 26</v>
      </c>
      <c r="B113" s="18">
        <v>46113</v>
      </c>
      <c r="C113" s="3">
        <v>817391</v>
      </c>
      <c r="D113" s="3" t="s">
        <v>408</v>
      </c>
      <c r="E113" s="14">
        <f t="shared" si="15"/>
        <v>-4802.9399999999996</v>
      </c>
      <c r="F113" s="3" t="s">
        <v>367</v>
      </c>
      <c r="G113" s="18">
        <v>46113</v>
      </c>
      <c r="H113" s="19">
        <v>14432</v>
      </c>
      <c r="I113" s="3" t="str">
        <f>VLOOKUP(H113,'[1]Base de Clientes'!$B:$E,4,0)</f>
        <v>BB GESTAO DE RECURSOS DTVM LTDA</v>
      </c>
      <c r="J113" s="5" t="s">
        <v>8</v>
      </c>
      <c r="K113" s="5" t="s">
        <v>420</v>
      </c>
      <c r="L113" s="9">
        <v>4802.9399999999996</v>
      </c>
      <c r="M113" s="11" t="s">
        <v>7</v>
      </c>
      <c r="N113" s="13" t="s">
        <v>451</v>
      </c>
      <c r="O113" s="7">
        <v>1</v>
      </c>
      <c r="P113" s="16" t="s">
        <v>448</v>
      </c>
      <c r="R113" s="3"/>
      <c r="T113" s="7"/>
    </row>
    <row r="114" spans="1:20" hidden="1" x14ac:dyDescent="0.25">
      <c r="A114" s="16" t="str">
        <f t="shared" si="0"/>
        <v>CUSTO DMA -LUIS FREDERICO BARRETO RODRIGUES- ABRIL 26</v>
      </c>
      <c r="B114" s="18">
        <v>46113</v>
      </c>
      <c r="C114" s="3">
        <v>817391</v>
      </c>
      <c r="D114" s="3" t="s">
        <v>408</v>
      </c>
      <c r="E114" s="14">
        <f t="shared" si="15"/>
        <v>-2666.76</v>
      </c>
      <c r="F114" s="3" t="s">
        <v>367</v>
      </c>
      <c r="G114" s="18">
        <v>46113</v>
      </c>
      <c r="H114" s="19">
        <v>14432</v>
      </c>
      <c r="I114" s="3" t="str">
        <f>VLOOKUP(H114,'[1]Base de Clientes'!$B:$E,4,0)</f>
        <v>BB GESTAO DE RECURSOS DTVM LTDA</v>
      </c>
      <c r="J114" s="5" t="s">
        <v>8</v>
      </c>
      <c r="K114" s="5" t="s">
        <v>115</v>
      </c>
      <c r="L114" s="9">
        <v>2666.76</v>
      </c>
      <c r="M114" s="11" t="s">
        <v>7</v>
      </c>
      <c r="N114" s="13" t="s">
        <v>451</v>
      </c>
      <c r="O114" s="7">
        <v>1</v>
      </c>
      <c r="P114" s="16" t="s">
        <v>284</v>
      </c>
      <c r="R114" s="3"/>
      <c r="T114" s="7"/>
    </row>
    <row r="115" spans="1:20" hidden="1" x14ac:dyDescent="0.25">
      <c r="A115" s="16" t="str">
        <f t="shared" si="0"/>
        <v>CUSTO DMA -BRUNO PEROTTONI- ABRIL 26</v>
      </c>
      <c r="B115" s="18">
        <v>46113</v>
      </c>
      <c r="C115" s="3">
        <v>817391</v>
      </c>
      <c r="D115" s="3" t="s">
        <v>487</v>
      </c>
      <c r="E115" s="14">
        <f t="shared" si="15"/>
        <v>-617.88</v>
      </c>
      <c r="F115" s="3" t="s">
        <v>367</v>
      </c>
      <c r="G115" s="18">
        <v>46113</v>
      </c>
      <c r="H115" s="19">
        <v>81794</v>
      </c>
      <c r="I115" s="3" t="str">
        <f>VLOOKUP(H115,'[1]Base de Clientes'!$B:$E,4,0)</f>
        <v>BRAZA BANK S/A BANCO DE CAMBIO</v>
      </c>
      <c r="J115" s="5" t="s">
        <v>8</v>
      </c>
      <c r="K115" s="5" t="s">
        <v>416</v>
      </c>
      <c r="L115" s="9">
        <v>617.88</v>
      </c>
      <c r="M115" s="11" t="s">
        <v>7</v>
      </c>
      <c r="N115" s="13" t="s">
        <v>451</v>
      </c>
      <c r="O115" s="7">
        <v>1</v>
      </c>
      <c r="P115" s="16" t="s">
        <v>449</v>
      </c>
      <c r="R115" s="3"/>
      <c r="T115" s="7"/>
    </row>
    <row r="116" spans="1:20" hidden="1" x14ac:dyDescent="0.25">
      <c r="A116" s="16" t="str">
        <f t="shared" si="0"/>
        <v>CUSTO DMA -ANDERSON KAM (RED HILL TRADING)- ABRIL 26</v>
      </c>
      <c r="B116" s="18">
        <v>46113</v>
      </c>
      <c r="C116" s="3">
        <v>817391</v>
      </c>
      <c r="D116" s="3" t="s">
        <v>485</v>
      </c>
      <c r="E116" s="14">
        <f t="shared" si="15"/>
        <v>-285.56</v>
      </c>
      <c r="F116" s="3" t="s">
        <v>367</v>
      </c>
      <c r="G116" s="18">
        <v>46113</v>
      </c>
      <c r="H116" s="19">
        <v>82808</v>
      </c>
      <c r="I116" s="3" t="str">
        <f>VLOOKUP(H116,'[1]Base de Clientes'!$B:$E,4,0)</f>
        <v>AGUILA CAPITAL ADM E GESTAO DE CAPITAIS LTDA</v>
      </c>
      <c r="J116" s="5" t="s">
        <v>8</v>
      </c>
      <c r="K116" s="5" t="s">
        <v>117</v>
      </c>
      <c r="L116" s="9">
        <v>285.56</v>
      </c>
      <c r="M116" s="11" t="s">
        <v>7</v>
      </c>
      <c r="N116" s="13" t="s">
        <v>451</v>
      </c>
      <c r="O116" s="7">
        <v>1</v>
      </c>
      <c r="P116" s="16" t="s">
        <v>286</v>
      </c>
      <c r="R116" s="3"/>
      <c r="T116" s="7"/>
    </row>
    <row r="117" spans="1:20" hidden="1" x14ac:dyDescent="0.25">
      <c r="A117" s="16" t="str">
        <f t="shared" si="0"/>
        <v>CUSTO DMA -ANTONIO MOURA ANDRADE- ABRIL 26</v>
      </c>
      <c r="B117" s="18">
        <v>46113</v>
      </c>
      <c r="C117" s="3">
        <v>817391</v>
      </c>
      <c r="D117" s="3" t="s">
        <v>479</v>
      </c>
      <c r="E117" s="14">
        <f t="shared" si="15"/>
        <v>-4988.6000000000004</v>
      </c>
      <c r="F117" s="3" t="s">
        <v>362</v>
      </c>
      <c r="G117" s="18">
        <v>46113</v>
      </c>
      <c r="H117" s="19">
        <v>15501</v>
      </c>
      <c r="I117" s="3" t="str">
        <f>VLOOKUP(H117,'[1]Base de Clientes'!$B:$E,4,0)</f>
        <v>BANCO BTG PACTUAL S/A</v>
      </c>
      <c r="J117" s="5" t="s">
        <v>8</v>
      </c>
      <c r="K117" s="5" t="s">
        <v>19</v>
      </c>
      <c r="L117" s="9">
        <v>4988.6000000000004</v>
      </c>
      <c r="M117" s="11" t="s">
        <v>7</v>
      </c>
      <c r="N117" s="13" t="s">
        <v>451</v>
      </c>
      <c r="O117" s="7">
        <v>1</v>
      </c>
      <c r="P117" s="16" t="s">
        <v>190</v>
      </c>
      <c r="R117" s="3"/>
      <c r="T117" s="7"/>
    </row>
    <row r="118" spans="1:20" hidden="1" x14ac:dyDescent="0.25">
      <c r="A118" s="16" t="str">
        <f t="shared" si="0"/>
        <v>CUSTO DMA -ANDRE PINHEIRO- ABRIL 26</v>
      </c>
      <c r="B118" s="18">
        <v>46113</v>
      </c>
      <c r="C118" s="3">
        <v>817391</v>
      </c>
      <c r="D118" s="3" t="s">
        <v>401</v>
      </c>
      <c r="E118" s="14">
        <f t="shared" si="15"/>
        <v>-260.86464000000001</v>
      </c>
      <c r="F118" s="3" t="s">
        <v>362</v>
      </c>
      <c r="G118" s="18">
        <v>46113</v>
      </c>
      <c r="H118" s="19">
        <v>79354</v>
      </c>
      <c r="I118" s="3" t="str">
        <f>VLOOKUP(H118,'[1]Base de Clientes'!$B:$E,4,0)</f>
        <v>BANCO BTG PACTUAL S/A</v>
      </c>
      <c r="J118" s="5" t="s">
        <v>8</v>
      </c>
      <c r="K118" s="5" t="s">
        <v>126</v>
      </c>
      <c r="L118" s="9">
        <v>260.86464000000001</v>
      </c>
      <c r="M118" s="11" t="s">
        <v>7</v>
      </c>
      <c r="N118" s="13" t="s">
        <v>451</v>
      </c>
      <c r="O118" s="7">
        <v>1</v>
      </c>
      <c r="P118" s="16" t="s">
        <v>295</v>
      </c>
      <c r="R118" s="3"/>
      <c r="T118" s="7"/>
    </row>
    <row r="119" spans="1:20" hidden="1" x14ac:dyDescent="0.25">
      <c r="A119" s="16" t="str">
        <f t="shared" si="0"/>
        <v>CUSTO DMA -PEDRO PEREIRA- ABRIL 26</v>
      </c>
      <c r="B119" s="18">
        <v>46113</v>
      </c>
      <c r="C119" s="3">
        <v>817391</v>
      </c>
      <c r="D119" s="3" t="s">
        <v>400</v>
      </c>
      <c r="E119" s="14">
        <f t="shared" si="15"/>
        <v>-4988.6000000000004</v>
      </c>
      <c r="F119" s="3" t="s">
        <v>362</v>
      </c>
      <c r="G119" s="18">
        <v>46113</v>
      </c>
      <c r="H119" s="19">
        <v>79241</v>
      </c>
      <c r="I119" s="3" t="str">
        <f>VLOOKUP(H119,'[1]Base de Clientes'!$B:$E,4,0)</f>
        <v>BANK OF AMERICA MERRILL LYNCH BANCO MULTIPLO S/A</v>
      </c>
      <c r="J119" s="5" t="s">
        <v>8</v>
      </c>
      <c r="K119" s="5" t="s">
        <v>53</v>
      </c>
      <c r="L119" s="9">
        <v>4988.6000000000004</v>
      </c>
      <c r="M119" s="11" t="s">
        <v>7</v>
      </c>
      <c r="N119" s="13" t="s">
        <v>451</v>
      </c>
      <c r="O119" s="7">
        <v>1</v>
      </c>
      <c r="P119" s="16" t="s">
        <v>224</v>
      </c>
      <c r="R119" s="3"/>
      <c r="T119" s="7"/>
    </row>
    <row r="120" spans="1:20" x14ac:dyDescent="0.25">
      <c r="A120" s="16" t="str">
        <f t="shared" si="0"/>
        <v>CUSTO DMA -GUILHERME PACHECO- ABRIL 26</v>
      </c>
      <c r="B120" s="18">
        <v>46113</v>
      </c>
      <c r="C120" s="3">
        <v>817391</v>
      </c>
      <c r="D120" s="3" t="s">
        <v>476</v>
      </c>
      <c r="E120" s="14">
        <f t="shared" si="15"/>
        <v>-4988.6000000000004</v>
      </c>
      <c r="F120" s="3" t="s">
        <v>362</v>
      </c>
      <c r="G120" s="18">
        <v>46113</v>
      </c>
      <c r="H120" s="19">
        <v>15781</v>
      </c>
      <c r="I120" s="3" t="str">
        <f>VLOOKUP(H120,'[1]Base de Clientes'!$B:$E,4,0)</f>
        <v>BANCO SAFRA S/A</v>
      </c>
      <c r="J120" s="5" t="s">
        <v>8</v>
      </c>
      <c r="K120" s="5" t="s">
        <v>38</v>
      </c>
      <c r="L120" s="9">
        <v>4988.6000000000004</v>
      </c>
      <c r="M120" s="11" t="s">
        <v>7</v>
      </c>
      <c r="N120" s="13" t="s">
        <v>451</v>
      </c>
      <c r="O120" s="7">
        <v>1</v>
      </c>
      <c r="P120" s="16" t="s">
        <v>209</v>
      </c>
      <c r="R120" s="3"/>
      <c r="T120" s="7"/>
    </row>
    <row r="121" spans="1:20" hidden="1" x14ac:dyDescent="0.25">
      <c r="A121" s="16" t="str">
        <f t="shared" si="0"/>
        <v>CUSTO DMA -ALESSANDRO EZEQUIEL- ABRIL 26</v>
      </c>
      <c r="B121" s="18">
        <v>46113</v>
      </c>
      <c r="C121" s="3">
        <v>817391</v>
      </c>
      <c r="D121" s="3" t="s">
        <v>410</v>
      </c>
      <c r="E121" s="14">
        <f t="shared" si="15"/>
        <v>-4988.6000000000004</v>
      </c>
      <c r="F121" s="3" t="s">
        <v>362</v>
      </c>
      <c r="G121" s="18">
        <v>46113</v>
      </c>
      <c r="H121" s="19">
        <v>14479</v>
      </c>
      <c r="I121" s="3" t="str">
        <f>VLOOKUP(H121,'[1]Base de Clientes'!$B:$E,4,0)</f>
        <v>BANCO SANTANDER (BRASIL) S/A</v>
      </c>
      <c r="J121" s="5" t="s">
        <v>8</v>
      </c>
      <c r="K121" s="5" t="s">
        <v>21</v>
      </c>
      <c r="L121" s="9">
        <v>4988.6000000000004</v>
      </c>
      <c r="M121" s="11" t="s">
        <v>7</v>
      </c>
      <c r="N121" s="13" t="s">
        <v>451</v>
      </c>
      <c r="O121" s="7">
        <v>1</v>
      </c>
      <c r="P121" s="16" t="s">
        <v>192</v>
      </c>
      <c r="R121" s="3"/>
      <c r="T121" s="7"/>
    </row>
    <row r="122" spans="1:20" hidden="1" x14ac:dyDescent="0.25">
      <c r="A122" s="16" t="str">
        <f t="shared" si="0"/>
        <v>CUSTO DMA -BRUNO SCHIAVINATO- ABRIL 26</v>
      </c>
      <c r="B122" s="18">
        <v>46113</v>
      </c>
      <c r="C122" s="3">
        <v>817391</v>
      </c>
      <c r="D122" s="3" t="s">
        <v>411</v>
      </c>
      <c r="E122" s="14">
        <f t="shared" si="15"/>
        <v>-409.0652</v>
      </c>
      <c r="F122" s="3" t="s">
        <v>362</v>
      </c>
      <c r="G122" s="18">
        <v>46113</v>
      </c>
      <c r="H122" s="19">
        <v>14479</v>
      </c>
      <c r="I122" s="3" t="str">
        <f>VLOOKUP(H122,'[1]Base de Clientes'!$B:$E,4,0)</f>
        <v>BANCO SANTANDER (BRASIL) S/A</v>
      </c>
      <c r="J122" s="5" t="s">
        <v>8</v>
      </c>
      <c r="K122" s="5" t="s">
        <v>28</v>
      </c>
      <c r="L122" s="9">
        <v>409.0652</v>
      </c>
      <c r="M122" s="11" t="s">
        <v>7</v>
      </c>
      <c r="N122" s="13" t="s">
        <v>451</v>
      </c>
      <c r="O122" s="7">
        <v>1</v>
      </c>
      <c r="P122" s="16" t="s">
        <v>199</v>
      </c>
      <c r="R122" s="3"/>
      <c r="T122" s="7"/>
    </row>
    <row r="123" spans="1:20" hidden="1" x14ac:dyDescent="0.25">
      <c r="A123" s="16" t="str">
        <f t="shared" si="0"/>
        <v>CUSTO DMA -LUDMILA TRECHAU- ABRIL 26</v>
      </c>
      <c r="B123" s="18">
        <v>46113</v>
      </c>
      <c r="C123" s="3">
        <v>817391</v>
      </c>
      <c r="D123" s="3" t="s">
        <v>410</v>
      </c>
      <c r="E123" s="14">
        <f t="shared" si="15"/>
        <v>-4988.6000000000004</v>
      </c>
      <c r="F123" s="3" t="s">
        <v>362</v>
      </c>
      <c r="G123" s="18">
        <v>46113</v>
      </c>
      <c r="H123" s="19">
        <v>80195</v>
      </c>
      <c r="I123" s="3" t="str">
        <f>VLOOKUP(H123,'[1]Base de Clientes'!$B:$E,4,0)</f>
        <v>BANCO SANTANDER S/A (HISPANO)</v>
      </c>
      <c r="J123" s="5" t="s">
        <v>8</v>
      </c>
      <c r="K123" s="5" t="s">
        <v>414</v>
      </c>
      <c r="L123" s="9">
        <v>4988.6000000000004</v>
      </c>
      <c r="M123" s="11" t="s">
        <v>7</v>
      </c>
      <c r="N123" s="13" t="s">
        <v>451</v>
      </c>
      <c r="O123" s="7">
        <v>1</v>
      </c>
      <c r="P123" s="16" t="s">
        <v>423</v>
      </c>
      <c r="R123" s="3"/>
      <c r="T123" s="7"/>
    </row>
    <row r="124" spans="1:20" hidden="1" x14ac:dyDescent="0.25">
      <c r="A124" s="16" t="str">
        <f t="shared" ref="A124:A173" si="21">CONCATENATE(J124,M124,K124,M124,N124)</f>
        <v>CUSTO DMA -MARCELO DREYER- ABRIL 26</v>
      </c>
      <c r="B124" s="18">
        <v>46113</v>
      </c>
      <c r="C124" s="3">
        <v>817391</v>
      </c>
      <c r="D124" s="3" t="s">
        <v>411</v>
      </c>
      <c r="E124" s="14">
        <f t="shared" si="15"/>
        <v>-4988.6000000000004</v>
      </c>
      <c r="F124" s="3" t="s">
        <v>362</v>
      </c>
      <c r="G124" s="18">
        <v>46113</v>
      </c>
      <c r="H124" s="19">
        <v>14479</v>
      </c>
      <c r="I124" s="3" t="str">
        <f>VLOOKUP(H124,'[1]Base de Clientes'!$B:$E,4,0)</f>
        <v>BANCO SANTANDER (BRASIL) S/A</v>
      </c>
      <c r="J124" s="5" t="s">
        <v>8</v>
      </c>
      <c r="K124" s="5" t="s">
        <v>48</v>
      </c>
      <c r="L124" s="9">
        <v>4988.6000000000004</v>
      </c>
      <c r="M124" s="11" t="s">
        <v>7</v>
      </c>
      <c r="N124" s="13" t="s">
        <v>451</v>
      </c>
      <c r="O124" s="7">
        <v>1</v>
      </c>
      <c r="P124" s="16" t="s">
        <v>219</v>
      </c>
      <c r="R124" s="3"/>
      <c r="T124" s="7"/>
    </row>
    <row r="125" spans="1:20" hidden="1" x14ac:dyDescent="0.25">
      <c r="A125" s="16" t="str">
        <f t="shared" si="21"/>
        <v>CUSTO DMA -RICARDO R ROSA- ABRIL 26</v>
      </c>
      <c r="B125" s="18">
        <v>46113</v>
      </c>
      <c r="C125" s="3">
        <v>817391</v>
      </c>
      <c r="D125" s="3" t="s">
        <v>411</v>
      </c>
      <c r="E125" s="14">
        <f t="shared" si="15"/>
        <v>-316.77609999999999</v>
      </c>
      <c r="F125" s="3" t="s">
        <v>362</v>
      </c>
      <c r="G125" s="18">
        <v>46113</v>
      </c>
      <c r="H125" s="19">
        <v>14479</v>
      </c>
      <c r="I125" s="3" t="str">
        <f>VLOOKUP(H125,'[1]Base de Clientes'!$B:$E,4,0)</f>
        <v>BANCO SANTANDER (BRASIL) S/A</v>
      </c>
      <c r="J125" s="5" t="s">
        <v>8</v>
      </c>
      <c r="K125" s="5" t="s">
        <v>59</v>
      </c>
      <c r="L125" s="9">
        <v>316.77609999999999</v>
      </c>
      <c r="M125" s="11" t="s">
        <v>7</v>
      </c>
      <c r="N125" s="13" t="s">
        <v>451</v>
      </c>
      <c r="O125" s="7">
        <v>1</v>
      </c>
      <c r="P125" s="16" t="s">
        <v>230</v>
      </c>
      <c r="R125" s="3"/>
      <c r="T125" s="7"/>
    </row>
    <row r="126" spans="1:20" hidden="1" x14ac:dyDescent="0.25">
      <c r="A126" s="16" t="str">
        <f t="shared" si="21"/>
        <v>CUSTO DMA -KAUE CHINELLATO- ABRIL 26</v>
      </c>
      <c r="B126" s="18">
        <v>46113</v>
      </c>
      <c r="C126" s="3">
        <v>817391</v>
      </c>
      <c r="D126" s="3" t="s">
        <v>407</v>
      </c>
      <c r="E126" s="14">
        <f t="shared" si="15"/>
        <v>-4988.6000000000004</v>
      </c>
      <c r="F126" s="3" t="s">
        <v>362</v>
      </c>
      <c r="G126" s="18">
        <v>46113</v>
      </c>
      <c r="H126" s="19">
        <v>14334</v>
      </c>
      <c r="I126" s="3" t="str">
        <f>VLOOKUP(H126,'[1]Base de Clientes'!$B:$E,4,0)</f>
        <v>BANCO SOCIETE GENERALE BRASIL S/A</v>
      </c>
      <c r="J126" s="5" t="s">
        <v>8</v>
      </c>
      <c r="K126" s="5" t="s">
        <v>42</v>
      </c>
      <c r="L126" s="9">
        <v>4988.6000000000004</v>
      </c>
      <c r="M126" s="11" t="s">
        <v>7</v>
      </c>
      <c r="N126" s="13" t="s">
        <v>451</v>
      </c>
      <c r="O126" s="7">
        <v>1</v>
      </c>
      <c r="P126" s="16" t="s">
        <v>213</v>
      </c>
      <c r="R126" s="3"/>
      <c r="T126" s="7"/>
    </row>
    <row r="127" spans="1:20" hidden="1" x14ac:dyDescent="0.25">
      <c r="A127" s="16" t="str">
        <f t="shared" si="21"/>
        <v>CUSTO DMA -VINICIUS FERREIRA- ABRIL 26</v>
      </c>
      <c r="B127" s="18">
        <v>46113</v>
      </c>
      <c r="C127" s="3">
        <v>817391</v>
      </c>
      <c r="D127" s="3" t="s">
        <v>483</v>
      </c>
      <c r="E127" s="14">
        <f t="shared" si="15"/>
        <v>-2.4943</v>
      </c>
      <c r="F127" s="3" t="s">
        <v>362</v>
      </c>
      <c r="G127" s="18">
        <v>46113</v>
      </c>
      <c r="H127" s="19">
        <v>79157</v>
      </c>
      <c r="I127" s="3" t="str">
        <f>VLOOKUP(H127,'[1]Base de Clientes'!$B:$E,4,0)</f>
        <v>BANCO SOCIETE GENERALE BRASIL S/A</v>
      </c>
      <c r="J127" s="5" t="s">
        <v>8</v>
      </c>
      <c r="K127" s="5" t="s">
        <v>455</v>
      </c>
      <c r="L127" s="9">
        <v>2.4943</v>
      </c>
      <c r="M127" s="11" t="s">
        <v>7</v>
      </c>
      <c r="N127" s="13" t="s">
        <v>451</v>
      </c>
      <c r="O127" s="7">
        <v>1</v>
      </c>
      <c r="P127" s="16" t="s">
        <v>464</v>
      </c>
      <c r="Q127" s="3">
        <v>3027.35</v>
      </c>
      <c r="R127" s="3">
        <f>E127+Q127</f>
        <v>3024.8557000000001</v>
      </c>
      <c r="T127" s="7"/>
    </row>
    <row r="128" spans="1:20" hidden="1" x14ac:dyDescent="0.25">
      <c r="A128" s="16" t="str">
        <f t="shared" si="21"/>
        <v>CUSTO DMA -MARCO RIGO- ABRIL 26</v>
      </c>
      <c r="B128" s="18">
        <v>46113</v>
      </c>
      <c r="C128" s="3">
        <v>817391</v>
      </c>
      <c r="D128" s="3" t="s">
        <v>474</v>
      </c>
      <c r="E128" s="14">
        <f t="shared" si="15"/>
        <v>-3820.76874</v>
      </c>
      <c r="F128" s="3" t="s">
        <v>362</v>
      </c>
      <c r="G128" s="18">
        <v>46113</v>
      </c>
      <c r="H128" s="19">
        <v>81643</v>
      </c>
      <c r="I128" s="3" t="str">
        <f>VLOOKUP(H128,'[1]Base de Clientes'!$B:$E,4,0)</f>
        <v>BANCO SUMITOMO MITSUI BRASILEIRO S/A</v>
      </c>
      <c r="J128" s="5" t="s">
        <v>8</v>
      </c>
      <c r="K128" s="5" t="s">
        <v>50</v>
      </c>
      <c r="L128" s="9">
        <v>3820.76874</v>
      </c>
      <c r="M128" s="11" t="s">
        <v>7</v>
      </c>
      <c r="N128" s="13" t="s">
        <v>451</v>
      </c>
      <c r="O128" s="7">
        <v>1</v>
      </c>
      <c r="P128" s="16" t="s">
        <v>221</v>
      </c>
      <c r="R128" s="3"/>
      <c r="T128" s="7"/>
    </row>
    <row r="129" spans="1:20" hidden="1" x14ac:dyDescent="0.25">
      <c r="A129" s="16" t="str">
        <f t="shared" si="21"/>
        <v>CUSTO DMA -RENANN DAVID- ABRIL 26</v>
      </c>
      <c r="B129" s="18">
        <v>46113</v>
      </c>
      <c r="C129" s="3">
        <v>817391</v>
      </c>
      <c r="D129" s="3" t="s">
        <v>474</v>
      </c>
      <c r="E129" s="14">
        <f t="shared" si="15"/>
        <v>-4988.6000000000004</v>
      </c>
      <c r="F129" s="3" t="s">
        <v>362</v>
      </c>
      <c r="G129" s="18">
        <v>46113</v>
      </c>
      <c r="H129" s="19">
        <v>81643</v>
      </c>
      <c r="I129" s="3" t="str">
        <f>VLOOKUP(H129,'[1]Base de Clientes'!$B:$E,4,0)</f>
        <v>BANCO SUMITOMO MITSUI BRASILEIRO S/A</v>
      </c>
      <c r="J129" s="5" t="s">
        <v>8</v>
      </c>
      <c r="K129" s="5" t="s">
        <v>56</v>
      </c>
      <c r="L129" s="9">
        <v>4988.6000000000004</v>
      </c>
      <c r="M129" s="11" t="s">
        <v>7</v>
      </c>
      <c r="N129" s="13" t="s">
        <v>451</v>
      </c>
      <c r="O129" s="7">
        <v>1</v>
      </c>
      <c r="P129" s="16" t="s">
        <v>227</v>
      </c>
      <c r="R129" s="3"/>
      <c r="T129" s="7"/>
    </row>
    <row r="130" spans="1:20" hidden="1" x14ac:dyDescent="0.25">
      <c r="A130" s="16" t="str">
        <f t="shared" si="21"/>
        <v>CUSTO DMA -DANIEL SARAIVA- ABRIL 26</v>
      </c>
      <c r="B130" s="18">
        <v>46113</v>
      </c>
      <c r="C130" s="3">
        <v>817391</v>
      </c>
      <c r="D130" s="3" t="s">
        <v>481</v>
      </c>
      <c r="E130" s="14">
        <f t="shared" si="15"/>
        <v>-234.96306000000001</v>
      </c>
      <c r="F130" s="3" t="s">
        <v>362</v>
      </c>
      <c r="G130" s="18">
        <v>46113</v>
      </c>
      <c r="H130" s="19">
        <v>144310</v>
      </c>
      <c r="I130" s="3" t="str">
        <f>VLOOKUP(H130,'[1]Base de Clientes'!$B:$E,4,0)</f>
        <v>BW GESTAO DE INVESTIMENTOS LTDA</v>
      </c>
      <c r="J130" s="5" t="s">
        <v>8</v>
      </c>
      <c r="K130" s="5" t="s">
        <v>31</v>
      </c>
      <c r="L130" s="9">
        <v>234.96306000000001</v>
      </c>
      <c r="M130" s="11" t="s">
        <v>7</v>
      </c>
      <c r="N130" s="13" t="s">
        <v>451</v>
      </c>
      <c r="O130" s="7">
        <v>1</v>
      </c>
      <c r="P130" s="16" t="s">
        <v>202</v>
      </c>
      <c r="R130" s="3"/>
      <c r="T130" s="7"/>
    </row>
    <row r="131" spans="1:20" hidden="1" x14ac:dyDescent="0.25">
      <c r="A131" s="16" t="str">
        <f t="shared" si="21"/>
        <v>CUSTO DMA -MARCIO ALBUQUERQUE- ABRIL 26</v>
      </c>
      <c r="B131" s="18">
        <v>46113</v>
      </c>
      <c r="C131" s="3">
        <v>817391</v>
      </c>
      <c r="D131" s="3" t="s">
        <v>480</v>
      </c>
      <c r="E131" s="14">
        <f t="shared" si="15"/>
        <v>-4988.6000000000004</v>
      </c>
      <c r="F131" s="3" t="s">
        <v>362</v>
      </c>
      <c r="G131" s="18">
        <v>46113</v>
      </c>
      <c r="H131" s="19">
        <v>80828</v>
      </c>
      <c r="I131" s="3" t="str">
        <f>VLOOKUP(H131,'[1]Base de Clientes'!$B:$E,4,0)</f>
        <v>CAPSTONE PARTNERS GESTAO DE RECURSOS LTDA</v>
      </c>
      <c r="J131" s="5" t="s">
        <v>8</v>
      </c>
      <c r="K131" s="5" t="s">
        <v>46</v>
      </c>
      <c r="L131" s="9">
        <v>4988.6000000000004</v>
      </c>
      <c r="M131" s="11" t="s">
        <v>7</v>
      </c>
      <c r="N131" s="13" t="s">
        <v>451</v>
      </c>
      <c r="O131" s="7">
        <v>1</v>
      </c>
      <c r="P131" s="16" t="s">
        <v>217</v>
      </c>
      <c r="R131" s="3"/>
      <c r="T131" s="7"/>
    </row>
    <row r="132" spans="1:20" hidden="1" x14ac:dyDescent="0.25">
      <c r="A132" s="16" t="str">
        <f t="shared" si="21"/>
        <v>CUSTO DMA -KARINE VICENTE- ABRIL 26</v>
      </c>
      <c r="B132" s="18">
        <v>46113</v>
      </c>
      <c r="C132" s="3">
        <v>817391</v>
      </c>
      <c r="D132" s="3" t="s">
        <v>411</v>
      </c>
      <c r="E132" s="14">
        <f t="shared" si="15"/>
        <v>-4988.6000000000004</v>
      </c>
      <c r="F132" s="3" t="s">
        <v>362</v>
      </c>
      <c r="G132" s="18">
        <v>46113</v>
      </c>
      <c r="H132" s="19">
        <v>80961</v>
      </c>
      <c r="I132" s="3" t="str">
        <f>VLOOKUP(H132,'[1]Base de Clientes'!$B:$E,4,0)</f>
        <v>BANCO CITIBANK S/A</v>
      </c>
      <c r="J132" s="5" t="s">
        <v>8</v>
      </c>
      <c r="K132" s="5" t="s">
        <v>43</v>
      </c>
      <c r="L132" s="9">
        <v>4988.6000000000004</v>
      </c>
      <c r="M132" s="11" t="s">
        <v>7</v>
      </c>
      <c r="N132" s="13" t="s">
        <v>451</v>
      </c>
      <c r="O132" s="7">
        <v>1</v>
      </c>
      <c r="P132" s="16" t="s">
        <v>214</v>
      </c>
      <c r="R132" s="3"/>
      <c r="T132" s="7"/>
    </row>
    <row r="133" spans="1:20" hidden="1" x14ac:dyDescent="0.25">
      <c r="A133" s="16" t="str">
        <f t="shared" si="21"/>
        <v>CUSTO DMA -LEONARDO MACEDO- ABRIL 26</v>
      </c>
      <c r="B133" s="18">
        <v>46113</v>
      </c>
      <c r="C133" s="3">
        <v>817391</v>
      </c>
      <c r="D133" s="3" t="s">
        <v>403</v>
      </c>
      <c r="E133" s="14">
        <f t="shared" si="15"/>
        <v>-4988.6000000000004</v>
      </c>
      <c r="F133" s="3" t="s">
        <v>362</v>
      </c>
      <c r="G133" s="18">
        <v>46113</v>
      </c>
      <c r="H133" s="19">
        <v>80883</v>
      </c>
      <c r="I133" s="3" t="str">
        <f>VLOOKUP(H133,'[1]Base de Clientes'!$B:$E,4,0)</f>
        <v>GENOA CAPITAL GESTORA DE RECURSOS LTDA</v>
      </c>
      <c r="J133" s="5" t="s">
        <v>8</v>
      </c>
      <c r="K133" s="5" t="s">
        <v>45</v>
      </c>
      <c r="L133" s="9">
        <v>4988.6000000000004</v>
      </c>
      <c r="M133" s="11" t="s">
        <v>7</v>
      </c>
      <c r="N133" s="13" t="s">
        <v>451</v>
      </c>
      <c r="O133" s="7">
        <v>1</v>
      </c>
      <c r="P133" s="16" t="s">
        <v>216</v>
      </c>
      <c r="R133" s="3"/>
      <c r="T133" s="7"/>
    </row>
    <row r="134" spans="1:20" hidden="1" x14ac:dyDescent="0.25">
      <c r="A134" s="16" t="str">
        <f t="shared" si="21"/>
        <v>CUSTO DMA -MARIO RUOCO- ABRIL 26</v>
      </c>
      <c r="B134" s="18">
        <v>46113</v>
      </c>
      <c r="C134" s="3">
        <v>817391</v>
      </c>
      <c r="D134" s="3" t="s">
        <v>483</v>
      </c>
      <c r="E134" s="14">
        <f t="shared" si="15"/>
        <v>-249.43</v>
      </c>
      <c r="F134" s="3" t="s">
        <v>362</v>
      </c>
      <c r="G134" s="18">
        <v>46113</v>
      </c>
      <c r="H134" s="19">
        <v>81259</v>
      </c>
      <c r="I134" s="3" t="str">
        <f>VLOOKUP(H134,'[1]Base de Clientes'!$B:$E,4,0)</f>
        <v>GOLDMAN SACHS DO BRASIL BANCO MULTIPLO S/A</v>
      </c>
      <c r="J134" s="5" t="s">
        <v>8</v>
      </c>
      <c r="K134" s="5" t="s">
        <v>51</v>
      </c>
      <c r="L134" s="9">
        <v>249.43</v>
      </c>
      <c r="M134" s="11" t="s">
        <v>7</v>
      </c>
      <c r="N134" s="13" t="s">
        <v>451</v>
      </c>
      <c r="O134" s="7">
        <v>1</v>
      </c>
      <c r="P134" s="16" t="s">
        <v>222</v>
      </c>
      <c r="R134" s="3"/>
      <c r="T134" s="7"/>
    </row>
    <row r="135" spans="1:20" hidden="1" x14ac:dyDescent="0.25">
      <c r="A135" s="16" t="str">
        <f t="shared" si="21"/>
        <v>CUSTO DMA -RAFAEL FONSECA- ABRIL 26</v>
      </c>
      <c r="B135" s="18">
        <v>46113</v>
      </c>
      <c r="C135" s="3">
        <v>817391</v>
      </c>
      <c r="D135" s="3" t="s">
        <v>402</v>
      </c>
      <c r="E135" s="14">
        <f t="shared" si="15"/>
        <v>-4988.6000000000004</v>
      </c>
      <c r="F135" s="3" t="s">
        <v>362</v>
      </c>
      <c r="G135" s="18">
        <v>46113</v>
      </c>
      <c r="H135" s="19">
        <v>81259</v>
      </c>
      <c r="I135" s="3" t="str">
        <f>VLOOKUP(H135,'[1]Base de Clientes'!$B:$E,4,0)</f>
        <v>GOLDMAN SACHS DO BRASIL BANCO MULTIPLO S/A</v>
      </c>
      <c r="J135" s="5" t="s">
        <v>8</v>
      </c>
      <c r="K135" s="5" t="s">
        <v>57</v>
      </c>
      <c r="L135" s="9">
        <v>4988.6000000000004</v>
      </c>
      <c r="M135" s="11" t="s">
        <v>7</v>
      </c>
      <c r="N135" s="13" t="s">
        <v>451</v>
      </c>
      <c r="O135" s="7">
        <v>1</v>
      </c>
      <c r="P135" s="16" t="s">
        <v>228</v>
      </c>
      <c r="R135" s="3"/>
      <c r="T135" s="7"/>
    </row>
    <row r="136" spans="1:20" hidden="1" x14ac:dyDescent="0.25">
      <c r="A136" s="16" t="str">
        <f t="shared" si="21"/>
        <v>CUSTO DMA -PEDRO CURY- ABRIL 26</v>
      </c>
      <c r="B136" s="18">
        <v>46113</v>
      </c>
      <c r="C136" s="3">
        <v>817391</v>
      </c>
      <c r="D136" s="3" t="s">
        <v>402</v>
      </c>
      <c r="E136" s="14">
        <f t="shared" si="15"/>
        <v>-4988.6000000000004</v>
      </c>
      <c r="F136" s="3" t="s">
        <v>362</v>
      </c>
      <c r="G136" s="18">
        <v>46113</v>
      </c>
      <c r="H136" s="19">
        <v>81348</v>
      </c>
      <c r="I136" s="3" t="str">
        <f>VLOOKUP(H136,'[1]Base de Clientes'!$B:$E,4,0)</f>
        <v>BANCO HSBC S/A</v>
      </c>
      <c r="J136" s="5" t="s">
        <v>8</v>
      </c>
      <c r="K136" s="5" t="s">
        <v>52</v>
      </c>
      <c r="L136" s="9">
        <v>4988.6000000000004</v>
      </c>
      <c r="M136" s="11" t="s">
        <v>7</v>
      </c>
      <c r="N136" s="13" t="s">
        <v>451</v>
      </c>
      <c r="O136" s="7">
        <v>1</v>
      </c>
      <c r="P136" s="16" t="s">
        <v>223</v>
      </c>
      <c r="R136" s="3"/>
      <c r="T136" s="7"/>
    </row>
    <row r="137" spans="1:20" hidden="1" x14ac:dyDescent="0.25">
      <c r="A137" s="16" t="str">
        <f t="shared" si="21"/>
        <v>CUSTO DMA -BEATRIZ BIDUTTE- ABRIL 26</v>
      </c>
      <c r="B137" s="18">
        <v>46113</v>
      </c>
      <c r="C137" s="3">
        <v>817391</v>
      </c>
      <c r="D137" s="3" t="s">
        <v>474</v>
      </c>
      <c r="E137" s="14">
        <f t="shared" si="15"/>
        <v>-4988.6000000000004</v>
      </c>
      <c r="F137" s="3" t="s">
        <v>362</v>
      </c>
      <c r="G137" s="18">
        <v>46113</v>
      </c>
      <c r="H137" s="19">
        <v>79965</v>
      </c>
      <c r="I137" s="3" t="str">
        <f>VLOOKUP(H137,'[1]Base de Clientes'!$B:$E,4,0)</f>
        <v>BANCO HSBC S/A</v>
      </c>
      <c r="J137" s="5" t="s">
        <v>8</v>
      </c>
      <c r="K137" s="5" t="s">
        <v>24</v>
      </c>
      <c r="L137" s="9">
        <v>4988.6000000000004</v>
      </c>
      <c r="M137" s="11" t="s">
        <v>7</v>
      </c>
      <c r="N137" s="13" t="s">
        <v>451</v>
      </c>
      <c r="O137" s="7">
        <v>1</v>
      </c>
      <c r="P137" s="16" t="s">
        <v>195</v>
      </c>
      <c r="R137" s="3"/>
      <c r="T137" s="7"/>
    </row>
    <row r="138" spans="1:20" hidden="1" x14ac:dyDescent="0.25">
      <c r="A138" s="16" t="str">
        <f t="shared" si="21"/>
        <v>CUSTO DMA -GABRIEL NASCIMENTO- ABRIL 26</v>
      </c>
      <c r="B138" s="18">
        <v>46113</v>
      </c>
      <c r="C138" s="3">
        <v>817391</v>
      </c>
      <c r="D138" s="3" t="s">
        <v>474</v>
      </c>
      <c r="E138" s="14">
        <f t="shared" si="15"/>
        <v>-4988.6000000000004</v>
      </c>
      <c r="F138" s="3" t="s">
        <v>362</v>
      </c>
      <c r="G138" s="18">
        <v>46113</v>
      </c>
      <c r="H138" s="19">
        <v>81348</v>
      </c>
      <c r="I138" s="3" t="str">
        <f>VLOOKUP(H138,'[1]Base de Clientes'!$B:$E,4,0)</f>
        <v>BANCO HSBC S/A</v>
      </c>
      <c r="J138" s="5" t="s">
        <v>8</v>
      </c>
      <c r="K138" s="5" t="s">
        <v>37</v>
      </c>
      <c r="L138" s="9">
        <v>4988.6000000000004</v>
      </c>
      <c r="M138" s="11" t="s">
        <v>7</v>
      </c>
      <c r="N138" s="13" t="s">
        <v>451</v>
      </c>
      <c r="O138" s="7">
        <v>1</v>
      </c>
      <c r="P138" s="16" t="s">
        <v>208</v>
      </c>
      <c r="R138" s="3"/>
      <c r="T138" s="7"/>
    </row>
    <row r="139" spans="1:20" hidden="1" x14ac:dyDescent="0.25">
      <c r="A139" s="16" t="str">
        <f t="shared" si="21"/>
        <v>CUSTO DMA -FELIPE GRIGOROVSKI- ABRIL 26</v>
      </c>
      <c r="B139" s="18">
        <v>46113</v>
      </c>
      <c r="C139" s="3">
        <v>817391</v>
      </c>
      <c r="D139" s="3" t="s">
        <v>398</v>
      </c>
      <c r="E139" s="14">
        <f t="shared" si="15"/>
        <v>-2005.91606</v>
      </c>
      <c r="F139" s="3" t="s">
        <v>362</v>
      </c>
      <c r="G139" s="18">
        <v>46113</v>
      </c>
      <c r="H139" s="19">
        <v>80958</v>
      </c>
      <c r="I139" s="3" t="str">
        <f>VLOOKUP(H139,'[1]Base de Clientes'!$B:$E,4,0)</f>
        <v>ITAU UNIBANCO ASSET - OPTIMUS</v>
      </c>
      <c r="J139" s="5" t="s">
        <v>8</v>
      </c>
      <c r="K139" s="5" t="s">
        <v>33</v>
      </c>
      <c r="L139" s="9">
        <v>2005.91606</v>
      </c>
      <c r="M139" s="11" t="s">
        <v>7</v>
      </c>
      <c r="N139" s="13" t="s">
        <v>451</v>
      </c>
      <c r="O139" s="7">
        <v>1</v>
      </c>
      <c r="P139" s="16" t="s">
        <v>204</v>
      </c>
      <c r="R139" s="3"/>
      <c r="T139" s="7"/>
    </row>
    <row r="140" spans="1:20" hidden="1" x14ac:dyDescent="0.25">
      <c r="A140" s="16" t="str">
        <f t="shared" si="21"/>
        <v>CUSTO DMA -JOAO VITOR LUCENA- ABRIL 26</v>
      </c>
      <c r="B140" s="18">
        <v>46113</v>
      </c>
      <c r="C140" s="3">
        <v>817391</v>
      </c>
      <c r="D140" s="3" t="s">
        <v>474</v>
      </c>
      <c r="E140" s="14">
        <f t="shared" si="15"/>
        <v>-748.29</v>
      </c>
      <c r="F140" s="3" t="s">
        <v>362</v>
      </c>
      <c r="G140" s="18">
        <v>46113</v>
      </c>
      <c r="H140" s="19">
        <v>80958</v>
      </c>
      <c r="I140" s="3" t="str">
        <f>VLOOKUP(H140,'[1]Base de Clientes'!$B:$E,4,0)</f>
        <v>ITAU UNIBANCO ASSET - OPTIMUS</v>
      </c>
      <c r="J140" s="5" t="s">
        <v>8</v>
      </c>
      <c r="K140" s="5" t="s">
        <v>373</v>
      </c>
      <c r="L140" s="9">
        <v>748.29</v>
      </c>
      <c r="M140" s="11" t="s">
        <v>7</v>
      </c>
      <c r="N140" s="13" t="s">
        <v>451</v>
      </c>
      <c r="O140" s="7">
        <v>1</v>
      </c>
      <c r="P140" s="16" t="s">
        <v>387</v>
      </c>
      <c r="R140" s="3"/>
      <c r="T140" s="7"/>
    </row>
    <row r="141" spans="1:20" hidden="1" x14ac:dyDescent="0.25">
      <c r="A141" s="16" t="str">
        <f t="shared" si="21"/>
        <v>CUSTO DMA -PABLO SALGADO- ABRIL 26</v>
      </c>
      <c r="B141" s="18">
        <v>46113</v>
      </c>
      <c r="C141" s="3">
        <v>817391</v>
      </c>
      <c r="D141" s="3" t="s">
        <v>411</v>
      </c>
      <c r="E141" s="14">
        <f t="shared" si="15"/>
        <v>-4988.6000000000004</v>
      </c>
      <c r="F141" s="3" t="s">
        <v>362</v>
      </c>
      <c r="G141" s="18">
        <v>46113</v>
      </c>
      <c r="H141" s="19">
        <v>80958</v>
      </c>
      <c r="I141" s="3" t="str">
        <f>VLOOKUP(H141,'[1]Base de Clientes'!$B:$E,4,0)</f>
        <v>ITAU UNIBANCO ASSET - OPTIMUS</v>
      </c>
      <c r="J141" s="5" t="s">
        <v>8</v>
      </c>
      <c r="K141" s="5" t="s">
        <v>374</v>
      </c>
      <c r="L141" s="9">
        <v>4988.6000000000004</v>
      </c>
      <c r="M141" s="11" t="s">
        <v>7</v>
      </c>
      <c r="N141" s="13" t="s">
        <v>451</v>
      </c>
      <c r="O141" s="7">
        <v>1</v>
      </c>
      <c r="P141" s="16" t="s">
        <v>388</v>
      </c>
      <c r="R141" s="3"/>
      <c r="T141" s="7"/>
    </row>
    <row r="142" spans="1:20" hidden="1" x14ac:dyDescent="0.25">
      <c r="A142" s="16" t="str">
        <f t="shared" si="21"/>
        <v>CUSTO DMA -FERNANDO SCARPA- ABRIL 26</v>
      </c>
      <c r="B142" s="18">
        <v>46113</v>
      </c>
      <c r="C142" s="3">
        <v>817391</v>
      </c>
      <c r="D142" s="3" t="s">
        <v>400</v>
      </c>
      <c r="E142" s="14">
        <f t="shared" si="15"/>
        <v>-4988.6000000000004</v>
      </c>
      <c r="F142" s="3" t="s">
        <v>362</v>
      </c>
      <c r="G142" s="18">
        <v>46113</v>
      </c>
      <c r="H142" s="19">
        <v>80375</v>
      </c>
      <c r="I142" s="3" t="str">
        <f>VLOOKUP(H142,'[1]Base de Clientes'!$B:$E,4,0)</f>
        <v>ITAU UNIBANCO S/A</v>
      </c>
      <c r="J142" s="5" t="s">
        <v>8</v>
      </c>
      <c r="K142" s="5" t="s">
        <v>36</v>
      </c>
      <c r="L142" s="9">
        <v>4988.6000000000004</v>
      </c>
      <c r="M142" s="11" t="s">
        <v>7</v>
      </c>
      <c r="N142" s="13" t="s">
        <v>451</v>
      </c>
      <c r="O142" s="7">
        <v>1</v>
      </c>
      <c r="P142" s="16" t="s">
        <v>207</v>
      </c>
      <c r="R142" s="3"/>
      <c r="T142" s="7"/>
    </row>
    <row r="143" spans="1:20" hidden="1" x14ac:dyDescent="0.25">
      <c r="A143" s="16" t="str">
        <f t="shared" si="21"/>
        <v>CUSTO DMA -ALFIO SILVA- ABRIL 26</v>
      </c>
      <c r="B143" s="18">
        <v>46113</v>
      </c>
      <c r="C143" s="3">
        <v>817391</v>
      </c>
      <c r="D143" s="3" t="s">
        <v>401</v>
      </c>
      <c r="E143" s="14">
        <f t="shared" ref="E143:E192" si="22">-L143*O143</f>
        <v>-2312.7149599999998</v>
      </c>
      <c r="F143" s="3" t="s">
        <v>362</v>
      </c>
      <c r="G143" s="18">
        <v>46113</v>
      </c>
      <c r="H143" s="19">
        <v>80227</v>
      </c>
      <c r="I143" s="3" t="str">
        <f>VLOOKUP(H143,'[1]Base de Clientes'!$B:$E,4,0)</f>
        <v>ITAU UNIBANCO S/A</v>
      </c>
      <c r="J143" s="5" t="s">
        <v>8</v>
      </c>
      <c r="K143" s="5" t="s">
        <v>23</v>
      </c>
      <c r="L143" s="9">
        <v>2312.7149599999998</v>
      </c>
      <c r="M143" s="11" t="s">
        <v>7</v>
      </c>
      <c r="N143" s="13" t="s">
        <v>451</v>
      </c>
      <c r="O143" s="7">
        <v>1</v>
      </c>
      <c r="P143" s="16" t="s">
        <v>194</v>
      </c>
      <c r="R143" s="3"/>
      <c r="T143" s="7"/>
    </row>
    <row r="144" spans="1:20" hidden="1" x14ac:dyDescent="0.25">
      <c r="A144" s="16" t="str">
        <f t="shared" si="21"/>
        <v>CUSTO DMA -BRUNO SERRA FERNANDES- ABRIL 26</v>
      </c>
      <c r="B144" s="18">
        <v>46113</v>
      </c>
      <c r="C144" s="3">
        <v>817391</v>
      </c>
      <c r="D144" s="3" t="s">
        <v>397</v>
      </c>
      <c r="E144" s="14">
        <f t="shared" si="22"/>
        <v>-163.37665000000001</v>
      </c>
      <c r="F144" s="3" t="s">
        <v>362</v>
      </c>
      <c r="G144" s="18">
        <v>46113</v>
      </c>
      <c r="H144" s="19">
        <v>82010</v>
      </c>
      <c r="I144" s="3" t="str">
        <f>VLOOKUP(H144,'[1]Base de Clientes'!$B:$E,4,0)</f>
        <v>ITAU UNIBANCO ASSET - JANEIRO</v>
      </c>
      <c r="J144" s="5" t="s">
        <v>8</v>
      </c>
      <c r="K144" s="5" t="s">
        <v>369</v>
      </c>
      <c r="L144" s="9">
        <v>326.75330000000002</v>
      </c>
      <c r="M144" s="11" t="s">
        <v>7</v>
      </c>
      <c r="N144" s="13" t="s">
        <v>451</v>
      </c>
      <c r="O144" s="7">
        <v>0.5</v>
      </c>
      <c r="P144" s="16" t="s">
        <v>383</v>
      </c>
      <c r="R144" s="3"/>
      <c r="T144" s="7"/>
    </row>
    <row r="145" spans="1:20" hidden="1" x14ac:dyDescent="0.25">
      <c r="A145" s="16" t="str">
        <f t="shared" ref="A145" si="23">CONCATENATE(J145,M145,K145,M145,N145)</f>
        <v>CUSTO DMA -BRUNO SERRA FERNANDES- ABRIL 26</v>
      </c>
      <c r="B145" s="18">
        <v>46113</v>
      </c>
      <c r="C145" s="3">
        <v>817391</v>
      </c>
      <c r="D145" s="3" t="s">
        <v>401</v>
      </c>
      <c r="E145" s="14">
        <f t="shared" ref="E145" si="24">-L145*O145</f>
        <v>-163.37665000000001</v>
      </c>
      <c r="F145" s="3" t="s">
        <v>362</v>
      </c>
      <c r="G145" s="18">
        <v>46113</v>
      </c>
      <c r="H145" s="19">
        <v>82010</v>
      </c>
      <c r="I145" s="3" t="str">
        <f>VLOOKUP(H145,'[1]Base de Clientes'!$B:$E,4,0)</f>
        <v>ITAU UNIBANCO ASSET - JANEIRO</v>
      </c>
      <c r="J145" s="5" t="s">
        <v>8</v>
      </c>
      <c r="K145" s="5" t="s">
        <v>369</v>
      </c>
      <c r="L145" s="9">
        <v>326.75330000000002</v>
      </c>
      <c r="M145" s="11" t="s">
        <v>7</v>
      </c>
      <c r="N145" s="13" t="s">
        <v>451</v>
      </c>
      <c r="O145" s="7">
        <v>0.5</v>
      </c>
      <c r="P145" s="16" t="s">
        <v>383</v>
      </c>
      <c r="R145" s="3"/>
      <c r="T145" s="7"/>
    </row>
    <row r="146" spans="1:20" hidden="1" x14ac:dyDescent="0.25">
      <c r="A146" s="16" t="str">
        <f t="shared" ref="A146" si="25">CONCATENATE(J146,M146,K146,M146,N146)</f>
        <v>CUSTO DMA -DANIEL COSTA- ABRIL 26</v>
      </c>
      <c r="B146" s="18">
        <v>46113</v>
      </c>
      <c r="C146" s="3">
        <v>817391</v>
      </c>
      <c r="D146" s="3" t="s">
        <v>402</v>
      </c>
      <c r="E146" s="14">
        <f t="shared" si="22"/>
        <v>-2494.3000000000002</v>
      </c>
      <c r="F146" s="3" t="s">
        <v>362</v>
      </c>
      <c r="G146" s="18">
        <v>46113</v>
      </c>
      <c r="H146" s="19">
        <v>82010</v>
      </c>
      <c r="I146" s="3" t="str">
        <f>VLOOKUP(H146,'[1]Base de Clientes'!$B:$E,4,0)</f>
        <v>ITAU UNIBANCO ASSET - JANEIRO</v>
      </c>
      <c r="J146" s="5" t="s">
        <v>8</v>
      </c>
      <c r="K146" s="5" t="s">
        <v>29</v>
      </c>
      <c r="L146" s="9">
        <v>4988.6000000000004</v>
      </c>
      <c r="M146" s="11" t="s">
        <v>7</v>
      </c>
      <c r="N146" s="13" t="s">
        <v>451</v>
      </c>
      <c r="O146" s="7">
        <v>0.5</v>
      </c>
      <c r="P146" s="16" t="s">
        <v>200</v>
      </c>
      <c r="R146" s="3"/>
      <c r="T146" s="7"/>
    </row>
    <row r="147" spans="1:20" hidden="1" x14ac:dyDescent="0.25">
      <c r="A147" s="16" t="str">
        <f t="shared" ref="A147" si="26">CONCATENATE(J147,M147,K147,M147,N147)</f>
        <v>CUSTO DMA -DANIEL COSTA- ABRIL 26</v>
      </c>
      <c r="B147" s="18">
        <v>46113</v>
      </c>
      <c r="C147" s="3">
        <v>817391</v>
      </c>
      <c r="D147" s="3" t="s">
        <v>403</v>
      </c>
      <c r="E147" s="14">
        <f t="shared" ref="E147" si="27">-L147*O147</f>
        <v>-2494.3000000000002</v>
      </c>
      <c r="F147" s="3" t="s">
        <v>362</v>
      </c>
      <c r="G147" s="18">
        <v>46113</v>
      </c>
      <c r="H147" s="19">
        <v>82010</v>
      </c>
      <c r="I147" s="3" t="str">
        <f>VLOOKUP(H147,'[1]Base de Clientes'!$B:$E,4,0)</f>
        <v>ITAU UNIBANCO ASSET - JANEIRO</v>
      </c>
      <c r="J147" s="5" t="s">
        <v>8</v>
      </c>
      <c r="K147" s="5" t="s">
        <v>29</v>
      </c>
      <c r="L147" s="9">
        <v>4988.6000000000004</v>
      </c>
      <c r="M147" s="11" t="s">
        <v>7</v>
      </c>
      <c r="N147" s="13" t="s">
        <v>451</v>
      </c>
      <c r="O147" s="7">
        <v>0.5</v>
      </c>
      <c r="P147" s="16" t="s">
        <v>200</v>
      </c>
      <c r="R147" s="3"/>
      <c r="T147" s="7"/>
    </row>
    <row r="148" spans="1:20" hidden="1" x14ac:dyDescent="0.25">
      <c r="A148" s="16" t="str">
        <f t="shared" si="21"/>
        <v>CUSTO DMA -DANILO MACARI- ABRIL 26</v>
      </c>
      <c r="B148" s="18">
        <v>46113</v>
      </c>
      <c r="C148" s="3">
        <v>817391</v>
      </c>
      <c r="D148" s="3" t="s">
        <v>403</v>
      </c>
      <c r="E148" s="14">
        <f t="shared" si="22"/>
        <v>-2494.3000000000002</v>
      </c>
      <c r="F148" s="3" t="s">
        <v>362</v>
      </c>
      <c r="G148" s="18">
        <v>46113</v>
      </c>
      <c r="H148" s="19">
        <v>82010</v>
      </c>
      <c r="I148" s="3" t="str">
        <f>VLOOKUP(H148,'[1]Base de Clientes'!$B:$E,4,0)</f>
        <v>ITAU UNIBANCO ASSET - JANEIRO</v>
      </c>
      <c r="J148" s="5" t="s">
        <v>8</v>
      </c>
      <c r="K148" s="5" t="s">
        <v>30</v>
      </c>
      <c r="L148" s="9">
        <v>4988.6000000000004</v>
      </c>
      <c r="M148" s="11" t="s">
        <v>7</v>
      </c>
      <c r="N148" s="13" t="s">
        <v>451</v>
      </c>
      <c r="O148" s="7">
        <v>0.5</v>
      </c>
      <c r="P148" s="16" t="s">
        <v>201</v>
      </c>
      <c r="R148" s="3"/>
      <c r="T148" s="7"/>
    </row>
    <row r="149" spans="1:20" hidden="1" x14ac:dyDescent="0.25">
      <c r="A149" s="16" t="str">
        <f t="shared" ref="A149" si="28">CONCATENATE(J149,M149,K149,M149,N149)</f>
        <v>CUSTO DMA -DANILO MACARI- ABRIL 26</v>
      </c>
      <c r="B149" s="18">
        <v>46113</v>
      </c>
      <c r="C149" s="3">
        <v>817391</v>
      </c>
      <c r="D149" s="3" t="s">
        <v>402</v>
      </c>
      <c r="E149" s="14">
        <f t="shared" ref="E149" si="29">-L149*O149</f>
        <v>-2494.3000000000002</v>
      </c>
      <c r="F149" s="3" t="s">
        <v>362</v>
      </c>
      <c r="G149" s="18">
        <v>46113</v>
      </c>
      <c r="H149" s="19">
        <v>82010</v>
      </c>
      <c r="I149" s="3" t="str">
        <f>VLOOKUP(H149,'[1]Base de Clientes'!$B:$E,4,0)</f>
        <v>ITAU UNIBANCO ASSET - JANEIRO</v>
      </c>
      <c r="J149" s="5" t="s">
        <v>8</v>
      </c>
      <c r="K149" s="5" t="s">
        <v>30</v>
      </c>
      <c r="L149" s="9">
        <v>4988.6000000000004</v>
      </c>
      <c r="M149" s="11" t="s">
        <v>7</v>
      </c>
      <c r="N149" s="13" t="s">
        <v>451</v>
      </c>
      <c r="O149" s="7">
        <v>0.5</v>
      </c>
      <c r="P149" s="16" t="s">
        <v>201</v>
      </c>
      <c r="R149" s="3"/>
      <c r="T149" s="7"/>
    </row>
    <row r="150" spans="1:20" hidden="1" x14ac:dyDescent="0.25">
      <c r="A150" s="16" t="str">
        <f t="shared" si="21"/>
        <v>CUSTO DMA -FILIPE CAVALCANTI- ABRIL 26</v>
      </c>
      <c r="B150" s="18">
        <v>46113</v>
      </c>
      <c r="C150" s="3">
        <v>817391</v>
      </c>
      <c r="D150" s="3" t="s">
        <v>401</v>
      </c>
      <c r="E150" s="14">
        <f t="shared" si="22"/>
        <v>-3945.9825999999998</v>
      </c>
      <c r="F150" s="3" t="s">
        <v>362</v>
      </c>
      <c r="G150" s="18">
        <v>46113</v>
      </c>
      <c r="H150" s="19">
        <v>80227</v>
      </c>
      <c r="I150" s="3" t="str">
        <f>VLOOKUP(H150,'[1]Base de Clientes'!$B:$E,4,0)</f>
        <v>ITAU UNIBANCO S/A</v>
      </c>
      <c r="J150" s="5" t="s">
        <v>8</v>
      </c>
      <c r="K150" s="5" t="s">
        <v>32</v>
      </c>
      <c r="L150" s="9">
        <v>3945.9825999999998</v>
      </c>
      <c r="M150" s="11" t="s">
        <v>7</v>
      </c>
      <c r="N150" s="13" t="s">
        <v>451</v>
      </c>
      <c r="O150" s="7">
        <v>1</v>
      </c>
      <c r="P150" s="16" t="s">
        <v>203</v>
      </c>
      <c r="R150" s="3"/>
      <c r="T150" s="7"/>
    </row>
    <row r="151" spans="1:20" hidden="1" x14ac:dyDescent="0.25">
      <c r="A151" s="16" t="str">
        <f t="shared" si="21"/>
        <v>CUSTO DMA -FREDERICO QUEIROZ- ABRIL 26</v>
      </c>
      <c r="B151" s="18">
        <v>46113</v>
      </c>
      <c r="C151" s="3">
        <v>817391</v>
      </c>
      <c r="D151" s="3" t="s">
        <v>401</v>
      </c>
      <c r="E151" s="14">
        <f t="shared" si="22"/>
        <v>-1247.1500000000001</v>
      </c>
      <c r="F151" s="3" t="s">
        <v>362</v>
      </c>
      <c r="G151" s="18">
        <v>46113</v>
      </c>
      <c r="H151" s="19">
        <v>79806</v>
      </c>
      <c r="I151" s="3" t="str">
        <f>VLOOKUP(H151,'[1]Base de Clientes'!$B:$E,4,0)</f>
        <v>ITAU UNIBANCO S/A</v>
      </c>
      <c r="J151" s="5" t="s">
        <v>8</v>
      </c>
      <c r="K151" s="5" t="s">
        <v>412</v>
      </c>
      <c r="L151" s="9">
        <v>1247.1500000000001</v>
      </c>
      <c r="M151" s="11" t="s">
        <v>7</v>
      </c>
      <c r="N151" s="13" t="s">
        <v>451</v>
      </c>
      <c r="O151" s="7">
        <v>1</v>
      </c>
      <c r="P151" s="16" t="s">
        <v>421</v>
      </c>
      <c r="R151" s="3"/>
      <c r="T151" s="7"/>
    </row>
    <row r="152" spans="1:20" hidden="1" x14ac:dyDescent="0.25">
      <c r="A152" s="16" t="str">
        <f t="shared" si="21"/>
        <v>CUSTO DMA -SAMIR CHELALA- ABRIL 26</v>
      </c>
      <c r="B152" s="18">
        <v>46113</v>
      </c>
      <c r="C152" s="3">
        <v>817391</v>
      </c>
      <c r="D152" s="3" t="s">
        <v>401</v>
      </c>
      <c r="E152" s="14">
        <f t="shared" si="22"/>
        <v>-4988.6000000000004</v>
      </c>
      <c r="F152" s="3" t="s">
        <v>362</v>
      </c>
      <c r="G152" s="18">
        <v>46113</v>
      </c>
      <c r="H152" s="19">
        <v>80227</v>
      </c>
      <c r="I152" s="3" t="str">
        <f>VLOOKUP(H152,'[1]Base de Clientes'!$B:$E,4,0)</f>
        <v>ITAU UNIBANCO S/A</v>
      </c>
      <c r="J152" s="5" t="s">
        <v>8</v>
      </c>
      <c r="K152" s="5" t="s">
        <v>61</v>
      </c>
      <c r="L152" s="9">
        <v>4988.6000000000004</v>
      </c>
      <c r="M152" s="11" t="s">
        <v>7</v>
      </c>
      <c r="N152" s="13" t="s">
        <v>451</v>
      </c>
      <c r="O152" s="7">
        <v>1</v>
      </c>
      <c r="P152" s="16" t="s">
        <v>232</v>
      </c>
      <c r="R152" s="3"/>
      <c r="T152" s="7"/>
    </row>
    <row r="153" spans="1:20" hidden="1" x14ac:dyDescent="0.25">
      <c r="A153" s="16" t="str">
        <f t="shared" si="21"/>
        <v>CUSTO DMA -PEDRO ALVES- ABRIL 26</v>
      </c>
      <c r="B153" s="18">
        <v>46113</v>
      </c>
      <c r="C153" s="3">
        <v>817391</v>
      </c>
      <c r="D153" s="3" t="s">
        <v>402</v>
      </c>
      <c r="E153" s="14">
        <f t="shared" si="22"/>
        <v>-1611.3178</v>
      </c>
      <c r="F153" s="3" t="s">
        <v>362</v>
      </c>
      <c r="G153" s="18">
        <v>46113</v>
      </c>
      <c r="H153" s="19">
        <v>79452</v>
      </c>
      <c r="I153" s="3" t="str">
        <f>VLOOKUP(H153,'[1]Base de Clientes'!$B:$E,4,0)</f>
        <v>JGP GESTAO PATRIMONIAL LTDA</v>
      </c>
      <c r="J153" s="5" t="s">
        <v>8</v>
      </c>
      <c r="K153" s="5" t="s">
        <v>453</v>
      </c>
      <c r="L153" s="9">
        <v>1611.3178</v>
      </c>
      <c r="M153" s="11" t="s">
        <v>7</v>
      </c>
      <c r="N153" s="13" t="s">
        <v>451</v>
      </c>
      <c r="O153" s="7">
        <v>1</v>
      </c>
      <c r="P153" s="16" t="s">
        <v>462</v>
      </c>
      <c r="R153" s="3"/>
      <c r="T153" s="7"/>
    </row>
    <row r="154" spans="1:20" hidden="1" x14ac:dyDescent="0.25">
      <c r="A154" s="16" t="str">
        <f t="shared" si="21"/>
        <v>CUSTO DMA -ANDRE BAUM- ABRIL 26</v>
      </c>
      <c r="B154" s="18">
        <v>46113</v>
      </c>
      <c r="C154" s="3">
        <v>817391</v>
      </c>
      <c r="D154" s="3" t="s">
        <v>399</v>
      </c>
      <c r="E154" s="14">
        <f t="shared" si="22"/>
        <v>-2494.3000000000002</v>
      </c>
      <c r="F154" s="3" t="s">
        <v>362</v>
      </c>
      <c r="G154" s="18">
        <v>46113</v>
      </c>
      <c r="H154" s="19">
        <v>12413</v>
      </c>
      <c r="I154" s="3" t="str">
        <f>VLOOKUP(H154,'[1]Base de Clientes'!$B:$E,4,0)</f>
        <v>KAPITALO INVESTIMENTOS LTDA</v>
      </c>
      <c r="J154" s="5" t="s">
        <v>8</v>
      </c>
      <c r="K154" s="5" t="s">
        <v>20</v>
      </c>
      <c r="L154" s="9">
        <v>4988.6000000000004</v>
      </c>
      <c r="M154" s="11" t="s">
        <v>7</v>
      </c>
      <c r="N154" s="13" t="s">
        <v>451</v>
      </c>
      <c r="O154" s="7">
        <v>0.5</v>
      </c>
      <c r="P154" s="16" t="s">
        <v>191</v>
      </c>
      <c r="R154" s="3"/>
      <c r="T154" s="7"/>
    </row>
    <row r="155" spans="1:20" hidden="1" x14ac:dyDescent="0.25">
      <c r="A155" s="16" t="str">
        <f t="shared" ref="A155" si="30">CONCATENATE(J155,M155,K155,M155,N155)</f>
        <v>CUSTO DMA -ANDRE BAUM- ABRIL 26</v>
      </c>
      <c r="B155" s="18">
        <v>46113</v>
      </c>
      <c r="C155" s="3">
        <v>817391</v>
      </c>
      <c r="D155" s="3" t="s">
        <v>400</v>
      </c>
      <c r="E155" s="14">
        <f t="shared" ref="E155" si="31">-L155*O155</f>
        <v>-2494.3000000000002</v>
      </c>
      <c r="F155" s="3" t="s">
        <v>362</v>
      </c>
      <c r="G155" s="18">
        <v>46113</v>
      </c>
      <c r="H155" s="19">
        <v>12413</v>
      </c>
      <c r="I155" s="3" t="str">
        <f>VLOOKUP(H155,'[1]Base de Clientes'!$B:$E,4,0)</f>
        <v>KAPITALO INVESTIMENTOS LTDA</v>
      </c>
      <c r="J155" s="5" t="s">
        <v>8</v>
      </c>
      <c r="K155" s="5" t="s">
        <v>20</v>
      </c>
      <c r="L155" s="9">
        <v>4988.6000000000004</v>
      </c>
      <c r="M155" s="11" t="s">
        <v>7</v>
      </c>
      <c r="N155" s="13" t="s">
        <v>451</v>
      </c>
      <c r="O155" s="7">
        <v>0.5</v>
      </c>
      <c r="P155" s="16" t="s">
        <v>191</v>
      </c>
      <c r="R155" s="3"/>
      <c r="T155" s="7"/>
    </row>
    <row r="156" spans="1:20" hidden="1" x14ac:dyDescent="0.25">
      <c r="A156" s="16" t="str">
        <f t="shared" ref="A156" si="32">CONCATENATE(J156,M156,K156,M156,N156)</f>
        <v>CUSTO DMA -BERNARDO GOMES- ABRIL 26</v>
      </c>
      <c r="B156" s="18">
        <v>46113</v>
      </c>
      <c r="C156" s="3">
        <v>817391</v>
      </c>
      <c r="D156" s="3" t="s">
        <v>480</v>
      </c>
      <c r="E156" s="14">
        <f t="shared" si="22"/>
        <v>-4988.6000000000004</v>
      </c>
      <c r="F156" s="3" t="s">
        <v>362</v>
      </c>
      <c r="G156" s="18">
        <v>46113</v>
      </c>
      <c r="H156" s="19">
        <v>81936</v>
      </c>
      <c r="I156" s="3" t="str">
        <f>VLOOKUP(H156,'[1]Base de Clientes'!$B:$E,4,0)</f>
        <v>KAPITALO INVESTIMENTOS LTDA</v>
      </c>
      <c r="J156" s="5" t="s">
        <v>8</v>
      </c>
      <c r="K156" s="5" t="s">
        <v>26</v>
      </c>
      <c r="L156" s="9">
        <v>4988.6000000000004</v>
      </c>
      <c r="M156" s="11" t="s">
        <v>7</v>
      </c>
      <c r="N156" s="13" t="s">
        <v>451</v>
      </c>
      <c r="O156" s="7">
        <v>1</v>
      </c>
      <c r="P156" s="16" t="s">
        <v>197</v>
      </c>
      <c r="R156" s="3"/>
      <c r="T156" s="7"/>
    </row>
    <row r="157" spans="1:20" hidden="1" x14ac:dyDescent="0.25">
      <c r="A157" s="16" t="str">
        <f t="shared" ref="A157" si="33">CONCATENATE(J157,M157,K157,M157,N157)</f>
        <v>CUSTO DMA -FELIPE GUERRA- ABRIL 26</v>
      </c>
      <c r="B157" s="18">
        <v>46113</v>
      </c>
      <c r="C157" s="3">
        <v>817391</v>
      </c>
      <c r="D157" s="3" t="s">
        <v>404</v>
      </c>
      <c r="E157" s="14">
        <f t="shared" si="22"/>
        <v>-1030.1459</v>
      </c>
      <c r="F157" s="3" t="s">
        <v>362</v>
      </c>
      <c r="G157" s="18">
        <v>46113</v>
      </c>
      <c r="H157" s="19">
        <v>80386</v>
      </c>
      <c r="I157" s="3" t="str">
        <f>VLOOKUP(H157,'[1]Base de Clientes'!$B:$E,4,0)</f>
        <v>LEGACY CAPITAL GESTORA DE RECURSOS LTDA</v>
      </c>
      <c r="J157" s="5" t="s">
        <v>8</v>
      </c>
      <c r="K157" s="5" t="s">
        <v>34</v>
      </c>
      <c r="L157" s="9">
        <v>2060.2918</v>
      </c>
      <c r="M157" s="11" t="s">
        <v>7</v>
      </c>
      <c r="N157" s="13" t="s">
        <v>451</v>
      </c>
      <c r="O157" s="7">
        <v>0.5</v>
      </c>
      <c r="P157" s="16" t="s">
        <v>205</v>
      </c>
      <c r="R157" s="3"/>
      <c r="T157" s="7"/>
    </row>
    <row r="158" spans="1:20" hidden="1" x14ac:dyDescent="0.25">
      <c r="A158" s="16" t="str">
        <f t="shared" ref="A158" si="34">CONCATENATE(J158,M158,K158,M158,N158)</f>
        <v>CUSTO DMA -FELIPE GUERRA- ABRIL 26</v>
      </c>
      <c r="B158" s="18">
        <v>46113</v>
      </c>
      <c r="C158" s="3">
        <v>817391</v>
      </c>
      <c r="D158" s="3" t="s">
        <v>405</v>
      </c>
      <c r="E158" s="14">
        <f t="shared" ref="E158" si="35">-L158*O158</f>
        <v>-1030.1459</v>
      </c>
      <c r="F158" s="3" t="s">
        <v>362</v>
      </c>
      <c r="G158" s="18">
        <v>46113</v>
      </c>
      <c r="H158" s="19">
        <v>80386</v>
      </c>
      <c r="I158" s="3" t="str">
        <f>VLOOKUP(H158,'[1]Base de Clientes'!$B:$E,4,0)</f>
        <v>LEGACY CAPITAL GESTORA DE RECURSOS LTDA</v>
      </c>
      <c r="J158" s="5" t="s">
        <v>8</v>
      </c>
      <c r="K158" s="5" t="s">
        <v>34</v>
      </c>
      <c r="L158" s="9">
        <v>2060.2918</v>
      </c>
      <c r="M158" s="11" t="s">
        <v>7</v>
      </c>
      <c r="N158" s="13" t="s">
        <v>451</v>
      </c>
      <c r="O158" s="7">
        <v>0.5</v>
      </c>
      <c r="P158" s="16" t="s">
        <v>205</v>
      </c>
      <c r="R158" s="3"/>
      <c r="T158" s="7"/>
    </row>
    <row r="159" spans="1:20" hidden="1" x14ac:dyDescent="0.25">
      <c r="A159" s="16" t="str">
        <f t="shared" si="21"/>
        <v>CUSTO DMA -MATEUS CRUZ- ABRIL 26</v>
      </c>
      <c r="B159" s="18">
        <v>46113</v>
      </c>
      <c r="C159" s="3">
        <v>817391</v>
      </c>
      <c r="D159" s="3" t="s">
        <v>482</v>
      </c>
      <c r="E159" s="14">
        <f t="shared" si="22"/>
        <v>-2494.3000000000002</v>
      </c>
      <c r="F159" s="3" t="s">
        <v>362</v>
      </c>
      <c r="G159" s="18">
        <v>46113</v>
      </c>
      <c r="H159" s="19">
        <v>18658</v>
      </c>
      <c r="I159" s="3" t="str">
        <f>VLOOKUP(H159,'[1]Base de Clientes'!$B:$E,4,0)</f>
        <v>SCOTIABANK BRASIL S/A</v>
      </c>
      <c r="J159" s="5" t="s">
        <v>8</v>
      </c>
      <c r="K159" s="5" t="s">
        <v>47</v>
      </c>
      <c r="L159" s="9">
        <v>2494.3000000000002</v>
      </c>
      <c r="M159" s="11" t="s">
        <v>7</v>
      </c>
      <c r="N159" s="13" t="s">
        <v>451</v>
      </c>
      <c r="O159" s="7">
        <v>1</v>
      </c>
      <c r="P159" s="16" t="s">
        <v>218</v>
      </c>
      <c r="R159" s="3"/>
      <c r="T159" s="7"/>
    </row>
    <row r="160" spans="1:20" hidden="1" x14ac:dyDescent="0.25">
      <c r="A160" s="16" t="str">
        <f t="shared" si="21"/>
        <v>CUSTO DMA -LUIZ CALOBA- ABRIL 26</v>
      </c>
      <c r="B160" s="18">
        <v>46113</v>
      </c>
      <c r="C160" s="3">
        <v>817391</v>
      </c>
      <c r="D160" s="3" t="s">
        <v>402</v>
      </c>
      <c r="E160" s="14">
        <f t="shared" si="22"/>
        <v>-813.14179999999999</v>
      </c>
      <c r="F160" s="3" t="s">
        <v>362</v>
      </c>
      <c r="G160" s="18">
        <v>46113</v>
      </c>
      <c r="H160" s="19">
        <v>79931</v>
      </c>
      <c r="I160" s="3" t="str">
        <f>VLOOKUP(H160,'[1]Base de Clientes'!$B:$E,4,0)</f>
        <v>SPX GESTAO DE RECURSOS LTDA</v>
      </c>
      <c r="J160" s="5" t="s">
        <v>8</v>
      </c>
      <c r="K160" s="5" t="s">
        <v>44</v>
      </c>
      <c r="L160" s="9">
        <v>813.14179999999999</v>
      </c>
      <c r="M160" s="11" t="s">
        <v>7</v>
      </c>
      <c r="N160" s="13" t="s">
        <v>451</v>
      </c>
      <c r="O160" s="7">
        <v>1</v>
      </c>
      <c r="P160" s="16" t="s">
        <v>215</v>
      </c>
      <c r="R160" s="3"/>
      <c r="T160" s="7"/>
    </row>
    <row r="161" spans="1:20" hidden="1" x14ac:dyDescent="0.25">
      <c r="A161" s="16" t="str">
        <f t="shared" si="21"/>
        <v>CUSTO DMA -RODOLFO CAVALHEIRO- ABRIL 26</v>
      </c>
      <c r="B161" s="18">
        <v>46113</v>
      </c>
      <c r="C161" s="3">
        <v>817391</v>
      </c>
      <c r="D161" s="3" t="s">
        <v>402</v>
      </c>
      <c r="E161" s="14">
        <f t="shared" si="22"/>
        <v>-4988.6000000000004</v>
      </c>
      <c r="F161" s="3" t="s">
        <v>362</v>
      </c>
      <c r="G161" s="18">
        <v>46113</v>
      </c>
      <c r="H161" s="19">
        <v>79924</v>
      </c>
      <c r="I161" s="3" t="str">
        <f>VLOOKUP(H161,'[1]Base de Clientes'!$B:$E,4,0)</f>
        <v>STANDARD CHARTERED BANK (LONDRES)</v>
      </c>
      <c r="J161" s="5" t="s">
        <v>8</v>
      </c>
      <c r="K161" s="5" t="s">
        <v>454</v>
      </c>
      <c r="L161" s="9">
        <v>4988.6000000000004</v>
      </c>
      <c r="M161" s="11" t="s">
        <v>7</v>
      </c>
      <c r="N161" s="13" t="s">
        <v>451</v>
      </c>
      <c r="O161" s="7">
        <v>1</v>
      </c>
      <c r="P161" s="16" t="s">
        <v>463</v>
      </c>
      <c r="R161" s="3"/>
      <c r="T161" s="7"/>
    </row>
    <row r="162" spans="1:20" hidden="1" x14ac:dyDescent="0.25">
      <c r="A162" s="16" t="str">
        <f t="shared" si="21"/>
        <v>CUSTO DMA -VINICIUS SÁ- ABRIL 26</v>
      </c>
      <c r="B162" s="18">
        <v>46113</v>
      </c>
      <c r="C162" s="3">
        <v>817391</v>
      </c>
      <c r="D162" s="3" t="s">
        <v>402</v>
      </c>
      <c r="E162" s="14">
        <f t="shared" si="22"/>
        <v>-897.94799999999998</v>
      </c>
      <c r="F162" s="3" t="s">
        <v>362</v>
      </c>
      <c r="G162" s="18">
        <v>46113</v>
      </c>
      <c r="H162" s="19">
        <v>79924</v>
      </c>
      <c r="I162" s="3" t="str">
        <f>VLOOKUP(H162,'[1]Base de Clientes'!$B:$E,4,0)</f>
        <v>STANDARD CHARTERED BANK (LONDRES)</v>
      </c>
      <c r="J162" s="5" t="s">
        <v>8</v>
      </c>
      <c r="K162" s="5" t="s">
        <v>456</v>
      </c>
      <c r="L162" s="9">
        <v>897.94799999999998</v>
      </c>
      <c r="M162" s="11" t="s">
        <v>7</v>
      </c>
      <c r="N162" s="13" t="s">
        <v>451</v>
      </c>
      <c r="O162" s="7">
        <v>1</v>
      </c>
      <c r="P162" s="16" t="s">
        <v>465</v>
      </c>
      <c r="R162" s="3"/>
      <c r="T162" s="7"/>
    </row>
    <row r="163" spans="1:20" hidden="1" x14ac:dyDescent="0.25">
      <c r="A163" s="16" t="str">
        <f t="shared" si="21"/>
        <v>CUSTO DMA -GEORGE MIYA WATANABE- ABRIL 26</v>
      </c>
      <c r="B163" s="18">
        <v>46113</v>
      </c>
      <c r="C163" s="3">
        <v>817391</v>
      </c>
      <c r="D163" s="3" t="s">
        <v>400</v>
      </c>
      <c r="E163" s="14">
        <f t="shared" si="22"/>
        <v>-3492.02</v>
      </c>
      <c r="F163" s="3" t="s">
        <v>362</v>
      </c>
      <c r="G163" s="18">
        <v>46113</v>
      </c>
      <c r="H163" s="19">
        <v>80359</v>
      </c>
      <c r="I163" s="3" t="str">
        <f>VLOOKUP(H163,'[1]Base de Clientes'!$B:$E,4,0)</f>
        <v>VINLAND CAPITAL MANAGEMENT GESTORA DE RECURSOS LTDA</v>
      </c>
      <c r="J163" s="5" t="s">
        <v>8</v>
      </c>
      <c r="K163" s="5" t="s">
        <v>413</v>
      </c>
      <c r="L163" s="9">
        <v>3492.02</v>
      </c>
      <c r="M163" s="11" t="s">
        <v>7</v>
      </c>
      <c r="N163" s="13" t="s">
        <v>451</v>
      </c>
      <c r="O163" s="7">
        <v>1</v>
      </c>
      <c r="P163" s="16" t="s">
        <v>422</v>
      </c>
      <c r="R163" s="3"/>
      <c r="T163" s="7"/>
    </row>
    <row r="164" spans="1:20" hidden="1" x14ac:dyDescent="0.25">
      <c r="A164" s="16" t="str">
        <f t="shared" si="21"/>
        <v>CUSTO DMA -FABIO GOMES- ABRIL 26</v>
      </c>
      <c r="B164" s="18">
        <v>46113</v>
      </c>
      <c r="C164" s="3">
        <v>817391</v>
      </c>
      <c r="D164" s="3" t="s">
        <v>411</v>
      </c>
      <c r="E164" s="14">
        <f t="shared" si="22"/>
        <v>-299.31599999999997</v>
      </c>
      <c r="F164" s="3" t="s">
        <v>362</v>
      </c>
      <c r="G164" s="18">
        <v>46113</v>
      </c>
      <c r="H164" s="19">
        <v>80107</v>
      </c>
      <c r="I164" s="3" t="str">
        <f>VLOOKUP(H164,'[1]Base de Clientes'!$B:$E,4,0)</f>
        <v>FUNDACAO CESP</v>
      </c>
      <c r="J164" s="5" t="s">
        <v>8</v>
      </c>
      <c r="K164" s="5" t="s">
        <v>452</v>
      </c>
      <c r="L164" s="9">
        <v>299.31599999999997</v>
      </c>
      <c r="M164" s="11" t="s">
        <v>7</v>
      </c>
      <c r="N164" s="13" t="s">
        <v>451</v>
      </c>
      <c r="O164" s="7">
        <v>1</v>
      </c>
      <c r="P164" s="16" t="s">
        <v>461</v>
      </c>
      <c r="R164" s="3"/>
      <c r="T164" s="7"/>
    </row>
    <row r="165" spans="1:20" hidden="1" x14ac:dyDescent="0.25">
      <c r="A165" s="16" t="str">
        <f t="shared" si="21"/>
        <v>CUSTO DMA -BRUNO MARQUES- ABRIL 26</v>
      </c>
      <c r="B165" s="18">
        <v>46113</v>
      </c>
      <c r="C165" s="3">
        <v>817391</v>
      </c>
      <c r="D165" s="3" t="s">
        <v>411</v>
      </c>
      <c r="E165" s="14">
        <f t="shared" si="22"/>
        <v>-4988.6000000000004</v>
      </c>
      <c r="F165" s="3" t="s">
        <v>362</v>
      </c>
      <c r="G165" s="18">
        <v>46113</v>
      </c>
      <c r="H165" s="19">
        <v>80648</v>
      </c>
      <c r="I165" s="3" t="str">
        <f>VLOOKUP(H165,'[1]Base de Clientes'!$B:$E,4,0)</f>
        <v>XP GESTAO DE RECURSOS LTDA</v>
      </c>
      <c r="J165" s="5" t="s">
        <v>8</v>
      </c>
      <c r="K165" s="5" t="s">
        <v>27</v>
      </c>
      <c r="L165" s="9">
        <v>4988.6000000000004</v>
      </c>
      <c r="M165" s="11" t="s">
        <v>7</v>
      </c>
      <c r="N165" s="13" t="s">
        <v>451</v>
      </c>
      <c r="O165" s="7">
        <v>1</v>
      </c>
      <c r="P165" s="16" t="s">
        <v>198</v>
      </c>
      <c r="R165" s="3"/>
      <c r="T165" s="7"/>
    </row>
    <row r="166" spans="1:20" hidden="1" x14ac:dyDescent="0.25">
      <c r="A166" s="16" t="str">
        <f t="shared" si="21"/>
        <v>CUSTO DMA -ALEXANDRE NEVES- ABRIL 26</v>
      </c>
      <c r="B166" s="18">
        <v>46113</v>
      </c>
      <c r="C166" s="3">
        <v>817391</v>
      </c>
      <c r="D166" s="3" t="s">
        <v>400</v>
      </c>
      <c r="E166" s="14">
        <f t="shared" si="22"/>
        <v>-90.637632999999994</v>
      </c>
      <c r="F166" s="3" t="s">
        <v>363</v>
      </c>
      <c r="G166" s="18">
        <v>46113</v>
      </c>
      <c r="H166" s="19">
        <v>80143</v>
      </c>
      <c r="I166" s="3" t="str">
        <f>VLOOKUP(H166,'[1]Base de Clientes'!$B:$E,4,0)</f>
        <v>BW GESTAO DE INVESTIMENTOS LTDA</v>
      </c>
      <c r="J166" s="5" t="s">
        <v>8</v>
      </c>
      <c r="K166" s="5" t="s">
        <v>64</v>
      </c>
      <c r="L166" s="9">
        <v>90.637632999999994</v>
      </c>
      <c r="M166" s="11" t="s">
        <v>7</v>
      </c>
      <c r="N166" s="13" t="s">
        <v>451</v>
      </c>
      <c r="O166" s="7">
        <v>1</v>
      </c>
      <c r="P166" s="16" t="s">
        <v>504</v>
      </c>
      <c r="R166" s="3"/>
      <c r="T166" s="7"/>
    </row>
    <row r="167" spans="1:20" hidden="1" x14ac:dyDescent="0.25">
      <c r="A167" s="16" t="str">
        <f t="shared" si="21"/>
        <v>CUSTO DMA -GABRIEL BAPTISTELA- ABRIL 26</v>
      </c>
      <c r="B167" s="18">
        <v>46113</v>
      </c>
      <c r="C167" s="3">
        <v>817391</v>
      </c>
      <c r="D167" s="3" t="s">
        <v>475</v>
      </c>
      <c r="E167" s="14">
        <f t="shared" si="22"/>
        <v>-4285.0243683826066</v>
      </c>
      <c r="F167" s="3" t="s">
        <v>363</v>
      </c>
      <c r="G167" s="18">
        <v>46113</v>
      </c>
      <c r="H167" s="19">
        <v>95014</v>
      </c>
      <c r="I167" s="3" t="str">
        <f>VLOOKUP(H167,'[1]Base de Clientes'!$B:$E,4,0)</f>
        <v>BANCO BNP PARIBAS BRASIL S/A</v>
      </c>
      <c r="J167" s="5" t="s">
        <v>8</v>
      </c>
      <c r="K167" s="5" t="s">
        <v>71</v>
      </c>
      <c r="L167" s="9">
        <v>4285.0243683826066</v>
      </c>
      <c r="M167" s="11" t="s">
        <v>7</v>
      </c>
      <c r="N167" s="13" t="s">
        <v>451</v>
      </c>
      <c r="O167" s="7">
        <v>1</v>
      </c>
      <c r="P167" s="16" t="s">
        <v>505</v>
      </c>
      <c r="R167" s="3"/>
      <c r="T167" s="7"/>
    </row>
    <row r="168" spans="1:20" hidden="1" x14ac:dyDescent="0.25">
      <c r="A168" s="16" t="str">
        <f t="shared" si="21"/>
        <v>CUSTO DMA -ISABELLA ATAIDE- ABRIL 26</v>
      </c>
      <c r="B168" s="18">
        <v>46113</v>
      </c>
      <c r="C168" s="3">
        <v>817391</v>
      </c>
      <c r="D168" s="3" t="s">
        <v>478</v>
      </c>
      <c r="E168" s="14">
        <f t="shared" si="22"/>
        <v>-5395.3711599999997</v>
      </c>
      <c r="F168" s="3" t="s">
        <v>363</v>
      </c>
      <c r="G168" s="18">
        <v>46113</v>
      </c>
      <c r="H168" s="19">
        <v>95005</v>
      </c>
      <c r="I168" s="3" t="str">
        <f>VLOOKUP(H168,'[1]Base de Clientes'!$B:$E,4,0)</f>
        <v>BANCO BNP PARIBAS BRASIL S/A</v>
      </c>
      <c r="J168" s="5" t="s">
        <v>8</v>
      </c>
      <c r="K168" s="5" t="s">
        <v>72</v>
      </c>
      <c r="L168" s="9">
        <v>5395.3711599999997</v>
      </c>
      <c r="M168" s="11" t="s">
        <v>7</v>
      </c>
      <c r="N168" s="13" t="s">
        <v>451</v>
      </c>
      <c r="O168" s="7">
        <v>1</v>
      </c>
      <c r="P168" s="16" t="s">
        <v>506</v>
      </c>
      <c r="R168" s="3"/>
      <c r="T168" s="7"/>
    </row>
    <row r="169" spans="1:20" hidden="1" x14ac:dyDescent="0.25">
      <c r="A169" s="16" t="str">
        <f t="shared" si="21"/>
        <v>CUSTO DMA -PAULO GUEDES- ABRIL 26</v>
      </c>
      <c r="B169" s="18">
        <v>46113</v>
      </c>
      <c r="C169" s="3">
        <v>817391</v>
      </c>
      <c r="D169" s="3" t="s">
        <v>478</v>
      </c>
      <c r="E169" s="14">
        <f t="shared" si="22"/>
        <v>-9009.4746132174841</v>
      </c>
      <c r="F169" s="3" t="s">
        <v>363</v>
      </c>
      <c r="G169" s="18">
        <v>46113</v>
      </c>
      <c r="H169" s="19">
        <v>95005</v>
      </c>
      <c r="I169" s="3" t="str">
        <f>VLOOKUP(H169,'[1]Base de Clientes'!$B:$E,4,0)</f>
        <v>BANCO BNP PARIBAS BRASIL S/A</v>
      </c>
      <c r="J169" s="5" t="s">
        <v>8</v>
      </c>
      <c r="K169" s="5" t="s">
        <v>75</v>
      </c>
      <c r="L169" s="9">
        <v>9009.4746132174841</v>
      </c>
      <c r="M169" s="11" t="s">
        <v>7</v>
      </c>
      <c r="N169" s="13" t="s">
        <v>451</v>
      </c>
      <c r="O169" s="7">
        <v>1</v>
      </c>
      <c r="P169" s="16" t="s">
        <v>507</v>
      </c>
      <c r="R169" s="3"/>
      <c r="T169" s="7"/>
    </row>
    <row r="170" spans="1:20" hidden="1" x14ac:dyDescent="0.25">
      <c r="A170" s="16" t="str">
        <f t="shared" si="21"/>
        <v>CUSTO DMA -RAFAEL HESSE- ABRIL 26</v>
      </c>
      <c r="B170" s="18">
        <v>46113</v>
      </c>
      <c r="C170" s="3">
        <v>817391</v>
      </c>
      <c r="D170" s="3" t="s">
        <v>475</v>
      </c>
      <c r="E170" s="14">
        <f t="shared" si="22"/>
        <v>-1382.3017046360981</v>
      </c>
      <c r="F170" s="3" t="s">
        <v>363</v>
      </c>
      <c r="G170" s="18">
        <v>46113</v>
      </c>
      <c r="H170" s="19">
        <v>95005</v>
      </c>
      <c r="I170" s="3" t="str">
        <f>VLOOKUP(H170,'[1]Base de Clientes'!$B:$E,4,0)</f>
        <v>BANCO BNP PARIBAS BRASIL S/A</v>
      </c>
      <c r="J170" s="5" t="s">
        <v>8</v>
      </c>
      <c r="K170" s="5" t="s">
        <v>498</v>
      </c>
      <c r="L170" s="9">
        <v>1382.3017046360981</v>
      </c>
      <c r="M170" s="11" t="s">
        <v>7</v>
      </c>
      <c r="N170" s="13" t="s">
        <v>451</v>
      </c>
      <c r="O170" s="7">
        <v>1</v>
      </c>
      <c r="P170" s="16" t="s">
        <v>508</v>
      </c>
      <c r="R170" s="3"/>
      <c r="T170" s="7"/>
    </row>
    <row r="171" spans="1:20" hidden="1" x14ac:dyDescent="0.25">
      <c r="A171" s="16" t="str">
        <f t="shared" si="21"/>
        <v>CUSTO DMA -RAFAEL MADI- ABRIL 26</v>
      </c>
      <c r="B171" s="18">
        <v>46113</v>
      </c>
      <c r="C171" s="3">
        <v>817391</v>
      </c>
      <c r="D171" s="3" t="s">
        <v>478</v>
      </c>
      <c r="E171" s="14">
        <f t="shared" si="22"/>
        <v>-10252.325826038341</v>
      </c>
      <c r="F171" s="3" t="s">
        <v>363</v>
      </c>
      <c r="G171" s="18">
        <v>46113</v>
      </c>
      <c r="H171" s="19">
        <v>95005</v>
      </c>
      <c r="I171" s="3" t="str">
        <f>VLOOKUP(H171,'[1]Base de Clientes'!$B:$E,4,0)</f>
        <v>BANCO BNP PARIBAS BRASIL S/A</v>
      </c>
      <c r="J171" s="5" t="s">
        <v>8</v>
      </c>
      <c r="K171" s="5" t="s">
        <v>79</v>
      </c>
      <c r="L171" s="9">
        <v>10252.325826038341</v>
      </c>
      <c r="M171" s="11" t="s">
        <v>7</v>
      </c>
      <c r="N171" s="13" t="s">
        <v>451</v>
      </c>
      <c r="O171" s="7">
        <v>1</v>
      </c>
      <c r="P171" s="16" t="s">
        <v>509</v>
      </c>
      <c r="R171" s="3"/>
      <c r="T171" s="7"/>
    </row>
    <row r="172" spans="1:20" hidden="1" x14ac:dyDescent="0.25">
      <c r="A172" s="16" t="str">
        <f t="shared" si="21"/>
        <v>CUSTO DMA -CAETANO RUFINO RAMOS- ABRIL 26</v>
      </c>
      <c r="B172" s="18">
        <v>46113</v>
      </c>
      <c r="C172" s="3">
        <v>817391</v>
      </c>
      <c r="D172" s="3" t="s">
        <v>402</v>
      </c>
      <c r="E172" s="14">
        <f t="shared" si="22"/>
        <v>-1419.6562410805429</v>
      </c>
      <c r="F172" s="3" t="s">
        <v>363</v>
      </c>
      <c r="G172" s="18">
        <v>46113</v>
      </c>
      <c r="H172" s="19">
        <v>80026</v>
      </c>
      <c r="I172" s="3" t="str">
        <f>VLOOKUP(H172,'[1]Base de Clientes'!$B:$E,4,0)</f>
        <v>BARCLAYS BANK PLC</v>
      </c>
      <c r="J172" s="5" t="s">
        <v>8</v>
      </c>
      <c r="K172" s="5" t="s">
        <v>66</v>
      </c>
      <c r="L172" s="9">
        <v>1419.6562410805429</v>
      </c>
      <c r="M172" s="11" t="s">
        <v>7</v>
      </c>
      <c r="N172" s="13" t="s">
        <v>451</v>
      </c>
      <c r="O172" s="7">
        <v>1</v>
      </c>
      <c r="P172" s="16" t="s">
        <v>510</v>
      </c>
      <c r="R172" s="3"/>
      <c r="T172" s="7"/>
    </row>
    <row r="173" spans="1:20" hidden="1" x14ac:dyDescent="0.25">
      <c r="A173" s="16" t="str">
        <f t="shared" si="21"/>
        <v>CUSTO DMA -VICENTE MELLO- ABRIL 26</v>
      </c>
      <c r="B173" s="18">
        <v>46113</v>
      </c>
      <c r="C173" s="3">
        <v>817391</v>
      </c>
      <c r="D173" s="3" t="s">
        <v>402</v>
      </c>
      <c r="E173" s="14">
        <f t="shared" si="22"/>
        <v>-9291.4695357559449</v>
      </c>
      <c r="F173" s="3" t="s">
        <v>363</v>
      </c>
      <c r="G173" s="18">
        <v>46113</v>
      </c>
      <c r="H173" s="19">
        <v>80026</v>
      </c>
      <c r="I173" s="3" t="str">
        <f>VLOOKUP(H173,'[1]Base de Clientes'!$B:$E,4,0)</f>
        <v>BARCLAYS BANK PLC</v>
      </c>
      <c r="J173" s="5" t="s">
        <v>8</v>
      </c>
      <c r="K173" s="5" t="s">
        <v>82</v>
      </c>
      <c r="L173" s="9">
        <v>9291.4695357559449</v>
      </c>
      <c r="M173" s="11" t="s">
        <v>7</v>
      </c>
      <c r="N173" s="13" t="s">
        <v>451</v>
      </c>
      <c r="O173" s="7">
        <v>1</v>
      </c>
      <c r="P173" s="16" t="s">
        <v>511</v>
      </c>
      <c r="R173" s="3"/>
      <c r="T173" s="7"/>
    </row>
    <row r="174" spans="1:20" hidden="1" x14ac:dyDescent="0.25">
      <c r="A174" s="16" t="str">
        <f t="shared" ref="A174:A192" si="36">CONCATENATE(J174,M174,K174,M174,N174)</f>
        <v>CUSTO DMA -ELIAS RAYES- ABRIL 26</v>
      </c>
      <c r="B174" s="18">
        <v>46113</v>
      </c>
      <c r="C174" s="3">
        <v>817391</v>
      </c>
      <c r="D174" s="3" t="s">
        <v>475</v>
      </c>
      <c r="E174" s="14">
        <f t="shared" si="22"/>
        <v>-1382.3017046360978</v>
      </c>
      <c r="F174" s="3" t="s">
        <v>363</v>
      </c>
      <c r="G174" s="18">
        <v>46113</v>
      </c>
      <c r="H174" s="19">
        <v>95014</v>
      </c>
      <c r="I174" s="3" t="str">
        <f>VLOOKUP(H174,'[1]Base de Clientes'!$B:$E,4,0)</f>
        <v>BANCO BNP PARIBAS BRASIL S/A</v>
      </c>
      <c r="J174" s="5" t="s">
        <v>8</v>
      </c>
      <c r="K174" s="5" t="s">
        <v>68</v>
      </c>
      <c r="L174" s="9">
        <v>1382.3017046360978</v>
      </c>
      <c r="M174" s="11" t="s">
        <v>7</v>
      </c>
      <c r="N174" s="13" t="s">
        <v>451</v>
      </c>
      <c r="O174" s="7">
        <v>1</v>
      </c>
      <c r="P174" s="16" t="s">
        <v>512</v>
      </c>
      <c r="R174" s="3"/>
      <c r="T174" s="7"/>
    </row>
    <row r="175" spans="1:20" hidden="1" x14ac:dyDescent="0.25">
      <c r="A175" s="16" t="str">
        <f t="shared" si="36"/>
        <v>CUSTO DMA -ALISSON COSTA ARRAIS- ABRIL 26</v>
      </c>
      <c r="B175" s="18">
        <v>46113</v>
      </c>
      <c r="C175" s="3">
        <v>817391</v>
      </c>
      <c r="D175" s="3" t="s">
        <v>474</v>
      </c>
      <c r="E175" s="14">
        <f t="shared" si="22"/>
        <v>-1356.685837080543</v>
      </c>
      <c r="F175" s="3" t="s">
        <v>363</v>
      </c>
      <c r="G175" s="18">
        <v>46113</v>
      </c>
      <c r="H175" s="19">
        <v>80143</v>
      </c>
      <c r="I175" s="3" t="str">
        <f>VLOOKUP(H175,'[1]Base de Clientes'!$B:$E,4,0)</f>
        <v>BW GESTAO DE INVESTIMENTOS LTDA</v>
      </c>
      <c r="J175" s="5" t="s">
        <v>8</v>
      </c>
      <c r="K175" s="5" t="s">
        <v>63</v>
      </c>
      <c r="L175" s="9">
        <v>1356.685837080543</v>
      </c>
      <c r="M175" s="11" t="s">
        <v>7</v>
      </c>
      <c r="N175" s="13" t="s">
        <v>451</v>
      </c>
      <c r="O175" s="7">
        <v>1</v>
      </c>
      <c r="P175" s="16" t="s">
        <v>513</v>
      </c>
      <c r="R175" s="3"/>
      <c r="T175" s="7"/>
    </row>
    <row r="176" spans="1:20" hidden="1" x14ac:dyDescent="0.25">
      <c r="A176" s="16" t="str">
        <f t="shared" si="36"/>
        <v>CUSTO DMA -FELIPE UNGER- ABRIL 26</v>
      </c>
      <c r="B176" s="18">
        <v>46113</v>
      </c>
      <c r="C176" s="3">
        <v>817391</v>
      </c>
      <c r="D176" s="3" t="s">
        <v>405</v>
      </c>
      <c r="E176" s="14">
        <f t="shared" si="22"/>
        <v>-8964.1296462174832</v>
      </c>
      <c r="F176" s="3" t="s">
        <v>363</v>
      </c>
      <c r="G176" s="18">
        <v>46113</v>
      </c>
      <c r="H176" s="19">
        <v>144310</v>
      </c>
      <c r="I176" s="3" t="str">
        <f>VLOOKUP(H176,'[1]Base de Clientes'!$B:$E,4,0)</f>
        <v>BW GESTAO DE INVESTIMENTOS LTDA</v>
      </c>
      <c r="J176" s="5" t="s">
        <v>8</v>
      </c>
      <c r="K176" s="5" t="s">
        <v>70</v>
      </c>
      <c r="L176" s="9">
        <v>8964.1296462174832</v>
      </c>
      <c r="M176" s="11" t="s">
        <v>7</v>
      </c>
      <c r="N176" s="13" t="s">
        <v>451</v>
      </c>
      <c r="O176" s="7">
        <v>1</v>
      </c>
      <c r="P176" s="16" t="s">
        <v>514</v>
      </c>
      <c r="R176" s="3"/>
      <c r="T176" s="7"/>
    </row>
    <row r="177" spans="1:20" hidden="1" x14ac:dyDescent="0.25">
      <c r="A177" s="16" t="str">
        <f t="shared" si="36"/>
        <v>CUSTO DMA -RUY BALIEIRO- ABRIL 26</v>
      </c>
      <c r="B177" s="18">
        <v>46113</v>
      </c>
      <c r="C177" s="3">
        <v>817391</v>
      </c>
      <c r="D177" s="3" t="s">
        <v>405</v>
      </c>
      <c r="E177" s="14">
        <f t="shared" si="22"/>
        <v>-8964.1296462174832</v>
      </c>
      <c r="F177" s="3" t="s">
        <v>363</v>
      </c>
      <c r="G177" s="18">
        <v>46113</v>
      </c>
      <c r="H177" s="19">
        <v>144310</v>
      </c>
      <c r="I177" s="3" t="str">
        <f>VLOOKUP(H177,'[1]Base de Clientes'!$B:$E,4,0)</f>
        <v>BW GESTAO DE INVESTIMENTOS LTDA</v>
      </c>
      <c r="J177" s="5" t="s">
        <v>8</v>
      </c>
      <c r="K177" s="5" t="s">
        <v>76</v>
      </c>
      <c r="L177" s="9">
        <v>8964.1296462174832</v>
      </c>
      <c r="M177" s="11" t="s">
        <v>7</v>
      </c>
      <c r="N177" s="13" t="s">
        <v>451</v>
      </c>
      <c r="O177" s="7">
        <v>1</v>
      </c>
      <c r="P177" s="16" t="s">
        <v>515</v>
      </c>
      <c r="R177" s="3"/>
      <c r="T177" s="7"/>
    </row>
    <row r="178" spans="1:20" hidden="1" x14ac:dyDescent="0.25">
      <c r="A178" s="16" t="str">
        <f t="shared" si="36"/>
        <v>CUSTO DMA -DANIEL POMPIANI- ABRIL 26</v>
      </c>
      <c r="B178" s="18">
        <v>46113</v>
      </c>
      <c r="C178" s="3">
        <v>817391</v>
      </c>
      <c r="D178" s="3" t="s">
        <v>411</v>
      </c>
      <c r="E178" s="14">
        <f t="shared" si="22"/>
        <v>-1521.474665636099</v>
      </c>
      <c r="F178" s="3" t="s">
        <v>363</v>
      </c>
      <c r="G178" s="18">
        <v>46113</v>
      </c>
      <c r="H178" s="19">
        <v>80005</v>
      </c>
      <c r="I178" s="3" t="str">
        <f>VLOOKUP(H178,'[1]Base de Clientes'!$B:$E,4,0)</f>
        <v>DEUTSCHE BANK S/A</v>
      </c>
      <c r="J178" s="5" t="s">
        <v>8</v>
      </c>
      <c r="K178" s="5" t="s">
        <v>499</v>
      </c>
      <c r="L178" s="9">
        <v>1521.474665636099</v>
      </c>
      <c r="M178" s="11" t="s">
        <v>7</v>
      </c>
      <c r="N178" s="13" t="s">
        <v>451</v>
      </c>
      <c r="O178" s="7">
        <v>1</v>
      </c>
      <c r="P178" s="16" t="s">
        <v>516</v>
      </c>
      <c r="R178" s="3"/>
      <c r="T178" s="7"/>
    </row>
    <row r="179" spans="1:20" hidden="1" x14ac:dyDescent="0.25">
      <c r="A179" s="16" t="str">
        <f t="shared" si="36"/>
        <v>CUSTO DMA -CARLOS MENEZES- ABRIL 26</v>
      </c>
      <c r="B179" s="18">
        <v>46113</v>
      </c>
      <c r="C179" s="3">
        <v>817391</v>
      </c>
      <c r="D179" s="3" t="s">
        <v>400</v>
      </c>
      <c r="E179" s="14">
        <f t="shared" si="22"/>
        <v>-67.991299999999995</v>
      </c>
      <c r="F179" s="3" t="s">
        <v>363</v>
      </c>
      <c r="G179" s="18">
        <v>46113</v>
      </c>
      <c r="H179" s="19">
        <v>79258</v>
      </c>
      <c r="I179" s="3" t="str">
        <f>VLOOKUP(H179,'[1]Base de Clientes'!$B:$E,4,0)</f>
        <v>ITAU UNIBANCO S/A</v>
      </c>
      <c r="J179" s="5" t="s">
        <v>8</v>
      </c>
      <c r="K179" s="5" t="s">
        <v>376</v>
      </c>
      <c r="L179" s="9">
        <v>67.991299999999995</v>
      </c>
      <c r="M179" s="11" t="s">
        <v>7</v>
      </c>
      <c r="N179" s="13" t="s">
        <v>451</v>
      </c>
      <c r="O179" s="7">
        <v>1</v>
      </c>
      <c r="P179" s="16" t="s">
        <v>562</v>
      </c>
      <c r="R179" s="3"/>
      <c r="T179" s="7"/>
    </row>
    <row r="180" spans="1:20" hidden="1" x14ac:dyDescent="0.25">
      <c r="A180" s="16" t="str">
        <f t="shared" si="36"/>
        <v>CUSTO DMA -DANIEL NAMAN CARDOSO- ABRIL 26</v>
      </c>
      <c r="B180" s="18">
        <v>46113</v>
      </c>
      <c r="C180" s="3">
        <v>817391</v>
      </c>
      <c r="D180" s="3" t="s">
        <v>403</v>
      </c>
      <c r="E180" s="14">
        <f t="shared" si="22"/>
        <v>-90.637632999999994</v>
      </c>
      <c r="F180" s="3" t="s">
        <v>363</v>
      </c>
      <c r="G180" s="18">
        <v>46113</v>
      </c>
      <c r="H180" s="19">
        <v>80375</v>
      </c>
      <c r="I180" s="3" t="str">
        <f>VLOOKUP(H180,'[1]Base de Clientes'!$B:$E,4,0)</f>
        <v>ITAU UNIBANCO S/A</v>
      </c>
      <c r="J180" s="5" t="s">
        <v>8</v>
      </c>
      <c r="K180" s="5" t="s">
        <v>67</v>
      </c>
      <c r="L180" s="9">
        <v>90.637632999999994</v>
      </c>
      <c r="M180" s="11" t="s">
        <v>7</v>
      </c>
      <c r="N180" s="13" t="s">
        <v>451</v>
      </c>
      <c r="O180" s="7">
        <v>1</v>
      </c>
      <c r="P180" s="16" t="s">
        <v>518</v>
      </c>
      <c r="R180" s="3"/>
      <c r="T180" s="7"/>
    </row>
    <row r="181" spans="1:20" hidden="1" x14ac:dyDescent="0.25">
      <c r="A181" s="16" t="str">
        <f t="shared" si="36"/>
        <v>CUSTO DMA -SAMUEL SOARES- ABRIL 26</v>
      </c>
      <c r="B181" s="18">
        <v>46113</v>
      </c>
      <c r="C181" s="3">
        <v>817391</v>
      </c>
      <c r="D181" s="3" t="s">
        <v>401</v>
      </c>
      <c r="E181" s="14">
        <f t="shared" si="22"/>
        <v>-9372.0774462174832</v>
      </c>
      <c r="F181" s="3" t="s">
        <v>363</v>
      </c>
      <c r="G181" s="18">
        <v>46113</v>
      </c>
      <c r="H181" s="19">
        <v>79806</v>
      </c>
      <c r="I181" s="3" t="str">
        <f>VLOOKUP(H181,'[1]Base de Clientes'!$B:$E,4,0)</f>
        <v>ITAU UNIBANCO S/A</v>
      </c>
      <c r="J181" s="5" t="s">
        <v>8</v>
      </c>
      <c r="K181" s="5" t="s">
        <v>81</v>
      </c>
      <c r="L181" s="9">
        <v>9372.0774462174832</v>
      </c>
      <c r="M181" s="11" t="s">
        <v>7</v>
      </c>
      <c r="N181" s="13" t="s">
        <v>451</v>
      </c>
      <c r="O181" s="7">
        <v>1</v>
      </c>
      <c r="P181" s="16" t="s">
        <v>519</v>
      </c>
      <c r="R181" s="3"/>
      <c r="T181" s="7"/>
    </row>
    <row r="182" spans="1:20" hidden="1" x14ac:dyDescent="0.25">
      <c r="A182" s="16" t="str">
        <f t="shared" si="36"/>
        <v>CUSTO DMA -GUILHERME NASCIMENTO- ABRIL 26</v>
      </c>
      <c r="B182" s="18">
        <v>46113</v>
      </c>
      <c r="C182" s="3">
        <v>817391</v>
      </c>
      <c r="D182" s="3" t="s">
        <v>479</v>
      </c>
      <c r="E182" s="14">
        <f t="shared" si="22"/>
        <v>-8979.8078767559455</v>
      </c>
      <c r="F182" s="3" t="s">
        <v>363</v>
      </c>
      <c r="G182" s="18">
        <v>46113</v>
      </c>
      <c r="H182" s="19">
        <v>14416</v>
      </c>
      <c r="I182" s="3" t="str">
        <f>VLOOKUP(H182,'[1]Base de Clientes'!$B:$E,4,0)</f>
        <v>BANCO JP MORGAN S/A</v>
      </c>
      <c r="J182" s="5" t="s">
        <v>8</v>
      </c>
      <c r="K182" s="5" t="s">
        <v>500</v>
      </c>
      <c r="L182" s="9">
        <v>8979.8078767559455</v>
      </c>
      <c r="M182" s="11" t="s">
        <v>7</v>
      </c>
      <c r="N182" s="13" t="s">
        <v>451</v>
      </c>
      <c r="O182" s="7">
        <v>1</v>
      </c>
      <c r="P182" s="16" t="s">
        <v>520</v>
      </c>
      <c r="R182" s="3"/>
      <c r="T182" s="7"/>
    </row>
    <row r="183" spans="1:20" hidden="1" x14ac:dyDescent="0.25">
      <c r="A183" s="16" t="str">
        <f t="shared" si="36"/>
        <v>CUSTO DMA -JOAO BESSA- ABRIL 26</v>
      </c>
      <c r="B183" s="18">
        <v>46113</v>
      </c>
      <c r="C183" s="3">
        <v>817391</v>
      </c>
      <c r="D183" s="3" t="s">
        <v>479</v>
      </c>
      <c r="E183" s="14">
        <f t="shared" si="22"/>
        <v>-8979.8078767559455</v>
      </c>
      <c r="F183" s="3" t="s">
        <v>363</v>
      </c>
      <c r="G183" s="18">
        <v>46113</v>
      </c>
      <c r="H183" s="19">
        <v>14416</v>
      </c>
      <c r="I183" s="3" t="str">
        <f>VLOOKUP(H183,'[1]Base de Clientes'!$B:$E,4,0)</f>
        <v>BANCO JP MORGAN S/A</v>
      </c>
      <c r="J183" s="5" t="s">
        <v>8</v>
      </c>
      <c r="K183" s="5" t="s">
        <v>501</v>
      </c>
      <c r="L183" s="9">
        <v>8979.8078767559455</v>
      </c>
      <c r="M183" s="11" t="s">
        <v>7</v>
      </c>
      <c r="N183" s="13" t="s">
        <v>451</v>
      </c>
      <c r="O183" s="7">
        <v>1</v>
      </c>
      <c r="P183" s="16" t="s">
        <v>521</v>
      </c>
      <c r="R183" s="3"/>
      <c r="T183" s="7"/>
    </row>
    <row r="184" spans="1:20" hidden="1" x14ac:dyDescent="0.25">
      <c r="A184" s="16" t="str">
        <f t="shared" si="36"/>
        <v>CUSTO DMA -TAMARA WAJNBERG- ABRIL 26</v>
      </c>
      <c r="B184" s="18">
        <v>46113</v>
      </c>
      <c r="C184" s="3">
        <v>817391</v>
      </c>
      <c r="D184" s="3" t="s">
        <v>580</v>
      </c>
      <c r="E184" s="14">
        <f t="shared" si="22"/>
        <v>-1246.319104636098</v>
      </c>
      <c r="F184" s="3" t="s">
        <v>363</v>
      </c>
      <c r="G184" s="18">
        <v>46113</v>
      </c>
      <c r="H184" s="19">
        <v>79578</v>
      </c>
      <c r="I184" s="3" t="str">
        <f>VLOOKUP(H184,'[1]Base de Clientes'!$B:$E,4,0)</f>
        <v>BANCO JP MORGAN S/A</v>
      </c>
      <c r="J184" s="5" t="s">
        <v>8</v>
      </c>
      <c r="K184" s="5" t="s">
        <v>502</v>
      </c>
      <c r="L184" s="9">
        <v>1246.319104636098</v>
      </c>
      <c r="M184" s="11" t="s">
        <v>7</v>
      </c>
      <c r="N184" s="13" t="s">
        <v>451</v>
      </c>
      <c r="O184" s="7">
        <v>1</v>
      </c>
      <c r="P184" s="16" t="s">
        <v>522</v>
      </c>
      <c r="R184" s="3"/>
      <c r="T184" s="7"/>
    </row>
    <row r="185" spans="1:20" hidden="1" x14ac:dyDescent="0.25">
      <c r="A185" s="16" t="str">
        <f t="shared" si="36"/>
        <v>CUSTO DMA -FREDERIC BROWN- ABRIL 26</v>
      </c>
      <c r="B185" s="18">
        <v>46113</v>
      </c>
      <c r="C185" s="3">
        <v>817391</v>
      </c>
      <c r="D185" s="3" t="s">
        <v>401</v>
      </c>
      <c r="E185" s="14">
        <f t="shared" si="22"/>
        <v>-10477.35307209764</v>
      </c>
      <c r="F185" s="3" t="s">
        <v>363</v>
      </c>
      <c r="G185" s="18">
        <v>46113</v>
      </c>
      <c r="H185" s="19">
        <v>80392</v>
      </c>
      <c r="I185" s="3" t="str">
        <f>VLOOKUP(H185,'[1]Base de Clientes'!$B:$E,4,0)</f>
        <v>KAPITALO INVESTIMENTOS LTDA</v>
      </c>
      <c r="J185" s="5" t="s">
        <v>8</v>
      </c>
      <c r="K185" s="5" t="s">
        <v>69</v>
      </c>
      <c r="L185" s="9">
        <v>10477.35307209764</v>
      </c>
      <c r="M185" s="11" t="s">
        <v>7</v>
      </c>
      <c r="N185" s="13" t="s">
        <v>451</v>
      </c>
      <c r="O185" s="7">
        <v>1</v>
      </c>
      <c r="P185" s="16" t="s">
        <v>523</v>
      </c>
      <c r="R185" s="3"/>
      <c r="T185" s="7"/>
    </row>
    <row r="186" spans="1:20" hidden="1" x14ac:dyDescent="0.25">
      <c r="A186" s="16" t="str">
        <f t="shared" si="36"/>
        <v>CUSTO DMA -JOAO RAMALHO- ABRIL 26</v>
      </c>
      <c r="B186" s="18">
        <v>46113</v>
      </c>
      <c r="C186" s="3">
        <v>817391</v>
      </c>
      <c r="D186" s="3" t="s">
        <v>401</v>
      </c>
      <c r="E186" s="14">
        <f t="shared" si="22"/>
        <v>-9508.0600462174825</v>
      </c>
      <c r="F186" s="3" t="s">
        <v>363</v>
      </c>
      <c r="G186" s="18">
        <v>46113</v>
      </c>
      <c r="H186" s="19">
        <v>12413</v>
      </c>
      <c r="I186" s="3" t="str">
        <f>VLOOKUP(H186,'[1]Base de Clientes'!$B:$E,4,0)</f>
        <v>KAPITALO INVESTIMENTOS LTDA</v>
      </c>
      <c r="J186" s="5" t="s">
        <v>8</v>
      </c>
      <c r="K186" s="5" t="s">
        <v>73</v>
      </c>
      <c r="L186" s="9">
        <v>9508.0600462174825</v>
      </c>
      <c r="M186" s="11" t="s">
        <v>7</v>
      </c>
      <c r="N186" s="13" t="s">
        <v>451</v>
      </c>
      <c r="O186" s="7">
        <v>1</v>
      </c>
      <c r="P186" s="16" t="s">
        <v>524</v>
      </c>
      <c r="R186" s="3"/>
      <c r="T186" s="7"/>
    </row>
    <row r="187" spans="1:20" hidden="1" x14ac:dyDescent="0.25">
      <c r="A187" s="16" t="str">
        <f t="shared" si="36"/>
        <v>CUSTO DMA -RAFAEL POPPE- ABRIL 26</v>
      </c>
      <c r="B187" s="18">
        <v>46113</v>
      </c>
      <c r="C187" s="3">
        <v>817391</v>
      </c>
      <c r="D187" s="3" t="s">
        <v>401</v>
      </c>
      <c r="E187" s="14">
        <f t="shared" si="22"/>
        <v>-224.89429999999999</v>
      </c>
      <c r="F187" s="3" t="s">
        <v>363</v>
      </c>
      <c r="G187" s="18">
        <v>46113</v>
      </c>
      <c r="H187" s="19">
        <v>81778</v>
      </c>
      <c r="I187" s="3" t="str">
        <f>VLOOKUP(H187,'[1]Base de Clientes'!$B:$E,4,0)</f>
        <v>KAPITALO INVESTIMENTOS LTDA</v>
      </c>
      <c r="J187" s="5" t="s">
        <v>8</v>
      </c>
      <c r="K187" s="5" t="s">
        <v>80</v>
      </c>
      <c r="L187" s="9">
        <v>224.89429999999999</v>
      </c>
      <c r="M187" s="11" t="s">
        <v>7</v>
      </c>
      <c r="N187" s="13" t="s">
        <v>451</v>
      </c>
      <c r="O187" s="7">
        <v>1</v>
      </c>
      <c r="P187" s="16" t="s">
        <v>525</v>
      </c>
      <c r="R187" s="3"/>
      <c r="T187" s="7"/>
    </row>
    <row r="188" spans="1:20" hidden="1" x14ac:dyDescent="0.25">
      <c r="A188" s="16" t="str">
        <f t="shared" si="36"/>
        <v>CUSTO DMA -YURI VERGES- ABRIL 26</v>
      </c>
      <c r="B188" s="18">
        <v>46113</v>
      </c>
      <c r="C188" s="3">
        <v>817391</v>
      </c>
      <c r="D188" s="3" t="s">
        <v>401</v>
      </c>
      <c r="E188" s="14">
        <f t="shared" si="22"/>
        <v>-1336.956737636099</v>
      </c>
      <c r="F188" s="3" t="s">
        <v>363</v>
      </c>
      <c r="G188" s="18">
        <v>46113</v>
      </c>
      <c r="H188" s="19">
        <v>80492</v>
      </c>
      <c r="I188" s="3" t="str">
        <f>VLOOKUP(H188,'[1]Base de Clientes'!$B:$E,4,0)</f>
        <v>KAPITALO INVESTIMENTOS LTDA</v>
      </c>
      <c r="J188" s="5" t="s">
        <v>8</v>
      </c>
      <c r="K188" s="5" t="s">
        <v>503</v>
      </c>
      <c r="L188" s="9">
        <v>1336.956737636099</v>
      </c>
      <c r="M188" s="11" t="s">
        <v>7</v>
      </c>
      <c r="N188" s="13" t="s">
        <v>451</v>
      </c>
      <c r="O188" s="7">
        <v>1</v>
      </c>
      <c r="P188" s="16" t="s">
        <v>526</v>
      </c>
      <c r="R188" s="3"/>
      <c r="T188" s="7"/>
    </row>
    <row r="189" spans="1:20" hidden="1" x14ac:dyDescent="0.25">
      <c r="A189" s="16" t="str">
        <f t="shared" si="36"/>
        <v>CUSTO DMA -ALEXANDRE RODRIGUES- ABRIL 26</v>
      </c>
      <c r="B189" s="18">
        <v>46113</v>
      </c>
      <c r="C189" s="3">
        <v>817391</v>
      </c>
      <c r="D189" s="3" t="s">
        <v>410</v>
      </c>
      <c r="E189" s="14">
        <f t="shared" si="22"/>
        <v>-2496.4686330191726</v>
      </c>
      <c r="F189" s="3" t="s">
        <v>363</v>
      </c>
      <c r="G189" s="18">
        <v>46113</v>
      </c>
      <c r="H189" s="19">
        <v>79931</v>
      </c>
      <c r="I189" s="3" t="str">
        <f>VLOOKUP(H189,'[1]Base de Clientes'!$B:$E,4,0)</f>
        <v>SPX GESTAO DE RECURSOS LTDA</v>
      </c>
      <c r="J189" s="5" t="s">
        <v>8</v>
      </c>
      <c r="K189" s="5" t="s">
        <v>65</v>
      </c>
      <c r="L189" s="9">
        <v>4992.9372660383451</v>
      </c>
      <c r="M189" s="11" t="s">
        <v>7</v>
      </c>
      <c r="N189" s="13" t="s">
        <v>451</v>
      </c>
      <c r="O189" s="7">
        <v>0.5</v>
      </c>
      <c r="P189" s="16" t="s">
        <v>527</v>
      </c>
      <c r="R189" s="3"/>
      <c r="T189" s="7"/>
    </row>
    <row r="190" spans="1:20" hidden="1" x14ac:dyDescent="0.25">
      <c r="A190" s="16" t="str">
        <f t="shared" ref="A190" si="37">CONCATENATE(J190,M190,K190,M190,N190)</f>
        <v>CUSTO DMA -ALEXANDRE RODRIGUES- ABRIL 26</v>
      </c>
      <c r="B190" s="18">
        <v>46113</v>
      </c>
      <c r="C190" s="3">
        <v>817391</v>
      </c>
      <c r="D190" s="3" t="s">
        <v>400</v>
      </c>
      <c r="E190" s="14">
        <f t="shared" ref="E190" si="38">-L190*O190</f>
        <v>-2496.4686330191726</v>
      </c>
      <c r="F190" s="3" t="s">
        <v>363</v>
      </c>
      <c r="G190" s="18">
        <v>46113</v>
      </c>
      <c r="H190" s="19">
        <v>79931</v>
      </c>
      <c r="I190" s="3" t="str">
        <f>VLOOKUP(H190,'[1]Base de Clientes'!$B:$E,4,0)</f>
        <v>SPX GESTAO DE RECURSOS LTDA</v>
      </c>
      <c r="J190" s="5" t="s">
        <v>8</v>
      </c>
      <c r="K190" s="5" t="s">
        <v>65</v>
      </c>
      <c r="L190" s="9">
        <v>4992.9372660383451</v>
      </c>
      <c r="M190" s="11" t="s">
        <v>7</v>
      </c>
      <c r="N190" s="13" t="s">
        <v>451</v>
      </c>
      <c r="O190" s="7">
        <v>0.5</v>
      </c>
      <c r="P190" s="16" t="s">
        <v>527</v>
      </c>
      <c r="R190" s="3"/>
      <c r="T190" s="7"/>
    </row>
    <row r="191" spans="1:20" hidden="1" x14ac:dyDescent="0.25">
      <c r="A191" s="16" t="str">
        <f t="shared" si="36"/>
        <v>CUSTO DMA -LUIZ BASQUEIRA- ABRIL 26</v>
      </c>
      <c r="B191" s="18">
        <v>46113</v>
      </c>
      <c r="C191" s="3">
        <v>817391</v>
      </c>
      <c r="D191" s="3" t="s">
        <v>402</v>
      </c>
      <c r="E191" s="14">
        <f t="shared" si="22"/>
        <v>-4285.0243683826066</v>
      </c>
      <c r="F191" s="3" t="s">
        <v>363</v>
      </c>
      <c r="G191" s="18">
        <v>46113</v>
      </c>
      <c r="H191" s="19">
        <v>79931</v>
      </c>
      <c r="I191" s="3" t="str">
        <f>VLOOKUP(H191,'[1]Base de Clientes'!$B:$E,4,0)</f>
        <v>SPX GESTAO DE RECURSOS LTDA</v>
      </c>
      <c r="J191" s="5" t="s">
        <v>8</v>
      </c>
      <c r="K191" s="5" t="s">
        <v>74</v>
      </c>
      <c r="L191" s="9">
        <v>4285.0243683826066</v>
      </c>
      <c r="M191" s="11" t="s">
        <v>7</v>
      </c>
      <c r="N191" s="13" t="s">
        <v>451</v>
      </c>
      <c r="O191" s="7">
        <v>1</v>
      </c>
      <c r="P191" s="16" t="s">
        <v>528</v>
      </c>
      <c r="R191" s="3"/>
      <c r="T191" s="7"/>
    </row>
    <row r="192" spans="1:20" hidden="1" x14ac:dyDescent="0.25">
      <c r="A192" s="16" t="str">
        <f t="shared" si="36"/>
        <v>CUSTO DMA -RODOLFO FERRARI- ABRIL 26</v>
      </c>
      <c r="B192" s="18">
        <v>46113</v>
      </c>
      <c r="C192" s="3">
        <v>817391</v>
      </c>
      <c r="D192" s="3" t="s">
        <v>400</v>
      </c>
      <c r="E192" s="14">
        <f t="shared" si="22"/>
        <v>-5259.3885599999994</v>
      </c>
      <c r="F192" s="3" t="s">
        <v>363</v>
      </c>
      <c r="G192" s="18">
        <v>46113</v>
      </c>
      <c r="H192" s="19">
        <v>82707</v>
      </c>
      <c r="I192" s="3" t="str">
        <f>VLOOKUP(H192,'[1]Base de Clientes'!$B:$E,4,0)</f>
        <v>BANCO XP S/A</v>
      </c>
      <c r="J192" s="5" t="s">
        <v>8</v>
      </c>
      <c r="K192" s="5" t="s">
        <v>77</v>
      </c>
      <c r="L192" s="9">
        <v>5259.3885599999994</v>
      </c>
      <c r="M192" s="11" t="s">
        <v>7</v>
      </c>
      <c r="N192" s="13" t="s">
        <v>451</v>
      </c>
      <c r="O192" s="7">
        <v>1</v>
      </c>
      <c r="P192" s="16" t="s">
        <v>529</v>
      </c>
      <c r="R192" s="3"/>
      <c r="T192" s="7"/>
    </row>
  </sheetData>
  <autoFilter ref="A1:T192" xr:uid="{7820BAEB-610A-42F9-8AEA-E05C5EDA2659}">
    <filterColumn colId="3">
      <filters>
        <filter val="ALVARO LUIZ RICOTTA SOARES"/>
      </filters>
    </filterColumn>
  </autoFilter>
  <conditionalFormatting sqref="A2:A192">
    <cfRule type="duplicateValues" dxfId="2" priority="59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8FD0-C408-4AED-B892-275AB26759CA}">
  <sheetPr codeName="Sheet5" filterMode="1"/>
  <dimension ref="A1:T178"/>
  <sheetViews>
    <sheetView zoomScaleNormal="100" workbookViewId="0">
      <selection activeCell="F200" sqref="F200"/>
    </sheetView>
  </sheetViews>
  <sheetFormatPr defaultRowHeight="11.25" x14ac:dyDescent="0.25"/>
  <cols>
    <col min="1" max="1" width="37.5703125" style="3" customWidth="1"/>
    <col min="2" max="2" width="10.5703125" style="3" customWidth="1"/>
    <col min="3" max="3" width="10.7109375" style="3" bestFit="1" customWidth="1"/>
    <col min="4" max="4" width="30.140625" style="3" customWidth="1"/>
    <col min="5" max="5" width="15.42578125" style="14" customWidth="1"/>
    <col min="6" max="6" width="12.7109375" style="3" customWidth="1"/>
    <col min="7" max="7" width="11" style="3" customWidth="1"/>
    <col min="8" max="8" width="12.28515625" style="3" customWidth="1"/>
    <col min="9" max="9" width="17.28515625" style="3" customWidth="1"/>
    <col min="10" max="10" width="9.140625" style="3" customWidth="1"/>
    <col min="11" max="11" width="22.42578125" style="3" customWidth="1"/>
    <col min="12" max="12" width="13.85546875" style="4" customWidth="1"/>
    <col min="13" max="13" width="9.140625" style="12" customWidth="1"/>
    <col min="14" max="14" width="10.85546875" style="3" customWidth="1"/>
    <col min="15" max="15" width="9.140625" style="8"/>
    <col min="16" max="16" width="30.7109375" style="14" customWidth="1"/>
    <col min="17" max="17" width="27.5703125" style="3" customWidth="1"/>
    <col min="18" max="18" width="12.28515625" style="4" bestFit="1" customWidth="1"/>
    <col min="19" max="20" width="9.140625" style="3" customWidth="1"/>
    <col min="21" max="16384" width="9.140625" style="3"/>
  </cols>
  <sheetData>
    <row r="1" spans="1:20" x14ac:dyDescent="0.25">
      <c r="A1" s="2" t="s">
        <v>1</v>
      </c>
      <c r="B1" s="1" t="s">
        <v>2</v>
      </c>
      <c r="C1" s="2" t="s">
        <v>6</v>
      </c>
      <c r="D1" s="22" t="s">
        <v>0</v>
      </c>
      <c r="E1" s="15" t="s">
        <v>3</v>
      </c>
      <c r="F1" s="17" t="s">
        <v>4</v>
      </c>
      <c r="G1" s="1" t="s">
        <v>5</v>
      </c>
      <c r="H1" s="22" t="s">
        <v>14</v>
      </c>
      <c r="I1" s="3" t="s">
        <v>7</v>
      </c>
      <c r="J1" s="6" t="s">
        <v>9</v>
      </c>
      <c r="K1" s="21" t="s">
        <v>10</v>
      </c>
      <c r="L1" s="20" t="s">
        <v>3</v>
      </c>
      <c r="M1" s="10" t="s">
        <v>11</v>
      </c>
      <c r="N1" s="6" t="s">
        <v>12</v>
      </c>
      <c r="O1" s="23" t="s">
        <v>13</v>
      </c>
      <c r="P1" s="20" t="s">
        <v>530</v>
      </c>
      <c r="R1" s="2" t="s">
        <v>0</v>
      </c>
      <c r="S1" s="2" t="s">
        <v>14</v>
      </c>
      <c r="T1" s="7" t="s">
        <v>13</v>
      </c>
    </row>
    <row r="2" spans="1:20" hidden="1" x14ac:dyDescent="0.25">
      <c r="A2" s="16" t="str">
        <f t="shared" ref="A2:A141" si="0">CONCATENATE(J2,M2,K2,M2,N2)</f>
        <v>CUSTO DMA -ALEXANDRE PALMAS- MAIO 26</v>
      </c>
      <c r="B2" s="18">
        <v>46143</v>
      </c>
      <c r="C2" s="3">
        <v>817391</v>
      </c>
      <c r="D2" s="3" t="s">
        <v>487</v>
      </c>
      <c r="E2" s="14">
        <f t="shared" ref="E2" si="1">-L2*O2</f>
        <v>-140.27614512040901</v>
      </c>
      <c r="F2" s="3" t="s">
        <v>366</v>
      </c>
      <c r="G2" s="18">
        <v>46143</v>
      </c>
      <c r="H2" s="19">
        <v>80667</v>
      </c>
      <c r="I2" s="3" t="str">
        <f>VLOOKUP(H2,'[1]Base de Clientes'!$B:$E,4,0)</f>
        <v>ACE CAPITAL GESTORA DE RECURSOS LTDA</v>
      </c>
      <c r="J2" s="5" t="s">
        <v>8</v>
      </c>
      <c r="K2" s="5" t="s">
        <v>125</v>
      </c>
      <c r="L2" s="9">
        <v>140.27614512040901</v>
      </c>
      <c r="M2" s="11" t="s">
        <v>7</v>
      </c>
      <c r="N2" s="13" t="s">
        <v>491</v>
      </c>
      <c r="O2" s="7">
        <v>1</v>
      </c>
      <c r="P2" s="16" t="s">
        <v>294</v>
      </c>
      <c r="R2" s="3"/>
      <c r="T2" s="7"/>
    </row>
    <row r="3" spans="1:20" hidden="1" x14ac:dyDescent="0.25">
      <c r="A3" s="16" t="str">
        <f t="shared" si="0"/>
        <v>CUSTO DMA -DANIEL TATSUMI- MAIO 26</v>
      </c>
      <c r="B3" s="18">
        <v>46143</v>
      </c>
      <c r="C3" s="3">
        <v>817391</v>
      </c>
      <c r="D3" s="3" t="s">
        <v>487</v>
      </c>
      <c r="E3" s="14">
        <f t="shared" ref="E3:E77" si="2">-L3*O3</f>
        <v>-1002.326145120409</v>
      </c>
      <c r="F3" s="3" t="s">
        <v>366</v>
      </c>
      <c r="G3" s="18">
        <v>46143</v>
      </c>
      <c r="H3" s="19">
        <v>80667</v>
      </c>
      <c r="I3" s="3" t="str">
        <f>VLOOKUP(H3,'[1]Base de Clientes'!$B:$E,4,0)</f>
        <v>ACE CAPITAL GESTORA DE RECURSOS LTDA</v>
      </c>
      <c r="J3" s="5" t="s">
        <v>8</v>
      </c>
      <c r="K3" s="5" t="s">
        <v>133</v>
      </c>
      <c r="L3" s="9">
        <v>1002.326145120409</v>
      </c>
      <c r="M3" s="11" t="s">
        <v>7</v>
      </c>
      <c r="N3" s="13" t="s">
        <v>491</v>
      </c>
      <c r="O3" s="7">
        <v>1</v>
      </c>
      <c r="P3" s="16" t="s">
        <v>302</v>
      </c>
      <c r="R3" s="3"/>
      <c r="T3" s="7"/>
    </row>
    <row r="4" spans="1:20" hidden="1" x14ac:dyDescent="0.25">
      <c r="A4" s="16" t="str">
        <f t="shared" ref="A4" si="3">CONCATENATE(J4,M4,K4,M4,N4)</f>
        <v>CUSTO DMA -FABRICIO TASCHETTO- MAIO 26</v>
      </c>
      <c r="B4" s="18">
        <v>46143</v>
      </c>
      <c r="C4" s="3">
        <v>817391</v>
      </c>
      <c r="D4" s="3" t="s">
        <v>487</v>
      </c>
      <c r="E4" s="14">
        <f t="shared" ref="E4" si="4">-L4*O4</f>
        <v>-3584.4461451204088</v>
      </c>
      <c r="F4" s="3" t="s">
        <v>366</v>
      </c>
      <c r="G4" s="18">
        <v>46143</v>
      </c>
      <c r="H4" s="19">
        <v>80667</v>
      </c>
      <c r="I4" s="3" t="str">
        <f>VLOOKUP(H4,'[1]Base de Clientes'!$B:$E,4,0)</f>
        <v>ACE CAPITAL GESTORA DE RECURSOS LTDA</v>
      </c>
      <c r="J4" s="5" t="s">
        <v>8</v>
      </c>
      <c r="K4" s="5" t="s">
        <v>141</v>
      </c>
      <c r="L4" s="9">
        <v>3584.4461451204088</v>
      </c>
      <c r="M4" s="11" t="s">
        <v>7</v>
      </c>
      <c r="N4" s="13" t="s">
        <v>491</v>
      </c>
      <c r="O4" s="7">
        <v>1</v>
      </c>
      <c r="P4" s="16" t="s">
        <v>310</v>
      </c>
      <c r="R4" s="3"/>
      <c r="T4" s="7"/>
    </row>
    <row r="5" spans="1:20" hidden="1" x14ac:dyDescent="0.25">
      <c r="A5" s="16" t="str">
        <f t="shared" si="0"/>
        <v>CUSTO DMA -MAIKO CARVALHO BARRETO- MAIO 26</v>
      </c>
      <c r="B5" s="18">
        <v>46143</v>
      </c>
      <c r="C5" s="3">
        <v>817391</v>
      </c>
      <c r="D5" s="3" t="s">
        <v>487</v>
      </c>
      <c r="E5" s="14">
        <f t="shared" si="2"/>
        <v>-2996.326145120408</v>
      </c>
      <c r="F5" s="3" t="s">
        <v>366</v>
      </c>
      <c r="G5" s="18">
        <v>46143</v>
      </c>
      <c r="H5" s="19">
        <v>80667</v>
      </c>
      <c r="I5" s="3" t="str">
        <f>VLOOKUP(H5,'[1]Base de Clientes'!$B:$E,4,0)</f>
        <v>ACE CAPITAL GESTORA DE RECURSOS LTDA</v>
      </c>
      <c r="J5" s="5" t="s">
        <v>8</v>
      </c>
      <c r="K5" s="5" t="s">
        <v>156</v>
      </c>
      <c r="L5" s="9">
        <v>2996.326145120408</v>
      </c>
      <c r="M5" s="11" t="s">
        <v>7</v>
      </c>
      <c r="N5" s="13" t="s">
        <v>491</v>
      </c>
      <c r="O5" s="7">
        <v>1</v>
      </c>
      <c r="P5" s="16" t="s">
        <v>326</v>
      </c>
      <c r="R5" s="3"/>
      <c r="T5" s="7"/>
    </row>
    <row r="6" spans="1:20" hidden="1" x14ac:dyDescent="0.25">
      <c r="A6" s="16" t="str">
        <f t="shared" si="0"/>
        <v>CUSTO DMA -MATEUS SCHMIDT MATTOS LOPES PEREIRA- MAIO 26</v>
      </c>
      <c r="B6" s="18">
        <v>46143</v>
      </c>
      <c r="C6" s="3">
        <v>817391</v>
      </c>
      <c r="D6" s="3" t="s">
        <v>487</v>
      </c>
      <c r="E6" s="14">
        <f t="shared" si="2"/>
        <v>-249.326145120409</v>
      </c>
      <c r="F6" s="3" t="s">
        <v>366</v>
      </c>
      <c r="G6" s="18">
        <v>46143</v>
      </c>
      <c r="H6" s="19">
        <v>80667</v>
      </c>
      <c r="I6" s="3" t="str">
        <f>VLOOKUP(H6,'[1]Base de Clientes'!$B:$E,4,0)</f>
        <v>ACE CAPITAL GESTORA DE RECURSOS LTDA</v>
      </c>
      <c r="J6" s="5" t="s">
        <v>8</v>
      </c>
      <c r="K6" s="5" t="s">
        <v>378</v>
      </c>
      <c r="L6" s="9">
        <v>249.326145120409</v>
      </c>
      <c r="M6" s="11" t="s">
        <v>7</v>
      </c>
      <c r="N6" s="13" t="s">
        <v>491</v>
      </c>
      <c r="O6" s="7">
        <v>1</v>
      </c>
      <c r="P6" s="16" t="s">
        <v>393</v>
      </c>
      <c r="R6" s="3"/>
      <c r="T6" s="7"/>
    </row>
    <row r="7" spans="1:20" hidden="1" x14ac:dyDescent="0.25">
      <c r="A7" s="16" t="str">
        <f t="shared" si="0"/>
        <v>CUSTO DMA -PEDRO NUNES- MAIO 26</v>
      </c>
      <c r="B7" s="18">
        <v>46143</v>
      </c>
      <c r="C7" s="3">
        <v>817391</v>
      </c>
      <c r="D7" s="3" t="s">
        <v>487</v>
      </c>
      <c r="E7" s="14">
        <f t="shared" si="2"/>
        <v>-1853.3561451204091</v>
      </c>
      <c r="F7" s="3" t="s">
        <v>366</v>
      </c>
      <c r="G7" s="18">
        <v>46143</v>
      </c>
      <c r="H7" s="19">
        <v>80667</v>
      </c>
      <c r="I7" s="3" t="str">
        <f>VLOOKUP(H7,'[1]Base de Clientes'!$B:$E,4,0)</f>
        <v>ACE CAPITAL GESTORA DE RECURSOS LTDA</v>
      </c>
      <c r="J7" s="5" t="s">
        <v>8</v>
      </c>
      <c r="K7" s="5" t="s">
        <v>161</v>
      </c>
      <c r="L7" s="9">
        <v>1853.3561451204091</v>
      </c>
      <c r="M7" s="11" t="s">
        <v>7</v>
      </c>
      <c r="N7" s="13" t="s">
        <v>491</v>
      </c>
      <c r="O7" s="7">
        <v>1</v>
      </c>
      <c r="P7" s="16" t="s">
        <v>331</v>
      </c>
      <c r="R7" s="3"/>
      <c r="T7" s="7"/>
    </row>
    <row r="8" spans="1:20" hidden="1" x14ac:dyDescent="0.25">
      <c r="A8" s="16" t="str">
        <f t="shared" si="0"/>
        <v>CUSTO DMA -RICARDO CATTARUZZI- MAIO 26</v>
      </c>
      <c r="B8" s="18">
        <v>46143</v>
      </c>
      <c r="C8" s="3">
        <v>817391</v>
      </c>
      <c r="D8" s="3" t="s">
        <v>474</v>
      </c>
      <c r="E8" s="14">
        <f t="shared" si="2"/>
        <v>-70.138072560204506</v>
      </c>
      <c r="F8" s="3" t="s">
        <v>366</v>
      </c>
      <c r="G8" s="18">
        <v>46143</v>
      </c>
      <c r="H8" s="19">
        <v>80667</v>
      </c>
      <c r="I8" s="3" t="str">
        <f>VLOOKUP(H8,'[1]Base de Clientes'!$B:$E,4,0)</f>
        <v>ACE CAPITAL GESTORA DE RECURSOS LTDA</v>
      </c>
      <c r="J8" s="5" t="s">
        <v>8</v>
      </c>
      <c r="K8" s="5" t="s">
        <v>163</v>
      </c>
      <c r="L8" s="9">
        <v>140.27614512040901</v>
      </c>
      <c r="M8" s="11" t="s">
        <v>7</v>
      </c>
      <c r="N8" s="13" t="s">
        <v>491</v>
      </c>
      <c r="O8" s="7">
        <v>0.5</v>
      </c>
      <c r="P8" s="16" t="s">
        <v>334</v>
      </c>
      <c r="R8" s="3"/>
      <c r="T8" s="7"/>
    </row>
    <row r="9" spans="1:20" hidden="1" x14ac:dyDescent="0.25">
      <c r="A9" s="16" t="s">
        <v>581</v>
      </c>
      <c r="B9" s="18">
        <v>46143</v>
      </c>
      <c r="C9" s="3">
        <v>817391</v>
      </c>
      <c r="D9" s="3" t="s">
        <v>404</v>
      </c>
      <c r="E9" s="14">
        <f t="shared" si="2"/>
        <v>-70.138072560204506</v>
      </c>
      <c r="F9" s="3" t="s">
        <v>366</v>
      </c>
      <c r="G9" s="18">
        <v>46143</v>
      </c>
      <c r="H9" s="19">
        <v>80667</v>
      </c>
      <c r="I9" s="3" t="str">
        <f>VLOOKUP(H9,'[1]Base de Clientes'!$B:$E,4,0)</f>
        <v>ACE CAPITAL GESTORA DE RECURSOS LTDA</v>
      </c>
      <c r="J9" s="5" t="s">
        <v>8</v>
      </c>
      <c r="K9" s="5" t="s">
        <v>163</v>
      </c>
      <c r="L9" s="9">
        <v>140.27614512040901</v>
      </c>
      <c r="M9" s="11" t="s">
        <v>7</v>
      </c>
      <c r="N9" s="13" t="s">
        <v>491</v>
      </c>
      <c r="O9" s="7">
        <v>0.5</v>
      </c>
      <c r="P9" s="16" t="s">
        <v>334</v>
      </c>
      <c r="R9" s="3"/>
      <c r="T9" s="7"/>
    </row>
    <row r="10" spans="1:20" hidden="1" x14ac:dyDescent="0.25">
      <c r="A10" s="16" t="str">
        <f t="shared" si="0"/>
        <v>CUSTO DMA -RODRIGO COELHO NETTO GAZE- MAIO 26</v>
      </c>
      <c r="B10" s="18">
        <v>46143</v>
      </c>
      <c r="C10" s="3">
        <v>817391</v>
      </c>
      <c r="D10" s="3" t="s">
        <v>487</v>
      </c>
      <c r="E10" s="14">
        <f t="shared" si="2"/>
        <v>-140.27614512040901</v>
      </c>
      <c r="F10" s="3" t="s">
        <v>366</v>
      </c>
      <c r="G10" s="18">
        <v>46143</v>
      </c>
      <c r="H10" s="19">
        <v>80667</v>
      </c>
      <c r="I10" s="3" t="str">
        <f>VLOOKUP(H10,'[1]Base de Clientes'!$B:$E,4,0)</f>
        <v>ACE CAPITAL GESTORA DE RECURSOS LTDA</v>
      </c>
      <c r="J10" s="5" t="s">
        <v>8</v>
      </c>
      <c r="K10" s="5" t="s">
        <v>164</v>
      </c>
      <c r="L10" s="9">
        <v>140.27614512040901</v>
      </c>
      <c r="M10" s="11" t="s">
        <v>7</v>
      </c>
      <c r="N10" s="13" t="s">
        <v>491</v>
      </c>
      <c r="O10" s="7">
        <v>1</v>
      </c>
      <c r="P10" s="16" t="s">
        <v>335</v>
      </c>
      <c r="R10" s="3"/>
      <c r="T10" s="7"/>
    </row>
    <row r="11" spans="1:20" hidden="1" x14ac:dyDescent="0.25">
      <c r="A11" s="16" t="str">
        <f t="shared" ref="A11" si="5">CONCATENATE(J11,M11,K11,M11,N11)</f>
        <v>CUSTO DMA -TALES FREIRE- MAIO 26</v>
      </c>
      <c r="B11" s="18">
        <v>46143</v>
      </c>
      <c r="C11" s="3">
        <v>817391</v>
      </c>
      <c r="D11" s="3" t="s">
        <v>487</v>
      </c>
      <c r="E11" s="14">
        <f t="shared" ref="E11" si="6">-L11*O11</f>
        <v>-2576.062396220409</v>
      </c>
      <c r="F11" s="3" t="s">
        <v>366</v>
      </c>
      <c r="G11" s="18">
        <v>46143</v>
      </c>
      <c r="H11" s="19">
        <v>80667</v>
      </c>
      <c r="I11" s="3" t="str">
        <f>VLOOKUP(H11,'[1]Base de Clientes'!$B:$E,4,0)</f>
        <v>ACE CAPITAL GESTORA DE RECURSOS LTDA</v>
      </c>
      <c r="J11" s="5" t="s">
        <v>8</v>
      </c>
      <c r="K11" s="5" t="s">
        <v>174</v>
      </c>
      <c r="L11" s="9">
        <v>2576.062396220409</v>
      </c>
      <c r="M11" s="11" t="s">
        <v>7</v>
      </c>
      <c r="N11" s="13" t="s">
        <v>491</v>
      </c>
      <c r="O11" s="7">
        <v>1</v>
      </c>
      <c r="P11" s="16" t="s">
        <v>346</v>
      </c>
      <c r="R11" s="3"/>
      <c r="T11" s="7"/>
    </row>
    <row r="12" spans="1:20" hidden="1" x14ac:dyDescent="0.25">
      <c r="A12" s="16" t="str">
        <f t="shared" si="0"/>
        <v>CUSTO DMA -THOMAZ FURUKAWA- MAIO 26</v>
      </c>
      <c r="B12" s="18">
        <v>46143</v>
      </c>
      <c r="C12" s="3">
        <v>817391</v>
      </c>
      <c r="D12" s="3" t="s">
        <v>487</v>
      </c>
      <c r="E12" s="14">
        <f t="shared" si="2"/>
        <v>-378.510301120409</v>
      </c>
      <c r="F12" s="3" t="s">
        <v>366</v>
      </c>
      <c r="G12" s="18">
        <v>46143</v>
      </c>
      <c r="H12" s="19">
        <v>80667</v>
      </c>
      <c r="I12" s="3" t="str">
        <f>VLOOKUP(H12,'[1]Base de Clientes'!$B:$E,4,0)</f>
        <v>ACE CAPITAL GESTORA DE RECURSOS LTDA</v>
      </c>
      <c r="J12" s="5" t="s">
        <v>8</v>
      </c>
      <c r="K12" s="5" t="s">
        <v>379</v>
      </c>
      <c r="L12" s="9">
        <v>378.510301120409</v>
      </c>
      <c r="M12" s="11" t="s">
        <v>7</v>
      </c>
      <c r="N12" s="13" t="s">
        <v>491</v>
      </c>
      <c r="O12" s="7">
        <v>1</v>
      </c>
      <c r="P12" s="16" t="s">
        <v>394</v>
      </c>
      <c r="R12" s="3"/>
      <c r="T12" s="7"/>
    </row>
    <row r="13" spans="1:20" hidden="1" x14ac:dyDescent="0.25">
      <c r="A13" s="16" t="str">
        <f t="shared" ref="A13" si="7">CONCATENATE(J13,M13,K13,M13,N13)</f>
        <v>CUSTO DMA -THIAGO KADOBAYASHI- MAIO 26</v>
      </c>
      <c r="B13" s="18">
        <v>46143</v>
      </c>
      <c r="C13" s="3">
        <v>817391</v>
      </c>
      <c r="D13" s="3" t="s">
        <v>487</v>
      </c>
      <c r="E13" s="14">
        <f t="shared" ref="E13" si="8">-L13*O13</f>
        <v>-2411.2961451204092</v>
      </c>
      <c r="F13" s="3" t="s">
        <v>366</v>
      </c>
      <c r="G13" s="18">
        <v>46143</v>
      </c>
      <c r="H13" s="19">
        <v>80667</v>
      </c>
      <c r="I13" s="3" t="str">
        <f>VLOOKUP(H13,'[1]Base de Clientes'!$B:$E,4,0)</f>
        <v>ACE CAPITAL GESTORA DE RECURSOS LTDA</v>
      </c>
      <c r="J13" s="5" t="s">
        <v>8</v>
      </c>
      <c r="K13" s="5" t="s">
        <v>380</v>
      </c>
      <c r="L13" s="9">
        <v>2411.2961451204092</v>
      </c>
      <c r="M13" s="11" t="s">
        <v>7</v>
      </c>
      <c r="N13" s="13" t="s">
        <v>491</v>
      </c>
      <c r="O13" s="7">
        <v>1</v>
      </c>
      <c r="P13" s="16" t="s">
        <v>395</v>
      </c>
      <c r="R13" s="3"/>
      <c r="T13" s="7"/>
    </row>
    <row r="14" spans="1:20" hidden="1" x14ac:dyDescent="0.25">
      <c r="A14" s="16" t="str">
        <f t="shared" si="0"/>
        <v>CUSTO DMA -VICTOR VELOSO- MAIO 26</v>
      </c>
      <c r="B14" s="18">
        <v>46143</v>
      </c>
      <c r="C14" s="3">
        <v>817391</v>
      </c>
      <c r="D14" s="3" t="s">
        <v>487</v>
      </c>
      <c r="E14" s="14">
        <f t="shared" si="2"/>
        <v>-140.27614512040901</v>
      </c>
      <c r="F14" s="3" t="s">
        <v>366</v>
      </c>
      <c r="G14" s="18">
        <v>46143</v>
      </c>
      <c r="H14" s="19">
        <v>80667</v>
      </c>
      <c r="I14" s="3" t="str">
        <f>VLOOKUP(H14,'[1]Base de Clientes'!$B:$E,4,0)</f>
        <v>ACE CAPITAL GESTORA DE RECURSOS LTDA</v>
      </c>
      <c r="J14" s="5" t="s">
        <v>8</v>
      </c>
      <c r="K14" s="5" t="s">
        <v>183</v>
      </c>
      <c r="L14" s="9">
        <v>140.27614512040901</v>
      </c>
      <c r="M14" s="11" t="s">
        <v>7</v>
      </c>
      <c r="N14" s="13" t="s">
        <v>491</v>
      </c>
      <c r="O14" s="7">
        <v>1</v>
      </c>
      <c r="P14" s="16" t="s">
        <v>357</v>
      </c>
      <c r="R14" s="3"/>
      <c r="T14" s="7"/>
    </row>
    <row r="15" spans="1:20" hidden="1" x14ac:dyDescent="0.25">
      <c r="A15" s="16" t="str">
        <f t="shared" ref="A15" si="9">CONCATENATE(J15,M15,K15,M15,N15)</f>
        <v>CUSTO DMA -ANDRE PINHEIRO- MAIO 26</v>
      </c>
      <c r="B15" s="18">
        <v>46143</v>
      </c>
      <c r="C15" s="3">
        <v>817391</v>
      </c>
      <c r="D15" s="3" t="s">
        <v>401</v>
      </c>
      <c r="E15" s="14">
        <f t="shared" ref="E15" si="10">-L15*O15</f>
        <v>-140.27614512040901</v>
      </c>
      <c r="F15" s="3" t="s">
        <v>366</v>
      </c>
      <c r="G15" s="18">
        <v>46143</v>
      </c>
      <c r="H15" s="19">
        <v>79354</v>
      </c>
      <c r="I15" s="3" t="str">
        <f>VLOOKUP(H15,'[1]Base de Clientes'!$B:$E,4,0)</f>
        <v>BANCO BTG PACTUAL S/A</v>
      </c>
      <c r="J15" s="5" t="s">
        <v>8</v>
      </c>
      <c r="K15" s="5" t="s">
        <v>126</v>
      </c>
      <c r="L15" s="9">
        <v>140.27614512040901</v>
      </c>
      <c r="M15" s="11" t="s">
        <v>7</v>
      </c>
      <c r="N15" s="13" t="s">
        <v>491</v>
      </c>
      <c r="O15" s="7">
        <v>1</v>
      </c>
      <c r="P15" s="16" t="s">
        <v>295</v>
      </c>
      <c r="R15" s="3"/>
      <c r="T15" s="7"/>
    </row>
    <row r="16" spans="1:20" hidden="1" x14ac:dyDescent="0.25">
      <c r="A16" s="16" t="str">
        <f t="shared" si="0"/>
        <v>CUSTO DMA -JOAO L F BENADUCCI- MAIO 26</v>
      </c>
      <c r="B16" s="18">
        <v>46143</v>
      </c>
      <c r="C16" s="3">
        <v>817391</v>
      </c>
      <c r="D16" s="3" t="s">
        <v>401</v>
      </c>
      <c r="E16" s="14">
        <f t="shared" si="2"/>
        <v>-140.27614512040901</v>
      </c>
      <c r="F16" s="3" t="s">
        <v>366</v>
      </c>
      <c r="G16" s="18">
        <v>46143</v>
      </c>
      <c r="H16" s="19">
        <v>79354</v>
      </c>
      <c r="I16" s="3" t="str">
        <f>VLOOKUP(H16,'[1]Base de Clientes'!$B:$E,4,0)</f>
        <v>BANCO BTG PACTUAL S/A</v>
      </c>
      <c r="J16" s="5" t="s">
        <v>8</v>
      </c>
      <c r="K16" s="5" t="s">
        <v>146</v>
      </c>
      <c r="L16" s="9">
        <v>140.27614512040901</v>
      </c>
      <c r="M16" s="11" t="s">
        <v>7</v>
      </c>
      <c r="N16" s="13" t="s">
        <v>491</v>
      </c>
      <c r="O16" s="7">
        <v>1</v>
      </c>
      <c r="P16" s="16" t="s">
        <v>315</v>
      </c>
      <c r="R16" s="3"/>
      <c r="T16" s="7"/>
    </row>
    <row r="17" spans="1:20" hidden="1" x14ac:dyDescent="0.2">
      <c r="A17" s="16" t="str">
        <f t="shared" si="0"/>
        <v>CUSTO DMA -ENRICO ZEITUNE PASCUCCI- MAIO 26</v>
      </c>
      <c r="B17" s="18">
        <v>46143</v>
      </c>
      <c r="C17" s="3">
        <v>817391</v>
      </c>
      <c r="D17" s="24" t="s">
        <v>401</v>
      </c>
      <c r="E17" s="14">
        <f t="shared" si="2"/>
        <v>-140.27614512040901</v>
      </c>
      <c r="F17" s="3" t="s">
        <v>366</v>
      </c>
      <c r="G17" s="18">
        <v>46143</v>
      </c>
      <c r="H17" s="19">
        <v>80516</v>
      </c>
      <c r="I17" s="3" t="str">
        <f>VLOOKUP(H17,'[1]Base de Clientes'!$B:$E,4,0)</f>
        <v>BANCO J SAFRA S/A</v>
      </c>
      <c r="J17" s="5" t="s">
        <v>8</v>
      </c>
      <c r="K17" s="5" t="s">
        <v>139</v>
      </c>
      <c r="L17" s="9">
        <v>140.27614512040901</v>
      </c>
      <c r="M17" s="11" t="s">
        <v>7</v>
      </c>
      <c r="N17" s="13" t="s">
        <v>491</v>
      </c>
      <c r="O17" s="7">
        <v>1</v>
      </c>
      <c r="P17" s="16" t="s">
        <v>308</v>
      </c>
      <c r="R17" s="3"/>
      <c r="T17" s="7"/>
    </row>
    <row r="18" spans="1:20" hidden="1" x14ac:dyDescent="0.2">
      <c r="A18" s="16" t="str">
        <f t="shared" si="0"/>
        <v>CUSTO DMA -BRUNO FORESTI- MAIO 26</v>
      </c>
      <c r="B18" s="18">
        <v>46143</v>
      </c>
      <c r="C18" s="3">
        <v>817391</v>
      </c>
      <c r="D18" s="24" t="s">
        <v>487</v>
      </c>
      <c r="E18" s="14">
        <f t="shared" si="2"/>
        <v>-140.27614512040901</v>
      </c>
      <c r="F18" s="3" t="s">
        <v>366</v>
      </c>
      <c r="G18" s="18">
        <v>46143</v>
      </c>
      <c r="H18" s="26">
        <v>80827</v>
      </c>
      <c r="I18" s="3" t="str">
        <f>VLOOKUP(H18,'[1]Base de Clientes'!$B:$E,4,0)</f>
        <v>OURIBANK S.A. BANCO MULTIPLO</v>
      </c>
      <c r="J18" s="5" t="s">
        <v>8</v>
      </c>
      <c r="K18" s="5" t="s">
        <v>418</v>
      </c>
      <c r="L18" s="9">
        <v>140.27614512040901</v>
      </c>
      <c r="M18" s="11" t="s">
        <v>7</v>
      </c>
      <c r="N18" s="13" t="s">
        <v>491</v>
      </c>
      <c r="O18" s="7">
        <v>1</v>
      </c>
      <c r="P18" s="16" t="s">
        <v>427</v>
      </c>
      <c r="R18" s="3"/>
      <c r="T18" s="7"/>
    </row>
    <row r="19" spans="1:20" hidden="1" x14ac:dyDescent="0.25">
      <c r="A19" s="16" t="str">
        <f t="shared" si="0"/>
        <v>CUSTO DMA -DANIEL VITOR SALOMÃO- MAIO 26</v>
      </c>
      <c r="B19" s="18">
        <v>46143</v>
      </c>
      <c r="C19" s="3">
        <v>817391</v>
      </c>
      <c r="D19" s="3" t="s">
        <v>487</v>
      </c>
      <c r="E19" s="14">
        <f t="shared" si="2"/>
        <v>-253</v>
      </c>
      <c r="F19" s="3" t="s">
        <v>366</v>
      </c>
      <c r="G19" s="18">
        <v>46143</v>
      </c>
      <c r="H19" s="19">
        <v>79581</v>
      </c>
      <c r="I19" s="3" t="str">
        <f>VLOOKUP(H19,'[1]Base de Clientes'!$B:$E,4,0)</f>
        <v>OURIBANK S.A. BANCO MULTIPLO</v>
      </c>
      <c r="J19" s="5" t="s">
        <v>8</v>
      </c>
      <c r="K19" s="5" t="s">
        <v>135</v>
      </c>
      <c r="L19" s="9">
        <v>253</v>
      </c>
      <c r="M19" s="11" t="s">
        <v>7</v>
      </c>
      <c r="N19" s="13" t="s">
        <v>491</v>
      </c>
      <c r="O19" s="7">
        <v>1</v>
      </c>
      <c r="P19" s="16" t="s">
        <v>304</v>
      </c>
      <c r="R19" s="3"/>
      <c r="T19" s="7"/>
    </row>
    <row r="20" spans="1:20" hidden="1" x14ac:dyDescent="0.25">
      <c r="A20" s="16" t="str">
        <f t="shared" ref="A20" si="11">CONCATENATE(J20,M20,K20,M20,N20)</f>
        <v>CUSTO DMA -IGOR PERRUPATO MATTAR - MAIO 26</v>
      </c>
      <c r="B20" s="18">
        <v>46143</v>
      </c>
      <c r="C20" s="3">
        <v>817391</v>
      </c>
      <c r="D20" s="3" t="s">
        <v>487</v>
      </c>
      <c r="E20" s="14">
        <f t="shared" ref="E20" si="12">-L20*O20</f>
        <v>-277.27614512040901</v>
      </c>
      <c r="F20" s="3" t="s">
        <v>366</v>
      </c>
      <c r="G20" s="18">
        <v>46143</v>
      </c>
      <c r="H20" s="19">
        <v>79581</v>
      </c>
      <c r="I20" s="3" t="str">
        <f>VLOOKUP(H20,'[1]Base de Clientes'!$B:$E,4,0)</f>
        <v>OURIBANK S.A. BANCO MULTIPLO</v>
      </c>
      <c r="J20" s="5" t="s">
        <v>8</v>
      </c>
      <c r="K20" s="5" t="s">
        <v>144</v>
      </c>
      <c r="L20" s="9">
        <v>277.27614512040901</v>
      </c>
      <c r="M20" s="11" t="s">
        <v>7</v>
      </c>
      <c r="N20" s="13" t="s">
        <v>491</v>
      </c>
      <c r="O20" s="7">
        <v>1</v>
      </c>
      <c r="P20" s="16" t="s">
        <v>313</v>
      </c>
      <c r="R20" s="3"/>
      <c r="T20" s="7"/>
    </row>
    <row r="21" spans="1:20" hidden="1" x14ac:dyDescent="0.25">
      <c r="A21" s="16" t="str">
        <f t="shared" si="0"/>
        <v>CUSTO DMA -YGOR QUINHONI FONTES- MAIO 26</v>
      </c>
      <c r="B21" s="18">
        <v>46143</v>
      </c>
      <c r="C21" s="3">
        <v>817391</v>
      </c>
      <c r="D21" s="3" t="s">
        <v>487</v>
      </c>
      <c r="E21" s="14">
        <f t="shared" si="2"/>
        <v>-490.27614512040901</v>
      </c>
      <c r="F21" s="3" t="s">
        <v>366</v>
      </c>
      <c r="G21" s="18">
        <v>46143</v>
      </c>
      <c r="H21" s="19">
        <v>79581</v>
      </c>
      <c r="I21" s="3" t="str">
        <f>VLOOKUP(H21,'[1]Base de Clientes'!$B:$E,4,0)</f>
        <v>OURIBANK S.A. BANCO MULTIPLO</v>
      </c>
      <c r="J21" s="5" t="s">
        <v>8</v>
      </c>
      <c r="K21" s="5" t="s">
        <v>185</v>
      </c>
      <c r="L21" s="9">
        <v>490.27614512040901</v>
      </c>
      <c r="M21" s="11" t="s">
        <v>7</v>
      </c>
      <c r="N21" s="13" t="s">
        <v>491</v>
      </c>
      <c r="O21" s="7">
        <v>1</v>
      </c>
      <c r="P21" s="16" t="s">
        <v>360</v>
      </c>
      <c r="R21" s="3"/>
      <c r="T21" s="7"/>
    </row>
    <row r="22" spans="1:20" hidden="1" x14ac:dyDescent="0.2">
      <c r="A22" s="16" t="str">
        <f t="shared" si="0"/>
        <v>CUSTO DMA -UBIRATAN OLIVEIRA- MAIO 26</v>
      </c>
      <c r="B22" s="18">
        <v>46143</v>
      </c>
      <c r="C22" s="3">
        <v>817391</v>
      </c>
      <c r="D22" s="24" t="s">
        <v>411</v>
      </c>
      <c r="E22" s="14">
        <f t="shared" si="2"/>
        <v>-140.27614512040901</v>
      </c>
      <c r="F22" s="3" t="s">
        <v>366</v>
      </c>
      <c r="G22" s="18">
        <v>46143</v>
      </c>
      <c r="H22" s="19">
        <v>79814</v>
      </c>
      <c r="I22" s="3" t="str">
        <f>VLOOKUP(H22,'[1]Base de Clientes'!$B:$E,4,0)</f>
        <v>BANCO NACIONAL DE DESENVOLVIMENTO ECONOMICO E SOCIAL - BNDES</v>
      </c>
      <c r="J22" s="5" t="s">
        <v>8</v>
      </c>
      <c r="K22" s="5" t="s">
        <v>494</v>
      </c>
      <c r="L22" s="9">
        <v>140.27614512040901</v>
      </c>
      <c r="M22" s="11" t="s">
        <v>7</v>
      </c>
      <c r="N22" s="13" t="s">
        <v>491</v>
      </c>
      <c r="O22" s="7">
        <v>1</v>
      </c>
      <c r="P22" s="16" t="s">
        <v>497</v>
      </c>
      <c r="R22" s="3"/>
      <c r="T22" s="7"/>
    </row>
    <row r="23" spans="1:20" hidden="1" x14ac:dyDescent="0.25">
      <c r="A23" s="16" t="str">
        <f t="shared" si="0"/>
        <v>CUSTO DMA -DANIEL STRUZBERG- MAIO 26</v>
      </c>
      <c r="B23" s="18">
        <v>46143</v>
      </c>
      <c r="C23" s="3">
        <v>817391</v>
      </c>
      <c r="D23" s="3" t="s">
        <v>470</v>
      </c>
      <c r="E23" s="14">
        <f t="shared" si="2"/>
        <v>-140.27614512040901</v>
      </c>
      <c r="F23" s="3" t="s">
        <v>366</v>
      </c>
      <c r="G23" s="18">
        <v>46143</v>
      </c>
      <c r="H23" s="19">
        <v>81647</v>
      </c>
      <c r="I23" s="3" t="str">
        <f>VLOOKUP(H23,'[1]Base de Clientes'!$B:$E,4,0)</f>
        <v>BOGARI GESTAO DE INVESTIMENTOS LTDA</v>
      </c>
      <c r="J23" s="5" t="s">
        <v>8</v>
      </c>
      <c r="K23" s="5" t="s">
        <v>136</v>
      </c>
      <c r="L23" s="9">
        <v>140.27614512040901</v>
      </c>
      <c r="M23" s="11" t="s">
        <v>7</v>
      </c>
      <c r="N23" s="13" t="s">
        <v>491</v>
      </c>
      <c r="O23" s="7">
        <v>1</v>
      </c>
      <c r="P23" s="16" t="s">
        <v>305</v>
      </c>
      <c r="R23" s="3"/>
      <c r="T23" s="7"/>
    </row>
    <row r="24" spans="1:20" hidden="1" x14ac:dyDescent="0.25">
      <c r="A24" s="16" t="str">
        <f t="shared" si="0"/>
        <v>CUSTO DMA -ANDRE SOARES- MAIO 26</v>
      </c>
      <c r="B24" s="18">
        <v>46143</v>
      </c>
      <c r="C24" s="3">
        <v>817391</v>
      </c>
      <c r="D24" s="3" t="s">
        <v>488</v>
      </c>
      <c r="E24" s="14">
        <f t="shared" si="2"/>
        <v>-140.27614512040901</v>
      </c>
      <c r="F24" s="3" t="s">
        <v>366</v>
      </c>
      <c r="G24" s="18">
        <v>46143</v>
      </c>
      <c r="H24" s="19">
        <v>80397</v>
      </c>
      <c r="I24" s="3" t="str">
        <f>VLOOKUP(H24,'[1]Base de Clientes'!$B:$E,4,0)</f>
        <v>DYNAMO ADMINISTRACAO DE RECURSOS LTDA</v>
      </c>
      <c r="J24" s="5" t="s">
        <v>8</v>
      </c>
      <c r="K24" s="5" t="s">
        <v>127</v>
      </c>
      <c r="L24" s="9">
        <v>140.27614512040901</v>
      </c>
      <c r="M24" s="11" t="s">
        <v>7</v>
      </c>
      <c r="N24" s="13" t="s">
        <v>491</v>
      </c>
      <c r="O24" s="7">
        <v>1</v>
      </c>
      <c r="P24" s="16" t="s">
        <v>296</v>
      </c>
      <c r="R24" s="3"/>
      <c r="T24" s="7"/>
    </row>
    <row r="25" spans="1:20" hidden="1" x14ac:dyDescent="0.25">
      <c r="A25" s="16" t="str">
        <f t="shared" si="0"/>
        <v>CUSTO DMA -JULIA AZEREDO- MAIO 26</v>
      </c>
      <c r="B25" s="18">
        <v>46143</v>
      </c>
      <c r="C25" s="3">
        <v>817391</v>
      </c>
      <c r="D25" s="3" t="s">
        <v>488</v>
      </c>
      <c r="E25" s="14">
        <f t="shared" si="2"/>
        <v>-2455.928495120409</v>
      </c>
      <c r="F25" s="3" t="s">
        <v>366</v>
      </c>
      <c r="G25" s="18">
        <v>46143</v>
      </c>
      <c r="H25" s="19">
        <v>80397</v>
      </c>
      <c r="I25" s="3" t="str">
        <f>VLOOKUP(H25,'[1]Base de Clientes'!$B:$E,4,0)</f>
        <v>DYNAMO ADMINISTRACAO DE RECURSOS LTDA</v>
      </c>
      <c r="J25" s="5" t="s">
        <v>8</v>
      </c>
      <c r="K25" s="5" t="s">
        <v>460</v>
      </c>
      <c r="L25" s="9">
        <v>2455.928495120409</v>
      </c>
      <c r="M25" s="11" t="s">
        <v>7</v>
      </c>
      <c r="N25" s="13" t="s">
        <v>491</v>
      </c>
      <c r="O25" s="7">
        <v>1</v>
      </c>
      <c r="P25" s="16" t="s">
        <v>469</v>
      </c>
      <c r="R25" s="3"/>
      <c r="T25" s="7"/>
    </row>
    <row r="26" spans="1:20" hidden="1" x14ac:dyDescent="0.25">
      <c r="A26" s="16" t="str">
        <f t="shared" si="0"/>
        <v>CUSTO DMA -THIAGO DI BLASI- MAIO 26</v>
      </c>
      <c r="B26" s="18">
        <v>46143</v>
      </c>
      <c r="C26" s="3">
        <v>817391</v>
      </c>
      <c r="D26" s="3" t="s">
        <v>488</v>
      </c>
      <c r="E26" s="14">
        <f t="shared" si="2"/>
        <v>-2129.4234951204089</v>
      </c>
      <c r="F26" s="3" t="s">
        <v>366</v>
      </c>
      <c r="G26" s="18">
        <v>46143</v>
      </c>
      <c r="H26" s="19">
        <v>80397</v>
      </c>
      <c r="I26" s="3" t="str">
        <f>VLOOKUP(H26,'[1]Base de Clientes'!$B:$E,4,0)</f>
        <v>DYNAMO ADMINISTRACAO DE RECURSOS LTDA</v>
      </c>
      <c r="J26" s="5" t="s">
        <v>8</v>
      </c>
      <c r="K26" s="5" t="s">
        <v>173</v>
      </c>
      <c r="L26" s="9">
        <v>2129.4234951204089</v>
      </c>
      <c r="M26" s="11" t="s">
        <v>7</v>
      </c>
      <c r="N26" s="13" t="s">
        <v>491</v>
      </c>
      <c r="O26" s="7">
        <v>1</v>
      </c>
      <c r="P26" s="16" t="s">
        <v>345</v>
      </c>
      <c r="R26" s="3"/>
      <c r="T26" s="7"/>
    </row>
    <row r="27" spans="1:20" hidden="1" x14ac:dyDescent="0.25">
      <c r="A27" s="16" t="str">
        <f t="shared" si="0"/>
        <v>CUSTO DMA -ANDRÉ MAMED- MAIO 26</v>
      </c>
      <c r="B27" s="18">
        <v>46143</v>
      </c>
      <c r="C27" s="3">
        <v>817391</v>
      </c>
      <c r="D27" s="3" t="s">
        <v>475</v>
      </c>
      <c r="E27" s="14">
        <f t="shared" si="2"/>
        <v>-1737.5867771204089</v>
      </c>
      <c r="F27" s="3" t="s">
        <v>366</v>
      </c>
      <c r="G27" s="18">
        <v>46143</v>
      </c>
      <c r="H27" s="19">
        <v>83023</v>
      </c>
      <c r="I27" s="3" t="str">
        <f>VLOOKUP(H27,'[1]Base de Clientes'!$B:$E,4,0)</f>
        <v>GARIN INVESTIMENTOS LTDA</v>
      </c>
      <c r="J27" s="5" t="s">
        <v>8</v>
      </c>
      <c r="K27" s="5" t="s">
        <v>122</v>
      </c>
      <c r="L27" s="9">
        <v>1737.5867771204089</v>
      </c>
      <c r="M27" s="11" t="s">
        <v>7</v>
      </c>
      <c r="N27" s="13" t="s">
        <v>491</v>
      </c>
      <c r="O27" s="7">
        <v>1</v>
      </c>
      <c r="P27" s="16" t="s">
        <v>291</v>
      </c>
      <c r="R27" s="3"/>
      <c r="T27" s="7"/>
    </row>
    <row r="28" spans="1:20" hidden="1" x14ac:dyDescent="0.25">
      <c r="A28" s="16" t="str">
        <f t="shared" si="0"/>
        <v>CUSTO DMA -ANDRÉ VIEIRA- MAIO 26</v>
      </c>
      <c r="B28" s="18">
        <v>46143</v>
      </c>
      <c r="C28" s="3">
        <v>817391</v>
      </c>
      <c r="D28" s="3" t="s">
        <v>475</v>
      </c>
      <c r="E28" s="14">
        <f t="shared" si="2"/>
        <v>-140.27614512040901</v>
      </c>
      <c r="F28" s="3" t="s">
        <v>366</v>
      </c>
      <c r="G28" s="18">
        <v>46143</v>
      </c>
      <c r="H28" s="19">
        <v>82753</v>
      </c>
      <c r="I28" s="3" t="str">
        <f>VLOOKUP(H28,'[1]Base de Clientes'!$B:$E,4,0)</f>
        <v>GARIN INVESTIMENTOS LTDA</v>
      </c>
      <c r="J28" s="5" t="s">
        <v>8</v>
      </c>
      <c r="K28" s="5" t="s">
        <v>124</v>
      </c>
      <c r="L28" s="9">
        <v>140.27614512040901</v>
      </c>
      <c r="M28" s="11" t="s">
        <v>7</v>
      </c>
      <c r="N28" s="13" t="s">
        <v>491</v>
      </c>
      <c r="O28" s="7">
        <v>1</v>
      </c>
      <c r="P28" s="16" t="s">
        <v>293</v>
      </c>
      <c r="R28" s="3"/>
      <c r="T28" s="7"/>
    </row>
    <row r="29" spans="1:20" hidden="1" x14ac:dyDescent="0.25">
      <c r="A29" s="16" t="str">
        <f t="shared" si="0"/>
        <v>CUSTO DMA -MATHEUS HENRIQUE DUARTE DOS SANTOS- MAIO 26</v>
      </c>
      <c r="B29" s="18">
        <v>46143</v>
      </c>
      <c r="C29" s="3">
        <v>817391</v>
      </c>
      <c r="D29" s="3" t="s">
        <v>475</v>
      </c>
      <c r="E29" s="14">
        <f t="shared" si="2"/>
        <v>-313.87140512040901</v>
      </c>
      <c r="F29" s="3" t="s">
        <v>366</v>
      </c>
      <c r="G29" s="18">
        <v>46143</v>
      </c>
      <c r="H29" s="19">
        <v>82790</v>
      </c>
      <c r="I29" s="3" t="str">
        <f>VLOOKUP(H29,'[1]Base de Clientes'!$B:$E,4,0)</f>
        <v>GARIN INVESTIMENTOS LTDA</v>
      </c>
      <c r="J29" s="5" t="s">
        <v>8</v>
      </c>
      <c r="K29" s="5" t="s">
        <v>158</v>
      </c>
      <c r="L29" s="9">
        <v>313.87140512040901</v>
      </c>
      <c r="M29" s="11" t="s">
        <v>7</v>
      </c>
      <c r="N29" s="13" t="s">
        <v>491</v>
      </c>
      <c r="O29" s="7">
        <v>1</v>
      </c>
      <c r="P29" s="16" t="s">
        <v>328</v>
      </c>
      <c r="R29" s="3"/>
      <c r="T29" s="7"/>
    </row>
    <row r="30" spans="1:20" hidden="1" x14ac:dyDescent="0.2">
      <c r="A30" s="16" t="str">
        <f t="shared" si="0"/>
        <v>CUSTO DMA -ERICO FAUSTINO- MAIO 26</v>
      </c>
      <c r="B30" s="18">
        <v>46143</v>
      </c>
      <c r="C30" s="3">
        <v>817391</v>
      </c>
      <c r="D30" s="24" t="s">
        <v>401</v>
      </c>
      <c r="E30" s="14">
        <f t="shared" si="2"/>
        <v>-140.27614512040901</v>
      </c>
      <c r="F30" s="3" t="s">
        <v>366</v>
      </c>
      <c r="G30" s="18">
        <v>46143</v>
      </c>
      <c r="H30" s="26">
        <v>79791</v>
      </c>
      <c r="I30" s="3" t="str">
        <f>VLOOKUP(H30,'[1]Base de Clientes'!$B:$E,4,0)</f>
        <v>GOLDMAN SACHS DO BRASIL BANCO MULTIPLO S/A</v>
      </c>
      <c r="J30" s="5" t="s">
        <v>8</v>
      </c>
      <c r="K30" s="5" t="s">
        <v>138</v>
      </c>
      <c r="L30" s="9">
        <v>140.27614512040901</v>
      </c>
      <c r="M30" s="11" t="s">
        <v>7</v>
      </c>
      <c r="N30" s="13" t="s">
        <v>491</v>
      </c>
      <c r="O30" s="7">
        <v>1</v>
      </c>
      <c r="P30" s="16" t="s">
        <v>307</v>
      </c>
      <c r="R30" s="3"/>
      <c r="T30" s="7"/>
    </row>
    <row r="31" spans="1:20" hidden="1" x14ac:dyDescent="0.2">
      <c r="A31" s="16" t="str">
        <f t="shared" si="0"/>
        <v>CUSTO DMA -JOSEPH HOROVITZ- MAIO 26</v>
      </c>
      <c r="B31" s="18">
        <v>46143</v>
      </c>
      <c r="C31" s="3">
        <v>817391</v>
      </c>
      <c r="D31" s="24" t="s">
        <v>401</v>
      </c>
      <c r="E31" s="14">
        <f t="shared" si="2"/>
        <v>-140.27614512040901</v>
      </c>
      <c r="F31" s="3" t="s">
        <v>366</v>
      </c>
      <c r="G31" s="18">
        <v>46143</v>
      </c>
      <c r="H31" s="26">
        <v>123491</v>
      </c>
      <c r="I31" s="3" t="str">
        <f>VLOOKUP(H31,'[1]Base de Clientes'!$B:$E,4,0)</f>
        <v>GOLDMAN SACHS DO BRASIL BANCO MULTIPLO S/A</v>
      </c>
      <c r="J31" s="5" t="s">
        <v>8</v>
      </c>
      <c r="K31" s="5" t="s">
        <v>148</v>
      </c>
      <c r="L31" s="9">
        <v>140.27614512040901</v>
      </c>
      <c r="M31" s="11" t="s">
        <v>7</v>
      </c>
      <c r="N31" s="13" t="s">
        <v>491</v>
      </c>
      <c r="O31" s="7">
        <v>1</v>
      </c>
      <c r="P31" s="16" t="s">
        <v>317</v>
      </c>
      <c r="R31" s="3"/>
      <c r="T31" s="7"/>
    </row>
    <row r="32" spans="1:20" hidden="1" x14ac:dyDescent="0.2">
      <c r="A32" s="16" t="str">
        <f t="shared" si="0"/>
        <v>CUSTO DMA -LUIZ LOUREIRO- MAIO 26</v>
      </c>
      <c r="B32" s="18">
        <v>46143</v>
      </c>
      <c r="C32" s="3">
        <v>817391</v>
      </c>
      <c r="D32" s="24" t="s">
        <v>401</v>
      </c>
      <c r="E32" s="14">
        <f t="shared" si="2"/>
        <v>-140.27614512040901</v>
      </c>
      <c r="F32" s="3" t="s">
        <v>366</v>
      </c>
      <c r="G32" s="18">
        <v>46143</v>
      </c>
      <c r="H32" s="19">
        <v>79791</v>
      </c>
      <c r="I32" s="3" t="str">
        <f>VLOOKUP(H32,'[1]Base de Clientes'!$B:$E,4,0)</f>
        <v>GOLDMAN SACHS DO BRASIL BANCO MULTIPLO S/A</v>
      </c>
      <c r="J32" s="5" t="s">
        <v>8</v>
      </c>
      <c r="K32" s="5" t="s">
        <v>154</v>
      </c>
      <c r="L32" s="9">
        <v>140.27614512040901</v>
      </c>
      <c r="M32" s="11" t="s">
        <v>7</v>
      </c>
      <c r="N32" s="13" t="s">
        <v>491</v>
      </c>
      <c r="O32" s="7">
        <v>1</v>
      </c>
      <c r="P32" s="16" t="s">
        <v>324</v>
      </c>
      <c r="R32" s="3"/>
      <c r="T32" s="7"/>
    </row>
    <row r="33" spans="1:20" hidden="1" x14ac:dyDescent="0.2">
      <c r="A33" s="16" t="str">
        <f t="shared" si="0"/>
        <v>CUSTO DMA -GUSTAVO BASSICHETTO- MAIO 26</v>
      </c>
      <c r="B33" s="18">
        <v>46143</v>
      </c>
      <c r="C33" s="3">
        <v>817391</v>
      </c>
      <c r="D33" s="24" t="s">
        <v>401</v>
      </c>
      <c r="E33" s="14">
        <f t="shared" si="2"/>
        <v>-140.27614512040901</v>
      </c>
      <c r="F33" s="3" t="s">
        <v>366</v>
      </c>
      <c r="G33" s="18">
        <v>46143</v>
      </c>
      <c r="H33" s="26">
        <v>123491</v>
      </c>
      <c r="I33" s="3" t="str">
        <f>VLOOKUP(H33,'[1]Base de Clientes'!$B:$E,4,0)</f>
        <v>GOLDMAN SACHS DO BRASIL BANCO MULTIPLO S/A</v>
      </c>
      <c r="J33" s="5" t="s">
        <v>8</v>
      </c>
      <c r="K33" s="5" t="s">
        <v>178</v>
      </c>
      <c r="L33" s="9">
        <v>140.27614512040901</v>
      </c>
      <c r="M33" s="11" t="s">
        <v>7</v>
      </c>
      <c r="N33" s="13" t="s">
        <v>491</v>
      </c>
      <c r="O33" s="7">
        <v>1</v>
      </c>
      <c r="P33" s="16" t="s">
        <v>351</v>
      </c>
      <c r="R33" s="3"/>
      <c r="T33" s="7"/>
    </row>
    <row r="34" spans="1:20" hidden="1" x14ac:dyDescent="0.2">
      <c r="A34" s="16" t="str">
        <f t="shared" si="0"/>
        <v>CUSTO DMA -HENRIQUE GARCIA- MAIO 26</v>
      </c>
      <c r="B34" s="18">
        <v>46143</v>
      </c>
      <c r="C34" s="3">
        <v>817391</v>
      </c>
      <c r="D34" s="24" t="s">
        <v>398</v>
      </c>
      <c r="E34" s="14">
        <f t="shared" si="2"/>
        <v>-140.27614512040901</v>
      </c>
      <c r="F34" s="3" t="s">
        <v>366</v>
      </c>
      <c r="G34" s="18">
        <v>46143</v>
      </c>
      <c r="H34" s="26">
        <v>81849</v>
      </c>
      <c r="I34" s="3" t="str">
        <f>VLOOKUP(H34,'[1]Base de Clientes'!$B:$E,4,0)</f>
        <v>IBIUNA GESTAO DE RECURSOS LTDA</v>
      </c>
      <c r="J34" s="5" t="s">
        <v>8</v>
      </c>
      <c r="K34" s="5" t="s">
        <v>143</v>
      </c>
      <c r="L34" s="9">
        <v>140.27614512040901</v>
      </c>
      <c r="M34" s="11" t="s">
        <v>7</v>
      </c>
      <c r="N34" s="13" t="s">
        <v>491</v>
      </c>
      <c r="O34" s="7">
        <v>1</v>
      </c>
      <c r="P34" s="16" t="s">
        <v>312</v>
      </c>
      <c r="R34" s="3"/>
      <c r="T34" s="7"/>
    </row>
    <row r="35" spans="1:20" hidden="1" x14ac:dyDescent="0.25">
      <c r="A35" s="16" t="str">
        <f t="shared" si="0"/>
        <v>CUSTO DMA -ANTONIO GUIMARAES- MAIO 26</v>
      </c>
      <c r="B35" s="18">
        <v>46143</v>
      </c>
      <c r="C35" s="3">
        <v>817391</v>
      </c>
      <c r="D35" s="3" t="s">
        <v>397</v>
      </c>
      <c r="E35" s="14">
        <f t="shared" si="2"/>
        <v>-70.138072560204506</v>
      </c>
      <c r="F35" s="3" t="s">
        <v>366</v>
      </c>
      <c r="G35" s="18">
        <v>46143</v>
      </c>
      <c r="H35" s="19">
        <v>82010</v>
      </c>
      <c r="I35" s="3" t="str">
        <f>VLOOKUP(H35,'[1]Base de Clientes'!$B:$E,4,0)</f>
        <v>ITAU UNIBANCO ASSET - JANEIRO</v>
      </c>
      <c r="J35" s="5" t="s">
        <v>8</v>
      </c>
      <c r="K35" s="5" t="s">
        <v>123</v>
      </c>
      <c r="L35" s="9">
        <v>140.27614512040901</v>
      </c>
      <c r="M35" s="11" t="s">
        <v>7</v>
      </c>
      <c r="N35" s="13" t="s">
        <v>491</v>
      </c>
      <c r="O35" s="7">
        <v>0.5</v>
      </c>
      <c r="P35" s="16" t="s">
        <v>292</v>
      </c>
      <c r="R35" s="3"/>
      <c r="T35" s="7"/>
    </row>
    <row r="36" spans="1:20" hidden="1" x14ac:dyDescent="0.25">
      <c r="A36" s="16" t="str">
        <f t="shared" ref="A36" si="13">CONCATENATE(J36,M36,K36,M36,N36)</f>
        <v>CUSTO DMA -ANTONIO GUIMARAES- MAIO 26</v>
      </c>
      <c r="B36" s="18">
        <v>46143</v>
      </c>
      <c r="C36" s="3">
        <v>817391</v>
      </c>
      <c r="D36" s="3" t="s">
        <v>401</v>
      </c>
      <c r="E36" s="14">
        <f t="shared" ref="E36" si="14">-L36*O36</f>
        <v>-70.138072560204506</v>
      </c>
      <c r="F36" s="3" t="s">
        <v>366</v>
      </c>
      <c r="G36" s="18">
        <v>46143</v>
      </c>
      <c r="H36" s="19">
        <v>82010</v>
      </c>
      <c r="I36" s="3" t="str">
        <f>VLOOKUP(H36,'[1]Base de Clientes'!$B:$E,4,0)</f>
        <v>ITAU UNIBANCO ASSET - JANEIRO</v>
      </c>
      <c r="J36" s="5" t="s">
        <v>8</v>
      </c>
      <c r="K36" s="5" t="s">
        <v>123</v>
      </c>
      <c r="L36" s="9">
        <v>140.27614512040901</v>
      </c>
      <c r="M36" s="11" t="s">
        <v>7</v>
      </c>
      <c r="N36" s="13" t="s">
        <v>491</v>
      </c>
      <c r="O36" s="7">
        <v>0.5</v>
      </c>
      <c r="P36" s="16" t="s">
        <v>292</v>
      </c>
      <c r="R36" s="3"/>
      <c r="T36" s="7"/>
    </row>
    <row r="37" spans="1:20" hidden="1" x14ac:dyDescent="0.2">
      <c r="A37" s="16" t="str">
        <f t="shared" si="0"/>
        <v>CUSTO DMA -JOÃO PAULO GOIS SPECK- MAIO 26</v>
      </c>
      <c r="B37" s="18">
        <v>46143</v>
      </c>
      <c r="C37" s="3">
        <v>817391</v>
      </c>
      <c r="D37" s="24" t="s">
        <v>401</v>
      </c>
      <c r="E37" s="14">
        <f t="shared" si="2"/>
        <v>-140.27614512040901</v>
      </c>
      <c r="F37" s="3" t="s">
        <v>366</v>
      </c>
      <c r="G37" s="18">
        <v>46143</v>
      </c>
      <c r="H37" s="26">
        <v>82258</v>
      </c>
      <c r="I37" s="3" t="str">
        <f>VLOOKUP(H37,'[1]Base de Clientes'!$B:$E,4,0)</f>
        <v>BANCO JP MORGAN S/A</v>
      </c>
      <c r="J37" s="5" t="s">
        <v>8</v>
      </c>
      <c r="K37" s="5" t="s">
        <v>150</v>
      </c>
      <c r="L37" s="9">
        <v>140.27614512040901</v>
      </c>
      <c r="M37" s="11" t="s">
        <v>7</v>
      </c>
      <c r="N37" s="13" t="s">
        <v>491</v>
      </c>
      <c r="O37" s="7">
        <v>1</v>
      </c>
      <c r="P37" s="16" t="s">
        <v>320</v>
      </c>
      <c r="R37" s="3"/>
      <c r="T37" s="7"/>
    </row>
    <row r="38" spans="1:20" hidden="1" x14ac:dyDescent="0.2">
      <c r="A38" s="16" t="str">
        <f t="shared" si="0"/>
        <v>CUSTO DMA -VITOR KASSAB- MAIO 26</v>
      </c>
      <c r="B38" s="18">
        <v>46143</v>
      </c>
      <c r="C38" s="3">
        <v>817391</v>
      </c>
      <c r="D38" s="24" t="s">
        <v>401</v>
      </c>
      <c r="E38" s="14">
        <f t="shared" si="2"/>
        <v>-140.27614512040901</v>
      </c>
      <c r="F38" s="3" t="s">
        <v>366</v>
      </c>
      <c r="G38" s="18">
        <v>46143</v>
      </c>
      <c r="H38" s="26">
        <v>82255</v>
      </c>
      <c r="I38" s="3" t="str">
        <f>VLOOKUP(H38,'[1]Base de Clientes'!$B:$E,4,0)</f>
        <v>BANCO JP MORGAN S/A</v>
      </c>
      <c r="J38" s="5" t="s">
        <v>8</v>
      </c>
      <c r="K38" s="5" t="s">
        <v>182</v>
      </c>
      <c r="L38" s="9">
        <v>140.27614512040901</v>
      </c>
      <c r="M38" s="11" t="s">
        <v>7</v>
      </c>
      <c r="N38" s="13" t="s">
        <v>491</v>
      </c>
      <c r="O38" s="7">
        <v>1</v>
      </c>
      <c r="P38" s="16" t="s">
        <v>356</v>
      </c>
      <c r="R38" s="3"/>
      <c r="T38" s="7"/>
    </row>
    <row r="39" spans="1:20" hidden="1" x14ac:dyDescent="0.25">
      <c r="A39" s="16" t="str">
        <f t="shared" si="0"/>
        <v>CUSTO DMA -GABRIEL LIMA - MAIO 26</v>
      </c>
      <c r="B39" s="18">
        <v>46143</v>
      </c>
      <c r="C39" s="3">
        <v>817391</v>
      </c>
      <c r="D39" s="3" t="s">
        <v>401</v>
      </c>
      <c r="E39" s="14">
        <f t="shared" si="2"/>
        <v>-244.81614512040909</v>
      </c>
      <c r="F39" s="3" t="s">
        <v>366</v>
      </c>
      <c r="G39" s="18">
        <v>46143</v>
      </c>
      <c r="H39" s="19">
        <v>12413</v>
      </c>
      <c r="I39" s="3" t="str">
        <f>VLOOKUP(H39,'[1]Base de Clientes'!$B:$E,4,0)</f>
        <v>KAPITALO INVESTIMENTOS LTDA</v>
      </c>
      <c r="J39" s="5" t="s">
        <v>8</v>
      </c>
      <c r="K39" s="5" t="s">
        <v>142</v>
      </c>
      <c r="L39" s="9">
        <v>244.81614512040909</v>
      </c>
      <c r="M39" s="11" t="s">
        <v>7</v>
      </c>
      <c r="N39" s="13" t="s">
        <v>491</v>
      </c>
      <c r="O39" s="7">
        <v>1</v>
      </c>
      <c r="P39" s="16" t="s">
        <v>311</v>
      </c>
      <c r="R39" s="3"/>
      <c r="T39" s="7"/>
    </row>
    <row r="40" spans="1:20" hidden="1" x14ac:dyDescent="0.25">
      <c r="A40" s="16" t="str">
        <f t="shared" si="0"/>
        <v>CUSTO DMA -MATHEUS KWON- MAIO 26</v>
      </c>
      <c r="B40" s="18">
        <v>46143</v>
      </c>
      <c r="C40" s="3">
        <v>817391</v>
      </c>
      <c r="D40" s="3" t="s">
        <v>401</v>
      </c>
      <c r="E40" s="14">
        <f t="shared" si="2"/>
        <v>-590.02614512040896</v>
      </c>
      <c r="F40" s="3" t="s">
        <v>366</v>
      </c>
      <c r="G40" s="18">
        <v>46143</v>
      </c>
      <c r="H40" s="19">
        <v>12413</v>
      </c>
      <c r="I40" s="3" t="str">
        <f>VLOOKUP(H40,'[1]Base de Clientes'!$B:$E,4,0)</f>
        <v>KAPITALO INVESTIMENTOS LTDA</v>
      </c>
      <c r="J40" s="5" t="s">
        <v>8</v>
      </c>
      <c r="K40" s="5" t="s">
        <v>155</v>
      </c>
      <c r="L40" s="9">
        <v>590.02614512040896</v>
      </c>
      <c r="M40" s="11" t="s">
        <v>7</v>
      </c>
      <c r="N40" s="13" t="s">
        <v>491</v>
      </c>
      <c r="O40" s="7">
        <v>1</v>
      </c>
      <c r="P40" s="16" t="s">
        <v>325</v>
      </c>
      <c r="R40" s="3"/>
      <c r="T40" s="7"/>
    </row>
    <row r="41" spans="1:20" hidden="1" x14ac:dyDescent="0.25">
      <c r="A41" s="16" t="str">
        <f t="shared" si="0"/>
        <v>CUSTO DMA -RODRIGO LIVIANU- MAIO 26</v>
      </c>
      <c r="B41" s="18">
        <v>46143</v>
      </c>
      <c r="C41" s="3">
        <v>817391</v>
      </c>
      <c r="D41" s="3" t="s">
        <v>401</v>
      </c>
      <c r="E41" s="14">
        <f t="shared" si="2"/>
        <v>-209.56614512040909</v>
      </c>
      <c r="F41" s="3" t="s">
        <v>366</v>
      </c>
      <c r="G41" s="18">
        <v>46143</v>
      </c>
      <c r="H41" s="19">
        <v>12413</v>
      </c>
      <c r="I41" s="3" t="str">
        <f>VLOOKUP(H41,'[1]Base de Clientes'!$B:$E,4,0)</f>
        <v>KAPITALO INVESTIMENTOS LTDA</v>
      </c>
      <c r="J41" s="5" t="s">
        <v>8</v>
      </c>
      <c r="K41" s="5" t="s">
        <v>165</v>
      </c>
      <c r="L41" s="9">
        <v>209.56614512040909</v>
      </c>
      <c r="M41" s="11" t="s">
        <v>7</v>
      </c>
      <c r="N41" s="13" t="s">
        <v>491</v>
      </c>
      <c r="O41" s="7">
        <v>1</v>
      </c>
      <c r="P41" s="16" t="s">
        <v>337</v>
      </c>
      <c r="R41" s="3"/>
      <c r="T41" s="7"/>
    </row>
    <row r="42" spans="1:20" hidden="1" x14ac:dyDescent="0.25">
      <c r="A42" s="16" t="str">
        <f t="shared" si="0"/>
        <v>CUSTO DMA -CARLO MORATELLI- MAIO 26</v>
      </c>
      <c r="B42" s="18">
        <v>46143</v>
      </c>
      <c r="C42" s="3">
        <v>817391</v>
      </c>
      <c r="D42" s="3" t="s">
        <v>486</v>
      </c>
      <c r="E42" s="14">
        <f t="shared" si="2"/>
        <v>-11192.709802120409</v>
      </c>
      <c r="F42" s="3" t="s">
        <v>366</v>
      </c>
      <c r="G42" s="18">
        <v>46143</v>
      </c>
      <c r="H42" s="19">
        <v>83031</v>
      </c>
      <c r="I42" s="3" t="str">
        <f>VLOOKUP(H42,'[1]Base de Clientes'!$B:$E,4,0)</f>
        <v>MORE INVEST GESTORA DE RECURSOS LTDA</v>
      </c>
      <c r="J42" s="5" t="s">
        <v>8</v>
      </c>
      <c r="K42" s="5" t="s">
        <v>131</v>
      </c>
      <c r="L42" s="9">
        <v>11192.709802120409</v>
      </c>
      <c r="M42" s="11" t="s">
        <v>7</v>
      </c>
      <c r="N42" s="13" t="s">
        <v>491</v>
      </c>
      <c r="O42" s="7">
        <v>1</v>
      </c>
      <c r="P42" s="16" t="s">
        <v>300</v>
      </c>
      <c r="R42" s="3"/>
      <c r="T42" s="7"/>
    </row>
    <row r="43" spans="1:20" hidden="1" x14ac:dyDescent="0.25">
      <c r="A43" s="16" t="str">
        <f t="shared" si="0"/>
        <v>CUSTO DMA -JOSÉ PEDRO BORGES- MAIO 26</v>
      </c>
      <c r="B43" s="18">
        <v>46143</v>
      </c>
      <c r="C43" s="3">
        <v>817391</v>
      </c>
      <c r="D43" s="3" t="s">
        <v>486</v>
      </c>
      <c r="E43" s="14">
        <f t="shared" si="2"/>
        <v>-447.17469512040913</v>
      </c>
      <c r="F43" s="3" t="s">
        <v>366</v>
      </c>
      <c r="G43" s="18">
        <v>46143</v>
      </c>
      <c r="H43" s="19">
        <v>82818</v>
      </c>
      <c r="I43" s="3" t="str">
        <f>VLOOKUP(H43,'[1]Base de Clientes'!$B:$E,4,0)</f>
        <v>MORE INVEST GESTORA DE RECURSOS LTDA</v>
      </c>
      <c r="J43" s="5" t="s">
        <v>8</v>
      </c>
      <c r="K43" s="5" t="s">
        <v>147</v>
      </c>
      <c r="L43" s="9">
        <v>447.17469512040913</v>
      </c>
      <c r="M43" s="11" t="s">
        <v>7</v>
      </c>
      <c r="N43" s="13" t="s">
        <v>491</v>
      </c>
      <c r="O43" s="7">
        <v>1</v>
      </c>
      <c r="P43" s="16" t="s">
        <v>316</v>
      </c>
      <c r="R43" s="3"/>
      <c r="T43" s="7"/>
    </row>
    <row r="44" spans="1:20" hidden="1" x14ac:dyDescent="0.25">
      <c r="A44" s="16" t="str">
        <f t="shared" si="0"/>
        <v>CUSTO DMA -MARCELO MARQUES- MAIO 26</v>
      </c>
      <c r="B44" s="18">
        <v>46143</v>
      </c>
      <c r="C44" s="3">
        <v>817391</v>
      </c>
      <c r="D44" s="3" t="s">
        <v>486</v>
      </c>
      <c r="E44" s="14">
        <f t="shared" si="2"/>
        <v>-285.810595120409</v>
      </c>
      <c r="F44" s="3" t="s">
        <v>366</v>
      </c>
      <c r="G44" s="18">
        <v>46143</v>
      </c>
      <c r="H44" s="19">
        <v>82901</v>
      </c>
      <c r="I44" s="3" t="str">
        <f>VLOOKUP(H44,'[1]Base de Clientes'!$B:$E,4,0)</f>
        <v>MORE INVEST GESTORA DE RECURSOS LTDA</v>
      </c>
      <c r="J44" s="5" t="s">
        <v>8</v>
      </c>
      <c r="K44" s="5" t="s">
        <v>160</v>
      </c>
      <c r="L44" s="9">
        <v>285.810595120409</v>
      </c>
      <c r="M44" s="11" t="s">
        <v>7</v>
      </c>
      <c r="N44" s="13" t="s">
        <v>491</v>
      </c>
      <c r="O44" s="7">
        <v>1</v>
      </c>
      <c r="P44" s="16" t="s">
        <v>330</v>
      </c>
      <c r="R44" s="3"/>
      <c r="T44" s="7"/>
    </row>
    <row r="45" spans="1:20" hidden="1" x14ac:dyDescent="0.2">
      <c r="A45" s="16" t="str">
        <f t="shared" si="0"/>
        <v>CUSTO DMA -RODRIGO ALVES BRAGA- MAIO 26</v>
      </c>
      <c r="B45" s="18">
        <v>46143</v>
      </c>
      <c r="C45" s="3">
        <v>817391</v>
      </c>
      <c r="D45" s="24" t="s">
        <v>486</v>
      </c>
      <c r="E45" s="14">
        <f t="shared" si="2"/>
        <v>-140.27614512040901</v>
      </c>
      <c r="F45" s="3" t="s">
        <v>366</v>
      </c>
      <c r="G45" s="18">
        <v>46143</v>
      </c>
      <c r="H45" s="19">
        <v>12404</v>
      </c>
      <c r="I45" s="3" t="str">
        <f>VLOOKUP(H45,'[1]Base de Clientes'!$B:$E,4,0)</f>
        <v>MORE INVEST GESTORA DE RECURSOS LTDA</v>
      </c>
      <c r="J45" s="5" t="s">
        <v>8</v>
      </c>
      <c r="K45" s="5" t="s">
        <v>167</v>
      </c>
      <c r="L45" s="9">
        <v>140.27614512040901</v>
      </c>
      <c r="M45" s="11" t="s">
        <v>7</v>
      </c>
      <c r="N45" s="13" t="s">
        <v>491</v>
      </c>
      <c r="O45" s="7">
        <v>1</v>
      </c>
      <c r="P45" s="16" t="s">
        <v>339</v>
      </c>
      <c r="R45" s="3"/>
      <c r="T45" s="7"/>
    </row>
    <row r="46" spans="1:20" hidden="1" x14ac:dyDescent="0.25">
      <c r="A46" s="16" t="str">
        <f t="shared" ref="A46" si="15">CONCATENATE(J46,M46,K46,M46,N46)</f>
        <v>CUSTO DMA -YURI DE OLIVEIRA BIALOSKORSKI - MAIO 26</v>
      </c>
      <c r="B46" s="18">
        <v>46143</v>
      </c>
      <c r="C46" s="3">
        <v>817391</v>
      </c>
      <c r="D46" s="3" t="s">
        <v>486</v>
      </c>
      <c r="E46" s="14">
        <f t="shared" ref="E46" si="16">-L46*O46</f>
        <v>-268.653445120409</v>
      </c>
      <c r="F46" s="3" t="s">
        <v>366</v>
      </c>
      <c r="G46" s="18">
        <v>46143</v>
      </c>
      <c r="H46" s="19">
        <v>82967</v>
      </c>
      <c r="I46" s="3" t="str">
        <f>VLOOKUP(H46,'[1]Base de Clientes'!$B:$E,4,0)</f>
        <v>MORE INVEST GESTORA DE RECURSOS LTDA</v>
      </c>
      <c r="J46" s="5" t="s">
        <v>8</v>
      </c>
      <c r="K46" s="5" t="s">
        <v>186</v>
      </c>
      <c r="L46" s="9">
        <v>268.653445120409</v>
      </c>
      <c r="M46" s="11" t="s">
        <v>7</v>
      </c>
      <c r="N46" s="13" t="s">
        <v>491</v>
      </c>
      <c r="O46" s="7">
        <v>1</v>
      </c>
      <c r="P46" s="16" t="s">
        <v>361</v>
      </c>
      <c r="R46" s="3"/>
      <c r="T46" s="7"/>
    </row>
    <row r="47" spans="1:20" hidden="1" x14ac:dyDescent="0.25">
      <c r="A47" s="16" t="str">
        <f t="shared" si="0"/>
        <v>CUSTO DMA -THIAGO SANTOS- MAIO 26</v>
      </c>
      <c r="B47" s="18">
        <v>46143</v>
      </c>
      <c r="C47" s="3">
        <v>817391</v>
      </c>
      <c r="D47" s="3" t="s">
        <v>397</v>
      </c>
      <c r="E47" s="14">
        <f t="shared" si="2"/>
        <v>-144.00699512040899</v>
      </c>
      <c r="F47" s="3" t="s">
        <v>366</v>
      </c>
      <c r="G47" s="18">
        <v>46143</v>
      </c>
      <c r="H47" s="19">
        <v>80389</v>
      </c>
      <c r="I47" s="3" t="str">
        <f>VLOOKUP(H47,'[1]Base de Clientes'!$B:$E,4,0)</f>
        <v>NAVI CAPITAL ADMINISTRADORA E GESTORA DE RECURSOS FINANCEIRO</v>
      </c>
      <c r="J47" s="5" t="s">
        <v>8</v>
      </c>
      <c r="K47" s="5" t="s">
        <v>179</v>
      </c>
      <c r="L47" s="9">
        <v>144.00699512040899</v>
      </c>
      <c r="M47" s="11" t="s">
        <v>7</v>
      </c>
      <c r="N47" s="13" t="s">
        <v>491</v>
      </c>
      <c r="O47" s="7">
        <v>1</v>
      </c>
      <c r="P47" s="16" t="s">
        <v>352</v>
      </c>
      <c r="R47" s="3"/>
      <c r="T47" s="7"/>
    </row>
    <row r="48" spans="1:20" hidden="1" x14ac:dyDescent="0.25">
      <c r="A48" s="16" t="str">
        <f t="shared" si="0"/>
        <v>CUSTO DMA. -RICARDO BERNSTEIN- MAIO 26</v>
      </c>
      <c r="B48" s="18">
        <v>46143</v>
      </c>
      <c r="C48" s="3">
        <v>817391</v>
      </c>
      <c r="D48" s="3" t="s">
        <v>398</v>
      </c>
      <c r="E48" s="14">
        <f t="shared" si="2"/>
        <v>-140.27614512040901</v>
      </c>
      <c r="F48" s="3" t="s">
        <v>366</v>
      </c>
      <c r="G48" s="18">
        <v>46143</v>
      </c>
      <c r="H48" s="19">
        <v>12296</v>
      </c>
      <c r="I48" s="3" t="str">
        <f>VLOOKUP(H48,'[1]Base de Clientes'!$B:$E,4,0)</f>
        <v>PATRIA INVESTIMENTOS LTDA</v>
      </c>
      <c r="J48" s="5" t="s">
        <v>15</v>
      </c>
      <c r="K48" s="5" t="s">
        <v>83</v>
      </c>
      <c r="L48" s="9">
        <v>140.27614512040901</v>
      </c>
      <c r="M48" s="11" t="s">
        <v>7</v>
      </c>
      <c r="N48" s="13" t="s">
        <v>491</v>
      </c>
      <c r="O48" s="7">
        <v>1</v>
      </c>
      <c r="P48" s="16" t="s">
        <v>336</v>
      </c>
      <c r="R48" s="3"/>
      <c r="T48" s="7"/>
    </row>
    <row r="49" spans="1:20" hidden="1" x14ac:dyDescent="0.2">
      <c r="A49" s="16" t="str">
        <f t="shared" si="0"/>
        <v>CUSTO DMA. -WILLIAM LEITE- MAIO 26</v>
      </c>
      <c r="B49" s="18">
        <v>46143</v>
      </c>
      <c r="C49" s="3">
        <v>817391</v>
      </c>
      <c r="D49" s="24" t="s">
        <v>398</v>
      </c>
      <c r="E49" s="14">
        <f t="shared" si="2"/>
        <v>-140.27614512040901</v>
      </c>
      <c r="F49" s="3" t="s">
        <v>366</v>
      </c>
      <c r="G49" s="18">
        <v>46143</v>
      </c>
      <c r="H49" s="26">
        <v>12296</v>
      </c>
      <c r="I49" s="3" t="str">
        <f>VLOOKUP(H49,'[1]Base de Clientes'!$B:$E,4,0)</f>
        <v>PATRIA INVESTIMENTOS LTDA</v>
      </c>
      <c r="J49" s="5" t="s">
        <v>15</v>
      </c>
      <c r="K49" s="5" t="s">
        <v>111</v>
      </c>
      <c r="L49" s="9">
        <v>140.27614512040901</v>
      </c>
      <c r="M49" s="11" t="s">
        <v>7</v>
      </c>
      <c r="N49" s="13" t="s">
        <v>491</v>
      </c>
      <c r="O49" s="7">
        <v>1</v>
      </c>
      <c r="P49" s="16" t="s">
        <v>358</v>
      </c>
      <c r="R49" s="3"/>
      <c r="T49" s="7"/>
    </row>
    <row r="50" spans="1:20" hidden="1" x14ac:dyDescent="0.25">
      <c r="A50" s="16" t="str">
        <f t="shared" si="0"/>
        <v>CUSTO DMA -ANDERSON LUEDERS- MAIO 26</v>
      </c>
      <c r="B50" s="18">
        <v>46143</v>
      </c>
      <c r="C50" s="3">
        <v>817391</v>
      </c>
      <c r="D50" s="3" t="s">
        <v>411</v>
      </c>
      <c r="E50" s="14">
        <f t="shared" si="2"/>
        <v>-174.36167154040899</v>
      </c>
      <c r="F50" s="3" t="s">
        <v>366</v>
      </c>
      <c r="G50" s="18">
        <v>46143</v>
      </c>
      <c r="H50" s="19">
        <v>80783</v>
      </c>
      <c r="I50" s="3" t="str">
        <f>VLOOKUP(H50,'[1]Base de Clientes'!$B:$E,4,0)</f>
        <v>REAL INVESTOR ASSET MANAGEMENT LTDA</v>
      </c>
      <c r="J50" s="5" t="s">
        <v>8</v>
      </c>
      <c r="K50" s="5" t="s">
        <v>121</v>
      </c>
      <c r="L50" s="9">
        <v>174.36167154040899</v>
      </c>
      <c r="M50" s="11" t="s">
        <v>7</v>
      </c>
      <c r="N50" s="13" t="s">
        <v>491</v>
      </c>
      <c r="O50" s="7">
        <v>1</v>
      </c>
      <c r="P50" s="16" t="s">
        <v>290</v>
      </c>
      <c r="R50" s="3"/>
      <c r="T50" s="7"/>
    </row>
    <row r="51" spans="1:20" hidden="1" x14ac:dyDescent="0.2">
      <c r="A51" s="16" t="str">
        <f t="shared" si="0"/>
        <v>CUSTO DMA -LEANDRO FIUZA- MAIO 26</v>
      </c>
      <c r="B51" s="18">
        <v>46143</v>
      </c>
      <c r="C51" s="3">
        <v>817391</v>
      </c>
      <c r="D51" s="24" t="s">
        <v>411</v>
      </c>
      <c r="E51" s="14">
        <f t="shared" si="2"/>
        <v>-140.27614512040901</v>
      </c>
      <c r="F51" s="3" t="s">
        <v>366</v>
      </c>
      <c r="G51" s="18">
        <v>46143</v>
      </c>
      <c r="H51" s="26">
        <v>81035</v>
      </c>
      <c r="I51" s="3" t="str">
        <f>VLOOKUP(H51,'[1]Base de Clientes'!$B:$E,4,0)</f>
        <v>REAL INVESTOR ASSET MANAGEMENT LTDA</v>
      </c>
      <c r="J51" s="5" t="s">
        <v>8</v>
      </c>
      <c r="K51" s="5" t="s">
        <v>152</v>
      </c>
      <c r="L51" s="9">
        <v>140.27614512040901</v>
      </c>
      <c r="M51" s="11" t="s">
        <v>7</v>
      </c>
      <c r="N51" s="13" t="s">
        <v>491</v>
      </c>
      <c r="O51" s="7">
        <v>1</v>
      </c>
      <c r="P51" s="16" t="s">
        <v>322</v>
      </c>
      <c r="R51" s="3"/>
      <c r="T51" s="7"/>
    </row>
    <row r="52" spans="1:20" hidden="1" x14ac:dyDescent="0.2">
      <c r="A52" s="16" t="str">
        <f t="shared" si="0"/>
        <v>CUSTO DMA -RODRIGO SANTOS- MAIO 26</v>
      </c>
      <c r="B52" s="18">
        <v>46143</v>
      </c>
      <c r="C52" s="3">
        <v>817391</v>
      </c>
      <c r="D52" s="24" t="s">
        <v>411</v>
      </c>
      <c r="E52" s="14">
        <f t="shared" si="2"/>
        <v>-140.27614512040901</v>
      </c>
      <c r="F52" s="3" t="s">
        <v>366</v>
      </c>
      <c r="G52" s="18">
        <v>46143</v>
      </c>
      <c r="H52" s="26">
        <v>80786</v>
      </c>
      <c r="I52" s="3" t="str">
        <f>VLOOKUP(H52,'[1]Base de Clientes'!$B:$E,4,0)</f>
        <v>REAL INVESTOR ASSET MANAGEMENT LTDA</v>
      </c>
      <c r="J52" s="5" t="s">
        <v>8</v>
      </c>
      <c r="K52" s="5" t="s">
        <v>168</v>
      </c>
      <c r="L52" s="9">
        <v>140.27614512040901</v>
      </c>
      <c r="M52" s="11" t="s">
        <v>7</v>
      </c>
      <c r="N52" s="13" t="s">
        <v>491</v>
      </c>
      <c r="O52" s="7">
        <v>1</v>
      </c>
      <c r="P52" s="16" t="s">
        <v>340</v>
      </c>
      <c r="R52" s="3"/>
      <c r="T52" s="7"/>
    </row>
    <row r="53" spans="1:20" hidden="1" x14ac:dyDescent="0.2">
      <c r="A53" s="16" t="str">
        <f t="shared" si="0"/>
        <v>CUSTO DMA -RODRIGO PILEGGI- MAIO 26</v>
      </c>
      <c r="B53" s="18">
        <v>46143</v>
      </c>
      <c r="C53" s="3">
        <v>817391</v>
      </c>
      <c r="D53" s="24" t="s">
        <v>411</v>
      </c>
      <c r="E53" s="14">
        <f t="shared" si="2"/>
        <v>-140.27614512040901</v>
      </c>
      <c r="F53" s="3" t="s">
        <v>366</v>
      </c>
      <c r="G53" s="18">
        <v>46143</v>
      </c>
      <c r="H53" s="26">
        <v>81374</v>
      </c>
      <c r="I53" s="3" t="str">
        <f>VLOOKUP(H53,'[1]Base de Clientes'!$B:$E,4,0)</f>
        <v>REAL INVESTOR ASSET MANAGEMENT LTDA</v>
      </c>
      <c r="J53" s="5" t="s">
        <v>8</v>
      </c>
      <c r="K53" s="5" t="s">
        <v>169</v>
      </c>
      <c r="L53" s="9">
        <v>140.27614512040901</v>
      </c>
      <c r="M53" s="11" t="s">
        <v>7</v>
      </c>
      <c r="N53" s="13" t="s">
        <v>491</v>
      </c>
      <c r="O53" s="7">
        <v>1</v>
      </c>
      <c r="P53" s="16" t="s">
        <v>341</v>
      </c>
      <c r="R53" s="3"/>
      <c r="T53" s="7"/>
    </row>
    <row r="54" spans="1:20" hidden="1" x14ac:dyDescent="0.25">
      <c r="A54" s="16" t="str">
        <f t="shared" si="0"/>
        <v>CUSTO DMA -ANDRÉ BLANCO- MAIO 26</v>
      </c>
      <c r="B54" s="18">
        <v>46143</v>
      </c>
      <c r="C54" s="3">
        <v>817391</v>
      </c>
      <c r="D54" s="3" t="s">
        <v>486</v>
      </c>
      <c r="E54" s="14">
        <f t="shared" si="2"/>
        <v>-200.07719502040899</v>
      </c>
      <c r="F54" s="3" t="s">
        <v>366</v>
      </c>
      <c r="G54" s="18">
        <v>46143</v>
      </c>
      <c r="H54" s="19">
        <v>80217</v>
      </c>
      <c r="I54" s="3" t="str">
        <f>VLOOKUP(H54,'[1]Base de Clientes'!$B:$E,4,0)</f>
        <v>RIO BRAVO INVESTIMENTOS LTDA</v>
      </c>
      <c r="J54" s="5" t="s">
        <v>8</v>
      </c>
      <c r="K54" s="5" t="s">
        <v>118</v>
      </c>
      <c r="L54" s="9">
        <v>200.07719502040899</v>
      </c>
      <c r="M54" s="11" t="s">
        <v>7</v>
      </c>
      <c r="N54" s="13" t="s">
        <v>491</v>
      </c>
      <c r="O54" s="7">
        <v>1</v>
      </c>
      <c r="P54" s="16" t="s">
        <v>287</v>
      </c>
      <c r="R54" s="3"/>
      <c r="T54" s="7"/>
    </row>
    <row r="55" spans="1:20" hidden="1" x14ac:dyDescent="0.2">
      <c r="A55" s="16" t="str">
        <f t="shared" si="0"/>
        <v>CUSTO DMA -ALEXANDRE SALFATIS- MAIO 26</v>
      </c>
      <c r="B55" s="18">
        <v>46143</v>
      </c>
      <c r="C55" s="3">
        <v>817391</v>
      </c>
      <c r="D55" s="24" t="s">
        <v>405</v>
      </c>
      <c r="E55" s="14">
        <f t="shared" si="2"/>
        <v>-140.27614512040901</v>
      </c>
      <c r="F55" s="3" t="s">
        <v>366</v>
      </c>
      <c r="G55" s="18">
        <v>46143</v>
      </c>
      <c r="H55" s="26">
        <v>79760</v>
      </c>
      <c r="I55" s="3" t="str">
        <f>VLOOKUP(H55,'[1]Base de Clientes'!$B:$E,4,0)</f>
        <v>TAVOLA CAPITAL GESTAO DE RECURSOS LTDA</v>
      </c>
      <c r="J55" s="5" t="s">
        <v>8</v>
      </c>
      <c r="K55" s="5" t="s">
        <v>120</v>
      </c>
      <c r="L55" s="9">
        <v>140.27614512040901</v>
      </c>
      <c r="M55" s="11" t="s">
        <v>7</v>
      </c>
      <c r="N55" s="13" t="s">
        <v>491</v>
      </c>
      <c r="O55" s="7">
        <v>1</v>
      </c>
      <c r="P55" s="16" t="s">
        <v>289</v>
      </c>
      <c r="R55" s="3"/>
      <c r="T55" s="7"/>
    </row>
    <row r="56" spans="1:20" hidden="1" x14ac:dyDescent="0.25">
      <c r="A56" s="16" t="str">
        <f t="shared" si="0"/>
        <v>CUSTO DMA -THIAGO OORTMAN- MAIO 26</v>
      </c>
      <c r="B56" s="18">
        <v>46143</v>
      </c>
      <c r="C56" s="3">
        <v>817391</v>
      </c>
      <c r="D56" s="3" t="s">
        <v>475</v>
      </c>
      <c r="E56" s="14">
        <f t="shared" si="2"/>
        <v>-1957.1904500000001</v>
      </c>
      <c r="F56" s="3" t="s">
        <v>366</v>
      </c>
      <c r="G56" s="18">
        <v>46143</v>
      </c>
      <c r="H56" s="19">
        <v>82241</v>
      </c>
      <c r="I56" s="3" t="str">
        <f>VLOOKUP(H56,'[1]Base de Clientes'!$B:$E,4,0)</f>
        <v>SANTANDER DISTRIBUIDORA DE TITULOS E VALORES MOBILIARIOS S/A</v>
      </c>
      <c r="J56" s="5" t="s">
        <v>8</v>
      </c>
      <c r="K56" s="5" t="s">
        <v>177</v>
      </c>
      <c r="L56" s="9">
        <v>1957.1904500000001</v>
      </c>
      <c r="M56" s="11" t="s">
        <v>7</v>
      </c>
      <c r="N56" s="13" t="s">
        <v>491</v>
      </c>
      <c r="O56" s="7">
        <v>1</v>
      </c>
      <c r="P56" s="16" t="s">
        <v>349</v>
      </c>
      <c r="R56" s="3"/>
      <c r="T56" s="7"/>
    </row>
    <row r="57" spans="1:20" hidden="1" x14ac:dyDescent="0.2">
      <c r="A57" s="16" t="str">
        <f t="shared" si="0"/>
        <v>CUSTO DMA -ENRIQUE BALBINO- MAIO 26</v>
      </c>
      <c r="B57" s="18">
        <v>46143</v>
      </c>
      <c r="C57" s="3">
        <v>817391</v>
      </c>
      <c r="D57" s="24" t="s">
        <v>488</v>
      </c>
      <c r="E57" s="14">
        <f t="shared" si="2"/>
        <v>-140.27614512040901</v>
      </c>
      <c r="F57" s="3" t="s">
        <v>366</v>
      </c>
      <c r="G57" s="18">
        <v>46143</v>
      </c>
      <c r="H57" s="26">
        <v>80515</v>
      </c>
      <c r="I57" s="3" t="str">
        <f>VLOOKUP(H57,'[1]Base de Clientes'!$B:$E,4,0)</f>
        <v>SHARP CAPITAL GESTORA DE RECURSOS LTDA</v>
      </c>
      <c r="J57" s="5" t="s">
        <v>8</v>
      </c>
      <c r="K57" s="5" t="s">
        <v>137</v>
      </c>
      <c r="L57" s="9">
        <v>140.27614512040901</v>
      </c>
      <c r="M57" s="11" t="s">
        <v>7</v>
      </c>
      <c r="N57" s="13" t="s">
        <v>491</v>
      </c>
      <c r="O57" s="7">
        <v>1</v>
      </c>
      <c r="P57" s="16" t="s">
        <v>306</v>
      </c>
      <c r="R57" s="3"/>
      <c r="T57" s="7"/>
    </row>
    <row r="58" spans="1:20" hidden="1" x14ac:dyDescent="0.2">
      <c r="A58" s="16" t="str">
        <f t="shared" si="0"/>
        <v>CUSTO DMA -THEOFILO NETO- MAIO 26</v>
      </c>
      <c r="B58" s="18">
        <v>46143</v>
      </c>
      <c r="C58" s="3">
        <v>817391</v>
      </c>
      <c r="D58" s="24" t="s">
        <v>488</v>
      </c>
      <c r="E58" s="14">
        <f t="shared" si="2"/>
        <v>-140.27614512040901</v>
      </c>
      <c r="F58" s="3" t="s">
        <v>366</v>
      </c>
      <c r="G58" s="18">
        <v>46143</v>
      </c>
      <c r="H58" s="26">
        <v>80515</v>
      </c>
      <c r="I58" s="3" t="str">
        <f>VLOOKUP(H58,'[1]Base de Clientes'!$B:$E,4,0)</f>
        <v>SHARP CAPITAL GESTORA DE RECURSOS LTDA</v>
      </c>
      <c r="J58" s="5" t="s">
        <v>8</v>
      </c>
      <c r="K58" s="5" t="s">
        <v>176</v>
      </c>
      <c r="L58" s="9">
        <v>140.27614512040901</v>
      </c>
      <c r="M58" s="11" t="s">
        <v>7</v>
      </c>
      <c r="N58" s="13" t="s">
        <v>491</v>
      </c>
      <c r="O58" s="7">
        <v>1</v>
      </c>
      <c r="P58" s="16" t="s">
        <v>348</v>
      </c>
      <c r="R58" s="3"/>
      <c r="T58" s="7"/>
    </row>
    <row r="59" spans="1:20" hidden="1" x14ac:dyDescent="0.2">
      <c r="A59" s="16" t="str">
        <f t="shared" ref="A59" si="17">CONCATENATE(J59,M59,K59,M59,N59)</f>
        <v>CUSTO DMA -BRUNO MARTINS- MAIO 26</v>
      </c>
      <c r="B59" s="18">
        <v>46143</v>
      </c>
      <c r="C59" s="3">
        <v>817391</v>
      </c>
      <c r="D59" s="24" t="s">
        <v>471</v>
      </c>
      <c r="E59" s="14">
        <f t="shared" ref="E59" si="18">-L59*O59</f>
        <v>-140.27614512040901</v>
      </c>
      <c r="F59" s="3" t="s">
        <v>366</v>
      </c>
      <c r="G59" s="18">
        <v>46143</v>
      </c>
      <c r="H59" s="26">
        <v>80047</v>
      </c>
      <c r="I59" s="3" t="str">
        <f>VLOOKUP(H59,'[1]Base de Clientes'!$B:$E,4,0)</f>
        <v>SICREDI ASSET MANAGEMENT LTDA</v>
      </c>
      <c r="J59" s="5" t="s">
        <v>8</v>
      </c>
      <c r="K59" s="5" t="s">
        <v>129</v>
      </c>
      <c r="L59" s="9">
        <v>140.27614512040901</v>
      </c>
      <c r="M59" s="11" t="s">
        <v>7</v>
      </c>
      <c r="N59" s="13" t="s">
        <v>491</v>
      </c>
      <c r="O59" s="7">
        <v>1</v>
      </c>
      <c r="P59" s="16" t="s">
        <v>298</v>
      </c>
      <c r="R59" s="3"/>
      <c r="T59" s="7"/>
    </row>
    <row r="60" spans="1:20" hidden="1" x14ac:dyDescent="0.25">
      <c r="A60" s="16" t="str">
        <f t="shared" si="0"/>
        <v>CUSTO DMA -PIETRO TORTORELI- MAIO 26</v>
      </c>
      <c r="B60" s="18">
        <v>46143</v>
      </c>
      <c r="C60" s="3">
        <v>817391</v>
      </c>
      <c r="D60" s="3" t="s">
        <v>405</v>
      </c>
      <c r="E60" s="14">
        <f t="shared" si="2"/>
        <v>-311.36964012040897</v>
      </c>
      <c r="F60" s="3" t="s">
        <v>366</v>
      </c>
      <c r="G60" s="18">
        <v>46143</v>
      </c>
      <c r="H60" s="19">
        <v>82551</v>
      </c>
      <c r="I60" s="3" t="str">
        <f>VLOOKUP(H60,'[1]Base de Clientes'!$B:$E,4,0)</f>
        <v>SKOPOS INVESTIMENTOS LTDA</v>
      </c>
      <c r="J60" s="5" t="s">
        <v>8</v>
      </c>
      <c r="K60" s="5" t="s">
        <v>162</v>
      </c>
      <c r="L60" s="9">
        <v>311.36964012040897</v>
      </c>
      <c r="M60" s="11" t="s">
        <v>7</v>
      </c>
      <c r="N60" s="13" t="s">
        <v>491</v>
      </c>
      <c r="O60" s="7">
        <v>1</v>
      </c>
      <c r="P60" s="16" t="s">
        <v>332</v>
      </c>
      <c r="R60" s="3"/>
      <c r="T60" s="7"/>
    </row>
    <row r="61" spans="1:20" hidden="1" x14ac:dyDescent="0.25">
      <c r="A61" s="16" t="str">
        <f t="shared" si="0"/>
        <v>CUSTO DMA -RODRIGO NATALI- MAIO 26</v>
      </c>
      <c r="B61" s="18">
        <v>46143</v>
      </c>
      <c r="C61" s="3">
        <v>817391</v>
      </c>
      <c r="D61" s="3" t="s">
        <v>405</v>
      </c>
      <c r="E61" s="14">
        <f t="shared" si="2"/>
        <v>-152.205195120409</v>
      </c>
      <c r="F61" s="3" t="s">
        <v>366</v>
      </c>
      <c r="G61" s="18">
        <v>46143</v>
      </c>
      <c r="H61" s="19">
        <v>82551</v>
      </c>
      <c r="I61" s="3" t="str">
        <f>VLOOKUP(H61,'[1]Base de Clientes'!$B:$E,4,0)</f>
        <v>SKOPOS INVESTIMENTOS LTDA</v>
      </c>
      <c r="J61" s="5" t="s">
        <v>8</v>
      </c>
      <c r="K61" s="5" t="s">
        <v>166</v>
      </c>
      <c r="L61" s="9">
        <v>152.205195120409</v>
      </c>
      <c r="M61" s="11" t="s">
        <v>7</v>
      </c>
      <c r="N61" s="13" t="s">
        <v>491</v>
      </c>
      <c r="O61" s="7">
        <v>1</v>
      </c>
      <c r="P61" s="16" t="s">
        <v>338</v>
      </c>
      <c r="R61" s="3"/>
      <c r="T61" s="7"/>
    </row>
    <row r="62" spans="1:20" hidden="1" x14ac:dyDescent="0.25">
      <c r="A62" s="16" t="str">
        <f t="shared" si="0"/>
        <v>CUSTO DMA -THIAGO RICCIOLI BORK- MAIO 26</v>
      </c>
      <c r="B62" s="18">
        <v>46143</v>
      </c>
      <c r="C62" s="3">
        <v>817391</v>
      </c>
      <c r="D62" s="3" t="s">
        <v>405</v>
      </c>
      <c r="E62" s="14">
        <f t="shared" si="2"/>
        <v>-159.226145120409</v>
      </c>
      <c r="F62" s="3" t="s">
        <v>366</v>
      </c>
      <c r="G62" s="18">
        <v>46143</v>
      </c>
      <c r="H62" s="19">
        <v>82551</v>
      </c>
      <c r="I62" s="3" t="str">
        <f>VLOOKUP(H62,'[1]Base de Clientes'!$B:$E,4,0)</f>
        <v>SKOPOS INVESTIMENTOS LTDA</v>
      </c>
      <c r="J62" s="5" t="s">
        <v>8</v>
      </c>
      <c r="K62" s="5" t="s">
        <v>175</v>
      </c>
      <c r="L62" s="9">
        <v>159.226145120409</v>
      </c>
      <c r="M62" s="11" t="s">
        <v>7</v>
      </c>
      <c r="N62" s="13" t="s">
        <v>491</v>
      </c>
      <c r="O62" s="7">
        <v>1</v>
      </c>
      <c r="P62" s="16" t="s">
        <v>347</v>
      </c>
      <c r="R62" s="3"/>
      <c r="T62" s="7"/>
    </row>
    <row r="63" spans="1:20" hidden="1" x14ac:dyDescent="0.25">
      <c r="A63" s="16" t="str">
        <f t="shared" si="0"/>
        <v>CUSTO DMA -DANIEL PORTES- MAIO 26</v>
      </c>
      <c r="B63" s="18">
        <v>46143</v>
      </c>
      <c r="C63" s="3">
        <v>817391</v>
      </c>
      <c r="D63" s="3" t="s">
        <v>480</v>
      </c>
      <c r="E63" s="14">
        <f t="shared" si="2"/>
        <v>-310.31908512040911</v>
      </c>
      <c r="F63" s="3" t="s">
        <v>366</v>
      </c>
      <c r="G63" s="18">
        <v>46143</v>
      </c>
      <c r="H63" s="19">
        <v>81565</v>
      </c>
      <c r="I63" s="3" t="str">
        <f>VLOOKUP(H63,'[1]Base de Clientes'!$B:$E,4,0)</f>
        <v>SPX GESTAO DE RECURSOS LTDA</v>
      </c>
      <c r="J63" s="5" t="s">
        <v>8</v>
      </c>
      <c r="K63" s="5" t="s">
        <v>419</v>
      </c>
      <c r="L63" s="9">
        <v>310.31908512040911</v>
      </c>
      <c r="M63" s="11" t="s">
        <v>7</v>
      </c>
      <c r="N63" s="13" t="s">
        <v>491</v>
      </c>
      <c r="O63" s="7">
        <v>1</v>
      </c>
      <c r="P63" s="16" t="s">
        <v>428</v>
      </c>
      <c r="R63" s="3"/>
      <c r="T63" s="7"/>
    </row>
    <row r="64" spans="1:20" hidden="1" x14ac:dyDescent="0.2">
      <c r="A64" s="16" t="str">
        <f t="shared" si="0"/>
        <v>CUSTO DMA -VITOR BELMIRO- MAIO 26</v>
      </c>
      <c r="B64" s="18">
        <v>46143</v>
      </c>
      <c r="C64" s="3">
        <v>817391</v>
      </c>
      <c r="D64" s="24" t="s">
        <v>470</v>
      </c>
      <c r="E64" s="14">
        <f t="shared" si="2"/>
        <v>-140.27614512040901</v>
      </c>
      <c r="F64" s="3" t="s">
        <v>366</v>
      </c>
      <c r="G64" s="18">
        <v>46143</v>
      </c>
      <c r="H64" s="26">
        <v>81876</v>
      </c>
      <c r="I64" s="3" t="str">
        <f>VLOOKUP(H64,'[1]Base de Clientes'!$B:$E,4,0)</f>
        <v>STK CAPITAL GESTORA DE RECURSOS LTDA</v>
      </c>
      <c r="J64" s="5" t="s">
        <v>8</v>
      </c>
      <c r="K64" s="5" t="s">
        <v>181</v>
      </c>
      <c r="L64" s="9">
        <v>140.27614512040901</v>
      </c>
      <c r="M64" s="11" t="s">
        <v>7</v>
      </c>
      <c r="N64" s="13" t="s">
        <v>491</v>
      </c>
      <c r="O64" s="7">
        <v>1</v>
      </c>
      <c r="P64" s="16" t="s">
        <v>354</v>
      </c>
      <c r="R64" s="3"/>
      <c r="T64" s="7"/>
    </row>
    <row r="65" spans="1:20" hidden="1" x14ac:dyDescent="0.25">
      <c r="A65" s="16" t="str">
        <f t="shared" si="0"/>
        <v>CUSTO DMA -CARLOS EDUARDO MAIA - MAIO 26</v>
      </c>
      <c r="B65" s="18">
        <v>46143</v>
      </c>
      <c r="C65" s="3">
        <v>817391</v>
      </c>
      <c r="D65" s="3" t="s">
        <v>408</v>
      </c>
      <c r="E65" s="14">
        <f t="shared" si="2"/>
        <v>-260.85355512040911</v>
      </c>
      <c r="F65" s="3" t="s">
        <v>366</v>
      </c>
      <c r="G65" s="18">
        <v>46143</v>
      </c>
      <c r="H65" s="19">
        <v>12262</v>
      </c>
      <c r="I65" s="3" t="str">
        <f>VLOOKUP(H65,'[1]Base de Clientes'!$B:$E,4,0)</f>
        <v>TEMPO CAPITAL GESTAO DE RECURSOS LTDA</v>
      </c>
      <c r="J65" s="5" t="s">
        <v>8</v>
      </c>
      <c r="K65" s="5" t="s">
        <v>130</v>
      </c>
      <c r="L65" s="9">
        <v>260.85355512040911</v>
      </c>
      <c r="M65" s="11" t="s">
        <v>7</v>
      </c>
      <c r="N65" s="13" t="s">
        <v>491</v>
      </c>
      <c r="O65" s="7">
        <v>1</v>
      </c>
      <c r="P65" s="16" t="s">
        <v>299</v>
      </c>
      <c r="R65" s="3"/>
      <c r="T65" s="7"/>
    </row>
    <row r="66" spans="1:20" hidden="1" x14ac:dyDescent="0.25">
      <c r="A66" s="16" t="str">
        <f t="shared" si="0"/>
        <v>CUSTO DMA -JULIO SAMPAIO- MAIO 26</v>
      </c>
      <c r="B66" s="18">
        <v>46143</v>
      </c>
      <c r="C66" s="3">
        <v>817391</v>
      </c>
      <c r="D66" s="3" t="s">
        <v>490</v>
      </c>
      <c r="E66" s="14">
        <f t="shared" si="2"/>
        <v>-171.69180112040911</v>
      </c>
      <c r="F66" s="3" t="s">
        <v>366</v>
      </c>
      <c r="G66" s="18">
        <v>46143</v>
      </c>
      <c r="H66" s="19">
        <v>82759</v>
      </c>
      <c r="I66" s="3" t="str">
        <f>VLOOKUP(H66,'[1]Base de Clientes'!$B:$E,4,0)</f>
        <v>TRACK CAPITAL GESTAO DE RECURSOS LTDA</v>
      </c>
      <c r="J66" s="5" t="s">
        <v>8</v>
      </c>
      <c r="K66" s="5" t="s">
        <v>151</v>
      </c>
      <c r="L66" s="9">
        <v>171.69180112040911</v>
      </c>
      <c r="M66" s="11" t="s">
        <v>7</v>
      </c>
      <c r="N66" s="13" t="s">
        <v>491</v>
      </c>
      <c r="O66" s="7">
        <v>1</v>
      </c>
      <c r="P66" s="16" t="s">
        <v>321</v>
      </c>
      <c r="R66" s="3"/>
      <c r="T66" s="7"/>
    </row>
    <row r="67" spans="1:20" hidden="1" x14ac:dyDescent="0.25">
      <c r="A67" s="16" t="str">
        <f t="shared" si="0"/>
        <v>CUSTO DMA -DANILO GALVAO- MAIO 26</v>
      </c>
      <c r="B67" s="18">
        <v>46143</v>
      </c>
      <c r="C67" s="3">
        <v>817391</v>
      </c>
      <c r="D67" s="3" t="s">
        <v>480</v>
      </c>
      <c r="E67" s="14">
        <f t="shared" si="2"/>
        <v>-819.59191582040921</v>
      </c>
      <c r="F67" s="3" t="s">
        <v>366</v>
      </c>
      <c r="G67" s="18">
        <v>46143</v>
      </c>
      <c r="H67" s="19">
        <v>12402</v>
      </c>
      <c r="I67" s="3" t="str">
        <f>VLOOKUP(H67,'[1]Base de Clientes'!$B:$E,4,0)</f>
        <v>TRUXT INVESTIMENTOS LTDA</v>
      </c>
      <c r="J67" s="5" t="s">
        <v>8</v>
      </c>
      <c r="K67" s="5" t="s">
        <v>134</v>
      </c>
      <c r="L67" s="9">
        <v>819.59191582040921</v>
      </c>
      <c r="M67" s="11" t="s">
        <v>7</v>
      </c>
      <c r="N67" s="13" t="s">
        <v>491</v>
      </c>
      <c r="O67" s="7">
        <v>1</v>
      </c>
      <c r="P67" s="16" t="s">
        <v>303</v>
      </c>
      <c r="R67" s="3"/>
      <c r="T67" s="7"/>
    </row>
    <row r="68" spans="1:20" hidden="1" x14ac:dyDescent="0.2">
      <c r="A68" s="16" t="str">
        <f t="shared" si="0"/>
        <v>CUSTO DMA -ULISSES GORITO- MAIO 26</v>
      </c>
      <c r="B68" s="18">
        <v>46143</v>
      </c>
      <c r="C68" s="3">
        <v>817391</v>
      </c>
      <c r="D68" s="24" t="s">
        <v>488</v>
      </c>
      <c r="E68" s="14">
        <f t="shared" si="2"/>
        <v>-140.27614512040901</v>
      </c>
      <c r="F68" s="3" t="s">
        <v>366</v>
      </c>
      <c r="G68" s="18">
        <v>46143</v>
      </c>
      <c r="H68" s="26">
        <v>12402</v>
      </c>
      <c r="I68" s="3" t="str">
        <f>VLOOKUP(H68,'[1]Base de Clientes'!$B:$E,4,0)</f>
        <v>TRUXT INVESTIMENTOS LTDA</v>
      </c>
      <c r="J68" s="5" t="s">
        <v>8</v>
      </c>
      <c r="K68" s="5" t="s">
        <v>180</v>
      </c>
      <c r="L68" s="9">
        <v>140.27614512040901</v>
      </c>
      <c r="M68" s="11" t="s">
        <v>7</v>
      </c>
      <c r="N68" s="13" t="s">
        <v>491</v>
      </c>
      <c r="O68" s="7">
        <v>1</v>
      </c>
      <c r="P68" s="16" t="s">
        <v>353</v>
      </c>
      <c r="R68" s="3"/>
      <c r="T68" s="7"/>
    </row>
    <row r="69" spans="1:20" hidden="1" x14ac:dyDescent="0.25">
      <c r="A69" s="16" t="str">
        <f t="shared" si="0"/>
        <v>CUSTO DMA -FABIO DANTAS- MAIO 26</v>
      </c>
      <c r="B69" s="18">
        <v>46143</v>
      </c>
      <c r="C69" s="3">
        <v>817391</v>
      </c>
      <c r="D69" s="3" t="s">
        <v>489</v>
      </c>
      <c r="E69" s="14">
        <f t="shared" si="2"/>
        <v>-263.36614512040899</v>
      </c>
      <c r="F69" s="3" t="s">
        <v>366</v>
      </c>
      <c r="G69" s="18">
        <v>46143</v>
      </c>
      <c r="H69" s="19">
        <v>125565</v>
      </c>
      <c r="I69" s="3" t="str">
        <f>VLOOKUP(H69,'[1]Base de Clientes'!$B:$E,4,0)</f>
        <v>V8 CAPITAL GESTAO DE INVESTIMENTOS LTDA</v>
      </c>
      <c r="J69" s="5" t="s">
        <v>8</v>
      </c>
      <c r="K69" s="5" t="s">
        <v>140</v>
      </c>
      <c r="L69" s="9">
        <v>263.36614512040899</v>
      </c>
      <c r="M69" s="11" t="s">
        <v>7</v>
      </c>
      <c r="N69" s="13" t="s">
        <v>491</v>
      </c>
      <c r="O69" s="7">
        <v>1</v>
      </c>
      <c r="P69" s="16" t="s">
        <v>309</v>
      </c>
      <c r="R69" s="3"/>
      <c r="T69" s="7"/>
    </row>
    <row r="70" spans="1:20" hidden="1" x14ac:dyDescent="0.2">
      <c r="A70" s="16" t="str">
        <f t="shared" si="0"/>
        <v>CUSTO DMA -SERGIO CORDONI- MAIO 26</v>
      </c>
      <c r="B70" s="18">
        <v>46143</v>
      </c>
      <c r="C70" s="3">
        <v>817391</v>
      </c>
      <c r="D70" s="24" t="s">
        <v>489</v>
      </c>
      <c r="E70" s="14">
        <f t="shared" si="2"/>
        <v>-140.27614512040901</v>
      </c>
      <c r="F70" s="3" t="s">
        <v>366</v>
      </c>
      <c r="G70" s="18">
        <v>46143</v>
      </c>
      <c r="H70" s="26">
        <v>125565</v>
      </c>
      <c r="I70" s="3" t="str">
        <f>VLOOKUP(H70,'[1]Base de Clientes'!$B:$E,4,0)</f>
        <v>V8 CAPITAL GESTAO DE INVESTIMENTOS LTDA</v>
      </c>
      <c r="J70" s="5" t="s">
        <v>8</v>
      </c>
      <c r="K70" s="5" t="s">
        <v>172</v>
      </c>
      <c r="L70" s="9">
        <v>140.27614512040901</v>
      </c>
      <c r="M70" s="11" t="s">
        <v>7</v>
      </c>
      <c r="N70" s="13" t="s">
        <v>491</v>
      </c>
      <c r="O70" s="7">
        <v>1</v>
      </c>
      <c r="P70" s="16" t="s">
        <v>344</v>
      </c>
      <c r="R70" s="3"/>
      <c r="T70" s="7"/>
    </row>
    <row r="71" spans="1:20" hidden="1" x14ac:dyDescent="0.2">
      <c r="A71" s="16" t="str">
        <f t="shared" ref="A71" si="19">CONCATENATE(J71,M71,K71,M71,N71)</f>
        <v>CUSTO DMA. -JOÃO CARUSO- MAIO 26</v>
      </c>
      <c r="B71" s="18">
        <v>46143</v>
      </c>
      <c r="C71" s="3">
        <v>817391</v>
      </c>
      <c r="D71" s="24" t="s">
        <v>470</v>
      </c>
      <c r="E71" s="14">
        <f t="shared" ref="E71" si="20">-L71*O71</f>
        <v>-140.27614512040901</v>
      </c>
      <c r="F71" s="3" t="s">
        <v>366</v>
      </c>
      <c r="G71" s="18">
        <v>46143</v>
      </c>
      <c r="H71" s="26">
        <v>80359</v>
      </c>
      <c r="I71" s="3" t="str">
        <f>VLOOKUP(H71,'[1]Base de Clientes'!$B:$E,4,0)</f>
        <v>VINLAND CAPITAL MANAGEMENT GESTORA DE RECURSOS LTDA</v>
      </c>
      <c r="J71" s="5" t="s">
        <v>15</v>
      </c>
      <c r="K71" s="5" t="s">
        <v>92</v>
      </c>
      <c r="L71" s="9">
        <v>140.27614512040901</v>
      </c>
      <c r="M71" s="11" t="s">
        <v>7</v>
      </c>
      <c r="N71" s="13" t="s">
        <v>491</v>
      </c>
      <c r="O71" s="7">
        <v>1</v>
      </c>
      <c r="P71" s="16" t="s">
        <v>318</v>
      </c>
      <c r="R71" s="3"/>
      <c r="T71" s="7"/>
    </row>
    <row r="72" spans="1:20" hidden="1" x14ac:dyDescent="0.25">
      <c r="A72" s="16" t="str">
        <f t="shared" si="0"/>
        <v>CUSTO DMA. -VINICIO HUANG- MAIO 26</v>
      </c>
      <c r="B72" s="18">
        <v>46143</v>
      </c>
      <c r="C72" s="3">
        <v>817391</v>
      </c>
      <c r="D72" s="3" t="s">
        <v>470</v>
      </c>
      <c r="E72" s="14">
        <f t="shared" si="2"/>
        <v>-190.64634720040911</v>
      </c>
      <c r="F72" s="3" t="s">
        <v>366</v>
      </c>
      <c r="G72" s="18">
        <v>46143</v>
      </c>
      <c r="H72" s="19">
        <v>80359</v>
      </c>
      <c r="I72" s="3" t="str">
        <f>VLOOKUP(H72,'[1]Base de Clientes'!$B:$E,4,0)</f>
        <v>VINLAND CAPITAL MANAGEMENT GESTORA DE RECURSOS LTDA</v>
      </c>
      <c r="J72" s="5" t="s">
        <v>15</v>
      </c>
      <c r="K72" s="5" t="s">
        <v>107</v>
      </c>
      <c r="L72" s="9">
        <v>190.64634720040911</v>
      </c>
      <c r="M72" s="11" t="s">
        <v>7</v>
      </c>
      <c r="N72" s="13" t="s">
        <v>491</v>
      </c>
      <c r="O72" s="7">
        <v>1</v>
      </c>
      <c r="P72" s="16" t="s">
        <v>355</v>
      </c>
      <c r="R72" s="3"/>
      <c r="T72" s="7"/>
    </row>
    <row r="73" spans="1:20" hidden="1" x14ac:dyDescent="0.25">
      <c r="A73" s="16" t="str">
        <f t="shared" ref="A73" si="21">CONCATENATE(J73,M73,K73,M73,N73)</f>
        <v>CUSTO DMA -BRUNO GUEDES- MAIO 26</v>
      </c>
      <c r="B73" s="18">
        <v>46143</v>
      </c>
      <c r="C73" s="3">
        <v>817391</v>
      </c>
      <c r="D73" s="3" t="s">
        <v>407</v>
      </c>
      <c r="E73" s="14">
        <f t="shared" ref="E73" si="22">-L73*O73</f>
        <v>-1002.1700520000001</v>
      </c>
      <c r="F73" s="3" t="s">
        <v>364</v>
      </c>
      <c r="G73" s="18">
        <v>46143</v>
      </c>
      <c r="H73" s="19">
        <v>15501</v>
      </c>
      <c r="I73" s="3" t="str">
        <f>VLOOKUP(H73,'[1]Base de Clientes'!$B:$E,4,0)</f>
        <v>BANCO BTG PACTUAL S/A</v>
      </c>
      <c r="J73" s="5" t="s">
        <v>8</v>
      </c>
      <c r="K73" s="5" t="s">
        <v>86</v>
      </c>
      <c r="L73" s="9">
        <v>1002.1700520000001</v>
      </c>
      <c r="M73" s="11" t="s">
        <v>7</v>
      </c>
      <c r="N73" s="13" t="s">
        <v>491</v>
      </c>
      <c r="O73" s="7">
        <v>1</v>
      </c>
      <c r="P73" s="16" t="s">
        <v>255</v>
      </c>
      <c r="R73" s="3"/>
      <c r="T73" s="7"/>
    </row>
    <row r="74" spans="1:20" hidden="1" x14ac:dyDescent="0.2">
      <c r="A74" s="16" t="str">
        <f t="shared" si="0"/>
        <v>CUSTO DMA -CAIO FONTES- MAIO 26</v>
      </c>
      <c r="B74" s="18">
        <v>46143</v>
      </c>
      <c r="C74" s="3">
        <v>817391</v>
      </c>
      <c r="D74" s="24" t="s">
        <v>488</v>
      </c>
      <c r="E74" s="14">
        <f t="shared" si="2"/>
        <v>-111.82545</v>
      </c>
      <c r="F74" s="3" t="s">
        <v>364</v>
      </c>
      <c r="G74" s="18">
        <v>46143</v>
      </c>
      <c r="H74" s="26">
        <v>83105</v>
      </c>
      <c r="I74" s="3" t="str">
        <f>VLOOKUP(H74,'[1]Base de Clientes'!$B:$E,4,0)</f>
        <v>BANCO BTG PACTUAL S/A</v>
      </c>
      <c r="J74" s="5" t="s">
        <v>8</v>
      </c>
      <c r="K74" s="5" t="s">
        <v>492</v>
      </c>
      <c r="L74" s="9">
        <v>111.82545</v>
      </c>
      <c r="M74" s="11" t="s">
        <v>7</v>
      </c>
      <c r="N74" s="13" t="s">
        <v>491</v>
      </c>
      <c r="O74" s="7">
        <v>1</v>
      </c>
      <c r="P74" s="16" t="s">
        <v>495</v>
      </c>
      <c r="R74" s="3"/>
      <c r="T74" s="7"/>
    </row>
    <row r="75" spans="1:20" hidden="1" x14ac:dyDescent="0.25">
      <c r="A75" s="16" t="str">
        <f t="shared" si="0"/>
        <v>CUSTO DMA -DANIEL SPILBERG- MAIO 26</v>
      </c>
      <c r="B75" s="18">
        <v>46143</v>
      </c>
      <c r="C75" s="3">
        <v>817391</v>
      </c>
      <c r="D75" s="3" t="s">
        <v>488</v>
      </c>
      <c r="E75" s="14">
        <f t="shared" si="2"/>
        <v>-646.87545</v>
      </c>
      <c r="F75" s="3" t="s">
        <v>364</v>
      </c>
      <c r="G75" s="18">
        <v>46143</v>
      </c>
      <c r="H75" s="19">
        <v>122880</v>
      </c>
      <c r="I75" s="3" t="str">
        <f>VLOOKUP(H75,'[1]Base de Clientes'!$B:$E,4,0)</f>
        <v>BANCO BTG PACTUAL S/A</v>
      </c>
      <c r="J75" s="5" t="s">
        <v>8</v>
      </c>
      <c r="K75" s="5" t="s">
        <v>493</v>
      </c>
      <c r="L75" s="9">
        <v>646.87545</v>
      </c>
      <c r="M75" s="11" t="s">
        <v>7</v>
      </c>
      <c r="N75" s="13" t="s">
        <v>491</v>
      </c>
      <c r="O75" s="7">
        <v>1</v>
      </c>
      <c r="P75" s="16" t="s">
        <v>496</v>
      </c>
      <c r="R75" s="3"/>
      <c r="T75" s="7"/>
    </row>
    <row r="76" spans="1:20" hidden="1" x14ac:dyDescent="0.2">
      <c r="A76" s="16" t="str">
        <f t="shared" si="0"/>
        <v>CUSTO DMA -EDUARDO BRESSAN- MAIO 26</v>
      </c>
      <c r="B76" s="18">
        <v>46143</v>
      </c>
      <c r="C76" s="3">
        <v>817391</v>
      </c>
      <c r="D76" s="24" t="s">
        <v>471</v>
      </c>
      <c r="E76" s="14">
        <f t="shared" si="2"/>
        <v>-111.82545</v>
      </c>
      <c r="F76" s="3" t="s">
        <v>364</v>
      </c>
      <c r="G76" s="18">
        <v>46143</v>
      </c>
      <c r="H76" s="26">
        <v>15501</v>
      </c>
      <c r="I76" s="3" t="str">
        <f>VLOOKUP(H76,'[1]Base de Clientes'!$B:$E,4,0)</f>
        <v>BANCO BTG PACTUAL S/A</v>
      </c>
      <c r="J76" s="5" t="s">
        <v>8</v>
      </c>
      <c r="K76" s="5" t="s">
        <v>88</v>
      </c>
      <c r="L76" s="9">
        <v>111.82545</v>
      </c>
      <c r="M76" s="11" t="s">
        <v>7</v>
      </c>
      <c r="N76" s="13" t="s">
        <v>491</v>
      </c>
      <c r="O76" s="7">
        <v>1</v>
      </c>
      <c r="P76" s="16" t="s">
        <v>257</v>
      </c>
      <c r="R76" s="3"/>
      <c r="T76" s="7"/>
    </row>
    <row r="77" spans="1:20" hidden="1" x14ac:dyDescent="0.2">
      <c r="A77" s="16" t="str">
        <f t="shared" si="0"/>
        <v>CUSTO DMA -FELIPE BEDIAGA- MAIO 26</v>
      </c>
      <c r="B77" s="18">
        <v>46143</v>
      </c>
      <c r="C77" s="3">
        <v>817391</v>
      </c>
      <c r="D77" s="24" t="s">
        <v>400</v>
      </c>
      <c r="E77" s="14">
        <f t="shared" si="2"/>
        <v>-111.82545</v>
      </c>
      <c r="F77" s="3" t="s">
        <v>364</v>
      </c>
      <c r="G77" s="18">
        <v>46143</v>
      </c>
      <c r="H77" s="26">
        <v>15501</v>
      </c>
      <c r="I77" s="3" t="str">
        <f>VLOOKUP(H77,'[1]Base de Clientes'!$B:$E,4,0)</f>
        <v>BANCO BTG PACTUAL S/A</v>
      </c>
      <c r="J77" s="5" t="s">
        <v>8</v>
      </c>
      <c r="K77" s="5" t="s">
        <v>89</v>
      </c>
      <c r="L77" s="9">
        <v>111.82545</v>
      </c>
      <c r="M77" s="11" t="s">
        <v>7</v>
      </c>
      <c r="N77" s="13" t="s">
        <v>491</v>
      </c>
      <c r="O77" s="7">
        <v>1</v>
      </c>
      <c r="P77" s="16" t="s">
        <v>258</v>
      </c>
      <c r="R77" s="3"/>
      <c r="T77" s="7"/>
    </row>
    <row r="78" spans="1:20" hidden="1" x14ac:dyDescent="0.2">
      <c r="A78" s="16" t="str">
        <f t="shared" si="0"/>
        <v>CUSTO DMA -RICARDO CAIXETA- MAIO 26</v>
      </c>
      <c r="B78" s="18">
        <v>46143</v>
      </c>
      <c r="C78" s="3">
        <v>817391</v>
      </c>
      <c r="D78" s="24" t="s">
        <v>400</v>
      </c>
      <c r="E78" s="14">
        <f t="shared" ref="E78:E153" si="23">-L78*O78</f>
        <v>-111.82545</v>
      </c>
      <c r="F78" s="3" t="s">
        <v>364</v>
      </c>
      <c r="G78" s="18">
        <v>46143</v>
      </c>
      <c r="H78" s="26">
        <v>15501</v>
      </c>
      <c r="I78" s="3" t="str">
        <f>VLOOKUP(H78,'[1]Base de Clientes'!$B:$E,4,0)</f>
        <v>BANCO BTG PACTUAL S/A</v>
      </c>
      <c r="J78" s="5" t="s">
        <v>8</v>
      </c>
      <c r="K78" s="5" t="s">
        <v>102</v>
      </c>
      <c r="L78" s="9">
        <v>111.82545</v>
      </c>
      <c r="M78" s="11" t="s">
        <v>7</v>
      </c>
      <c r="N78" s="13" t="s">
        <v>491</v>
      </c>
      <c r="O78" s="7">
        <v>1</v>
      </c>
      <c r="P78" s="16" t="s">
        <v>271</v>
      </c>
      <c r="R78" s="3"/>
      <c r="T78" s="7"/>
    </row>
    <row r="79" spans="1:20" hidden="1" x14ac:dyDescent="0.25">
      <c r="A79" s="16" t="str">
        <f t="shared" si="0"/>
        <v>CUSTO DMA -SERGIO ALMEIDA- MAIO 26</v>
      </c>
      <c r="B79" s="18">
        <v>46143</v>
      </c>
      <c r="C79" s="3">
        <v>817391</v>
      </c>
      <c r="D79" s="3" t="s">
        <v>407</v>
      </c>
      <c r="E79" s="14">
        <f t="shared" si="23"/>
        <v>-136.17022499999999</v>
      </c>
      <c r="F79" s="3" t="s">
        <v>364</v>
      </c>
      <c r="G79" s="18">
        <v>46143</v>
      </c>
      <c r="H79" s="19">
        <v>15501</v>
      </c>
      <c r="I79" s="3" t="str">
        <f>VLOOKUP(H79,'[1]Base de Clientes'!$B:$E,4,0)</f>
        <v>BANCO BTG PACTUAL S/A</v>
      </c>
      <c r="J79" s="5" t="s">
        <v>8</v>
      </c>
      <c r="K79" s="5" t="s">
        <v>103</v>
      </c>
      <c r="L79" s="9">
        <v>272.34044999999998</v>
      </c>
      <c r="M79" s="11" t="s">
        <v>7</v>
      </c>
      <c r="N79" s="13" t="s">
        <v>491</v>
      </c>
      <c r="O79" s="7">
        <v>0.5</v>
      </c>
      <c r="P79" s="16" t="s">
        <v>272</v>
      </c>
      <c r="R79" s="3"/>
      <c r="T79" s="7"/>
    </row>
    <row r="80" spans="1:20" hidden="1" x14ac:dyDescent="0.25">
      <c r="A80" s="16" t="str">
        <f t="shared" ref="A80" si="24">CONCATENATE(J80,M80,K80,M80,N80)</f>
        <v>CUSTO DMA -SERGIO ALMEIDA- MAIO 26</v>
      </c>
      <c r="B80" s="18">
        <v>46143</v>
      </c>
      <c r="C80" s="3">
        <v>817391</v>
      </c>
      <c r="D80" s="3" t="s">
        <v>406</v>
      </c>
      <c r="E80" s="14">
        <f t="shared" ref="E80" si="25">-L80*O80</f>
        <v>-136.17022499999999</v>
      </c>
      <c r="F80" s="3" t="s">
        <v>364</v>
      </c>
      <c r="G80" s="18">
        <v>46143</v>
      </c>
      <c r="H80" s="19">
        <v>15501</v>
      </c>
      <c r="I80" s="3" t="str">
        <f>VLOOKUP(H80,'[1]Base de Clientes'!$B:$E,4,0)</f>
        <v>BANCO BTG PACTUAL S/A</v>
      </c>
      <c r="J80" s="5" t="s">
        <v>8</v>
      </c>
      <c r="K80" s="5" t="s">
        <v>103</v>
      </c>
      <c r="L80" s="9">
        <v>272.34044999999998</v>
      </c>
      <c r="M80" s="11" t="s">
        <v>7</v>
      </c>
      <c r="N80" s="13" t="s">
        <v>491</v>
      </c>
      <c r="O80" s="7">
        <v>0.5</v>
      </c>
      <c r="P80" s="16" t="s">
        <v>272</v>
      </c>
      <c r="R80" s="3"/>
      <c r="T80" s="7"/>
    </row>
    <row r="81" spans="1:20" hidden="1" x14ac:dyDescent="0.2">
      <c r="A81" s="16" t="str">
        <f t="shared" si="0"/>
        <v>CUSTO DMA -VINICIUS CARVALHO- MAIO 26</v>
      </c>
      <c r="B81" s="18">
        <v>46143</v>
      </c>
      <c r="C81" s="3">
        <v>817391</v>
      </c>
      <c r="D81" s="24" t="s">
        <v>406</v>
      </c>
      <c r="E81" s="14">
        <f t="shared" si="23"/>
        <v>-111.82545</v>
      </c>
      <c r="F81" s="3" t="s">
        <v>364</v>
      </c>
      <c r="G81" s="18">
        <v>46143</v>
      </c>
      <c r="H81" s="26">
        <v>15501</v>
      </c>
      <c r="I81" s="3" t="str">
        <f>VLOOKUP(H81,'[1]Base de Clientes'!$B:$E,4,0)</f>
        <v>BANCO BTG PACTUAL S/A</v>
      </c>
      <c r="J81" s="5" t="s">
        <v>8</v>
      </c>
      <c r="K81" s="5" t="s">
        <v>108</v>
      </c>
      <c r="L81" s="9">
        <v>111.82545</v>
      </c>
      <c r="M81" s="11" t="s">
        <v>7</v>
      </c>
      <c r="N81" s="13" t="s">
        <v>491</v>
      </c>
      <c r="O81" s="7">
        <v>1</v>
      </c>
      <c r="P81" s="16" t="s">
        <v>277</v>
      </c>
      <c r="R81" s="3"/>
      <c r="T81" s="7"/>
    </row>
    <row r="82" spans="1:20" hidden="1" x14ac:dyDescent="0.2">
      <c r="A82" s="16" t="str">
        <f t="shared" si="0"/>
        <v>CUSTO DMA -WELLINGTON DIAS PEREIRA- MAIO 26</v>
      </c>
      <c r="B82" s="18">
        <v>46143</v>
      </c>
      <c r="C82" s="3">
        <v>817391</v>
      </c>
      <c r="D82" s="24" t="s">
        <v>471</v>
      </c>
      <c r="E82" s="14">
        <f t="shared" si="23"/>
        <v>-111.82545</v>
      </c>
      <c r="F82" s="3" t="s">
        <v>364</v>
      </c>
      <c r="G82" s="18">
        <v>46143</v>
      </c>
      <c r="H82" s="26">
        <v>15501</v>
      </c>
      <c r="I82" s="3" t="str">
        <f>VLOOKUP(H82,'[1]Base de Clientes'!$B:$E,4,0)</f>
        <v>BANCO BTG PACTUAL S/A</v>
      </c>
      <c r="J82" s="5" t="s">
        <v>8</v>
      </c>
      <c r="K82" s="5" t="s">
        <v>110</v>
      </c>
      <c r="L82" s="9">
        <v>111.82545</v>
      </c>
      <c r="M82" s="11" t="s">
        <v>7</v>
      </c>
      <c r="N82" s="13" t="s">
        <v>491</v>
      </c>
      <c r="O82" s="7">
        <v>1</v>
      </c>
      <c r="P82" s="16" t="s">
        <v>279</v>
      </c>
      <c r="R82" s="3"/>
      <c r="T82" s="7"/>
    </row>
    <row r="83" spans="1:20" hidden="1" x14ac:dyDescent="0.25">
      <c r="A83" s="16" t="str">
        <f t="shared" si="0"/>
        <v>CUSTO DMA -BRUNO PEROTTONI- MAIO 26</v>
      </c>
      <c r="B83" s="18">
        <v>46143</v>
      </c>
      <c r="C83" s="3">
        <v>817391</v>
      </c>
      <c r="D83" s="3" t="s">
        <v>487</v>
      </c>
      <c r="E83" s="14">
        <f t="shared" si="23"/>
        <v>-133.22745</v>
      </c>
      <c r="F83" s="3" t="s">
        <v>364</v>
      </c>
      <c r="G83" s="18">
        <v>46143</v>
      </c>
      <c r="H83" s="19">
        <v>81794</v>
      </c>
      <c r="I83" s="3" t="str">
        <f>VLOOKUP(H83,'[1]Base de Clientes'!$B:$E,4,0)</f>
        <v>BRAZA BANK S/A BANCO DE CAMBIO</v>
      </c>
      <c r="J83" s="5" t="s">
        <v>8</v>
      </c>
      <c r="K83" s="5" t="s">
        <v>416</v>
      </c>
      <c r="L83" s="9">
        <v>133.22745</v>
      </c>
      <c r="M83" s="11" t="s">
        <v>7</v>
      </c>
      <c r="N83" s="13" t="s">
        <v>491</v>
      </c>
      <c r="O83" s="7">
        <v>1</v>
      </c>
      <c r="P83" s="16" t="s">
        <v>425</v>
      </c>
      <c r="R83" s="3"/>
      <c r="T83" s="7"/>
    </row>
    <row r="84" spans="1:20" hidden="1" x14ac:dyDescent="0.2">
      <c r="A84" s="16" t="str">
        <f t="shared" si="0"/>
        <v>CUSTO DMA -GUSTAVO BEVILACQUA- MAIO 26</v>
      </c>
      <c r="B84" s="18">
        <v>46143</v>
      </c>
      <c r="C84" s="3">
        <v>817391</v>
      </c>
      <c r="D84" s="24" t="s">
        <v>487</v>
      </c>
      <c r="E84" s="14">
        <f t="shared" si="23"/>
        <v>-111.82545</v>
      </c>
      <c r="F84" s="3" t="s">
        <v>364</v>
      </c>
      <c r="G84" s="18">
        <v>46143</v>
      </c>
      <c r="H84" s="26">
        <v>81794</v>
      </c>
      <c r="I84" s="3" t="str">
        <f>VLOOKUP(H84,'[1]Base de Clientes'!$B:$E,4,0)</f>
        <v>BRAZA BANK S/A BANCO DE CAMBIO</v>
      </c>
      <c r="J84" s="5" t="s">
        <v>8</v>
      </c>
      <c r="K84" s="5" t="s">
        <v>417</v>
      </c>
      <c r="L84" s="9">
        <v>111.82545</v>
      </c>
      <c r="M84" s="11" t="s">
        <v>7</v>
      </c>
      <c r="N84" s="13" t="s">
        <v>491</v>
      </c>
      <c r="O84" s="7">
        <v>1</v>
      </c>
      <c r="P84" s="16" t="s">
        <v>426</v>
      </c>
      <c r="R84" s="3"/>
      <c r="T84" s="7"/>
    </row>
    <row r="85" spans="1:20" hidden="1" x14ac:dyDescent="0.2">
      <c r="A85" s="16" t="str">
        <f t="shared" ref="A85" si="26">CONCATENATE(J85,M85,K85,M85,N85)</f>
        <v>CUSTO DMA -RONAN BOTELHO- MAIO 26</v>
      </c>
      <c r="B85" s="18">
        <v>46143</v>
      </c>
      <c r="C85" s="3">
        <v>817391</v>
      </c>
      <c r="D85" s="24" t="s">
        <v>481</v>
      </c>
      <c r="E85" s="14">
        <f t="shared" ref="E85" si="27">-L85*O85</f>
        <v>-85.618452736799995</v>
      </c>
      <c r="F85" s="3" t="s">
        <v>364</v>
      </c>
      <c r="G85" s="18">
        <v>46143</v>
      </c>
      <c r="H85" s="19">
        <v>83000</v>
      </c>
      <c r="I85" s="3" t="str">
        <f>VLOOKUP(H85,'[1]Base de Clientes'!$B:$E,4,0)</f>
        <v>BRM CARBYNE GESTAO DE RECURSOS S/A</v>
      </c>
      <c r="J85" s="5" t="s">
        <v>8</v>
      </c>
      <c r="K85" s="5" t="s">
        <v>85</v>
      </c>
      <c r="L85" s="9">
        <v>171.23690547359999</v>
      </c>
      <c r="M85" s="11" t="s">
        <v>7</v>
      </c>
      <c r="N85" s="13" t="s">
        <v>491</v>
      </c>
      <c r="O85" s="7">
        <v>0.5</v>
      </c>
      <c r="P85" s="16" t="s">
        <v>254</v>
      </c>
      <c r="R85" s="3"/>
      <c r="T85" s="7"/>
    </row>
    <row r="86" spans="1:20" hidden="1" x14ac:dyDescent="0.2">
      <c r="A86" s="16" t="str">
        <f t="shared" si="0"/>
        <v>CUSTO DMA -RONAN BOTELHO- MAIO 26</v>
      </c>
      <c r="B86" s="18">
        <v>46143</v>
      </c>
      <c r="C86" s="3">
        <v>817391</v>
      </c>
      <c r="D86" s="24" t="s">
        <v>405</v>
      </c>
      <c r="E86" s="14">
        <f t="shared" si="23"/>
        <v>-85.618452736799995</v>
      </c>
      <c r="F86" s="3" t="s">
        <v>364</v>
      </c>
      <c r="G86" s="18">
        <v>46143</v>
      </c>
      <c r="H86" s="19">
        <v>83000</v>
      </c>
      <c r="I86" s="3" t="str">
        <f>VLOOKUP(H86,'[1]Base de Clientes'!$B:$E,4,0)</f>
        <v>BRM CARBYNE GESTAO DE RECURSOS S/A</v>
      </c>
      <c r="J86" s="5" t="s">
        <v>8</v>
      </c>
      <c r="K86" s="5" t="s">
        <v>85</v>
      </c>
      <c r="L86" s="9">
        <v>171.23690547359999</v>
      </c>
      <c r="M86" s="11" t="s">
        <v>7</v>
      </c>
      <c r="N86" s="13" t="s">
        <v>491</v>
      </c>
      <c r="O86" s="7">
        <v>0.5</v>
      </c>
      <c r="P86" s="16" t="s">
        <v>254</v>
      </c>
      <c r="R86" s="3"/>
      <c r="T86" s="7"/>
    </row>
    <row r="87" spans="1:20" hidden="1" x14ac:dyDescent="0.25">
      <c r="A87" s="16" t="str">
        <f t="shared" si="0"/>
        <v>CUSTO DMA -BARNEY SILVA- MAIO 26</v>
      </c>
      <c r="B87" s="18">
        <v>46143</v>
      </c>
      <c r="C87" s="3">
        <v>817391</v>
      </c>
      <c r="D87" s="3" t="s">
        <v>405</v>
      </c>
      <c r="E87" s="14">
        <f t="shared" si="23"/>
        <v>-99.049098060000006</v>
      </c>
      <c r="F87" s="3" t="s">
        <v>364</v>
      </c>
      <c r="G87" s="18">
        <v>46143</v>
      </c>
      <c r="H87" s="19">
        <v>83000</v>
      </c>
      <c r="I87" s="3" t="str">
        <f>VLOOKUP(H87,'[1]Base de Clientes'!$B:$E,4,0)</f>
        <v>BRM CARBYNE GESTAO DE RECURSOS S/A</v>
      </c>
      <c r="J87" s="5" t="s">
        <v>8</v>
      </c>
      <c r="K87" s="5" t="s">
        <v>104</v>
      </c>
      <c r="L87" s="9">
        <v>198.09819612000001</v>
      </c>
      <c r="M87" s="11" t="s">
        <v>7</v>
      </c>
      <c r="N87" s="13" t="s">
        <v>491</v>
      </c>
      <c r="O87" s="7">
        <v>0.5</v>
      </c>
      <c r="P87" s="16" t="s">
        <v>273</v>
      </c>
      <c r="R87" s="3"/>
      <c r="T87" s="7"/>
    </row>
    <row r="88" spans="1:20" hidden="1" x14ac:dyDescent="0.25">
      <c r="A88" s="16" t="str">
        <f t="shared" ref="A88:A89" si="28">CONCATENATE(J88,M88,K88,M88,N88)</f>
        <v>CUSTO DMA -BARNEY SILVA- MAIO 26</v>
      </c>
      <c r="B88" s="18">
        <v>46143</v>
      </c>
      <c r="C88" s="3">
        <v>817391</v>
      </c>
      <c r="D88" s="3" t="s">
        <v>481</v>
      </c>
      <c r="E88" s="14">
        <f t="shared" ref="E88:E89" si="29">-L88*O88</f>
        <v>-99.049098060000006</v>
      </c>
      <c r="F88" s="3" t="s">
        <v>364</v>
      </c>
      <c r="G88" s="18">
        <v>46143</v>
      </c>
      <c r="H88" s="19">
        <v>83000</v>
      </c>
      <c r="I88" s="3" t="str">
        <f>VLOOKUP(H88,'[1]Base de Clientes'!$B:$E,4,0)</f>
        <v>BRM CARBYNE GESTAO DE RECURSOS S/A</v>
      </c>
      <c r="J88" s="5" t="s">
        <v>8</v>
      </c>
      <c r="K88" s="5" t="s">
        <v>104</v>
      </c>
      <c r="L88" s="9">
        <v>198.09819612000001</v>
      </c>
      <c r="M88" s="11" t="s">
        <v>7</v>
      </c>
      <c r="N88" s="13" t="s">
        <v>491</v>
      </c>
      <c r="O88" s="7">
        <v>0.5</v>
      </c>
      <c r="P88" s="16" t="s">
        <v>273</v>
      </c>
      <c r="R88" s="3"/>
      <c r="T88" s="7"/>
    </row>
    <row r="89" spans="1:20" hidden="1" x14ac:dyDescent="0.25">
      <c r="A89" s="16" t="str">
        <f t="shared" si="28"/>
        <v>CUSTO DMA -LEO VAINZOF- MAIO 26</v>
      </c>
      <c r="B89" s="18">
        <v>46143</v>
      </c>
      <c r="C89" s="3">
        <v>817391</v>
      </c>
      <c r="D89" s="3" t="s">
        <v>407</v>
      </c>
      <c r="E89" s="14">
        <f t="shared" si="29"/>
        <v>-55.912725000000002</v>
      </c>
      <c r="F89" s="3" t="s">
        <v>364</v>
      </c>
      <c r="G89" s="18">
        <v>46143</v>
      </c>
      <c r="H89" s="19">
        <v>15501</v>
      </c>
      <c r="I89" s="3" t="str">
        <f>VLOOKUP(H89,'[1]Base de Clientes'!$B:$E,4,0)</f>
        <v>BANCO BTG PACTUAL S/A</v>
      </c>
      <c r="J89" s="5" t="s">
        <v>8</v>
      </c>
      <c r="K89" s="5" t="s">
        <v>93</v>
      </c>
      <c r="L89" s="9">
        <v>111.82545</v>
      </c>
      <c r="M89" s="11" t="s">
        <v>7</v>
      </c>
      <c r="N89" s="13" t="s">
        <v>491</v>
      </c>
      <c r="O89" s="7">
        <v>0.5</v>
      </c>
      <c r="P89" s="16" t="s">
        <v>262</v>
      </c>
      <c r="R89" s="3"/>
      <c r="T89" s="7"/>
    </row>
    <row r="90" spans="1:20" hidden="1" x14ac:dyDescent="0.25">
      <c r="A90" s="16" t="str">
        <f t="shared" si="0"/>
        <v>CUSTO DMA -LEO VAINZOF- MAIO 26</v>
      </c>
      <c r="B90" s="18">
        <v>46143</v>
      </c>
      <c r="C90" s="3">
        <v>817391</v>
      </c>
      <c r="D90" s="3" t="s">
        <v>406</v>
      </c>
      <c r="E90" s="14">
        <f t="shared" si="23"/>
        <v>-55.912725000000002</v>
      </c>
      <c r="F90" s="3" t="s">
        <v>364</v>
      </c>
      <c r="G90" s="18">
        <v>46143</v>
      </c>
      <c r="H90" s="19">
        <v>15501</v>
      </c>
      <c r="I90" s="3" t="str">
        <f>VLOOKUP(H90,'[1]Base de Clientes'!$B:$E,4,0)</f>
        <v>BANCO BTG PACTUAL S/A</v>
      </c>
      <c r="J90" s="5" t="s">
        <v>8</v>
      </c>
      <c r="K90" s="5" t="s">
        <v>93</v>
      </c>
      <c r="L90" s="9">
        <v>111.82545</v>
      </c>
      <c r="M90" s="11" t="s">
        <v>7</v>
      </c>
      <c r="N90" s="13" t="s">
        <v>491</v>
      </c>
      <c r="O90" s="7">
        <v>0.5</v>
      </c>
      <c r="P90" s="16" t="s">
        <v>262</v>
      </c>
      <c r="R90" s="3"/>
      <c r="T90" s="7"/>
    </row>
    <row r="91" spans="1:20" hidden="1" x14ac:dyDescent="0.25">
      <c r="A91" s="16" t="str">
        <f t="shared" si="0"/>
        <v>CUSTO DMA -DANIEL MOTTA CAMARGO- MAIO 26</v>
      </c>
      <c r="B91" s="18">
        <v>46143</v>
      </c>
      <c r="C91" s="3">
        <v>817391</v>
      </c>
      <c r="D91" s="3" t="s">
        <v>402</v>
      </c>
      <c r="E91" s="14">
        <f t="shared" si="23"/>
        <v>-1711.710558</v>
      </c>
      <c r="F91" s="3" t="s">
        <v>364</v>
      </c>
      <c r="G91" s="18">
        <v>46143</v>
      </c>
      <c r="H91" s="19">
        <v>15501</v>
      </c>
      <c r="I91" s="3" t="str">
        <f>VLOOKUP(H91,'[1]Base de Clientes'!$B:$E,4,0)</f>
        <v>BANCO BTG PACTUAL S/A</v>
      </c>
      <c r="J91" s="5" t="s">
        <v>8</v>
      </c>
      <c r="K91" s="5" t="s">
        <v>87</v>
      </c>
      <c r="L91" s="9">
        <v>1711.710558</v>
      </c>
      <c r="M91" s="11" t="s">
        <v>7</v>
      </c>
      <c r="N91" s="13" t="s">
        <v>491</v>
      </c>
      <c r="O91" s="7">
        <v>1</v>
      </c>
      <c r="P91" s="16" t="s">
        <v>256</v>
      </c>
      <c r="R91" s="3"/>
      <c r="T91" s="7"/>
    </row>
    <row r="92" spans="1:20" hidden="1" x14ac:dyDescent="0.25">
      <c r="A92" s="16" t="str">
        <f t="shared" si="0"/>
        <v>CUSTO DMA -DECIO PEREIRA- MAIO 26</v>
      </c>
      <c r="B92" s="18">
        <v>46143</v>
      </c>
      <c r="C92" s="3">
        <v>817391</v>
      </c>
      <c r="D92" s="3" t="s">
        <v>488</v>
      </c>
      <c r="E92" s="14">
        <f t="shared" si="23"/>
        <v>-2330.6456969999999</v>
      </c>
      <c r="F92" s="3" t="s">
        <v>364</v>
      </c>
      <c r="G92" s="18">
        <v>46143</v>
      </c>
      <c r="H92" s="19">
        <v>82964</v>
      </c>
      <c r="I92" s="3" t="str">
        <f>VLOOKUP(H92,'[1]Base de Clientes'!$B:$E,4,0)</f>
        <v>BANCO BTG PACTUAL S/A</v>
      </c>
      <c r="J92" s="5" t="s">
        <v>8</v>
      </c>
      <c r="K92" s="5" t="s">
        <v>377</v>
      </c>
      <c r="L92" s="9">
        <v>2330.6456969999999</v>
      </c>
      <c r="M92" s="11" t="s">
        <v>7</v>
      </c>
      <c r="N92" s="13" t="s">
        <v>491</v>
      </c>
      <c r="O92" s="7">
        <v>1</v>
      </c>
      <c r="P92" s="16" t="s">
        <v>391</v>
      </c>
      <c r="R92" s="3"/>
      <c r="T92" s="7"/>
    </row>
    <row r="93" spans="1:20" hidden="1" x14ac:dyDescent="0.25">
      <c r="A93" s="16" t="str">
        <f t="shared" si="0"/>
        <v>CUSTO DMA -IVAN KRAISER- MAIO 26</v>
      </c>
      <c r="B93" s="18">
        <v>46143</v>
      </c>
      <c r="C93" s="3">
        <v>817391</v>
      </c>
      <c r="D93" s="3" t="s">
        <v>475</v>
      </c>
      <c r="E93" s="14">
        <f t="shared" si="23"/>
        <v>-112.135779</v>
      </c>
      <c r="F93" s="3" t="s">
        <v>364</v>
      </c>
      <c r="G93" s="18">
        <v>46143</v>
      </c>
      <c r="H93" s="19">
        <v>124384</v>
      </c>
      <c r="I93" s="3" t="str">
        <f>VLOOKUP(H93,'[1]Base de Clientes'!$B:$E,4,0)</f>
        <v>GARIN INVESTIMENTOS LTDA</v>
      </c>
      <c r="J93" s="5" t="s">
        <v>8</v>
      </c>
      <c r="K93" s="5" t="s">
        <v>90</v>
      </c>
      <c r="L93" s="9">
        <v>112.135779</v>
      </c>
      <c r="M93" s="11" t="s">
        <v>7</v>
      </c>
      <c r="N93" s="13" t="s">
        <v>491</v>
      </c>
      <c r="O93" s="7">
        <v>1</v>
      </c>
      <c r="P93" s="16" t="s">
        <v>259</v>
      </c>
      <c r="R93" s="3"/>
      <c r="T93" s="7"/>
    </row>
    <row r="94" spans="1:20" hidden="1" x14ac:dyDescent="0.2">
      <c r="A94" s="16" t="str">
        <f t="shared" si="0"/>
        <v>CUSTO DMA -BERNARDO ROQUE- MAIO 26</v>
      </c>
      <c r="B94" s="18">
        <v>46143</v>
      </c>
      <c r="C94" s="3">
        <v>817391</v>
      </c>
      <c r="D94" s="24" t="s">
        <v>403</v>
      </c>
      <c r="E94" s="14">
        <f t="shared" si="23"/>
        <v>-111.82545</v>
      </c>
      <c r="F94" s="3" t="s">
        <v>364</v>
      </c>
      <c r="G94" s="18">
        <v>46143</v>
      </c>
      <c r="H94" s="26">
        <v>125119</v>
      </c>
      <c r="I94" s="3" t="str">
        <f>VLOOKUP(H94,'[1]Base de Clientes'!$B:$E,4,0)</f>
        <v>IRB ASSET MANAGEMENT S/A</v>
      </c>
      <c r="J94" s="5" t="s">
        <v>8</v>
      </c>
      <c r="K94" s="5" t="s">
        <v>458</v>
      </c>
      <c r="L94" s="9">
        <v>111.82545</v>
      </c>
      <c r="M94" s="11" t="s">
        <v>7</v>
      </c>
      <c r="N94" s="13" t="s">
        <v>491</v>
      </c>
      <c r="O94" s="7">
        <v>1</v>
      </c>
      <c r="P94" s="16" t="s">
        <v>467</v>
      </c>
      <c r="R94" s="3"/>
      <c r="T94" s="7"/>
    </row>
    <row r="95" spans="1:20" hidden="1" x14ac:dyDescent="0.2">
      <c r="A95" s="16" t="str">
        <f t="shared" si="0"/>
        <v>CUSTO DMA -LEONARDO YGREY VELMOVISKY- MAIO 26</v>
      </c>
      <c r="B95" s="18">
        <v>46143</v>
      </c>
      <c r="C95" s="3">
        <v>817391</v>
      </c>
      <c r="D95" s="24" t="s">
        <v>403</v>
      </c>
      <c r="E95" s="14">
        <f t="shared" si="23"/>
        <v>-111.82545</v>
      </c>
      <c r="F95" s="3" t="s">
        <v>364</v>
      </c>
      <c r="G95" s="18">
        <v>46143</v>
      </c>
      <c r="H95" s="26">
        <v>125119</v>
      </c>
      <c r="I95" s="3" t="str">
        <f>VLOOKUP(H95,'[1]Base de Clientes'!$B:$E,4,0)</f>
        <v>IRB ASSET MANAGEMENT S/A</v>
      </c>
      <c r="J95" s="5" t="s">
        <v>8</v>
      </c>
      <c r="K95" s="5" t="s">
        <v>459</v>
      </c>
      <c r="L95" s="9">
        <v>111.82545</v>
      </c>
      <c r="M95" s="11" t="s">
        <v>7</v>
      </c>
      <c r="N95" s="13" t="s">
        <v>491</v>
      </c>
      <c r="O95" s="7">
        <v>1</v>
      </c>
      <c r="P95" s="16" t="s">
        <v>468</v>
      </c>
      <c r="R95" s="3"/>
      <c r="T95" s="7"/>
    </row>
    <row r="96" spans="1:20" hidden="1" x14ac:dyDescent="0.25">
      <c r="A96" s="16" t="str">
        <f t="shared" si="0"/>
        <v>CUSTO DMA -RICARDO BERNSTEIN- MAIO 26</v>
      </c>
      <c r="B96" s="18">
        <v>46143</v>
      </c>
      <c r="C96" s="3">
        <v>817391</v>
      </c>
      <c r="D96" s="3" t="s">
        <v>398</v>
      </c>
      <c r="E96" s="14">
        <f t="shared" si="23"/>
        <v>-20948.930360999999</v>
      </c>
      <c r="F96" s="3" t="s">
        <v>364</v>
      </c>
      <c r="G96" s="18">
        <v>46143</v>
      </c>
      <c r="H96" s="19">
        <v>12296</v>
      </c>
      <c r="I96" s="3" t="str">
        <f>VLOOKUP(H96,'[1]Base de Clientes'!$B:$E,4,0)</f>
        <v>PATRIA INVESTIMENTOS LTDA</v>
      </c>
      <c r="J96" s="5" t="s">
        <v>8</v>
      </c>
      <c r="K96" s="5" t="s">
        <v>83</v>
      </c>
      <c r="L96" s="9">
        <v>20948.930360999999</v>
      </c>
      <c r="M96" s="11" t="s">
        <v>7</v>
      </c>
      <c r="N96" s="13" t="s">
        <v>491</v>
      </c>
      <c r="O96" s="7">
        <v>1</v>
      </c>
      <c r="P96" s="16" t="s">
        <v>392</v>
      </c>
      <c r="R96" s="3"/>
      <c r="T96" s="7"/>
    </row>
    <row r="97" spans="1:20" hidden="1" x14ac:dyDescent="0.25">
      <c r="A97" s="16" t="str">
        <f t="shared" ref="A97:A98" si="30">CONCATENATE(J97,M97,K97,M97,N97)</f>
        <v>CUSTO DMA -WILLIAM LEITE- MAIO 26</v>
      </c>
      <c r="B97" s="18">
        <v>46143</v>
      </c>
      <c r="C97" s="3">
        <v>817391</v>
      </c>
      <c r="D97" s="3" t="s">
        <v>398</v>
      </c>
      <c r="E97" s="14">
        <f t="shared" ref="E97:E98" si="31">-L97*O97</f>
        <v>-15809.785812</v>
      </c>
      <c r="F97" s="3" t="s">
        <v>364</v>
      </c>
      <c r="G97" s="18">
        <v>46143</v>
      </c>
      <c r="H97" s="19">
        <v>12296</v>
      </c>
      <c r="I97" s="3" t="str">
        <f>VLOOKUP(H97,'[1]Base de Clientes'!$B:$E,4,0)</f>
        <v>PATRIA INVESTIMENTOS LTDA</v>
      </c>
      <c r="J97" s="5" t="s">
        <v>8</v>
      </c>
      <c r="K97" s="5" t="s">
        <v>111</v>
      </c>
      <c r="L97" s="9">
        <v>15809.785812</v>
      </c>
      <c r="M97" s="11" t="s">
        <v>7</v>
      </c>
      <c r="N97" s="13" t="s">
        <v>491</v>
      </c>
      <c r="O97" s="7">
        <v>1</v>
      </c>
      <c r="P97" s="16" t="s">
        <v>280</v>
      </c>
      <c r="R97" s="3"/>
      <c r="T97" s="7"/>
    </row>
    <row r="98" spans="1:20" hidden="1" x14ac:dyDescent="0.2">
      <c r="A98" s="16" t="str">
        <f t="shared" si="30"/>
        <v>CUSTO DMA -LEONARDO GARROUX- MAIO 26</v>
      </c>
      <c r="B98" s="18">
        <v>46143</v>
      </c>
      <c r="C98" s="3">
        <v>817391</v>
      </c>
      <c r="D98" s="24" t="s">
        <v>472</v>
      </c>
      <c r="E98" s="14">
        <f t="shared" si="31"/>
        <v>-111.82545</v>
      </c>
      <c r="F98" s="3" t="s">
        <v>364</v>
      </c>
      <c r="G98" s="18">
        <v>46143</v>
      </c>
      <c r="H98" s="26">
        <v>81438</v>
      </c>
      <c r="I98" s="3" t="str">
        <f>VLOOKUP(H98,'[1]Base de Clientes'!$B:$E,4,0)</f>
        <v>PORTO SEGURO INVESTIMENTOS LTDA</v>
      </c>
      <c r="J98" s="5" t="s">
        <v>8</v>
      </c>
      <c r="K98" s="5" t="s">
        <v>94</v>
      </c>
      <c r="L98" s="9">
        <v>111.82545</v>
      </c>
      <c r="M98" s="11" t="s">
        <v>7</v>
      </c>
      <c r="N98" s="13" t="s">
        <v>491</v>
      </c>
      <c r="O98" s="7">
        <v>1</v>
      </c>
      <c r="P98" s="16" t="s">
        <v>263</v>
      </c>
      <c r="R98" s="3"/>
      <c r="T98" s="7"/>
    </row>
    <row r="99" spans="1:20" hidden="1" x14ac:dyDescent="0.2">
      <c r="A99" s="16" t="str">
        <f t="shared" si="0"/>
        <v>CUSTO DMA -LEONARDO NAKAJIMA- MAIO 26</v>
      </c>
      <c r="B99" s="18">
        <v>46143</v>
      </c>
      <c r="C99" s="3">
        <v>817391</v>
      </c>
      <c r="D99" s="24" t="s">
        <v>472</v>
      </c>
      <c r="E99" s="14">
        <f t="shared" si="23"/>
        <v>-111.82545</v>
      </c>
      <c r="F99" s="3" t="s">
        <v>364</v>
      </c>
      <c r="G99" s="18">
        <v>46143</v>
      </c>
      <c r="H99" s="26">
        <v>81438</v>
      </c>
      <c r="I99" s="3" t="str">
        <f>VLOOKUP(H99,'[1]Base de Clientes'!$B:$E,4,0)</f>
        <v>PORTO SEGURO INVESTIMENTOS LTDA</v>
      </c>
      <c r="J99" s="5" t="s">
        <v>8</v>
      </c>
      <c r="K99" s="5" t="s">
        <v>95</v>
      </c>
      <c r="L99" s="9">
        <v>111.82545</v>
      </c>
      <c r="M99" s="11" t="s">
        <v>7</v>
      </c>
      <c r="N99" s="13" t="s">
        <v>491</v>
      </c>
      <c r="O99" s="7">
        <v>1</v>
      </c>
      <c r="P99" s="16" t="s">
        <v>264</v>
      </c>
      <c r="R99" s="3"/>
      <c r="T99" s="7"/>
    </row>
    <row r="100" spans="1:20" hidden="1" x14ac:dyDescent="0.2">
      <c r="A100" s="16" t="str">
        <f t="shared" si="0"/>
        <v>CUSTO DMA -TOMAS PEREIRA- MAIO 26</v>
      </c>
      <c r="B100" s="18">
        <v>46143</v>
      </c>
      <c r="C100" s="3">
        <v>817391</v>
      </c>
      <c r="D100" s="24" t="s">
        <v>472</v>
      </c>
      <c r="E100" s="14">
        <f t="shared" si="23"/>
        <v>-111.82545</v>
      </c>
      <c r="F100" s="3" t="s">
        <v>364</v>
      </c>
      <c r="G100" s="18">
        <v>46143</v>
      </c>
      <c r="H100" s="26">
        <v>81438</v>
      </c>
      <c r="I100" s="3" t="str">
        <f>VLOOKUP(H100,'[1]Base de Clientes'!$B:$E,4,0)</f>
        <v>PORTO SEGURO INVESTIMENTOS LTDA</v>
      </c>
      <c r="J100" s="5" t="s">
        <v>8</v>
      </c>
      <c r="K100" s="5" t="s">
        <v>106</v>
      </c>
      <c r="L100" s="9">
        <v>111.82545</v>
      </c>
      <c r="M100" s="11" t="s">
        <v>7</v>
      </c>
      <c r="N100" s="13" t="s">
        <v>491</v>
      </c>
      <c r="O100" s="7">
        <v>1</v>
      </c>
      <c r="P100" s="16" t="s">
        <v>275</v>
      </c>
      <c r="R100" s="3"/>
      <c r="T100" s="7"/>
    </row>
    <row r="101" spans="1:20" hidden="1" x14ac:dyDescent="0.25">
      <c r="A101" s="16" t="str">
        <f t="shared" si="0"/>
        <v>CUSTO DMA -MATHEUS SOUZA- MAIO 26</v>
      </c>
      <c r="B101" s="18">
        <v>46143</v>
      </c>
      <c r="C101" s="3">
        <v>817391</v>
      </c>
      <c r="D101" s="3" t="s">
        <v>488</v>
      </c>
      <c r="E101" s="14">
        <f t="shared" si="23"/>
        <v>-112.07168000999999</v>
      </c>
      <c r="F101" s="3" t="s">
        <v>364</v>
      </c>
      <c r="G101" s="18">
        <v>46143</v>
      </c>
      <c r="H101" s="19">
        <v>81710</v>
      </c>
      <c r="I101" s="3" t="str">
        <f>VLOOKUP(H101,'[1]Base de Clientes'!$B:$E,4,0)</f>
        <v>RYO GESTAO DE RECURSOS LTDA</v>
      </c>
      <c r="J101" s="5" t="s">
        <v>8</v>
      </c>
      <c r="K101" s="5" t="s">
        <v>100</v>
      </c>
      <c r="L101" s="9">
        <v>112.07168000999999</v>
      </c>
      <c r="M101" s="11" t="s">
        <v>7</v>
      </c>
      <c r="N101" s="13" t="s">
        <v>491</v>
      </c>
      <c r="O101" s="7">
        <v>1</v>
      </c>
      <c r="P101" s="16" t="s">
        <v>269</v>
      </c>
      <c r="R101" s="3"/>
      <c r="T101" s="7"/>
    </row>
    <row r="102" spans="1:20" hidden="1" x14ac:dyDescent="0.2">
      <c r="A102" s="16" t="str">
        <f t="shared" si="0"/>
        <v>CUSTO DMA -MARCEL YAGUI- MAIO 26</v>
      </c>
      <c r="B102" s="18">
        <v>46143</v>
      </c>
      <c r="C102" s="3">
        <v>817391</v>
      </c>
      <c r="D102" s="24" t="s">
        <v>404</v>
      </c>
      <c r="E102" s="14">
        <f t="shared" si="23"/>
        <v>-111.82545</v>
      </c>
      <c r="F102" s="3" t="s">
        <v>364</v>
      </c>
      <c r="G102" s="18">
        <v>46143</v>
      </c>
      <c r="H102" s="26">
        <v>82639</v>
      </c>
      <c r="I102" s="3" t="str">
        <f>VLOOKUP(H102,'[1]Base de Clientes'!$B:$E,4,0)</f>
        <v>SAFRA ASSET MANAGEMENT LTDA</v>
      </c>
      <c r="J102" s="5" t="s">
        <v>8</v>
      </c>
      <c r="K102" s="5" t="s">
        <v>97</v>
      </c>
      <c r="L102" s="9">
        <v>111.82545</v>
      </c>
      <c r="M102" s="11" t="s">
        <v>7</v>
      </c>
      <c r="N102" s="13" t="s">
        <v>491</v>
      </c>
      <c r="O102" s="7">
        <v>1</v>
      </c>
      <c r="P102" s="16" t="s">
        <v>266</v>
      </c>
      <c r="R102" s="3"/>
      <c r="T102" s="7"/>
    </row>
    <row r="103" spans="1:20" hidden="1" x14ac:dyDescent="0.2">
      <c r="A103" s="16" t="str">
        <f t="shared" si="0"/>
        <v>CUSTO DMA -VITOR ANGELIS- MAIO 26</v>
      </c>
      <c r="B103" s="18">
        <v>46143</v>
      </c>
      <c r="C103" s="3">
        <v>817391</v>
      </c>
      <c r="D103" s="24" t="s">
        <v>404</v>
      </c>
      <c r="E103" s="14">
        <f t="shared" si="23"/>
        <v>-111.82545</v>
      </c>
      <c r="F103" s="3" t="s">
        <v>364</v>
      </c>
      <c r="G103" s="18">
        <v>46143</v>
      </c>
      <c r="H103" s="26">
        <v>82639</v>
      </c>
      <c r="I103" s="3" t="str">
        <f>VLOOKUP(H103,'[1]Base de Clientes'!$B:$E,4,0)</f>
        <v>SAFRA ASSET MANAGEMENT LTDA</v>
      </c>
      <c r="J103" s="5" t="s">
        <v>8</v>
      </c>
      <c r="K103" s="5" t="s">
        <v>109</v>
      </c>
      <c r="L103" s="9">
        <v>111.82545</v>
      </c>
      <c r="M103" s="11" t="s">
        <v>7</v>
      </c>
      <c r="N103" s="13" t="s">
        <v>491</v>
      </c>
      <c r="O103" s="7">
        <v>1</v>
      </c>
      <c r="P103" s="16" t="s">
        <v>278</v>
      </c>
      <c r="R103" s="3"/>
      <c r="T103" s="7"/>
    </row>
    <row r="104" spans="1:20" hidden="1" x14ac:dyDescent="0.25">
      <c r="A104" s="16" t="str">
        <f t="shared" si="0"/>
        <v>CUSTO DMA -ANDRÉ CALDAS- MAIO 26</v>
      </c>
      <c r="B104" s="18">
        <v>46143</v>
      </c>
      <c r="C104" s="3">
        <v>817391</v>
      </c>
      <c r="D104" s="3" t="s">
        <v>397</v>
      </c>
      <c r="E104" s="14">
        <f t="shared" si="23"/>
        <v>-111.82545</v>
      </c>
      <c r="F104" s="3" t="s">
        <v>364</v>
      </c>
      <c r="G104" s="18">
        <v>46143</v>
      </c>
      <c r="H104" s="19">
        <v>82748</v>
      </c>
      <c r="I104" s="3" t="str">
        <f>VLOOKUP(H104,'[1]Base de Clientes'!$B:$E,4,0)</f>
        <v>SPRINGS CAPITAL LTDA</v>
      </c>
      <c r="J104" s="5" t="s">
        <v>8</v>
      </c>
      <c r="K104" s="5" t="s">
        <v>84</v>
      </c>
      <c r="L104" s="9">
        <v>111.82545</v>
      </c>
      <c r="M104" s="11" t="s">
        <v>7</v>
      </c>
      <c r="N104" s="13" t="s">
        <v>491</v>
      </c>
      <c r="O104" s="7">
        <v>1</v>
      </c>
      <c r="P104" s="16" t="s">
        <v>253</v>
      </c>
      <c r="R104" s="3"/>
      <c r="T104" s="7"/>
    </row>
    <row r="105" spans="1:20" hidden="1" x14ac:dyDescent="0.25">
      <c r="A105" s="16" t="str">
        <f t="shared" si="0"/>
        <v>CUSTO DMA -MATHEUS EFRAIN- MAIO 26</v>
      </c>
      <c r="B105" s="18">
        <v>46143</v>
      </c>
      <c r="C105" s="3">
        <v>817391</v>
      </c>
      <c r="D105" s="3" t="s">
        <v>397</v>
      </c>
      <c r="E105" s="14">
        <f t="shared" si="23"/>
        <v>-133.33446000000001</v>
      </c>
      <c r="F105" s="3" t="s">
        <v>364</v>
      </c>
      <c r="G105" s="18">
        <v>46143</v>
      </c>
      <c r="H105" s="19">
        <v>82748</v>
      </c>
      <c r="I105" s="3" t="str">
        <f>VLOOKUP(H105,'[1]Base de Clientes'!$B:$E,4,0)</f>
        <v>SPRINGS CAPITAL LTDA</v>
      </c>
      <c r="J105" s="5" t="s">
        <v>8</v>
      </c>
      <c r="K105" s="5" t="s">
        <v>99</v>
      </c>
      <c r="L105" s="9">
        <v>133.33446000000001</v>
      </c>
      <c r="M105" s="11" t="s">
        <v>7</v>
      </c>
      <c r="N105" s="13" t="s">
        <v>491</v>
      </c>
      <c r="O105" s="7">
        <v>1</v>
      </c>
      <c r="P105" s="16" t="s">
        <v>268</v>
      </c>
      <c r="R105" s="3"/>
      <c r="T105" s="7"/>
    </row>
    <row r="106" spans="1:20" hidden="1" x14ac:dyDescent="0.2">
      <c r="A106" s="16" t="str">
        <f t="shared" si="0"/>
        <v>CUSTO DMA -JAMES OLIVEIRA- MAIO 26</v>
      </c>
      <c r="B106" s="18">
        <v>46143</v>
      </c>
      <c r="C106" s="3">
        <v>817391</v>
      </c>
      <c r="D106" s="24" t="s">
        <v>400</v>
      </c>
      <c r="E106" s="14">
        <f t="shared" si="23"/>
        <v>-111.82545</v>
      </c>
      <c r="F106" s="3" t="s">
        <v>364</v>
      </c>
      <c r="G106" s="18">
        <v>46143</v>
      </c>
      <c r="H106" s="26">
        <v>80359</v>
      </c>
      <c r="I106" s="3" t="str">
        <f>VLOOKUP(H106,'[1]Base de Clientes'!$B:$E,4,0)</f>
        <v>VINLAND CAPITAL MANAGEMENT GESTORA DE RECURSOS LTDA</v>
      </c>
      <c r="J106" s="5" t="s">
        <v>8</v>
      </c>
      <c r="K106" s="5" t="s">
        <v>91</v>
      </c>
      <c r="L106" s="9">
        <v>111.82545</v>
      </c>
      <c r="M106" s="11" t="s">
        <v>7</v>
      </c>
      <c r="N106" s="13" t="s">
        <v>491</v>
      </c>
      <c r="O106" s="7">
        <v>1</v>
      </c>
      <c r="P106" s="16" t="s">
        <v>260</v>
      </c>
      <c r="R106" s="3"/>
      <c r="T106" s="7"/>
    </row>
    <row r="107" spans="1:20" hidden="1" x14ac:dyDescent="0.2">
      <c r="A107" s="16" t="str">
        <f t="shared" si="0"/>
        <v>CUSTO DMA -JOÃO CARUSO- MAIO 26</v>
      </c>
      <c r="B107" s="18">
        <v>46143</v>
      </c>
      <c r="C107" s="3">
        <v>817391</v>
      </c>
      <c r="D107" s="24" t="s">
        <v>470</v>
      </c>
      <c r="E107" s="14">
        <f t="shared" si="23"/>
        <v>-111.82545</v>
      </c>
      <c r="F107" s="3" t="s">
        <v>364</v>
      </c>
      <c r="G107" s="18">
        <v>46143</v>
      </c>
      <c r="H107" s="26">
        <v>80359</v>
      </c>
      <c r="I107" s="3" t="str">
        <f>VLOOKUP(H107,'[1]Base de Clientes'!$B:$E,4,0)</f>
        <v>VINLAND CAPITAL MANAGEMENT GESTORA DE RECURSOS LTDA</v>
      </c>
      <c r="J107" s="5" t="s">
        <v>8</v>
      </c>
      <c r="K107" s="5" t="s">
        <v>92</v>
      </c>
      <c r="L107" s="9">
        <v>111.82545</v>
      </c>
      <c r="M107" s="11" t="s">
        <v>7</v>
      </c>
      <c r="N107" s="13" t="s">
        <v>491</v>
      </c>
      <c r="O107" s="7">
        <v>1</v>
      </c>
      <c r="P107" s="16" t="s">
        <v>261</v>
      </c>
      <c r="R107" s="3"/>
      <c r="T107" s="7"/>
    </row>
    <row r="108" spans="1:20" hidden="1" x14ac:dyDescent="0.2">
      <c r="A108" s="16" t="str">
        <f t="shared" si="0"/>
        <v>CUSTO DMA -LUCAS PACCOLA- MAIO 26</v>
      </c>
      <c r="B108" s="18">
        <v>46143</v>
      </c>
      <c r="C108" s="3">
        <v>817391</v>
      </c>
      <c r="D108" s="24" t="s">
        <v>470</v>
      </c>
      <c r="E108" s="14">
        <f t="shared" si="23"/>
        <v>-111.82545</v>
      </c>
      <c r="F108" s="3" t="s">
        <v>364</v>
      </c>
      <c r="G108" s="18">
        <v>46143</v>
      </c>
      <c r="H108" s="26">
        <v>80359</v>
      </c>
      <c r="I108" s="3" t="str">
        <f>VLOOKUP(H108,'[1]Base de Clientes'!$B:$E,4,0)</f>
        <v>VINLAND CAPITAL MANAGEMENT GESTORA DE RECURSOS LTDA</v>
      </c>
      <c r="J108" s="5" t="s">
        <v>8</v>
      </c>
      <c r="K108" s="5" t="s">
        <v>96</v>
      </c>
      <c r="L108" s="9">
        <v>111.82545</v>
      </c>
      <c r="M108" s="11" t="s">
        <v>7</v>
      </c>
      <c r="N108" s="13" t="s">
        <v>491</v>
      </c>
      <c r="O108" s="7">
        <v>1</v>
      </c>
      <c r="P108" s="16" t="s">
        <v>265</v>
      </c>
      <c r="R108" s="3"/>
      <c r="T108" s="7"/>
    </row>
    <row r="109" spans="1:20" hidden="1" x14ac:dyDescent="0.2">
      <c r="A109" s="16" t="str">
        <f t="shared" si="0"/>
        <v>CUSTO DMA -THIAGO ROLO- MAIO 26</v>
      </c>
      <c r="B109" s="18">
        <v>46143</v>
      </c>
      <c r="C109" s="3">
        <v>817391</v>
      </c>
      <c r="D109" s="24" t="s">
        <v>470</v>
      </c>
      <c r="E109" s="14">
        <f t="shared" si="23"/>
        <v>-111.82545</v>
      </c>
      <c r="F109" s="3" t="s">
        <v>364</v>
      </c>
      <c r="G109" s="18">
        <v>46143</v>
      </c>
      <c r="H109" s="26">
        <v>80359</v>
      </c>
      <c r="I109" s="3" t="str">
        <f>VLOOKUP(H109,'[1]Base de Clientes'!$B:$E,4,0)</f>
        <v>VINLAND CAPITAL MANAGEMENT GESTORA DE RECURSOS LTDA</v>
      </c>
      <c r="J109" s="5" t="s">
        <v>8</v>
      </c>
      <c r="K109" s="5" t="s">
        <v>105</v>
      </c>
      <c r="L109" s="9">
        <v>111.82545</v>
      </c>
      <c r="M109" s="11" t="s">
        <v>7</v>
      </c>
      <c r="N109" s="13" t="s">
        <v>491</v>
      </c>
      <c r="O109" s="7">
        <v>1</v>
      </c>
      <c r="P109" s="16" t="s">
        <v>274</v>
      </c>
      <c r="R109" s="3"/>
      <c r="T109" s="7"/>
    </row>
    <row r="110" spans="1:20" hidden="1" x14ac:dyDescent="0.25">
      <c r="A110" s="16" t="str">
        <f t="shared" si="0"/>
        <v>CUSTO DMA -VINICIO HUANG- MAIO 26</v>
      </c>
      <c r="B110" s="18">
        <v>46143</v>
      </c>
      <c r="C110" s="3">
        <v>817391</v>
      </c>
      <c r="D110" s="3" t="s">
        <v>470</v>
      </c>
      <c r="E110" s="14">
        <f t="shared" si="23"/>
        <v>-111.82545</v>
      </c>
      <c r="F110" s="3" t="s">
        <v>364</v>
      </c>
      <c r="G110" s="18">
        <v>46143</v>
      </c>
      <c r="H110" s="19">
        <v>80359</v>
      </c>
      <c r="I110" s="3" t="str">
        <f>VLOOKUP(H110,'[1]Base de Clientes'!$B:$E,4,0)</f>
        <v>VINLAND CAPITAL MANAGEMENT GESTORA DE RECURSOS LTDA</v>
      </c>
      <c r="J110" s="5" t="s">
        <v>8</v>
      </c>
      <c r="K110" s="5" t="s">
        <v>107</v>
      </c>
      <c r="L110" s="9">
        <v>111.82545</v>
      </c>
      <c r="M110" s="11" t="s">
        <v>7</v>
      </c>
      <c r="N110" s="13" t="s">
        <v>491</v>
      </c>
      <c r="O110" s="7">
        <v>1</v>
      </c>
      <c r="P110" s="16" t="s">
        <v>276</v>
      </c>
      <c r="R110" s="3"/>
      <c r="T110" s="7"/>
    </row>
    <row r="111" spans="1:20" hidden="1" x14ac:dyDescent="0.2">
      <c r="A111" s="16" t="str">
        <f t="shared" si="0"/>
        <v>CUSTO DMA -HENRIQUE PEINADO- MAIO 26</v>
      </c>
      <c r="B111" s="18">
        <v>46143</v>
      </c>
      <c r="C111" s="3">
        <v>817391</v>
      </c>
      <c r="D111" s="24" t="s">
        <v>477</v>
      </c>
      <c r="E111" s="14">
        <f t="shared" si="23"/>
        <v>-3678.105</v>
      </c>
      <c r="F111" s="3" t="s">
        <v>365</v>
      </c>
      <c r="G111" s="18">
        <v>46143</v>
      </c>
      <c r="H111" s="26">
        <v>80958</v>
      </c>
      <c r="I111" s="3" t="str">
        <f>VLOOKUP(H111,'[1]Base de Clientes'!$B:$E,4,0)</f>
        <v>ITAU UNIBANCO ASSET - OPTIMUS</v>
      </c>
      <c r="J111" s="5" t="s">
        <v>8</v>
      </c>
      <c r="K111" s="5" t="s">
        <v>188</v>
      </c>
      <c r="L111" s="9">
        <v>3678.105</v>
      </c>
      <c r="M111" s="11" t="s">
        <v>7</v>
      </c>
      <c r="N111" s="13" t="s">
        <v>491</v>
      </c>
      <c r="O111" s="7">
        <v>1</v>
      </c>
      <c r="P111" s="16" t="s">
        <v>531</v>
      </c>
      <c r="R111" s="3"/>
      <c r="T111" s="7"/>
    </row>
    <row r="112" spans="1:20" hidden="1" x14ac:dyDescent="0.2">
      <c r="A112" s="16" t="str">
        <f t="shared" si="0"/>
        <v>CUSTO DMA -MARCIO UEJIMA- MAIO 26</v>
      </c>
      <c r="B112" s="18">
        <v>46143</v>
      </c>
      <c r="C112" s="3">
        <v>817391</v>
      </c>
      <c r="D112" s="24" t="s">
        <v>477</v>
      </c>
      <c r="E112" s="14">
        <f t="shared" si="23"/>
        <v>-3678.105</v>
      </c>
      <c r="F112" s="3" t="s">
        <v>365</v>
      </c>
      <c r="G112" s="18">
        <v>46143</v>
      </c>
      <c r="H112" s="26">
        <v>80958</v>
      </c>
      <c r="I112" s="3" t="str">
        <f>VLOOKUP(H112,'[1]Base de Clientes'!$B:$E,4,0)</f>
        <v>ITAU UNIBANCO ASSET - OPTIMUS</v>
      </c>
      <c r="J112" s="5" t="s">
        <v>8</v>
      </c>
      <c r="K112" s="5" t="s">
        <v>189</v>
      </c>
      <c r="L112" s="9">
        <v>3678.105</v>
      </c>
      <c r="M112" s="11" t="s">
        <v>7</v>
      </c>
      <c r="N112" s="13" t="s">
        <v>491</v>
      </c>
      <c r="O112" s="7">
        <v>1</v>
      </c>
      <c r="P112" s="16" t="s">
        <v>532</v>
      </c>
      <c r="R112" s="3"/>
      <c r="T112" s="7"/>
    </row>
    <row r="113" spans="1:20" hidden="1" x14ac:dyDescent="0.25">
      <c r="A113" s="16" t="str">
        <f t="shared" si="0"/>
        <v>CUSTO DMA -GUILHERME SILVA BRENNAND- MAIO 26</v>
      </c>
      <c r="B113" s="18">
        <v>46143</v>
      </c>
      <c r="C113" s="3">
        <v>817391</v>
      </c>
      <c r="D113" s="3" t="s">
        <v>408</v>
      </c>
      <c r="E113" s="14">
        <f t="shared" si="23"/>
        <v>-2859.56</v>
      </c>
      <c r="F113" s="3" t="s">
        <v>367</v>
      </c>
      <c r="G113" s="18">
        <v>46143</v>
      </c>
      <c r="H113" s="19">
        <v>14432</v>
      </c>
      <c r="I113" s="3" t="str">
        <f>VLOOKUP(H113,'[1]Base de Clientes'!$B:$E,4,0)</f>
        <v>BB GESTAO DE RECURSOS DTVM LTDA</v>
      </c>
      <c r="J113" s="5" t="s">
        <v>8</v>
      </c>
      <c r="K113" s="5" t="s">
        <v>114</v>
      </c>
      <c r="L113" s="9">
        <v>2859.56</v>
      </c>
      <c r="M113" s="11" t="s">
        <v>7</v>
      </c>
      <c r="N113" s="13" t="s">
        <v>491</v>
      </c>
      <c r="O113" s="7">
        <v>1</v>
      </c>
      <c r="P113" s="16" t="s">
        <v>283</v>
      </c>
      <c r="R113" s="3"/>
      <c r="T113" s="7"/>
    </row>
    <row r="114" spans="1:20" hidden="1" x14ac:dyDescent="0.25">
      <c r="A114" s="16" t="str">
        <f t="shared" si="0"/>
        <v>CUSTO DMA -IVAN RIBEIRO DE SOUSA JUNIOR- MAIO 26</v>
      </c>
      <c r="B114" s="18">
        <v>46143</v>
      </c>
      <c r="C114" s="3">
        <v>817391</v>
      </c>
      <c r="D114" s="3" t="s">
        <v>408</v>
      </c>
      <c r="E114" s="14">
        <f t="shared" si="23"/>
        <v>-2566.4899999999998</v>
      </c>
      <c r="F114" s="3" t="s">
        <v>367</v>
      </c>
      <c r="G114" s="18">
        <v>46143</v>
      </c>
      <c r="H114" s="19">
        <v>14432</v>
      </c>
      <c r="I114" s="3" t="str">
        <f>VLOOKUP(H114,'[1]Base de Clientes'!$B:$E,4,0)</f>
        <v>BB GESTAO DE RECURSOS DTVM LTDA</v>
      </c>
      <c r="J114" s="5" t="s">
        <v>8</v>
      </c>
      <c r="K114" s="5" t="s">
        <v>420</v>
      </c>
      <c r="L114" s="9">
        <v>2566.4899999999998</v>
      </c>
      <c r="M114" s="11" t="s">
        <v>7</v>
      </c>
      <c r="N114" s="13" t="s">
        <v>491</v>
      </c>
      <c r="O114" s="7">
        <v>1</v>
      </c>
      <c r="P114" s="16" t="s">
        <v>448</v>
      </c>
      <c r="R114" s="3"/>
      <c r="T114" s="7"/>
    </row>
    <row r="115" spans="1:20" hidden="1" x14ac:dyDescent="0.25">
      <c r="A115" s="16" t="str">
        <f t="shared" si="0"/>
        <v>CUSTO DMA -ANDERSON KAM (RED HILL TRADING)- MAIO 26</v>
      </c>
      <c r="B115" s="18">
        <v>46143</v>
      </c>
      <c r="C115" s="3">
        <v>817391</v>
      </c>
      <c r="D115" s="3" t="s">
        <v>485</v>
      </c>
      <c r="E115" s="14">
        <f t="shared" si="23"/>
        <v>-428.94</v>
      </c>
      <c r="F115" s="3" t="s">
        <v>367</v>
      </c>
      <c r="G115" s="18">
        <v>46143</v>
      </c>
      <c r="H115" s="19">
        <v>82808</v>
      </c>
      <c r="I115" s="3" t="str">
        <f>VLOOKUP(H115,'[1]Base de Clientes'!$B:$E,4,0)</f>
        <v>AGUILA CAPITAL ADM E GESTAO DE CAPITAIS LTDA</v>
      </c>
      <c r="J115" s="5" t="s">
        <v>8</v>
      </c>
      <c r="K115" s="5" t="s">
        <v>117</v>
      </c>
      <c r="L115" s="9">
        <v>428.94</v>
      </c>
      <c r="M115" s="11" t="s">
        <v>7</v>
      </c>
      <c r="N115" s="13" t="s">
        <v>491</v>
      </c>
      <c r="O115" s="7">
        <v>1</v>
      </c>
      <c r="P115" s="16" t="s">
        <v>286</v>
      </c>
      <c r="R115" s="3"/>
      <c r="T115" s="7"/>
    </row>
    <row r="116" spans="1:20" hidden="1" x14ac:dyDescent="0.25">
      <c r="A116" s="16" t="str">
        <f t="shared" si="0"/>
        <v>CUSTO DMA -ANTONIO MOURA ANDRADE- MAIO 26</v>
      </c>
      <c r="B116" s="18">
        <v>46143</v>
      </c>
      <c r="C116" s="3">
        <v>817391</v>
      </c>
      <c r="D116" s="3" t="s">
        <v>479</v>
      </c>
      <c r="E116" s="14">
        <f t="shared" si="23"/>
        <v>-4983.8900000000003</v>
      </c>
      <c r="F116" s="3" t="s">
        <v>362</v>
      </c>
      <c r="G116" s="18">
        <v>46143</v>
      </c>
      <c r="H116" s="19">
        <v>15501</v>
      </c>
      <c r="I116" s="3" t="str">
        <f>VLOOKUP(H116,'[1]Base de Clientes'!$B:$E,4,0)</f>
        <v>BANCO BTG PACTUAL S/A</v>
      </c>
      <c r="J116" s="5" t="s">
        <v>8</v>
      </c>
      <c r="K116" s="5" t="s">
        <v>19</v>
      </c>
      <c r="L116" s="9">
        <v>4983.8900000000003</v>
      </c>
      <c r="M116" s="11" t="s">
        <v>7</v>
      </c>
      <c r="N116" s="13" t="s">
        <v>491</v>
      </c>
      <c r="O116" s="7">
        <v>1</v>
      </c>
      <c r="P116" s="16" t="s">
        <v>190</v>
      </c>
      <c r="R116" s="3"/>
      <c r="T116" s="7"/>
    </row>
    <row r="117" spans="1:20" hidden="1" x14ac:dyDescent="0.25">
      <c r="A117" s="16" t="str">
        <f t="shared" si="0"/>
        <v>CUSTO DMA -PEDRO PEREIRA- MAIO 26</v>
      </c>
      <c r="B117" s="18">
        <v>46143</v>
      </c>
      <c r="C117" s="3">
        <v>817391</v>
      </c>
      <c r="D117" s="3" t="s">
        <v>400</v>
      </c>
      <c r="E117" s="14">
        <f t="shared" si="23"/>
        <v>-4983.8900000000003</v>
      </c>
      <c r="F117" s="3" t="s">
        <v>362</v>
      </c>
      <c r="G117" s="18">
        <v>46143</v>
      </c>
      <c r="H117" s="19">
        <v>79241</v>
      </c>
      <c r="I117" s="3" t="str">
        <f>VLOOKUP(H117,'[1]Base de Clientes'!$B:$E,4,0)</f>
        <v>BANK OF AMERICA MERRILL LYNCH BANCO MULTIPLO S/A</v>
      </c>
      <c r="J117" s="5" t="s">
        <v>8</v>
      </c>
      <c r="K117" s="5" t="s">
        <v>53</v>
      </c>
      <c r="L117" s="9">
        <v>4983.8900000000003</v>
      </c>
      <c r="M117" s="11" t="s">
        <v>7</v>
      </c>
      <c r="N117" s="13" t="s">
        <v>491</v>
      </c>
      <c r="O117" s="7">
        <v>1</v>
      </c>
      <c r="P117" s="16" t="s">
        <v>224</v>
      </c>
      <c r="R117" s="3"/>
      <c r="T117" s="7"/>
    </row>
    <row r="118" spans="1:20" x14ac:dyDescent="0.25">
      <c r="A118" s="16" t="str">
        <f t="shared" si="0"/>
        <v>CUSTO DMA -GUILHERME PACHECO- MAIO 26</v>
      </c>
      <c r="B118" s="18">
        <v>46143</v>
      </c>
      <c r="C118" s="3">
        <v>817391</v>
      </c>
      <c r="D118" s="3" t="s">
        <v>476</v>
      </c>
      <c r="E118" s="14">
        <f t="shared" si="23"/>
        <v>-4983.8900000000003</v>
      </c>
      <c r="F118" s="3" t="s">
        <v>362</v>
      </c>
      <c r="G118" s="18">
        <v>46143</v>
      </c>
      <c r="H118" s="19">
        <v>15781</v>
      </c>
      <c r="I118" s="3" t="str">
        <f>VLOOKUP(H118,'[1]Base de Clientes'!$B:$E,4,0)</f>
        <v>BANCO SAFRA S/A</v>
      </c>
      <c r="J118" s="5" t="s">
        <v>8</v>
      </c>
      <c r="K118" s="5" t="s">
        <v>38</v>
      </c>
      <c r="L118" s="9">
        <v>4983.8900000000003</v>
      </c>
      <c r="M118" s="11" t="s">
        <v>7</v>
      </c>
      <c r="N118" s="13" t="s">
        <v>491</v>
      </c>
      <c r="O118" s="7">
        <v>1</v>
      </c>
      <c r="P118" s="16" t="s">
        <v>209</v>
      </c>
      <c r="R118" s="3"/>
      <c r="T118" s="7"/>
    </row>
    <row r="119" spans="1:20" hidden="1" x14ac:dyDescent="0.25">
      <c r="A119" s="16" t="str">
        <f t="shared" si="0"/>
        <v>CUSTO DMA -BRUNO SCHIAVINATO- MAIO 26</v>
      </c>
      <c r="B119" s="18">
        <v>46143</v>
      </c>
      <c r="C119" s="3">
        <v>817391</v>
      </c>
      <c r="D119" s="3" t="s">
        <v>411</v>
      </c>
      <c r="E119" s="14">
        <f t="shared" si="23"/>
        <v>-644.66</v>
      </c>
      <c r="F119" s="3" t="s">
        <v>362</v>
      </c>
      <c r="G119" s="18">
        <v>46143</v>
      </c>
      <c r="H119" s="19">
        <v>14479</v>
      </c>
      <c r="I119" s="3" t="str">
        <f>VLOOKUP(H119,'[1]Base de Clientes'!$B:$E,4,0)</f>
        <v>BANCO SANTANDER (BRASIL) S/A</v>
      </c>
      <c r="J119" s="5" t="s">
        <v>8</v>
      </c>
      <c r="K119" s="5" t="s">
        <v>28</v>
      </c>
      <c r="L119" s="9">
        <v>644.66</v>
      </c>
      <c r="M119" s="11" t="s">
        <v>7</v>
      </c>
      <c r="N119" s="13" t="s">
        <v>491</v>
      </c>
      <c r="O119" s="7">
        <v>1</v>
      </c>
      <c r="P119" s="16" t="s">
        <v>199</v>
      </c>
      <c r="R119" s="3"/>
      <c r="T119" s="7"/>
    </row>
    <row r="120" spans="1:20" hidden="1" x14ac:dyDescent="0.25">
      <c r="A120" s="16" t="str">
        <f t="shared" si="0"/>
        <v>CUSTO DMA -MARCELO DREYER- MAIO 26</v>
      </c>
      <c r="B120" s="18">
        <v>46143</v>
      </c>
      <c r="C120" s="3">
        <v>817391</v>
      </c>
      <c r="D120" s="3" t="s">
        <v>411</v>
      </c>
      <c r="E120" s="14">
        <f t="shared" si="23"/>
        <v>-4983.8899999999994</v>
      </c>
      <c r="F120" s="3" t="s">
        <v>362</v>
      </c>
      <c r="G120" s="18">
        <v>46143</v>
      </c>
      <c r="H120" s="19">
        <v>14479</v>
      </c>
      <c r="I120" s="3" t="str">
        <f>VLOOKUP(H120,'[1]Base de Clientes'!$B:$E,4,0)</f>
        <v>BANCO SANTANDER (BRASIL) S/A</v>
      </c>
      <c r="J120" s="5" t="s">
        <v>8</v>
      </c>
      <c r="K120" s="5" t="s">
        <v>48</v>
      </c>
      <c r="L120" s="9">
        <v>4983.8899999999994</v>
      </c>
      <c r="M120" s="11" t="s">
        <v>7</v>
      </c>
      <c r="N120" s="13" t="s">
        <v>491</v>
      </c>
      <c r="O120" s="7">
        <v>1</v>
      </c>
      <c r="P120" s="16" t="s">
        <v>219</v>
      </c>
      <c r="R120" s="3"/>
      <c r="T120" s="7"/>
    </row>
    <row r="121" spans="1:20" hidden="1" x14ac:dyDescent="0.25">
      <c r="A121" s="16" t="str">
        <f t="shared" si="0"/>
        <v>CUSTO DMA -RICARDO R ROSA- MAIO 26</v>
      </c>
      <c r="B121" s="18">
        <v>46143</v>
      </c>
      <c r="C121" s="3">
        <v>817391</v>
      </c>
      <c r="D121" s="3" t="s">
        <v>411</v>
      </c>
      <c r="E121" s="14">
        <f t="shared" si="23"/>
        <v>-179.86</v>
      </c>
      <c r="F121" s="3" t="s">
        <v>362</v>
      </c>
      <c r="G121" s="18">
        <v>46143</v>
      </c>
      <c r="H121" s="19">
        <v>14479</v>
      </c>
      <c r="I121" s="3" t="str">
        <f>VLOOKUP(H121,'[1]Base de Clientes'!$B:$E,4,0)</f>
        <v>BANCO SANTANDER (BRASIL) S/A</v>
      </c>
      <c r="J121" s="5" t="s">
        <v>8</v>
      </c>
      <c r="K121" s="5" t="s">
        <v>59</v>
      </c>
      <c r="L121" s="9">
        <v>179.86</v>
      </c>
      <c r="M121" s="11" t="s">
        <v>7</v>
      </c>
      <c r="N121" s="13" t="s">
        <v>491</v>
      </c>
      <c r="O121" s="7">
        <v>1</v>
      </c>
      <c r="P121" s="16" t="s">
        <v>230</v>
      </c>
      <c r="R121" s="3"/>
      <c r="T121" s="7"/>
    </row>
    <row r="122" spans="1:20" hidden="1" x14ac:dyDescent="0.25">
      <c r="A122" s="16" t="str">
        <f t="shared" ref="A122" si="32">CONCATENATE(J122,M122,K122,M122,N122)</f>
        <v>CUSTO DMA -KAUE CHINELLATO- MAIO 26</v>
      </c>
      <c r="B122" s="18">
        <v>46143</v>
      </c>
      <c r="C122" s="3">
        <v>817391</v>
      </c>
      <c r="D122" s="3" t="s">
        <v>407</v>
      </c>
      <c r="E122" s="14">
        <f t="shared" ref="E122" si="33">-L122*O122</f>
        <v>-4983.8899999999994</v>
      </c>
      <c r="F122" s="3" t="s">
        <v>362</v>
      </c>
      <c r="G122" s="18">
        <v>46143</v>
      </c>
      <c r="H122" s="19">
        <v>14334</v>
      </c>
      <c r="I122" s="3" t="str">
        <f>VLOOKUP(H122,'[1]Base de Clientes'!$B:$E,4,0)</f>
        <v>BANCO SOCIETE GENERALE BRASIL S/A</v>
      </c>
      <c r="J122" s="5" t="s">
        <v>8</v>
      </c>
      <c r="K122" s="5" t="s">
        <v>42</v>
      </c>
      <c r="L122" s="9">
        <v>4983.8899999999994</v>
      </c>
      <c r="M122" s="11" t="s">
        <v>7</v>
      </c>
      <c r="N122" s="13" t="s">
        <v>491</v>
      </c>
      <c r="O122" s="7">
        <v>1</v>
      </c>
      <c r="P122" s="16" t="s">
        <v>213</v>
      </c>
      <c r="R122" s="3"/>
      <c r="T122" s="7"/>
    </row>
    <row r="123" spans="1:20" hidden="1" x14ac:dyDescent="0.25">
      <c r="A123" s="16" t="str">
        <f t="shared" si="0"/>
        <v>CUSTO DMA -RENANN DAVID- MAIO 26</v>
      </c>
      <c r="B123" s="18">
        <v>46143</v>
      </c>
      <c r="C123" s="3">
        <v>817391</v>
      </c>
      <c r="D123" s="3" t="s">
        <v>474</v>
      </c>
      <c r="E123" s="14">
        <f t="shared" si="23"/>
        <v>-4983.8899999999994</v>
      </c>
      <c r="F123" s="3" t="s">
        <v>362</v>
      </c>
      <c r="G123" s="18">
        <v>46143</v>
      </c>
      <c r="H123" s="19">
        <v>81643</v>
      </c>
      <c r="I123" s="3" t="str">
        <f>VLOOKUP(H123,'[1]Base de Clientes'!$B:$E,4,0)</f>
        <v>BANCO SUMITOMO MITSUI BRASILEIRO S/A</v>
      </c>
      <c r="J123" s="5" t="s">
        <v>8</v>
      </c>
      <c r="K123" s="5" t="s">
        <v>56</v>
      </c>
      <c r="L123" s="9">
        <v>4983.8899999999994</v>
      </c>
      <c r="M123" s="11" t="s">
        <v>7</v>
      </c>
      <c r="N123" s="13" t="s">
        <v>491</v>
      </c>
      <c r="O123" s="7">
        <v>1</v>
      </c>
      <c r="P123" s="16" t="s">
        <v>227</v>
      </c>
      <c r="R123" s="3"/>
      <c r="T123" s="7"/>
    </row>
    <row r="124" spans="1:20" hidden="1" x14ac:dyDescent="0.25">
      <c r="A124" s="16" t="str">
        <f t="shared" si="0"/>
        <v>CUSTO DMA -DANIEL SARAIVA- MAIO 26</v>
      </c>
      <c r="B124" s="18">
        <v>46143</v>
      </c>
      <c r="C124" s="3">
        <v>817391</v>
      </c>
      <c r="D124" s="3" t="s">
        <v>481</v>
      </c>
      <c r="E124" s="14">
        <f t="shared" si="23"/>
        <v>-251.47</v>
      </c>
      <c r="F124" s="3" t="s">
        <v>362</v>
      </c>
      <c r="G124" s="18">
        <v>46143</v>
      </c>
      <c r="H124" s="19">
        <v>144310</v>
      </c>
      <c r="I124" s="3" t="str">
        <f>VLOOKUP(H124,'[1]Base de Clientes'!$B:$E,4,0)</f>
        <v>BW GESTAO DE INVESTIMENTOS LTDA</v>
      </c>
      <c r="J124" s="5" t="s">
        <v>8</v>
      </c>
      <c r="K124" s="5" t="s">
        <v>31</v>
      </c>
      <c r="L124" s="9">
        <v>251.47</v>
      </c>
      <c r="M124" s="11" t="s">
        <v>7</v>
      </c>
      <c r="N124" s="13" t="s">
        <v>491</v>
      </c>
      <c r="O124" s="7">
        <v>1</v>
      </c>
      <c r="P124" s="16" t="s">
        <v>202</v>
      </c>
      <c r="R124" s="3"/>
      <c r="T124" s="7"/>
    </row>
    <row r="125" spans="1:20" hidden="1" x14ac:dyDescent="0.25">
      <c r="A125" s="16" t="str">
        <f t="shared" si="0"/>
        <v>CUSTO DMA -MARCIO ALBUQUERQUE- MAIO 26</v>
      </c>
      <c r="B125" s="18">
        <v>46143</v>
      </c>
      <c r="C125" s="3">
        <v>817391</v>
      </c>
      <c r="D125" s="3" t="s">
        <v>480</v>
      </c>
      <c r="E125" s="14">
        <f t="shared" si="23"/>
        <v>-4983.8899999999994</v>
      </c>
      <c r="F125" s="3" t="s">
        <v>362</v>
      </c>
      <c r="G125" s="18">
        <v>46143</v>
      </c>
      <c r="H125" s="19">
        <v>80828</v>
      </c>
      <c r="I125" s="3" t="str">
        <f>VLOOKUP(H125,'[1]Base de Clientes'!$B:$E,4,0)</f>
        <v>CAPSTONE PARTNERS GESTAO DE RECURSOS LTDA</v>
      </c>
      <c r="J125" s="5" t="s">
        <v>8</v>
      </c>
      <c r="K125" s="5" t="s">
        <v>46</v>
      </c>
      <c r="L125" s="9">
        <v>4983.8899999999994</v>
      </c>
      <c r="M125" s="11" t="s">
        <v>7</v>
      </c>
      <c r="N125" s="13" t="s">
        <v>491</v>
      </c>
      <c r="O125" s="7">
        <v>1</v>
      </c>
      <c r="P125" s="16" t="s">
        <v>217</v>
      </c>
      <c r="R125" s="3"/>
      <c r="T125" s="7"/>
    </row>
    <row r="126" spans="1:20" hidden="1" x14ac:dyDescent="0.25">
      <c r="A126" s="16" t="str">
        <f t="shared" si="0"/>
        <v>CUSTO DMA -KARINE VICENTE- MAIO 26</v>
      </c>
      <c r="B126" s="18">
        <v>46143</v>
      </c>
      <c r="C126" s="3">
        <v>817391</v>
      </c>
      <c r="D126" s="3" t="s">
        <v>411</v>
      </c>
      <c r="E126" s="14">
        <f t="shared" si="23"/>
        <v>-4983.8900000000003</v>
      </c>
      <c r="F126" s="3" t="s">
        <v>362</v>
      </c>
      <c r="G126" s="18">
        <v>46143</v>
      </c>
      <c r="H126" s="19">
        <v>80961</v>
      </c>
      <c r="I126" s="3" t="str">
        <f>VLOOKUP(H126,'[1]Base de Clientes'!$B:$E,4,0)</f>
        <v>BANCO CITIBANK S/A</v>
      </c>
      <c r="J126" s="5" t="s">
        <v>8</v>
      </c>
      <c r="K126" s="5" t="s">
        <v>43</v>
      </c>
      <c r="L126" s="9">
        <v>4983.8900000000003</v>
      </c>
      <c r="M126" s="11" t="s">
        <v>7</v>
      </c>
      <c r="N126" s="13" t="s">
        <v>491</v>
      </c>
      <c r="O126" s="7">
        <v>1</v>
      </c>
      <c r="P126" s="16" t="s">
        <v>214</v>
      </c>
      <c r="R126" s="3"/>
      <c r="T126" s="7"/>
    </row>
    <row r="127" spans="1:20" hidden="1" x14ac:dyDescent="0.25">
      <c r="A127" s="16" t="str">
        <f t="shared" si="0"/>
        <v>CUSTO DMA -MARCO RIGO- MAIO 26</v>
      </c>
      <c r="B127" s="18">
        <v>46143</v>
      </c>
      <c r="C127" s="3">
        <v>817391</v>
      </c>
      <c r="D127" s="3" t="s">
        <v>474</v>
      </c>
      <c r="E127" s="14">
        <f t="shared" si="23"/>
        <v>-30.21</v>
      </c>
      <c r="F127" s="3" t="s">
        <v>362</v>
      </c>
      <c r="G127" s="18">
        <v>46143</v>
      </c>
      <c r="H127" s="19">
        <v>83108</v>
      </c>
      <c r="I127" s="3" t="str">
        <f>VLOOKUP(H127,'[1]Base de Clientes'!$B:$E,4,0)</f>
        <v>EBURY BANCO DE CAMBIO S/A</v>
      </c>
      <c r="J127" s="5" t="s">
        <v>8</v>
      </c>
      <c r="K127" s="5" t="s">
        <v>50</v>
      </c>
      <c r="L127" s="9">
        <v>30.21</v>
      </c>
      <c r="M127" s="11" t="s">
        <v>7</v>
      </c>
      <c r="N127" s="13" t="s">
        <v>491</v>
      </c>
      <c r="O127" s="7">
        <v>1</v>
      </c>
      <c r="P127" s="16" t="s">
        <v>221</v>
      </c>
      <c r="R127" s="3"/>
      <c r="T127" s="7"/>
    </row>
    <row r="128" spans="1:20" hidden="1" x14ac:dyDescent="0.25">
      <c r="A128" s="16" t="str">
        <f t="shared" si="0"/>
        <v>CUSTO DMA -LEONARDO MACEDO- MAIO 26</v>
      </c>
      <c r="B128" s="18">
        <v>46143</v>
      </c>
      <c r="C128" s="3">
        <v>817391</v>
      </c>
      <c r="D128" s="3" t="s">
        <v>403</v>
      </c>
      <c r="E128" s="14">
        <f t="shared" si="23"/>
        <v>-4983.8900000000003</v>
      </c>
      <c r="F128" s="3" t="s">
        <v>362</v>
      </c>
      <c r="G128" s="18">
        <v>46143</v>
      </c>
      <c r="H128" s="19">
        <v>80883</v>
      </c>
      <c r="I128" s="3" t="str">
        <f>VLOOKUP(H128,'[1]Base de Clientes'!$B:$E,4,0)</f>
        <v>GENOA CAPITAL GESTORA DE RECURSOS LTDA</v>
      </c>
      <c r="J128" s="5" t="s">
        <v>8</v>
      </c>
      <c r="K128" s="5" t="s">
        <v>45</v>
      </c>
      <c r="L128" s="9">
        <v>4983.8900000000003</v>
      </c>
      <c r="M128" s="11" t="s">
        <v>7</v>
      </c>
      <c r="N128" s="13" t="s">
        <v>491</v>
      </c>
      <c r="O128" s="7">
        <v>1</v>
      </c>
      <c r="P128" s="16" t="s">
        <v>216</v>
      </c>
      <c r="R128" s="3"/>
      <c r="T128" s="7"/>
    </row>
    <row r="129" spans="1:20" hidden="1" x14ac:dyDescent="0.25">
      <c r="A129" s="16" t="str">
        <f t="shared" si="0"/>
        <v>CUSTO DMA -RAFAEL FONSECA- MAIO 26</v>
      </c>
      <c r="B129" s="18">
        <v>46143</v>
      </c>
      <c r="C129" s="3">
        <v>817391</v>
      </c>
      <c r="D129" s="3" t="s">
        <v>402</v>
      </c>
      <c r="E129" s="14">
        <f t="shared" si="23"/>
        <v>-4983.8899999999994</v>
      </c>
      <c r="F129" s="3" t="s">
        <v>362</v>
      </c>
      <c r="G129" s="18">
        <v>46143</v>
      </c>
      <c r="H129" s="19">
        <v>81259</v>
      </c>
      <c r="I129" s="3" t="str">
        <f>VLOOKUP(H129,'[1]Base de Clientes'!$B:$E,4,0)</f>
        <v>GOLDMAN SACHS DO BRASIL BANCO MULTIPLO S/A</v>
      </c>
      <c r="J129" s="5" t="s">
        <v>8</v>
      </c>
      <c r="K129" s="5" t="s">
        <v>57</v>
      </c>
      <c r="L129" s="9">
        <v>4983.8899999999994</v>
      </c>
      <c r="M129" s="11" t="s">
        <v>7</v>
      </c>
      <c r="N129" s="13" t="s">
        <v>491</v>
      </c>
      <c r="O129" s="7">
        <v>1</v>
      </c>
      <c r="P129" s="16" t="s">
        <v>228</v>
      </c>
      <c r="R129" s="3"/>
      <c r="T129" s="7"/>
    </row>
    <row r="130" spans="1:20" hidden="1" x14ac:dyDescent="0.25">
      <c r="A130" s="16" t="str">
        <f t="shared" si="0"/>
        <v>CUSTO DMA -PEDRO CURY- MAIO 26</v>
      </c>
      <c r="B130" s="18">
        <v>46143</v>
      </c>
      <c r="C130" s="3">
        <v>817391</v>
      </c>
      <c r="D130" s="3" t="s">
        <v>402</v>
      </c>
      <c r="E130" s="14">
        <f t="shared" si="23"/>
        <v>-4983.8900000000003</v>
      </c>
      <c r="F130" s="3" t="s">
        <v>362</v>
      </c>
      <c r="G130" s="18">
        <v>46143</v>
      </c>
      <c r="H130" s="19">
        <v>81348</v>
      </c>
      <c r="I130" s="3" t="str">
        <f>VLOOKUP(H130,'[1]Base de Clientes'!$B:$E,4,0)</f>
        <v>BANCO HSBC S/A</v>
      </c>
      <c r="J130" s="5" t="s">
        <v>8</v>
      </c>
      <c r="K130" s="5" t="s">
        <v>52</v>
      </c>
      <c r="L130" s="9">
        <v>4983.8900000000003</v>
      </c>
      <c r="M130" s="11" t="s">
        <v>7</v>
      </c>
      <c r="N130" s="13" t="s">
        <v>491</v>
      </c>
      <c r="O130" s="7">
        <v>1</v>
      </c>
      <c r="P130" s="16" t="s">
        <v>223</v>
      </c>
      <c r="R130" s="3"/>
      <c r="T130" s="7"/>
    </row>
    <row r="131" spans="1:20" hidden="1" x14ac:dyDescent="0.25">
      <c r="A131" s="16" t="str">
        <f t="shared" si="0"/>
        <v>CUSTO DMA -BEATRIZ BIDUTTE- MAIO 26</v>
      </c>
      <c r="B131" s="18">
        <v>46143</v>
      </c>
      <c r="C131" s="3">
        <v>817391</v>
      </c>
      <c r="D131" s="3" t="s">
        <v>474</v>
      </c>
      <c r="E131" s="14">
        <f t="shared" si="23"/>
        <v>-4983.8900000000003</v>
      </c>
      <c r="F131" s="3" t="s">
        <v>362</v>
      </c>
      <c r="G131" s="18">
        <v>46143</v>
      </c>
      <c r="H131" s="19">
        <v>79965</v>
      </c>
      <c r="I131" s="3" t="str">
        <f>VLOOKUP(H131,'[1]Base de Clientes'!$B:$E,4,0)</f>
        <v>BANCO HSBC S/A</v>
      </c>
      <c r="J131" s="5" t="s">
        <v>8</v>
      </c>
      <c r="K131" s="5" t="s">
        <v>24</v>
      </c>
      <c r="L131" s="9">
        <v>4983.8900000000003</v>
      </c>
      <c r="M131" s="11" t="s">
        <v>7</v>
      </c>
      <c r="N131" s="13" t="s">
        <v>491</v>
      </c>
      <c r="O131" s="7">
        <v>1</v>
      </c>
      <c r="P131" s="16" t="s">
        <v>195</v>
      </c>
      <c r="R131" s="3"/>
      <c r="T131" s="7"/>
    </row>
    <row r="132" spans="1:20" hidden="1" x14ac:dyDescent="0.25">
      <c r="A132" s="16" t="str">
        <f t="shared" si="0"/>
        <v>CUSTO DMA -GABRIEL NASCIMENTO- MAIO 26</v>
      </c>
      <c r="B132" s="18">
        <v>46143</v>
      </c>
      <c r="C132" s="3">
        <v>817391</v>
      </c>
      <c r="D132" s="3" t="s">
        <v>474</v>
      </c>
      <c r="E132" s="14">
        <f t="shared" si="23"/>
        <v>-4983.8900000000003</v>
      </c>
      <c r="F132" s="3" t="s">
        <v>362</v>
      </c>
      <c r="G132" s="18">
        <v>46143</v>
      </c>
      <c r="H132" s="19">
        <v>81348</v>
      </c>
      <c r="I132" s="3" t="str">
        <f>VLOOKUP(H132,'[1]Base de Clientes'!$B:$E,4,0)</f>
        <v>BANCO HSBC S/A</v>
      </c>
      <c r="J132" s="5" t="s">
        <v>8</v>
      </c>
      <c r="K132" s="5" t="s">
        <v>37</v>
      </c>
      <c r="L132" s="9">
        <v>4983.8900000000003</v>
      </c>
      <c r="M132" s="11" t="s">
        <v>7</v>
      </c>
      <c r="N132" s="13" t="s">
        <v>491</v>
      </c>
      <c r="O132" s="7">
        <v>1</v>
      </c>
      <c r="P132" s="16" t="s">
        <v>208</v>
      </c>
      <c r="R132" s="3"/>
      <c r="T132" s="7"/>
    </row>
    <row r="133" spans="1:20" hidden="1" x14ac:dyDescent="0.25">
      <c r="A133" s="16" t="str">
        <f t="shared" si="0"/>
        <v>CUSTO DMA -FELIPE GRIGOROVSKI- MAIO 26</v>
      </c>
      <c r="B133" s="18">
        <v>46143</v>
      </c>
      <c r="C133" s="3">
        <v>817391</v>
      </c>
      <c r="D133" s="3" t="s">
        <v>398</v>
      </c>
      <c r="E133" s="14">
        <f t="shared" si="23"/>
        <v>-95.08</v>
      </c>
      <c r="F133" s="3" t="s">
        <v>362</v>
      </c>
      <c r="G133" s="18">
        <v>46143</v>
      </c>
      <c r="H133" s="19">
        <v>80958</v>
      </c>
      <c r="I133" s="3" t="str">
        <f>VLOOKUP(H133,'[1]Base de Clientes'!$B:$E,4,0)</f>
        <v>ITAU UNIBANCO ASSET - OPTIMUS</v>
      </c>
      <c r="J133" s="5" t="s">
        <v>8</v>
      </c>
      <c r="K133" s="5" t="s">
        <v>33</v>
      </c>
      <c r="L133" s="9">
        <v>95.08</v>
      </c>
      <c r="M133" s="11" t="s">
        <v>7</v>
      </c>
      <c r="N133" s="13" t="s">
        <v>491</v>
      </c>
      <c r="O133" s="7">
        <v>1</v>
      </c>
      <c r="P133" s="16" t="s">
        <v>204</v>
      </c>
      <c r="R133" s="3"/>
      <c r="T133" s="7"/>
    </row>
    <row r="134" spans="1:20" hidden="1" x14ac:dyDescent="0.25">
      <c r="A134" s="16" t="str">
        <f t="shared" si="0"/>
        <v>CUSTO DMA -PABLO SALGADO- MAIO 26</v>
      </c>
      <c r="B134" s="18">
        <v>46143</v>
      </c>
      <c r="C134" s="3">
        <v>817391</v>
      </c>
      <c r="D134" s="3" t="s">
        <v>411</v>
      </c>
      <c r="E134" s="14">
        <f t="shared" si="23"/>
        <v>-4983.8899999999994</v>
      </c>
      <c r="F134" s="3" t="s">
        <v>362</v>
      </c>
      <c r="G134" s="18">
        <v>46143</v>
      </c>
      <c r="H134" s="19">
        <v>80958</v>
      </c>
      <c r="I134" s="3" t="str">
        <f>VLOOKUP(H134,'[1]Base de Clientes'!$B:$E,4,0)</f>
        <v>ITAU UNIBANCO ASSET - OPTIMUS</v>
      </c>
      <c r="J134" s="5" t="s">
        <v>8</v>
      </c>
      <c r="K134" s="5" t="s">
        <v>374</v>
      </c>
      <c r="L134" s="9">
        <v>4983.8899999999994</v>
      </c>
      <c r="M134" s="11" t="s">
        <v>7</v>
      </c>
      <c r="N134" s="13" t="s">
        <v>491</v>
      </c>
      <c r="O134" s="7">
        <v>1</v>
      </c>
      <c r="P134" s="16" t="s">
        <v>388</v>
      </c>
      <c r="R134" s="3"/>
      <c r="T134" s="7"/>
    </row>
    <row r="135" spans="1:20" hidden="1" x14ac:dyDescent="0.25">
      <c r="A135" s="16" t="str">
        <f t="shared" si="0"/>
        <v>CUSTO DMA -FERNANDO SCARPA- MAIO 26</v>
      </c>
      <c r="B135" s="18">
        <v>46143</v>
      </c>
      <c r="C135" s="3">
        <v>817391</v>
      </c>
      <c r="D135" s="3" t="s">
        <v>400</v>
      </c>
      <c r="E135" s="14">
        <f t="shared" si="23"/>
        <v>-4983.8899999999994</v>
      </c>
      <c r="F135" s="3" t="s">
        <v>362</v>
      </c>
      <c r="G135" s="18">
        <v>46143</v>
      </c>
      <c r="H135" s="19">
        <v>80375</v>
      </c>
      <c r="I135" s="3" t="str">
        <f>VLOOKUP(H135,'[1]Base de Clientes'!$B:$E,4,0)</f>
        <v>ITAU UNIBANCO S/A</v>
      </c>
      <c r="J135" s="5" t="s">
        <v>8</v>
      </c>
      <c r="K135" s="5" t="s">
        <v>36</v>
      </c>
      <c r="L135" s="9">
        <v>4983.8899999999994</v>
      </c>
      <c r="M135" s="11" t="s">
        <v>7</v>
      </c>
      <c r="N135" s="13" t="s">
        <v>491</v>
      </c>
      <c r="O135" s="7">
        <v>1</v>
      </c>
      <c r="P135" s="16" t="s">
        <v>207</v>
      </c>
      <c r="R135" s="3"/>
      <c r="T135" s="7"/>
    </row>
    <row r="136" spans="1:20" hidden="1" x14ac:dyDescent="0.25">
      <c r="A136" s="16" t="str">
        <f t="shared" si="0"/>
        <v>CUSTO DMA -BRUNO SERRA FERNANDES- MAIO 26</v>
      </c>
      <c r="B136" s="18">
        <v>46143</v>
      </c>
      <c r="C136" s="3">
        <v>817391</v>
      </c>
      <c r="D136" s="3" t="s">
        <v>397</v>
      </c>
      <c r="E136" s="14">
        <f t="shared" si="23"/>
        <v>-1685.99</v>
      </c>
      <c r="F136" s="3" t="s">
        <v>362</v>
      </c>
      <c r="G136" s="18">
        <v>46143</v>
      </c>
      <c r="H136" s="19">
        <v>82010</v>
      </c>
      <c r="I136" s="3" t="str">
        <f>VLOOKUP(H136,'[1]Base de Clientes'!$B:$E,4,0)</f>
        <v>ITAU UNIBANCO ASSET - JANEIRO</v>
      </c>
      <c r="J136" s="5" t="s">
        <v>8</v>
      </c>
      <c r="K136" s="5" t="s">
        <v>369</v>
      </c>
      <c r="L136" s="9">
        <v>3371.98</v>
      </c>
      <c r="M136" s="11" t="s">
        <v>7</v>
      </c>
      <c r="N136" s="13" t="s">
        <v>491</v>
      </c>
      <c r="O136" s="7">
        <v>0.5</v>
      </c>
      <c r="P136" s="16" t="s">
        <v>383</v>
      </c>
      <c r="R136" s="3"/>
      <c r="T136" s="7"/>
    </row>
    <row r="137" spans="1:20" hidden="1" x14ac:dyDescent="0.25">
      <c r="A137" s="16" t="str">
        <f t="shared" ref="A137:A138" si="34">CONCATENATE(J137,M137,K137,M137,N137)</f>
        <v>CUSTO DMA -BRUNO SERRA FERNANDES- MAIO 26</v>
      </c>
      <c r="B137" s="18">
        <v>46143</v>
      </c>
      <c r="C137" s="3">
        <v>817391</v>
      </c>
      <c r="D137" s="3" t="s">
        <v>401</v>
      </c>
      <c r="E137" s="14">
        <f t="shared" ref="E137:E138" si="35">-L137*O137</f>
        <v>-1685.99</v>
      </c>
      <c r="F137" s="3" t="s">
        <v>362</v>
      </c>
      <c r="G137" s="18">
        <v>46143</v>
      </c>
      <c r="H137" s="19">
        <v>82010</v>
      </c>
      <c r="I137" s="3" t="str">
        <f>VLOOKUP(H137,'[1]Base de Clientes'!$B:$E,4,0)</f>
        <v>ITAU UNIBANCO ASSET - JANEIRO</v>
      </c>
      <c r="J137" s="5" t="s">
        <v>8</v>
      </c>
      <c r="K137" s="5" t="s">
        <v>369</v>
      </c>
      <c r="L137" s="9">
        <v>3371.98</v>
      </c>
      <c r="M137" s="11" t="s">
        <v>7</v>
      </c>
      <c r="N137" s="13" t="s">
        <v>491</v>
      </c>
      <c r="O137" s="7">
        <v>0.5</v>
      </c>
      <c r="P137" s="16" t="s">
        <v>383</v>
      </c>
      <c r="R137" s="3"/>
      <c r="T137" s="7"/>
    </row>
    <row r="138" spans="1:20" hidden="1" x14ac:dyDescent="0.25">
      <c r="A138" s="16" t="str">
        <f t="shared" si="34"/>
        <v>CUSTO DMA -DANIEL COSTA- MAIO 26</v>
      </c>
      <c r="B138" s="18">
        <v>46143</v>
      </c>
      <c r="C138" s="3">
        <v>817391</v>
      </c>
      <c r="D138" s="3" t="s">
        <v>402</v>
      </c>
      <c r="E138" s="14">
        <f t="shared" si="35"/>
        <v>-2491.9450000000002</v>
      </c>
      <c r="F138" s="3" t="s">
        <v>362</v>
      </c>
      <c r="G138" s="18">
        <v>46143</v>
      </c>
      <c r="H138" s="19">
        <v>82010</v>
      </c>
      <c r="I138" s="3" t="str">
        <f>VLOOKUP(H138,'[1]Base de Clientes'!$B:$E,4,0)</f>
        <v>ITAU UNIBANCO ASSET - JANEIRO</v>
      </c>
      <c r="J138" s="5" t="s">
        <v>8</v>
      </c>
      <c r="K138" s="5" t="s">
        <v>29</v>
      </c>
      <c r="L138" s="9">
        <v>4983.8900000000003</v>
      </c>
      <c r="M138" s="11" t="s">
        <v>7</v>
      </c>
      <c r="N138" s="13" t="s">
        <v>491</v>
      </c>
      <c r="O138" s="7">
        <v>0.5</v>
      </c>
      <c r="P138" s="16" t="s">
        <v>200</v>
      </c>
      <c r="R138" s="3"/>
      <c r="T138" s="7"/>
    </row>
    <row r="139" spans="1:20" hidden="1" x14ac:dyDescent="0.25">
      <c r="A139" s="16" t="str">
        <f t="shared" si="0"/>
        <v>CUSTO DMA -DANIEL COSTA- MAIO 26</v>
      </c>
      <c r="B139" s="18">
        <v>46143</v>
      </c>
      <c r="C139" s="3">
        <v>817391</v>
      </c>
      <c r="D139" s="3" t="s">
        <v>403</v>
      </c>
      <c r="E139" s="14">
        <f t="shared" si="23"/>
        <v>-2491.9450000000002</v>
      </c>
      <c r="F139" s="3" t="s">
        <v>362</v>
      </c>
      <c r="G139" s="18">
        <v>46143</v>
      </c>
      <c r="H139" s="19">
        <v>82010</v>
      </c>
      <c r="I139" s="3" t="str">
        <f>VLOOKUP(H139,'[1]Base de Clientes'!$B:$E,4,0)</f>
        <v>ITAU UNIBANCO ASSET - JANEIRO</v>
      </c>
      <c r="J139" s="5" t="s">
        <v>8</v>
      </c>
      <c r="K139" s="5" t="s">
        <v>29</v>
      </c>
      <c r="L139" s="9">
        <v>4983.8900000000003</v>
      </c>
      <c r="M139" s="11" t="s">
        <v>7</v>
      </c>
      <c r="N139" s="13" t="s">
        <v>491</v>
      </c>
      <c r="O139" s="7">
        <v>0.5</v>
      </c>
      <c r="P139" s="16" t="s">
        <v>200</v>
      </c>
      <c r="R139" s="3"/>
      <c r="T139" s="7"/>
    </row>
    <row r="140" spans="1:20" hidden="1" x14ac:dyDescent="0.2">
      <c r="A140" s="16" t="str">
        <f t="shared" ref="A140" si="36">CONCATENATE(J140,M140,K140,M140,N140)</f>
        <v>CUSTO DMA -DANILO MACARI- MAIO 26</v>
      </c>
      <c r="B140" s="18">
        <v>46143</v>
      </c>
      <c r="C140" s="3">
        <v>817391</v>
      </c>
      <c r="D140" s="24" t="s">
        <v>403</v>
      </c>
      <c r="E140" s="14">
        <f t="shared" ref="E140" si="37">-L140*O140</f>
        <v>-2491.9449999999997</v>
      </c>
      <c r="F140" s="3" t="s">
        <v>362</v>
      </c>
      <c r="G140" s="18">
        <v>46143</v>
      </c>
      <c r="H140" s="19">
        <v>82010</v>
      </c>
      <c r="I140" s="3" t="str">
        <f>VLOOKUP(H140,'[1]Base de Clientes'!$B:$E,4,0)</f>
        <v>ITAU UNIBANCO ASSET - JANEIRO</v>
      </c>
      <c r="J140" s="5" t="s">
        <v>8</v>
      </c>
      <c r="K140" s="5" t="s">
        <v>30</v>
      </c>
      <c r="L140" s="9">
        <v>4983.8899999999994</v>
      </c>
      <c r="M140" s="11" t="s">
        <v>7</v>
      </c>
      <c r="N140" s="13" t="s">
        <v>491</v>
      </c>
      <c r="O140" s="7">
        <v>0.5</v>
      </c>
      <c r="P140" s="16" t="s">
        <v>201</v>
      </c>
      <c r="R140" s="3"/>
      <c r="T140" s="7"/>
    </row>
    <row r="141" spans="1:20" hidden="1" x14ac:dyDescent="0.25">
      <c r="A141" s="16" t="str">
        <f t="shared" si="0"/>
        <v>CUSTO DMA -DANILO MACARI- MAIO 26</v>
      </c>
      <c r="B141" s="18">
        <v>46143</v>
      </c>
      <c r="C141" s="3">
        <v>817391</v>
      </c>
      <c r="D141" s="3" t="s">
        <v>402</v>
      </c>
      <c r="E141" s="14">
        <f t="shared" si="23"/>
        <v>-2491.9449999999997</v>
      </c>
      <c r="F141" s="3" t="s">
        <v>362</v>
      </c>
      <c r="G141" s="18">
        <v>46143</v>
      </c>
      <c r="H141" s="19">
        <v>82010</v>
      </c>
      <c r="I141" s="3" t="str">
        <f>VLOOKUP(H141,'[1]Base de Clientes'!$B:$E,4,0)</f>
        <v>ITAU UNIBANCO ASSET - JANEIRO</v>
      </c>
      <c r="J141" s="5" t="s">
        <v>8</v>
      </c>
      <c r="K141" s="5" t="s">
        <v>30</v>
      </c>
      <c r="L141" s="9">
        <v>4983.8899999999994</v>
      </c>
      <c r="M141" s="11" t="s">
        <v>7</v>
      </c>
      <c r="N141" s="13" t="s">
        <v>491</v>
      </c>
      <c r="O141" s="7">
        <v>0.5</v>
      </c>
      <c r="P141" s="16" t="s">
        <v>201</v>
      </c>
      <c r="R141" s="3"/>
      <c r="T141" s="7"/>
    </row>
    <row r="142" spans="1:20" hidden="1" x14ac:dyDescent="0.25">
      <c r="A142" s="16" t="str">
        <f t="shared" ref="A142:A174" si="38">CONCATENATE(J142,M142,K142,M142,N142)</f>
        <v>CUSTO DMA -FILIPE CAVALCANTI- MAIO 26</v>
      </c>
      <c r="B142" s="18">
        <v>46143</v>
      </c>
      <c r="C142" s="3">
        <v>817391</v>
      </c>
      <c r="D142" s="3" t="s">
        <v>401</v>
      </c>
      <c r="E142" s="14">
        <f t="shared" si="23"/>
        <v>-3443.72</v>
      </c>
      <c r="F142" s="3" t="s">
        <v>362</v>
      </c>
      <c r="G142" s="18">
        <v>46143</v>
      </c>
      <c r="H142" s="19">
        <v>80227</v>
      </c>
      <c r="I142" s="3" t="str">
        <f>VLOOKUP(H142,'[1]Base de Clientes'!$B:$E,4,0)</f>
        <v>ITAU UNIBANCO S/A</v>
      </c>
      <c r="J142" s="5" t="s">
        <v>8</v>
      </c>
      <c r="K142" s="5" t="s">
        <v>32</v>
      </c>
      <c r="L142" s="9">
        <v>3443.72</v>
      </c>
      <c r="M142" s="11" t="s">
        <v>7</v>
      </c>
      <c r="N142" s="13" t="s">
        <v>491</v>
      </c>
      <c r="O142" s="7">
        <v>1</v>
      </c>
      <c r="P142" s="16" t="s">
        <v>203</v>
      </c>
      <c r="R142" s="3"/>
      <c r="T142" s="7"/>
    </row>
    <row r="143" spans="1:20" hidden="1" x14ac:dyDescent="0.25">
      <c r="A143" s="16" t="str">
        <f t="shared" si="38"/>
        <v>CUSTO DMA -FREDERICO QUEIROZ- MAIO 26</v>
      </c>
      <c r="B143" s="18">
        <v>46143</v>
      </c>
      <c r="C143" s="3">
        <v>817391</v>
      </c>
      <c r="D143" s="3" t="s">
        <v>401</v>
      </c>
      <c r="E143" s="14">
        <f t="shared" si="23"/>
        <v>-24.6</v>
      </c>
      <c r="F143" s="3" t="s">
        <v>362</v>
      </c>
      <c r="G143" s="18">
        <v>46143</v>
      </c>
      <c r="H143" s="19">
        <v>79806</v>
      </c>
      <c r="I143" s="3" t="str">
        <f>VLOOKUP(H143,'[1]Base de Clientes'!$B:$E,4,0)</f>
        <v>ITAU UNIBANCO S/A</v>
      </c>
      <c r="J143" s="5" t="s">
        <v>8</v>
      </c>
      <c r="K143" s="5" t="s">
        <v>412</v>
      </c>
      <c r="L143" s="9">
        <v>24.6</v>
      </c>
      <c r="M143" s="11" t="s">
        <v>7</v>
      </c>
      <c r="N143" s="13" t="s">
        <v>491</v>
      </c>
      <c r="O143" s="7">
        <v>1</v>
      </c>
      <c r="P143" s="16" t="s">
        <v>421</v>
      </c>
      <c r="R143" s="3"/>
      <c r="T143" s="7"/>
    </row>
    <row r="144" spans="1:20" hidden="1" x14ac:dyDescent="0.25">
      <c r="A144" s="16" t="str">
        <f t="shared" si="38"/>
        <v>CUSTO DMA -SAMIR CHELALA- MAIO 26</v>
      </c>
      <c r="B144" s="18">
        <v>46143</v>
      </c>
      <c r="C144" s="3">
        <v>817391</v>
      </c>
      <c r="D144" s="3" t="s">
        <v>401</v>
      </c>
      <c r="E144" s="14">
        <f t="shared" si="23"/>
        <v>-4983.8899999999994</v>
      </c>
      <c r="F144" s="3" t="s">
        <v>362</v>
      </c>
      <c r="G144" s="18">
        <v>46143</v>
      </c>
      <c r="H144" s="19">
        <v>79985</v>
      </c>
      <c r="I144" s="3" t="str">
        <f>VLOOKUP(H144,'[1]Base de Clientes'!$B:$E,4,0)</f>
        <v>ITAU UNIBANCO S/A</v>
      </c>
      <c r="J144" s="5" t="s">
        <v>8</v>
      </c>
      <c r="K144" s="5" t="s">
        <v>61</v>
      </c>
      <c r="L144" s="9">
        <v>4983.8899999999994</v>
      </c>
      <c r="M144" s="11" t="s">
        <v>7</v>
      </c>
      <c r="N144" s="13" t="s">
        <v>491</v>
      </c>
      <c r="O144" s="7">
        <v>1</v>
      </c>
      <c r="P144" s="16" t="s">
        <v>232</v>
      </c>
      <c r="R144" s="3"/>
      <c r="T144" s="7"/>
    </row>
    <row r="145" spans="1:20" hidden="1" x14ac:dyDescent="0.25">
      <c r="A145" s="16" t="str">
        <f t="shared" si="38"/>
        <v>CUSTO DMA -ANDRE BAUM- MAIO 26</v>
      </c>
      <c r="B145" s="18">
        <v>46143</v>
      </c>
      <c r="C145" s="3">
        <v>817391</v>
      </c>
      <c r="D145" s="3" t="s">
        <v>399</v>
      </c>
      <c r="E145" s="14">
        <f t="shared" si="23"/>
        <v>-2491.9449999999997</v>
      </c>
      <c r="F145" s="3" t="s">
        <v>362</v>
      </c>
      <c r="G145" s="18">
        <v>46143</v>
      </c>
      <c r="H145" s="19">
        <v>12413</v>
      </c>
      <c r="I145" s="3" t="str">
        <f>VLOOKUP(H145,'[1]Base de Clientes'!$B:$E,4,0)</f>
        <v>KAPITALO INVESTIMENTOS LTDA</v>
      </c>
      <c r="J145" s="5" t="s">
        <v>8</v>
      </c>
      <c r="K145" s="5" t="s">
        <v>20</v>
      </c>
      <c r="L145" s="9">
        <v>4983.8899999999994</v>
      </c>
      <c r="M145" s="11" t="s">
        <v>7</v>
      </c>
      <c r="N145" s="13" t="s">
        <v>491</v>
      </c>
      <c r="O145" s="7">
        <v>0.5</v>
      </c>
      <c r="P145" s="16" t="s">
        <v>191</v>
      </c>
      <c r="R145" s="3"/>
      <c r="T145" s="7"/>
    </row>
    <row r="146" spans="1:20" hidden="1" x14ac:dyDescent="0.25">
      <c r="A146" s="16" t="str">
        <f t="shared" ref="A146" si="39">CONCATENATE(J146,M146,K146,M146,N146)</f>
        <v>CUSTO DMA -ANDRE BAUM- MAIO 26</v>
      </c>
      <c r="B146" s="18">
        <v>46143</v>
      </c>
      <c r="C146" s="3">
        <v>817391</v>
      </c>
      <c r="D146" s="3" t="s">
        <v>400</v>
      </c>
      <c r="E146" s="14">
        <f t="shared" ref="E146" si="40">-L146*O146</f>
        <v>-2491.9449999999997</v>
      </c>
      <c r="F146" s="3" t="s">
        <v>362</v>
      </c>
      <c r="G146" s="18">
        <v>46143</v>
      </c>
      <c r="H146" s="19">
        <v>12413</v>
      </c>
      <c r="I146" s="3" t="str">
        <f>VLOOKUP(H146,'[1]Base de Clientes'!$B:$E,4,0)</f>
        <v>KAPITALO INVESTIMENTOS LTDA</v>
      </c>
      <c r="J146" s="5" t="s">
        <v>8</v>
      </c>
      <c r="K146" s="5" t="s">
        <v>20</v>
      </c>
      <c r="L146" s="9">
        <v>4983.8899999999994</v>
      </c>
      <c r="M146" s="11" t="s">
        <v>7</v>
      </c>
      <c r="N146" s="13" t="s">
        <v>491</v>
      </c>
      <c r="O146" s="7">
        <v>0.5</v>
      </c>
      <c r="P146" s="16" t="s">
        <v>191</v>
      </c>
      <c r="R146" s="3"/>
      <c r="T146" s="7"/>
    </row>
    <row r="147" spans="1:20" hidden="1" x14ac:dyDescent="0.25">
      <c r="A147" s="16" t="str">
        <f t="shared" si="38"/>
        <v>CUSTO DMA -BERNARDO GOMES- MAIO 26</v>
      </c>
      <c r="B147" s="18">
        <v>46143</v>
      </c>
      <c r="C147" s="3">
        <v>817391</v>
      </c>
      <c r="D147" s="3" t="s">
        <v>480</v>
      </c>
      <c r="E147" s="14">
        <f t="shared" si="23"/>
        <v>-4983.8900000000003</v>
      </c>
      <c r="F147" s="3" t="s">
        <v>362</v>
      </c>
      <c r="G147" s="18">
        <v>46143</v>
      </c>
      <c r="H147" s="19">
        <v>81936</v>
      </c>
      <c r="I147" s="3" t="str">
        <f>VLOOKUP(H147,'[1]Base de Clientes'!$B:$E,4,0)</f>
        <v>KAPITALO INVESTIMENTOS LTDA</v>
      </c>
      <c r="J147" s="5" t="s">
        <v>8</v>
      </c>
      <c r="K147" s="5" t="s">
        <v>26</v>
      </c>
      <c r="L147" s="9">
        <v>4983.8900000000003</v>
      </c>
      <c r="M147" s="11" t="s">
        <v>7</v>
      </c>
      <c r="N147" s="13" t="s">
        <v>491</v>
      </c>
      <c r="O147" s="7">
        <v>1</v>
      </c>
      <c r="P147" s="16" t="s">
        <v>197</v>
      </c>
      <c r="R147" s="3"/>
      <c r="T147" s="7"/>
    </row>
    <row r="148" spans="1:20" hidden="1" x14ac:dyDescent="0.25">
      <c r="A148" s="16" t="str">
        <f t="shared" si="38"/>
        <v>CUSTO DMA -FELIPE GUERRA- MAIO 26</v>
      </c>
      <c r="B148" s="18">
        <v>46143</v>
      </c>
      <c r="C148" s="3">
        <v>817391</v>
      </c>
      <c r="D148" s="3" t="s">
        <v>404</v>
      </c>
      <c r="E148" s="14">
        <f t="shared" si="23"/>
        <v>-537.1</v>
      </c>
      <c r="F148" s="3" t="s">
        <v>362</v>
      </c>
      <c r="G148" s="18">
        <v>46143</v>
      </c>
      <c r="H148" s="19">
        <v>80386</v>
      </c>
      <c r="I148" s="3" t="str">
        <f>VLOOKUP(H148,'[1]Base de Clientes'!$B:$E,4,0)</f>
        <v>LEGACY CAPITAL GESTORA DE RECURSOS LTDA</v>
      </c>
      <c r="J148" s="5" t="s">
        <v>8</v>
      </c>
      <c r="K148" s="5" t="s">
        <v>34</v>
      </c>
      <c r="L148" s="9">
        <v>1074.2</v>
      </c>
      <c r="M148" s="11" t="s">
        <v>7</v>
      </c>
      <c r="N148" s="13" t="s">
        <v>491</v>
      </c>
      <c r="O148" s="7">
        <v>0.5</v>
      </c>
      <c r="P148" s="16" t="s">
        <v>205</v>
      </c>
      <c r="R148" s="3"/>
      <c r="T148" s="7"/>
    </row>
    <row r="149" spans="1:20" hidden="1" x14ac:dyDescent="0.25">
      <c r="A149" s="16" t="str">
        <f t="shared" ref="A149" si="41">CONCATENATE(J149,M149,K149,M149,N149)</f>
        <v>CUSTO DMA -FELIPE GUERRA- MAIO 26</v>
      </c>
      <c r="B149" s="18">
        <v>46143</v>
      </c>
      <c r="C149" s="3">
        <v>817391</v>
      </c>
      <c r="D149" s="3" t="s">
        <v>405</v>
      </c>
      <c r="E149" s="14">
        <f t="shared" ref="E149" si="42">-L149*O149</f>
        <v>-537.1</v>
      </c>
      <c r="F149" s="3" t="s">
        <v>362</v>
      </c>
      <c r="G149" s="18">
        <v>46143</v>
      </c>
      <c r="H149" s="19">
        <v>80386</v>
      </c>
      <c r="I149" s="3" t="str">
        <f>VLOOKUP(H149,'[1]Base de Clientes'!$B:$E,4,0)</f>
        <v>LEGACY CAPITAL GESTORA DE RECURSOS LTDA</v>
      </c>
      <c r="J149" s="5" t="s">
        <v>8</v>
      </c>
      <c r="K149" s="5" t="s">
        <v>34</v>
      </c>
      <c r="L149" s="9">
        <v>1074.2</v>
      </c>
      <c r="M149" s="11" t="s">
        <v>7</v>
      </c>
      <c r="N149" s="13" t="s">
        <v>491</v>
      </c>
      <c r="O149" s="7">
        <v>0.5</v>
      </c>
      <c r="P149" s="16" t="s">
        <v>205</v>
      </c>
      <c r="R149" s="3"/>
      <c r="T149" s="7"/>
    </row>
    <row r="150" spans="1:20" hidden="1" x14ac:dyDescent="0.25">
      <c r="A150" s="16" t="str">
        <f t="shared" si="38"/>
        <v>CUSTO DMA -MATEUS CRUZ- MAIO 26</v>
      </c>
      <c r="B150" s="18">
        <v>46143</v>
      </c>
      <c r="C150" s="3">
        <v>817391</v>
      </c>
      <c r="D150" s="3" t="s">
        <v>482</v>
      </c>
      <c r="E150" s="14">
        <f t="shared" si="23"/>
        <v>-1821.18</v>
      </c>
      <c r="F150" s="3" t="s">
        <v>362</v>
      </c>
      <c r="G150" s="18">
        <v>46143</v>
      </c>
      <c r="H150" s="19">
        <v>18658</v>
      </c>
      <c r="I150" s="3" t="str">
        <f>VLOOKUP(H150,'[1]Base de Clientes'!$B:$E,4,0)</f>
        <v>SCOTIABANK BRASIL S/A</v>
      </c>
      <c r="J150" s="5" t="s">
        <v>8</v>
      </c>
      <c r="K150" s="5" t="s">
        <v>47</v>
      </c>
      <c r="L150" s="9">
        <v>1821.18</v>
      </c>
      <c r="M150" s="11" t="s">
        <v>7</v>
      </c>
      <c r="N150" s="13" t="s">
        <v>491</v>
      </c>
      <c r="O150" s="7">
        <v>1</v>
      </c>
      <c r="P150" s="16" t="s">
        <v>218</v>
      </c>
      <c r="R150" s="3"/>
      <c r="T150" s="7"/>
    </row>
    <row r="151" spans="1:20" hidden="1" x14ac:dyDescent="0.25">
      <c r="A151" s="16" t="str">
        <f t="shared" si="38"/>
        <v>CUSTO DMA -LUIZ CALOBA- MAIO 26</v>
      </c>
      <c r="B151" s="18">
        <v>46143</v>
      </c>
      <c r="C151" s="3">
        <v>817391</v>
      </c>
      <c r="D151" s="3" t="s">
        <v>402</v>
      </c>
      <c r="E151" s="14">
        <f t="shared" si="23"/>
        <v>-627.91</v>
      </c>
      <c r="F151" s="3" t="s">
        <v>362</v>
      </c>
      <c r="G151" s="18">
        <v>46143</v>
      </c>
      <c r="H151" s="19">
        <v>79931</v>
      </c>
      <c r="I151" s="3" t="str">
        <f>VLOOKUP(H151,'[1]Base de Clientes'!$B:$E,4,0)</f>
        <v>SPX GESTAO DE RECURSOS LTDA</v>
      </c>
      <c r="J151" s="5" t="s">
        <v>8</v>
      </c>
      <c r="K151" s="5" t="s">
        <v>44</v>
      </c>
      <c r="L151" s="9">
        <v>627.91</v>
      </c>
      <c r="M151" s="11" t="s">
        <v>7</v>
      </c>
      <c r="N151" s="13" t="s">
        <v>491</v>
      </c>
      <c r="O151" s="7">
        <v>1</v>
      </c>
      <c r="P151" s="16" t="s">
        <v>215</v>
      </c>
      <c r="R151" s="3"/>
      <c r="T151" s="7"/>
    </row>
    <row r="152" spans="1:20" hidden="1" x14ac:dyDescent="0.25">
      <c r="A152" s="16" t="str">
        <f t="shared" si="38"/>
        <v>CUSTO DMA -VINICIUS SA- MAIO 26</v>
      </c>
      <c r="B152" s="18">
        <v>46143</v>
      </c>
      <c r="C152" s="3">
        <v>817391</v>
      </c>
      <c r="D152" s="3" t="s">
        <v>402</v>
      </c>
      <c r="E152" s="14">
        <f t="shared" si="23"/>
        <v>-1545.42</v>
      </c>
      <c r="F152" s="3" t="s">
        <v>362</v>
      </c>
      <c r="G152" s="18">
        <v>46143</v>
      </c>
      <c r="H152" s="19">
        <v>79924</v>
      </c>
      <c r="I152" s="3" t="str">
        <f>VLOOKUP(H152,'[1]Base de Clientes'!$B:$E,4,0)</f>
        <v>STANDARD CHARTERED BANK (LONDRES)</v>
      </c>
      <c r="J152" s="5" t="s">
        <v>8</v>
      </c>
      <c r="K152" s="5" t="s">
        <v>576</v>
      </c>
      <c r="L152" s="9">
        <v>1545.42</v>
      </c>
      <c r="M152" s="11" t="s">
        <v>7</v>
      </c>
      <c r="N152" s="13" t="s">
        <v>491</v>
      </c>
      <c r="O152" s="7">
        <v>1</v>
      </c>
      <c r="P152" s="16" t="s">
        <v>465</v>
      </c>
      <c r="R152" s="3"/>
      <c r="T152" s="7"/>
    </row>
    <row r="153" spans="1:20" hidden="1" x14ac:dyDescent="0.25">
      <c r="A153" s="16" t="str">
        <f t="shared" si="38"/>
        <v>CUSTO DMA -GEORGE MIYA WATANABE- MAIO 26</v>
      </c>
      <c r="B153" s="18">
        <v>46143</v>
      </c>
      <c r="C153" s="3">
        <v>817391</v>
      </c>
      <c r="D153" s="3" t="s">
        <v>400</v>
      </c>
      <c r="E153" s="14">
        <f t="shared" si="23"/>
        <v>-2467.9</v>
      </c>
      <c r="F153" s="3" t="s">
        <v>362</v>
      </c>
      <c r="G153" s="18">
        <v>46143</v>
      </c>
      <c r="H153" s="19">
        <v>80359</v>
      </c>
      <c r="I153" s="3" t="str">
        <f>VLOOKUP(H153,'[1]Base de Clientes'!$B:$E,4,0)</f>
        <v>VINLAND CAPITAL MANAGEMENT GESTORA DE RECURSOS LTDA</v>
      </c>
      <c r="J153" s="5" t="s">
        <v>8</v>
      </c>
      <c r="K153" s="5" t="s">
        <v>413</v>
      </c>
      <c r="L153" s="9">
        <v>2467.9</v>
      </c>
      <c r="M153" s="11" t="s">
        <v>7</v>
      </c>
      <c r="N153" s="13" t="s">
        <v>491</v>
      </c>
      <c r="O153" s="7">
        <v>1</v>
      </c>
      <c r="P153" s="16" t="s">
        <v>422</v>
      </c>
      <c r="R153" s="3"/>
      <c r="T153" s="7"/>
    </row>
    <row r="154" spans="1:20" hidden="1" x14ac:dyDescent="0.25">
      <c r="A154" s="16" t="str">
        <f t="shared" si="38"/>
        <v>CUSTO DMA -BRUNO MARQUES- MAIO 26</v>
      </c>
      <c r="B154" s="18">
        <v>46143</v>
      </c>
      <c r="C154" s="3">
        <v>817391</v>
      </c>
      <c r="D154" s="3" t="s">
        <v>411</v>
      </c>
      <c r="E154" s="14">
        <f t="shared" ref="E154:E178" si="43">-L154*O154</f>
        <v>-4983.8900000000003</v>
      </c>
      <c r="F154" s="3" t="s">
        <v>362</v>
      </c>
      <c r="G154" s="18">
        <v>46143</v>
      </c>
      <c r="H154" s="19">
        <v>80648</v>
      </c>
      <c r="I154" s="3" t="str">
        <f>VLOOKUP(H154,'[1]Base de Clientes'!$B:$E,4,0)</f>
        <v>XP GESTAO DE RECURSOS LTDA</v>
      </c>
      <c r="J154" s="5" t="s">
        <v>8</v>
      </c>
      <c r="K154" s="5" t="s">
        <v>27</v>
      </c>
      <c r="L154" s="9">
        <v>4983.8900000000003</v>
      </c>
      <c r="M154" s="11" t="s">
        <v>7</v>
      </c>
      <c r="N154" s="13" t="s">
        <v>491</v>
      </c>
      <c r="O154" s="7">
        <v>1</v>
      </c>
      <c r="P154" s="16" t="s">
        <v>198</v>
      </c>
      <c r="R154" s="3"/>
      <c r="T154" s="7"/>
    </row>
    <row r="155" spans="1:20" hidden="1" x14ac:dyDescent="0.2">
      <c r="A155" s="16" t="str">
        <f t="shared" si="38"/>
        <v>CUSTO DMA -ALEXANDRE NEVES- MAIO 26</v>
      </c>
      <c r="B155" s="18">
        <v>46143</v>
      </c>
      <c r="C155" s="3">
        <v>817391</v>
      </c>
      <c r="D155" s="24" t="s">
        <v>400</v>
      </c>
      <c r="E155" s="14">
        <f t="shared" si="43"/>
        <v>-90.638000000000005</v>
      </c>
      <c r="F155" s="3" t="s">
        <v>363</v>
      </c>
      <c r="G155" s="18">
        <v>46143</v>
      </c>
      <c r="H155" s="26">
        <v>95005</v>
      </c>
      <c r="I155" s="3" t="str">
        <f>VLOOKUP(H155,'[1]Base de Clientes'!$B:$E,4,0)</f>
        <v>BANCO BNP PARIBAS BRASIL S/A</v>
      </c>
      <c r="J155" s="5" t="s">
        <v>8</v>
      </c>
      <c r="K155" s="5" t="s">
        <v>64</v>
      </c>
      <c r="L155" s="9">
        <v>90.638000000000005</v>
      </c>
      <c r="M155" s="11" t="s">
        <v>7</v>
      </c>
      <c r="N155" s="13" t="s">
        <v>491</v>
      </c>
      <c r="O155" s="7">
        <v>1</v>
      </c>
      <c r="P155" s="16" t="s">
        <v>430</v>
      </c>
      <c r="Q155" s="4" t="e">
        <f>SUMIFS([2]TT!$F:$F,[2]TT!$A:$A,K155)</f>
        <v>#VALUE!</v>
      </c>
      <c r="R155" s="3"/>
      <c r="T155" s="7"/>
    </row>
    <row r="156" spans="1:20" hidden="1" x14ac:dyDescent="0.25">
      <c r="A156" s="16" t="str">
        <f t="shared" si="38"/>
        <v>CUSTO DMA -GABRIEL BAPTISTELA- MAIO 26</v>
      </c>
      <c r="B156" s="18">
        <v>46143</v>
      </c>
      <c r="C156" s="3">
        <v>817391</v>
      </c>
      <c r="D156" s="3" t="s">
        <v>475</v>
      </c>
      <c r="E156" s="14">
        <f t="shared" si="43"/>
        <v>-4653.9607500000002</v>
      </c>
      <c r="F156" s="3" t="s">
        <v>363</v>
      </c>
      <c r="G156" s="18">
        <v>46143</v>
      </c>
      <c r="H156" s="19">
        <v>95005</v>
      </c>
      <c r="I156" s="3" t="str">
        <f>VLOOKUP(H156,'[1]Base de Clientes'!$B:$E,4,0)</f>
        <v>BANCO BNP PARIBAS BRASIL S/A</v>
      </c>
      <c r="J156" s="5" t="s">
        <v>8</v>
      </c>
      <c r="K156" s="5" t="s">
        <v>71</v>
      </c>
      <c r="L156" s="9">
        <v>4653.9607500000002</v>
      </c>
      <c r="M156" s="11" t="s">
        <v>7</v>
      </c>
      <c r="N156" s="13" t="s">
        <v>491</v>
      </c>
      <c r="O156" s="7">
        <v>1</v>
      </c>
      <c r="P156" s="16" t="s">
        <v>437</v>
      </c>
      <c r="Q156" s="4" t="e">
        <f>SUMIFS([2]TT!$F:$F,[2]TT!$A:$A,K156)</f>
        <v>#VALUE!</v>
      </c>
      <c r="R156" s="3"/>
      <c r="T156" s="7"/>
    </row>
    <row r="157" spans="1:20" hidden="1" x14ac:dyDescent="0.25">
      <c r="A157" s="16" t="str">
        <f t="shared" si="38"/>
        <v>CUSTO DMA -ISABELLA ATAIDE- MAIO 26</v>
      </c>
      <c r="B157" s="18">
        <v>46143</v>
      </c>
      <c r="C157" s="3">
        <v>817391</v>
      </c>
      <c r="D157" s="3" t="s">
        <v>478</v>
      </c>
      <c r="E157" s="14">
        <f t="shared" si="43"/>
        <v>-1518.8209999999999</v>
      </c>
      <c r="F157" s="3" t="s">
        <v>363</v>
      </c>
      <c r="G157" s="18">
        <v>46143</v>
      </c>
      <c r="H157" s="19">
        <v>95005</v>
      </c>
      <c r="I157" s="3" t="str">
        <f>VLOOKUP(H157,'[1]Base de Clientes'!$B:$E,4,0)</f>
        <v>BANCO BNP PARIBAS BRASIL S/A</v>
      </c>
      <c r="J157" s="5" t="s">
        <v>8</v>
      </c>
      <c r="K157" s="5" t="s">
        <v>72</v>
      </c>
      <c r="L157" s="9">
        <v>1518.8209999999999</v>
      </c>
      <c r="M157" s="11" t="s">
        <v>7</v>
      </c>
      <c r="N157" s="13" t="s">
        <v>491</v>
      </c>
      <c r="O157" s="7">
        <v>1</v>
      </c>
      <c r="P157" s="16" t="s">
        <v>438</v>
      </c>
      <c r="Q157" s="4" t="e">
        <f>SUMIFS([2]TT!$F:$F,[2]TT!$A:$A,K157)</f>
        <v>#VALUE!</v>
      </c>
      <c r="R157" s="3"/>
      <c r="T157" s="7"/>
    </row>
    <row r="158" spans="1:20" hidden="1" x14ac:dyDescent="0.25">
      <c r="A158" s="16" t="str">
        <f t="shared" si="38"/>
        <v>CUSTO DMA -PAULO GUEDES- MAIO 26</v>
      </c>
      <c r="B158" s="18">
        <v>46143</v>
      </c>
      <c r="C158" s="3">
        <v>817391</v>
      </c>
      <c r="D158" s="3" t="s">
        <v>478</v>
      </c>
      <c r="E158" s="14">
        <f t="shared" si="43"/>
        <v>-9453.8014999999996</v>
      </c>
      <c r="F158" s="3" t="s">
        <v>363</v>
      </c>
      <c r="G158" s="18">
        <v>46143</v>
      </c>
      <c r="H158" s="19">
        <v>95005</v>
      </c>
      <c r="I158" s="3" t="str">
        <f>VLOOKUP(H158,'[1]Base de Clientes'!$B:$E,4,0)</f>
        <v>BANCO BNP PARIBAS BRASIL S/A</v>
      </c>
      <c r="J158" s="5" t="s">
        <v>8</v>
      </c>
      <c r="K158" s="5" t="s">
        <v>75</v>
      </c>
      <c r="L158" s="9">
        <v>9453.8014999999996</v>
      </c>
      <c r="M158" s="11" t="s">
        <v>7</v>
      </c>
      <c r="N158" s="13" t="s">
        <v>491</v>
      </c>
      <c r="O158" s="7">
        <v>1</v>
      </c>
      <c r="P158" s="16" t="s">
        <v>441</v>
      </c>
      <c r="Q158" s="4" t="e">
        <f>SUMIFS([2]TT!$F:$F,[2]TT!$A:$A,K158)</f>
        <v>#VALUE!</v>
      </c>
      <c r="R158" s="3"/>
      <c r="T158" s="7"/>
    </row>
    <row r="159" spans="1:20" hidden="1" x14ac:dyDescent="0.25">
      <c r="A159" s="16" t="str">
        <f t="shared" si="38"/>
        <v>CUSTO DMA -RAFAEL MADI- MAIO 26</v>
      </c>
      <c r="B159" s="18">
        <v>46143</v>
      </c>
      <c r="C159" s="3">
        <v>817391</v>
      </c>
      <c r="D159" s="3" t="s">
        <v>478</v>
      </c>
      <c r="E159" s="14">
        <f t="shared" si="43"/>
        <v>-6307.7842499999997</v>
      </c>
      <c r="F159" s="3" t="s">
        <v>363</v>
      </c>
      <c r="G159" s="18">
        <v>46143</v>
      </c>
      <c r="H159" s="19">
        <v>95005</v>
      </c>
      <c r="I159" s="3" t="str">
        <f>VLOOKUP(H159,'[1]Base de Clientes'!$B:$E,4,0)</f>
        <v>BANCO BNP PARIBAS BRASIL S/A</v>
      </c>
      <c r="J159" s="5" t="s">
        <v>8</v>
      </c>
      <c r="K159" s="5" t="s">
        <v>79</v>
      </c>
      <c r="L159" s="9">
        <v>6307.7842499999997</v>
      </c>
      <c r="M159" s="11" t="s">
        <v>7</v>
      </c>
      <c r="N159" s="13" t="s">
        <v>491</v>
      </c>
      <c r="O159" s="7">
        <v>1</v>
      </c>
      <c r="P159" s="16" t="s">
        <v>249</v>
      </c>
      <c r="Q159" s="4" t="e">
        <f>SUMIFS([2]TT!$F:$F,[2]TT!$A:$A,K159)</f>
        <v>#VALUE!</v>
      </c>
      <c r="R159" s="3"/>
      <c r="T159" s="7"/>
    </row>
    <row r="160" spans="1:20" hidden="1" x14ac:dyDescent="0.2">
      <c r="A160" s="16" t="str">
        <f t="shared" si="38"/>
        <v>CUSTO DMA -CAETANO RUFINO RAMOS- MAIO 26</v>
      </c>
      <c r="B160" s="18">
        <v>46143</v>
      </c>
      <c r="C160" s="3">
        <v>817391</v>
      </c>
      <c r="D160" s="24" t="s">
        <v>402</v>
      </c>
      <c r="E160" s="14">
        <f t="shared" si="43"/>
        <v>-1462.6305</v>
      </c>
      <c r="F160" s="3" t="s">
        <v>363</v>
      </c>
      <c r="G160" s="18">
        <v>46143</v>
      </c>
      <c r="H160" s="26">
        <v>80026</v>
      </c>
      <c r="I160" s="3" t="str">
        <f>VLOOKUP(H160,'[1]Base de Clientes'!$B:$E,4,0)</f>
        <v>BARCLAYS BANK PLC</v>
      </c>
      <c r="J160" s="5" t="s">
        <v>8</v>
      </c>
      <c r="K160" s="5" t="s">
        <v>66</v>
      </c>
      <c r="L160" s="9">
        <v>1462.6305</v>
      </c>
      <c r="M160" s="11" t="s">
        <v>7</v>
      </c>
      <c r="N160" s="13" t="s">
        <v>491</v>
      </c>
      <c r="O160" s="7">
        <v>1</v>
      </c>
      <c r="P160" s="16" t="s">
        <v>432</v>
      </c>
      <c r="Q160" s="4" t="e">
        <f>SUMIFS([2]TT!$F:$F,[2]TT!$A:$A,K160)</f>
        <v>#VALUE!</v>
      </c>
      <c r="R160" s="3"/>
      <c r="T160" s="7"/>
    </row>
    <row r="161" spans="1:20" hidden="1" x14ac:dyDescent="0.2">
      <c r="A161" s="16" t="str">
        <f t="shared" si="38"/>
        <v>CUSTO DMA -VICENTE MELLO- MAIO 26</v>
      </c>
      <c r="B161" s="18">
        <v>46143</v>
      </c>
      <c r="C161" s="3">
        <v>817391</v>
      </c>
      <c r="D161" s="24" t="s">
        <v>402</v>
      </c>
      <c r="E161" s="14">
        <f t="shared" si="43"/>
        <v>-11786.511500000001</v>
      </c>
      <c r="F161" s="3" t="s">
        <v>363</v>
      </c>
      <c r="G161" s="18">
        <v>46143</v>
      </c>
      <c r="H161" s="26">
        <v>80026</v>
      </c>
      <c r="I161" s="3" t="str">
        <f>VLOOKUP(H161,'[1]Base de Clientes'!$B:$E,4,0)</f>
        <v>BARCLAYS BANK PLC</v>
      </c>
      <c r="J161" s="5" t="s">
        <v>8</v>
      </c>
      <c r="K161" s="5" t="s">
        <v>82</v>
      </c>
      <c r="L161" s="9">
        <v>11786.511500000001</v>
      </c>
      <c r="M161" s="11" t="s">
        <v>7</v>
      </c>
      <c r="N161" s="13" t="s">
        <v>491</v>
      </c>
      <c r="O161" s="7">
        <v>1</v>
      </c>
      <c r="P161" s="16" t="s">
        <v>447</v>
      </c>
      <c r="Q161" s="4" t="e">
        <f>SUMIFS([2]TT!$F:$F,[2]TT!$A:$A,K161)</f>
        <v>#VALUE!</v>
      </c>
      <c r="R161" s="3"/>
      <c r="T161" s="7"/>
    </row>
    <row r="162" spans="1:20" hidden="1" x14ac:dyDescent="0.2">
      <c r="A162" s="16" t="str">
        <f t="shared" si="38"/>
        <v>CUSTO DMA -ELIAS RAYES- MAIO 26</v>
      </c>
      <c r="B162" s="18">
        <v>46143</v>
      </c>
      <c r="C162" s="3">
        <v>817391</v>
      </c>
      <c r="D162" s="24" t="s">
        <v>475</v>
      </c>
      <c r="E162" s="14">
        <f t="shared" si="43"/>
        <v>-1735.5474999999999</v>
      </c>
      <c r="F162" s="3" t="s">
        <v>363</v>
      </c>
      <c r="G162" s="18">
        <v>46143</v>
      </c>
      <c r="H162" s="26">
        <v>95005</v>
      </c>
      <c r="I162" s="3" t="str">
        <f>VLOOKUP(H162,'[1]Base de Clientes'!$B:$E,4,0)</f>
        <v>BANCO BNP PARIBAS BRASIL S/A</v>
      </c>
      <c r="J162" s="5" t="s">
        <v>8</v>
      </c>
      <c r="K162" s="5" t="s">
        <v>68</v>
      </c>
      <c r="L162" s="9">
        <v>1735.5474999999999</v>
      </c>
      <c r="M162" s="11" t="s">
        <v>7</v>
      </c>
      <c r="N162" s="13" t="s">
        <v>491</v>
      </c>
      <c r="O162" s="7">
        <v>1</v>
      </c>
      <c r="P162" s="16" t="s">
        <v>434</v>
      </c>
      <c r="Q162" s="4" t="e">
        <f>SUMIFS([2]TT!$F:$F,[2]TT!$A:$A,K162)</f>
        <v>#VALUE!</v>
      </c>
      <c r="R162" s="3"/>
      <c r="T162" s="7"/>
    </row>
    <row r="163" spans="1:20" hidden="1" x14ac:dyDescent="0.2">
      <c r="A163" s="16" t="str">
        <f t="shared" si="38"/>
        <v>CUSTO DMA -ALISSON COSTA ARRAIS- MAIO 26</v>
      </c>
      <c r="B163" s="18">
        <v>46143</v>
      </c>
      <c r="C163" s="3">
        <v>817391</v>
      </c>
      <c r="D163" s="24" t="s">
        <v>474</v>
      </c>
      <c r="E163" s="14">
        <f t="shared" si="43"/>
        <v>-1399.66</v>
      </c>
      <c r="F163" s="3" t="s">
        <v>363</v>
      </c>
      <c r="G163" s="18">
        <v>46143</v>
      </c>
      <c r="H163" s="26">
        <v>144310</v>
      </c>
      <c r="I163" s="3" t="str">
        <f>VLOOKUP(H163,'[1]Base de Clientes'!$B:$E,4,0)</f>
        <v>BW GESTAO DE INVESTIMENTOS LTDA</v>
      </c>
      <c r="J163" s="5" t="s">
        <v>8</v>
      </c>
      <c r="K163" s="5" t="s">
        <v>63</v>
      </c>
      <c r="L163" s="9">
        <v>1399.66</v>
      </c>
      <c r="M163" s="11" t="s">
        <v>7</v>
      </c>
      <c r="N163" s="13" t="s">
        <v>491</v>
      </c>
      <c r="O163" s="7">
        <v>1</v>
      </c>
      <c r="P163" s="16" t="s">
        <v>429</v>
      </c>
      <c r="Q163" s="4" t="e">
        <f>SUMIFS([2]TT!$F:$F,[2]TT!$A:$A,K163)</f>
        <v>#VALUE!</v>
      </c>
      <c r="R163" s="3"/>
      <c r="T163" s="7"/>
    </row>
    <row r="164" spans="1:20" hidden="1" x14ac:dyDescent="0.25">
      <c r="A164" s="16" t="str">
        <f t="shared" si="38"/>
        <v>CUSTO DMA -FELIPE UNGER- MAIO 26</v>
      </c>
      <c r="B164" s="18">
        <v>46143</v>
      </c>
      <c r="C164" s="3">
        <v>817391</v>
      </c>
      <c r="D164" s="3" t="s">
        <v>405</v>
      </c>
      <c r="E164" s="14">
        <f t="shared" si="43"/>
        <v>-9401.6705000000002</v>
      </c>
      <c r="F164" s="3" t="s">
        <v>363</v>
      </c>
      <c r="G164" s="18">
        <v>46143</v>
      </c>
      <c r="H164" s="19">
        <v>144310</v>
      </c>
      <c r="I164" s="3" t="str">
        <f>VLOOKUP(H164,'[1]Base de Clientes'!$B:$E,4,0)</f>
        <v>BW GESTAO DE INVESTIMENTOS LTDA</v>
      </c>
      <c r="J164" s="5" t="s">
        <v>8</v>
      </c>
      <c r="K164" s="5" t="s">
        <v>70</v>
      </c>
      <c r="L164" s="9">
        <v>9401.6705000000002</v>
      </c>
      <c r="M164" s="11" t="s">
        <v>7</v>
      </c>
      <c r="N164" s="13" t="s">
        <v>491</v>
      </c>
      <c r="O164" s="7">
        <v>1</v>
      </c>
      <c r="P164" s="16" t="s">
        <v>436</v>
      </c>
      <c r="Q164" s="4" t="e">
        <f>SUMIFS([2]TT!$F:$F,[2]TT!$A:$A,K164)</f>
        <v>#VALUE!</v>
      </c>
      <c r="R164" s="3"/>
      <c r="T164" s="7"/>
    </row>
    <row r="165" spans="1:20" hidden="1" x14ac:dyDescent="0.25">
      <c r="A165" s="16" t="str">
        <f t="shared" si="38"/>
        <v>CUSTO DMA -RUY BALIEIRO- MAIO 26</v>
      </c>
      <c r="B165" s="18">
        <v>46143</v>
      </c>
      <c r="C165" s="3">
        <v>817391</v>
      </c>
      <c r="D165" s="3" t="s">
        <v>405</v>
      </c>
      <c r="E165" s="14">
        <f t="shared" si="43"/>
        <v>-9401.6705000000002</v>
      </c>
      <c r="F165" s="3" t="s">
        <v>363</v>
      </c>
      <c r="G165" s="18">
        <v>46143</v>
      </c>
      <c r="H165" s="19">
        <v>144310</v>
      </c>
      <c r="I165" s="3" t="str">
        <f>VLOOKUP(H165,'[1]Base de Clientes'!$B:$E,4,0)</f>
        <v>BW GESTAO DE INVESTIMENTOS LTDA</v>
      </c>
      <c r="J165" s="5" t="s">
        <v>8</v>
      </c>
      <c r="K165" s="5" t="s">
        <v>76</v>
      </c>
      <c r="L165" s="9">
        <v>9401.6705000000002</v>
      </c>
      <c r="M165" s="11" t="s">
        <v>7</v>
      </c>
      <c r="N165" s="13" t="s">
        <v>491</v>
      </c>
      <c r="O165" s="7">
        <v>1</v>
      </c>
      <c r="P165" s="16" t="s">
        <v>442</v>
      </c>
      <c r="Q165" s="4" t="e">
        <f>SUMIFS([2]TT!$F:$F,[2]TT!$A:$A,K165)</f>
        <v>#VALUE!</v>
      </c>
      <c r="R165" s="3"/>
      <c r="T165" s="7"/>
    </row>
    <row r="166" spans="1:20" x14ac:dyDescent="0.2">
      <c r="A166" s="16" t="str">
        <f t="shared" si="38"/>
        <v>CUSTO DMA -RAUL LESSA- MAIO 26</v>
      </c>
      <c r="B166" s="18">
        <v>46143</v>
      </c>
      <c r="C166" s="3">
        <v>817391</v>
      </c>
      <c r="D166" s="24" t="s">
        <v>476</v>
      </c>
      <c r="E166" s="14">
        <f t="shared" si="43"/>
        <v>-2399.0017499999999</v>
      </c>
      <c r="F166" s="3" t="s">
        <v>363</v>
      </c>
      <c r="G166" s="18">
        <v>46143</v>
      </c>
      <c r="H166" s="26">
        <v>80111</v>
      </c>
      <c r="I166" s="3" t="str">
        <f>VLOOKUP(H166,'[1]Base de Clientes'!$B:$E,4,0)</f>
        <v>IBIUNA GESTAO DE RECURSOS LTDA</v>
      </c>
      <c r="J166" s="5" t="s">
        <v>8</v>
      </c>
      <c r="K166" s="5" t="s">
        <v>78</v>
      </c>
      <c r="L166" s="27">
        <v>2399.0017499999999</v>
      </c>
      <c r="M166" s="11" t="s">
        <v>7</v>
      </c>
      <c r="N166" s="13" t="s">
        <v>491</v>
      </c>
      <c r="O166" s="7">
        <v>1</v>
      </c>
      <c r="P166" s="16" t="s">
        <v>444</v>
      </c>
      <c r="Q166" s="4" t="e">
        <f>SUMIFS([2]TT!$F:$F,[2]TT!$A:$A,K166)</f>
        <v>#VALUE!</v>
      </c>
      <c r="R166" s="3"/>
      <c r="T166" s="7"/>
    </row>
    <row r="167" spans="1:20" hidden="1" x14ac:dyDescent="0.2">
      <c r="A167" s="16" t="str">
        <f t="shared" si="38"/>
        <v>CUSTO DMA -DANIEL NAMAN CARDOSO- MAIO 26</v>
      </c>
      <c r="B167" s="18">
        <v>46143</v>
      </c>
      <c r="C167" s="3">
        <v>817391</v>
      </c>
      <c r="D167" s="24" t="s">
        <v>403</v>
      </c>
      <c r="E167" s="14">
        <f t="shared" si="43"/>
        <v>-90.638000000000005</v>
      </c>
      <c r="F167" s="3" t="s">
        <v>363</v>
      </c>
      <c r="G167" s="18">
        <v>46143</v>
      </c>
      <c r="H167" s="26">
        <v>80375</v>
      </c>
      <c r="I167" s="3" t="str">
        <f>VLOOKUP(H167,'[1]Base de Clientes'!$B:$E,4,0)</f>
        <v>ITAU UNIBANCO S/A</v>
      </c>
      <c r="J167" s="5" t="s">
        <v>8</v>
      </c>
      <c r="K167" s="5" t="s">
        <v>67</v>
      </c>
      <c r="L167" s="9">
        <v>90.638000000000005</v>
      </c>
      <c r="M167" s="11" t="s">
        <v>7</v>
      </c>
      <c r="N167" s="13" t="s">
        <v>491</v>
      </c>
      <c r="O167" s="7">
        <v>1</v>
      </c>
      <c r="P167" s="16" t="s">
        <v>433</v>
      </c>
      <c r="Q167" s="4" t="e">
        <f>SUMIFS([2]TT!$F:$F,[2]TT!$A:$A,K167)</f>
        <v>#VALUE!</v>
      </c>
      <c r="R167" s="3"/>
      <c r="T167" s="7"/>
    </row>
    <row r="168" spans="1:20" hidden="1" x14ac:dyDescent="0.25">
      <c r="A168" s="16" t="str">
        <f t="shared" si="38"/>
        <v>CUSTO DMA -SAMUEL SOARES- MAIO 26</v>
      </c>
      <c r="B168" s="18">
        <v>46143</v>
      </c>
      <c r="C168" s="3">
        <v>817391</v>
      </c>
      <c r="D168" s="3" t="s">
        <v>401</v>
      </c>
      <c r="E168" s="14">
        <f t="shared" si="43"/>
        <v>-9809.6179999999986</v>
      </c>
      <c r="F168" s="3" t="s">
        <v>363</v>
      </c>
      <c r="G168" s="18">
        <v>46143</v>
      </c>
      <c r="H168" s="19">
        <v>79806</v>
      </c>
      <c r="I168" s="3" t="str">
        <f>VLOOKUP(H168,'[1]Base de Clientes'!$B:$E,4,0)</f>
        <v>ITAU UNIBANCO S/A</v>
      </c>
      <c r="J168" s="5" t="s">
        <v>8</v>
      </c>
      <c r="K168" s="5" t="s">
        <v>81</v>
      </c>
      <c r="L168" s="9">
        <v>9809.6179999999986</v>
      </c>
      <c r="M168" s="11" t="s">
        <v>7</v>
      </c>
      <c r="N168" s="13" t="s">
        <v>491</v>
      </c>
      <c r="O168" s="7">
        <v>1</v>
      </c>
      <c r="P168" s="16" t="s">
        <v>446</v>
      </c>
      <c r="Q168" s="4" t="e">
        <f>SUMIFS([2]TT!$F:$F,[2]TT!$A:$A,K168)</f>
        <v>#VALUE!</v>
      </c>
      <c r="R168" s="3"/>
      <c r="T168" s="7"/>
    </row>
    <row r="169" spans="1:20" hidden="1" x14ac:dyDescent="0.25">
      <c r="A169" s="16" t="str">
        <f t="shared" si="38"/>
        <v>CUSTO DMA -FREDERIC BROWN- MAIO 26</v>
      </c>
      <c r="B169" s="18">
        <v>46143</v>
      </c>
      <c r="C169" s="3">
        <v>817391</v>
      </c>
      <c r="D169" s="3" t="s">
        <v>401</v>
      </c>
      <c r="E169" s="14">
        <f t="shared" si="43"/>
        <v>-6291.5374999999995</v>
      </c>
      <c r="F169" s="3" t="s">
        <v>363</v>
      </c>
      <c r="G169" s="18">
        <v>46143</v>
      </c>
      <c r="H169" s="19">
        <v>80392</v>
      </c>
      <c r="I169" s="3" t="str">
        <f>VLOOKUP(H169,'[1]Base de Clientes'!$B:$E,4,0)</f>
        <v>KAPITALO INVESTIMENTOS LTDA</v>
      </c>
      <c r="J169" s="5" t="s">
        <v>8</v>
      </c>
      <c r="K169" s="5" t="s">
        <v>69</v>
      </c>
      <c r="L169" s="9">
        <v>6291.5374999999995</v>
      </c>
      <c r="M169" s="11" t="s">
        <v>7</v>
      </c>
      <c r="N169" s="13" t="s">
        <v>491</v>
      </c>
      <c r="O169" s="7">
        <v>1</v>
      </c>
      <c r="P169" s="16" t="s">
        <v>435</v>
      </c>
      <c r="Q169" s="4" t="e">
        <f>SUMIFS([2]TT!$F:$F,[2]TT!$A:$A,K169)</f>
        <v>#VALUE!</v>
      </c>
      <c r="R169" s="3"/>
      <c r="T169" s="7"/>
    </row>
    <row r="170" spans="1:20" hidden="1" x14ac:dyDescent="0.25">
      <c r="A170" s="16" t="str">
        <f t="shared" si="38"/>
        <v>CUSTO DMA -JOAO RAMALHO- MAIO 26</v>
      </c>
      <c r="B170" s="18">
        <v>46143</v>
      </c>
      <c r="C170" s="3">
        <v>817391</v>
      </c>
      <c r="D170" s="3" t="s">
        <v>401</v>
      </c>
      <c r="E170" s="14">
        <f t="shared" si="43"/>
        <v>-9945.6005000000005</v>
      </c>
      <c r="F170" s="3" t="s">
        <v>363</v>
      </c>
      <c r="G170" s="18">
        <v>46143</v>
      </c>
      <c r="H170" s="19">
        <v>12413</v>
      </c>
      <c r="I170" s="3" t="str">
        <f>VLOOKUP(H170,'[1]Base de Clientes'!$B:$E,4,0)</f>
        <v>KAPITALO INVESTIMENTOS LTDA</v>
      </c>
      <c r="J170" s="5" t="s">
        <v>8</v>
      </c>
      <c r="K170" s="5" t="s">
        <v>73</v>
      </c>
      <c r="L170" s="9">
        <v>9945.6005000000005</v>
      </c>
      <c r="M170" s="11" t="s">
        <v>7</v>
      </c>
      <c r="N170" s="13" t="s">
        <v>491</v>
      </c>
      <c r="O170" s="7">
        <v>1</v>
      </c>
      <c r="P170" s="16" t="s">
        <v>439</v>
      </c>
      <c r="Q170" s="4" t="e">
        <f>SUMIFS([2]TT!$F:$F,[2]TT!$A:$A,K170)</f>
        <v>#VALUE!</v>
      </c>
      <c r="R170" s="3"/>
      <c r="T170" s="7"/>
    </row>
    <row r="171" spans="1:20" hidden="1" x14ac:dyDescent="0.2">
      <c r="A171" s="16" t="str">
        <f t="shared" ref="A171" si="44">CONCATENATE(J171,M171,K171,M171,N171)</f>
        <v>CUSTO DMA -RAFAEL POPPE- MAIO 26</v>
      </c>
      <c r="B171" s="18">
        <v>46143</v>
      </c>
      <c r="C171" s="3">
        <v>817391</v>
      </c>
      <c r="D171" s="24" t="s">
        <v>401</v>
      </c>
      <c r="E171" s="14">
        <f t="shared" ref="E171" si="45">-L171*O171</f>
        <v>-224.89400000000001</v>
      </c>
      <c r="F171" s="3" t="s">
        <v>363</v>
      </c>
      <c r="G171" s="18">
        <v>46143</v>
      </c>
      <c r="H171" s="26">
        <v>81778</v>
      </c>
      <c r="I171" s="3" t="str">
        <f>VLOOKUP(H171,'[1]Base de Clientes'!$B:$E,4,0)</f>
        <v>KAPITALO INVESTIMENTOS LTDA</v>
      </c>
      <c r="J171" s="5" t="s">
        <v>8</v>
      </c>
      <c r="K171" s="5" t="s">
        <v>80</v>
      </c>
      <c r="L171" s="9">
        <v>224.89400000000001</v>
      </c>
      <c r="M171" s="11" t="s">
        <v>7</v>
      </c>
      <c r="N171" s="13" t="s">
        <v>491</v>
      </c>
      <c r="O171" s="7">
        <v>1</v>
      </c>
      <c r="P171" s="16" t="s">
        <v>445</v>
      </c>
      <c r="Q171" s="4" t="e">
        <f>SUMIFS([2]TT!$F:$F,[2]TT!$A:$A,K171)</f>
        <v>#VALUE!</v>
      </c>
      <c r="R171" s="3"/>
      <c r="T171" s="7"/>
    </row>
    <row r="172" spans="1:20" hidden="1" x14ac:dyDescent="0.25">
      <c r="A172" s="16" t="str">
        <f t="shared" si="38"/>
        <v>CUSTO DMA -ALEXANDRE RODRIGUES- MAIO 26</v>
      </c>
      <c r="B172" s="18">
        <v>46143</v>
      </c>
      <c r="C172" s="3">
        <v>817391</v>
      </c>
      <c r="D172" s="3" t="s">
        <v>410</v>
      </c>
      <c r="E172" s="14">
        <f t="shared" si="43"/>
        <v>-4940.2539999999999</v>
      </c>
      <c r="F172" s="3" t="s">
        <v>363</v>
      </c>
      <c r="G172" s="18">
        <v>46143</v>
      </c>
      <c r="H172" s="19">
        <v>79931</v>
      </c>
      <c r="I172" s="3" t="str">
        <f>VLOOKUP(H172,'[1]Base de Clientes'!$B:$E,4,0)</f>
        <v>SPX GESTAO DE RECURSOS LTDA</v>
      </c>
      <c r="J172" s="5" t="s">
        <v>8</v>
      </c>
      <c r="K172" s="5" t="s">
        <v>65</v>
      </c>
      <c r="L172" s="9">
        <v>4940.2539999999999</v>
      </c>
      <c r="M172" s="11" t="s">
        <v>7</v>
      </c>
      <c r="N172" s="13" t="s">
        <v>491</v>
      </c>
      <c r="O172" s="7">
        <v>1</v>
      </c>
      <c r="P172" s="16" t="s">
        <v>431</v>
      </c>
      <c r="Q172" s="4" t="e">
        <f>SUMIFS([2]TT!$F:$F,[2]TT!$A:$A,K172)</f>
        <v>#VALUE!</v>
      </c>
      <c r="R172" s="3"/>
      <c r="T172" s="7"/>
    </row>
    <row r="173" spans="1:20" hidden="1" x14ac:dyDescent="0.25">
      <c r="A173" s="16" t="str">
        <f t="shared" ref="A173" si="46">CONCATENATE(J173,M173,K173,M173,N173)</f>
        <v>CUSTO DMA -LUIZ BASQUEIRA- MAIO 26</v>
      </c>
      <c r="B173" s="18">
        <v>46143</v>
      </c>
      <c r="C173" s="3">
        <v>817391</v>
      </c>
      <c r="D173" s="3" t="s">
        <v>402</v>
      </c>
      <c r="E173" s="14">
        <f t="shared" ref="E173" si="47">-L173*O173</f>
        <v>-4653.9607500000002</v>
      </c>
      <c r="F173" s="3" t="s">
        <v>363</v>
      </c>
      <c r="G173" s="18">
        <v>46143</v>
      </c>
      <c r="H173" s="19">
        <v>79931</v>
      </c>
      <c r="I173" s="3" t="str">
        <f>VLOOKUP(H173,'[1]Base de Clientes'!$B:$E,4,0)</f>
        <v>SPX GESTAO DE RECURSOS LTDA</v>
      </c>
      <c r="J173" s="5" t="s">
        <v>8</v>
      </c>
      <c r="K173" s="5" t="s">
        <v>74</v>
      </c>
      <c r="L173" s="9">
        <v>4653.9607500000002</v>
      </c>
      <c r="M173" s="11" t="s">
        <v>7</v>
      </c>
      <c r="N173" s="13" t="s">
        <v>491</v>
      </c>
      <c r="O173" s="7">
        <v>1</v>
      </c>
      <c r="P173" s="16" t="s">
        <v>440</v>
      </c>
      <c r="Q173" s="4" t="e">
        <f>SUMIFS([2]TT!$F:$F,[2]TT!$A:$A,K173)</f>
        <v>#VALUE!</v>
      </c>
      <c r="R173" s="3"/>
      <c r="T173" s="7"/>
    </row>
    <row r="174" spans="1:20" hidden="1" x14ac:dyDescent="0.2">
      <c r="A174" s="16" t="str">
        <f t="shared" si="38"/>
        <v>CUSTO DMA -RODOLFO FERRARI- MAIO 26</v>
      </c>
      <c r="B174" s="18">
        <v>46143</v>
      </c>
      <c r="C174" s="3">
        <v>817391</v>
      </c>
      <c r="D174" s="24" t="s">
        <v>400</v>
      </c>
      <c r="E174" s="14">
        <f t="shared" si="43"/>
        <v>-2581.366</v>
      </c>
      <c r="F174" s="3" t="s">
        <v>363</v>
      </c>
      <c r="G174" s="18">
        <v>46143</v>
      </c>
      <c r="H174" s="26">
        <v>82707</v>
      </c>
      <c r="I174" s="3" t="str">
        <f>VLOOKUP(H174,'[1]Base de Clientes'!$B:$E,4,0)</f>
        <v>BANCO XP S/A</v>
      </c>
      <c r="J174" s="5" t="s">
        <v>8</v>
      </c>
      <c r="K174" s="5" t="s">
        <v>77</v>
      </c>
      <c r="L174" s="9">
        <v>2581.366</v>
      </c>
      <c r="M174" s="11" t="s">
        <v>7</v>
      </c>
      <c r="N174" s="13" t="s">
        <v>491</v>
      </c>
      <c r="O174" s="7">
        <v>1</v>
      </c>
      <c r="P174" s="16" t="s">
        <v>443</v>
      </c>
      <c r="Q174" s="4" t="e">
        <f>SUMIFS([2]TT!$F:$F,[2]TT!$A:$A,K174)</f>
        <v>#VALUE!</v>
      </c>
      <c r="R174" s="3"/>
      <c r="T174" s="7"/>
    </row>
    <row r="175" spans="1:20" hidden="1" x14ac:dyDescent="0.25">
      <c r="A175" s="16" t="str">
        <f t="shared" ref="A175" si="48">CONCATENATE(J175,M175,K175,M175,N175)</f>
        <v>CUSTO DMA -CARLOS MENEZES- MAIO 26</v>
      </c>
      <c r="B175" s="18">
        <v>46143</v>
      </c>
      <c r="C175" s="3">
        <v>817391</v>
      </c>
      <c r="D175" s="3" t="s">
        <v>400</v>
      </c>
      <c r="E175" s="14">
        <f t="shared" si="43"/>
        <v>-56.655000000000001</v>
      </c>
      <c r="F175" s="3" t="s">
        <v>363</v>
      </c>
      <c r="G175" s="18">
        <v>46143</v>
      </c>
      <c r="H175" s="19">
        <v>79258</v>
      </c>
      <c r="I175" s="3" t="str">
        <f>VLOOKUP(H175,'[1]Base de Clientes'!$B:$E,4,0)</f>
        <v>ITAU UNIBANCO S/A</v>
      </c>
      <c r="J175" s="5" t="s">
        <v>8</v>
      </c>
      <c r="K175" s="5" t="s">
        <v>376</v>
      </c>
      <c r="L175" s="9">
        <v>56.655000000000001</v>
      </c>
      <c r="M175" s="11" t="s">
        <v>7</v>
      </c>
      <c r="N175" s="13" t="s">
        <v>491</v>
      </c>
      <c r="O175" s="7">
        <v>1</v>
      </c>
      <c r="P175" s="16" t="s">
        <v>562</v>
      </c>
    </row>
    <row r="176" spans="1:20" hidden="1" x14ac:dyDescent="0.25">
      <c r="A176" s="16" t="str">
        <f t="shared" ref="A176" si="49">CONCATENATE(J176,M176,K176,M176,N176)</f>
        <v>CUSTO DMA -RAFAEL HESSE- MAIO 26</v>
      </c>
      <c r="B176" s="18">
        <v>46143</v>
      </c>
      <c r="C176" s="3">
        <v>817391</v>
      </c>
      <c r="D176" s="3" t="s">
        <v>475</v>
      </c>
      <c r="E176" s="14">
        <f t="shared" si="43"/>
        <v>-1811.972</v>
      </c>
      <c r="F176" s="3" t="s">
        <v>363</v>
      </c>
      <c r="G176" s="18">
        <v>46143</v>
      </c>
      <c r="H176" s="19">
        <v>95005</v>
      </c>
      <c r="I176" s="3" t="s">
        <v>582</v>
      </c>
      <c r="J176" s="5" t="s">
        <v>8</v>
      </c>
      <c r="K176" s="5" t="s">
        <v>498</v>
      </c>
      <c r="L176" s="9">
        <v>1811.972</v>
      </c>
      <c r="M176" s="11" t="s">
        <v>7</v>
      </c>
      <c r="N176" s="13" t="s">
        <v>491</v>
      </c>
      <c r="O176" s="7">
        <v>1</v>
      </c>
      <c r="P176" s="16" t="s">
        <v>508</v>
      </c>
    </row>
    <row r="177" spans="1:16" hidden="1" x14ac:dyDescent="0.25">
      <c r="A177" s="16" t="str">
        <f t="shared" ref="A177" si="50">CONCATENATE(J177,M177,K177,M177,N177)</f>
        <v>CUSTO DMA -DANIEL POMPIANI- MAIO 26</v>
      </c>
      <c r="B177" s="18">
        <v>46143</v>
      </c>
      <c r="C177" s="3">
        <v>817391</v>
      </c>
      <c r="D177" s="3" t="s">
        <v>411</v>
      </c>
      <c r="E177" s="14">
        <f t="shared" si="43"/>
        <v>-1735.5474999999999</v>
      </c>
      <c r="F177" s="3" t="s">
        <v>363</v>
      </c>
      <c r="G177" s="18">
        <v>46143</v>
      </c>
      <c r="H177" s="19">
        <v>80005</v>
      </c>
      <c r="I177" s="3" t="s">
        <v>583</v>
      </c>
      <c r="J177" s="5" t="s">
        <v>8</v>
      </c>
      <c r="K177" s="5" t="s">
        <v>499</v>
      </c>
      <c r="L177" s="9">
        <v>1735.5474999999999</v>
      </c>
      <c r="M177" s="11" t="s">
        <v>7</v>
      </c>
      <c r="N177" s="13" t="s">
        <v>491</v>
      </c>
      <c r="O177" s="7">
        <v>1</v>
      </c>
      <c r="P177" s="16" t="s">
        <v>516</v>
      </c>
    </row>
    <row r="178" spans="1:16" hidden="1" x14ac:dyDescent="0.25">
      <c r="A178" s="16" t="str">
        <f t="shared" ref="A178" si="51">CONCATENATE(J178,M178,K178,M178,N178)</f>
        <v>CUSTO DMA -YURI VERGES- MAIO 26</v>
      </c>
      <c r="B178" s="18">
        <v>46143</v>
      </c>
      <c r="C178" s="3">
        <v>817391</v>
      </c>
      <c r="D178" s="3" t="s">
        <v>401</v>
      </c>
      <c r="E178" s="14">
        <f t="shared" si="43"/>
        <v>-1644.8834999999999</v>
      </c>
      <c r="F178" s="3" t="s">
        <v>363</v>
      </c>
      <c r="G178" s="18">
        <v>46143</v>
      </c>
      <c r="H178" s="19">
        <v>80492</v>
      </c>
      <c r="I178" s="3" t="s">
        <v>584</v>
      </c>
      <c r="J178" s="5" t="s">
        <v>8</v>
      </c>
      <c r="K178" s="5" t="s">
        <v>503</v>
      </c>
      <c r="L178" s="9">
        <v>1644.8834999999999</v>
      </c>
      <c r="M178" s="11" t="s">
        <v>7</v>
      </c>
      <c r="N178" s="13" t="s">
        <v>491</v>
      </c>
      <c r="O178" s="7">
        <v>1</v>
      </c>
      <c r="P178" s="16" t="s">
        <v>526</v>
      </c>
    </row>
  </sheetData>
  <autoFilter ref="A1:P178" xr:uid="{0ECC02B7-9E07-45EE-879F-B936EE5A0F96}">
    <filterColumn colId="3">
      <filters>
        <filter val="ALVARO LUIZ RICOTTA SOARES"/>
      </filters>
    </filterColumn>
  </autoFilter>
  <conditionalFormatting sqref="A2:A178">
    <cfRule type="duplicateValues" dxfId="1" priority="68"/>
  </conditionalFormatting>
  <pageMargins left="0.511811024" right="0.511811024" top="0.78740157499999996" bottom="0.78740157499999996" header="0.31496062000000002" footer="0.31496062000000002"/>
  <pageSetup scale="3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9E57-0F2E-48EA-B2BB-591C98E0D8CF}">
  <sheetPr filterMode="1"/>
  <dimension ref="A1:T167"/>
  <sheetViews>
    <sheetView tabSelected="1" zoomScaleNormal="100" workbookViewId="0">
      <selection activeCell="K158" sqref="K158"/>
    </sheetView>
  </sheetViews>
  <sheetFormatPr defaultRowHeight="11.25" x14ac:dyDescent="0.25"/>
  <cols>
    <col min="1" max="1" width="37.5703125" style="3" customWidth="1"/>
    <col min="2" max="2" width="10.5703125" style="3" customWidth="1"/>
    <col min="3" max="3" width="10.7109375" style="3" bestFit="1" customWidth="1"/>
    <col min="4" max="4" width="30.140625" style="3" customWidth="1"/>
    <col min="5" max="5" width="15.42578125" style="14" customWidth="1"/>
    <col min="6" max="6" width="12.7109375" style="3" customWidth="1"/>
    <col min="7" max="7" width="11" style="3" customWidth="1"/>
    <col min="8" max="8" width="12.28515625" style="3" customWidth="1"/>
    <col min="9" max="9" width="29.28515625" style="3" customWidth="1"/>
    <col min="10" max="10" width="9.140625" style="3" customWidth="1"/>
    <col min="11" max="11" width="22.5703125" style="3" customWidth="1"/>
    <col min="12" max="12" width="13.85546875" style="4" customWidth="1"/>
    <col min="13" max="13" width="9.140625" style="12" customWidth="1"/>
    <col min="14" max="14" width="10.85546875" style="3" customWidth="1"/>
    <col min="15" max="15" width="9.140625" style="8"/>
    <col min="16" max="16" width="30.7109375" style="14" customWidth="1"/>
    <col min="17" max="17" width="27.5703125" style="3" customWidth="1"/>
    <col min="18" max="18" width="12.28515625" style="4" bestFit="1" customWidth="1"/>
    <col min="19" max="20" width="9.140625" style="3" customWidth="1"/>
    <col min="21" max="16384" width="9.140625" style="3"/>
  </cols>
  <sheetData>
    <row r="1" spans="1:20" x14ac:dyDescent="0.25">
      <c r="A1" s="2" t="s">
        <v>1</v>
      </c>
      <c r="B1" s="1" t="s">
        <v>2</v>
      </c>
      <c r="C1" s="2" t="s">
        <v>6</v>
      </c>
      <c r="D1" s="22" t="s">
        <v>0</v>
      </c>
      <c r="E1" s="15" t="s">
        <v>3</v>
      </c>
      <c r="F1" s="17" t="s">
        <v>4</v>
      </c>
      <c r="G1" s="1" t="s">
        <v>5</v>
      </c>
      <c r="H1" s="22" t="s">
        <v>14</v>
      </c>
      <c r="I1" s="3" t="s">
        <v>7</v>
      </c>
      <c r="J1" s="6" t="s">
        <v>9</v>
      </c>
      <c r="K1" s="21" t="s">
        <v>10</v>
      </c>
      <c r="L1" s="20" t="s">
        <v>3</v>
      </c>
      <c r="M1" s="10" t="s">
        <v>11</v>
      </c>
      <c r="N1" s="6" t="s">
        <v>12</v>
      </c>
      <c r="O1" s="23" t="s">
        <v>13</v>
      </c>
      <c r="P1" s="20" t="s">
        <v>530</v>
      </c>
      <c r="R1" s="2" t="s">
        <v>0</v>
      </c>
      <c r="S1" s="2" t="s">
        <v>14</v>
      </c>
      <c r="T1" s="7" t="s">
        <v>13</v>
      </c>
    </row>
    <row r="2" spans="1:20" hidden="1" x14ac:dyDescent="0.25">
      <c r="A2" s="16" t="str">
        <f t="shared" ref="A2:A148" si="0">CONCATENATE(J2,M2,K2,M2,N2)</f>
        <v>CUSTO DMA -ALEXANDRE PALMAS- JUNHO 26</v>
      </c>
      <c r="B2" s="18">
        <v>46174</v>
      </c>
      <c r="C2" s="3">
        <v>817391</v>
      </c>
      <c r="D2" s="3" t="s">
        <v>487</v>
      </c>
      <c r="E2" s="14">
        <f t="shared" ref="E2:E69" si="1">-L2*O2</f>
        <v>-305.60000000000002</v>
      </c>
      <c r="F2" s="3" t="s">
        <v>366</v>
      </c>
      <c r="G2" s="18">
        <v>46174</v>
      </c>
      <c r="H2" s="19">
        <v>80667</v>
      </c>
      <c r="I2" s="3" t="str">
        <f>VLOOKUP(H2,'[1]Base de Clientes'!$B:$E,4,0)</f>
        <v>ACE CAPITAL GESTORA DE RECURSOS LTDA</v>
      </c>
      <c r="J2" s="5" t="s">
        <v>8</v>
      </c>
      <c r="K2" s="5" t="s">
        <v>125</v>
      </c>
      <c r="L2" s="9">
        <v>305.60000000000002</v>
      </c>
      <c r="M2" s="11" t="s">
        <v>7</v>
      </c>
      <c r="N2" s="13" t="s">
        <v>572</v>
      </c>
      <c r="O2" s="7">
        <v>1</v>
      </c>
      <c r="P2" s="16" t="s">
        <v>294</v>
      </c>
      <c r="R2" s="3"/>
      <c r="T2" s="7"/>
    </row>
    <row r="3" spans="1:20" hidden="1" x14ac:dyDescent="0.25">
      <c r="A3" s="16" t="str">
        <f t="shared" si="0"/>
        <v>CUSTO DMA -DANIEL TATSUMI- JUNHO 26</v>
      </c>
      <c r="B3" s="18">
        <v>46174</v>
      </c>
      <c r="C3" s="3">
        <v>817391</v>
      </c>
      <c r="D3" s="3" t="s">
        <v>487</v>
      </c>
      <c r="E3" s="14">
        <f t="shared" si="1"/>
        <v>-1903.104052701203</v>
      </c>
      <c r="F3" s="3" t="s">
        <v>366</v>
      </c>
      <c r="G3" s="18">
        <v>46174</v>
      </c>
      <c r="H3" s="19">
        <v>80667</v>
      </c>
      <c r="I3" s="3" t="str">
        <f>VLOOKUP(H3,'[1]Base de Clientes'!$B:$E,4,0)</f>
        <v>ACE CAPITAL GESTORA DE RECURSOS LTDA</v>
      </c>
      <c r="J3" s="5" t="s">
        <v>8</v>
      </c>
      <c r="K3" s="5" t="s">
        <v>133</v>
      </c>
      <c r="L3" s="9">
        <v>1903.104052701203</v>
      </c>
      <c r="M3" s="11" t="s">
        <v>7</v>
      </c>
      <c r="N3" s="13" t="s">
        <v>572</v>
      </c>
      <c r="O3" s="7">
        <v>1</v>
      </c>
      <c r="P3" s="16" t="s">
        <v>302</v>
      </c>
      <c r="R3" s="3"/>
      <c r="T3" s="7"/>
    </row>
    <row r="4" spans="1:20" hidden="1" x14ac:dyDescent="0.25">
      <c r="A4" s="16" t="str">
        <f t="shared" si="0"/>
        <v>CUSTO DMA -FABRICIO TASCHETTO- JUNHO 26</v>
      </c>
      <c r="B4" s="18">
        <v>46174</v>
      </c>
      <c r="C4" s="3">
        <v>817391</v>
      </c>
      <c r="D4" s="3" t="s">
        <v>487</v>
      </c>
      <c r="E4" s="14">
        <f t="shared" si="1"/>
        <v>-5071.5391065500726</v>
      </c>
      <c r="F4" s="3" t="s">
        <v>366</v>
      </c>
      <c r="G4" s="18">
        <v>46174</v>
      </c>
      <c r="H4" s="19">
        <v>80667</v>
      </c>
      <c r="I4" s="3" t="str">
        <f>VLOOKUP(H4,'[1]Base de Clientes'!$B:$E,4,0)</f>
        <v>ACE CAPITAL GESTORA DE RECURSOS LTDA</v>
      </c>
      <c r="J4" s="5" t="s">
        <v>8</v>
      </c>
      <c r="K4" s="5" t="s">
        <v>141</v>
      </c>
      <c r="L4" s="9">
        <v>5071.5391065500726</v>
      </c>
      <c r="M4" s="11" t="s">
        <v>7</v>
      </c>
      <c r="N4" s="13" t="s">
        <v>572</v>
      </c>
      <c r="O4" s="7">
        <v>1</v>
      </c>
      <c r="P4" s="16" t="s">
        <v>310</v>
      </c>
      <c r="R4" s="3"/>
      <c r="T4" s="7"/>
    </row>
    <row r="5" spans="1:20" hidden="1" x14ac:dyDescent="0.25">
      <c r="A5" s="16" t="str">
        <f t="shared" si="0"/>
        <v>CUSTO DMA -MAIKO CARVALHO BARRETO- JUNHO 26</v>
      </c>
      <c r="B5" s="18">
        <v>46174</v>
      </c>
      <c r="C5" s="3">
        <v>817391</v>
      </c>
      <c r="D5" s="3" t="s">
        <v>487</v>
      </c>
      <c r="E5" s="14">
        <f t="shared" si="1"/>
        <v>-926.90405270120311</v>
      </c>
      <c r="F5" s="3" t="s">
        <v>366</v>
      </c>
      <c r="G5" s="18">
        <v>46174</v>
      </c>
      <c r="H5" s="19">
        <v>80667</v>
      </c>
      <c r="I5" s="3" t="str">
        <f>VLOOKUP(H5,'[1]Base de Clientes'!$B:$E,4,0)</f>
        <v>ACE CAPITAL GESTORA DE RECURSOS LTDA</v>
      </c>
      <c r="J5" s="5" t="s">
        <v>8</v>
      </c>
      <c r="K5" s="5" t="s">
        <v>156</v>
      </c>
      <c r="L5" s="9">
        <v>926.90405270120311</v>
      </c>
      <c r="M5" s="11" t="s">
        <v>7</v>
      </c>
      <c r="N5" s="13" t="s">
        <v>572</v>
      </c>
      <c r="O5" s="7">
        <v>1</v>
      </c>
      <c r="P5" s="16" t="s">
        <v>326</v>
      </c>
      <c r="R5" s="3"/>
      <c r="T5" s="7"/>
    </row>
    <row r="6" spans="1:20" hidden="1" x14ac:dyDescent="0.25">
      <c r="A6" s="16" t="str">
        <f t="shared" si="0"/>
        <v>CUSTO DMA -MATEUS SCHMIDT MATTOS LOPES PEREIRA- JUNHO 26</v>
      </c>
      <c r="B6" s="18">
        <v>46174</v>
      </c>
      <c r="C6" s="3">
        <v>817391</v>
      </c>
      <c r="D6" s="3" t="s">
        <v>487</v>
      </c>
      <c r="E6" s="14">
        <f t="shared" si="1"/>
        <v>-161.95405270120321</v>
      </c>
      <c r="F6" s="3" t="s">
        <v>366</v>
      </c>
      <c r="G6" s="18">
        <v>46174</v>
      </c>
      <c r="H6" s="19">
        <v>80667</v>
      </c>
      <c r="I6" s="3" t="str">
        <f>VLOOKUP(H6,'[1]Base de Clientes'!$B:$E,4,0)</f>
        <v>ACE CAPITAL GESTORA DE RECURSOS LTDA</v>
      </c>
      <c r="J6" s="5" t="s">
        <v>8</v>
      </c>
      <c r="K6" s="5" t="s">
        <v>378</v>
      </c>
      <c r="L6" s="9">
        <v>161.95405270120321</v>
      </c>
      <c r="M6" s="11" t="s">
        <v>7</v>
      </c>
      <c r="N6" s="13" t="s">
        <v>572</v>
      </c>
      <c r="O6" s="7">
        <v>1</v>
      </c>
      <c r="P6" s="16" t="s">
        <v>393</v>
      </c>
      <c r="R6" s="3"/>
      <c r="T6" s="7"/>
    </row>
    <row r="7" spans="1:20" hidden="1" x14ac:dyDescent="0.25">
      <c r="A7" s="16" t="str">
        <f t="shared" si="0"/>
        <v>CUSTO DMA -PEDRO NUNES- JUNHO 26</v>
      </c>
      <c r="B7" s="18">
        <v>46174</v>
      </c>
      <c r="C7" s="3">
        <v>817391</v>
      </c>
      <c r="D7" s="3" t="s">
        <v>487</v>
      </c>
      <c r="E7" s="14">
        <f t="shared" si="1"/>
        <v>-595.78</v>
      </c>
      <c r="F7" s="3" t="s">
        <v>366</v>
      </c>
      <c r="G7" s="18">
        <v>46174</v>
      </c>
      <c r="H7" s="19">
        <v>80667</v>
      </c>
      <c r="I7" s="3" t="str">
        <f>VLOOKUP(H7,'[1]Base de Clientes'!$B:$E,4,0)</f>
        <v>ACE CAPITAL GESTORA DE RECURSOS LTDA</v>
      </c>
      <c r="J7" s="5" t="s">
        <v>8</v>
      </c>
      <c r="K7" s="5" t="s">
        <v>161</v>
      </c>
      <c r="L7" s="9">
        <v>595.78</v>
      </c>
      <c r="M7" s="11" t="s">
        <v>7</v>
      </c>
      <c r="N7" s="13" t="s">
        <v>572</v>
      </c>
      <c r="O7" s="7">
        <v>1</v>
      </c>
      <c r="P7" s="16" t="s">
        <v>331</v>
      </c>
      <c r="R7" s="3"/>
      <c r="T7" s="7"/>
    </row>
    <row r="8" spans="1:20" hidden="1" x14ac:dyDescent="0.2">
      <c r="A8" s="16" t="str">
        <f t="shared" ref="A8" si="2">CONCATENATE(J8,M8,K8,M8,N8)</f>
        <v>CUSTO DMA -RICARDO CATTARUZZI- JUNHO 26</v>
      </c>
      <c r="B8" s="18">
        <v>46174</v>
      </c>
      <c r="C8" s="3">
        <v>817391</v>
      </c>
      <c r="D8" s="24" t="s">
        <v>474</v>
      </c>
      <c r="E8" s="14">
        <f t="shared" ref="E8" si="3">-L8*O8</f>
        <v>-73.452026350601656</v>
      </c>
      <c r="F8" s="3" t="s">
        <v>366</v>
      </c>
      <c r="G8" s="18">
        <v>46174</v>
      </c>
      <c r="H8" s="26">
        <v>80667</v>
      </c>
      <c r="I8" s="3" t="str">
        <f>VLOOKUP(H8,'[1]Base de Clientes'!$B:$E,4,0)</f>
        <v>ACE CAPITAL GESTORA DE RECURSOS LTDA</v>
      </c>
      <c r="J8" s="5" t="s">
        <v>8</v>
      </c>
      <c r="K8" s="5" t="s">
        <v>163</v>
      </c>
      <c r="L8" s="9">
        <v>146.90405270120331</v>
      </c>
      <c r="M8" s="11" t="s">
        <v>7</v>
      </c>
      <c r="N8" s="13" t="s">
        <v>572</v>
      </c>
      <c r="O8" s="7">
        <v>0.5</v>
      </c>
      <c r="P8" s="16" t="s">
        <v>334</v>
      </c>
      <c r="R8" s="3"/>
      <c r="T8" s="7"/>
    </row>
    <row r="9" spans="1:20" hidden="1" x14ac:dyDescent="0.2">
      <c r="A9" s="16" t="str">
        <f t="shared" si="0"/>
        <v>CUSTO DMA -RICARDO CATTARUZZI- JUNHO 26</v>
      </c>
      <c r="B9" s="18">
        <v>46174</v>
      </c>
      <c r="C9" s="3">
        <v>817391</v>
      </c>
      <c r="D9" s="24" t="s">
        <v>404</v>
      </c>
      <c r="E9" s="14">
        <f t="shared" si="1"/>
        <v>-73.452026350601656</v>
      </c>
      <c r="F9" s="3" t="s">
        <v>366</v>
      </c>
      <c r="G9" s="18">
        <v>46174</v>
      </c>
      <c r="H9" s="26">
        <v>80667</v>
      </c>
      <c r="I9" s="3" t="str">
        <f>VLOOKUP(H9,'[1]Base de Clientes'!$B:$E,4,0)</f>
        <v>ACE CAPITAL GESTORA DE RECURSOS LTDA</v>
      </c>
      <c r="J9" s="5" t="s">
        <v>8</v>
      </c>
      <c r="K9" s="5" t="s">
        <v>163</v>
      </c>
      <c r="L9" s="9">
        <v>146.90405270120331</v>
      </c>
      <c r="M9" s="11" t="s">
        <v>7</v>
      </c>
      <c r="N9" s="13" t="s">
        <v>572</v>
      </c>
      <c r="O9" s="7">
        <v>0.5</v>
      </c>
      <c r="P9" s="16" t="s">
        <v>334</v>
      </c>
      <c r="R9" s="3"/>
      <c r="T9" s="7"/>
    </row>
    <row r="10" spans="1:20" hidden="1" x14ac:dyDescent="0.2">
      <c r="A10" s="16" t="str">
        <f t="shared" si="0"/>
        <v>CUSTO DMA -RODRIGO COELHO NETTO GAZE- JUNHO 26</v>
      </c>
      <c r="B10" s="18">
        <v>46174</v>
      </c>
      <c r="C10" s="3">
        <v>817391</v>
      </c>
      <c r="D10" s="24" t="s">
        <v>487</v>
      </c>
      <c r="E10" s="14">
        <f t="shared" si="1"/>
        <v>-146.90405270120331</v>
      </c>
      <c r="F10" s="3" t="s">
        <v>366</v>
      </c>
      <c r="G10" s="18">
        <v>46174</v>
      </c>
      <c r="H10" s="26">
        <v>80667</v>
      </c>
      <c r="I10" s="3" t="str">
        <f>VLOOKUP(H10,'[1]Base de Clientes'!$B:$E,4,0)</f>
        <v>ACE CAPITAL GESTORA DE RECURSOS LTDA</v>
      </c>
      <c r="J10" s="5" t="s">
        <v>8</v>
      </c>
      <c r="K10" s="5" t="s">
        <v>164</v>
      </c>
      <c r="L10" s="9">
        <v>146.90405270120331</v>
      </c>
      <c r="M10" s="11" t="s">
        <v>7</v>
      </c>
      <c r="N10" s="13" t="s">
        <v>572</v>
      </c>
      <c r="O10" s="7">
        <v>1</v>
      </c>
      <c r="P10" s="16" t="s">
        <v>335</v>
      </c>
      <c r="R10" s="3"/>
      <c r="T10" s="7"/>
    </row>
    <row r="11" spans="1:20" hidden="1" x14ac:dyDescent="0.25">
      <c r="A11" s="16" t="str">
        <f t="shared" si="0"/>
        <v>CUSTO DMA -TALES FREIRE- JUNHO 26</v>
      </c>
      <c r="B11" s="18">
        <v>46174</v>
      </c>
      <c r="C11" s="3">
        <v>817391</v>
      </c>
      <c r="D11" s="3" t="s">
        <v>487</v>
      </c>
      <c r="E11" s="14">
        <f t="shared" si="1"/>
        <v>-1427.691832801203</v>
      </c>
      <c r="F11" s="3" t="s">
        <v>366</v>
      </c>
      <c r="G11" s="18">
        <v>46174</v>
      </c>
      <c r="H11" s="19">
        <v>80667</v>
      </c>
      <c r="I11" s="3" t="str">
        <f>VLOOKUP(H11,'[1]Base de Clientes'!$B:$E,4,0)</f>
        <v>ACE CAPITAL GESTORA DE RECURSOS LTDA</v>
      </c>
      <c r="J11" s="5" t="s">
        <v>8</v>
      </c>
      <c r="K11" s="5" t="s">
        <v>174</v>
      </c>
      <c r="L11" s="9">
        <v>1427.691832801203</v>
      </c>
      <c r="M11" s="11" t="s">
        <v>7</v>
      </c>
      <c r="N11" s="13" t="s">
        <v>572</v>
      </c>
      <c r="O11" s="7">
        <v>1</v>
      </c>
      <c r="P11" s="16" t="s">
        <v>346</v>
      </c>
      <c r="R11" s="3"/>
      <c r="T11" s="7"/>
    </row>
    <row r="12" spans="1:20" hidden="1" x14ac:dyDescent="0.25">
      <c r="A12" s="16" t="str">
        <f t="shared" si="0"/>
        <v>CUSTO DMA -THOMAZ FURUKAWA- JUNHO 26</v>
      </c>
      <c r="B12" s="18">
        <v>46174</v>
      </c>
      <c r="C12" s="3">
        <v>817391</v>
      </c>
      <c r="D12" s="3" t="s">
        <v>487</v>
      </c>
      <c r="E12" s="14">
        <f t="shared" si="1"/>
        <v>-665.4671047012032</v>
      </c>
      <c r="F12" s="3" t="s">
        <v>366</v>
      </c>
      <c r="G12" s="18">
        <v>46174</v>
      </c>
      <c r="H12" s="19">
        <v>80667</v>
      </c>
      <c r="I12" s="3" t="str">
        <f>VLOOKUP(H12,'[1]Base de Clientes'!$B:$E,4,0)</f>
        <v>ACE CAPITAL GESTORA DE RECURSOS LTDA</v>
      </c>
      <c r="J12" s="5" t="s">
        <v>8</v>
      </c>
      <c r="K12" s="5" t="s">
        <v>379</v>
      </c>
      <c r="L12" s="9">
        <v>665.4671047012032</v>
      </c>
      <c r="M12" s="11" t="s">
        <v>7</v>
      </c>
      <c r="N12" s="13" t="s">
        <v>572</v>
      </c>
      <c r="O12" s="7">
        <v>1</v>
      </c>
      <c r="P12" s="16" t="s">
        <v>394</v>
      </c>
      <c r="R12" s="3"/>
      <c r="T12" s="7"/>
    </row>
    <row r="13" spans="1:20" hidden="1" x14ac:dyDescent="0.25">
      <c r="A13" s="16" t="str">
        <f t="shared" si="0"/>
        <v>CUSTO DMA -THIAGO KADOBAYASHI- JUNHO 26</v>
      </c>
      <c r="B13" s="18">
        <v>46174</v>
      </c>
      <c r="C13" s="3">
        <v>817391</v>
      </c>
      <c r="D13" s="3" t="s">
        <v>487</v>
      </c>
      <c r="E13" s="14">
        <f t="shared" si="1"/>
        <v>-4193.3246506500727</v>
      </c>
      <c r="F13" s="3" t="s">
        <v>366</v>
      </c>
      <c r="G13" s="18">
        <v>46174</v>
      </c>
      <c r="H13" s="19">
        <v>80667</v>
      </c>
      <c r="I13" s="3" t="str">
        <f>VLOOKUP(H13,'[1]Base de Clientes'!$B:$E,4,0)</f>
        <v>ACE CAPITAL GESTORA DE RECURSOS LTDA</v>
      </c>
      <c r="J13" s="5" t="s">
        <v>8</v>
      </c>
      <c r="K13" s="5" t="s">
        <v>380</v>
      </c>
      <c r="L13" s="9">
        <v>4193.3246506500727</v>
      </c>
      <c r="M13" s="11" t="s">
        <v>7</v>
      </c>
      <c r="N13" s="13" t="s">
        <v>572</v>
      </c>
      <c r="O13" s="7">
        <v>1</v>
      </c>
      <c r="P13" s="16" t="s">
        <v>395</v>
      </c>
      <c r="R13" s="3"/>
      <c r="T13" s="7"/>
    </row>
    <row r="14" spans="1:20" hidden="1" x14ac:dyDescent="0.2">
      <c r="A14" s="16" t="str">
        <f t="shared" si="0"/>
        <v>CUSTO DMA -VICTOR VELOSO- JUNHO 26</v>
      </c>
      <c r="B14" s="18">
        <v>46174</v>
      </c>
      <c r="C14" s="3">
        <v>817391</v>
      </c>
      <c r="D14" s="24" t="s">
        <v>487</v>
      </c>
      <c r="E14" s="14">
        <f t="shared" si="1"/>
        <v>-146.90405270120331</v>
      </c>
      <c r="F14" s="3" t="s">
        <v>366</v>
      </c>
      <c r="G14" s="18">
        <v>46174</v>
      </c>
      <c r="H14" s="19">
        <v>80667</v>
      </c>
      <c r="I14" s="3" t="str">
        <f>VLOOKUP(H14,'[1]Base de Clientes'!$B:$E,4,0)</f>
        <v>ACE CAPITAL GESTORA DE RECURSOS LTDA</v>
      </c>
      <c r="J14" s="5" t="s">
        <v>8</v>
      </c>
      <c r="K14" s="5" t="s">
        <v>183</v>
      </c>
      <c r="L14" s="9">
        <v>146.90405270120331</v>
      </c>
      <c r="M14" s="11" t="s">
        <v>7</v>
      </c>
      <c r="N14" s="13" t="s">
        <v>572</v>
      </c>
      <c r="O14" s="7">
        <v>1</v>
      </c>
      <c r="P14" s="16" t="s">
        <v>357</v>
      </c>
      <c r="R14" s="3"/>
      <c r="T14" s="7"/>
    </row>
    <row r="15" spans="1:20" hidden="1" x14ac:dyDescent="0.25">
      <c r="A15" s="16" t="str">
        <f t="shared" si="0"/>
        <v>CUSTO DMA -ANDRÉ MAMED- JUNHO 26</v>
      </c>
      <c r="B15" s="18">
        <v>46174</v>
      </c>
      <c r="C15" s="3">
        <v>817391</v>
      </c>
      <c r="D15" s="3" t="s">
        <v>475</v>
      </c>
      <c r="E15" s="14">
        <f t="shared" si="1"/>
        <v>-322.20942150120328</v>
      </c>
      <c r="F15" s="3" t="s">
        <v>366</v>
      </c>
      <c r="G15" s="18">
        <v>46174</v>
      </c>
      <c r="H15" s="19">
        <v>82790</v>
      </c>
      <c r="I15" s="3" t="str">
        <f>VLOOKUP(H15,'[1]Base de Clientes'!$B:$E,4,0)</f>
        <v>GARIN INVESTIMENTOS LTDA</v>
      </c>
      <c r="J15" s="5" t="s">
        <v>8</v>
      </c>
      <c r="K15" s="5" t="s">
        <v>122</v>
      </c>
      <c r="L15" s="9">
        <v>322.20942150120328</v>
      </c>
      <c r="M15" s="11" t="s">
        <v>7</v>
      </c>
      <c r="N15" s="13" t="s">
        <v>572</v>
      </c>
      <c r="O15" s="7">
        <v>1</v>
      </c>
      <c r="P15" s="16" t="s">
        <v>291</v>
      </c>
      <c r="R15" s="3"/>
      <c r="T15" s="7"/>
    </row>
    <row r="16" spans="1:20" hidden="1" x14ac:dyDescent="0.2">
      <c r="A16" s="16" t="str">
        <f t="shared" si="0"/>
        <v>CUSTO DMA -ANDRÉ VIEIRA- JUNHO 26</v>
      </c>
      <c r="B16" s="18">
        <v>46174</v>
      </c>
      <c r="C16" s="3">
        <v>817391</v>
      </c>
      <c r="D16" s="24" t="s">
        <v>475</v>
      </c>
      <c r="E16" s="14">
        <f t="shared" si="1"/>
        <v>-146.90405270120331</v>
      </c>
      <c r="F16" s="3" t="s">
        <v>366</v>
      </c>
      <c r="G16" s="18">
        <v>46174</v>
      </c>
      <c r="H16" s="26">
        <v>82753</v>
      </c>
      <c r="I16" s="3" t="str">
        <f>VLOOKUP(H16,'[1]Base de Clientes'!$B:$E,4,0)</f>
        <v>GARIN INVESTIMENTOS LTDA</v>
      </c>
      <c r="J16" s="5" t="s">
        <v>8</v>
      </c>
      <c r="K16" s="5" t="s">
        <v>124</v>
      </c>
      <c r="L16" s="9">
        <v>146.90405270120331</v>
      </c>
      <c r="M16" s="11" t="s">
        <v>7</v>
      </c>
      <c r="N16" s="13" t="s">
        <v>572</v>
      </c>
      <c r="O16" s="7">
        <v>1</v>
      </c>
      <c r="P16" s="16" t="s">
        <v>293</v>
      </c>
      <c r="R16" s="3"/>
      <c r="T16" s="7"/>
    </row>
    <row r="17" spans="1:20" hidden="1" x14ac:dyDescent="0.25">
      <c r="A17" s="16" t="str">
        <f t="shared" si="0"/>
        <v>CUSTO DMA -MATHEUS HENRIQUE DUARTE DOS SANTOS- JUNHO 26</v>
      </c>
      <c r="B17" s="18">
        <v>46174</v>
      </c>
      <c r="C17" s="3">
        <v>817391</v>
      </c>
      <c r="D17" s="3" t="s">
        <v>475</v>
      </c>
      <c r="E17" s="14">
        <f t="shared" si="1"/>
        <v>-220.27077270120321</v>
      </c>
      <c r="F17" s="3" t="s">
        <v>366</v>
      </c>
      <c r="G17" s="18">
        <v>46174</v>
      </c>
      <c r="H17" s="19">
        <v>82790</v>
      </c>
      <c r="I17" s="3" t="str">
        <f>VLOOKUP(H17,'[1]Base de Clientes'!$B:$E,4,0)</f>
        <v>GARIN INVESTIMENTOS LTDA</v>
      </c>
      <c r="J17" s="5" t="s">
        <v>8</v>
      </c>
      <c r="K17" s="5" t="s">
        <v>158</v>
      </c>
      <c r="L17" s="9">
        <v>220.27077270120321</v>
      </c>
      <c r="M17" s="11" t="s">
        <v>7</v>
      </c>
      <c r="N17" s="13" t="s">
        <v>572</v>
      </c>
      <c r="O17" s="7">
        <v>1</v>
      </c>
      <c r="P17" s="16" t="s">
        <v>328</v>
      </c>
      <c r="R17" s="3"/>
      <c r="T17" s="7"/>
    </row>
    <row r="18" spans="1:20" hidden="1" x14ac:dyDescent="0.25">
      <c r="A18" s="16" t="str">
        <f t="shared" si="0"/>
        <v>CUSTO DMA -DANIEL STRUZBERG- JUNHO 26</v>
      </c>
      <c r="B18" s="18">
        <v>46174</v>
      </c>
      <c r="C18" s="3">
        <v>817391</v>
      </c>
      <c r="D18" s="3" t="s">
        <v>470</v>
      </c>
      <c r="E18" s="14">
        <f t="shared" si="1"/>
        <v>-150.39542070120319</v>
      </c>
      <c r="F18" s="3" t="s">
        <v>366</v>
      </c>
      <c r="G18" s="18">
        <v>46174</v>
      </c>
      <c r="H18" s="19">
        <v>81647</v>
      </c>
      <c r="I18" s="3" t="str">
        <f>VLOOKUP(H18,'[1]Base de Clientes'!$B:$E,4,0)</f>
        <v>BOGARI GESTAO DE INVESTIMENTOS LTDA</v>
      </c>
      <c r="J18" s="5" t="s">
        <v>8</v>
      </c>
      <c r="K18" s="5" t="s">
        <v>136</v>
      </c>
      <c r="L18" s="9">
        <v>150.39542070120319</v>
      </c>
      <c r="M18" s="11" t="s">
        <v>7</v>
      </c>
      <c r="N18" s="13" t="s">
        <v>572</v>
      </c>
      <c r="O18" s="7">
        <v>1</v>
      </c>
      <c r="P18" s="16" t="s">
        <v>305</v>
      </c>
      <c r="R18" s="3"/>
      <c r="T18" s="7"/>
    </row>
    <row r="19" spans="1:20" hidden="1" x14ac:dyDescent="0.2">
      <c r="A19" s="16" t="str">
        <f t="shared" si="0"/>
        <v>CUSTO DMA -ANDRE SOARES- JUNHO 26</v>
      </c>
      <c r="B19" s="18">
        <v>46174</v>
      </c>
      <c r="C19" s="3">
        <v>817391</v>
      </c>
      <c r="D19" s="24" t="s">
        <v>488</v>
      </c>
      <c r="E19" s="14">
        <f t="shared" si="1"/>
        <v>-146.90405270120331</v>
      </c>
      <c r="F19" s="3" t="s">
        <v>366</v>
      </c>
      <c r="G19" s="18">
        <v>46174</v>
      </c>
      <c r="H19" s="26">
        <v>80397</v>
      </c>
      <c r="I19" s="3" t="str">
        <f>VLOOKUP(H19,'[1]Base de Clientes'!$B:$E,4,0)</f>
        <v>DYNAMO ADMINISTRACAO DE RECURSOS LTDA</v>
      </c>
      <c r="J19" s="5" t="s">
        <v>8</v>
      </c>
      <c r="K19" s="5" t="s">
        <v>127</v>
      </c>
      <c r="L19" s="9">
        <v>146.90405270120331</v>
      </c>
      <c r="M19" s="11" t="s">
        <v>7</v>
      </c>
      <c r="N19" s="13" t="s">
        <v>572</v>
      </c>
      <c r="O19" s="7">
        <v>1</v>
      </c>
      <c r="P19" s="16" t="s">
        <v>296</v>
      </c>
      <c r="R19" s="3"/>
      <c r="T19" s="7"/>
    </row>
    <row r="20" spans="1:20" hidden="1" x14ac:dyDescent="0.2">
      <c r="A20" s="16" t="str">
        <f t="shared" si="0"/>
        <v>CUSTO DMA -JULIA AZEREDO- JUNHO 26</v>
      </c>
      <c r="B20" s="18">
        <v>46174</v>
      </c>
      <c r="C20" s="3">
        <v>817391</v>
      </c>
      <c r="D20" s="24" t="s">
        <v>488</v>
      </c>
      <c r="E20" s="14">
        <f t="shared" si="1"/>
        <v>-146.90405270120331</v>
      </c>
      <c r="F20" s="3" t="s">
        <v>366</v>
      </c>
      <c r="G20" s="18">
        <v>46174</v>
      </c>
      <c r="H20" s="26">
        <v>80397</v>
      </c>
      <c r="I20" s="3" t="str">
        <f>VLOOKUP(H20,'[1]Base de Clientes'!$B:$E,4,0)</f>
        <v>DYNAMO ADMINISTRACAO DE RECURSOS LTDA</v>
      </c>
      <c r="J20" s="5" t="s">
        <v>8</v>
      </c>
      <c r="K20" s="5" t="s">
        <v>460</v>
      </c>
      <c r="L20" s="9">
        <v>146.90405270120331</v>
      </c>
      <c r="M20" s="11" t="s">
        <v>7</v>
      </c>
      <c r="N20" s="13" t="s">
        <v>572</v>
      </c>
      <c r="O20" s="7">
        <v>1</v>
      </c>
      <c r="P20" s="16" t="s">
        <v>469</v>
      </c>
      <c r="R20" s="3"/>
      <c r="T20" s="7"/>
    </row>
    <row r="21" spans="1:20" hidden="1" x14ac:dyDescent="0.25">
      <c r="A21" s="16" t="str">
        <f t="shared" si="0"/>
        <v>CUSTO DMA -THIAGO DI BLASI- JUNHO 26</v>
      </c>
      <c r="B21" s="18">
        <v>46174</v>
      </c>
      <c r="C21" s="3">
        <v>817391</v>
      </c>
      <c r="D21" s="3" t="s">
        <v>488</v>
      </c>
      <c r="E21" s="14">
        <f t="shared" si="1"/>
        <v>-547.32790270120313</v>
      </c>
      <c r="F21" s="3" t="s">
        <v>366</v>
      </c>
      <c r="G21" s="18">
        <v>46174</v>
      </c>
      <c r="H21" s="19">
        <v>80397</v>
      </c>
      <c r="I21" s="3" t="str">
        <f>VLOOKUP(H21,'[1]Base de Clientes'!$B:$E,4,0)</f>
        <v>DYNAMO ADMINISTRACAO DE RECURSOS LTDA</v>
      </c>
      <c r="J21" s="5" t="s">
        <v>8</v>
      </c>
      <c r="K21" s="5" t="s">
        <v>173</v>
      </c>
      <c r="L21" s="9">
        <v>547.32790270120313</v>
      </c>
      <c r="M21" s="11" t="s">
        <v>7</v>
      </c>
      <c r="N21" s="13" t="s">
        <v>572</v>
      </c>
      <c r="O21" s="7">
        <v>1</v>
      </c>
      <c r="P21" s="16" t="s">
        <v>345</v>
      </c>
      <c r="R21" s="3"/>
      <c r="T21" s="7"/>
    </row>
    <row r="22" spans="1:20" hidden="1" x14ac:dyDescent="0.2">
      <c r="A22" s="16" t="str">
        <f t="shared" si="0"/>
        <v>CUSTO DMA -JOSEPH HOROVITZ- JUNHO 26</v>
      </c>
      <c r="B22" s="18">
        <v>46174</v>
      </c>
      <c r="C22" s="3">
        <v>817391</v>
      </c>
      <c r="D22" s="24" t="s">
        <v>401</v>
      </c>
      <c r="E22" s="14">
        <f t="shared" si="1"/>
        <v>-146.90405270120331</v>
      </c>
      <c r="F22" s="3" t="s">
        <v>366</v>
      </c>
      <c r="G22" s="18">
        <v>46174</v>
      </c>
      <c r="H22" s="26">
        <v>123491</v>
      </c>
      <c r="I22" s="3" t="str">
        <f>VLOOKUP(H22,'[1]Base de Clientes'!$B:$E,4,0)</f>
        <v>GOLDMAN SACHS DO BRASIL BANCO MULTIPLO S/A</v>
      </c>
      <c r="J22" s="5" t="s">
        <v>8</v>
      </c>
      <c r="K22" s="5" t="s">
        <v>148</v>
      </c>
      <c r="L22" s="9">
        <v>146.90405270120331</v>
      </c>
      <c r="M22" s="11" t="s">
        <v>7</v>
      </c>
      <c r="N22" s="13" t="s">
        <v>572</v>
      </c>
      <c r="O22" s="7">
        <v>1</v>
      </c>
      <c r="P22" s="16" t="s">
        <v>317</v>
      </c>
      <c r="R22" s="3"/>
      <c r="T22" s="7"/>
    </row>
    <row r="23" spans="1:20" hidden="1" x14ac:dyDescent="0.2">
      <c r="A23" s="16" t="str">
        <f t="shared" si="0"/>
        <v>CUSTO DMA -LUIZ LOUREIRO- JUNHO 26</v>
      </c>
      <c r="B23" s="18">
        <v>46174</v>
      </c>
      <c r="C23" s="3">
        <v>817391</v>
      </c>
      <c r="D23" s="24" t="s">
        <v>401</v>
      </c>
      <c r="E23" s="14">
        <f t="shared" si="1"/>
        <v>-146.90405270120331</v>
      </c>
      <c r="F23" s="3" t="s">
        <v>366</v>
      </c>
      <c r="G23" s="18">
        <v>46174</v>
      </c>
      <c r="H23" s="26">
        <v>79791</v>
      </c>
      <c r="I23" s="3" t="str">
        <f>VLOOKUP(H23,'[1]Base de Clientes'!$B:$E,4,0)</f>
        <v>GOLDMAN SACHS DO BRASIL BANCO MULTIPLO S/A</v>
      </c>
      <c r="J23" s="5" t="s">
        <v>8</v>
      </c>
      <c r="K23" s="5" t="s">
        <v>154</v>
      </c>
      <c r="L23" s="9">
        <v>146.90405270120331</v>
      </c>
      <c r="M23" s="11" t="s">
        <v>7</v>
      </c>
      <c r="N23" s="13" t="s">
        <v>572</v>
      </c>
      <c r="O23" s="7">
        <v>1</v>
      </c>
      <c r="P23" s="16" t="s">
        <v>324</v>
      </c>
      <c r="R23" s="3"/>
      <c r="T23" s="7"/>
    </row>
    <row r="24" spans="1:20" hidden="1" x14ac:dyDescent="0.2">
      <c r="A24" s="16" t="str">
        <f t="shared" si="0"/>
        <v>CUSTO DMA -HENRIQUE GARCIA- JUNHO 26</v>
      </c>
      <c r="B24" s="18">
        <v>46174</v>
      </c>
      <c r="C24" s="3">
        <v>817391</v>
      </c>
      <c r="D24" s="24" t="s">
        <v>398</v>
      </c>
      <c r="E24" s="14">
        <f t="shared" si="1"/>
        <v>-146.90405270120331</v>
      </c>
      <c r="F24" s="3" t="s">
        <v>366</v>
      </c>
      <c r="G24" s="18">
        <v>46174</v>
      </c>
      <c r="H24" s="26">
        <v>81849</v>
      </c>
      <c r="I24" s="3" t="str">
        <f>VLOOKUP(H24,'[1]Base de Clientes'!$B:$E,4,0)</f>
        <v>IBIUNA GESTAO DE RECURSOS LTDA</v>
      </c>
      <c r="J24" s="5" t="s">
        <v>8</v>
      </c>
      <c r="K24" s="5" t="s">
        <v>143</v>
      </c>
      <c r="L24" s="9">
        <v>146.90405270120331</v>
      </c>
      <c r="M24" s="11" t="s">
        <v>7</v>
      </c>
      <c r="N24" s="13" t="s">
        <v>572</v>
      </c>
      <c r="O24" s="7">
        <v>1</v>
      </c>
      <c r="P24" s="16" t="s">
        <v>312</v>
      </c>
      <c r="R24" s="3"/>
      <c r="T24" s="7"/>
    </row>
    <row r="25" spans="1:20" hidden="1" x14ac:dyDescent="0.2">
      <c r="A25" s="16" t="str">
        <f t="shared" si="0"/>
        <v>CUSTO DMA -LEONARDO PAULO MACHADO- JUNHO 26</v>
      </c>
      <c r="B25" s="18">
        <v>46174</v>
      </c>
      <c r="C25" s="3">
        <v>817391</v>
      </c>
      <c r="D25" s="24" t="s">
        <v>398</v>
      </c>
      <c r="E25" s="14">
        <f t="shared" si="1"/>
        <v>-146.90405270120331</v>
      </c>
      <c r="F25" s="3" t="s">
        <v>366</v>
      </c>
      <c r="G25" s="18">
        <v>46174</v>
      </c>
      <c r="H25" s="26">
        <v>81849</v>
      </c>
      <c r="I25" s="3" t="str">
        <f>VLOOKUP(H25,'[1]Base de Clientes'!$B:$E,4,0)</f>
        <v>IBIUNA GESTAO DE RECURSOS LTDA</v>
      </c>
      <c r="J25" s="5" t="s">
        <v>8</v>
      </c>
      <c r="K25" s="5" t="s">
        <v>153</v>
      </c>
      <c r="L25" s="9">
        <v>146.90405270120331</v>
      </c>
      <c r="M25" s="11" t="s">
        <v>7</v>
      </c>
      <c r="N25" s="13" t="s">
        <v>572</v>
      </c>
      <c r="O25" s="7">
        <v>1</v>
      </c>
      <c r="P25" s="16" t="s">
        <v>323</v>
      </c>
      <c r="R25" s="3"/>
      <c r="T25" s="7"/>
    </row>
    <row r="26" spans="1:20" hidden="1" x14ac:dyDescent="0.25">
      <c r="A26" s="16" t="str">
        <f t="shared" ref="A26" si="4">CONCATENATE(J26,M26,K26,M26,N26)</f>
        <v>CUSTO DMA -ANTONIO GUIMARAES- JUNHO 26</v>
      </c>
      <c r="B26" s="18">
        <v>46174</v>
      </c>
      <c r="C26" s="3">
        <v>817391</v>
      </c>
      <c r="D26" s="3" t="s">
        <v>397</v>
      </c>
      <c r="E26" s="14">
        <f t="shared" ref="E26" si="5">-L26*O26</f>
        <v>-198.68727635060159</v>
      </c>
      <c r="F26" s="3" t="s">
        <v>366</v>
      </c>
      <c r="G26" s="18">
        <v>46174</v>
      </c>
      <c r="H26" s="19">
        <v>82010</v>
      </c>
      <c r="I26" s="3" t="str">
        <f>VLOOKUP(H26,'[1]Base de Clientes'!$B:$E,4,0)</f>
        <v>ITAU UNIBANCO ASSET - JANEIRO</v>
      </c>
      <c r="J26" s="5" t="s">
        <v>8</v>
      </c>
      <c r="K26" s="5" t="s">
        <v>123</v>
      </c>
      <c r="L26" s="9">
        <v>397.37455270120319</v>
      </c>
      <c r="M26" s="11" t="s">
        <v>7</v>
      </c>
      <c r="N26" s="13" t="s">
        <v>572</v>
      </c>
      <c r="O26" s="7">
        <v>0.5</v>
      </c>
      <c r="P26" s="16" t="s">
        <v>292</v>
      </c>
      <c r="R26" s="3"/>
      <c r="T26" s="7"/>
    </row>
    <row r="27" spans="1:20" hidden="1" x14ac:dyDescent="0.25">
      <c r="A27" s="16" t="str">
        <f t="shared" si="0"/>
        <v>CUSTO DMA -ANTONIO GUIMARAES- JUNHO 26</v>
      </c>
      <c r="B27" s="18">
        <v>46174</v>
      </c>
      <c r="C27" s="3">
        <v>817391</v>
      </c>
      <c r="D27" s="3" t="s">
        <v>401</v>
      </c>
      <c r="E27" s="14">
        <f t="shared" si="1"/>
        <v>-198.68727635060159</v>
      </c>
      <c r="F27" s="3" t="s">
        <v>366</v>
      </c>
      <c r="G27" s="18">
        <v>46174</v>
      </c>
      <c r="H27" s="19">
        <v>82010</v>
      </c>
      <c r="I27" s="3" t="str">
        <f>VLOOKUP(H27,'[1]Base de Clientes'!$B:$E,4,0)</f>
        <v>ITAU UNIBANCO ASSET - JANEIRO</v>
      </c>
      <c r="J27" s="5" t="s">
        <v>8</v>
      </c>
      <c r="K27" s="5" t="s">
        <v>123</v>
      </c>
      <c r="L27" s="9">
        <v>397.37455270120319</v>
      </c>
      <c r="M27" s="11" t="s">
        <v>7</v>
      </c>
      <c r="N27" s="13" t="s">
        <v>572</v>
      </c>
      <c r="O27" s="7">
        <v>0.5</v>
      </c>
      <c r="P27" s="16" t="s">
        <v>292</v>
      </c>
      <c r="R27" s="3"/>
      <c r="T27" s="7"/>
    </row>
    <row r="28" spans="1:20" hidden="1" x14ac:dyDescent="0.25">
      <c r="A28" s="16" t="str">
        <f t="shared" ref="A28" si="6">CONCATENATE(J28,M28,K28,M28,N28)</f>
        <v>CUSTO DMA -GABRIEL LIMA - JUNHO 26</v>
      </c>
      <c r="B28" s="18">
        <v>46174</v>
      </c>
      <c r="C28" s="3">
        <v>817391</v>
      </c>
      <c r="D28" s="3" t="s">
        <v>401</v>
      </c>
      <c r="E28" s="14">
        <f t="shared" ref="E28" si="7">-L28*O28</f>
        <v>-278.80405270120332</v>
      </c>
      <c r="F28" s="3" t="s">
        <v>366</v>
      </c>
      <c r="G28" s="18">
        <v>46174</v>
      </c>
      <c r="H28" s="19">
        <v>12413</v>
      </c>
      <c r="I28" s="3" t="str">
        <f>VLOOKUP(H28,'[1]Base de Clientes'!$B:$E,4,0)</f>
        <v>KAPITALO INVESTIMENTOS LTDA</v>
      </c>
      <c r="J28" s="5" t="s">
        <v>8</v>
      </c>
      <c r="K28" s="5" t="s">
        <v>142</v>
      </c>
      <c r="L28" s="9">
        <v>278.80405270120332</v>
      </c>
      <c r="M28" s="11" t="s">
        <v>7</v>
      </c>
      <c r="N28" s="13" t="s">
        <v>572</v>
      </c>
      <c r="O28" s="7">
        <v>1</v>
      </c>
      <c r="P28" s="16" t="s">
        <v>311</v>
      </c>
      <c r="R28" s="3"/>
      <c r="T28" s="7"/>
    </row>
    <row r="29" spans="1:20" hidden="1" x14ac:dyDescent="0.25">
      <c r="A29" s="16" t="str">
        <f t="shared" si="0"/>
        <v>CUSTO DMA -MATHEUS KWON- JUNHO 26</v>
      </c>
      <c r="B29" s="18">
        <v>46174</v>
      </c>
      <c r="C29" s="3">
        <v>817391</v>
      </c>
      <c r="D29" s="3" t="s">
        <v>401</v>
      </c>
      <c r="E29" s="14">
        <f t="shared" si="1"/>
        <v>-787.45405270120318</v>
      </c>
      <c r="F29" s="3" t="s">
        <v>366</v>
      </c>
      <c r="G29" s="18">
        <v>46174</v>
      </c>
      <c r="H29" s="19">
        <v>12413</v>
      </c>
      <c r="I29" s="3" t="str">
        <f>VLOOKUP(H29,'[1]Base de Clientes'!$B:$E,4,0)</f>
        <v>KAPITALO INVESTIMENTOS LTDA</v>
      </c>
      <c r="J29" s="5" t="s">
        <v>8</v>
      </c>
      <c r="K29" s="5" t="s">
        <v>155</v>
      </c>
      <c r="L29" s="9">
        <v>787.45405270120318</v>
      </c>
      <c r="M29" s="11" t="s">
        <v>7</v>
      </c>
      <c r="N29" s="13" t="s">
        <v>572</v>
      </c>
      <c r="O29" s="7">
        <v>1</v>
      </c>
      <c r="P29" s="16" t="s">
        <v>325</v>
      </c>
      <c r="R29" s="3"/>
      <c r="T29" s="7"/>
    </row>
    <row r="30" spans="1:20" hidden="1" x14ac:dyDescent="0.25">
      <c r="A30" s="16" t="str">
        <f t="shared" si="0"/>
        <v>CUSTO DMA -RODRIGO LIVIANU- JUNHO 26</v>
      </c>
      <c r="B30" s="18">
        <v>46174</v>
      </c>
      <c r="C30" s="3">
        <v>817391</v>
      </c>
      <c r="D30" s="3" t="s">
        <v>401</v>
      </c>
      <c r="E30" s="14">
        <f t="shared" si="1"/>
        <v>-796.10405270120316</v>
      </c>
      <c r="F30" s="3" t="s">
        <v>366</v>
      </c>
      <c r="G30" s="18">
        <v>46174</v>
      </c>
      <c r="H30" s="19">
        <v>12413</v>
      </c>
      <c r="I30" s="3" t="str">
        <f>VLOOKUP(H30,'[1]Base de Clientes'!$B:$E,4,0)</f>
        <v>KAPITALO INVESTIMENTOS LTDA</v>
      </c>
      <c r="J30" s="5" t="s">
        <v>8</v>
      </c>
      <c r="K30" s="5" t="s">
        <v>165</v>
      </c>
      <c r="L30" s="9">
        <v>796.10405270120316</v>
      </c>
      <c r="M30" s="11" t="s">
        <v>7</v>
      </c>
      <c r="N30" s="13" t="s">
        <v>572</v>
      </c>
      <c r="O30" s="7">
        <v>1</v>
      </c>
      <c r="P30" s="16" t="s">
        <v>337</v>
      </c>
      <c r="R30" s="3"/>
      <c r="T30" s="7"/>
    </row>
    <row r="31" spans="1:20" hidden="1" x14ac:dyDescent="0.25">
      <c r="A31" s="16" t="str">
        <f t="shared" si="0"/>
        <v>CUSTO DMA -CARLO MORATELLI- JUNHO 26</v>
      </c>
      <c r="B31" s="18">
        <v>46174</v>
      </c>
      <c r="C31" s="3">
        <v>817391</v>
      </c>
      <c r="D31" s="3" t="s">
        <v>486</v>
      </c>
      <c r="E31" s="14">
        <f t="shared" si="1"/>
        <v>-48.06</v>
      </c>
      <c r="F31" s="3" t="s">
        <v>366</v>
      </c>
      <c r="G31" s="18">
        <v>46174</v>
      </c>
      <c r="H31" s="19">
        <v>83031</v>
      </c>
      <c r="I31" s="3" t="str">
        <f>VLOOKUP(H31,'[1]Base de Clientes'!$B:$E,4,0)</f>
        <v>MORE INVEST GESTORA DE RECURSOS LTDA</v>
      </c>
      <c r="J31" s="5" t="s">
        <v>8</v>
      </c>
      <c r="K31" s="5" t="s">
        <v>131</v>
      </c>
      <c r="L31" s="9">
        <v>48.06</v>
      </c>
      <c r="M31" s="11" t="s">
        <v>7</v>
      </c>
      <c r="N31" s="13" t="s">
        <v>572</v>
      </c>
      <c r="O31" s="7">
        <v>1</v>
      </c>
      <c r="P31" s="16" t="s">
        <v>300</v>
      </c>
      <c r="R31" s="3"/>
      <c r="T31" s="7"/>
    </row>
    <row r="32" spans="1:20" hidden="1" x14ac:dyDescent="0.25">
      <c r="A32" s="16" t="str">
        <f t="shared" si="0"/>
        <v>CUSTO DMA -JOSÉ PEDRO BORGES- JUNHO 26</v>
      </c>
      <c r="B32" s="18">
        <v>46174</v>
      </c>
      <c r="C32" s="3">
        <v>817391</v>
      </c>
      <c r="D32" s="3" t="s">
        <v>486</v>
      </c>
      <c r="E32" s="14">
        <f t="shared" si="1"/>
        <v>-241.56792270120329</v>
      </c>
      <c r="F32" s="3" t="s">
        <v>366</v>
      </c>
      <c r="G32" s="18">
        <v>46174</v>
      </c>
      <c r="H32" s="19">
        <v>82818</v>
      </c>
      <c r="I32" s="3" t="str">
        <f>VLOOKUP(H32,'[1]Base de Clientes'!$B:$E,4,0)</f>
        <v>MORE INVEST GESTORA DE RECURSOS LTDA</v>
      </c>
      <c r="J32" s="5" t="s">
        <v>8</v>
      </c>
      <c r="K32" s="5" t="s">
        <v>147</v>
      </c>
      <c r="L32" s="9">
        <v>241.56792270120329</v>
      </c>
      <c r="M32" s="11" t="s">
        <v>7</v>
      </c>
      <c r="N32" s="13" t="s">
        <v>572</v>
      </c>
      <c r="O32" s="7">
        <v>1</v>
      </c>
      <c r="P32" s="16" t="s">
        <v>316</v>
      </c>
      <c r="R32" s="3"/>
      <c r="T32" s="7"/>
    </row>
    <row r="33" spans="1:20" hidden="1" x14ac:dyDescent="0.25">
      <c r="A33" s="16" t="str">
        <f t="shared" si="0"/>
        <v>CUSTO DMA -MARCELO MARQUES- JUNHO 26</v>
      </c>
      <c r="B33" s="18">
        <v>46174</v>
      </c>
      <c r="C33" s="3">
        <v>817391</v>
      </c>
      <c r="D33" s="3" t="s">
        <v>486</v>
      </c>
      <c r="E33" s="14">
        <f t="shared" si="1"/>
        <v>-304.06570820120328</v>
      </c>
      <c r="F33" s="3" t="s">
        <v>366</v>
      </c>
      <c r="G33" s="18">
        <v>46174</v>
      </c>
      <c r="H33" s="19">
        <v>82901</v>
      </c>
      <c r="I33" s="3" t="str">
        <f>VLOOKUP(H33,'[1]Base de Clientes'!$B:$E,4,0)</f>
        <v>MORE INVEST GESTORA DE RECURSOS LTDA</v>
      </c>
      <c r="J33" s="5" t="s">
        <v>8</v>
      </c>
      <c r="K33" s="5" t="s">
        <v>160</v>
      </c>
      <c r="L33" s="9">
        <v>304.06570820120328</v>
      </c>
      <c r="M33" s="11" t="s">
        <v>7</v>
      </c>
      <c r="N33" s="13" t="s">
        <v>572</v>
      </c>
      <c r="O33" s="7">
        <v>1</v>
      </c>
      <c r="P33" s="16" t="s">
        <v>330</v>
      </c>
      <c r="R33" s="3"/>
      <c r="T33" s="7"/>
    </row>
    <row r="34" spans="1:20" hidden="1" x14ac:dyDescent="0.2">
      <c r="A34" s="16" t="str">
        <f t="shared" si="0"/>
        <v>CUSTO DMA -RODRIGO ALVES BRAGA- JUNHO 26</v>
      </c>
      <c r="B34" s="18">
        <v>46174</v>
      </c>
      <c r="C34" s="3">
        <v>817391</v>
      </c>
      <c r="D34" s="24" t="s">
        <v>486</v>
      </c>
      <c r="E34" s="14">
        <f t="shared" si="1"/>
        <v>-146.90405270120331</v>
      </c>
      <c r="F34" s="3" t="s">
        <v>366</v>
      </c>
      <c r="G34" s="18">
        <v>46174</v>
      </c>
      <c r="H34" s="19">
        <v>12404</v>
      </c>
      <c r="I34" s="3" t="str">
        <f>VLOOKUP(H34,'[1]Base de Clientes'!$B:$E,4,0)</f>
        <v>MORE INVEST GESTORA DE RECURSOS LTDA</v>
      </c>
      <c r="J34" s="5" t="s">
        <v>8</v>
      </c>
      <c r="K34" s="5" t="s">
        <v>167</v>
      </c>
      <c r="L34" s="9">
        <v>146.90405270120331</v>
      </c>
      <c r="M34" s="11" t="s">
        <v>7</v>
      </c>
      <c r="N34" s="13" t="s">
        <v>572</v>
      </c>
      <c r="O34" s="7">
        <v>1</v>
      </c>
      <c r="P34" s="16" t="s">
        <v>339</v>
      </c>
      <c r="R34" s="3"/>
      <c r="T34" s="7"/>
    </row>
    <row r="35" spans="1:20" hidden="1" x14ac:dyDescent="0.25">
      <c r="A35" s="16" t="str">
        <f t="shared" si="0"/>
        <v>CUSTO DMA -YURI DE OLIVEIRA BIALOSKORSKI - JUNHO 26</v>
      </c>
      <c r="B35" s="18">
        <v>46174</v>
      </c>
      <c r="C35" s="3">
        <v>817391</v>
      </c>
      <c r="D35" s="3" t="s">
        <v>486</v>
      </c>
      <c r="E35" s="14">
        <f t="shared" si="1"/>
        <v>-236.0200527012033</v>
      </c>
      <c r="F35" s="3" t="s">
        <v>366</v>
      </c>
      <c r="G35" s="18">
        <v>46174</v>
      </c>
      <c r="H35" s="19">
        <v>82967</v>
      </c>
      <c r="I35" s="3" t="str">
        <f>VLOOKUP(H35,'[1]Base de Clientes'!$B:$E,4,0)</f>
        <v>MORE INVEST GESTORA DE RECURSOS LTDA</v>
      </c>
      <c r="J35" s="5" t="s">
        <v>8</v>
      </c>
      <c r="K35" s="5" t="s">
        <v>186</v>
      </c>
      <c r="L35" s="9">
        <v>236.0200527012033</v>
      </c>
      <c r="M35" s="11" t="s">
        <v>7</v>
      </c>
      <c r="N35" s="13" t="s">
        <v>572</v>
      </c>
      <c r="O35" s="7">
        <v>1</v>
      </c>
      <c r="P35" s="16" t="s">
        <v>361</v>
      </c>
      <c r="R35" s="3"/>
      <c r="T35" s="7"/>
    </row>
    <row r="36" spans="1:20" hidden="1" x14ac:dyDescent="0.25">
      <c r="A36" s="16" t="str">
        <f t="shared" si="0"/>
        <v>CUSTO DMA -THIAGO SANTOS- JUNHO 26</v>
      </c>
      <c r="B36" s="18">
        <v>46174</v>
      </c>
      <c r="C36" s="3">
        <v>817391</v>
      </c>
      <c r="D36" s="3" t="s">
        <v>397</v>
      </c>
      <c r="E36" s="14">
        <f t="shared" si="1"/>
        <v>-162.70545670120319</v>
      </c>
      <c r="F36" s="3" t="s">
        <v>366</v>
      </c>
      <c r="G36" s="18">
        <v>46174</v>
      </c>
      <c r="H36" s="19">
        <v>80389</v>
      </c>
      <c r="I36" s="3" t="str">
        <f>VLOOKUP(H36,'[1]Base de Clientes'!$B:$E,4,0)</f>
        <v>NAVI CAPITAL ADMINISTRADORA E GESTORA DE RECURSOS FINANCEIRO</v>
      </c>
      <c r="J36" s="5" t="s">
        <v>8</v>
      </c>
      <c r="K36" s="5" t="s">
        <v>179</v>
      </c>
      <c r="L36" s="9">
        <v>162.70545670120319</v>
      </c>
      <c r="M36" s="11" t="s">
        <v>7</v>
      </c>
      <c r="N36" s="13" t="s">
        <v>572</v>
      </c>
      <c r="O36" s="7">
        <v>1</v>
      </c>
      <c r="P36" s="16" t="s">
        <v>352</v>
      </c>
      <c r="R36" s="3"/>
      <c r="T36" s="7"/>
    </row>
    <row r="37" spans="1:20" hidden="1" x14ac:dyDescent="0.25">
      <c r="A37" s="16" t="str">
        <f t="shared" si="0"/>
        <v>CUSTO DMA -DANIEL VITOR SALOMÃO- JUNHO 26</v>
      </c>
      <c r="B37" s="18">
        <v>46174</v>
      </c>
      <c r="C37" s="3">
        <v>817391</v>
      </c>
      <c r="D37" s="3" t="s">
        <v>487</v>
      </c>
      <c r="E37" s="14">
        <f t="shared" si="1"/>
        <v>-672.90405270120323</v>
      </c>
      <c r="F37" s="3" t="s">
        <v>366</v>
      </c>
      <c r="G37" s="18">
        <v>46174</v>
      </c>
      <c r="H37" s="19">
        <v>79581</v>
      </c>
      <c r="I37" s="3" t="str">
        <f>VLOOKUP(H37,'[1]Base de Clientes'!$B:$E,4,0)</f>
        <v>OURIBANK S.A. BANCO MULTIPLO</v>
      </c>
      <c r="J37" s="5" t="s">
        <v>8</v>
      </c>
      <c r="K37" s="5" t="s">
        <v>135</v>
      </c>
      <c r="L37" s="9">
        <v>672.90405270120323</v>
      </c>
      <c r="M37" s="11" t="s">
        <v>7</v>
      </c>
      <c r="N37" s="13" t="s">
        <v>572</v>
      </c>
      <c r="O37" s="7">
        <v>1</v>
      </c>
      <c r="P37" s="16" t="s">
        <v>304</v>
      </c>
      <c r="R37" s="3"/>
      <c r="T37" s="7"/>
    </row>
    <row r="38" spans="1:20" hidden="1" x14ac:dyDescent="0.25">
      <c r="A38" s="16" t="str">
        <f t="shared" si="0"/>
        <v>CUSTO DMA -IGOR PERRUPATO MATTAR - JUNHO 26</v>
      </c>
      <c r="B38" s="18">
        <v>46174</v>
      </c>
      <c r="C38" s="3">
        <v>817391</v>
      </c>
      <c r="D38" s="3" t="s">
        <v>487</v>
      </c>
      <c r="E38" s="14">
        <f t="shared" si="1"/>
        <v>-329.90405270120323</v>
      </c>
      <c r="F38" s="3" t="s">
        <v>366</v>
      </c>
      <c r="G38" s="18">
        <v>46174</v>
      </c>
      <c r="H38" s="19">
        <v>79581</v>
      </c>
      <c r="I38" s="3" t="str">
        <f>VLOOKUP(H38,'[1]Base de Clientes'!$B:$E,4,0)</f>
        <v>OURIBANK S.A. BANCO MULTIPLO</v>
      </c>
      <c r="J38" s="5" t="s">
        <v>8</v>
      </c>
      <c r="K38" s="5" t="s">
        <v>144</v>
      </c>
      <c r="L38" s="9">
        <v>329.90405270120323</v>
      </c>
      <c r="M38" s="11" t="s">
        <v>7</v>
      </c>
      <c r="N38" s="13" t="s">
        <v>572</v>
      </c>
      <c r="O38" s="7">
        <v>1</v>
      </c>
      <c r="P38" s="16" t="s">
        <v>313</v>
      </c>
      <c r="R38" s="3"/>
      <c r="T38" s="7"/>
    </row>
    <row r="39" spans="1:20" hidden="1" x14ac:dyDescent="0.25">
      <c r="A39" s="16" t="str">
        <f t="shared" si="0"/>
        <v>CUSTO DMA -YGOR QUINHONI FONTES- JUNHO 26</v>
      </c>
      <c r="B39" s="18">
        <v>46174</v>
      </c>
      <c r="C39" s="3">
        <v>817391</v>
      </c>
      <c r="D39" s="3" t="s">
        <v>487</v>
      </c>
      <c r="E39" s="14">
        <f t="shared" si="1"/>
        <v>-299.90405270120323</v>
      </c>
      <c r="F39" s="3" t="s">
        <v>366</v>
      </c>
      <c r="G39" s="18">
        <v>46174</v>
      </c>
      <c r="H39" s="19">
        <v>79581</v>
      </c>
      <c r="I39" s="3" t="str">
        <f>VLOOKUP(H39,'[1]Base de Clientes'!$B:$E,4,0)</f>
        <v>OURIBANK S.A. BANCO MULTIPLO</v>
      </c>
      <c r="J39" s="5" t="s">
        <v>8</v>
      </c>
      <c r="K39" s="5" t="s">
        <v>185</v>
      </c>
      <c r="L39" s="9">
        <v>299.90405270120323</v>
      </c>
      <c r="M39" s="11" t="s">
        <v>7</v>
      </c>
      <c r="N39" s="13" t="s">
        <v>572</v>
      </c>
      <c r="O39" s="7">
        <v>1</v>
      </c>
      <c r="P39" s="16" t="s">
        <v>360</v>
      </c>
      <c r="R39" s="3"/>
      <c r="T39" s="7"/>
    </row>
    <row r="40" spans="1:20" hidden="1" x14ac:dyDescent="0.25">
      <c r="A40" s="16" t="str">
        <f t="shared" si="0"/>
        <v>CUSTO DMA. -RICARDO BERNSTEIN- JUNHO 26</v>
      </c>
      <c r="B40" s="18">
        <v>46174</v>
      </c>
      <c r="C40" s="3">
        <v>817391</v>
      </c>
      <c r="D40" s="3" t="s">
        <v>398</v>
      </c>
      <c r="E40" s="14">
        <f t="shared" si="1"/>
        <v>-146.90405270120331</v>
      </c>
      <c r="F40" s="3" t="s">
        <v>366</v>
      </c>
      <c r="G40" s="18">
        <v>46174</v>
      </c>
      <c r="H40" s="19">
        <v>12296</v>
      </c>
      <c r="I40" s="3" t="str">
        <f>VLOOKUP(H40,'[1]Base de Clientes'!$B:$E,4,0)</f>
        <v>PATRIA INVESTIMENTOS LTDA</v>
      </c>
      <c r="J40" s="5" t="s">
        <v>15</v>
      </c>
      <c r="K40" s="5" t="s">
        <v>83</v>
      </c>
      <c r="L40" s="9">
        <v>146.90405270120331</v>
      </c>
      <c r="M40" s="11" t="s">
        <v>7</v>
      </c>
      <c r="N40" s="13" t="s">
        <v>572</v>
      </c>
      <c r="O40" s="7">
        <v>1</v>
      </c>
      <c r="P40" s="16" t="s">
        <v>336</v>
      </c>
      <c r="R40" s="3"/>
      <c r="T40" s="7"/>
    </row>
    <row r="41" spans="1:20" hidden="1" x14ac:dyDescent="0.25">
      <c r="A41" s="16" t="str">
        <f t="shared" si="0"/>
        <v>CUSTO DMA. -WILLIAM LEITE- JUNHO 26</v>
      </c>
      <c r="B41" s="18">
        <v>46174</v>
      </c>
      <c r="C41" s="3">
        <v>817391</v>
      </c>
      <c r="D41" s="3" t="s">
        <v>398</v>
      </c>
      <c r="E41" s="14">
        <f t="shared" si="1"/>
        <v>-527.58299270120324</v>
      </c>
      <c r="F41" s="3" t="s">
        <v>366</v>
      </c>
      <c r="G41" s="18">
        <v>46174</v>
      </c>
      <c r="H41" s="19">
        <v>12296</v>
      </c>
      <c r="I41" s="3" t="str">
        <f>VLOOKUP(H41,'[1]Base de Clientes'!$B:$E,4,0)</f>
        <v>PATRIA INVESTIMENTOS LTDA</v>
      </c>
      <c r="J41" s="5" t="s">
        <v>15</v>
      </c>
      <c r="K41" s="5" t="s">
        <v>111</v>
      </c>
      <c r="L41" s="9">
        <v>527.58299270120324</v>
      </c>
      <c r="M41" s="11" t="s">
        <v>7</v>
      </c>
      <c r="N41" s="13" t="s">
        <v>572</v>
      </c>
      <c r="O41" s="7">
        <v>1</v>
      </c>
      <c r="P41" s="16" t="s">
        <v>358</v>
      </c>
      <c r="R41" s="3"/>
      <c r="T41" s="7"/>
    </row>
    <row r="42" spans="1:20" hidden="1" x14ac:dyDescent="0.25">
      <c r="A42" s="16" t="str">
        <f t="shared" si="0"/>
        <v>CUSTO DMA -ANDRÉ BLANCO- JUNHO 26</v>
      </c>
      <c r="B42" s="18">
        <v>46174</v>
      </c>
      <c r="C42" s="3">
        <v>817391</v>
      </c>
      <c r="D42" s="3" t="s">
        <v>486</v>
      </c>
      <c r="E42" s="14">
        <f t="shared" si="1"/>
        <v>-108.39976559999999</v>
      </c>
      <c r="F42" s="3" t="s">
        <v>366</v>
      </c>
      <c r="G42" s="18">
        <v>46174</v>
      </c>
      <c r="H42" s="19">
        <v>80217</v>
      </c>
      <c r="I42" s="3" t="str">
        <f>VLOOKUP(H42,'[1]Base de Clientes'!$B:$E,4,0)</f>
        <v>RIO BRAVO INVESTIMENTOS LTDA</v>
      </c>
      <c r="J42" s="5" t="s">
        <v>8</v>
      </c>
      <c r="K42" s="5" t="s">
        <v>118</v>
      </c>
      <c r="L42" s="9">
        <v>108.39976559999999</v>
      </c>
      <c r="M42" s="11" t="s">
        <v>7</v>
      </c>
      <c r="N42" s="13" t="s">
        <v>572</v>
      </c>
      <c r="O42" s="7">
        <v>1</v>
      </c>
      <c r="P42" s="16" t="s">
        <v>287</v>
      </c>
      <c r="R42" s="3"/>
      <c r="T42" s="7"/>
    </row>
    <row r="43" spans="1:20" hidden="1" x14ac:dyDescent="0.2">
      <c r="A43" s="16" t="str">
        <f t="shared" si="0"/>
        <v>CUSTO DMA -ALEXANDRE SALFATIS- JUNHO 26</v>
      </c>
      <c r="B43" s="18">
        <v>46174</v>
      </c>
      <c r="C43" s="3">
        <v>817391</v>
      </c>
      <c r="D43" s="24" t="s">
        <v>405</v>
      </c>
      <c r="E43" s="14">
        <f t="shared" si="1"/>
        <v>-146.90405270120331</v>
      </c>
      <c r="F43" s="3" t="s">
        <v>366</v>
      </c>
      <c r="G43" s="18">
        <v>46174</v>
      </c>
      <c r="H43" s="26">
        <v>79760</v>
      </c>
      <c r="I43" s="3" t="str">
        <f>VLOOKUP(H43,'[1]Base de Clientes'!$B:$E,4,0)</f>
        <v>TAVOLA CAPITAL GESTAO DE RECURSOS LTDA</v>
      </c>
      <c r="J43" s="5" t="s">
        <v>8</v>
      </c>
      <c r="K43" s="5" t="s">
        <v>120</v>
      </c>
      <c r="L43" s="9">
        <v>146.90405270120331</v>
      </c>
      <c r="M43" s="11" t="s">
        <v>7</v>
      </c>
      <c r="N43" s="13" t="s">
        <v>572</v>
      </c>
      <c r="O43" s="7">
        <v>1</v>
      </c>
      <c r="P43" s="16" t="s">
        <v>289</v>
      </c>
      <c r="R43" s="3"/>
      <c r="T43" s="7"/>
    </row>
    <row r="44" spans="1:20" hidden="1" x14ac:dyDescent="0.2">
      <c r="A44" s="16" t="str">
        <f t="shared" si="0"/>
        <v>CUSTO DMA -ENRICO ZEITUNE PASCUCCI- JUNHO 26</v>
      </c>
      <c r="B44" s="18">
        <v>46174</v>
      </c>
      <c r="C44" s="3">
        <v>817391</v>
      </c>
      <c r="D44" s="24" t="s">
        <v>401</v>
      </c>
      <c r="E44" s="14">
        <f t="shared" si="1"/>
        <v>-146.90405270120331</v>
      </c>
      <c r="F44" s="3" t="s">
        <v>366</v>
      </c>
      <c r="G44" s="18">
        <v>46174</v>
      </c>
      <c r="H44" s="26">
        <v>80516</v>
      </c>
      <c r="I44" s="3" t="str">
        <f>VLOOKUP(H44,'[1]Base de Clientes'!$B:$E,4,0)</f>
        <v>BANCO J SAFRA S/A</v>
      </c>
      <c r="J44" s="5" t="s">
        <v>8</v>
      </c>
      <c r="K44" s="5" t="s">
        <v>139</v>
      </c>
      <c r="L44" s="9">
        <v>146.90405270120331</v>
      </c>
      <c r="M44" s="11" t="s">
        <v>7</v>
      </c>
      <c r="N44" s="13" t="s">
        <v>572</v>
      </c>
      <c r="O44" s="7">
        <v>1</v>
      </c>
      <c r="P44" s="16" t="s">
        <v>308</v>
      </c>
      <c r="R44" s="3"/>
      <c r="T44" s="7"/>
    </row>
    <row r="45" spans="1:20" hidden="1" x14ac:dyDescent="0.25">
      <c r="A45" s="16" t="str">
        <f t="shared" si="0"/>
        <v>CUSTO DMA -THIAGO OORTMAN- JUNHO 26</v>
      </c>
      <c r="B45" s="18">
        <v>46174</v>
      </c>
      <c r="C45" s="3">
        <v>817391</v>
      </c>
      <c r="D45" s="3" t="s">
        <v>475</v>
      </c>
      <c r="E45" s="14">
        <f t="shared" si="1"/>
        <v>-510.69630000000012</v>
      </c>
      <c r="F45" s="3" t="s">
        <v>366</v>
      </c>
      <c r="G45" s="18">
        <v>46174</v>
      </c>
      <c r="H45" s="19">
        <v>82241</v>
      </c>
      <c r="I45" s="3" t="str">
        <f>VLOOKUP(H45,'[1]Base de Clientes'!$B:$E,4,0)</f>
        <v>SANTANDER DISTRIBUIDORA DE TITULOS E VALORES MOBILIARIOS S/A</v>
      </c>
      <c r="J45" s="5" t="s">
        <v>8</v>
      </c>
      <c r="K45" s="5" t="s">
        <v>177</v>
      </c>
      <c r="L45" s="9">
        <v>510.69630000000012</v>
      </c>
      <c r="M45" s="11" t="s">
        <v>7</v>
      </c>
      <c r="N45" s="13" t="s">
        <v>572</v>
      </c>
      <c r="O45" s="7">
        <v>1</v>
      </c>
      <c r="P45" s="16" t="s">
        <v>349</v>
      </c>
      <c r="R45" s="3"/>
      <c r="T45" s="7"/>
    </row>
    <row r="46" spans="1:20" hidden="1" x14ac:dyDescent="0.2">
      <c r="A46" s="16" t="str">
        <f t="shared" si="0"/>
        <v>CUSTO DMA -ENRIQUE BALBINO- JUNHO 26</v>
      </c>
      <c r="B46" s="18">
        <v>46174</v>
      </c>
      <c r="C46" s="3">
        <v>817391</v>
      </c>
      <c r="D46" s="24" t="s">
        <v>488</v>
      </c>
      <c r="E46" s="14">
        <f t="shared" si="1"/>
        <v>-146.90405270120331</v>
      </c>
      <c r="F46" s="3" t="s">
        <v>366</v>
      </c>
      <c r="G46" s="18">
        <v>46174</v>
      </c>
      <c r="H46" s="26">
        <v>80515</v>
      </c>
      <c r="I46" s="3" t="str">
        <f>VLOOKUP(H46,'[1]Base de Clientes'!$B:$E,4,0)</f>
        <v>SHARP CAPITAL GESTORA DE RECURSOS LTDA</v>
      </c>
      <c r="J46" s="5" t="s">
        <v>8</v>
      </c>
      <c r="K46" s="5" t="s">
        <v>137</v>
      </c>
      <c r="L46" s="9">
        <v>146.90405270120331</v>
      </c>
      <c r="M46" s="11" t="s">
        <v>7</v>
      </c>
      <c r="N46" s="13" t="s">
        <v>572</v>
      </c>
      <c r="O46" s="7">
        <v>1</v>
      </c>
      <c r="P46" s="16" t="s">
        <v>306</v>
      </c>
      <c r="R46" s="3"/>
      <c r="T46" s="7"/>
    </row>
    <row r="47" spans="1:20" hidden="1" x14ac:dyDescent="0.25">
      <c r="A47" s="16" t="str">
        <f t="shared" si="0"/>
        <v>CUSTO DMA -THEOFILO NETO- JUNHO 26</v>
      </c>
      <c r="B47" s="18">
        <v>46174</v>
      </c>
      <c r="C47" s="3">
        <v>817391</v>
      </c>
      <c r="D47" s="3" t="s">
        <v>488</v>
      </c>
      <c r="E47" s="14">
        <f t="shared" si="1"/>
        <v>-390.99840270120319</v>
      </c>
      <c r="F47" s="3" t="s">
        <v>366</v>
      </c>
      <c r="G47" s="18">
        <v>46174</v>
      </c>
      <c r="H47" s="19">
        <v>80515</v>
      </c>
      <c r="I47" s="3" t="str">
        <f>VLOOKUP(H47,'[1]Base de Clientes'!$B:$E,4,0)</f>
        <v>SHARP CAPITAL GESTORA DE RECURSOS LTDA</v>
      </c>
      <c r="J47" s="5" t="s">
        <v>8</v>
      </c>
      <c r="K47" s="5" t="s">
        <v>176</v>
      </c>
      <c r="L47" s="9">
        <v>390.99840270120319</v>
      </c>
      <c r="M47" s="11" t="s">
        <v>7</v>
      </c>
      <c r="N47" s="13" t="s">
        <v>572</v>
      </c>
      <c r="O47" s="7">
        <v>1</v>
      </c>
      <c r="P47" s="16" t="s">
        <v>348</v>
      </c>
      <c r="R47" s="3"/>
      <c r="T47" s="7"/>
    </row>
    <row r="48" spans="1:20" hidden="1" x14ac:dyDescent="0.25">
      <c r="A48" s="16" t="str">
        <f t="shared" si="0"/>
        <v>CUSTO DMA -RODRIGO NATALI- JUNHO 26</v>
      </c>
      <c r="B48" s="18">
        <v>46174</v>
      </c>
      <c r="C48" s="3">
        <v>817391</v>
      </c>
      <c r="D48" s="3" t="s">
        <v>405</v>
      </c>
      <c r="E48" s="14">
        <f t="shared" si="1"/>
        <v>-2291.1429112012038</v>
      </c>
      <c r="F48" s="3" t="s">
        <v>366</v>
      </c>
      <c r="G48" s="18">
        <v>46174</v>
      </c>
      <c r="H48" s="19">
        <v>82551</v>
      </c>
      <c r="I48" s="3" t="str">
        <f>VLOOKUP(H48,'[1]Base de Clientes'!$B:$E,4,0)</f>
        <v>SKOPOS INVESTIMENTOS LTDA</v>
      </c>
      <c r="J48" s="5" t="s">
        <v>8</v>
      </c>
      <c r="K48" s="5" t="s">
        <v>166</v>
      </c>
      <c r="L48" s="9">
        <v>2291.1429112012038</v>
      </c>
      <c r="M48" s="11" t="s">
        <v>7</v>
      </c>
      <c r="N48" s="13" t="s">
        <v>572</v>
      </c>
      <c r="O48" s="7">
        <v>1</v>
      </c>
      <c r="P48" s="16" t="s">
        <v>338</v>
      </c>
      <c r="R48" s="3"/>
      <c r="T48" s="7"/>
    </row>
    <row r="49" spans="1:20" hidden="1" x14ac:dyDescent="0.25">
      <c r="A49" s="16" t="str">
        <f t="shared" si="0"/>
        <v>CUSTO DMA -THIAGO RICCIOLI BORK- JUNHO 26</v>
      </c>
      <c r="B49" s="18">
        <v>46174</v>
      </c>
      <c r="C49" s="3">
        <v>817391</v>
      </c>
      <c r="D49" s="3" t="s">
        <v>405</v>
      </c>
      <c r="E49" s="14">
        <f t="shared" si="1"/>
        <v>-1007.0691742012031</v>
      </c>
      <c r="F49" s="3" t="s">
        <v>366</v>
      </c>
      <c r="G49" s="18">
        <v>46174</v>
      </c>
      <c r="H49" s="19">
        <v>82551</v>
      </c>
      <c r="I49" s="3" t="str">
        <f>VLOOKUP(H49,'[1]Base de Clientes'!$B:$E,4,0)</f>
        <v>SKOPOS INVESTIMENTOS LTDA</v>
      </c>
      <c r="J49" s="5" t="s">
        <v>8</v>
      </c>
      <c r="K49" s="5" t="s">
        <v>175</v>
      </c>
      <c r="L49" s="9">
        <v>1007.0691742012031</v>
      </c>
      <c r="M49" s="11" t="s">
        <v>7</v>
      </c>
      <c r="N49" s="13" t="s">
        <v>572</v>
      </c>
      <c r="O49" s="7">
        <v>1</v>
      </c>
      <c r="P49" s="16" t="s">
        <v>347</v>
      </c>
      <c r="R49" s="3"/>
      <c r="T49" s="7"/>
    </row>
    <row r="50" spans="1:20" hidden="1" x14ac:dyDescent="0.2">
      <c r="A50" s="16" t="str">
        <f t="shared" si="0"/>
        <v>CUSTO DMA -DANIEL PORTES- JUNHO 26</v>
      </c>
      <c r="B50" s="18">
        <v>46174</v>
      </c>
      <c r="C50" s="3">
        <v>817391</v>
      </c>
      <c r="D50" s="24" t="s">
        <v>480</v>
      </c>
      <c r="E50" s="14">
        <f t="shared" si="1"/>
        <v>-146.90405270120331</v>
      </c>
      <c r="F50" s="3" t="s">
        <v>366</v>
      </c>
      <c r="G50" s="18">
        <v>46174</v>
      </c>
      <c r="H50" s="26">
        <v>81565</v>
      </c>
      <c r="I50" s="3" t="str">
        <f>VLOOKUP(H50,'[1]Base de Clientes'!$B:$E,4,0)</f>
        <v>SPX GESTAO DE RECURSOS LTDA</v>
      </c>
      <c r="J50" s="5" t="s">
        <v>8</v>
      </c>
      <c r="K50" s="5" t="s">
        <v>419</v>
      </c>
      <c r="L50" s="9">
        <v>146.90405270120331</v>
      </c>
      <c r="M50" s="11" t="s">
        <v>7</v>
      </c>
      <c r="N50" s="13" t="s">
        <v>572</v>
      </c>
      <c r="O50" s="7">
        <v>1</v>
      </c>
      <c r="P50" s="16" t="s">
        <v>428</v>
      </c>
      <c r="R50" s="3"/>
      <c r="T50" s="7"/>
    </row>
    <row r="51" spans="1:20" hidden="1" x14ac:dyDescent="0.2">
      <c r="A51" s="16" t="str">
        <f t="shared" si="0"/>
        <v>CUSTO DMA -VITOR BELMIRO- JUNHO 26</v>
      </c>
      <c r="B51" s="18">
        <v>46174</v>
      </c>
      <c r="C51" s="3">
        <v>817391</v>
      </c>
      <c r="D51" s="24" t="s">
        <v>470</v>
      </c>
      <c r="E51" s="14">
        <f t="shared" si="1"/>
        <v>-146.90405270120331</v>
      </c>
      <c r="F51" s="3" t="s">
        <v>366</v>
      </c>
      <c r="G51" s="18">
        <v>46174</v>
      </c>
      <c r="H51" s="26">
        <v>81876</v>
      </c>
      <c r="I51" s="3" t="str">
        <f>VLOOKUP(H51,'[1]Base de Clientes'!$B:$E,4,0)</f>
        <v>STK CAPITAL GESTORA DE RECURSOS LTDA</v>
      </c>
      <c r="J51" s="5" t="s">
        <v>8</v>
      </c>
      <c r="K51" s="5" t="s">
        <v>181</v>
      </c>
      <c r="L51" s="9">
        <v>146.90405270120331</v>
      </c>
      <c r="M51" s="11" t="s">
        <v>7</v>
      </c>
      <c r="N51" s="13" t="s">
        <v>572</v>
      </c>
      <c r="O51" s="7">
        <v>1</v>
      </c>
      <c r="P51" s="16" t="s">
        <v>354</v>
      </c>
      <c r="R51" s="3"/>
      <c r="T51" s="7"/>
    </row>
    <row r="52" spans="1:20" hidden="1" x14ac:dyDescent="0.2">
      <c r="A52" s="16" t="str">
        <f t="shared" si="0"/>
        <v>CUSTO DMA -CARLOS EDUARDO MAIA - JUNHO 26</v>
      </c>
      <c r="B52" s="18">
        <v>46174</v>
      </c>
      <c r="C52" s="3">
        <v>817391</v>
      </c>
      <c r="D52" s="24" t="s">
        <v>408</v>
      </c>
      <c r="E52" s="14">
        <f t="shared" si="1"/>
        <v>-146.90405270120331</v>
      </c>
      <c r="F52" s="3" t="s">
        <v>366</v>
      </c>
      <c r="G52" s="18">
        <v>46174</v>
      </c>
      <c r="H52" s="26">
        <v>12262</v>
      </c>
      <c r="I52" s="3" t="str">
        <f>VLOOKUP(H52,'[1]Base de Clientes'!$B:$E,4,0)</f>
        <v>TEMPO CAPITAL GESTAO DE RECURSOS LTDA</v>
      </c>
      <c r="J52" s="5" t="s">
        <v>8</v>
      </c>
      <c r="K52" s="5" t="s">
        <v>130</v>
      </c>
      <c r="L52" s="9">
        <v>146.90405270120331</v>
      </c>
      <c r="M52" s="11" t="s">
        <v>7</v>
      </c>
      <c r="N52" s="13" t="s">
        <v>572</v>
      </c>
      <c r="O52" s="7">
        <v>1</v>
      </c>
      <c r="P52" s="16" t="s">
        <v>299</v>
      </c>
      <c r="R52" s="3"/>
      <c r="T52" s="7"/>
    </row>
    <row r="53" spans="1:20" hidden="1" x14ac:dyDescent="0.25">
      <c r="A53" s="16" t="str">
        <f t="shared" si="0"/>
        <v>CUSTO DMA -JULIO SAMPAIO- JUNHO 26</v>
      </c>
      <c r="B53" s="18">
        <v>46174</v>
      </c>
      <c r="C53" s="3">
        <v>817391</v>
      </c>
      <c r="D53" s="3" t="s">
        <v>490</v>
      </c>
      <c r="E53" s="14">
        <f t="shared" si="1"/>
        <v>-4.620000000000001</v>
      </c>
      <c r="F53" s="3" t="s">
        <v>366</v>
      </c>
      <c r="G53" s="18">
        <v>46174</v>
      </c>
      <c r="H53" s="19">
        <v>82759</v>
      </c>
      <c r="I53" s="3" t="str">
        <f>VLOOKUP(H53,'[1]Base de Clientes'!$B:$E,4,0)</f>
        <v>TRACK CAPITAL GESTAO DE RECURSOS LTDA</v>
      </c>
      <c r="J53" s="5" t="s">
        <v>8</v>
      </c>
      <c r="K53" s="5" t="s">
        <v>151</v>
      </c>
      <c r="L53" s="9">
        <v>4.620000000000001</v>
      </c>
      <c r="M53" s="11" t="s">
        <v>7</v>
      </c>
      <c r="N53" s="13" t="s">
        <v>572</v>
      </c>
      <c r="O53" s="7">
        <v>1</v>
      </c>
      <c r="P53" s="16" t="s">
        <v>321</v>
      </c>
      <c r="R53" s="3"/>
      <c r="T53" s="7"/>
    </row>
    <row r="54" spans="1:20" hidden="1" x14ac:dyDescent="0.25">
      <c r="A54" s="16" t="str">
        <f t="shared" si="0"/>
        <v>CUSTO DMA -DANILO GALVAO- JUNHO 26</v>
      </c>
      <c r="B54" s="18">
        <v>46174</v>
      </c>
      <c r="C54" s="3">
        <v>817391</v>
      </c>
      <c r="D54" s="3" t="s">
        <v>480</v>
      </c>
      <c r="E54" s="14">
        <f t="shared" si="1"/>
        <v>-1768.2817477012029</v>
      </c>
      <c r="F54" s="3" t="s">
        <v>366</v>
      </c>
      <c r="G54" s="18">
        <v>46174</v>
      </c>
      <c r="H54" s="19">
        <v>12402</v>
      </c>
      <c r="I54" s="3" t="str">
        <f>VLOOKUP(H54,'[1]Base de Clientes'!$B:$E,4,0)</f>
        <v>TRUXT INVESTIMENTOS LTDA</v>
      </c>
      <c r="J54" s="5" t="s">
        <v>8</v>
      </c>
      <c r="K54" s="5" t="s">
        <v>134</v>
      </c>
      <c r="L54" s="9">
        <v>1768.2817477012029</v>
      </c>
      <c r="M54" s="11" t="s">
        <v>7</v>
      </c>
      <c r="N54" s="13" t="s">
        <v>572</v>
      </c>
      <c r="O54" s="7">
        <v>1</v>
      </c>
      <c r="P54" s="16" t="s">
        <v>303</v>
      </c>
      <c r="R54" s="3"/>
      <c r="T54" s="7"/>
    </row>
    <row r="55" spans="1:20" hidden="1" x14ac:dyDescent="0.25">
      <c r="A55" s="16" t="str">
        <f t="shared" si="0"/>
        <v>CUSTO DMA -ULISSES GORITO- JUNHO 26</v>
      </c>
      <c r="B55" s="18">
        <v>46174</v>
      </c>
      <c r="C55" s="3">
        <v>817391</v>
      </c>
      <c r="D55" s="3" t="s">
        <v>488</v>
      </c>
      <c r="E55" s="14">
        <f t="shared" si="1"/>
        <v>-171.33450770120331</v>
      </c>
      <c r="F55" s="3" t="s">
        <v>366</v>
      </c>
      <c r="G55" s="18">
        <v>46174</v>
      </c>
      <c r="H55" s="19">
        <v>12402</v>
      </c>
      <c r="I55" s="3" t="str">
        <f>VLOOKUP(H55,'[1]Base de Clientes'!$B:$E,4,0)</f>
        <v>TRUXT INVESTIMENTOS LTDA</v>
      </c>
      <c r="J55" s="5" t="s">
        <v>8</v>
      </c>
      <c r="K55" s="5" t="s">
        <v>180</v>
      </c>
      <c r="L55" s="9">
        <v>171.33450770120331</v>
      </c>
      <c r="M55" s="11" t="s">
        <v>7</v>
      </c>
      <c r="N55" s="13" t="s">
        <v>572</v>
      </c>
      <c r="O55" s="7">
        <v>1</v>
      </c>
      <c r="P55" s="16" t="s">
        <v>353</v>
      </c>
      <c r="R55" s="3"/>
      <c r="T55" s="7"/>
    </row>
    <row r="56" spans="1:20" hidden="1" x14ac:dyDescent="0.25">
      <c r="A56" s="16" t="str">
        <f t="shared" si="0"/>
        <v>CUSTO DMA -FABIO DANTAS- JUNHO 26</v>
      </c>
      <c r="B56" s="18">
        <v>46174</v>
      </c>
      <c r="C56" s="3">
        <v>817391</v>
      </c>
      <c r="D56" s="3" t="s">
        <v>489</v>
      </c>
      <c r="E56" s="14">
        <f t="shared" si="1"/>
        <v>-301.39476322120322</v>
      </c>
      <c r="F56" s="3" t="s">
        <v>366</v>
      </c>
      <c r="G56" s="18">
        <v>46174</v>
      </c>
      <c r="H56" s="19">
        <v>125565</v>
      </c>
      <c r="I56" s="3" t="str">
        <f>VLOOKUP(H56,'[1]Base de Clientes'!$B:$E,4,0)</f>
        <v>V8 CAPITAL GESTAO DE INVESTIMENTOS LTDA</v>
      </c>
      <c r="J56" s="5" t="s">
        <v>8</v>
      </c>
      <c r="K56" s="5" t="s">
        <v>140</v>
      </c>
      <c r="L56" s="9">
        <v>301.39476322120322</v>
      </c>
      <c r="M56" s="11" t="s">
        <v>7</v>
      </c>
      <c r="N56" s="13" t="s">
        <v>572</v>
      </c>
      <c r="O56" s="7">
        <v>1</v>
      </c>
      <c r="P56" s="16" t="s">
        <v>309</v>
      </c>
      <c r="R56" s="3"/>
      <c r="T56" s="7"/>
    </row>
    <row r="57" spans="1:20" hidden="1" x14ac:dyDescent="0.2">
      <c r="A57" s="16" t="str">
        <f t="shared" si="0"/>
        <v>CUSTO DMA -SERGIO CORDONI- JUNHO 26</v>
      </c>
      <c r="B57" s="18">
        <v>46174</v>
      </c>
      <c r="C57" s="3">
        <v>817391</v>
      </c>
      <c r="D57" s="24" t="s">
        <v>489</v>
      </c>
      <c r="E57" s="14">
        <f t="shared" si="1"/>
        <v>-146.90405270120331</v>
      </c>
      <c r="F57" s="3" t="s">
        <v>366</v>
      </c>
      <c r="G57" s="18">
        <v>46174</v>
      </c>
      <c r="H57" s="26">
        <v>125565</v>
      </c>
      <c r="I57" s="3" t="str">
        <f>VLOOKUP(H57,'[1]Base de Clientes'!$B:$E,4,0)</f>
        <v>V8 CAPITAL GESTAO DE INVESTIMENTOS LTDA</v>
      </c>
      <c r="J57" s="5" t="s">
        <v>8</v>
      </c>
      <c r="K57" s="5" t="s">
        <v>172</v>
      </c>
      <c r="L57" s="9">
        <v>146.90405270120331</v>
      </c>
      <c r="M57" s="11" t="s">
        <v>7</v>
      </c>
      <c r="N57" s="13" t="s">
        <v>572</v>
      </c>
      <c r="O57" s="7">
        <v>1</v>
      </c>
      <c r="P57" s="16" t="s">
        <v>344</v>
      </c>
      <c r="R57" s="3"/>
      <c r="T57" s="7"/>
    </row>
    <row r="58" spans="1:20" hidden="1" x14ac:dyDescent="0.25">
      <c r="A58" s="16" t="str">
        <f t="shared" si="0"/>
        <v>CUSTO DMA -ANDRÉ CALDAS- JUNHO 26</v>
      </c>
      <c r="B58" s="18">
        <v>46174</v>
      </c>
      <c r="C58" s="3">
        <v>817391</v>
      </c>
      <c r="D58" s="3" t="s">
        <v>397</v>
      </c>
      <c r="E58" s="14">
        <f t="shared" si="1"/>
        <v>-111.82545</v>
      </c>
      <c r="F58" s="3" t="s">
        <v>364</v>
      </c>
      <c r="G58" s="18">
        <v>46174</v>
      </c>
      <c r="H58" s="19">
        <v>82748</v>
      </c>
      <c r="I58" s="3" t="str">
        <f>VLOOKUP(H58,'[1]Base de Clientes'!$B:$E,4,0)</f>
        <v>SPRINGS CAPITAL LTDA</v>
      </c>
      <c r="J58" s="5" t="s">
        <v>8</v>
      </c>
      <c r="K58" s="5" t="s">
        <v>84</v>
      </c>
      <c r="L58" s="9">
        <v>111.82545</v>
      </c>
      <c r="M58" s="11" t="s">
        <v>7</v>
      </c>
      <c r="N58" s="13" t="s">
        <v>572</v>
      </c>
      <c r="O58" s="7">
        <v>1</v>
      </c>
      <c r="P58" s="16" t="s">
        <v>253</v>
      </c>
      <c r="R58" s="3"/>
      <c r="T58" s="7"/>
    </row>
    <row r="59" spans="1:20" hidden="1" x14ac:dyDescent="0.2">
      <c r="A59" s="16" t="str">
        <f t="shared" si="0"/>
        <v>CUSTO DMA -BERNARDO ROQUE- JUNHO 26</v>
      </c>
      <c r="B59" s="18">
        <v>46174</v>
      </c>
      <c r="C59" s="3">
        <v>817391</v>
      </c>
      <c r="D59" s="24" t="s">
        <v>403</v>
      </c>
      <c r="E59" s="14">
        <f t="shared" si="1"/>
        <v>-111.82545</v>
      </c>
      <c r="F59" s="3" t="s">
        <v>364</v>
      </c>
      <c r="G59" s="18">
        <v>46174</v>
      </c>
      <c r="H59" s="26">
        <v>125119</v>
      </c>
      <c r="I59" s="3" t="str">
        <f>VLOOKUP(H59,'[1]Base de Clientes'!$B:$E,4,0)</f>
        <v>IRB ASSET MANAGEMENT S/A</v>
      </c>
      <c r="J59" s="5" t="s">
        <v>8</v>
      </c>
      <c r="K59" s="5" t="s">
        <v>458</v>
      </c>
      <c r="L59" s="9">
        <v>111.82545</v>
      </c>
      <c r="M59" s="11" t="s">
        <v>7</v>
      </c>
      <c r="N59" s="13" t="s">
        <v>572</v>
      </c>
      <c r="O59" s="7">
        <v>1</v>
      </c>
      <c r="P59" s="16" t="s">
        <v>467</v>
      </c>
      <c r="R59" s="3"/>
      <c r="T59" s="7"/>
    </row>
    <row r="60" spans="1:20" hidden="1" x14ac:dyDescent="0.2">
      <c r="A60" s="16" t="str">
        <f t="shared" ref="A60" si="8">CONCATENATE(J60,M60,K60,M60,N60)</f>
        <v>CUSTO DMA -RONAN BOTELHO- JUNHO 26</v>
      </c>
      <c r="B60" s="18">
        <v>46174</v>
      </c>
      <c r="C60" s="3">
        <v>817391</v>
      </c>
      <c r="D60" s="24" t="s">
        <v>481</v>
      </c>
      <c r="E60" s="14">
        <f t="shared" ref="E60" si="9">-L60*O60</f>
        <v>-55.912725000000002</v>
      </c>
      <c r="F60" s="3" t="s">
        <v>364</v>
      </c>
      <c r="G60" s="18">
        <v>46174</v>
      </c>
      <c r="H60" s="26">
        <v>83000</v>
      </c>
      <c r="I60" s="3" t="str">
        <f>VLOOKUP(H60,'[1]Base de Clientes'!$B:$E,4,0)</f>
        <v>BRM CARBYNE GESTAO DE RECURSOS S/A</v>
      </c>
      <c r="J60" s="5" t="s">
        <v>8</v>
      </c>
      <c r="K60" s="5" t="s">
        <v>85</v>
      </c>
      <c r="L60" s="9">
        <v>111.82545</v>
      </c>
      <c r="M60" s="11" t="s">
        <v>7</v>
      </c>
      <c r="N60" s="13" t="s">
        <v>572</v>
      </c>
      <c r="O60" s="7">
        <v>0.5</v>
      </c>
      <c r="P60" s="16" t="s">
        <v>254</v>
      </c>
      <c r="R60" s="3"/>
      <c r="T60" s="7"/>
    </row>
    <row r="61" spans="1:20" hidden="1" x14ac:dyDescent="0.2">
      <c r="A61" s="16" t="str">
        <f t="shared" si="0"/>
        <v>CUSTO DMA -RONAN BOTELHO- JUNHO 26</v>
      </c>
      <c r="B61" s="18">
        <v>46174</v>
      </c>
      <c r="C61" s="3">
        <v>817391</v>
      </c>
      <c r="D61" s="24" t="s">
        <v>405</v>
      </c>
      <c r="E61" s="14">
        <f t="shared" si="1"/>
        <v>-55.912725000000002</v>
      </c>
      <c r="F61" s="3" t="s">
        <v>364</v>
      </c>
      <c r="G61" s="18">
        <v>46174</v>
      </c>
      <c r="H61" s="26">
        <v>83000</v>
      </c>
      <c r="I61" s="3" t="str">
        <f>VLOOKUP(H61,'[1]Base de Clientes'!$B:$E,4,0)</f>
        <v>BRM CARBYNE GESTAO DE RECURSOS S/A</v>
      </c>
      <c r="J61" s="5" t="s">
        <v>8</v>
      </c>
      <c r="K61" s="5" t="s">
        <v>85</v>
      </c>
      <c r="L61" s="9">
        <v>111.82545</v>
      </c>
      <c r="M61" s="11" t="s">
        <v>7</v>
      </c>
      <c r="N61" s="13" t="s">
        <v>572</v>
      </c>
      <c r="O61" s="7">
        <v>0.5</v>
      </c>
      <c r="P61" s="16" t="s">
        <v>254</v>
      </c>
      <c r="R61" s="3"/>
      <c r="T61" s="7"/>
    </row>
    <row r="62" spans="1:20" hidden="1" x14ac:dyDescent="0.25">
      <c r="A62" s="16" t="str">
        <f t="shared" si="0"/>
        <v>CUSTO DMA -BRUNO GUEDES- JUNHO 26</v>
      </c>
      <c r="B62" s="18">
        <v>46174</v>
      </c>
      <c r="C62" s="3">
        <v>817391</v>
      </c>
      <c r="D62" s="3" t="s">
        <v>407</v>
      </c>
      <c r="E62" s="14">
        <f t="shared" si="1"/>
        <v>-1291.3217729999999</v>
      </c>
      <c r="F62" s="3" t="s">
        <v>364</v>
      </c>
      <c r="G62" s="18">
        <v>46174</v>
      </c>
      <c r="H62" s="19">
        <v>15501</v>
      </c>
      <c r="I62" s="3" t="str">
        <f>VLOOKUP(H62,'[1]Base de Clientes'!$B:$E,4,0)</f>
        <v>BANCO BTG PACTUAL S/A</v>
      </c>
      <c r="J62" s="5" t="s">
        <v>8</v>
      </c>
      <c r="K62" s="5" t="s">
        <v>86</v>
      </c>
      <c r="L62" s="9">
        <v>1291.3217729999999</v>
      </c>
      <c r="M62" s="11" t="s">
        <v>7</v>
      </c>
      <c r="N62" s="13" t="s">
        <v>572</v>
      </c>
      <c r="O62" s="7">
        <v>1</v>
      </c>
      <c r="P62" s="16" t="s">
        <v>255</v>
      </c>
      <c r="R62" s="3"/>
      <c r="T62" s="7"/>
    </row>
    <row r="63" spans="1:20" hidden="1" x14ac:dyDescent="0.25">
      <c r="A63" s="16" t="str">
        <f t="shared" si="0"/>
        <v>CUSTO DMA -BRUNO PEROTTONI- JUNHO 26</v>
      </c>
      <c r="B63" s="18">
        <v>46174</v>
      </c>
      <c r="C63" s="3">
        <v>817391</v>
      </c>
      <c r="D63" s="3" t="s">
        <v>487</v>
      </c>
      <c r="E63" s="14">
        <f t="shared" si="1"/>
        <v>-832.64481000000012</v>
      </c>
      <c r="F63" s="3" t="s">
        <v>364</v>
      </c>
      <c r="G63" s="18">
        <v>46174</v>
      </c>
      <c r="H63" s="19">
        <v>81794</v>
      </c>
      <c r="I63" s="3" t="str">
        <f>VLOOKUP(H63,'[1]Base de Clientes'!$B:$E,4,0)</f>
        <v>BRAZA BANK S/A BANCO DE CAMBIO</v>
      </c>
      <c r="J63" s="5" t="s">
        <v>8</v>
      </c>
      <c r="K63" s="5" t="s">
        <v>416</v>
      </c>
      <c r="L63" s="9">
        <v>832.64481000000012</v>
      </c>
      <c r="M63" s="11" t="s">
        <v>7</v>
      </c>
      <c r="N63" s="13" t="s">
        <v>572</v>
      </c>
      <c r="O63" s="7">
        <v>1</v>
      </c>
      <c r="P63" s="16" t="s">
        <v>425</v>
      </c>
      <c r="R63" s="3"/>
      <c r="T63" s="7"/>
    </row>
    <row r="64" spans="1:20" hidden="1" x14ac:dyDescent="0.25">
      <c r="A64" s="16" t="str">
        <f t="shared" si="0"/>
        <v>CUSTO DMA -CAIO FONTES- JUNHO 26</v>
      </c>
      <c r="B64" s="18">
        <v>46174</v>
      </c>
      <c r="C64" s="3">
        <v>817391</v>
      </c>
      <c r="D64" s="3" t="s">
        <v>488</v>
      </c>
      <c r="E64" s="14">
        <f t="shared" si="1"/>
        <v>-796.68945000000008</v>
      </c>
      <c r="F64" s="3" t="s">
        <v>364</v>
      </c>
      <c r="G64" s="18">
        <v>46174</v>
      </c>
      <c r="H64" s="19">
        <v>122880</v>
      </c>
      <c r="I64" s="3" t="str">
        <f>VLOOKUP(H64,'[1]Base de Clientes'!$B:$E,4,0)</f>
        <v>BANCO BTG PACTUAL S/A</v>
      </c>
      <c r="J64" s="5" t="s">
        <v>8</v>
      </c>
      <c r="K64" s="5" t="s">
        <v>492</v>
      </c>
      <c r="L64" s="9">
        <v>796.68945000000008</v>
      </c>
      <c r="M64" s="11" t="s">
        <v>7</v>
      </c>
      <c r="N64" s="13" t="s">
        <v>572</v>
      </c>
      <c r="O64" s="7">
        <v>1</v>
      </c>
      <c r="P64" s="16" t="s">
        <v>495</v>
      </c>
      <c r="R64" s="3"/>
      <c r="T64" s="7"/>
    </row>
    <row r="65" spans="1:20" hidden="1" x14ac:dyDescent="0.25">
      <c r="A65" s="16" t="str">
        <f t="shared" si="0"/>
        <v>CUSTO DMA -DANIEL MOTTA CAMARGO- JUNHO 26</v>
      </c>
      <c r="B65" s="18">
        <v>46174</v>
      </c>
      <c r="C65" s="3">
        <v>817391</v>
      </c>
      <c r="D65" s="3" t="s">
        <v>402</v>
      </c>
      <c r="E65" s="14">
        <f t="shared" si="1"/>
        <v>-649.14406200000008</v>
      </c>
      <c r="F65" s="3" t="s">
        <v>364</v>
      </c>
      <c r="G65" s="18">
        <v>46174</v>
      </c>
      <c r="H65" s="19">
        <v>15501</v>
      </c>
      <c r="I65" s="3" t="str">
        <f>VLOOKUP(H65,'[1]Base de Clientes'!$B:$E,4,0)</f>
        <v>BANCO BTG PACTUAL S/A</v>
      </c>
      <c r="J65" s="5" t="s">
        <v>8</v>
      </c>
      <c r="K65" s="5" t="s">
        <v>87</v>
      </c>
      <c r="L65" s="9">
        <v>649.14406200000008</v>
      </c>
      <c r="M65" s="11" t="s">
        <v>7</v>
      </c>
      <c r="N65" s="13" t="s">
        <v>572</v>
      </c>
      <c r="O65" s="7">
        <v>1</v>
      </c>
      <c r="P65" s="16" t="s">
        <v>256</v>
      </c>
      <c r="R65" s="3"/>
      <c r="T65" s="7"/>
    </row>
    <row r="66" spans="1:20" hidden="1" x14ac:dyDescent="0.25">
      <c r="A66" s="16" t="str">
        <f t="shared" si="0"/>
        <v>CUSTO DMA -DANIEL SPILBERG- JUNHO 26</v>
      </c>
      <c r="B66" s="18">
        <v>46174</v>
      </c>
      <c r="C66" s="3">
        <v>817391</v>
      </c>
      <c r="D66" s="3" t="s">
        <v>488</v>
      </c>
      <c r="E66" s="14">
        <f t="shared" si="1"/>
        <v>-1781.18145</v>
      </c>
      <c r="F66" s="3" t="s">
        <v>364</v>
      </c>
      <c r="G66" s="18">
        <v>46174</v>
      </c>
      <c r="H66" s="19">
        <v>122880</v>
      </c>
      <c r="I66" s="3" t="str">
        <f>VLOOKUP(H66,'[1]Base de Clientes'!$B:$E,4,0)</f>
        <v>BANCO BTG PACTUAL S/A</v>
      </c>
      <c r="J66" s="5" t="s">
        <v>8</v>
      </c>
      <c r="K66" s="5" t="s">
        <v>493</v>
      </c>
      <c r="L66" s="9">
        <v>1781.18145</v>
      </c>
      <c r="M66" s="11" t="s">
        <v>7</v>
      </c>
      <c r="N66" s="13" t="s">
        <v>572</v>
      </c>
      <c r="O66" s="7">
        <v>1</v>
      </c>
      <c r="P66" s="16" t="s">
        <v>496</v>
      </c>
      <c r="R66" s="3"/>
      <c r="T66" s="7"/>
    </row>
    <row r="67" spans="1:20" hidden="1" x14ac:dyDescent="0.2">
      <c r="A67" s="16" t="str">
        <f t="shared" si="0"/>
        <v>CUSTO DMA -EDUARDO BRESSAN- JUNHO 26</v>
      </c>
      <c r="B67" s="18">
        <v>46174</v>
      </c>
      <c r="C67" s="3">
        <v>817391</v>
      </c>
      <c r="D67" s="24" t="s">
        <v>471</v>
      </c>
      <c r="E67" s="14">
        <f t="shared" si="1"/>
        <v>-111.82545</v>
      </c>
      <c r="F67" s="3" t="s">
        <v>364</v>
      </c>
      <c r="G67" s="18">
        <v>46174</v>
      </c>
      <c r="H67" s="26">
        <v>15501</v>
      </c>
      <c r="I67" s="3" t="str">
        <f>VLOOKUP(H67,'[1]Base de Clientes'!$B:$E,4,0)</f>
        <v>BANCO BTG PACTUAL S/A</v>
      </c>
      <c r="J67" s="5" t="s">
        <v>8</v>
      </c>
      <c r="K67" s="5" t="s">
        <v>88</v>
      </c>
      <c r="L67" s="9">
        <v>111.82545</v>
      </c>
      <c r="M67" s="11" t="s">
        <v>7</v>
      </c>
      <c r="N67" s="13" t="s">
        <v>572</v>
      </c>
      <c r="O67" s="7">
        <v>1</v>
      </c>
      <c r="P67" s="16" t="s">
        <v>257</v>
      </c>
      <c r="R67" s="3"/>
      <c r="T67" s="7"/>
    </row>
    <row r="68" spans="1:20" hidden="1" x14ac:dyDescent="0.25">
      <c r="A68" s="16" t="str">
        <f t="shared" si="0"/>
        <v>CUSTO DMA -FELIPE BEDIAGA- JUNHO 26</v>
      </c>
      <c r="B68" s="18">
        <v>46174</v>
      </c>
      <c r="C68" s="3">
        <v>817391</v>
      </c>
      <c r="D68" s="3" t="s">
        <v>400</v>
      </c>
      <c r="E68" s="14">
        <f t="shared" si="1"/>
        <v>-347.258151</v>
      </c>
      <c r="F68" s="3" t="s">
        <v>364</v>
      </c>
      <c r="G68" s="18">
        <v>46174</v>
      </c>
      <c r="H68" s="19">
        <v>15501</v>
      </c>
      <c r="I68" s="3" t="str">
        <f>VLOOKUP(H68,'[1]Base de Clientes'!$B:$E,4,0)</f>
        <v>BANCO BTG PACTUAL S/A</v>
      </c>
      <c r="J68" s="5" t="s">
        <v>8</v>
      </c>
      <c r="K68" s="5" t="s">
        <v>89</v>
      </c>
      <c r="L68" s="9">
        <v>347.258151</v>
      </c>
      <c r="M68" s="11" t="s">
        <v>7</v>
      </c>
      <c r="N68" s="13" t="s">
        <v>572</v>
      </c>
      <c r="O68" s="7">
        <v>1</v>
      </c>
      <c r="P68" s="16" t="s">
        <v>258</v>
      </c>
      <c r="R68" s="3"/>
      <c r="T68" s="7"/>
    </row>
    <row r="69" spans="1:20" hidden="1" x14ac:dyDescent="0.2">
      <c r="A69" s="16" t="str">
        <f t="shared" si="0"/>
        <v>CUSTO DMA -GUSTAVO BEVILACQUA- JUNHO 26</v>
      </c>
      <c r="B69" s="18">
        <v>46174</v>
      </c>
      <c r="C69" s="3">
        <v>817391</v>
      </c>
      <c r="D69" s="24" t="s">
        <v>487</v>
      </c>
      <c r="E69" s="14">
        <f t="shared" si="1"/>
        <v>-111.82545</v>
      </c>
      <c r="F69" s="3" t="s">
        <v>364</v>
      </c>
      <c r="G69" s="18">
        <v>46174</v>
      </c>
      <c r="H69" s="26">
        <v>81794</v>
      </c>
      <c r="I69" s="3" t="str">
        <f>VLOOKUP(H69,'[1]Base de Clientes'!$B:$E,4,0)</f>
        <v>BRAZA BANK S/A BANCO DE CAMBIO</v>
      </c>
      <c r="J69" s="5" t="s">
        <v>8</v>
      </c>
      <c r="K69" s="5" t="s">
        <v>417</v>
      </c>
      <c r="L69" s="9">
        <v>111.82545</v>
      </c>
      <c r="M69" s="11" t="s">
        <v>7</v>
      </c>
      <c r="N69" s="13" t="s">
        <v>572</v>
      </c>
      <c r="O69" s="7">
        <v>1</v>
      </c>
      <c r="P69" s="16" t="s">
        <v>426</v>
      </c>
      <c r="R69" s="3"/>
      <c r="T69" s="7"/>
    </row>
    <row r="70" spans="1:20" hidden="1" x14ac:dyDescent="0.25">
      <c r="A70" s="16" t="str">
        <f t="shared" si="0"/>
        <v>CUSTO DMA -IVAN KRAISER- JUNHO 26</v>
      </c>
      <c r="B70" s="18">
        <v>46174</v>
      </c>
      <c r="C70" s="3">
        <v>817391</v>
      </c>
      <c r="D70" s="3" t="s">
        <v>475</v>
      </c>
      <c r="E70" s="14">
        <f t="shared" ref="E70:E153" si="10">-L70*O70</f>
        <v>-115.57995972499999</v>
      </c>
      <c r="F70" s="3" t="s">
        <v>364</v>
      </c>
      <c r="G70" s="18">
        <v>46174</v>
      </c>
      <c r="H70" s="19">
        <v>124384</v>
      </c>
      <c r="I70" s="3" t="str">
        <f>VLOOKUP(H70,'[1]Base de Clientes'!$B:$E,4,0)</f>
        <v>GARIN INVESTIMENTOS LTDA</v>
      </c>
      <c r="J70" s="5" t="s">
        <v>8</v>
      </c>
      <c r="K70" s="5" t="s">
        <v>90</v>
      </c>
      <c r="L70" s="9">
        <v>115.57995972499999</v>
      </c>
      <c r="M70" s="11" t="s">
        <v>7</v>
      </c>
      <c r="N70" s="13" t="s">
        <v>572</v>
      </c>
      <c r="O70" s="7">
        <v>1</v>
      </c>
      <c r="P70" s="16" t="s">
        <v>259</v>
      </c>
      <c r="R70" s="3"/>
      <c r="T70" s="7"/>
    </row>
    <row r="71" spans="1:20" hidden="1" x14ac:dyDescent="0.2">
      <c r="A71" s="16" t="str">
        <f t="shared" si="0"/>
        <v>CUSTO DMA -JAMES OLIVEIRA- JUNHO 26</v>
      </c>
      <c r="B71" s="18">
        <v>46174</v>
      </c>
      <c r="C71" s="3">
        <v>817391</v>
      </c>
      <c r="D71" s="24" t="s">
        <v>400</v>
      </c>
      <c r="E71" s="14">
        <f t="shared" si="10"/>
        <v>-111.82545</v>
      </c>
      <c r="F71" s="3" t="s">
        <v>364</v>
      </c>
      <c r="G71" s="18">
        <v>46174</v>
      </c>
      <c r="H71" s="26">
        <v>80359</v>
      </c>
      <c r="I71" s="3" t="str">
        <f>VLOOKUP(H71,'[1]Base de Clientes'!$B:$E,4,0)</f>
        <v>VINLAND CAPITAL MANAGEMENT GESTORA DE RECURSOS LTDA</v>
      </c>
      <c r="J71" s="5" t="s">
        <v>8</v>
      </c>
      <c r="K71" s="5" t="s">
        <v>91</v>
      </c>
      <c r="L71" s="9">
        <v>111.82545</v>
      </c>
      <c r="M71" s="11" t="s">
        <v>7</v>
      </c>
      <c r="N71" s="13" t="s">
        <v>572</v>
      </c>
      <c r="O71" s="7">
        <v>1</v>
      </c>
      <c r="P71" s="16" t="s">
        <v>260</v>
      </c>
      <c r="R71" s="3"/>
      <c r="T71" s="7"/>
    </row>
    <row r="72" spans="1:20" hidden="1" x14ac:dyDescent="0.2">
      <c r="A72" s="16" t="str">
        <f t="shared" si="0"/>
        <v>CUSTO DMA -JOÃO CARUSO- JUNHO 26</v>
      </c>
      <c r="B72" s="18">
        <v>46174</v>
      </c>
      <c r="C72" s="3">
        <v>817391</v>
      </c>
      <c r="D72" s="24" t="s">
        <v>470</v>
      </c>
      <c r="E72" s="14">
        <f t="shared" si="10"/>
        <v>-111.82545</v>
      </c>
      <c r="F72" s="3" t="s">
        <v>364</v>
      </c>
      <c r="G72" s="18">
        <v>46174</v>
      </c>
      <c r="H72" s="26">
        <v>80359</v>
      </c>
      <c r="I72" s="3" t="str">
        <f>VLOOKUP(H72,'[1]Base de Clientes'!$B:$E,4,0)</f>
        <v>VINLAND CAPITAL MANAGEMENT GESTORA DE RECURSOS LTDA</v>
      </c>
      <c r="J72" s="5" t="s">
        <v>8</v>
      </c>
      <c r="K72" s="5" t="s">
        <v>92</v>
      </c>
      <c r="L72" s="9">
        <v>111.82545</v>
      </c>
      <c r="M72" s="11" t="s">
        <v>7</v>
      </c>
      <c r="N72" s="13" t="s">
        <v>572</v>
      </c>
      <c r="O72" s="7">
        <v>1</v>
      </c>
      <c r="P72" s="16" t="s">
        <v>261</v>
      </c>
      <c r="R72" s="3"/>
      <c r="T72" s="7"/>
    </row>
    <row r="73" spans="1:20" hidden="1" x14ac:dyDescent="0.2">
      <c r="A73" s="16" t="str">
        <f t="shared" ref="A73" si="11">CONCATENATE(J73,M73,K73,M73,N73)</f>
        <v>CUSTO DMA -LEO VAINZOF- JUNHO 26</v>
      </c>
      <c r="B73" s="18">
        <v>46174</v>
      </c>
      <c r="C73" s="3">
        <v>817391</v>
      </c>
      <c r="D73" s="24" t="s">
        <v>406</v>
      </c>
      <c r="E73" s="14">
        <f t="shared" ref="E73" si="12">-L73*O73</f>
        <v>-55.912725000000002</v>
      </c>
      <c r="F73" s="3" t="s">
        <v>364</v>
      </c>
      <c r="G73" s="18">
        <v>46174</v>
      </c>
      <c r="H73" s="26">
        <v>15501</v>
      </c>
      <c r="I73" s="3" t="str">
        <f>VLOOKUP(H73,'[1]Base de Clientes'!$B:$E,4,0)</f>
        <v>BANCO BTG PACTUAL S/A</v>
      </c>
      <c r="J73" s="5" t="s">
        <v>8</v>
      </c>
      <c r="K73" s="5" t="s">
        <v>93</v>
      </c>
      <c r="L73" s="9">
        <v>111.82545</v>
      </c>
      <c r="M73" s="11" t="s">
        <v>7</v>
      </c>
      <c r="N73" s="13" t="s">
        <v>572</v>
      </c>
      <c r="O73" s="7">
        <v>0.5</v>
      </c>
      <c r="P73" s="16" t="s">
        <v>262</v>
      </c>
      <c r="R73" s="3"/>
      <c r="T73" s="7"/>
    </row>
    <row r="74" spans="1:20" hidden="1" x14ac:dyDescent="0.2">
      <c r="A74" s="16" t="str">
        <f t="shared" si="0"/>
        <v>CUSTO DMA -LEO VAINZOF- JUNHO 26</v>
      </c>
      <c r="B74" s="18">
        <v>46174</v>
      </c>
      <c r="C74" s="3">
        <v>817391</v>
      </c>
      <c r="D74" s="24" t="s">
        <v>407</v>
      </c>
      <c r="E74" s="14">
        <f t="shared" si="10"/>
        <v>-55.912725000000002</v>
      </c>
      <c r="F74" s="3" t="s">
        <v>364</v>
      </c>
      <c r="G74" s="18">
        <v>46174</v>
      </c>
      <c r="H74" s="26">
        <v>15501</v>
      </c>
      <c r="I74" s="3" t="str">
        <f>VLOOKUP(H74,'[1]Base de Clientes'!$B:$E,4,0)</f>
        <v>BANCO BTG PACTUAL S/A</v>
      </c>
      <c r="J74" s="5" t="s">
        <v>8</v>
      </c>
      <c r="K74" s="5" t="s">
        <v>93</v>
      </c>
      <c r="L74" s="9">
        <v>111.82545</v>
      </c>
      <c r="M74" s="11" t="s">
        <v>7</v>
      </c>
      <c r="N74" s="13" t="s">
        <v>572</v>
      </c>
      <c r="O74" s="7">
        <v>0.5</v>
      </c>
      <c r="P74" s="16" t="s">
        <v>262</v>
      </c>
      <c r="R74" s="3"/>
      <c r="T74" s="7"/>
    </row>
    <row r="75" spans="1:20" hidden="1" x14ac:dyDescent="0.2">
      <c r="A75" s="16" t="str">
        <f t="shared" si="0"/>
        <v>CUSTO DMA -LEONARDO GARROUX- JUNHO 26</v>
      </c>
      <c r="B75" s="18">
        <v>46174</v>
      </c>
      <c r="C75" s="3">
        <v>817391</v>
      </c>
      <c r="D75" s="24" t="s">
        <v>472</v>
      </c>
      <c r="E75" s="14">
        <f t="shared" si="10"/>
        <v>-111.82545</v>
      </c>
      <c r="F75" s="3" t="s">
        <v>364</v>
      </c>
      <c r="G75" s="18">
        <v>46174</v>
      </c>
      <c r="H75" s="26">
        <v>81438</v>
      </c>
      <c r="I75" s="3" t="str">
        <f>VLOOKUP(H75,'[1]Base de Clientes'!$B:$E,4,0)</f>
        <v>PORTO SEGURO INVESTIMENTOS LTDA</v>
      </c>
      <c r="J75" s="5" t="s">
        <v>8</v>
      </c>
      <c r="K75" s="5" t="s">
        <v>94</v>
      </c>
      <c r="L75" s="9">
        <v>111.82545</v>
      </c>
      <c r="M75" s="11" t="s">
        <v>7</v>
      </c>
      <c r="N75" s="13" t="s">
        <v>572</v>
      </c>
      <c r="O75" s="7">
        <v>1</v>
      </c>
      <c r="P75" s="16" t="s">
        <v>263</v>
      </c>
      <c r="R75" s="3"/>
      <c r="T75" s="7"/>
    </row>
    <row r="76" spans="1:20" hidden="1" x14ac:dyDescent="0.2">
      <c r="A76" s="16" t="str">
        <f t="shared" si="0"/>
        <v>CUSTO DMA -LEONARDO NAKAJIMA- JUNHO 26</v>
      </c>
      <c r="B76" s="18">
        <v>46174</v>
      </c>
      <c r="C76" s="3">
        <v>817391</v>
      </c>
      <c r="D76" s="24" t="s">
        <v>472</v>
      </c>
      <c r="E76" s="14">
        <f t="shared" si="10"/>
        <v>-111.82545</v>
      </c>
      <c r="F76" s="3" t="s">
        <v>364</v>
      </c>
      <c r="G76" s="18">
        <v>46174</v>
      </c>
      <c r="H76" s="26">
        <v>81438</v>
      </c>
      <c r="I76" s="3" t="str">
        <f>VLOOKUP(H76,'[1]Base de Clientes'!$B:$E,4,0)</f>
        <v>PORTO SEGURO INVESTIMENTOS LTDA</v>
      </c>
      <c r="J76" s="5" t="s">
        <v>8</v>
      </c>
      <c r="K76" s="5" t="s">
        <v>95</v>
      </c>
      <c r="L76" s="9">
        <v>111.82545</v>
      </c>
      <c r="M76" s="11" t="s">
        <v>7</v>
      </c>
      <c r="N76" s="13" t="s">
        <v>572</v>
      </c>
      <c r="O76" s="7">
        <v>1</v>
      </c>
      <c r="P76" s="16" t="s">
        <v>264</v>
      </c>
      <c r="R76" s="3"/>
      <c r="T76" s="7"/>
    </row>
    <row r="77" spans="1:20" hidden="1" x14ac:dyDescent="0.2">
      <c r="A77" s="16" t="str">
        <f t="shared" si="0"/>
        <v>CUSTO DMA -LEONARDO YGREY VELMOVISKY- JUNHO 26</v>
      </c>
      <c r="B77" s="18">
        <v>46174</v>
      </c>
      <c r="C77" s="3">
        <v>817391</v>
      </c>
      <c r="D77" s="24" t="s">
        <v>403</v>
      </c>
      <c r="E77" s="14">
        <f t="shared" si="10"/>
        <v>-111.82545</v>
      </c>
      <c r="F77" s="3" t="s">
        <v>364</v>
      </c>
      <c r="G77" s="18">
        <v>46174</v>
      </c>
      <c r="H77" s="26">
        <v>125119</v>
      </c>
      <c r="I77" s="3" t="str">
        <f>VLOOKUP(H77,'[1]Base de Clientes'!$B:$E,4,0)</f>
        <v>IRB ASSET MANAGEMENT S/A</v>
      </c>
      <c r="J77" s="5" t="s">
        <v>8</v>
      </c>
      <c r="K77" s="5" t="s">
        <v>459</v>
      </c>
      <c r="L77" s="9">
        <v>111.82545</v>
      </c>
      <c r="M77" s="11" t="s">
        <v>7</v>
      </c>
      <c r="N77" s="13" t="s">
        <v>572</v>
      </c>
      <c r="O77" s="7">
        <v>1</v>
      </c>
      <c r="P77" s="16" t="s">
        <v>468</v>
      </c>
      <c r="R77" s="3"/>
      <c r="T77" s="7"/>
    </row>
    <row r="78" spans="1:20" hidden="1" x14ac:dyDescent="0.2">
      <c r="A78" s="16" t="str">
        <f t="shared" si="0"/>
        <v>CUSTO DMA -LUCAS PACCOLA- JUNHO 26</v>
      </c>
      <c r="B78" s="18">
        <v>46174</v>
      </c>
      <c r="C78" s="3">
        <v>817391</v>
      </c>
      <c r="D78" s="24" t="s">
        <v>470</v>
      </c>
      <c r="E78" s="14">
        <f t="shared" si="10"/>
        <v>-111.82545</v>
      </c>
      <c r="F78" s="3" t="s">
        <v>364</v>
      </c>
      <c r="G78" s="18">
        <v>46174</v>
      </c>
      <c r="H78" s="26">
        <v>80359</v>
      </c>
      <c r="I78" s="3" t="str">
        <f>VLOOKUP(H78,'[1]Base de Clientes'!$B:$E,4,0)</f>
        <v>VINLAND CAPITAL MANAGEMENT GESTORA DE RECURSOS LTDA</v>
      </c>
      <c r="J78" s="5" t="s">
        <v>8</v>
      </c>
      <c r="K78" s="5" t="s">
        <v>96</v>
      </c>
      <c r="L78" s="9">
        <v>111.82545</v>
      </c>
      <c r="M78" s="11" t="s">
        <v>7</v>
      </c>
      <c r="N78" s="13" t="s">
        <v>572</v>
      </c>
      <c r="O78" s="7">
        <v>1</v>
      </c>
      <c r="P78" s="16" t="s">
        <v>265</v>
      </c>
      <c r="R78" s="3"/>
      <c r="T78" s="7"/>
    </row>
    <row r="79" spans="1:20" hidden="1" x14ac:dyDescent="0.2">
      <c r="A79" s="16" t="str">
        <f t="shared" si="0"/>
        <v>CUSTO DMA -MARCEL YAGUI- JUNHO 26</v>
      </c>
      <c r="B79" s="18">
        <v>46174</v>
      </c>
      <c r="C79" s="3">
        <v>817391</v>
      </c>
      <c r="D79" s="24" t="s">
        <v>404</v>
      </c>
      <c r="E79" s="14">
        <f t="shared" si="10"/>
        <v>-111.82545</v>
      </c>
      <c r="F79" s="3" t="s">
        <v>364</v>
      </c>
      <c r="G79" s="18">
        <v>46174</v>
      </c>
      <c r="H79" s="26">
        <v>82639</v>
      </c>
      <c r="I79" s="3" t="str">
        <f>VLOOKUP(H79,'[1]Base de Clientes'!$B:$E,4,0)</f>
        <v>SAFRA ASSET MANAGEMENT LTDA</v>
      </c>
      <c r="J79" s="5" t="s">
        <v>8</v>
      </c>
      <c r="K79" s="5" t="s">
        <v>97</v>
      </c>
      <c r="L79" s="9">
        <v>111.82545</v>
      </c>
      <c r="M79" s="11" t="s">
        <v>7</v>
      </c>
      <c r="N79" s="13" t="s">
        <v>572</v>
      </c>
      <c r="O79" s="7">
        <v>1</v>
      </c>
      <c r="P79" s="16" t="s">
        <v>266</v>
      </c>
      <c r="R79" s="3"/>
      <c r="T79" s="7"/>
    </row>
    <row r="80" spans="1:20" hidden="1" x14ac:dyDescent="0.25">
      <c r="A80" s="16" t="str">
        <f t="shared" si="0"/>
        <v>CUSTO DMA -MARCELO IDE- JUNHO 26</v>
      </c>
      <c r="B80" s="18">
        <v>46174</v>
      </c>
      <c r="C80" s="3">
        <v>817391</v>
      </c>
      <c r="D80" s="3" t="s">
        <v>411</v>
      </c>
      <c r="E80" s="14">
        <f t="shared" si="10"/>
        <v>-111.82545</v>
      </c>
      <c r="F80" s="3" t="s">
        <v>364</v>
      </c>
      <c r="G80" s="18">
        <v>46174</v>
      </c>
      <c r="H80" s="19">
        <v>80856</v>
      </c>
      <c r="I80" s="3" t="str">
        <f>VLOOKUP(H80,'[1]Base de Clientes'!$B:$E,4,0)</f>
        <v>SCHRODER INVESTMENT MANAGEMENT BRASIL LTDA</v>
      </c>
      <c r="J80" s="5" t="s">
        <v>8</v>
      </c>
      <c r="K80" s="5" t="s">
        <v>98</v>
      </c>
      <c r="L80" s="9">
        <v>111.82545</v>
      </c>
      <c r="M80" s="11" t="s">
        <v>7</v>
      </c>
      <c r="N80" s="13" t="s">
        <v>572</v>
      </c>
      <c r="O80" s="7">
        <v>1</v>
      </c>
      <c r="P80" s="16" t="s">
        <v>267</v>
      </c>
      <c r="R80" s="3"/>
      <c r="T80" s="7"/>
    </row>
    <row r="81" spans="1:20" hidden="1" x14ac:dyDescent="0.25">
      <c r="A81" s="16" t="str">
        <f t="shared" si="0"/>
        <v>CUSTO DMA -MATHEUS EFRAIN- JUNHO 26</v>
      </c>
      <c r="B81" s="18">
        <v>46174</v>
      </c>
      <c r="C81" s="3">
        <v>817391</v>
      </c>
      <c r="D81" s="3" t="s">
        <v>397</v>
      </c>
      <c r="E81" s="14">
        <f t="shared" si="10"/>
        <v>-238.710470805</v>
      </c>
      <c r="F81" s="3" t="s">
        <v>364</v>
      </c>
      <c r="G81" s="18">
        <v>46174</v>
      </c>
      <c r="H81" s="19">
        <v>82748</v>
      </c>
      <c r="I81" s="3" t="str">
        <f>VLOOKUP(H81,'[1]Base de Clientes'!$B:$E,4,0)</f>
        <v>SPRINGS CAPITAL LTDA</v>
      </c>
      <c r="J81" s="5" t="s">
        <v>8</v>
      </c>
      <c r="K81" s="5" t="s">
        <v>99</v>
      </c>
      <c r="L81" s="9">
        <v>238.710470805</v>
      </c>
      <c r="M81" s="11" t="s">
        <v>7</v>
      </c>
      <c r="N81" s="13" t="s">
        <v>572</v>
      </c>
      <c r="O81" s="7">
        <v>1</v>
      </c>
      <c r="P81" s="16" t="s">
        <v>268</v>
      </c>
      <c r="R81" s="3"/>
      <c r="T81" s="7"/>
    </row>
    <row r="82" spans="1:20" hidden="1" x14ac:dyDescent="0.25">
      <c r="A82" s="16" t="str">
        <f t="shared" si="0"/>
        <v>CUSTO DMA -MATHEUS SOUZA- JUNHO 26</v>
      </c>
      <c r="B82" s="18">
        <v>46174</v>
      </c>
      <c r="C82" s="3">
        <v>817391</v>
      </c>
      <c r="D82" s="3" t="s">
        <v>488</v>
      </c>
      <c r="E82" s="14">
        <f t="shared" si="10"/>
        <v>-1056.6795548699999</v>
      </c>
      <c r="F82" s="3" t="s">
        <v>364</v>
      </c>
      <c r="G82" s="18">
        <v>46174</v>
      </c>
      <c r="H82" s="19">
        <v>81710</v>
      </c>
      <c r="I82" s="3" t="str">
        <f>VLOOKUP(H82,'[1]Base de Clientes'!$B:$E,4,0)</f>
        <v>RYO GESTAO DE RECURSOS LTDA</v>
      </c>
      <c r="J82" s="5" t="s">
        <v>8</v>
      </c>
      <c r="K82" s="5" t="s">
        <v>100</v>
      </c>
      <c r="L82" s="9">
        <v>1056.6795548699999</v>
      </c>
      <c r="M82" s="11" t="s">
        <v>7</v>
      </c>
      <c r="N82" s="13" t="s">
        <v>572</v>
      </c>
      <c r="O82" s="7">
        <v>1</v>
      </c>
      <c r="P82" s="16" t="s">
        <v>269</v>
      </c>
      <c r="R82" s="3"/>
      <c r="T82" s="7"/>
    </row>
    <row r="83" spans="1:20" hidden="1" x14ac:dyDescent="0.25">
      <c r="A83" s="16" t="str">
        <f t="shared" si="0"/>
        <v>CUSTO DMA -DECIO PEREIRA- JUNHO 26</v>
      </c>
      <c r="B83" s="18">
        <v>46174</v>
      </c>
      <c r="C83" s="3">
        <v>817391</v>
      </c>
      <c r="D83" s="3" t="s">
        <v>488</v>
      </c>
      <c r="E83" s="14">
        <f t="shared" si="10"/>
        <v>-328.91262205000004</v>
      </c>
      <c r="F83" s="3" t="s">
        <v>364</v>
      </c>
      <c r="G83" s="18">
        <v>46174</v>
      </c>
      <c r="H83" s="19">
        <v>82964</v>
      </c>
      <c r="I83" s="3" t="str">
        <f>VLOOKUP(H83,'[1]Base de Clientes'!$B:$E,4,0)</f>
        <v>BANCO BTG PACTUAL S/A</v>
      </c>
      <c r="J83" s="5" t="s">
        <v>8</v>
      </c>
      <c r="K83" s="5" t="s">
        <v>377</v>
      </c>
      <c r="L83" s="9">
        <v>328.91262205000004</v>
      </c>
      <c r="M83" s="11" t="s">
        <v>7</v>
      </c>
      <c r="N83" s="13" t="s">
        <v>572</v>
      </c>
      <c r="O83" s="7">
        <v>1</v>
      </c>
      <c r="P83" s="16" t="s">
        <v>391</v>
      </c>
      <c r="R83" s="3"/>
      <c r="T83" s="7"/>
    </row>
    <row r="84" spans="1:20" hidden="1" x14ac:dyDescent="0.25">
      <c r="A84" s="16" t="str">
        <f t="shared" si="0"/>
        <v>CUSTO DMA -RICARDO BERNSTEIN- JUNHO 26</v>
      </c>
      <c r="B84" s="18">
        <v>46174</v>
      </c>
      <c r="C84" s="3">
        <v>817391</v>
      </c>
      <c r="D84" s="3" t="s">
        <v>398</v>
      </c>
      <c r="E84" s="14">
        <f t="shared" si="10"/>
        <v>-256.51286842500002</v>
      </c>
      <c r="F84" s="3" t="s">
        <v>364</v>
      </c>
      <c r="G84" s="18">
        <v>46174</v>
      </c>
      <c r="H84" s="19">
        <v>12296</v>
      </c>
      <c r="I84" s="3" t="str">
        <f>VLOOKUP(H84,'[1]Base de Clientes'!$B:$E,4,0)</f>
        <v>PATRIA INVESTIMENTOS LTDA</v>
      </c>
      <c r="J84" s="5" t="s">
        <v>8</v>
      </c>
      <c r="K84" s="5" t="s">
        <v>83</v>
      </c>
      <c r="L84" s="9">
        <v>256.51286842500002</v>
      </c>
      <c r="M84" s="11" t="s">
        <v>7</v>
      </c>
      <c r="N84" s="13" t="s">
        <v>572</v>
      </c>
      <c r="O84" s="7">
        <v>1</v>
      </c>
      <c r="P84" s="16" t="s">
        <v>392</v>
      </c>
      <c r="R84" s="3"/>
      <c r="T84" s="7"/>
    </row>
    <row r="85" spans="1:20" hidden="1" x14ac:dyDescent="0.25">
      <c r="A85" s="16" t="str">
        <f t="shared" si="0"/>
        <v>CUSTO DMA -RICARDO CAIXETA- JUNHO 26</v>
      </c>
      <c r="B85" s="18">
        <v>46174</v>
      </c>
      <c r="C85" s="3">
        <v>817391</v>
      </c>
      <c r="D85" s="3" t="s">
        <v>400</v>
      </c>
      <c r="E85" s="14">
        <f t="shared" si="10"/>
        <v>-285.39567000000011</v>
      </c>
      <c r="F85" s="3" t="s">
        <v>364</v>
      </c>
      <c r="G85" s="18">
        <v>46174</v>
      </c>
      <c r="H85" s="19">
        <v>15501</v>
      </c>
      <c r="I85" s="3" t="str">
        <f>VLOOKUP(H85,'[1]Base de Clientes'!$B:$E,4,0)</f>
        <v>BANCO BTG PACTUAL S/A</v>
      </c>
      <c r="J85" s="5" t="s">
        <v>8</v>
      </c>
      <c r="K85" s="5" t="s">
        <v>102</v>
      </c>
      <c r="L85" s="9">
        <v>285.39567000000011</v>
      </c>
      <c r="M85" s="11" t="s">
        <v>7</v>
      </c>
      <c r="N85" s="13" t="s">
        <v>572</v>
      </c>
      <c r="O85" s="7">
        <v>1</v>
      </c>
      <c r="P85" s="16" t="s">
        <v>271</v>
      </c>
      <c r="R85" s="3"/>
      <c r="T85" s="7"/>
    </row>
    <row r="86" spans="1:20" hidden="1" x14ac:dyDescent="0.25">
      <c r="A86" s="16" t="str">
        <f t="shared" si="0"/>
        <v>CUSTO DMA -SERGIO ALMEIDA- JUNHO 26</v>
      </c>
      <c r="B86" s="18">
        <v>46174</v>
      </c>
      <c r="C86" s="3">
        <v>817391</v>
      </c>
      <c r="D86" s="3" t="s">
        <v>407</v>
      </c>
      <c r="E86" s="14">
        <f t="shared" si="10"/>
        <v>-334.40625</v>
      </c>
      <c r="F86" s="3" t="s">
        <v>364</v>
      </c>
      <c r="G86" s="18">
        <v>46174</v>
      </c>
      <c r="H86" s="19">
        <v>15501</v>
      </c>
      <c r="I86" s="3" t="str">
        <f>VLOOKUP(H86,'[1]Base de Clientes'!$B:$E,4,0)</f>
        <v>BANCO BTG PACTUAL S/A</v>
      </c>
      <c r="J86" s="5" t="s">
        <v>8</v>
      </c>
      <c r="K86" s="5" t="s">
        <v>103</v>
      </c>
      <c r="L86" s="9">
        <v>668.8125</v>
      </c>
      <c r="M86" s="11" t="s">
        <v>7</v>
      </c>
      <c r="N86" s="13" t="s">
        <v>572</v>
      </c>
      <c r="O86" s="7">
        <v>0.5</v>
      </c>
      <c r="P86" s="16" t="s">
        <v>272</v>
      </c>
      <c r="R86" s="3"/>
      <c r="T86" s="7"/>
    </row>
    <row r="87" spans="1:20" hidden="1" x14ac:dyDescent="0.25">
      <c r="A87" s="16" t="str">
        <f t="shared" ref="A87:A88" si="13">CONCATENATE(J87,M87,K87,M87,N87)</f>
        <v>CUSTO DMA -SERGIO ALMEIDA- JUNHO 26</v>
      </c>
      <c r="B87" s="18">
        <v>46174</v>
      </c>
      <c r="C87" s="3">
        <v>817391</v>
      </c>
      <c r="D87" s="3" t="s">
        <v>406</v>
      </c>
      <c r="E87" s="14">
        <f t="shared" ref="E87:E88" si="14">-L87*O87</f>
        <v>-334.40625</v>
      </c>
      <c r="F87" s="3" t="s">
        <v>364</v>
      </c>
      <c r="G87" s="18">
        <v>46174</v>
      </c>
      <c r="H87" s="19">
        <v>15501</v>
      </c>
      <c r="I87" s="3" t="str">
        <f>VLOOKUP(H87,'[1]Base de Clientes'!$B:$E,4,0)</f>
        <v>BANCO BTG PACTUAL S/A</v>
      </c>
      <c r="J87" s="5" t="s">
        <v>8</v>
      </c>
      <c r="K87" s="5" t="s">
        <v>103</v>
      </c>
      <c r="L87" s="9">
        <v>668.8125</v>
      </c>
      <c r="M87" s="11" t="s">
        <v>7</v>
      </c>
      <c r="N87" s="13" t="s">
        <v>572</v>
      </c>
      <c r="O87" s="7">
        <v>0.5</v>
      </c>
      <c r="P87" s="16" t="s">
        <v>272</v>
      </c>
      <c r="R87" s="3"/>
      <c r="T87" s="7"/>
    </row>
    <row r="88" spans="1:20" hidden="1" x14ac:dyDescent="0.25">
      <c r="A88" s="16" t="str">
        <f t="shared" si="13"/>
        <v>CUSTO DMA -BARNEY SILVA- JUNHO 26</v>
      </c>
      <c r="B88" s="18">
        <v>46174</v>
      </c>
      <c r="C88" s="3">
        <v>817391</v>
      </c>
      <c r="D88" s="3" t="s">
        <v>405</v>
      </c>
      <c r="E88" s="14">
        <f t="shared" si="14"/>
        <v>-102.41805055095</v>
      </c>
      <c r="F88" s="3" t="s">
        <v>364</v>
      </c>
      <c r="G88" s="18">
        <v>46174</v>
      </c>
      <c r="H88" s="19">
        <v>83000</v>
      </c>
      <c r="I88" s="3" t="str">
        <f>VLOOKUP(H88,'[1]Base de Clientes'!$B:$E,4,0)</f>
        <v>BRM CARBYNE GESTAO DE RECURSOS S/A</v>
      </c>
      <c r="J88" s="5" t="s">
        <v>8</v>
      </c>
      <c r="K88" s="5" t="s">
        <v>104</v>
      </c>
      <c r="L88" s="9">
        <v>204.8361011019</v>
      </c>
      <c r="M88" s="11" t="s">
        <v>7</v>
      </c>
      <c r="N88" s="13" t="s">
        <v>572</v>
      </c>
      <c r="O88" s="7">
        <v>0.5</v>
      </c>
      <c r="P88" s="16" t="s">
        <v>273</v>
      </c>
      <c r="R88" s="3"/>
      <c r="T88" s="7"/>
    </row>
    <row r="89" spans="1:20" hidden="1" x14ac:dyDescent="0.25">
      <c r="A89" s="16" t="str">
        <f t="shared" si="0"/>
        <v>CUSTO DMA -BARNEY SILVA- JUNHO 26</v>
      </c>
      <c r="B89" s="18">
        <v>46174</v>
      </c>
      <c r="C89" s="3">
        <v>817391</v>
      </c>
      <c r="D89" s="3" t="s">
        <v>481</v>
      </c>
      <c r="E89" s="14">
        <f t="shared" si="10"/>
        <v>-102.41805055095</v>
      </c>
      <c r="F89" s="3" t="s">
        <v>364</v>
      </c>
      <c r="G89" s="18">
        <v>46174</v>
      </c>
      <c r="H89" s="19">
        <v>83000</v>
      </c>
      <c r="I89" s="3" t="str">
        <f>VLOOKUP(H89,'[1]Base de Clientes'!$B:$E,4,0)</f>
        <v>BRM CARBYNE GESTAO DE RECURSOS S/A</v>
      </c>
      <c r="J89" s="5" t="s">
        <v>8</v>
      </c>
      <c r="K89" s="5" t="s">
        <v>104</v>
      </c>
      <c r="L89" s="9">
        <v>204.8361011019</v>
      </c>
      <c r="M89" s="11" t="s">
        <v>7</v>
      </c>
      <c r="N89" s="13" t="s">
        <v>572</v>
      </c>
      <c r="O89" s="7">
        <v>0.5</v>
      </c>
      <c r="P89" s="16" t="s">
        <v>273</v>
      </c>
      <c r="R89" s="3"/>
      <c r="T89" s="7"/>
    </row>
    <row r="90" spans="1:20" hidden="1" x14ac:dyDescent="0.2">
      <c r="A90" s="16" t="str">
        <f t="shared" si="0"/>
        <v>CUSTO DMA -THIAGO ROLO- JUNHO 26</v>
      </c>
      <c r="B90" s="18">
        <v>46174</v>
      </c>
      <c r="C90" s="3">
        <v>817391</v>
      </c>
      <c r="D90" s="24" t="s">
        <v>470</v>
      </c>
      <c r="E90" s="14">
        <f t="shared" si="10"/>
        <v>-111.82545</v>
      </c>
      <c r="F90" s="3" t="s">
        <v>364</v>
      </c>
      <c r="G90" s="18">
        <v>46174</v>
      </c>
      <c r="H90" s="26">
        <v>80359</v>
      </c>
      <c r="I90" s="3" t="str">
        <f>VLOOKUP(H90,'[1]Base de Clientes'!$B:$E,4,0)</f>
        <v>VINLAND CAPITAL MANAGEMENT GESTORA DE RECURSOS LTDA</v>
      </c>
      <c r="J90" s="5" t="s">
        <v>8</v>
      </c>
      <c r="K90" s="5" t="s">
        <v>105</v>
      </c>
      <c r="L90" s="9">
        <v>111.82545</v>
      </c>
      <c r="M90" s="11" t="s">
        <v>7</v>
      </c>
      <c r="N90" s="13" t="s">
        <v>572</v>
      </c>
      <c r="O90" s="7">
        <v>1</v>
      </c>
      <c r="P90" s="16" t="s">
        <v>274</v>
      </c>
      <c r="R90" s="3"/>
      <c r="T90" s="7"/>
    </row>
    <row r="91" spans="1:20" hidden="1" x14ac:dyDescent="0.2">
      <c r="A91" s="16" t="str">
        <f t="shared" ref="A91" si="15">CONCATENATE(J91,M91,K91,M91,N91)</f>
        <v>CUSTO DMA -TOMAS PEREIRA- JUNHO 26</v>
      </c>
      <c r="B91" s="18">
        <v>46174</v>
      </c>
      <c r="C91" s="3">
        <v>817391</v>
      </c>
      <c r="D91" s="24" t="s">
        <v>472</v>
      </c>
      <c r="E91" s="14">
        <f t="shared" ref="E91" si="16">-L91*O91</f>
        <v>-111.82545</v>
      </c>
      <c r="F91" s="3" t="s">
        <v>364</v>
      </c>
      <c r="G91" s="18">
        <v>46174</v>
      </c>
      <c r="H91" s="26">
        <v>81438</v>
      </c>
      <c r="I91" s="3" t="str">
        <f>VLOOKUP(H91,'[1]Base de Clientes'!$B:$E,4,0)</f>
        <v>PORTO SEGURO INVESTIMENTOS LTDA</v>
      </c>
      <c r="J91" s="5" t="s">
        <v>8</v>
      </c>
      <c r="K91" s="5" t="s">
        <v>106</v>
      </c>
      <c r="L91" s="9">
        <v>111.82545</v>
      </c>
      <c r="M91" s="11" t="s">
        <v>7</v>
      </c>
      <c r="N91" s="13" t="s">
        <v>572</v>
      </c>
      <c r="O91" s="7">
        <v>1</v>
      </c>
      <c r="P91" s="16" t="s">
        <v>275</v>
      </c>
      <c r="R91" s="3"/>
      <c r="T91" s="7"/>
    </row>
    <row r="92" spans="1:20" hidden="1" x14ac:dyDescent="0.2">
      <c r="A92" s="16" t="str">
        <f t="shared" si="0"/>
        <v>CUSTO DMA -VINICIO HUANG- JUNHO 26</v>
      </c>
      <c r="B92" s="18">
        <v>46174</v>
      </c>
      <c r="C92" s="3">
        <v>817391</v>
      </c>
      <c r="D92" s="24" t="s">
        <v>470</v>
      </c>
      <c r="E92" s="14">
        <f t="shared" si="10"/>
        <v>-111.82545</v>
      </c>
      <c r="F92" s="3" t="s">
        <v>364</v>
      </c>
      <c r="G92" s="18">
        <v>46174</v>
      </c>
      <c r="H92" s="26">
        <v>80359</v>
      </c>
      <c r="I92" s="3" t="str">
        <f>VLOOKUP(H92,'[1]Base de Clientes'!$B:$E,4,0)</f>
        <v>VINLAND CAPITAL MANAGEMENT GESTORA DE RECURSOS LTDA</v>
      </c>
      <c r="J92" s="5" t="s">
        <v>8</v>
      </c>
      <c r="K92" s="5" t="s">
        <v>107</v>
      </c>
      <c r="L92" s="9">
        <v>111.82545</v>
      </c>
      <c r="M92" s="11" t="s">
        <v>7</v>
      </c>
      <c r="N92" s="13" t="s">
        <v>572</v>
      </c>
      <c r="O92" s="7">
        <v>1</v>
      </c>
      <c r="P92" s="16" t="s">
        <v>276</v>
      </c>
      <c r="R92" s="3"/>
      <c r="T92" s="7"/>
    </row>
    <row r="93" spans="1:20" hidden="1" x14ac:dyDescent="0.2">
      <c r="A93" s="16" t="str">
        <f t="shared" ref="A93" si="17">CONCATENATE(J93,M93,K93,M93,N93)</f>
        <v>CUSTO DMA -VINICIUS CARVALHO- JUNHO 26</v>
      </c>
      <c r="B93" s="18">
        <v>46174</v>
      </c>
      <c r="C93" s="3">
        <v>817391</v>
      </c>
      <c r="D93" s="24" t="s">
        <v>406</v>
      </c>
      <c r="E93" s="14">
        <f t="shared" ref="E93" si="18">-L93*O93</f>
        <v>-111.82545</v>
      </c>
      <c r="F93" s="3" t="s">
        <v>364</v>
      </c>
      <c r="G93" s="18">
        <v>46174</v>
      </c>
      <c r="H93" s="26">
        <v>15501</v>
      </c>
      <c r="I93" s="3" t="str">
        <f>VLOOKUP(H93,'[1]Base de Clientes'!$B:$E,4,0)</f>
        <v>BANCO BTG PACTUAL S/A</v>
      </c>
      <c r="J93" s="5" t="s">
        <v>8</v>
      </c>
      <c r="K93" s="5" t="s">
        <v>108</v>
      </c>
      <c r="L93" s="9">
        <v>111.82545</v>
      </c>
      <c r="M93" s="11" t="s">
        <v>7</v>
      </c>
      <c r="N93" s="13" t="s">
        <v>572</v>
      </c>
      <c r="O93" s="7">
        <v>1</v>
      </c>
      <c r="P93" s="16" t="s">
        <v>277</v>
      </c>
      <c r="R93" s="3"/>
      <c r="T93" s="7"/>
    </row>
    <row r="94" spans="1:20" hidden="1" x14ac:dyDescent="0.2">
      <c r="A94" s="16" t="str">
        <f t="shared" si="0"/>
        <v>CUSTO DMA -VITOR ANGELIS- JUNHO 26</v>
      </c>
      <c r="B94" s="18">
        <v>46174</v>
      </c>
      <c r="C94" s="3">
        <v>817391</v>
      </c>
      <c r="D94" s="24" t="s">
        <v>404</v>
      </c>
      <c r="E94" s="14">
        <f t="shared" si="10"/>
        <v>-111.82545</v>
      </c>
      <c r="F94" s="3" t="s">
        <v>364</v>
      </c>
      <c r="G94" s="18">
        <v>46174</v>
      </c>
      <c r="H94" s="26">
        <v>82639</v>
      </c>
      <c r="I94" s="3" t="str">
        <f>VLOOKUP(H94,'[1]Base de Clientes'!$B:$E,4,0)</f>
        <v>SAFRA ASSET MANAGEMENT LTDA</v>
      </c>
      <c r="J94" s="5" t="s">
        <v>8</v>
      </c>
      <c r="K94" s="5" t="s">
        <v>109</v>
      </c>
      <c r="L94" s="9">
        <v>111.82545</v>
      </c>
      <c r="M94" s="11" t="s">
        <v>7</v>
      </c>
      <c r="N94" s="13" t="s">
        <v>572</v>
      </c>
      <c r="O94" s="7">
        <v>1</v>
      </c>
      <c r="P94" s="16" t="s">
        <v>278</v>
      </c>
      <c r="R94" s="3"/>
      <c r="T94" s="7"/>
    </row>
    <row r="95" spans="1:20" hidden="1" x14ac:dyDescent="0.2">
      <c r="A95" s="16" t="str">
        <f t="shared" si="0"/>
        <v>CUSTO DMA -WELLINGTON DIAS PEREIRA- JUNHO 26</v>
      </c>
      <c r="B95" s="18">
        <v>46174</v>
      </c>
      <c r="C95" s="3">
        <v>817391</v>
      </c>
      <c r="D95" s="24" t="s">
        <v>471</v>
      </c>
      <c r="E95" s="14">
        <f t="shared" si="10"/>
        <v>-111.82545</v>
      </c>
      <c r="F95" s="3" t="s">
        <v>364</v>
      </c>
      <c r="G95" s="18">
        <v>46174</v>
      </c>
      <c r="H95" s="26">
        <v>15501</v>
      </c>
      <c r="I95" s="3" t="str">
        <f>VLOOKUP(H95,'[1]Base de Clientes'!$B:$E,4,0)</f>
        <v>BANCO BTG PACTUAL S/A</v>
      </c>
      <c r="J95" s="5" t="s">
        <v>8</v>
      </c>
      <c r="K95" s="5" t="s">
        <v>110</v>
      </c>
      <c r="L95" s="9">
        <v>111.82545</v>
      </c>
      <c r="M95" s="11" t="s">
        <v>7</v>
      </c>
      <c r="N95" s="13" t="s">
        <v>572</v>
      </c>
      <c r="O95" s="7">
        <v>1</v>
      </c>
      <c r="P95" s="16" t="s">
        <v>279</v>
      </c>
      <c r="R95" s="3"/>
      <c r="T95" s="7"/>
    </row>
    <row r="96" spans="1:20" hidden="1" x14ac:dyDescent="0.25">
      <c r="A96" s="16" t="str">
        <f t="shared" si="0"/>
        <v>CUSTO DMA -WILLIAM LEITE- JUNHO 26</v>
      </c>
      <c r="B96" s="18">
        <v>46174</v>
      </c>
      <c r="C96" s="3">
        <v>817391</v>
      </c>
      <c r="D96" s="3" t="s">
        <v>398</v>
      </c>
      <c r="E96" s="14">
        <f t="shared" si="10"/>
        <v>-541.22768730000007</v>
      </c>
      <c r="F96" s="3" t="s">
        <v>364</v>
      </c>
      <c r="G96" s="18">
        <v>46174</v>
      </c>
      <c r="H96" s="19">
        <v>12296</v>
      </c>
      <c r="I96" s="3" t="str">
        <f>VLOOKUP(H96,'[1]Base de Clientes'!$B:$E,4,0)</f>
        <v>PATRIA INVESTIMENTOS LTDA</v>
      </c>
      <c r="J96" s="5" t="s">
        <v>8</v>
      </c>
      <c r="K96" s="5" t="s">
        <v>111</v>
      </c>
      <c r="L96" s="9">
        <v>541.22768730000007</v>
      </c>
      <c r="M96" s="11" t="s">
        <v>7</v>
      </c>
      <c r="N96" s="13" t="s">
        <v>572</v>
      </c>
      <c r="O96" s="7">
        <v>1</v>
      </c>
      <c r="P96" s="16" t="s">
        <v>280</v>
      </c>
      <c r="R96" s="3"/>
      <c r="T96" s="7"/>
    </row>
    <row r="97" spans="1:20" hidden="1" x14ac:dyDescent="0.25">
      <c r="A97" s="16" t="str">
        <f t="shared" si="0"/>
        <v>CUSTO DMA -HENRIQUE PEINADO- JUNHO 26</v>
      </c>
      <c r="B97" s="18">
        <v>46174</v>
      </c>
      <c r="C97" s="3">
        <v>817391</v>
      </c>
      <c r="D97" s="3" t="s">
        <v>477</v>
      </c>
      <c r="E97" s="14">
        <f t="shared" si="10"/>
        <v>-3678.105</v>
      </c>
      <c r="F97" s="3" t="s">
        <v>365</v>
      </c>
      <c r="G97" s="18">
        <v>46174</v>
      </c>
      <c r="H97" s="19">
        <v>83024</v>
      </c>
      <c r="I97" s="3" t="str">
        <f>VLOOKUP(H97,'[1]Base de Clientes'!$B:$E,4,0)</f>
        <v>ITAU UNIBANCO ASSET - IAM_BZ</v>
      </c>
      <c r="J97" s="5" t="s">
        <v>8</v>
      </c>
      <c r="K97" s="5" t="s">
        <v>188</v>
      </c>
      <c r="L97" s="9">
        <v>3678.105</v>
      </c>
      <c r="M97" s="11" t="s">
        <v>7</v>
      </c>
      <c r="N97" s="13" t="s">
        <v>572</v>
      </c>
      <c r="O97" s="7">
        <v>1</v>
      </c>
      <c r="P97" s="16">
        <v>525</v>
      </c>
      <c r="R97" s="3"/>
      <c r="T97" s="7"/>
    </row>
    <row r="98" spans="1:20" hidden="1" x14ac:dyDescent="0.2">
      <c r="A98" s="16" t="str">
        <f t="shared" si="0"/>
        <v>CUSTO DMA -MARCIO UEJIMA- JUNHO 26</v>
      </c>
      <c r="B98" s="18">
        <v>46174</v>
      </c>
      <c r="C98" s="3">
        <v>817391</v>
      </c>
      <c r="D98" s="24" t="s">
        <v>477</v>
      </c>
      <c r="E98" s="14">
        <f t="shared" si="10"/>
        <v>-3678.105</v>
      </c>
      <c r="F98" s="3" t="s">
        <v>365</v>
      </c>
      <c r="G98" s="18">
        <v>46174</v>
      </c>
      <c r="H98" s="26">
        <v>80958</v>
      </c>
      <c r="I98" s="3" t="str">
        <f>VLOOKUP(H98,'[1]Base de Clientes'!$B:$E,4,0)</f>
        <v>ITAU UNIBANCO ASSET - OPTIMUS</v>
      </c>
      <c r="J98" s="5" t="s">
        <v>8</v>
      </c>
      <c r="K98" s="5" t="s">
        <v>189</v>
      </c>
      <c r="L98" s="9">
        <v>3678.105</v>
      </c>
      <c r="M98" s="11" t="s">
        <v>7</v>
      </c>
      <c r="N98" s="13" t="s">
        <v>572</v>
      </c>
      <c r="O98" s="7">
        <v>1</v>
      </c>
      <c r="P98" s="16">
        <v>541</v>
      </c>
      <c r="R98" s="3"/>
      <c r="T98" s="7"/>
    </row>
    <row r="99" spans="1:20" hidden="1" x14ac:dyDescent="0.25">
      <c r="A99" s="16" t="str">
        <f t="shared" si="0"/>
        <v>CUSTO DMA -GUILHERME SILVA BRENNAND- JUNHO 26</v>
      </c>
      <c r="B99" s="18">
        <v>46174</v>
      </c>
      <c r="C99" s="3">
        <v>817391</v>
      </c>
      <c r="D99" s="3" t="s">
        <v>408</v>
      </c>
      <c r="E99" s="14">
        <f t="shared" si="10"/>
        <v>-5290.86</v>
      </c>
      <c r="F99" s="3" t="s">
        <v>367</v>
      </c>
      <c r="G99" s="18">
        <v>46174</v>
      </c>
      <c r="H99" s="19">
        <v>14432</v>
      </c>
      <c r="I99" s="3" t="str">
        <f>VLOOKUP(H99,'[1]Base de Clientes'!$B:$E,4,0)</f>
        <v>BB GESTAO DE RECURSOS DTVM LTDA</v>
      </c>
      <c r="J99" s="5" t="s">
        <v>8</v>
      </c>
      <c r="K99" s="5" t="s">
        <v>114</v>
      </c>
      <c r="L99" s="9">
        <v>5290.86</v>
      </c>
      <c r="M99" s="11" t="s">
        <v>7</v>
      </c>
      <c r="N99" s="13" t="s">
        <v>572</v>
      </c>
      <c r="O99" s="7">
        <v>1</v>
      </c>
      <c r="P99" s="16" t="s">
        <v>283</v>
      </c>
      <c r="R99" s="3"/>
      <c r="T99" s="7"/>
    </row>
    <row r="100" spans="1:20" hidden="1" x14ac:dyDescent="0.25">
      <c r="A100" s="16" t="str">
        <f t="shared" si="0"/>
        <v>CUSTO DMA -ANDERSON KAM (RED HILL TRADING)- JUNHO 26</v>
      </c>
      <c r="B100" s="18">
        <v>46174</v>
      </c>
      <c r="C100" s="3">
        <v>817391</v>
      </c>
      <c r="D100" s="3" t="s">
        <v>485</v>
      </c>
      <c r="E100" s="14">
        <f t="shared" si="10"/>
        <v>-451.7</v>
      </c>
      <c r="F100" s="3" t="s">
        <v>367</v>
      </c>
      <c r="G100" s="18">
        <v>46174</v>
      </c>
      <c r="H100" s="19">
        <v>82808</v>
      </c>
      <c r="I100" s="3" t="str">
        <f>VLOOKUP(H100,'[1]Base de Clientes'!$B:$E,4,0)</f>
        <v>AGUILA CAPITAL ADM E GESTAO DE CAPITAIS LTDA</v>
      </c>
      <c r="J100" s="5" t="s">
        <v>8</v>
      </c>
      <c r="K100" s="5" t="s">
        <v>117</v>
      </c>
      <c r="L100" s="9">
        <v>451.7</v>
      </c>
      <c r="M100" s="11" t="s">
        <v>7</v>
      </c>
      <c r="N100" s="13" t="s">
        <v>572</v>
      </c>
      <c r="O100" s="7">
        <v>1</v>
      </c>
      <c r="P100" s="16" t="s">
        <v>286</v>
      </c>
      <c r="R100" s="3"/>
      <c r="T100" s="7"/>
    </row>
    <row r="101" spans="1:20" hidden="1" x14ac:dyDescent="0.25">
      <c r="A101" s="16" t="str">
        <f t="shared" si="0"/>
        <v>CUSTO DMA -IVAN RIBEIRO DE SOUSA JUNIOR- JUNHO 26</v>
      </c>
      <c r="B101" s="18">
        <v>46174</v>
      </c>
      <c r="C101" s="3">
        <v>817391</v>
      </c>
      <c r="D101" s="3" t="s">
        <v>408</v>
      </c>
      <c r="E101" s="14">
        <f t="shared" si="10"/>
        <v>-510.92</v>
      </c>
      <c r="F101" s="3" t="s">
        <v>367</v>
      </c>
      <c r="G101" s="18">
        <v>46174</v>
      </c>
      <c r="H101" s="19">
        <v>14432</v>
      </c>
      <c r="I101" s="3" t="str">
        <f>VLOOKUP(H101,'[1]Base de Clientes'!$B:$E,4,0)</f>
        <v>BB GESTAO DE RECURSOS DTVM LTDA</v>
      </c>
      <c r="J101" s="5" t="s">
        <v>8</v>
      </c>
      <c r="K101" s="5" t="s">
        <v>420</v>
      </c>
      <c r="L101" s="9">
        <v>510.92</v>
      </c>
      <c r="M101" s="11" t="s">
        <v>7</v>
      </c>
      <c r="N101" s="13" t="s">
        <v>572</v>
      </c>
      <c r="O101" s="7">
        <v>1</v>
      </c>
      <c r="P101" s="16" t="s">
        <v>448</v>
      </c>
      <c r="R101" s="3"/>
      <c r="T101" s="7"/>
    </row>
    <row r="102" spans="1:20" hidden="1" x14ac:dyDescent="0.25">
      <c r="A102" s="16" t="str">
        <f t="shared" si="0"/>
        <v>CUSTO DMA -ANTONIO MOURA ANDRADE- JUNHO 26</v>
      </c>
      <c r="B102" s="18">
        <v>46174</v>
      </c>
      <c r="C102" s="3">
        <v>817391</v>
      </c>
      <c r="D102" s="3" t="s">
        <v>479</v>
      </c>
      <c r="E102" s="14">
        <f t="shared" si="10"/>
        <v>-5176.5999999999995</v>
      </c>
      <c r="F102" s="3" t="s">
        <v>362</v>
      </c>
      <c r="G102" s="18">
        <v>46174</v>
      </c>
      <c r="H102" s="19">
        <v>15501</v>
      </c>
      <c r="I102" s="3" t="str">
        <f>VLOOKUP(H102,'[1]Base de Clientes'!$B:$E,4,0)</f>
        <v>BANCO BTG PACTUAL S/A</v>
      </c>
      <c r="J102" s="5" t="s">
        <v>8</v>
      </c>
      <c r="K102" s="5" t="s">
        <v>19</v>
      </c>
      <c r="L102" s="9">
        <v>5176.5999999999995</v>
      </c>
      <c r="M102" s="11" t="s">
        <v>7</v>
      </c>
      <c r="N102" s="13" t="s">
        <v>572</v>
      </c>
      <c r="O102" s="7">
        <v>1</v>
      </c>
      <c r="P102" s="16" t="s">
        <v>190</v>
      </c>
      <c r="R102" s="3"/>
      <c r="T102" s="7"/>
    </row>
    <row r="103" spans="1:20" hidden="1" x14ac:dyDescent="0.25">
      <c r="A103" s="16" t="str">
        <f t="shared" si="0"/>
        <v>CUSTO DMA -ANDRE BAUM- JUNHO 26</v>
      </c>
      <c r="B103" s="18">
        <v>46174</v>
      </c>
      <c r="C103" s="3">
        <v>817391</v>
      </c>
      <c r="D103" s="3" t="s">
        <v>399</v>
      </c>
      <c r="E103" s="14">
        <f t="shared" si="10"/>
        <v>-2588.2999999999997</v>
      </c>
      <c r="F103" s="3" t="s">
        <v>362</v>
      </c>
      <c r="G103" s="18">
        <v>46174</v>
      </c>
      <c r="H103" s="19">
        <v>12413</v>
      </c>
      <c r="I103" s="3" t="str">
        <f>VLOOKUP(H103,'[1]Base de Clientes'!$B:$E,4,0)</f>
        <v>KAPITALO INVESTIMENTOS LTDA</v>
      </c>
      <c r="J103" s="5" t="s">
        <v>8</v>
      </c>
      <c r="K103" s="5" t="s">
        <v>20</v>
      </c>
      <c r="L103" s="9">
        <v>5176.5999999999995</v>
      </c>
      <c r="M103" s="11" t="s">
        <v>7</v>
      </c>
      <c r="N103" s="13" t="s">
        <v>572</v>
      </c>
      <c r="O103" s="7">
        <v>0.5</v>
      </c>
      <c r="P103" s="16" t="s">
        <v>191</v>
      </c>
      <c r="R103" s="3"/>
      <c r="T103" s="7"/>
    </row>
    <row r="104" spans="1:20" hidden="1" x14ac:dyDescent="0.25">
      <c r="A104" s="16" t="str">
        <f t="shared" ref="A104" si="19">CONCATENATE(J104,M104,K104,M104,N104)</f>
        <v>CUSTO DMA -ANDRE BAUM- JUNHO 26</v>
      </c>
      <c r="B104" s="18">
        <v>46174</v>
      </c>
      <c r="C104" s="3">
        <v>817391</v>
      </c>
      <c r="D104" s="3" t="s">
        <v>400</v>
      </c>
      <c r="E104" s="14">
        <f t="shared" ref="E104" si="20">-L104*O104</f>
        <v>-2588.2999999999997</v>
      </c>
      <c r="F104" s="3" t="s">
        <v>362</v>
      </c>
      <c r="G104" s="18">
        <v>46174</v>
      </c>
      <c r="H104" s="19">
        <v>12413</v>
      </c>
      <c r="I104" s="3" t="str">
        <f>VLOOKUP(H104,'[1]Base de Clientes'!$B:$E,4,0)</f>
        <v>KAPITALO INVESTIMENTOS LTDA</v>
      </c>
      <c r="J104" s="5" t="s">
        <v>8</v>
      </c>
      <c r="K104" s="5" t="s">
        <v>20</v>
      </c>
      <c r="L104" s="9">
        <v>5176.5999999999995</v>
      </c>
      <c r="M104" s="11" t="s">
        <v>7</v>
      </c>
      <c r="N104" s="13" t="s">
        <v>572</v>
      </c>
      <c r="O104" s="7">
        <v>0.5</v>
      </c>
      <c r="P104" s="16" t="s">
        <v>191</v>
      </c>
      <c r="R104" s="3"/>
      <c r="T104" s="7"/>
    </row>
    <row r="105" spans="1:20" hidden="1" x14ac:dyDescent="0.25">
      <c r="A105" s="16" t="str">
        <f t="shared" si="0"/>
        <v>CUSTO DMA -ALESSANDRO EZEQUIEL- JUNHO 26</v>
      </c>
      <c r="B105" s="18">
        <v>46174</v>
      </c>
      <c r="C105" s="3">
        <v>817391</v>
      </c>
      <c r="D105" s="3" t="s">
        <v>410</v>
      </c>
      <c r="E105" s="14">
        <f t="shared" si="10"/>
        <v>-856.7272999999999</v>
      </c>
      <c r="F105" s="3" t="s">
        <v>362</v>
      </c>
      <c r="G105" s="18">
        <v>46174</v>
      </c>
      <c r="H105" s="19">
        <v>14479</v>
      </c>
      <c r="I105" s="3" t="str">
        <f>VLOOKUP(H105,'[1]Base de Clientes'!$B:$E,4,0)</f>
        <v>BANCO SANTANDER (BRASIL) S/A</v>
      </c>
      <c r="J105" s="5" t="s">
        <v>8</v>
      </c>
      <c r="K105" s="5" t="s">
        <v>21</v>
      </c>
      <c r="L105" s="9">
        <v>856.7272999999999</v>
      </c>
      <c r="M105" s="11" t="s">
        <v>7</v>
      </c>
      <c r="N105" s="13" t="s">
        <v>572</v>
      </c>
      <c r="O105" s="7">
        <v>1</v>
      </c>
      <c r="P105" s="16" t="s">
        <v>192</v>
      </c>
      <c r="R105" s="3"/>
      <c r="T105" s="7"/>
    </row>
    <row r="106" spans="1:20" hidden="1" x14ac:dyDescent="0.25">
      <c r="A106" s="16" t="str">
        <f t="shared" si="0"/>
        <v>CUSTO DMA -ALFIO SILVA- JUNHO 26</v>
      </c>
      <c r="B106" s="18">
        <v>46174</v>
      </c>
      <c r="C106" s="3">
        <v>817391</v>
      </c>
      <c r="D106" s="3" t="s">
        <v>401</v>
      </c>
      <c r="E106" s="14">
        <f t="shared" si="10"/>
        <v>-367.02094</v>
      </c>
      <c r="F106" s="3" t="s">
        <v>362</v>
      </c>
      <c r="G106" s="18">
        <v>46174</v>
      </c>
      <c r="H106" s="19">
        <v>79806</v>
      </c>
      <c r="I106" s="3" t="str">
        <f>VLOOKUP(H106,'[1]Base de Clientes'!$B:$E,4,0)</f>
        <v>ITAU UNIBANCO S/A</v>
      </c>
      <c r="J106" s="5" t="s">
        <v>8</v>
      </c>
      <c r="K106" s="5" t="s">
        <v>23</v>
      </c>
      <c r="L106" s="9">
        <v>367.02094</v>
      </c>
      <c r="M106" s="11" t="s">
        <v>7</v>
      </c>
      <c r="N106" s="13" t="s">
        <v>572</v>
      </c>
      <c r="O106" s="7">
        <v>1</v>
      </c>
      <c r="P106" s="16" t="s">
        <v>194</v>
      </c>
      <c r="R106" s="3"/>
      <c r="T106" s="7"/>
    </row>
    <row r="107" spans="1:20" hidden="1" x14ac:dyDescent="0.25">
      <c r="A107" s="16" t="str">
        <f t="shared" si="0"/>
        <v>CUSTO DMA -BEATRIZ BIDUTTE- JUNHO 26</v>
      </c>
      <c r="B107" s="18">
        <v>46174</v>
      </c>
      <c r="C107" s="3">
        <v>817391</v>
      </c>
      <c r="D107" s="3" t="s">
        <v>474</v>
      </c>
      <c r="E107" s="14">
        <f t="shared" si="10"/>
        <v>-5176.5999999999995</v>
      </c>
      <c r="F107" s="3" t="s">
        <v>362</v>
      </c>
      <c r="G107" s="18">
        <v>46174</v>
      </c>
      <c r="H107" s="19">
        <v>79965</v>
      </c>
      <c r="I107" s="3" t="str">
        <f>VLOOKUP(H107,'[1]Base de Clientes'!$B:$E,4,0)</f>
        <v>BANCO HSBC S/A</v>
      </c>
      <c r="J107" s="5" t="s">
        <v>8</v>
      </c>
      <c r="K107" s="5" t="s">
        <v>24</v>
      </c>
      <c r="L107" s="9">
        <v>5176.5999999999995</v>
      </c>
      <c r="M107" s="11" t="s">
        <v>7</v>
      </c>
      <c r="N107" s="13" t="s">
        <v>572</v>
      </c>
      <c r="O107" s="7">
        <v>1</v>
      </c>
      <c r="P107" s="16" t="s">
        <v>195</v>
      </c>
      <c r="R107" s="3"/>
      <c r="T107" s="7"/>
    </row>
    <row r="108" spans="1:20" hidden="1" x14ac:dyDescent="0.25">
      <c r="A108" s="16" t="str">
        <f t="shared" si="0"/>
        <v>CUSTO DMA -BRUNO FISCHER- JUNHO 26</v>
      </c>
      <c r="B108" s="18">
        <v>46174</v>
      </c>
      <c r="C108" s="3">
        <v>817391</v>
      </c>
      <c r="D108" s="3" t="s">
        <v>410</v>
      </c>
      <c r="E108" s="14">
        <f t="shared" si="10"/>
        <v>-5176.5999999999995</v>
      </c>
      <c r="F108" s="3" t="s">
        <v>362</v>
      </c>
      <c r="G108" s="18">
        <v>46174</v>
      </c>
      <c r="H108" s="19">
        <v>79931</v>
      </c>
      <c r="I108" s="3" t="str">
        <f>VLOOKUP(H108,'[1]Base de Clientes'!$B:$E,4,0)</f>
        <v>SPX GESTAO DE RECURSOS LTDA</v>
      </c>
      <c r="J108" s="5" t="s">
        <v>8</v>
      </c>
      <c r="K108" s="5" t="s">
        <v>25</v>
      </c>
      <c r="L108" s="9">
        <v>5176.5999999999995</v>
      </c>
      <c r="M108" s="11" t="s">
        <v>7</v>
      </c>
      <c r="N108" s="13" t="s">
        <v>572</v>
      </c>
      <c r="O108" s="7">
        <v>1</v>
      </c>
      <c r="P108" s="16" t="s">
        <v>196</v>
      </c>
      <c r="R108" s="3"/>
      <c r="T108" s="7"/>
    </row>
    <row r="109" spans="1:20" hidden="1" x14ac:dyDescent="0.25">
      <c r="A109" s="16" t="str">
        <f t="shared" ref="A109" si="21">CONCATENATE(J109,M109,K109,M109,N109)</f>
        <v>CUSTO DMA -BERNARDO GOMES- JUNHO 26</v>
      </c>
      <c r="B109" s="18">
        <v>46174</v>
      </c>
      <c r="C109" s="3">
        <v>817391</v>
      </c>
      <c r="D109" s="3" t="s">
        <v>480</v>
      </c>
      <c r="E109" s="14">
        <f t="shared" ref="E109" si="22">-L109*O109</f>
        <v>-5176.5999999999995</v>
      </c>
      <c r="F109" s="3" t="s">
        <v>362</v>
      </c>
      <c r="G109" s="18">
        <v>46174</v>
      </c>
      <c r="H109" s="19">
        <v>81936</v>
      </c>
      <c r="I109" s="3" t="str">
        <f>VLOOKUP(H109,'[1]Base de Clientes'!$B:$E,4,0)</f>
        <v>KAPITALO INVESTIMENTOS LTDA</v>
      </c>
      <c r="J109" s="5" t="s">
        <v>8</v>
      </c>
      <c r="K109" s="5" t="s">
        <v>26</v>
      </c>
      <c r="L109" s="9">
        <v>5176.5999999999995</v>
      </c>
      <c r="M109" s="11" t="s">
        <v>7</v>
      </c>
      <c r="N109" s="13" t="s">
        <v>572</v>
      </c>
      <c r="O109" s="7">
        <v>1</v>
      </c>
      <c r="P109" s="16" t="s">
        <v>197</v>
      </c>
      <c r="R109" s="3"/>
      <c r="T109" s="7"/>
    </row>
    <row r="110" spans="1:20" hidden="1" x14ac:dyDescent="0.25">
      <c r="A110" s="16" t="str">
        <f t="shared" si="0"/>
        <v>CUSTO DMA -BRUNO MARQUES- JUNHO 26</v>
      </c>
      <c r="B110" s="18">
        <v>46174</v>
      </c>
      <c r="C110" s="3">
        <v>817391</v>
      </c>
      <c r="D110" s="3" t="s">
        <v>411</v>
      </c>
      <c r="E110" s="14">
        <f t="shared" si="10"/>
        <v>-5176.5999999999995</v>
      </c>
      <c r="F110" s="3" t="s">
        <v>362</v>
      </c>
      <c r="G110" s="18">
        <v>46174</v>
      </c>
      <c r="H110" s="19">
        <v>80648</v>
      </c>
      <c r="I110" s="3" t="str">
        <f>VLOOKUP(H110,'[1]Base de Clientes'!$B:$E,4,0)</f>
        <v>XP GESTAO DE RECURSOS LTDA</v>
      </c>
      <c r="J110" s="5" t="s">
        <v>8</v>
      </c>
      <c r="K110" s="5" t="s">
        <v>27</v>
      </c>
      <c r="L110" s="9">
        <v>5176.5999999999995</v>
      </c>
      <c r="M110" s="11" t="s">
        <v>7</v>
      </c>
      <c r="N110" s="13" t="s">
        <v>572</v>
      </c>
      <c r="O110" s="7">
        <v>1</v>
      </c>
      <c r="P110" s="16" t="s">
        <v>198</v>
      </c>
      <c r="R110" s="3"/>
      <c r="T110" s="7"/>
    </row>
    <row r="111" spans="1:20" hidden="1" x14ac:dyDescent="0.25">
      <c r="A111" s="16" t="str">
        <f t="shared" si="0"/>
        <v>CUSTO DMA -BRUNO SCHIAVINATO- JUNHO 26</v>
      </c>
      <c r="B111" s="18">
        <v>46174</v>
      </c>
      <c r="C111" s="3">
        <v>817391</v>
      </c>
      <c r="D111" s="3" t="s">
        <v>411</v>
      </c>
      <c r="E111" s="14">
        <f t="shared" si="10"/>
        <v>-1017.2019</v>
      </c>
      <c r="F111" s="3" t="s">
        <v>362</v>
      </c>
      <c r="G111" s="18">
        <v>46174</v>
      </c>
      <c r="H111" s="19">
        <v>14479</v>
      </c>
      <c r="I111" s="3" t="str">
        <f>VLOOKUP(H111,'[1]Base de Clientes'!$B:$E,4,0)</f>
        <v>BANCO SANTANDER (BRASIL) S/A</v>
      </c>
      <c r="J111" s="5" t="s">
        <v>8</v>
      </c>
      <c r="K111" s="5" t="s">
        <v>28</v>
      </c>
      <c r="L111" s="9">
        <v>1017.2019</v>
      </c>
      <c r="M111" s="11" t="s">
        <v>7</v>
      </c>
      <c r="N111" s="13" t="s">
        <v>572</v>
      </c>
      <c r="O111" s="7">
        <v>1</v>
      </c>
      <c r="P111" s="16" t="s">
        <v>199</v>
      </c>
      <c r="R111" s="3"/>
      <c r="T111" s="7"/>
    </row>
    <row r="112" spans="1:20" hidden="1" x14ac:dyDescent="0.25">
      <c r="A112" s="16" t="str">
        <f t="shared" si="0"/>
        <v>CUSTO DMA -BRUNO SERRA FERNANDES- JUNHO 26</v>
      </c>
      <c r="B112" s="18">
        <v>46174</v>
      </c>
      <c r="C112" s="3">
        <v>817391</v>
      </c>
      <c r="D112" s="3" t="s">
        <v>397</v>
      </c>
      <c r="E112" s="14">
        <f t="shared" si="10"/>
        <v>-2588.2999999999997</v>
      </c>
      <c r="F112" s="3" t="s">
        <v>362</v>
      </c>
      <c r="G112" s="18">
        <v>46174</v>
      </c>
      <c r="H112" s="19">
        <v>82010</v>
      </c>
      <c r="I112" s="3" t="str">
        <f>VLOOKUP(H112,'[1]Base de Clientes'!$B:$E,4,0)</f>
        <v>ITAU UNIBANCO ASSET - JANEIRO</v>
      </c>
      <c r="J112" s="5" t="s">
        <v>8</v>
      </c>
      <c r="K112" s="5" t="s">
        <v>369</v>
      </c>
      <c r="L112" s="9">
        <v>5176.5999999999995</v>
      </c>
      <c r="M112" s="11" t="s">
        <v>7</v>
      </c>
      <c r="N112" s="13" t="s">
        <v>572</v>
      </c>
      <c r="O112" s="7">
        <v>0.5</v>
      </c>
      <c r="P112" s="16" t="s">
        <v>383</v>
      </c>
      <c r="R112" s="3"/>
      <c r="T112" s="7"/>
    </row>
    <row r="113" spans="1:20" hidden="1" x14ac:dyDescent="0.25">
      <c r="A113" s="16" t="str">
        <f t="shared" ref="A113:A114" si="23">CONCATENATE(J113,M113,K113,M113,N113)</f>
        <v>CUSTO DMA -BRUNO SERRA FERNANDES- JUNHO 26</v>
      </c>
      <c r="B113" s="18">
        <v>46174</v>
      </c>
      <c r="C113" s="3">
        <v>817391</v>
      </c>
      <c r="D113" s="3" t="s">
        <v>401</v>
      </c>
      <c r="E113" s="14">
        <f t="shared" ref="E113:E114" si="24">-L113*O113</f>
        <v>-2588.2999999999997</v>
      </c>
      <c r="F113" s="3" t="s">
        <v>362</v>
      </c>
      <c r="G113" s="18">
        <v>46174</v>
      </c>
      <c r="H113" s="19">
        <v>82010</v>
      </c>
      <c r="I113" s="3" t="str">
        <f>VLOOKUP(H113,'[1]Base de Clientes'!$B:$E,4,0)</f>
        <v>ITAU UNIBANCO ASSET - JANEIRO</v>
      </c>
      <c r="J113" s="5" t="s">
        <v>8</v>
      </c>
      <c r="K113" s="5" t="s">
        <v>369</v>
      </c>
      <c r="L113" s="9">
        <v>5176.5999999999995</v>
      </c>
      <c r="M113" s="11" t="s">
        <v>7</v>
      </c>
      <c r="N113" s="13" t="s">
        <v>572</v>
      </c>
      <c r="O113" s="7">
        <v>0.5</v>
      </c>
      <c r="P113" s="16" t="s">
        <v>383</v>
      </c>
      <c r="R113" s="3"/>
      <c r="T113" s="7"/>
    </row>
    <row r="114" spans="1:20" hidden="1" x14ac:dyDescent="0.25">
      <c r="A114" s="16" t="str">
        <f t="shared" si="23"/>
        <v>CUSTO DMA -DANIEL COSTA- JUNHO 26</v>
      </c>
      <c r="B114" s="18">
        <v>46174</v>
      </c>
      <c r="C114" s="3">
        <v>817391</v>
      </c>
      <c r="D114" s="3" t="s">
        <v>402</v>
      </c>
      <c r="E114" s="14">
        <f t="shared" si="24"/>
        <v>-2588.2999999999997</v>
      </c>
      <c r="F114" s="3" t="s">
        <v>362</v>
      </c>
      <c r="G114" s="18">
        <v>46174</v>
      </c>
      <c r="H114" s="19">
        <v>82010</v>
      </c>
      <c r="I114" s="3" t="str">
        <f>VLOOKUP(H114,'[1]Base de Clientes'!$B:$E,4,0)</f>
        <v>ITAU UNIBANCO ASSET - JANEIRO</v>
      </c>
      <c r="J114" s="5" t="s">
        <v>8</v>
      </c>
      <c r="K114" s="5" t="s">
        <v>29</v>
      </c>
      <c r="L114" s="9">
        <v>5176.5999999999995</v>
      </c>
      <c r="M114" s="11" t="s">
        <v>7</v>
      </c>
      <c r="N114" s="13" t="s">
        <v>572</v>
      </c>
      <c r="O114" s="7">
        <v>0.5</v>
      </c>
      <c r="P114" s="16" t="s">
        <v>200</v>
      </c>
      <c r="R114" s="3"/>
      <c r="T114" s="7"/>
    </row>
    <row r="115" spans="1:20" hidden="1" x14ac:dyDescent="0.25">
      <c r="A115" s="16" t="str">
        <f t="shared" si="0"/>
        <v>CUSTO DMA -DANIEL COSTA- JUNHO 26</v>
      </c>
      <c r="B115" s="18">
        <v>46174</v>
      </c>
      <c r="C115" s="3">
        <v>817391</v>
      </c>
      <c r="D115" s="3" t="s">
        <v>403</v>
      </c>
      <c r="E115" s="14">
        <f t="shared" si="10"/>
        <v>-2588.2999999999997</v>
      </c>
      <c r="F115" s="3" t="s">
        <v>362</v>
      </c>
      <c r="G115" s="18">
        <v>46174</v>
      </c>
      <c r="H115" s="19">
        <v>82010</v>
      </c>
      <c r="I115" s="3" t="str">
        <f>VLOOKUP(H115,'[1]Base de Clientes'!$B:$E,4,0)</f>
        <v>ITAU UNIBANCO ASSET - JANEIRO</v>
      </c>
      <c r="J115" s="5" t="s">
        <v>8</v>
      </c>
      <c r="K115" s="5" t="s">
        <v>29</v>
      </c>
      <c r="L115" s="9">
        <v>5176.5999999999995</v>
      </c>
      <c r="M115" s="11" t="s">
        <v>7</v>
      </c>
      <c r="N115" s="13" t="s">
        <v>572</v>
      </c>
      <c r="O115" s="7">
        <v>0.5</v>
      </c>
      <c r="P115" s="16" t="s">
        <v>200</v>
      </c>
      <c r="R115" s="3"/>
      <c r="T115" s="7"/>
    </row>
    <row r="116" spans="1:20" hidden="1" x14ac:dyDescent="0.25">
      <c r="A116" s="16" t="str">
        <f t="shared" si="0"/>
        <v>CUSTO DMA -DANIEL SARAIVA- JUNHO 26</v>
      </c>
      <c r="B116" s="18">
        <v>46174</v>
      </c>
      <c r="C116" s="3">
        <v>817391</v>
      </c>
      <c r="D116" s="3" t="s">
        <v>481</v>
      </c>
      <c r="E116" s="14">
        <f t="shared" si="10"/>
        <v>-197.22846000000001</v>
      </c>
      <c r="F116" s="3" t="s">
        <v>362</v>
      </c>
      <c r="G116" s="18">
        <v>46174</v>
      </c>
      <c r="H116" s="19">
        <v>144310</v>
      </c>
      <c r="I116" s="3" t="str">
        <f>VLOOKUP(H116,'[1]Base de Clientes'!$B:$E,4,0)</f>
        <v>BW GESTAO DE INVESTIMENTOS LTDA</v>
      </c>
      <c r="J116" s="5" t="s">
        <v>8</v>
      </c>
      <c r="K116" s="5" t="s">
        <v>31</v>
      </c>
      <c r="L116" s="9">
        <v>197.22846000000001</v>
      </c>
      <c r="M116" s="11" t="s">
        <v>7</v>
      </c>
      <c r="N116" s="13" t="s">
        <v>572</v>
      </c>
      <c r="O116" s="7">
        <v>1</v>
      </c>
      <c r="P116" s="16" t="s">
        <v>202</v>
      </c>
      <c r="R116" s="3"/>
      <c r="T116" s="7"/>
    </row>
    <row r="117" spans="1:20" hidden="1" x14ac:dyDescent="0.25">
      <c r="A117" s="16" t="str">
        <f t="shared" si="0"/>
        <v>CUSTO DMA -FILIPE CAVALCANTI- JUNHO 26</v>
      </c>
      <c r="B117" s="18">
        <v>46174</v>
      </c>
      <c r="C117" s="3">
        <v>817391</v>
      </c>
      <c r="D117" s="3" t="s">
        <v>401</v>
      </c>
      <c r="E117" s="14">
        <f t="shared" si="10"/>
        <v>-4562.1375799999996</v>
      </c>
      <c r="F117" s="3" t="s">
        <v>362</v>
      </c>
      <c r="G117" s="18">
        <v>46174</v>
      </c>
      <c r="H117" s="19">
        <v>80227</v>
      </c>
      <c r="I117" s="3" t="str">
        <f>VLOOKUP(H117,'[1]Base de Clientes'!$B:$E,4,0)</f>
        <v>ITAU UNIBANCO S/A</v>
      </c>
      <c r="J117" s="5" t="s">
        <v>8</v>
      </c>
      <c r="K117" s="5" t="s">
        <v>32</v>
      </c>
      <c r="L117" s="9">
        <v>4562.1375799999996</v>
      </c>
      <c r="M117" s="11" t="s">
        <v>7</v>
      </c>
      <c r="N117" s="13" t="s">
        <v>572</v>
      </c>
      <c r="O117" s="7">
        <v>1</v>
      </c>
      <c r="P117" s="16" t="s">
        <v>203</v>
      </c>
      <c r="R117" s="3"/>
      <c r="T117" s="7"/>
    </row>
    <row r="118" spans="1:20" hidden="1" x14ac:dyDescent="0.25">
      <c r="A118" s="16" t="str">
        <f t="shared" si="0"/>
        <v>CUSTO DMA -FELIPE GRIGOROVSKI- JUNHO 26</v>
      </c>
      <c r="B118" s="18">
        <v>46174</v>
      </c>
      <c r="C118" s="3">
        <v>817391</v>
      </c>
      <c r="D118" s="3" t="s">
        <v>398</v>
      </c>
      <c r="E118" s="14">
        <f t="shared" si="10"/>
        <v>-29.506620000000002</v>
      </c>
      <c r="F118" s="3" t="s">
        <v>362</v>
      </c>
      <c r="G118" s="18">
        <v>46174</v>
      </c>
      <c r="H118" s="19">
        <v>80958</v>
      </c>
      <c r="I118" s="3" t="str">
        <f>VLOOKUP(H118,'[1]Base de Clientes'!$B:$E,4,0)</f>
        <v>ITAU UNIBANCO ASSET - OPTIMUS</v>
      </c>
      <c r="J118" s="5" t="s">
        <v>8</v>
      </c>
      <c r="K118" s="5" t="s">
        <v>33</v>
      </c>
      <c r="L118" s="9">
        <v>29.506620000000002</v>
      </c>
      <c r="M118" s="11" t="s">
        <v>7</v>
      </c>
      <c r="N118" s="13" t="s">
        <v>572</v>
      </c>
      <c r="O118" s="7">
        <v>1</v>
      </c>
      <c r="P118" s="16" t="s">
        <v>204</v>
      </c>
      <c r="R118" s="3"/>
      <c r="T118" s="7"/>
    </row>
    <row r="119" spans="1:20" hidden="1" x14ac:dyDescent="0.25">
      <c r="A119" s="16" t="str">
        <f t="shared" si="0"/>
        <v>CUSTO DMA -FELIPE GUERRA- JUNHO 26</v>
      </c>
      <c r="B119" s="18">
        <v>46174</v>
      </c>
      <c r="C119" s="3">
        <v>817391</v>
      </c>
      <c r="D119" s="3" t="s">
        <v>404</v>
      </c>
      <c r="E119" s="14">
        <f t="shared" si="10"/>
        <v>-647.07500000000005</v>
      </c>
      <c r="F119" s="3" t="s">
        <v>362</v>
      </c>
      <c r="G119" s="18">
        <v>46174</v>
      </c>
      <c r="H119" s="19">
        <v>80386</v>
      </c>
      <c r="I119" s="3" t="str">
        <f>VLOOKUP(H119,'[1]Base de Clientes'!$B:$E,4,0)</f>
        <v>LEGACY CAPITAL GESTORA DE RECURSOS LTDA</v>
      </c>
      <c r="J119" s="5" t="s">
        <v>8</v>
      </c>
      <c r="K119" s="5" t="s">
        <v>34</v>
      </c>
      <c r="L119" s="9">
        <v>1294.1500000000001</v>
      </c>
      <c r="M119" s="11" t="s">
        <v>7</v>
      </c>
      <c r="N119" s="13" t="s">
        <v>572</v>
      </c>
      <c r="O119" s="7">
        <v>0.5</v>
      </c>
      <c r="P119" s="16" t="s">
        <v>205</v>
      </c>
      <c r="R119" s="3"/>
      <c r="T119" s="7"/>
    </row>
    <row r="120" spans="1:20" hidden="1" x14ac:dyDescent="0.25">
      <c r="A120" s="16" t="str">
        <f t="shared" ref="A120" si="25">CONCATENATE(J120,M120,K120,M120,N120)</f>
        <v>CUSTO DMA -FELIPE GUERRA- JUNHO 26</v>
      </c>
      <c r="B120" s="18">
        <v>46174</v>
      </c>
      <c r="C120" s="3">
        <v>817391</v>
      </c>
      <c r="D120" s="3" t="s">
        <v>405</v>
      </c>
      <c r="E120" s="14">
        <f t="shared" ref="E120" si="26">-L120*O120</f>
        <v>-647.07500000000005</v>
      </c>
      <c r="F120" s="3" t="s">
        <v>362</v>
      </c>
      <c r="G120" s="18">
        <v>46174</v>
      </c>
      <c r="H120" s="19">
        <v>80386</v>
      </c>
      <c r="I120" s="3" t="str">
        <f>VLOOKUP(H120,'[1]Base de Clientes'!$B:$E,4,0)</f>
        <v>LEGACY CAPITAL GESTORA DE RECURSOS LTDA</v>
      </c>
      <c r="J120" s="5" t="s">
        <v>8</v>
      </c>
      <c r="K120" s="5" t="s">
        <v>34</v>
      </c>
      <c r="L120" s="9">
        <v>1294.1500000000001</v>
      </c>
      <c r="M120" s="11" t="s">
        <v>7</v>
      </c>
      <c r="N120" s="13" t="s">
        <v>572</v>
      </c>
      <c r="O120" s="7">
        <v>0.5</v>
      </c>
      <c r="P120" s="16" t="s">
        <v>205</v>
      </c>
      <c r="R120" s="3"/>
      <c r="T120" s="7"/>
    </row>
    <row r="121" spans="1:20" hidden="1" x14ac:dyDescent="0.25">
      <c r="A121" s="16" t="str">
        <f t="shared" ref="A121" si="27">CONCATENATE(J121,M121,K121,M121,N121)</f>
        <v>CUSTO DMA -FREDERICO QUEIROZ- JUNHO 26</v>
      </c>
      <c r="B121" s="18">
        <v>46174</v>
      </c>
      <c r="C121" s="3">
        <v>817391</v>
      </c>
      <c r="D121" s="3" t="s">
        <v>401</v>
      </c>
      <c r="E121" s="14">
        <f t="shared" ref="E121" si="28">-L121*O121</f>
        <v>-25.882999999999999</v>
      </c>
      <c r="F121" s="3" t="s">
        <v>362</v>
      </c>
      <c r="G121" s="18">
        <v>46174</v>
      </c>
      <c r="H121" s="19">
        <v>79806</v>
      </c>
      <c r="I121" s="3" t="str">
        <f>VLOOKUP(H121,'[1]Base de Clientes'!$B:$E,4,0)</f>
        <v>ITAU UNIBANCO S/A</v>
      </c>
      <c r="J121" s="5" t="s">
        <v>8</v>
      </c>
      <c r="K121" s="5" t="s">
        <v>412</v>
      </c>
      <c r="L121" s="9">
        <v>25.882999999999999</v>
      </c>
      <c r="M121" s="11" t="s">
        <v>7</v>
      </c>
      <c r="N121" s="13" t="s">
        <v>572</v>
      </c>
      <c r="O121" s="7">
        <v>1</v>
      </c>
      <c r="P121" s="16" t="s">
        <v>421</v>
      </c>
      <c r="R121" s="3"/>
      <c r="T121" s="7"/>
    </row>
    <row r="122" spans="1:20" hidden="1" x14ac:dyDescent="0.25">
      <c r="A122" s="16" t="str">
        <f t="shared" si="0"/>
        <v>CUSTO DMA -FERNANDO SCARPA- JUNHO 26</v>
      </c>
      <c r="B122" s="18">
        <v>46174</v>
      </c>
      <c r="C122" s="3">
        <v>817391</v>
      </c>
      <c r="D122" s="3" t="s">
        <v>400</v>
      </c>
      <c r="E122" s="14">
        <f t="shared" si="10"/>
        <v>-5176.5999999999995</v>
      </c>
      <c r="F122" s="3" t="s">
        <v>362</v>
      </c>
      <c r="G122" s="18">
        <v>46174</v>
      </c>
      <c r="H122" s="19">
        <v>80375</v>
      </c>
      <c r="I122" s="3" t="str">
        <f>VLOOKUP(H122,'[1]Base de Clientes'!$B:$E,4,0)</f>
        <v>ITAU UNIBANCO S/A</v>
      </c>
      <c r="J122" s="5" t="s">
        <v>8</v>
      </c>
      <c r="K122" s="5" t="s">
        <v>36</v>
      </c>
      <c r="L122" s="9">
        <v>5176.5999999999995</v>
      </c>
      <c r="M122" s="11" t="s">
        <v>7</v>
      </c>
      <c r="N122" s="13" t="s">
        <v>572</v>
      </c>
      <c r="O122" s="7">
        <v>1</v>
      </c>
      <c r="P122" s="16" t="s">
        <v>207</v>
      </c>
      <c r="R122" s="3"/>
      <c r="T122" s="7"/>
    </row>
    <row r="123" spans="1:20" hidden="1" x14ac:dyDescent="0.25">
      <c r="A123" s="16" t="str">
        <f t="shared" ref="A123" si="29">CONCATENATE(J123,M123,K123,M123,N123)</f>
        <v>CUSTO DMA -GABRIEL NASCIMENTO- JUNHO 26</v>
      </c>
      <c r="B123" s="18">
        <v>46174</v>
      </c>
      <c r="C123" s="3">
        <v>817391</v>
      </c>
      <c r="D123" s="3" t="s">
        <v>474</v>
      </c>
      <c r="E123" s="14">
        <f t="shared" ref="E123" si="30">-L123*O123</f>
        <v>-5176.5999999999995</v>
      </c>
      <c r="F123" s="3" t="s">
        <v>362</v>
      </c>
      <c r="G123" s="18">
        <v>46174</v>
      </c>
      <c r="H123" s="19">
        <v>81348</v>
      </c>
      <c r="I123" s="3" t="str">
        <f>VLOOKUP(H123,'[1]Base de Clientes'!$B:$E,4,0)</f>
        <v>BANCO HSBC S/A</v>
      </c>
      <c r="J123" s="5" t="s">
        <v>8</v>
      </c>
      <c r="K123" s="5" t="s">
        <v>37</v>
      </c>
      <c r="L123" s="9">
        <v>5176.5999999999995</v>
      </c>
      <c r="M123" s="11" t="s">
        <v>7</v>
      </c>
      <c r="N123" s="13" t="s">
        <v>572</v>
      </c>
      <c r="O123" s="7">
        <v>1</v>
      </c>
      <c r="P123" s="16" t="s">
        <v>208</v>
      </c>
      <c r="R123" s="3"/>
      <c r="T123" s="7"/>
    </row>
    <row r="124" spans="1:20" x14ac:dyDescent="0.25">
      <c r="A124" s="16" t="str">
        <f t="shared" si="0"/>
        <v>CUSTO DMA -GUILHERME PACHECO- JUNHO 26</v>
      </c>
      <c r="B124" s="18">
        <v>46174</v>
      </c>
      <c r="C124" s="3">
        <v>817391</v>
      </c>
      <c r="D124" s="3" t="s">
        <v>476</v>
      </c>
      <c r="E124" s="14">
        <f t="shared" si="10"/>
        <v>-5176.5999999999995</v>
      </c>
      <c r="F124" s="3" t="s">
        <v>362</v>
      </c>
      <c r="G124" s="18">
        <v>46174</v>
      </c>
      <c r="H124" s="19">
        <v>80441</v>
      </c>
      <c r="I124" s="3" t="str">
        <f>VLOOKUP(H124,'[1]Base de Clientes'!$B:$E,4,0)</f>
        <v>BANCO J SAFRA S/A</v>
      </c>
      <c r="J124" s="5" t="s">
        <v>8</v>
      </c>
      <c r="K124" s="5" t="s">
        <v>38</v>
      </c>
      <c r="L124" s="9">
        <v>5176.5999999999995</v>
      </c>
      <c r="M124" s="11" t="s">
        <v>7</v>
      </c>
      <c r="N124" s="13" t="s">
        <v>572</v>
      </c>
      <c r="O124" s="7">
        <v>1</v>
      </c>
      <c r="P124" s="16" t="s">
        <v>209</v>
      </c>
      <c r="R124" s="3"/>
      <c r="T124" s="7"/>
    </row>
    <row r="125" spans="1:20" hidden="1" x14ac:dyDescent="0.25">
      <c r="A125" s="16" t="str">
        <f t="shared" si="0"/>
        <v>CUSTO DMA -JOSE MATOS- JUNHO 26</v>
      </c>
      <c r="B125" s="18">
        <v>46174</v>
      </c>
      <c r="C125" s="3">
        <v>817391</v>
      </c>
      <c r="D125" s="3" t="s">
        <v>479</v>
      </c>
      <c r="E125" s="14">
        <f t="shared" si="10"/>
        <v>-573.56727999999998</v>
      </c>
      <c r="F125" s="3" t="s">
        <v>362</v>
      </c>
      <c r="G125" s="18">
        <v>46174</v>
      </c>
      <c r="H125" s="19">
        <v>80240</v>
      </c>
      <c r="I125" s="3" t="str">
        <f>VLOOKUP(H125,'[1]Base de Clientes'!$B:$E,4,0)</f>
        <v>KINEA INVESTIMENTOS LTDA</v>
      </c>
      <c r="J125" s="5" t="s">
        <v>8</v>
      </c>
      <c r="K125" s="5" t="s">
        <v>573</v>
      </c>
      <c r="L125" s="9">
        <v>573.56727999999998</v>
      </c>
      <c r="M125" s="11" t="s">
        <v>7</v>
      </c>
      <c r="N125" s="13" t="s">
        <v>572</v>
      </c>
      <c r="O125" s="7">
        <v>1</v>
      </c>
      <c r="P125" s="16" t="s">
        <v>577</v>
      </c>
      <c r="R125" s="3"/>
      <c r="T125" s="7"/>
    </row>
    <row r="126" spans="1:20" hidden="1" x14ac:dyDescent="0.25">
      <c r="A126" s="16" t="str">
        <f t="shared" si="0"/>
        <v>CUSTO DMA -KAUE CHINELLATO- JUNHO 26</v>
      </c>
      <c r="B126" s="18">
        <v>46174</v>
      </c>
      <c r="C126" s="3">
        <v>817391</v>
      </c>
      <c r="D126" s="3" t="s">
        <v>407</v>
      </c>
      <c r="E126" s="14">
        <f t="shared" si="10"/>
        <v>-5176.5999999999995</v>
      </c>
      <c r="F126" s="3" t="s">
        <v>362</v>
      </c>
      <c r="G126" s="18">
        <v>46174</v>
      </c>
      <c r="H126" s="19">
        <v>14334</v>
      </c>
      <c r="I126" s="3" t="str">
        <f>VLOOKUP(H126,'[1]Base de Clientes'!$B:$E,4,0)</f>
        <v>BANCO SOCIETE GENERALE BRASIL S/A</v>
      </c>
      <c r="J126" s="5" t="s">
        <v>8</v>
      </c>
      <c r="K126" s="5" t="s">
        <v>42</v>
      </c>
      <c r="L126" s="9">
        <v>5176.5999999999995</v>
      </c>
      <c r="M126" s="11" t="s">
        <v>7</v>
      </c>
      <c r="N126" s="13" t="s">
        <v>572</v>
      </c>
      <c r="O126" s="7">
        <v>1</v>
      </c>
      <c r="P126" s="16" t="s">
        <v>213</v>
      </c>
      <c r="R126" s="3"/>
      <c r="T126" s="7"/>
    </row>
    <row r="127" spans="1:20" hidden="1" x14ac:dyDescent="0.25">
      <c r="A127" s="16" t="str">
        <f t="shared" si="0"/>
        <v>CUSTO DMA -KARINE VICENTE- JUNHO 26</v>
      </c>
      <c r="B127" s="18">
        <v>46174</v>
      </c>
      <c r="C127" s="3">
        <v>817391</v>
      </c>
      <c r="D127" s="3" t="s">
        <v>411</v>
      </c>
      <c r="E127" s="14">
        <f t="shared" si="10"/>
        <v>-5176.5999999999995</v>
      </c>
      <c r="F127" s="3" t="s">
        <v>362</v>
      </c>
      <c r="G127" s="18">
        <v>46174</v>
      </c>
      <c r="H127" s="19">
        <v>80961</v>
      </c>
      <c r="I127" s="3" t="str">
        <f>VLOOKUP(H127,'[1]Base de Clientes'!$B:$E,4,0)</f>
        <v>BANCO CITIBANK S/A</v>
      </c>
      <c r="J127" s="5" t="s">
        <v>8</v>
      </c>
      <c r="K127" s="5" t="s">
        <v>43</v>
      </c>
      <c r="L127" s="9">
        <v>5176.5999999999995</v>
      </c>
      <c r="M127" s="11" t="s">
        <v>7</v>
      </c>
      <c r="N127" s="13" t="s">
        <v>572</v>
      </c>
      <c r="O127" s="7">
        <v>1</v>
      </c>
      <c r="P127" s="16" t="s">
        <v>214</v>
      </c>
      <c r="R127" s="3"/>
      <c r="T127" s="7"/>
    </row>
    <row r="128" spans="1:20" hidden="1" x14ac:dyDescent="0.25">
      <c r="A128" s="16" t="str">
        <f t="shared" ref="A128" si="31">CONCATENATE(J128,M128,K128,M128,N128)</f>
        <v>CUSTO DMA -LUIZ CALOBA- JUNHO 26</v>
      </c>
      <c r="B128" s="18">
        <v>46174</v>
      </c>
      <c r="C128" s="3">
        <v>817391</v>
      </c>
      <c r="D128" s="3" t="s">
        <v>402</v>
      </c>
      <c r="E128" s="14">
        <f t="shared" ref="E128" si="32">-L128*O128</f>
        <v>-1312.2681</v>
      </c>
      <c r="F128" s="3" t="s">
        <v>362</v>
      </c>
      <c r="G128" s="18">
        <v>46174</v>
      </c>
      <c r="H128" s="19">
        <v>79931</v>
      </c>
      <c r="I128" s="3" t="str">
        <f>VLOOKUP(H128,'[1]Base de Clientes'!$B:$E,4,0)</f>
        <v>SPX GESTAO DE RECURSOS LTDA</v>
      </c>
      <c r="J128" s="5" t="s">
        <v>8</v>
      </c>
      <c r="K128" s="5" t="s">
        <v>44</v>
      </c>
      <c r="L128" s="9">
        <v>1312.2681</v>
      </c>
      <c r="M128" s="11" t="s">
        <v>7</v>
      </c>
      <c r="N128" s="13" t="s">
        <v>572</v>
      </c>
      <c r="O128" s="7">
        <v>1</v>
      </c>
      <c r="P128" s="16" t="s">
        <v>215</v>
      </c>
      <c r="R128" s="3"/>
      <c r="T128" s="7"/>
    </row>
    <row r="129" spans="1:20" hidden="1" x14ac:dyDescent="0.25">
      <c r="A129" s="16" t="str">
        <f t="shared" si="0"/>
        <v>CUSTO DMA -LEONARDO MACEDO- JUNHO 26</v>
      </c>
      <c r="B129" s="18">
        <v>46174</v>
      </c>
      <c r="C129" s="3">
        <v>817391</v>
      </c>
      <c r="D129" s="3" t="s">
        <v>400</v>
      </c>
      <c r="E129" s="14">
        <f t="shared" si="10"/>
        <v>-5176.5999999999995</v>
      </c>
      <c r="F129" s="3" t="s">
        <v>362</v>
      </c>
      <c r="G129" s="18">
        <v>46174</v>
      </c>
      <c r="H129" s="19">
        <v>80883</v>
      </c>
      <c r="I129" s="3" t="str">
        <f>VLOOKUP(H129,'[1]Base de Clientes'!$B:$E,4,0)</f>
        <v>GENOA CAPITAL GESTORA DE RECURSOS LTDA</v>
      </c>
      <c r="J129" s="5" t="s">
        <v>8</v>
      </c>
      <c r="K129" s="5" t="s">
        <v>45</v>
      </c>
      <c r="L129" s="9">
        <v>5176.5999999999995</v>
      </c>
      <c r="M129" s="11" t="s">
        <v>7</v>
      </c>
      <c r="N129" s="13" t="s">
        <v>572</v>
      </c>
      <c r="O129" s="7">
        <v>1</v>
      </c>
      <c r="P129" s="16" t="s">
        <v>216</v>
      </c>
      <c r="R129" s="3"/>
      <c r="T129" s="7"/>
    </row>
    <row r="130" spans="1:20" hidden="1" x14ac:dyDescent="0.25">
      <c r="A130" s="16" t="str">
        <f t="shared" si="0"/>
        <v>CUSTO DMA -MARCIO ALBUQUERQUE- JUNHO 26</v>
      </c>
      <c r="B130" s="18">
        <v>46174</v>
      </c>
      <c r="C130" s="3">
        <v>817391</v>
      </c>
      <c r="D130" s="3" t="s">
        <v>480</v>
      </c>
      <c r="E130" s="14">
        <f t="shared" si="10"/>
        <v>-5176.5999999999995</v>
      </c>
      <c r="F130" s="3" t="s">
        <v>362</v>
      </c>
      <c r="G130" s="18">
        <v>46174</v>
      </c>
      <c r="H130" s="19">
        <v>80828</v>
      </c>
      <c r="I130" s="3" t="str">
        <f>VLOOKUP(H130,'[1]Base de Clientes'!$B:$E,4,0)</f>
        <v>CAPSTONE PARTNERS GESTAO DE RECURSOS LTDA</v>
      </c>
      <c r="J130" s="5" t="s">
        <v>8</v>
      </c>
      <c r="K130" s="5" t="s">
        <v>46</v>
      </c>
      <c r="L130" s="9">
        <v>5176.5999999999995</v>
      </c>
      <c r="M130" s="11" t="s">
        <v>7</v>
      </c>
      <c r="N130" s="13" t="s">
        <v>572</v>
      </c>
      <c r="O130" s="7">
        <v>1</v>
      </c>
      <c r="P130" s="16" t="s">
        <v>217</v>
      </c>
      <c r="R130" s="3"/>
      <c r="T130" s="7"/>
    </row>
    <row r="131" spans="1:20" hidden="1" x14ac:dyDescent="0.25">
      <c r="A131" s="16" t="str">
        <f t="shared" si="0"/>
        <v>CUSTO DMA -MATHEUS AUGUSTO PINTO- JUNHO 26</v>
      </c>
      <c r="B131" s="18">
        <v>46174</v>
      </c>
      <c r="C131" s="3">
        <v>817391</v>
      </c>
      <c r="D131" s="3" t="s">
        <v>479</v>
      </c>
      <c r="E131" s="14">
        <f t="shared" si="10"/>
        <v>-327.16111999999998</v>
      </c>
      <c r="F131" s="3" t="s">
        <v>362</v>
      </c>
      <c r="G131" s="18">
        <v>46174</v>
      </c>
      <c r="H131" s="19">
        <v>80240</v>
      </c>
      <c r="I131" s="3" t="str">
        <f>VLOOKUP(H131,'[1]Base de Clientes'!$B:$E,4,0)</f>
        <v>KINEA INVESTIMENTOS LTDA</v>
      </c>
      <c r="J131" s="5" t="s">
        <v>8</v>
      </c>
      <c r="K131" s="5" t="s">
        <v>574</v>
      </c>
      <c r="L131" s="9">
        <v>327.16111999999998</v>
      </c>
      <c r="M131" s="11" t="s">
        <v>7</v>
      </c>
      <c r="N131" s="13" t="s">
        <v>572</v>
      </c>
      <c r="O131" s="7">
        <v>1</v>
      </c>
      <c r="P131" s="16" t="s">
        <v>578</v>
      </c>
      <c r="R131" s="3"/>
      <c r="T131" s="7"/>
    </row>
    <row r="132" spans="1:20" hidden="1" x14ac:dyDescent="0.25">
      <c r="A132" s="16" t="str">
        <f t="shared" si="0"/>
        <v>CUSTO DMA -MARCELO DREYER- JUNHO 26</v>
      </c>
      <c r="B132" s="18">
        <v>46174</v>
      </c>
      <c r="C132" s="3">
        <v>817391</v>
      </c>
      <c r="D132" s="3" t="s">
        <v>411</v>
      </c>
      <c r="E132" s="14">
        <f t="shared" si="10"/>
        <v>-5176.5999999999995</v>
      </c>
      <c r="F132" s="3" t="s">
        <v>362</v>
      </c>
      <c r="G132" s="18">
        <v>46174</v>
      </c>
      <c r="H132" s="19">
        <v>14479</v>
      </c>
      <c r="I132" s="3" t="str">
        <f>VLOOKUP(H132,'[1]Base de Clientes'!$B:$E,4,0)</f>
        <v>BANCO SANTANDER (BRASIL) S/A</v>
      </c>
      <c r="J132" s="5" t="s">
        <v>8</v>
      </c>
      <c r="K132" s="5" t="s">
        <v>48</v>
      </c>
      <c r="L132" s="9">
        <v>5176.5999999999995</v>
      </c>
      <c r="M132" s="11" t="s">
        <v>7</v>
      </c>
      <c r="N132" s="13" t="s">
        <v>572</v>
      </c>
      <c r="O132" s="7">
        <v>1</v>
      </c>
      <c r="P132" s="16" t="s">
        <v>219</v>
      </c>
      <c r="R132" s="3"/>
      <c r="T132" s="7"/>
    </row>
    <row r="133" spans="1:20" hidden="1" x14ac:dyDescent="0.25">
      <c r="A133" s="16" t="str">
        <f t="shared" si="0"/>
        <v>CUSTO DMA -MARCO RIGO- JUNHO 26</v>
      </c>
      <c r="B133" s="18">
        <v>46174</v>
      </c>
      <c r="C133" s="3">
        <v>817391</v>
      </c>
      <c r="D133" s="3" t="s">
        <v>474</v>
      </c>
      <c r="E133" s="14">
        <f t="shared" si="10"/>
        <v>-194.1225</v>
      </c>
      <c r="F133" s="3" t="s">
        <v>362</v>
      </c>
      <c r="G133" s="18">
        <v>46174</v>
      </c>
      <c r="H133" s="19">
        <v>83108</v>
      </c>
      <c r="I133" s="3" t="str">
        <f>VLOOKUP(H133,'[1]Base de Clientes'!$B:$E,4,0)</f>
        <v>EBURY BANCO DE CAMBIO S/A</v>
      </c>
      <c r="J133" s="5" t="s">
        <v>8</v>
      </c>
      <c r="K133" s="5" t="s">
        <v>50</v>
      </c>
      <c r="L133" s="9">
        <v>194.1225</v>
      </c>
      <c r="M133" s="11" t="s">
        <v>7</v>
      </c>
      <c r="N133" s="13" t="s">
        <v>572</v>
      </c>
      <c r="O133" s="7">
        <v>1</v>
      </c>
      <c r="P133" s="16" t="s">
        <v>221</v>
      </c>
      <c r="R133" s="3"/>
      <c r="T133" s="7"/>
    </row>
    <row r="134" spans="1:20" hidden="1" x14ac:dyDescent="0.25">
      <c r="A134" s="16" t="str">
        <f t="shared" si="0"/>
        <v>CUSTO DMA -PEDRO ALVES- JUNHO 26</v>
      </c>
      <c r="B134" s="18">
        <v>46174</v>
      </c>
      <c r="C134" s="3">
        <v>817391</v>
      </c>
      <c r="D134" s="3" t="s">
        <v>402</v>
      </c>
      <c r="E134" s="14">
        <f t="shared" si="10"/>
        <v>-828.25599999999997</v>
      </c>
      <c r="F134" s="3" t="s">
        <v>362</v>
      </c>
      <c r="G134" s="18">
        <v>46174</v>
      </c>
      <c r="H134" s="19">
        <v>79452</v>
      </c>
      <c r="I134" s="3" t="str">
        <f>VLOOKUP(H134,'[1]Base de Clientes'!$B:$E,4,0)</f>
        <v>JGP GESTAO PATRIMONIAL LTDA</v>
      </c>
      <c r="J134" s="5" t="s">
        <v>8</v>
      </c>
      <c r="K134" s="5" t="s">
        <v>453</v>
      </c>
      <c r="L134" s="9">
        <v>828.25599999999997</v>
      </c>
      <c r="M134" s="11" t="s">
        <v>7</v>
      </c>
      <c r="N134" s="13" t="s">
        <v>572</v>
      </c>
      <c r="O134" s="7">
        <v>1</v>
      </c>
      <c r="P134" s="16" t="s">
        <v>462</v>
      </c>
      <c r="R134" s="3"/>
      <c r="T134" s="7"/>
    </row>
    <row r="135" spans="1:20" hidden="1" x14ac:dyDescent="0.25">
      <c r="A135" s="16" t="str">
        <f t="shared" si="0"/>
        <v>CUSTO DMA -PEDRO CURY- JUNHO 26</v>
      </c>
      <c r="B135" s="18">
        <v>46174</v>
      </c>
      <c r="C135" s="3">
        <v>817391</v>
      </c>
      <c r="D135" s="3" t="s">
        <v>402</v>
      </c>
      <c r="E135" s="14">
        <f t="shared" si="10"/>
        <v>-5176.5999999999995</v>
      </c>
      <c r="F135" s="3" t="s">
        <v>362</v>
      </c>
      <c r="G135" s="18">
        <v>46174</v>
      </c>
      <c r="H135" s="19">
        <v>81348</v>
      </c>
      <c r="I135" s="3" t="str">
        <f>VLOOKUP(H135,'[1]Base de Clientes'!$B:$E,4,0)</f>
        <v>BANCO HSBC S/A</v>
      </c>
      <c r="J135" s="5" t="s">
        <v>8</v>
      </c>
      <c r="K135" s="5" t="s">
        <v>52</v>
      </c>
      <c r="L135" s="9">
        <v>5176.5999999999995</v>
      </c>
      <c r="M135" s="11" t="s">
        <v>7</v>
      </c>
      <c r="N135" s="13" t="s">
        <v>572</v>
      </c>
      <c r="O135" s="7">
        <v>1</v>
      </c>
      <c r="P135" s="16" t="s">
        <v>223</v>
      </c>
      <c r="R135" s="3"/>
      <c r="T135" s="7"/>
    </row>
    <row r="136" spans="1:20" hidden="1" x14ac:dyDescent="0.25">
      <c r="A136" s="16" t="str">
        <f t="shared" si="0"/>
        <v>CUSTO DMA -PEDRO PEREIRA- JUNHO 26</v>
      </c>
      <c r="B136" s="18">
        <v>46174</v>
      </c>
      <c r="C136" s="3">
        <v>817391</v>
      </c>
      <c r="D136" s="3" t="s">
        <v>400</v>
      </c>
      <c r="E136" s="14">
        <f t="shared" si="10"/>
        <v>-5176.5999999999995</v>
      </c>
      <c r="F136" s="3" t="s">
        <v>362</v>
      </c>
      <c r="G136" s="18">
        <v>46174</v>
      </c>
      <c r="H136" s="19">
        <v>79241</v>
      </c>
      <c r="I136" s="3" t="str">
        <f>VLOOKUP(H136,'[1]Base de Clientes'!$B:$E,4,0)</f>
        <v>BANK OF AMERICA MERRILL LYNCH BANCO MULTIPLO S/A</v>
      </c>
      <c r="J136" s="5" t="s">
        <v>8</v>
      </c>
      <c r="K136" s="5" t="s">
        <v>53</v>
      </c>
      <c r="L136" s="9">
        <v>5176.5999999999995</v>
      </c>
      <c r="M136" s="11" t="s">
        <v>7</v>
      </c>
      <c r="N136" s="13" t="s">
        <v>572</v>
      </c>
      <c r="O136" s="7">
        <v>1</v>
      </c>
      <c r="P136" s="16" t="s">
        <v>224</v>
      </c>
      <c r="R136" s="3"/>
      <c r="T136" s="7"/>
    </row>
    <row r="137" spans="1:20" hidden="1" x14ac:dyDescent="0.25">
      <c r="A137" s="16" t="str">
        <f t="shared" si="0"/>
        <v>CUSTO DMA -PABLO SALGADO- JUNHO 26</v>
      </c>
      <c r="B137" s="18">
        <v>46174</v>
      </c>
      <c r="C137" s="3">
        <v>817391</v>
      </c>
      <c r="D137" s="3" t="s">
        <v>411</v>
      </c>
      <c r="E137" s="14">
        <f t="shared" si="10"/>
        <v>-5176.5999999999995</v>
      </c>
      <c r="F137" s="3" t="s">
        <v>362</v>
      </c>
      <c r="G137" s="18">
        <v>46174</v>
      </c>
      <c r="H137" s="19">
        <v>80958</v>
      </c>
      <c r="I137" s="3" t="str">
        <f>VLOOKUP(H137,'[1]Base de Clientes'!$B:$E,4,0)</f>
        <v>ITAU UNIBANCO ASSET - OPTIMUS</v>
      </c>
      <c r="J137" s="5" t="s">
        <v>8</v>
      </c>
      <c r="K137" s="5" t="s">
        <v>374</v>
      </c>
      <c r="L137" s="9">
        <v>5176.5999999999995</v>
      </c>
      <c r="M137" s="11" t="s">
        <v>7</v>
      </c>
      <c r="N137" s="13" t="s">
        <v>572</v>
      </c>
      <c r="O137" s="7">
        <v>1</v>
      </c>
      <c r="P137" s="16" t="s">
        <v>388</v>
      </c>
      <c r="R137" s="3"/>
      <c r="T137" s="7"/>
    </row>
    <row r="138" spans="1:20" hidden="1" x14ac:dyDescent="0.25">
      <c r="A138" s="16" t="str">
        <f t="shared" si="0"/>
        <v>CUSTO DMA -RENANN DAVID- JUNHO 26</v>
      </c>
      <c r="B138" s="18">
        <v>46174</v>
      </c>
      <c r="C138" s="3">
        <v>817391</v>
      </c>
      <c r="D138" s="3" t="s">
        <v>474</v>
      </c>
      <c r="E138" s="14">
        <f t="shared" si="10"/>
        <v>-5176.5999999999995</v>
      </c>
      <c r="F138" s="3" t="s">
        <v>362</v>
      </c>
      <c r="G138" s="18">
        <v>46174</v>
      </c>
      <c r="H138" s="19">
        <v>81643</v>
      </c>
      <c r="I138" s="3" t="str">
        <f>VLOOKUP(H138,'[1]Base de Clientes'!$B:$E,4,0)</f>
        <v>BANCO SUMITOMO MITSUI BRASILEIRO S/A</v>
      </c>
      <c r="J138" s="5" t="s">
        <v>8</v>
      </c>
      <c r="K138" s="5" t="s">
        <v>56</v>
      </c>
      <c r="L138" s="9">
        <v>5176.5999999999995</v>
      </c>
      <c r="M138" s="11" t="s">
        <v>7</v>
      </c>
      <c r="N138" s="13" t="s">
        <v>572</v>
      </c>
      <c r="O138" s="7">
        <v>1</v>
      </c>
      <c r="P138" s="16" t="s">
        <v>227</v>
      </c>
      <c r="R138" s="3"/>
      <c r="T138" s="7"/>
    </row>
    <row r="139" spans="1:20" hidden="1" x14ac:dyDescent="0.25">
      <c r="A139" s="16" t="str">
        <f t="shared" si="0"/>
        <v>CUSTO DMA -RAFAEL FONSECA- JUNHO 26</v>
      </c>
      <c r="B139" s="18">
        <v>46174</v>
      </c>
      <c r="C139" s="3">
        <v>817391</v>
      </c>
      <c r="D139" s="3" t="s">
        <v>402</v>
      </c>
      <c r="E139" s="14">
        <f t="shared" si="10"/>
        <v>-5176.5999999999995</v>
      </c>
      <c r="F139" s="3" t="s">
        <v>362</v>
      </c>
      <c r="G139" s="18">
        <v>46174</v>
      </c>
      <c r="H139" s="19">
        <v>81259</v>
      </c>
      <c r="I139" s="3" t="str">
        <f>VLOOKUP(H139,'[1]Base de Clientes'!$B:$E,4,0)</f>
        <v>GOLDMAN SACHS DO BRASIL BANCO MULTIPLO S/A</v>
      </c>
      <c r="J139" s="5" t="s">
        <v>8</v>
      </c>
      <c r="K139" s="5" t="s">
        <v>57</v>
      </c>
      <c r="L139" s="9">
        <v>5176.5999999999995</v>
      </c>
      <c r="M139" s="11" t="s">
        <v>7</v>
      </c>
      <c r="N139" s="13" t="s">
        <v>572</v>
      </c>
      <c r="O139" s="7">
        <v>1</v>
      </c>
      <c r="P139" s="16" t="s">
        <v>228</v>
      </c>
      <c r="R139" s="3"/>
      <c r="T139" s="7"/>
    </row>
    <row r="140" spans="1:20" hidden="1" x14ac:dyDescent="0.25">
      <c r="A140" s="16" t="str">
        <f t="shared" si="0"/>
        <v>CUSTO DMA -RICARDO R ROSA- JUNHO 26</v>
      </c>
      <c r="B140" s="18">
        <v>46174</v>
      </c>
      <c r="C140" s="3">
        <v>817391</v>
      </c>
      <c r="D140" s="3" t="s">
        <v>411</v>
      </c>
      <c r="E140" s="14">
        <f t="shared" si="10"/>
        <v>-468.48230000000001</v>
      </c>
      <c r="F140" s="3" t="s">
        <v>362</v>
      </c>
      <c r="G140" s="18">
        <v>46174</v>
      </c>
      <c r="H140" s="19">
        <v>14479</v>
      </c>
      <c r="I140" s="3" t="str">
        <f>VLOOKUP(H140,'[1]Base de Clientes'!$B:$E,4,0)</f>
        <v>BANCO SANTANDER (BRASIL) S/A</v>
      </c>
      <c r="J140" s="5" t="s">
        <v>8</v>
      </c>
      <c r="K140" s="5" t="s">
        <v>59</v>
      </c>
      <c r="L140" s="9">
        <v>468.48230000000001</v>
      </c>
      <c r="M140" s="11" t="s">
        <v>7</v>
      </c>
      <c r="N140" s="13" t="s">
        <v>572</v>
      </c>
      <c r="O140" s="7">
        <v>1</v>
      </c>
      <c r="P140" s="16" t="s">
        <v>230</v>
      </c>
      <c r="R140" s="3"/>
      <c r="T140" s="7"/>
    </row>
    <row r="141" spans="1:20" hidden="1" x14ac:dyDescent="0.25">
      <c r="A141" s="16" t="str">
        <f t="shared" si="0"/>
        <v>CUSTO DMA -SAMIR CHELALA- JUNHO 26</v>
      </c>
      <c r="B141" s="18">
        <v>46174</v>
      </c>
      <c r="C141" s="3">
        <v>817391</v>
      </c>
      <c r="D141" s="3" t="s">
        <v>401</v>
      </c>
      <c r="E141" s="14">
        <f t="shared" si="10"/>
        <v>-5176.5999999999995</v>
      </c>
      <c r="F141" s="3" t="s">
        <v>362</v>
      </c>
      <c r="G141" s="18">
        <v>46174</v>
      </c>
      <c r="H141" s="19">
        <v>80227</v>
      </c>
      <c r="I141" s="3" t="str">
        <f>VLOOKUP(H141,'[1]Base de Clientes'!$B:$E,4,0)</f>
        <v>ITAU UNIBANCO S/A</v>
      </c>
      <c r="J141" s="5" t="s">
        <v>8</v>
      </c>
      <c r="K141" s="5" t="s">
        <v>61</v>
      </c>
      <c r="L141" s="9">
        <v>5176.5999999999995</v>
      </c>
      <c r="M141" s="11" t="s">
        <v>7</v>
      </c>
      <c r="N141" s="13" t="s">
        <v>572</v>
      </c>
      <c r="O141" s="7">
        <v>1</v>
      </c>
      <c r="P141" s="16" t="s">
        <v>232</v>
      </c>
      <c r="R141" s="3"/>
      <c r="T141" s="7"/>
    </row>
    <row r="142" spans="1:20" hidden="1" x14ac:dyDescent="0.25">
      <c r="A142" s="16" t="str">
        <f t="shared" si="0"/>
        <v>CUSTO DMA -VICTOR GOMES- JUNHO 26</v>
      </c>
      <c r="B142" s="18">
        <v>46174</v>
      </c>
      <c r="C142" s="3">
        <v>817391</v>
      </c>
      <c r="D142" s="3" t="s">
        <v>480</v>
      </c>
      <c r="E142" s="14">
        <f t="shared" si="10"/>
        <v>-64.707499999999996</v>
      </c>
      <c r="F142" s="3" t="s">
        <v>362</v>
      </c>
      <c r="G142" s="18">
        <v>46174</v>
      </c>
      <c r="H142" s="19">
        <v>81259</v>
      </c>
      <c r="I142" s="3" t="str">
        <f>VLOOKUP(H142,'[1]Base de Clientes'!$B:$E,4,0)</f>
        <v>GOLDMAN SACHS DO BRASIL BANCO MULTIPLO S/A</v>
      </c>
      <c r="J142" s="5" t="s">
        <v>8</v>
      </c>
      <c r="K142" s="5" t="s">
        <v>575</v>
      </c>
      <c r="L142" s="9">
        <v>64.707499999999996</v>
      </c>
      <c r="M142" s="11" t="s">
        <v>7</v>
      </c>
      <c r="N142" s="13" t="s">
        <v>572</v>
      </c>
      <c r="O142" s="7">
        <v>1</v>
      </c>
      <c r="P142" s="16" t="s">
        <v>579</v>
      </c>
      <c r="R142" s="3"/>
      <c r="T142" s="7"/>
    </row>
    <row r="143" spans="1:20" hidden="1" x14ac:dyDescent="0.25">
      <c r="A143" s="16" t="str">
        <f t="shared" si="0"/>
        <v>CUSTO DMA -VINICIUS SA- JUNHO 26</v>
      </c>
      <c r="B143" s="18">
        <v>46174</v>
      </c>
      <c r="C143" s="3">
        <v>817391</v>
      </c>
      <c r="D143" s="3" t="s">
        <v>402</v>
      </c>
      <c r="E143" s="14">
        <f t="shared" si="10"/>
        <v>-5176.5999999999995</v>
      </c>
      <c r="F143" s="3" t="s">
        <v>362</v>
      </c>
      <c r="G143" s="18">
        <v>46174</v>
      </c>
      <c r="H143" s="19">
        <v>79924</v>
      </c>
      <c r="I143" s="3" t="str">
        <f>VLOOKUP(H143,'[1]Base de Clientes'!$B:$E,4,0)</f>
        <v>STANDARD CHARTERED BANK (LONDRES)</v>
      </c>
      <c r="J143" s="5" t="s">
        <v>8</v>
      </c>
      <c r="K143" s="5" t="s">
        <v>576</v>
      </c>
      <c r="L143" s="9">
        <v>5176.5999999999995</v>
      </c>
      <c r="M143" s="11" t="s">
        <v>7</v>
      </c>
      <c r="N143" s="13" t="s">
        <v>572</v>
      </c>
      <c r="O143" s="7">
        <v>1</v>
      </c>
      <c r="P143" s="16" t="s">
        <v>465</v>
      </c>
      <c r="R143" s="3"/>
      <c r="T143" s="7"/>
    </row>
    <row r="144" spans="1:20" hidden="1" x14ac:dyDescent="0.2">
      <c r="A144" s="16" t="str">
        <f t="shared" si="0"/>
        <v>CUSTO DMA -ALISSON COSTA ARRAIS- JUNHO 26</v>
      </c>
      <c r="B144" s="18">
        <v>46174</v>
      </c>
      <c r="C144" s="3">
        <v>817391</v>
      </c>
      <c r="D144" s="24" t="s">
        <v>474</v>
      </c>
      <c r="E144" s="14">
        <f t="shared" si="10"/>
        <v>-1399.66</v>
      </c>
      <c r="F144" s="3" t="s">
        <v>363</v>
      </c>
      <c r="G144" s="18">
        <v>46174</v>
      </c>
      <c r="H144" s="26">
        <v>144310</v>
      </c>
      <c r="I144" s="3" t="str">
        <f>VLOOKUP(H144,'[1]Base de Clientes'!$B:$E,4,0)</f>
        <v>BW GESTAO DE INVESTIMENTOS LTDA</v>
      </c>
      <c r="J144" s="5" t="s">
        <v>8</v>
      </c>
      <c r="K144" s="5" t="s">
        <v>63</v>
      </c>
      <c r="L144" s="9">
        <v>1399.66</v>
      </c>
      <c r="M144" s="11" t="s">
        <v>7</v>
      </c>
      <c r="N144" s="13" t="s">
        <v>572</v>
      </c>
      <c r="O144" s="7">
        <v>1</v>
      </c>
      <c r="P144" s="16" t="s">
        <v>429</v>
      </c>
      <c r="Q144" s="4" t="e">
        <f>SUMIFS([2]TT!$G:$G,[2]TT!$A:$A,K144)</f>
        <v>#VALUE!</v>
      </c>
      <c r="R144" s="3"/>
      <c r="T144" s="7"/>
    </row>
    <row r="145" spans="1:20" hidden="1" x14ac:dyDescent="0.2">
      <c r="A145" s="16" t="str">
        <f t="shared" si="0"/>
        <v>CUSTO DMA -ALEXANDRE NEVES- JUNHO 26</v>
      </c>
      <c r="B145" s="18">
        <v>46174</v>
      </c>
      <c r="C145" s="3">
        <v>817391</v>
      </c>
      <c r="D145" s="24" t="s">
        <v>400</v>
      </c>
      <c r="E145" s="14">
        <f t="shared" si="10"/>
        <v>-90.638000000000005</v>
      </c>
      <c r="F145" s="3" t="s">
        <v>363</v>
      </c>
      <c r="G145" s="18">
        <v>46174</v>
      </c>
      <c r="H145" s="26">
        <v>95005</v>
      </c>
      <c r="I145" s="3" t="str">
        <f>VLOOKUP(H145,'[1]Base de Clientes'!$B:$E,4,0)</f>
        <v>BANCO BNP PARIBAS BRASIL S/A</v>
      </c>
      <c r="J145" s="5" t="s">
        <v>8</v>
      </c>
      <c r="K145" s="5" t="s">
        <v>64</v>
      </c>
      <c r="L145" s="9">
        <v>90.638000000000005</v>
      </c>
      <c r="M145" s="11" t="s">
        <v>7</v>
      </c>
      <c r="N145" s="13" t="s">
        <v>572</v>
      </c>
      <c r="O145" s="7">
        <v>1</v>
      </c>
      <c r="P145" s="16" t="s">
        <v>430</v>
      </c>
      <c r="Q145" s="4" t="e">
        <f>SUMIFS([2]TT!$G:$G,[2]TT!$A:$A,K145)</f>
        <v>#VALUE!</v>
      </c>
      <c r="R145" s="3"/>
      <c r="T145" s="7"/>
    </row>
    <row r="146" spans="1:20" hidden="1" x14ac:dyDescent="0.25">
      <c r="A146" s="16" t="str">
        <f t="shared" si="0"/>
        <v>CUSTO DMA -ALEXANDRE RODRIGUES- JUNHO 26</v>
      </c>
      <c r="B146" s="18">
        <v>46174</v>
      </c>
      <c r="C146" s="3">
        <v>817391</v>
      </c>
      <c r="D146" s="3" t="s">
        <v>410</v>
      </c>
      <c r="E146" s="14">
        <f t="shared" si="10"/>
        <v>-4940.2539999999999</v>
      </c>
      <c r="F146" s="3" t="s">
        <v>363</v>
      </c>
      <c r="G146" s="18">
        <v>46174</v>
      </c>
      <c r="H146" s="19">
        <v>79931</v>
      </c>
      <c r="I146" s="3" t="str">
        <f>VLOOKUP(H146,'[1]Base de Clientes'!$B:$E,4,0)</f>
        <v>SPX GESTAO DE RECURSOS LTDA</v>
      </c>
      <c r="J146" s="5" t="s">
        <v>8</v>
      </c>
      <c r="K146" s="5" t="s">
        <v>65</v>
      </c>
      <c r="L146" s="9">
        <v>4940.2539999999999</v>
      </c>
      <c r="M146" s="11" t="s">
        <v>7</v>
      </c>
      <c r="N146" s="13" t="s">
        <v>572</v>
      </c>
      <c r="O146" s="7">
        <v>1</v>
      </c>
      <c r="P146" s="16" t="s">
        <v>431</v>
      </c>
      <c r="Q146" s="4" t="e">
        <f>SUMIFS([2]TT!$G:$G,[2]TT!$A:$A,K146)</f>
        <v>#VALUE!</v>
      </c>
      <c r="R146" s="3"/>
      <c r="T146" s="7"/>
    </row>
    <row r="147" spans="1:20" hidden="1" x14ac:dyDescent="0.2">
      <c r="A147" s="16" t="str">
        <f t="shared" si="0"/>
        <v>CUSTO DMA -CAETANO RUFINO RAMOS- JUNHO 26</v>
      </c>
      <c r="B147" s="18">
        <v>46174</v>
      </c>
      <c r="C147" s="3">
        <v>817391</v>
      </c>
      <c r="D147" s="24" t="s">
        <v>402</v>
      </c>
      <c r="E147" s="14">
        <f t="shared" si="10"/>
        <v>-1462.6305</v>
      </c>
      <c r="F147" s="3" t="s">
        <v>363</v>
      </c>
      <c r="G147" s="18">
        <v>46174</v>
      </c>
      <c r="H147" s="26">
        <v>80026</v>
      </c>
      <c r="I147" s="3" t="str">
        <f>VLOOKUP(H147,'[1]Base de Clientes'!$B:$E,4,0)</f>
        <v>BARCLAYS BANK PLC</v>
      </c>
      <c r="J147" s="5" t="s">
        <v>8</v>
      </c>
      <c r="K147" s="5" t="s">
        <v>66</v>
      </c>
      <c r="L147" s="9">
        <v>1462.6305</v>
      </c>
      <c r="M147" s="11" t="s">
        <v>7</v>
      </c>
      <c r="N147" s="13" t="s">
        <v>572</v>
      </c>
      <c r="O147" s="7">
        <v>1</v>
      </c>
      <c r="P147" s="16" t="s">
        <v>432</v>
      </c>
      <c r="Q147" s="4" t="e">
        <f>SUMIFS([2]TT!$G:$G,[2]TT!$A:$A,K147)</f>
        <v>#VALUE!</v>
      </c>
      <c r="R147" s="3"/>
      <c r="T147" s="7"/>
    </row>
    <row r="148" spans="1:20" hidden="1" x14ac:dyDescent="0.2">
      <c r="A148" s="16" t="str">
        <f t="shared" si="0"/>
        <v>CUSTO DMA -DANIEL NAMAN CARDOSO- JUNHO 26</v>
      </c>
      <c r="B148" s="18">
        <v>46174</v>
      </c>
      <c r="C148" s="3">
        <v>817391</v>
      </c>
      <c r="D148" s="24" t="s">
        <v>403</v>
      </c>
      <c r="E148" s="14">
        <f t="shared" si="10"/>
        <v>-90.638000000000005</v>
      </c>
      <c r="F148" s="3" t="s">
        <v>363</v>
      </c>
      <c r="G148" s="18">
        <v>46174</v>
      </c>
      <c r="H148" s="26">
        <v>80375</v>
      </c>
      <c r="I148" s="3" t="str">
        <f>VLOOKUP(H148,'[1]Base de Clientes'!$B:$E,4,0)</f>
        <v>ITAU UNIBANCO S/A</v>
      </c>
      <c r="J148" s="5" t="s">
        <v>8</v>
      </c>
      <c r="K148" s="5" t="s">
        <v>67</v>
      </c>
      <c r="L148" s="9">
        <v>90.638000000000005</v>
      </c>
      <c r="M148" s="11" t="s">
        <v>7</v>
      </c>
      <c r="N148" s="13" t="s">
        <v>572</v>
      </c>
      <c r="O148" s="7">
        <v>1</v>
      </c>
      <c r="P148" s="16" t="s">
        <v>433</v>
      </c>
      <c r="Q148" s="4" t="e">
        <f>SUMIFS([2]TT!$G:$G,[2]TT!$A:$A,K148)</f>
        <v>#VALUE!</v>
      </c>
      <c r="R148" s="3"/>
      <c r="T148" s="7"/>
    </row>
    <row r="149" spans="1:20" hidden="1" x14ac:dyDescent="0.25">
      <c r="A149" s="16" t="str">
        <f t="shared" ref="A149:A162" si="33">CONCATENATE(J149,M149,K149,M149,N149)</f>
        <v>CUSTO DMA -FREDERIC BROWN- JUNHO 26</v>
      </c>
      <c r="B149" s="18">
        <v>46174</v>
      </c>
      <c r="C149" s="3">
        <v>817391</v>
      </c>
      <c r="D149" s="3" t="s">
        <v>401</v>
      </c>
      <c r="E149" s="14">
        <f t="shared" si="10"/>
        <v>-6291.5374999999995</v>
      </c>
      <c r="F149" s="3" t="s">
        <v>363</v>
      </c>
      <c r="G149" s="18">
        <v>46174</v>
      </c>
      <c r="H149" s="19">
        <v>80392</v>
      </c>
      <c r="I149" s="3" t="str">
        <f>VLOOKUP(H149,'[1]Base de Clientes'!$B:$E,4,0)</f>
        <v>KAPITALO INVESTIMENTOS LTDA</v>
      </c>
      <c r="J149" s="5" t="s">
        <v>8</v>
      </c>
      <c r="K149" s="5" t="s">
        <v>69</v>
      </c>
      <c r="L149" s="9">
        <v>6291.5374999999995</v>
      </c>
      <c r="M149" s="11" t="s">
        <v>7</v>
      </c>
      <c r="N149" s="13" t="s">
        <v>572</v>
      </c>
      <c r="O149" s="7">
        <v>1</v>
      </c>
      <c r="P149" s="16" t="s">
        <v>435</v>
      </c>
      <c r="Q149" s="4" t="e">
        <f>SUMIFS([2]TT!$G:$G,[2]TT!$A:$A,K149)</f>
        <v>#VALUE!</v>
      </c>
      <c r="R149" s="3"/>
      <c r="T149" s="7"/>
    </row>
    <row r="150" spans="1:20" hidden="1" x14ac:dyDescent="0.25">
      <c r="A150" s="16" t="str">
        <f t="shared" si="33"/>
        <v>CUSTO DMA -FELIPE UNGER- JUNHO 26</v>
      </c>
      <c r="B150" s="18">
        <v>46174</v>
      </c>
      <c r="C150" s="3">
        <v>817391</v>
      </c>
      <c r="D150" s="3" t="s">
        <v>405</v>
      </c>
      <c r="E150" s="14">
        <f t="shared" si="10"/>
        <v>-9401.6705000000002</v>
      </c>
      <c r="F150" s="3" t="s">
        <v>363</v>
      </c>
      <c r="G150" s="18">
        <v>46174</v>
      </c>
      <c r="H150" s="19">
        <v>144310</v>
      </c>
      <c r="I150" s="3" t="str">
        <f>VLOOKUP(H150,'[1]Base de Clientes'!$B:$E,4,0)</f>
        <v>BW GESTAO DE INVESTIMENTOS LTDA</v>
      </c>
      <c r="J150" s="5" t="s">
        <v>8</v>
      </c>
      <c r="K150" s="5" t="s">
        <v>70</v>
      </c>
      <c r="L150" s="9">
        <v>9401.6705000000002</v>
      </c>
      <c r="M150" s="11" t="s">
        <v>7</v>
      </c>
      <c r="N150" s="13" t="s">
        <v>572</v>
      </c>
      <c r="O150" s="7">
        <v>1</v>
      </c>
      <c r="P150" s="16" t="s">
        <v>436</v>
      </c>
      <c r="Q150" s="4" t="e">
        <f>SUMIFS([2]TT!$G:$G,[2]TT!$A:$A,K150)</f>
        <v>#VALUE!</v>
      </c>
      <c r="R150" s="3"/>
      <c r="T150" s="7"/>
    </row>
    <row r="151" spans="1:20" hidden="1" x14ac:dyDescent="0.25">
      <c r="A151" s="16" t="str">
        <f t="shared" si="33"/>
        <v>CUSTO DMA -GABRIEL BAPTISTELA- JUNHO 26</v>
      </c>
      <c r="B151" s="18">
        <v>46174</v>
      </c>
      <c r="C151" s="3">
        <v>817391</v>
      </c>
      <c r="D151" s="3" t="s">
        <v>475</v>
      </c>
      <c r="E151" s="14">
        <f t="shared" si="10"/>
        <v>-4653.9607500000002</v>
      </c>
      <c r="F151" s="3" t="s">
        <v>363</v>
      </c>
      <c r="G151" s="18">
        <v>46174</v>
      </c>
      <c r="H151" s="19">
        <v>95005</v>
      </c>
      <c r="I151" s="3" t="str">
        <f>VLOOKUP(H151,'[1]Base de Clientes'!$B:$E,4,0)</f>
        <v>BANCO BNP PARIBAS BRASIL S/A</v>
      </c>
      <c r="J151" s="5" t="s">
        <v>8</v>
      </c>
      <c r="K151" s="5" t="s">
        <v>71</v>
      </c>
      <c r="L151" s="9">
        <v>4653.9607500000002</v>
      </c>
      <c r="M151" s="11" t="s">
        <v>7</v>
      </c>
      <c r="N151" s="13" t="s">
        <v>572</v>
      </c>
      <c r="O151" s="7">
        <v>1</v>
      </c>
      <c r="P151" s="16" t="s">
        <v>437</v>
      </c>
      <c r="Q151" s="4" t="e">
        <f>SUMIFS([2]TT!$G:$G,[2]TT!$A:$A,K151)</f>
        <v>#VALUE!</v>
      </c>
      <c r="R151" s="3"/>
      <c r="T151" s="7"/>
    </row>
    <row r="152" spans="1:20" hidden="1" x14ac:dyDescent="0.25">
      <c r="A152" s="16" t="str">
        <f t="shared" si="33"/>
        <v>CUSTO DMA -ISABELLA ATAIDE- JUNHO 26</v>
      </c>
      <c r="B152" s="18">
        <v>46174</v>
      </c>
      <c r="C152" s="3">
        <v>817391</v>
      </c>
      <c r="D152" s="3" t="s">
        <v>478</v>
      </c>
      <c r="E152" s="14">
        <f t="shared" si="10"/>
        <v>-1518.8209999999999</v>
      </c>
      <c r="F152" s="3" t="s">
        <v>363</v>
      </c>
      <c r="G152" s="18">
        <v>46174</v>
      </c>
      <c r="H152" s="19">
        <v>95007</v>
      </c>
      <c r="I152" s="3" t="str">
        <f>VLOOKUP(H152,'[1]Base de Clientes'!$B:$E,4,0)</f>
        <v>BANCO BNP PARIBAS BRASIL S/A</v>
      </c>
      <c r="J152" s="5" t="s">
        <v>8</v>
      </c>
      <c r="K152" s="5" t="s">
        <v>72</v>
      </c>
      <c r="L152" s="9">
        <v>1518.8209999999999</v>
      </c>
      <c r="M152" s="11" t="s">
        <v>7</v>
      </c>
      <c r="N152" s="13" t="s">
        <v>572</v>
      </c>
      <c r="O152" s="7">
        <v>1</v>
      </c>
      <c r="P152" s="16" t="s">
        <v>438</v>
      </c>
      <c r="Q152" s="4" t="e">
        <f>SUMIFS([2]TT!$G:$G,[2]TT!$A:$A,K152)</f>
        <v>#VALUE!</v>
      </c>
      <c r="R152" s="3"/>
      <c r="T152" s="7"/>
    </row>
    <row r="153" spans="1:20" hidden="1" x14ac:dyDescent="0.25">
      <c r="A153" s="16" t="str">
        <f t="shared" si="33"/>
        <v>CUSTO DMA -JOAO RAMALHO- JUNHO 26</v>
      </c>
      <c r="B153" s="18">
        <v>46174</v>
      </c>
      <c r="C153" s="3">
        <v>817391</v>
      </c>
      <c r="D153" s="3" t="s">
        <v>401</v>
      </c>
      <c r="E153" s="14">
        <f t="shared" si="10"/>
        <v>-9945.6005000000005</v>
      </c>
      <c r="F153" s="3" t="s">
        <v>363</v>
      </c>
      <c r="G153" s="18">
        <v>46174</v>
      </c>
      <c r="H153" s="19">
        <v>12413</v>
      </c>
      <c r="I153" s="3" t="str">
        <f>VLOOKUP(H153,'[1]Base de Clientes'!$B:$E,4,0)</f>
        <v>KAPITALO INVESTIMENTOS LTDA</v>
      </c>
      <c r="J153" s="5" t="s">
        <v>8</v>
      </c>
      <c r="K153" s="5" t="s">
        <v>73</v>
      </c>
      <c r="L153" s="9">
        <v>9945.6005000000005</v>
      </c>
      <c r="M153" s="11" t="s">
        <v>7</v>
      </c>
      <c r="N153" s="13" t="s">
        <v>572</v>
      </c>
      <c r="O153" s="7">
        <v>1</v>
      </c>
      <c r="P153" s="16" t="s">
        <v>439</v>
      </c>
      <c r="Q153" s="4" t="e">
        <f>SUMIFS([2]TT!$G:$G,[2]TT!$A:$A,K153)</f>
        <v>#VALUE!</v>
      </c>
      <c r="R153" s="3"/>
      <c r="T153" s="7"/>
    </row>
    <row r="154" spans="1:20" hidden="1" x14ac:dyDescent="0.25">
      <c r="A154" s="16" t="str">
        <f t="shared" si="33"/>
        <v>CUSTO DMA -LUIZ BASQUEIRA- JUNHO 26</v>
      </c>
      <c r="B154" s="18">
        <v>46174</v>
      </c>
      <c r="C154" s="3">
        <v>817391</v>
      </c>
      <c r="D154" s="3" t="s">
        <v>402</v>
      </c>
      <c r="E154" s="14">
        <f t="shared" ref="E154:E162" si="34">-L154*O154</f>
        <v>-4653.9607500000002</v>
      </c>
      <c r="F154" s="3" t="s">
        <v>363</v>
      </c>
      <c r="G154" s="18">
        <v>46174</v>
      </c>
      <c r="H154" s="19">
        <v>79931</v>
      </c>
      <c r="I154" s="3" t="str">
        <f>VLOOKUP(H154,'[1]Base de Clientes'!$B:$E,4,0)</f>
        <v>SPX GESTAO DE RECURSOS LTDA</v>
      </c>
      <c r="J154" s="5" t="s">
        <v>8</v>
      </c>
      <c r="K154" s="5" t="s">
        <v>74</v>
      </c>
      <c r="L154" s="9">
        <v>4653.9607500000002</v>
      </c>
      <c r="M154" s="11" t="s">
        <v>7</v>
      </c>
      <c r="N154" s="13" t="s">
        <v>572</v>
      </c>
      <c r="O154" s="7">
        <v>1</v>
      </c>
      <c r="P154" s="16" t="s">
        <v>440</v>
      </c>
      <c r="Q154" s="4" t="e">
        <f>SUMIFS([2]TT!$G:$G,[2]TT!$A:$A,K154)</f>
        <v>#VALUE!</v>
      </c>
      <c r="R154" s="3"/>
      <c r="T154" s="7"/>
    </row>
    <row r="155" spans="1:20" hidden="1" x14ac:dyDescent="0.25">
      <c r="A155" s="16" t="str">
        <f t="shared" si="33"/>
        <v>CUSTO DMA -PAULO GUEDES- JUNHO 26</v>
      </c>
      <c r="B155" s="18">
        <v>46174</v>
      </c>
      <c r="C155" s="3">
        <v>817391</v>
      </c>
      <c r="D155" s="3" t="s">
        <v>478</v>
      </c>
      <c r="E155" s="14">
        <f t="shared" si="34"/>
        <v>-9453.8014999999996</v>
      </c>
      <c r="F155" s="3" t="s">
        <v>363</v>
      </c>
      <c r="G155" s="18">
        <v>46174</v>
      </c>
      <c r="H155" s="19">
        <v>95005</v>
      </c>
      <c r="I155" s="3" t="str">
        <f>VLOOKUP(H155,'[1]Base de Clientes'!$B:$E,4,0)</f>
        <v>BANCO BNP PARIBAS BRASIL S/A</v>
      </c>
      <c r="J155" s="5" t="s">
        <v>8</v>
      </c>
      <c r="K155" s="5" t="s">
        <v>75</v>
      </c>
      <c r="L155" s="9">
        <v>9453.8014999999996</v>
      </c>
      <c r="M155" s="11" t="s">
        <v>7</v>
      </c>
      <c r="N155" s="13" t="s">
        <v>572</v>
      </c>
      <c r="O155" s="7">
        <v>1</v>
      </c>
      <c r="P155" s="16" t="s">
        <v>441</v>
      </c>
      <c r="Q155" s="4" t="e">
        <f>SUMIFS([2]TT!$G:$G,[2]TT!$A:$A,K155)</f>
        <v>#VALUE!</v>
      </c>
      <c r="R155" s="3"/>
      <c r="T155" s="7"/>
    </row>
    <row r="156" spans="1:20" hidden="1" x14ac:dyDescent="0.25">
      <c r="A156" s="16" t="str">
        <f t="shared" si="33"/>
        <v>CUSTO DMA -RUY BALIEIRO- JUNHO 26</v>
      </c>
      <c r="B156" s="18">
        <v>46174</v>
      </c>
      <c r="C156" s="3">
        <v>817391</v>
      </c>
      <c r="D156" s="3" t="s">
        <v>405</v>
      </c>
      <c r="E156" s="14">
        <f t="shared" si="34"/>
        <v>-9401.6705000000002</v>
      </c>
      <c r="F156" s="3" t="s">
        <v>363</v>
      </c>
      <c r="G156" s="18">
        <v>46174</v>
      </c>
      <c r="H156" s="19">
        <v>144310</v>
      </c>
      <c r="I156" s="3" t="str">
        <f>VLOOKUP(H156,'[1]Base de Clientes'!$B:$E,4,0)</f>
        <v>BW GESTAO DE INVESTIMENTOS LTDA</v>
      </c>
      <c r="J156" s="5" t="s">
        <v>8</v>
      </c>
      <c r="K156" s="5" t="s">
        <v>76</v>
      </c>
      <c r="L156" s="9">
        <v>9401.6705000000002</v>
      </c>
      <c r="M156" s="11" t="s">
        <v>7</v>
      </c>
      <c r="N156" s="13" t="s">
        <v>572</v>
      </c>
      <c r="O156" s="7">
        <v>1</v>
      </c>
      <c r="P156" s="16" t="s">
        <v>442</v>
      </c>
      <c r="Q156" s="4" t="e">
        <f>SUMIFS([2]TT!$G:$G,[2]TT!$A:$A,K156)</f>
        <v>#VALUE!</v>
      </c>
      <c r="R156" s="3"/>
      <c r="T156" s="7"/>
    </row>
    <row r="157" spans="1:20" hidden="1" x14ac:dyDescent="0.2">
      <c r="A157" s="16" t="str">
        <f t="shared" si="33"/>
        <v>CUSTO DMA -RODOLFO FERRARI- JUNHO 26</v>
      </c>
      <c r="B157" s="18">
        <v>46174</v>
      </c>
      <c r="C157" s="3">
        <v>817391</v>
      </c>
      <c r="D157" s="24" t="s">
        <v>400</v>
      </c>
      <c r="E157" s="14">
        <f t="shared" si="34"/>
        <v>-2581.366</v>
      </c>
      <c r="F157" s="3" t="s">
        <v>363</v>
      </c>
      <c r="G157" s="18">
        <v>46174</v>
      </c>
      <c r="H157" s="26">
        <v>82707</v>
      </c>
      <c r="I157" s="3" t="str">
        <f>VLOOKUP(H157,'[1]Base de Clientes'!$B:$E,4,0)</f>
        <v>BANCO XP S/A</v>
      </c>
      <c r="J157" s="5" t="s">
        <v>8</v>
      </c>
      <c r="K157" s="5" t="s">
        <v>77</v>
      </c>
      <c r="L157" s="9">
        <v>2581.366</v>
      </c>
      <c r="M157" s="11" t="s">
        <v>7</v>
      </c>
      <c r="N157" s="13" t="s">
        <v>572</v>
      </c>
      <c r="O157" s="7">
        <v>1</v>
      </c>
      <c r="P157" s="16" t="s">
        <v>443</v>
      </c>
      <c r="Q157" s="4" t="e">
        <f>SUMIFS([2]TT!$G:$G,[2]TT!$A:$A,K157)</f>
        <v>#VALUE!</v>
      </c>
      <c r="R157" s="3"/>
      <c r="T157" s="7"/>
    </row>
    <row r="158" spans="1:20" x14ac:dyDescent="0.2">
      <c r="A158" s="16" t="str">
        <f t="shared" si="33"/>
        <v>CUSTO DMA -RAUL LESSA- JUNHO 26</v>
      </c>
      <c r="B158" s="18">
        <v>46174</v>
      </c>
      <c r="C158" s="3">
        <v>817391</v>
      </c>
      <c r="D158" s="24" t="s">
        <v>476</v>
      </c>
      <c r="E158" s="14">
        <f t="shared" si="34"/>
        <v>-2399.0017499999999</v>
      </c>
      <c r="F158" s="3" t="s">
        <v>363</v>
      </c>
      <c r="G158" s="18">
        <v>46174</v>
      </c>
      <c r="H158" s="26">
        <v>80111</v>
      </c>
      <c r="I158" s="3" t="str">
        <f>VLOOKUP(H158,'[1]Base de Clientes'!$B:$E,4,0)</f>
        <v>IBIUNA GESTAO DE RECURSOS LTDA</v>
      </c>
      <c r="J158" s="5" t="s">
        <v>8</v>
      </c>
      <c r="K158" s="5" t="s">
        <v>78</v>
      </c>
      <c r="L158" s="27">
        <v>2399.0017499999999</v>
      </c>
      <c r="M158" s="11" t="s">
        <v>7</v>
      </c>
      <c r="N158" s="13" t="s">
        <v>572</v>
      </c>
      <c r="O158" s="7">
        <v>1</v>
      </c>
      <c r="P158" s="16" t="s">
        <v>444</v>
      </c>
      <c r="Q158" s="4" t="e">
        <f>SUMIFS([2]TT!$G:$G,[2]TT!$A:$A,K158)</f>
        <v>#VALUE!</v>
      </c>
      <c r="R158" s="3"/>
      <c r="T158" s="7"/>
    </row>
    <row r="159" spans="1:20" hidden="1" x14ac:dyDescent="0.2">
      <c r="A159" s="16" t="str">
        <f t="shared" si="33"/>
        <v>CUSTO DMA -RAFAEL MADI- JUNHO 26</v>
      </c>
      <c r="B159" s="18">
        <v>46174</v>
      </c>
      <c r="C159" s="3">
        <v>817391</v>
      </c>
      <c r="D159" s="24" t="s">
        <v>478</v>
      </c>
      <c r="E159" s="14">
        <f t="shared" si="34"/>
        <v>-6307.7842499999997</v>
      </c>
      <c r="F159" s="3" t="s">
        <v>363</v>
      </c>
      <c r="G159" s="18">
        <v>46174</v>
      </c>
      <c r="H159" s="26">
        <v>95005</v>
      </c>
      <c r="I159" s="3" t="str">
        <f>VLOOKUP(H159,'[1]Base de Clientes'!$B:$E,4,0)</f>
        <v>BANCO BNP PARIBAS BRASIL S/A</v>
      </c>
      <c r="J159" s="5" t="s">
        <v>8</v>
      </c>
      <c r="K159" s="5" t="s">
        <v>79</v>
      </c>
      <c r="L159" s="9">
        <v>6307.7842499999997</v>
      </c>
      <c r="M159" s="11" t="s">
        <v>7</v>
      </c>
      <c r="N159" s="13" t="s">
        <v>572</v>
      </c>
      <c r="O159" s="7">
        <v>1</v>
      </c>
      <c r="P159" s="16" t="s">
        <v>249</v>
      </c>
      <c r="Q159" s="4" t="e">
        <f>SUMIFS([2]TT!$G:$G,[2]TT!$A:$A,K159)</f>
        <v>#VALUE!</v>
      </c>
      <c r="R159" s="3"/>
      <c r="T159" s="7"/>
    </row>
    <row r="160" spans="1:20" hidden="1" x14ac:dyDescent="0.2">
      <c r="A160" s="16" t="str">
        <f t="shared" si="33"/>
        <v>CUSTO DMA -RAFAEL POPPE- JUNHO 26</v>
      </c>
      <c r="B160" s="18">
        <v>46174</v>
      </c>
      <c r="C160" s="3">
        <v>817391</v>
      </c>
      <c r="D160" s="24" t="s">
        <v>401</v>
      </c>
      <c r="E160" s="14">
        <f t="shared" si="34"/>
        <v>-224.89400000000001</v>
      </c>
      <c r="F160" s="3" t="s">
        <v>363</v>
      </c>
      <c r="G160" s="18">
        <v>46174</v>
      </c>
      <c r="H160" s="26">
        <v>81778</v>
      </c>
      <c r="I160" s="3" t="str">
        <f>VLOOKUP(H160,'[1]Base de Clientes'!$B:$E,4,0)</f>
        <v>KAPITALO INVESTIMENTOS LTDA</v>
      </c>
      <c r="J160" s="5" t="s">
        <v>8</v>
      </c>
      <c r="K160" s="5" t="s">
        <v>80</v>
      </c>
      <c r="L160" s="9">
        <v>224.89400000000001</v>
      </c>
      <c r="M160" s="11" t="s">
        <v>7</v>
      </c>
      <c r="N160" s="13" t="s">
        <v>572</v>
      </c>
      <c r="O160" s="7">
        <v>1</v>
      </c>
      <c r="P160" s="16" t="s">
        <v>445</v>
      </c>
      <c r="Q160" s="4" t="e">
        <f>SUMIFS([2]TT!$G:$G,[2]TT!$A:$A,K160)</f>
        <v>#VALUE!</v>
      </c>
      <c r="R160" s="3"/>
      <c r="T160" s="7"/>
    </row>
    <row r="161" spans="1:20" hidden="1" x14ac:dyDescent="0.25">
      <c r="A161" s="16" t="str">
        <f t="shared" si="33"/>
        <v>CUSTO DMA -SAMUEL SOARES- JUNHO 26</v>
      </c>
      <c r="B161" s="18">
        <v>46174</v>
      </c>
      <c r="C161" s="3">
        <v>817391</v>
      </c>
      <c r="D161" s="3" t="s">
        <v>401</v>
      </c>
      <c r="E161" s="14">
        <f t="shared" si="34"/>
        <v>-9809.6179999999986</v>
      </c>
      <c r="F161" s="3" t="s">
        <v>363</v>
      </c>
      <c r="G161" s="18">
        <v>46174</v>
      </c>
      <c r="H161" s="19">
        <v>79806</v>
      </c>
      <c r="I161" s="3" t="str">
        <f>VLOOKUP(H161,'[1]Base de Clientes'!$B:$E,4,0)</f>
        <v>ITAU UNIBANCO S/A</v>
      </c>
      <c r="J161" s="5" t="s">
        <v>8</v>
      </c>
      <c r="K161" s="5" t="s">
        <v>81</v>
      </c>
      <c r="L161" s="9">
        <v>9809.6179999999986</v>
      </c>
      <c r="M161" s="11" t="s">
        <v>7</v>
      </c>
      <c r="N161" s="13" t="s">
        <v>572</v>
      </c>
      <c r="O161" s="7">
        <v>1</v>
      </c>
      <c r="P161" s="16" t="s">
        <v>446</v>
      </c>
      <c r="Q161" s="4" t="e">
        <f>SUMIFS([2]TT!$G:$G,[2]TT!$A:$A,K161)</f>
        <v>#VALUE!</v>
      </c>
      <c r="R161" s="3"/>
      <c r="T161" s="7"/>
    </row>
    <row r="162" spans="1:20" hidden="1" x14ac:dyDescent="0.2">
      <c r="A162" s="16" t="str">
        <f t="shared" si="33"/>
        <v>CUSTO DMA -VICENTE MELLO- JUNHO 26</v>
      </c>
      <c r="B162" s="18">
        <v>46174</v>
      </c>
      <c r="C162" s="3">
        <v>817391</v>
      </c>
      <c r="D162" s="24" t="s">
        <v>402</v>
      </c>
      <c r="E162" s="14">
        <f t="shared" si="34"/>
        <v>-11786.511500000001</v>
      </c>
      <c r="F162" s="3" t="s">
        <v>363</v>
      </c>
      <c r="G162" s="18">
        <v>46174</v>
      </c>
      <c r="H162" s="26">
        <v>80026</v>
      </c>
      <c r="I162" s="3" t="str">
        <f>VLOOKUP(H162,'[1]Base de Clientes'!$B:$E,4,0)</f>
        <v>BARCLAYS BANK PLC</v>
      </c>
      <c r="J162" s="5" t="s">
        <v>8</v>
      </c>
      <c r="K162" s="5" t="s">
        <v>82</v>
      </c>
      <c r="L162" s="9">
        <v>11786.511500000001</v>
      </c>
      <c r="M162" s="11" t="s">
        <v>7</v>
      </c>
      <c r="N162" s="13" t="s">
        <v>572</v>
      </c>
      <c r="O162" s="7">
        <v>1</v>
      </c>
      <c r="P162" s="16" t="s">
        <v>447</v>
      </c>
      <c r="Q162" s="4" t="e">
        <f>SUMIFS([2]TT!$G:$G,[2]TT!$A:$A,K162)</f>
        <v>#VALUE!</v>
      </c>
      <c r="R162" s="3"/>
      <c r="T162" s="7"/>
    </row>
    <row r="163" spans="1:20" hidden="1" x14ac:dyDescent="0.25">
      <c r="A163" s="16" t="str">
        <f t="shared" ref="A163" si="35">CONCATENATE(J163,M163,K163,M163,N163)</f>
        <v>CUSTO DMA -CARLOS MENEZES- JUNHO 26</v>
      </c>
      <c r="B163" s="18">
        <v>46174</v>
      </c>
      <c r="C163" s="3">
        <v>817391</v>
      </c>
      <c r="D163" s="3" t="s">
        <v>400</v>
      </c>
      <c r="E163" s="14">
        <f t="shared" ref="E163" si="36">-L163*O163</f>
        <v>-56.655000000000001</v>
      </c>
      <c r="F163" s="3" t="s">
        <v>363</v>
      </c>
      <c r="G163" s="18">
        <v>46174</v>
      </c>
      <c r="H163" s="19">
        <v>79258</v>
      </c>
      <c r="I163" s="3" t="str">
        <f>VLOOKUP(H163,'[1]Base de Clientes'!$B:$E,4,0)</f>
        <v>ITAU UNIBANCO S/A</v>
      </c>
      <c r="J163" s="5" t="s">
        <v>8</v>
      </c>
      <c r="K163" s="5" t="s">
        <v>376</v>
      </c>
      <c r="L163" s="9">
        <v>56.655000000000001</v>
      </c>
      <c r="M163" s="11" t="s">
        <v>7</v>
      </c>
      <c r="N163" s="13" t="s">
        <v>572</v>
      </c>
      <c r="O163" s="7">
        <v>1</v>
      </c>
      <c r="P163" s="16" t="s">
        <v>562</v>
      </c>
      <c r="Q163" s="4" t="e">
        <f>SUMIFS([2]TT!$G:$G,[2]TT!$A:$A,K163)</f>
        <v>#VALUE!</v>
      </c>
    </row>
    <row r="164" spans="1:20" hidden="1" x14ac:dyDescent="0.25">
      <c r="A164" s="16" t="str">
        <f t="shared" ref="A164" si="37">CONCATENATE(J164,M164,K164,M164,N164)</f>
        <v>CUSTO DMA -RAFAEL HESSE- JUNHO 26</v>
      </c>
      <c r="B164" s="18">
        <v>46174</v>
      </c>
      <c r="C164" s="3">
        <v>817391</v>
      </c>
      <c r="D164" s="3" t="s">
        <v>475</v>
      </c>
      <c r="E164" s="14">
        <f t="shared" ref="E164" si="38">-L164*O164</f>
        <v>-1735.5474999999999</v>
      </c>
      <c r="F164" s="3" t="s">
        <v>363</v>
      </c>
      <c r="G164" s="18">
        <v>46174</v>
      </c>
      <c r="H164" s="19">
        <v>95005</v>
      </c>
      <c r="I164" s="3" t="s">
        <v>582</v>
      </c>
      <c r="J164" s="5" t="s">
        <v>8</v>
      </c>
      <c r="K164" s="5" t="s">
        <v>498</v>
      </c>
      <c r="L164" s="9">
        <v>1735.5474999999999</v>
      </c>
      <c r="M164" s="11" t="s">
        <v>7</v>
      </c>
      <c r="N164" s="13" t="s">
        <v>572</v>
      </c>
      <c r="O164" s="7">
        <v>1</v>
      </c>
      <c r="P164" s="16" t="s">
        <v>508</v>
      </c>
      <c r="Q164" s="4" t="e">
        <f>SUMIFS([2]TT!$G:$G,[2]TT!$A:$A,K164)</f>
        <v>#VALUE!</v>
      </c>
    </row>
    <row r="165" spans="1:20" hidden="1" x14ac:dyDescent="0.25">
      <c r="A165" s="16" t="str">
        <f t="shared" ref="A165" si="39">CONCATENATE(J165,M165,K165,M165,N165)</f>
        <v>CUSTO DMA -DANIEL POMPIANI- JUNHO 26</v>
      </c>
      <c r="B165" s="18">
        <v>46174</v>
      </c>
      <c r="C165" s="3">
        <v>817391</v>
      </c>
      <c r="D165" s="3" t="s">
        <v>411</v>
      </c>
      <c r="E165" s="14">
        <f t="shared" ref="E165" si="40">-L165*O165</f>
        <v>-1811.9720000000002</v>
      </c>
      <c r="F165" s="3" t="s">
        <v>363</v>
      </c>
      <c r="G165" s="18">
        <v>46174</v>
      </c>
      <c r="H165" s="19">
        <v>80005</v>
      </c>
      <c r="I165" s="3" t="s">
        <v>583</v>
      </c>
      <c r="J165" s="5" t="s">
        <v>8</v>
      </c>
      <c r="K165" s="5" t="s">
        <v>499</v>
      </c>
      <c r="L165" s="9">
        <v>1811.9720000000002</v>
      </c>
      <c r="M165" s="11" t="s">
        <v>7</v>
      </c>
      <c r="N165" s="13" t="s">
        <v>572</v>
      </c>
      <c r="O165" s="7">
        <v>1</v>
      </c>
      <c r="P165" s="16" t="s">
        <v>516</v>
      </c>
      <c r="Q165" s="4" t="e">
        <f>SUMIFS([2]TT!$G:$G,[2]TT!$A:$A,K165)</f>
        <v>#VALUE!</v>
      </c>
    </row>
    <row r="166" spans="1:20" hidden="1" x14ac:dyDescent="0.25">
      <c r="A166" s="16" t="str">
        <f t="shared" ref="A166" si="41">CONCATENATE(J166,M166,K166,M166,N166)</f>
        <v>CUSTO DMA -YURI VERGES- JUNHO 26</v>
      </c>
      <c r="B166" s="18">
        <v>46174</v>
      </c>
      <c r="C166" s="3">
        <v>817391</v>
      </c>
      <c r="D166" s="3" t="s">
        <v>401</v>
      </c>
      <c r="E166" s="14">
        <f t="shared" ref="E166:E167" si="42">-L166*O166</f>
        <v>-1644.8835000000001</v>
      </c>
      <c r="F166" s="3" t="s">
        <v>363</v>
      </c>
      <c r="G166" s="18">
        <v>46174</v>
      </c>
      <c r="H166" s="19">
        <v>80492</v>
      </c>
      <c r="I166" s="3" t="s">
        <v>584</v>
      </c>
      <c r="J166" s="5" t="s">
        <v>8</v>
      </c>
      <c r="K166" s="5" t="s">
        <v>503</v>
      </c>
      <c r="L166" s="9">
        <v>1644.8835000000001</v>
      </c>
      <c r="M166" s="11" t="s">
        <v>7</v>
      </c>
      <c r="N166" s="13" t="s">
        <v>572</v>
      </c>
      <c r="O166" s="7">
        <v>1</v>
      </c>
      <c r="P166" s="16" t="s">
        <v>526</v>
      </c>
      <c r="Q166" s="4" t="e">
        <f>SUMIFS([2]TT!$G:$G,[2]TT!$A:$A,K166)</f>
        <v>#VALUE!</v>
      </c>
    </row>
    <row r="167" spans="1:20" hidden="1" x14ac:dyDescent="0.25">
      <c r="A167" s="16" t="str">
        <f t="shared" ref="A167" si="43">CONCATENATE(J167,M167,K167,M167,N167)</f>
        <v>CUSTO DMA -ELIAS RAYES- JUNHO 26</v>
      </c>
      <c r="B167" s="18">
        <v>46174</v>
      </c>
      <c r="C167" s="3">
        <v>817391</v>
      </c>
      <c r="D167" s="3" t="s">
        <v>475</v>
      </c>
      <c r="E167" s="14">
        <f t="shared" si="42"/>
        <v>-1735.5474999999999</v>
      </c>
      <c r="F167" s="3" t="s">
        <v>363</v>
      </c>
      <c r="G167" s="18">
        <v>46174</v>
      </c>
      <c r="H167" s="19">
        <v>95005</v>
      </c>
      <c r="I167" s="3" t="s">
        <v>582</v>
      </c>
      <c r="J167" s="5" t="s">
        <v>8</v>
      </c>
      <c r="K167" s="5" t="s">
        <v>68</v>
      </c>
      <c r="L167" s="9">
        <v>1735.5474999999999</v>
      </c>
      <c r="M167" s="11" t="s">
        <v>7</v>
      </c>
      <c r="N167" s="13" t="s">
        <v>572</v>
      </c>
      <c r="O167" s="7">
        <v>1</v>
      </c>
      <c r="P167" s="14" t="s">
        <v>434</v>
      </c>
    </row>
  </sheetData>
  <autoFilter ref="A1:P167" xr:uid="{0ECC02B7-9E07-45EE-879F-B936EE5A0F96}">
    <filterColumn colId="3">
      <filters>
        <filter val="ALVARO LUIZ RICOTTA SOARES"/>
      </filters>
    </filterColumn>
  </autoFilter>
  <conditionalFormatting sqref="A2:A167">
    <cfRule type="duplicateValues" dxfId="0" priority="72"/>
  </conditionalFormatting>
  <pageMargins left="0.511811024" right="0.511811024" top="0.78740157499999996" bottom="0.78740157499999996" header="0.31496062000000002" footer="0.31496062000000002"/>
  <pageSetup scale="3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3FFEE58A949046A51328CECF176CFF" ma:contentTypeVersion="2" ma:contentTypeDescription="Create a new document." ma:contentTypeScope="" ma:versionID="9814245a0425a46108686b089d07468b">
  <xsd:schema xmlns:xsd="http://www.w3.org/2001/XMLSchema" xmlns:xs="http://www.w3.org/2001/XMLSchema" xmlns:p="http://schemas.microsoft.com/office/2006/metadata/properties" xmlns:ns3="141ffef2-f278-4dfb-a186-b459e4a57e1b" targetNamespace="http://schemas.microsoft.com/office/2006/metadata/properties" ma:root="true" ma:fieldsID="30690f5ff2fe71a725dedef94136a863" ns3:_="">
    <xsd:import namespace="141ffef2-f278-4dfb-a186-b459e4a57e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1ffef2-f278-4dfb-a186-b459e4a57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09E0A5-EC8D-4093-A8B0-1ECD3F84E3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1ffef2-f278-4dfb-a186-b459e4a57e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5E67D2-82DE-4CC7-B2D2-475A595D4A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B1D43B-4CAF-4B8E-A70F-B9CBFE24978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</vt:lpstr>
      <vt:lpstr>Feb</vt:lpstr>
      <vt:lpstr>Mar</vt:lpstr>
      <vt:lpstr>Abr</vt:lpstr>
      <vt:lpstr>Maio</vt:lpstr>
      <vt:lpstr>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Collete, Giovana</dc:creator>
  <cp:lastModifiedBy>Collete, Giovana</cp:lastModifiedBy>
  <dcterms:created xsi:type="dcterms:W3CDTF">2020-08-28T19:20:10Z</dcterms:created>
  <dcterms:modified xsi:type="dcterms:W3CDTF">2026-07-23T22:56:04Z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0x0101009A3FFEE58A949046A51328CECF176CFF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